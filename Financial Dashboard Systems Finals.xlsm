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filterPrivacy="1" codeName="ThisWorkbook" hidePivotFieldList="1"/>
  <xr:revisionPtr revIDLastSave="0" documentId="13_ncr:1_{8243994B-3634-4C63-B016-F4B152C0063E}" xr6:coauthVersionLast="47" xr6:coauthVersionMax="47" xr10:uidLastSave="{00000000-0000-0000-0000-000000000000}"/>
  <bookViews>
    <workbookView xWindow="-108" yWindow="-108" windowWidth="23256" windowHeight="12576" xr2:uid="{00000000-000D-0000-FFFF-FFFF00000000}"/>
  </bookViews>
  <sheets>
    <sheet name="Sales Processing Data" sheetId="7" r:id="rId1"/>
    <sheet name="Income &amp; Geographic Dataset" sheetId="1" r:id="rId2"/>
    <sheet name="Pivottables" sheetId="6" r:id="rId3"/>
    <sheet name="Income Source" sheetId="2" r:id="rId4"/>
    <sheet name="Geographically" sheetId="3" r:id="rId5"/>
    <sheet name="Sales Process" sheetId="4" r:id="rId6"/>
  </sheets>
  <definedNames>
    <definedName name="Slicer_Year">#N/A</definedName>
    <definedName name="Slicer_Year1">#N/A</definedName>
    <definedName name="Slicer_Year2">#N/A</definedName>
  </definedNames>
  <calcPr calcId="181029"/>
  <pivotCaches>
    <pivotCache cacheId="0" r:id="rId7"/>
    <pivotCache cacheId="1" r:id="rId8"/>
    <pivotCache cacheId="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89" i="6" l="1"/>
  <c r="H90" i="6"/>
  <c r="H88" i="6"/>
  <c r="I72" i="6"/>
  <c r="I71" i="6"/>
  <c r="H72" i="6"/>
  <c r="H71" i="6"/>
  <c r="G72" i="6"/>
  <c r="G71" i="6"/>
  <c r="I66" i="6"/>
  <c r="I65" i="6"/>
  <c r="H66" i="6"/>
  <c r="H65" i="6"/>
  <c r="G66" i="6"/>
  <c r="G65" i="6"/>
  <c r="J72" i="6"/>
  <c r="J71" i="6"/>
  <c r="J66" i="6"/>
  <c r="J65" i="6"/>
  <c r="J60" i="6"/>
  <c r="J59" i="6"/>
  <c r="I60" i="6"/>
  <c r="I59" i="6"/>
  <c r="H60" i="6"/>
  <c r="H59" i="6"/>
  <c r="G60" i="6"/>
  <c r="G59" i="6"/>
  <c r="G82" i="6"/>
  <c r="G78" i="6"/>
  <c r="F102" i="6"/>
  <c r="H91" i="6" l="1"/>
  <c r="Z26" i="6"/>
  <c r="Y26" i="6"/>
  <c r="F36" i="6"/>
  <c r="G36" i="6"/>
  <c r="F37" i="6"/>
  <c r="G37" i="6"/>
  <c r="F38" i="6"/>
  <c r="G38" i="6"/>
  <c r="F39" i="6"/>
  <c r="G39" i="6"/>
  <c r="F40" i="6"/>
  <c r="G40" i="6"/>
  <c r="G35" i="6"/>
  <c r="F35" i="6"/>
  <c r="D36" i="6"/>
  <c r="E36" i="6"/>
  <c r="D37" i="6"/>
  <c r="E37" i="6"/>
  <c r="D38" i="6"/>
  <c r="E38" i="6"/>
  <c r="D39" i="6"/>
  <c r="E39" i="6"/>
  <c r="D40" i="6"/>
  <c r="E40" i="6"/>
  <c r="E35" i="6"/>
  <c r="D35" i="6"/>
  <c r="K27" i="6"/>
  <c r="K28" i="6"/>
  <c r="K29" i="6"/>
  <c r="K30" i="6"/>
  <c r="K31" i="6"/>
  <c r="K26" i="6"/>
  <c r="F50" i="6"/>
  <c r="I51" i="6" l="1"/>
  <c r="F55" i="6"/>
  <c r="G50" i="6"/>
  <c r="J27" i="6"/>
  <c r="J28" i="6"/>
  <c r="J29" i="6"/>
  <c r="J30" i="6"/>
  <c r="J31" i="6"/>
  <c r="J26" i="6"/>
  <c r="P26" i="6"/>
  <c r="G27" i="6"/>
  <c r="I50" i="6" l="1"/>
  <c r="G55" i="6"/>
  <c r="W27" i="6"/>
  <c r="X27" i="6"/>
  <c r="Y27" i="6"/>
  <c r="V27" i="6"/>
  <c r="O26" i="6"/>
  <c r="R27" i="6" s="1"/>
  <c r="S27" i="6"/>
  <c r="BH26" i="6"/>
  <c r="BG26" i="6"/>
  <c r="BH25" i="6"/>
  <c r="BG25" i="6"/>
  <c r="BH24" i="6"/>
  <c r="BG24" i="6"/>
  <c r="BH23" i="6"/>
  <c r="BG23" i="6"/>
  <c r="BH22" i="6"/>
  <c r="BG22" i="6"/>
  <c r="BH21" i="6"/>
  <c r="BG21" i="6"/>
  <c r="BH20" i="6"/>
  <c r="BG20" i="6"/>
  <c r="BH19" i="6"/>
  <c r="BG19" i="6"/>
  <c r="BH18" i="6"/>
  <c r="BG18" i="6"/>
  <c r="BH17" i="6"/>
  <c r="BG17" i="6"/>
  <c r="BH16" i="6"/>
  <c r="BG16" i="6"/>
  <c r="BH15" i="6"/>
  <c r="BG15" i="6"/>
  <c r="BH14" i="6"/>
  <c r="BG14" i="6"/>
  <c r="BH13" i="6"/>
  <c r="BG13" i="6"/>
  <c r="BH12" i="6"/>
  <c r="BG12" i="6"/>
  <c r="BH11" i="6"/>
  <c r="BG11" i="6"/>
  <c r="R11" i="6"/>
  <c r="Q11" i="6"/>
  <c r="N11" i="6"/>
  <c r="BH10" i="6"/>
  <c r="BG10" i="6"/>
  <c r="R10" i="6"/>
  <c r="Q10" i="6"/>
  <c r="N10" i="6"/>
  <c r="BH9" i="6"/>
  <c r="BG9" i="6"/>
  <c r="R9" i="6"/>
  <c r="Q9" i="6"/>
  <c r="N9" i="6"/>
  <c r="BH8" i="6"/>
  <c r="BG8" i="6"/>
  <c r="R8" i="6"/>
  <c r="Q8" i="6"/>
  <c r="N8" i="6"/>
  <c r="BH7" i="6"/>
  <c r="BG7" i="6"/>
  <c r="AX7" i="6"/>
  <c r="AW7" i="6"/>
  <c r="R7" i="6"/>
  <c r="Q7" i="6"/>
  <c r="N7" i="6"/>
  <c r="BH6" i="6"/>
  <c r="BG6" i="6"/>
  <c r="AX6" i="6"/>
  <c r="AW6" i="6"/>
  <c r="AH6" i="6"/>
  <c r="R6" i="6"/>
  <c r="Q6" i="6"/>
  <c r="N6" i="6"/>
  <c r="Y6" i="6"/>
  <c r="AN6" i="6"/>
  <c r="O11" i="6" l="1"/>
  <c r="P7" i="6"/>
  <c r="P10" i="6"/>
  <c r="O10" i="6"/>
  <c r="P9" i="6"/>
  <c r="Z6" i="6"/>
  <c r="P11" i="6"/>
  <c r="O8" i="6"/>
  <c r="P8" i="6"/>
  <c r="O6" i="6"/>
  <c r="P6" i="6"/>
  <c r="O7" i="6"/>
  <c r="O9" i="6"/>
</calcChain>
</file>

<file path=xl/sharedStrings.xml><?xml version="1.0" encoding="utf-8"?>
<sst xmlns="http://schemas.openxmlformats.org/spreadsheetml/2006/main" count="28798" uniqueCount="122">
  <si>
    <t>Jan</t>
  </si>
  <si>
    <t>Feb</t>
  </si>
  <si>
    <t>Mar</t>
  </si>
  <si>
    <t>Apr</t>
  </si>
  <si>
    <t>May</t>
  </si>
  <si>
    <t>Jun</t>
  </si>
  <si>
    <t>Jul</t>
  </si>
  <si>
    <t>Aug</t>
  </si>
  <si>
    <t>Sep</t>
  </si>
  <si>
    <t>Oct</t>
  </si>
  <si>
    <t>Nov</t>
  </si>
  <si>
    <t>Dec</t>
  </si>
  <si>
    <t>Usage fees</t>
  </si>
  <si>
    <t>Renting</t>
  </si>
  <si>
    <t>Licensing</t>
  </si>
  <si>
    <t>Advertising</t>
  </si>
  <si>
    <t>Year</t>
  </si>
  <si>
    <t>Month</t>
  </si>
  <si>
    <t>Income sources</t>
  </si>
  <si>
    <t>Income Breakdowns</t>
  </si>
  <si>
    <t>Counts</t>
  </si>
  <si>
    <t>Income</t>
  </si>
  <si>
    <t>Target Income</t>
  </si>
  <si>
    <t>Youtube Channel</t>
  </si>
  <si>
    <t>Google Ad</t>
  </si>
  <si>
    <t>Company Website</t>
  </si>
  <si>
    <t>Facebook Page</t>
  </si>
  <si>
    <t>Television Ad</t>
  </si>
  <si>
    <t xml:space="preserve">New </t>
  </si>
  <si>
    <t>Renewal</t>
  </si>
  <si>
    <t>Prime</t>
  </si>
  <si>
    <t>Premium</t>
  </si>
  <si>
    <t>Asset sale</t>
  </si>
  <si>
    <t>Offices</t>
  </si>
  <si>
    <t>Lands</t>
  </si>
  <si>
    <t>Equipments</t>
  </si>
  <si>
    <t>Software Metered License</t>
  </si>
  <si>
    <t>Floating License</t>
  </si>
  <si>
    <t>Subscription</t>
  </si>
  <si>
    <t>operating profit</t>
  </si>
  <si>
    <t>B2B</t>
  </si>
  <si>
    <t>Marketing Strategies</t>
  </si>
  <si>
    <t>B2C</t>
  </si>
  <si>
    <t>Row Labels</t>
  </si>
  <si>
    <t>Grand Total</t>
  </si>
  <si>
    <t>Sum of Income</t>
  </si>
  <si>
    <t>Sum of Income2</t>
  </si>
  <si>
    <t>X</t>
  </si>
  <si>
    <t>Y</t>
  </si>
  <si>
    <t>Amount</t>
  </si>
  <si>
    <t>Max</t>
  </si>
  <si>
    <t>Without Max</t>
  </si>
  <si>
    <t>Sum of Target Income</t>
  </si>
  <si>
    <t>Target</t>
  </si>
  <si>
    <t>Sum of Counts</t>
  </si>
  <si>
    <t>Sum of Counts2</t>
  </si>
  <si>
    <t>Count</t>
  </si>
  <si>
    <t>Count%</t>
  </si>
  <si>
    <t>Average Monthly Income</t>
  </si>
  <si>
    <t>······</t>
  </si>
  <si>
    <t>Sum of operating profit</t>
  </si>
  <si>
    <t>Sum Of Operating Profit</t>
  </si>
  <si>
    <t xml:space="preserve">  </t>
  </si>
  <si>
    <t>Country</t>
  </si>
  <si>
    <t>Egypt</t>
  </si>
  <si>
    <t>USA</t>
  </si>
  <si>
    <t>Russia</t>
  </si>
  <si>
    <t>United Kingdom</t>
  </si>
  <si>
    <t>Brazil</t>
  </si>
  <si>
    <t>Canada</t>
  </si>
  <si>
    <t>Geographics</t>
  </si>
  <si>
    <t>Sum of Amount</t>
  </si>
  <si>
    <t>Sum of Amount2</t>
  </si>
  <si>
    <t>Total Sales</t>
  </si>
  <si>
    <t>Sum of Target</t>
  </si>
  <si>
    <t>Remaining Percentage</t>
  </si>
  <si>
    <t>Actual</t>
  </si>
  <si>
    <t>Highest Country</t>
  </si>
  <si>
    <t>Non Highest Country</t>
  </si>
  <si>
    <t>Payroll Taxes</t>
  </si>
  <si>
    <t>Property Taxes</t>
  </si>
  <si>
    <t>Excise Taxes</t>
  </si>
  <si>
    <t>Total Taxes</t>
  </si>
  <si>
    <t>Order Number</t>
  </si>
  <si>
    <t>POS</t>
  </si>
  <si>
    <t>Payment Method</t>
  </si>
  <si>
    <t>Assembly Stage</t>
  </si>
  <si>
    <t>Registration Status</t>
  </si>
  <si>
    <t>Sale Status</t>
  </si>
  <si>
    <t>Delivery Type</t>
  </si>
  <si>
    <t>AD01-9361</t>
  </si>
  <si>
    <t>Website</t>
  </si>
  <si>
    <t>Credit Card</t>
  </si>
  <si>
    <t>Order assembled</t>
  </si>
  <si>
    <t>Register Customer info</t>
  </si>
  <si>
    <t>Paid</t>
  </si>
  <si>
    <t>Shipment</t>
  </si>
  <si>
    <t>AD01-9362</t>
  </si>
  <si>
    <t>Download</t>
  </si>
  <si>
    <t>AD01-9364</t>
  </si>
  <si>
    <t>AD01-9363</t>
  </si>
  <si>
    <t>AD01-9365</t>
  </si>
  <si>
    <t>Non-Registered Customer info</t>
  </si>
  <si>
    <t>Branches</t>
  </si>
  <si>
    <t>Refunded</t>
  </si>
  <si>
    <t>Cash on Delivery</t>
  </si>
  <si>
    <t>Cancelld</t>
  </si>
  <si>
    <t xml:space="preserve">Branch </t>
  </si>
  <si>
    <t>Sales</t>
  </si>
  <si>
    <t xml:space="preserve">Actual </t>
  </si>
  <si>
    <t>Label</t>
  </si>
  <si>
    <t>Count of POS</t>
  </si>
  <si>
    <t>Count of Payment Method</t>
  </si>
  <si>
    <t>Count of Registration Status</t>
  </si>
  <si>
    <t>Line</t>
  </si>
  <si>
    <t>Empty Circule</t>
  </si>
  <si>
    <t>Circle</t>
  </si>
  <si>
    <t>Count of Delivery Type</t>
  </si>
  <si>
    <t>Count of Order Number</t>
  </si>
  <si>
    <t>Customers</t>
  </si>
  <si>
    <t>Count of Sale Status</t>
  </si>
  <si>
    <t>Paid Orders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</si>
</sst>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_(* #,##0_);_(* \(#,##0\);_(* &quot;-&quot;??_);_(@_)"/>
    <numFmt numFmtId="166" formatCode="[$$-409]#,##0"/>
    <numFmt numFmtId="167" formatCode="0.0%"/>
    <numFmt numFmtId="168" formatCode="_-[$$-409]* #,##0_ ;_-[$$-409]* \-#,##0\ ;_-[$$-409]* &quot;-&quot;??_ ;_-@_ "/>
  </numFmts>
  <fonts count="17" x14ac:knownFonts="1">
    <font>
      <sz val="11"/>
      <color theme="1"/>
      <name val="Calibri"/>
      <family val="2"/>
      <scheme val="minor"/>
    </font>
    <font>
      <sz val="11"/>
      <color theme="1"/>
      <name val="Calibri"/>
      <family val="2"/>
      <scheme val="minor"/>
    </font>
    <font>
      <b/>
      <sz val="11"/>
      <color theme="0"/>
      <name val="Arial"/>
      <family val="2"/>
    </font>
    <font>
      <sz val="8"/>
      <name val="Calibri"/>
      <family val="2"/>
      <scheme val="minor"/>
    </font>
    <font>
      <sz val="10"/>
      <color theme="1" tint="0.14999847407452621"/>
      <name val="Roboto"/>
    </font>
    <font>
      <sz val="10"/>
      <color theme="1"/>
      <name val="Roboto"/>
    </font>
    <font>
      <sz val="10"/>
      <color theme="0"/>
      <name val="Roboto"/>
    </font>
    <font>
      <sz val="11"/>
      <color theme="1"/>
      <name val="Calibri"/>
      <family val="2"/>
    </font>
    <font>
      <sz val="11"/>
      <color theme="1"/>
      <name val="MS Reference Sans Serif"/>
      <family val="2"/>
    </font>
    <font>
      <sz val="11"/>
      <color theme="0"/>
      <name val="Arial"/>
    </font>
    <font>
      <sz val="11"/>
      <color theme="1"/>
      <name val="Arial"/>
    </font>
    <font>
      <sz val="10"/>
      <color theme="6" tint="-0.249977111117893"/>
      <name val="Roboto"/>
    </font>
    <font>
      <b/>
      <sz val="10"/>
      <color theme="0"/>
      <name val="Roboto"/>
    </font>
    <font>
      <sz val="10"/>
      <color rgb="FFC240D8"/>
      <name val="Roboto"/>
    </font>
    <font>
      <sz val="10"/>
      <color rgb="FF5A097C"/>
      <name val="Roboto"/>
    </font>
    <font>
      <sz val="10"/>
      <color rgb="FF0F11A7"/>
      <name val="Roboto"/>
    </font>
    <font>
      <sz val="10"/>
      <color rgb="FF296EFC"/>
      <name val="Roboto"/>
    </font>
  </fonts>
  <fills count="10">
    <fill>
      <patternFill patternType="none"/>
    </fill>
    <fill>
      <patternFill patternType="gray125"/>
    </fill>
    <fill>
      <patternFill patternType="solid">
        <fgColor rgb="FF5A2BCB"/>
        <bgColor indexed="64"/>
      </patternFill>
    </fill>
    <fill>
      <patternFill patternType="solid">
        <fgColor theme="1"/>
        <bgColor indexed="64"/>
      </patternFill>
    </fill>
    <fill>
      <patternFill patternType="solid">
        <fgColor rgb="FFCC0E62"/>
        <bgColor indexed="64"/>
      </patternFill>
    </fill>
    <fill>
      <patternFill patternType="solid">
        <fgColor rgb="FF194AFE"/>
        <bgColor indexed="64"/>
      </patternFill>
    </fill>
    <fill>
      <patternFill patternType="solid">
        <fgColor theme="8" tint="0.59999389629810485"/>
        <bgColor indexed="64"/>
      </patternFill>
    </fill>
    <fill>
      <patternFill patternType="solid">
        <fgColor rgb="FF252253"/>
        <bgColor indexed="64"/>
      </patternFill>
    </fill>
    <fill>
      <patternFill patternType="solid">
        <fgColor theme="4"/>
        <bgColor theme="4"/>
      </patternFill>
    </fill>
    <fill>
      <patternFill patternType="solid">
        <fgColor theme="5" tint="0.39997558519241921"/>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73">
    <xf numFmtId="0" fontId="0" fillId="0" borderId="0" xfId="0"/>
    <xf numFmtId="0" fontId="0" fillId="0" borderId="0" xfId="0" applyAlignment="1">
      <alignment horizontal="center" vertical="center"/>
    </xf>
    <xf numFmtId="0" fontId="2" fillId="2" borderId="0" xfId="0" applyFont="1" applyFill="1" applyBorder="1" applyAlignment="1">
      <alignment horizontal="center" vertical="center"/>
    </xf>
    <xf numFmtId="0" fontId="0" fillId="3" borderId="0" xfId="0" applyFill="1"/>
    <xf numFmtId="0" fontId="4" fillId="0" borderId="0" xfId="0" applyFont="1"/>
    <xf numFmtId="0" fontId="5" fillId="0" borderId="0" xfId="0" pivotButton="1" applyFont="1"/>
    <xf numFmtId="0" fontId="5" fillId="0" borderId="0" xfId="0" applyFont="1"/>
    <xf numFmtId="0" fontId="6" fillId="3" borderId="0" xfId="0" applyFont="1" applyFill="1" applyAlignment="1">
      <alignment horizontal="center" vertical="center"/>
    </xf>
    <xf numFmtId="0" fontId="5" fillId="0" borderId="0" xfId="0" applyFont="1" applyAlignment="1">
      <alignment horizontal="left"/>
    </xf>
    <xf numFmtId="0" fontId="5" fillId="0" borderId="0" xfId="0" applyNumberFormat="1" applyFont="1"/>
    <xf numFmtId="10" fontId="5" fillId="0" borderId="0" xfId="0" applyNumberFormat="1" applyFont="1"/>
    <xf numFmtId="0" fontId="5" fillId="0" borderId="0" xfId="0" applyFont="1" applyAlignment="1">
      <alignment horizontal="center"/>
    </xf>
    <xf numFmtId="165" fontId="5" fillId="0" borderId="0" xfId="1" applyNumberFormat="1" applyFont="1"/>
    <xf numFmtId="165" fontId="5" fillId="0" borderId="0" xfId="0" applyNumberFormat="1" applyFont="1"/>
    <xf numFmtId="9" fontId="5" fillId="0" borderId="0" xfId="2" applyFont="1"/>
    <xf numFmtId="9" fontId="5" fillId="0" borderId="0" xfId="0" applyNumberFormat="1" applyFont="1"/>
    <xf numFmtId="165" fontId="4" fillId="0" borderId="0" xfId="0" applyNumberFormat="1" applyFont="1" applyAlignment="1">
      <alignment horizontal="left"/>
    </xf>
    <xf numFmtId="0" fontId="7" fillId="3" borderId="0" xfId="0" applyFont="1" applyFill="1"/>
    <xf numFmtId="0" fontId="8" fillId="3" borderId="0" xfId="0" applyFont="1" applyFill="1"/>
    <xf numFmtId="165" fontId="4" fillId="0" borderId="0" xfId="1" applyNumberFormat="1" applyFont="1"/>
    <xf numFmtId="9" fontId="4" fillId="0" borderId="0" xfId="2" applyFont="1"/>
    <xf numFmtId="166" fontId="5" fillId="0" borderId="0" xfId="1" applyNumberFormat="1" applyFont="1"/>
    <xf numFmtId="0" fontId="4" fillId="6" borderId="0" xfId="0" applyFont="1" applyFill="1"/>
    <xf numFmtId="9" fontId="4" fillId="0" borderId="0" xfId="0" applyNumberFormat="1" applyFont="1" applyAlignment="1">
      <alignment horizontal="center"/>
    </xf>
    <xf numFmtId="9" fontId="4" fillId="0" borderId="0" xfId="2" applyFont="1" applyAlignment="1">
      <alignment horizontal="center"/>
    </xf>
    <xf numFmtId="0" fontId="4" fillId="6" borderId="0" xfId="0" applyFont="1" applyFill="1" applyAlignment="1">
      <alignment horizontal="center"/>
    </xf>
    <xf numFmtId="0" fontId="4" fillId="0" borderId="0" xfId="0" applyFont="1" applyAlignment="1">
      <alignment horizontal="center"/>
    </xf>
    <xf numFmtId="0" fontId="0" fillId="7" borderId="0" xfId="0" applyFill="1"/>
    <xf numFmtId="0" fontId="6" fillId="3" borderId="0" xfId="0" applyFont="1" applyFill="1"/>
    <xf numFmtId="165" fontId="6" fillId="3" borderId="0" xfId="1" applyNumberFormat="1" applyFont="1" applyFill="1"/>
    <xf numFmtId="167" fontId="4" fillId="0" borderId="0" xfId="2" applyNumberFormat="1" applyFont="1" applyAlignment="1">
      <alignment horizontal="center"/>
    </xf>
    <xf numFmtId="167" fontId="4" fillId="0" borderId="0" xfId="2" applyNumberFormat="1" applyFont="1"/>
    <xf numFmtId="167" fontId="4" fillId="0" borderId="0" xfId="0" applyNumberFormat="1" applyFont="1"/>
    <xf numFmtId="166" fontId="5" fillId="0" borderId="0" xfId="0" applyNumberFormat="1" applyFont="1"/>
    <xf numFmtId="9" fontId="4" fillId="6" borderId="0" xfId="0" applyNumberFormat="1" applyFont="1" applyFill="1" applyAlignment="1">
      <alignment horizontal="center"/>
    </xf>
    <xf numFmtId="0" fontId="9" fillId="8" borderId="0" xfId="0" applyFont="1" applyFill="1" applyAlignment="1">
      <alignment horizontal="center" vertical="center"/>
    </xf>
    <xf numFmtId="0" fontId="10" fillId="0" borderId="0" xfId="0" applyFont="1" applyAlignment="1">
      <alignment horizontal="center" vertical="center"/>
    </xf>
    <xf numFmtId="0" fontId="6" fillId="5" borderId="0" xfId="0" applyFont="1" applyFill="1" applyAlignment="1">
      <alignment horizontal="center"/>
    </xf>
    <xf numFmtId="0" fontId="5" fillId="0" borderId="0" xfId="0" applyFont="1" applyBorder="1" applyAlignment="1">
      <alignment horizontal="center" vertical="center"/>
    </xf>
    <xf numFmtId="0" fontId="5" fillId="0" borderId="0" xfId="0" applyFont="1" applyBorder="1" applyAlignment="1">
      <alignment horizontal="left"/>
    </xf>
    <xf numFmtId="165" fontId="5" fillId="0" borderId="0" xfId="0" applyNumberFormat="1" applyFont="1" applyBorder="1"/>
    <xf numFmtId="165" fontId="5" fillId="0" borderId="0" xfId="0" applyNumberFormat="1" applyFont="1" applyBorder="1" applyAlignment="1">
      <alignment horizontal="center" vertical="center"/>
    </xf>
    <xf numFmtId="0" fontId="5" fillId="0" borderId="0" xfId="0" applyFont="1" applyBorder="1" applyAlignment="1">
      <alignment horizontal="left" vertical="center"/>
    </xf>
    <xf numFmtId="165" fontId="5" fillId="0" borderId="0" xfId="1" applyNumberFormat="1" applyFont="1" applyFill="1" applyBorder="1" applyAlignment="1">
      <alignment horizontal="center" vertical="center"/>
    </xf>
    <xf numFmtId="165" fontId="5" fillId="0" borderId="0" xfId="1" applyNumberFormat="1" applyFont="1" applyFill="1" applyBorder="1"/>
    <xf numFmtId="0" fontId="6" fillId="4" borderId="0" xfId="0" applyFont="1" applyFill="1" applyAlignment="1">
      <alignment horizontal="center" vertical="center"/>
    </xf>
    <xf numFmtId="0" fontId="12" fillId="4" borderId="0" xfId="0" applyFont="1" applyFill="1" applyAlignment="1">
      <alignment horizontal="center" vertical="center"/>
    </xf>
    <xf numFmtId="0" fontId="5" fillId="0" borderId="0" xfId="0" applyFont="1" applyAlignment="1">
      <alignment horizontal="center" vertical="center"/>
    </xf>
    <xf numFmtId="1" fontId="11" fillId="0" borderId="0" xfId="0" applyNumberFormat="1" applyFont="1" applyAlignment="1">
      <alignment horizontal="center" vertical="center"/>
    </xf>
    <xf numFmtId="1" fontId="5" fillId="0" borderId="0" xfId="0" applyNumberFormat="1" applyFont="1" applyAlignment="1">
      <alignment horizontal="center" vertical="center"/>
    </xf>
    <xf numFmtId="0" fontId="5" fillId="0" borderId="0" xfId="0" applyFont="1" applyAlignment="1">
      <alignment horizontal="left" indent="1"/>
    </xf>
    <xf numFmtId="0" fontId="5" fillId="0" borderId="4" xfId="0" applyFont="1" applyBorder="1"/>
    <xf numFmtId="0" fontId="5" fillId="0" borderId="6" xfId="0" applyFont="1" applyBorder="1"/>
    <xf numFmtId="0" fontId="6" fillId="3" borderId="0" xfId="0" applyFont="1" applyFill="1" applyAlignment="1">
      <alignment horizontal="left"/>
    </xf>
    <xf numFmtId="165" fontId="6" fillId="3" borderId="0" xfId="0" applyNumberFormat="1" applyFont="1" applyFill="1"/>
    <xf numFmtId="10" fontId="6" fillId="3" borderId="0" xfId="0" applyNumberFormat="1" applyFont="1" applyFill="1"/>
    <xf numFmtId="0" fontId="5" fillId="0" borderId="1" xfId="0" applyFont="1" applyBorder="1"/>
    <xf numFmtId="0" fontId="13" fillId="0" borderId="0" xfId="0" applyFont="1" applyBorder="1" applyAlignment="1">
      <alignment horizontal="center" vertical="center"/>
    </xf>
    <xf numFmtId="0" fontId="14" fillId="0" borderId="0" xfId="0" applyFont="1" applyBorder="1" applyAlignment="1">
      <alignment horizontal="center" vertical="center"/>
    </xf>
    <xf numFmtId="0" fontId="15" fillId="0" borderId="0" xfId="0" applyFont="1" applyBorder="1" applyAlignment="1">
      <alignment horizontal="center" vertical="center"/>
    </xf>
    <xf numFmtId="0" fontId="16" fillId="0" borderId="5" xfId="0" applyFont="1" applyBorder="1" applyAlignment="1">
      <alignment horizontal="center" vertical="center"/>
    </xf>
    <xf numFmtId="0" fontId="5" fillId="9" borderId="9" xfId="0" applyFont="1" applyFill="1" applyBorder="1" applyAlignment="1">
      <alignment horizontal="center"/>
    </xf>
    <xf numFmtId="0" fontId="5" fillId="9" borderId="10" xfId="0" applyFont="1" applyFill="1" applyBorder="1" applyAlignment="1">
      <alignment horizontal="center"/>
    </xf>
    <xf numFmtId="0" fontId="5" fillId="9" borderId="7" xfId="0" applyFont="1" applyFill="1" applyBorder="1" applyAlignment="1">
      <alignment horizontal="center"/>
    </xf>
    <xf numFmtId="9" fontId="5" fillId="0" borderId="6" xfId="2" applyFont="1" applyBorder="1" applyAlignment="1">
      <alignment horizontal="center"/>
    </xf>
    <xf numFmtId="9" fontId="5" fillId="0" borderId="8" xfId="2"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168" fontId="5" fillId="0" borderId="0" xfId="0" applyNumberFormat="1" applyFont="1"/>
    <xf numFmtId="9" fontId="5" fillId="0" borderId="0" xfId="2" applyFont="1" applyAlignment="1">
      <alignment horizontal="center"/>
    </xf>
    <xf numFmtId="0" fontId="6" fillId="5" borderId="0" xfId="0" applyFont="1" applyFill="1" applyAlignment="1">
      <alignment horizontal="center"/>
    </xf>
    <xf numFmtId="0" fontId="5" fillId="6" borderId="2" xfId="0" applyFont="1" applyFill="1" applyBorder="1" applyAlignment="1">
      <alignment horizontal="center"/>
    </xf>
    <xf numFmtId="0" fontId="5" fillId="6" borderId="3" xfId="0" applyFont="1" applyFill="1" applyBorder="1" applyAlignment="1">
      <alignment horizontal="center"/>
    </xf>
  </cellXfs>
  <cellStyles count="3">
    <cellStyle name="Comma" xfId="1" builtinId="3"/>
    <cellStyle name="Normal" xfId="0" builtinId="0"/>
    <cellStyle name="Percent" xfId="2" builtinId="5"/>
  </cellStyles>
  <dxfs count="274">
    <dxf>
      <font>
        <name val="Roboto"/>
        <scheme val="none"/>
      </font>
    </dxf>
    <dxf>
      <font>
        <name val="Roboto"/>
        <scheme val="none"/>
      </font>
    </dxf>
    <dxf>
      <font>
        <name val="Roboto"/>
        <scheme val="none"/>
      </font>
    </dxf>
    <dxf>
      <font>
        <sz val="10"/>
      </font>
    </dxf>
    <dxf>
      <font>
        <sz val="10"/>
      </font>
    </dxf>
    <dxf>
      <font>
        <sz val="10"/>
      </font>
    </dxf>
    <dxf>
      <font>
        <sz val="10"/>
        <name val="Roboto"/>
        <scheme val="none"/>
      </font>
    </dxf>
    <dxf>
      <numFmt numFmtId="165" formatCode="_(* #,##0_);_(* \(#,##0\);_(* &quot;-&quot;??_);_(@_)"/>
    </dxf>
    <dxf>
      <numFmt numFmtId="165" formatCode="_(* #,##0_);_(* \(#,##0\);_(* &quot;-&quot;??_);_(@_)"/>
    </dxf>
    <dxf>
      <font>
        <sz val="10"/>
      </font>
    </dxf>
    <dxf>
      <font>
        <name val="Roboto"/>
        <scheme val="none"/>
      </font>
    </dxf>
    <dxf>
      <font>
        <sz val="9.5"/>
      </font>
    </dxf>
    <dxf>
      <font>
        <name val="Roboto"/>
        <scheme val="none"/>
      </font>
    </dxf>
    <dxf>
      <font>
        <color theme="1"/>
      </font>
    </dxf>
    <dxf>
      <font>
        <color theme="1"/>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65" formatCode="_(* #,##0_);_(* \(#,##0\);_(* &quot;-&quot;??_);_(@_)"/>
    </dxf>
    <dxf>
      <font>
        <sz val="10"/>
      </font>
    </dxf>
    <dxf>
      <font>
        <name val="Roboto"/>
        <scheme val="none"/>
      </font>
    </dxf>
    <dxf>
      <font>
        <color theme="1"/>
      </font>
    </dxf>
    <dxf>
      <font>
        <color theme="1"/>
      </font>
    </dxf>
    <dxf>
      <font>
        <name val="Roboto"/>
        <scheme val="none"/>
      </font>
    </dxf>
    <dxf>
      <font>
        <name val="Roboto"/>
        <scheme val="none"/>
      </font>
    </dxf>
    <dxf>
      <font>
        <name val="Roboto"/>
        <scheme val="none"/>
      </font>
    </dxf>
    <dxf>
      <font>
        <sz val="10"/>
      </font>
    </dxf>
    <dxf>
      <font>
        <sz val="10"/>
      </font>
    </dxf>
    <dxf>
      <font>
        <sz val="10"/>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4" formatCode="0.00%"/>
    </dxf>
    <dxf>
      <font>
        <color theme="1"/>
      </font>
    </dxf>
    <dxf>
      <font>
        <color theme="1"/>
      </font>
    </dxf>
    <dxf>
      <font>
        <color theme="1"/>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numFmt numFmtId="14" formatCode="0.00%"/>
    </dxf>
    <dxf>
      <font>
        <color theme="1"/>
      </font>
    </dxf>
    <dxf>
      <font>
        <color theme="1"/>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font>
        <sz val="10"/>
        <name val="Roboto"/>
        <scheme val="none"/>
      </font>
    </dxf>
    <dxf>
      <numFmt numFmtId="14" formatCode="0.00%"/>
    </dxf>
    <dxf>
      <font>
        <sz val="10"/>
      </font>
    </dxf>
    <dxf>
      <font>
        <name val="Roboto"/>
        <scheme val="none"/>
      </font>
    </dxf>
    <dxf>
      <font>
        <color theme="1"/>
      </font>
    </dxf>
    <dxf>
      <font>
        <color theme="1"/>
      </font>
    </dxf>
    <dxf>
      <font>
        <name val="Roboto"/>
        <scheme val="none"/>
      </font>
    </dxf>
    <dxf>
      <font>
        <name val="Roboto"/>
        <scheme val="none"/>
      </font>
    </dxf>
    <dxf>
      <font>
        <name val="Roboto"/>
        <scheme val="none"/>
      </font>
    </dxf>
    <dxf>
      <font>
        <sz val="10"/>
      </font>
    </dxf>
    <dxf>
      <font>
        <sz val="10"/>
      </font>
    </dxf>
    <dxf>
      <font>
        <sz val="10"/>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3" formatCode="0%"/>
    </dxf>
    <dxf>
      <numFmt numFmtId="14" formatCode="0.00%"/>
    </dxf>
    <dxf>
      <numFmt numFmtId="165" formatCode="_(* #,##0_);_(* \(#,##0\);_(* &quot;-&quot;??_);_(@_)"/>
    </dxf>
    <dxf>
      <font>
        <name val="Roboto"/>
        <scheme val="none"/>
      </font>
    </dxf>
    <dxf>
      <font>
        <name val="Roboto"/>
        <scheme val="none"/>
      </font>
    </dxf>
    <dxf>
      <font>
        <name val="Roboto"/>
        <scheme val="none"/>
      </font>
    </dxf>
    <dxf>
      <font>
        <sz val="10"/>
      </font>
    </dxf>
    <dxf>
      <font>
        <sz val="10"/>
      </font>
    </dxf>
    <dxf>
      <font>
        <sz val="10"/>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fill>
        <patternFill patternType="solid">
          <bgColor theme="1"/>
        </patternFill>
      </fill>
    </dxf>
    <dxf>
      <font>
        <color theme="0"/>
      </font>
    </dxf>
    <dxf>
      <font>
        <sz val="10"/>
      </font>
    </dxf>
    <dxf>
      <font>
        <name val="Roboto Condensed"/>
        <scheme val="none"/>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font>
        <color theme="1"/>
      </font>
    </dxf>
    <dxf>
      <font>
        <color theme="1"/>
      </font>
    </dxf>
    <dxf>
      <font>
        <b val="0"/>
        <i val="0"/>
        <strike val="0"/>
        <condense val="0"/>
        <extend val="0"/>
        <outline val="0"/>
        <shadow val="0"/>
        <u val="none"/>
        <vertAlign val="baseline"/>
        <sz val="10"/>
        <color theme="1"/>
        <name val="Roboto"/>
        <scheme val="none"/>
      </font>
      <numFmt numFmtId="1" formatCode="0"/>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numFmt numFmtId="1" formatCode="0"/>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Roboto"/>
        <scheme val="none"/>
      </font>
      <fill>
        <patternFill patternType="solid">
          <fgColor indexed="64"/>
          <bgColor rgb="FFCC0E6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numFmt numFmtId="165" formatCode="_(* #,##0_);_(* \(#,##0\);_(* &quot;-&quot;??_);_(@_)"/>
    </dxf>
    <dxf>
      <font>
        <b val="0"/>
        <i val="0"/>
        <strike val="0"/>
        <condense val="0"/>
        <extend val="0"/>
        <outline val="0"/>
        <shadow val="0"/>
        <u val="none"/>
        <vertAlign val="baseline"/>
        <sz val="10"/>
        <color theme="1"/>
        <name val="Roboto"/>
        <scheme val="none"/>
      </font>
      <numFmt numFmtId="165" formatCode="_(* #,##0_);_(* \(#,##0\);_(* &quot;-&quot;??_);_(@_)"/>
    </dxf>
    <dxf>
      <font>
        <b val="0"/>
        <i val="0"/>
        <strike val="0"/>
        <condense val="0"/>
        <extend val="0"/>
        <outline val="0"/>
        <shadow val="0"/>
        <u val="none"/>
        <vertAlign val="baseline"/>
        <sz val="10"/>
        <color theme="1"/>
        <name val="Roboto"/>
        <scheme val="none"/>
      </font>
      <numFmt numFmtId="165" formatCode="_(* #,##0_);_(* \(#,##0\);_(* &quot;-&quot;??_);_(@_)"/>
    </dxf>
    <dxf>
      <font>
        <b val="0"/>
        <i val="0"/>
        <strike val="0"/>
        <condense val="0"/>
        <extend val="0"/>
        <outline val="0"/>
        <shadow val="0"/>
        <u val="none"/>
        <vertAlign val="baseline"/>
        <sz val="10"/>
        <color theme="1"/>
        <name val="Roboto"/>
        <scheme val="none"/>
      </font>
      <numFmt numFmtId="165" formatCode="_(* #,##0_);_(* \(#,##0\);_(* &quot;-&quot;??_);_(@_)"/>
    </dxf>
    <dxf>
      <font>
        <b val="0"/>
        <i val="0"/>
        <strike val="0"/>
        <condense val="0"/>
        <extend val="0"/>
        <outline val="0"/>
        <shadow val="0"/>
        <u val="none"/>
        <vertAlign val="baseline"/>
        <sz val="10"/>
        <color theme="1"/>
        <name val="Roboto"/>
        <scheme val="none"/>
      </font>
      <numFmt numFmtId="165" formatCode="_(* #,##0_);_(* \(#,##0\);_(* &quot;-&quot;??_);_(@_)"/>
    </dxf>
    <dxf>
      <font>
        <b val="0"/>
        <i val="0"/>
        <strike val="0"/>
        <condense val="0"/>
        <extend val="0"/>
        <outline val="0"/>
        <shadow val="0"/>
        <u val="none"/>
        <vertAlign val="baseline"/>
        <sz val="10"/>
        <color theme="1"/>
        <name val="Roboto"/>
        <scheme val="none"/>
      </font>
      <alignment horizontal="left" vertical="bottom"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border outline="0">
        <top style="thin">
          <color theme="6"/>
        </top>
      </border>
    </dxf>
    <dxf>
      <font>
        <strike val="0"/>
        <outline val="0"/>
        <shadow val="0"/>
        <u val="none"/>
        <vertAlign val="baseline"/>
        <sz val="10"/>
        <color theme="1"/>
        <name val="Roboto"/>
        <scheme val="none"/>
      </font>
    </dxf>
    <dxf>
      <border outline="0">
        <bottom style="thin">
          <color theme="6"/>
        </bottom>
      </border>
    </dxf>
    <dxf>
      <font>
        <b/>
        <i val="0"/>
        <strike val="0"/>
        <condense val="0"/>
        <extend val="0"/>
        <outline val="0"/>
        <shadow val="0"/>
        <u val="none"/>
        <vertAlign val="baseline"/>
        <sz val="11"/>
        <color theme="0"/>
        <name val="Arial"/>
        <family val="2"/>
        <scheme val="none"/>
      </font>
      <fill>
        <patternFill patternType="solid">
          <fgColor indexed="64"/>
          <bgColor rgb="FF5A2BCB"/>
        </patternFill>
      </fill>
      <alignment horizontal="center" vertical="center" textRotation="0" wrapText="0" indent="0" justifyLastLine="0" shrinkToFit="0" readingOrder="0"/>
    </dxf>
    <dxf>
      <font>
        <b/>
        <color theme="1"/>
      </font>
      <fill>
        <patternFill patternType="solid">
          <fgColor auto="1"/>
          <bgColor theme="3" tint="-0.24994659260841701"/>
        </patternFill>
      </fill>
      <border diagonalUp="0" diagonalDown="0">
        <left/>
        <right/>
        <top/>
        <bottom/>
        <vertical/>
        <horizontal/>
      </border>
    </dxf>
    <dxf>
      <font>
        <sz val="10"/>
        <color theme="1"/>
        <name val="Roboto Condensed"/>
        <scheme val="none"/>
      </font>
      <fill>
        <patternFill patternType="solid">
          <fgColor auto="1"/>
          <bgColor theme="1"/>
        </patternFill>
      </fill>
      <border diagonalUp="0" diagonalDown="0">
        <left/>
        <right/>
        <top/>
        <bottom/>
        <vertical/>
        <horizontal/>
      </border>
    </dxf>
    <dxf>
      <border>
        <top style="thin">
          <color theme="6" tint="0.79998168889431442"/>
        </top>
        <bottom style="thin">
          <color theme="6" tint="0.79998168889431442"/>
        </bottom>
      </border>
    </dxf>
    <dxf>
      <border>
        <top style="thin">
          <color theme="6" tint="0.79998168889431442"/>
        </top>
        <bottom style="thin">
          <color theme="6" tint="0.79998168889431442"/>
        </bottom>
      </border>
    </dxf>
    <dxf>
      <fill>
        <patternFill patternType="solid">
          <fgColor theme="6" tint="0.79998168889431442"/>
          <bgColor theme="6" tint="0.79998168889431442"/>
        </patternFill>
      </fill>
      <border>
        <bottom style="thin">
          <color theme="6"/>
        </bottom>
      </border>
    </dxf>
    <dxf>
      <font>
        <color theme="0"/>
      </font>
      <fill>
        <patternFill patternType="solid">
          <fgColor theme="6" tint="0.39997558519241921"/>
          <bgColor theme="6" tint="0.39997558519241921"/>
        </patternFill>
      </fill>
      <border>
        <bottom style="thin">
          <color theme="6" tint="0.79998168889431442"/>
        </bottom>
        <horizontal style="thin">
          <color theme="6" tint="0.39997558519241921"/>
        </horizontal>
      </border>
    </dxf>
    <dxf>
      <border>
        <bottom style="thin">
          <color theme="6" tint="0.59999389629810485"/>
        </bottom>
      </border>
    </dxf>
    <dxf>
      <font>
        <b/>
        <color theme="1"/>
      </font>
      <fill>
        <patternFill patternType="solid">
          <fgColor theme="0" tint="-0.14999847407452621"/>
          <bgColor theme="0" tint="-0.14999847407452621"/>
        </patternFill>
      </fill>
    </dxf>
    <dxf>
      <font>
        <b/>
        <color theme="0"/>
      </font>
      <fill>
        <patternFill patternType="solid">
          <fgColor theme="6" tint="0.39997558519241921"/>
          <bgColor theme="6" tint="0.39997558519241921"/>
        </patternFill>
      </fill>
    </dxf>
    <dxf>
      <font>
        <b/>
        <color theme="0"/>
      </font>
    </dxf>
    <dxf>
      <border>
        <left style="thin">
          <color theme="6" tint="-0.249977111117893"/>
        </left>
        <right style="thin">
          <color theme="6" tint="-0.249977111117893"/>
        </right>
      </border>
    </dxf>
    <dxf>
      <border>
        <top style="thin">
          <color theme="6" tint="-0.249977111117893"/>
        </top>
        <bottom style="thin">
          <color theme="6" tint="-0.249977111117893"/>
        </bottom>
        <horizontal style="thin">
          <color theme="6" tint="-0.249977111117893"/>
        </horizontal>
      </border>
    </dxf>
    <dxf>
      <font>
        <b/>
        <color theme="1"/>
      </font>
      <border>
        <top style="double">
          <color theme="6" tint="-0.249977111117893"/>
        </top>
      </border>
    </dxf>
    <dxf>
      <font>
        <color theme="0"/>
      </font>
      <fill>
        <patternFill patternType="solid">
          <fgColor rgb="FF8989BC"/>
          <bgColor theme="6" tint="-0.249977111117893"/>
        </patternFill>
      </fill>
      <border>
        <horizontal style="thin">
          <color theme="6" tint="-0.249977111117893"/>
        </horizontal>
      </border>
    </dxf>
    <dxf>
      <font>
        <color theme="1"/>
      </font>
      <border>
        <horizontal style="thin">
          <color theme="6" tint="0.79998168889431442"/>
        </horizontal>
      </border>
    </dxf>
    <dxf>
      <fill>
        <patternFill patternType="solid">
          <fgColor rgb="FFD9E2F3"/>
          <bgColor rgb="FFD9E2F3"/>
        </patternFill>
      </fill>
    </dxf>
    <dxf>
      <fill>
        <patternFill patternType="solid">
          <fgColor rgb="FFECECEC"/>
          <bgColor rgb="FFECECEC"/>
        </patternFill>
      </fill>
    </dxf>
    <dxf>
      <fill>
        <patternFill patternType="solid">
          <fgColor theme="0"/>
          <bgColor theme="0"/>
        </patternFill>
      </fill>
    </dxf>
  </dxfs>
  <tableStyles count="3" defaultTableStyle="TableStyleMedium2" defaultPivotStyle="PivotStyleLight16">
    <tableStyle name="Data Tables-style" pivot="0" count="3" xr9:uid="{813928FB-BBB6-45CD-AAC4-0AFD286487DC}">
      <tableStyleElement type="headerRow" dxfId="273"/>
      <tableStyleElement type="firstRowStripe" dxfId="272"/>
      <tableStyleElement type="secondRowStripe" dxfId="271"/>
    </tableStyle>
    <tableStyle name="PivotStyleMedium4 2" table="0" count="13" xr9:uid="{FB926C91-FE76-4EA3-9571-7594AA2C6406}">
      <tableStyleElement type="wholeTable" dxfId="270"/>
      <tableStyleElement type="headerRow" dxfId="269"/>
      <tableStyleElement type="totalRow" dxfId="268"/>
      <tableStyleElement type="firstRowStripe" dxfId="267"/>
      <tableStyleElement type="firstColumnStripe" dxfId="266"/>
      <tableStyleElement type="firstHeaderCell" dxfId="265"/>
      <tableStyleElement type="firstSubtotalRow" dxfId="264"/>
      <tableStyleElement type="secondSubtotalRow" dxfId="263"/>
      <tableStyleElement type="firstColumnSubheading" dxfId="262"/>
      <tableStyleElement type="firstRowSubheading" dxfId="261"/>
      <tableStyleElement type="secondRowSubheading" dxfId="260"/>
      <tableStyleElement type="pageFieldLabels" dxfId="259"/>
      <tableStyleElement type="pageFieldValues" dxfId="258"/>
    </tableStyle>
    <tableStyle name="SlicerStyleDark3 2" pivot="0" table="0" count="10" xr9:uid="{121FABF3-A958-D640-8CBA-0DEC14FEA7B5}">
      <tableStyleElement type="wholeTable" dxfId="257"/>
      <tableStyleElement type="headerRow" dxfId="256"/>
    </tableStyle>
  </tableStyles>
  <colors>
    <mruColors>
      <color rgb="FF00F1DF"/>
      <color rgb="FF194AFE"/>
      <color rgb="FFC240D8"/>
      <color rgb="FFFF6C8F"/>
      <color rgb="FF9947F7"/>
      <color rgb="FF013220"/>
      <color rgb="FFC23FD8"/>
      <color rgb="FF5A097C"/>
      <color rgb="FF296EFC"/>
      <color rgb="FF5063F3"/>
    </mruColors>
  </colors>
  <extLst>
    <ext xmlns:x14="http://schemas.microsoft.com/office/spreadsheetml/2009/9/main" uri="{46F421CA-312F-682f-3DD2-61675219B42D}">
      <x14:dxfs count="8">
        <dxf>
          <font>
            <b val="0"/>
            <i val="0"/>
            <sz val="11"/>
            <color rgb="FF000000"/>
            <name val="Roboto Condensed"/>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1"/>
            <color rgb="FF000000"/>
            <name val="Roboto Condensed"/>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1"/>
            <color rgb="FF0B1231"/>
            <name val="Roboto Condensed"/>
            <scheme val="none"/>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b val="0"/>
            <i val="0"/>
            <sz val="11"/>
            <color rgb="FF0B1231"/>
            <name val="Roboto Condensed"/>
            <scheme val="none"/>
          </font>
          <fill>
            <patternFill patternType="solid">
              <fgColor auto="1"/>
              <bgColor theme="0"/>
            </patternFill>
          </fill>
          <border diagonalUp="0" diagonalDown="0">
            <left/>
            <right/>
            <top/>
            <bottom/>
            <vertical/>
            <horizontal/>
          </border>
        </dxf>
        <dxf>
          <font>
            <sz val="11"/>
            <color theme="0" tint="-0.24994659260841701"/>
            <name val="Roboto Condensed"/>
            <scheme val="none"/>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b val="0"/>
            <i val="0"/>
            <sz val="11"/>
            <color rgb="FF0B1231"/>
            <name val="Roboto Condensed"/>
            <scheme val="none"/>
          </font>
          <fill>
            <patternFill patternType="solid">
              <fgColor theme="6"/>
              <bgColor theme="0"/>
            </patternFill>
          </fill>
          <border diagonalUp="0" diagonalDown="0">
            <left/>
            <right/>
            <top/>
            <bottom/>
            <vertical/>
            <horizontal/>
          </border>
        </dxf>
        <dxf>
          <font>
            <sz val="11"/>
            <color rgb="FF959595"/>
            <name val="Roboto Condensed"/>
            <scheme val="none"/>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b val="0"/>
            <i val="0"/>
            <sz val="11"/>
            <color theme="0"/>
            <name val="Roboto Condensed"/>
            <scheme val="none"/>
          </font>
          <fill>
            <gradientFill degree="90">
              <stop position="0">
                <color rgb="FF080E26"/>
              </stop>
              <stop position="1">
                <color rgb="FF080E26"/>
              </stop>
            </gradient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Dark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71207844302482"/>
          <c:y val="9.7287922026824444E-2"/>
          <c:w val="0.80086515129005098"/>
          <c:h val="0.80542415594635108"/>
        </c:manualLayout>
      </c:layout>
      <c:doughnutChart>
        <c:varyColors val="1"/>
        <c:ser>
          <c:idx val="0"/>
          <c:order val="0"/>
          <c:spPr>
            <a:gradFill flip="none" rotWithShape="1">
              <a:gsLst>
                <a:gs pos="61000">
                  <a:srgbClr val="9947F7"/>
                </a:gs>
                <a:gs pos="0">
                  <a:srgbClr val="DC25FA"/>
                </a:gs>
              </a:gsLst>
              <a:lin ang="5400000" scaled="0"/>
              <a:tileRect/>
            </a:gradFill>
            <a:ln w="146050">
              <a:solidFill>
                <a:schemeClr val="tx1"/>
              </a:solidFill>
            </a:ln>
          </c:spPr>
          <c:dPt>
            <c:idx val="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1-523A-4D96-BD59-48F74087D882}"/>
              </c:ext>
            </c:extLst>
          </c:dPt>
          <c:dPt>
            <c:idx val="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3-523A-4D96-BD59-48F74087D882}"/>
              </c:ext>
            </c:extLst>
          </c:dPt>
          <c:dPt>
            <c:idx val="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5-523A-4D96-BD59-48F74087D882}"/>
              </c:ext>
            </c:extLst>
          </c:dPt>
          <c:dPt>
            <c:idx val="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7-523A-4D96-BD59-48F74087D882}"/>
              </c:ext>
            </c:extLst>
          </c:dPt>
          <c:dPt>
            <c:idx val="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9-523A-4D96-BD59-48F74087D882}"/>
              </c:ext>
            </c:extLst>
          </c:dPt>
          <c:dPt>
            <c:idx val="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B-523A-4D96-BD59-48F74087D882}"/>
              </c:ext>
            </c:extLst>
          </c:dPt>
          <c:dPt>
            <c:idx val="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D-523A-4D96-BD59-48F74087D882}"/>
              </c:ext>
            </c:extLst>
          </c:dPt>
          <c:dPt>
            <c:idx val="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F-523A-4D96-BD59-48F74087D882}"/>
              </c:ext>
            </c:extLst>
          </c:dPt>
          <c:dPt>
            <c:idx val="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1-523A-4D96-BD59-48F74087D882}"/>
              </c:ext>
            </c:extLst>
          </c:dPt>
          <c:dPt>
            <c:idx val="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3-523A-4D96-BD59-48F74087D882}"/>
              </c:ext>
            </c:extLst>
          </c:dPt>
          <c:dPt>
            <c:idx val="1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5-523A-4D96-BD59-48F74087D882}"/>
              </c:ext>
            </c:extLst>
          </c:dPt>
          <c:dPt>
            <c:idx val="1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7-523A-4D96-BD59-48F74087D882}"/>
              </c:ext>
            </c:extLst>
          </c:dPt>
          <c:dPt>
            <c:idx val="1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9-523A-4D96-BD59-48F74087D882}"/>
              </c:ext>
            </c:extLst>
          </c:dPt>
          <c:dPt>
            <c:idx val="1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B-523A-4D96-BD59-48F74087D882}"/>
              </c:ext>
            </c:extLst>
          </c:dPt>
          <c:dPt>
            <c:idx val="1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D-523A-4D96-BD59-48F74087D882}"/>
              </c:ext>
            </c:extLst>
          </c:dPt>
          <c:dPt>
            <c:idx val="1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F-523A-4D96-BD59-48F74087D882}"/>
              </c:ext>
            </c:extLst>
          </c:dPt>
          <c:dPt>
            <c:idx val="1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1-523A-4D96-BD59-48F74087D882}"/>
              </c:ext>
            </c:extLst>
          </c:dPt>
          <c:dPt>
            <c:idx val="1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3-523A-4D96-BD59-48F74087D882}"/>
              </c:ext>
            </c:extLst>
          </c:dPt>
          <c:dPt>
            <c:idx val="1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5-523A-4D96-BD59-48F74087D882}"/>
              </c:ext>
            </c:extLst>
          </c:dPt>
          <c:dPt>
            <c:idx val="1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7-523A-4D96-BD59-48F74087D882}"/>
              </c:ext>
            </c:extLst>
          </c:dPt>
          <c:dPt>
            <c:idx val="2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9-523A-4D96-BD59-48F74087D882}"/>
              </c:ext>
            </c:extLst>
          </c:dPt>
          <c:dPt>
            <c:idx val="2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B-523A-4D96-BD59-48F74087D882}"/>
              </c:ext>
            </c:extLst>
          </c:dPt>
          <c:dPt>
            <c:idx val="2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D-523A-4D96-BD59-48F74087D882}"/>
              </c:ext>
            </c:extLst>
          </c:dPt>
          <c:dPt>
            <c:idx val="2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F-523A-4D96-BD59-48F74087D882}"/>
              </c:ext>
            </c:extLst>
          </c:dPt>
          <c:dPt>
            <c:idx val="2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1-523A-4D96-BD59-48F74087D882}"/>
              </c:ext>
            </c:extLst>
          </c:dPt>
          <c:dPt>
            <c:idx val="2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3-523A-4D96-BD59-48F74087D882}"/>
              </c:ext>
            </c:extLst>
          </c:dPt>
          <c:dPt>
            <c:idx val="2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5-523A-4D96-BD59-48F74087D882}"/>
              </c:ext>
            </c:extLst>
          </c:dPt>
          <c:dPt>
            <c:idx val="2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7-523A-4D96-BD59-48F74087D882}"/>
              </c:ext>
            </c:extLst>
          </c:dPt>
          <c:dPt>
            <c:idx val="2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9-523A-4D96-BD59-48F74087D882}"/>
              </c:ext>
            </c:extLst>
          </c:dPt>
          <c:dPt>
            <c:idx val="2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B-523A-4D96-BD59-48F74087D882}"/>
              </c:ext>
            </c:extLst>
          </c:dPt>
          <c:dPt>
            <c:idx val="3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D-523A-4D96-BD59-48F74087D882}"/>
              </c:ext>
            </c:extLst>
          </c:dPt>
          <c:dPt>
            <c:idx val="3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F-523A-4D96-BD59-48F74087D882}"/>
              </c:ext>
            </c:extLst>
          </c:dPt>
          <c:dPt>
            <c:idx val="3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1-523A-4D96-BD59-48F74087D882}"/>
              </c:ext>
            </c:extLst>
          </c:dPt>
          <c:dPt>
            <c:idx val="3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3-523A-4D96-BD59-48F74087D882}"/>
              </c:ext>
            </c:extLst>
          </c:dPt>
          <c:dPt>
            <c:idx val="3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5-523A-4D96-BD59-48F74087D882}"/>
              </c:ext>
            </c:extLst>
          </c:dPt>
          <c:dPt>
            <c:idx val="3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7-523A-4D96-BD59-48F74087D882}"/>
              </c:ext>
            </c:extLst>
          </c:dPt>
          <c:dPt>
            <c:idx val="3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9-523A-4D96-BD59-48F74087D882}"/>
              </c:ext>
            </c:extLst>
          </c:dPt>
          <c:dPt>
            <c:idx val="3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B-523A-4D96-BD59-48F74087D882}"/>
              </c:ext>
            </c:extLst>
          </c:dPt>
          <c:dPt>
            <c:idx val="3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D-523A-4D96-BD59-48F74087D882}"/>
              </c:ext>
            </c:extLst>
          </c:dPt>
          <c:dPt>
            <c:idx val="3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F-523A-4D96-BD59-48F74087D882}"/>
              </c:ext>
            </c:extLst>
          </c:dPt>
          <c:dPt>
            <c:idx val="4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1-523A-4D96-BD59-48F74087D882}"/>
              </c:ext>
            </c:extLst>
          </c:dPt>
          <c:dPt>
            <c:idx val="4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3-523A-4D96-BD59-48F74087D882}"/>
              </c:ext>
            </c:extLst>
          </c:dPt>
          <c:dPt>
            <c:idx val="4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5-523A-4D96-BD59-48F74087D882}"/>
              </c:ext>
            </c:extLst>
          </c:dPt>
          <c:dPt>
            <c:idx val="4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7-523A-4D96-BD59-48F74087D882}"/>
              </c:ext>
            </c:extLst>
          </c:dPt>
          <c:dPt>
            <c:idx val="4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9-523A-4D96-BD59-48F74087D882}"/>
              </c:ext>
            </c:extLst>
          </c:dPt>
          <c:dPt>
            <c:idx val="4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B-523A-4D96-BD59-48F74087D882}"/>
              </c:ext>
            </c:extLst>
          </c:dPt>
          <c:dPt>
            <c:idx val="4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D-523A-4D96-BD59-48F74087D882}"/>
              </c:ext>
            </c:extLst>
          </c:dPt>
          <c:dPt>
            <c:idx val="4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F-523A-4D96-BD59-48F74087D882}"/>
              </c:ext>
            </c:extLst>
          </c:dPt>
          <c:dPt>
            <c:idx val="4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1-523A-4D96-BD59-48F74087D882}"/>
              </c:ext>
            </c:extLst>
          </c:dPt>
          <c:dPt>
            <c:idx val="4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3-523A-4D96-BD59-48F74087D882}"/>
              </c:ext>
            </c:extLst>
          </c:dPt>
          <c:dPt>
            <c:idx val="5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5-523A-4D96-BD59-48F74087D882}"/>
              </c:ext>
            </c:extLst>
          </c:dPt>
          <c:dPt>
            <c:idx val="5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7-523A-4D96-BD59-48F74087D882}"/>
              </c:ext>
            </c:extLst>
          </c:dPt>
          <c:dPt>
            <c:idx val="5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9-523A-4D96-BD59-48F74087D882}"/>
              </c:ext>
            </c:extLst>
          </c:dPt>
          <c:dPt>
            <c:idx val="5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B-523A-4D96-BD59-48F74087D882}"/>
              </c:ext>
            </c:extLst>
          </c:dPt>
          <c:dPt>
            <c:idx val="5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D-523A-4D96-BD59-48F74087D882}"/>
              </c:ext>
            </c:extLst>
          </c:dPt>
          <c:dPt>
            <c:idx val="5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F-523A-4D96-BD59-48F74087D882}"/>
              </c:ext>
            </c:extLst>
          </c:dPt>
          <c:dPt>
            <c:idx val="5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71-523A-4D96-BD59-48F74087D882}"/>
              </c:ext>
            </c:extLst>
          </c:dPt>
          <c:dPt>
            <c:idx val="5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73-523A-4D96-BD59-48F74087D882}"/>
              </c:ext>
            </c:extLst>
          </c:dPt>
          <c:val>
            <c:numLit>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Lit>
          </c:val>
          <c:extLst>
            <c:ext xmlns:c16="http://schemas.microsoft.com/office/drawing/2014/chart" uri="{C3380CC4-5D6E-409C-BE32-E72D297353CC}">
              <c16:uniqueId val="{00000074-523A-4D96-BD59-48F74087D882}"/>
            </c:ext>
          </c:extLst>
        </c:ser>
        <c:dLbls>
          <c:showLegendKey val="0"/>
          <c:showVal val="0"/>
          <c:showCatName val="0"/>
          <c:showSerName val="0"/>
          <c:showPercent val="0"/>
          <c:showBubbleSize val="0"/>
          <c:showLeaderLines val="1"/>
        </c:dLbls>
        <c:firstSliceAng val="0"/>
        <c:holeSize val="75"/>
      </c:doughnutChart>
      <c:doughnutChart>
        <c:varyColors val="1"/>
        <c:ser>
          <c:idx val="1"/>
          <c:order val="1"/>
          <c:tx>
            <c:v>Percentage</c:v>
          </c:tx>
          <c:spPr>
            <a:ln>
              <a:noFill/>
            </a:ln>
          </c:spPr>
          <c:dPt>
            <c:idx val="0"/>
            <c:bubble3D val="0"/>
            <c:spPr>
              <a:solidFill>
                <a:srgbClr val="9BF8F2">
                  <a:alpha val="0"/>
                </a:srgbClr>
              </a:solidFill>
              <a:ln w="19050">
                <a:noFill/>
              </a:ln>
              <a:effectLst/>
            </c:spPr>
            <c:extLst>
              <c:ext xmlns:c16="http://schemas.microsoft.com/office/drawing/2014/chart" uri="{C3380CC4-5D6E-409C-BE32-E72D297353CC}">
                <c16:uniqueId val="{00000076-523A-4D96-BD59-48F74087D882}"/>
              </c:ext>
            </c:extLst>
          </c:dPt>
          <c:dPt>
            <c:idx val="1"/>
            <c:bubble3D val="0"/>
            <c:spPr>
              <a:solidFill>
                <a:schemeClr val="tx1">
                  <a:alpha val="72000"/>
                </a:schemeClr>
              </a:solidFill>
              <a:ln w="19050">
                <a:noFill/>
              </a:ln>
              <a:effectLst/>
            </c:spPr>
            <c:extLst>
              <c:ext xmlns:c16="http://schemas.microsoft.com/office/drawing/2014/chart" uri="{C3380CC4-5D6E-409C-BE32-E72D297353CC}">
                <c16:uniqueId val="{00000078-523A-4D96-BD59-48F74087D882}"/>
              </c:ext>
            </c:extLst>
          </c:dPt>
          <c:val>
            <c:numRef>
              <c:f>Pivottables!$Y$6:$Z$6</c:f>
              <c:numCache>
                <c:formatCode>0%</c:formatCode>
                <c:ptCount val="2"/>
                <c:pt idx="0">
                  <c:v>0.87410172384530105</c:v>
                </c:pt>
                <c:pt idx="1">
                  <c:v>0.12589827615469895</c:v>
                </c:pt>
              </c:numCache>
            </c:numRef>
          </c:val>
          <c:extLst>
            <c:ext xmlns:c16="http://schemas.microsoft.com/office/drawing/2014/chart" uri="{C3380CC4-5D6E-409C-BE32-E72D297353CC}">
              <c16:uniqueId val="{00000079-523A-4D96-BD59-48F74087D88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Dashboard Systems Finals.xlsm]Pivottables!PivotTable3</c:name>
    <c:fmtId val="4"/>
  </c:pivotSource>
  <c:chart>
    <c:autoTitleDeleted val="0"/>
    <c:pivotFmts>
      <c:pivotFmt>
        <c:idx val="0"/>
        <c:spPr>
          <a:gradFill flip="none" rotWithShape="1">
            <a:gsLst>
              <a:gs pos="31000">
                <a:srgbClr val="194AFE"/>
              </a:gs>
              <a:gs pos="100000">
                <a:schemeClr val="tx1"/>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31000">
                <a:srgbClr val="194AFE"/>
              </a:gs>
              <a:gs pos="100000">
                <a:schemeClr val="tx1"/>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31000">
                <a:srgbClr val="194AFE">
                  <a:alpha val="81000"/>
                </a:srgbClr>
              </a:gs>
              <a:gs pos="100000">
                <a:srgbClr val="194AFE">
                  <a:alpha val="0"/>
                </a:srgbClr>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270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Pivottables!$AE$5</c:f>
              <c:strCache>
                <c:ptCount val="1"/>
                <c:pt idx="0">
                  <c:v>Sum of Income</c:v>
                </c:pt>
              </c:strCache>
            </c:strRef>
          </c:tx>
          <c:spPr>
            <a:gradFill flip="none" rotWithShape="1">
              <a:gsLst>
                <a:gs pos="31000">
                  <a:srgbClr val="194AFE">
                    <a:alpha val="81000"/>
                  </a:srgbClr>
                </a:gs>
                <a:gs pos="100000">
                  <a:srgbClr val="194AFE">
                    <a:alpha val="0"/>
                  </a:srgbClr>
                </a:gs>
              </a:gsLst>
              <a:lin ang="5400000" scaled="0"/>
              <a:tileRect/>
            </a:gradFill>
            <a:ln>
              <a:noFill/>
            </a:ln>
            <a:effectLst/>
          </c:spPr>
          <c:cat>
            <c:strRef>
              <c:f>Pivottables!$AD$6:$AD$18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Pivottables!$AE$6:$AE$18</c:f>
              <c:numCache>
                <c:formatCode>_(* #,##0_);_(* \(#,##0\);_(* "-"??_);_(@_)</c:formatCode>
                <c:ptCount val="12"/>
                <c:pt idx="0">
                  <c:v>352630.74000000005</c:v>
                </c:pt>
                <c:pt idx="1">
                  <c:v>320228.30000000005</c:v>
                </c:pt>
                <c:pt idx="2">
                  <c:v>318928</c:v>
                </c:pt>
                <c:pt idx="3">
                  <c:v>338553.7</c:v>
                </c:pt>
                <c:pt idx="4">
                  <c:v>330065.99999999994</c:v>
                </c:pt>
                <c:pt idx="5">
                  <c:v>319548.3</c:v>
                </c:pt>
                <c:pt idx="6">
                  <c:v>315915.8</c:v>
                </c:pt>
                <c:pt idx="7">
                  <c:v>327116.43</c:v>
                </c:pt>
                <c:pt idx="8">
                  <c:v>325310.86500000005</c:v>
                </c:pt>
                <c:pt idx="9">
                  <c:v>333009.73000000004</c:v>
                </c:pt>
                <c:pt idx="10">
                  <c:v>350094.08000000002</c:v>
                </c:pt>
                <c:pt idx="11">
                  <c:v>315915.8</c:v>
                </c:pt>
              </c:numCache>
            </c:numRef>
          </c:val>
          <c:extLst>
            <c:ext xmlns:c16="http://schemas.microsoft.com/office/drawing/2014/chart" uri="{C3380CC4-5D6E-409C-BE32-E72D297353CC}">
              <c16:uniqueId val="{00000000-B2E4-486A-9BC4-71DBD00E9F58}"/>
            </c:ext>
          </c:extLst>
        </c:ser>
        <c:dLbls>
          <c:showLegendKey val="0"/>
          <c:showVal val="0"/>
          <c:showCatName val="0"/>
          <c:showSerName val="0"/>
          <c:showPercent val="0"/>
          <c:showBubbleSize val="0"/>
        </c:dLbls>
        <c:axId val="1302427216"/>
        <c:axId val="1302416400"/>
      </c:areaChart>
      <c:lineChart>
        <c:grouping val="standard"/>
        <c:varyColors val="0"/>
        <c:ser>
          <c:idx val="1"/>
          <c:order val="1"/>
          <c:tx>
            <c:strRef>
              <c:f>Pivottables!$AF$5</c:f>
              <c:strCache>
                <c:ptCount val="1"/>
                <c:pt idx="0">
                  <c:v>Sum of Income2</c:v>
                </c:pt>
              </c:strCache>
            </c:strRef>
          </c:tx>
          <c:spPr>
            <a:ln w="12700" cap="rnd">
              <a:solidFill>
                <a:srgbClr val="194AFE"/>
              </a:solidFill>
              <a:round/>
            </a:ln>
            <a:effectLst/>
          </c:spPr>
          <c:marker>
            <c:symbol val="none"/>
          </c:marker>
          <c:cat>
            <c:strRef>
              <c:f>Pivottables!$AD$6:$AD$18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Pivottables!$AF$6:$AF$18</c:f>
              <c:numCache>
                <c:formatCode>General</c:formatCode>
                <c:ptCount val="12"/>
                <c:pt idx="0">
                  <c:v>352630.74000000005</c:v>
                </c:pt>
                <c:pt idx="1">
                  <c:v>320228.30000000005</c:v>
                </c:pt>
                <c:pt idx="2">
                  <c:v>318928</c:v>
                </c:pt>
                <c:pt idx="3">
                  <c:v>338553.7</c:v>
                </c:pt>
                <c:pt idx="4">
                  <c:v>330065.99999999994</c:v>
                </c:pt>
                <c:pt idx="5">
                  <c:v>319548.3</c:v>
                </c:pt>
                <c:pt idx="6">
                  <c:v>315915.8</c:v>
                </c:pt>
                <c:pt idx="7">
                  <c:v>327116.43</c:v>
                </c:pt>
                <c:pt idx="8">
                  <c:v>325310.86500000005</c:v>
                </c:pt>
                <c:pt idx="9">
                  <c:v>333009.73000000004</c:v>
                </c:pt>
                <c:pt idx="10">
                  <c:v>350094.08000000002</c:v>
                </c:pt>
                <c:pt idx="11">
                  <c:v>315915.8</c:v>
                </c:pt>
              </c:numCache>
            </c:numRef>
          </c:val>
          <c:smooth val="0"/>
          <c:extLst>
            <c:ext xmlns:c16="http://schemas.microsoft.com/office/drawing/2014/chart" uri="{C3380CC4-5D6E-409C-BE32-E72D297353CC}">
              <c16:uniqueId val="{00000001-B2E4-486A-9BC4-71DBD00E9F58}"/>
            </c:ext>
          </c:extLst>
        </c:ser>
        <c:dLbls>
          <c:showLegendKey val="0"/>
          <c:showVal val="0"/>
          <c:showCatName val="0"/>
          <c:showSerName val="0"/>
          <c:showPercent val="0"/>
          <c:showBubbleSize val="0"/>
        </c:dLbls>
        <c:marker val="1"/>
        <c:smooth val="0"/>
        <c:axId val="1302427216"/>
        <c:axId val="1302416400"/>
      </c:lineChart>
      <c:catAx>
        <c:axId val="130242721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crossAx val="1302416400"/>
        <c:crosses val="autoZero"/>
        <c:auto val="1"/>
        <c:lblAlgn val="ctr"/>
        <c:lblOffset val="100"/>
        <c:noMultiLvlLbl val="0"/>
      </c:catAx>
      <c:valAx>
        <c:axId val="1302416400"/>
        <c:scaling>
          <c:orientation val="minMax"/>
        </c:scaling>
        <c:delete val="1"/>
        <c:axPos val="l"/>
        <c:numFmt formatCode="_(* #,##0_);_(* \(#,##0\);_(* &quot;-&quot;??_);_(@_)" sourceLinked="1"/>
        <c:majorTickMark val="none"/>
        <c:minorTickMark val="none"/>
        <c:tickLblPos val="nextTo"/>
        <c:crossAx val="1302427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latin typeface="Roboto condensed" panose="02000000000000000000" pitchFamily="2" charset="0"/>
          <a:ea typeface="Roboto condensed"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Dashboard Systems Finals.xlsm]Pivottables!PivotTable6</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27000">
                <a:srgbClr val="9BF8F2">
                  <a:alpha val="80784"/>
                </a:srgbClr>
              </a:gs>
              <a:gs pos="81000">
                <a:srgbClr val="C240D8">
                  <a:alpha val="0"/>
                </a:srgbClr>
              </a:gs>
            </a:gsLst>
            <a:lin ang="27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Pivottables!$AL$5</c:f>
              <c:strCache>
                <c:ptCount val="1"/>
                <c:pt idx="0">
                  <c:v>Total</c:v>
                </c:pt>
              </c:strCache>
            </c:strRef>
          </c:tx>
          <c:spPr>
            <a:gradFill flip="none" rotWithShape="1">
              <a:gsLst>
                <a:gs pos="27000">
                  <a:srgbClr val="9BF8F2">
                    <a:alpha val="80784"/>
                  </a:srgbClr>
                </a:gs>
                <a:gs pos="81000">
                  <a:srgbClr val="C240D8">
                    <a:alpha val="0"/>
                  </a:srgbClr>
                </a:gs>
              </a:gsLst>
              <a:lin ang="2700000" scaled="0"/>
              <a:tileRect/>
            </a:gradFill>
            <a:ln>
              <a:noFill/>
            </a:ln>
            <a:effectLst/>
          </c:spPr>
          <c:invertIfNegative val="0"/>
          <c:cat>
            <c:strRef>
              <c:f>Pivottables!$AK$6:$AK$18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Pivottables!$AL$6:$AL$18</c:f>
              <c:numCache>
                <c:formatCode>General</c:formatCode>
                <c:ptCount val="12"/>
                <c:pt idx="0">
                  <c:v>70526.14800000003</c:v>
                </c:pt>
                <c:pt idx="1">
                  <c:v>64045.66</c:v>
                </c:pt>
                <c:pt idx="2">
                  <c:v>63785.600000000013</c:v>
                </c:pt>
                <c:pt idx="3">
                  <c:v>67710.74000000002</c:v>
                </c:pt>
                <c:pt idx="4">
                  <c:v>66013.2</c:v>
                </c:pt>
                <c:pt idx="5">
                  <c:v>63909.660000000011</c:v>
                </c:pt>
                <c:pt idx="6">
                  <c:v>63183.160000000011</c:v>
                </c:pt>
                <c:pt idx="7">
                  <c:v>65423.286</c:v>
                </c:pt>
                <c:pt idx="8">
                  <c:v>65062.173000000003</c:v>
                </c:pt>
                <c:pt idx="9">
                  <c:v>66601.945999999996</c:v>
                </c:pt>
                <c:pt idx="10">
                  <c:v>70018.816000000021</c:v>
                </c:pt>
                <c:pt idx="11">
                  <c:v>63183.160000000011</c:v>
                </c:pt>
              </c:numCache>
            </c:numRef>
          </c:val>
          <c:extLst>
            <c:ext xmlns:c16="http://schemas.microsoft.com/office/drawing/2014/chart" uri="{C3380CC4-5D6E-409C-BE32-E72D297353CC}">
              <c16:uniqueId val="{00000000-88BE-4B92-8C49-E81758475B9F}"/>
            </c:ext>
          </c:extLst>
        </c:ser>
        <c:dLbls>
          <c:showLegendKey val="0"/>
          <c:showVal val="0"/>
          <c:showCatName val="0"/>
          <c:showSerName val="0"/>
          <c:showPercent val="0"/>
          <c:showBubbleSize val="0"/>
        </c:dLbls>
        <c:gapWidth val="230"/>
        <c:axId val="1304587360"/>
        <c:axId val="1304584864"/>
      </c:barChart>
      <c:catAx>
        <c:axId val="1304587360"/>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crossAx val="1304584864"/>
        <c:crosses val="autoZero"/>
        <c:auto val="1"/>
        <c:lblAlgn val="ctr"/>
        <c:lblOffset val="100"/>
        <c:noMultiLvlLbl val="0"/>
      </c:catAx>
      <c:valAx>
        <c:axId val="1304584864"/>
        <c:scaling>
          <c:orientation val="minMax"/>
        </c:scaling>
        <c:delete val="1"/>
        <c:axPos val="b"/>
        <c:numFmt formatCode="General" sourceLinked="1"/>
        <c:majorTickMark val="none"/>
        <c:minorTickMark val="none"/>
        <c:tickLblPos val="nextTo"/>
        <c:crossAx val="1304587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Dashboard Systems Finals.xlsm]Pivottables!PivotTable7</c:name>
    <c:fmtId val="21"/>
  </c:pivotSource>
  <c:chart>
    <c:autoTitleDeleted val="0"/>
    <c:pivotFmts>
      <c:pivotFmt>
        <c:idx val="0"/>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94AFE"/>
          </a:solidFill>
          <a:ln w="19050">
            <a:solidFill>
              <a:schemeClr val="tx1"/>
            </a:solidFill>
          </a:ln>
          <a:effectLst/>
        </c:spPr>
      </c:pivotFmt>
      <c:pivotFmt>
        <c:idx val="3"/>
        <c:spPr>
          <a:solidFill>
            <a:srgbClr val="194AFE"/>
          </a:solidFill>
          <a:ln w="19050">
            <a:solidFill>
              <a:schemeClr val="tx1"/>
            </a:solidFill>
          </a:ln>
          <a:effectLst/>
        </c:spPr>
      </c:pivotFmt>
      <c:pivotFmt>
        <c:idx val="4"/>
        <c:spPr>
          <a:solidFill>
            <a:srgbClr val="9BF8F2"/>
          </a:solidFill>
          <a:ln w="19050">
            <a:solidFill>
              <a:schemeClr val="tx1"/>
            </a:solidFill>
          </a:ln>
          <a:effectLst/>
        </c:spPr>
      </c:pivotFmt>
      <c:pivotFmt>
        <c:idx val="5"/>
        <c:spPr>
          <a:solidFill>
            <a:srgbClr val="9BF8F2"/>
          </a:solidFill>
          <a:ln w="19050">
            <a:solidFill>
              <a:schemeClr val="tx1"/>
            </a:solidFill>
          </a:ln>
          <a:effectLst/>
        </c:spPr>
      </c:pivotFmt>
      <c:pivotFmt>
        <c:idx val="6"/>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194AFE"/>
          </a:solidFill>
          <a:ln w="19050">
            <a:solidFill>
              <a:schemeClr val="tx1"/>
            </a:solidFill>
          </a:ln>
          <a:effectLst/>
        </c:spPr>
      </c:pivotFmt>
      <c:pivotFmt>
        <c:idx val="8"/>
        <c:spPr>
          <a:solidFill>
            <a:srgbClr val="9BF8F2"/>
          </a:solidFill>
          <a:ln w="19050">
            <a:solidFill>
              <a:schemeClr val="tx1"/>
            </a:solidFill>
          </a:ln>
          <a:effectLst/>
        </c:spPr>
      </c:pivotFmt>
      <c:pivotFmt>
        <c:idx val="9"/>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194AFE"/>
          </a:solidFill>
          <a:ln w="19050">
            <a:solidFill>
              <a:schemeClr val="tx1"/>
            </a:solidFill>
          </a:ln>
          <a:effectLst/>
        </c:spPr>
      </c:pivotFmt>
      <c:pivotFmt>
        <c:idx val="11"/>
        <c:spPr>
          <a:solidFill>
            <a:srgbClr val="9BF8F2"/>
          </a:solidFill>
          <a:ln w="19050">
            <a:solidFill>
              <a:schemeClr val="tx1"/>
            </a:solidFill>
          </a:ln>
          <a:effectLst/>
        </c:spPr>
      </c:pivotFmt>
      <c:pivotFmt>
        <c:idx val="12"/>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194AFE"/>
          </a:solidFill>
          <a:ln w="19050">
            <a:solidFill>
              <a:schemeClr val="tx1"/>
            </a:solidFill>
          </a:ln>
          <a:effectLst/>
        </c:spPr>
      </c:pivotFmt>
      <c:pivotFmt>
        <c:idx val="14"/>
        <c:spPr>
          <a:solidFill>
            <a:srgbClr val="9BF8F2"/>
          </a:solidFill>
          <a:ln w="19050">
            <a:solidFill>
              <a:schemeClr val="tx1"/>
            </a:solidFill>
          </a:ln>
          <a:effectLst/>
        </c:spPr>
      </c:pivotFmt>
      <c:pivotFmt>
        <c:idx val="15"/>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194AFE"/>
          </a:solidFill>
          <a:ln w="19050">
            <a:solidFill>
              <a:schemeClr val="tx1"/>
            </a:solidFill>
          </a:ln>
          <a:effectLst/>
        </c:spPr>
      </c:pivotFmt>
      <c:pivotFmt>
        <c:idx val="17"/>
        <c:spPr>
          <a:solidFill>
            <a:srgbClr val="9BF8F2"/>
          </a:solidFill>
          <a:ln w="19050">
            <a:solidFill>
              <a:schemeClr val="tx1"/>
            </a:solidFill>
          </a:ln>
          <a:effectLst/>
        </c:spPr>
      </c:pivotFmt>
    </c:pivotFmts>
    <c:plotArea>
      <c:layout/>
      <c:doughnutChart>
        <c:varyColors val="1"/>
        <c:ser>
          <c:idx val="0"/>
          <c:order val="0"/>
          <c:tx>
            <c:strRef>
              <c:f>Pivottables!$AR$5</c:f>
              <c:strCache>
                <c:ptCount val="1"/>
                <c:pt idx="0">
                  <c:v>Sum of Income</c:v>
                </c:pt>
              </c:strCache>
            </c:strRef>
          </c:tx>
          <c:spPr>
            <a:ln>
              <a:solidFill>
                <a:schemeClr val="tx1"/>
              </a:solidFill>
            </a:ln>
          </c:spPr>
          <c:dPt>
            <c:idx val="0"/>
            <c:bubble3D val="0"/>
            <c:spPr>
              <a:solidFill>
                <a:srgbClr val="194AFE"/>
              </a:solidFill>
              <a:ln w="19050">
                <a:solidFill>
                  <a:schemeClr val="tx1"/>
                </a:solidFill>
              </a:ln>
              <a:effectLst/>
            </c:spPr>
            <c:extLst>
              <c:ext xmlns:c16="http://schemas.microsoft.com/office/drawing/2014/chart" uri="{C3380CC4-5D6E-409C-BE32-E72D297353CC}">
                <c16:uniqueId val="{00000001-700F-4732-8DD3-4C28B06A37C9}"/>
              </c:ext>
            </c:extLst>
          </c:dPt>
          <c:dPt>
            <c:idx val="1"/>
            <c:bubble3D val="0"/>
            <c:spPr>
              <a:solidFill>
                <a:srgbClr val="9BF8F2"/>
              </a:solidFill>
              <a:ln w="19050">
                <a:solidFill>
                  <a:schemeClr val="tx1"/>
                </a:solidFill>
              </a:ln>
              <a:effectLst/>
            </c:spPr>
            <c:extLst>
              <c:ext xmlns:c16="http://schemas.microsoft.com/office/drawing/2014/chart" uri="{C3380CC4-5D6E-409C-BE32-E72D297353CC}">
                <c16:uniqueId val="{00000003-700F-4732-8DD3-4C28B06A37C9}"/>
              </c:ext>
            </c:extLst>
          </c:dPt>
          <c:cat>
            <c:strRef>
              <c:f>Pivottables!$AQ$6:$AQ$8</c:f>
              <c:strCache>
                <c:ptCount val="2"/>
                <c:pt idx="0">
                  <c:v>B2B</c:v>
                </c:pt>
                <c:pt idx="1">
                  <c:v>B2C</c:v>
                </c:pt>
              </c:strCache>
            </c:strRef>
          </c:cat>
          <c:val>
            <c:numRef>
              <c:f>Pivottables!$AR$6:$AR$8</c:f>
              <c:numCache>
                <c:formatCode>General</c:formatCode>
                <c:ptCount val="2"/>
                <c:pt idx="0">
                  <c:v>2361013.7099999986</c:v>
                </c:pt>
                <c:pt idx="1">
                  <c:v>1586304.0349999995</c:v>
                </c:pt>
              </c:numCache>
            </c:numRef>
          </c:val>
          <c:extLst>
            <c:ext xmlns:c16="http://schemas.microsoft.com/office/drawing/2014/chart" uri="{C3380CC4-5D6E-409C-BE32-E72D297353CC}">
              <c16:uniqueId val="{00000004-700F-4732-8DD3-4C28B06A37C9}"/>
            </c:ext>
          </c:extLst>
        </c:ser>
        <c:ser>
          <c:idx val="1"/>
          <c:order val="1"/>
          <c:tx>
            <c:strRef>
              <c:f>Pivottables!$AS$5</c:f>
              <c:strCache>
                <c:ptCount val="1"/>
                <c:pt idx="0">
                  <c:v>Sum of Income2</c:v>
                </c:pt>
              </c:strCache>
            </c:strRef>
          </c:tx>
          <c:spPr>
            <a:ln>
              <a:solidFill>
                <a:schemeClr val="tx1"/>
              </a:solidFill>
            </a:ln>
          </c:spPr>
          <c:dPt>
            <c:idx val="0"/>
            <c:bubble3D val="0"/>
            <c:spPr>
              <a:solidFill>
                <a:srgbClr val="194AFE"/>
              </a:solidFill>
              <a:ln w="19050">
                <a:solidFill>
                  <a:schemeClr val="tx1"/>
                </a:solidFill>
              </a:ln>
              <a:effectLst/>
            </c:spPr>
            <c:extLst>
              <c:ext xmlns:c16="http://schemas.microsoft.com/office/drawing/2014/chart" uri="{C3380CC4-5D6E-409C-BE32-E72D297353CC}">
                <c16:uniqueId val="{00000006-700F-4732-8DD3-4C28B06A37C9}"/>
              </c:ext>
            </c:extLst>
          </c:dPt>
          <c:dPt>
            <c:idx val="1"/>
            <c:bubble3D val="0"/>
            <c:spPr>
              <a:solidFill>
                <a:srgbClr val="9BF8F2"/>
              </a:solidFill>
              <a:ln w="19050">
                <a:solidFill>
                  <a:schemeClr val="tx1"/>
                </a:solidFill>
              </a:ln>
              <a:effectLst/>
            </c:spPr>
            <c:extLst>
              <c:ext xmlns:c16="http://schemas.microsoft.com/office/drawing/2014/chart" uri="{C3380CC4-5D6E-409C-BE32-E72D297353CC}">
                <c16:uniqueId val="{00000008-700F-4732-8DD3-4C28B06A37C9}"/>
              </c:ext>
            </c:extLst>
          </c:dPt>
          <c:cat>
            <c:strRef>
              <c:f>Pivottables!$AQ$6:$AQ$8</c:f>
              <c:strCache>
                <c:ptCount val="2"/>
                <c:pt idx="0">
                  <c:v>B2B</c:v>
                </c:pt>
                <c:pt idx="1">
                  <c:v>B2C</c:v>
                </c:pt>
              </c:strCache>
            </c:strRef>
          </c:cat>
          <c:val>
            <c:numRef>
              <c:f>Pivottables!$AS$6:$AS$8</c:f>
              <c:numCache>
                <c:formatCode>0.00%</c:formatCode>
                <c:ptCount val="2"/>
                <c:pt idx="0">
                  <c:v>0.59813115196785349</c:v>
                </c:pt>
                <c:pt idx="1">
                  <c:v>0.40186884803214651</c:v>
                </c:pt>
              </c:numCache>
            </c:numRef>
          </c:val>
          <c:extLst>
            <c:ext xmlns:c16="http://schemas.microsoft.com/office/drawing/2014/chart" uri="{C3380CC4-5D6E-409C-BE32-E72D297353CC}">
              <c16:uniqueId val="{00000009-700F-4732-8DD3-4C28B06A37C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570024570024569E-2"/>
          <c:y val="8.6715227193895246E-3"/>
          <c:w val="0.96996996996996998"/>
          <c:h val="0.96184530003468605"/>
        </c:manualLayout>
      </c:layout>
      <c:bubbleChart>
        <c:varyColors val="0"/>
        <c:ser>
          <c:idx val="0"/>
          <c:order val="0"/>
          <c:tx>
            <c:v>Income Source</c:v>
          </c:tx>
          <c:spPr>
            <a:gradFill flip="none" rotWithShape="1">
              <a:gsLst>
                <a:gs pos="34000">
                  <a:srgbClr val="100D83"/>
                </a:gs>
                <a:gs pos="79000">
                  <a:srgbClr val="7417BD"/>
                </a:gs>
              </a:gsLst>
              <a:path path="circle">
                <a:fillToRect l="100000" t="100000"/>
              </a:path>
              <a:tileRect r="-100000" b="-100000"/>
            </a:gradFill>
            <a:ln w="25400">
              <a:noFill/>
            </a:ln>
            <a:effectLst>
              <a:outerShdw blurRad="127000" sx="108000" sy="108000" algn="ctr" rotWithShape="0">
                <a:srgbClr val="7417BD">
                  <a:alpha val="80000"/>
                </a:srgbClr>
              </a:outerShdw>
            </a:effectLst>
          </c:spPr>
          <c:invertIfNegative val="0"/>
          <c:dLbls>
            <c:dLbl>
              <c:idx val="0"/>
              <c:tx>
                <c:rich>
                  <a:bodyPr/>
                  <a:lstStyle/>
                  <a:p>
                    <a:fld id="{193019AA-8D81-4F87-955A-305CB06142A5}"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B543-4DB0-AFFC-38B64624B5F6}"/>
                </c:ext>
              </c:extLst>
            </c:dLbl>
            <c:dLbl>
              <c:idx val="1"/>
              <c:tx>
                <c:rich>
                  <a:bodyPr/>
                  <a:lstStyle/>
                  <a:p>
                    <a:fld id="{7A29A8A3-E0CE-491E-8C60-6C5BD2E0E87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543-4DB0-AFFC-38B64624B5F6}"/>
                </c:ext>
              </c:extLst>
            </c:dLbl>
            <c:dLbl>
              <c:idx val="2"/>
              <c:tx>
                <c:rich>
                  <a:bodyPr/>
                  <a:lstStyle/>
                  <a:p>
                    <a:fld id="{6497665B-F0EB-4CB2-8E0D-129A72A6A01C}"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543-4DB0-AFFC-38B64624B5F6}"/>
                </c:ext>
              </c:extLst>
            </c:dLbl>
            <c:dLbl>
              <c:idx val="3"/>
              <c:tx>
                <c:rich>
                  <a:bodyPr/>
                  <a:lstStyle/>
                  <a:p>
                    <a:fld id="{BE42F54C-C380-4547-8841-CD9D21A3793C}"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543-4DB0-AFFC-38B64624B5F6}"/>
                </c:ext>
              </c:extLst>
            </c:dLbl>
            <c:dLbl>
              <c:idx val="4"/>
              <c:tx>
                <c:rich>
                  <a:bodyPr/>
                  <a:lstStyle/>
                  <a:p>
                    <a:fld id="{2BE103BF-382E-4F15-A983-AB00901942B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543-4DB0-AFFC-38B64624B5F6}"/>
                </c:ext>
              </c:extLst>
            </c:dLbl>
            <c:dLbl>
              <c:idx val="5"/>
              <c:tx>
                <c:rich>
                  <a:bodyPr/>
                  <a:lstStyle/>
                  <a:p>
                    <a:fld id="{AA1F718E-A8C0-48A7-B55B-D2AFEFB3B460}"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543-4DB0-AFFC-38B64624B5F6}"/>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Roboto" panose="02000000000000000000" pitchFamily="2" charset="0"/>
                    <a:ea typeface="Roboto" panose="02000000000000000000" pitchFamily="2" charset="0"/>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Pivottables!$L$6:$L$11</c:f>
              <c:numCache>
                <c:formatCode>General</c:formatCode>
                <c:ptCount val="6"/>
                <c:pt idx="0">
                  <c:v>1</c:v>
                </c:pt>
                <c:pt idx="1">
                  <c:v>7</c:v>
                </c:pt>
                <c:pt idx="2">
                  <c:v>4</c:v>
                </c:pt>
                <c:pt idx="3">
                  <c:v>2</c:v>
                </c:pt>
                <c:pt idx="4">
                  <c:v>6</c:v>
                </c:pt>
                <c:pt idx="5">
                  <c:v>5</c:v>
                </c:pt>
              </c:numCache>
            </c:numRef>
          </c:xVal>
          <c:yVal>
            <c:numRef>
              <c:f>Pivottables!$M$6:$M$11</c:f>
              <c:numCache>
                <c:formatCode>General</c:formatCode>
                <c:ptCount val="6"/>
                <c:pt idx="0">
                  <c:v>3</c:v>
                </c:pt>
                <c:pt idx="1">
                  <c:v>2</c:v>
                </c:pt>
                <c:pt idx="2">
                  <c:v>1</c:v>
                </c:pt>
                <c:pt idx="3">
                  <c:v>8</c:v>
                </c:pt>
                <c:pt idx="4">
                  <c:v>6</c:v>
                </c:pt>
                <c:pt idx="5">
                  <c:v>9</c:v>
                </c:pt>
              </c:numCache>
            </c:numRef>
          </c:yVal>
          <c:bubbleSize>
            <c:numRef>
              <c:f>Pivottables!$N$6:$N$11</c:f>
              <c:numCache>
                <c:formatCode>_(* #,##0_);_(* \(#,##0\);_(* "-"??_);_(@_)</c:formatCode>
                <c:ptCount val="6"/>
                <c:pt idx="0">
                  <c:v>867216</c:v>
                </c:pt>
                <c:pt idx="1">
                  <c:v>691419.41999999958</c:v>
                </c:pt>
                <c:pt idx="2">
                  <c:v>307374.0100000003</c:v>
                </c:pt>
                <c:pt idx="3">
                  <c:v>776132.81500000064</c:v>
                </c:pt>
                <c:pt idx="4">
                  <c:v>908441.70000000054</c:v>
                </c:pt>
                <c:pt idx="5">
                  <c:v>396733.79999999993</c:v>
                </c:pt>
              </c:numCache>
            </c:numRef>
          </c:bubbleSize>
          <c:bubble3D val="0"/>
          <c:extLst>
            <c:ext xmlns:c15="http://schemas.microsoft.com/office/drawing/2012/chart" uri="{02D57815-91ED-43cb-92C2-25804820EDAC}">
              <c15:datalabelsRange>
                <c15:f>Pivottables!$P$6:$P$11</c15:f>
                <c15:dlblRangeCache>
                  <c:ptCount val="6"/>
                  <c:pt idx="0">
                    <c:v> 8,67,216 </c:v>
                  </c:pt>
                  <c:pt idx="1">
                    <c:v> 6,91,419 </c:v>
                  </c:pt>
                  <c:pt idx="2">
                    <c:v> 3,07,374 </c:v>
                  </c:pt>
                  <c:pt idx="3">
                    <c:v> 7,76,133 </c:v>
                  </c:pt>
                  <c:pt idx="4">
                    <c:v>  </c:v>
                  </c:pt>
                  <c:pt idx="5">
                    <c:v> 3,96,734 </c:v>
                  </c:pt>
                </c15:dlblRangeCache>
              </c15:datalabelsRange>
            </c:ext>
            <c:ext xmlns:c16="http://schemas.microsoft.com/office/drawing/2014/chart" uri="{C3380CC4-5D6E-409C-BE32-E72D297353CC}">
              <c16:uniqueId val="{00000006-B543-4DB0-AFFC-38B64624B5F6}"/>
            </c:ext>
          </c:extLst>
        </c:ser>
        <c:ser>
          <c:idx val="1"/>
          <c:order val="1"/>
          <c:tx>
            <c:v>Max</c:v>
          </c:tx>
          <c:spPr>
            <a:gradFill>
              <a:gsLst>
                <a:gs pos="34000">
                  <a:srgbClr val="100D83"/>
                </a:gs>
                <a:gs pos="79000">
                  <a:srgbClr val="DD115E"/>
                </a:gs>
              </a:gsLst>
              <a:path path="circle">
                <a:fillToRect l="100000" t="100000"/>
              </a:path>
            </a:gradFill>
            <a:ln w="25400">
              <a:noFill/>
            </a:ln>
            <a:effectLst/>
          </c:spPr>
          <c:invertIfNegative val="0"/>
          <c:dPt>
            <c:idx val="4"/>
            <c:invertIfNegative val="0"/>
            <c:bubble3D val="0"/>
            <c:spPr>
              <a:gradFill>
                <a:gsLst>
                  <a:gs pos="34000">
                    <a:srgbClr val="100D83"/>
                  </a:gs>
                  <a:gs pos="79000">
                    <a:srgbClr val="DD115E"/>
                  </a:gs>
                </a:gsLst>
                <a:path path="circle">
                  <a:fillToRect l="100000" t="100000"/>
                </a:path>
              </a:gradFill>
              <a:ln w="25400">
                <a:noFill/>
              </a:ln>
              <a:effectLst>
                <a:outerShdw blurRad="152400" sx="105000" sy="105000" algn="ctr" rotWithShape="0">
                  <a:srgbClr val="DD115E">
                    <a:alpha val="88000"/>
                  </a:srgbClr>
                </a:outerShdw>
              </a:effectLst>
            </c:spPr>
            <c:extLst>
              <c:ext xmlns:c16="http://schemas.microsoft.com/office/drawing/2014/chart" uri="{C3380CC4-5D6E-409C-BE32-E72D297353CC}">
                <c16:uniqueId val="{00000008-B543-4DB0-AFFC-38B64624B5F6}"/>
              </c:ext>
            </c:extLst>
          </c:dPt>
          <c:dLbls>
            <c:dLbl>
              <c:idx val="0"/>
              <c:tx>
                <c:rich>
                  <a:bodyPr/>
                  <a:lstStyle/>
                  <a:p>
                    <a:fld id="{90680447-F721-4197-AE69-1B7D3C645311}"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B543-4DB0-AFFC-38B64624B5F6}"/>
                </c:ext>
              </c:extLst>
            </c:dLbl>
            <c:dLbl>
              <c:idx val="1"/>
              <c:tx>
                <c:rich>
                  <a:bodyPr/>
                  <a:lstStyle/>
                  <a:p>
                    <a:fld id="{E613B321-C4A8-4604-BF37-2DCEA7C14C1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543-4DB0-AFFC-38B64624B5F6}"/>
                </c:ext>
              </c:extLst>
            </c:dLbl>
            <c:dLbl>
              <c:idx val="2"/>
              <c:tx>
                <c:rich>
                  <a:bodyPr/>
                  <a:lstStyle/>
                  <a:p>
                    <a:fld id="{917273DF-7CED-4FFE-ADE0-606F54AC4771}"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B543-4DB0-AFFC-38B64624B5F6}"/>
                </c:ext>
              </c:extLst>
            </c:dLbl>
            <c:dLbl>
              <c:idx val="3"/>
              <c:tx>
                <c:rich>
                  <a:bodyPr/>
                  <a:lstStyle/>
                  <a:p>
                    <a:fld id="{CCA7AAE4-8C7E-488E-8938-374BD7B9BA98}"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B543-4DB0-AFFC-38B64624B5F6}"/>
                </c:ext>
              </c:extLst>
            </c:dLbl>
            <c:dLbl>
              <c:idx val="4"/>
              <c:tx>
                <c:rich>
                  <a:bodyPr/>
                  <a:lstStyle/>
                  <a:p>
                    <a:fld id="{BBD3AE5A-7D7E-4707-95C8-E2D91F2582AD}"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543-4DB0-AFFC-38B64624B5F6}"/>
                </c:ext>
              </c:extLst>
            </c:dLbl>
            <c:dLbl>
              <c:idx val="5"/>
              <c:tx>
                <c:rich>
                  <a:bodyPr/>
                  <a:lstStyle/>
                  <a:p>
                    <a:fld id="{8E27C548-78F1-44C4-AF6A-82B5D709ED59}"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B543-4DB0-AFFC-38B64624B5F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Roboto" panose="02000000000000000000" pitchFamily="2" charset="0"/>
                    <a:ea typeface="Roboto" panose="02000000000000000000" pitchFamily="2" charset="0"/>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Pivottables!$L$6:$L$11</c:f>
              <c:numCache>
                <c:formatCode>General</c:formatCode>
                <c:ptCount val="6"/>
                <c:pt idx="0">
                  <c:v>1</c:v>
                </c:pt>
                <c:pt idx="1">
                  <c:v>7</c:v>
                </c:pt>
                <c:pt idx="2">
                  <c:v>4</c:v>
                </c:pt>
                <c:pt idx="3">
                  <c:v>2</c:v>
                </c:pt>
                <c:pt idx="4">
                  <c:v>6</c:v>
                </c:pt>
                <c:pt idx="5">
                  <c:v>5</c:v>
                </c:pt>
              </c:numCache>
            </c:numRef>
          </c:xVal>
          <c:yVal>
            <c:numRef>
              <c:f>Pivottables!$M$6:$M$11</c:f>
              <c:numCache>
                <c:formatCode>General</c:formatCode>
                <c:ptCount val="6"/>
                <c:pt idx="0">
                  <c:v>3</c:v>
                </c:pt>
                <c:pt idx="1">
                  <c:v>2</c:v>
                </c:pt>
                <c:pt idx="2">
                  <c:v>1</c:v>
                </c:pt>
                <c:pt idx="3">
                  <c:v>8</c:v>
                </c:pt>
                <c:pt idx="4">
                  <c:v>6</c:v>
                </c:pt>
                <c:pt idx="5">
                  <c:v>9</c:v>
                </c:pt>
              </c:numCache>
            </c:numRef>
          </c:yVal>
          <c:bubbleSize>
            <c:numRef>
              <c:f>Pivottables!$O$6:$O$11</c:f>
              <c:numCache>
                <c:formatCode>_(* #,##0_);_(* \(#,##0\);_(* "-"??_);_(@_)</c:formatCode>
                <c:ptCount val="6"/>
                <c:pt idx="0">
                  <c:v>0</c:v>
                </c:pt>
                <c:pt idx="1">
                  <c:v>0</c:v>
                </c:pt>
                <c:pt idx="2">
                  <c:v>0</c:v>
                </c:pt>
                <c:pt idx="3">
                  <c:v>0</c:v>
                </c:pt>
                <c:pt idx="4">
                  <c:v>908441.70000000054</c:v>
                </c:pt>
                <c:pt idx="5">
                  <c:v>0</c:v>
                </c:pt>
              </c:numCache>
            </c:numRef>
          </c:bubbleSize>
          <c:bubble3D val="0"/>
          <c:extLst>
            <c:ext xmlns:c15="http://schemas.microsoft.com/office/drawing/2012/chart" uri="{02D57815-91ED-43cb-92C2-25804820EDAC}">
              <c15:datalabelsRange>
                <c15:f>Pivottables!$O$6:$O$11</c15:f>
                <c15:dlblRangeCache>
                  <c:ptCount val="6"/>
                  <c:pt idx="0">
                    <c:v>  </c:v>
                  </c:pt>
                  <c:pt idx="1">
                    <c:v>  </c:v>
                  </c:pt>
                  <c:pt idx="2">
                    <c:v>  </c:v>
                  </c:pt>
                  <c:pt idx="3">
                    <c:v>  </c:v>
                  </c:pt>
                  <c:pt idx="4">
                    <c:v> 9,08,442 </c:v>
                  </c:pt>
                  <c:pt idx="5">
                    <c:v>  </c:v>
                  </c:pt>
                </c15:dlblRangeCache>
              </c15:datalabelsRange>
            </c:ext>
            <c:ext xmlns:c16="http://schemas.microsoft.com/office/drawing/2014/chart" uri="{C3380CC4-5D6E-409C-BE32-E72D297353CC}">
              <c16:uniqueId val="{0000000E-B543-4DB0-AFFC-38B64624B5F6}"/>
            </c:ext>
          </c:extLst>
        </c:ser>
        <c:dLbls>
          <c:showLegendKey val="0"/>
          <c:showVal val="0"/>
          <c:showCatName val="0"/>
          <c:showSerName val="0"/>
          <c:showPercent val="0"/>
          <c:showBubbleSize val="0"/>
        </c:dLbls>
        <c:bubbleScale val="70"/>
        <c:showNegBubbles val="0"/>
        <c:axId val="1056427536"/>
        <c:axId val="1056428784"/>
      </c:bubbleChart>
      <c:valAx>
        <c:axId val="1056427536"/>
        <c:scaling>
          <c:orientation val="minMax"/>
          <c:max val="10"/>
          <c:min val="0"/>
        </c:scaling>
        <c:delete val="1"/>
        <c:axPos val="b"/>
        <c:numFmt formatCode="General" sourceLinked="1"/>
        <c:majorTickMark val="none"/>
        <c:minorTickMark val="none"/>
        <c:tickLblPos val="nextTo"/>
        <c:crossAx val="1056428784"/>
        <c:crosses val="autoZero"/>
        <c:crossBetween val="midCat"/>
      </c:valAx>
      <c:valAx>
        <c:axId val="1056428784"/>
        <c:scaling>
          <c:orientation val="minMax"/>
          <c:max val="10"/>
          <c:min val="0"/>
        </c:scaling>
        <c:delete val="1"/>
        <c:axPos val="l"/>
        <c:numFmt formatCode="General" sourceLinked="1"/>
        <c:majorTickMark val="none"/>
        <c:minorTickMark val="none"/>
        <c:tickLblPos val="nextTo"/>
        <c:crossAx val="105642753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Pivottables!$I$26</c:f>
              <c:strCache>
                <c:ptCount val="1"/>
                <c:pt idx="0">
                  <c:v>Egypt</c:v>
                </c:pt>
              </c:strCache>
            </c:strRef>
          </c:tx>
          <c:spPr>
            <a:gradFill flip="none" rotWithShape="1">
              <a:gsLst>
                <a:gs pos="43000">
                  <a:srgbClr val="CC0E62"/>
                </a:gs>
                <a:gs pos="99000">
                  <a:srgbClr val="FF0000"/>
                </a:gs>
              </a:gsLst>
              <a:lin ang="2700000" scaled="1"/>
              <a:tileRect/>
            </a:gradFill>
            <a:ln>
              <a:noFill/>
            </a:ln>
            <a:effectLst/>
          </c:spPr>
          <c:invertIfNegative val="0"/>
          <c:val>
            <c:numRef>
              <c:f>Pivottables!$J$26</c:f>
              <c:numCache>
                <c:formatCode>0%</c:formatCode>
                <c:ptCount val="1"/>
                <c:pt idx="0">
                  <c:v>0.27687357862156287</c:v>
                </c:pt>
              </c:numCache>
            </c:numRef>
          </c:val>
          <c:extLst>
            <c:ext xmlns:c16="http://schemas.microsoft.com/office/drawing/2014/chart" uri="{C3380CC4-5D6E-409C-BE32-E72D297353CC}">
              <c16:uniqueId val="{00000000-3854-4C65-8431-1EFE739BA85E}"/>
            </c:ext>
          </c:extLst>
        </c:ser>
        <c:ser>
          <c:idx val="1"/>
          <c:order val="1"/>
          <c:tx>
            <c:strRef>
              <c:f>Pivottables!$I$27</c:f>
              <c:strCache>
                <c:ptCount val="1"/>
                <c:pt idx="0">
                  <c:v>USA</c:v>
                </c:pt>
              </c:strCache>
            </c:strRef>
          </c:tx>
          <c:spPr>
            <a:gradFill flip="none" rotWithShape="1">
              <a:gsLst>
                <a:gs pos="43000">
                  <a:srgbClr val="00B050"/>
                </a:gs>
                <a:gs pos="99000">
                  <a:srgbClr val="92D050"/>
                </a:gs>
              </a:gsLst>
              <a:lin ang="2700000" scaled="1"/>
              <a:tileRect/>
            </a:gradFill>
            <a:ln>
              <a:noFill/>
            </a:ln>
            <a:effectLst/>
          </c:spPr>
          <c:invertIfNegative val="0"/>
          <c:val>
            <c:numRef>
              <c:f>Pivottables!$J$27</c:f>
              <c:numCache>
                <c:formatCode>0%</c:formatCode>
                <c:ptCount val="1"/>
                <c:pt idx="0">
                  <c:v>0.20021308415163985</c:v>
                </c:pt>
              </c:numCache>
            </c:numRef>
          </c:val>
          <c:extLst>
            <c:ext xmlns:c16="http://schemas.microsoft.com/office/drawing/2014/chart" uri="{C3380CC4-5D6E-409C-BE32-E72D297353CC}">
              <c16:uniqueId val="{00000001-3854-4C65-8431-1EFE739BA85E}"/>
            </c:ext>
          </c:extLst>
        </c:ser>
        <c:ser>
          <c:idx val="2"/>
          <c:order val="2"/>
          <c:tx>
            <c:strRef>
              <c:f>Pivottables!$I$28</c:f>
              <c:strCache>
                <c:ptCount val="1"/>
                <c:pt idx="0">
                  <c:v>Russia</c:v>
                </c:pt>
              </c:strCache>
            </c:strRef>
          </c:tx>
          <c:spPr>
            <a:gradFill flip="none" rotWithShape="1">
              <a:gsLst>
                <a:gs pos="43000">
                  <a:srgbClr val="D39F0B"/>
                </a:gs>
                <a:gs pos="99000">
                  <a:srgbClr val="FFFF00"/>
                </a:gs>
              </a:gsLst>
              <a:lin ang="2700000" scaled="1"/>
              <a:tileRect/>
            </a:gradFill>
            <a:ln>
              <a:noFill/>
            </a:ln>
            <a:effectLst/>
          </c:spPr>
          <c:invertIfNegative val="0"/>
          <c:val>
            <c:numRef>
              <c:f>Pivottables!$J$28</c:f>
              <c:numCache>
                <c:formatCode>0%</c:formatCode>
                <c:ptCount val="1"/>
                <c:pt idx="0">
                  <c:v>0.17713676471254011</c:v>
                </c:pt>
              </c:numCache>
            </c:numRef>
          </c:val>
          <c:extLst>
            <c:ext xmlns:c16="http://schemas.microsoft.com/office/drawing/2014/chart" uri="{C3380CC4-5D6E-409C-BE32-E72D297353CC}">
              <c16:uniqueId val="{00000002-3854-4C65-8431-1EFE739BA85E}"/>
            </c:ext>
          </c:extLst>
        </c:ser>
        <c:ser>
          <c:idx val="3"/>
          <c:order val="3"/>
          <c:tx>
            <c:strRef>
              <c:f>Pivottables!$I$29</c:f>
              <c:strCache>
                <c:ptCount val="1"/>
                <c:pt idx="0">
                  <c:v>United Kingdom</c:v>
                </c:pt>
              </c:strCache>
            </c:strRef>
          </c:tx>
          <c:spPr>
            <a:solidFill>
              <a:srgbClr val="00B0F0"/>
            </a:solidFill>
            <a:ln>
              <a:noFill/>
            </a:ln>
            <a:effectLst/>
          </c:spPr>
          <c:invertIfNegative val="0"/>
          <c:dPt>
            <c:idx val="0"/>
            <c:invertIfNegative val="0"/>
            <c:bubble3D val="0"/>
            <c:spPr>
              <a:gradFill>
                <a:gsLst>
                  <a:gs pos="43000">
                    <a:srgbClr val="00B0F0"/>
                  </a:gs>
                  <a:gs pos="88000">
                    <a:srgbClr val="9BF8F2"/>
                  </a:gs>
                </a:gsLst>
                <a:lin ang="2700000" scaled="1"/>
              </a:gradFill>
              <a:ln>
                <a:noFill/>
              </a:ln>
              <a:effectLst/>
            </c:spPr>
            <c:extLst>
              <c:ext xmlns:c16="http://schemas.microsoft.com/office/drawing/2014/chart" uri="{C3380CC4-5D6E-409C-BE32-E72D297353CC}">
                <c16:uniqueId val="{00000004-3854-4C65-8431-1EFE739BA85E}"/>
              </c:ext>
            </c:extLst>
          </c:dPt>
          <c:val>
            <c:numRef>
              <c:f>Pivottables!$J$29</c:f>
              <c:numCache>
                <c:formatCode>0%</c:formatCode>
                <c:ptCount val="1"/>
                <c:pt idx="0">
                  <c:v>0.14956862532049395</c:v>
                </c:pt>
              </c:numCache>
            </c:numRef>
          </c:val>
          <c:extLst>
            <c:ext xmlns:c16="http://schemas.microsoft.com/office/drawing/2014/chart" uri="{C3380CC4-5D6E-409C-BE32-E72D297353CC}">
              <c16:uniqueId val="{00000005-3854-4C65-8431-1EFE739BA85E}"/>
            </c:ext>
          </c:extLst>
        </c:ser>
        <c:ser>
          <c:idx val="4"/>
          <c:order val="4"/>
          <c:tx>
            <c:strRef>
              <c:f>Pivottables!$I$30</c:f>
              <c:strCache>
                <c:ptCount val="1"/>
                <c:pt idx="0">
                  <c:v>Canada</c:v>
                </c:pt>
              </c:strCache>
            </c:strRef>
          </c:tx>
          <c:spPr>
            <a:gradFill>
              <a:gsLst>
                <a:gs pos="43000">
                  <a:srgbClr val="194AFE"/>
                </a:gs>
                <a:gs pos="88000">
                  <a:srgbClr val="00B0F0"/>
                </a:gs>
              </a:gsLst>
              <a:lin ang="2700000" scaled="1"/>
            </a:gradFill>
            <a:ln>
              <a:noFill/>
            </a:ln>
            <a:effectLst/>
          </c:spPr>
          <c:invertIfNegative val="0"/>
          <c:val>
            <c:numRef>
              <c:f>Pivottables!$J$30</c:f>
              <c:numCache>
                <c:formatCode>0%</c:formatCode>
                <c:ptCount val="1"/>
                <c:pt idx="0">
                  <c:v>9.8703838683828093E-2</c:v>
                </c:pt>
              </c:numCache>
            </c:numRef>
          </c:val>
          <c:extLst>
            <c:ext xmlns:c16="http://schemas.microsoft.com/office/drawing/2014/chart" uri="{C3380CC4-5D6E-409C-BE32-E72D297353CC}">
              <c16:uniqueId val="{00000006-3854-4C65-8431-1EFE739BA85E}"/>
            </c:ext>
          </c:extLst>
        </c:ser>
        <c:ser>
          <c:idx val="5"/>
          <c:order val="5"/>
          <c:tx>
            <c:strRef>
              <c:f>Pivottables!$I$31</c:f>
              <c:strCache>
                <c:ptCount val="1"/>
                <c:pt idx="0">
                  <c:v>Brazil</c:v>
                </c:pt>
              </c:strCache>
            </c:strRef>
          </c:tx>
          <c:spPr>
            <a:gradFill>
              <a:gsLst>
                <a:gs pos="43000">
                  <a:srgbClr val="7030A0"/>
                </a:gs>
                <a:gs pos="88000">
                  <a:srgbClr val="00B0F0"/>
                </a:gs>
              </a:gsLst>
              <a:lin ang="2700000" scaled="1"/>
            </a:gradFill>
            <a:ln>
              <a:noFill/>
            </a:ln>
            <a:effectLst/>
          </c:spPr>
          <c:invertIfNegative val="0"/>
          <c:dPt>
            <c:idx val="0"/>
            <c:invertIfNegative val="0"/>
            <c:bubble3D val="0"/>
            <c:spPr>
              <a:gradFill>
                <a:gsLst>
                  <a:gs pos="43000">
                    <a:srgbClr val="7030A0"/>
                  </a:gs>
                  <a:gs pos="88000">
                    <a:srgbClr val="9947F7"/>
                  </a:gs>
                </a:gsLst>
                <a:lin ang="2700000" scaled="1"/>
              </a:gradFill>
              <a:ln>
                <a:noFill/>
              </a:ln>
              <a:effectLst/>
            </c:spPr>
            <c:extLst>
              <c:ext xmlns:c16="http://schemas.microsoft.com/office/drawing/2014/chart" uri="{C3380CC4-5D6E-409C-BE32-E72D297353CC}">
                <c16:uniqueId val="{00000008-3854-4C65-8431-1EFE739BA85E}"/>
              </c:ext>
            </c:extLst>
          </c:dPt>
          <c:val>
            <c:numRef>
              <c:f>Pivottables!$J$31</c:f>
              <c:numCache>
                <c:formatCode>0%</c:formatCode>
                <c:ptCount val="1"/>
                <c:pt idx="0">
                  <c:v>9.7504108509935128E-2</c:v>
                </c:pt>
              </c:numCache>
            </c:numRef>
          </c:val>
          <c:extLst>
            <c:ext xmlns:c16="http://schemas.microsoft.com/office/drawing/2014/chart" uri="{C3380CC4-5D6E-409C-BE32-E72D297353CC}">
              <c16:uniqueId val="{00000009-3854-4C65-8431-1EFE739BA85E}"/>
            </c:ext>
          </c:extLst>
        </c:ser>
        <c:dLbls>
          <c:showLegendKey val="0"/>
          <c:showVal val="0"/>
          <c:showCatName val="0"/>
          <c:showSerName val="0"/>
          <c:showPercent val="0"/>
          <c:showBubbleSize val="0"/>
        </c:dLbls>
        <c:gapWidth val="150"/>
        <c:overlap val="100"/>
        <c:axId val="1656377647"/>
        <c:axId val="1656375567"/>
      </c:barChart>
      <c:catAx>
        <c:axId val="1656377647"/>
        <c:scaling>
          <c:orientation val="minMax"/>
        </c:scaling>
        <c:delete val="1"/>
        <c:axPos val="l"/>
        <c:numFmt formatCode="General" sourceLinked="1"/>
        <c:majorTickMark val="none"/>
        <c:minorTickMark val="none"/>
        <c:tickLblPos val="nextTo"/>
        <c:crossAx val="1656375567"/>
        <c:crosses val="autoZero"/>
        <c:auto val="1"/>
        <c:lblAlgn val="ctr"/>
        <c:lblOffset val="100"/>
        <c:noMultiLvlLbl val="0"/>
      </c:catAx>
      <c:valAx>
        <c:axId val="1656375567"/>
        <c:scaling>
          <c:orientation val="minMax"/>
        </c:scaling>
        <c:delete val="1"/>
        <c:axPos val="b"/>
        <c:numFmt formatCode="0%" sourceLinked="1"/>
        <c:majorTickMark val="none"/>
        <c:minorTickMark val="none"/>
        <c:tickLblPos val="nextTo"/>
        <c:crossAx val="16563776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tx1">
                  <a:lumMod val="85000"/>
                  <a:lumOff val="15000"/>
                </a:schemeClr>
              </a:solidFill>
              <a:ln w="19050">
                <a:noFill/>
              </a:ln>
              <a:effectLst/>
            </c:spPr>
            <c:extLst>
              <c:ext xmlns:c16="http://schemas.microsoft.com/office/drawing/2014/chart" uri="{C3380CC4-5D6E-409C-BE32-E72D297353CC}">
                <c16:uniqueId val="{00000001-5430-4FBB-8E64-E9D19F2B0D15}"/>
              </c:ext>
            </c:extLst>
          </c:dPt>
          <c:dPt>
            <c:idx val="1"/>
            <c:bubble3D val="0"/>
            <c:spPr>
              <a:gradFill>
                <a:gsLst>
                  <a:gs pos="29000">
                    <a:srgbClr val="194AFE"/>
                  </a:gs>
                  <a:gs pos="72000">
                    <a:srgbClr val="9BF8F2"/>
                  </a:gs>
                </a:gsLst>
                <a:lin ang="2700000" scaled="1"/>
              </a:gradFill>
              <a:ln w="19050">
                <a:noFill/>
              </a:ln>
              <a:effectLst/>
            </c:spPr>
            <c:extLst>
              <c:ext xmlns:c16="http://schemas.microsoft.com/office/drawing/2014/chart" uri="{C3380CC4-5D6E-409C-BE32-E72D297353CC}">
                <c16:uniqueId val="{00000003-5430-4FBB-8E64-E9D19F2B0D15}"/>
              </c:ext>
            </c:extLst>
          </c:dPt>
          <c:val>
            <c:numRef>
              <c:f>Pivottables!$O$26:$P$26</c:f>
              <c:numCache>
                <c:formatCode>0%</c:formatCode>
                <c:ptCount val="2"/>
                <c:pt idx="0">
                  <c:v>0.30091886554864467</c:v>
                </c:pt>
                <c:pt idx="1">
                  <c:v>0.69908113445135533</c:v>
                </c:pt>
              </c:numCache>
            </c:numRef>
          </c:val>
          <c:extLst>
            <c:ext xmlns:c16="http://schemas.microsoft.com/office/drawing/2014/chart" uri="{C3380CC4-5D6E-409C-BE32-E72D297353CC}">
              <c16:uniqueId val="{00000004-5430-4FBB-8E64-E9D19F2B0D15}"/>
            </c:ext>
          </c:extLst>
        </c:ser>
        <c:dLbls>
          <c:showLegendKey val="0"/>
          <c:showVal val="0"/>
          <c:showCatName val="0"/>
          <c:showSerName val="0"/>
          <c:showPercent val="0"/>
          <c:showBubbleSize val="0"/>
          <c:showLeaderLines val="1"/>
        </c:dLbls>
        <c:firstSliceAng val="0"/>
        <c:holeSize val="74"/>
      </c:doughnutChart>
      <c:scatterChart>
        <c:scatterStyle val="lineMarker"/>
        <c:varyColors val="0"/>
        <c:ser>
          <c:idx val="1"/>
          <c:order val="1"/>
          <c:tx>
            <c:v>X&amp;Y</c:v>
          </c:tx>
          <c:spPr>
            <a:ln w="25400" cap="rnd">
              <a:noFill/>
              <a:round/>
            </a:ln>
            <a:effectLst/>
          </c:spPr>
          <c:marker>
            <c:symbol val="circle"/>
            <c:size val="25"/>
            <c:spPr>
              <a:solidFill>
                <a:schemeClr val="accent2"/>
              </a:solidFill>
              <a:ln w="9525">
                <a:solidFill>
                  <a:schemeClr val="accent2"/>
                </a:solidFill>
              </a:ln>
              <a:effectLst/>
            </c:spPr>
          </c:marker>
          <c:dPt>
            <c:idx val="0"/>
            <c:marker>
              <c:symbol val="circle"/>
              <c:size val="25"/>
              <c:spPr>
                <a:solidFill>
                  <a:srgbClr val="194AFE"/>
                </a:solidFill>
                <a:ln w="9525">
                  <a:solidFill>
                    <a:srgbClr val="194AFE"/>
                  </a:solidFill>
                </a:ln>
                <a:effectLst/>
              </c:spPr>
            </c:marker>
            <c:bubble3D val="0"/>
            <c:extLst>
              <c:ext xmlns:c16="http://schemas.microsoft.com/office/drawing/2014/chart" uri="{C3380CC4-5D6E-409C-BE32-E72D297353CC}">
                <c16:uniqueId val="{00000005-5430-4FBB-8E64-E9D19F2B0D15}"/>
              </c:ext>
            </c:extLst>
          </c:dPt>
          <c:dPt>
            <c:idx val="1"/>
            <c:marker>
              <c:symbol val="circle"/>
              <c:size val="25"/>
              <c:spPr>
                <a:solidFill>
                  <a:srgbClr val="9BF8F2"/>
                </a:solidFill>
                <a:ln w="9525">
                  <a:solidFill>
                    <a:srgbClr val="9BF8F2"/>
                  </a:solidFill>
                </a:ln>
                <a:effectLst/>
              </c:spPr>
            </c:marker>
            <c:bubble3D val="0"/>
            <c:extLst>
              <c:ext xmlns:c16="http://schemas.microsoft.com/office/drawing/2014/chart" uri="{C3380CC4-5D6E-409C-BE32-E72D297353CC}">
                <c16:uniqueId val="{00000006-5430-4FBB-8E64-E9D19F2B0D15}"/>
              </c:ext>
            </c:extLst>
          </c:dPt>
          <c:xVal>
            <c:numRef>
              <c:f>Pivottables!$R$26:$R$27</c:f>
              <c:numCache>
                <c:formatCode>General</c:formatCode>
                <c:ptCount val="2"/>
                <c:pt idx="0">
                  <c:v>0</c:v>
                </c:pt>
                <c:pt idx="1">
                  <c:v>0.94925659636614379</c:v>
                </c:pt>
              </c:numCache>
            </c:numRef>
          </c:xVal>
          <c:yVal>
            <c:numRef>
              <c:f>Pivottables!$S$26:$S$27</c:f>
              <c:numCache>
                <c:formatCode>General</c:formatCode>
                <c:ptCount val="2"/>
                <c:pt idx="0">
                  <c:v>1</c:v>
                </c:pt>
                <c:pt idx="1">
                  <c:v>-0.31450264586385251</c:v>
                </c:pt>
              </c:numCache>
            </c:numRef>
          </c:yVal>
          <c:smooth val="0"/>
          <c:extLst>
            <c:ext xmlns:c16="http://schemas.microsoft.com/office/drawing/2014/chart" uri="{C3380CC4-5D6E-409C-BE32-E72D297353CC}">
              <c16:uniqueId val="{00000007-5430-4FBB-8E64-E9D19F2B0D15}"/>
            </c:ext>
          </c:extLst>
        </c:ser>
        <c:dLbls>
          <c:showLegendKey val="0"/>
          <c:showVal val="0"/>
          <c:showCatName val="0"/>
          <c:showSerName val="0"/>
          <c:showPercent val="0"/>
          <c:showBubbleSize val="0"/>
        </c:dLbls>
        <c:axId val="1992336735"/>
        <c:axId val="1992337151"/>
      </c:scatterChart>
      <c:valAx>
        <c:axId val="1992337151"/>
        <c:scaling>
          <c:orientation val="minMax"/>
          <c:max val="1.1500000000000001"/>
          <c:min val="-1.1500000000000001"/>
        </c:scaling>
        <c:delete val="1"/>
        <c:axPos val="l"/>
        <c:numFmt formatCode="General" sourceLinked="1"/>
        <c:majorTickMark val="out"/>
        <c:minorTickMark val="none"/>
        <c:tickLblPos val="nextTo"/>
        <c:crossAx val="1992336735"/>
        <c:crosses val="autoZero"/>
        <c:crossBetween val="midCat"/>
      </c:valAx>
      <c:valAx>
        <c:axId val="1992336735"/>
        <c:scaling>
          <c:orientation val="minMax"/>
          <c:max val="1.1500000000000001"/>
          <c:min val="-1.1500000000000001"/>
        </c:scaling>
        <c:delete val="1"/>
        <c:axPos val="b"/>
        <c:numFmt formatCode="General" sourceLinked="1"/>
        <c:majorTickMark val="out"/>
        <c:minorTickMark val="none"/>
        <c:tickLblPos val="nextTo"/>
        <c:crossAx val="199233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gradFill flip="none" rotWithShape="1">
              <a:gsLst>
                <a:gs pos="48000">
                  <a:srgbClr val="00F1DF">
                    <a:alpha val="80000"/>
                  </a:srgbClr>
                </a:gs>
                <a:gs pos="7000">
                  <a:srgbClr val="9947F7">
                    <a:alpha val="80000"/>
                  </a:srgbClr>
                </a:gs>
              </a:gsLst>
              <a:lin ang="5400000" scaled="1"/>
              <a:tileRect/>
            </a:gradFill>
            <a:ln>
              <a:noFill/>
            </a:ln>
            <a:effectLst/>
          </c:spPr>
          <c:invertIfNegative val="0"/>
          <c:val>
            <c:numRef>
              <c:f>Pivottables!$Y$26</c:f>
              <c:numCache>
                <c:formatCode>0.0%</c:formatCode>
                <c:ptCount val="1"/>
                <c:pt idx="0">
                  <c:v>0.22799999999999998</c:v>
                </c:pt>
              </c:numCache>
            </c:numRef>
          </c:val>
          <c:extLst>
            <c:ext xmlns:c16="http://schemas.microsoft.com/office/drawing/2014/chart" uri="{C3380CC4-5D6E-409C-BE32-E72D297353CC}">
              <c16:uniqueId val="{00000000-0EB0-4EE9-A0AD-C61463029089}"/>
            </c:ext>
          </c:extLst>
        </c:ser>
        <c:ser>
          <c:idx val="1"/>
          <c:order val="1"/>
          <c:spPr>
            <a:solidFill>
              <a:schemeClr val="tx1"/>
            </a:solidFill>
            <a:ln>
              <a:noFill/>
            </a:ln>
            <a:effectLst/>
          </c:spPr>
          <c:invertIfNegative val="0"/>
          <c:dPt>
            <c:idx val="0"/>
            <c:invertIfNegative val="0"/>
            <c:bubble3D val="0"/>
            <c:spPr>
              <a:solidFill>
                <a:schemeClr val="tx1">
                  <a:lumMod val="85000"/>
                  <a:lumOff val="15000"/>
                </a:schemeClr>
              </a:solidFill>
              <a:ln>
                <a:noFill/>
              </a:ln>
              <a:effectLst/>
            </c:spPr>
            <c:extLst>
              <c:ext xmlns:c16="http://schemas.microsoft.com/office/drawing/2014/chart" uri="{C3380CC4-5D6E-409C-BE32-E72D297353CC}">
                <c16:uniqueId val="{00000002-0EB0-4EE9-A0AD-C61463029089}"/>
              </c:ext>
            </c:extLst>
          </c:dPt>
          <c:val>
            <c:numRef>
              <c:f>Pivottables!$Z$26</c:f>
              <c:numCache>
                <c:formatCode>0.0%</c:formatCode>
                <c:ptCount val="1"/>
                <c:pt idx="0">
                  <c:v>0.77200000000000002</c:v>
                </c:pt>
              </c:numCache>
            </c:numRef>
          </c:val>
          <c:extLst>
            <c:ext xmlns:c16="http://schemas.microsoft.com/office/drawing/2014/chart" uri="{C3380CC4-5D6E-409C-BE32-E72D297353CC}">
              <c16:uniqueId val="{00000003-0EB0-4EE9-A0AD-C61463029089}"/>
            </c:ext>
          </c:extLst>
        </c:ser>
        <c:dLbls>
          <c:showLegendKey val="0"/>
          <c:showVal val="0"/>
          <c:showCatName val="0"/>
          <c:showSerName val="0"/>
          <c:showPercent val="0"/>
          <c:showBubbleSize val="0"/>
        </c:dLbls>
        <c:gapWidth val="150"/>
        <c:overlap val="100"/>
        <c:axId val="80059792"/>
        <c:axId val="80057712"/>
      </c:barChart>
      <c:catAx>
        <c:axId val="80059792"/>
        <c:scaling>
          <c:orientation val="minMax"/>
        </c:scaling>
        <c:delete val="1"/>
        <c:axPos val="b"/>
        <c:majorTickMark val="none"/>
        <c:minorTickMark val="none"/>
        <c:tickLblPos val="nextTo"/>
        <c:crossAx val="80057712"/>
        <c:crosses val="autoZero"/>
        <c:auto val="1"/>
        <c:lblAlgn val="ctr"/>
        <c:lblOffset val="100"/>
        <c:noMultiLvlLbl val="0"/>
      </c:catAx>
      <c:valAx>
        <c:axId val="80057712"/>
        <c:scaling>
          <c:orientation val="minMax"/>
          <c:max val="1"/>
        </c:scaling>
        <c:delete val="1"/>
        <c:axPos val="l"/>
        <c:numFmt formatCode="0.0%" sourceLinked="1"/>
        <c:majorTickMark val="none"/>
        <c:minorTickMark val="none"/>
        <c:tickLblPos val="nextTo"/>
        <c:crossAx val="80059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1st</c:v>
          </c:tx>
          <c:spPr>
            <a:gradFill flip="none" rotWithShape="1">
              <a:gsLst>
                <a:gs pos="20000">
                  <a:srgbClr val="C23FD8"/>
                </a:gs>
                <a:gs pos="70000">
                  <a:srgbClr val="9947F7"/>
                </a:gs>
              </a:gsLst>
              <a:lin ang="10800000" scaled="1"/>
              <a:tileRect/>
            </a:gradFill>
            <a:ln w="120650">
              <a:solidFill>
                <a:schemeClr val="tx1"/>
              </a:solidFill>
            </a:ln>
          </c:spPr>
          <c:dPt>
            <c:idx val="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1-E3E4-4B96-9D8B-B0D9BC9F1AE2}"/>
              </c:ext>
            </c:extLst>
          </c:dPt>
          <c:dPt>
            <c:idx val="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3-E3E4-4B96-9D8B-B0D9BC9F1AE2}"/>
              </c:ext>
            </c:extLst>
          </c:dPt>
          <c:dPt>
            <c:idx val="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5-E3E4-4B96-9D8B-B0D9BC9F1AE2}"/>
              </c:ext>
            </c:extLst>
          </c:dPt>
          <c:dPt>
            <c:idx val="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7-E3E4-4B96-9D8B-B0D9BC9F1AE2}"/>
              </c:ext>
            </c:extLst>
          </c:dPt>
          <c:dPt>
            <c:idx val="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9-E3E4-4B96-9D8B-B0D9BC9F1AE2}"/>
              </c:ext>
            </c:extLst>
          </c:dPt>
          <c:dPt>
            <c:idx val="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B-E3E4-4B96-9D8B-B0D9BC9F1AE2}"/>
              </c:ext>
            </c:extLst>
          </c:dPt>
          <c:dPt>
            <c:idx val="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D-E3E4-4B96-9D8B-B0D9BC9F1AE2}"/>
              </c:ext>
            </c:extLst>
          </c:dPt>
          <c:dPt>
            <c:idx val="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F-E3E4-4B96-9D8B-B0D9BC9F1AE2}"/>
              </c:ext>
            </c:extLst>
          </c:dPt>
          <c:dPt>
            <c:idx val="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1-E3E4-4B96-9D8B-B0D9BC9F1AE2}"/>
              </c:ext>
            </c:extLst>
          </c:dPt>
          <c:dPt>
            <c:idx val="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3-E3E4-4B96-9D8B-B0D9BC9F1AE2}"/>
              </c:ext>
            </c:extLst>
          </c:dPt>
          <c:dPt>
            <c:idx val="1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5-E3E4-4B96-9D8B-B0D9BC9F1AE2}"/>
              </c:ext>
            </c:extLst>
          </c:dPt>
          <c:dPt>
            <c:idx val="1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7-E3E4-4B96-9D8B-B0D9BC9F1AE2}"/>
              </c:ext>
            </c:extLst>
          </c:dPt>
          <c:dPt>
            <c:idx val="1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9-E3E4-4B96-9D8B-B0D9BC9F1AE2}"/>
              </c:ext>
            </c:extLst>
          </c:dPt>
          <c:dPt>
            <c:idx val="1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B-E3E4-4B96-9D8B-B0D9BC9F1AE2}"/>
              </c:ext>
            </c:extLst>
          </c:dPt>
          <c:dPt>
            <c:idx val="1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D-E3E4-4B96-9D8B-B0D9BC9F1AE2}"/>
              </c:ext>
            </c:extLst>
          </c:dPt>
          <c:dPt>
            <c:idx val="1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F-E3E4-4B96-9D8B-B0D9BC9F1AE2}"/>
              </c:ext>
            </c:extLst>
          </c:dPt>
          <c:dPt>
            <c:idx val="1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1-E3E4-4B96-9D8B-B0D9BC9F1AE2}"/>
              </c:ext>
            </c:extLst>
          </c:dPt>
          <c:dPt>
            <c:idx val="1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3-E3E4-4B96-9D8B-B0D9BC9F1AE2}"/>
              </c:ext>
            </c:extLst>
          </c:dPt>
          <c:dPt>
            <c:idx val="1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5-E3E4-4B96-9D8B-B0D9BC9F1AE2}"/>
              </c:ext>
            </c:extLst>
          </c:dPt>
          <c:dPt>
            <c:idx val="1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7-E3E4-4B96-9D8B-B0D9BC9F1AE2}"/>
              </c:ext>
            </c:extLst>
          </c:dPt>
          <c:dPt>
            <c:idx val="2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9-E3E4-4B96-9D8B-B0D9BC9F1AE2}"/>
              </c:ext>
            </c:extLst>
          </c:dPt>
          <c:dPt>
            <c:idx val="2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B-E3E4-4B96-9D8B-B0D9BC9F1AE2}"/>
              </c:ext>
            </c:extLst>
          </c:dPt>
          <c:dPt>
            <c:idx val="2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D-E3E4-4B96-9D8B-B0D9BC9F1AE2}"/>
              </c:ext>
            </c:extLst>
          </c:dPt>
          <c:dPt>
            <c:idx val="2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F-E3E4-4B96-9D8B-B0D9BC9F1AE2}"/>
              </c:ext>
            </c:extLst>
          </c:dPt>
          <c:dPt>
            <c:idx val="2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1-E3E4-4B96-9D8B-B0D9BC9F1AE2}"/>
              </c:ext>
            </c:extLst>
          </c:dPt>
          <c:dPt>
            <c:idx val="2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3-E3E4-4B96-9D8B-B0D9BC9F1AE2}"/>
              </c:ext>
            </c:extLst>
          </c:dPt>
          <c:dPt>
            <c:idx val="2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5-E3E4-4B96-9D8B-B0D9BC9F1AE2}"/>
              </c:ext>
            </c:extLst>
          </c:dPt>
          <c:dPt>
            <c:idx val="2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7-E3E4-4B96-9D8B-B0D9BC9F1AE2}"/>
              </c:ext>
            </c:extLst>
          </c:dPt>
          <c:dPt>
            <c:idx val="2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9-E3E4-4B96-9D8B-B0D9BC9F1AE2}"/>
              </c:ext>
            </c:extLst>
          </c:dPt>
          <c:dPt>
            <c:idx val="2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B-E3E4-4B96-9D8B-B0D9BC9F1AE2}"/>
              </c:ext>
            </c:extLst>
          </c:dPt>
          <c:dPt>
            <c:idx val="3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D-E3E4-4B96-9D8B-B0D9BC9F1AE2}"/>
              </c:ext>
            </c:extLst>
          </c:dPt>
          <c:dPt>
            <c:idx val="3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F-E3E4-4B96-9D8B-B0D9BC9F1AE2}"/>
              </c:ext>
            </c:extLst>
          </c:dPt>
          <c:dPt>
            <c:idx val="3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1-E3E4-4B96-9D8B-B0D9BC9F1AE2}"/>
              </c:ext>
            </c:extLst>
          </c:dPt>
          <c:dPt>
            <c:idx val="3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3-E3E4-4B96-9D8B-B0D9BC9F1AE2}"/>
              </c:ext>
            </c:extLst>
          </c:dPt>
          <c:dPt>
            <c:idx val="3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5-E3E4-4B96-9D8B-B0D9BC9F1AE2}"/>
              </c:ext>
            </c:extLst>
          </c:dPt>
          <c:dPt>
            <c:idx val="3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7-E3E4-4B96-9D8B-B0D9BC9F1AE2}"/>
              </c:ext>
            </c:extLst>
          </c:dPt>
          <c:dPt>
            <c:idx val="3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9-E3E4-4B96-9D8B-B0D9BC9F1AE2}"/>
              </c:ext>
            </c:extLst>
          </c:dPt>
          <c:dPt>
            <c:idx val="3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B-E3E4-4B96-9D8B-B0D9BC9F1AE2}"/>
              </c:ext>
            </c:extLst>
          </c:dPt>
          <c:dPt>
            <c:idx val="3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D-E3E4-4B96-9D8B-B0D9BC9F1AE2}"/>
              </c:ext>
            </c:extLst>
          </c:dPt>
          <c:dPt>
            <c:idx val="3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F-E3E4-4B96-9D8B-B0D9BC9F1AE2}"/>
              </c:ext>
            </c:extLst>
          </c:dPt>
          <c:dPt>
            <c:idx val="4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1-E3E4-4B96-9D8B-B0D9BC9F1AE2}"/>
              </c:ext>
            </c:extLst>
          </c:dPt>
          <c:dPt>
            <c:idx val="4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3-E3E4-4B96-9D8B-B0D9BC9F1AE2}"/>
              </c:ext>
            </c:extLst>
          </c:dPt>
          <c:dPt>
            <c:idx val="4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5-E3E4-4B96-9D8B-B0D9BC9F1AE2}"/>
              </c:ext>
            </c:extLst>
          </c:dPt>
          <c:dPt>
            <c:idx val="4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7-E3E4-4B96-9D8B-B0D9BC9F1AE2}"/>
              </c:ext>
            </c:extLst>
          </c:dPt>
          <c:dPt>
            <c:idx val="4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9-E3E4-4B96-9D8B-B0D9BC9F1AE2}"/>
              </c:ext>
            </c:extLst>
          </c:dPt>
          <c:dPt>
            <c:idx val="4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B-E3E4-4B96-9D8B-B0D9BC9F1AE2}"/>
              </c:ext>
            </c:extLst>
          </c:dPt>
          <c:dPt>
            <c:idx val="4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D-E3E4-4B96-9D8B-B0D9BC9F1AE2}"/>
              </c:ext>
            </c:extLst>
          </c:dPt>
          <c:dPt>
            <c:idx val="4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F-E3E4-4B96-9D8B-B0D9BC9F1AE2}"/>
              </c:ext>
            </c:extLst>
          </c:dPt>
          <c:dPt>
            <c:idx val="4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1-E3E4-4B96-9D8B-B0D9BC9F1AE2}"/>
              </c:ext>
            </c:extLst>
          </c:dPt>
          <c:dPt>
            <c:idx val="4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3-E3E4-4B96-9D8B-B0D9BC9F1AE2}"/>
              </c:ext>
            </c:extLst>
          </c:dPt>
          <c:dPt>
            <c:idx val="5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5-E3E4-4B96-9D8B-B0D9BC9F1AE2}"/>
              </c:ext>
            </c:extLst>
          </c:dPt>
          <c:dPt>
            <c:idx val="5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7-E3E4-4B96-9D8B-B0D9BC9F1AE2}"/>
              </c:ext>
            </c:extLst>
          </c:dPt>
          <c:dPt>
            <c:idx val="5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9-E3E4-4B96-9D8B-B0D9BC9F1AE2}"/>
              </c:ext>
            </c:extLst>
          </c:dPt>
          <c:dPt>
            <c:idx val="5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B-E3E4-4B96-9D8B-B0D9BC9F1AE2}"/>
              </c:ext>
            </c:extLst>
          </c:dPt>
          <c:dPt>
            <c:idx val="5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D-E3E4-4B96-9D8B-B0D9BC9F1AE2}"/>
              </c:ext>
            </c:extLst>
          </c:dPt>
          <c:dPt>
            <c:idx val="5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F-E3E4-4B96-9D8B-B0D9BC9F1AE2}"/>
              </c:ext>
            </c:extLst>
          </c:dPt>
          <c:dPt>
            <c:idx val="5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71-E3E4-4B96-9D8B-B0D9BC9F1AE2}"/>
              </c:ext>
            </c:extLst>
          </c:dPt>
          <c:dPt>
            <c:idx val="5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73-E3E4-4B96-9D8B-B0D9BC9F1AE2}"/>
              </c:ext>
            </c:extLst>
          </c:dPt>
          <c:val>
            <c:numLit>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Lit>
          </c:val>
          <c:extLst>
            <c:ext xmlns:c16="http://schemas.microsoft.com/office/drawing/2014/chart" uri="{C3380CC4-5D6E-409C-BE32-E72D297353CC}">
              <c16:uniqueId val="{00000074-E3E4-4B96-9D8B-B0D9BC9F1AE2}"/>
            </c:ext>
          </c:extLst>
        </c:ser>
        <c:dLbls>
          <c:showLegendKey val="0"/>
          <c:showVal val="0"/>
          <c:showCatName val="0"/>
          <c:showSerName val="0"/>
          <c:showPercent val="0"/>
          <c:showBubbleSize val="0"/>
          <c:showLeaderLines val="1"/>
        </c:dLbls>
        <c:firstSliceAng val="0"/>
        <c:holeSize val="75"/>
      </c:doughnutChart>
      <c:pieChart>
        <c:varyColors val="1"/>
        <c:ser>
          <c:idx val="1"/>
          <c:order val="1"/>
          <c:tx>
            <c:v>2nd</c:v>
          </c:tx>
          <c:spPr>
            <a:ln>
              <a:noFill/>
            </a:ln>
          </c:spPr>
          <c:dPt>
            <c:idx val="0"/>
            <c:bubble3D val="0"/>
            <c:spPr>
              <a:noFill/>
              <a:ln w="19050">
                <a:noFill/>
              </a:ln>
              <a:effectLst/>
            </c:spPr>
            <c:extLst>
              <c:ext xmlns:c16="http://schemas.microsoft.com/office/drawing/2014/chart" uri="{C3380CC4-5D6E-409C-BE32-E72D297353CC}">
                <c16:uniqueId val="{00000076-E3E4-4B96-9D8B-B0D9BC9F1AE2}"/>
              </c:ext>
            </c:extLst>
          </c:dPt>
          <c:dPt>
            <c:idx val="1"/>
            <c:bubble3D val="0"/>
            <c:spPr>
              <a:solidFill>
                <a:schemeClr val="tx1">
                  <a:alpha val="71000"/>
                </a:schemeClr>
              </a:solidFill>
              <a:ln w="19050">
                <a:noFill/>
              </a:ln>
              <a:effectLst/>
            </c:spPr>
            <c:extLst>
              <c:ext xmlns:c16="http://schemas.microsoft.com/office/drawing/2014/chart" uri="{C3380CC4-5D6E-409C-BE32-E72D297353CC}">
                <c16:uniqueId val="{00000078-E3E4-4B96-9D8B-B0D9BC9F1AE2}"/>
              </c:ext>
            </c:extLst>
          </c:dPt>
          <c:val>
            <c:numRef>
              <c:f>Pivottables!$F$50:$G$50</c:f>
              <c:numCache>
                <c:formatCode>0%</c:formatCode>
                <c:ptCount val="2"/>
                <c:pt idx="0">
                  <c:v>0.71910457155473795</c:v>
                </c:pt>
                <c:pt idx="1">
                  <c:v>0.28089542844526205</c:v>
                </c:pt>
              </c:numCache>
            </c:numRef>
          </c:val>
          <c:extLst>
            <c:ext xmlns:c16="http://schemas.microsoft.com/office/drawing/2014/chart" uri="{C3380CC4-5D6E-409C-BE32-E72D297353CC}">
              <c16:uniqueId val="{00000079-E3E4-4B96-9D8B-B0D9BC9F1AE2}"/>
            </c:ext>
          </c:extLst>
        </c:ser>
        <c:dLbls>
          <c:showLegendKey val="0"/>
          <c:showVal val="0"/>
          <c:showCatName val="0"/>
          <c:showSerName val="0"/>
          <c:showPercent val="0"/>
          <c:showBubbleSize val="0"/>
          <c:showLeaderLines val="1"/>
        </c:dLbls>
        <c:firstSliceAng val="0"/>
      </c:pieChart>
      <c:scatterChart>
        <c:scatterStyle val="lineMarker"/>
        <c:varyColors val="0"/>
        <c:ser>
          <c:idx val="2"/>
          <c:order val="2"/>
          <c:tx>
            <c:v>3rd</c:v>
          </c:tx>
          <c:spPr>
            <a:ln w="25400" cap="rnd">
              <a:noFill/>
              <a:round/>
            </a:ln>
            <a:effectLst/>
          </c:spPr>
          <c:marker>
            <c:symbol val="circle"/>
            <c:size val="38"/>
            <c:spPr>
              <a:solidFill>
                <a:schemeClr val="tx1"/>
              </a:solidFill>
              <a:ln w="9525">
                <a:gradFill>
                  <a:gsLst>
                    <a:gs pos="0">
                      <a:srgbClr val="013220"/>
                    </a:gs>
                    <a:gs pos="100000">
                      <a:schemeClr val="accent6"/>
                    </a:gs>
                  </a:gsLst>
                  <a:lin ang="5400000" scaled="1"/>
                </a:gradFill>
              </a:ln>
              <a:effectLst/>
            </c:spPr>
          </c:marker>
          <c:dPt>
            <c:idx val="0"/>
            <c:marker>
              <c:symbol val="circle"/>
              <c:size val="38"/>
              <c:spPr>
                <a:solidFill>
                  <a:schemeClr val="tx1"/>
                </a:solidFill>
                <a:ln w="9525">
                  <a:gradFill>
                    <a:gsLst>
                      <a:gs pos="22000">
                        <a:srgbClr val="00B050"/>
                      </a:gs>
                      <a:gs pos="75000">
                        <a:schemeClr val="accent6"/>
                      </a:gs>
                    </a:gsLst>
                    <a:lin ang="5400000" scaled="1"/>
                  </a:gradFill>
                </a:ln>
                <a:effectLst/>
              </c:spPr>
            </c:marker>
            <c:bubble3D val="0"/>
            <c:extLst>
              <c:ext xmlns:c16="http://schemas.microsoft.com/office/drawing/2014/chart" uri="{C3380CC4-5D6E-409C-BE32-E72D297353CC}">
                <c16:uniqueId val="{0000007A-E3E4-4B96-9D8B-B0D9BC9F1AE2}"/>
              </c:ext>
            </c:extLst>
          </c:dPt>
          <c:dPt>
            <c:idx val="1"/>
            <c:marker>
              <c:symbol val="circle"/>
              <c:size val="38"/>
              <c:spPr>
                <a:solidFill>
                  <a:schemeClr val="tx1"/>
                </a:solidFill>
                <a:ln w="9525">
                  <a:gradFill>
                    <a:gsLst>
                      <a:gs pos="22000">
                        <a:srgbClr val="FFFF00"/>
                      </a:gs>
                      <a:gs pos="74000">
                        <a:schemeClr val="accent4"/>
                      </a:gs>
                    </a:gsLst>
                    <a:lin ang="5400000" scaled="1"/>
                  </a:gradFill>
                </a:ln>
                <a:effectLst/>
              </c:spPr>
            </c:marker>
            <c:bubble3D val="0"/>
            <c:extLst>
              <c:ext xmlns:c16="http://schemas.microsoft.com/office/drawing/2014/chart" uri="{C3380CC4-5D6E-409C-BE32-E72D297353CC}">
                <c16:uniqueId val="{0000007B-E3E4-4B96-9D8B-B0D9BC9F1AE2}"/>
              </c:ext>
            </c:extLst>
          </c:dPt>
          <c:dLbls>
            <c:dLbl>
              <c:idx val="0"/>
              <c:tx>
                <c:rich>
                  <a:bodyPr/>
                  <a:lstStyle/>
                  <a:p>
                    <a:fld id="{1B1A99A6-5236-4130-87F2-5929514DFF82}"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A-E3E4-4B96-9D8B-B0D9BC9F1AE2}"/>
                </c:ext>
              </c:extLst>
            </c:dLbl>
            <c:dLbl>
              <c:idx val="1"/>
              <c:tx>
                <c:rich>
                  <a:bodyPr/>
                  <a:lstStyle/>
                  <a:p>
                    <a:fld id="{E2D09903-CCAC-461A-9310-4D209E996A4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E3E4-4B96-9D8B-B0D9BC9F1AE2}"/>
                </c:ext>
              </c:extLst>
            </c:dLbl>
            <c:spPr>
              <a:noFill/>
              <a:ln>
                <a:noFill/>
              </a:ln>
              <a:effectLst/>
            </c:spPr>
            <c:txPr>
              <a:bodyPr rot="0" spcFirstLastPara="1" vertOverflow="ellipsis" vert="horz" wrap="square" lIns="38100" tIns="19050" rIns="38100" bIns="19050" anchor="ctr" anchorCtr="0">
                <a:spAutoFit/>
              </a:bodyPr>
              <a:lstStyle/>
              <a:p>
                <a:pPr algn="ctr">
                  <a:defRPr sz="1600" b="0" i="0" u="none" strike="noStrike" kern="1200" baseline="0">
                    <a:solidFill>
                      <a:schemeClr val="bg1"/>
                    </a:solidFill>
                    <a:latin typeface="Roboto" panose="02000000000000000000" pitchFamily="2" charset="0"/>
                    <a:ea typeface="Roboto" panose="02000000000000000000" pitchFamily="2" charset="0"/>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Pivottables!$F$54:$F$55</c:f>
              <c:numCache>
                <c:formatCode>General</c:formatCode>
                <c:ptCount val="2"/>
                <c:pt idx="0">
                  <c:v>0</c:v>
                </c:pt>
                <c:pt idx="1">
                  <c:v>-0.98121747588135366</c:v>
                </c:pt>
              </c:numCache>
            </c:numRef>
          </c:xVal>
          <c:yVal>
            <c:numRef>
              <c:f>Pivottables!$G$54:$G$55</c:f>
              <c:numCache>
                <c:formatCode>General</c:formatCode>
                <c:ptCount val="2"/>
                <c:pt idx="0">
                  <c:v>1</c:v>
                </c:pt>
                <c:pt idx="1">
                  <c:v>-0.19290480819571401</c:v>
                </c:pt>
              </c:numCache>
            </c:numRef>
          </c:yVal>
          <c:smooth val="0"/>
          <c:extLst>
            <c:ext xmlns:c15="http://schemas.microsoft.com/office/drawing/2012/chart" uri="{02D57815-91ED-43cb-92C2-25804820EDAC}">
              <c15:datalabelsRange>
                <c15:f>Pivottables!$I$50:$I$51</c15:f>
                <c15:dlblRangeCache>
                  <c:ptCount val="2"/>
                  <c:pt idx="0">
                    <c:v>28%</c:v>
                  </c:pt>
                  <c:pt idx="1">
                    <c:v>72%</c:v>
                  </c:pt>
                </c15:dlblRangeCache>
              </c15:datalabelsRange>
            </c:ext>
            <c:ext xmlns:c16="http://schemas.microsoft.com/office/drawing/2014/chart" uri="{C3380CC4-5D6E-409C-BE32-E72D297353CC}">
              <c16:uniqueId val="{0000007C-E3E4-4B96-9D8B-B0D9BC9F1AE2}"/>
            </c:ext>
          </c:extLst>
        </c:ser>
        <c:dLbls>
          <c:showLegendKey val="0"/>
          <c:showVal val="0"/>
          <c:showCatName val="0"/>
          <c:showSerName val="0"/>
          <c:showPercent val="0"/>
          <c:showBubbleSize val="0"/>
        </c:dLbls>
        <c:axId val="105525327"/>
        <c:axId val="105524911"/>
      </c:scatterChart>
      <c:valAx>
        <c:axId val="105524911"/>
        <c:scaling>
          <c:orientation val="minMax"/>
          <c:max val="1.1500000000000001"/>
          <c:min val="-1.1500000000000001"/>
        </c:scaling>
        <c:delete val="1"/>
        <c:axPos val="l"/>
        <c:numFmt formatCode="General" sourceLinked="1"/>
        <c:majorTickMark val="out"/>
        <c:minorTickMark val="none"/>
        <c:tickLblPos val="nextTo"/>
        <c:crossAx val="105525327"/>
        <c:crosses val="autoZero"/>
        <c:crossBetween val="midCat"/>
      </c:valAx>
      <c:valAx>
        <c:axId val="105525327"/>
        <c:scaling>
          <c:orientation val="minMax"/>
          <c:max val="1.1500000000000001"/>
          <c:min val="-1.1500000000000001"/>
        </c:scaling>
        <c:delete val="1"/>
        <c:axPos val="b"/>
        <c:numFmt formatCode="General" sourceLinked="1"/>
        <c:majorTickMark val="out"/>
        <c:minorTickMark val="none"/>
        <c:tickLblPos val="nextTo"/>
        <c:crossAx val="1055249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Dashboard Systems Finals.xlsm]Pivottables!PivotTable16</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9947F7">
                  <a:alpha val="60000"/>
                </a:srgbClr>
              </a:gs>
              <a:gs pos="100000">
                <a:srgbClr val="00F1DF"/>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Pivottables!$D$94</c:f>
              <c:strCache>
                <c:ptCount val="1"/>
                <c:pt idx="0">
                  <c:v>Total</c:v>
                </c:pt>
              </c:strCache>
            </c:strRef>
          </c:tx>
          <c:spPr>
            <a:gradFill flip="none" rotWithShape="1">
              <a:gsLst>
                <a:gs pos="0">
                  <a:srgbClr val="9947F7">
                    <a:alpha val="60000"/>
                  </a:srgbClr>
                </a:gs>
                <a:gs pos="100000">
                  <a:srgbClr val="00F1DF"/>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Pivottables!$C$95:$C$98</c:f>
              <c:strCache>
                <c:ptCount val="3"/>
                <c:pt idx="0">
                  <c:v>Branch </c:v>
                </c:pt>
                <c:pt idx="1">
                  <c:v>Download</c:v>
                </c:pt>
                <c:pt idx="2">
                  <c:v>Shipment</c:v>
                </c:pt>
              </c:strCache>
            </c:strRef>
          </c:cat>
          <c:val>
            <c:numRef>
              <c:f>Pivottables!$D$95:$D$98</c:f>
              <c:numCache>
                <c:formatCode>_(* #,##0_);_(* \(#,##0\);_(* "-"??_);_(@_)</c:formatCode>
                <c:ptCount val="3"/>
                <c:pt idx="0">
                  <c:v>957</c:v>
                </c:pt>
                <c:pt idx="1">
                  <c:v>978</c:v>
                </c:pt>
                <c:pt idx="2">
                  <c:v>1180</c:v>
                </c:pt>
              </c:numCache>
            </c:numRef>
          </c:val>
          <c:extLst>
            <c:ext xmlns:c16="http://schemas.microsoft.com/office/drawing/2014/chart" uri="{C3380CC4-5D6E-409C-BE32-E72D297353CC}">
              <c16:uniqueId val="{00000000-D5A0-40B9-8583-1FCA54C131DF}"/>
            </c:ext>
          </c:extLst>
        </c:ser>
        <c:dLbls>
          <c:dLblPos val="outEnd"/>
          <c:showLegendKey val="0"/>
          <c:showVal val="1"/>
          <c:showCatName val="0"/>
          <c:showSerName val="0"/>
          <c:showPercent val="0"/>
          <c:showBubbleSize val="0"/>
        </c:dLbls>
        <c:gapWidth val="400"/>
        <c:overlap val="-30"/>
        <c:axId val="1295714016"/>
        <c:axId val="1089482288"/>
      </c:barChart>
      <c:catAx>
        <c:axId val="1295714016"/>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crossAx val="1089482288"/>
        <c:crosses val="autoZero"/>
        <c:auto val="1"/>
        <c:lblAlgn val="ctr"/>
        <c:lblOffset val="100"/>
        <c:noMultiLvlLbl val="0"/>
      </c:catAx>
      <c:valAx>
        <c:axId val="1089482288"/>
        <c:scaling>
          <c:orientation val="minMax"/>
        </c:scaling>
        <c:delete val="1"/>
        <c:axPos val="b"/>
        <c:numFmt formatCode="_(* #,##0_);_(* \(#,##0\);_(* &quot;-&quot;??_);_(@_)" sourceLinked="1"/>
        <c:majorTickMark val="none"/>
        <c:minorTickMark val="none"/>
        <c:tickLblPos val="nextTo"/>
        <c:crossAx val="129571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Dashboard Systems Finals.xlsm]Pivottables!PivotTable17</c:name>
    <c:fmtId val="1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2"/>
          </a:solidFill>
          <a:ln w="19050">
            <a:noFill/>
          </a:ln>
          <a:effectLst/>
        </c:spPr>
      </c:pivotFmt>
      <c:pivotFmt>
        <c:idx val="6"/>
        <c:spPr>
          <a:noFill/>
          <a:ln w="19050">
            <a:noFill/>
          </a:ln>
          <a:effectLst/>
        </c:spPr>
      </c:pivotFmt>
    </c:pivotFmts>
    <c:plotArea>
      <c:layout/>
      <c:pieChart>
        <c:varyColors val="1"/>
        <c:ser>
          <c:idx val="0"/>
          <c:order val="0"/>
          <c:tx>
            <c:strRef>
              <c:f>Pivottables!$D$101</c:f>
              <c:strCache>
                <c:ptCount val="1"/>
                <c:pt idx="0">
                  <c:v>Total</c:v>
                </c:pt>
              </c:strCache>
            </c:strRef>
          </c:tx>
          <c:spPr>
            <a:solidFill>
              <a:schemeClr val="accent1"/>
            </a:solidFill>
            <a:ln>
              <a:noFill/>
            </a:ln>
          </c:spPr>
          <c:dPt>
            <c:idx val="0"/>
            <c:bubble3D val="0"/>
            <c:spPr>
              <a:solidFill>
                <a:schemeClr val="bg2"/>
              </a:solidFill>
              <a:ln w="19050">
                <a:noFill/>
              </a:ln>
              <a:effectLst/>
            </c:spPr>
            <c:extLst>
              <c:ext xmlns:c16="http://schemas.microsoft.com/office/drawing/2014/chart" uri="{C3380CC4-5D6E-409C-BE32-E72D297353CC}">
                <c16:uniqueId val="{00000001-633F-4FF7-AD0B-FDF5F8A36A05}"/>
              </c:ext>
            </c:extLst>
          </c:dPt>
          <c:dPt>
            <c:idx val="1"/>
            <c:bubble3D val="0"/>
            <c:spPr>
              <a:noFill/>
              <a:ln w="19050">
                <a:noFill/>
              </a:ln>
              <a:effectLst/>
            </c:spPr>
            <c:extLst>
              <c:ext xmlns:c16="http://schemas.microsoft.com/office/drawing/2014/chart" uri="{C3380CC4-5D6E-409C-BE32-E72D297353CC}">
                <c16:uniqueId val="{00000003-633F-4FF7-AD0B-FDF5F8A36A05}"/>
              </c:ext>
            </c:extLst>
          </c:dPt>
          <c:cat>
            <c:strRef>
              <c:f>Pivottables!$C$102:$C$104</c:f>
              <c:strCache>
                <c:ptCount val="2"/>
                <c:pt idx="0">
                  <c:v>Paid</c:v>
                </c:pt>
                <c:pt idx="1">
                  <c:v>Refunded</c:v>
                </c:pt>
              </c:strCache>
            </c:strRef>
          </c:cat>
          <c:val>
            <c:numRef>
              <c:f>Pivottables!$D$102:$D$104</c:f>
              <c:numCache>
                <c:formatCode>0%</c:formatCode>
                <c:ptCount val="2"/>
                <c:pt idx="0">
                  <c:v>0.78747993579454256</c:v>
                </c:pt>
                <c:pt idx="1">
                  <c:v>0.21252006420545747</c:v>
                </c:pt>
              </c:numCache>
            </c:numRef>
          </c:val>
          <c:extLst>
            <c:ext xmlns:c16="http://schemas.microsoft.com/office/drawing/2014/chart" uri="{C3380CC4-5D6E-409C-BE32-E72D297353CC}">
              <c16:uniqueId val="{00000004-633F-4FF7-AD0B-FDF5F8A36A0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hyperlink" Target="https://www.linkedin.com/in/abhishek-kumar-singh35/" TargetMode="External"/><Relationship Id="rId3" Type="http://schemas.openxmlformats.org/officeDocument/2006/relationships/hyperlink" Target="#'Sales Process'!A1"/><Relationship Id="rId7" Type="http://schemas.openxmlformats.org/officeDocument/2006/relationships/chart" Target="../charts/chart4.xml"/><Relationship Id="rId12" Type="http://schemas.openxmlformats.org/officeDocument/2006/relationships/image" Target="../media/image3.png"/><Relationship Id="rId2" Type="http://schemas.openxmlformats.org/officeDocument/2006/relationships/hyperlink" Target="#Geographically!A1"/><Relationship Id="rId1" Type="http://schemas.openxmlformats.org/officeDocument/2006/relationships/hyperlink" Target="#'Income Source'!A1"/><Relationship Id="rId6" Type="http://schemas.openxmlformats.org/officeDocument/2006/relationships/chart" Target="../charts/chart3.xml"/><Relationship Id="rId11" Type="http://schemas.openxmlformats.org/officeDocument/2006/relationships/hyperlink" Target="https://github.com/Abhisheksingh35" TargetMode="External"/><Relationship Id="rId5" Type="http://schemas.openxmlformats.org/officeDocument/2006/relationships/chart" Target="../charts/chart2.xml"/><Relationship Id="rId10" Type="http://schemas.openxmlformats.org/officeDocument/2006/relationships/image" Target="../media/image2.svg"/><Relationship Id="rId4" Type="http://schemas.openxmlformats.org/officeDocument/2006/relationships/chart" Target="../charts/chart1.xml"/><Relationship Id="rId9" Type="http://schemas.openxmlformats.org/officeDocument/2006/relationships/image" Target="../media/image1.png"/><Relationship Id="rId1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hyperlink" Target="#'Sales Process'!A1"/><Relationship Id="rId7" Type="http://schemas.openxmlformats.org/officeDocument/2006/relationships/image" Target="../media/image6.svg"/><Relationship Id="rId12" Type="http://schemas.openxmlformats.org/officeDocument/2006/relationships/image" Target="../media/image4.png"/><Relationship Id="rId2" Type="http://schemas.openxmlformats.org/officeDocument/2006/relationships/hyperlink" Target="#Geographically!A1"/><Relationship Id="rId1" Type="http://schemas.openxmlformats.org/officeDocument/2006/relationships/hyperlink" Target="#'Income Source'!A1"/><Relationship Id="rId6" Type="http://schemas.openxmlformats.org/officeDocument/2006/relationships/image" Target="../media/image5.png"/><Relationship Id="rId11" Type="http://schemas.openxmlformats.org/officeDocument/2006/relationships/hyperlink" Target="https://www.linkedin.com/in/abhishek-kumar-singh35/" TargetMode="External"/><Relationship Id="rId5" Type="http://schemas.openxmlformats.org/officeDocument/2006/relationships/chart" Target="../charts/chart7.xml"/><Relationship Id="rId10" Type="http://schemas.openxmlformats.org/officeDocument/2006/relationships/image" Target="../media/image3.png"/><Relationship Id="rId4" Type="http://schemas.openxmlformats.org/officeDocument/2006/relationships/chart" Target="../charts/chart6.xml"/><Relationship Id="rId9" Type="http://schemas.openxmlformats.org/officeDocument/2006/relationships/hyperlink" Target="https://github.com/Abhisheksingh35"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hyperlink" Target="#'Sales Process'!A1"/><Relationship Id="rId21" Type="http://schemas.openxmlformats.org/officeDocument/2006/relationships/hyperlink" Target="https://github.com/Abhisheksingh35" TargetMode="External"/><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hyperlink" Target="#Geographically!A1"/><Relationship Id="rId16" Type="http://schemas.openxmlformats.org/officeDocument/2006/relationships/image" Target="../media/image18.png"/><Relationship Id="rId20" Type="http://schemas.openxmlformats.org/officeDocument/2006/relationships/chart" Target="../charts/chart11.xml"/><Relationship Id="rId1" Type="http://schemas.openxmlformats.org/officeDocument/2006/relationships/hyperlink" Target="#'Income Source'!A1"/><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hyperlink" Target="https://www.linkedin.com/in/abhishek-kumar-singh35/" TargetMode="External"/><Relationship Id="rId10" Type="http://schemas.openxmlformats.org/officeDocument/2006/relationships/image" Target="../media/image12.png"/><Relationship Id="rId19" Type="http://schemas.openxmlformats.org/officeDocument/2006/relationships/chart" Target="../charts/chart10.xml"/><Relationship Id="rId4" Type="http://schemas.openxmlformats.org/officeDocument/2006/relationships/chart" Target="../charts/chart9.xml"/><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16</xdr:col>
      <xdr:colOff>304800</xdr:colOff>
      <xdr:row>12</xdr:row>
      <xdr:rowOff>15240</xdr:rowOff>
    </xdr:from>
    <xdr:to>
      <xdr:col>18</xdr:col>
      <xdr:colOff>419100</xdr:colOff>
      <xdr:row>17</xdr:row>
      <xdr:rowOff>152400</xdr:rowOff>
    </xdr:to>
    <xdr:grpSp>
      <xdr:nvGrpSpPr>
        <xdr:cNvPr id="105" name="Group 104">
          <a:extLst>
            <a:ext uri="{FF2B5EF4-FFF2-40B4-BE49-F238E27FC236}">
              <a16:creationId xmlns:a16="http://schemas.microsoft.com/office/drawing/2014/main" id="{1B26A9BC-D91C-4236-8667-3AD46014F69E}"/>
            </a:ext>
          </a:extLst>
        </xdr:cNvPr>
        <xdr:cNvGrpSpPr/>
      </xdr:nvGrpSpPr>
      <xdr:grpSpPr>
        <a:xfrm>
          <a:off x="10058400" y="2209800"/>
          <a:ext cx="1333500" cy="1059180"/>
          <a:chOff x="10035540" y="2217420"/>
          <a:chExt cx="1333500" cy="1059180"/>
        </a:xfrm>
      </xdr:grpSpPr>
      <xdr:cxnSp macro="">
        <xdr:nvCxnSpPr>
          <xdr:cNvPr id="90" name="Straight Connector 89">
            <a:extLst>
              <a:ext uri="{FF2B5EF4-FFF2-40B4-BE49-F238E27FC236}">
                <a16:creationId xmlns:a16="http://schemas.microsoft.com/office/drawing/2014/main" id="{B50A1212-1ACF-4852-A66A-02582A188B9E}"/>
              </a:ext>
            </a:extLst>
          </xdr:cNvPr>
          <xdr:cNvCxnSpPr/>
        </xdr:nvCxnSpPr>
        <xdr:spPr>
          <a:xfrm flipV="1">
            <a:off x="10035540" y="2583180"/>
            <a:ext cx="937260" cy="693420"/>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92" name="Circle: Hollow 91">
            <a:extLst>
              <a:ext uri="{FF2B5EF4-FFF2-40B4-BE49-F238E27FC236}">
                <a16:creationId xmlns:a16="http://schemas.microsoft.com/office/drawing/2014/main" id="{4EE0FD3B-7239-4FD4-83C7-A80A38DB276E}"/>
              </a:ext>
            </a:extLst>
          </xdr:cNvPr>
          <xdr:cNvSpPr/>
        </xdr:nvSpPr>
        <xdr:spPr>
          <a:xfrm>
            <a:off x="10904220" y="2217420"/>
            <a:ext cx="457200"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21">
        <xdr:nvSpPr>
          <xdr:cNvPr id="104" name="TextBox 103">
            <a:extLst>
              <a:ext uri="{FF2B5EF4-FFF2-40B4-BE49-F238E27FC236}">
                <a16:creationId xmlns:a16="http://schemas.microsoft.com/office/drawing/2014/main" id="{4FCD539E-023E-44B3-8A32-5BB6A01F20DA}"/>
              </a:ext>
            </a:extLst>
          </xdr:cNvPr>
          <xdr:cNvSpPr txBox="1"/>
        </xdr:nvSpPr>
        <xdr:spPr>
          <a:xfrm>
            <a:off x="10942321" y="232410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0D2B49-38F9-48C5-A8F1-3AE7438573AE}" type="TxLink">
              <a:rPr lang="en-US" sz="1000" b="0" i="0" u="none" strike="noStrike">
                <a:solidFill>
                  <a:schemeClr val="bg1"/>
                </a:solidFill>
                <a:latin typeface="Roboto"/>
                <a:ea typeface="Roboto"/>
              </a:rPr>
              <a:pPr algn="ctr"/>
              <a:t>23%</a:t>
            </a:fld>
            <a:endParaRPr lang="en-IN" sz="90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17</xdr:col>
      <xdr:colOff>388620</xdr:colOff>
      <xdr:row>34</xdr:row>
      <xdr:rowOff>60960</xdr:rowOff>
    </xdr:from>
    <xdr:to>
      <xdr:col>19</xdr:col>
      <xdr:colOff>426720</xdr:colOff>
      <xdr:row>37</xdr:row>
      <xdr:rowOff>30480</xdr:rowOff>
    </xdr:to>
    <xdr:grpSp>
      <xdr:nvGrpSpPr>
        <xdr:cNvPr id="106" name="Group 105">
          <a:extLst>
            <a:ext uri="{FF2B5EF4-FFF2-40B4-BE49-F238E27FC236}">
              <a16:creationId xmlns:a16="http://schemas.microsoft.com/office/drawing/2014/main" id="{4B18EF61-F5A3-4C19-9E07-B5FE7ED9EBFE}"/>
            </a:ext>
          </a:extLst>
        </xdr:cNvPr>
        <xdr:cNvGrpSpPr/>
      </xdr:nvGrpSpPr>
      <xdr:grpSpPr>
        <a:xfrm>
          <a:off x="10751820" y="6286500"/>
          <a:ext cx="1257300" cy="518160"/>
          <a:chOff x="9845040" y="2141220"/>
          <a:chExt cx="1257300" cy="518160"/>
        </a:xfrm>
      </xdr:grpSpPr>
      <xdr:cxnSp macro="">
        <xdr:nvCxnSpPr>
          <xdr:cNvPr id="107" name="Straight Connector 106">
            <a:extLst>
              <a:ext uri="{FF2B5EF4-FFF2-40B4-BE49-F238E27FC236}">
                <a16:creationId xmlns:a16="http://schemas.microsoft.com/office/drawing/2014/main" id="{1F30DDD8-300A-4955-B9A5-1B2C11B41F98}"/>
              </a:ext>
            </a:extLst>
          </xdr:cNvPr>
          <xdr:cNvCxnSpPr>
            <a:endCxn id="108" idx="2"/>
          </xdr:cNvCxnSpPr>
        </xdr:nvCxnSpPr>
        <xdr:spPr>
          <a:xfrm>
            <a:off x="9845040" y="2141220"/>
            <a:ext cx="792480" cy="289560"/>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08" name="Circle: Hollow 107">
            <a:extLst>
              <a:ext uri="{FF2B5EF4-FFF2-40B4-BE49-F238E27FC236}">
                <a16:creationId xmlns:a16="http://schemas.microsoft.com/office/drawing/2014/main" id="{B79BF256-7D81-408E-879B-4829945E117B}"/>
              </a:ext>
            </a:extLst>
          </xdr:cNvPr>
          <xdr:cNvSpPr/>
        </xdr:nvSpPr>
        <xdr:spPr>
          <a:xfrm>
            <a:off x="10637520" y="2202180"/>
            <a:ext cx="457200"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9">
        <xdr:nvSpPr>
          <xdr:cNvPr id="109" name="TextBox 108">
            <a:extLst>
              <a:ext uri="{FF2B5EF4-FFF2-40B4-BE49-F238E27FC236}">
                <a16:creationId xmlns:a16="http://schemas.microsoft.com/office/drawing/2014/main" id="{07B7DB7A-30F9-4DEB-B10A-0140E2AA080A}"/>
              </a:ext>
            </a:extLst>
          </xdr:cNvPr>
          <xdr:cNvSpPr txBox="1"/>
        </xdr:nvSpPr>
        <xdr:spPr>
          <a:xfrm>
            <a:off x="10675621" y="230886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37DD98-2D97-4611-BFE6-C50F7F535180}" type="TxLink">
              <a:rPr lang="en-US" sz="1100" b="0" i="0" u="none" strike="noStrike">
                <a:solidFill>
                  <a:schemeClr val="bg1"/>
                </a:solidFill>
                <a:latin typeface="Roboto condensed" panose="02000000000000000000" pitchFamily="2" charset="0"/>
                <a:ea typeface="Roboto condensed" panose="02000000000000000000" pitchFamily="2" charset="0"/>
              </a:rPr>
              <a:pPr algn="ctr"/>
              <a:t>18%</a:t>
            </a:fld>
            <a:endParaRPr lang="en-IN" sz="110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12</xdr:col>
      <xdr:colOff>293865</xdr:colOff>
      <xdr:row>38</xdr:row>
      <xdr:rowOff>30480</xdr:rowOff>
    </xdr:from>
    <xdr:to>
      <xdr:col>13</xdr:col>
      <xdr:colOff>159990</xdr:colOff>
      <xdr:row>43</xdr:row>
      <xdr:rowOff>168756</xdr:rowOff>
    </xdr:to>
    <xdr:grpSp>
      <xdr:nvGrpSpPr>
        <xdr:cNvPr id="110" name="Group 109">
          <a:extLst>
            <a:ext uri="{FF2B5EF4-FFF2-40B4-BE49-F238E27FC236}">
              <a16:creationId xmlns:a16="http://schemas.microsoft.com/office/drawing/2014/main" id="{2F49A73F-B63F-4FFE-8E51-1B8BA978493A}"/>
            </a:ext>
          </a:extLst>
        </xdr:cNvPr>
        <xdr:cNvGrpSpPr/>
      </xdr:nvGrpSpPr>
      <xdr:grpSpPr>
        <a:xfrm>
          <a:off x="7609065" y="6987540"/>
          <a:ext cx="475725" cy="1052676"/>
          <a:chOff x="10874471" y="1365028"/>
          <a:chExt cx="464790" cy="1032939"/>
        </a:xfrm>
      </xdr:grpSpPr>
      <xdr:cxnSp macro="">
        <xdr:nvCxnSpPr>
          <xdr:cNvPr id="111" name="Straight Connector 110">
            <a:extLst>
              <a:ext uri="{FF2B5EF4-FFF2-40B4-BE49-F238E27FC236}">
                <a16:creationId xmlns:a16="http://schemas.microsoft.com/office/drawing/2014/main" id="{BFE67C9D-E771-4CA0-92B6-EF1E9B9E1FFB}"/>
              </a:ext>
            </a:extLst>
          </xdr:cNvPr>
          <xdr:cNvCxnSpPr>
            <a:stCxn id="99" idx="0"/>
            <a:endCxn id="112" idx="0"/>
          </xdr:cNvCxnSpPr>
        </xdr:nvCxnSpPr>
        <xdr:spPr>
          <a:xfrm>
            <a:off x="11041497" y="1365028"/>
            <a:ext cx="61574" cy="575739"/>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12" name="Circle: Hollow 111">
            <a:extLst>
              <a:ext uri="{FF2B5EF4-FFF2-40B4-BE49-F238E27FC236}">
                <a16:creationId xmlns:a16="http://schemas.microsoft.com/office/drawing/2014/main" id="{B56CBE77-111D-42BC-B613-3899DF5C1DB1}"/>
              </a:ext>
            </a:extLst>
          </xdr:cNvPr>
          <xdr:cNvSpPr/>
        </xdr:nvSpPr>
        <xdr:spPr>
          <a:xfrm>
            <a:off x="10874471" y="1940767"/>
            <a:ext cx="457202"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12">
        <xdr:nvSpPr>
          <xdr:cNvPr id="113" name="TextBox 112">
            <a:extLst>
              <a:ext uri="{FF2B5EF4-FFF2-40B4-BE49-F238E27FC236}">
                <a16:creationId xmlns:a16="http://schemas.microsoft.com/office/drawing/2014/main" id="{1A503611-4CBF-4A43-93C4-5FB67E1D5415}"/>
              </a:ext>
            </a:extLst>
          </xdr:cNvPr>
          <xdr:cNvSpPr txBox="1"/>
        </xdr:nvSpPr>
        <xdr:spPr>
          <a:xfrm>
            <a:off x="10912542" y="2047446"/>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CDF1EF-BA5D-45BF-8B39-8AB13832E927}" type="TxLink">
              <a:rPr lang="en-US" sz="1100" b="0" i="0" u="none" strike="noStrike">
                <a:solidFill>
                  <a:schemeClr val="bg1"/>
                </a:solidFill>
                <a:latin typeface="Roboto condensed" panose="02000000000000000000" pitchFamily="2" charset="0"/>
                <a:ea typeface="Roboto condensed" panose="02000000000000000000" pitchFamily="2" charset="0"/>
              </a:rPr>
              <a:pPr algn="ctr"/>
              <a:t>8%</a:t>
            </a:fld>
            <a:endParaRPr lang="en-IN" sz="105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7</xdr:col>
      <xdr:colOff>126222</xdr:colOff>
      <xdr:row>31</xdr:row>
      <xdr:rowOff>144781</xdr:rowOff>
    </xdr:from>
    <xdr:to>
      <xdr:col>8</xdr:col>
      <xdr:colOff>15242</xdr:colOff>
      <xdr:row>37</xdr:row>
      <xdr:rowOff>46837</xdr:rowOff>
    </xdr:to>
    <xdr:grpSp>
      <xdr:nvGrpSpPr>
        <xdr:cNvPr id="114" name="Group 113">
          <a:extLst>
            <a:ext uri="{FF2B5EF4-FFF2-40B4-BE49-F238E27FC236}">
              <a16:creationId xmlns:a16="http://schemas.microsoft.com/office/drawing/2014/main" id="{7507A7FE-5694-4BB0-A47B-E20603B11FCE}"/>
            </a:ext>
          </a:extLst>
        </xdr:cNvPr>
        <xdr:cNvGrpSpPr/>
      </xdr:nvGrpSpPr>
      <xdr:grpSpPr>
        <a:xfrm>
          <a:off x="4393422" y="5821681"/>
          <a:ext cx="498620" cy="999336"/>
          <a:chOff x="10904231" y="1694022"/>
          <a:chExt cx="487158" cy="980599"/>
        </a:xfrm>
      </xdr:grpSpPr>
      <xdr:cxnSp macro="">
        <xdr:nvCxnSpPr>
          <xdr:cNvPr id="115" name="Straight Connector 114">
            <a:extLst>
              <a:ext uri="{FF2B5EF4-FFF2-40B4-BE49-F238E27FC236}">
                <a16:creationId xmlns:a16="http://schemas.microsoft.com/office/drawing/2014/main" id="{D2B8A951-321E-4AF3-872D-CC40D6FEF943}"/>
              </a:ext>
            </a:extLst>
          </xdr:cNvPr>
          <xdr:cNvCxnSpPr>
            <a:endCxn id="116" idx="0"/>
          </xdr:cNvCxnSpPr>
        </xdr:nvCxnSpPr>
        <xdr:spPr>
          <a:xfrm flipH="1">
            <a:off x="11132831" y="1694022"/>
            <a:ext cx="258558" cy="523399"/>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16" name="Circle: Hollow 115">
            <a:extLst>
              <a:ext uri="{FF2B5EF4-FFF2-40B4-BE49-F238E27FC236}">
                <a16:creationId xmlns:a16="http://schemas.microsoft.com/office/drawing/2014/main" id="{94019816-7BBD-4DCB-98B5-B55F2A4A35A1}"/>
              </a:ext>
            </a:extLst>
          </xdr:cNvPr>
          <xdr:cNvSpPr/>
        </xdr:nvSpPr>
        <xdr:spPr>
          <a:xfrm>
            <a:off x="10904231" y="2217421"/>
            <a:ext cx="457201"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6">
        <xdr:nvSpPr>
          <xdr:cNvPr id="117" name="TextBox 116">
            <a:extLst>
              <a:ext uri="{FF2B5EF4-FFF2-40B4-BE49-F238E27FC236}">
                <a16:creationId xmlns:a16="http://schemas.microsoft.com/office/drawing/2014/main" id="{908D6839-8F58-4133-8725-739531E14B23}"/>
              </a:ext>
            </a:extLst>
          </xdr:cNvPr>
          <xdr:cNvSpPr txBox="1"/>
        </xdr:nvSpPr>
        <xdr:spPr>
          <a:xfrm>
            <a:off x="10942321" y="232410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D5162C-063A-49A1-955A-DC4A58EE2EDC}" type="TxLink">
              <a:rPr lang="en-US" sz="1100" b="0" i="0" u="none" strike="noStrike">
                <a:solidFill>
                  <a:schemeClr val="bg1"/>
                </a:solidFill>
                <a:latin typeface="Roboto condensed" panose="02000000000000000000" pitchFamily="2" charset="0"/>
                <a:ea typeface="Roboto condensed" panose="02000000000000000000" pitchFamily="2" charset="0"/>
              </a:rPr>
              <a:pPr algn="ctr"/>
              <a:t>22%</a:t>
            </a:fld>
            <a:endParaRPr lang="en-IN" sz="105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7</xdr:col>
      <xdr:colOff>331962</xdr:colOff>
      <xdr:row>6</xdr:row>
      <xdr:rowOff>68580</xdr:rowOff>
    </xdr:from>
    <xdr:to>
      <xdr:col>9</xdr:col>
      <xdr:colOff>304802</xdr:colOff>
      <xdr:row>10</xdr:row>
      <xdr:rowOff>38100</xdr:rowOff>
    </xdr:to>
    <xdr:grpSp>
      <xdr:nvGrpSpPr>
        <xdr:cNvPr id="118" name="Group 117">
          <a:extLst>
            <a:ext uri="{FF2B5EF4-FFF2-40B4-BE49-F238E27FC236}">
              <a16:creationId xmlns:a16="http://schemas.microsoft.com/office/drawing/2014/main" id="{A7693128-3DB1-4214-A7FB-80E2FEB62677}"/>
            </a:ext>
          </a:extLst>
        </xdr:cNvPr>
        <xdr:cNvGrpSpPr/>
      </xdr:nvGrpSpPr>
      <xdr:grpSpPr>
        <a:xfrm>
          <a:off x="4599162" y="1165860"/>
          <a:ext cx="1192040" cy="701040"/>
          <a:chOff x="10904231" y="2217421"/>
          <a:chExt cx="1164638" cy="687896"/>
        </a:xfrm>
      </xdr:grpSpPr>
      <xdr:cxnSp macro="">
        <xdr:nvCxnSpPr>
          <xdr:cNvPr id="119" name="Straight Connector 118">
            <a:extLst>
              <a:ext uri="{FF2B5EF4-FFF2-40B4-BE49-F238E27FC236}">
                <a16:creationId xmlns:a16="http://schemas.microsoft.com/office/drawing/2014/main" id="{17E3B397-EED4-443D-A51E-36446FB7BFC9}"/>
              </a:ext>
            </a:extLst>
          </xdr:cNvPr>
          <xdr:cNvCxnSpPr>
            <a:endCxn id="120" idx="5"/>
          </xdr:cNvCxnSpPr>
        </xdr:nvCxnSpPr>
        <xdr:spPr>
          <a:xfrm flipH="1" flipV="1">
            <a:off x="11294476" y="2607665"/>
            <a:ext cx="774393" cy="297652"/>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20" name="Circle: Hollow 119">
            <a:extLst>
              <a:ext uri="{FF2B5EF4-FFF2-40B4-BE49-F238E27FC236}">
                <a16:creationId xmlns:a16="http://schemas.microsoft.com/office/drawing/2014/main" id="{85924632-8607-46E5-A7A2-3BF3B89345E8}"/>
              </a:ext>
            </a:extLst>
          </xdr:cNvPr>
          <xdr:cNvSpPr/>
        </xdr:nvSpPr>
        <xdr:spPr>
          <a:xfrm>
            <a:off x="10904231" y="2217421"/>
            <a:ext cx="457201"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16">
        <xdr:nvSpPr>
          <xdr:cNvPr id="121" name="TextBox 120">
            <a:extLst>
              <a:ext uri="{FF2B5EF4-FFF2-40B4-BE49-F238E27FC236}">
                <a16:creationId xmlns:a16="http://schemas.microsoft.com/office/drawing/2014/main" id="{B6D19C97-463F-41EB-9D55-9DEB0A3F862F}"/>
              </a:ext>
            </a:extLst>
          </xdr:cNvPr>
          <xdr:cNvSpPr txBox="1"/>
        </xdr:nvSpPr>
        <xdr:spPr>
          <a:xfrm>
            <a:off x="10942321" y="232410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FB7F5A-DC78-4348-9530-F24297476147}" type="TxLink">
              <a:rPr lang="en-US" sz="1100" b="0" i="0" u="none" strike="noStrike">
                <a:solidFill>
                  <a:schemeClr val="bg1"/>
                </a:solidFill>
                <a:latin typeface="Roboto condensed" panose="02000000000000000000" pitchFamily="2" charset="0"/>
                <a:ea typeface="Roboto condensed" panose="02000000000000000000" pitchFamily="2" charset="0"/>
              </a:rPr>
              <a:pPr algn="ctr"/>
              <a:t>20%</a:t>
            </a:fld>
            <a:endParaRPr lang="en-IN" sz="105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0</xdr:col>
      <xdr:colOff>0</xdr:colOff>
      <xdr:row>0</xdr:row>
      <xdr:rowOff>15240</xdr:rowOff>
    </xdr:from>
    <xdr:to>
      <xdr:col>28</xdr:col>
      <xdr:colOff>195072</xdr:colOff>
      <xdr:row>2</xdr:row>
      <xdr:rowOff>42672</xdr:rowOff>
    </xdr:to>
    <xdr:sp macro="" textlink="">
      <xdr:nvSpPr>
        <xdr:cNvPr id="2" name="Rectangle 1">
          <a:extLst>
            <a:ext uri="{FF2B5EF4-FFF2-40B4-BE49-F238E27FC236}">
              <a16:creationId xmlns:a16="http://schemas.microsoft.com/office/drawing/2014/main" id="{92CB8D97-1D25-48A4-B018-521913EF4AA5}"/>
            </a:ext>
          </a:extLst>
        </xdr:cNvPr>
        <xdr:cNvSpPr/>
      </xdr:nvSpPr>
      <xdr:spPr>
        <a:xfrm>
          <a:off x="0" y="15240"/>
          <a:ext cx="17263872" cy="393192"/>
        </a:xfrm>
        <a:prstGeom prst="rect">
          <a:avLst/>
        </a:prstGeom>
        <a:solidFill>
          <a:srgbClr val="1D1D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525780</xdr:colOff>
      <xdr:row>0</xdr:row>
      <xdr:rowOff>112776</xdr:rowOff>
    </xdr:from>
    <xdr:to>
      <xdr:col>2</xdr:col>
      <xdr:colOff>83820</xdr:colOff>
      <xdr:row>1</xdr:row>
      <xdr:rowOff>128016</xdr:rowOff>
    </xdr:to>
    <xdr:sp macro="" textlink="">
      <xdr:nvSpPr>
        <xdr:cNvPr id="3" name="TextBox 2">
          <a:extLst>
            <a:ext uri="{FF2B5EF4-FFF2-40B4-BE49-F238E27FC236}">
              <a16:creationId xmlns:a16="http://schemas.microsoft.com/office/drawing/2014/main" id="{EF1BC001-4BD5-42E2-B5A9-530ABE869FF7}"/>
            </a:ext>
          </a:extLst>
        </xdr:cNvPr>
        <xdr:cNvSpPr txBox="1"/>
      </xdr:nvSpPr>
      <xdr:spPr>
        <a:xfrm>
          <a:off x="525780" y="112776"/>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GitHub</a:t>
          </a:r>
        </a:p>
      </xdr:txBody>
    </xdr:sp>
    <xdr:clientData/>
  </xdr:twoCellAnchor>
  <xdr:twoCellAnchor editAs="absolute">
    <xdr:from>
      <xdr:col>9</xdr:col>
      <xdr:colOff>449580</xdr:colOff>
      <xdr:row>0</xdr:row>
      <xdr:rowOff>112776</xdr:rowOff>
    </xdr:from>
    <xdr:to>
      <xdr:col>11</xdr:col>
      <xdr:colOff>7620</xdr:colOff>
      <xdr:row>1</xdr:row>
      <xdr:rowOff>128016</xdr:rowOff>
    </xdr:to>
    <xdr:sp macro="" textlink="">
      <xdr:nvSpPr>
        <xdr:cNvPr id="4" name="TextBox 3">
          <a:extLst>
            <a:ext uri="{FF2B5EF4-FFF2-40B4-BE49-F238E27FC236}">
              <a16:creationId xmlns:a16="http://schemas.microsoft.com/office/drawing/2014/main" id="{BA438EBF-CBBC-42FC-A0C5-29583B664CC0}"/>
            </a:ext>
          </a:extLst>
        </xdr:cNvPr>
        <xdr:cNvSpPr txBox="1"/>
      </xdr:nvSpPr>
      <xdr:spPr>
        <a:xfrm>
          <a:off x="5935980" y="112776"/>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Linkedin</a:t>
          </a:r>
        </a:p>
      </xdr:txBody>
    </xdr:sp>
    <xdr:clientData/>
  </xdr:twoCellAnchor>
  <xdr:twoCellAnchor editAs="absolute">
    <xdr:from>
      <xdr:col>15</xdr:col>
      <xdr:colOff>457200</xdr:colOff>
      <xdr:row>0</xdr:row>
      <xdr:rowOff>30480</xdr:rowOff>
    </xdr:from>
    <xdr:to>
      <xdr:col>17</xdr:col>
      <xdr:colOff>362712</xdr:colOff>
      <xdr:row>2</xdr:row>
      <xdr:rowOff>3048</xdr:rowOff>
    </xdr:to>
    <xdr:sp macro="" textlink="">
      <xdr:nvSpPr>
        <xdr:cNvPr id="5" name="TextBox 4">
          <a:hlinkClick xmlns:r="http://schemas.openxmlformats.org/officeDocument/2006/relationships" r:id="rId1" tooltip="Income Source"/>
          <a:extLst>
            <a:ext uri="{FF2B5EF4-FFF2-40B4-BE49-F238E27FC236}">
              <a16:creationId xmlns:a16="http://schemas.microsoft.com/office/drawing/2014/main" id="{2040618D-1C1A-4DF4-8C3F-BBA6B09F8F5F}"/>
            </a:ext>
          </a:extLst>
        </xdr:cNvPr>
        <xdr:cNvSpPr txBox="1"/>
      </xdr:nvSpPr>
      <xdr:spPr>
        <a:xfrm>
          <a:off x="9601200"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Income</a:t>
          </a:r>
          <a:r>
            <a:rPr lang="en-IN" sz="1100" baseline="0">
              <a:solidFill>
                <a:schemeClr val="bg1"/>
              </a:solidFill>
              <a:latin typeface="Roboto condensed" panose="02000000000000000000" pitchFamily="2" charset="0"/>
              <a:ea typeface="Roboto condensed" panose="02000000000000000000" pitchFamily="2" charset="0"/>
            </a:rPr>
            <a:t> Source</a:t>
          </a:r>
          <a:endParaRPr lang="en-IN" sz="11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17</xdr:col>
      <xdr:colOff>407247</xdr:colOff>
      <xdr:row>0</xdr:row>
      <xdr:rowOff>30480</xdr:rowOff>
    </xdr:from>
    <xdr:to>
      <xdr:col>19</xdr:col>
      <xdr:colOff>312759</xdr:colOff>
      <xdr:row>2</xdr:row>
      <xdr:rowOff>3048</xdr:rowOff>
    </xdr:to>
    <xdr:sp macro="" textlink="">
      <xdr:nvSpPr>
        <xdr:cNvPr id="6" name="TextBox 5">
          <a:hlinkClick xmlns:r="http://schemas.openxmlformats.org/officeDocument/2006/relationships" r:id="rId2" tooltip="Geographically"/>
          <a:extLst>
            <a:ext uri="{FF2B5EF4-FFF2-40B4-BE49-F238E27FC236}">
              <a16:creationId xmlns:a16="http://schemas.microsoft.com/office/drawing/2014/main" id="{74A2B925-E6FE-405A-ADC4-9E511E7E3949}"/>
            </a:ext>
          </a:extLst>
        </xdr:cNvPr>
        <xdr:cNvSpPr txBox="1"/>
      </xdr:nvSpPr>
      <xdr:spPr>
        <a:xfrm>
          <a:off x="10770447"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Geographically</a:t>
          </a:r>
        </a:p>
      </xdr:txBody>
    </xdr:sp>
    <xdr:clientData/>
  </xdr:twoCellAnchor>
  <xdr:twoCellAnchor editAs="absolute">
    <xdr:from>
      <xdr:col>19</xdr:col>
      <xdr:colOff>357294</xdr:colOff>
      <xdr:row>0</xdr:row>
      <xdr:rowOff>30480</xdr:rowOff>
    </xdr:from>
    <xdr:to>
      <xdr:col>21</xdr:col>
      <xdr:colOff>262806</xdr:colOff>
      <xdr:row>2</xdr:row>
      <xdr:rowOff>3048</xdr:rowOff>
    </xdr:to>
    <xdr:sp macro="" textlink="">
      <xdr:nvSpPr>
        <xdr:cNvPr id="7" name="TextBox 6">
          <a:hlinkClick xmlns:r="http://schemas.openxmlformats.org/officeDocument/2006/relationships" r:id="rId3" tooltip="Sales Process"/>
          <a:extLst>
            <a:ext uri="{FF2B5EF4-FFF2-40B4-BE49-F238E27FC236}">
              <a16:creationId xmlns:a16="http://schemas.microsoft.com/office/drawing/2014/main" id="{28CFACF5-7CBC-4299-8EF0-B0FC512331E4}"/>
            </a:ext>
          </a:extLst>
        </xdr:cNvPr>
        <xdr:cNvSpPr txBox="1"/>
      </xdr:nvSpPr>
      <xdr:spPr>
        <a:xfrm>
          <a:off x="11939694"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Sales Process</a:t>
          </a:r>
        </a:p>
      </xdr:txBody>
    </xdr:sp>
    <xdr:clientData/>
  </xdr:twoCellAnchor>
  <xdr:twoCellAnchor editAs="absolute">
    <xdr:from>
      <xdr:col>32</xdr:col>
      <xdr:colOff>30480</xdr:colOff>
      <xdr:row>0</xdr:row>
      <xdr:rowOff>45720</xdr:rowOff>
    </xdr:from>
    <xdr:to>
      <xdr:col>33</xdr:col>
      <xdr:colOff>487680</xdr:colOff>
      <xdr:row>1</xdr:row>
      <xdr:rowOff>60840</xdr:rowOff>
    </xdr:to>
    <xdr:sp macro="" textlink="">
      <xdr:nvSpPr>
        <xdr:cNvPr id="8" name="TextBox 7">
          <a:extLst>
            <a:ext uri="{FF2B5EF4-FFF2-40B4-BE49-F238E27FC236}">
              <a16:creationId xmlns:a16="http://schemas.microsoft.com/office/drawing/2014/main" id="{D0AE247C-9DEA-4715-88E2-3AFB8D6278B9}"/>
            </a:ext>
          </a:extLst>
        </xdr:cNvPr>
        <xdr:cNvSpPr txBox="1"/>
      </xdr:nvSpPr>
      <xdr:spPr>
        <a:xfrm>
          <a:off x="19537680" y="45720"/>
          <a:ext cx="1066800" cy="19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Project Status</a:t>
          </a:r>
        </a:p>
      </xdr:txBody>
    </xdr:sp>
    <xdr:clientData/>
  </xdr:twoCellAnchor>
  <xdr:twoCellAnchor editAs="absolute">
    <xdr:from>
      <xdr:col>15</xdr:col>
      <xdr:colOff>548640</xdr:colOff>
      <xdr:row>1</xdr:row>
      <xdr:rowOff>135637</xdr:rowOff>
    </xdr:from>
    <xdr:to>
      <xdr:col>16</xdr:col>
      <xdr:colOff>213360</xdr:colOff>
      <xdr:row>1</xdr:row>
      <xdr:rowOff>181356</xdr:rowOff>
    </xdr:to>
    <xdr:sp macro="" textlink="">
      <xdr:nvSpPr>
        <xdr:cNvPr id="11" name="Rectangle: Rounded Corners 10">
          <a:extLst>
            <a:ext uri="{FF2B5EF4-FFF2-40B4-BE49-F238E27FC236}">
              <a16:creationId xmlns:a16="http://schemas.microsoft.com/office/drawing/2014/main" id="{59B8BD5B-37A4-4FE1-A745-8F00ED13355B}"/>
            </a:ext>
          </a:extLst>
        </xdr:cNvPr>
        <xdr:cNvSpPr/>
      </xdr:nvSpPr>
      <xdr:spPr>
        <a:xfrm>
          <a:off x="9692640" y="318517"/>
          <a:ext cx="274320" cy="45719"/>
        </a:xfrm>
        <a:prstGeom prst="roundRect">
          <a:avLst>
            <a:gd name="adj" fmla="val 8975"/>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236220</xdr:colOff>
      <xdr:row>6</xdr:row>
      <xdr:rowOff>60960</xdr:rowOff>
    </xdr:from>
    <xdr:to>
      <xdr:col>2</xdr:col>
      <xdr:colOff>571500</xdr:colOff>
      <xdr:row>8</xdr:row>
      <xdr:rowOff>124968</xdr:rowOff>
    </xdr:to>
    <xdr:sp macro="" textlink="">
      <xdr:nvSpPr>
        <xdr:cNvPr id="13" name="Rectangle: Rounded Corners 12">
          <a:extLst>
            <a:ext uri="{FF2B5EF4-FFF2-40B4-BE49-F238E27FC236}">
              <a16:creationId xmlns:a16="http://schemas.microsoft.com/office/drawing/2014/main" id="{4BF5EE05-8023-439D-911B-E45EB7662830}"/>
            </a:ext>
          </a:extLst>
        </xdr:cNvPr>
        <xdr:cNvSpPr/>
      </xdr:nvSpPr>
      <xdr:spPr>
        <a:xfrm>
          <a:off x="236220" y="1158240"/>
          <a:ext cx="1554480" cy="429768"/>
        </a:xfrm>
        <a:prstGeom prst="roundRect">
          <a:avLst>
            <a:gd name="adj" fmla="val 50000"/>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236220</xdr:colOff>
      <xdr:row>9</xdr:row>
      <xdr:rowOff>77724</xdr:rowOff>
    </xdr:from>
    <xdr:to>
      <xdr:col>4</xdr:col>
      <xdr:colOff>270510</xdr:colOff>
      <xdr:row>13</xdr:row>
      <xdr:rowOff>106680</xdr:rowOff>
    </xdr:to>
    <xdr:sp macro="" textlink="">
      <xdr:nvSpPr>
        <xdr:cNvPr id="14" name="TextBox 13">
          <a:extLst>
            <a:ext uri="{FF2B5EF4-FFF2-40B4-BE49-F238E27FC236}">
              <a16:creationId xmlns:a16="http://schemas.microsoft.com/office/drawing/2014/main" id="{6F214A5C-09D6-4C4B-A3DE-CF043E1EC42A}"/>
            </a:ext>
          </a:extLst>
        </xdr:cNvPr>
        <xdr:cNvSpPr txBox="1"/>
      </xdr:nvSpPr>
      <xdr:spPr>
        <a:xfrm>
          <a:off x="236220" y="1723644"/>
          <a:ext cx="2472690" cy="760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a:solidFill>
                <a:schemeClr val="bg1"/>
              </a:solidFill>
              <a:latin typeface="Roboto condensed" panose="02000000000000000000" pitchFamily="2" charset="0"/>
              <a:ea typeface="Roboto condensed" panose="02000000000000000000" pitchFamily="2" charset="0"/>
            </a:rPr>
            <a:t>Grant total of income and their breakdown</a:t>
          </a:r>
          <a:r>
            <a:rPr lang="en-IN" sz="1000" baseline="0">
              <a:solidFill>
                <a:schemeClr val="bg1"/>
              </a:solidFill>
              <a:latin typeface="Roboto condensed" panose="02000000000000000000" pitchFamily="2" charset="0"/>
              <a:ea typeface="Roboto condensed" panose="02000000000000000000" pitchFamily="2" charset="0"/>
            </a:rPr>
            <a:t> showing the achievements percentage and highlight most valuable source. Marketing strategies, and operating profit.</a:t>
          </a:r>
          <a:endParaRPr lang="en-IN" sz="10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0</xdr:col>
      <xdr:colOff>394335</xdr:colOff>
      <xdr:row>6</xdr:row>
      <xdr:rowOff>123444</xdr:rowOff>
    </xdr:from>
    <xdr:to>
      <xdr:col>2</xdr:col>
      <xdr:colOff>504825</xdr:colOff>
      <xdr:row>8</xdr:row>
      <xdr:rowOff>62484</xdr:rowOff>
    </xdr:to>
    <xdr:sp macro="" textlink="">
      <xdr:nvSpPr>
        <xdr:cNvPr id="15" name="TextBox 14">
          <a:extLst>
            <a:ext uri="{FF2B5EF4-FFF2-40B4-BE49-F238E27FC236}">
              <a16:creationId xmlns:a16="http://schemas.microsoft.com/office/drawing/2014/main" id="{CAF57730-6027-482C-802C-6601556A83CF}"/>
            </a:ext>
          </a:extLst>
        </xdr:cNvPr>
        <xdr:cNvSpPr txBox="1"/>
      </xdr:nvSpPr>
      <xdr:spPr>
        <a:xfrm>
          <a:off x="394335" y="1220724"/>
          <a:ext cx="132969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latin typeface="Roboto condensed" panose="02000000000000000000" pitchFamily="2" charset="0"/>
              <a:ea typeface="Roboto condensed" panose="02000000000000000000" pitchFamily="2" charset="0"/>
            </a:rPr>
            <a:t>Income Sources</a:t>
          </a:r>
        </a:p>
      </xdr:txBody>
    </xdr:sp>
    <xdr:clientData/>
  </xdr:twoCellAnchor>
  <xdr:twoCellAnchor editAs="absolute">
    <xdr:from>
      <xdr:col>8</xdr:col>
      <xdr:colOff>205740</xdr:colOff>
      <xdr:row>12</xdr:row>
      <xdr:rowOff>22860</xdr:rowOff>
    </xdr:from>
    <xdr:to>
      <xdr:col>15</xdr:col>
      <xdr:colOff>297180</xdr:colOff>
      <xdr:row>35</xdr:row>
      <xdr:rowOff>22860</xdr:rowOff>
    </xdr:to>
    <xdr:graphicFrame macro="">
      <xdr:nvGraphicFramePr>
        <xdr:cNvPr id="75" name="Chart 74">
          <a:extLst>
            <a:ext uri="{FF2B5EF4-FFF2-40B4-BE49-F238E27FC236}">
              <a16:creationId xmlns:a16="http://schemas.microsoft.com/office/drawing/2014/main" id="{2918A411-4FBE-4E02-A84E-12F0B72178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236220</xdr:colOff>
      <xdr:row>13</xdr:row>
      <xdr:rowOff>45721</xdr:rowOff>
    </xdr:from>
    <xdr:to>
      <xdr:col>4</xdr:col>
      <xdr:colOff>388620</xdr:colOff>
      <xdr:row>15</xdr:row>
      <xdr:rowOff>99060</xdr:rowOff>
    </xdr:to>
    <mc:AlternateContent xmlns:mc="http://schemas.openxmlformats.org/markup-compatibility/2006" xmlns:a14="http://schemas.microsoft.com/office/drawing/2010/main">
      <mc:Choice Requires="a14">
        <xdr:graphicFrame macro="">
          <xdr:nvGraphicFramePr>
            <xdr:cNvPr id="18" name="Year">
              <a:extLst>
                <a:ext uri="{FF2B5EF4-FFF2-40B4-BE49-F238E27FC236}">
                  <a16:creationId xmlns:a16="http://schemas.microsoft.com/office/drawing/2014/main" id="{ABC3961A-33B9-465C-9CAC-CFFDF3D4C874}"/>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36220" y="2423161"/>
              <a:ext cx="2590800" cy="426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228600</xdr:colOff>
      <xdr:row>16</xdr:row>
      <xdr:rowOff>62484</xdr:rowOff>
    </xdr:from>
    <xdr:to>
      <xdr:col>5</xdr:col>
      <xdr:colOff>100965</xdr:colOff>
      <xdr:row>23</xdr:row>
      <xdr:rowOff>76200</xdr:rowOff>
    </xdr:to>
    <xdr:grpSp>
      <xdr:nvGrpSpPr>
        <xdr:cNvPr id="23" name="Group 22">
          <a:extLst>
            <a:ext uri="{FF2B5EF4-FFF2-40B4-BE49-F238E27FC236}">
              <a16:creationId xmlns:a16="http://schemas.microsoft.com/office/drawing/2014/main" id="{C4195790-E64D-472E-B0A6-E0C51D27ACDE}"/>
            </a:ext>
          </a:extLst>
        </xdr:cNvPr>
        <xdr:cNvGrpSpPr/>
      </xdr:nvGrpSpPr>
      <xdr:grpSpPr>
        <a:xfrm>
          <a:off x="228600" y="2996184"/>
          <a:ext cx="2920365" cy="1293876"/>
          <a:chOff x="236220" y="2950464"/>
          <a:chExt cx="2920365" cy="1293876"/>
        </a:xfrm>
      </xdr:grpSpPr>
      <xdr:sp macro="" textlink="">
        <xdr:nvSpPr>
          <xdr:cNvPr id="16" name="TextBox 15">
            <a:extLst>
              <a:ext uri="{FF2B5EF4-FFF2-40B4-BE49-F238E27FC236}">
                <a16:creationId xmlns:a16="http://schemas.microsoft.com/office/drawing/2014/main" id="{6402C598-D3ED-4AA7-9AA6-0FA8FE8AFF9E}"/>
              </a:ext>
            </a:extLst>
          </xdr:cNvPr>
          <xdr:cNvSpPr txBox="1"/>
        </xdr:nvSpPr>
        <xdr:spPr>
          <a:xfrm>
            <a:off x="236220" y="2950464"/>
            <a:ext cx="2920365"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a:solidFill>
                  <a:schemeClr val="bg1"/>
                </a:solidFill>
                <a:latin typeface="Roboto condensed" panose="02000000000000000000" pitchFamily="2" charset="0"/>
                <a:ea typeface="Roboto condensed" panose="02000000000000000000" pitchFamily="2" charset="0"/>
              </a:rPr>
              <a:t>Financial Statistics</a:t>
            </a:r>
          </a:p>
        </xdr:txBody>
      </xdr:sp>
      <xdr:sp macro="" textlink="Pivottables!V6">
        <xdr:nvSpPr>
          <xdr:cNvPr id="19" name="TextBox 18">
            <a:extLst>
              <a:ext uri="{FF2B5EF4-FFF2-40B4-BE49-F238E27FC236}">
                <a16:creationId xmlns:a16="http://schemas.microsoft.com/office/drawing/2014/main" id="{6FC4F070-D316-4E35-A6C9-D0B02D0279FB}"/>
              </a:ext>
            </a:extLst>
          </xdr:cNvPr>
          <xdr:cNvSpPr txBox="1"/>
        </xdr:nvSpPr>
        <xdr:spPr>
          <a:xfrm>
            <a:off x="236220" y="3308604"/>
            <a:ext cx="2788920" cy="524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D2DF045-432E-4B14-B691-25F509B0E4CC}" type="TxLink">
              <a:rPr lang="en-US" sz="4400">
                <a:solidFill>
                  <a:schemeClr val="bg1"/>
                </a:solidFill>
                <a:latin typeface="Roboto" panose="02000000000000000000" pitchFamily="2" charset="0"/>
                <a:ea typeface="Roboto" panose="02000000000000000000" pitchFamily="2" charset="0"/>
                <a:cs typeface="+mn-cs"/>
              </a:rPr>
              <a:pPr marL="0" indent="0" algn="l"/>
              <a:t> 39,47,318 </a:t>
            </a:fld>
            <a:endParaRPr lang="en-IN" sz="4400">
              <a:solidFill>
                <a:schemeClr val="bg1"/>
              </a:solidFill>
              <a:latin typeface="Roboto" panose="02000000000000000000" pitchFamily="2" charset="0"/>
              <a:ea typeface="Roboto" panose="02000000000000000000" pitchFamily="2" charset="0"/>
              <a:cs typeface="+mn-cs"/>
            </a:endParaRPr>
          </a:p>
        </xdr:txBody>
      </xdr:sp>
      <xdr:sp macro="" textlink="">
        <xdr:nvSpPr>
          <xdr:cNvPr id="20" name="TextBox 19">
            <a:extLst>
              <a:ext uri="{FF2B5EF4-FFF2-40B4-BE49-F238E27FC236}">
                <a16:creationId xmlns:a16="http://schemas.microsoft.com/office/drawing/2014/main" id="{5846220B-FCD7-414E-95AE-5472FAAA61A8}"/>
              </a:ext>
            </a:extLst>
          </xdr:cNvPr>
          <xdr:cNvSpPr txBox="1"/>
        </xdr:nvSpPr>
        <xdr:spPr>
          <a:xfrm>
            <a:off x="297181" y="3849624"/>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aseline="0">
                <a:solidFill>
                  <a:schemeClr val="bg1"/>
                </a:solidFill>
                <a:latin typeface="Roboto condensed" panose="02000000000000000000" pitchFamily="2" charset="0"/>
                <a:ea typeface="Roboto condensed" panose="02000000000000000000" pitchFamily="2" charset="0"/>
              </a:rPr>
              <a:t>Income Target</a:t>
            </a:r>
            <a:endParaRPr lang="en-IN" sz="1400">
              <a:solidFill>
                <a:schemeClr val="bg1"/>
              </a:solidFill>
              <a:latin typeface="Roboto condensed" panose="02000000000000000000" pitchFamily="2" charset="0"/>
              <a:ea typeface="Roboto condensed" panose="02000000000000000000" pitchFamily="2" charset="0"/>
            </a:endParaRPr>
          </a:p>
        </xdr:txBody>
      </xdr:sp>
      <xdr:sp macro="" textlink="Pivottables!W6">
        <xdr:nvSpPr>
          <xdr:cNvPr id="21" name="TextBox 20">
            <a:extLst>
              <a:ext uri="{FF2B5EF4-FFF2-40B4-BE49-F238E27FC236}">
                <a16:creationId xmlns:a16="http://schemas.microsoft.com/office/drawing/2014/main" id="{2EBB7555-F18B-4D95-A6FF-A46C05863D68}"/>
              </a:ext>
            </a:extLst>
          </xdr:cNvPr>
          <xdr:cNvSpPr txBox="1"/>
        </xdr:nvSpPr>
        <xdr:spPr>
          <a:xfrm>
            <a:off x="1158241" y="3849624"/>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45C18E7-0841-4C28-8AA1-A16FA2038B26}" type="TxLink">
              <a:rPr lang="en-US" sz="1200">
                <a:solidFill>
                  <a:schemeClr val="bg1"/>
                </a:solidFill>
                <a:latin typeface="Roboto condensed" panose="02000000000000000000" pitchFamily="2" charset="0"/>
                <a:ea typeface="Roboto condensed" panose="02000000000000000000" pitchFamily="2" charset="0"/>
                <a:cs typeface="+mn-cs"/>
              </a:rPr>
              <a:pPr marL="0" indent="0" algn="ctr"/>
              <a:t> 45,15,856 </a:t>
            </a:fld>
            <a:endParaRPr lang="en-IN" sz="1200">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0</xdr:col>
      <xdr:colOff>251460</xdr:colOff>
      <xdr:row>24</xdr:row>
      <xdr:rowOff>38100</xdr:rowOff>
    </xdr:from>
    <xdr:to>
      <xdr:col>4</xdr:col>
      <xdr:colOff>519684</xdr:colOff>
      <xdr:row>30</xdr:row>
      <xdr:rowOff>38100</xdr:rowOff>
    </xdr:to>
    <xdr:graphicFrame macro="">
      <xdr:nvGraphicFramePr>
        <xdr:cNvPr id="24" name="Chart 23">
          <a:extLst>
            <a:ext uri="{FF2B5EF4-FFF2-40B4-BE49-F238E27FC236}">
              <a16:creationId xmlns:a16="http://schemas.microsoft.com/office/drawing/2014/main" id="{14A2135D-B48F-4A7D-8D2A-755278E986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297180</xdr:colOff>
      <xdr:row>30</xdr:row>
      <xdr:rowOff>160020</xdr:rowOff>
    </xdr:from>
    <xdr:to>
      <xdr:col>3</xdr:col>
      <xdr:colOff>243839</xdr:colOff>
      <xdr:row>33</xdr:row>
      <xdr:rowOff>6096</xdr:rowOff>
    </xdr:to>
    <xdr:sp macro="" textlink="">
      <xdr:nvSpPr>
        <xdr:cNvPr id="25" name="TextBox 24">
          <a:extLst>
            <a:ext uri="{FF2B5EF4-FFF2-40B4-BE49-F238E27FC236}">
              <a16:creationId xmlns:a16="http://schemas.microsoft.com/office/drawing/2014/main" id="{9B81B6C0-27F6-480B-9A61-D5A1E14B5390}"/>
            </a:ext>
          </a:extLst>
        </xdr:cNvPr>
        <xdr:cNvSpPr txBox="1"/>
      </xdr:nvSpPr>
      <xdr:spPr>
        <a:xfrm>
          <a:off x="297180" y="5654040"/>
          <a:ext cx="1775459"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a:solidFill>
                <a:schemeClr val="bg1"/>
              </a:solidFill>
              <a:latin typeface="Roboto condensed" panose="02000000000000000000" pitchFamily="2" charset="0"/>
              <a:ea typeface="Roboto condensed" panose="02000000000000000000" pitchFamily="2" charset="0"/>
            </a:rPr>
            <a:t>Quantity Of Items</a:t>
          </a:r>
        </a:p>
      </xdr:txBody>
    </xdr:sp>
    <xdr:clientData/>
  </xdr:twoCellAnchor>
  <xdr:twoCellAnchor editAs="absolute">
    <xdr:from>
      <xdr:col>0</xdr:col>
      <xdr:colOff>304800</xdr:colOff>
      <xdr:row>32</xdr:row>
      <xdr:rowOff>175260</xdr:rowOff>
    </xdr:from>
    <xdr:to>
      <xdr:col>4</xdr:col>
      <xdr:colOff>441960</xdr:colOff>
      <xdr:row>40</xdr:row>
      <xdr:rowOff>129540</xdr:rowOff>
    </xdr:to>
    <xdr:grpSp>
      <xdr:nvGrpSpPr>
        <xdr:cNvPr id="55" name="Group 54">
          <a:extLst>
            <a:ext uri="{FF2B5EF4-FFF2-40B4-BE49-F238E27FC236}">
              <a16:creationId xmlns:a16="http://schemas.microsoft.com/office/drawing/2014/main" id="{B07AE1A0-9129-4A67-BAB7-FFD4C46A32DC}"/>
            </a:ext>
          </a:extLst>
        </xdr:cNvPr>
        <xdr:cNvGrpSpPr/>
      </xdr:nvGrpSpPr>
      <xdr:grpSpPr>
        <a:xfrm>
          <a:off x="304800" y="6035040"/>
          <a:ext cx="2575560" cy="1417320"/>
          <a:chOff x="304800" y="6126480"/>
          <a:chExt cx="2575560" cy="1417320"/>
        </a:xfrm>
      </xdr:grpSpPr>
      <xdr:grpSp>
        <xdr:nvGrpSpPr>
          <xdr:cNvPr id="33" name="Group 32">
            <a:extLst>
              <a:ext uri="{FF2B5EF4-FFF2-40B4-BE49-F238E27FC236}">
                <a16:creationId xmlns:a16="http://schemas.microsoft.com/office/drawing/2014/main" id="{F52A8DDA-36D4-41F6-80C1-A7D051246537}"/>
              </a:ext>
            </a:extLst>
          </xdr:cNvPr>
          <xdr:cNvGrpSpPr/>
        </xdr:nvGrpSpPr>
        <xdr:grpSpPr>
          <a:xfrm>
            <a:off x="441961" y="6126480"/>
            <a:ext cx="982980" cy="1417320"/>
            <a:chOff x="441961" y="6126480"/>
            <a:chExt cx="982980" cy="1417320"/>
          </a:xfrm>
        </xdr:grpSpPr>
        <xdr:sp macro="" textlink="Pivottables!K6">
          <xdr:nvSpPr>
            <xdr:cNvPr id="26" name="TextBox 25">
              <a:extLst>
                <a:ext uri="{FF2B5EF4-FFF2-40B4-BE49-F238E27FC236}">
                  <a16:creationId xmlns:a16="http://schemas.microsoft.com/office/drawing/2014/main" id="{4182F7B1-6D9E-435D-ADDD-CD6ED0ED53EB}"/>
                </a:ext>
              </a:extLst>
            </xdr:cNvPr>
            <xdr:cNvSpPr txBox="1"/>
          </xdr:nvSpPr>
          <xdr:spPr>
            <a:xfrm>
              <a:off x="441961" y="612648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9CB8CC4-4A27-45CC-B0E7-1233033282B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Usage fees</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7">
          <xdr:nvSpPr>
            <xdr:cNvPr id="27" name="TextBox 26">
              <a:extLst>
                <a:ext uri="{FF2B5EF4-FFF2-40B4-BE49-F238E27FC236}">
                  <a16:creationId xmlns:a16="http://schemas.microsoft.com/office/drawing/2014/main" id="{25B566B1-33CF-4F09-9665-59E9CBB25D14}"/>
                </a:ext>
              </a:extLst>
            </xdr:cNvPr>
            <xdr:cNvSpPr txBox="1"/>
          </xdr:nvSpPr>
          <xdr:spPr>
            <a:xfrm>
              <a:off x="441961" y="6361176"/>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CF96425-EF06-4B63-819C-A5F195540A03}"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Subscription</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8">
          <xdr:nvSpPr>
            <xdr:cNvPr id="28" name="TextBox 27">
              <a:extLst>
                <a:ext uri="{FF2B5EF4-FFF2-40B4-BE49-F238E27FC236}">
                  <a16:creationId xmlns:a16="http://schemas.microsoft.com/office/drawing/2014/main" id="{114CAAA9-59AB-43C5-BAC0-CA21B8EA66B6}"/>
                </a:ext>
              </a:extLst>
            </xdr:cNvPr>
            <xdr:cNvSpPr txBox="1"/>
          </xdr:nvSpPr>
          <xdr:spPr>
            <a:xfrm>
              <a:off x="441961" y="6595872"/>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A8BB206-67CB-4FDD-A955-B8AC9BC2E13F}"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Renting</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9">
          <xdr:nvSpPr>
            <xdr:cNvPr id="29" name="TextBox 28">
              <a:extLst>
                <a:ext uri="{FF2B5EF4-FFF2-40B4-BE49-F238E27FC236}">
                  <a16:creationId xmlns:a16="http://schemas.microsoft.com/office/drawing/2014/main" id="{7B6878A6-36A1-4624-97A1-B275F172EA09}"/>
                </a:ext>
              </a:extLst>
            </xdr:cNvPr>
            <xdr:cNvSpPr txBox="1"/>
          </xdr:nvSpPr>
          <xdr:spPr>
            <a:xfrm>
              <a:off x="441961" y="6830568"/>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56A5929-BF31-4DF2-86BA-2A6D7907720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Licensing</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10">
          <xdr:nvSpPr>
            <xdr:cNvPr id="30" name="TextBox 29">
              <a:extLst>
                <a:ext uri="{FF2B5EF4-FFF2-40B4-BE49-F238E27FC236}">
                  <a16:creationId xmlns:a16="http://schemas.microsoft.com/office/drawing/2014/main" id="{396E71D4-1BA3-4793-89AA-BBC5B364C6B1}"/>
                </a:ext>
              </a:extLst>
            </xdr:cNvPr>
            <xdr:cNvSpPr txBox="1"/>
          </xdr:nvSpPr>
          <xdr:spPr>
            <a:xfrm>
              <a:off x="441961" y="7065264"/>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07F094F-A1B6-4283-BB58-3E595AE9305F}"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Advertising</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11">
          <xdr:nvSpPr>
            <xdr:cNvPr id="31" name="TextBox 30">
              <a:extLst>
                <a:ext uri="{FF2B5EF4-FFF2-40B4-BE49-F238E27FC236}">
                  <a16:creationId xmlns:a16="http://schemas.microsoft.com/office/drawing/2014/main" id="{3F59EC04-CC83-4981-9E65-16695136366D}"/>
                </a:ext>
              </a:extLst>
            </xdr:cNvPr>
            <xdr:cNvSpPr txBox="1"/>
          </xdr:nvSpPr>
          <xdr:spPr>
            <a:xfrm>
              <a:off x="441961" y="729996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3AE2182-1E35-4613-BF2B-CFB470A88AB0}"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Asset sale</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grpSp>
        <xdr:nvGrpSpPr>
          <xdr:cNvPr id="34" name="Group 33">
            <a:extLst>
              <a:ext uri="{FF2B5EF4-FFF2-40B4-BE49-F238E27FC236}">
                <a16:creationId xmlns:a16="http://schemas.microsoft.com/office/drawing/2014/main" id="{3AEFBDCF-A59C-4027-BE2E-3589A156E064}"/>
              </a:ext>
            </a:extLst>
          </xdr:cNvPr>
          <xdr:cNvGrpSpPr/>
        </xdr:nvGrpSpPr>
        <xdr:grpSpPr>
          <a:xfrm>
            <a:off x="1508761" y="6126480"/>
            <a:ext cx="548639" cy="1417320"/>
            <a:chOff x="441961" y="6126480"/>
            <a:chExt cx="982980" cy="1417320"/>
          </a:xfrm>
        </xdr:grpSpPr>
        <xdr:sp macro="" textlink="Pivottables!R6">
          <xdr:nvSpPr>
            <xdr:cNvPr id="35" name="TextBox 34">
              <a:extLst>
                <a:ext uri="{FF2B5EF4-FFF2-40B4-BE49-F238E27FC236}">
                  <a16:creationId xmlns:a16="http://schemas.microsoft.com/office/drawing/2014/main" id="{05715778-712B-4479-9A95-ADFF9B59C84A}"/>
                </a:ext>
              </a:extLst>
            </xdr:cNvPr>
            <xdr:cNvSpPr txBox="1"/>
          </xdr:nvSpPr>
          <xdr:spPr>
            <a:xfrm>
              <a:off x="441961" y="612648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35FC2B4-1E15-4949-BBC1-4F71E119AABA}"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7">
          <xdr:nvSpPr>
            <xdr:cNvPr id="36" name="TextBox 35">
              <a:extLst>
                <a:ext uri="{FF2B5EF4-FFF2-40B4-BE49-F238E27FC236}">
                  <a16:creationId xmlns:a16="http://schemas.microsoft.com/office/drawing/2014/main" id="{98DB2C83-DF98-4384-967F-2E47165372EA}"/>
                </a:ext>
              </a:extLst>
            </xdr:cNvPr>
            <xdr:cNvSpPr txBox="1"/>
          </xdr:nvSpPr>
          <xdr:spPr>
            <a:xfrm>
              <a:off x="441961" y="6361176"/>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EC1A241-93ED-44A6-94CA-9E3810BF6259}"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8">
          <xdr:nvSpPr>
            <xdr:cNvPr id="37" name="TextBox 36">
              <a:extLst>
                <a:ext uri="{FF2B5EF4-FFF2-40B4-BE49-F238E27FC236}">
                  <a16:creationId xmlns:a16="http://schemas.microsoft.com/office/drawing/2014/main" id="{F4C84651-C210-4EBF-913F-97452C909781}"/>
                </a:ext>
              </a:extLst>
            </xdr:cNvPr>
            <xdr:cNvSpPr txBox="1"/>
          </xdr:nvSpPr>
          <xdr:spPr>
            <a:xfrm>
              <a:off x="441961" y="6595872"/>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559DD1E-5D49-4C25-BAA3-224D65E65C9D}"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16%</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9">
          <xdr:nvSpPr>
            <xdr:cNvPr id="38" name="TextBox 37">
              <a:extLst>
                <a:ext uri="{FF2B5EF4-FFF2-40B4-BE49-F238E27FC236}">
                  <a16:creationId xmlns:a16="http://schemas.microsoft.com/office/drawing/2014/main" id="{2ED1277C-9A52-4198-8B62-13B89F18E323}"/>
                </a:ext>
              </a:extLst>
            </xdr:cNvPr>
            <xdr:cNvSpPr txBox="1"/>
          </xdr:nvSpPr>
          <xdr:spPr>
            <a:xfrm>
              <a:off x="441961" y="6830568"/>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6825125-1E32-4E01-A126-304CE9EE0F88}"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53%</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10">
          <xdr:nvSpPr>
            <xdr:cNvPr id="39" name="TextBox 38">
              <a:extLst>
                <a:ext uri="{FF2B5EF4-FFF2-40B4-BE49-F238E27FC236}">
                  <a16:creationId xmlns:a16="http://schemas.microsoft.com/office/drawing/2014/main" id="{D1A8395A-ED35-41EB-8C89-EEB05B7072EC}"/>
                </a:ext>
              </a:extLst>
            </xdr:cNvPr>
            <xdr:cNvSpPr txBox="1"/>
          </xdr:nvSpPr>
          <xdr:spPr>
            <a:xfrm>
              <a:off x="441961" y="7065264"/>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AB66BC8-CF6D-4573-97DB-85DE1F726C8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8%</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11">
          <xdr:nvSpPr>
            <xdr:cNvPr id="40" name="TextBox 39">
              <a:extLst>
                <a:ext uri="{FF2B5EF4-FFF2-40B4-BE49-F238E27FC236}">
                  <a16:creationId xmlns:a16="http://schemas.microsoft.com/office/drawing/2014/main" id="{5FBAFDFD-BE9D-42CE-8274-D61D156DE1EB}"/>
                </a:ext>
              </a:extLst>
            </xdr:cNvPr>
            <xdr:cNvSpPr txBox="1"/>
          </xdr:nvSpPr>
          <xdr:spPr>
            <a:xfrm>
              <a:off x="441961" y="729996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F542D28-7C39-4CC9-839A-CEE4A67BBDC8}"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2%</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grpSp>
        <xdr:nvGrpSpPr>
          <xdr:cNvPr id="41" name="Group 40">
            <a:extLst>
              <a:ext uri="{FF2B5EF4-FFF2-40B4-BE49-F238E27FC236}">
                <a16:creationId xmlns:a16="http://schemas.microsoft.com/office/drawing/2014/main" id="{92981F81-3B98-4C2D-913D-04220C871638}"/>
              </a:ext>
            </a:extLst>
          </xdr:cNvPr>
          <xdr:cNvGrpSpPr/>
        </xdr:nvGrpSpPr>
        <xdr:grpSpPr>
          <a:xfrm>
            <a:off x="2049781" y="6126480"/>
            <a:ext cx="830579" cy="1417320"/>
            <a:chOff x="441961" y="6126480"/>
            <a:chExt cx="982980" cy="1417320"/>
          </a:xfrm>
        </xdr:grpSpPr>
        <xdr:sp macro="" textlink="Pivottables!Q6">
          <xdr:nvSpPr>
            <xdr:cNvPr id="42" name="TextBox 41">
              <a:extLst>
                <a:ext uri="{FF2B5EF4-FFF2-40B4-BE49-F238E27FC236}">
                  <a16:creationId xmlns:a16="http://schemas.microsoft.com/office/drawing/2014/main" id="{0D6198BF-26DA-41E2-89DF-6450408082AE}"/>
                </a:ext>
              </a:extLst>
            </xdr:cNvPr>
            <xdr:cNvSpPr txBox="1"/>
          </xdr:nvSpPr>
          <xdr:spPr>
            <a:xfrm>
              <a:off x="441961" y="612648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042032-DFF9-46E7-AC5A-C74FC4BFB0CF}" type="TxLink">
                <a:rPr lang="en-US" sz="1050" b="0" i="0" u="none" strike="noStrike">
                  <a:solidFill>
                    <a:schemeClr val="bg1"/>
                  </a:solidFill>
                  <a:latin typeface="Roboto condensed" panose="02000000000000000000" pitchFamily="2" charset="0"/>
                  <a:ea typeface="Roboto condensed" panose="02000000000000000000" pitchFamily="2" charset="0"/>
                  <a:cs typeface="+mn-cs"/>
                </a:rPr>
                <a:pPr marL="0" indent="0" algn="l"/>
                <a:t> 75,252 </a:t>
              </a:fld>
              <a:endParaRPr lang="en-IN" sz="105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7">
          <xdr:nvSpPr>
            <xdr:cNvPr id="43" name="TextBox 42">
              <a:extLst>
                <a:ext uri="{FF2B5EF4-FFF2-40B4-BE49-F238E27FC236}">
                  <a16:creationId xmlns:a16="http://schemas.microsoft.com/office/drawing/2014/main" id="{CB721202-09DC-4B61-9017-9EE92E5C4D05}"/>
                </a:ext>
              </a:extLst>
            </xdr:cNvPr>
            <xdr:cNvSpPr txBox="1"/>
          </xdr:nvSpPr>
          <xdr:spPr>
            <a:xfrm>
              <a:off x="441961" y="6361176"/>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34925D4-BCD9-45E4-89E6-F7D0CC15CDC3}"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73,997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8">
          <xdr:nvSpPr>
            <xdr:cNvPr id="44" name="TextBox 43">
              <a:extLst>
                <a:ext uri="{FF2B5EF4-FFF2-40B4-BE49-F238E27FC236}">
                  <a16:creationId xmlns:a16="http://schemas.microsoft.com/office/drawing/2014/main" id="{F7C09882-5370-479E-904B-1E172392B842}"/>
                </a:ext>
              </a:extLst>
            </xdr:cNvPr>
            <xdr:cNvSpPr txBox="1"/>
          </xdr:nvSpPr>
          <xdr:spPr>
            <a:xfrm>
              <a:off x="441961" y="6595872"/>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214DEE6-907D-4101-8D3D-4E96EC7F0FAB}"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1,16,801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9">
          <xdr:nvSpPr>
            <xdr:cNvPr id="45" name="TextBox 44">
              <a:extLst>
                <a:ext uri="{FF2B5EF4-FFF2-40B4-BE49-F238E27FC236}">
                  <a16:creationId xmlns:a16="http://schemas.microsoft.com/office/drawing/2014/main" id="{7B8A3FBE-3954-40DF-A73E-8F89F31DAFC6}"/>
                </a:ext>
              </a:extLst>
            </xdr:cNvPr>
            <xdr:cNvSpPr txBox="1"/>
          </xdr:nvSpPr>
          <xdr:spPr>
            <a:xfrm>
              <a:off x="441961" y="6830568"/>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B4F4F1-9773-4EA4-854E-32EFD0FF893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3,89,437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10">
          <xdr:nvSpPr>
            <xdr:cNvPr id="46" name="TextBox 45">
              <a:extLst>
                <a:ext uri="{FF2B5EF4-FFF2-40B4-BE49-F238E27FC236}">
                  <a16:creationId xmlns:a16="http://schemas.microsoft.com/office/drawing/2014/main" id="{2C455CAD-4861-4588-98F4-5102960F8BBE}"/>
                </a:ext>
              </a:extLst>
            </xdr:cNvPr>
            <xdr:cNvSpPr txBox="1"/>
          </xdr:nvSpPr>
          <xdr:spPr>
            <a:xfrm>
              <a:off x="441961" y="7065264"/>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7D3E3DE-586B-4EA4-A0D3-6F8EAC19189A}"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61,782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11">
          <xdr:nvSpPr>
            <xdr:cNvPr id="47" name="TextBox 46">
              <a:extLst>
                <a:ext uri="{FF2B5EF4-FFF2-40B4-BE49-F238E27FC236}">
                  <a16:creationId xmlns:a16="http://schemas.microsoft.com/office/drawing/2014/main" id="{4B92ED8D-3036-481D-BA21-2C1B1631076C}"/>
                </a:ext>
              </a:extLst>
            </xdr:cNvPr>
            <xdr:cNvSpPr txBox="1"/>
          </xdr:nvSpPr>
          <xdr:spPr>
            <a:xfrm>
              <a:off x="441961" y="729996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C10919A-44CF-4420-822E-2F1C5B066EE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12,878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grpSp>
        <xdr:nvGrpSpPr>
          <xdr:cNvPr id="54" name="Group 53">
            <a:extLst>
              <a:ext uri="{FF2B5EF4-FFF2-40B4-BE49-F238E27FC236}">
                <a16:creationId xmlns:a16="http://schemas.microsoft.com/office/drawing/2014/main" id="{DCC0153C-22C8-4BC0-9E3E-9F79C61BE1E3}"/>
              </a:ext>
            </a:extLst>
          </xdr:cNvPr>
          <xdr:cNvGrpSpPr/>
        </xdr:nvGrpSpPr>
        <xdr:grpSpPr>
          <a:xfrm>
            <a:off x="304800" y="6187440"/>
            <a:ext cx="182879" cy="1325880"/>
            <a:chOff x="304800" y="6187440"/>
            <a:chExt cx="182879" cy="1325880"/>
          </a:xfrm>
        </xdr:grpSpPr>
        <xdr:sp macro="" textlink="">
          <xdr:nvSpPr>
            <xdr:cNvPr id="48" name="TextBox 47">
              <a:extLst>
                <a:ext uri="{FF2B5EF4-FFF2-40B4-BE49-F238E27FC236}">
                  <a16:creationId xmlns:a16="http://schemas.microsoft.com/office/drawing/2014/main" id="{DDCA90A3-5FBE-4131-BA00-E6EB21ABED25}"/>
                </a:ext>
              </a:extLst>
            </xdr:cNvPr>
            <xdr:cNvSpPr txBox="1"/>
          </xdr:nvSpPr>
          <xdr:spPr>
            <a:xfrm>
              <a:off x="304800" y="618744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49" name="TextBox 48">
              <a:extLst>
                <a:ext uri="{FF2B5EF4-FFF2-40B4-BE49-F238E27FC236}">
                  <a16:creationId xmlns:a16="http://schemas.microsoft.com/office/drawing/2014/main" id="{1C9BB29C-3F3F-4499-883A-37BD0101EA15}"/>
                </a:ext>
              </a:extLst>
            </xdr:cNvPr>
            <xdr:cNvSpPr txBox="1"/>
          </xdr:nvSpPr>
          <xdr:spPr>
            <a:xfrm>
              <a:off x="304800" y="6420612"/>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0" name="TextBox 49">
              <a:extLst>
                <a:ext uri="{FF2B5EF4-FFF2-40B4-BE49-F238E27FC236}">
                  <a16:creationId xmlns:a16="http://schemas.microsoft.com/office/drawing/2014/main" id="{4F526958-3113-406E-A60C-A1E329A0FDB8}"/>
                </a:ext>
              </a:extLst>
            </xdr:cNvPr>
            <xdr:cNvSpPr txBox="1"/>
          </xdr:nvSpPr>
          <xdr:spPr>
            <a:xfrm>
              <a:off x="304800" y="6653784"/>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1" name="TextBox 50">
              <a:extLst>
                <a:ext uri="{FF2B5EF4-FFF2-40B4-BE49-F238E27FC236}">
                  <a16:creationId xmlns:a16="http://schemas.microsoft.com/office/drawing/2014/main" id="{4DA7FC56-6786-4261-9793-1A5A40374D9B}"/>
                </a:ext>
              </a:extLst>
            </xdr:cNvPr>
            <xdr:cNvSpPr txBox="1"/>
          </xdr:nvSpPr>
          <xdr:spPr>
            <a:xfrm>
              <a:off x="304800" y="6886956"/>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2" name="TextBox 51">
              <a:extLst>
                <a:ext uri="{FF2B5EF4-FFF2-40B4-BE49-F238E27FC236}">
                  <a16:creationId xmlns:a16="http://schemas.microsoft.com/office/drawing/2014/main" id="{74286CA1-47F8-45A9-BF21-7D7D527BB98B}"/>
                </a:ext>
              </a:extLst>
            </xdr:cNvPr>
            <xdr:cNvSpPr txBox="1"/>
          </xdr:nvSpPr>
          <xdr:spPr>
            <a:xfrm>
              <a:off x="304800" y="7120128"/>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3" name="TextBox 52">
              <a:extLst>
                <a:ext uri="{FF2B5EF4-FFF2-40B4-BE49-F238E27FC236}">
                  <a16:creationId xmlns:a16="http://schemas.microsoft.com/office/drawing/2014/main" id="{F7919ADF-584B-4E4E-B2D0-FEBE01DDD879}"/>
                </a:ext>
              </a:extLst>
            </xdr:cNvPr>
            <xdr:cNvSpPr txBox="1"/>
          </xdr:nvSpPr>
          <xdr:spPr>
            <a:xfrm>
              <a:off x="304800" y="735330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grpSp>
    </xdr:grpSp>
    <xdr:clientData/>
  </xdr:twoCellAnchor>
  <xdr:twoCellAnchor editAs="absolute">
    <xdr:from>
      <xdr:col>22</xdr:col>
      <xdr:colOff>33528</xdr:colOff>
      <xdr:row>6</xdr:row>
      <xdr:rowOff>15240</xdr:rowOff>
    </xdr:from>
    <xdr:to>
      <xdr:col>23</xdr:col>
      <xdr:colOff>301752</xdr:colOff>
      <xdr:row>12</xdr:row>
      <xdr:rowOff>60960</xdr:rowOff>
    </xdr:to>
    <xdr:sp macro="" textlink="">
      <xdr:nvSpPr>
        <xdr:cNvPr id="56" name="Rectangle: Rounded Corners 55">
          <a:extLst>
            <a:ext uri="{FF2B5EF4-FFF2-40B4-BE49-F238E27FC236}">
              <a16:creationId xmlns:a16="http://schemas.microsoft.com/office/drawing/2014/main" id="{905C7DB4-3627-41B5-BE5F-ECF9777C441A}"/>
            </a:ext>
          </a:extLst>
        </xdr:cNvPr>
        <xdr:cNvSpPr/>
      </xdr:nvSpPr>
      <xdr:spPr>
        <a:xfrm>
          <a:off x="13444728" y="1112520"/>
          <a:ext cx="877824" cy="1143000"/>
        </a:xfrm>
        <a:prstGeom prst="roundRect">
          <a:avLst>
            <a:gd name="adj" fmla="val 12327"/>
          </a:avLst>
        </a:prstGeom>
        <a:solidFill>
          <a:srgbClr val="1E163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21</xdr:col>
      <xdr:colOff>373380</xdr:colOff>
      <xdr:row>9</xdr:row>
      <xdr:rowOff>114300</xdr:rowOff>
    </xdr:from>
    <xdr:to>
      <xdr:col>23</xdr:col>
      <xdr:colOff>571500</xdr:colOff>
      <xdr:row>11</xdr:row>
      <xdr:rowOff>143256</xdr:rowOff>
    </xdr:to>
    <xdr:sp macro="" textlink="">
      <xdr:nvSpPr>
        <xdr:cNvPr id="57" name="TextBox 19">
          <a:extLst>
            <a:ext uri="{FF2B5EF4-FFF2-40B4-BE49-F238E27FC236}">
              <a16:creationId xmlns:a16="http://schemas.microsoft.com/office/drawing/2014/main" id="{BF2B4051-B7BB-4F1C-9A4C-D461B6D0A396}"/>
            </a:ext>
          </a:extLst>
        </xdr:cNvPr>
        <xdr:cNvSpPr txBox="1"/>
      </xdr:nvSpPr>
      <xdr:spPr>
        <a:xfrm>
          <a:off x="13174980" y="1760220"/>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baseline="0">
              <a:solidFill>
                <a:schemeClr val="bg1"/>
              </a:solidFill>
              <a:latin typeface="Roboto condensed" panose="02000000000000000000" pitchFamily="2" charset="0"/>
              <a:ea typeface="Roboto condensed" panose="02000000000000000000" pitchFamily="2" charset="0"/>
            </a:rPr>
            <a:t>Average</a:t>
          </a:r>
          <a:br>
            <a:rPr lang="en-IN" sz="1400" baseline="0">
              <a:solidFill>
                <a:schemeClr val="bg1"/>
              </a:solidFill>
              <a:latin typeface="Roboto condensed" panose="02000000000000000000" pitchFamily="2" charset="0"/>
              <a:ea typeface="Roboto condensed" panose="02000000000000000000" pitchFamily="2" charset="0"/>
            </a:rPr>
          </a:br>
          <a:r>
            <a:rPr lang="en-IN" sz="700" baseline="0">
              <a:solidFill>
                <a:schemeClr val="bg1"/>
              </a:solidFill>
              <a:latin typeface="Roboto condensed" panose="02000000000000000000" pitchFamily="2" charset="0"/>
              <a:ea typeface="Roboto condensed" panose="02000000000000000000" pitchFamily="2" charset="0"/>
            </a:rPr>
            <a:t>Monthly Income</a:t>
          </a:r>
        </a:p>
      </xdr:txBody>
    </xdr:sp>
    <xdr:clientData/>
  </xdr:twoCellAnchor>
  <xdr:twoCellAnchor editAs="absolute">
    <xdr:from>
      <xdr:col>21</xdr:col>
      <xdr:colOff>373380</xdr:colOff>
      <xdr:row>7</xdr:row>
      <xdr:rowOff>152400</xdr:rowOff>
    </xdr:from>
    <xdr:to>
      <xdr:col>23</xdr:col>
      <xdr:colOff>571500</xdr:colOff>
      <xdr:row>9</xdr:row>
      <xdr:rowOff>181356</xdr:rowOff>
    </xdr:to>
    <xdr:sp macro="" textlink="Pivottables!AH6">
      <xdr:nvSpPr>
        <xdr:cNvPr id="60" name="TextBox 19">
          <a:extLst>
            <a:ext uri="{FF2B5EF4-FFF2-40B4-BE49-F238E27FC236}">
              <a16:creationId xmlns:a16="http://schemas.microsoft.com/office/drawing/2014/main" id="{FBA98940-F7B1-42AD-86B2-0C7CFF7B2B33}"/>
            </a:ext>
          </a:extLst>
        </xdr:cNvPr>
        <xdr:cNvSpPr txBox="1"/>
      </xdr:nvSpPr>
      <xdr:spPr>
        <a:xfrm>
          <a:off x="13174980" y="1432560"/>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5BEE80C0-98DD-49DF-AEE2-1A8CCDC0934D}" type="TxLink">
            <a:rPr lang="en-US" sz="1400" b="0" i="0" u="none" strike="noStrike" baseline="0">
              <a:solidFill>
                <a:schemeClr val="bg1"/>
              </a:solidFill>
              <a:latin typeface="Roboto" panose="02000000000000000000" pitchFamily="2" charset="0"/>
              <a:ea typeface="Roboto" panose="02000000000000000000" pitchFamily="2" charset="0"/>
            </a:rPr>
            <a:pPr algn="ctr"/>
            <a:t> 3,28,943 </a:t>
          </a:fld>
          <a:endParaRPr lang="en-IN" sz="1400" baseline="0">
            <a:solidFill>
              <a:schemeClr val="bg1"/>
            </a:solidFill>
            <a:latin typeface="Roboto" panose="02000000000000000000" pitchFamily="2" charset="0"/>
            <a:ea typeface="Roboto" panose="02000000000000000000" pitchFamily="2" charset="0"/>
          </a:endParaRPr>
        </a:p>
      </xdr:txBody>
    </xdr:sp>
    <xdr:clientData/>
  </xdr:twoCellAnchor>
  <xdr:twoCellAnchor editAs="absolute">
    <xdr:from>
      <xdr:col>22</xdr:col>
      <xdr:colOff>121920</xdr:colOff>
      <xdr:row>6</xdr:row>
      <xdr:rowOff>137160</xdr:rowOff>
    </xdr:from>
    <xdr:to>
      <xdr:col>22</xdr:col>
      <xdr:colOff>563880</xdr:colOff>
      <xdr:row>8</xdr:row>
      <xdr:rowOff>0</xdr:rowOff>
    </xdr:to>
    <xdr:sp macro="" textlink="">
      <xdr:nvSpPr>
        <xdr:cNvPr id="61" name="TextBox 19">
          <a:extLst>
            <a:ext uri="{FF2B5EF4-FFF2-40B4-BE49-F238E27FC236}">
              <a16:creationId xmlns:a16="http://schemas.microsoft.com/office/drawing/2014/main" id="{E547FAAB-4B7E-46E7-9064-F51C153D4731}"/>
            </a:ext>
          </a:extLst>
        </xdr:cNvPr>
        <xdr:cNvSpPr txBox="1"/>
      </xdr:nvSpPr>
      <xdr:spPr>
        <a:xfrm>
          <a:off x="13533120" y="1234440"/>
          <a:ext cx="44196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r>
            <a:rPr lang="en-IN" sz="1400" baseline="0">
              <a:solidFill>
                <a:srgbClr val="FFC000"/>
              </a:solidFill>
              <a:latin typeface="MS Reference Sans Serif" panose="020B0604030504040204" pitchFamily="34" charset="0"/>
              <a:ea typeface="Roboto" panose="02000000000000000000" pitchFamily="2" charset="0"/>
            </a:rPr>
            <a:t>x̅</a:t>
          </a:r>
        </a:p>
      </xdr:txBody>
    </xdr:sp>
    <xdr:clientData/>
  </xdr:twoCellAnchor>
  <xdr:twoCellAnchor editAs="absolute">
    <xdr:from>
      <xdr:col>22</xdr:col>
      <xdr:colOff>33528</xdr:colOff>
      <xdr:row>12</xdr:row>
      <xdr:rowOff>157561</xdr:rowOff>
    </xdr:from>
    <xdr:to>
      <xdr:col>23</xdr:col>
      <xdr:colOff>301752</xdr:colOff>
      <xdr:row>26</xdr:row>
      <xdr:rowOff>12781</xdr:rowOff>
    </xdr:to>
    <xdr:sp macro="" textlink="">
      <xdr:nvSpPr>
        <xdr:cNvPr id="64" name="Rectangle: Rounded Corners 63">
          <a:extLst>
            <a:ext uri="{FF2B5EF4-FFF2-40B4-BE49-F238E27FC236}">
              <a16:creationId xmlns:a16="http://schemas.microsoft.com/office/drawing/2014/main" id="{336D1FCA-C4BA-4162-A8D1-BEBC97216745}"/>
            </a:ext>
          </a:extLst>
        </xdr:cNvPr>
        <xdr:cNvSpPr/>
      </xdr:nvSpPr>
      <xdr:spPr>
        <a:xfrm>
          <a:off x="13444728" y="2352121"/>
          <a:ext cx="877824" cy="2423160"/>
        </a:xfrm>
        <a:prstGeom prst="roundRect">
          <a:avLst>
            <a:gd name="adj" fmla="val 12327"/>
          </a:avLst>
        </a:prstGeom>
        <a:solidFill>
          <a:srgbClr val="1E163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21</xdr:col>
      <xdr:colOff>373380</xdr:colOff>
      <xdr:row>13</xdr:row>
      <xdr:rowOff>71282</xdr:rowOff>
    </xdr:from>
    <xdr:to>
      <xdr:col>23</xdr:col>
      <xdr:colOff>571500</xdr:colOff>
      <xdr:row>15</xdr:row>
      <xdr:rowOff>56735</xdr:rowOff>
    </xdr:to>
    <xdr:sp macro="" textlink="">
      <xdr:nvSpPr>
        <xdr:cNvPr id="65" name="TextBox 19">
          <a:extLst>
            <a:ext uri="{FF2B5EF4-FFF2-40B4-BE49-F238E27FC236}">
              <a16:creationId xmlns:a16="http://schemas.microsoft.com/office/drawing/2014/main" id="{A2A68915-9BA1-4C55-9351-9D28186BE4EB}"/>
            </a:ext>
          </a:extLst>
        </xdr:cNvPr>
        <xdr:cNvSpPr txBox="1"/>
      </xdr:nvSpPr>
      <xdr:spPr>
        <a:xfrm>
          <a:off x="13174980" y="2448722"/>
          <a:ext cx="1417320" cy="358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900" baseline="0">
              <a:solidFill>
                <a:schemeClr val="bg1"/>
              </a:solidFill>
              <a:latin typeface="Roboto condensed" panose="02000000000000000000" pitchFamily="2" charset="0"/>
              <a:ea typeface="Roboto condensed" panose="02000000000000000000" pitchFamily="2" charset="0"/>
            </a:rPr>
            <a:t>Operating</a:t>
          </a:r>
          <a:br>
            <a:rPr lang="en-IN" sz="1400" baseline="0">
              <a:solidFill>
                <a:schemeClr val="bg1"/>
              </a:solidFill>
              <a:latin typeface="Roboto condensed" panose="02000000000000000000" pitchFamily="2" charset="0"/>
              <a:ea typeface="Roboto condensed" panose="02000000000000000000" pitchFamily="2" charset="0"/>
            </a:rPr>
          </a:br>
          <a:r>
            <a:rPr lang="en-IN" sz="1050" baseline="0">
              <a:solidFill>
                <a:schemeClr val="bg1"/>
              </a:solidFill>
              <a:latin typeface="Roboto condensed" panose="02000000000000000000" pitchFamily="2" charset="0"/>
              <a:ea typeface="Roboto condensed" panose="02000000000000000000" pitchFamily="2" charset="0"/>
            </a:rPr>
            <a:t>Profits</a:t>
          </a:r>
          <a:endParaRPr lang="en-IN" sz="700" baseline="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21</xdr:col>
      <xdr:colOff>373380</xdr:colOff>
      <xdr:row>23</xdr:row>
      <xdr:rowOff>48422</xdr:rowOff>
    </xdr:from>
    <xdr:to>
      <xdr:col>23</xdr:col>
      <xdr:colOff>571500</xdr:colOff>
      <xdr:row>25</xdr:row>
      <xdr:rowOff>41495</xdr:rowOff>
    </xdr:to>
    <xdr:sp macro="" textlink="Pivottables!AN6">
      <xdr:nvSpPr>
        <xdr:cNvPr id="67" name="TextBox 19">
          <a:extLst>
            <a:ext uri="{FF2B5EF4-FFF2-40B4-BE49-F238E27FC236}">
              <a16:creationId xmlns:a16="http://schemas.microsoft.com/office/drawing/2014/main" id="{FEC99AF7-0B9E-4279-AF52-3B39970EEBDD}"/>
            </a:ext>
          </a:extLst>
        </xdr:cNvPr>
        <xdr:cNvSpPr txBox="1"/>
      </xdr:nvSpPr>
      <xdr:spPr>
        <a:xfrm>
          <a:off x="13174980" y="4262282"/>
          <a:ext cx="1417320" cy="358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09B1B31C-9B9F-40D6-9382-C8E3C341DB58}" type="TxLink">
            <a:rPr lang="en-US" sz="1400" b="0" i="0" u="none" strike="noStrike" baseline="0">
              <a:solidFill>
                <a:schemeClr val="bg1"/>
              </a:solidFill>
              <a:latin typeface="Roboto" panose="02000000000000000000" pitchFamily="2" charset="0"/>
              <a:ea typeface="Roboto" panose="02000000000000000000" pitchFamily="2" charset="0"/>
              <a:cs typeface="+mn-cs"/>
            </a:rPr>
            <a:pPr marL="0" indent="0" algn="ctr"/>
            <a:t> 7,89,464 </a:t>
          </a:fld>
          <a:endParaRPr lang="en-IN" sz="1400" b="0" i="0" u="none" strike="noStrike" baseline="0">
            <a:solidFill>
              <a:schemeClr val="bg1"/>
            </a:solidFill>
            <a:latin typeface="Roboto" panose="02000000000000000000" pitchFamily="2" charset="0"/>
            <a:ea typeface="Roboto" panose="02000000000000000000" pitchFamily="2" charset="0"/>
            <a:cs typeface="+mn-cs"/>
          </a:endParaRPr>
        </a:p>
      </xdr:txBody>
    </xdr:sp>
    <xdr:clientData/>
  </xdr:twoCellAnchor>
  <xdr:twoCellAnchor editAs="absolute">
    <xdr:from>
      <xdr:col>22</xdr:col>
      <xdr:colOff>33528</xdr:colOff>
      <xdr:row>26</xdr:row>
      <xdr:rowOff>109382</xdr:rowOff>
    </xdr:from>
    <xdr:to>
      <xdr:col>23</xdr:col>
      <xdr:colOff>301752</xdr:colOff>
      <xdr:row>39</xdr:row>
      <xdr:rowOff>155102</xdr:rowOff>
    </xdr:to>
    <xdr:sp macro="" textlink="">
      <xdr:nvSpPr>
        <xdr:cNvPr id="63" name="Rectangle: Rounded Corners 62">
          <a:extLst>
            <a:ext uri="{FF2B5EF4-FFF2-40B4-BE49-F238E27FC236}">
              <a16:creationId xmlns:a16="http://schemas.microsoft.com/office/drawing/2014/main" id="{D552A4CC-4408-4CE5-A3C8-A5355DBE88E8}"/>
            </a:ext>
          </a:extLst>
        </xdr:cNvPr>
        <xdr:cNvSpPr/>
      </xdr:nvSpPr>
      <xdr:spPr>
        <a:xfrm>
          <a:off x="13444728" y="4871882"/>
          <a:ext cx="877824" cy="2423160"/>
        </a:xfrm>
        <a:prstGeom prst="roundRect">
          <a:avLst>
            <a:gd name="adj" fmla="val 12327"/>
          </a:avLst>
        </a:prstGeom>
        <a:solidFill>
          <a:srgbClr val="1E163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21</xdr:col>
      <xdr:colOff>373380</xdr:colOff>
      <xdr:row>29</xdr:row>
      <xdr:rowOff>38100</xdr:rowOff>
    </xdr:from>
    <xdr:to>
      <xdr:col>23</xdr:col>
      <xdr:colOff>571500</xdr:colOff>
      <xdr:row>30</xdr:row>
      <xdr:rowOff>140555</xdr:rowOff>
    </xdr:to>
    <xdr:sp macro="" textlink="Pivottables!AW6">
      <xdr:nvSpPr>
        <xdr:cNvPr id="69" name="TextBox 19">
          <a:extLst>
            <a:ext uri="{FF2B5EF4-FFF2-40B4-BE49-F238E27FC236}">
              <a16:creationId xmlns:a16="http://schemas.microsoft.com/office/drawing/2014/main" id="{F4A49551-C502-4EF5-8A76-52F41FC9EA32}"/>
            </a:ext>
          </a:extLst>
        </xdr:cNvPr>
        <xdr:cNvSpPr txBox="1"/>
      </xdr:nvSpPr>
      <xdr:spPr>
        <a:xfrm>
          <a:off x="13174980" y="53492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516860CB-D384-4E59-BD5E-121D02FB3BAE}"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 23,61,014 </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28</xdr:row>
      <xdr:rowOff>11430</xdr:rowOff>
    </xdr:from>
    <xdr:to>
      <xdr:col>23</xdr:col>
      <xdr:colOff>571500</xdr:colOff>
      <xdr:row>29</xdr:row>
      <xdr:rowOff>113885</xdr:rowOff>
    </xdr:to>
    <xdr:sp macro="" textlink="Pivottables!AX6">
      <xdr:nvSpPr>
        <xdr:cNvPr id="70" name="TextBox 19">
          <a:extLst>
            <a:ext uri="{FF2B5EF4-FFF2-40B4-BE49-F238E27FC236}">
              <a16:creationId xmlns:a16="http://schemas.microsoft.com/office/drawing/2014/main" id="{36F10CED-BE0C-4B26-B9C2-07AB95FB3496}"/>
            </a:ext>
          </a:extLst>
        </xdr:cNvPr>
        <xdr:cNvSpPr txBox="1"/>
      </xdr:nvSpPr>
      <xdr:spPr>
        <a:xfrm>
          <a:off x="13174980" y="513969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EEA4B395-0E31-4C32-A6F5-2A0B2A154A7B}"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60%</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26</xdr:row>
      <xdr:rowOff>167640</xdr:rowOff>
    </xdr:from>
    <xdr:to>
      <xdr:col>23</xdr:col>
      <xdr:colOff>571500</xdr:colOff>
      <xdr:row>28</xdr:row>
      <xdr:rowOff>87215</xdr:rowOff>
    </xdr:to>
    <xdr:sp macro="" textlink="Pivottables!AV6">
      <xdr:nvSpPr>
        <xdr:cNvPr id="71" name="TextBox 19">
          <a:extLst>
            <a:ext uri="{FF2B5EF4-FFF2-40B4-BE49-F238E27FC236}">
              <a16:creationId xmlns:a16="http://schemas.microsoft.com/office/drawing/2014/main" id="{C94491CD-58DC-4F19-8B5B-7CE4855732A2}"/>
            </a:ext>
          </a:extLst>
        </xdr:cNvPr>
        <xdr:cNvSpPr txBox="1"/>
      </xdr:nvSpPr>
      <xdr:spPr>
        <a:xfrm>
          <a:off x="13174980" y="49301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CEFAA6D2-E1D1-45EE-9CE9-11E268F1013B}" type="TxLink">
            <a:rPr lang="en-US" sz="1600" b="0" i="0" u="none" strike="noStrike" baseline="0">
              <a:solidFill>
                <a:srgbClr val="FFFFFF"/>
              </a:solidFill>
              <a:latin typeface="Roboto condensed" panose="02000000000000000000" pitchFamily="2" charset="0"/>
              <a:ea typeface="Roboto condensed" panose="02000000000000000000" pitchFamily="2" charset="0"/>
              <a:cs typeface="+mn-cs"/>
            </a:rPr>
            <a:pPr marL="0" indent="0" algn="ctr"/>
            <a:t>B2B</a:t>
          </a:fld>
          <a:endParaRPr lang="en-IN" sz="20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22</xdr:col>
      <xdr:colOff>7620</xdr:colOff>
      <xdr:row>15</xdr:row>
      <xdr:rowOff>15240</xdr:rowOff>
    </xdr:from>
    <xdr:to>
      <xdr:col>24</xdr:col>
      <xdr:colOff>137160</xdr:colOff>
      <xdr:row>23</xdr:row>
      <xdr:rowOff>91440</xdr:rowOff>
    </xdr:to>
    <xdr:graphicFrame macro="">
      <xdr:nvGraphicFramePr>
        <xdr:cNvPr id="66" name="Chart 65">
          <a:extLst>
            <a:ext uri="{FF2B5EF4-FFF2-40B4-BE49-F238E27FC236}">
              <a16:creationId xmlns:a16="http://schemas.microsoft.com/office/drawing/2014/main" id="{1A63C60D-BAD1-4118-9AD9-EC08F4FA26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21</xdr:col>
      <xdr:colOff>476250</xdr:colOff>
      <xdr:row>30</xdr:row>
      <xdr:rowOff>67472</xdr:rowOff>
    </xdr:from>
    <xdr:to>
      <xdr:col>23</xdr:col>
      <xdr:colOff>468630</xdr:colOff>
      <xdr:row>36</xdr:row>
      <xdr:rowOff>14132</xdr:rowOff>
    </xdr:to>
    <xdr:graphicFrame macro="">
      <xdr:nvGraphicFramePr>
        <xdr:cNvPr id="68" name="Chart 67">
          <a:extLst>
            <a:ext uri="{FF2B5EF4-FFF2-40B4-BE49-F238E27FC236}">
              <a16:creationId xmlns:a16="http://schemas.microsoft.com/office/drawing/2014/main" id="{9FF206F6-8A92-4F11-8017-30C508505C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21</xdr:col>
      <xdr:colOff>373380</xdr:colOff>
      <xdr:row>37</xdr:row>
      <xdr:rowOff>137160</xdr:rowOff>
    </xdr:from>
    <xdr:to>
      <xdr:col>23</xdr:col>
      <xdr:colOff>571500</xdr:colOff>
      <xdr:row>39</xdr:row>
      <xdr:rowOff>56735</xdr:rowOff>
    </xdr:to>
    <xdr:sp macro="" textlink="Pivottables!AV7">
      <xdr:nvSpPr>
        <xdr:cNvPr id="72" name="TextBox 19">
          <a:extLst>
            <a:ext uri="{FF2B5EF4-FFF2-40B4-BE49-F238E27FC236}">
              <a16:creationId xmlns:a16="http://schemas.microsoft.com/office/drawing/2014/main" id="{35FEBEBC-426F-49E1-8F7D-F1F37E2385C5}"/>
            </a:ext>
          </a:extLst>
        </xdr:cNvPr>
        <xdr:cNvSpPr txBox="1"/>
      </xdr:nvSpPr>
      <xdr:spPr>
        <a:xfrm>
          <a:off x="13174980" y="69113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827E04A7-DE3B-4CAB-B4EB-38BC84834289}" type="TxLink">
            <a:rPr lang="en-US" sz="1600" b="0" i="0" u="none" strike="noStrike" baseline="0">
              <a:solidFill>
                <a:srgbClr val="FFFFFF"/>
              </a:solidFill>
              <a:latin typeface="Roboto condensed" panose="02000000000000000000" pitchFamily="2" charset="0"/>
              <a:ea typeface="Roboto condensed" panose="02000000000000000000" pitchFamily="2" charset="0"/>
              <a:cs typeface="+mn-cs"/>
            </a:rPr>
            <a:pPr marL="0" indent="0" algn="ctr"/>
            <a:t>B2C</a:t>
          </a:fld>
          <a:endParaRPr lang="en-IN" sz="1600" b="0" i="0" u="none" strike="noStrike" baseline="0">
            <a:solidFill>
              <a:srgbClr val="FFFFFF"/>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36</xdr:row>
      <xdr:rowOff>110490</xdr:rowOff>
    </xdr:from>
    <xdr:to>
      <xdr:col>23</xdr:col>
      <xdr:colOff>571500</xdr:colOff>
      <xdr:row>38</xdr:row>
      <xdr:rowOff>30065</xdr:rowOff>
    </xdr:to>
    <xdr:sp macro="" textlink="Pivottables!AX7">
      <xdr:nvSpPr>
        <xdr:cNvPr id="73" name="TextBox 19">
          <a:extLst>
            <a:ext uri="{FF2B5EF4-FFF2-40B4-BE49-F238E27FC236}">
              <a16:creationId xmlns:a16="http://schemas.microsoft.com/office/drawing/2014/main" id="{179CA4D4-FDF9-4019-BE6F-469036A8375B}"/>
            </a:ext>
          </a:extLst>
        </xdr:cNvPr>
        <xdr:cNvSpPr txBox="1"/>
      </xdr:nvSpPr>
      <xdr:spPr>
        <a:xfrm>
          <a:off x="13174980" y="670179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C393D0B7-0999-49A5-91C8-0CAD0BC68594}"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40%</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35</xdr:row>
      <xdr:rowOff>83820</xdr:rowOff>
    </xdr:from>
    <xdr:to>
      <xdr:col>23</xdr:col>
      <xdr:colOff>571500</xdr:colOff>
      <xdr:row>37</xdr:row>
      <xdr:rowOff>3395</xdr:rowOff>
    </xdr:to>
    <xdr:sp macro="" textlink="Pivottables!AW7">
      <xdr:nvSpPr>
        <xdr:cNvPr id="74" name="TextBox 19">
          <a:extLst>
            <a:ext uri="{FF2B5EF4-FFF2-40B4-BE49-F238E27FC236}">
              <a16:creationId xmlns:a16="http://schemas.microsoft.com/office/drawing/2014/main" id="{D2DD992F-C5E9-4B3B-8C1B-A00679FAE5B6}"/>
            </a:ext>
          </a:extLst>
        </xdr:cNvPr>
        <xdr:cNvSpPr txBox="1"/>
      </xdr:nvSpPr>
      <xdr:spPr>
        <a:xfrm>
          <a:off x="13174980" y="64922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E17EDBD4-4860-46B6-BB95-0D3837074793}"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 15,86,304 </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8</xdr:col>
      <xdr:colOff>525780</xdr:colOff>
      <xdr:row>7</xdr:row>
      <xdr:rowOff>144780</xdr:rowOff>
    </xdr:from>
    <xdr:to>
      <xdr:col>17</xdr:col>
      <xdr:colOff>114300</xdr:colOff>
      <xdr:row>37</xdr:row>
      <xdr:rowOff>7620</xdr:rowOff>
    </xdr:to>
    <xdr:grpSp>
      <xdr:nvGrpSpPr>
        <xdr:cNvPr id="88" name="Group 87">
          <a:extLst>
            <a:ext uri="{FF2B5EF4-FFF2-40B4-BE49-F238E27FC236}">
              <a16:creationId xmlns:a16="http://schemas.microsoft.com/office/drawing/2014/main" id="{1300A22E-06DF-41D8-BE13-E5B11EC6E3FA}"/>
            </a:ext>
          </a:extLst>
        </xdr:cNvPr>
        <xdr:cNvGrpSpPr/>
      </xdr:nvGrpSpPr>
      <xdr:grpSpPr>
        <a:xfrm>
          <a:off x="5402580" y="1424940"/>
          <a:ext cx="5074920" cy="5356860"/>
          <a:chOff x="5402580" y="1424940"/>
          <a:chExt cx="5074920" cy="5356860"/>
        </a:xfrm>
      </xdr:grpSpPr>
      <xdr:cxnSp macro="">
        <xdr:nvCxnSpPr>
          <xdr:cNvPr id="22" name="Straight Connector 21">
            <a:extLst>
              <a:ext uri="{FF2B5EF4-FFF2-40B4-BE49-F238E27FC236}">
                <a16:creationId xmlns:a16="http://schemas.microsoft.com/office/drawing/2014/main" id="{A33451C8-6FFE-4432-B18D-9E1CC5352E9C}"/>
              </a:ext>
            </a:extLst>
          </xdr:cNvPr>
          <xdr:cNvCxnSpPr/>
        </xdr:nvCxnSpPr>
        <xdr:spPr>
          <a:xfrm flipV="1">
            <a:off x="7551420" y="1424940"/>
            <a:ext cx="1051560" cy="210312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5BBF3F40-7A6C-4D49-861C-C23997EB305C}"/>
              </a:ext>
            </a:extLst>
          </xdr:cNvPr>
          <xdr:cNvCxnSpPr/>
        </xdr:nvCxnSpPr>
        <xdr:spPr>
          <a:xfrm flipV="1">
            <a:off x="8107680" y="3528060"/>
            <a:ext cx="1470660" cy="48006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13F7B38C-16A5-4714-83B0-0E6C53A238CE}"/>
              </a:ext>
            </a:extLst>
          </xdr:cNvPr>
          <xdr:cNvCxnSpPr/>
        </xdr:nvCxnSpPr>
        <xdr:spPr>
          <a:xfrm>
            <a:off x="7955280" y="4808220"/>
            <a:ext cx="2522220" cy="127254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A327EBA6-CED1-4053-9134-72A51FAF4586}"/>
              </a:ext>
            </a:extLst>
          </xdr:cNvPr>
          <xdr:cNvCxnSpPr/>
        </xdr:nvCxnSpPr>
        <xdr:spPr>
          <a:xfrm>
            <a:off x="7399020" y="5143500"/>
            <a:ext cx="388620" cy="163830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A0273785-4620-4C56-8AE8-51D0A93D1936}"/>
              </a:ext>
            </a:extLst>
          </xdr:cNvPr>
          <xdr:cNvCxnSpPr/>
        </xdr:nvCxnSpPr>
        <xdr:spPr>
          <a:xfrm flipH="1">
            <a:off x="5402580" y="4785360"/>
            <a:ext cx="1219200" cy="65532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9284CD84-3C36-4C1E-99B3-3B92A091FB60}"/>
              </a:ext>
            </a:extLst>
          </xdr:cNvPr>
          <xdr:cNvCxnSpPr/>
        </xdr:nvCxnSpPr>
        <xdr:spPr>
          <a:xfrm flipH="1" flipV="1">
            <a:off x="6042660" y="2072640"/>
            <a:ext cx="830580" cy="149352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6</xdr:col>
      <xdr:colOff>289560</xdr:colOff>
      <xdr:row>2</xdr:row>
      <xdr:rowOff>129540</xdr:rowOff>
    </xdr:from>
    <xdr:to>
      <xdr:col>21</xdr:col>
      <xdr:colOff>449580</xdr:colOff>
      <xdr:row>42</xdr:row>
      <xdr:rowOff>129540</xdr:rowOff>
    </xdr:to>
    <xdr:graphicFrame macro="">
      <xdr:nvGraphicFramePr>
        <xdr:cNvPr id="17" name="Chart 16">
          <a:extLst>
            <a:ext uri="{FF2B5EF4-FFF2-40B4-BE49-F238E27FC236}">
              <a16:creationId xmlns:a16="http://schemas.microsoft.com/office/drawing/2014/main" id="{8E00ADE4-9D93-4094-BED3-945C0ED030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13</xdr:col>
      <xdr:colOff>396241</xdr:colOff>
      <xdr:row>7</xdr:row>
      <xdr:rowOff>76200</xdr:rowOff>
    </xdr:from>
    <xdr:to>
      <xdr:col>14</xdr:col>
      <xdr:colOff>548641</xdr:colOff>
      <xdr:row>8</xdr:row>
      <xdr:rowOff>76200</xdr:rowOff>
    </xdr:to>
    <xdr:sp macro="" textlink="Pivottables!K11">
      <xdr:nvSpPr>
        <xdr:cNvPr id="95" name="TextBox 94">
          <a:extLst>
            <a:ext uri="{FF2B5EF4-FFF2-40B4-BE49-F238E27FC236}">
              <a16:creationId xmlns:a16="http://schemas.microsoft.com/office/drawing/2014/main" id="{A10C6327-D2E3-4D55-B4FE-916E4BB5B02E}"/>
            </a:ext>
          </a:extLst>
        </xdr:cNvPr>
        <xdr:cNvSpPr txBox="1"/>
      </xdr:nvSpPr>
      <xdr:spPr>
        <a:xfrm>
          <a:off x="8321041" y="135636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278071-E073-451F-839C-957710527406}" type="TxLink">
            <a:rPr lang="en-US" sz="900" b="0" i="0" u="none" strike="noStrike">
              <a:solidFill>
                <a:schemeClr val="bg1"/>
              </a:solidFill>
              <a:latin typeface="Roboto condensed" panose="02000000000000000000" pitchFamily="2" charset="0"/>
              <a:ea typeface="Roboto condensed" panose="02000000000000000000" pitchFamily="2" charset="0"/>
            </a:rPr>
            <a:pPr algn="ctr"/>
            <a:t>Asset sale</a:t>
          </a:fld>
          <a:endParaRPr lang="en-IN" sz="9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9</xdr:col>
      <xdr:colOff>137161</xdr:colOff>
      <xdr:row>11</xdr:row>
      <xdr:rowOff>45720</xdr:rowOff>
    </xdr:from>
    <xdr:to>
      <xdr:col>10</xdr:col>
      <xdr:colOff>289561</xdr:colOff>
      <xdr:row>12</xdr:row>
      <xdr:rowOff>45720</xdr:rowOff>
    </xdr:to>
    <xdr:sp macro="" textlink="Pivottables!K9">
      <xdr:nvSpPr>
        <xdr:cNvPr id="96" name="TextBox 95">
          <a:extLst>
            <a:ext uri="{FF2B5EF4-FFF2-40B4-BE49-F238E27FC236}">
              <a16:creationId xmlns:a16="http://schemas.microsoft.com/office/drawing/2014/main" id="{EAA3EACE-7AB7-4B71-AD62-E1D727200216}"/>
            </a:ext>
          </a:extLst>
        </xdr:cNvPr>
        <xdr:cNvSpPr txBox="1"/>
      </xdr:nvSpPr>
      <xdr:spPr>
        <a:xfrm>
          <a:off x="5623561" y="205740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0C0294-0E0E-41A4-952D-5E5F88F2202D}"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Licensing</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7</xdr:col>
      <xdr:colOff>457201</xdr:colOff>
      <xdr:row>30</xdr:row>
      <xdr:rowOff>83820</xdr:rowOff>
    </xdr:from>
    <xdr:to>
      <xdr:col>9</xdr:col>
      <xdr:colOff>1</xdr:colOff>
      <xdr:row>31</xdr:row>
      <xdr:rowOff>83820</xdr:rowOff>
    </xdr:to>
    <xdr:sp macro="" textlink="Pivottables!K6">
      <xdr:nvSpPr>
        <xdr:cNvPr id="97" name="TextBox 96">
          <a:extLst>
            <a:ext uri="{FF2B5EF4-FFF2-40B4-BE49-F238E27FC236}">
              <a16:creationId xmlns:a16="http://schemas.microsoft.com/office/drawing/2014/main" id="{FF62B906-BCF3-491A-975E-7B6F72F2B6EA}"/>
            </a:ext>
          </a:extLst>
        </xdr:cNvPr>
        <xdr:cNvSpPr txBox="1"/>
      </xdr:nvSpPr>
      <xdr:spPr>
        <a:xfrm>
          <a:off x="4724401" y="557784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CFC06CA-60A9-4BF9-83A2-4BB0EEAEA02A}"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Usage fees</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6</xdr:col>
      <xdr:colOff>167641</xdr:colOff>
      <xdr:row>49</xdr:row>
      <xdr:rowOff>106680</xdr:rowOff>
    </xdr:from>
    <xdr:to>
      <xdr:col>7</xdr:col>
      <xdr:colOff>320041</xdr:colOff>
      <xdr:row>50</xdr:row>
      <xdr:rowOff>106680</xdr:rowOff>
    </xdr:to>
    <xdr:sp macro="" textlink="Pivottables!K6">
      <xdr:nvSpPr>
        <xdr:cNvPr id="98" name="TextBox 97">
          <a:extLst>
            <a:ext uri="{FF2B5EF4-FFF2-40B4-BE49-F238E27FC236}">
              <a16:creationId xmlns:a16="http://schemas.microsoft.com/office/drawing/2014/main" id="{465E3C18-AE6E-4411-A00F-7A94433E4B83}"/>
            </a:ext>
          </a:extLst>
        </xdr:cNvPr>
        <xdr:cNvSpPr txBox="1"/>
      </xdr:nvSpPr>
      <xdr:spPr>
        <a:xfrm>
          <a:off x="3825241" y="907542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CFC06CA-60A9-4BF9-83A2-4BB0EEAEA02A}" type="TxLink">
            <a:rPr lang="en-US" sz="1000" b="0" i="0" u="none" strike="noStrike">
              <a:solidFill>
                <a:srgbClr val="000000"/>
              </a:solidFill>
              <a:latin typeface="Roboto"/>
              <a:ea typeface="Roboto"/>
            </a:rPr>
            <a:pPr algn="ctr"/>
            <a:t>Usage fees</a:t>
          </a:fld>
          <a:endParaRPr lang="en-IN" sz="9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12</xdr:col>
      <xdr:colOff>83821</xdr:colOff>
      <xdr:row>38</xdr:row>
      <xdr:rowOff>30480</xdr:rowOff>
    </xdr:from>
    <xdr:to>
      <xdr:col>13</xdr:col>
      <xdr:colOff>236221</xdr:colOff>
      <xdr:row>39</xdr:row>
      <xdr:rowOff>30480</xdr:rowOff>
    </xdr:to>
    <xdr:sp macro="" textlink="Pivottables!K8">
      <xdr:nvSpPr>
        <xdr:cNvPr id="99" name="TextBox 98">
          <a:extLst>
            <a:ext uri="{FF2B5EF4-FFF2-40B4-BE49-F238E27FC236}">
              <a16:creationId xmlns:a16="http://schemas.microsoft.com/office/drawing/2014/main" id="{7715FA18-BB70-4CA1-89BA-DAC332597390}"/>
            </a:ext>
          </a:extLst>
        </xdr:cNvPr>
        <xdr:cNvSpPr txBox="1"/>
      </xdr:nvSpPr>
      <xdr:spPr>
        <a:xfrm>
          <a:off x="7399021" y="698754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47BF7D0-0610-41F2-8717-C8BFB3453BE9}"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Renting</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16</xdr:col>
      <xdr:colOff>320041</xdr:colOff>
      <xdr:row>45</xdr:row>
      <xdr:rowOff>137160</xdr:rowOff>
    </xdr:from>
    <xdr:to>
      <xdr:col>17</xdr:col>
      <xdr:colOff>472441</xdr:colOff>
      <xdr:row>46</xdr:row>
      <xdr:rowOff>137160</xdr:rowOff>
    </xdr:to>
    <xdr:sp macro="" textlink="Pivottables!K8">
      <xdr:nvSpPr>
        <xdr:cNvPr id="100" name="TextBox 99">
          <a:extLst>
            <a:ext uri="{FF2B5EF4-FFF2-40B4-BE49-F238E27FC236}">
              <a16:creationId xmlns:a16="http://schemas.microsoft.com/office/drawing/2014/main" id="{53511B9B-CBC5-4E63-9618-1916FB791C75}"/>
            </a:ext>
          </a:extLst>
        </xdr:cNvPr>
        <xdr:cNvSpPr txBox="1"/>
      </xdr:nvSpPr>
      <xdr:spPr>
        <a:xfrm>
          <a:off x="10073641" y="837438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7BF7D0-0610-41F2-8717-C8BFB3453BE9}" type="TxLink">
            <a:rPr lang="en-US" sz="1000" b="0" i="0" u="none" strike="noStrike">
              <a:solidFill>
                <a:srgbClr val="000000"/>
              </a:solidFill>
              <a:latin typeface="Roboto"/>
              <a:ea typeface="Roboto"/>
            </a:rPr>
            <a:pPr algn="ctr"/>
            <a:t>Renting</a:t>
          </a:fld>
          <a:endParaRPr lang="en-IN" sz="9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16</xdr:col>
      <xdr:colOff>289560</xdr:colOff>
      <xdr:row>34</xdr:row>
      <xdr:rowOff>68580</xdr:rowOff>
    </xdr:from>
    <xdr:to>
      <xdr:col>18</xdr:col>
      <xdr:colOff>7619</xdr:colOff>
      <xdr:row>35</xdr:row>
      <xdr:rowOff>53340</xdr:rowOff>
    </xdr:to>
    <xdr:sp macro="" textlink="Pivottables!K7">
      <xdr:nvSpPr>
        <xdr:cNvPr id="101" name="TextBox 100">
          <a:extLst>
            <a:ext uri="{FF2B5EF4-FFF2-40B4-BE49-F238E27FC236}">
              <a16:creationId xmlns:a16="http://schemas.microsoft.com/office/drawing/2014/main" id="{49ED31B5-4D12-4694-8874-03896D45AD8B}"/>
            </a:ext>
          </a:extLst>
        </xdr:cNvPr>
        <xdr:cNvSpPr txBox="1"/>
      </xdr:nvSpPr>
      <xdr:spPr>
        <a:xfrm>
          <a:off x="10043160" y="6294120"/>
          <a:ext cx="937259"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C7E6A8-8A8D-4151-AF44-787EB73E0964}"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Subscription</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15</xdr:col>
      <xdr:colOff>38100</xdr:colOff>
      <xdr:row>18</xdr:row>
      <xdr:rowOff>175260</xdr:rowOff>
    </xdr:from>
    <xdr:to>
      <xdr:col>16</xdr:col>
      <xdr:colOff>281939</xdr:colOff>
      <xdr:row>20</xdr:row>
      <xdr:rowOff>15240</xdr:rowOff>
    </xdr:to>
    <xdr:sp macro="" textlink="Pivottables!K10">
      <xdr:nvSpPr>
        <xdr:cNvPr id="103" name="TextBox 102">
          <a:extLst>
            <a:ext uri="{FF2B5EF4-FFF2-40B4-BE49-F238E27FC236}">
              <a16:creationId xmlns:a16="http://schemas.microsoft.com/office/drawing/2014/main" id="{5B55133F-0E50-46FA-8C34-6FD1AB97485B}"/>
            </a:ext>
          </a:extLst>
        </xdr:cNvPr>
        <xdr:cNvSpPr txBox="1"/>
      </xdr:nvSpPr>
      <xdr:spPr>
        <a:xfrm>
          <a:off x="9182100" y="3474720"/>
          <a:ext cx="853439"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09C311-3153-4B49-B086-9410A42C74B3}"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Advertising</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19</xdr:col>
      <xdr:colOff>342901</xdr:colOff>
      <xdr:row>5</xdr:row>
      <xdr:rowOff>91440</xdr:rowOff>
    </xdr:from>
    <xdr:to>
      <xdr:col>21</xdr:col>
      <xdr:colOff>464819</xdr:colOff>
      <xdr:row>7</xdr:row>
      <xdr:rowOff>83820</xdr:rowOff>
    </xdr:to>
    <xdr:grpSp>
      <xdr:nvGrpSpPr>
        <xdr:cNvPr id="144" name="Group 143">
          <a:extLst>
            <a:ext uri="{FF2B5EF4-FFF2-40B4-BE49-F238E27FC236}">
              <a16:creationId xmlns:a16="http://schemas.microsoft.com/office/drawing/2014/main" id="{21EAF429-8224-4C99-9D8D-1420D1C32E7E}"/>
            </a:ext>
          </a:extLst>
        </xdr:cNvPr>
        <xdr:cNvGrpSpPr/>
      </xdr:nvGrpSpPr>
      <xdr:grpSpPr>
        <a:xfrm>
          <a:off x="11925301" y="1005840"/>
          <a:ext cx="1341118" cy="358140"/>
          <a:chOff x="11925301" y="1005840"/>
          <a:chExt cx="1341118" cy="358140"/>
        </a:xfrm>
      </xdr:grpSpPr>
      <xdr:sp macro="" textlink="Pivottables!BF22">
        <xdr:nvSpPr>
          <xdr:cNvPr id="141" name="TextBox 140">
            <a:extLst>
              <a:ext uri="{FF2B5EF4-FFF2-40B4-BE49-F238E27FC236}">
                <a16:creationId xmlns:a16="http://schemas.microsoft.com/office/drawing/2014/main" id="{B0B04A1C-1A5E-41F2-B4DC-DEC59FA52AC5}"/>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FAA46AC-C34B-40E0-A936-2B825FF68306}" type="TxLink">
              <a:rPr lang="en-US" sz="800" b="0" i="0" u="none" strike="noStrike">
                <a:solidFill>
                  <a:schemeClr val="bg1"/>
                </a:solidFill>
                <a:latin typeface="Roboto condensed" panose="02000000000000000000" pitchFamily="2" charset="0"/>
                <a:ea typeface="Roboto condensed" panose="02000000000000000000" pitchFamily="2" charset="0"/>
              </a:rPr>
              <a:pPr algn="l"/>
              <a:t>Company Website</a:t>
            </a:fld>
            <a:endParaRPr lang="en-IN" sz="800">
              <a:solidFill>
                <a:schemeClr val="bg1"/>
              </a:solidFill>
              <a:latin typeface="Roboto condensed" panose="02000000000000000000" pitchFamily="2" charset="0"/>
              <a:ea typeface="Roboto condensed" panose="02000000000000000000" pitchFamily="2" charset="0"/>
            </a:endParaRPr>
          </a:p>
        </xdr:txBody>
      </xdr:sp>
      <xdr:sp macro="" textlink="Pivottables!BG22">
        <xdr:nvSpPr>
          <xdr:cNvPr id="142" name="TextBox 141">
            <a:extLst>
              <a:ext uri="{FF2B5EF4-FFF2-40B4-BE49-F238E27FC236}">
                <a16:creationId xmlns:a16="http://schemas.microsoft.com/office/drawing/2014/main" id="{4406BA20-8797-4313-BA69-00F38D5EF065}"/>
              </a:ext>
            </a:extLst>
          </xdr:cNvPr>
          <xdr:cNvSpPr txBox="1"/>
        </xdr:nvSpPr>
        <xdr:spPr>
          <a:xfrm>
            <a:off x="12252960" y="117348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B8C5D3A-BA01-489F-AD1D-AC1E0F01CDE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9,720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2">
        <xdr:nvSpPr>
          <xdr:cNvPr id="143" name="TextBox 142">
            <a:extLst>
              <a:ext uri="{FF2B5EF4-FFF2-40B4-BE49-F238E27FC236}">
                <a16:creationId xmlns:a16="http://schemas.microsoft.com/office/drawing/2014/main" id="{BF9016F3-A77D-4D37-A746-E7326892CD1A}"/>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E435D03-A804-4AC4-9D56-BF234DF4C8B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19</xdr:col>
      <xdr:colOff>342901</xdr:colOff>
      <xdr:row>12</xdr:row>
      <xdr:rowOff>38100</xdr:rowOff>
    </xdr:from>
    <xdr:to>
      <xdr:col>21</xdr:col>
      <xdr:colOff>464819</xdr:colOff>
      <xdr:row>14</xdr:row>
      <xdr:rowOff>30480</xdr:rowOff>
    </xdr:to>
    <xdr:grpSp>
      <xdr:nvGrpSpPr>
        <xdr:cNvPr id="145" name="Group 144">
          <a:extLst>
            <a:ext uri="{FF2B5EF4-FFF2-40B4-BE49-F238E27FC236}">
              <a16:creationId xmlns:a16="http://schemas.microsoft.com/office/drawing/2014/main" id="{DA0628A5-A1B5-48B8-B0D2-A4F25A6589DF}"/>
            </a:ext>
          </a:extLst>
        </xdr:cNvPr>
        <xdr:cNvGrpSpPr/>
      </xdr:nvGrpSpPr>
      <xdr:grpSpPr>
        <a:xfrm>
          <a:off x="11925301" y="2232660"/>
          <a:ext cx="1341118" cy="358140"/>
          <a:chOff x="11925301" y="1005840"/>
          <a:chExt cx="1341118" cy="358140"/>
        </a:xfrm>
      </xdr:grpSpPr>
      <xdr:sp macro="" textlink="Pivottables!BF23">
        <xdr:nvSpPr>
          <xdr:cNvPr id="146" name="TextBox 145">
            <a:extLst>
              <a:ext uri="{FF2B5EF4-FFF2-40B4-BE49-F238E27FC236}">
                <a16:creationId xmlns:a16="http://schemas.microsoft.com/office/drawing/2014/main" id="{003FD903-BBED-4A4C-A384-722CC3BBACA6}"/>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DC4AA0E-73EA-4449-A43D-C322BAF6B78A}" type="TxLink">
              <a:rPr lang="en-US" sz="900" b="0" i="0" u="none" strike="noStrike">
                <a:solidFill>
                  <a:schemeClr val="bg1"/>
                </a:solidFill>
                <a:latin typeface="Roboto condensed" panose="02000000000000000000" pitchFamily="2" charset="0"/>
                <a:ea typeface="Roboto condensed" panose="02000000000000000000" pitchFamily="2" charset="0"/>
              </a:rPr>
              <a:pPr algn="l"/>
              <a:t>Facebook Page</a:t>
            </a:fld>
            <a:endParaRPr lang="en-IN" sz="700">
              <a:solidFill>
                <a:schemeClr val="bg1"/>
              </a:solidFill>
              <a:latin typeface="Roboto condensed" panose="02000000000000000000" pitchFamily="2" charset="0"/>
              <a:ea typeface="Roboto condensed" panose="02000000000000000000" pitchFamily="2" charset="0"/>
            </a:endParaRPr>
          </a:p>
        </xdr:txBody>
      </xdr:sp>
      <xdr:sp macro="" textlink="Pivottables!BG23">
        <xdr:nvSpPr>
          <xdr:cNvPr id="147" name="TextBox 146">
            <a:extLst>
              <a:ext uri="{FF2B5EF4-FFF2-40B4-BE49-F238E27FC236}">
                <a16:creationId xmlns:a16="http://schemas.microsoft.com/office/drawing/2014/main" id="{4813D74D-AA78-4388-AA1C-88AD29F3EC31}"/>
              </a:ext>
            </a:extLst>
          </xdr:cNvPr>
          <xdr:cNvSpPr txBox="1"/>
        </xdr:nvSpPr>
        <xdr:spPr>
          <a:xfrm>
            <a:off x="12230100" y="1173480"/>
            <a:ext cx="103631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0FF8E2-D9E6-4CAE-A1EB-CB9115BAFA76}"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2,23,825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3">
        <xdr:nvSpPr>
          <xdr:cNvPr id="148" name="TextBox 147">
            <a:extLst>
              <a:ext uri="{FF2B5EF4-FFF2-40B4-BE49-F238E27FC236}">
                <a16:creationId xmlns:a16="http://schemas.microsoft.com/office/drawing/2014/main" id="{85873058-0B64-4D4E-BEA2-2C0D9FAE5DC2}"/>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888C891-CD4F-40D1-A6F0-B7776F35B5C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6%</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19</xdr:col>
      <xdr:colOff>358141</xdr:colOff>
      <xdr:row>15</xdr:row>
      <xdr:rowOff>144780</xdr:rowOff>
    </xdr:from>
    <xdr:to>
      <xdr:col>21</xdr:col>
      <xdr:colOff>480059</xdr:colOff>
      <xdr:row>17</xdr:row>
      <xdr:rowOff>144780</xdr:rowOff>
    </xdr:to>
    <xdr:grpSp>
      <xdr:nvGrpSpPr>
        <xdr:cNvPr id="154" name="Group 153">
          <a:extLst>
            <a:ext uri="{FF2B5EF4-FFF2-40B4-BE49-F238E27FC236}">
              <a16:creationId xmlns:a16="http://schemas.microsoft.com/office/drawing/2014/main" id="{FB698742-565B-4185-8D85-EB3975505E37}"/>
            </a:ext>
          </a:extLst>
        </xdr:cNvPr>
        <xdr:cNvGrpSpPr/>
      </xdr:nvGrpSpPr>
      <xdr:grpSpPr>
        <a:xfrm>
          <a:off x="11940541" y="2895600"/>
          <a:ext cx="1341118" cy="365760"/>
          <a:chOff x="11925301" y="1005840"/>
          <a:chExt cx="1341118" cy="365760"/>
        </a:xfrm>
      </xdr:grpSpPr>
      <xdr:sp macro="" textlink="Pivottables!BF24">
        <xdr:nvSpPr>
          <xdr:cNvPr id="155" name="TextBox 154">
            <a:extLst>
              <a:ext uri="{FF2B5EF4-FFF2-40B4-BE49-F238E27FC236}">
                <a16:creationId xmlns:a16="http://schemas.microsoft.com/office/drawing/2014/main" id="{E7CCDAAE-06DD-4DF6-A028-2DE42D0C8AEC}"/>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21DCBF6-8CC7-4D7A-8CA6-1A68051050FE}" type="TxLink">
              <a:rPr lang="en-US" sz="900" b="0" i="0" u="none" strike="noStrike">
                <a:solidFill>
                  <a:schemeClr val="bg1"/>
                </a:solidFill>
                <a:latin typeface="Roboto condensed" panose="02000000000000000000" pitchFamily="2" charset="0"/>
                <a:ea typeface="Roboto condensed" panose="02000000000000000000" pitchFamily="2" charset="0"/>
              </a:rPr>
              <a:pPr algn="l"/>
              <a:t>Google Ad</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24">
        <xdr:nvSpPr>
          <xdr:cNvPr id="156" name="TextBox 155">
            <a:extLst>
              <a:ext uri="{FF2B5EF4-FFF2-40B4-BE49-F238E27FC236}">
                <a16:creationId xmlns:a16="http://schemas.microsoft.com/office/drawing/2014/main" id="{8553359A-23CE-4A05-A98C-CD4FBF95E70A}"/>
              </a:ext>
            </a:extLst>
          </xdr:cNvPr>
          <xdr:cNvSpPr txBox="1"/>
        </xdr:nvSpPr>
        <xdr:spPr>
          <a:xfrm>
            <a:off x="12237720" y="1173480"/>
            <a:ext cx="1028699"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F72D2A6-5909-4D47-B1A8-F38197738E2E}"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2,21,980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4">
        <xdr:nvSpPr>
          <xdr:cNvPr id="157" name="TextBox 156">
            <a:extLst>
              <a:ext uri="{FF2B5EF4-FFF2-40B4-BE49-F238E27FC236}">
                <a16:creationId xmlns:a16="http://schemas.microsoft.com/office/drawing/2014/main" id="{670007FE-7C87-443D-AFB7-56E8F6AD0B1D}"/>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90E4D1D-FD18-4C92-B729-967EBC0E33A4}"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6%</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18</xdr:col>
      <xdr:colOff>312421</xdr:colOff>
      <xdr:row>19</xdr:row>
      <xdr:rowOff>53340</xdr:rowOff>
    </xdr:from>
    <xdr:to>
      <xdr:col>20</xdr:col>
      <xdr:colOff>434339</xdr:colOff>
      <xdr:row>21</xdr:row>
      <xdr:rowOff>76200</xdr:rowOff>
    </xdr:to>
    <xdr:grpSp>
      <xdr:nvGrpSpPr>
        <xdr:cNvPr id="158" name="Group 157">
          <a:extLst>
            <a:ext uri="{FF2B5EF4-FFF2-40B4-BE49-F238E27FC236}">
              <a16:creationId xmlns:a16="http://schemas.microsoft.com/office/drawing/2014/main" id="{1C401422-4F37-4456-88CE-C1D5B8E8B462}"/>
            </a:ext>
          </a:extLst>
        </xdr:cNvPr>
        <xdr:cNvGrpSpPr/>
      </xdr:nvGrpSpPr>
      <xdr:grpSpPr>
        <a:xfrm>
          <a:off x="11285221" y="3535680"/>
          <a:ext cx="1341118" cy="388620"/>
          <a:chOff x="11925301" y="1005840"/>
          <a:chExt cx="1341118" cy="388620"/>
        </a:xfrm>
      </xdr:grpSpPr>
      <xdr:sp macro="" textlink="Pivottables!BF25">
        <xdr:nvSpPr>
          <xdr:cNvPr id="159" name="TextBox 158">
            <a:extLst>
              <a:ext uri="{FF2B5EF4-FFF2-40B4-BE49-F238E27FC236}">
                <a16:creationId xmlns:a16="http://schemas.microsoft.com/office/drawing/2014/main" id="{043719A0-A4F5-4F18-8F9B-5ECE31C07E2E}"/>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1755D05-6678-4343-BA9A-971350210FE2}" type="TxLink">
              <a:rPr lang="en-US" sz="900" b="0" i="0" u="none" strike="noStrike">
                <a:solidFill>
                  <a:schemeClr val="bg1"/>
                </a:solidFill>
                <a:latin typeface="Roboto condensed" panose="02000000000000000000" pitchFamily="2" charset="0"/>
                <a:ea typeface="Roboto condensed" panose="02000000000000000000" pitchFamily="2" charset="0"/>
              </a:rPr>
              <a:pPr algn="l"/>
              <a:t>Television Ad</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25">
        <xdr:nvSpPr>
          <xdr:cNvPr id="160" name="TextBox 159">
            <a:extLst>
              <a:ext uri="{FF2B5EF4-FFF2-40B4-BE49-F238E27FC236}">
                <a16:creationId xmlns:a16="http://schemas.microsoft.com/office/drawing/2014/main" id="{1EEC745F-EEDF-4839-AB1A-F03E1A617D3B}"/>
              </a:ext>
            </a:extLst>
          </xdr:cNvPr>
          <xdr:cNvSpPr txBox="1"/>
        </xdr:nvSpPr>
        <xdr:spPr>
          <a:xfrm>
            <a:off x="12245340" y="1173480"/>
            <a:ext cx="1021079"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B60EE83-1FCD-4A5F-8DC8-8BA3304B2928}"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2,28,654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5">
        <xdr:nvSpPr>
          <xdr:cNvPr id="161" name="TextBox 160">
            <a:extLst>
              <a:ext uri="{FF2B5EF4-FFF2-40B4-BE49-F238E27FC236}">
                <a16:creationId xmlns:a16="http://schemas.microsoft.com/office/drawing/2014/main" id="{DA0F03D4-AD50-4247-BC07-C8F74E2DD01F}"/>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D39E483-793F-49B3-B64B-C93ED8BDC7A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6%</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16</xdr:col>
      <xdr:colOff>241058</xdr:colOff>
      <xdr:row>4</xdr:row>
      <xdr:rowOff>175260</xdr:rowOff>
    </xdr:from>
    <xdr:to>
      <xdr:col>18</xdr:col>
      <xdr:colOff>167769</xdr:colOff>
      <xdr:row>9</xdr:row>
      <xdr:rowOff>22860</xdr:rowOff>
    </xdr:to>
    <xdr:grpSp>
      <xdr:nvGrpSpPr>
        <xdr:cNvPr id="162" name="Group 161">
          <a:extLst>
            <a:ext uri="{FF2B5EF4-FFF2-40B4-BE49-F238E27FC236}">
              <a16:creationId xmlns:a16="http://schemas.microsoft.com/office/drawing/2014/main" id="{6D686083-B99D-41E1-AD27-96F57891CA7B}"/>
            </a:ext>
          </a:extLst>
        </xdr:cNvPr>
        <xdr:cNvGrpSpPr/>
      </xdr:nvGrpSpPr>
      <xdr:grpSpPr>
        <a:xfrm>
          <a:off x="9994658" y="906780"/>
          <a:ext cx="1145911" cy="762000"/>
          <a:chOff x="12023834" y="1005840"/>
          <a:chExt cx="1013460" cy="762000"/>
        </a:xfrm>
      </xdr:grpSpPr>
      <xdr:sp macro="" textlink="Pivottables!BF26">
        <xdr:nvSpPr>
          <xdr:cNvPr id="163" name="TextBox 162">
            <a:extLst>
              <a:ext uri="{FF2B5EF4-FFF2-40B4-BE49-F238E27FC236}">
                <a16:creationId xmlns:a16="http://schemas.microsoft.com/office/drawing/2014/main" id="{7AC77A2C-E947-4466-BF05-2422162C9355}"/>
              </a:ext>
            </a:extLst>
          </xdr:cNvPr>
          <xdr:cNvSpPr txBox="1"/>
        </xdr:nvSpPr>
        <xdr:spPr>
          <a:xfrm>
            <a:off x="12023835"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1CE381D-A4C0-4E3C-B8F9-6CB3DF59D0B2}" type="TxLink">
              <a:rPr lang="en-US" sz="900" b="0" i="0" u="none" strike="noStrike">
                <a:solidFill>
                  <a:schemeClr val="bg1"/>
                </a:solidFill>
                <a:latin typeface="Roboto condensed" panose="02000000000000000000" pitchFamily="2" charset="0"/>
                <a:ea typeface="Roboto condensed" panose="02000000000000000000" pitchFamily="2" charset="0"/>
              </a:rPr>
              <a:pPr algn="l"/>
              <a:t>Youtube Channel</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26">
        <xdr:nvSpPr>
          <xdr:cNvPr id="164" name="TextBox 163">
            <a:extLst>
              <a:ext uri="{FF2B5EF4-FFF2-40B4-BE49-F238E27FC236}">
                <a16:creationId xmlns:a16="http://schemas.microsoft.com/office/drawing/2014/main" id="{86851471-3180-4210-B189-35F20F5132E0}"/>
              </a:ext>
            </a:extLst>
          </xdr:cNvPr>
          <xdr:cNvSpPr txBox="1"/>
        </xdr:nvSpPr>
        <xdr:spPr>
          <a:xfrm>
            <a:off x="12023834" y="117348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604CD22-E825-4845-91EC-F248683348B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2,24,263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6">
        <xdr:nvSpPr>
          <xdr:cNvPr id="165" name="TextBox 164">
            <a:extLst>
              <a:ext uri="{FF2B5EF4-FFF2-40B4-BE49-F238E27FC236}">
                <a16:creationId xmlns:a16="http://schemas.microsoft.com/office/drawing/2014/main" id="{3BBBE5A9-8EDB-408E-8D9E-C29B6C179931}"/>
              </a:ext>
            </a:extLst>
          </xdr:cNvPr>
          <xdr:cNvSpPr txBox="1"/>
        </xdr:nvSpPr>
        <xdr:spPr>
          <a:xfrm>
            <a:off x="12295962" y="149352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E03B1FC-FDD3-44F9-B04D-F5A22D8151C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6%</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11</xdr:col>
      <xdr:colOff>403860</xdr:colOff>
      <xdr:row>20</xdr:row>
      <xdr:rowOff>15240</xdr:rowOff>
    </xdr:from>
    <xdr:to>
      <xdr:col>12</xdr:col>
      <xdr:colOff>68580</xdr:colOff>
      <xdr:row>21</xdr:row>
      <xdr:rowOff>106680</xdr:rowOff>
    </xdr:to>
    <xdr:pic>
      <xdr:nvPicPr>
        <xdr:cNvPr id="167" name="Graphic 166" descr="Money with solid fill">
          <a:extLst>
            <a:ext uri="{FF2B5EF4-FFF2-40B4-BE49-F238E27FC236}">
              <a16:creationId xmlns:a16="http://schemas.microsoft.com/office/drawing/2014/main" id="{ECDCE0D5-9381-4B01-A5DB-938C9393103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109460" y="3680460"/>
          <a:ext cx="274320" cy="274320"/>
        </a:xfrm>
        <a:prstGeom prst="rect">
          <a:avLst/>
        </a:prstGeom>
      </xdr:spPr>
    </xdr:pic>
    <xdr:clientData/>
  </xdr:twoCellAnchor>
  <xdr:twoCellAnchor editAs="absolute">
    <xdr:from>
      <xdr:col>19</xdr:col>
      <xdr:colOff>369413</xdr:colOff>
      <xdr:row>36</xdr:row>
      <xdr:rowOff>139989</xdr:rowOff>
    </xdr:from>
    <xdr:to>
      <xdr:col>20</xdr:col>
      <xdr:colOff>560930</xdr:colOff>
      <xdr:row>39</xdr:row>
      <xdr:rowOff>21126</xdr:rowOff>
    </xdr:to>
    <xdr:grpSp>
      <xdr:nvGrpSpPr>
        <xdr:cNvPr id="126" name="Group 125">
          <a:extLst>
            <a:ext uri="{FF2B5EF4-FFF2-40B4-BE49-F238E27FC236}">
              <a16:creationId xmlns:a16="http://schemas.microsoft.com/office/drawing/2014/main" id="{5BD8C192-F6F8-4AAE-9D08-C6F92E597174}"/>
            </a:ext>
          </a:extLst>
        </xdr:cNvPr>
        <xdr:cNvGrpSpPr/>
      </xdr:nvGrpSpPr>
      <xdr:grpSpPr>
        <a:xfrm rot="7242943">
          <a:off x="12137483" y="6545619"/>
          <a:ext cx="429777" cy="801117"/>
          <a:chOff x="349939" y="-50325"/>
          <a:chExt cx="429768" cy="801120"/>
        </a:xfrm>
      </xdr:grpSpPr>
      <xdr:cxnSp macro="">
        <xdr:nvCxnSpPr>
          <xdr:cNvPr id="127" name="Straight Connector 126">
            <a:extLst>
              <a:ext uri="{FF2B5EF4-FFF2-40B4-BE49-F238E27FC236}">
                <a16:creationId xmlns:a16="http://schemas.microsoft.com/office/drawing/2014/main" id="{CF2B0EBF-1C1A-4BA0-B65B-426287420B02}"/>
              </a:ext>
            </a:extLst>
          </xdr:cNvPr>
          <xdr:cNvCxnSpPr/>
        </xdr:nvCxnSpPr>
        <xdr:spPr>
          <a:xfrm rot="14357057">
            <a:off x="353491" y="437896"/>
            <a:ext cx="372606" cy="253191"/>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28" name="Oval 127">
            <a:extLst>
              <a:ext uri="{FF2B5EF4-FFF2-40B4-BE49-F238E27FC236}">
                <a16:creationId xmlns:a16="http://schemas.microsoft.com/office/drawing/2014/main" id="{89354B4E-3E99-4CA9-A026-AAA735A5B1D4}"/>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18</xdr:col>
      <xdr:colOff>562704</xdr:colOff>
      <xdr:row>37</xdr:row>
      <xdr:rowOff>83860</xdr:rowOff>
    </xdr:from>
    <xdr:to>
      <xdr:col>19</xdr:col>
      <xdr:colOff>382881</xdr:colOff>
      <xdr:row>41</xdr:row>
      <xdr:rowOff>153457</xdr:rowOff>
    </xdr:to>
    <xdr:grpSp>
      <xdr:nvGrpSpPr>
        <xdr:cNvPr id="130" name="Group 129">
          <a:extLst>
            <a:ext uri="{FF2B5EF4-FFF2-40B4-BE49-F238E27FC236}">
              <a16:creationId xmlns:a16="http://schemas.microsoft.com/office/drawing/2014/main" id="{38778186-791F-465D-946F-0F9796BD63CE}"/>
            </a:ext>
          </a:extLst>
        </xdr:cNvPr>
        <xdr:cNvGrpSpPr/>
      </xdr:nvGrpSpPr>
      <xdr:grpSpPr>
        <a:xfrm rot="10382584">
          <a:off x="11535504" y="6858040"/>
          <a:ext cx="429777" cy="801117"/>
          <a:chOff x="349939" y="-50325"/>
          <a:chExt cx="429768" cy="801120"/>
        </a:xfrm>
      </xdr:grpSpPr>
      <xdr:cxnSp macro="">
        <xdr:nvCxnSpPr>
          <xdr:cNvPr id="131" name="Straight Connector 130">
            <a:extLst>
              <a:ext uri="{FF2B5EF4-FFF2-40B4-BE49-F238E27FC236}">
                <a16:creationId xmlns:a16="http://schemas.microsoft.com/office/drawing/2014/main" id="{A4003B3A-65D1-4B27-8862-3E5AC99854CB}"/>
              </a:ext>
            </a:extLst>
          </xdr:cNvPr>
          <xdr:cNvCxnSpPr/>
        </xdr:nvCxnSpPr>
        <xdr:spPr>
          <a:xfrm rot="14357057">
            <a:off x="353491" y="437896"/>
            <a:ext cx="372606" cy="253191"/>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32" name="Oval 131">
            <a:extLst>
              <a:ext uri="{FF2B5EF4-FFF2-40B4-BE49-F238E27FC236}">
                <a16:creationId xmlns:a16="http://schemas.microsoft.com/office/drawing/2014/main" id="{56B2445B-2AA3-4EE3-93C4-4E8FA4340B88}"/>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20</xdr:col>
      <xdr:colOff>167641</xdr:colOff>
      <xdr:row>37</xdr:row>
      <xdr:rowOff>121920</xdr:rowOff>
    </xdr:from>
    <xdr:to>
      <xdr:col>22</xdr:col>
      <xdr:colOff>274319</xdr:colOff>
      <xdr:row>39</xdr:row>
      <xdr:rowOff>129540</xdr:rowOff>
    </xdr:to>
    <xdr:grpSp>
      <xdr:nvGrpSpPr>
        <xdr:cNvPr id="133" name="Group 132">
          <a:extLst>
            <a:ext uri="{FF2B5EF4-FFF2-40B4-BE49-F238E27FC236}">
              <a16:creationId xmlns:a16="http://schemas.microsoft.com/office/drawing/2014/main" id="{EAA61F96-FABD-4336-95DD-4AE9378E34E2}"/>
            </a:ext>
          </a:extLst>
        </xdr:cNvPr>
        <xdr:cNvGrpSpPr/>
      </xdr:nvGrpSpPr>
      <xdr:grpSpPr>
        <a:xfrm>
          <a:off x="12359641" y="6896100"/>
          <a:ext cx="1325878" cy="373380"/>
          <a:chOff x="11940541" y="1005840"/>
          <a:chExt cx="1325878" cy="373380"/>
        </a:xfrm>
      </xdr:grpSpPr>
      <xdr:sp macro="" textlink="Pivottables!BF10">
        <xdr:nvSpPr>
          <xdr:cNvPr id="134" name="TextBox 133">
            <a:extLst>
              <a:ext uri="{FF2B5EF4-FFF2-40B4-BE49-F238E27FC236}">
                <a16:creationId xmlns:a16="http://schemas.microsoft.com/office/drawing/2014/main" id="{99C9BB08-F0B2-4586-B1E1-D5C3F5CEF29A}"/>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0CFB692-8265-45EE-B8CA-9E08FE920DF1}" type="TxLink">
              <a:rPr lang="en-US" sz="900" b="0" i="0" u="none" strike="noStrike">
                <a:solidFill>
                  <a:schemeClr val="bg1"/>
                </a:solidFill>
                <a:latin typeface="Roboto condensed" panose="02000000000000000000" pitchFamily="2" charset="0"/>
                <a:ea typeface="Roboto condensed" panose="02000000000000000000" pitchFamily="2" charset="0"/>
              </a:rPr>
              <a:pPr algn="l"/>
              <a:t>Premium</a:t>
            </a:fld>
            <a:endParaRPr lang="en-IN" sz="800">
              <a:solidFill>
                <a:schemeClr val="bg1"/>
              </a:solidFill>
              <a:latin typeface="Roboto condensed" panose="02000000000000000000" pitchFamily="2" charset="0"/>
              <a:ea typeface="Roboto condensed" panose="02000000000000000000" pitchFamily="2" charset="0"/>
            </a:endParaRPr>
          </a:p>
        </xdr:txBody>
      </xdr:sp>
      <xdr:sp macro="" textlink="Pivottables!BG10">
        <xdr:nvSpPr>
          <xdr:cNvPr id="135" name="TextBox 134">
            <a:extLst>
              <a:ext uri="{FF2B5EF4-FFF2-40B4-BE49-F238E27FC236}">
                <a16:creationId xmlns:a16="http://schemas.microsoft.com/office/drawing/2014/main" id="{7C509F75-DD51-49B4-9A04-9AD61E91BEAE}"/>
              </a:ext>
            </a:extLst>
          </xdr:cNvPr>
          <xdr:cNvSpPr txBox="1"/>
        </xdr:nvSpPr>
        <xdr:spPr>
          <a:xfrm>
            <a:off x="12230100" y="1173480"/>
            <a:ext cx="1036319"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317020E-A001-45D2-B2F9-9E921C09D230}"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3,03,019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0">
        <xdr:nvSpPr>
          <xdr:cNvPr id="136" name="TextBox 135">
            <a:extLst>
              <a:ext uri="{FF2B5EF4-FFF2-40B4-BE49-F238E27FC236}">
                <a16:creationId xmlns:a16="http://schemas.microsoft.com/office/drawing/2014/main" id="{83C55339-2982-4A3F-9FBC-F4A5924C16D6}"/>
              </a:ext>
            </a:extLst>
          </xdr:cNvPr>
          <xdr:cNvSpPr txBox="1"/>
        </xdr:nvSpPr>
        <xdr:spPr>
          <a:xfrm>
            <a:off x="11940541" y="101346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44F6954-23AC-4B59-B660-E20B9C8A1B6B}"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8%</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19</xdr:col>
      <xdr:colOff>38101</xdr:colOff>
      <xdr:row>39</xdr:row>
      <xdr:rowOff>167640</xdr:rowOff>
    </xdr:from>
    <xdr:to>
      <xdr:col>21</xdr:col>
      <xdr:colOff>144779</xdr:colOff>
      <xdr:row>41</xdr:row>
      <xdr:rowOff>152400</xdr:rowOff>
    </xdr:to>
    <xdr:grpSp>
      <xdr:nvGrpSpPr>
        <xdr:cNvPr id="149" name="Group 148">
          <a:extLst>
            <a:ext uri="{FF2B5EF4-FFF2-40B4-BE49-F238E27FC236}">
              <a16:creationId xmlns:a16="http://schemas.microsoft.com/office/drawing/2014/main" id="{DA912594-D1A2-4CF3-916E-147AFCFC015D}"/>
            </a:ext>
          </a:extLst>
        </xdr:cNvPr>
        <xdr:cNvGrpSpPr/>
      </xdr:nvGrpSpPr>
      <xdr:grpSpPr>
        <a:xfrm>
          <a:off x="11620501" y="7307580"/>
          <a:ext cx="1325878" cy="350520"/>
          <a:chOff x="11940541" y="1005840"/>
          <a:chExt cx="1325878" cy="350520"/>
        </a:xfrm>
      </xdr:grpSpPr>
      <xdr:sp macro="" textlink="Pivottables!BF11">
        <xdr:nvSpPr>
          <xdr:cNvPr id="150" name="TextBox 149">
            <a:extLst>
              <a:ext uri="{FF2B5EF4-FFF2-40B4-BE49-F238E27FC236}">
                <a16:creationId xmlns:a16="http://schemas.microsoft.com/office/drawing/2014/main" id="{541AFCCD-6C01-4477-8C7D-9AE81ACE1330}"/>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2B9E489-69C8-4EA1-9884-02DB788AF9A1}" type="TxLink">
              <a:rPr lang="en-US" sz="900" b="0" i="0" u="none" strike="noStrike">
                <a:solidFill>
                  <a:schemeClr val="bg1"/>
                </a:solidFill>
                <a:latin typeface="Roboto condensed" panose="02000000000000000000" pitchFamily="2" charset="0"/>
                <a:ea typeface="Roboto condensed" panose="02000000000000000000" pitchFamily="2" charset="0"/>
              </a:rPr>
              <a:pPr algn="l"/>
              <a:t>Prime</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11">
        <xdr:nvSpPr>
          <xdr:cNvPr id="151" name="TextBox 150">
            <a:extLst>
              <a:ext uri="{FF2B5EF4-FFF2-40B4-BE49-F238E27FC236}">
                <a16:creationId xmlns:a16="http://schemas.microsoft.com/office/drawing/2014/main" id="{CB098145-8BDE-4DC8-B7F5-9F48226BBE8E}"/>
              </a:ext>
            </a:extLst>
          </xdr:cNvPr>
          <xdr:cNvSpPr txBox="1"/>
        </xdr:nvSpPr>
        <xdr:spPr>
          <a:xfrm>
            <a:off x="12230100" y="1173480"/>
            <a:ext cx="1036319"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AD9071D-9E1A-432A-AE00-8DC575C9C184}"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3,88,400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1">
        <xdr:nvSpPr>
          <xdr:cNvPr id="152" name="TextBox 151">
            <a:extLst>
              <a:ext uri="{FF2B5EF4-FFF2-40B4-BE49-F238E27FC236}">
                <a16:creationId xmlns:a16="http://schemas.microsoft.com/office/drawing/2014/main" id="{C7E40146-B81C-4535-9AB1-E9292FF0BCD8}"/>
              </a:ext>
            </a:extLst>
          </xdr:cNvPr>
          <xdr:cNvSpPr txBox="1"/>
        </xdr:nvSpPr>
        <xdr:spPr>
          <a:xfrm>
            <a:off x="11940541" y="101346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9427B0C-ACFA-42F8-837A-B42B08380C44}"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10</xdr:col>
      <xdr:colOff>550268</xdr:colOff>
      <xdr:row>43</xdr:row>
      <xdr:rowOff>107073</xdr:rowOff>
    </xdr:from>
    <xdr:to>
      <xdr:col>12</xdr:col>
      <xdr:colOff>361604</xdr:colOff>
      <xdr:row>46</xdr:row>
      <xdr:rowOff>92097</xdr:rowOff>
    </xdr:to>
    <xdr:grpSp>
      <xdr:nvGrpSpPr>
        <xdr:cNvPr id="153" name="Group 152">
          <a:extLst>
            <a:ext uri="{FF2B5EF4-FFF2-40B4-BE49-F238E27FC236}">
              <a16:creationId xmlns:a16="http://schemas.microsoft.com/office/drawing/2014/main" id="{91CEA95B-F0C4-4125-BF5F-34B7F06BDFD8}"/>
            </a:ext>
          </a:extLst>
        </xdr:cNvPr>
        <xdr:cNvGrpSpPr/>
      </xdr:nvGrpSpPr>
      <xdr:grpSpPr>
        <a:xfrm rot="13610721">
          <a:off x="6894704" y="7730097"/>
          <a:ext cx="533664" cy="1030536"/>
          <a:chOff x="300158" y="-50325"/>
          <a:chExt cx="533653" cy="1030540"/>
        </a:xfrm>
      </xdr:grpSpPr>
      <xdr:cxnSp macro="">
        <xdr:nvCxnSpPr>
          <xdr:cNvPr id="166" name="Straight Connector 165">
            <a:extLst>
              <a:ext uri="{FF2B5EF4-FFF2-40B4-BE49-F238E27FC236}">
                <a16:creationId xmlns:a16="http://schemas.microsoft.com/office/drawing/2014/main" id="{9C338C45-2907-4D6A-A89D-74983C38A7F7}"/>
              </a:ext>
            </a:extLst>
          </xdr:cNvPr>
          <xdr:cNvCxnSpPr>
            <a:stCxn id="112" idx="2"/>
          </xdr:cNvCxnSpPr>
        </xdr:nvCxnSpPr>
        <xdr:spPr>
          <a:xfrm rot="7989279" flipH="1">
            <a:off x="302143" y="448546"/>
            <a:ext cx="529684" cy="533653"/>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68" name="Oval 167">
            <a:extLst>
              <a:ext uri="{FF2B5EF4-FFF2-40B4-BE49-F238E27FC236}">
                <a16:creationId xmlns:a16="http://schemas.microsoft.com/office/drawing/2014/main" id="{464F7236-575E-4377-942D-BCEA4B9395F9}"/>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12</xdr:col>
      <xdr:colOff>340556</xdr:colOff>
      <xdr:row>44</xdr:row>
      <xdr:rowOff>26292</xdr:rowOff>
    </xdr:from>
    <xdr:to>
      <xdr:col>13</xdr:col>
      <xdr:colOff>160733</xdr:colOff>
      <xdr:row>47</xdr:row>
      <xdr:rowOff>107494</xdr:rowOff>
    </xdr:to>
    <xdr:grpSp>
      <xdr:nvGrpSpPr>
        <xdr:cNvPr id="169" name="Group 168">
          <a:extLst>
            <a:ext uri="{FF2B5EF4-FFF2-40B4-BE49-F238E27FC236}">
              <a16:creationId xmlns:a16="http://schemas.microsoft.com/office/drawing/2014/main" id="{CD749BCB-25CC-478B-B13C-F258A0B3D507}"/>
            </a:ext>
          </a:extLst>
        </xdr:cNvPr>
        <xdr:cNvGrpSpPr/>
      </xdr:nvGrpSpPr>
      <xdr:grpSpPr>
        <a:xfrm rot="9895950">
          <a:off x="7655756" y="8080632"/>
          <a:ext cx="429777" cy="629842"/>
          <a:chOff x="349939" y="-50325"/>
          <a:chExt cx="429768" cy="629844"/>
        </a:xfrm>
      </xdr:grpSpPr>
      <xdr:cxnSp macro="">
        <xdr:nvCxnSpPr>
          <xdr:cNvPr id="170" name="Straight Connector 169">
            <a:extLst>
              <a:ext uri="{FF2B5EF4-FFF2-40B4-BE49-F238E27FC236}">
                <a16:creationId xmlns:a16="http://schemas.microsoft.com/office/drawing/2014/main" id="{FAC3EAEE-3C60-41E8-98E0-5577A82AF2D7}"/>
              </a:ext>
            </a:extLst>
          </xdr:cNvPr>
          <xdr:cNvCxnSpPr>
            <a:stCxn id="112" idx="4"/>
          </xdr:cNvCxnSpPr>
        </xdr:nvCxnSpPr>
        <xdr:spPr>
          <a:xfrm rot="11059248" flipH="1">
            <a:off x="509109" y="337987"/>
            <a:ext cx="35316" cy="241532"/>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1" name="Oval 170">
            <a:extLst>
              <a:ext uri="{FF2B5EF4-FFF2-40B4-BE49-F238E27FC236}">
                <a16:creationId xmlns:a16="http://schemas.microsoft.com/office/drawing/2014/main" id="{7ADEA682-5784-467C-AAB7-6C20AC502FB4}"/>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13</xdr:col>
      <xdr:colOff>93068</xdr:colOff>
      <xdr:row>43</xdr:row>
      <xdr:rowOff>129933</xdr:rowOff>
    </xdr:from>
    <xdr:to>
      <xdr:col>14</xdr:col>
      <xdr:colOff>514004</xdr:colOff>
      <xdr:row>46</xdr:row>
      <xdr:rowOff>114957</xdr:rowOff>
    </xdr:to>
    <xdr:grpSp>
      <xdr:nvGrpSpPr>
        <xdr:cNvPr id="172" name="Group 171">
          <a:extLst>
            <a:ext uri="{FF2B5EF4-FFF2-40B4-BE49-F238E27FC236}">
              <a16:creationId xmlns:a16="http://schemas.microsoft.com/office/drawing/2014/main" id="{66B0D2E1-7FCF-4DB1-80D9-2F9995B88A6F}"/>
            </a:ext>
          </a:extLst>
        </xdr:cNvPr>
        <xdr:cNvGrpSpPr/>
      </xdr:nvGrpSpPr>
      <xdr:grpSpPr>
        <a:xfrm rot="8044671">
          <a:off x="8266304" y="7752957"/>
          <a:ext cx="533664" cy="1030536"/>
          <a:chOff x="300158" y="-50325"/>
          <a:chExt cx="533653" cy="1030540"/>
        </a:xfrm>
      </xdr:grpSpPr>
      <xdr:cxnSp macro="">
        <xdr:nvCxnSpPr>
          <xdr:cNvPr id="173" name="Straight Connector 172">
            <a:extLst>
              <a:ext uri="{FF2B5EF4-FFF2-40B4-BE49-F238E27FC236}">
                <a16:creationId xmlns:a16="http://schemas.microsoft.com/office/drawing/2014/main" id="{26FDEA7A-697B-43C2-95D7-E360C3933C38}"/>
              </a:ext>
            </a:extLst>
          </xdr:cNvPr>
          <xdr:cNvCxnSpPr/>
        </xdr:nvCxnSpPr>
        <xdr:spPr>
          <a:xfrm rot="7989279" flipH="1">
            <a:off x="302143" y="448546"/>
            <a:ext cx="529684" cy="533653"/>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Oval 173">
            <a:extLst>
              <a:ext uri="{FF2B5EF4-FFF2-40B4-BE49-F238E27FC236}">
                <a16:creationId xmlns:a16="http://schemas.microsoft.com/office/drawing/2014/main" id="{AA41C30E-CC33-4EB2-8D5A-53F7EF8C44C7}"/>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9</xdr:col>
      <xdr:colOff>487667</xdr:colOff>
      <xdr:row>45</xdr:row>
      <xdr:rowOff>99060</xdr:rowOff>
    </xdr:from>
    <xdr:to>
      <xdr:col>11</xdr:col>
      <xdr:colOff>434887</xdr:colOff>
      <xdr:row>47</xdr:row>
      <xdr:rowOff>76201</xdr:rowOff>
    </xdr:to>
    <xdr:grpSp>
      <xdr:nvGrpSpPr>
        <xdr:cNvPr id="175" name="Group 174">
          <a:extLst>
            <a:ext uri="{FF2B5EF4-FFF2-40B4-BE49-F238E27FC236}">
              <a16:creationId xmlns:a16="http://schemas.microsoft.com/office/drawing/2014/main" id="{F9DFDA0E-85AE-4AB4-9F32-41E49EFD4BEB}"/>
            </a:ext>
          </a:extLst>
        </xdr:cNvPr>
        <xdr:cNvGrpSpPr/>
      </xdr:nvGrpSpPr>
      <xdr:grpSpPr>
        <a:xfrm>
          <a:off x="5974067" y="8336280"/>
          <a:ext cx="1166420" cy="342901"/>
          <a:chOff x="11526330" y="556700"/>
          <a:chExt cx="1183830" cy="352790"/>
        </a:xfrm>
      </xdr:grpSpPr>
      <xdr:sp macro="" textlink="Pivottables!BF13">
        <xdr:nvSpPr>
          <xdr:cNvPr id="176" name="TextBox 175">
            <a:extLst>
              <a:ext uri="{FF2B5EF4-FFF2-40B4-BE49-F238E27FC236}">
                <a16:creationId xmlns:a16="http://schemas.microsoft.com/office/drawing/2014/main" id="{CCE19BB4-AE7F-4A57-A50F-C02EBF06D481}"/>
              </a:ext>
            </a:extLst>
          </xdr:cNvPr>
          <xdr:cNvSpPr txBox="1"/>
        </xdr:nvSpPr>
        <xdr:spPr>
          <a:xfrm>
            <a:off x="11549184" y="558972"/>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5486556-0FAF-415C-AC47-B70459731003}" type="TxLink">
              <a:rPr lang="en-US" sz="900" b="0" i="0" u="none" strike="noStrike">
                <a:solidFill>
                  <a:schemeClr val="bg1"/>
                </a:solidFill>
                <a:latin typeface="Roboto condensed" panose="02000000000000000000" pitchFamily="2" charset="0"/>
                <a:ea typeface="Roboto condensed" panose="02000000000000000000" pitchFamily="2" charset="0"/>
              </a:rPr>
              <a:pPr algn="l"/>
              <a:t>Equipments</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3">
        <xdr:nvSpPr>
          <xdr:cNvPr id="177" name="TextBox 176">
            <a:extLst>
              <a:ext uri="{FF2B5EF4-FFF2-40B4-BE49-F238E27FC236}">
                <a16:creationId xmlns:a16="http://schemas.microsoft.com/office/drawing/2014/main" id="{1202D3E7-6D6E-4C02-988C-B6C6396F5A4B}"/>
              </a:ext>
            </a:extLst>
          </xdr:cNvPr>
          <xdr:cNvSpPr txBox="1"/>
        </xdr:nvSpPr>
        <xdr:spPr>
          <a:xfrm>
            <a:off x="11526330" y="726610"/>
            <a:ext cx="1036319"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29DECDC-E124-4FA7-B263-934131D3C08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2,82,871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3">
        <xdr:nvSpPr>
          <xdr:cNvPr id="178" name="TextBox 177">
            <a:extLst>
              <a:ext uri="{FF2B5EF4-FFF2-40B4-BE49-F238E27FC236}">
                <a16:creationId xmlns:a16="http://schemas.microsoft.com/office/drawing/2014/main" id="{79F2BC89-AF7B-49EA-B4D8-60D970C20754}"/>
              </a:ext>
            </a:extLst>
          </xdr:cNvPr>
          <xdr:cNvSpPr txBox="1"/>
        </xdr:nvSpPr>
        <xdr:spPr>
          <a:xfrm>
            <a:off x="12359641" y="55670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6A7D178-4E7A-412D-91D5-66D7988275D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12</xdr:col>
      <xdr:colOff>342901</xdr:colOff>
      <xdr:row>45</xdr:row>
      <xdr:rowOff>129540</xdr:rowOff>
    </xdr:from>
    <xdr:to>
      <xdr:col>14</xdr:col>
      <xdr:colOff>144781</xdr:colOff>
      <xdr:row>49</xdr:row>
      <xdr:rowOff>144780</xdr:rowOff>
    </xdr:to>
    <xdr:grpSp>
      <xdr:nvGrpSpPr>
        <xdr:cNvPr id="187" name="Group 186">
          <a:extLst>
            <a:ext uri="{FF2B5EF4-FFF2-40B4-BE49-F238E27FC236}">
              <a16:creationId xmlns:a16="http://schemas.microsoft.com/office/drawing/2014/main" id="{2ADC5F87-69B5-4B16-8127-60D292C41620}"/>
            </a:ext>
          </a:extLst>
        </xdr:cNvPr>
        <xdr:cNvGrpSpPr/>
      </xdr:nvGrpSpPr>
      <xdr:grpSpPr>
        <a:xfrm>
          <a:off x="7658101" y="8366760"/>
          <a:ext cx="1021080" cy="746760"/>
          <a:chOff x="12291972" y="588060"/>
          <a:chExt cx="1036319" cy="768300"/>
        </a:xfrm>
      </xdr:grpSpPr>
      <xdr:sp macro="" textlink="Pivottables!BF14">
        <xdr:nvSpPr>
          <xdr:cNvPr id="188" name="TextBox 187">
            <a:extLst>
              <a:ext uri="{FF2B5EF4-FFF2-40B4-BE49-F238E27FC236}">
                <a16:creationId xmlns:a16="http://schemas.microsoft.com/office/drawing/2014/main" id="{BE235911-FF41-4100-AC21-D07395E36FAB}"/>
              </a:ext>
            </a:extLst>
          </xdr:cNvPr>
          <xdr:cNvSpPr txBox="1"/>
        </xdr:nvSpPr>
        <xdr:spPr>
          <a:xfrm>
            <a:off x="12314832"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906D5FC-0526-4711-9D5E-66E3669BDC61}" type="TxLink">
              <a:rPr lang="en-US" sz="900" b="0" i="0" u="none" strike="noStrike">
                <a:solidFill>
                  <a:schemeClr val="bg1"/>
                </a:solidFill>
                <a:latin typeface="Roboto condensed" panose="02000000000000000000" pitchFamily="2" charset="0"/>
                <a:ea typeface="Roboto condensed" panose="02000000000000000000" pitchFamily="2" charset="0"/>
              </a:rPr>
              <a:pPr algn="l"/>
              <a:t>Lands</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4">
        <xdr:nvSpPr>
          <xdr:cNvPr id="189" name="TextBox 188">
            <a:extLst>
              <a:ext uri="{FF2B5EF4-FFF2-40B4-BE49-F238E27FC236}">
                <a16:creationId xmlns:a16="http://schemas.microsoft.com/office/drawing/2014/main" id="{1C4D3056-EA10-4B6A-A1D7-DB786666093E}"/>
              </a:ext>
            </a:extLst>
          </xdr:cNvPr>
          <xdr:cNvSpPr txBox="1"/>
        </xdr:nvSpPr>
        <xdr:spPr>
          <a:xfrm>
            <a:off x="12291972" y="1173480"/>
            <a:ext cx="1036319"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A481F0D-D530-4357-B862-B316574EE91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15,716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4">
        <xdr:nvSpPr>
          <xdr:cNvPr id="190" name="TextBox 189">
            <a:extLst>
              <a:ext uri="{FF2B5EF4-FFF2-40B4-BE49-F238E27FC236}">
                <a16:creationId xmlns:a16="http://schemas.microsoft.com/office/drawing/2014/main" id="{68A6B42F-D7EF-4A8A-9418-02DB8B24988C}"/>
              </a:ext>
            </a:extLst>
          </xdr:cNvPr>
          <xdr:cNvSpPr txBox="1"/>
        </xdr:nvSpPr>
        <xdr:spPr>
          <a:xfrm>
            <a:off x="12390575" y="58806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AAAF6D6-118B-4BAE-9D30-A4535CC625E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14</xdr:col>
      <xdr:colOff>59014</xdr:colOff>
      <xdr:row>45</xdr:row>
      <xdr:rowOff>99060</xdr:rowOff>
    </xdr:from>
    <xdr:to>
      <xdr:col>16</xdr:col>
      <xdr:colOff>198077</xdr:colOff>
      <xdr:row>47</xdr:row>
      <xdr:rowOff>76203</xdr:rowOff>
    </xdr:to>
    <xdr:grpSp>
      <xdr:nvGrpSpPr>
        <xdr:cNvPr id="191" name="Group 190">
          <a:extLst>
            <a:ext uri="{FF2B5EF4-FFF2-40B4-BE49-F238E27FC236}">
              <a16:creationId xmlns:a16="http://schemas.microsoft.com/office/drawing/2014/main" id="{2866FA56-2A9D-43BB-9149-9AEB0D4E20EC}"/>
            </a:ext>
          </a:extLst>
        </xdr:cNvPr>
        <xdr:cNvGrpSpPr/>
      </xdr:nvGrpSpPr>
      <xdr:grpSpPr>
        <a:xfrm>
          <a:off x="8593414" y="8336280"/>
          <a:ext cx="1358263" cy="342903"/>
          <a:chOff x="12359641" y="556700"/>
          <a:chExt cx="1378539" cy="352791"/>
        </a:xfrm>
      </xdr:grpSpPr>
      <xdr:sp macro="" textlink="Pivottables!BF15">
        <xdr:nvSpPr>
          <xdr:cNvPr id="192" name="TextBox 191">
            <a:extLst>
              <a:ext uri="{FF2B5EF4-FFF2-40B4-BE49-F238E27FC236}">
                <a16:creationId xmlns:a16="http://schemas.microsoft.com/office/drawing/2014/main" id="{22733920-AAD4-412D-A5AB-CBBBF6A327DF}"/>
              </a:ext>
            </a:extLst>
          </xdr:cNvPr>
          <xdr:cNvSpPr txBox="1"/>
        </xdr:nvSpPr>
        <xdr:spPr>
          <a:xfrm>
            <a:off x="12724721" y="558972"/>
            <a:ext cx="101345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2A982FA-4E99-49CA-9F12-246ECE2AAC7E}" type="TxLink">
              <a:rPr lang="en-US" sz="900" b="0" i="0" u="none" strike="noStrike">
                <a:solidFill>
                  <a:schemeClr val="bg1"/>
                </a:solidFill>
                <a:latin typeface="Roboto condensed" panose="02000000000000000000" pitchFamily="2" charset="0"/>
                <a:ea typeface="Roboto condensed" panose="02000000000000000000" pitchFamily="2" charset="0"/>
              </a:rPr>
              <a:pPr algn="l"/>
              <a:t>Offices</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5">
        <xdr:nvSpPr>
          <xdr:cNvPr id="193" name="TextBox 192">
            <a:extLst>
              <a:ext uri="{FF2B5EF4-FFF2-40B4-BE49-F238E27FC236}">
                <a16:creationId xmlns:a16="http://schemas.microsoft.com/office/drawing/2014/main" id="{0E15111E-05F0-4001-9FD2-22979B1911EF}"/>
              </a:ext>
            </a:extLst>
          </xdr:cNvPr>
          <xdr:cNvSpPr txBox="1"/>
        </xdr:nvSpPr>
        <xdr:spPr>
          <a:xfrm>
            <a:off x="12701858" y="726611"/>
            <a:ext cx="1036317"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F147632-34D7-4DC0-827C-077BD36BF933}"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8,787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5">
        <xdr:nvSpPr>
          <xdr:cNvPr id="194" name="TextBox 193">
            <a:extLst>
              <a:ext uri="{FF2B5EF4-FFF2-40B4-BE49-F238E27FC236}">
                <a16:creationId xmlns:a16="http://schemas.microsoft.com/office/drawing/2014/main" id="{1ABEB469-8629-4169-8041-D98EE829E5C8}"/>
              </a:ext>
            </a:extLst>
          </xdr:cNvPr>
          <xdr:cNvSpPr txBox="1"/>
        </xdr:nvSpPr>
        <xdr:spPr>
          <a:xfrm>
            <a:off x="12359641" y="55670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0A7CB5D-E5EC-4986-B2CA-AB9497CB9F66}"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6</xdr:col>
      <xdr:colOff>28846</xdr:colOff>
      <xdr:row>37</xdr:row>
      <xdr:rowOff>62070</xdr:rowOff>
    </xdr:from>
    <xdr:to>
      <xdr:col>7</xdr:col>
      <xdr:colOff>203113</xdr:colOff>
      <xdr:row>39</xdr:row>
      <xdr:rowOff>126087</xdr:rowOff>
    </xdr:to>
    <xdr:grpSp>
      <xdr:nvGrpSpPr>
        <xdr:cNvPr id="195" name="Group 194">
          <a:extLst>
            <a:ext uri="{FF2B5EF4-FFF2-40B4-BE49-F238E27FC236}">
              <a16:creationId xmlns:a16="http://schemas.microsoft.com/office/drawing/2014/main" id="{7E89F00E-EFFC-4417-B4D8-C485B2AF444A}"/>
            </a:ext>
          </a:extLst>
        </xdr:cNvPr>
        <xdr:cNvGrpSpPr/>
      </xdr:nvGrpSpPr>
      <xdr:grpSpPr>
        <a:xfrm rot="13905610">
          <a:off x="3863491" y="6659205"/>
          <a:ext cx="429777" cy="783867"/>
          <a:chOff x="349939" y="-50325"/>
          <a:chExt cx="429768" cy="783870"/>
        </a:xfrm>
      </xdr:grpSpPr>
      <xdr:cxnSp macro="">
        <xdr:nvCxnSpPr>
          <xdr:cNvPr id="196" name="Straight Connector 195">
            <a:extLst>
              <a:ext uri="{FF2B5EF4-FFF2-40B4-BE49-F238E27FC236}">
                <a16:creationId xmlns:a16="http://schemas.microsoft.com/office/drawing/2014/main" id="{39EAC4BF-94CE-4218-8ABD-FB9725FEDF0D}"/>
              </a:ext>
            </a:extLst>
          </xdr:cNvPr>
          <xdr:cNvCxnSpPr/>
        </xdr:nvCxnSpPr>
        <xdr:spPr>
          <a:xfrm rot="7989279" flipH="1">
            <a:off x="423080" y="396153"/>
            <a:ext cx="312019" cy="362765"/>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97" name="Oval 196">
            <a:extLst>
              <a:ext uri="{FF2B5EF4-FFF2-40B4-BE49-F238E27FC236}">
                <a16:creationId xmlns:a16="http://schemas.microsoft.com/office/drawing/2014/main" id="{0CF88BBF-5DC6-46B0-8848-0214BEEB9A77}"/>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7</xdr:col>
      <xdr:colOff>365911</xdr:colOff>
      <xdr:row>37</xdr:row>
      <xdr:rowOff>98386</xdr:rowOff>
    </xdr:from>
    <xdr:to>
      <xdr:col>8</xdr:col>
      <xdr:colOff>186088</xdr:colOff>
      <xdr:row>41</xdr:row>
      <xdr:rowOff>150733</xdr:rowOff>
    </xdr:to>
    <xdr:grpSp>
      <xdr:nvGrpSpPr>
        <xdr:cNvPr id="198" name="Group 197">
          <a:extLst>
            <a:ext uri="{FF2B5EF4-FFF2-40B4-BE49-F238E27FC236}">
              <a16:creationId xmlns:a16="http://schemas.microsoft.com/office/drawing/2014/main" id="{99A44E38-C951-4950-8103-240308DEA6C6}"/>
            </a:ext>
          </a:extLst>
        </xdr:cNvPr>
        <xdr:cNvGrpSpPr/>
      </xdr:nvGrpSpPr>
      <xdr:grpSpPr>
        <a:xfrm rot="10536795">
          <a:off x="4633111" y="6872566"/>
          <a:ext cx="429777" cy="783867"/>
          <a:chOff x="349939" y="-50325"/>
          <a:chExt cx="429768" cy="783870"/>
        </a:xfrm>
      </xdr:grpSpPr>
      <xdr:cxnSp macro="">
        <xdr:nvCxnSpPr>
          <xdr:cNvPr id="199" name="Straight Connector 198">
            <a:extLst>
              <a:ext uri="{FF2B5EF4-FFF2-40B4-BE49-F238E27FC236}">
                <a16:creationId xmlns:a16="http://schemas.microsoft.com/office/drawing/2014/main" id="{223ADB14-89E1-43FA-8861-5A2FD4E49E21}"/>
              </a:ext>
            </a:extLst>
          </xdr:cNvPr>
          <xdr:cNvCxnSpPr/>
        </xdr:nvCxnSpPr>
        <xdr:spPr>
          <a:xfrm rot="7989279" flipH="1">
            <a:off x="423080" y="396153"/>
            <a:ext cx="312019" cy="362765"/>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00" name="Oval 199">
            <a:extLst>
              <a:ext uri="{FF2B5EF4-FFF2-40B4-BE49-F238E27FC236}">
                <a16:creationId xmlns:a16="http://schemas.microsoft.com/office/drawing/2014/main" id="{C55C1FDB-E1A4-4D7A-AE7C-0B94EE45B534}"/>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5</xdr:col>
      <xdr:colOff>434343</xdr:colOff>
      <xdr:row>38</xdr:row>
      <xdr:rowOff>76198</xdr:rowOff>
    </xdr:from>
    <xdr:to>
      <xdr:col>7</xdr:col>
      <xdr:colOff>236223</xdr:colOff>
      <xdr:row>42</xdr:row>
      <xdr:rowOff>53340</xdr:rowOff>
    </xdr:to>
    <xdr:grpSp>
      <xdr:nvGrpSpPr>
        <xdr:cNvPr id="201" name="Group 200">
          <a:extLst>
            <a:ext uri="{FF2B5EF4-FFF2-40B4-BE49-F238E27FC236}">
              <a16:creationId xmlns:a16="http://schemas.microsoft.com/office/drawing/2014/main" id="{78320B5B-3016-4EDA-A397-DBC39F2BE20F}"/>
            </a:ext>
          </a:extLst>
        </xdr:cNvPr>
        <xdr:cNvGrpSpPr/>
      </xdr:nvGrpSpPr>
      <xdr:grpSpPr>
        <a:xfrm>
          <a:off x="3482343" y="7033258"/>
          <a:ext cx="1021080" cy="708662"/>
          <a:chOff x="12044493" y="556700"/>
          <a:chExt cx="1036320" cy="729099"/>
        </a:xfrm>
      </xdr:grpSpPr>
      <xdr:sp macro="" textlink="Pivottables!BF7">
        <xdr:nvSpPr>
          <xdr:cNvPr id="202" name="TextBox 201">
            <a:extLst>
              <a:ext uri="{FF2B5EF4-FFF2-40B4-BE49-F238E27FC236}">
                <a16:creationId xmlns:a16="http://schemas.microsoft.com/office/drawing/2014/main" id="{5921626E-DC00-46B1-B5E8-673BDA2FA0C5}"/>
              </a:ext>
            </a:extLst>
          </xdr:cNvPr>
          <xdr:cNvSpPr txBox="1"/>
        </xdr:nvSpPr>
        <xdr:spPr>
          <a:xfrm>
            <a:off x="12067354" y="935282"/>
            <a:ext cx="1013459"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4C172FC-DBC2-4121-800A-D4E9AB33B676}" type="TxLink">
              <a:rPr lang="en-US" sz="1000" b="0" i="0" u="none" strike="noStrike">
                <a:solidFill>
                  <a:schemeClr val="bg1"/>
                </a:solidFill>
                <a:latin typeface="Roboto condensed" panose="02000000000000000000" pitchFamily="2" charset="0"/>
                <a:ea typeface="Roboto condensed" panose="02000000000000000000" pitchFamily="2" charset="0"/>
              </a:rPr>
              <a:pPr algn="l"/>
              <a:t>New </a:t>
            </a:fld>
            <a:endParaRPr lang="en-US" sz="10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7">
        <xdr:nvSpPr>
          <xdr:cNvPr id="203" name="TextBox 202">
            <a:extLst>
              <a:ext uri="{FF2B5EF4-FFF2-40B4-BE49-F238E27FC236}">
                <a16:creationId xmlns:a16="http://schemas.microsoft.com/office/drawing/2014/main" id="{0248649C-6E31-45FD-ADD0-4F700E77B1E6}"/>
              </a:ext>
            </a:extLst>
          </xdr:cNvPr>
          <xdr:cNvSpPr txBox="1"/>
        </xdr:nvSpPr>
        <xdr:spPr>
          <a:xfrm>
            <a:off x="12044493" y="1102918"/>
            <a:ext cx="1036319" cy="182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720423C-AEFE-477C-8074-954215AA8A9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4,35,316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7">
        <xdr:nvSpPr>
          <xdr:cNvPr id="204" name="TextBox 203">
            <a:extLst>
              <a:ext uri="{FF2B5EF4-FFF2-40B4-BE49-F238E27FC236}">
                <a16:creationId xmlns:a16="http://schemas.microsoft.com/office/drawing/2014/main" id="{AA50805E-4D4C-4D88-89FE-0EBBD04B46EE}"/>
              </a:ext>
            </a:extLst>
          </xdr:cNvPr>
          <xdr:cNvSpPr txBox="1"/>
        </xdr:nvSpPr>
        <xdr:spPr>
          <a:xfrm>
            <a:off x="12313237" y="556700"/>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EEA4126-92B5-4CD6-B492-7EB187773F3E}"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11%</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7</xdr:col>
      <xdr:colOff>409589</xdr:colOff>
      <xdr:row>39</xdr:row>
      <xdr:rowOff>167638</xdr:rowOff>
    </xdr:from>
    <xdr:to>
      <xdr:col>9</xdr:col>
      <xdr:colOff>579138</xdr:colOff>
      <xdr:row>42</xdr:row>
      <xdr:rowOff>99063</xdr:rowOff>
    </xdr:to>
    <xdr:grpSp>
      <xdr:nvGrpSpPr>
        <xdr:cNvPr id="205" name="Group 204">
          <a:extLst>
            <a:ext uri="{FF2B5EF4-FFF2-40B4-BE49-F238E27FC236}">
              <a16:creationId xmlns:a16="http://schemas.microsoft.com/office/drawing/2014/main" id="{233E1CCC-3DBB-44FA-8514-5D3132D6D09B}"/>
            </a:ext>
          </a:extLst>
        </xdr:cNvPr>
        <xdr:cNvGrpSpPr/>
      </xdr:nvGrpSpPr>
      <xdr:grpSpPr>
        <a:xfrm>
          <a:off x="4676789" y="7307578"/>
          <a:ext cx="1388749" cy="480065"/>
          <a:chOff x="12313237" y="556700"/>
          <a:chExt cx="1409475" cy="493907"/>
        </a:xfrm>
      </xdr:grpSpPr>
      <xdr:sp macro="" textlink="Pivottables!BF8">
        <xdr:nvSpPr>
          <xdr:cNvPr id="206" name="TextBox 205">
            <a:extLst>
              <a:ext uri="{FF2B5EF4-FFF2-40B4-BE49-F238E27FC236}">
                <a16:creationId xmlns:a16="http://schemas.microsoft.com/office/drawing/2014/main" id="{58DBD204-AAA7-461D-8C6C-FFDE0DA840D8}"/>
              </a:ext>
            </a:extLst>
          </xdr:cNvPr>
          <xdr:cNvSpPr txBox="1"/>
        </xdr:nvSpPr>
        <xdr:spPr>
          <a:xfrm>
            <a:off x="12709253" y="700088"/>
            <a:ext cx="1013459"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C5F80B7-E765-401E-AE78-A026D83FE0D2}" type="TxLink">
              <a:rPr lang="en-US" sz="900" b="0" i="0" u="none" strike="noStrike">
                <a:solidFill>
                  <a:schemeClr val="bg1"/>
                </a:solidFill>
                <a:latin typeface="Roboto condensed" panose="02000000000000000000" pitchFamily="2" charset="0"/>
                <a:ea typeface="Roboto condensed" panose="02000000000000000000" pitchFamily="2" charset="0"/>
              </a:rPr>
              <a:pPr algn="l"/>
              <a:t>Renewal</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8">
        <xdr:nvSpPr>
          <xdr:cNvPr id="207" name="TextBox 206">
            <a:extLst>
              <a:ext uri="{FF2B5EF4-FFF2-40B4-BE49-F238E27FC236}">
                <a16:creationId xmlns:a16="http://schemas.microsoft.com/office/drawing/2014/main" id="{62FC7599-2FC8-41AF-BA50-F222474222BD}"/>
              </a:ext>
            </a:extLst>
          </xdr:cNvPr>
          <xdr:cNvSpPr txBox="1"/>
        </xdr:nvSpPr>
        <xdr:spPr>
          <a:xfrm>
            <a:off x="12686392" y="867726"/>
            <a:ext cx="1036319" cy="182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CEB2D48-50B7-4C55-A2D7-FB4A1C33927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4,31,900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8">
        <xdr:nvSpPr>
          <xdr:cNvPr id="208" name="TextBox 207">
            <a:extLst>
              <a:ext uri="{FF2B5EF4-FFF2-40B4-BE49-F238E27FC236}">
                <a16:creationId xmlns:a16="http://schemas.microsoft.com/office/drawing/2014/main" id="{5B97A5C1-4FEE-402B-8C18-9E8FB49C2461}"/>
              </a:ext>
            </a:extLst>
          </xdr:cNvPr>
          <xdr:cNvSpPr txBox="1"/>
        </xdr:nvSpPr>
        <xdr:spPr>
          <a:xfrm>
            <a:off x="12313237" y="556700"/>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F4BE55D-95D3-4F80-BC74-CD4DFD1B5CF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11%</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6</xdr:col>
      <xdr:colOff>305099</xdr:colOff>
      <xdr:row>4</xdr:row>
      <xdr:rowOff>126246</xdr:rowOff>
    </xdr:from>
    <xdr:to>
      <xdr:col>7</xdr:col>
      <xdr:colOff>384977</xdr:colOff>
      <xdr:row>7</xdr:row>
      <xdr:rowOff>7383</xdr:rowOff>
    </xdr:to>
    <xdr:grpSp>
      <xdr:nvGrpSpPr>
        <xdr:cNvPr id="209" name="Group 208">
          <a:extLst>
            <a:ext uri="{FF2B5EF4-FFF2-40B4-BE49-F238E27FC236}">
              <a16:creationId xmlns:a16="http://schemas.microsoft.com/office/drawing/2014/main" id="{62252A48-CE68-4DC6-8523-3A593094EDCF}"/>
            </a:ext>
          </a:extLst>
        </xdr:cNvPr>
        <xdr:cNvGrpSpPr/>
      </xdr:nvGrpSpPr>
      <xdr:grpSpPr>
        <a:xfrm rot="18312797">
          <a:off x="4092549" y="727916"/>
          <a:ext cx="429777" cy="689478"/>
          <a:chOff x="349939" y="-50325"/>
          <a:chExt cx="429768" cy="689481"/>
        </a:xfrm>
      </xdr:grpSpPr>
      <xdr:cxnSp macro="">
        <xdr:nvCxnSpPr>
          <xdr:cNvPr id="210" name="Straight Connector 209">
            <a:extLst>
              <a:ext uri="{FF2B5EF4-FFF2-40B4-BE49-F238E27FC236}">
                <a16:creationId xmlns:a16="http://schemas.microsoft.com/office/drawing/2014/main" id="{857401E6-F522-4773-8CAE-FA0ECD5EF1DE}"/>
              </a:ext>
            </a:extLst>
          </xdr:cNvPr>
          <xdr:cNvCxnSpPr/>
        </xdr:nvCxnSpPr>
        <xdr:spPr>
          <a:xfrm rot="3287203" flipH="1" flipV="1">
            <a:off x="430133" y="420777"/>
            <a:ext cx="279861" cy="156897"/>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11" name="Oval 210">
            <a:extLst>
              <a:ext uri="{FF2B5EF4-FFF2-40B4-BE49-F238E27FC236}">
                <a16:creationId xmlns:a16="http://schemas.microsoft.com/office/drawing/2014/main" id="{98B1F591-F803-4087-BDFC-CE9E202BAC6B}"/>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7</xdr:col>
      <xdr:colOff>46329</xdr:colOff>
      <xdr:row>8</xdr:row>
      <xdr:rowOff>110696</xdr:rowOff>
    </xdr:from>
    <xdr:to>
      <xdr:col>7</xdr:col>
      <xdr:colOff>476106</xdr:colOff>
      <xdr:row>12</xdr:row>
      <xdr:rowOff>68654</xdr:rowOff>
    </xdr:to>
    <xdr:grpSp>
      <xdr:nvGrpSpPr>
        <xdr:cNvPr id="212" name="Group 211">
          <a:extLst>
            <a:ext uri="{FF2B5EF4-FFF2-40B4-BE49-F238E27FC236}">
              <a16:creationId xmlns:a16="http://schemas.microsoft.com/office/drawing/2014/main" id="{15D5D710-68EA-4618-BC7B-A36D3D8EF56C}"/>
            </a:ext>
          </a:extLst>
        </xdr:cNvPr>
        <xdr:cNvGrpSpPr/>
      </xdr:nvGrpSpPr>
      <xdr:grpSpPr>
        <a:xfrm rot="13387958">
          <a:off x="4313529" y="1573736"/>
          <a:ext cx="429777" cy="689478"/>
          <a:chOff x="349939" y="-50325"/>
          <a:chExt cx="429768" cy="689481"/>
        </a:xfrm>
      </xdr:grpSpPr>
      <xdr:cxnSp macro="">
        <xdr:nvCxnSpPr>
          <xdr:cNvPr id="213" name="Straight Connector 212">
            <a:extLst>
              <a:ext uri="{FF2B5EF4-FFF2-40B4-BE49-F238E27FC236}">
                <a16:creationId xmlns:a16="http://schemas.microsoft.com/office/drawing/2014/main" id="{1CAA9E74-F9C9-40BD-B185-E33B7F044087}"/>
              </a:ext>
            </a:extLst>
          </xdr:cNvPr>
          <xdr:cNvCxnSpPr/>
        </xdr:nvCxnSpPr>
        <xdr:spPr>
          <a:xfrm rot="3287203" flipH="1" flipV="1">
            <a:off x="430133" y="420777"/>
            <a:ext cx="279861" cy="156897"/>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14" name="Oval 213">
            <a:extLst>
              <a:ext uri="{FF2B5EF4-FFF2-40B4-BE49-F238E27FC236}">
                <a16:creationId xmlns:a16="http://schemas.microsoft.com/office/drawing/2014/main" id="{5B46BAD7-7EC2-43D2-BA3E-528A327EE955}"/>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5</xdr:col>
      <xdr:colOff>426715</xdr:colOff>
      <xdr:row>4</xdr:row>
      <xdr:rowOff>137160</xdr:rowOff>
    </xdr:from>
    <xdr:to>
      <xdr:col>7</xdr:col>
      <xdr:colOff>297174</xdr:colOff>
      <xdr:row>8</xdr:row>
      <xdr:rowOff>83819</xdr:rowOff>
    </xdr:to>
    <xdr:grpSp>
      <xdr:nvGrpSpPr>
        <xdr:cNvPr id="215" name="Group 214">
          <a:extLst>
            <a:ext uri="{FF2B5EF4-FFF2-40B4-BE49-F238E27FC236}">
              <a16:creationId xmlns:a16="http://schemas.microsoft.com/office/drawing/2014/main" id="{52E9315C-E7AA-4181-B752-86F8966E7A33}"/>
            </a:ext>
          </a:extLst>
        </xdr:cNvPr>
        <xdr:cNvGrpSpPr/>
      </xdr:nvGrpSpPr>
      <xdr:grpSpPr>
        <a:xfrm>
          <a:off x="3474715" y="868680"/>
          <a:ext cx="1089659" cy="678179"/>
          <a:chOff x="12005823" y="689976"/>
          <a:chExt cx="1105923" cy="697740"/>
        </a:xfrm>
      </xdr:grpSpPr>
      <xdr:sp macro="" textlink="Pivottables!BF17">
        <xdr:nvSpPr>
          <xdr:cNvPr id="216" name="TextBox 215">
            <a:extLst>
              <a:ext uri="{FF2B5EF4-FFF2-40B4-BE49-F238E27FC236}">
                <a16:creationId xmlns:a16="http://schemas.microsoft.com/office/drawing/2014/main" id="{94159B81-F0E7-4F52-8E85-F8A9C81A9A14}"/>
              </a:ext>
            </a:extLst>
          </xdr:cNvPr>
          <xdr:cNvSpPr txBox="1"/>
        </xdr:nvSpPr>
        <xdr:spPr>
          <a:xfrm>
            <a:off x="12028684" y="1037198"/>
            <a:ext cx="1083062" cy="193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B6A49E0-A983-4734-9608-72A512A91C9F}" type="TxLink">
              <a:rPr lang="en-US" sz="900" b="0" i="0" u="none" strike="noStrike">
                <a:solidFill>
                  <a:schemeClr val="bg1"/>
                </a:solidFill>
                <a:latin typeface="Roboto condensed" panose="02000000000000000000" pitchFamily="2" charset="0"/>
                <a:ea typeface="Roboto condensed" panose="02000000000000000000" pitchFamily="2" charset="0"/>
              </a:rPr>
              <a:pPr algn="l"/>
              <a:t>Floating License</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7">
        <xdr:nvSpPr>
          <xdr:cNvPr id="217" name="TextBox 216">
            <a:extLst>
              <a:ext uri="{FF2B5EF4-FFF2-40B4-BE49-F238E27FC236}">
                <a16:creationId xmlns:a16="http://schemas.microsoft.com/office/drawing/2014/main" id="{1DD0BD77-BA9B-4C72-B042-B46F96C4F4DC}"/>
              </a:ext>
            </a:extLst>
          </xdr:cNvPr>
          <xdr:cNvSpPr txBox="1"/>
        </xdr:nvSpPr>
        <xdr:spPr>
          <a:xfrm>
            <a:off x="12005823" y="1204834"/>
            <a:ext cx="1036319" cy="182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98CA8CE-8D6B-4591-8901-2F52AC12F14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4,94,400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7">
        <xdr:nvSpPr>
          <xdr:cNvPr id="218" name="TextBox 217">
            <a:extLst>
              <a:ext uri="{FF2B5EF4-FFF2-40B4-BE49-F238E27FC236}">
                <a16:creationId xmlns:a16="http://schemas.microsoft.com/office/drawing/2014/main" id="{C01EAD08-2690-41E4-AA5F-2F076A1DB54A}"/>
              </a:ext>
            </a:extLst>
          </xdr:cNvPr>
          <xdr:cNvSpPr txBox="1"/>
        </xdr:nvSpPr>
        <xdr:spPr>
          <a:xfrm>
            <a:off x="12552983" y="689976"/>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AD21A1D-4AB6-4347-8DEF-F396AA8EA3FA}"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13%</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6</xdr:col>
      <xdr:colOff>297176</xdr:colOff>
      <xdr:row>10</xdr:row>
      <xdr:rowOff>60960</xdr:rowOff>
    </xdr:from>
    <xdr:to>
      <xdr:col>8</xdr:col>
      <xdr:colOff>281938</xdr:colOff>
      <xdr:row>15</xdr:row>
      <xdr:rowOff>22859</xdr:rowOff>
    </xdr:to>
    <xdr:grpSp>
      <xdr:nvGrpSpPr>
        <xdr:cNvPr id="219" name="Group 218">
          <a:extLst>
            <a:ext uri="{FF2B5EF4-FFF2-40B4-BE49-F238E27FC236}">
              <a16:creationId xmlns:a16="http://schemas.microsoft.com/office/drawing/2014/main" id="{C5CB4548-EC09-4B19-B9F3-21B245DE72F3}"/>
            </a:ext>
          </a:extLst>
        </xdr:cNvPr>
        <xdr:cNvGrpSpPr/>
      </xdr:nvGrpSpPr>
      <xdr:grpSpPr>
        <a:xfrm>
          <a:off x="3954776" y="1889760"/>
          <a:ext cx="1203962" cy="883919"/>
          <a:chOff x="12261034" y="689976"/>
          <a:chExt cx="1221932" cy="909417"/>
        </a:xfrm>
      </xdr:grpSpPr>
      <xdr:sp macro="" textlink="Pivottables!BF18">
        <xdr:nvSpPr>
          <xdr:cNvPr id="220" name="TextBox 219">
            <a:extLst>
              <a:ext uri="{FF2B5EF4-FFF2-40B4-BE49-F238E27FC236}">
                <a16:creationId xmlns:a16="http://schemas.microsoft.com/office/drawing/2014/main" id="{A8629D40-CA48-4111-B74C-0F9F02056729}"/>
              </a:ext>
            </a:extLst>
          </xdr:cNvPr>
          <xdr:cNvSpPr txBox="1"/>
        </xdr:nvSpPr>
        <xdr:spPr>
          <a:xfrm>
            <a:off x="12283905" y="1005840"/>
            <a:ext cx="1199061" cy="5308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D6ACA3C-6B97-42DE-A546-89A5108E0705}" type="TxLink">
              <a:rPr lang="en-US" sz="900" b="0" i="0" u="none" strike="noStrike">
                <a:solidFill>
                  <a:schemeClr val="bg1"/>
                </a:solidFill>
                <a:latin typeface="Roboto condensed" panose="02000000000000000000" pitchFamily="2" charset="0"/>
                <a:ea typeface="Roboto condensed" panose="02000000000000000000" pitchFamily="2" charset="0"/>
              </a:rPr>
              <a:pPr algn="l"/>
              <a:t>Software Metered License</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8">
        <xdr:nvSpPr>
          <xdr:cNvPr id="221" name="TextBox 220">
            <a:extLst>
              <a:ext uri="{FF2B5EF4-FFF2-40B4-BE49-F238E27FC236}">
                <a16:creationId xmlns:a16="http://schemas.microsoft.com/office/drawing/2014/main" id="{FDC90902-CFBA-4885-BA06-1492CFD2B2FC}"/>
              </a:ext>
            </a:extLst>
          </xdr:cNvPr>
          <xdr:cNvSpPr txBox="1"/>
        </xdr:nvSpPr>
        <xdr:spPr>
          <a:xfrm>
            <a:off x="12261034" y="1416511"/>
            <a:ext cx="1036319" cy="182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035FA6E-791C-4136-BBCE-ED45F4DE7F4E}"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2,81,733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8">
        <xdr:nvSpPr>
          <xdr:cNvPr id="222" name="TextBox 221">
            <a:extLst>
              <a:ext uri="{FF2B5EF4-FFF2-40B4-BE49-F238E27FC236}">
                <a16:creationId xmlns:a16="http://schemas.microsoft.com/office/drawing/2014/main" id="{6396B35D-62F4-4347-8A76-A5EBFBE0B37C}"/>
              </a:ext>
            </a:extLst>
          </xdr:cNvPr>
          <xdr:cNvSpPr txBox="1"/>
        </xdr:nvSpPr>
        <xdr:spPr>
          <a:xfrm>
            <a:off x="12599386" y="689976"/>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A9AD6E6-7E77-41E8-9C93-2DC240C09D12}"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xdr:from>
      <xdr:col>9</xdr:col>
      <xdr:colOff>15240</xdr:colOff>
      <xdr:row>13</xdr:row>
      <xdr:rowOff>152400</xdr:rowOff>
    </xdr:from>
    <xdr:to>
      <xdr:col>14</xdr:col>
      <xdr:colOff>495300</xdr:colOff>
      <xdr:row>33</xdr:row>
      <xdr:rowOff>15240</xdr:rowOff>
    </xdr:to>
    <xdr:sp macro="" textlink="">
      <xdr:nvSpPr>
        <xdr:cNvPr id="9" name="Oval 8">
          <a:extLst>
            <a:ext uri="{FF2B5EF4-FFF2-40B4-BE49-F238E27FC236}">
              <a16:creationId xmlns:a16="http://schemas.microsoft.com/office/drawing/2014/main" id="{816AC88A-C7EA-4238-9712-1842CB0345C1}"/>
            </a:ext>
          </a:extLst>
        </xdr:cNvPr>
        <xdr:cNvSpPr/>
      </xdr:nvSpPr>
      <xdr:spPr>
        <a:xfrm>
          <a:off x="5501640" y="2529840"/>
          <a:ext cx="3528060" cy="3528060"/>
        </a:xfrm>
        <a:prstGeom prst="ellipse">
          <a:avLst/>
        </a:prstGeom>
        <a:no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205740</xdr:colOff>
      <xdr:row>0</xdr:row>
      <xdr:rowOff>0</xdr:rowOff>
    </xdr:from>
    <xdr:to>
      <xdr:col>9</xdr:col>
      <xdr:colOff>259079</xdr:colOff>
      <xdr:row>2</xdr:row>
      <xdr:rowOff>27432</xdr:rowOff>
    </xdr:to>
    <xdr:sp macro="" textlink="">
      <xdr:nvSpPr>
        <xdr:cNvPr id="223" name="Прямоугольник 3">
          <a:extLst>
            <a:ext uri="{FF2B5EF4-FFF2-40B4-BE49-F238E27FC236}">
              <a16:creationId xmlns:a16="http://schemas.microsoft.com/office/drawing/2014/main" id="{6F53A54F-5A8B-4412-93DF-693271B94995}"/>
            </a:ext>
          </a:extLst>
        </xdr:cNvPr>
        <xdr:cNvSpPr/>
      </xdr:nvSpPr>
      <xdr:spPr>
        <a:xfrm>
          <a:off x="2034540" y="0"/>
          <a:ext cx="3710939" cy="393192"/>
        </a:xfrm>
        <a:prstGeom prst="rect">
          <a:avLst/>
        </a:prstGeom>
        <a:gradFill>
          <a:gsLst>
            <a:gs pos="0">
              <a:srgbClr val="1E163D">
                <a:alpha val="0"/>
              </a:srgbClr>
            </a:gs>
            <a:gs pos="24000">
              <a:srgbClr val="7030A0">
                <a:alpha val="87000"/>
              </a:srgbClr>
            </a:gs>
            <a:gs pos="70000">
              <a:srgbClr val="1E163D">
                <a:alpha val="71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0</xdr:col>
      <xdr:colOff>312420</xdr:colOff>
      <xdr:row>0</xdr:row>
      <xdr:rowOff>59436</xdr:rowOff>
    </xdr:from>
    <xdr:to>
      <xdr:col>0</xdr:col>
      <xdr:colOff>586740</xdr:colOff>
      <xdr:row>1</xdr:row>
      <xdr:rowOff>150876</xdr:rowOff>
    </xdr:to>
    <xdr:pic>
      <xdr:nvPicPr>
        <xdr:cNvPr id="58" name="Picture 57">
          <a:hlinkClick xmlns:r="http://schemas.openxmlformats.org/officeDocument/2006/relationships" r:id="rId11"/>
          <a:extLst>
            <a:ext uri="{FF2B5EF4-FFF2-40B4-BE49-F238E27FC236}">
              <a16:creationId xmlns:a16="http://schemas.microsoft.com/office/drawing/2014/main" id="{DD119EE8-DF6E-494A-BEDE-E1620F48E10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12420" y="59436"/>
          <a:ext cx="274320" cy="274320"/>
        </a:xfrm>
        <a:prstGeom prst="rect">
          <a:avLst/>
        </a:prstGeom>
      </xdr:spPr>
    </xdr:pic>
    <xdr:clientData/>
  </xdr:twoCellAnchor>
  <xdr:twoCellAnchor editAs="oneCell">
    <xdr:from>
      <xdr:col>9</xdr:col>
      <xdr:colOff>249060</xdr:colOff>
      <xdr:row>0</xdr:row>
      <xdr:rowOff>59436</xdr:rowOff>
    </xdr:from>
    <xdr:to>
      <xdr:col>9</xdr:col>
      <xdr:colOff>523380</xdr:colOff>
      <xdr:row>1</xdr:row>
      <xdr:rowOff>150876</xdr:rowOff>
    </xdr:to>
    <xdr:pic>
      <xdr:nvPicPr>
        <xdr:cNvPr id="62" name="Picture 61">
          <a:hlinkClick xmlns:r="http://schemas.openxmlformats.org/officeDocument/2006/relationships" r:id="rId13"/>
          <a:extLst>
            <a:ext uri="{FF2B5EF4-FFF2-40B4-BE49-F238E27FC236}">
              <a16:creationId xmlns:a16="http://schemas.microsoft.com/office/drawing/2014/main" id="{6A84AB2D-BA21-401B-829E-14CBC71AFAD6}"/>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735460" y="59436"/>
          <a:ext cx="274320" cy="27432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0.21007</cdr:x>
      <cdr:y>0.33351</cdr:y>
    </cdr:from>
    <cdr:to>
      <cdr:x>0.50491</cdr:x>
      <cdr:y>0.70812</cdr:y>
    </cdr:to>
    <cdr:grpSp>
      <cdr:nvGrpSpPr>
        <cdr:cNvPr id="10" name="Group 9">
          <a:extLst xmlns:a="http://schemas.openxmlformats.org/drawingml/2006/main">
            <a:ext uri="{FF2B5EF4-FFF2-40B4-BE49-F238E27FC236}">
              <a16:creationId xmlns:a16="http://schemas.microsoft.com/office/drawing/2014/main" id="{30C095A9-6448-4CE6-9166-42C94190DC7C}"/>
            </a:ext>
          </a:extLst>
        </cdr:cNvPr>
        <cdr:cNvGrpSpPr/>
      </cdr:nvGrpSpPr>
      <cdr:grpSpPr>
        <a:xfrm xmlns:a="http://schemas.openxmlformats.org/drawingml/2006/main">
          <a:off x="1954495" y="2442234"/>
          <a:ext cx="2743198" cy="2743201"/>
          <a:chOff x="1954530" y="2442210"/>
          <a:chExt cx="2743200" cy="2743200"/>
        </a:xfrm>
      </cdr:grpSpPr>
      <cdr:sp macro="" textlink="">
        <cdr:nvSpPr>
          <cdr:cNvPr id="6" name="Oval 5">
            <a:extLst xmlns:a="http://schemas.openxmlformats.org/drawingml/2006/main">
              <a:ext uri="{FF2B5EF4-FFF2-40B4-BE49-F238E27FC236}">
                <a16:creationId xmlns:a16="http://schemas.microsoft.com/office/drawing/2014/main" id="{7800EAA8-1CFD-4EDA-9FC0-32266D82E649}"/>
              </a:ext>
            </a:extLst>
          </cdr:cNvPr>
          <cdr:cNvSpPr/>
        </cdr:nvSpPr>
        <cdr:spPr>
          <a:xfrm xmlns:a="http://schemas.openxmlformats.org/drawingml/2006/main">
            <a:off x="2411730" y="2899410"/>
            <a:ext cx="1828800" cy="1828800"/>
          </a:xfrm>
          <a:prstGeom xmlns:a="http://schemas.openxmlformats.org/drawingml/2006/main" prst="ellipse">
            <a:avLst/>
          </a:prstGeom>
          <a:gradFill xmlns:a="http://schemas.openxmlformats.org/drawingml/2006/main">
            <a:gsLst>
              <a:gs pos="63000">
                <a:srgbClr val="9947F7"/>
              </a:gs>
              <a:gs pos="0">
                <a:srgbClr val="DC25FA"/>
              </a:gs>
            </a:gsLst>
            <a:lin ang="5400000" scaled="1"/>
          </a:gra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sp macro="" textlink="">
        <cdr:nvSpPr>
          <cdr:cNvPr id="5" name="Oval 4">
            <a:extLst xmlns:a="http://schemas.openxmlformats.org/drawingml/2006/main">
              <a:ext uri="{FF2B5EF4-FFF2-40B4-BE49-F238E27FC236}">
                <a16:creationId xmlns:a16="http://schemas.microsoft.com/office/drawing/2014/main" id="{639B136F-5BEB-4A10-81B2-65E57A9F16BB}"/>
              </a:ext>
            </a:extLst>
          </cdr:cNvPr>
          <cdr:cNvSpPr/>
        </cdr:nvSpPr>
        <cdr:spPr>
          <a:xfrm xmlns:a="http://schemas.openxmlformats.org/drawingml/2006/main">
            <a:off x="2658618" y="3146298"/>
            <a:ext cx="1335024" cy="1335024"/>
          </a:xfrm>
          <a:prstGeom xmlns:a="http://schemas.openxmlformats.org/drawingml/2006/main" prst="ellipse">
            <a:avLst/>
          </a:prstGeom>
          <a:solidFill xmlns:a="http://schemas.openxmlformats.org/drawingml/2006/main">
            <a:schemeClr val="tx1"/>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nvGrpSpPr>
          <cdr:cNvPr id="4" name="Group 3">
            <a:extLst xmlns:a="http://schemas.openxmlformats.org/drawingml/2006/main">
              <a:ext uri="{FF2B5EF4-FFF2-40B4-BE49-F238E27FC236}">
                <a16:creationId xmlns:a16="http://schemas.microsoft.com/office/drawing/2014/main" id="{F7D6D7DE-8018-4C43-9BB9-AAA0CEC960AB}"/>
              </a:ext>
            </a:extLst>
          </cdr:cNvPr>
          <cdr:cNvGrpSpPr/>
        </cdr:nvGrpSpPr>
        <cdr:grpSpPr>
          <a:xfrm xmlns:a="http://schemas.openxmlformats.org/drawingml/2006/main">
            <a:off x="2596555" y="3417938"/>
            <a:ext cx="1459150" cy="791745"/>
            <a:chOff x="2740660" y="2992119"/>
            <a:chExt cx="1417320" cy="790957"/>
          </a:xfrm>
        </cdr:grpSpPr>
        <cdr:sp macro="" textlink="Pivottables!$Y$6">
          <cdr:nvSpPr>
            <cdr:cNvPr id="2" name="TextBox 18">
              <a:extLst xmlns:a="http://schemas.openxmlformats.org/drawingml/2006/main">
                <a:ext uri="{FF2B5EF4-FFF2-40B4-BE49-F238E27FC236}">
                  <a16:creationId xmlns:a16="http://schemas.microsoft.com/office/drawing/2014/main" id="{6FC4F070-D316-4E35-A6C9-D0B02D0279FB}"/>
                </a:ext>
              </a:extLst>
            </cdr:cNvPr>
            <cdr:cNvSpPr txBox="1"/>
          </cdr:nvSpPr>
          <cdr:spPr>
            <a:xfrm xmlns:a="http://schemas.openxmlformats.org/drawingml/2006/main">
              <a:off x="2907030" y="2992119"/>
              <a:ext cx="1084580" cy="52425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Overflow="clip" horzOverflow="clip"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D6E857E7-D07D-4528-B5F0-8608A108DE2C}" type="TxLink">
                <a:rPr lang="en-US" sz="3200">
                  <a:solidFill>
                    <a:schemeClr val="bg1"/>
                  </a:solidFill>
                  <a:latin typeface="Roboto" panose="02000000000000000000" pitchFamily="2" charset="0"/>
                  <a:ea typeface="Roboto" panose="02000000000000000000" pitchFamily="2" charset="0"/>
                  <a:cs typeface="+mn-cs"/>
                </a:rPr>
                <a:pPr marL="0" indent="0" algn="ctr"/>
                <a:t>87%</a:t>
              </a:fld>
              <a:endParaRPr lang="en-IN" sz="3200">
                <a:solidFill>
                  <a:schemeClr val="bg1"/>
                </a:solidFill>
                <a:latin typeface="Roboto" panose="02000000000000000000" pitchFamily="2" charset="0"/>
                <a:ea typeface="Roboto" panose="02000000000000000000" pitchFamily="2" charset="0"/>
                <a:cs typeface="+mn-cs"/>
              </a:endParaRPr>
            </a:p>
          </cdr:txBody>
        </cdr:sp>
        <cdr:sp macro="" textlink="">
          <cdr:nvSpPr>
            <cdr:cNvPr id="3" name="TextBox 19">
              <a:extLst xmlns:a="http://schemas.openxmlformats.org/drawingml/2006/main">
                <a:ext uri="{FF2B5EF4-FFF2-40B4-BE49-F238E27FC236}">
                  <a16:creationId xmlns:a16="http://schemas.microsoft.com/office/drawing/2014/main" id="{5846220B-FCD7-414E-95AE-5472FAAA61A8}"/>
                </a:ext>
              </a:extLst>
            </cdr:cNvPr>
            <cdr:cNvSpPr txBox="1"/>
          </cdr:nvSpPr>
          <cdr:spPr>
            <a:xfrm xmlns:a="http://schemas.openxmlformats.org/drawingml/2006/main">
              <a:off x="2740660" y="3388360"/>
              <a:ext cx="1417320" cy="39471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400" baseline="0">
                  <a:solidFill>
                    <a:schemeClr val="bg1"/>
                  </a:solidFill>
                  <a:latin typeface="Roboto condensed" panose="02000000000000000000" pitchFamily="2" charset="0"/>
                  <a:ea typeface="Roboto condensed" panose="02000000000000000000" pitchFamily="2" charset="0"/>
                </a:rPr>
                <a:t>Income Achived</a:t>
              </a:r>
              <a:endParaRPr lang="en-IN" sz="1400">
                <a:solidFill>
                  <a:schemeClr val="bg1"/>
                </a:solidFill>
                <a:latin typeface="Roboto condensed" panose="02000000000000000000" pitchFamily="2" charset="0"/>
                <a:ea typeface="Roboto condensed" panose="02000000000000000000" pitchFamily="2" charset="0"/>
              </a:endParaRPr>
            </a:p>
          </cdr:txBody>
        </cdr:sp>
      </cdr:grpSp>
      <cdr:sp macro="" textlink="">
        <cdr:nvSpPr>
          <cdr:cNvPr id="7" name="Oval 6">
            <a:extLst xmlns:a="http://schemas.openxmlformats.org/drawingml/2006/main">
              <a:ext uri="{FF2B5EF4-FFF2-40B4-BE49-F238E27FC236}">
                <a16:creationId xmlns:a16="http://schemas.microsoft.com/office/drawing/2014/main" id="{CEC45C05-93C5-476D-9445-661B12615B79}"/>
              </a:ext>
            </a:extLst>
          </cdr:cNvPr>
          <cdr:cNvSpPr/>
        </cdr:nvSpPr>
        <cdr:spPr>
          <a:xfrm xmlns:a="http://schemas.openxmlformats.org/drawingml/2006/main">
            <a:off x="1954530" y="2442210"/>
            <a:ext cx="2743200" cy="2743200"/>
          </a:xfrm>
          <a:prstGeom xmlns:a="http://schemas.openxmlformats.org/drawingml/2006/main" prst="ellipse">
            <a:avLst/>
          </a:prstGeom>
          <a:gradFill xmlns:a="http://schemas.openxmlformats.org/drawingml/2006/main">
            <a:gsLst>
              <a:gs pos="63000">
                <a:srgbClr val="9947F7">
                  <a:alpha val="20000"/>
                </a:srgbClr>
              </a:gs>
              <a:gs pos="24000">
                <a:srgbClr val="DC25FA">
                  <a:alpha val="20000"/>
                </a:srgbClr>
              </a:gs>
            </a:gsLst>
            <a:lin ang="5400000" scaled="1"/>
          </a:gra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0.69861</cdr:x>
      <cdr:y>0.10302</cdr:y>
    </cdr:from>
    <cdr:to>
      <cdr:x>0.7448</cdr:x>
      <cdr:y>0.25494</cdr:y>
    </cdr:to>
    <cdr:grpSp>
      <cdr:nvGrpSpPr>
        <cdr:cNvPr id="24" name="Group 23">
          <a:extLst xmlns:a="http://schemas.openxmlformats.org/drawingml/2006/main">
            <a:ext uri="{FF2B5EF4-FFF2-40B4-BE49-F238E27FC236}">
              <a16:creationId xmlns:a16="http://schemas.microsoft.com/office/drawing/2014/main" id="{E0F1826F-4683-42C8-B3BE-EEBA1EA5CB40}"/>
            </a:ext>
          </a:extLst>
        </cdr:cNvPr>
        <cdr:cNvGrpSpPr/>
      </cdr:nvGrpSpPr>
      <cdr:grpSpPr>
        <a:xfrm xmlns:a="http://schemas.openxmlformats.org/drawingml/2006/main" rot="19309033">
          <a:off x="6499881" y="754397"/>
          <a:ext cx="429753" cy="1112483"/>
          <a:chOff x="7399020" y="487680"/>
          <a:chExt cx="429768" cy="1112520"/>
        </a:xfrm>
      </cdr:grpSpPr>
      <cdr:cxnSp macro="">
        <cdr:nvCxnSpPr>
          <cdr:cNvPr id="11" name="Straight Connector 10">
            <a:extLst xmlns:a="http://schemas.openxmlformats.org/drawingml/2006/main">
              <a:ext uri="{FF2B5EF4-FFF2-40B4-BE49-F238E27FC236}">
                <a16:creationId xmlns:a16="http://schemas.microsoft.com/office/drawing/2014/main" id="{B50A1212-1ACF-4852-A66A-02582A188B9E}"/>
              </a:ext>
            </a:extLst>
          </cdr:cNvPr>
          <cdr:cNvCxnSpPr/>
        </cdr:nvCxnSpPr>
        <cdr:spPr>
          <a:xfrm xmlns:a="http://schemas.openxmlformats.org/drawingml/2006/main" flipV="1">
            <a:off x="7613904" y="906780"/>
            <a:ext cx="0" cy="693420"/>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17" name="Oval 16">
            <a:extLst xmlns:a="http://schemas.openxmlformats.org/drawingml/2006/main">
              <a:ext uri="{FF2B5EF4-FFF2-40B4-BE49-F238E27FC236}">
                <a16:creationId xmlns:a16="http://schemas.microsoft.com/office/drawing/2014/main" id="{EA13F238-1B46-4C30-A8DB-FA9AA636F033}"/>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0.8042</cdr:x>
      <cdr:y>0.05121</cdr:y>
    </cdr:from>
    <cdr:to>
      <cdr:x>0.87864</cdr:x>
      <cdr:y>0.24577</cdr:y>
    </cdr:to>
    <cdr:grpSp>
      <cdr:nvGrpSpPr>
        <cdr:cNvPr id="25" name="Group 24">
          <a:extLst xmlns:a="http://schemas.openxmlformats.org/drawingml/2006/main">
            <a:ext uri="{FF2B5EF4-FFF2-40B4-BE49-F238E27FC236}">
              <a16:creationId xmlns:a16="http://schemas.microsoft.com/office/drawing/2014/main" id="{3459773B-FB5A-47B6-9BC7-6152D4FE9837}"/>
            </a:ext>
          </a:extLst>
        </cdr:cNvPr>
        <cdr:cNvGrpSpPr/>
      </cdr:nvGrpSpPr>
      <cdr:grpSpPr>
        <a:xfrm xmlns:a="http://schemas.openxmlformats.org/drawingml/2006/main" rot="2431434">
          <a:off x="7482293" y="375002"/>
          <a:ext cx="692591" cy="1424727"/>
          <a:chOff x="7292507" y="487680"/>
          <a:chExt cx="692626" cy="1424714"/>
        </a:xfrm>
      </cdr:grpSpPr>
      <cdr:cxnSp macro="">
        <cdr:nvCxnSpPr>
          <cdr:cNvPr id="26" name="Straight Connector 25">
            <a:extLst xmlns:a="http://schemas.openxmlformats.org/drawingml/2006/main">
              <a:ext uri="{FF2B5EF4-FFF2-40B4-BE49-F238E27FC236}">
                <a16:creationId xmlns:a16="http://schemas.microsoft.com/office/drawing/2014/main" id="{DC14B0EB-E1B4-4A2D-BF52-876EBE60F819}"/>
              </a:ext>
            </a:extLst>
          </cdr:cNvPr>
          <cdr:cNvCxnSpPr/>
        </cdr:nvCxnSpPr>
        <cdr:spPr>
          <a:xfrm xmlns:a="http://schemas.openxmlformats.org/drawingml/2006/main" rot="19168566" flipV="1">
            <a:off x="7292507" y="1025426"/>
            <a:ext cx="692626" cy="886968"/>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27" name="Oval 26">
            <a:extLst xmlns:a="http://schemas.openxmlformats.org/drawingml/2006/main">
              <a:ext uri="{FF2B5EF4-FFF2-40B4-BE49-F238E27FC236}">
                <a16:creationId xmlns:a16="http://schemas.microsoft.com/office/drawing/2014/main" id="{E8E54273-7259-4738-8A73-5FABC786ADC4}"/>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0.80197</cdr:x>
      <cdr:y>0.23496</cdr:y>
    </cdr:from>
    <cdr:to>
      <cdr:x>0.89615</cdr:x>
      <cdr:y>0.29365</cdr:y>
    </cdr:to>
    <cdr:grpSp>
      <cdr:nvGrpSpPr>
        <cdr:cNvPr id="29" name="Group 28">
          <a:extLst xmlns:a="http://schemas.openxmlformats.org/drawingml/2006/main">
            <a:ext uri="{FF2B5EF4-FFF2-40B4-BE49-F238E27FC236}">
              <a16:creationId xmlns:a16="http://schemas.microsoft.com/office/drawing/2014/main" id="{089057F6-469A-4383-843D-B24E55A5FED1}"/>
            </a:ext>
          </a:extLst>
        </cdr:cNvPr>
        <cdr:cNvGrpSpPr/>
      </cdr:nvGrpSpPr>
      <cdr:grpSpPr>
        <a:xfrm xmlns:a="http://schemas.openxmlformats.org/drawingml/2006/main" rot="5400000">
          <a:off x="7684784" y="1497331"/>
          <a:ext cx="429776" cy="876253"/>
          <a:chOff x="7399020" y="487680"/>
          <a:chExt cx="429768" cy="876300"/>
        </a:xfrm>
      </cdr:grpSpPr>
      <cdr:cxnSp macro="">
        <cdr:nvCxnSpPr>
          <cdr:cNvPr id="30" name="Straight Connector 29">
            <a:extLst xmlns:a="http://schemas.openxmlformats.org/drawingml/2006/main">
              <a:ext uri="{FF2B5EF4-FFF2-40B4-BE49-F238E27FC236}">
                <a16:creationId xmlns:a16="http://schemas.microsoft.com/office/drawing/2014/main" id="{546F1F6C-948C-4194-AF14-A917793421AD}"/>
              </a:ext>
            </a:extLst>
          </cdr:cNvPr>
          <cdr:cNvCxnSpPr/>
        </cdr:nvCxnSpPr>
        <cdr:spPr>
          <a:xfrm xmlns:a="http://schemas.openxmlformats.org/drawingml/2006/main" flipV="1">
            <a:off x="7613904" y="906780"/>
            <a:ext cx="0" cy="457200"/>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31" name="Oval 30">
            <a:extLst xmlns:a="http://schemas.openxmlformats.org/drawingml/2006/main">
              <a:ext uri="{FF2B5EF4-FFF2-40B4-BE49-F238E27FC236}">
                <a16:creationId xmlns:a16="http://schemas.microsoft.com/office/drawing/2014/main" id="{F5DA8EC6-90C5-421C-ABFB-185F40ECC948}"/>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0.76642</cdr:x>
      <cdr:y>0.29813</cdr:y>
    </cdr:from>
    <cdr:to>
      <cdr:x>0.81261</cdr:x>
      <cdr:y>0.47341</cdr:y>
    </cdr:to>
    <cdr:grpSp>
      <cdr:nvGrpSpPr>
        <cdr:cNvPr id="36" name="Group 35">
          <a:extLst xmlns:a="http://schemas.openxmlformats.org/drawingml/2006/main">
            <a:ext uri="{FF2B5EF4-FFF2-40B4-BE49-F238E27FC236}">
              <a16:creationId xmlns:a16="http://schemas.microsoft.com/office/drawing/2014/main" id="{0B925731-C0BE-4114-B3EE-F6D09636167D}"/>
            </a:ext>
          </a:extLst>
        </cdr:cNvPr>
        <cdr:cNvGrpSpPr/>
      </cdr:nvGrpSpPr>
      <cdr:grpSpPr>
        <a:xfrm xmlns:a="http://schemas.openxmlformats.org/drawingml/2006/main" rot="9710595">
          <a:off x="7130787" y="2183152"/>
          <a:ext cx="429753" cy="1283544"/>
          <a:chOff x="7399020" y="487680"/>
          <a:chExt cx="429768" cy="1283547"/>
        </a:xfrm>
      </cdr:grpSpPr>
      <cdr:cxnSp macro="">
        <cdr:nvCxnSpPr>
          <cdr:cNvPr id="37" name="Straight Connector 36">
            <a:extLst xmlns:a="http://schemas.openxmlformats.org/drawingml/2006/main">
              <a:ext uri="{FF2B5EF4-FFF2-40B4-BE49-F238E27FC236}">
                <a16:creationId xmlns:a16="http://schemas.microsoft.com/office/drawing/2014/main" id="{FB1E4D00-3C41-4007-8E7A-F6237FDBC7BF}"/>
              </a:ext>
            </a:extLst>
          </cdr:cNvPr>
          <cdr:cNvCxnSpPr/>
        </cdr:nvCxnSpPr>
        <cdr:spPr>
          <a:xfrm xmlns:a="http://schemas.openxmlformats.org/drawingml/2006/main" rot="11889405">
            <a:off x="7475776" y="914053"/>
            <a:ext cx="183642" cy="857174"/>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38" name="Oval 37">
            <a:extLst xmlns:a="http://schemas.openxmlformats.org/drawingml/2006/main">
              <a:ext uri="{FF2B5EF4-FFF2-40B4-BE49-F238E27FC236}">
                <a16:creationId xmlns:a16="http://schemas.microsoft.com/office/drawing/2014/main" id="{216B30CB-FA10-4C0D-BDD5-CF0949C6624C}"/>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0.78943</cdr:x>
      <cdr:y>0.30129</cdr:y>
    </cdr:from>
    <cdr:to>
      <cdr:x>0.90238</cdr:x>
      <cdr:y>0.35998</cdr:y>
    </cdr:to>
    <cdr:grpSp>
      <cdr:nvGrpSpPr>
        <cdr:cNvPr id="32" name="Group 31">
          <a:extLst xmlns:a="http://schemas.openxmlformats.org/drawingml/2006/main">
            <a:ext uri="{FF2B5EF4-FFF2-40B4-BE49-F238E27FC236}">
              <a16:creationId xmlns:a16="http://schemas.microsoft.com/office/drawing/2014/main" id="{D9FA7962-EA79-426C-915B-566A3131261E}"/>
            </a:ext>
          </a:extLst>
        </cdr:cNvPr>
        <cdr:cNvGrpSpPr/>
      </cdr:nvGrpSpPr>
      <cdr:grpSpPr>
        <a:xfrm xmlns:a="http://schemas.openxmlformats.org/drawingml/2006/main" rot="7242943">
          <a:off x="7655429" y="1895736"/>
          <a:ext cx="429777" cy="1050889"/>
          <a:chOff x="7396310" y="489259"/>
          <a:chExt cx="429768" cy="1050893"/>
        </a:xfrm>
      </cdr:grpSpPr>
      <cdr:cxnSp macro="">
        <cdr:nvCxnSpPr>
          <cdr:cNvPr id="33" name="Straight Connector 32">
            <a:extLst xmlns:a="http://schemas.openxmlformats.org/drawingml/2006/main">
              <a:ext uri="{FF2B5EF4-FFF2-40B4-BE49-F238E27FC236}">
                <a16:creationId xmlns:a16="http://schemas.microsoft.com/office/drawing/2014/main" id="{4BF44EE4-1912-46CA-9CFC-CDCA55288A9E}"/>
              </a:ext>
            </a:extLst>
          </cdr:cNvPr>
          <cdr:cNvCxnSpPr/>
        </cdr:nvCxnSpPr>
        <cdr:spPr>
          <a:xfrm xmlns:a="http://schemas.openxmlformats.org/drawingml/2006/main" rot="14357057">
            <a:off x="7321104" y="1071041"/>
            <a:ext cx="585592" cy="352630"/>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34" name="Oval 33">
            <a:extLst xmlns:a="http://schemas.openxmlformats.org/drawingml/2006/main">
              <a:ext uri="{FF2B5EF4-FFF2-40B4-BE49-F238E27FC236}">
                <a16:creationId xmlns:a16="http://schemas.microsoft.com/office/drawing/2014/main" id="{5C8C41C7-4301-4CF8-8C06-87C37B6EC9A7}"/>
              </a:ext>
            </a:extLst>
          </cdr:cNvPr>
          <cdr:cNvSpPr/>
        </cdr:nvSpPr>
        <cdr:spPr>
          <a:xfrm xmlns:a="http://schemas.openxmlformats.org/drawingml/2006/main">
            <a:off x="7396310" y="489259"/>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33</xdr:col>
      <xdr:colOff>326571</xdr:colOff>
      <xdr:row>2</xdr:row>
      <xdr:rowOff>27432</xdr:rowOff>
    </xdr:to>
    <xdr:sp macro="" textlink="">
      <xdr:nvSpPr>
        <xdr:cNvPr id="12" name="Rectangle 11">
          <a:extLst>
            <a:ext uri="{FF2B5EF4-FFF2-40B4-BE49-F238E27FC236}">
              <a16:creationId xmlns:a16="http://schemas.microsoft.com/office/drawing/2014/main" id="{A851FCEE-A623-47F4-A266-92C5E8FBD5AA}"/>
            </a:ext>
          </a:extLst>
        </xdr:cNvPr>
        <xdr:cNvSpPr/>
      </xdr:nvSpPr>
      <xdr:spPr>
        <a:xfrm>
          <a:off x="0" y="0"/>
          <a:ext cx="20574000" cy="383692"/>
        </a:xfrm>
        <a:prstGeom prst="rect">
          <a:avLst/>
        </a:prstGeom>
        <a:solidFill>
          <a:srgbClr val="1D1D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447303</xdr:colOff>
      <xdr:row>0</xdr:row>
      <xdr:rowOff>30480</xdr:rowOff>
    </xdr:from>
    <xdr:to>
      <xdr:col>23</xdr:col>
      <xdr:colOff>352815</xdr:colOff>
      <xdr:row>2</xdr:row>
      <xdr:rowOff>3048</xdr:rowOff>
    </xdr:to>
    <xdr:sp macro="" textlink="">
      <xdr:nvSpPr>
        <xdr:cNvPr id="15" name="TextBox 14">
          <a:hlinkClick xmlns:r="http://schemas.openxmlformats.org/officeDocument/2006/relationships" r:id="rId1" tooltip="Income Source"/>
          <a:extLst>
            <a:ext uri="{FF2B5EF4-FFF2-40B4-BE49-F238E27FC236}">
              <a16:creationId xmlns:a16="http://schemas.microsoft.com/office/drawing/2014/main" id="{04C401DB-7DC7-4FDB-891E-4B978B0FA358}"/>
            </a:ext>
          </a:extLst>
        </xdr:cNvPr>
        <xdr:cNvSpPr txBox="1"/>
      </xdr:nvSpPr>
      <xdr:spPr>
        <a:xfrm>
          <a:off x="13332030" y="30480"/>
          <a:ext cx="1132629" cy="328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Income</a:t>
          </a:r>
          <a:r>
            <a:rPr lang="en-IN" sz="1200" baseline="0">
              <a:solidFill>
                <a:schemeClr val="bg1"/>
              </a:solidFill>
              <a:latin typeface="Roboto condensed" panose="02000000000000000000" pitchFamily="2" charset="0"/>
              <a:ea typeface="Roboto condensed" panose="02000000000000000000" pitchFamily="2" charset="0"/>
            </a:rPr>
            <a:t> Source</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23</xdr:col>
      <xdr:colOff>397350</xdr:colOff>
      <xdr:row>0</xdr:row>
      <xdr:rowOff>30480</xdr:rowOff>
    </xdr:from>
    <xdr:to>
      <xdr:col>25</xdr:col>
      <xdr:colOff>302861</xdr:colOff>
      <xdr:row>2</xdr:row>
      <xdr:rowOff>3048</xdr:rowOff>
    </xdr:to>
    <xdr:sp macro="" textlink="">
      <xdr:nvSpPr>
        <xdr:cNvPr id="16" name="TextBox 15">
          <a:hlinkClick xmlns:r="http://schemas.openxmlformats.org/officeDocument/2006/relationships" r:id="rId2" tooltip="Geographically"/>
          <a:extLst>
            <a:ext uri="{FF2B5EF4-FFF2-40B4-BE49-F238E27FC236}">
              <a16:creationId xmlns:a16="http://schemas.microsoft.com/office/drawing/2014/main" id="{38BF8DBE-30A7-448B-9ACF-23610A80961E}"/>
            </a:ext>
          </a:extLst>
        </xdr:cNvPr>
        <xdr:cNvSpPr txBox="1"/>
      </xdr:nvSpPr>
      <xdr:spPr>
        <a:xfrm>
          <a:off x="14509194" y="30480"/>
          <a:ext cx="1132628" cy="328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Geographically</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25</xdr:col>
      <xdr:colOff>347396</xdr:colOff>
      <xdr:row>0</xdr:row>
      <xdr:rowOff>30480</xdr:rowOff>
    </xdr:from>
    <xdr:to>
      <xdr:col>27</xdr:col>
      <xdr:colOff>252908</xdr:colOff>
      <xdr:row>2</xdr:row>
      <xdr:rowOff>3048</xdr:rowOff>
    </xdr:to>
    <xdr:sp macro="" textlink="">
      <xdr:nvSpPr>
        <xdr:cNvPr id="17" name="TextBox 16">
          <a:hlinkClick xmlns:r="http://schemas.openxmlformats.org/officeDocument/2006/relationships" r:id="rId3" tooltip="Sales Process"/>
          <a:extLst>
            <a:ext uri="{FF2B5EF4-FFF2-40B4-BE49-F238E27FC236}">
              <a16:creationId xmlns:a16="http://schemas.microsoft.com/office/drawing/2014/main" id="{42C46243-642F-46DA-B42F-F7097924C0C4}"/>
            </a:ext>
          </a:extLst>
        </xdr:cNvPr>
        <xdr:cNvSpPr txBox="1"/>
      </xdr:nvSpPr>
      <xdr:spPr>
        <a:xfrm>
          <a:off x="15686357" y="30480"/>
          <a:ext cx="1132629" cy="328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Sales Process</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23</xdr:col>
      <xdr:colOff>523503</xdr:colOff>
      <xdr:row>1</xdr:row>
      <xdr:rowOff>135637</xdr:rowOff>
    </xdr:from>
    <xdr:to>
      <xdr:col>24</xdr:col>
      <xdr:colOff>188222</xdr:colOff>
      <xdr:row>2</xdr:row>
      <xdr:rowOff>3226</xdr:rowOff>
    </xdr:to>
    <xdr:sp macro="" textlink="">
      <xdr:nvSpPr>
        <xdr:cNvPr id="20" name="Rectangle: Rounded Corners 19">
          <a:extLst>
            <a:ext uri="{FF2B5EF4-FFF2-40B4-BE49-F238E27FC236}">
              <a16:creationId xmlns:a16="http://schemas.microsoft.com/office/drawing/2014/main" id="{8A7A92BB-372B-4EBA-A69D-71309A1FDF63}"/>
            </a:ext>
          </a:extLst>
        </xdr:cNvPr>
        <xdr:cNvSpPr/>
      </xdr:nvSpPr>
      <xdr:spPr>
        <a:xfrm>
          <a:off x="14635347" y="313767"/>
          <a:ext cx="278278" cy="45719"/>
        </a:xfrm>
        <a:prstGeom prst="roundRect">
          <a:avLst>
            <a:gd name="adj" fmla="val 8975"/>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198121</xdr:colOff>
      <xdr:row>0</xdr:row>
      <xdr:rowOff>0</xdr:rowOff>
    </xdr:from>
    <xdr:to>
      <xdr:col>9</xdr:col>
      <xdr:colOff>251460</xdr:colOff>
      <xdr:row>2</xdr:row>
      <xdr:rowOff>27432</xdr:rowOff>
    </xdr:to>
    <xdr:sp macro="" textlink="">
      <xdr:nvSpPr>
        <xdr:cNvPr id="22" name="Прямоугольник 3">
          <a:extLst>
            <a:ext uri="{FF2B5EF4-FFF2-40B4-BE49-F238E27FC236}">
              <a16:creationId xmlns:a16="http://schemas.microsoft.com/office/drawing/2014/main" id="{76E5B8F5-3A7F-4460-8858-30F3D758E967}"/>
            </a:ext>
          </a:extLst>
        </xdr:cNvPr>
        <xdr:cNvSpPr/>
      </xdr:nvSpPr>
      <xdr:spPr>
        <a:xfrm>
          <a:off x="2026921" y="0"/>
          <a:ext cx="3710939" cy="393192"/>
        </a:xfrm>
        <a:prstGeom prst="rect">
          <a:avLst/>
        </a:prstGeom>
        <a:gradFill>
          <a:gsLst>
            <a:gs pos="0">
              <a:srgbClr val="1E163D">
                <a:alpha val="0"/>
              </a:srgbClr>
            </a:gs>
            <a:gs pos="24000">
              <a:srgbClr val="7030A0">
                <a:alpha val="87000"/>
              </a:srgbClr>
            </a:gs>
            <a:gs pos="70000">
              <a:srgbClr val="1E163D">
                <a:alpha val="71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281940</xdr:colOff>
      <xdr:row>22</xdr:row>
      <xdr:rowOff>152400</xdr:rowOff>
    </xdr:from>
    <xdr:to>
      <xdr:col>0</xdr:col>
      <xdr:colOff>464819</xdr:colOff>
      <xdr:row>23</xdr:row>
      <xdr:rowOff>129540</xdr:rowOff>
    </xdr:to>
    <xdr:sp macro="" textlink="">
      <xdr:nvSpPr>
        <xdr:cNvPr id="49" name="TextBox 48">
          <a:extLst>
            <a:ext uri="{FF2B5EF4-FFF2-40B4-BE49-F238E27FC236}">
              <a16:creationId xmlns:a16="http://schemas.microsoft.com/office/drawing/2014/main" id="{8DC8235A-EF96-46FF-9993-6F5F2B6943A0}"/>
            </a:ext>
          </a:extLst>
        </xdr:cNvPr>
        <xdr:cNvSpPr txBox="1"/>
      </xdr:nvSpPr>
      <xdr:spPr>
        <a:xfrm>
          <a:off x="281940" y="417576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23</xdr:row>
      <xdr:rowOff>181356</xdr:rowOff>
    </xdr:from>
    <xdr:to>
      <xdr:col>0</xdr:col>
      <xdr:colOff>464819</xdr:colOff>
      <xdr:row>24</xdr:row>
      <xdr:rowOff>158496</xdr:rowOff>
    </xdr:to>
    <xdr:sp macro="" textlink="">
      <xdr:nvSpPr>
        <xdr:cNvPr id="50" name="TextBox 49">
          <a:extLst>
            <a:ext uri="{FF2B5EF4-FFF2-40B4-BE49-F238E27FC236}">
              <a16:creationId xmlns:a16="http://schemas.microsoft.com/office/drawing/2014/main" id="{315B805B-375C-4995-8941-510B38E51C9C}"/>
            </a:ext>
          </a:extLst>
        </xdr:cNvPr>
        <xdr:cNvSpPr txBox="1"/>
      </xdr:nvSpPr>
      <xdr:spPr>
        <a:xfrm>
          <a:off x="281940" y="4387596"/>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25</xdr:row>
      <xdr:rowOff>27432</xdr:rowOff>
    </xdr:from>
    <xdr:to>
      <xdr:col>0</xdr:col>
      <xdr:colOff>464819</xdr:colOff>
      <xdr:row>26</xdr:row>
      <xdr:rowOff>4572</xdr:rowOff>
    </xdr:to>
    <xdr:sp macro="" textlink="">
      <xdr:nvSpPr>
        <xdr:cNvPr id="51" name="TextBox 50">
          <a:extLst>
            <a:ext uri="{FF2B5EF4-FFF2-40B4-BE49-F238E27FC236}">
              <a16:creationId xmlns:a16="http://schemas.microsoft.com/office/drawing/2014/main" id="{42E320AA-E48D-465B-9052-C813A7E018C5}"/>
            </a:ext>
          </a:extLst>
        </xdr:cNvPr>
        <xdr:cNvSpPr txBox="1"/>
      </xdr:nvSpPr>
      <xdr:spPr>
        <a:xfrm>
          <a:off x="281940" y="4599432"/>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26</xdr:row>
      <xdr:rowOff>56388</xdr:rowOff>
    </xdr:from>
    <xdr:to>
      <xdr:col>0</xdr:col>
      <xdr:colOff>464819</xdr:colOff>
      <xdr:row>27</xdr:row>
      <xdr:rowOff>33528</xdr:rowOff>
    </xdr:to>
    <xdr:sp macro="" textlink="">
      <xdr:nvSpPr>
        <xdr:cNvPr id="52" name="TextBox 51">
          <a:extLst>
            <a:ext uri="{FF2B5EF4-FFF2-40B4-BE49-F238E27FC236}">
              <a16:creationId xmlns:a16="http://schemas.microsoft.com/office/drawing/2014/main" id="{B9856388-38C4-499B-9F69-BBB6FC88EB0B}"/>
            </a:ext>
          </a:extLst>
        </xdr:cNvPr>
        <xdr:cNvSpPr txBox="1"/>
      </xdr:nvSpPr>
      <xdr:spPr>
        <a:xfrm>
          <a:off x="281940" y="4811268"/>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27</xdr:row>
      <xdr:rowOff>85344</xdr:rowOff>
    </xdr:from>
    <xdr:to>
      <xdr:col>0</xdr:col>
      <xdr:colOff>464819</xdr:colOff>
      <xdr:row>28</xdr:row>
      <xdr:rowOff>62484</xdr:rowOff>
    </xdr:to>
    <xdr:sp macro="" textlink="">
      <xdr:nvSpPr>
        <xdr:cNvPr id="53" name="TextBox 52">
          <a:extLst>
            <a:ext uri="{FF2B5EF4-FFF2-40B4-BE49-F238E27FC236}">
              <a16:creationId xmlns:a16="http://schemas.microsoft.com/office/drawing/2014/main" id="{16A135DC-3DEB-4BCC-9626-CF1C30B2365C}"/>
            </a:ext>
          </a:extLst>
        </xdr:cNvPr>
        <xdr:cNvSpPr txBox="1"/>
      </xdr:nvSpPr>
      <xdr:spPr>
        <a:xfrm>
          <a:off x="281940" y="5023104"/>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28</xdr:row>
      <xdr:rowOff>114300</xdr:rowOff>
    </xdr:from>
    <xdr:to>
      <xdr:col>0</xdr:col>
      <xdr:colOff>464819</xdr:colOff>
      <xdr:row>29</xdr:row>
      <xdr:rowOff>91440</xdr:rowOff>
    </xdr:to>
    <xdr:sp macro="" textlink="">
      <xdr:nvSpPr>
        <xdr:cNvPr id="54" name="TextBox 53">
          <a:extLst>
            <a:ext uri="{FF2B5EF4-FFF2-40B4-BE49-F238E27FC236}">
              <a16:creationId xmlns:a16="http://schemas.microsoft.com/office/drawing/2014/main" id="{B4CAB1F0-96E5-428D-BDF9-4672489023D9}"/>
            </a:ext>
          </a:extLst>
        </xdr:cNvPr>
        <xdr:cNvSpPr txBox="1"/>
      </xdr:nvSpPr>
      <xdr:spPr>
        <a:xfrm>
          <a:off x="281940" y="523494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18</xdr:col>
      <xdr:colOff>421838</xdr:colOff>
      <xdr:row>25</xdr:row>
      <xdr:rowOff>79697</xdr:rowOff>
    </xdr:from>
    <xdr:to>
      <xdr:col>19</xdr:col>
      <xdr:colOff>263500</xdr:colOff>
      <xdr:row>28</xdr:row>
      <xdr:rowOff>93947</xdr:rowOff>
    </xdr:to>
    <xdr:grpSp>
      <xdr:nvGrpSpPr>
        <xdr:cNvPr id="11" name="Group 10">
          <a:extLst>
            <a:ext uri="{FF2B5EF4-FFF2-40B4-BE49-F238E27FC236}">
              <a16:creationId xmlns:a16="http://schemas.microsoft.com/office/drawing/2014/main" id="{CD432B74-4F61-47C9-9E32-F4C29689C3A1}"/>
            </a:ext>
          </a:extLst>
        </xdr:cNvPr>
        <xdr:cNvGrpSpPr/>
      </xdr:nvGrpSpPr>
      <xdr:grpSpPr>
        <a:xfrm>
          <a:off x="11394638" y="4604072"/>
          <a:ext cx="451262" cy="557175"/>
          <a:chOff x="11227130" y="5047013"/>
          <a:chExt cx="455220" cy="548640"/>
        </a:xfrm>
      </xdr:grpSpPr>
      <xdr:sp macro="" textlink="Pivottables!D35">
        <xdr:nvSpPr>
          <xdr:cNvPr id="10" name="TextBox 9">
            <a:extLst>
              <a:ext uri="{FF2B5EF4-FFF2-40B4-BE49-F238E27FC236}">
                <a16:creationId xmlns:a16="http://schemas.microsoft.com/office/drawing/2014/main" id="{DEEBDC9B-4130-4755-9877-303AB9B8BE1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13" name="TextBox 112">
            <a:extLst>
              <a:ext uri="{FF2B5EF4-FFF2-40B4-BE49-F238E27FC236}">
                <a16:creationId xmlns:a16="http://schemas.microsoft.com/office/drawing/2014/main" id="{D6B3FEFC-076D-4EB1-B93E-165FD3ACE1C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245884</xdr:colOff>
      <xdr:row>25</xdr:row>
      <xdr:rowOff>175211</xdr:rowOff>
    </xdr:from>
    <xdr:to>
      <xdr:col>19</xdr:col>
      <xdr:colOff>91504</xdr:colOff>
      <xdr:row>29</xdr:row>
      <xdr:rowOff>7125</xdr:rowOff>
    </xdr:to>
    <xdr:grpSp>
      <xdr:nvGrpSpPr>
        <xdr:cNvPr id="116" name="Group 115">
          <a:extLst>
            <a:ext uri="{FF2B5EF4-FFF2-40B4-BE49-F238E27FC236}">
              <a16:creationId xmlns:a16="http://schemas.microsoft.com/office/drawing/2014/main" id="{769E6A48-6BDA-4E87-8B4A-F1C13CB14D05}"/>
            </a:ext>
          </a:extLst>
        </xdr:cNvPr>
        <xdr:cNvGrpSpPr/>
      </xdr:nvGrpSpPr>
      <xdr:grpSpPr>
        <a:xfrm>
          <a:off x="11218684" y="4699586"/>
          <a:ext cx="455220" cy="555814"/>
          <a:chOff x="12384973" y="5037117"/>
          <a:chExt cx="455220" cy="548640"/>
        </a:xfrm>
      </xdr:grpSpPr>
      <xdr:sp macro="" textlink="Pivottables!E35">
        <xdr:nvSpPr>
          <xdr:cNvPr id="114" name="TextBox 113">
            <a:extLst>
              <a:ext uri="{FF2B5EF4-FFF2-40B4-BE49-F238E27FC236}">
                <a16:creationId xmlns:a16="http://schemas.microsoft.com/office/drawing/2014/main" id="{ACB6A29C-F17A-489A-BE47-595B12A4B94A}"/>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15" name="TextBox 114">
            <a:extLst>
              <a:ext uri="{FF2B5EF4-FFF2-40B4-BE49-F238E27FC236}">
                <a16:creationId xmlns:a16="http://schemas.microsoft.com/office/drawing/2014/main" id="{9836E020-22A5-46C1-98C8-09F9F7962415}"/>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605112</xdr:colOff>
      <xdr:row>25</xdr:row>
      <xdr:rowOff>172489</xdr:rowOff>
    </xdr:from>
    <xdr:to>
      <xdr:col>19</xdr:col>
      <xdr:colOff>450732</xdr:colOff>
      <xdr:row>29</xdr:row>
      <xdr:rowOff>4403</xdr:rowOff>
    </xdr:to>
    <xdr:grpSp>
      <xdr:nvGrpSpPr>
        <xdr:cNvPr id="117" name="Group 116">
          <a:extLst>
            <a:ext uri="{FF2B5EF4-FFF2-40B4-BE49-F238E27FC236}">
              <a16:creationId xmlns:a16="http://schemas.microsoft.com/office/drawing/2014/main" id="{C1C5CEB0-8AC8-44CF-82D3-A535D45AE2FD}"/>
            </a:ext>
          </a:extLst>
        </xdr:cNvPr>
        <xdr:cNvGrpSpPr/>
      </xdr:nvGrpSpPr>
      <xdr:grpSpPr>
        <a:xfrm>
          <a:off x="11577912" y="4696864"/>
          <a:ext cx="455220" cy="555814"/>
          <a:chOff x="12384973" y="5037117"/>
          <a:chExt cx="455220" cy="548640"/>
        </a:xfrm>
      </xdr:grpSpPr>
      <xdr:sp macro="" textlink="Pivottables!E35">
        <xdr:nvSpPr>
          <xdr:cNvPr id="118" name="TextBox 117">
            <a:extLst>
              <a:ext uri="{FF2B5EF4-FFF2-40B4-BE49-F238E27FC236}">
                <a16:creationId xmlns:a16="http://schemas.microsoft.com/office/drawing/2014/main" id="{789DBF8A-E555-4272-AF69-6883F96181F8}"/>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19" name="TextBox 118">
            <a:extLst>
              <a:ext uri="{FF2B5EF4-FFF2-40B4-BE49-F238E27FC236}">
                <a16:creationId xmlns:a16="http://schemas.microsoft.com/office/drawing/2014/main" id="{9AE1A0FE-1747-473F-AC37-E1FD0857E935}"/>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245883</xdr:colOff>
      <xdr:row>25</xdr:row>
      <xdr:rowOff>6481</xdr:rowOff>
    </xdr:from>
    <xdr:to>
      <xdr:col>19</xdr:col>
      <xdr:colOff>91503</xdr:colOff>
      <xdr:row>28</xdr:row>
      <xdr:rowOff>20731</xdr:rowOff>
    </xdr:to>
    <xdr:grpSp>
      <xdr:nvGrpSpPr>
        <xdr:cNvPr id="120" name="Group 119">
          <a:extLst>
            <a:ext uri="{FF2B5EF4-FFF2-40B4-BE49-F238E27FC236}">
              <a16:creationId xmlns:a16="http://schemas.microsoft.com/office/drawing/2014/main" id="{2F81F1B9-B6A1-4063-BA61-87ECC661F30B}"/>
            </a:ext>
          </a:extLst>
        </xdr:cNvPr>
        <xdr:cNvGrpSpPr/>
      </xdr:nvGrpSpPr>
      <xdr:grpSpPr>
        <a:xfrm>
          <a:off x="11218683" y="4530856"/>
          <a:ext cx="455220" cy="557175"/>
          <a:chOff x="12384973" y="5037117"/>
          <a:chExt cx="455220" cy="548640"/>
        </a:xfrm>
      </xdr:grpSpPr>
      <xdr:sp macro="" textlink="Pivottables!E35">
        <xdr:nvSpPr>
          <xdr:cNvPr id="121" name="TextBox 120">
            <a:extLst>
              <a:ext uri="{FF2B5EF4-FFF2-40B4-BE49-F238E27FC236}">
                <a16:creationId xmlns:a16="http://schemas.microsoft.com/office/drawing/2014/main" id="{93EE348E-13E8-4489-8184-9F566F7A345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22" name="TextBox 121">
            <a:extLst>
              <a:ext uri="{FF2B5EF4-FFF2-40B4-BE49-F238E27FC236}">
                <a16:creationId xmlns:a16="http://schemas.microsoft.com/office/drawing/2014/main" id="{E117AF3D-72CB-4779-804B-B099209321B3}"/>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425497</xdr:colOff>
      <xdr:row>25</xdr:row>
      <xdr:rowOff>175209</xdr:rowOff>
    </xdr:from>
    <xdr:to>
      <xdr:col>19</xdr:col>
      <xdr:colOff>271117</xdr:colOff>
      <xdr:row>29</xdr:row>
      <xdr:rowOff>7123</xdr:rowOff>
    </xdr:to>
    <xdr:grpSp>
      <xdr:nvGrpSpPr>
        <xdr:cNvPr id="123" name="Group 122">
          <a:extLst>
            <a:ext uri="{FF2B5EF4-FFF2-40B4-BE49-F238E27FC236}">
              <a16:creationId xmlns:a16="http://schemas.microsoft.com/office/drawing/2014/main" id="{1CE26A43-F7B9-45E5-A0C9-D43CF5E7DF2C}"/>
            </a:ext>
          </a:extLst>
        </xdr:cNvPr>
        <xdr:cNvGrpSpPr/>
      </xdr:nvGrpSpPr>
      <xdr:grpSpPr>
        <a:xfrm>
          <a:off x="11398297" y="4699584"/>
          <a:ext cx="455220" cy="555814"/>
          <a:chOff x="12384973" y="5037117"/>
          <a:chExt cx="455220" cy="548640"/>
        </a:xfrm>
      </xdr:grpSpPr>
      <xdr:sp macro="" textlink="Pivottables!E35">
        <xdr:nvSpPr>
          <xdr:cNvPr id="124" name="TextBox 123">
            <a:extLst>
              <a:ext uri="{FF2B5EF4-FFF2-40B4-BE49-F238E27FC236}">
                <a16:creationId xmlns:a16="http://schemas.microsoft.com/office/drawing/2014/main" id="{C6A53FA2-807B-4983-97BB-FA266732E38A}"/>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25" name="TextBox 124">
            <a:extLst>
              <a:ext uri="{FF2B5EF4-FFF2-40B4-BE49-F238E27FC236}">
                <a16:creationId xmlns:a16="http://schemas.microsoft.com/office/drawing/2014/main" id="{B2EB4DFC-0ACD-4261-AA6D-4AD0C55CA39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427281</xdr:colOff>
      <xdr:row>26</xdr:row>
      <xdr:rowOff>76975</xdr:rowOff>
    </xdr:from>
    <xdr:to>
      <xdr:col>19</xdr:col>
      <xdr:colOff>268943</xdr:colOff>
      <xdr:row>29</xdr:row>
      <xdr:rowOff>91225</xdr:rowOff>
    </xdr:to>
    <xdr:grpSp>
      <xdr:nvGrpSpPr>
        <xdr:cNvPr id="129" name="Group 128">
          <a:extLst>
            <a:ext uri="{FF2B5EF4-FFF2-40B4-BE49-F238E27FC236}">
              <a16:creationId xmlns:a16="http://schemas.microsoft.com/office/drawing/2014/main" id="{EC404701-7BC3-43CF-9C7D-509128C77D6B}"/>
            </a:ext>
          </a:extLst>
        </xdr:cNvPr>
        <xdr:cNvGrpSpPr/>
      </xdr:nvGrpSpPr>
      <xdr:grpSpPr>
        <a:xfrm>
          <a:off x="11400081" y="4782325"/>
          <a:ext cx="451262" cy="557175"/>
          <a:chOff x="11227130" y="5047013"/>
          <a:chExt cx="455220" cy="548640"/>
        </a:xfrm>
      </xdr:grpSpPr>
      <xdr:sp macro="" textlink="Pivottables!D35">
        <xdr:nvSpPr>
          <xdr:cNvPr id="130" name="TextBox 129">
            <a:extLst>
              <a:ext uri="{FF2B5EF4-FFF2-40B4-BE49-F238E27FC236}">
                <a16:creationId xmlns:a16="http://schemas.microsoft.com/office/drawing/2014/main" id="{6F7B0299-D91B-4F91-A508-B2F3EFC2369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31" name="TextBox 130">
            <a:extLst>
              <a:ext uri="{FF2B5EF4-FFF2-40B4-BE49-F238E27FC236}">
                <a16:creationId xmlns:a16="http://schemas.microsoft.com/office/drawing/2014/main" id="{0B92E70A-950D-400C-ABAE-E63161F1CAD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250388</xdr:colOff>
      <xdr:row>26</xdr:row>
      <xdr:rowOff>164061</xdr:rowOff>
    </xdr:from>
    <xdr:to>
      <xdr:col>19</xdr:col>
      <xdr:colOff>92050</xdr:colOff>
      <xdr:row>29</xdr:row>
      <xdr:rowOff>178311</xdr:rowOff>
    </xdr:to>
    <xdr:grpSp>
      <xdr:nvGrpSpPr>
        <xdr:cNvPr id="132" name="Group 131">
          <a:extLst>
            <a:ext uri="{FF2B5EF4-FFF2-40B4-BE49-F238E27FC236}">
              <a16:creationId xmlns:a16="http://schemas.microsoft.com/office/drawing/2014/main" id="{D07CE12B-F010-45D7-A9C7-2A2534D209B6}"/>
            </a:ext>
          </a:extLst>
        </xdr:cNvPr>
        <xdr:cNvGrpSpPr/>
      </xdr:nvGrpSpPr>
      <xdr:grpSpPr>
        <a:xfrm>
          <a:off x="11223188" y="4869411"/>
          <a:ext cx="451262" cy="557175"/>
          <a:chOff x="11227130" y="5047013"/>
          <a:chExt cx="455220" cy="548640"/>
        </a:xfrm>
      </xdr:grpSpPr>
      <xdr:sp macro="" textlink="Pivottables!D35">
        <xdr:nvSpPr>
          <xdr:cNvPr id="133" name="TextBox 132">
            <a:extLst>
              <a:ext uri="{FF2B5EF4-FFF2-40B4-BE49-F238E27FC236}">
                <a16:creationId xmlns:a16="http://schemas.microsoft.com/office/drawing/2014/main" id="{1C9C374E-5F90-4DA9-ABFB-4CE10F2BFE6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34" name="TextBox 133">
            <a:extLst>
              <a:ext uri="{FF2B5EF4-FFF2-40B4-BE49-F238E27FC236}">
                <a16:creationId xmlns:a16="http://schemas.microsoft.com/office/drawing/2014/main" id="{01F00F30-2124-48A1-8F8D-B3717E1222E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160580</xdr:colOff>
      <xdr:row>26</xdr:row>
      <xdr:rowOff>71533</xdr:rowOff>
    </xdr:from>
    <xdr:to>
      <xdr:col>19</xdr:col>
      <xdr:colOff>2242</xdr:colOff>
      <xdr:row>29</xdr:row>
      <xdr:rowOff>85783</xdr:rowOff>
    </xdr:to>
    <xdr:grpSp>
      <xdr:nvGrpSpPr>
        <xdr:cNvPr id="135" name="Group 134">
          <a:extLst>
            <a:ext uri="{FF2B5EF4-FFF2-40B4-BE49-F238E27FC236}">
              <a16:creationId xmlns:a16="http://schemas.microsoft.com/office/drawing/2014/main" id="{589C573E-C287-4406-B94A-741FB51E7C42}"/>
            </a:ext>
          </a:extLst>
        </xdr:cNvPr>
        <xdr:cNvGrpSpPr/>
      </xdr:nvGrpSpPr>
      <xdr:grpSpPr>
        <a:xfrm>
          <a:off x="11133380" y="4776883"/>
          <a:ext cx="451262" cy="557175"/>
          <a:chOff x="11227130" y="5047013"/>
          <a:chExt cx="455220" cy="548640"/>
        </a:xfrm>
      </xdr:grpSpPr>
      <xdr:sp macro="" textlink="Pivottables!D35">
        <xdr:nvSpPr>
          <xdr:cNvPr id="136" name="TextBox 135">
            <a:extLst>
              <a:ext uri="{FF2B5EF4-FFF2-40B4-BE49-F238E27FC236}">
                <a16:creationId xmlns:a16="http://schemas.microsoft.com/office/drawing/2014/main" id="{EA838C03-1B31-4A7F-8B95-24BC582F0C4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37" name="TextBox 136">
            <a:extLst>
              <a:ext uri="{FF2B5EF4-FFF2-40B4-BE49-F238E27FC236}">
                <a16:creationId xmlns:a16="http://schemas.microsoft.com/office/drawing/2014/main" id="{F8A29C2D-D6CE-4B36-96C7-D4625083D0FF}"/>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19</xdr:col>
      <xdr:colOff>85319</xdr:colOff>
      <xdr:row>26</xdr:row>
      <xdr:rowOff>156161</xdr:rowOff>
    </xdr:from>
    <xdr:to>
      <xdr:col>19</xdr:col>
      <xdr:colOff>540539</xdr:colOff>
      <xdr:row>29</xdr:row>
      <xdr:rowOff>170411</xdr:rowOff>
    </xdr:to>
    <xdr:grpSp>
      <xdr:nvGrpSpPr>
        <xdr:cNvPr id="180" name="Group 179">
          <a:extLst>
            <a:ext uri="{FF2B5EF4-FFF2-40B4-BE49-F238E27FC236}">
              <a16:creationId xmlns:a16="http://schemas.microsoft.com/office/drawing/2014/main" id="{5C5057CE-3F3F-4E43-ABA4-2C4D08AEE642}"/>
            </a:ext>
          </a:extLst>
        </xdr:cNvPr>
        <xdr:cNvGrpSpPr/>
      </xdr:nvGrpSpPr>
      <xdr:grpSpPr>
        <a:xfrm>
          <a:off x="11667719" y="4861511"/>
          <a:ext cx="455220" cy="557175"/>
          <a:chOff x="12384973" y="5037117"/>
          <a:chExt cx="455220" cy="548640"/>
        </a:xfrm>
      </xdr:grpSpPr>
      <xdr:sp macro="" textlink="Pivottables!E35">
        <xdr:nvSpPr>
          <xdr:cNvPr id="181" name="TextBox 180">
            <a:extLst>
              <a:ext uri="{FF2B5EF4-FFF2-40B4-BE49-F238E27FC236}">
                <a16:creationId xmlns:a16="http://schemas.microsoft.com/office/drawing/2014/main" id="{1CE6289F-C395-4656-AEDA-501516874CA8}"/>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82" name="TextBox 181">
            <a:extLst>
              <a:ext uri="{FF2B5EF4-FFF2-40B4-BE49-F238E27FC236}">
                <a16:creationId xmlns:a16="http://schemas.microsoft.com/office/drawing/2014/main" id="{B498C62A-B679-4817-B9B8-CDDC7EAF525B}"/>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605112</xdr:colOff>
      <xdr:row>25</xdr:row>
      <xdr:rowOff>90847</xdr:rowOff>
    </xdr:from>
    <xdr:to>
      <xdr:col>19</xdr:col>
      <xdr:colOff>450732</xdr:colOff>
      <xdr:row>28</xdr:row>
      <xdr:rowOff>105097</xdr:rowOff>
    </xdr:to>
    <xdr:grpSp>
      <xdr:nvGrpSpPr>
        <xdr:cNvPr id="183" name="Group 182">
          <a:extLst>
            <a:ext uri="{FF2B5EF4-FFF2-40B4-BE49-F238E27FC236}">
              <a16:creationId xmlns:a16="http://schemas.microsoft.com/office/drawing/2014/main" id="{6A5C5130-3144-41E3-B9C0-35E454B79E25}"/>
            </a:ext>
          </a:extLst>
        </xdr:cNvPr>
        <xdr:cNvGrpSpPr/>
      </xdr:nvGrpSpPr>
      <xdr:grpSpPr>
        <a:xfrm>
          <a:off x="11577912" y="4615222"/>
          <a:ext cx="455220" cy="557175"/>
          <a:chOff x="12384973" y="5037117"/>
          <a:chExt cx="455220" cy="548640"/>
        </a:xfrm>
      </xdr:grpSpPr>
      <xdr:sp macro="" textlink="Pivottables!E35">
        <xdr:nvSpPr>
          <xdr:cNvPr id="184" name="TextBox 183">
            <a:extLst>
              <a:ext uri="{FF2B5EF4-FFF2-40B4-BE49-F238E27FC236}">
                <a16:creationId xmlns:a16="http://schemas.microsoft.com/office/drawing/2014/main" id="{CD259483-31EB-4A06-8F49-6FEE2E4E05FB}"/>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85" name="TextBox 184">
            <a:extLst>
              <a:ext uri="{FF2B5EF4-FFF2-40B4-BE49-F238E27FC236}">
                <a16:creationId xmlns:a16="http://schemas.microsoft.com/office/drawing/2014/main" id="{948F181B-55B3-479A-B07A-07DC58763C7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19</xdr:col>
      <xdr:colOff>175126</xdr:colOff>
      <xdr:row>26</xdr:row>
      <xdr:rowOff>77239</xdr:rowOff>
    </xdr:from>
    <xdr:to>
      <xdr:col>20</xdr:col>
      <xdr:colOff>20746</xdr:colOff>
      <xdr:row>29</xdr:row>
      <xdr:rowOff>91489</xdr:rowOff>
    </xdr:to>
    <xdr:grpSp>
      <xdr:nvGrpSpPr>
        <xdr:cNvPr id="186" name="Group 185">
          <a:extLst>
            <a:ext uri="{FF2B5EF4-FFF2-40B4-BE49-F238E27FC236}">
              <a16:creationId xmlns:a16="http://schemas.microsoft.com/office/drawing/2014/main" id="{F6844D0E-9E93-436E-B952-CBDE9CCD4217}"/>
            </a:ext>
          </a:extLst>
        </xdr:cNvPr>
        <xdr:cNvGrpSpPr/>
      </xdr:nvGrpSpPr>
      <xdr:grpSpPr>
        <a:xfrm>
          <a:off x="11757526" y="4782589"/>
          <a:ext cx="455220" cy="557175"/>
          <a:chOff x="12384973" y="5037117"/>
          <a:chExt cx="455220" cy="548640"/>
        </a:xfrm>
      </xdr:grpSpPr>
      <xdr:sp macro="" textlink="Pivottables!E35">
        <xdr:nvSpPr>
          <xdr:cNvPr id="187" name="TextBox 186">
            <a:extLst>
              <a:ext uri="{FF2B5EF4-FFF2-40B4-BE49-F238E27FC236}">
                <a16:creationId xmlns:a16="http://schemas.microsoft.com/office/drawing/2014/main" id="{9F835ED4-7E2A-45F4-8503-CE3ED54AD35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88" name="TextBox 187">
            <a:extLst>
              <a:ext uri="{FF2B5EF4-FFF2-40B4-BE49-F238E27FC236}">
                <a16:creationId xmlns:a16="http://schemas.microsoft.com/office/drawing/2014/main" id="{FCF2380A-ABF8-48EA-83F5-15EBF350300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428219</xdr:colOff>
      <xdr:row>27</xdr:row>
      <xdr:rowOff>58190</xdr:rowOff>
    </xdr:from>
    <xdr:to>
      <xdr:col>19</xdr:col>
      <xdr:colOff>273839</xdr:colOff>
      <xdr:row>30</xdr:row>
      <xdr:rowOff>72440</xdr:rowOff>
    </xdr:to>
    <xdr:grpSp>
      <xdr:nvGrpSpPr>
        <xdr:cNvPr id="189" name="Group 188">
          <a:extLst>
            <a:ext uri="{FF2B5EF4-FFF2-40B4-BE49-F238E27FC236}">
              <a16:creationId xmlns:a16="http://schemas.microsoft.com/office/drawing/2014/main" id="{F2C97227-570A-4752-ADCE-06FC5451EAF1}"/>
            </a:ext>
          </a:extLst>
        </xdr:cNvPr>
        <xdr:cNvGrpSpPr/>
      </xdr:nvGrpSpPr>
      <xdr:grpSpPr>
        <a:xfrm>
          <a:off x="11401019" y="4944515"/>
          <a:ext cx="455220" cy="557175"/>
          <a:chOff x="12384973" y="5037117"/>
          <a:chExt cx="455220" cy="548640"/>
        </a:xfrm>
      </xdr:grpSpPr>
      <xdr:sp macro="" textlink="Pivottables!E35">
        <xdr:nvSpPr>
          <xdr:cNvPr id="190" name="TextBox 189">
            <a:extLst>
              <a:ext uri="{FF2B5EF4-FFF2-40B4-BE49-F238E27FC236}">
                <a16:creationId xmlns:a16="http://schemas.microsoft.com/office/drawing/2014/main" id="{533091E2-AED3-43D6-B8F2-D515B3123BD4}"/>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91" name="TextBox 190">
            <a:extLst>
              <a:ext uri="{FF2B5EF4-FFF2-40B4-BE49-F238E27FC236}">
                <a16:creationId xmlns:a16="http://schemas.microsoft.com/office/drawing/2014/main" id="{78576B4D-1D50-4ED1-A7DC-DBD376B52B64}"/>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602391</xdr:colOff>
      <xdr:row>27</xdr:row>
      <xdr:rowOff>63633</xdr:rowOff>
    </xdr:from>
    <xdr:to>
      <xdr:col>19</xdr:col>
      <xdr:colOff>448011</xdr:colOff>
      <xdr:row>30</xdr:row>
      <xdr:rowOff>77883</xdr:rowOff>
    </xdr:to>
    <xdr:grpSp>
      <xdr:nvGrpSpPr>
        <xdr:cNvPr id="192" name="Group 191">
          <a:extLst>
            <a:ext uri="{FF2B5EF4-FFF2-40B4-BE49-F238E27FC236}">
              <a16:creationId xmlns:a16="http://schemas.microsoft.com/office/drawing/2014/main" id="{BA5374CA-034D-44A7-AF38-FBED38D5CE52}"/>
            </a:ext>
          </a:extLst>
        </xdr:cNvPr>
        <xdr:cNvGrpSpPr/>
      </xdr:nvGrpSpPr>
      <xdr:grpSpPr>
        <a:xfrm>
          <a:off x="11575191" y="4949958"/>
          <a:ext cx="455220" cy="557175"/>
          <a:chOff x="12384973" y="5037117"/>
          <a:chExt cx="455220" cy="548640"/>
        </a:xfrm>
      </xdr:grpSpPr>
      <xdr:sp macro="" textlink="Pivottables!E35">
        <xdr:nvSpPr>
          <xdr:cNvPr id="193" name="TextBox 192">
            <a:extLst>
              <a:ext uri="{FF2B5EF4-FFF2-40B4-BE49-F238E27FC236}">
                <a16:creationId xmlns:a16="http://schemas.microsoft.com/office/drawing/2014/main" id="{D9922087-058D-41FD-845A-15B5D4D2910C}"/>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94" name="TextBox 193">
            <a:extLst>
              <a:ext uri="{FF2B5EF4-FFF2-40B4-BE49-F238E27FC236}">
                <a16:creationId xmlns:a16="http://schemas.microsoft.com/office/drawing/2014/main" id="{DDF1C16F-7BFA-4035-B0F1-CDE1EF366035}"/>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335691</xdr:colOff>
      <xdr:row>26</xdr:row>
      <xdr:rowOff>161604</xdr:rowOff>
    </xdr:from>
    <xdr:to>
      <xdr:col>19</xdr:col>
      <xdr:colOff>181311</xdr:colOff>
      <xdr:row>29</xdr:row>
      <xdr:rowOff>175854</xdr:rowOff>
    </xdr:to>
    <xdr:grpSp>
      <xdr:nvGrpSpPr>
        <xdr:cNvPr id="198" name="Group 197">
          <a:extLst>
            <a:ext uri="{FF2B5EF4-FFF2-40B4-BE49-F238E27FC236}">
              <a16:creationId xmlns:a16="http://schemas.microsoft.com/office/drawing/2014/main" id="{3CAA442D-0729-4A52-812D-EB104A9EA969}"/>
            </a:ext>
          </a:extLst>
        </xdr:cNvPr>
        <xdr:cNvGrpSpPr/>
      </xdr:nvGrpSpPr>
      <xdr:grpSpPr>
        <a:xfrm>
          <a:off x="11308491" y="4866954"/>
          <a:ext cx="455220" cy="557175"/>
          <a:chOff x="12384973" y="5037117"/>
          <a:chExt cx="455220" cy="548640"/>
        </a:xfrm>
      </xdr:grpSpPr>
      <xdr:sp macro="" textlink="Pivottables!E35">
        <xdr:nvSpPr>
          <xdr:cNvPr id="199" name="TextBox 198">
            <a:extLst>
              <a:ext uri="{FF2B5EF4-FFF2-40B4-BE49-F238E27FC236}">
                <a16:creationId xmlns:a16="http://schemas.microsoft.com/office/drawing/2014/main" id="{57112E8E-972F-4923-AE10-F7715E54D048}"/>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200" name="TextBox 199">
            <a:extLst>
              <a:ext uri="{FF2B5EF4-FFF2-40B4-BE49-F238E27FC236}">
                <a16:creationId xmlns:a16="http://schemas.microsoft.com/office/drawing/2014/main" id="{AACC2E60-5902-4964-B769-70FA578DF439}"/>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606895</xdr:colOff>
      <xdr:row>26</xdr:row>
      <xdr:rowOff>71532</xdr:rowOff>
    </xdr:from>
    <xdr:to>
      <xdr:col>19</xdr:col>
      <xdr:colOff>448557</xdr:colOff>
      <xdr:row>29</xdr:row>
      <xdr:rowOff>85782</xdr:rowOff>
    </xdr:to>
    <xdr:grpSp>
      <xdr:nvGrpSpPr>
        <xdr:cNvPr id="201" name="Group 200">
          <a:extLst>
            <a:ext uri="{FF2B5EF4-FFF2-40B4-BE49-F238E27FC236}">
              <a16:creationId xmlns:a16="http://schemas.microsoft.com/office/drawing/2014/main" id="{FBA26056-65F8-410E-A66B-C7397A79C274}"/>
            </a:ext>
          </a:extLst>
        </xdr:cNvPr>
        <xdr:cNvGrpSpPr/>
      </xdr:nvGrpSpPr>
      <xdr:grpSpPr>
        <a:xfrm>
          <a:off x="11579695" y="4776882"/>
          <a:ext cx="451262" cy="557175"/>
          <a:chOff x="11227130" y="5047013"/>
          <a:chExt cx="455220" cy="548640"/>
        </a:xfrm>
      </xdr:grpSpPr>
      <xdr:sp macro="" textlink="Pivottables!D35">
        <xdr:nvSpPr>
          <xdr:cNvPr id="202" name="TextBox 201">
            <a:extLst>
              <a:ext uri="{FF2B5EF4-FFF2-40B4-BE49-F238E27FC236}">
                <a16:creationId xmlns:a16="http://schemas.microsoft.com/office/drawing/2014/main" id="{48C20159-E04E-4BD1-84DB-D9EBBE77E07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03" name="TextBox 202">
            <a:extLst>
              <a:ext uri="{FF2B5EF4-FFF2-40B4-BE49-F238E27FC236}">
                <a16:creationId xmlns:a16="http://schemas.microsoft.com/office/drawing/2014/main" id="{34DA0B03-3F57-4738-8242-984ECEFDE1E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253109</xdr:colOff>
      <xdr:row>25</xdr:row>
      <xdr:rowOff>87861</xdr:rowOff>
    </xdr:from>
    <xdr:to>
      <xdr:col>19</xdr:col>
      <xdr:colOff>94771</xdr:colOff>
      <xdr:row>28</xdr:row>
      <xdr:rowOff>102111</xdr:rowOff>
    </xdr:to>
    <xdr:grpSp>
      <xdr:nvGrpSpPr>
        <xdr:cNvPr id="204" name="Group 203">
          <a:extLst>
            <a:ext uri="{FF2B5EF4-FFF2-40B4-BE49-F238E27FC236}">
              <a16:creationId xmlns:a16="http://schemas.microsoft.com/office/drawing/2014/main" id="{1CF235B6-CABA-4791-83F8-50F71BA58B5E}"/>
            </a:ext>
          </a:extLst>
        </xdr:cNvPr>
        <xdr:cNvGrpSpPr/>
      </xdr:nvGrpSpPr>
      <xdr:grpSpPr>
        <a:xfrm>
          <a:off x="11225909" y="4612236"/>
          <a:ext cx="451262" cy="557175"/>
          <a:chOff x="11227130" y="5047013"/>
          <a:chExt cx="455220" cy="548640"/>
        </a:xfrm>
      </xdr:grpSpPr>
      <xdr:sp macro="" textlink="Pivottables!D35">
        <xdr:nvSpPr>
          <xdr:cNvPr id="205" name="TextBox 204">
            <a:extLst>
              <a:ext uri="{FF2B5EF4-FFF2-40B4-BE49-F238E27FC236}">
                <a16:creationId xmlns:a16="http://schemas.microsoft.com/office/drawing/2014/main" id="{D7FDEAAE-9E96-4528-8F00-F5ECE42C3FB8}"/>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06" name="TextBox 205">
            <a:extLst>
              <a:ext uri="{FF2B5EF4-FFF2-40B4-BE49-F238E27FC236}">
                <a16:creationId xmlns:a16="http://schemas.microsoft.com/office/drawing/2014/main" id="{496BFB8C-D1CA-455C-B32C-97B6A605C24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337473</xdr:colOff>
      <xdr:row>27</xdr:row>
      <xdr:rowOff>150454</xdr:rowOff>
    </xdr:from>
    <xdr:to>
      <xdr:col>19</xdr:col>
      <xdr:colOff>179135</xdr:colOff>
      <xdr:row>30</xdr:row>
      <xdr:rowOff>164704</xdr:rowOff>
    </xdr:to>
    <xdr:grpSp>
      <xdr:nvGrpSpPr>
        <xdr:cNvPr id="207" name="Group 206">
          <a:extLst>
            <a:ext uri="{FF2B5EF4-FFF2-40B4-BE49-F238E27FC236}">
              <a16:creationId xmlns:a16="http://schemas.microsoft.com/office/drawing/2014/main" id="{F16A864B-5B01-46E5-8609-F17AE52F516D}"/>
            </a:ext>
          </a:extLst>
        </xdr:cNvPr>
        <xdr:cNvGrpSpPr/>
      </xdr:nvGrpSpPr>
      <xdr:grpSpPr>
        <a:xfrm>
          <a:off x="11310273" y="5036779"/>
          <a:ext cx="451262" cy="557175"/>
          <a:chOff x="11227130" y="5047013"/>
          <a:chExt cx="455220" cy="548640"/>
        </a:xfrm>
      </xdr:grpSpPr>
      <xdr:sp macro="" textlink="Pivottables!D35">
        <xdr:nvSpPr>
          <xdr:cNvPr id="208" name="TextBox 207">
            <a:extLst>
              <a:ext uri="{FF2B5EF4-FFF2-40B4-BE49-F238E27FC236}">
                <a16:creationId xmlns:a16="http://schemas.microsoft.com/office/drawing/2014/main" id="{815F2273-1AA5-4C0A-925A-62C947C5EF90}"/>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09" name="TextBox 208">
            <a:extLst>
              <a:ext uri="{FF2B5EF4-FFF2-40B4-BE49-F238E27FC236}">
                <a16:creationId xmlns:a16="http://schemas.microsoft.com/office/drawing/2014/main" id="{7DB6B9A7-8C34-4260-A738-142594F8457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19</xdr:col>
      <xdr:colOff>89823</xdr:colOff>
      <xdr:row>27</xdr:row>
      <xdr:rowOff>63368</xdr:rowOff>
    </xdr:from>
    <xdr:to>
      <xdr:col>19</xdr:col>
      <xdr:colOff>541085</xdr:colOff>
      <xdr:row>30</xdr:row>
      <xdr:rowOff>77618</xdr:rowOff>
    </xdr:to>
    <xdr:grpSp>
      <xdr:nvGrpSpPr>
        <xdr:cNvPr id="210" name="Group 209">
          <a:extLst>
            <a:ext uri="{FF2B5EF4-FFF2-40B4-BE49-F238E27FC236}">
              <a16:creationId xmlns:a16="http://schemas.microsoft.com/office/drawing/2014/main" id="{06326BCC-5786-4B8B-A737-3110560E3504}"/>
            </a:ext>
          </a:extLst>
        </xdr:cNvPr>
        <xdr:cNvGrpSpPr/>
      </xdr:nvGrpSpPr>
      <xdr:grpSpPr>
        <a:xfrm>
          <a:off x="11672223" y="4949693"/>
          <a:ext cx="451262" cy="557175"/>
          <a:chOff x="11227130" y="5047013"/>
          <a:chExt cx="455220" cy="548640"/>
        </a:xfrm>
      </xdr:grpSpPr>
      <xdr:sp macro="" textlink="Pivottables!D35">
        <xdr:nvSpPr>
          <xdr:cNvPr id="211" name="TextBox 210">
            <a:extLst>
              <a:ext uri="{FF2B5EF4-FFF2-40B4-BE49-F238E27FC236}">
                <a16:creationId xmlns:a16="http://schemas.microsoft.com/office/drawing/2014/main" id="{6FD6086D-0574-4BFF-8C6C-F87E8536F5E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12" name="TextBox 211">
            <a:extLst>
              <a:ext uri="{FF2B5EF4-FFF2-40B4-BE49-F238E27FC236}">
                <a16:creationId xmlns:a16="http://schemas.microsoft.com/office/drawing/2014/main" id="{6DDC19FF-C7E9-4D37-9B01-AF7E4AF0721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519809</xdr:colOff>
      <xdr:row>26</xdr:row>
      <xdr:rowOff>161338</xdr:rowOff>
    </xdr:from>
    <xdr:to>
      <xdr:col>19</xdr:col>
      <xdr:colOff>361471</xdr:colOff>
      <xdr:row>29</xdr:row>
      <xdr:rowOff>175588</xdr:rowOff>
    </xdr:to>
    <xdr:grpSp>
      <xdr:nvGrpSpPr>
        <xdr:cNvPr id="213" name="Group 212">
          <a:extLst>
            <a:ext uri="{FF2B5EF4-FFF2-40B4-BE49-F238E27FC236}">
              <a16:creationId xmlns:a16="http://schemas.microsoft.com/office/drawing/2014/main" id="{6F9F94AA-A818-45C9-AE10-5AE28CF253D5}"/>
            </a:ext>
          </a:extLst>
        </xdr:cNvPr>
        <xdr:cNvGrpSpPr/>
      </xdr:nvGrpSpPr>
      <xdr:grpSpPr>
        <a:xfrm>
          <a:off x="11492609" y="4866688"/>
          <a:ext cx="451262" cy="557175"/>
          <a:chOff x="11227130" y="5047013"/>
          <a:chExt cx="455220" cy="548640"/>
        </a:xfrm>
      </xdr:grpSpPr>
      <xdr:sp macro="" textlink="Pivottables!D35">
        <xdr:nvSpPr>
          <xdr:cNvPr id="214" name="TextBox 213">
            <a:extLst>
              <a:ext uri="{FF2B5EF4-FFF2-40B4-BE49-F238E27FC236}">
                <a16:creationId xmlns:a16="http://schemas.microsoft.com/office/drawing/2014/main" id="{A19F0CC7-DE05-4392-9528-082C3514F10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15" name="TextBox 214">
            <a:extLst>
              <a:ext uri="{FF2B5EF4-FFF2-40B4-BE49-F238E27FC236}">
                <a16:creationId xmlns:a16="http://schemas.microsoft.com/office/drawing/2014/main" id="{40518B74-767E-4766-BB00-4D4991855509}"/>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340195</xdr:colOff>
      <xdr:row>26</xdr:row>
      <xdr:rowOff>76973</xdr:rowOff>
    </xdr:from>
    <xdr:to>
      <xdr:col>19</xdr:col>
      <xdr:colOff>181857</xdr:colOff>
      <xdr:row>29</xdr:row>
      <xdr:rowOff>91223</xdr:rowOff>
    </xdr:to>
    <xdr:grpSp>
      <xdr:nvGrpSpPr>
        <xdr:cNvPr id="216" name="Group 215">
          <a:extLst>
            <a:ext uri="{FF2B5EF4-FFF2-40B4-BE49-F238E27FC236}">
              <a16:creationId xmlns:a16="http://schemas.microsoft.com/office/drawing/2014/main" id="{F725810D-8B06-484B-8E04-FF3B6CE48E68}"/>
            </a:ext>
          </a:extLst>
        </xdr:cNvPr>
        <xdr:cNvGrpSpPr/>
      </xdr:nvGrpSpPr>
      <xdr:grpSpPr>
        <a:xfrm>
          <a:off x="11312995" y="4782323"/>
          <a:ext cx="451262" cy="557175"/>
          <a:chOff x="11227130" y="5047013"/>
          <a:chExt cx="455220" cy="548640"/>
        </a:xfrm>
      </xdr:grpSpPr>
      <xdr:sp macro="" textlink="Pivottables!D35">
        <xdr:nvSpPr>
          <xdr:cNvPr id="217" name="TextBox 216">
            <a:extLst>
              <a:ext uri="{FF2B5EF4-FFF2-40B4-BE49-F238E27FC236}">
                <a16:creationId xmlns:a16="http://schemas.microsoft.com/office/drawing/2014/main" id="{341DCDFB-3FF9-4494-B88C-A6F5BDD5902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18" name="TextBox 217">
            <a:extLst>
              <a:ext uri="{FF2B5EF4-FFF2-40B4-BE49-F238E27FC236}">
                <a16:creationId xmlns:a16="http://schemas.microsoft.com/office/drawing/2014/main" id="{AD6A68F3-2BA5-44A2-98E7-38570F4910E2}"/>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160581</xdr:colOff>
      <xdr:row>25</xdr:row>
      <xdr:rowOff>174944</xdr:rowOff>
    </xdr:from>
    <xdr:to>
      <xdr:col>19</xdr:col>
      <xdr:colOff>2243</xdr:colOff>
      <xdr:row>29</xdr:row>
      <xdr:rowOff>6858</xdr:rowOff>
    </xdr:to>
    <xdr:grpSp>
      <xdr:nvGrpSpPr>
        <xdr:cNvPr id="219" name="Group 218">
          <a:extLst>
            <a:ext uri="{FF2B5EF4-FFF2-40B4-BE49-F238E27FC236}">
              <a16:creationId xmlns:a16="http://schemas.microsoft.com/office/drawing/2014/main" id="{FE9E9E20-E31C-4E8B-8B1C-BFF71D2BC14B}"/>
            </a:ext>
          </a:extLst>
        </xdr:cNvPr>
        <xdr:cNvGrpSpPr/>
      </xdr:nvGrpSpPr>
      <xdr:grpSpPr>
        <a:xfrm>
          <a:off x="11133381" y="4699319"/>
          <a:ext cx="451262" cy="555814"/>
          <a:chOff x="11227130" y="5047013"/>
          <a:chExt cx="455220" cy="548640"/>
        </a:xfrm>
      </xdr:grpSpPr>
      <xdr:sp macro="" textlink="Pivottables!D35">
        <xdr:nvSpPr>
          <xdr:cNvPr id="220" name="TextBox 219">
            <a:extLst>
              <a:ext uri="{FF2B5EF4-FFF2-40B4-BE49-F238E27FC236}">
                <a16:creationId xmlns:a16="http://schemas.microsoft.com/office/drawing/2014/main" id="{643BFA80-6463-479F-8193-74A146B2645A}"/>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21" name="TextBox 220">
            <a:extLst>
              <a:ext uri="{FF2B5EF4-FFF2-40B4-BE49-F238E27FC236}">
                <a16:creationId xmlns:a16="http://schemas.microsoft.com/office/drawing/2014/main" id="{E9E075CD-48AB-4AF2-99BC-B76419083249}"/>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157860</xdr:colOff>
      <xdr:row>27</xdr:row>
      <xdr:rowOff>60644</xdr:rowOff>
    </xdr:from>
    <xdr:to>
      <xdr:col>18</xdr:col>
      <xdr:colOff>609122</xdr:colOff>
      <xdr:row>30</xdr:row>
      <xdr:rowOff>74894</xdr:rowOff>
    </xdr:to>
    <xdr:grpSp>
      <xdr:nvGrpSpPr>
        <xdr:cNvPr id="222" name="Group 221">
          <a:extLst>
            <a:ext uri="{FF2B5EF4-FFF2-40B4-BE49-F238E27FC236}">
              <a16:creationId xmlns:a16="http://schemas.microsoft.com/office/drawing/2014/main" id="{13D83C98-3768-42D9-9B5C-A0319FAB81A6}"/>
            </a:ext>
          </a:extLst>
        </xdr:cNvPr>
        <xdr:cNvGrpSpPr/>
      </xdr:nvGrpSpPr>
      <xdr:grpSpPr>
        <a:xfrm>
          <a:off x="11130660" y="4946969"/>
          <a:ext cx="451262" cy="557175"/>
          <a:chOff x="11227130" y="5047013"/>
          <a:chExt cx="455220" cy="548640"/>
        </a:xfrm>
      </xdr:grpSpPr>
      <xdr:sp macro="" textlink="Pivottables!D35">
        <xdr:nvSpPr>
          <xdr:cNvPr id="223" name="TextBox 222">
            <a:extLst>
              <a:ext uri="{FF2B5EF4-FFF2-40B4-BE49-F238E27FC236}">
                <a16:creationId xmlns:a16="http://schemas.microsoft.com/office/drawing/2014/main" id="{DE0FCF69-18A8-4AFF-97DE-019001D0E618}"/>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24" name="TextBox 223">
            <a:extLst>
              <a:ext uri="{FF2B5EF4-FFF2-40B4-BE49-F238E27FC236}">
                <a16:creationId xmlns:a16="http://schemas.microsoft.com/office/drawing/2014/main" id="{F13B252A-A393-4737-AB2C-1C0706E0F13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156077</xdr:colOff>
      <xdr:row>26</xdr:row>
      <xdr:rowOff>161603</xdr:rowOff>
    </xdr:from>
    <xdr:to>
      <xdr:col>19</xdr:col>
      <xdr:colOff>1697</xdr:colOff>
      <xdr:row>29</xdr:row>
      <xdr:rowOff>175853</xdr:rowOff>
    </xdr:to>
    <xdr:grpSp>
      <xdr:nvGrpSpPr>
        <xdr:cNvPr id="225" name="Group 224">
          <a:extLst>
            <a:ext uri="{FF2B5EF4-FFF2-40B4-BE49-F238E27FC236}">
              <a16:creationId xmlns:a16="http://schemas.microsoft.com/office/drawing/2014/main" id="{3A3A8297-0799-4665-A8C9-7825C92C436F}"/>
            </a:ext>
          </a:extLst>
        </xdr:cNvPr>
        <xdr:cNvGrpSpPr/>
      </xdr:nvGrpSpPr>
      <xdr:grpSpPr>
        <a:xfrm>
          <a:off x="11128877" y="4866953"/>
          <a:ext cx="455220" cy="557175"/>
          <a:chOff x="12384973" y="5037117"/>
          <a:chExt cx="455220" cy="548640"/>
        </a:xfrm>
      </xdr:grpSpPr>
      <xdr:sp macro="" textlink="Pivottables!E35">
        <xdr:nvSpPr>
          <xdr:cNvPr id="226" name="TextBox 225">
            <a:extLst>
              <a:ext uri="{FF2B5EF4-FFF2-40B4-BE49-F238E27FC236}">
                <a16:creationId xmlns:a16="http://schemas.microsoft.com/office/drawing/2014/main" id="{397EE700-F864-4B29-9B58-84B66D432553}"/>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227" name="TextBox 226">
            <a:extLst>
              <a:ext uri="{FF2B5EF4-FFF2-40B4-BE49-F238E27FC236}">
                <a16:creationId xmlns:a16="http://schemas.microsoft.com/office/drawing/2014/main" id="{7A5111CA-2BC9-4B61-8F59-12D5CDC1A2EC}"/>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248607</xdr:colOff>
      <xdr:row>26</xdr:row>
      <xdr:rowOff>71795</xdr:rowOff>
    </xdr:from>
    <xdr:to>
      <xdr:col>19</xdr:col>
      <xdr:colOff>94227</xdr:colOff>
      <xdr:row>29</xdr:row>
      <xdr:rowOff>86045</xdr:rowOff>
    </xdr:to>
    <xdr:grpSp>
      <xdr:nvGrpSpPr>
        <xdr:cNvPr id="228" name="Group 227">
          <a:extLst>
            <a:ext uri="{FF2B5EF4-FFF2-40B4-BE49-F238E27FC236}">
              <a16:creationId xmlns:a16="http://schemas.microsoft.com/office/drawing/2014/main" id="{4072A476-BEE7-494F-A42B-84C552727200}"/>
            </a:ext>
          </a:extLst>
        </xdr:cNvPr>
        <xdr:cNvGrpSpPr/>
      </xdr:nvGrpSpPr>
      <xdr:grpSpPr>
        <a:xfrm>
          <a:off x="11221407" y="4777145"/>
          <a:ext cx="455220" cy="557175"/>
          <a:chOff x="12384973" y="5037117"/>
          <a:chExt cx="455220" cy="548640"/>
        </a:xfrm>
      </xdr:grpSpPr>
      <xdr:sp macro="" textlink="Pivottables!E35">
        <xdr:nvSpPr>
          <xdr:cNvPr id="229" name="TextBox 228">
            <a:extLst>
              <a:ext uri="{FF2B5EF4-FFF2-40B4-BE49-F238E27FC236}">
                <a16:creationId xmlns:a16="http://schemas.microsoft.com/office/drawing/2014/main" id="{C6E8AA02-8056-4A07-8073-EC905386FA2A}"/>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230" name="TextBox 229">
            <a:extLst>
              <a:ext uri="{FF2B5EF4-FFF2-40B4-BE49-F238E27FC236}">
                <a16:creationId xmlns:a16="http://schemas.microsoft.com/office/drawing/2014/main" id="{ACE40D08-3C6C-41C9-8193-C41172317EB3}"/>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0</xdr:col>
      <xdr:colOff>403860</xdr:colOff>
      <xdr:row>22</xdr:row>
      <xdr:rowOff>106680</xdr:rowOff>
    </xdr:from>
    <xdr:to>
      <xdr:col>5</xdr:col>
      <xdr:colOff>356260</xdr:colOff>
      <xdr:row>29</xdr:row>
      <xdr:rowOff>114300</xdr:rowOff>
    </xdr:to>
    <xdr:grpSp>
      <xdr:nvGrpSpPr>
        <xdr:cNvPr id="5" name="Group 4">
          <a:extLst>
            <a:ext uri="{FF2B5EF4-FFF2-40B4-BE49-F238E27FC236}">
              <a16:creationId xmlns:a16="http://schemas.microsoft.com/office/drawing/2014/main" id="{922396B6-95B7-47EE-AEBA-C30511820F84}"/>
            </a:ext>
          </a:extLst>
        </xdr:cNvPr>
        <xdr:cNvGrpSpPr/>
      </xdr:nvGrpSpPr>
      <xdr:grpSpPr>
        <a:xfrm>
          <a:off x="403860" y="4088130"/>
          <a:ext cx="3000400" cy="1274445"/>
          <a:chOff x="632460" y="4152900"/>
          <a:chExt cx="2419157" cy="1318260"/>
        </a:xfrm>
      </xdr:grpSpPr>
      <xdr:grpSp>
        <xdr:nvGrpSpPr>
          <xdr:cNvPr id="4" name="Group 3">
            <a:extLst>
              <a:ext uri="{FF2B5EF4-FFF2-40B4-BE49-F238E27FC236}">
                <a16:creationId xmlns:a16="http://schemas.microsoft.com/office/drawing/2014/main" id="{19615093-3389-4332-B2AF-474F9B09A30C}"/>
              </a:ext>
            </a:extLst>
          </xdr:cNvPr>
          <xdr:cNvGrpSpPr/>
        </xdr:nvGrpSpPr>
        <xdr:grpSpPr>
          <a:xfrm>
            <a:off x="632460" y="4152900"/>
            <a:ext cx="2419157" cy="220980"/>
            <a:chOff x="632460" y="4152900"/>
            <a:chExt cx="2419157" cy="220980"/>
          </a:xfrm>
        </xdr:grpSpPr>
        <xdr:sp macro="" textlink="Pivottables!C26">
          <xdr:nvSpPr>
            <xdr:cNvPr id="2" name="TextBox 1">
              <a:extLst>
                <a:ext uri="{FF2B5EF4-FFF2-40B4-BE49-F238E27FC236}">
                  <a16:creationId xmlns:a16="http://schemas.microsoft.com/office/drawing/2014/main" id="{0039A655-E1A2-4BA2-A9A3-50174B208718}"/>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C6302F4-79A3-429C-8939-B27602A49D76}" type="TxLink">
                <a:rPr lang="en-US" sz="1150" b="0" i="0" u="none" strike="noStrike">
                  <a:solidFill>
                    <a:schemeClr val="bg1"/>
                  </a:solidFill>
                  <a:latin typeface="Roboto condensed" panose="02000000000000000000" pitchFamily="2" charset="0"/>
                  <a:ea typeface="Roboto condensed" panose="02000000000000000000" pitchFamily="2" charset="0"/>
                  <a:cs typeface="Calibri"/>
                </a:rPr>
                <a:pPr/>
                <a:t>Egypt</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6">
          <xdr:nvSpPr>
            <xdr:cNvPr id="23" name="TextBox 22">
              <a:extLst>
                <a:ext uri="{FF2B5EF4-FFF2-40B4-BE49-F238E27FC236}">
                  <a16:creationId xmlns:a16="http://schemas.microsoft.com/office/drawing/2014/main" id="{88CD8EC9-3FD7-41D1-BFFE-BC9BA5D5B555}"/>
                </a:ext>
              </a:extLst>
            </xdr:cNvPr>
            <xdr:cNvSpPr txBox="1"/>
          </xdr:nvSpPr>
          <xdr:spPr>
            <a:xfrm>
              <a:off x="1365595"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4BED99-9FC0-4EAF-B295-F0D0D4BC2810}" type="TxLink">
                <a:rPr lang="en-US" sz="115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 14,67,760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6">
          <xdr:nvSpPr>
            <xdr:cNvPr id="24" name="TextBox 23">
              <a:extLst>
                <a:ext uri="{FF2B5EF4-FFF2-40B4-BE49-F238E27FC236}">
                  <a16:creationId xmlns:a16="http://schemas.microsoft.com/office/drawing/2014/main" id="{FB5905A3-05D6-4654-86CE-A14D2BDD19B1}"/>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CC4E04-9E71-4AB9-A5BA-568CFA576D03}" type="TxLink">
                <a:rPr lang="en-US" sz="115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27.69%</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25" name="Group 24">
            <a:extLst>
              <a:ext uri="{FF2B5EF4-FFF2-40B4-BE49-F238E27FC236}">
                <a16:creationId xmlns:a16="http://schemas.microsoft.com/office/drawing/2014/main" id="{61B16643-4E02-4B10-81DD-8F313E4A1984}"/>
              </a:ext>
            </a:extLst>
          </xdr:cNvPr>
          <xdr:cNvGrpSpPr/>
        </xdr:nvGrpSpPr>
        <xdr:grpSpPr>
          <a:xfrm>
            <a:off x="632460" y="4372356"/>
            <a:ext cx="2419157" cy="220980"/>
            <a:chOff x="632460" y="4152900"/>
            <a:chExt cx="2419157" cy="220980"/>
          </a:xfrm>
        </xdr:grpSpPr>
        <xdr:sp macro="" textlink="Pivottables!C27">
          <xdr:nvSpPr>
            <xdr:cNvPr id="26" name="TextBox 25">
              <a:extLst>
                <a:ext uri="{FF2B5EF4-FFF2-40B4-BE49-F238E27FC236}">
                  <a16:creationId xmlns:a16="http://schemas.microsoft.com/office/drawing/2014/main" id="{8A55139A-29EF-48EC-9405-6356905D6BCB}"/>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5D61057-2471-48D7-B852-7706BBD8CC58}" type="TxLink">
                <a:rPr lang="en-US" sz="1150" b="0" i="0" u="none" strike="noStrike">
                  <a:solidFill>
                    <a:srgbClr val="FFFFFF"/>
                  </a:solidFill>
                  <a:latin typeface="Roboto Condensed"/>
                  <a:ea typeface="Roboto Condensed"/>
                  <a:cs typeface="Calibri"/>
                </a:rPr>
                <a:pPr/>
                <a:t>USA</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7">
          <xdr:nvSpPr>
            <xdr:cNvPr id="27" name="TextBox 26">
              <a:extLst>
                <a:ext uri="{FF2B5EF4-FFF2-40B4-BE49-F238E27FC236}">
                  <a16:creationId xmlns:a16="http://schemas.microsoft.com/office/drawing/2014/main" id="{2BAC3A6E-6C5C-4532-B92E-A5AE151A1696}"/>
                </a:ext>
              </a:extLst>
            </xdr:cNvPr>
            <xdr:cNvSpPr txBox="1"/>
          </xdr:nvSpPr>
          <xdr:spPr>
            <a:xfrm>
              <a:off x="1365594"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EECF6A-CBFF-46AF-9701-9446E56B2D2E}" type="TxLink">
                <a:rPr lang="en-US" sz="1150" b="0" i="0" u="none" strike="noStrike">
                  <a:solidFill>
                    <a:srgbClr val="FFFFFF"/>
                  </a:solidFill>
                  <a:latin typeface="Roboto Condensed"/>
                  <a:ea typeface="Roboto Condensed"/>
                  <a:cs typeface="Calibri"/>
                </a:rPr>
                <a:pPr marL="0" indent="0" algn="ctr"/>
                <a:t> 10,61,368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7">
          <xdr:nvSpPr>
            <xdr:cNvPr id="28" name="TextBox 27">
              <a:extLst>
                <a:ext uri="{FF2B5EF4-FFF2-40B4-BE49-F238E27FC236}">
                  <a16:creationId xmlns:a16="http://schemas.microsoft.com/office/drawing/2014/main" id="{651A7364-7D74-4819-84C1-E2C7C2FA828B}"/>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4ABD9B9-4429-4C10-9057-FE0424BF256B}" type="TxLink">
                <a:rPr lang="en-US" sz="1150" b="0" i="0" u="none" strike="noStrike">
                  <a:solidFill>
                    <a:srgbClr val="FFFFFF"/>
                  </a:solidFill>
                  <a:latin typeface="Roboto Condensed"/>
                  <a:ea typeface="Roboto Condensed"/>
                  <a:cs typeface="Calibri"/>
                </a:rPr>
                <a:pPr marL="0" indent="0" algn="ctr"/>
                <a:t>20.02%</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29" name="Group 28">
            <a:extLst>
              <a:ext uri="{FF2B5EF4-FFF2-40B4-BE49-F238E27FC236}">
                <a16:creationId xmlns:a16="http://schemas.microsoft.com/office/drawing/2014/main" id="{B43725F2-40E6-443D-87DA-2108DDBB1361}"/>
              </a:ext>
            </a:extLst>
          </xdr:cNvPr>
          <xdr:cNvGrpSpPr/>
        </xdr:nvGrpSpPr>
        <xdr:grpSpPr>
          <a:xfrm>
            <a:off x="632460" y="4591812"/>
            <a:ext cx="2419157" cy="220980"/>
            <a:chOff x="632460" y="4152900"/>
            <a:chExt cx="2419157" cy="220980"/>
          </a:xfrm>
        </xdr:grpSpPr>
        <xdr:sp macro="" textlink="Pivottables!C28">
          <xdr:nvSpPr>
            <xdr:cNvPr id="30" name="TextBox 29">
              <a:extLst>
                <a:ext uri="{FF2B5EF4-FFF2-40B4-BE49-F238E27FC236}">
                  <a16:creationId xmlns:a16="http://schemas.microsoft.com/office/drawing/2014/main" id="{6587AA1B-83F2-46A5-9026-3EF683632E10}"/>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69E4DAA-4E3F-4E3A-A897-540807EA25CE}" type="TxLink">
                <a:rPr lang="en-US" sz="1150" b="0" i="0" u="none" strike="noStrike">
                  <a:solidFill>
                    <a:srgbClr val="FFFFFF"/>
                  </a:solidFill>
                  <a:latin typeface="Roboto Condensed"/>
                  <a:ea typeface="Roboto Condensed"/>
                  <a:cs typeface="Calibri"/>
                </a:rPr>
                <a:pPr/>
                <a:t>Russia</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8">
          <xdr:nvSpPr>
            <xdr:cNvPr id="31" name="TextBox 30">
              <a:extLst>
                <a:ext uri="{FF2B5EF4-FFF2-40B4-BE49-F238E27FC236}">
                  <a16:creationId xmlns:a16="http://schemas.microsoft.com/office/drawing/2014/main" id="{02F47287-C772-4BC0-825B-29FF08365853}"/>
                </a:ext>
              </a:extLst>
            </xdr:cNvPr>
            <xdr:cNvSpPr txBox="1"/>
          </xdr:nvSpPr>
          <xdr:spPr>
            <a:xfrm>
              <a:off x="1365595"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AAE51E7-130C-4F91-9C32-CA82AFB3E403}" type="TxLink">
                <a:rPr lang="en-US" sz="1150" b="0" i="0" u="none" strike="noStrike">
                  <a:solidFill>
                    <a:srgbClr val="FFFFFF"/>
                  </a:solidFill>
                  <a:latin typeface="Roboto Condensed"/>
                  <a:ea typeface="Roboto Condensed"/>
                  <a:cs typeface="Calibri"/>
                </a:rPr>
                <a:pPr marL="0" indent="0" algn="ctr"/>
                <a:t> 9,39,036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8">
          <xdr:nvSpPr>
            <xdr:cNvPr id="32" name="TextBox 31">
              <a:extLst>
                <a:ext uri="{FF2B5EF4-FFF2-40B4-BE49-F238E27FC236}">
                  <a16:creationId xmlns:a16="http://schemas.microsoft.com/office/drawing/2014/main" id="{0B975578-20C8-48F4-A379-71B9F4D36A3A}"/>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572BA18-7C1F-4F73-AA6A-462D23F172BE}" type="TxLink">
                <a:rPr lang="en-US" sz="1150" b="0" i="0" u="none" strike="noStrike">
                  <a:solidFill>
                    <a:srgbClr val="FFFFFF"/>
                  </a:solidFill>
                  <a:latin typeface="Roboto Condensed"/>
                  <a:ea typeface="Roboto Condensed"/>
                  <a:cs typeface="Calibri"/>
                </a:rPr>
                <a:pPr marL="0" indent="0" algn="ctr"/>
                <a:t>17.71%</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33" name="Group 32">
            <a:extLst>
              <a:ext uri="{FF2B5EF4-FFF2-40B4-BE49-F238E27FC236}">
                <a16:creationId xmlns:a16="http://schemas.microsoft.com/office/drawing/2014/main" id="{9F3A1C56-C300-4A6F-B345-510EB249C18E}"/>
              </a:ext>
            </a:extLst>
          </xdr:cNvPr>
          <xdr:cNvGrpSpPr/>
        </xdr:nvGrpSpPr>
        <xdr:grpSpPr>
          <a:xfrm>
            <a:off x="632460" y="4811268"/>
            <a:ext cx="2419157" cy="220980"/>
            <a:chOff x="632460" y="4152900"/>
            <a:chExt cx="2419157" cy="220980"/>
          </a:xfrm>
        </xdr:grpSpPr>
        <xdr:sp macro="" textlink="Pivottables!C29">
          <xdr:nvSpPr>
            <xdr:cNvPr id="34" name="TextBox 33">
              <a:extLst>
                <a:ext uri="{FF2B5EF4-FFF2-40B4-BE49-F238E27FC236}">
                  <a16:creationId xmlns:a16="http://schemas.microsoft.com/office/drawing/2014/main" id="{94F77449-C136-481E-8C61-454E2059130B}"/>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D523A42-CEF3-4EB5-BC4F-3F0A871E720D}" type="TxLink">
                <a:rPr lang="en-US" sz="1150" b="0" i="0" u="none" strike="noStrike">
                  <a:solidFill>
                    <a:srgbClr val="FFFFFF"/>
                  </a:solidFill>
                  <a:latin typeface="Roboto Condensed"/>
                  <a:ea typeface="Roboto Condensed"/>
                  <a:cs typeface="Calibri"/>
                </a:rPr>
                <a:pPr/>
                <a:t>United Kingdom</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9">
          <xdr:nvSpPr>
            <xdr:cNvPr id="35" name="TextBox 34">
              <a:extLst>
                <a:ext uri="{FF2B5EF4-FFF2-40B4-BE49-F238E27FC236}">
                  <a16:creationId xmlns:a16="http://schemas.microsoft.com/office/drawing/2014/main" id="{C71CF70C-4582-435D-ABFB-D430E2B2B61B}"/>
                </a:ext>
              </a:extLst>
            </xdr:cNvPr>
            <xdr:cNvSpPr txBox="1"/>
          </xdr:nvSpPr>
          <xdr:spPr>
            <a:xfrm>
              <a:off x="1365594"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F5FCD05-D6FD-4DD8-B6E3-F6B5FE9782EF}" type="TxLink">
                <a:rPr lang="en-US" sz="1150" b="0" i="0" u="none" strike="noStrike">
                  <a:solidFill>
                    <a:srgbClr val="FFFFFF"/>
                  </a:solidFill>
                  <a:latin typeface="Roboto Condensed"/>
                  <a:ea typeface="Roboto Condensed"/>
                  <a:cs typeface="Calibri"/>
                </a:rPr>
                <a:pPr marL="0" indent="0" algn="ctr"/>
                <a:t> 7,92,892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9">
          <xdr:nvSpPr>
            <xdr:cNvPr id="36" name="TextBox 35">
              <a:extLst>
                <a:ext uri="{FF2B5EF4-FFF2-40B4-BE49-F238E27FC236}">
                  <a16:creationId xmlns:a16="http://schemas.microsoft.com/office/drawing/2014/main" id="{58EB8D15-DEF5-4B16-9C10-E65FC2A926F7}"/>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5EABEB8-6FD1-4F83-8F3D-6269E97A4D59}" type="TxLink">
                <a:rPr lang="en-US" sz="1150" b="0" i="0" u="none" strike="noStrike">
                  <a:solidFill>
                    <a:srgbClr val="FFFFFF"/>
                  </a:solidFill>
                  <a:latin typeface="Roboto Condensed"/>
                  <a:ea typeface="Roboto Condensed"/>
                  <a:cs typeface="Calibri"/>
                </a:rPr>
                <a:pPr marL="0" indent="0" algn="ctr"/>
                <a:t>14.96%</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37" name="Group 36">
            <a:extLst>
              <a:ext uri="{FF2B5EF4-FFF2-40B4-BE49-F238E27FC236}">
                <a16:creationId xmlns:a16="http://schemas.microsoft.com/office/drawing/2014/main" id="{DBC129CD-4CE9-4CB0-89F4-D97A2D5D7C7F}"/>
              </a:ext>
            </a:extLst>
          </xdr:cNvPr>
          <xdr:cNvGrpSpPr/>
        </xdr:nvGrpSpPr>
        <xdr:grpSpPr>
          <a:xfrm>
            <a:off x="632460" y="5030724"/>
            <a:ext cx="2419157" cy="220980"/>
            <a:chOff x="632460" y="4152900"/>
            <a:chExt cx="2419157" cy="220980"/>
          </a:xfrm>
        </xdr:grpSpPr>
        <xdr:sp macro="" textlink="Pivottables!C30">
          <xdr:nvSpPr>
            <xdr:cNvPr id="38" name="TextBox 37">
              <a:extLst>
                <a:ext uri="{FF2B5EF4-FFF2-40B4-BE49-F238E27FC236}">
                  <a16:creationId xmlns:a16="http://schemas.microsoft.com/office/drawing/2014/main" id="{266C53AC-C458-4E2A-8B34-646D5ED929BE}"/>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0191C1F-8B16-4A29-AC51-FE5A5551FAE9}" type="TxLink">
                <a:rPr lang="en-US" sz="1150" b="0" i="0" u="none" strike="noStrike">
                  <a:solidFill>
                    <a:srgbClr val="FFFFFF"/>
                  </a:solidFill>
                  <a:latin typeface="Roboto Condensed"/>
                  <a:ea typeface="Roboto Condensed"/>
                  <a:cs typeface="Calibri"/>
                </a:rPr>
                <a:pPr/>
                <a:t>Canada</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30">
          <xdr:nvSpPr>
            <xdr:cNvPr id="39" name="TextBox 38">
              <a:extLst>
                <a:ext uri="{FF2B5EF4-FFF2-40B4-BE49-F238E27FC236}">
                  <a16:creationId xmlns:a16="http://schemas.microsoft.com/office/drawing/2014/main" id="{E91061FE-F19C-40FE-82D6-234FA870142A}"/>
                </a:ext>
              </a:extLst>
            </xdr:cNvPr>
            <xdr:cNvSpPr txBox="1"/>
          </xdr:nvSpPr>
          <xdr:spPr>
            <a:xfrm>
              <a:off x="1365595"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BE05F91-0784-43A6-B768-9D7B3F1CE6B4}" type="TxLink">
                <a:rPr lang="en-US" sz="1150" b="0" i="0" u="none" strike="noStrike">
                  <a:solidFill>
                    <a:srgbClr val="FFFFFF"/>
                  </a:solidFill>
                  <a:latin typeface="Roboto Condensed"/>
                  <a:ea typeface="Roboto Condensed"/>
                  <a:cs typeface="Calibri"/>
                </a:rPr>
                <a:pPr marL="0" indent="0" algn="ctr"/>
                <a:t> 5,23,248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30">
          <xdr:nvSpPr>
            <xdr:cNvPr id="40" name="TextBox 39">
              <a:extLst>
                <a:ext uri="{FF2B5EF4-FFF2-40B4-BE49-F238E27FC236}">
                  <a16:creationId xmlns:a16="http://schemas.microsoft.com/office/drawing/2014/main" id="{FF69D1CE-6434-4806-B4EF-B4952BB32172}"/>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5CA19B4-965B-4851-98A5-C37D32DCE269}" type="TxLink">
                <a:rPr lang="en-US" sz="1150" b="0" i="0" u="none" strike="noStrike">
                  <a:solidFill>
                    <a:srgbClr val="FFFFFF"/>
                  </a:solidFill>
                  <a:latin typeface="Roboto Condensed"/>
                  <a:ea typeface="Roboto Condensed"/>
                  <a:cs typeface="Calibri"/>
                </a:rPr>
                <a:pPr marL="0" indent="0" algn="ctr"/>
                <a:t>9.87%</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41" name="Group 40">
            <a:extLst>
              <a:ext uri="{FF2B5EF4-FFF2-40B4-BE49-F238E27FC236}">
                <a16:creationId xmlns:a16="http://schemas.microsoft.com/office/drawing/2014/main" id="{2F66DA29-B5AB-4332-A637-CE5EFB1BAB49}"/>
              </a:ext>
            </a:extLst>
          </xdr:cNvPr>
          <xdr:cNvGrpSpPr/>
        </xdr:nvGrpSpPr>
        <xdr:grpSpPr>
          <a:xfrm>
            <a:off x="632460" y="5250180"/>
            <a:ext cx="2419157" cy="220980"/>
            <a:chOff x="632460" y="4152900"/>
            <a:chExt cx="2419157" cy="220980"/>
          </a:xfrm>
        </xdr:grpSpPr>
        <xdr:sp macro="" textlink="Pivottables!C31">
          <xdr:nvSpPr>
            <xdr:cNvPr id="42" name="TextBox 41">
              <a:extLst>
                <a:ext uri="{FF2B5EF4-FFF2-40B4-BE49-F238E27FC236}">
                  <a16:creationId xmlns:a16="http://schemas.microsoft.com/office/drawing/2014/main" id="{50DF38BA-96B8-4C26-81E5-4813F69F8C71}"/>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C3B529E-FB7B-4D61-9247-76F977ECC541}" type="TxLink">
                <a:rPr lang="en-US" sz="1150" b="0" i="0" u="none" strike="noStrike">
                  <a:solidFill>
                    <a:srgbClr val="FFFFFF"/>
                  </a:solidFill>
                  <a:latin typeface="Roboto Condensed"/>
                  <a:ea typeface="Roboto Condensed"/>
                  <a:cs typeface="Calibri"/>
                </a:rPr>
                <a:pPr/>
                <a:t>Brazil</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31">
          <xdr:nvSpPr>
            <xdr:cNvPr id="43" name="TextBox 42">
              <a:extLst>
                <a:ext uri="{FF2B5EF4-FFF2-40B4-BE49-F238E27FC236}">
                  <a16:creationId xmlns:a16="http://schemas.microsoft.com/office/drawing/2014/main" id="{B99E93CF-45AE-438F-BBDD-24DBA868BDA2}"/>
                </a:ext>
              </a:extLst>
            </xdr:cNvPr>
            <xdr:cNvSpPr txBox="1"/>
          </xdr:nvSpPr>
          <xdr:spPr>
            <a:xfrm>
              <a:off x="1365594"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ECE3386-2FA3-4DBF-9240-D86F570C3908}" type="TxLink">
                <a:rPr lang="en-US" sz="1150" b="0" i="0" u="none" strike="noStrike">
                  <a:solidFill>
                    <a:srgbClr val="FFFFFF"/>
                  </a:solidFill>
                  <a:latin typeface="Roboto Condensed"/>
                  <a:ea typeface="Roboto Condensed"/>
                  <a:cs typeface="Calibri"/>
                </a:rPr>
                <a:pPr marL="0" indent="0" algn="ctr"/>
                <a:t> 5,16,888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31">
          <xdr:nvSpPr>
            <xdr:cNvPr id="44" name="TextBox 43">
              <a:extLst>
                <a:ext uri="{FF2B5EF4-FFF2-40B4-BE49-F238E27FC236}">
                  <a16:creationId xmlns:a16="http://schemas.microsoft.com/office/drawing/2014/main" id="{8D10126D-CBCF-46FE-850D-D6C44D046B11}"/>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A672300-D4AA-4A51-BD38-C60307A2571F}" type="TxLink">
                <a:rPr lang="en-US" sz="1150" b="0" i="0" u="none" strike="noStrike">
                  <a:solidFill>
                    <a:srgbClr val="FFFFFF"/>
                  </a:solidFill>
                  <a:latin typeface="Roboto Condensed"/>
                  <a:ea typeface="Roboto Condensed"/>
                  <a:cs typeface="Calibri"/>
                </a:rPr>
                <a:pPr marL="0" indent="0" algn="ctr"/>
                <a:t>9.75%</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clientData/>
  </xdr:twoCellAnchor>
  <xdr:twoCellAnchor>
    <xdr:from>
      <xdr:col>0</xdr:col>
      <xdr:colOff>327660</xdr:colOff>
      <xdr:row>10</xdr:row>
      <xdr:rowOff>175260</xdr:rowOff>
    </xdr:from>
    <xdr:to>
      <xdr:col>5</xdr:col>
      <xdr:colOff>200025</xdr:colOff>
      <xdr:row>13</xdr:row>
      <xdr:rowOff>21336</xdr:rowOff>
    </xdr:to>
    <xdr:sp macro="" textlink="">
      <xdr:nvSpPr>
        <xdr:cNvPr id="45" name="TextBox 44">
          <a:extLst>
            <a:ext uri="{FF2B5EF4-FFF2-40B4-BE49-F238E27FC236}">
              <a16:creationId xmlns:a16="http://schemas.microsoft.com/office/drawing/2014/main" id="{C4C1DB46-B5CC-4E0F-8844-3931E6FD79F2}"/>
            </a:ext>
          </a:extLst>
        </xdr:cNvPr>
        <xdr:cNvSpPr txBox="1"/>
      </xdr:nvSpPr>
      <xdr:spPr>
        <a:xfrm>
          <a:off x="327660" y="2004060"/>
          <a:ext cx="2920365"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a:solidFill>
                <a:schemeClr val="bg1"/>
              </a:solidFill>
              <a:latin typeface="Roboto condensed" panose="02000000000000000000" pitchFamily="2" charset="0"/>
              <a:ea typeface="Roboto condensed" panose="02000000000000000000" pitchFamily="2" charset="0"/>
            </a:rPr>
            <a:t>Financial Statistics</a:t>
          </a:r>
        </a:p>
      </xdr:txBody>
    </xdr:sp>
    <xdr:clientData/>
  </xdr:twoCellAnchor>
  <xdr:twoCellAnchor>
    <xdr:from>
      <xdr:col>0</xdr:col>
      <xdr:colOff>327660</xdr:colOff>
      <xdr:row>13</xdr:row>
      <xdr:rowOff>114300</xdr:rowOff>
    </xdr:from>
    <xdr:to>
      <xdr:col>5</xdr:col>
      <xdr:colOff>200025</xdr:colOff>
      <xdr:row>16</xdr:row>
      <xdr:rowOff>74676</xdr:rowOff>
    </xdr:to>
    <xdr:sp macro="" textlink="Pivottables!G27">
      <xdr:nvSpPr>
        <xdr:cNvPr id="46" name="TextBox 45">
          <a:extLst>
            <a:ext uri="{FF2B5EF4-FFF2-40B4-BE49-F238E27FC236}">
              <a16:creationId xmlns:a16="http://schemas.microsoft.com/office/drawing/2014/main" id="{12626FA4-2C98-41A2-8603-D20985213786}"/>
            </a:ext>
          </a:extLst>
        </xdr:cNvPr>
        <xdr:cNvSpPr txBox="1"/>
      </xdr:nvSpPr>
      <xdr:spPr>
        <a:xfrm>
          <a:off x="327660" y="2491740"/>
          <a:ext cx="2920365" cy="509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FC915C-99C1-48BF-AED9-823A09557287}" type="TxLink">
            <a:rPr lang="en-US" sz="4400" b="0" i="0" u="none" strike="noStrike">
              <a:solidFill>
                <a:schemeClr val="bg1"/>
              </a:solidFill>
              <a:latin typeface="Roboto"/>
              <a:ea typeface="Roboto"/>
            </a:rPr>
            <a:pPr algn="ctr"/>
            <a:t>$53,01,192</a:t>
          </a:fld>
          <a:endParaRPr lang="en-IN" sz="4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0</xdr:col>
      <xdr:colOff>365760</xdr:colOff>
      <xdr:row>17</xdr:row>
      <xdr:rowOff>45720</xdr:rowOff>
    </xdr:from>
    <xdr:to>
      <xdr:col>5</xdr:col>
      <xdr:colOff>144780</xdr:colOff>
      <xdr:row>19</xdr:row>
      <xdr:rowOff>91440</xdr:rowOff>
    </xdr:to>
    <mc:AlternateContent xmlns:mc="http://schemas.openxmlformats.org/markup-compatibility/2006" xmlns:a14="http://schemas.microsoft.com/office/drawing/2010/main">
      <mc:Choice Requires="a14">
        <xdr:graphicFrame macro="">
          <xdr:nvGraphicFramePr>
            <xdr:cNvPr id="47" name="Year 1">
              <a:extLst>
                <a:ext uri="{FF2B5EF4-FFF2-40B4-BE49-F238E27FC236}">
                  <a16:creationId xmlns:a16="http://schemas.microsoft.com/office/drawing/2014/main" id="{806CEAAD-7B90-40D5-992A-67C783E30FCC}"/>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65760" y="3073928"/>
              <a:ext cx="2846812" cy="4019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327660</xdr:colOff>
      <xdr:row>19</xdr:row>
      <xdr:rowOff>76201</xdr:rowOff>
    </xdr:from>
    <xdr:to>
      <xdr:col>5</xdr:col>
      <xdr:colOff>114300</xdr:colOff>
      <xdr:row>21</xdr:row>
      <xdr:rowOff>108858</xdr:rowOff>
    </xdr:to>
    <xdr:graphicFrame macro="">
      <xdr:nvGraphicFramePr>
        <xdr:cNvPr id="48" name="Chart 47">
          <a:extLst>
            <a:ext uri="{FF2B5EF4-FFF2-40B4-BE49-F238E27FC236}">
              <a16:creationId xmlns:a16="http://schemas.microsoft.com/office/drawing/2014/main" id="{07D4FCF4-E2C2-4915-93DC-9D88ED678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60960</xdr:colOff>
      <xdr:row>29</xdr:row>
      <xdr:rowOff>152400</xdr:rowOff>
    </xdr:from>
    <xdr:to>
      <xdr:col>5</xdr:col>
      <xdr:colOff>533400</xdr:colOff>
      <xdr:row>47</xdr:row>
      <xdr:rowOff>115824</xdr:rowOff>
    </xdr:to>
    <xdr:graphicFrame macro="">
      <xdr:nvGraphicFramePr>
        <xdr:cNvPr id="55" name="Chart 54">
          <a:extLst>
            <a:ext uri="{FF2B5EF4-FFF2-40B4-BE49-F238E27FC236}">
              <a16:creationId xmlns:a16="http://schemas.microsoft.com/office/drawing/2014/main" id="{7F5F3C04-11AC-4008-9FBD-F2FE2E22CD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415291</xdr:colOff>
      <xdr:row>34</xdr:row>
      <xdr:rowOff>160020</xdr:rowOff>
    </xdr:from>
    <xdr:to>
      <xdr:col>4</xdr:col>
      <xdr:colOff>179070</xdr:colOff>
      <xdr:row>38</xdr:row>
      <xdr:rowOff>160020</xdr:rowOff>
    </xdr:to>
    <xdr:sp macro="" textlink="Pivottables!P26">
      <xdr:nvSpPr>
        <xdr:cNvPr id="56" name="TextBox 55">
          <a:extLst>
            <a:ext uri="{FF2B5EF4-FFF2-40B4-BE49-F238E27FC236}">
              <a16:creationId xmlns:a16="http://schemas.microsoft.com/office/drawing/2014/main" id="{9DA7DE40-69F4-417B-98F1-2D2209FB6201}"/>
            </a:ext>
          </a:extLst>
        </xdr:cNvPr>
        <xdr:cNvSpPr txBox="1"/>
      </xdr:nvSpPr>
      <xdr:spPr>
        <a:xfrm>
          <a:off x="1028849" y="6216436"/>
          <a:ext cx="1604455" cy="712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7B88EA-FE6F-4634-BDEE-A345749517F2}" type="TxLink">
            <a:rPr lang="en-US" sz="4800" b="0" i="0" u="none" strike="noStrike">
              <a:solidFill>
                <a:schemeClr val="bg1"/>
              </a:solidFill>
              <a:latin typeface="Roboto"/>
              <a:ea typeface="Roboto"/>
            </a:rPr>
            <a:pPr algn="ctr"/>
            <a:t>70%</a:t>
          </a:fld>
          <a:endParaRPr lang="en-IN" sz="48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1</xdr:col>
      <xdr:colOff>558586</xdr:colOff>
      <xdr:row>38</xdr:row>
      <xdr:rowOff>129540</xdr:rowOff>
    </xdr:from>
    <xdr:to>
      <xdr:col>4</xdr:col>
      <xdr:colOff>35774</xdr:colOff>
      <xdr:row>43</xdr:row>
      <xdr:rowOff>7620</xdr:rowOff>
    </xdr:to>
    <xdr:sp macro="" textlink="">
      <xdr:nvSpPr>
        <xdr:cNvPr id="57" name="TextBox 56">
          <a:extLst>
            <a:ext uri="{FF2B5EF4-FFF2-40B4-BE49-F238E27FC236}">
              <a16:creationId xmlns:a16="http://schemas.microsoft.com/office/drawing/2014/main" id="{F20CB648-7007-4F9A-86DF-D1AF9C6EFDBF}"/>
            </a:ext>
          </a:extLst>
        </xdr:cNvPr>
        <xdr:cNvSpPr txBox="1"/>
      </xdr:nvSpPr>
      <xdr:spPr>
        <a:xfrm>
          <a:off x="1172144" y="6898475"/>
          <a:ext cx="1317864" cy="768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bg1"/>
              </a:solidFill>
              <a:latin typeface="Roboto condensed" panose="02000000000000000000" pitchFamily="2" charset="0"/>
              <a:ea typeface="Roboto condensed" panose="02000000000000000000" pitchFamily="2" charset="0"/>
            </a:rPr>
            <a:t>Sales Percentage </a:t>
          </a:r>
          <a:r>
            <a:rPr lang="en-IN" sz="1500">
              <a:solidFill>
                <a:schemeClr val="bg1"/>
              </a:solidFill>
              <a:latin typeface="Roboto condensed" panose="02000000000000000000" pitchFamily="2" charset="0"/>
              <a:ea typeface="Roboto condensed" panose="02000000000000000000" pitchFamily="2" charset="0"/>
            </a:rPr>
            <a:t>Achieved</a:t>
          </a:r>
        </a:p>
      </xdr:txBody>
    </xdr:sp>
    <xdr:clientData/>
  </xdr:twoCellAnchor>
  <xdr:twoCellAnchor>
    <xdr:from>
      <xdr:col>11</xdr:col>
      <xdr:colOff>517381</xdr:colOff>
      <xdr:row>18</xdr:row>
      <xdr:rowOff>50097</xdr:rowOff>
    </xdr:from>
    <xdr:to>
      <xdr:col>12</xdr:col>
      <xdr:colOff>302759</xdr:colOff>
      <xdr:row>20</xdr:row>
      <xdr:rowOff>154749</xdr:rowOff>
    </xdr:to>
    <xdr:grpSp>
      <xdr:nvGrpSpPr>
        <xdr:cNvPr id="76" name="Group 75">
          <a:extLst>
            <a:ext uri="{FF2B5EF4-FFF2-40B4-BE49-F238E27FC236}">
              <a16:creationId xmlns:a16="http://schemas.microsoft.com/office/drawing/2014/main" id="{1E29E3EE-2D35-45A9-BAB7-FAE30366817B}"/>
            </a:ext>
          </a:extLst>
        </xdr:cNvPr>
        <xdr:cNvGrpSpPr/>
      </xdr:nvGrpSpPr>
      <xdr:grpSpPr>
        <a:xfrm>
          <a:off x="7222981" y="3307647"/>
          <a:ext cx="394978" cy="466602"/>
          <a:chOff x="7397337" y="3186544"/>
          <a:chExt cx="395844" cy="457200"/>
        </a:xfrm>
      </xdr:grpSpPr>
      <xdr:sp macro="" textlink="Pivottables!D39">
        <xdr:nvSpPr>
          <xdr:cNvPr id="18" name="TextBox 17">
            <a:extLst>
              <a:ext uri="{FF2B5EF4-FFF2-40B4-BE49-F238E27FC236}">
                <a16:creationId xmlns:a16="http://schemas.microsoft.com/office/drawing/2014/main" id="{3694E5F2-23AD-44DF-963B-42B7349E27F6}"/>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168" name="TextBox 167">
            <a:extLst>
              <a:ext uri="{FF2B5EF4-FFF2-40B4-BE49-F238E27FC236}">
                <a16:creationId xmlns:a16="http://schemas.microsoft.com/office/drawing/2014/main" id="{7027D6AD-658D-4634-B94F-E21ED33CB10C}"/>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251731</xdr:colOff>
      <xdr:row>16</xdr:row>
      <xdr:rowOff>75555</xdr:rowOff>
    </xdr:from>
    <xdr:to>
      <xdr:col>12</xdr:col>
      <xdr:colOff>34017</xdr:colOff>
      <xdr:row>18</xdr:row>
      <xdr:rowOff>181246</xdr:rowOff>
    </xdr:to>
    <xdr:grpSp>
      <xdr:nvGrpSpPr>
        <xdr:cNvPr id="77" name="Group 76">
          <a:extLst>
            <a:ext uri="{FF2B5EF4-FFF2-40B4-BE49-F238E27FC236}">
              <a16:creationId xmlns:a16="http://schemas.microsoft.com/office/drawing/2014/main" id="{FC8228FF-415B-470B-B55E-F96A16B5C794}"/>
            </a:ext>
          </a:extLst>
        </xdr:cNvPr>
        <xdr:cNvGrpSpPr/>
      </xdr:nvGrpSpPr>
      <xdr:grpSpPr>
        <a:xfrm>
          <a:off x="6957331" y="2971155"/>
          <a:ext cx="391886" cy="467641"/>
          <a:chOff x="8327570" y="3186544"/>
          <a:chExt cx="395844" cy="457200"/>
        </a:xfrm>
      </xdr:grpSpPr>
      <xdr:sp macro="" textlink="Pivottables!E39">
        <xdr:nvSpPr>
          <xdr:cNvPr id="169" name="TextBox 168">
            <a:extLst>
              <a:ext uri="{FF2B5EF4-FFF2-40B4-BE49-F238E27FC236}">
                <a16:creationId xmlns:a16="http://schemas.microsoft.com/office/drawing/2014/main" id="{06EFAA19-5926-447E-A920-30D5E5798472}"/>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170" name="TextBox 169">
            <a:extLst>
              <a:ext uri="{FF2B5EF4-FFF2-40B4-BE49-F238E27FC236}">
                <a16:creationId xmlns:a16="http://schemas.microsoft.com/office/drawing/2014/main" id="{B4E2A789-BD29-4423-AF0E-85A539A988F3}"/>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90239</xdr:colOff>
      <xdr:row>15</xdr:row>
      <xdr:rowOff>173836</xdr:rowOff>
    </xdr:from>
    <xdr:to>
      <xdr:col>12</xdr:col>
      <xdr:colOff>482991</xdr:colOff>
      <xdr:row>18</xdr:row>
      <xdr:rowOff>97686</xdr:rowOff>
    </xdr:to>
    <xdr:grpSp>
      <xdr:nvGrpSpPr>
        <xdr:cNvPr id="173" name="Group 172">
          <a:extLst>
            <a:ext uri="{FF2B5EF4-FFF2-40B4-BE49-F238E27FC236}">
              <a16:creationId xmlns:a16="http://schemas.microsoft.com/office/drawing/2014/main" id="{C00610F7-CA06-442A-90C3-F0E07DD81534}"/>
            </a:ext>
          </a:extLst>
        </xdr:cNvPr>
        <xdr:cNvGrpSpPr/>
      </xdr:nvGrpSpPr>
      <xdr:grpSpPr>
        <a:xfrm>
          <a:off x="7405439" y="2888461"/>
          <a:ext cx="392752" cy="466775"/>
          <a:chOff x="8327570" y="3186544"/>
          <a:chExt cx="395844" cy="457200"/>
        </a:xfrm>
      </xdr:grpSpPr>
      <xdr:sp macro="" textlink="Pivottables!E39">
        <xdr:nvSpPr>
          <xdr:cNvPr id="174" name="TextBox 173">
            <a:extLst>
              <a:ext uri="{FF2B5EF4-FFF2-40B4-BE49-F238E27FC236}">
                <a16:creationId xmlns:a16="http://schemas.microsoft.com/office/drawing/2014/main" id="{2ED02769-B140-4C55-B931-7660188AECF6}"/>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175" name="TextBox 174">
            <a:extLst>
              <a:ext uri="{FF2B5EF4-FFF2-40B4-BE49-F238E27FC236}">
                <a16:creationId xmlns:a16="http://schemas.microsoft.com/office/drawing/2014/main" id="{378D3C58-1AFA-40AA-ADA0-3A95938BEB44}"/>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174048</xdr:colOff>
      <xdr:row>17</xdr:row>
      <xdr:rowOff>148378</xdr:rowOff>
    </xdr:from>
    <xdr:to>
      <xdr:col>12</xdr:col>
      <xdr:colOff>569892</xdr:colOff>
      <xdr:row>20</xdr:row>
      <xdr:rowOff>71189</xdr:rowOff>
    </xdr:to>
    <xdr:grpSp>
      <xdr:nvGrpSpPr>
        <xdr:cNvPr id="176" name="Group 175">
          <a:extLst>
            <a:ext uri="{FF2B5EF4-FFF2-40B4-BE49-F238E27FC236}">
              <a16:creationId xmlns:a16="http://schemas.microsoft.com/office/drawing/2014/main" id="{74CC1055-FC27-4EA1-B5E5-3390864D7FA2}"/>
            </a:ext>
          </a:extLst>
        </xdr:cNvPr>
        <xdr:cNvGrpSpPr/>
      </xdr:nvGrpSpPr>
      <xdr:grpSpPr>
        <a:xfrm>
          <a:off x="7489248" y="3224953"/>
          <a:ext cx="395844" cy="465736"/>
          <a:chOff x="7397337" y="3186544"/>
          <a:chExt cx="395844" cy="457200"/>
        </a:xfrm>
      </xdr:grpSpPr>
      <xdr:sp macro="" textlink="Pivottables!D39">
        <xdr:nvSpPr>
          <xdr:cNvPr id="177" name="TextBox 176">
            <a:extLst>
              <a:ext uri="{FF2B5EF4-FFF2-40B4-BE49-F238E27FC236}">
                <a16:creationId xmlns:a16="http://schemas.microsoft.com/office/drawing/2014/main" id="{20D21D58-8E35-495D-AD9B-F349137F0DE7}"/>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178" name="TextBox 177">
            <a:extLst>
              <a:ext uri="{FF2B5EF4-FFF2-40B4-BE49-F238E27FC236}">
                <a16:creationId xmlns:a16="http://schemas.microsoft.com/office/drawing/2014/main" id="{B614AC04-1E00-479A-9A29-3015304450DF}"/>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518864</xdr:colOff>
      <xdr:row>16</xdr:row>
      <xdr:rowOff>74256</xdr:rowOff>
    </xdr:from>
    <xdr:to>
      <xdr:col>12</xdr:col>
      <xdr:colOff>301150</xdr:colOff>
      <xdr:row>18</xdr:row>
      <xdr:rowOff>179947</xdr:rowOff>
    </xdr:to>
    <xdr:grpSp>
      <xdr:nvGrpSpPr>
        <xdr:cNvPr id="179" name="Group 178">
          <a:extLst>
            <a:ext uri="{FF2B5EF4-FFF2-40B4-BE49-F238E27FC236}">
              <a16:creationId xmlns:a16="http://schemas.microsoft.com/office/drawing/2014/main" id="{FEF62144-E3E9-4284-B3BC-1A8D5EDE59E3}"/>
            </a:ext>
          </a:extLst>
        </xdr:cNvPr>
        <xdr:cNvGrpSpPr/>
      </xdr:nvGrpSpPr>
      <xdr:grpSpPr>
        <a:xfrm>
          <a:off x="7224464" y="2969856"/>
          <a:ext cx="391886" cy="467641"/>
          <a:chOff x="8327570" y="3186544"/>
          <a:chExt cx="395844" cy="457200"/>
        </a:xfrm>
      </xdr:grpSpPr>
      <xdr:sp macro="" textlink="Pivottables!E39">
        <xdr:nvSpPr>
          <xdr:cNvPr id="195" name="TextBox 194">
            <a:extLst>
              <a:ext uri="{FF2B5EF4-FFF2-40B4-BE49-F238E27FC236}">
                <a16:creationId xmlns:a16="http://schemas.microsoft.com/office/drawing/2014/main" id="{6E25990F-B468-4079-8DCA-AAEEA2585F22}"/>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196" name="TextBox 195">
            <a:extLst>
              <a:ext uri="{FF2B5EF4-FFF2-40B4-BE49-F238E27FC236}">
                <a16:creationId xmlns:a16="http://schemas.microsoft.com/office/drawing/2014/main" id="{B1F2BF22-B27E-4F0D-A3B7-2CEF7788A41E}"/>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430974</xdr:colOff>
      <xdr:row>16</xdr:row>
      <xdr:rowOff>159548</xdr:rowOff>
    </xdr:from>
    <xdr:to>
      <xdr:col>12</xdr:col>
      <xdr:colOff>213260</xdr:colOff>
      <xdr:row>19</xdr:row>
      <xdr:rowOff>83398</xdr:rowOff>
    </xdr:to>
    <xdr:grpSp>
      <xdr:nvGrpSpPr>
        <xdr:cNvPr id="197" name="Group 196">
          <a:extLst>
            <a:ext uri="{FF2B5EF4-FFF2-40B4-BE49-F238E27FC236}">
              <a16:creationId xmlns:a16="http://schemas.microsoft.com/office/drawing/2014/main" id="{16420640-F527-4B89-85D2-C922F5010D4A}"/>
            </a:ext>
          </a:extLst>
        </xdr:cNvPr>
        <xdr:cNvGrpSpPr/>
      </xdr:nvGrpSpPr>
      <xdr:grpSpPr>
        <a:xfrm>
          <a:off x="7136574" y="3055148"/>
          <a:ext cx="391886" cy="466775"/>
          <a:chOff x="8327570" y="3186544"/>
          <a:chExt cx="395844" cy="457200"/>
        </a:xfrm>
      </xdr:grpSpPr>
      <xdr:sp macro="" textlink="Pivottables!E39">
        <xdr:nvSpPr>
          <xdr:cNvPr id="231" name="TextBox 230">
            <a:extLst>
              <a:ext uri="{FF2B5EF4-FFF2-40B4-BE49-F238E27FC236}">
                <a16:creationId xmlns:a16="http://schemas.microsoft.com/office/drawing/2014/main" id="{4DAB9CD4-FEB1-4D50-B396-5D77FF8B9A70}"/>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32" name="TextBox 231">
            <a:extLst>
              <a:ext uri="{FF2B5EF4-FFF2-40B4-BE49-F238E27FC236}">
                <a16:creationId xmlns:a16="http://schemas.microsoft.com/office/drawing/2014/main" id="{3D565F63-D470-4C41-9116-424810029BB0}"/>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249999</xdr:colOff>
      <xdr:row>17</xdr:row>
      <xdr:rowOff>65165</xdr:rowOff>
    </xdr:from>
    <xdr:to>
      <xdr:col>12</xdr:col>
      <xdr:colOff>32285</xdr:colOff>
      <xdr:row>19</xdr:row>
      <xdr:rowOff>170855</xdr:rowOff>
    </xdr:to>
    <xdr:grpSp>
      <xdr:nvGrpSpPr>
        <xdr:cNvPr id="233" name="Group 232">
          <a:extLst>
            <a:ext uri="{FF2B5EF4-FFF2-40B4-BE49-F238E27FC236}">
              <a16:creationId xmlns:a16="http://schemas.microsoft.com/office/drawing/2014/main" id="{ED690199-E0AD-4BB2-93A8-8BDEA1A2AC12}"/>
            </a:ext>
          </a:extLst>
        </xdr:cNvPr>
        <xdr:cNvGrpSpPr/>
      </xdr:nvGrpSpPr>
      <xdr:grpSpPr>
        <a:xfrm>
          <a:off x="6955599" y="3141740"/>
          <a:ext cx="391886" cy="467640"/>
          <a:chOff x="8327570" y="3186544"/>
          <a:chExt cx="395844" cy="457200"/>
        </a:xfrm>
      </xdr:grpSpPr>
      <xdr:sp macro="" textlink="Pivottables!E39">
        <xdr:nvSpPr>
          <xdr:cNvPr id="235" name="TextBox 234">
            <a:extLst>
              <a:ext uri="{FF2B5EF4-FFF2-40B4-BE49-F238E27FC236}">
                <a16:creationId xmlns:a16="http://schemas.microsoft.com/office/drawing/2014/main" id="{BA379B7B-5CB9-42E7-BF95-F8D2A7E4DD19}"/>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36" name="TextBox 235">
            <a:extLst>
              <a:ext uri="{FF2B5EF4-FFF2-40B4-BE49-F238E27FC236}">
                <a16:creationId xmlns:a16="http://schemas.microsoft.com/office/drawing/2014/main" id="{63AB55AA-DAC8-436D-8681-58C69E74CFC3}"/>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339621</xdr:colOff>
      <xdr:row>17</xdr:row>
      <xdr:rowOff>148292</xdr:rowOff>
    </xdr:from>
    <xdr:to>
      <xdr:col>12</xdr:col>
      <xdr:colOff>121907</xdr:colOff>
      <xdr:row>20</xdr:row>
      <xdr:rowOff>72141</xdr:rowOff>
    </xdr:to>
    <xdr:grpSp>
      <xdr:nvGrpSpPr>
        <xdr:cNvPr id="237" name="Group 236">
          <a:extLst>
            <a:ext uri="{FF2B5EF4-FFF2-40B4-BE49-F238E27FC236}">
              <a16:creationId xmlns:a16="http://schemas.microsoft.com/office/drawing/2014/main" id="{77FE45E9-760A-4BB8-869D-90024A40835C}"/>
            </a:ext>
          </a:extLst>
        </xdr:cNvPr>
        <xdr:cNvGrpSpPr/>
      </xdr:nvGrpSpPr>
      <xdr:grpSpPr>
        <a:xfrm>
          <a:off x="7045221" y="3224867"/>
          <a:ext cx="391886" cy="466774"/>
          <a:chOff x="8327570" y="3186544"/>
          <a:chExt cx="395844" cy="457200"/>
        </a:xfrm>
      </xdr:grpSpPr>
      <xdr:sp macro="" textlink="Pivottables!E39">
        <xdr:nvSpPr>
          <xdr:cNvPr id="238" name="TextBox 237">
            <a:extLst>
              <a:ext uri="{FF2B5EF4-FFF2-40B4-BE49-F238E27FC236}">
                <a16:creationId xmlns:a16="http://schemas.microsoft.com/office/drawing/2014/main" id="{1806DC6F-DD96-4BEE-ADD9-2CDDB276A26D}"/>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39" name="TextBox 238">
            <a:extLst>
              <a:ext uri="{FF2B5EF4-FFF2-40B4-BE49-F238E27FC236}">
                <a16:creationId xmlns:a16="http://schemas.microsoft.com/office/drawing/2014/main" id="{E4A3929F-E5E8-4318-A3CB-C59FF24F4CC6}"/>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608919</xdr:colOff>
      <xdr:row>17</xdr:row>
      <xdr:rowOff>151323</xdr:rowOff>
    </xdr:from>
    <xdr:to>
      <xdr:col>12</xdr:col>
      <xdr:colOff>391205</xdr:colOff>
      <xdr:row>20</xdr:row>
      <xdr:rowOff>75172</xdr:rowOff>
    </xdr:to>
    <xdr:grpSp>
      <xdr:nvGrpSpPr>
        <xdr:cNvPr id="240" name="Group 239">
          <a:extLst>
            <a:ext uri="{FF2B5EF4-FFF2-40B4-BE49-F238E27FC236}">
              <a16:creationId xmlns:a16="http://schemas.microsoft.com/office/drawing/2014/main" id="{30AB452B-F5A2-4A6D-A149-5B88C2BCD228}"/>
            </a:ext>
          </a:extLst>
        </xdr:cNvPr>
        <xdr:cNvGrpSpPr/>
      </xdr:nvGrpSpPr>
      <xdr:grpSpPr>
        <a:xfrm>
          <a:off x="7314519" y="3227898"/>
          <a:ext cx="391886" cy="466774"/>
          <a:chOff x="8327570" y="3186544"/>
          <a:chExt cx="395844" cy="457200"/>
        </a:xfrm>
      </xdr:grpSpPr>
      <xdr:sp macro="" textlink="Pivottables!E39">
        <xdr:nvSpPr>
          <xdr:cNvPr id="241" name="TextBox 240">
            <a:extLst>
              <a:ext uri="{FF2B5EF4-FFF2-40B4-BE49-F238E27FC236}">
                <a16:creationId xmlns:a16="http://schemas.microsoft.com/office/drawing/2014/main" id="{B66F65AA-6D41-42C7-99C4-55A031784EC7}"/>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42" name="TextBox 241">
            <a:extLst>
              <a:ext uri="{FF2B5EF4-FFF2-40B4-BE49-F238E27FC236}">
                <a16:creationId xmlns:a16="http://schemas.microsoft.com/office/drawing/2014/main" id="{C0BC71F1-25B7-4E50-B066-F340815C07C0}"/>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88075</xdr:colOff>
      <xdr:row>16</xdr:row>
      <xdr:rowOff>156518</xdr:rowOff>
    </xdr:from>
    <xdr:to>
      <xdr:col>12</xdr:col>
      <xdr:colOff>480827</xdr:colOff>
      <xdr:row>19</xdr:row>
      <xdr:rowOff>80368</xdr:rowOff>
    </xdr:to>
    <xdr:grpSp>
      <xdr:nvGrpSpPr>
        <xdr:cNvPr id="243" name="Group 242">
          <a:extLst>
            <a:ext uri="{FF2B5EF4-FFF2-40B4-BE49-F238E27FC236}">
              <a16:creationId xmlns:a16="http://schemas.microsoft.com/office/drawing/2014/main" id="{ADE10651-B9A4-4812-AF3A-E66D9A7DAF7D}"/>
            </a:ext>
          </a:extLst>
        </xdr:cNvPr>
        <xdr:cNvGrpSpPr/>
      </xdr:nvGrpSpPr>
      <xdr:grpSpPr>
        <a:xfrm>
          <a:off x="7403275" y="3052118"/>
          <a:ext cx="392752" cy="466775"/>
          <a:chOff x="8327570" y="3186544"/>
          <a:chExt cx="395844" cy="457200"/>
        </a:xfrm>
      </xdr:grpSpPr>
      <xdr:sp macro="" textlink="Pivottables!E39">
        <xdr:nvSpPr>
          <xdr:cNvPr id="244" name="TextBox 243">
            <a:extLst>
              <a:ext uri="{FF2B5EF4-FFF2-40B4-BE49-F238E27FC236}">
                <a16:creationId xmlns:a16="http://schemas.microsoft.com/office/drawing/2014/main" id="{0008B0E1-EBC5-41DD-8312-E19E406A75D2}"/>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45" name="TextBox 244">
            <a:extLst>
              <a:ext uri="{FF2B5EF4-FFF2-40B4-BE49-F238E27FC236}">
                <a16:creationId xmlns:a16="http://schemas.microsoft.com/office/drawing/2014/main" id="{AD8FF9EB-27CE-4EDA-9C8E-AFA8CE096EAD}"/>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162543</xdr:colOff>
      <xdr:row>16</xdr:row>
      <xdr:rowOff>159548</xdr:rowOff>
    </xdr:from>
    <xdr:to>
      <xdr:col>11</xdr:col>
      <xdr:colOff>555295</xdr:colOff>
      <xdr:row>19</xdr:row>
      <xdr:rowOff>83398</xdr:rowOff>
    </xdr:to>
    <xdr:grpSp>
      <xdr:nvGrpSpPr>
        <xdr:cNvPr id="246" name="Group 245">
          <a:extLst>
            <a:ext uri="{FF2B5EF4-FFF2-40B4-BE49-F238E27FC236}">
              <a16:creationId xmlns:a16="http://schemas.microsoft.com/office/drawing/2014/main" id="{93A5A2C6-3C06-4C14-96DF-A4D0F39CFAEB}"/>
            </a:ext>
          </a:extLst>
        </xdr:cNvPr>
        <xdr:cNvGrpSpPr/>
      </xdr:nvGrpSpPr>
      <xdr:grpSpPr>
        <a:xfrm>
          <a:off x="6868143" y="3055148"/>
          <a:ext cx="392752" cy="466775"/>
          <a:chOff x="8327570" y="3186544"/>
          <a:chExt cx="395844" cy="457200"/>
        </a:xfrm>
      </xdr:grpSpPr>
      <xdr:sp macro="" textlink="Pivottables!E39">
        <xdr:nvSpPr>
          <xdr:cNvPr id="247" name="TextBox 246">
            <a:extLst>
              <a:ext uri="{FF2B5EF4-FFF2-40B4-BE49-F238E27FC236}">
                <a16:creationId xmlns:a16="http://schemas.microsoft.com/office/drawing/2014/main" id="{44576A22-BE11-4FF9-89D4-1F982E02179B}"/>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48" name="TextBox 247">
            <a:extLst>
              <a:ext uri="{FF2B5EF4-FFF2-40B4-BE49-F238E27FC236}">
                <a16:creationId xmlns:a16="http://schemas.microsoft.com/office/drawing/2014/main" id="{2060B3F5-7181-465D-A871-2BFBE9453868}"/>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340920</xdr:colOff>
      <xdr:row>18</xdr:row>
      <xdr:rowOff>134437</xdr:rowOff>
    </xdr:from>
    <xdr:to>
      <xdr:col>12</xdr:col>
      <xdr:colOff>123206</xdr:colOff>
      <xdr:row>21</xdr:row>
      <xdr:rowOff>58286</xdr:rowOff>
    </xdr:to>
    <xdr:grpSp>
      <xdr:nvGrpSpPr>
        <xdr:cNvPr id="249" name="Group 248">
          <a:extLst>
            <a:ext uri="{FF2B5EF4-FFF2-40B4-BE49-F238E27FC236}">
              <a16:creationId xmlns:a16="http://schemas.microsoft.com/office/drawing/2014/main" id="{1FCB2489-9FEC-4FEA-BA69-5C13E59DB38F}"/>
            </a:ext>
          </a:extLst>
        </xdr:cNvPr>
        <xdr:cNvGrpSpPr/>
      </xdr:nvGrpSpPr>
      <xdr:grpSpPr>
        <a:xfrm>
          <a:off x="7046520" y="3391987"/>
          <a:ext cx="391886" cy="466774"/>
          <a:chOff x="8327570" y="3186544"/>
          <a:chExt cx="395844" cy="457200"/>
        </a:xfrm>
      </xdr:grpSpPr>
      <xdr:sp macro="" textlink="Pivottables!E39">
        <xdr:nvSpPr>
          <xdr:cNvPr id="250" name="TextBox 249">
            <a:extLst>
              <a:ext uri="{FF2B5EF4-FFF2-40B4-BE49-F238E27FC236}">
                <a16:creationId xmlns:a16="http://schemas.microsoft.com/office/drawing/2014/main" id="{B12F8A74-D562-4CD7-8A2F-F8F704CECA1C}"/>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51" name="TextBox 250">
            <a:extLst>
              <a:ext uri="{FF2B5EF4-FFF2-40B4-BE49-F238E27FC236}">
                <a16:creationId xmlns:a16="http://schemas.microsoft.com/office/drawing/2014/main" id="{0EB23CE3-F54F-4531-8412-E75F3B5ECF59}"/>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428192</xdr:colOff>
      <xdr:row>17</xdr:row>
      <xdr:rowOff>62652</xdr:rowOff>
    </xdr:from>
    <xdr:to>
      <xdr:col>12</xdr:col>
      <xdr:colOff>213570</xdr:colOff>
      <xdr:row>19</xdr:row>
      <xdr:rowOff>167304</xdr:rowOff>
    </xdr:to>
    <xdr:grpSp>
      <xdr:nvGrpSpPr>
        <xdr:cNvPr id="252" name="Group 251">
          <a:extLst>
            <a:ext uri="{FF2B5EF4-FFF2-40B4-BE49-F238E27FC236}">
              <a16:creationId xmlns:a16="http://schemas.microsoft.com/office/drawing/2014/main" id="{53C7E000-E76D-4A3D-8552-AAE33937D1D2}"/>
            </a:ext>
          </a:extLst>
        </xdr:cNvPr>
        <xdr:cNvGrpSpPr/>
      </xdr:nvGrpSpPr>
      <xdr:grpSpPr>
        <a:xfrm>
          <a:off x="7133792" y="3139227"/>
          <a:ext cx="394978" cy="466602"/>
          <a:chOff x="7397337" y="3186544"/>
          <a:chExt cx="395844" cy="457200"/>
        </a:xfrm>
      </xdr:grpSpPr>
      <xdr:sp macro="" textlink="Pivottables!D39">
        <xdr:nvSpPr>
          <xdr:cNvPr id="253" name="TextBox 252">
            <a:extLst>
              <a:ext uri="{FF2B5EF4-FFF2-40B4-BE49-F238E27FC236}">
                <a16:creationId xmlns:a16="http://schemas.microsoft.com/office/drawing/2014/main" id="{E61B51A4-FBFD-40EB-9B14-0DA2790BB57F}"/>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54" name="TextBox 253">
            <a:extLst>
              <a:ext uri="{FF2B5EF4-FFF2-40B4-BE49-F238E27FC236}">
                <a16:creationId xmlns:a16="http://schemas.microsoft.com/office/drawing/2014/main" id="{B636B113-70CC-4E5A-AEDD-DE1424F36420}"/>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84859</xdr:colOff>
      <xdr:row>17</xdr:row>
      <xdr:rowOff>65682</xdr:rowOff>
    </xdr:from>
    <xdr:to>
      <xdr:col>12</xdr:col>
      <xdr:colOff>480703</xdr:colOff>
      <xdr:row>19</xdr:row>
      <xdr:rowOff>170334</xdr:rowOff>
    </xdr:to>
    <xdr:grpSp>
      <xdr:nvGrpSpPr>
        <xdr:cNvPr id="255" name="Group 254">
          <a:extLst>
            <a:ext uri="{FF2B5EF4-FFF2-40B4-BE49-F238E27FC236}">
              <a16:creationId xmlns:a16="http://schemas.microsoft.com/office/drawing/2014/main" id="{A4CF4887-D9A6-472C-A322-C5B50A673F55}"/>
            </a:ext>
          </a:extLst>
        </xdr:cNvPr>
        <xdr:cNvGrpSpPr/>
      </xdr:nvGrpSpPr>
      <xdr:grpSpPr>
        <a:xfrm>
          <a:off x="7400059" y="3142257"/>
          <a:ext cx="395844" cy="466602"/>
          <a:chOff x="7397337" y="3186544"/>
          <a:chExt cx="395844" cy="457200"/>
        </a:xfrm>
      </xdr:grpSpPr>
      <xdr:sp macro="" textlink="Pivottables!D39">
        <xdr:nvSpPr>
          <xdr:cNvPr id="256" name="TextBox 255">
            <a:extLst>
              <a:ext uri="{FF2B5EF4-FFF2-40B4-BE49-F238E27FC236}">
                <a16:creationId xmlns:a16="http://schemas.microsoft.com/office/drawing/2014/main" id="{28A92FF2-20F9-4DAD-BFD9-C6E57A1007FD}"/>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57" name="TextBox 256">
            <a:extLst>
              <a:ext uri="{FF2B5EF4-FFF2-40B4-BE49-F238E27FC236}">
                <a16:creationId xmlns:a16="http://schemas.microsoft.com/office/drawing/2014/main" id="{1B8D060D-2EB9-421F-81D7-48DC4C25EAF9}"/>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516515</xdr:colOff>
      <xdr:row>16</xdr:row>
      <xdr:rowOff>161797</xdr:rowOff>
    </xdr:from>
    <xdr:to>
      <xdr:col>12</xdr:col>
      <xdr:colOff>301893</xdr:colOff>
      <xdr:row>19</xdr:row>
      <xdr:rowOff>84609</xdr:rowOff>
    </xdr:to>
    <xdr:grpSp>
      <xdr:nvGrpSpPr>
        <xdr:cNvPr id="258" name="Group 257">
          <a:extLst>
            <a:ext uri="{FF2B5EF4-FFF2-40B4-BE49-F238E27FC236}">
              <a16:creationId xmlns:a16="http://schemas.microsoft.com/office/drawing/2014/main" id="{7F75E67F-F5C7-47AB-8CEE-966E70825923}"/>
            </a:ext>
          </a:extLst>
        </xdr:cNvPr>
        <xdr:cNvGrpSpPr/>
      </xdr:nvGrpSpPr>
      <xdr:grpSpPr>
        <a:xfrm>
          <a:off x="7222115" y="3057397"/>
          <a:ext cx="394978" cy="465737"/>
          <a:chOff x="7397337" y="3186544"/>
          <a:chExt cx="395844" cy="457200"/>
        </a:xfrm>
      </xdr:grpSpPr>
      <xdr:sp macro="" textlink="Pivottables!D39">
        <xdr:nvSpPr>
          <xdr:cNvPr id="259" name="TextBox 258">
            <a:extLst>
              <a:ext uri="{FF2B5EF4-FFF2-40B4-BE49-F238E27FC236}">
                <a16:creationId xmlns:a16="http://schemas.microsoft.com/office/drawing/2014/main" id="{164AE493-7B26-4C39-99BC-E1CD348804AC}"/>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0" name="TextBox 259">
            <a:extLst>
              <a:ext uri="{FF2B5EF4-FFF2-40B4-BE49-F238E27FC236}">
                <a16:creationId xmlns:a16="http://schemas.microsoft.com/office/drawing/2014/main" id="{FF9D9B2D-8A37-4CA5-BC53-225C5FC98A75}"/>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337705</xdr:colOff>
      <xdr:row>16</xdr:row>
      <xdr:rowOff>76072</xdr:rowOff>
    </xdr:from>
    <xdr:to>
      <xdr:col>12</xdr:col>
      <xdr:colOff>123083</xdr:colOff>
      <xdr:row>18</xdr:row>
      <xdr:rowOff>180725</xdr:rowOff>
    </xdr:to>
    <xdr:grpSp>
      <xdr:nvGrpSpPr>
        <xdr:cNvPr id="261" name="Group 260">
          <a:extLst>
            <a:ext uri="{FF2B5EF4-FFF2-40B4-BE49-F238E27FC236}">
              <a16:creationId xmlns:a16="http://schemas.microsoft.com/office/drawing/2014/main" id="{1054BB7C-545A-4DF6-86D2-4F23D040A34C}"/>
            </a:ext>
          </a:extLst>
        </xdr:cNvPr>
        <xdr:cNvGrpSpPr/>
      </xdr:nvGrpSpPr>
      <xdr:grpSpPr>
        <a:xfrm>
          <a:off x="7043305" y="2971672"/>
          <a:ext cx="394978" cy="466603"/>
          <a:chOff x="7397337" y="3186544"/>
          <a:chExt cx="395844" cy="457200"/>
        </a:xfrm>
      </xdr:grpSpPr>
      <xdr:sp macro="" textlink="Pivottables!D39">
        <xdr:nvSpPr>
          <xdr:cNvPr id="262" name="TextBox 261">
            <a:extLst>
              <a:ext uri="{FF2B5EF4-FFF2-40B4-BE49-F238E27FC236}">
                <a16:creationId xmlns:a16="http://schemas.microsoft.com/office/drawing/2014/main" id="{54BA9DFD-F55D-4918-9CE4-BF96109ECE0D}"/>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3" name="TextBox 262">
            <a:extLst>
              <a:ext uri="{FF2B5EF4-FFF2-40B4-BE49-F238E27FC236}">
                <a16:creationId xmlns:a16="http://schemas.microsoft.com/office/drawing/2014/main" id="{5D9997AD-AF6C-4B76-AFBA-531A41EE7678}"/>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338571</xdr:colOff>
      <xdr:row>17</xdr:row>
      <xdr:rowOff>61786</xdr:rowOff>
    </xdr:from>
    <xdr:to>
      <xdr:col>12</xdr:col>
      <xdr:colOff>123949</xdr:colOff>
      <xdr:row>19</xdr:row>
      <xdr:rowOff>166438</xdr:rowOff>
    </xdr:to>
    <xdr:grpSp>
      <xdr:nvGrpSpPr>
        <xdr:cNvPr id="264" name="Group 263">
          <a:extLst>
            <a:ext uri="{FF2B5EF4-FFF2-40B4-BE49-F238E27FC236}">
              <a16:creationId xmlns:a16="http://schemas.microsoft.com/office/drawing/2014/main" id="{1EF0BCAD-48FB-4E68-85DF-08EDCD7BBA81}"/>
            </a:ext>
          </a:extLst>
        </xdr:cNvPr>
        <xdr:cNvGrpSpPr/>
      </xdr:nvGrpSpPr>
      <xdr:grpSpPr>
        <a:xfrm>
          <a:off x="7044171" y="3138361"/>
          <a:ext cx="394978" cy="466602"/>
          <a:chOff x="7397337" y="3186544"/>
          <a:chExt cx="395844" cy="457200"/>
        </a:xfrm>
      </xdr:grpSpPr>
      <xdr:sp macro="" textlink="Pivottables!D39">
        <xdr:nvSpPr>
          <xdr:cNvPr id="265" name="TextBox 264">
            <a:extLst>
              <a:ext uri="{FF2B5EF4-FFF2-40B4-BE49-F238E27FC236}">
                <a16:creationId xmlns:a16="http://schemas.microsoft.com/office/drawing/2014/main" id="{1C7885EF-4EC2-4242-BEBC-1F9EB2531BB5}"/>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6" name="TextBox 265">
            <a:extLst>
              <a:ext uri="{FF2B5EF4-FFF2-40B4-BE49-F238E27FC236}">
                <a16:creationId xmlns:a16="http://schemas.microsoft.com/office/drawing/2014/main" id="{596147FD-3DCE-44FB-A1AD-0F813A17A874}"/>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337272</xdr:colOff>
      <xdr:row>18</xdr:row>
      <xdr:rowOff>51829</xdr:rowOff>
    </xdr:from>
    <xdr:to>
      <xdr:col>12</xdr:col>
      <xdr:colOff>122650</xdr:colOff>
      <xdr:row>20</xdr:row>
      <xdr:rowOff>156481</xdr:rowOff>
    </xdr:to>
    <xdr:grpSp>
      <xdr:nvGrpSpPr>
        <xdr:cNvPr id="267" name="Group 266">
          <a:extLst>
            <a:ext uri="{FF2B5EF4-FFF2-40B4-BE49-F238E27FC236}">
              <a16:creationId xmlns:a16="http://schemas.microsoft.com/office/drawing/2014/main" id="{EB0985A0-C0F4-45E0-8638-C9B6EDDFFC50}"/>
            </a:ext>
          </a:extLst>
        </xdr:cNvPr>
        <xdr:cNvGrpSpPr/>
      </xdr:nvGrpSpPr>
      <xdr:grpSpPr>
        <a:xfrm>
          <a:off x="7042872" y="3309379"/>
          <a:ext cx="394978" cy="466602"/>
          <a:chOff x="7397337" y="3186544"/>
          <a:chExt cx="395844" cy="457200"/>
        </a:xfrm>
      </xdr:grpSpPr>
      <xdr:sp macro="" textlink="Pivottables!D39">
        <xdr:nvSpPr>
          <xdr:cNvPr id="268" name="TextBox 267">
            <a:extLst>
              <a:ext uri="{FF2B5EF4-FFF2-40B4-BE49-F238E27FC236}">
                <a16:creationId xmlns:a16="http://schemas.microsoft.com/office/drawing/2014/main" id="{73460BEA-50D9-4F59-A58F-3011023EBF6A}"/>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9" name="TextBox 268">
            <a:extLst>
              <a:ext uri="{FF2B5EF4-FFF2-40B4-BE49-F238E27FC236}">
                <a16:creationId xmlns:a16="http://schemas.microsoft.com/office/drawing/2014/main" id="{0E8A1124-52D5-4941-8522-588A0A326533}"/>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519978</xdr:colOff>
      <xdr:row>17</xdr:row>
      <xdr:rowOff>65684</xdr:rowOff>
    </xdr:from>
    <xdr:to>
      <xdr:col>12</xdr:col>
      <xdr:colOff>305356</xdr:colOff>
      <xdr:row>19</xdr:row>
      <xdr:rowOff>170336</xdr:rowOff>
    </xdr:to>
    <xdr:grpSp>
      <xdr:nvGrpSpPr>
        <xdr:cNvPr id="270" name="Group 269">
          <a:extLst>
            <a:ext uri="{FF2B5EF4-FFF2-40B4-BE49-F238E27FC236}">
              <a16:creationId xmlns:a16="http://schemas.microsoft.com/office/drawing/2014/main" id="{8F946309-B40C-4F12-9545-0F67273305ED}"/>
            </a:ext>
          </a:extLst>
        </xdr:cNvPr>
        <xdr:cNvGrpSpPr/>
      </xdr:nvGrpSpPr>
      <xdr:grpSpPr>
        <a:xfrm>
          <a:off x="7225578" y="3142259"/>
          <a:ext cx="394978" cy="466602"/>
          <a:chOff x="7397337" y="3186544"/>
          <a:chExt cx="395844" cy="457200"/>
        </a:xfrm>
      </xdr:grpSpPr>
      <xdr:sp macro="" textlink="Pivottables!D39">
        <xdr:nvSpPr>
          <xdr:cNvPr id="271" name="TextBox 270">
            <a:extLst>
              <a:ext uri="{FF2B5EF4-FFF2-40B4-BE49-F238E27FC236}">
                <a16:creationId xmlns:a16="http://schemas.microsoft.com/office/drawing/2014/main" id="{FDAE707E-877B-4947-94BE-A754B18617FD}"/>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72" name="TextBox 271">
            <a:extLst>
              <a:ext uri="{FF2B5EF4-FFF2-40B4-BE49-F238E27FC236}">
                <a16:creationId xmlns:a16="http://schemas.microsoft.com/office/drawing/2014/main" id="{B12EA68E-75D8-43DD-91BC-3A64652CB8E0}"/>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283791</xdr:colOff>
      <xdr:row>21</xdr:row>
      <xdr:rowOff>106594</xdr:rowOff>
    </xdr:from>
    <xdr:to>
      <xdr:col>13</xdr:col>
      <xdr:colOff>30222</xdr:colOff>
      <xdr:row>24</xdr:row>
      <xdr:rowOff>15155</xdr:rowOff>
    </xdr:to>
    <xdr:grpSp>
      <xdr:nvGrpSpPr>
        <xdr:cNvPr id="79" name="Group 78">
          <a:extLst>
            <a:ext uri="{FF2B5EF4-FFF2-40B4-BE49-F238E27FC236}">
              <a16:creationId xmlns:a16="http://schemas.microsoft.com/office/drawing/2014/main" id="{34236F4E-62A6-4EAF-B4E6-263E2826A73E}"/>
            </a:ext>
          </a:extLst>
        </xdr:cNvPr>
        <xdr:cNvGrpSpPr/>
      </xdr:nvGrpSpPr>
      <xdr:grpSpPr>
        <a:xfrm>
          <a:off x="7598991" y="3907069"/>
          <a:ext cx="356031" cy="451486"/>
          <a:chOff x="7538720" y="4185920"/>
          <a:chExt cx="355600" cy="457200"/>
        </a:xfrm>
      </xdr:grpSpPr>
      <xdr:sp macro="" textlink="Pivottables!D36">
        <xdr:nvSpPr>
          <xdr:cNvPr id="78" name="TextBox 77">
            <a:extLst>
              <a:ext uri="{FF2B5EF4-FFF2-40B4-BE49-F238E27FC236}">
                <a16:creationId xmlns:a16="http://schemas.microsoft.com/office/drawing/2014/main" id="{FCAE0833-C188-4B76-9715-2DC62C735B29}"/>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276" name="TextBox 275">
            <a:extLst>
              <a:ext uri="{FF2B5EF4-FFF2-40B4-BE49-F238E27FC236}">
                <a16:creationId xmlns:a16="http://schemas.microsoft.com/office/drawing/2014/main" id="{3A6CD08E-7529-4E97-9E3D-1F269995E772}"/>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13</xdr:col>
      <xdr:colOff>124848</xdr:colOff>
      <xdr:row>22</xdr:row>
      <xdr:rowOff>70001</xdr:rowOff>
    </xdr:from>
    <xdr:to>
      <xdr:col>13</xdr:col>
      <xdr:colOff>480018</xdr:colOff>
      <xdr:row>24</xdr:row>
      <xdr:rowOff>39521</xdr:rowOff>
    </xdr:to>
    <xdr:grpSp>
      <xdr:nvGrpSpPr>
        <xdr:cNvPr id="80" name="Group 79">
          <a:extLst>
            <a:ext uri="{FF2B5EF4-FFF2-40B4-BE49-F238E27FC236}">
              <a16:creationId xmlns:a16="http://schemas.microsoft.com/office/drawing/2014/main" id="{4C0DCB0B-2853-4603-AFB4-3A33F20CCD8E}"/>
            </a:ext>
          </a:extLst>
        </xdr:cNvPr>
        <xdr:cNvGrpSpPr/>
      </xdr:nvGrpSpPr>
      <xdr:grpSpPr>
        <a:xfrm>
          <a:off x="8049648" y="4051451"/>
          <a:ext cx="355170" cy="331470"/>
          <a:chOff x="8432800" y="4185920"/>
          <a:chExt cx="355600" cy="335280"/>
        </a:xfrm>
      </xdr:grpSpPr>
      <xdr:sp macro="" textlink="Pivottables!E36">
        <xdr:nvSpPr>
          <xdr:cNvPr id="322" name="TextBox 321">
            <a:extLst>
              <a:ext uri="{FF2B5EF4-FFF2-40B4-BE49-F238E27FC236}">
                <a16:creationId xmlns:a16="http://schemas.microsoft.com/office/drawing/2014/main" id="{A3B06B56-2AC1-4D74-92AA-829109B7754B}"/>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23" name="TextBox 322">
            <a:extLst>
              <a:ext uri="{FF2B5EF4-FFF2-40B4-BE49-F238E27FC236}">
                <a16:creationId xmlns:a16="http://schemas.microsoft.com/office/drawing/2014/main" id="{5BE3CA07-8C8A-462D-B9FB-3DF9561B0C5F}"/>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16445</xdr:colOff>
      <xdr:row>22</xdr:row>
      <xdr:rowOff>7146</xdr:rowOff>
    </xdr:from>
    <xdr:to>
      <xdr:col>12</xdr:col>
      <xdr:colOff>372045</xdr:colOff>
      <xdr:row>24</xdr:row>
      <xdr:rowOff>98673</xdr:rowOff>
    </xdr:to>
    <xdr:grpSp>
      <xdr:nvGrpSpPr>
        <xdr:cNvPr id="324" name="Group 323">
          <a:extLst>
            <a:ext uri="{FF2B5EF4-FFF2-40B4-BE49-F238E27FC236}">
              <a16:creationId xmlns:a16="http://schemas.microsoft.com/office/drawing/2014/main" id="{7833E2C1-0C2A-4F7D-B5BA-1AA71644EF26}"/>
            </a:ext>
          </a:extLst>
        </xdr:cNvPr>
        <xdr:cNvGrpSpPr/>
      </xdr:nvGrpSpPr>
      <xdr:grpSpPr>
        <a:xfrm>
          <a:off x="7331645" y="3988596"/>
          <a:ext cx="355600" cy="453477"/>
          <a:chOff x="7538720" y="4185920"/>
          <a:chExt cx="355600" cy="457200"/>
        </a:xfrm>
      </xdr:grpSpPr>
      <xdr:sp macro="" textlink="Pivottables!D36">
        <xdr:nvSpPr>
          <xdr:cNvPr id="325" name="TextBox 324">
            <a:extLst>
              <a:ext uri="{FF2B5EF4-FFF2-40B4-BE49-F238E27FC236}">
                <a16:creationId xmlns:a16="http://schemas.microsoft.com/office/drawing/2014/main" id="{5B09B154-3CAF-4CB9-8BB7-F1D1C1998929}"/>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26" name="TextBox 325">
            <a:extLst>
              <a:ext uri="{FF2B5EF4-FFF2-40B4-BE49-F238E27FC236}">
                <a16:creationId xmlns:a16="http://schemas.microsoft.com/office/drawing/2014/main" id="{619C7979-AF4B-452D-B06F-2678B4C0FE8C}"/>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107196</xdr:colOff>
      <xdr:row>23</xdr:row>
      <xdr:rowOff>138452</xdr:rowOff>
    </xdr:from>
    <xdr:to>
      <xdr:col>12</xdr:col>
      <xdr:colOff>462366</xdr:colOff>
      <xdr:row>25</xdr:row>
      <xdr:rowOff>107971</xdr:rowOff>
    </xdr:to>
    <xdr:grpSp>
      <xdr:nvGrpSpPr>
        <xdr:cNvPr id="327" name="Group 326">
          <a:extLst>
            <a:ext uri="{FF2B5EF4-FFF2-40B4-BE49-F238E27FC236}">
              <a16:creationId xmlns:a16="http://schemas.microsoft.com/office/drawing/2014/main" id="{1AAB0D6E-A11D-4F7D-9F73-0E37B9F2454C}"/>
            </a:ext>
          </a:extLst>
        </xdr:cNvPr>
        <xdr:cNvGrpSpPr/>
      </xdr:nvGrpSpPr>
      <xdr:grpSpPr>
        <a:xfrm>
          <a:off x="7422396" y="4300877"/>
          <a:ext cx="355170" cy="331469"/>
          <a:chOff x="8432800" y="4185920"/>
          <a:chExt cx="355600" cy="335280"/>
        </a:xfrm>
      </xdr:grpSpPr>
      <xdr:sp macro="" textlink="Pivottables!E36">
        <xdr:nvSpPr>
          <xdr:cNvPr id="328" name="TextBox 327">
            <a:extLst>
              <a:ext uri="{FF2B5EF4-FFF2-40B4-BE49-F238E27FC236}">
                <a16:creationId xmlns:a16="http://schemas.microsoft.com/office/drawing/2014/main" id="{64DFD4AD-2435-4121-94C0-0117C0D9326E}"/>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29" name="TextBox 328">
            <a:extLst>
              <a:ext uri="{FF2B5EF4-FFF2-40B4-BE49-F238E27FC236}">
                <a16:creationId xmlns:a16="http://schemas.microsoft.com/office/drawing/2014/main" id="{818ADE4D-A51E-401B-9D49-F613E129D564}"/>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554581</xdr:colOff>
      <xdr:row>21</xdr:row>
      <xdr:rowOff>104011</xdr:rowOff>
    </xdr:from>
    <xdr:to>
      <xdr:col>13</xdr:col>
      <xdr:colOff>301012</xdr:colOff>
      <xdr:row>24</xdr:row>
      <xdr:rowOff>12572</xdr:rowOff>
    </xdr:to>
    <xdr:grpSp>
      <xdr:nvGrpSpPr>
        <xdr:cNvPr id="330" name="Group 329">
          <a:extLst>
            <a:ext uri="{FF2B5EF4-FFF2-40B4-BE49-F238E27FC236}">
              <a16:creationId xmlns:a16="http://schemas.microsoft.com/office/drawing/2014/main" id="{E7024796-9DEC-4992-BD0E-48FF6F696E75}"/>
            </a:ext>
          </a:extLst>
        </xdr:cNvPr>
        <xdr:cNvGrpSpPr/>
      </xdr:nvGrpSpPr>
      <xdr:grpSpPr>
        <a:xfrm>
          <a:off x="7869781" y="3904486"/>
          <a:ext cx="356031" cy="451486"/>
          <a:chOff x="7538720" y="4185920"/>
          <a:chExt cx="355600" cy="457200"/>
        </a:xfrm>
      </xdr:grpSpPr>
      <xdr:sp macro="" textlink="Pivottables!D36">
        <xdr:nvSpPr>
          <xdr:cNvPr id="331" name="TextBox 330">
            <a:extLst>
              <a:ext uri="{FF2B5EF4-FFF2-40B4-BE49-F238E27FC236}">
                <a16:creationId xmlns:a16="http://schemas.microsoft.com/office/drawing/2014/main" id="{80AC2AFA-6A4B-430B-A13D-5354F7AF1915}"/>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32" name="TextBox 331">
            <a:extLst>
              <a:ext uri="{FF2B5EF4-FFF2-40B4-BE49-F238E27FC236}">
                <a16:creationId xmlns:a16="http://schemas.microsoft.com/office/drawing/2014/main" id="{1932D8C4-D31A-4D6B-8F5D-1EA972231ECF}"/>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463744</xdr:colOff>
      <xdr:row>22</xdr:row>
      <xdr:rowOff>92818</xdr:rowOff>
    </xdr:from>
    <xdr:to>
      <xdr:col>13</xdr:col>
      <xdr:colOff>210175</xdr:colOff>
      <xdr:row>25</xdr:row>
      <xdr:rowOff>1378</xdr:rowOff>
    </xdr:to>
    <xdr:grpSp>
      <xdr:nvGrpSpPr>
        <xdr:cNvPr id="333" name="Group 332">
          <a:extLst>
            <a:ext uri="{FF2B5EF4-FFF2-40B4-BE49-F238E27FC236}">
              <a16:creationId xmlns:a16="http://schemas.microsoft.com/office/drawing/2014/main" id="{78E87383-D0FC-4B79-B011-3BD3FF10448A}"/>
            </a:ext>
          </a:extLst>
        </xdr:cNvPr>
        <xdr:cNvGrpSpPr/>
      </xdr:nvGrpSpPr>
      <xdr:grpSpPr>
        <a:xfrm>
          <a:off x="7778944" y="4074268"/>
          <a:ext cx="356031" cy="451485"/>
          <a:chOff x="7538720" y="4185920"/>
          <a:chExt cx="355600" cy="457200"/>
        </a:xfrm>
      </xdr:grpSpPr>
      <xdr:sp macro="" textlink="Pivottables!D36">
        <xdr:nvSpPr>
          <xdr:cNvPr id="334" name="TextBox 333">
            <a:extLst>
              <a:ext uri="{FF2B5EF4-FFF2-40B4-BE49-F238E27FC236}">
                <a16:creationId xmlns:a16="http://schemas.microsoft.com/office/drawing/2014/main" id="{F55B9B44-8BC0-4331-928F-3849D992CB44}"/>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35" name="TextBox 334">
            <a:extLst>
              <a:ext uri="{FF2B5EF4-FFF2-40B4-BE49-F238E27FC236}">
                <a16:creationId xmlns:a16="http://schemas.microsoft.com/office/drawing/2014/main" id="{75E01D41-C323-48ED-B2FA-867B45F4CB65}"/>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555873</xdr:colOff>
      <xdr:row>22</xdr:row>
      <xdr:rowOff>88082</xdr:rowOff>
    </xdr:from>
    <xdr:to>
      <xdr:col>13</xdr:col>
      <xdr:colOff>302304</xdr:colOff>
      <xdr:row>24</xdr:row>
      <xdr:rowOff>179609</xdr:rowOff>
    </xdr:to>
    <xdr:grpSp>
      <xdr:nvGrpSpPr>
        <xdr:cNvPr id="336" name="Group 335">
          <a:extLst>
            <a:ext uri="{FF2B5EF4-FFF2-40B4-BE49-F238E27FC236}">
              <a16:creationId xmlns:a16="http://schemas.microsoft.com/office/drawing/2014/main" id="{136DF0F4-2787-4F56-B2CF-036DE197DBB8}"/>
            </a:ext>
          </a:extLst>
        </xdr:cNvPr>
        <xdr:cNvGrpSpPr/>
      </xdr:nvGrpSpPr>
      <xdr:grpSpPr>
        <a:xfrm>
          <a:off x="7871073" y="4069532"/>
          <a:ext cx="356031" cy="453477"/>
          <a:chOff x="7538720" y="4185920"/>
          <a:chExt cx="355600" cy="457200"/>
        </a:xfrm>
      </xdr:grpSpPr>
      <xdr:sp macro="" textlink="Pivottables!D36">
        <xdr:nvSpPr>
          <xdr:cNvPr id="337" name="TextBox 336">
            <a:extLst>
              <a:ext uri="{FF2B5EF4-FFF2-40B4-BE49-F238E27FC236}">
                <a16:creationId xmlns:a16="http://schemas.microsoft.com/office/drawing/2014/main" id="{84230225-07B4-4287-B085-CB4B1709CBDC}"/>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38" name="TextBox 337">
            <a:extLst>
              <a:ext uri="{FF2B5EF4-FFF2-40B4-BE49-F238E27FC236}">
                <a16:creationId xmlns:a16="http://schemas.microsoft.com/office/drawing/2014/main" id="{22B0E55C-5830-48BA-9E0C-642D5C98DC00}"/>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553291</xdr:colOff>
      <xdr:row>22</xdr:row>
      <xdr:rowOff>178058</xdr:rowOff>
    </xdr:from>
    <xdr:to>
      <xdr:col>13</xdr:col>
      <xdr:colOff>299722</xdr:colOff>
      <xdr:row>25</xdr:row>
      <xdr:rowOff>86618</xdr:rowOff>
    </xdr:to>
    <xdr:grpSp>
      <xdr:nvGrpSpPr>
        <xdr:cNvPr id="339" name="Group 338">
          <a:extLst>
            <a:ext uri="{FF2B5EF4-FFF2-40B4-BE49-F238E27FC236}">
              <a16:creationId xmlns:a16="http://schemas.microsoft.com/office/drawing/2014/main" id="{9D376BC1-C89A-49A0-8DD3-FE4ED770AA08}"/>
            </a:ext>
          </a:extLst>
        </xdr:cNvPr>
        <xdr:cNvGrpSpPr/>
      </xdr:nvGrpSpPr>
      <xdr:grpSpPr>
        <a:xfrm>
          <a:off x="7868491" y="4159508"/>
          <a:ext cx="356031" cy="451485"/>
          <a:chOff x="7538720" y="4185920"/>
          <a:chExt cx="355600" cy="457200"/>
        </a:xfrm>
      </xdr:grpSpPr>
      <xdr:sp macro="" textlink="Pivottables!D36">
        <xdr:nvSpPr>
          <xdr:cNvPr id="340" name="TextBox 339">
            <a:extLst>
              <a:ext uri="{FF2B5EF4-FFF2-40B4-BE49-F238E27FC236}">
                <a16:creationId xmlns:a16="http://schemas.microsoft.com/office/drawing/2014/main" id="{75B1520B-E298-43D0-97EB-A09E4E3BD4FD}"/>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41" name="TextBox 340">
            <a:extLst>
              <a:ext uri="{FF2B5EF4-FFF2-40B4-BE49-F238E27FC236}">
                <a16:creationId xmlns:a16="http://schemas.microsoft.com/office/drawing/2014/main" id="{BD21ABF1-7A3C-48FE-983E-C0D8666C77BB}"/>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466760</xdr:colOff>
      <xdr:row>22</xdr:row>
      <xdr:rowOff>179779</xdr:rowOff>
    </xdr:from>
    <xdr:to>
      <xdr:col>13</xdr:col>
      <xdr:colOff>213191</xdr:colOff>
      <xdr:row>25</xdr:row>
      <xdr:rowOff>88339</xdr:rowOff>
    </xdr:to>
    <xdr:grpSp>
      <xdr:nvGrpSpPr>
        <xdr:cNvPr id="342" name="Group 341">
          <a:extLst>
            <a:ext uri="{FF2B5EF4-FFF2-40B4-BE49-F238E27FC236}">
              <a16:creationId xmlns:a16="http://schemas.microsoft.com/office/drawing/2014/main" id="{B1108F43-33D8-4295-AC13-83DEDDDEC6B4}"/>
            </a:ext>
          </a:extLst>
        </xdr:cNvPr>
        <xdr:cNvGrpSpPr/>
      </xdr:nvGrpSpPr>
      <xdr:grpSpPr>
        <a:xfrm>
          <a:off x="7781960" y="4161229"/>
          <a:ext cx="356031" cy="451485"/>
          <a:chOff x="7538720" y="4185920"/>
          <a:chExt cx="355600" cy="457200"/>
        </a:xfrm>
      </xdr:grpSpPr>
      <xdr:sp macro="" textlink="Pivottables!D36">
        <xdr:nvSpPr>
          <xdr:cNvPr id="343" name="TextBox 342">
            <a:extLst>
              <a:ext uri="{FF2B5EF4-FFF2-40B4-BE49-F238E27FC236}">
                <a16:creationId xmlns:a16="http://schemas.microsoft.com/office/drawing/2014/main" id="{14E4F9F4-A527-4F5E-BD8F-A6E41B4115F2}"/>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44" name="TextBox 343">
            <a:extLst>
              <a:ext uri="{FF2B5EF4-FFF2-40B4-BE49-F238E27FC236}">
                <a16:creationId xmlns:a16="http://schemas.microsoft.com/office/drawing/2014/main" id="{7A6E8F51-75E4-46D8-8815-33A1A495816B}"/>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378076</xdr:colOff>
      <xdr:row>22</xdr:row>
      <xdr:rowOff>175042</xdr:rowOff>
    </xdr:from>
    <xdr:to>
      <xdr:col>13</xdr:col>
      <xdr:colOff>124507</xdr:colOff>
      <xdr:row>25</xdr:row>
      <xdr:rowOff>83602</xdr:rowOff>
    </xdr:to>
    <xdr:grpSp>
      <xdr:nvGrpSpPr>
        <xdr:cNvPr id="345" name="Group 344">
          <a:extLst>
            <a:ext uri="{FF2B5EF4-FFF2-40B4-BE49-F238E27FC236}">
              <a16:creationId xmlns:a16="http://schemas.microsoft.com/office/drawing/2014/main" id="{8BDA7781-3F55-462E-BB20-549976D414F0}"/>
            </a:ext>
          </a:extLst>
        </xdr:cNvPr>
        <xdr:cNvGrpSpPr/>
      </xdr:nvGrpSpPr>
      <xdr:grpSpPr>
        <a:xfrm>
          <a:off x="7693276" y="4156492"/>
          <a:ext cx="356031" cy="451485"/>
          <a:chOff x="7538720" y="4185920"/>
          <a:chExt cx="355600" cy="457200"/>
        </a:xfrm>
      </xdr:grpSpPr>
      <xdr:sp macro="" textlink="Pivottables!D36">
        <xdr:nvSpPr>
          <xdr:cNvPr id="346" name="TextBox 345">
            <a:extLst>
              <a:ext uri="{FF2B5EF4-FFF2-40B4-BE49-F238E27FC236}">
                <a16:creationId xmlns:a16="http://schemas.microsoft.com/office/drawing/2014/main" id="{1464E7AD-9EBA-47ED-9F64-4797A3E1CC2A}"/>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47" name="TextBox 346">
            <a:extLst>
              <a:ext uri="{FF2B5EF4-FFF2-40B4-BE49-F238E27FC236}">
                <a16:creationId xmlns:a16="http://schemas.microsoft.com/office/drawing/2014/main" id="{ECC6A269-0EE1-4FA6-BC05-E2C2E740B594}"/>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108578</xdr:colOff>
      <xdr:row>22</xdr:row>
      <xdr:rowOff>90661</xdr:rowOff>
    </xdr:from>
    <xdr:to>
      <xdr:col>12</xdr:col>
      <xdr:colOff>464178</xdr:colOff>
      <xdr:row>24</xdr:row>
      <xdr:rowOff>182188</xdr:rowOff>
    </xdr:to>
    <xdr:grpSp>
      <xdr:nvGrpSpPr>
        <xdr:cNvPr id="348" name="Group 347">
          <a:extLst>
            <a:ext uri="{FF2B5EF4-FFF2-40B4-BE49-F238E27FC236}">
              <a16:creationId xmlns:a16="http://schemas.microsoft.com/office/drawing/2014/main" id="{3DE4A5C5-B365-412F-AAF5-7CB2CCEB244D}"/>
            </a:ext>
          </a:extLst>
        </xdr:cNvPr>
        <xdr:cNvGrpSpPr/>
      </xdr:nvGrpSpPr>
      <xdr:grpSpPr>
        <a:xfrm>
          <a:off x="7423778" y="4072111"/>
          <a:ext cx="355600" cy="453477"/>
          <a:chOff x="7538720" y="4185920"/>
          <a:chExt cx="355600" cy="457200"/>
        </a:xfrm>
      </xdr:grpSpPr>
      <xdr:sp macro="" textlink="Pivottables!D36">
        <xdr:nvSpPr>
          <xdr:cNvPr id="349" name="TextBox 348">
            <a:extLst>
              <a:ext uri="{FF2B5EF4-FFF2-40B4-BE49-F238E27FC236}">
                <a16:creationId xmlns:a16="http://schemas.microsoft.com/office/drawing/2014/main" id="{47F82C62-DA13-4093-89FD-966046842FAD}"/>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0" name="TextBox 349">
            <a:extLst>
              <a:ext uri="{FF2B5EF4-FFF2-40B4-BE49-F238E27FC236}">
                <a16:creationId xmlns:a16="http://schemas.microsoft.com/office/drawing/2014/main" id="{42201450-6FA9-4EDA-99F5-BCD77954EA7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13</xdr:col>
      <xdr:colOff>213623</xdr:colOff>
      <xdr:row>23</xdr:row>
      <xdr:rowOff>81619</xdr:rowOff>
    </xdr:from>
    <xdr:to>
      <xdr:col>13</xdr:col>
      <xdr:colOff>569223</xdr:colOff>
      <xdr:row>25</xdr:row>
      <xdr:rowOff>173145</xdr:rowOff>
    </xdr:to>
    <xdr:grpSp>
      <xdr:nvGrpSpPr>
        <xdr:cNvPr id="351" name="Group 350">
          <a:extLst>
            <a:ext uri="{FF2B5EF4-FFF2-40B4-BE49-F238E27FC236}">
              <a16:creationId xmlns:a16="http://schemas.microsoft.com/office/drawing/2014/main" id="{16230CA6-0975-4284-A597-F2A786AA5A00}"/>
            </a:ext>
          </a:extLst>
        </xdr:cNvPr>
        <xdr:cNvGrpSpPr/>
      </xdr:nvGrpSpPr>
      <xdr:grpSpPr>
        <a:xfrm>
          <a:off x="8138423" y="4244044"/>
          <a:ext cx="355600" cy="453476"/>
          <a:chOff x="7538720" y="4185920"/>
          <a:chExt cx="355600" cy="457200"/>
        </a:xfrm>
      </xdr:grpSpPr>
      <xdr:sp macro="" textlink="Pivottables!D36">
        <xdr:nvSpPr>
          <xdr:cNvPr id="352" name="TextBox 351">
            <a:extLst>
              <a:ext uri="{FF2B5EF4-FFF2-40B4-BE49-F238E27FC236}">
                <a16:creationId xmlns:a16="http://schemas.microsoft.com/office/drawing/2014/main" id="{895C4BE2-E7CE-48E3-AF2A-DC2D196129C7}"/>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3" name="TextBox 352">
            <a:extLst>
              <a:ext uri="{FF2B5EF4-FFF2-40B4-BE49-F238E27FC236}">
                <a16:creationId xmlns:a16="http://schemas.microsoft.com/office/drawing/2014/main" id="{43EBAEDE-952C-4D54-8905-DDDF8769862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13</xdr:col>
      <xdr:colOff>36684</xdr:colOff>
      <xdr:row>23</xdr:row>
      <xdr:rowOff>162984</xdr:rowOff>
    </xdr:from>
    <xdr:to>
      <xdr:col>13</xdr:col>
      <xdr:colOff>392284</xdr:colOff>
      <xdr:row>26</xdr:row>
      <xdr:rowOff>71544</xdr:rowOff>
    </xdr:to>
    <xdr:grpSp>
      <xdr:nvGrpSpPr>
        <xdr:cNvPr id="354" name="Group 353">
          <a:extLst>
            <a:ext uri="{FF2B5EF4-FFF2-40B4-BE49-F238E27FC236}">
              <a16:creationId xmlns:a16="http://schemas.microsoft.com/office/drawing/2014/main" id="{A1001EE3-516D-4DA2-8422-2493CCD90D10}"/>
            </a:ext>
          </a:extLst>
        </xdr:cNvPr>
        <xdr:cNvGrpSpPr/>
      </xdr:nvGrpSpPr>
      <xdr:grpSpPr>
        <a:xfrm>
          <a:off x="7961484" y="4325409"/>
          <a:ext cx="355600" cy="451485"/>
          <a:chOff x="7538720" y="4185920"/>
          <a:chExt cx="355600" cy="457200"/>
        </a:xfrm>
      </xdr:grpSpPr>
      <xdr:sp macro="" textlink="Pivottables!D36">
        <xdr:nvSpPr>
          <xdr:cNvPr id="355" name="TextBox 354">
            <a:extLst>
              <a:ext uri="{FF2B5EF4-FFF2-40B4-BE49-F238E27FC236}">
                <a16:creationId xmlns:a16="http://schemas.microsoft.com/office/drawing/2014/main" id="{CCC1F756-1427-4C64-AA95-5654766F6FF7}"/>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6" name="TextBox 355">
            <a:extLst>
              <a:ext uri="{FF2B5EF4-FFF2-40B4-BE49-F238E27FC236}">
                <a16:creationId xmlns:a16="http://schemas.microsoft.com/office/drawing/2014/main" id="{B73F330C-0510-4B29-B159-C6AE1C30A36A}"/>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557169</xdr:colOff>
      <xdr:row>24</xdr:row>
      <xdr:rowOff>67842</xdr:rowOff>
    </xdr:from>
    <xdr:to>
      <xdr:col>13</xdr:col>
      <xdr:colOff>303600</xdr:colOff>
      <xdr:row>26</xdr:row>
      <xdr:rowOff>159368</xdr:rowOff>
    </xdr:to>
    <xdr:grpSp>
      <xdr:nvGrpSpPr>
        <xdr:cNvPr id="357" name="Group 356">
          <a:extLst>
            <a:ext uri="{FF2B5EF4-FFF2-40B4-BE49-F238E27FC236}">
              <a16:creationId xmlns:a16="http://schemas.microsoft.com/office/drawing/2014/main" id="{D8664701-1209-4578-A42C-93D349A3718A}"/>
            </a:ext>
          </a:extLst>
        </xdr:cNvPr>
        <xdr:cNvGrpSpPr/>
      </xdr:nvGrpSpPr>
      <xdr:grpSpPr>
        <a:xfrm>
          <a:off x="7872369" y="4411242"/>
          <a:ext cx="356031" cy="453476"/>
          <a:chOff x="7538720" y="4185920"/>
          <a:chExt cx="355600" cy="457200"/>
        </a:xfrm>
      </xdr:grpSpPr>
      <xdr:sp macro="" textlink="Pivottables!D36">
        <xdr:nvSpPr>
          <xdr:cNvPr id="358" name="TextBox 357">
            <a:extLst>
              <a:ext uri="{FF2B5EF4-FFF2-40B4-BE49-F238E27FC236}">
                <a16:creationId xmlns:a16="http://schemas.microsoft.com/office/drawing/2014/main" id="{02D77D7A-3C4D-46F1-9111-90F3D87A011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9" name="TextBox 358">
            <a:extLst>
              <a:ext uri="{FF2B5EF4-FFF2-40B4-BE49-F238E27FC236}">
                <a16:creationId xmlns:a16="http://schemas.microsoft.com/office/drawing/2014/main" id="{21DD031D-615A-4BAE-AFA2-F107EC78F362}"/>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466332</xdr:colOff>
      <xdr:row>24</xdr:row>
      <xdr:rowOff>157819</xdr:rowOff>
    </xdr:from>
    <xdr:to>
      <xdr:col>13</xdr:col>
      <xdr:colOff>212763</xdr:colOff>
      <xdr:row>27</xdr:row>
      <xdr:rowOff>66379</xdr:rowOff>
    </xdr:to>
    <xdr:grpSp>
      <xdr:nvGrpSpPr>
        <xdr:cNvPr id="360" name="Group 359">
          <a:extLst>
            <a:ext uri="{FF2B5EF4-FFF2-40B4-BE49-F238E27FC236}">
              <a16:creationId xmlns:a16="http://schemas.microsoft.com/office/drawing/2014/main" id="{66660596-F91F-454B-8B6A-4D7A1B31208E}"/>
            </a:ext>
          </a:extLst>
        </xdr:cNvPr>
        <xdr:cNvGrpSpPr/>
      </xdr:nvGrpSpPr>
      <xdr:grpSpPr>
        <a:xfrm>
          <a:off x="7781532" y="4501219"/>
          <a:ext cx="356031" cy="451485"/>
          <a:chOff x="7538720" y="4185920"/>
          <a:chExt cx="355600" cy="457200"/>
        </a:xfrm>
      </xdr:grpSpPr>
      <xdr:sp macro="" textlink="Pivottables!D36">
        <xdr:nvSpPr>
          <xdr:cNvPr id="361" name="TextBox 360">
            <a:extLst>
              <a:ext uri="{FF2B5EF4-FFF2-40B4-BE49-F238E27FC236}">
                <a16:creationId xmlns:a16="http://schemas.microsoft.com/office/drawing/2014/main" id="{F885C470-B503-49C7-80DF-873A31225556}"/>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62" name="TextBox 361">
            <a:extLst>
              <a:ext uri="{FF2B5EF4-FFF2-40B4-BE49-F238E27FC236}">
                <a16:creationId xmlns:a16="http://schemas.microsoft.com/office/drawing/2014/main" id="{FDA9D078-E07B-4B6F-B47D-A354FFC6DBE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285857</xdr:colOff>
      <xdr:row>22</xdr:row>
      <xdr:rowOff>153519</xdr:rowOff>
    </xdr:from>
    <xdr:to>
      <xdr:col>13</xdr:col>
      <xdr:colOff>31858</xdr:colOff>
      <xdr:row>24</xdr:row>
      <xdr:rowOff>123039</xdr:rowOff>
    </xdr:to>
    <xdr:grpSp>
      <xdr:nvGrpSpPr>
        <xdr:cNvPr id="363" name="Group 362">
          <a:extLst>
            <a:ext uri="{FF2B5EF4-FFF2-40B4-BE49-F238E27FC236}">
              <a16:creationId xmlns:a16="http://schemas.microsoft.com/office/drawing/2014/main" id="{32D03C25-4163-4947-AD16-AF428E2299E6}"/>
            </a:ext>
          </a:extLst>
        </xdr:cNvPr>
        <xdr:cNvGrpSpPr/>
      </xdr:nvGrpSpPr>
      <xdr:grpSpPr>
        <a:xfrm>
          <a:off x="7601057" y="4134969"/>
          <a:ext cx="355601" cy="331470"/>
          <a:chOff x="8432800" y="4185920"/>
          <a:chExt cx="355600" cy="335280"/>
        </a:xfrm>
      </xdr:grpSpPr>
      <xdr:sp macro="" textlink="Pivottables!E36">
        <xdr:nvSpPr>
          <xdr:cNvPr id="364" name="TextBox 363">
            <a:extLst>
              <a:ext uri="{FF2B5EF4-FFF2-40B4-BE49-F238E27FC236}">
                <a16:creationId xmlns:a16="http://schemas.microsoft.com/office/drawing/2014/main" id="{86959DBD-E7CD-40C2-BD14-1E6D55B8CF41}"/>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65" name="TextBox 364">
            <a:extLst>
              <a:ext uri="{FF2B5EF4-FFF2-40B4-BE49-F238E27FC236}">
                <a16:creationId xmlns:a16="http://schemas.microsoft.com/office/drawing/2014/main" id="{7509260E-DC57-42EF-B81C-666678FD1B90}"/>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287579</xdr:colOff>
      <xdr:row>23</xdr:row>
      <xdr:rowOff>142325</xdr:rowOff>
    </xdr:from>
    <xdr:to>
      <xdr:col>13</xdr:col>
      <xdr:colOff>33580</xdr:colOff>
      <xdr:row>25</xdr:row>
      <xdr:rowOff>111844</xdr:rowOff>
    </xdr:to>
    <xdr:grpSp>
      <xdr:nvGrpSpPr>
        <xdr:cNvPr id="366" name="Group 365">
          <a:extLst>
            <a:ext uri="{FF2B5EF4-FFF2-40B4-BE49-F238E27FC236}">
              <a16:creationId xmlns:a16="http://schemas.microsoft.com/office/drawing/2014/main" id="{21C46CE5-615E-4A37-84A7-551B68F277F6}"/>
            </a:ext>
          </a:extLst>
        </xdr:cNvPr>
        <xdr:cNvGrpSpPr/>
      </xdr:nvGrpSpPr>
      <xdr:grpSpPr>
        <a:xfrm>
          <a:off x="7602779" y="4304750"/>
          <a:ext cx="355601" cy="331469"/>
          <a:chOff x="8432800" y="4185920"/>
          <a:chExt cx="355600" cy="335280"/>
        </a:xfrm>
      </xdr:grpSpPr>
      <xdr:sp macro="" textlink="Pivottables!E36">
        <xdr:nvSpPr>
          <xdr:cNvPr id="367" name="TextBox 366">
            <a:extLst>
              <a:ext uri="{FF2B5EF4-FFF2-40B4-BE49-F238E27FC236}">
                <a16:creationId xmlns:a16="http://schemas.microsoft.com/office/drawing/2014/main" id="{E1A906C3-44F7-412F-9257-DC0A6515FE46}"/>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68" name="TextBox 367">
            <a:extLst>
              <a:ext uri="{FF2B5EF4-FFF2-40B4-BE49-F238E27FC236}">
                <a16:creationId xmlns:a16="http://schemas.microsoft.com/office/drawing/2014/main" id="{48568DF1-FD71-4834-B84E-D6872CBAD6ED}"/>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465810</xdr:colOff>
      <xdr:row>24</xdr:row>
      <xdr:rowOff>42876</xdr:rowOff>
    </xdr:from>
    <xdr:to>
      <xdr:col>13</xdr:col>
      <xdr:colOff>211811</xdr:colOff>
      <xdr:row>26</xdr:row>
      <xdr:rowOff>12395</xdr:rowOff>
    </xdr:to>
    <xdr:grpSp>
      <xdr:nvGrpSpPr>
        <xdr:cNvPr id="369" name="Group 368">
          <a:extLst>
            <a:ext uri="{FF2B5EF4-FFF2-40B4-BE49-F238E27FC236}">
              <a16:creationId xmlns:a16="http://schemas.microsoft.com/office/drawing/2014/main" id="{02FB3CDC-2ABB-472C-AA94-0910130493C9}"/>
            </a:ext>
          </a:extLst>
        </xdr:cNvPr>
        <xdr:cNvGrpSpPr/>
      </xdr:nvGrpSpPr>
      <xdr:grpSpPr>
        <a:xfrm>
          <a:off x="7781010" y="4386276"/>
          <a:ext cx="355601" cy="331469"/>
          <a:chOff x="8432800" y="4185920"/>
          <a:chExt cx="355600" cy="335280"/>
        </a:xfrm>
      </xdr:grpSpPr>
      <xdr:sp macro="" textlink="Pivottables!E36">
        <xdr:nvSpPr>
          <xdr:cNvPr id="370" name="TextBox 369">
            <a:extLst>
              <a:ext uri="{FF2B5EF4-FFF2-40B4-BE49-F238E27FC236}">
                <a16:creationId xmlns:a16="http://schemas.microsoft.com/office/drawing/2014/main" id="{B6F3F868-D059-4267-849D-97E3CEB3C728}"/>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71" name="TextBox 370">
            <a:extLst>
              <a:ext uri="{FF2B5EF4-FFF2-40B4-BE49-F238E27FC236}">
                <a16:creationId xmlns:a16="http://schemas.microsoft.com/office/drawing/2014/main" id="{C48A612B-42E5-447A-955D-ABE62B57BC98}"/>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13</xdr:col>
      <xdr:colOff>34872</xdr:colOff>
      <xdr:row>23</xdr:row>
      <xdr:rowOff>141461</xdr:rowOff>
    </xdr:from>
    <xdr:to>
      <xdr:col>13</xdr:col>
      <xdr:colOff>390042</xdr:colOff>
      <xdr:row>25</xdr:row>
      <xdr:rowOff>110980</xdr:rowOff>
    </xdr:to>
    <xdr:grpSp>
      <xdr:nvGrpSpPr>
        <xdr:cNvPr id="372" name="Group 371">
          <a:extLst>
            <a:ext uri="{FF2B5EF4-FFF2-40B4-BE49-F238E27FC236}">
              <a16:creationId xmlns:a16="http://schemas.microsoft.com/office/drawing/2014/main" id="{EDD14BEE-CB52-4DF1-B051-0EA852DBF266}"/>
            </a:ext>
          </a:extLst>
        </xdr:cNvPr>
        <xdr:cNvGrpSpPr/>
      </xdr:nvGrpSpPr>
      <xdr:grpSpPr>
        <a:xfrm>
          <a:off x="7959672" y="4303886"/>
          <a:ext cx="355170" cy="331469"/>
          <a:chOff x="8432800" y="4185920"/>
          <a:chExt cx="355600" cy="335280"/>
        </a:xfrm>
      </xdr:grpSpPr>
      <xdr:sp macro="" textlink="Pivottables!E36">
        <xdr:nvSpPr>
          <xdr:cNvPr id="373" name="TextBox 372">
            <a:extLst>
              <a:ext uri="{FF2B5EF4-FFF2-40B4-BE49-F238E27FC236}">
                <a16:creationId xmlns:a16="http://schemas.microsoft.com/office/drawing/2014/main" id="{C918E4C1-60B2-4910-BB0A-8C1080CB0A0F}"/>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74" name="TextBox 373">
            <a:extLst>
              <a:ext uri="{FF2B5EF4-FFF2-40B4-BE49-F238E27FC236}">
                <a16:creationId xmlns:a16="http://schemas.microsoft.com/office/drawing/2014/main" id="{497CE169-FE3F-406E-8304-E9EA2F5A6AA1}"/>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464950</xdr:colOff>
      <xdr:row>22</xdr:row>
      <xdr:rowOff>67843</xdr:rowOff>
    </xdr:from>
    <xdr:to>
      <xdr:col>13</xdr:col>
      <xdr:colOff>210951</xdr:colOff>
      <xdr:row>24</xdr:row>
      <xdr:rowOff>37363</xdr:rowOff>
    </xdr:to>
    <xdr:grpSp>
      <xdr:nvGrpSpPr>
        <xdr:cNvPr id="375" name="Group 374">
          <a:extLst>
            <a:ext uri="{FF2B5EF4-FFF2-40B4-BE49-F238E27FC236}">
              <a16:creationId xmlns:a16="http://schemas.microsoft.com/office/drawing/2014/main" id="{08D2FB9C-4641-4E0A-BB3C-EB9E22A853EE}"/>
            </a:ext>
          </a:extLst>
        </xdr:cNvPr>
        <xdr:cNvGrpSpPr/>
      </xdr:nvGrpSpPr>
      <xdr:grpSpPr>
        <a:xfrm>
          <a:off x="7780150" y="4049293"/>
          <a:ext cx="355601" cy="331470"/>
          <a:chOff x="8432800" y="4185920"/>
          <a:chExt cx="355600" cy="335280"/>
        </a:xfrm>
      </xdr:grpSpPr>
      <xdr:sp macro="" textlink="Pivottables!E36">
        <xdr:nvSpPr>
          <xdr:cNvPr id="376" name="TextBox 375">
            <a:extLst>
              <a:ext uri="{FF2B5EF4-FFF2-40B4-BE49-F238E27FC236}">
                <a16:creationId xmlns:a16="http://schemas.microsoft.com/office/drawing/2014/main" id="{2945A087-AA61-496E-B49E-9D9DABB27775}"/>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77" name="TextBox 376">
            <a:extLst>
              <a:ext uri="{FF2B5EF4-FFF2-40B4-BE49-F238E27FC236}">
                <a16:creationId xmlns:a16="http://schemas.microsoft.com/office/drawing/2014/main" id="{D7BEB5EA-A97F-46CE-A712-13CEB356CA69}"/>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13</xdr:col>
      <xdr:colOff>38317</xdr:colOff>
      <xdr:row>22</xdr:row>
      <xdr:rowOff>151361</xdr:rowOff>
    </xdr:from>
    <xdr:to>
      <xdr:col>13</xdr:col>
      <xdr:colOff>393487</xdr:colOff>
      <xdr:row>24</xdr:row>
      <xdr:rowOff>120881</xdr:rowOff>
    </xdr:to>
    <xdr:grpSp>
      <xdr:nvGrpSpPr>
        <xdr:cNvPr id="378" name="Group 377">
          <a:extLst>
            <a:ext uri="{FF2B5EF4-FFF2-40B4-BE49-F238E27FC236}">
              <a16:creationId xmlns:a16="http://schemas.microsoft.com/office/drawing/2014/main" id="{69B55775-F631-4FA1-8B46-2C8FBDC08897}"/>
            </a:ext>
          </a:extLst>
        </xdr:cNvPr>
        <xdr:cNvGrpSpPr/>
      </xdr:nvGrpSpPr>
      <xdr:grpSpPr>
        <a:xfrm>
          <a:off x="7963117" y="4132811"/>
          <a:ext cx="355170" cy="331470"/>
          <a:chOff x="8432800" y="4185920"/>
          <a:chExt cx="355600" cy="335280"/>
        </a:xfrm>
      </xdr:grpSpPr>
      <xdr:sp macro="" textlink="Pivottables!E36">
        <xdr:nvSpPr>
          <xdr:cNvPr id="379" name="TextBox 378">
            <a:extLst>
              <a:ext uri="{FF2B5EF4-FFF2-40B4-BE49-F238E27FC236}">
                <a16:creationId xmlns:a16="http://schemas.microsoft.com/office/drawing/2014/main" id="{794DE92C-04BD-4054-8111-E2509915DAD3}"/>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80" name="TextBox 379">
            <a:extLst>
              <a:ext uri="{FF2B5EF4-FFF2-40B4-BE49-F238E27FC236}">
                <a16:creationId xmlns:a16="http://schemas.microsoft.com/office/drawing/2014/main" id="{669E7827-CCE4-434A-9C7D-2A1F9B2CF38F}"/>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30480</xdr:colOff>
      <xdr:row>34</xdr:row>
      <xdr:rowOff>27905</xdr:rowOff>
    </xdr:from>
    <xdr:to>
      <xdr:col>14</xdr:col>
      <xdr:colOff>426720</xdr:colOff>
      <xdr:row>36</xdr:row>
      <xdr:rowOff>119345</xdr:rowOff>
    </xdr:to>
    <xdr:grpSp>
      <xdr:nvGrpSpPr>
        <xdr:cNvPr id="82" name="Group 81">
          <a:extLst>
            <a:ext uri="{FF2B5EF4-FFF2-40B4-BE49-F238E27FC236}">
              <a16:creationId xmlns:a16="http://schemas.microsoft.com/office/drawing/2014/main" id="{4283D9A7-FA1B-47A5-ACFC-AF1333F51456}"/>
            </a:ext>
          </a:extLst>
        </xdr:cNvPr>
        <xdr:cNvGrpSpPr/>
      </xdr:nvGrpSpPr>
      <xdr:grpSpPr>
        <a:xfrm>
          <a:off x="8564880" y="6181055"/>
          <a:ext cx="396240" cy="453390"/>
          <a:chOff x="8564880" y="6258560"/>
          <a:chExt cx="396240" cy="457200"/>
        </a:xfrm>
      </xdr:grpSpPr>
      <xdr:sp macro="" textlink="Pivottables!D40">
        <xdr:nvSpPr>
          <xdr:cNvPr id="81" name="TextBox 80">
            <a:extLst>
              <a:ext uri="{FF2B5EF4-FFF2-40B4-BE49-F238E27FC236}">
                <a16:creationId xmlns:a16="http://schemas.microsoft.com/office/drawing/2014/main" id="{76E330CB-9DFE-40FC-8A9D-040993B27E01}"/>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384" name="TextBox 383">
            <a:extLst>
              <a:ext uri="{FF2B5EF4-FFF2-40B4-BE49-F238E27FC236}">
                <a16:creationId xmlns:a16="http://schemas.microsoft.com/office/drawing/2014/main" id="{05255ADC-FC17-4FC0-A147-780474B5FD63}"/>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387509</xdr:colOff>
      <xdr:row>32</xdr:row>
      <xdr:rowOff>134033</xdr:rowOff>
    </xdr:from>
    <xdr:to>
      <xdr:col>15</xdr:col>
      <xdr:colOff>174150</xdr:colOff>
      <xdr:row>35</xdr:row>
      <xdr:rowOff>42932</xdr:rowOff>
    </xdr:to>
    <xdr:grpSp>
      <xdr:nvGrpSpPr>
        <xdr:cNvPr id="83" name="Group 82">
          <a:extLst>
            <a:ext uri="{FF2B5EF4-FFF2-40B4-BE49-F238E27FC236}">
              <a16:creationId xmlns:a16="http://schemas.microsoft.com/office/drawing/2014/main" id="{15E5897B-0FD0-4753-AC0B-FAEE1935AD22}"/>
            </a:ext>
          </a:extLst>
        </xdr:cNvPr>
        <xdr:cNvGrpSpPr/>
      </xdr:nvGrpSpPr>
      <xdr:grpSpPr>
        <a:xfrm>
          <a:off x="8921909" y="5925233"/>
          <a:ext cx="396241" cy="451824"/>
          <a:chOff x="9474200" y="6258560"/>
          <a:chExt cx="396240" cy="457200"/>
        </a:xfrm>
      </xdr:grpSpPr>
      <xdr:sp macro="" textlink="Pivottables!E40">
        <xdr:nvSpPr>
          <xdr:cNvPr id="385" name="TextBox 384">
            <a:extLst>
              <a:ext uri="{FF2B5EF4-FFF2-40B4-BE49-F238E27FC236}">
                <a16:creationId xmlns:a16="http://schemas.microsoft.com/office/drawing/2014/main" id="{C7AAC4D3-4436-4D2A-B57E-624FDDEFBDA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86" name="TextBox 385">
            <a:extLst>
              <a:ext uri="{FF2B5EF4-FFF2-40B4-BE49-F238E27FC236}">
                <a16:creationId xmlns:a16="http://schemas.microsoft.com/office/drawing/2014/main" id="{8E37FEA1-697A-4C35-B1F8-A15936FBC4A5}"/>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567502</xdr:colOff>
      <xdr:row>33</xdr:row>
      <xdr:rowOff>38093</xdr:rowOff>
    </xdr:from>
    <xdr:to>
      <xdr:col>15</xdr:col>
      <xdr:colOff>354143</xdr:colOff>
      <xdr:row>35</xdr:row>
      <xdr:rowOff>129533</xdr:rowOff>
    </xdr:to>
    <xdr:grpSp>
      <xdr:nvGrpSpPr>
        <xdr:cNvPr id="387" name="Group 386">
          <a:extLst>
            <a:ext uri="{FF2B5EF4-FFF2-40B4-BE49-F238E27FC236}">
              <a16:creationId xmlns:a16="http://schemas.microsoft.com/office/drawing/2014/main" id="{E086BD5D-0635-47CE-8AE3-4D55A2908389}"/>
            </a:ext>
          </a:extLst>
        </xdr:cNvPr>
        <xdr:cNvGrpSpPr/>
      </xdr:nvGrpSpPr>
      <xdr:grpSpPr>
        <a:xfrm>
          <a:off x="9101902" y="6010268"/>
          <a:ext cx="396241" cy="453390"/>
          <a:chOff x="9474200" y="6258560"/>
          <a:chExt cx="396240" cy="457200"/>
        </a:xfrm>
      </xdr:grpSpPr>
      <xdr:sp macro="" textlink="Pivottables!E40">
        <xdr:nvSpPr>
          <xdr:cNvPr id="388" name="TextBox 387">
            <a:extLst>
              <a:ext uri="{FF2B5EF4-FFF2-40B4-BE49-F238E27FC236}">
                <a16:creationId xmlns:a16="http://schemas.microsoft.com/office/drawing/2014/main" id="{2546A237-68D3-472D-812D-D565345D5007}"/>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89" name="TextBox 388">
            <a:extLst>
              <a:ext uri="{FF2B5EF4-FFF2-40B4-BE49-F238E27FC236}">
                <a16:creationId xmlns:a16="http://schemas.microsoft.com/office/drawing/2014/main" id="{C82164DC-9C7F-4675-A119-F7C28327474A}"/>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475793</xdr:colOff>
      <xdr:row>32</xdr:row>
      <xdr:rowOff>48706</xdr:rowOff>
    </xdr:from>
    <xdr:to>
      <xdr:col>15</xdr:col>
      <xdr:colOff>262858</xdr:colOff>
      <xdr:row>34</xdr:row>
      <xdr:rowOff>140146</xdr:rowOff>
    </xdr:to>
    <xdr:grpSp>
      <xdr:nvGrpSpPr>
        <xdr:cNvPr id="390" name="Group 389">
          <a:extLst>
            <a:ext uri="{FF2B5EF4-FFF2-40B4-BE49-F238E27FC236}">
              <a16:creationId xmlns:a16="http://schemas.microsoft.com/office/drawing/2014/main" id="{D3B3E94C-FFC0-47B1-9C6E-81C19EA555C0}"/>
            </a:ext>
          </a:extLst>
        </xdr:cNvPr>
        <xdr:cNvGrpSpPr/>
      </xdr:nvGrpSpPr>
      <xdr:grpSpPr>
        <a:xfrm>
          <a:off x="9010193" y="5839906"/>
          <a:ext cx="396665" cy="453390"/>
          <a:chOff x="8564880" y="6258560"/>
          <a:chExt cx="396240" cy="457200"/>
        </a:xfrm>
      </xdr:grpSpPr>
      <xdr:sp macro="" textlink="Pivottables!S74">
        <xdr:nvSpPr>
          <xdr:cNvPr id="391" name="TextBox 390">
            <a:extLst>
              <a:ext uri="{FF2B5EF4-FFF2-40B4-BE49-F238E27FC236}">
                <a16:creationId xmlns:a16="http://schemas.microsoft.com/office/drawing/2014/main" id="{A93BF353-4DB1-4517-959C-763A9808A2D9}"/>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U74">
        <xdr:nvSpPr>
          <xdr:cNvPr id="392" name="TextBox 391">
            <a:extLst>
              <a:ext uri="{FF2B5EF4-FFF2-40B4-BE49-F238E27FC236}">
                <a16:creationId xmlns:a16="http://schemas.microsoft.com/office/drawing/2014/main" id="{35CA5F27-535A-4EAB-82B7-0BDF5EE5D9E3}"/>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14</xdr:col>
      <xdr:colOff>565379</xdr:colOff>
      <xdr:row>31</xdr:row>
      <xdr:rowOff>146343</xdr:rowOff>
    </xdr:from>
    <xdr:to>
      <xdr:col>15</xdr:col>
      <xdr:colOff>352020</xdr:colOff>
      <xdr:row>34</xdr:row>
      <xdr:rowOff>55243</xdr:rowOff>
    </xdr:to>
    <xdr:grpSp>
      <xdr:nvGrpSpPr>
        <xdr:cNvPr id="393" name="Group 392">
          <a:extLst>
            <a:ext uri="{FF2B5EF4-FFF2-40B4-BE49-F238E27FC236}">
              <a16:creationId xmlns:a16="http://schemas.microsoft.com/office/drawing/2014/main" id="{5FB3E2EB-D9A7-4E41-8A95-74957E5D829C}"/>
            </a:ext>
          </a:extLst>
        </xdr:cNvPr>
        <xdr:cNvGrpSpPr/>
      </xdr:nvGrpSpPr>
      <xdr:grpSpPr>
        <a:xfrm>
          <a:off x="9099779" y="5756568"/>
          <a:ext cx="396241" cy="451825"/>
          <a:chOff x="9474200" y="6258560"/>
          <a:chExt cx="396240" cy="457200"/>
        </a:xfrm>
      </xdr:grpSpPr>
      <xdr:sp macro="" textlink="Pivottables!E40">
        <xdr:nvSpPr>
          <xdr:cNvPr id="394" name="TextBox 393">
            <a:extLst>
              <a:ext uri="{FF2B5EF4-FFF2-40B4-BE49-F238E27FC236}">
                <a16:creationId xmlns:a16="http://schemas.microsoft.com/office/drawing/2014/main" id="{EA9BDE13-D0FE-49B6-845B-B837C0718DE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95" name="TextBox 394">
            <a:extLst>
              <a:ext uri="{FF2B5EF4-FFF2-40B4-BE49-F238E27FC236}">
                <a16:creationId xmlns:a16="http://schemas.microsoft.com/office/drawing/2014/main" id="{32E49778-8C62-45B3-BA9C-3C6B94D6FE4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297511</xdr:colOff>
      <xdr:row>33</xdr:row>
      <xdr:rowOff>35545</xdr:rowOff>
    </xdr:from>
    <xdr:to>
      <xdr:col>15</xdr:col>
      <xdr:colOff>84152</xdr:colOff>
      <xdr:row>35</xdr:row>
      <xdr:rowOff>126985</xdr:rowOff>
    </xdr:to>
    <xdr:grpSp>
      <xdr:nvGrpSpPr>
        <xdr:cNvPr id="396" name="Group 395">
          <a:extLst>
            <a:ext uri="{FF2B5EF4-FFF2-40B4-BE49-F238E27FC236}">
              <a16:creationId xmlns:a16="http://schemas.microsoft.com/office/drawing/2014/main" id="{0A714C87-5066-485C-906A-54FA1FDE2530}"/>
            </a:ext>
          </a:extLst>
        </xdr:cNvPr>
        <xdr:cNvGrpSpPr/>
      </xdr:nvGrpSpPr>
      <xdr:grpSpPr>
        <a:xfrm>
          <a:off x="8831911" y="6007720"/>
          <a:ext cx="396241" cy="453390"/>
          <a:chOff x="9474200" y="6258560"/>
          <a:chExt cx="396240" cy="457200"/>
        </a:xfrm>
      </xdr:grpSpPr>
      <xdr:sp macro="" textlink="Pivottables!E40">
        <xdr:nvSpPr>
          <xdr:cNvPr id="397" name="TextBox 396">
            <a:extLst>
              <a:ext uri="{FF2B5EF4-FFF2-40B4-BE49-F238E27FC236}">
                <a16:creationId xmlns:a16="http://schemas.microsoft.com/office/drawing/2014/main" id="{C610C76F-E0B5-4ACB-88FD-F640C23C3274}"/>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98" name="TextBox 397">
            <a:extLst>
              <a:ext uri="{FF2B5EF4-FFF2-40B4-BE49-F238E27FC236}">
                <a16:creationId xmlns:a16="http://schemas.microsoft.com/office/drawing/2014/main" id="{2CE5B56E-B741-4900-BEA0-65D6967B971E}"/>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120913</xdr:colOff>
      <xdr:row>32</xdr:row>
      <xdr:rowOff>134882</xdr:rowOff>
    </xdr:from>
    <xdr:to>
      <xdr:col>14</xdr:col>
      <xdr:colOff>516729</xdr:colOff>
      <xdr:row>35</xdr:row>
      <xdr:rowOff>43781</xdr:rowOff>
    </xdr:to>
    <xdr:grpSp>
      <xdr:nvGrpSpPr>
        <xdr:cNvPr id="399" name="Group 398">
          <a:extLst>
            <a:ext uri="{FF2B5EF4-FFF2-40B4-BE49-F238E27FC236}">
              <a16:creationId xmlns:a16="http://schemas.microsoft.com/office/drawing/2014/main" id="{E10869A5-A7BD-4FC7-BE10-D4007E510420}"/>
            </a:ext>
          </a:extLst>
        </xdr:cNvPr>
        <xdr:cNvGrpSpPr/>
      </xdr:nvGrpSpPr>
      <xdr:grpSpPr>
        <a:xfrm>
          <a:off x="8655313" y="5926082"/>
          <a:ext cx="395816" cy="451824"/>
          <a:chOff x="9474200" y="6258560"/>
          <a:chExt cx="396240" cy="457200"/>
        </a:xfrm>
      </xdr:grpSpPr>
      <xdr:sp macro="" textlink="Pivottables!E40">
        <xdr:nvSpPr>
          <xdr:cNvPr id="400" name="TextBox 399">
            <a:extLst>
              <a:ext uri="{FF2B5EF4-FFF2-40B4-BE49-F238E27FC236}">
                <a16:creationId xmlns:a16="http://schemas.microsoft.com/office/drawing/2014/main" id="{26ED600C-3CB2-4029-8E11-EF8AE03176C5}"/>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01" name="TextBox 400">
            <a:extLst>
              <a:ext uri="{FF2B5EF4-FFF2-40B4-BE49-F238E27FC236}">
                <a16:creationId xmlns:a16="http://schemas.microsoft.com/office/drawing/2014/main" id="{0FDF96F0-4691-4AAA-BDFE-B8BED92A9AF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209635</xdr:colOff>
      <xdr:row>32</xdr:row>
      <xdr:rowOff>136580</xdr:rowOff>
    </xdr:from>
    <xdr:to>
      <xdr:col>14</xdr:col>
      <xdr:colOff>605451</xdr:colOff>
      <xdr:row>35</xdr:row>
      <xdr:rowOff>45479</xdr:rowOff>
    </xdr:to>
    <xdr:grpSp>
      <xdr:nvGrpSpPr>
        <xdr:cNvPr id="402" name="Group 401">
          <a:extLst>
            <a:ext uri="{FF2B5EF4-FFF2-40B4-BE49-F238E27FC236}">
              <a16:creationId xmlns:a16="http://schemas.microsoft.com/office/drawing/2014/main" id="{8CE678DD-A999-49F3-A309-8A418C308B98}"/>
            </a:ext>
          </a:extLst>
        </xdr:cNvPr>
        <xdr:cNvGrpSpPr/>
      </xdr:nvGrpSpPr>
      <xdr:grpSpPr>
        <a:xfrm>
          <a:off x="8744035" y="5927780"/>
          <a:ext cx="395816" cy="451824"/>
          <a:chOff x="9474200" y="6258560"/>
          <a:chExt cx="396240" cy="457200"/>
        </a:xfrm>
      </xdr:grpSpPr>
      <xdr:sp macro="" textlink="Pivottables!E40">
        <xdr:nvSpPr>
          <xdr:cNvPr id="403" name="TextBox 402">
            <a:extLst>
              <a:ext uri="{FF2B5EF4-FFF2-40B4-BE49-F238E27FC236}">
                <a16:creationId xmlns:a16="http://schemas.microsoft.com/office/drawing/2014/main" id="{6EF2991D-766C-4ECE-AE10-2DE4A4EB07B3}"/>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04" name="TextBox 403">
            <a:extLst>
              <a:ext uri="{FF2B5EF4-FFF2-40B4-BE49-F238E27FC236}">
                <a16:creationId xmlns:a16="http://schemas.microsoft.com/office/drawing/2014/main" id="{AF006F96-D824-46E4-A86B-90E17CAFED7B}"/>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209210</xdr:colOff>
      <xdr:row>33</xdr:row>
      <xdr:rowOff>36394</xdr:rowOff>
    </xdr:from>
    <xdr:to>
      <xdr:col>14</xdr:col>
      <xdr:colOff>605026</xdr:colOff>
      <xdr:row>35</xdr:row>
      <xdr:rowOff>127834</xdr:rowOff>
    </xdr:to>
    <xdr:grpSp>
      <xdr:nvGrpSpPr>
        <xdr:cNvPr id="408" name="Group 407">
          <a:extLst>
            <a:ext uri="{FF2B5EF4-FFF2-40B4-BE49-F238E27FC236}">
              <a16:creationId xmlns:a16="http://schemas.microsoft.com/office/drawing/2014/main" id="{CAADF5C4-42AF-4901-9DF0-015E67653714}"/>
            </a:ext>
          </a:extLst>
        </xdr:cNvPr>
        <xdr:cNvGrpSpPr/>
      </xdr:nvGrpSpPr>
      <xdr:grpSpPr>
        <a:xfrm>
          <a:off x="8743610" y="6008569"/>
          <a:ext cx="395816" cy="453390"/>
          <a:chOff x="9474200" y="6258560"/>
          <a:chExt cx="396240" cy="457200"/>
        </a:xfrm>
      </xdr:grpSpPr>
      <xdr:sp macro="" textlink="Pivottables!E40">
        <xdr:nvSpPr>
          <xdr:cNvPr id="409" name="TextBox 408">
            <a:extLst>
              <a:ext uri="{FF2B5EF4-FFF2-40B4-BE49-F238E27FC236}">
                <a16:creationId xmlns:a16="http://schemas.microsoft.com/office/drawing/2014/main" id="{9F34714B-C627-40BA-8538-2AF72FF57D37}"/>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0" name="TextBox 409">
            <a:extLst>
              <a:ext uri="{FF2B5EF4-FFF2-40B4-BE49-F238E27FC236}">
                <a16:creationId xmlns:a16="http://schemas.microsoft.com/office/drawing/2014/main" id="{94EC1AD7-898E-48AB-9CC4-9A8C965BAAFE}"/>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208785</xdr:colOff>
      <xdr:row>33</xdr:row>
      <xdr:rowOff>125117</xdr:rowOff>
    </xdr:from>
    <xdr:to>
      <xdr:col>14</xdr:col>
      <xdr:colOff>604601</xdr:colOff>
      <xdr:row>36</xdr:row>
      <xdr:rowOff>34017</xdr:rowOff>
    </xdr:to>
    <xdr:grpSp>
      <xdr:nvGrpSpPr>
        <xdr:cNvPr id="411" name="Group 410">
          <a:extLst>
            <a:ext uri="{FF2B5EF4-FFF2-40B4-BE49-F238E27FC236}">
              <a16:creationId xmlns:a16="http://schemas.microsoft.com/office/drawing/2014/main" id="{01471974-7BCE-4B38-826B-51E660A866FB}"/>
            </a:ext>
          </a:extLst>
        </xdr:cNvPr>
        <xdr:cNvGrpSpPr/>
      </xdr:nvGrpSpPr>
      <xdr:grpSpPr>
        <a:xfrm>
          <a:off x="8743185" y="6097292"/>
          <a:ext cx="395816" cy="451825"/>
          <a:chOff x="9474200" y="6258560"/>
          <a:chExt cx="396240" cy="457200"/>
        </a:xfrm>
      </xdr:grpSpPr>
      <xdr:sp macro="" textlink="Pivottables!E40">
        <xdr:nvSpPr>
          <xdr:cNvPr id="412" name="TextBox 411">
            <a:extLst>
              <a:ext uri="{FF2B5EF4-FFF2-40B4-BE49-F238E27FC236}">
                <a16:creationId xmlns:a16="http://schemas.microsoft.com/office/drawing/2014/main" id="{0E103F82-3966-4672-8AF0-BD4882E24D58}"/>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3" name="TextBox 412">
            <a:extLst>
              <a:ext uri="{FF2B5EF4-FFF2-40B4-BE49-F238E27FC236}">
                <a16:creationId xmlns:a16="http://schemas.microsoft.com/office/drawing/2014/main" id="{B34509D0-D012-40DB-99F3-01D0AECC23A0}"/>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477926</xdr:colOff>
      <xdr:row>34</xdr:row>
      <xdr:rowOff>24932</xdr:rowOff>
    </xdr:from>
    <xdr:to>
      <xdr:col>15</xdr:col>
      <xdr:colOff>264567</xdr:colOff>
      <xdr:row>36</xdr:row>
      <xdr:rowOff>116372</xdr:rowOff>
    </xdr:to>
    <xdr:grpSp>
      <xdr:nvGrpSpPr>
        <xdr:cNvPr id="414" name="Group 413">
          <a:extLst>
            <a:ext uri="{FF2B5EF4-FFF2-40B4-BE49-F238E27FC236}">
              <a16:creationId xmlns:a16="http://schemas.microsoft.com/office/drawing/2014/main" id="{C3B1A0DA-0132-4563-BD2F-3079C6323D2D}"/>
            </a:ext>
          </a:extLst>
        </xdr:cNvPr>
        <xdr:cNvGrpSpPr/>
      </xdr:nvGrpSpPr>
      <xdr:grpSpPr>
        <a:xfrm>
          <a:off x="9012326" y="6178082"/>
          <a:ext cx="396241" cy="453390"/>
          <a:chOff x="9474200" y="6258560"/>
          <a:chExt cx="396240" cy="457200"/>
        </a:xfrm>
      </xdr:grpSpPr>
      <xdr:sp macro="" textlink="Pivottables!E40">
        <xdr:nvSpPr>
          <xdr:cNvPr id="415" name="TextBox 414">
            <a:extLst>
              <a:ext uri="{FF2B5EF4-FFF2-40B4-BE49-F238E27FC236}">
                <a16:creationId xmlns:a16="http://schemas.microsoft.com/office/drawing/2014/main" id="{0025F621-CBF9-4921-A9C9-F8314478A6D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6" name="TextBox 415">
            <a:extLst>
              <a:ext uri="{FF2B5EF4-FFF2-40B4-BE49-F238E27FC236}">
                <a16:creationId xmlns:a16="http://schemas.microsoft.com/office/drawing/2014/main" id="{6C9BC701-6592-4CB0-9935-3F77C15585F2}"/>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388354</xdr:colOff>
      <xdr:row>34</xdr:row>
      <xdr:rowOff>109410</xdr:rowOff>
    </xdr:from>
    <xdr:to>
      <xdr:col>15</xdr:col>
      <xdr:colOff>174995</xdr:colOff>
      <xdr:row>37</xdr:row>
      <xdr:rowOff>18310</xdr:rowOff>
    </xdr:to>
    <xdr:grpSp>
      <xdr:nvGrpSpPr>
        <xdr:cNvPr id="417" name="Group 416">
          <a:extLst>
            <a:ext uri="{FF2B5EF4-FFF2-40B4-BE49-F238E27FC236}">
              <a16:creationId xmlns:a16="http://schemas.microsoft.com/office/drawing/2014/main" id="{AE411A1A-C00F-44F5-A223-5542046DC061}"/>
            </a:ext>
          </a:extLst>
        </xdr:cNvPr>
        <xdr:cNvGrpSpPr/>
      </xdr:nvGrpSpPr>
      <xdr:grpSpPr>
        <a:xfrm>
          <a:off x="8922754" y="6262560"/>
          <a:ext cx="396241" cy="451825"/>
          <a:chOff x="9474200" y="6258560"/>
          <a:chExt cx="396240" cy="457200"/>
        </a:xfrm>
      </xdr:grpSpPr>
      <xdr:sp macro="" textlink="Pivottables!E40">
        <xdr:nvSpPr>
          <xdr:cNvPr id="418" name="TextBox 417">
            <a:extLst>
              <a:ext uri="{FF2B5EF4-FFF2-40B4-BE49-F238E27FC236}">
                <a16:creationId xmlns:a16="http://schemas.microsoft.com/office/drawing/2014/main" id="{87BF14AA-108E-428F-8E8C-7685482BF53F}"/>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9" name="TextBox 418">
            <a:extLst>
              <a:ext uri="{FF2B5EF4-FFF2-40B4-BE49-F238E27FC236}">
                <a16:creationId xmlns:a16="http://schemas.microsoft.com/office/drawing/2014/main" id="{D96BDEEF-87C5-4340-AF2C-108A050B85AE}"/>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207511</xdr:colOff>
      <xdr:row>35</xdr:row>
      <xdr:rowOff>11347</xdr:rowOff>
    </xdr:from>
    <xdr:to>
      <xdr:col>14</xdr:col>
      <xdr:colOff>603327</xdr:colOff>
      <xdr:row>37</xdr:row>
      <xdr:rowOff>102788</xdr:rowOff>
    </xdr:to>
    <xdr:grpSp>
      <xdr:nvGrpSpPr>
        <xdr:cNvPr id="420" name="Group 419">
          <a:extLst>
            <a:ext uri="{FF2B5EF4-FFF2-40B4-BE49-F238E27FC236}">
              <a16:creationId xmlns:a16="http://schemas.microsoft.com/office/drawing/2014/main" id="{614102C0-F25B-4BA4-A793-BCB7AB6FF8A4}"/>
            </a:ext>
          </a:extLst>
        </xdr:cNvPr>
        <xdr:cNvGrpSpPr/>
      </xdr:nvGrpSpPr>
      <xdr:grpSpPr>
        <a:xfrm>
          <a:off x="8741911" y="6345472"/>
          <a:ext cx="395816" cy="453391"/>
          <a:chOff x="9474200" y="6258560"/>
          <a:chExt cx="396240" cy="457200"/>
        </a:xfrm>
      </xdr:grpSpPr>
      <xdr:sp macro="" textlink="Pivottables!E40">
        <xdr:nvSpPr>
          <xdr:cNvPr id="421" name="TextBox 420">
            <a:extLst>
              <a:ext uri="{FF2B5EF4-FFF2-40B4-BE49-F238E27FC236}">
                <a16:creationId xmlns:a16="http://schemas.microsoft.com/office/drawing/2014/main" id="{6A1129BE-51FE-4B5C-A02D-14E80649378C}"/>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22" name="TextBox 421">
            <a:extLst>
              <a:ext uri="{FF2B5EF4-FFF2-40B4-BE49-F238E27FC236}">
                <a16:creationId xmlns:a16="http://schemas.microsoft.com/office/drawing/2014/main" id="{13A608EA-82DF-4943-8D85-CA6E01161D13}"/>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388344</xdr:colOff>
      <xdr:row>33</xdr:row>
      <xdr:rowOff>122572</xdr:rowOff>
    </xdr:from>
    <xdr:to>
      <xdr:col>15</xdr:col>
      <xdr:colOff>175409</xdr:colOff>
      <xdr:row>36</xdr:row>
      <xdr:rowOff>31472</xdr:rowOff>
    </xdr:to>
    <xdr:grpSp>
      <xdr:nvGrpSpPr>
        <xdr:cNvPr id="423" name="Group 422">
          <a:extLst>
            <a:ext uri="{FF2B5EF4-FFF2-40B4-BE49-F238E27FC236}">
              <a16:creationId xmlns:a16="http://schemas.microsoft.com/office/drawing/2014/main" id="{871CFC4A-1506-40AA-B876-1BB9DAF0D767}"/>
            </a:ext>
          </a:extLst>
        </xdr:cNvPr>
        <xdr:cNvGrpSpPr/>
      </xdr:nvGrpSpPr>
      <xdr:grpSpPr>
        <a:xfrm>
          <a:off x="8922744" y="6094747"/>
          <a:ext cx="396665" cy="451825"/>
          <a:chOff x="8564880" y="6258560"/>
          <a:chExt cx="396240" cy="457200"/>
        </a:xfrm>
      </xdr:grpSpPr>
      <xdr:sp macro="" textlink="Pivottables!D40">
        <xdr:nvSpPr>
          <xdr:cNvPr id="424" name="TextBox 423">
            <a:extLst>
              <a:ext uri="{FF2B5EF4-FFF2-40B4-BE49-F238E27FC236}">
                <a16:creationId xmlns:a16="http://schemas.microsoft.com/office/drawing/2014/main" id="{62631A4D-ABD1-4252-BF9A-1D0E35F356DF}"/>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25" name="TextBox 424">
            <a:extLst>
              <a:ext uri="{FF2B5EF4-FFF2-40B4-BE49-F238E27FC236}">
                <a16:creationId xmlns:a16="http://schemas.microsoft.com/office/drawing/2014/main" id="{5AFFAA46-B3BD-4517-BA2E-F2D91AF29BC6}"/>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118354</xdr:colOff>
      <xdr:row>33</xdr:row>
      <xdr:rowOff>39368</xdr:rowOff>
    </xdr:from>
    <xdr:to>
      <xdr:col>14</xdr:col>
      <xdr:colOff>514594</xdr:colOff>
      <xdr:row>35</xdr:row>
      <xdr:rowOff>130808</xdr:rowOff>
    </xdr:to>
    <xdr:grpSp>
      <xdr:nvGrpSpPr>
        <xdr:cNvPr id="426" name="Group 425">
          <a:extLst>
            <a:ext uri="{FF2B5EF4-FFF2-40B4-BE49-F238E27FC236}">
              <a16:creationId xmlns:a16="http://schemas.microsoft.com/office/drawing/2014/main" id="{2329EF89-1965-43E9-A6EA-ED2E6985A149}"/>
            </a:ext>
          </a:extLst>
        </xdr:cNvPr>
        <xdr:cNvGrpSpPr/>
      </xdr:nvGrpSpPr>
      <xdr:grpSpPr>
        <a:xfrm>
          <a:off x="8652754" y="6011543"/>
          <a:ext cx="396240" cy="453390"/>
          <a:chOff x="8564880" y="6258560"/>
          <a:chExt cx="396240" cy="457200"/>
        </a:xfrm>
      </xdr:grpSpPr>
      <xdr:sp macro="" textlink="Pivottables!D40">
        <xdr:nvSpPr>
          <xdr:cNvPr id="427" name="TextBox 426">
            <a:extLst>
              <a:ext uri="{FF2B5EF4-FFF2-40B4-BE49-F238E27FC236}">
                <a16:creationId xmlns:a16="http://schemas.microsoft.com/office/drawing/2014/main" id="{BDEEFB1F-6AED-4360-9B75-C69A10F58E8A}"/>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28" name="TextBox 427">
            <a:extLst>
              <a:ext uri="{FF2B5EF4-FFF2-40B4-BE49-F238E27FC236}">
                <a16:creationId xmlns:a16="http://schemas.microsoft.com/office/drawing/2014/main" id="{60CEF302-40DF-4302-92FF-F6F6B9E6A801}"/>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209200</xdr:colOff>
      <xdr:row>34</xdr:row>
      <xdr:rowOff>24086</xdr:rowOff>
    </xdr:from>
    <xdr:to>
      <xdr:col>14</xdr:col>
      <xdr:colOff>605440</xdr:colOff>
      <xdr:row>36</xdr:row>
      <xdr:rowOff>115526</xdr:rowOff>
    </xdr:to>
    <xdr:grpSp>
      <xdr:nvGrpSpPr>
        <xdr:cNvPr id="429" name="Group 428">
          <a:extLst>
            <a:ext uri="{FF2B5EF4-FFF2-40B4-BE49-F238E27FC236}">
              <a16:creationId xmlns:a16="http://schemas.microsoft.com/office/drawing/2014/main" id="{1571D208-A56E-4A75-83DC-9689EE6E020D}"/>
            </a:ext>
          </a:extLst>
        </xdr:cNvPr>
        <xdr:cNvGrpSpPr/>
      </xdr:nvGrpSpPr>
      <xdr:grpSpPr>
        <a:xfrm>
          <a:off x="8743600" y="6177236"/>
          <a:ext cx="396240" cy="453390"/>
          <a:chOff x="8564880" y="6258560"/>
          <a:chExt cx="396240" cy="457200"/>
        </a:xfrm>
      </xdr:grpSpPr>
      <xdr:sp macro="" textlink="Pivottables!D40">
        <xdr:nvSpPr>
          <xdr:cNvPr id="430" name="TextBox 429">
            <a:extLst>
              <a:ext uri="{FF2B5EF4-FFF2-40B4-BE49-F238E27FC236}">
                <a16:creationId xmlns:a16="http://schemas.microsoft.com/office/drawing/2014/main" id="{678EF59E-EE66-4FA3-AA3D-268A8F9934B9}"/>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31" name="TextBox 430">
            <a:extLst>
              <a:ext uri="{FF2B5EF4-FFF2-40B4-BE49-F238E27FC236}">
                <a16:creationId xmlns:a16="http://schemas.microsoft.com/office/drawing/2014/main" id="{5B0D91C3-96AB-4A09-B9FA-5A61E6723746}"/>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295801</xdr:colOff>
      <xdr:row>33</xdr:row>
      <xdr:rowOff>121299</xdr:rowOff>
    </xdr:from>
    <xdr:to>
      <xdr:col>15</xdr:col>
      <xdr:colOff>82866</xdr:colOff>
      <xdr:row>36</xdr:row>
      <xdr:rowOff>30199</xdr:rowOff>
    </xdr:to>
    <xdr:grpSp>
      <xdr:nvGrpSpPr>
        <xdr:cNvPr id="432" name="Group 431">
          <a:extLst>
            <a:ext uri="{FF2B5EF4-FFF2-40B4-BE49-F238E27FC236}">
              <a16:creationId xmlns:a16="http://schemas.microsoft.com/office/drawing/2014/main" id="{AB5BDF0C-4848-4757-90A8-62B0DEF7C161}"/>
            </a:ext>
          </a:extLst>
        </xdr:cNvPr>
        <xdr:cNvGrpSpPr/>
      </xdr:nvGrpSpPr>
      <xdr:grpSpPr>
        <a:xfrm>
          <a:off x="8830201" y="6093474"/>
          <a:ext cx="396665" cy="451825"/>
          <a:chOff x="8564880" y="6258560"/>
          <a:chExt cx="396240" cy="457200"/>
        </a:xfrm>
      </xdr:grpSpPr>
      <xdr:sp macro="" textlink="Pivottables!D40">
        <xdr:nvSpPr>
          <xdr:cNvPr id="433" name="TextBox 432">
            <a:extLst>
              <a:ext uri="{FF2B5EF4-FFF2-40B4-BE49-F238E27FC236}">
                <a16:creationId xmlns:a16="http://schemas.microsoft.com/office/drawing/2014/main" id="{9D56727C-36D6-4538-9EA2-2420AF73E33B}"/>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34" name="TextBox 433">
            <a:extLst>
              <a:ext uri="{FF2B5EF4-FFF2-40B4-BE49-F238E27FC236}">
                <a16:creationId xmlns:a16="http://schemas.microsoft.com/office/drawing/2014/main" id="{CFAE2522-2058-4225-B94F-51A6D0C69FBA}"/>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473672</xdr:colOff>
      <xdr:row>34</xdr:row>
      <xdr:rowOff>110262</xdr:rowOff>
    </xdr:from>
    <xdr:to>
      <xdr:col>15</xdr:col>
      <xdr:colOff>260737</xdr:colOff>
      <xdr:row>37</xdr:row>
      <xdr:rowOff>19162</xdr:rowOff>
    </xdr:to>
    <xdr:grpSp>
      <xdr:nvGrpSpPr>
        <xdr:cNvPr id="435" name="Group 434">
          <a:extLst>
            <a:ext uri="{FF2B5EF4-FFF2-40B4-BE49-F238E27FC236}">
              <a16:creationId xmlns:a16="http://schemas.microsoft.com/office/drawing/2014/main" id="{EC8049A0-A558-4AD6-AD0A-58FDA7CC1178}"/>
            </a:ext>
          </a:extLst>
        </xdr:cNvPr>
        <xdr:cNvGrpSpPr/>
      </xdr:nvGrpSpPr>
      <xdr:grpSpPr>
        <a:xfrm>
          <a:off x="9008072" y="6263412"/>
          <a:ext cx="396665" cy="451825"/>
          <a:chOff x="8564880" y="6258560"/>
          <a:chExt cx="396240" cy="457200"/>
        </a:xfrm>
      </xdr:grpSpPr>
      <xdr:sp macro="" textlink="Pivottables!D40">
        <xdr:nvSpPr>
          <xdr:cNvPr id="436" name="TextBox 435">
            <a:extLst>
              <a:ext uri="{FF2B5EF4-FFF2-40B4-BE49-F238E27FC236}">
                <a16:creationId xmlns:a16="http://schemas.microsoft.com/office/drawing/2014/main" id="{72D8EA8D-C49F-40DF-8552-FAF8551E5222}"/>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37" name="TextBox 436">
            <a:extLst>
              <a:ext uri="{FF2B5EF4-FFF2-40B4-BE49-F238E27FC236}">
                <a16:creationId xmlns:a16="http://schemas.microsoft.com/office/drawing/2014/main" id="{6C9BE360-B6F7-448A-8A82-FA9EF827B4D0}"/>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297075</xdr:colOff>
      <xdr:row>34</xdr:row>
      <xdr:rowOff>109838</xdr:rowOff>
    </xdr:from>
    <xdr:to>
      <xdr:col>15</xdr:col>
      <xdr:colOff>84140</xdr:colOff>
      <xdr:row>37</xdr:row>
      <xdr:rowOff>18738</xdr:rowOff>
    </xdr:to>
    <xdr:grpSp>
      <xdr:nvGrpSpPr>
        <xdr:cNvPr id="438" name="Group 437">
          <a:extLst>
            <a:ext uri="{FF2B5EF4-FFF2-40B4-BE49-F238E27FC236}">
              <a16:creationId xmlns:a16="http://schemas.microsoft.com/office/drawing/2014/main" id="{1BA51200-E86A-459A-B3F5-2EC3F0DCBEBA}"/>
            </a:ext>
          </a:extLst>
        </xdr:cNvPr>
        <xdr:cNvGrpSpPr/>
      </xdr:nvGrpSpPr>
      <xdr:grpSpPr>
        <a:xfrm>
          <a:off x="8831475" y="6262988"/>
          <a:ext cx="396665" cy="451825"/>
          <a:chOff x="8564880" y="6258560"/>
          <a:chExt cx="396240" cy="457200"/>
        </a:xfrm>
      </xdr:grpSpPr>
      <xdr:sp macro="" textlink="Pivottables!D40">
        <xdr:nvSpPr>
          <xdr:cNvPr id="439" name="TextBox 438">
            <a:extLst>
              <a:ext uri="{FF2B5EF4-FFF2-40B4-BE49-F238E27FC236}">
                <a16:creationId xmlns:a16="http://schemas.microsoft.com/office/drawing/2014/main" id="{9E3E7066-B4BE-4952-A944-4EFF4AE35935}"/>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0" name="TextBox 439">
            <a:extLst>
              <a:ext uri="{FF2B5EF4-FFF2-40B4-BE49-F238E27FC236}">
                <a16:creationId xmlns:a16="http://schemas.microsoft.com/office/drawing/2014/main" id="{FD3B7F42-D479-470E-9C77-D5B02879254E}"/>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118355</xdr:colOff>
      <xdr:row>34</xdr:row>
      <xdr:rowOff>109414</xdr:rowOff>
    </xdr:from>
    <xdr:to>
      <xdr:col>14</xdr:col>
      <xdr:colOff>514595</xdr:colOff>
      <xdr:row>37</xdr:row>
      <xdr:rowOff>18314</xdr:rowOff>
    </xdr:to>
    <xdr:grpSp>
      <xdr:nvGrpSpPr>
        <xdr:cNvPr id="441" name="Group 440">
          <a:extLst>
            <a:ext uri="{FF2B5EF4-FFF2-40B4-BE49-F238E27FC236}">
              <a16:creationId xmlns:a16="http://schemas.microsoft.com/office/drawing/2014/main" id="{7E0880F4-49DB-412D-A332-4DBA8EA50448}"/>
            </a:ext>
          </a:extLst>
        </xdr:cNvPr>
        <xdr:cNvGrpSpPr/>
      </xdr:nvGrpSpPr>
      <xdr:grpSpPr>
        <a:xfrm>
          <a:off x="8652755" y="6262564"/>
          <a:ext cx="396240" cy="451825"/>
          <a:chOff x="8564880" y="6258560"/>
          <a:chExt cx="396240" cy="457200"/>
        </a:xfrm>
      </xdr:grpSpPr>
      <xdr:sp macro="" textlink="Pivottables!D40">
        <xdr:nvSpPr>
          <xdr:cNvPr id="442" name="TextBox 441">
            <a:extLst>
              <a:ext uri="{FF2B5EF4-FFF2-40B4-BE49-F238E27FC236}">
                <a16:creationId xmlns:a16="http://schemas.microsoft.com/office/drawing/2014/main" id="{F5E680C7-D3A6-4592-B339-772B75E7F57C}"/>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3" name="TextBox 442">
            <a:extLst>
              <a:ext uri="{FF2B5EF4-FFF2-40B4-BE49-F238E27FC236}">
                <a16:creationId xmlns:a16="http://schemas.microsoft.com/office/drawing/2014/main" id="{9FDBADE2-4A6E-4AB5-85BF-EE7151A0B15E}"/>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385373</xdr:colOff>
      <xdr:row>35</xdr:row>
      <xdr:rowOff>13474</xdr:rowOff>
    </xdr:from>
    <xdr:to>
      <xdr:col>15</xdr:col>
      <xdr:colOff>172438</xdr:colOff>
      <xdr:row>37</xdr:row>
      <xdr:rowOff>104915</xdr:rowOff>
    </xdr:to>
    <xdr:grpSp>
      <xdr:nvGrpSpPr>
        <xdr:cNvPr id="444" name="Group 443">
          <a:extLst>
            <a:ext uri="{FF2B5EF4-FFF2-40B4-BE49-F238E27FC236}">
              <a16:creationId xmlns:a16="http://schemas.microsoft.com/office/drawing/2014/main" id="{3618BEBC-B830-42CB-83EF-13F4E436BB16}"/>
            </a:ext>
          </a:extLst>
        </xdr:cNvPr>
        <xdr:cNvGrpSpPr/>
      </xdr:nvGrpSpPr>
      <xdr:grpSpPr>
        <a:xfrm>
          <a:off x="8919773" y="6347599"/>
          <a:ext cx="396665" cy="453391"/>
          <a:chOff x="8564880" y="6258560"/>
          <a:chExt cx="396240" cy="457200"/>
        </a:xfrm>
      </xdr:grpSpPr>
      <xdr:sp macro="" textlink="Pivottables!D40">
        <xdr:nvSpPr>
          <xdr:cNvPr id="445" name="TextBox 444">
            <a:extLst>
              <a:ext uri="{FF2B5EF4-FFF2-40B4-BE49-F238E27FC236}">
                <a16:creationId xmlns:a16="http://schemas.microsoft.com/office/drawing/2014/main" id="{3A73E786-B478-4D4F-B4BF-46552522FB38}"/>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6" name="TextBox 445">
            <a:extLst>
              <a:ext uri="{FF2B5EF4-FFF2-40B4-BE49-F238E27FC236}">
                <a16:creationId xmlns:a16="http://schemas.microsoft.com/office/drawing/2014/main" id="{2B84D083-202E-43DF-BCDC-054552E69548}"/>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117505</xdr:colOff>
      <xdr:row>35</xdr:row>
      <xdr:rowOff>13050</xdr:rowOff>
    </xdr:from>
    <xdr:to>
      <xdr:col>14</xdr:col>
      <xdr:colOff>513745</xdr:colOff>
      <xdr:row>37</xdr:row>
      <xdr:rowOff>104491</xdr:rowOff>
    </xdr:to>
    <xdr:grpSp>
      <xdr:nvGrpSpPr>
        <xdr:cNvPr id="447" name="Group 446">
          <a:extLst>
            <a:ext uri="{FF2B5EF4-FFF2-40B4-BE49-F238E27FC236}">
              <a16:creationId xmlns:a16="http://schemas.microsoft.com/office/drawing/2014/main" id="{B166D750-3A70-4B4D-B1C5-B3C6C08D34FC}"/>
            </a:ext>
          </a:extLst>
        </xdr:cNvPr>
        <xdr:cNvGrpSpPr/>
      </xdr:nvGrpSpPr>
      <xdr:grpSpPr>
        <a:xfrm>
          <a:off x="8651905" y="6347175"/>
          <a:ext cx="396240" cy="453391"/>
          <a:chOff x="8564880" y="6258560"/>
          <a:chExt cx="396240" cy="457200"/>
        </a:xfrm>
      </xdr:grpSpPr>
      <xdr:sp macro="" textlink="Pivottables!D40">
        <xdr:nvSpPr>
          <xdr:cNvPr id="448" name="TextBox 447">
            <a:extLst>
              <a:ext uri="{FF2B5EF4-FFF2-40B4-BE49-F238E27FC236}">
                <a16:creationId xmlns:a16="http://schemas.microsoft.com/office/drawing/2014/main" id="{D71A1A2A-CC76-4E51-BBEC-D2126053C6AB}"/>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9" name="TextBox 448">
            <a:extLst>
              <a:ext uri="{FF2B5EF4-FFF2-40B4-BE49-F238E27FC236}">
                <a16:creationId xmlns:a16="http://schemas.microsoft.com/office/drawing/2014/main" id="{70FB34C4-B8AF-4ADB-96EB-82DB68872AB0}"/>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564516</xdr:colOff>
      <xdr:row>32</xdr:row>
      <xdr:rowOff>50404</xdr:rowOff>
    </xdr:from>
    <xdr:to>
      <xdr:col>15</xdr:col>
      <xdr:colOff>351581</xdr:colOff>
      <xdr:row>34</xdr:row>
      <xdr:rowOff>141844</xdr:rowOff>
    </xdr:to>
    <xdr:grpSp>
      <xdr:nvGrpSpPr>
        <xdr:cNvPr id="453" name="Group 452">
          <a:extLst>
            <a:ext uri="{FF2B5EF4-FFF2-40B4-BE49-F238E27FC236}">
              <a16:creationId xmlns:a16="http://schemas.microsoft.com/office/drawing/2014/main" id="{7406889A-E910-4CF6-8330-578B3739FC3B}"/>
            </a:ext>
          </a:extLst>
        </xdr:cNvPr>
        <xdr:cNvGrpSpPr/>
      </xdr:nvGrpSpPr>
      <xdr:grpSpPr>
        <a:xfrm>
          <a:off x="9098916" y="5841604"/>
          <a:ext cx="396665" cy="453390"/>
          <a:chOff x="8564880" y="6258560"/>
          <a:chExt cx="396240" cy="457200"/>
        </a:xfrm>
      </xdr:grpSpPr>
      <xdr:sp macro="" textlink="Pivottables!S74">
        <xdr:nvSpPr>
          <xdr:cNvPr id="454" name="TextBox 453">
            <a:extLst>
              <a:ext uri="{FF2B5EF4-FFF2-40B4-BE49-F238E27FC236}">
                <a16:creationId xmlns:a16="http://schemas.microsoft.com/office/drawing/2014/main" id="{1906BF20-F100-4137-85E9-2308581D632E}"/>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U74">
        <xdr:nvSpPr>
          <xdr:cNvPr id="455" name="TextBox 454">
            <a:extLst>
              <a:ext uri="{FF2B5EF4-FFF2-40B4-BE49-F238E27FC236}">
                <a16:creationId xmlns:a16="http://schemas.microsoft.com/office/drawing/2014/main" id="{85BADD9F-879D-476E-8B09-CB38FD3E91A2}"/>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19</xdr:col>
      <xdr:colOff>485615</xdr:colOff>
      <xdr:row>17</xdr:row>
      <xdr:rowOff>154217</xdr:rowOff>
    </xdr:from>
    <xdr:to>
      <xdr:col>20</xdr:col>
      <xdr:colOff>241775</xdr:colOff>
      <xdr:row>20</xdr:row>
      <xdr:rowOff>61869</xdr:rowOff>
    </xdr:to>
    <xdr:grpSp>
      <xdr:nvGrpSpPr>
        <xdr:cNvPr id="92" name="Group 91">
          <a:extLst>
            <a:ext uri="{FF2B5EF4-FFF2-40B4-BE49-F238E27FC236}">
              <a16:creationId xmlns:a16="http://schemas.microsoft.com/office/drawing/2014/main" id="{3DF4E4D9-7653-44DF-BE03-C0E756917726}"/>
            </a:ext>
          </a:extLst>
        </xdr:cNvPr>
        <xdr:cNvGrpSpPr/>
      </xdr:nvGrpSpPr>
      <xdr:grpSpPr>
        <a:xfrm>
          <a:off x="12068015" y="3230792"/>
          <a:ext cx="365760" cy="450577"/>
          <a:chOff x="12679680" y="3515360"/>
          <a:chExt cx="365760" cy="457200"/>
        </a:xfrm>
      </xdr:grpSpPr>
      <xdr:sp macro="" textlink="Pivottables!D38">
        <xdr:nvSpPr>
          <xdr:cNvPr id="91" name="TextBox 90">
            <a:extLst>
              <a:ext uri="{FF2B5EF4-FFF2-40B4-BE49-F238E27FC236}">
                <a16:creationId xmlns:a16="http://schemas.microsoft.com/office/drawing/2014/main" id="{AB713FA1-F98B-47F4-9020-4CB9763C9AF2}"/>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56" name="TextBox 455">
            <a:extLst>
              <a:ext uri="{FF2B5EF4-FFF2-40B4-BE49-F238E27FC236}">
                <a16:creationId xmlns:a16="http://schemas.microsoft.com/office/drawing/2014/main" id="{06F03709-57C9-457B-941E-3D636D022C18}"/>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19</xdr:col>
      <xdr:colOff>485780</xdr:colOff>
      <xdr:row>18</xdr:row>
      <xdr:rowOff>55095</xdr:rowOff>
    </xdr:from>
    <xdr:to>
      <xdr:col>20</xdr:col>
      <xdr:colOff>242353</xdr:colOff>
      <xdr:row>20</xdr:row>
      <xdr:rowOff>146535</xdr:rowOff>
    </xdr:to>
    <xdr:grpSp>
      <xdr:nvGrpSpPr>
        <xdr:cNvPr id="93" name="Group 92">
          <a:extLst>
            <a:ext uri="{FF2B5EF4-FFF2-40B4-BE49-F238E27FC236}">
              <a16:creationId xmlns:a16="http://schemas.microsoft.com/office/drawing/2014/main" id="{E471A629-DB7B-41F1-9699-897DF17CA6F7}"/>
            </a:ext>
          </a:extLst>
        </xdr:cNvPr>
        <xdr:cNvGrpSpPr/>
      </xdr:nvGrpSpPr>
      <xdr:grpSpPr>
        <a:xfrm>
          <a:off x="12068180" y="3312645"/>
          <a:ext cx="366173" cy="453390"/>
          <a:chOff x="13634720" y="3515360"/>
          <a:chExt cx="365760" cy="457200"/>
        </a:xfrm>
      </xdr:grpSpPr>
      <xdr:sp macro="" textlink="Pivottables!E38">
        <xdr:nvSpPr>
          <xdr:cNvPr id="457" name="TextBox 456">
            <a:extLst>
              <a:ext uri="{FF2B5EF4-FFF2-40B4-BE49-F238E27FC236}">
                <a16:creationId xmlns:a16="http://schemas.microsoft.com/office/drawing/2014/main" id="{7EA14906-8402-4EF0-ACA9-CB03EC02DF0D}"/>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58" name="TextBox 457">
            <a:extLst>
              <a:ext uri="{FF2B5EF4-FFF2-40B4-BE49-F238E27FC236}">
                <a16:creationId xmlns:a16="http://schemas.microsoft.com/office/drawing/2014/main" id="{EBC506F2-F1B9-439D-BB44-798C2051356A}"/>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233267</xdr:colOff>
      <xdr:row>19</xdr:row>
      <xdr:rowOff>131089</xdr:rowOff>
    </xdr:from>
    <xdr:to>
      <xdr:col>20</xdr:col>
      <xdr:colOff>598614</xdr:colOff>
      <xdr:row>22</xdr:row>
      <xdr:rowOff>38740</xdr:rowOff>
    </xdr:to>
    <xdr:grpSp>
      <xdr:nvGrpSpPr>
        <xdr:cNvPr id="459" name="Group 458">
          <a:extLst>
            <a:ext uri="{FF2B5EF4-FFF2-40B4-BE49-F238E27FC236}">
              <a16:creationId xmlns:a16="http://schemas.microsoft.com/office/drawing/2014/main" id="{62E8169A-57ED-443D-9E54-AD4DF8327E82}"/>
            </a:ext>
          </a:extLst>
        </xdr:cNvPr>
        <xdr:cNvGrpSpPr/>
      </xdr:nvGrpSpPr>
      <xdr:grpSpPr>
        <a:xfrm>
          <a:off x="12425267" y="3569614"/>
          <a:ext cx="365347" cy="450576"/>
          <a:chOff x="12679680" y="3515360"/>
          <a:chExt cx="365760" cy="457200"/>
        </a:xfrm>
      </xdr:grpSpPr>
      <xdr:sp macro="" textlink="Pivottables!D38">
        <xdr:nvSpPr>
          <xdr:cNvPr id="460" name="TextBox 459">
            <a:extLst>
              <a:ext uri="{FF2B5EF4-FFF2-40B4-BE49-F238E27FC236}">
                <a16:creationId xmlns:a16="http://schemas.microsoft.com/office/drawing/2014/main" id="{1A4970B8-DAF8-45CE-8E17-7EBAF01BFE4E}"/>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61" name="TextBox 460">
            <a:extLst>
              <a:ext uri="{FF2B5EF4-FFF2-40B4-BE49-F238E27FC236}">
                <a16:creationId xmlns:a16="http://schemas.microsoft.com/office/drawing/2014/main" id="{A24A016E-4249-42E3-8C1C-A00347183AA1}"/>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415157</xdr:colOff>
      <xdr:row>18</xdr:row>
      <xdr:rowOff>139349</xdr:rowOff>
    </xdr:from>
    <xdr:to>
      <xdr:col>21</xdr:col>
      <xdr:colOff>171730</xdr:colOff>
      <xdr:row>21</xdr:row>
      <xdr:rowOff>47000</xdr:rowOff>
    </xdr:to>
    <xdr:grpSp>
      <xdr:nvGrpSpPr>
        <xdr:cNvPr id="462" name="Group 461">
          <a:extLst>
            <a:ext uri="{FF2B5EF4-FFF2-40B4-BE49-F238E27FC236}">
              <a16:creationId xmlns:a16="http://schemas.microsoft.com/office/drawing/2014/main" id="{E446D409-94F9-4391-B6B8-D509BFDBDAF6}"/>
            </a:ext>
          </a:extLst>
        </xdr:cNvPr>
        <xdr:cNvGrpSpPr/>
      </xdr:nvGrpSpPr>
      <xdr:grpSpPr>
        <a:xfrm>
          <a:off x="12607157" y="3396899"/>
          <a:ext cx="366173" cy="450576"/>
          <a:chOff x="13634720" y="3515360"/>
          <a:chExt cx="365760" cy="457200"/>
        </a:xfrm>
      </xdr:grpSpPr>
      <xdr:sp macro="" textlink="Pivottables!E38">
        <xdr:nvSpPr>
          <xdr:cNvPr id="463" name="TextBox 462">
            <a:extLst>
              <a:ext uri="{FF2B5EF4-FFF2-40B4-BE49-F238E27FC236}">
                <a16:creationId xmlns:a16="http://schemas.microsoft.com/office/drawing/2014/main" id="{18A101DB-636E-4EC9-A19C-E3DBCD993A83}"/>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64" name="TextBox 463">
            <a:extLst>
              <a:ext uri="{FF2B5EF4-FFF2-40B4-BE49-F238E27FC236}">
                <a16:creationId xmlns:a16="http://schemas.microsoft.com/office/drawing/2014/main" id="{15B39F15-FBD7-4171-B730-D6EFAD3526B2}"/>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144470</xdr:colOff>
      <xdr:row>17</xdr:row>
      <xdr:rowOff>155869</xdr:rowOff>
    </xdr:from>
    <xdr:to>
      <xdr:col>20</xdr:col>
      <xdr:colOff>509817</xdr:colOff>
      <xdr:row>20</xdr:row>
      <xdr:rowOff>63521</xdr:rowOff>
    </xdr:to>
    <xdr:grpSp>
      <xdr:nvGrpSpPr>
        <xdr:cNvPr id="465" name="Group 464">
          <a:extLst>
            <a:ext uri="{FF2B5EF4-FFF2-40B4-BE49-F238E27FC236}">
              <a16:creationId xmlns:a16="http://schemas.microsoft.com/office/drawing/2014/main" id="{78880226-68DF-4C86-83E3-7DEF7C312365}"/>
            </a:ext>
          </a:extLst>
        </xdr:cNvPr>
        <xdr:cNvGrpSpPr/>
      </xdr:nvGrpSpPr>
      <xdr:grpSpPr>
        <a:xfrm>
          <a:off x="12336470" y="3232444"/>
          <a:ext cx="365347" cy="450577"/>
          <a:chOff x="12679680" y="3515360"/>
          <a:chExt cx="365760" cy="457200"/>
        </a:xfrm>
      </xdr:grpSpPr>
      <xdr:sp macro="" textlink="Pivottables!D38">
        <xdr:nvSpPr>
          <xdr:cNvPr id="466" name="TextBox 465">
            <a:extLst>
              <a:ext uri="{FF2B5EF4-FFF2-40B4-BE49-F238E27FC236}">
                <a16:creationId xmlns:a16="http://schemas.microsoft.com/office/drawing/2014/main" id="{12298799-9897-427C-AA55-CE9400D8B6F5}"/>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67" name="TextBox 466">
            <a:extLst>
              <a:ext uri="{FF2B5EF4-FFF2-40B4-BE49-F238E27FC236}">
                <a16:creationId xmlns:a16="http://schemas.microsoft.com/office/drawing/2014/main" id="{779CB206-5FF2-426B-8535-8A94AB8B631F}"/>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19</xdr:col>
      <xdr:colOff>573586</xdr:colOff>
      <xdr:row>18</xdr:row>
      <xdr:rowOff>145131</xdr:rowOff>
    </xdr:from>
    <xdr:to>
      <xdr:col>20</xdr:col>
      <xdr:colOff>329746</xdr:colOff>
      <xdr:row>21</xdr:row>
      <xdr:rowOff>52782</xdr:rowOff>
    </xdr:to>
    <xdr:grpSp>
      <xdr:nvGrpSpPr>
        <xdr:cNvPr id="468" name="Group 467">
          <a:extLst>
            <a:ext uri="{FF2B5EF4-FFF2-40B4-BE49-F238E27FC236}">
              <a16:creationId xmlns:a16="http://schemas.microsoft.com/office/drawing/2014/main" id="{461EA168-5C08-4200-92B6-6C40B6E11C50}"/>
            </a:ext>
          </a:extLst>
        </xdr:cNvPr>
        <xdr:cNvGrpSpPr/>
      </xdr:nvGrpSpPr>
      <xdr:grpSpPr>
        <a:xfrm>
          <a:off x="12155986" y="3402681"/>
          <a:ext cx="365760" cy="450576"/>
          <a:chOff x="12679680" y="3515360"/>
          <a:chExt cx="365760" cy="457200"/>
        </a:xfrm>
      </xdr:grpSpPr>
      <xdr:sp macro="" textlink="Pivottables!D38">
        <xdr:nvSpPr>
          <xdr:cNvPr id="469" name="TextBox 468">
            <a:extLst>
              <a:ext uri="{FF2B5EF4-FFF2-40B4-BE49-F238E27FC236}">
                <a16:creationId xmlns:a16="http://schemas.microsoft.com/office/drawing/2014/main" id="{CF38A01A-F8F4-4C63-A810-E4B4C826C518}"/>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0" name="TextBox 469">
            <a:extLst>
              <a:ext uri="{FF2B5EF4-FFF2-40B4-BE49-F238E27FC236}">
                <a16:creationId xmlns:a16="http://schemas.microsoft.com/office/drawing/2014/main" id="{11EB0814-A6CA-488B-910A-D0A1130525A1}"/>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54849</xdr:colOff>
      <xdr:row>18</xdr:row>
      <xdr:rowOff>142652</xdr:rowOff>
    </xdr:from>
    <xdr:to>
      <xdr:col>20</xdr:col>
      <xdr:colOff>420196</xdr:colOff>
      <xdr:row>21</xdr:row>
      <xdr:rowOff>50303</xdr:rowOff>
    </xdr:to>
    <xdr:grpSp>
      <xdr:nvGrpSpPr>
        <xdr:cNvPr id="471" name="Group 470">
          <a:extLst>
            <a:ext uri="{FF2B5EF4-FFF2-40B4-BE49-F238E27FC236}">
              <a16:creationId xmlns:a16="http://schemas.microsoft.com/office/drawing/2014/main" id="{C32144E0-7EF2-4C3D-8C49-307749AF92A6}"/>
            </a:ext>
          </a:extLst>
        </xdr:cNvPr>
        <xdr:cNvGrpSpPr/>
      </xdr:nvGrpSpPr>
      <xdr:grpSpPr>
        <a:xfrm>
          <a:off x="12246849" y="3400202"/>
          <a:ext cx="365347" cy="450576"/>
          <a:chOff x="12679680" y="3515360"/>
          <a:chExt cx="365760" cy="457200"/>
        </a:xfrm>
      </xdr:grpSpPr>
      <xdr:sp macro="" textlink="Pivottables!D38">
        <xdr:nvSpPr>
          <xdr:cNvPr id="472" name="TextBox 471">
            <a:extLst>
              <a:ext uri="{FF2B5EF4-FFF2-40B4-BE49-F238E27FC236}">
                <a16:creationId xmlns:a16="http://schemas.microsoft.com/office/drawing/2014/main" id="{6C18F6EF-20D6-47AA-B11D-827A51AE209C}"/>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3" name="TextBox 472">
            <a:extLst>
              <a:ext uri="{FF2B5EF4-FFF2-40B4-BE49-F238E27FC236}">
                <a16:creationId xmlns:a16="http://schemas.microsoft.com/office/drawing/2014/main" id="{721F7586-F6E0-4CEE-93EF-EF11AAFF393C}"/>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19</xdr:col>
      <xdr:colOff>486030</xdr:colOff>
      <xdr:row>19</xdr:row>
      <xdr:rowOff>129848</xdr:rowOff>
    </xdr:from>
    <xdr:to>
      <xdr:col>20</xdr:col>
      <xdr:colOff>242190</xdr:colOff>
      <xdr:row>22</xdr:row>
      <xdr:rowOff>37499</xdr:rowOff>
    </xdr:to>
    <xdr:grpSp>
      <xdr:nvGrpSpPr>
        <xdr:cNvPr id="474" name="Group 473">
          <a:extLst>
            <a:ext uri="{FF2B5EF4-FFF2-40B4-BE49-F238E27FC236}">
              <a16:creationId xmlns:a16="http://schemas.microsoft.com/office/drawing/2014/main" id="{820B2462-FCF4-475D-80D1-E63005203F75}"/>
            </a:ext>
          </a:extLst>
        </xdr:cNvPr>
        <xdr:cNvGrpSpPr/>
      </xdr:nvGrpSpPr>
      <xdr:grpSpPr>
        <a:xfrm>
          <a:off x="12068430" y="3568373"/>
          <a:ext cx="365760" cy="450576"/>
          <a:chOff x="12679680" y="3515360"/>
          <a:chExt cx="365760" cy="457200"/>
        </a:xfrm>
      </xdr:grpSpPr>
      <xdr:sp macro="" textlink="Pivottables!D38">
        <xdr:nvSpPr>
          <xdr:cNvPr id="475" name="TextBox 474">
            <a:extLst>
              <a:ext uri="{FF2B5EF4-FFF2-40B4-BE49-F238E27FC236}">
                <a16:creationId xmlns:a16="http://schemas.microsoft.com/office/drawing/2014/main" id="{A97C2CD5-FC63-4529-B5C6-675370113A49}"/>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6" name="TextBox 475">
            <a:extLst>
              <a:ext uri="{FF2B5EF4-FFF2-40B4-BE49-F238E27FC236}">
                <a16:creationId xmlns:a16="http://schemas.microsoft.com/office/drawing/2014/main" id="{D6646806-4AAE-4AE3-B1CD-7892F2728A45}"/>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322480</xdr:colOff>
      <xdr:row>18</xdr:row>
      <xdr:rowOff>143890</xdr:rowOff>
    </xdr:from>
    <xdr:to>
      <xdr:col>21</xdr:col>
      <xdr:colOff>78640</xdr:colOff>
      <xdr:row>21</xdr:row>
      <xdr:rowOff>51541</xdr:rowOff>
    </xdr:to>
    <xdr:grpSp>
      <xdr:nvGrpSpPr>
        <xdr:cNvPr id="477" name="Group 476">
          <a:extLst>
            <a:ext uri="{FF2B5EF4-FFF2-40B4-BE49-F238E27FC236}">
              <a16:creationId xmlns:a16="http://schemas.microsoft.com/office/drawing/2014/main" id="{7BFBCF57-A103-46BC-B9D7-2EDE01D275CE}"/>
            </a:ext>
          </a:extLst>
        </xdr:cNvPr>
        <xdr:cNvGrpSpPr/>
      </xdr:nvGrpSpPr>
      <xdr:grpSpPr>
        <a:xfrm>
          <a:off x="12514480" y="3401440"/>
          <a:ext cx="365760" cy="450576"/>
          <a:chOff x="12679680" y="3515360"/>
          <a:chExt cx="365760" cy="457200"/>
        </a:xfrm>
      </xdr:grpSpPr>
      <xdr:sp macro="" textlink="Pivottables!D38">
        <xdr:nvSpPr>
          <xdr:cNvPr id="478" name="TextBox 477">
            <a:extLst>
              <a:ext uri="{FF2B5EF4-FFF2-40B4-BE49-F238E27FC236}">
                <a16:creationId xmlns:a16="http://schemas.microsoft.com/office/drawing/2014/main" id="{FB52265C-6E1F-4E0B-B293-466E5E0AF765}"/>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9" name="TextBox 478">
            <a:extLst>
              <a:ext uri="{FF2B5EF4-FFF2-40B4-BE49-F238E27FC236}">
                <a16:creationId xmlns:a16="http://schemas.microsoft.com/office/drawing/2014/main" id="{590188CE-2D16-4936-A531-12CA85F01926}"/>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55839</xdr:colOff>
      <xdr:row>18</xdr:row>
      <xdr:rowOff>54682</xdr:rowOff>
    </xdr:from>
    <xdr:to>
      <xdr:col>20</xdr:col>
      <xdr:colOff>421599</xdr:colOff>
      <xdr:row>20</xdr:row>
      <xdr:rowOff>146122</xdr:rowOff>
    </xdr:to>
    <xdr:grpSp>
      <xdr:nvGrpSpPr>
        <xdr:cNvPr id="480" name="Group 479">
          <a:extLst>
            <a:ext uri="{FF2B5EF4-FFF2-40B4-BE49-F238E27FC236}">
              <a16:creationId xmlns:a16="http://schemas.microsoft.com/office/drawing/2014/main" id="{F8E3D7C3-43CF-470B-99E3-06E7FE95DBE7}"/>
            </a:ext>
          </a:extLst>
        </xdr:cNvPr>
        <xdr:cNvGrpSpPr/>
      </xdr:nvGrpSpPr>
      <xdr:grpSpPr>
        <a:xfrm>
          <a:off x="12247839" y="3312232"/>
          <a:ext cx="365760" cy="453390"/>
          <a:chOff x="13634720" y="3515360"/>
          <a:chExt cx="365760" cy="457200"/>
        </a:xfrm>
      </xdr:grpSpPr>
      <xdr:sp macro="" textlink="Pivottables!E38">
        <xdr:nvSpPr>
          <xdr:cNvPr id="481" name="TextBox 480">
            <a:extLst>
              <a:ext uri="{FF2B5EF4-FFF2-40B4-BE49-F238E27FC236}">
                <a16:creationId xmlns:a16="http://schemas.microsoft.com/office/drawing/2014/main" id="{1759E4C9-F320-4A62-BFBE-5452058313C9}"/>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82" name="TextBox 481">
            <a:extLst>
              <a:ext uri="{FF2B5EF4-FFF2-40B4-BE49-F238E27FC236}">
                <a16:creationId xmlns:a16="http://schemas.microsoft.com/office/drawing/2014/main" id="{266F2D2A-3CD2-457B-A4AF-F9CF27AC441A}"/>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146288</xdr:colOff>
      <xdr:row>19</xdr:row>
      <xdr:rowOff>43943</xdr:rowOff>
    </xdr:from>
    <xdr:to>
      <xdr:col>20</xdr:col>
      <xdr:colOff>512048</xdr:colOff>
      <xdr:row>21</xdr:row>
      <xdr:rowOff>135383</xdr:rowOff>
    </xdr:to>
    <xdr:grpSp>
      <xdr:nvGrpSpPr>
        <xdr:cNvPr id="483" name="Group 482">
          <a:extLst>
            <a:ext uri="{FF2B5EF4-FFF2-40B4-BE49-F238E27FC236}">
              <a16:creationId xmlns:a16="http://schemas.microsoft.com/office/drawing/2014/main" id="{43B76364-E092-4FFB-8638-269660BD12D2}"/>
            </a:ext>
          </a:extLst>
        </xdr:cNvPr>
        <xdr:cNvGrpSpPr/>
      </xdr:nvGrpSpPr>
      <xdr:grpSpPr>
        <a:xfrm>
          <a:off x="12338288" y="3482468"/>
          <a:ext cx="365760" cy="453390"/>
          <a:chOff x="13634720" y="3515360"/>
          <a:chExt cx="365760" cy="457200"/>
        </a:xfrm>
      </xdr:grpSpPr>
      <xdr:sp macro="" textlink="Pivottables!E38">
        <xdr:nvSpPr>
          <xdr:cNvPr id="484" name="TextBox 483">
            <a:extLst>
              <a:ext uri="{FF2B5EF4-FFF2-40B4-BE49-F238E27FC236}">
                <a16:creationId xmlns:a16="http://schemas.microsoft.com/office/drawing/2014/main" id="{27407AE4-3A08-4E4F-8A61-70C1084208F0}"/>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85" name="TextBox 484">
            <a:extLst>
              <a:ext uri="{FF2B5EF4-FFF2-40B4-BE49-F238E27FC236}">
                <a16:creationId xmlns:a16="http://schemas.microsoft.com/office/drawing/2014/main" id="{082CB20F-4D5D-4644-B067-8D07D82BC3BF}"/>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19</xdr:col>
      <xdr:colOff>575403</xdr:colOff>
      <xdr:row>19</xdr:row>
      <xdr:rowOff>43530</xdr:rowOff>
    </xdr:from>
    <xdr:to>
      <xdr:col>20</xdr:col>
      <xdr:colOff>331976</xdr:colOff>
      <xdr:row>21</xdr:row>
      <xdr:rowOff>134970</xdr:rowOff>
    </xdr:to>
    <xdr:grpSp>
      <xdr:nvGrpSpPr>
        <xdr:cNvPr id="486" name="Group 485">
          <a:extLst>
            <a:ext uri="{FF2B5EF4-FFF2-40B4-BE49-F238E27FC236}">
              <a16:creationId xmlns:a16="http://schemas.microsoft.com/office/drawing/2014/main" id="{C9B74D6B-E855-4046-87EA-DC03C93E211C}"/>
            </a:ext>
          </a:extLst>
        </xdr:cNvPr>
        <xdr:cNvGrpSpPr/>
      </xdr:nvGrpSpPr>
      <xdr:grpSpPr>
        <a:xfrm>
          <a:off x="12157803" y="3482055"/>
          <a:ext cx="366173" cy="453390"/>
          <a:chOff x="13634720" y="3515360"/>
          <a:chExt cx="365760" cy="457200"/>
        </a:xfrm>
      </xdr:grpSpPr>
      <xdr:sp macro="" textlink="Pivottables!E38">
        <xdr:nvSpPr>
          <xdr:cNvPr id="487" name="TextBox 486">
            <a:extLst>
              <a:ext uri="{FF2B5EF4-FFF2-40B4-BE49-F238E27FC236}">
                <a16:creationId xmlns:a16="http://schemas.microsoft.com/office/drawing/2014/main" id="{4732919A-8D90-4051-B44E-8218CE56F4B7}"/>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88" name="TextBox 487">
            <a:extLst>
              <a:ext uri="{FF2B5EF4-FFF2-40B4-BE49-F238E27FC236}">
                <a16:creationId xmlns:a16="http://schemas.microsoft.com/office/drawing/2014/main" id="{80B0039A-3466-4BF1-877A-48770ADE6A97}"/>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19</xdr:col>
      <xdr:colOff>399461</xdr:colOff>
      <xdr:row>19</xdr:row>
      <xdr:rowOff>45182</xdr:rowOff>
    </xdr:from>
    <xdr:to>
      <xdr:col>20</xdr:col>
      <xdr:colOff>156034</xdr:colOff>
      <xdr:row>21</xdr:row>
      <xdr:rowOff>136622</xdr:rowOff>
    </xdr:to>
    <xdr:grpSp>
      <xdr:nvGrpSpPr>
        <xdr:cNvPr id="489" name="Group 488">
          <a:extLst>
            <a:ext uri="{FF2B5EF4-FFF2-40B4-BE49-F238E27FC236}">
              <a16:creationId xmlns:a16="http://schemas.microsoft.com/office/drawing/2014/main" id="{96D811B6-6687-4F22-A96B-A36126AC31C4}"/>
            </a:ext>
          </a:extLst>
        </xdr:cNvPr>
        <xdr:cNvGrpSpPr/>
      </xdr:nvGrpSpPr>
      <xdr:grpSpPr>
        <a:xfrm>
          <a:off x="11981861" y="3483707"/>
          <a:ext cx="366173" cy="453390"/>
          <a:chOff x="13634720" y="3515360"/>
          <a:chExt cx="365760" cy="457200"/>
        </a:xfrm>
      </xdr:grpSpPr>
      <xdr:sp macro="" textlink="Pivottables!E38">
        <xdr:nvSpPr>
          <xdr:cNvPr id="490" name="TextBox 489">
            <a:extLst>
              <a:ext uri="{FF2B5EF4-FFF2-40B4-BE49-F238E27FC236}">
                <a16:creationId xmlns:a16="http://schemas.microsoft.com/office/drawing/2014/main" id="{5E548570-2705-43D0-A10C-3AAD893CD177}"/>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91" name="TextBox 490">
            <a:extLst>
              <a:ext uri="{FF2B5EF4-FFF2-40B4-BE49-F238E27FC236}">
                <a16:creationId xmlns:a16="http://schemas.microsoft.com/office/drawing/2014/main" id="{1FFB9CEE-7DCF-486B-846F-616E8A4B2D9E}"/>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52121</xdr:colOff>
      <xdr:row>19</xdr:row>
      <xdr:rowOff>133566</xdr:rowOff>
    </xdr:from>
    <xdr:to>
      <xdr:col>20</xdr:col>
      <xdr:colOff>417881</xdr:colOff>
      <xdr:row>22</xdr:row>
      <xdr:rowOff>41217</xdr:rowOff>
    </xdr:to>
    <xdr:grpSp>
      <xdr:nvGrpSpPr>
        <xdr:cNvPr id="492" name="Group 491">
          <a:extLst>
            <a:ext uri="{FF2B5EF4-FFF2-40B4-BE49-F238E27FC236}">
              <a16:creationId xmlns:a16="http://schemas.microsoft.com/office/drawing/2014/main" id="{2730068F-67A2-473B-8042-96823D1F6392}"/>
            </a:ext>
          </a:extLst>
        </xdr:cNvPr>
        <xdr:cNvGrpSpPr/>
      </xdr:nvGrpSpPr>
      <xdr:grpSpPr>
        <a:xfrm>
          <a:off x="12244121" y="3572091"/>
          <a:ext cx="365760" cy="450576"/>
          <a:chOff x="13634720" y="3515360"/>
          <a:chExt cx="365760" cy="457200"/>
        </a:xfrm>
      </xdr:grpSpPr>
      <xdr:sp macro="" textlink="Pivottables!E38">
        <xdr:nvSpPr>
          <xdr:cNvPr id="493" name="TextBox 492">
            <a:extLst>
              <a:ext uri="{FF2B5EF4-FFF2-40B4-BE49-F238E27FC236}">
                <a16:creationId xmlns:a16="http://schemas.microsoft.com/office/drawing/2014/main" id="{AF3377AD-FC91-47AE-B105-8B6174982B6E}"/>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94" name="TextBox 493">
            <a:extLst>
              <a:ext uri="{FF2B5EF4-FFF2-40B4-BE49-F238E27FC236}">
                <a16:creationId xmlns:a16="http://schemas.microsoft.com/office/drawing/2014/main" id="{A9FCC1C2-6DD0-4BA2-A2DD-CC652703079B}"/>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96274</xdr:colOff>
      <xdr:row>16</xdr:row>
      <xdr:rowOff>83738</xdr:rowOff>
    </xdr:from>
    <xdr:to>
      <xdr:col>23</xdr:col>
      <xdr:colOff>482354</xdr:colOff>
      <xdr:row>18</xdr:row>
      <xdr:rowOff>175178</xdr:rowOff>
    </xdr:to>
    <xdr:grpSp>
      <xdr:nvGrpSpPr>
        <xdr:cNvPr id="95" name="Group 94">
          <a:extLst>
            <a:ext uri="{FF2B5EF4-FFF2-40B4-BE49-F238E27FC236}">
              <a16:creationId xmlns:a16="http://schemas.microsoft.com/office/drawing/2014/main" id="{61ED8BF1-8511-46A6-9D4E-ED5DF5AB3620}"/>
            </a:ext>
          </a:extLst>
        </xdr:cNvPr>
        <xdr:cNvGrpSpPr/>
      </xdr:nvGrpSpPr>
      <xdr:grpSpPr>
        <a:xfrm>
          <a:off x="14117074" y="2979338"/>
          <a:ext cx="386080" cy="453390"/>
          <a:chOff x="14147800" y="3139440"/>
          <a:chExt cx="386080" cy="457200"/>
        </a:xfrm>
      </xdr:grpSpPr>
      <xdr:sp macro="" textlink="Pivottables!D37">
        <xdr:nvSpPr>
          <xdr:cNvPr id="94" name="TextBox 93">
            <a:extLst>
              <a:ext uri="{FF2B5EF4-FFF2-40B4-BE49-F238E27FC236}">
                <a16:creationId xmlns:a16="http://schemas.microsoft.com/office/drawing/2014/main" id="{592D31B1-BCFB-482A-B327-E4FBBB51D7D5}"/>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495" name="TextBox 494">
            <a:extLst>
              <a:ext uri="{FF2B5EF4-FFF2-40B4-BE49-F238E27FC236}">
                <a16:creationId xmlns:a16="http://schemas.microsoft.com/office/drawing/2014/main" id="{EB917D97-A394-4D47-90B3-2A4E52DB1AC0}"/>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365925</xdr:colOff>
      <xdr:row>15</xdr:row>
      <xdr:rowOff>96028</xdr:rowOff>
    </xdr:from>
    <xdr:to>
      <xdr:col>24</xdr:col>
      <xdr:colOff>142404</xdr:colOff>
      <xdr:row>18</xdr:row>
      <xdr:rowOff>5162</xdr:rowOff>
    </xdr:to>
    <xdr:grpSp>
      <xdr:nvGrpSpPr>
        <xdr:cNvPr id="96" name="Group 95">
          <a:extLst>
            <a:ext uri="{FF2B5EF4-FFF2-40B4-BE49-F238E27FC236}">
              <a16:creationId xmlns:a16="http://schemas.microsoft.com/office/drawing/2014/main" id="{3E75ED72-8112-4FED-8A6D-C0478BCD4FE6}"/>
            </a:ext>
          </a:extLst>
        </xdr:cNvPr>
        <xdr:cNvGrpSpPr/>
      </xdr:nvGrpSpPr>
      <xdr:grpSpPr>
        <a:xfrm>
          <a:off x="14386725" y="2810653"/>
          <a:ext cx="386079" cy="452059"/>
          <a:chOff x="15229840" y="3139440"/>
          <a:chExt cx="386080" cy="457200"/>
        </a:xfrm>
      </xdr:grpSpPr>
      <xdr:sp macro="" textlink="Pivottables!E37">
        <xdr:nvSpPr>
          <xdr:cNvPr id="496" name="TextBox 495">
            <a:extLst>
              <a:ext uri="{FF2B5EF4-FFF2-40B4-BE49-F238E27FC236}">
                <a16:creationId xmlns:a16="http://schemas.microsoft.com/office/drawing/2014/main" id="{8BA2CB26-0EFA-4D22-9DEA-3A4CE8B3FB9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497" name="TextBox 496">
            <a:extLst>
              <a:ext uri="{FF2B5EF4-FFF2-40B4-BE49-F238E27FC236}">
                <a16:creationId xmlns:a16="http://schemas.microsoft.com/office/drawing/2014/main" id="{B0CA3ADD-0C09-4810-A6D5-3619B0E6F9BD}"/>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293001</xdr:colOff>
      <xdr:row>15</xdr:row>
      <xdr:rowOff>94800</xdr:rowOff>
    </xdr:from>
    <xdr:to>
      <xdr:col>25</xdr:col>
      <xdr:colOff>69481</xdr:colOff>
      <xdr:row>18</xdr:row>
      <xdr:rowOff>3934</xdr:rowOff>
    </xdr:to>
    <xdr:grpSp>
      <xdr:nvGrpSpPr>
        <xdr:cNvPr id="498" name="Group 497">
          <a:extLst>
            <a:ext uri="{FF2B5EF4-FFF2-40B4-BE49-F238E27FC236}">
              <a16:creationId xmlns:a16="http://schemas.microsoft.com/office/drawing/2014/main" id="{B423E922-2EC4-4206-80AB-56E26522E5AC}"/>
            </a:ext>
          </a:extLst>
        </xdr:cNvPr>
        <xdr:cNvGrpSpPr/>
      </xdr:nvGrpSpPr>
      <xdr:grpSpPr>
        <a:xfrm>
          <a:off x="14923401" y="2809425"/>
          <a:ext cx="386080" cy="452059"/>
          <a:chOff x="15229840" y="3139440"/>
          <a:chExt cx="386080" cy="457200"/>
        </a:xfrm>
      </xdr:grpSpPr>
      <xdr:sp macro="" textlink="Pivottables!E37">
        <xdr:nvSpPr>
          <xdr:cNvPr id="499" name="TextBox 498">
            <a:extLst>
              <a:ext uri="{FF2B5EF4-FFF2-40B4-BE49-F238E27FC236}">
                <a16:creationId xmlns:a16="http://schemas.microsoft.com/office/drawing/2014/main" id="{83065F45-D3DB-4019-AC9D-31689DEDE571}"/>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00" name="TextBox 499">
            <a:extLst>
              <a:ext uri="{FF2B5EF4-FFF2-40B4-BE49-F238E27FC236}">
                <a16:creationId xmlns:a16="http://schemas.microsoft.com/office/drawing/2014/main" id="{5DE5C3D2-449A-4019-A05E-F9D315ED6E5E}"/>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95045</xdr:colOff>
      <xdr:row>16</xdr:row>
      <xdr:rowOff>172639</xdr:rowOff>
    </xdr:from>
    <xdr:to>
      <xdr:col>23</xdr:col>
      <xdr:colOff>481125</xdr:colOff>
      <xdr:row>19</xdr:row>
      <xdr:rowOff>81772</xdr:rowOff>
    </xdr:to>
    <xdr:grpSp>
      <xdr:nvGrpSpPr>
        <xdr:cNvPr id="501" name="Group 500">
          <a:extLst>
            <a:ext uri="{FF2B5EF4-FFF2-40B4-BE49-F238E27FC236}">
              <a16:creationId xmlns:a16="http://schemas.microsoft.com/office/drawing/2014/main" id="{2313F6E5-D053-4162-83BF-BCA2D2C3C386}"/>
            </a:ext>
          </a:extLst>
        </xdr:cNvPr>
        <xdr:cNvGrpSpPr/>
      </xdr:nvGrpSpPr>
      <xdr:grpSpPr>
        <a:xfrm>
          <a:off x="14115845" y="3068239"/>
          <a:ext cx="386080" cy="452058"/>
          <a:chOff x="14147800" y="3139440"/>
          <a:chExt cx="386080" cy="457200"/>
        </a:xfrm>
      </xdr:grpSpPr>
      <xdr:sp macro="" textlink="Pivottables!D37">
        <xdr:nvSpPr>
          <xdr:cNvPr id="502" name="TextBox 501">
            <a:extLst>
              <a:ext uri="{FF2B5EF4-FFF2-40B4-BE49-F238E27FC236}">
                <a16:creationId xmlns:a16="http://schemas.microsoft.com/office/drawing/2014/main" id="{854B9DB0-D31E-4E99-80E7-02FA16DB7B7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03" name="TextBox 502">
            <a:extLst>
              <a:ext uri="{FF2B5EF4-FFF2-40B4-BE49-F238E27FC236}">
                <a16:creationId xmlns:a16="http://schemas.microsoft.com/office/drawing/2014/main" id="{A6907153-C5C9-4499-BFD4-8C8D9708642B}"/>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364696</xdr:colOff>
      <xdr:row>16</xdr:row>
      <xdr:rowOff>86606</xdr:rowOff>
    </xdr:from>
    <xdr:to>
      <xdr:col>24</xdr:col>
      <xdr:colOff>141175</xdr:colOff>
      <xdr:row>18</xdr:row>
      <xdr:rowOff>178046</xdr:rowOff>
    </xdr:to>
    <xdr:grpSp>
      <xdr:nvGrpSpPr>
        <xdr:cNvPr id="504" name="Group 503">
          <a:extLst>
            <a:ext uri="{FF2B5EF4-FFF2-40B4-BE49-F238E27FC236}">
              <a16:creationId xmlns:a16="http://schemas.microsoft.com/office/drawing/2014/main" id="{D474114E-EC8C-4B5C-BBE2-DFD2E03F59A8}"/>
            </a:ext>
          </a:extLst>
        </xdr:cNvPr>
        <xdr:cNvGrpSpPr/>
      </xdr:nvGrpSpPr>
      <xdr:grpSpPr>
        <a:xfrm>
          <a:off x="14385496" y="2982206"/>
          <a:ext cx="386079" cy="453390"/>
          <a:chOff x="15229840" y="3139440"/>
          <a:chExt cx="386080" cy="457200"/>
        </a:xfrm>
      </xdr:grpSpPr>
      <xdr:sp macro="" textlink="Pivottables!E37">
        <xdr:nvSpPr>
          <xdr:cNvPr id="505" name="TextBox 504">
            <a:extLst>
              <a:ext uri="{FF2B5EF4-FFF2-40B4-BE49-F238E27FC236}">
                <a16:creationId xmlns:a16="http://schemas.microsoft.com/office/drawing/2014/main" id="{DD268E12-4914-4AF1-8348-C488D25A2C3E}"/>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06" name="TextBox 505">
            <a:extLst>
              <a:ext uri="{FF2B5EF4-FFF2-40B4-BE49-F238E27FC236}">
                <a16:creationId xmlns:a16="http://schemas.microsoft.com/office/drawing/2014/main" id="{1AAC424D-43F8-4797-B5F6-99C99363CF9C}"/>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363467</xdr:colOff>
      <xdr:row>16</xdr:row>
      <xdr:rowOff>167312</xdr:rowOff>
    </xdr:from>
    <xdr:to>
      <xdr:col>24</xdr:col>
      <xdr:colOff>139946</xdr:colOff>
      <xdr:row>19</xdr:row>
      <xdr:rowOff>76445</xdr:rowOff>
    </xdr:to>
    <xdr:grpSp>
      <xdr:nvGrpSpPr>
        <xdr:cNvPr id="507" name="Group 506">
          <a:extLst>
            <a:ext uri="{FF2B5EF4-FFF2-40B4-BE49-F238E27FC236}">
              <a16:creationId xmlns:a16="http://schemas.microsoft.com/office/drawing/2014/main" id="{1796A794-F4D2-4E7F-B1E8-B8C28542EE99}"/>
            </a:ext>
          </a:extLst>
        </xdr:cNvPr>
        <xdr:cNvGrpSpPr/>
      </xdr:nvGrpSpPr>
      <xdr:grpSpPr>
        <a:xfrm>
          <a:off x="14384267" y="3062912"/>
          <a:ext cx="386079" cy="452058"/>
          <a:chOff x="15229840" y="3139440"/>
          <a:chExt cx="386080" cy="457200"/>
        </a:xfrm>
      </xdr:grpSpPr>
      <xdr:sp macro="" textlink="Pivottables!E37">
        <xdr:nvSpPr>
          <xdr:cNvPr id="508" name="TextBox 507">
            <a:extLst>
              <a:ext uri="{FF2B5EF4-FFF2-40B4-BE49-F238E27FC236}">
                <a16:creationId xmlns:a16="http://schemas.microsoft.com/office/drawing/2014/main" id="{B9709F06-DDA5-4F14-8739-F84E0335CD59}"/>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09" name="TextBox 508">
            <a:extLst>
              <a:ext uri="{FF2B5EF4-FFF2-40B4-BE49-F238E27FC236}">
                <a16:creationId xmlns:a16="http://schemas.microsoft.com/office/drawing/2014/main" id="{9177B0B4-49DA-47D6-A5EE-9BB5D6476D04}"/>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364286</xdr:colOff>
      <xdr:row>17</xdr:row>
      <xdr:rowOff>69808</xdr:rowOff>
    </xdr:from>
    <xdr:to>
      <xdr:col>24</xdr:col>
      <xdr:colOff>140765</xdr:colOff>
      <xdr:row>19</xdr:row>
      <xdr:rowOff>161248</xdr:rowOff>
    </xdr:to>
    <xdr:grpSp>
      <xdr:nvGrpSpPr>
        <xdr:cNvPr id="510" name="Group 509">
          <a:extLst>
            <a:ext uri="{FF2B5EF4-FFF2-40B4-BE49-F238E27FC236}">
              <a16:creationId xmlns:a16="http://schemas.microsoft.com/office/drawing/2014/main" id="{F2B6E341-885A-48C1-94C2-73AF463538EA}"/>
            </a:ext>
          </a:extLst>
        </xdr:cNvPr>
        <xdr:cNvGrpSpPr/>
      </xdr:nvGrpSpPr>
      <xdr:grpSpPr>
        <a:xfrm>
          <a:off x="14385086" y="3146383"/>
          <a:ext cx="386079" cy="453390"/>
          <a:chOff x="15229840" y="3139440"/>
          <a:chExt cx="386080" cy="457200"/>
        </a:xfrm>
      </xdr:grpSpPr>
      <xdr:sp macro="" textlink="Pivottables!E37">
        <xdr:nvSpPr>
          <xdr:cNvPr id="511" name="TextBox 510">
            <a:extLst>
              <a:ext uri="{FF2B5EF4-FFF2-40B4-BE49-F238E27FC236}">
                <a16:creationId xmlns:a16="http://schemas.microsoft.com/office/drawing/2014/main" id="{01B0CE47-3BCE-48C4-8151-2787A48BF736}"/>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12" name="TextBox 511">
            <a:extLst>
              <a:ext uri="{FF2B5EF4-FFF2-40B4-BE49-F238E27FC236}">
                <a16:creationId xmlns:a16="http://schemas.microsoft.com/office/drawing/2014/main" id="{0D24D420-EAAD-47CA-BB22-7430E584452A}"/>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455234</xdr:colOff>
      <xdr:row>17</xdr:row>
      <xdr:rowOff>70627</xdr:rowOff>
    </xdr:from>
    <xdr:to>
      <xdr:col>24</xdr:col>
      <xdr:colOff>231713</xdr:colOff>
      <xdr:row>19</xdr:row>
      <xdr:rowOff>162067</xdr:rowOff>
    </xdr:to>
    <xdr:grpSp>
      <xdr:nvGrpSpPr>
        <xdr:cNvPr id="513" name="Group 512">
          <a:extLst>
            <a:ext uri="{FF2B5EF4-FFF2-40B4-BE49-F238E27FC236}">
              <a16:creationId xmlns:a16="http://schemas.microsoft.com/office/drawing/2014/main" id="{52F7A76A-1D24-4595-A987-824537A54E6F}"/>
            </a:ext>
          </a:extLst>
        </xdr:cNvPr>
        <xdr:cNvGrpSpPr/>
      </xdr:nvGrpSpPr>
      <xdr:grpSpPr>
        <a:xfrm>
          <a:off x="14476034" y="3147202"/>
          <a:ext cx="386079" cy="453390"/>
          <a:chOff x="15229840" y="3139440"/>
          <a:chExt cx="386080" cy="457200"/>
        </a:xfrm>
      </xdr:grpSpPr>
      <xdr:sp macro="" textlink="Pivottables!E37">
        <xdr:nvSpPr>
          <xdr:cNvPr id="514" name="TextBox 513">
            <a:extLst>
              <a:ext uri="{FF2B5EF4-FFF2-40B4-BE49-F238E27FC236}">
                <a16:creationId xmlns:a16="http://schemas.microsoft.com/office/drawing/2014/main" id="{80135369-9264-4B6C-AF32-8D8BD6853EE1}"/>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15" name="TextBox 514">
            <a:extLst>
              <a:ext uri="{FF2B5EF4-FFF2-40B4-BE49-F238E27FC236}">
                <a16:creationId xmlns:a16="http://schemas.microsoft.com/office/drawing/2014/main" id="{C0C2934B-49AA-4ADD-A3F6-D45E8475B47C}"/>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456053</xdr:colOff>
      <xdr:row>15</xdr:row>
      <xdr:rowOff>180010</xdr:rowOff>
    </xdr:from>
    <xdr:to>
      <xdr:col>24</xdr:col>
      <xdr:colOff>232532</xdr:colOff>
      <xdr:row>18</xdr:row>
      <xdr:rowOff>89144</xdr:rowOff>
    </xdr:to>
    <xdr:grpSp>
      <xdr:nvGrpSpPr>
        <xdr:cNvPr id="516" name="Group 515">
          <a:extLst>
            <a:ext uri="{FF2B5EF4-FFF2-40B4-BE49-F238E27FC236}">
              <a16:creationId xmlns:a16="http://schemas.microsoft.com/office/drawing/2014/main" id="{CE689A8E-59E1-4AC7-9C84-A04CA37490A3}"/>
            </a:ext>
          </a:extLst>
        </xdr:cNvPr>
        <xdr:cNvGrpSpPr/>
      </xdr:nvGrpSpPr>
      <xdr:grpSpPr>
        <a:xfrm>
          <a:off x="14476853" y="2894635"/>
          <a:ext cx="386079" cy="452059"/>
          <a:chOff x="15229840" y="3139440"/>
          <a:chExt cx="386080" cy="457200"/>
        </a:xfrm>
      </xdr:grpSpPr>
      <xdr:sp macro="" textlink="Pivottables!E37">
        <xdr:nvSpPr>
          <xdr:cNvPr id="517" name="TextBox 516">
            <a:extLst>
              <a:ext uri="{FF2B5EF4-FFF2-40B4-BE49-F238E27FC236}">
                <a16:creationId xmlns:a16="http://schemas.microsoft.com/office/drawing/2014/main" id="{8C1E74D6-DBDD-4050-B5AC-EDF88F89B94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18" name="TextBox 517">
            <a:extLst>
              <a:ext uri="{FF2B5EF4-FFF2-40B4-BE49-F238E27FC236}">
                <a16:creationId xmlns:a16="http://schemas.microsoft.com/office/drawing/2014/main" id="{0114069C-29AB-4C68-9703-393D2682569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542904</xdr:colOff>
      <xdr:row>15</xdr:row>
      <xdr:rowOff>180828</xdr:rowOff>
    </xdr:from>
    <xdr:to>
      <xdr:col>24</xdr:col>
      <xdr:colOff>319383</xdr:colOff>
      <xdr:row>18</xdr:row>
      <xdr:rowOff>89962</xdr:rowOff>
    </xdr:to>
    <xdr:grpSp>
      <xdr:nvGrpSpPr>
        <xdr:cNvPr id="519" name="Group 518">
          <a:extLst>
            <a:ext uri="{FF2B5EF4-FFF2-40B4-BE49-F238E27FC236}">
              <a16:creationId xmlns:a16="http://schemas.microsoft.com/office/drawing/2014/main" id="{DF581F56-4D68-4407-9A48-F4DB5F7358CF}"/>
            </a:ext>
          </a:extLst>
        </xdr:cNvPr>
        <xdr:cNvGrpSpPr/>
      </xdr:nvGrpSpPr>
      <xdr:grpSpPr>
        <a:xfrm>
          <a:off x="14563704" y="2895453"/>
          <a:ext cx="386079" cy="452059"/>
          <a:chOff x="15229840" y="3139440"/>
          <a:chExt cx="386080" cy="457200"/>
        </a:xfrm>
      </xdr:grpSpPr>
      <xdr:sp macro="" textlink="Pivottables!E37">
        <xdr:nvSpPr>
          <xdr:cNvPr id="520" name="TextBox 519">
            <a:extLst>
              <a:ext uri="{FF2B5EF4-FFF2-40B4-BE49-F238E27FC236}">
                <a16:creationId xmlns:a16="http://schemas.microsoft.com/office/drawing/2014/main" id="{DEE10075-B1A7-4C51-86CF-32CAB8724F8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21" name="TextBox 520">
            <a:extLst>
              <a:ext uri="{FF2B5EF4-FFF2-40B4-BE49-F238E27FC236}">
                <a16:creationId xmlns:a16="http://schemas.microsoft.com/office/drawing/2014/main" id="{52F608E8-3DF1-40D0-ABB5-C07A1F38297F}"/>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113561</xdr:colOff>
      <xdr:row>15</xdr:row>
      <xdr:rowOff>93566</xdr:rowOff>
    </xdr:from>
    <xdr:to>
      <xdr:col>24</xdr:col>
      <xdr:colOff>500460</xdr:colOff>
      <xdr:row>18</xdr:row>
      <xdr:rowOff>2700</xdr:rowOff>
    </xdr:to>
    <xdr:grpSp>
      <xdr:nvGrpSpPr>
        <xdr:cNvPr id="522" name="Group 521">
          <a:extLst>
            <a:ext uri="{FF2B5EF4-FFF2-40B4-BE49-F238E27FC236}">
              <a16:creationId xmlns:a16="http://schemas.microsoft.com/office/drawing/2014/main" id="{7418A047-5293-409F-9C23-F203D9B8437B}"/>
            </a:ext>
          </a:extLst>
        </xdr:cNvPr>
        <xdr:cNvGrpSpPr/>
      </xdr:nvGrpSpPr>
      <xdr:grpSpPr>
        <a:xfrm>
          <a:off x="14743961" y="2808191"/>
          <a:ext cx="386899" cy="452059"/>
          <a:chOff x="15229840" y="3139440"/>
          <a:chExt cx="386080" cy="457200"/>
        </a:xfrm>
      </xdr:grpSpPr>
      <xdr:sp macro="" textlink="Pivottables!E37">
        <xdr:nvSpPr>
          <xdr:cNvPr id="523" name="TextBox 522">
            <a:extLst>
              <a:ext uri="{FF2B5EF4-FFF2-40B4-BE49-F238E27FC236}">
                <a16:creationId xmlns:a16="http://schemas.microsoft.com/office/drawing/2014/main" id="{ABCAFF2B-FDF8-447A-9E7C-A61CADA6EDE5}"/>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24" name="TextBox 523">
            <a:extLst>
              <a:ext uri="{FF2B5EF4-FFF2-40B4-BE49-F238E27FC236}">
                <a16:creationId xmlns:a16="http://schemas.microsoft.com/office/drawing/2014/main" id="{4467A2F9-86AC-4A26-A889-E5DC81D58A06}"/>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204509</xdr:colOff>
      <xdr:row>15</xdr:row>
      <xdr:rowOff>180417</xdr:rowOff>
    </xdr:from>
    <xdr:to>
      <xdr:col>24</xdr:col>
      <xdr:colOff>591408</xdr:colOff>
      <xdr:row>18</xdr:row>
      <xdr:rowOff>89551</xdr:rowOff>
    </xdr:to>
    <xdr:grpSp>
      <xdr:nvGrpSpPr>
        <xdr:cNvPr id="525" name="Group 524">
          <a:extLst>
            <a:ext uri="{FF2B5EF4-FFF2-40B4-BE49-F238E27FC236}">
              <a16:creationId xmlns:a16="http://schemas.microsoft.com/office/drawing/2014/main" id="{20761273-C51C-4DD8-BE97-4D57A610B04F}"/>
            </a:ext>
          </a:extLst>
        </xdr:cNvPr>
        <xdr:cNvGrpSpPr/>
      </xdr:nvGrpSpPr>
      <xdr:grpSpPr>
        <a:xfrm>
          <a:off x="14834909" y="2895042"/>
          <a:ext cx="386899" cy="452059"/>
          <a:chOff x="15229840" y="3139440"/>
          <a:chExt cx="386080" cy="457200"/>
        </a:xfrm>
      </xdr:grpSpPr>
      <xdr:sp macro="" textlink="Pivottables!E37">
        <xdr:nvSpPr>
          <xdr:cNvPr id="526" name="TextBox 525">
            <a:extLst>
              <a:ext uri="{FF2B5EF4-FFF2-40B4-BE49-F238E27FC236}">
                <a16:creationId xmlns:a16="http://schemas.microsoft.com/office/drawing/2014/main" id="{C0CDB31F-CBDF-4DD9-AA78-573BF77ABEFB}"/>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27" name="TextBox 526">
            <a:extLst>
              <a:ext uri="{FF2B5EF4-FFF2-40B4-BE49-F238E27FC236}">
                <a16:creationId xmlns:a16="http://schemas.microsoft.com/office/drawing/2014/main" id="{360C8483-CF56-4576-B0FA-C40700B89C12}"/>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186894</xdr:colOff>
      <xdr:row>17</xdr:row>
      <xdr:rowOff>154607</xdr:rowOff>
    </xdr:from>
    <xdr:to>
      <xdr:col>23</xdr:col>
      <xdr:colOff>573793</xdr:colOff>
      <xdr:row>20</xdr:row>
      <xdr:rowOff>63741</xdr:rowOff>
    </xdr:to>
    <xdr:grpSp>
      <xdr:nvGrpSpPr>
        <xdr:cNvPr id="528" name="Group 527">
          <a:extLst>
            <a:ext uri="{FF2B5EF4-FFF2-40B4-BE49-F238E27FC236}">
              <a16:creationId xmlns:a16="http://schemas.microsoft.com/office/drawing/2014/main" id="{52A2587A-C7C5-4E23-93A2-14D131B91CDF}"/>
            </a:ext>
          </a:extLst>
        </xdr:cNvPr>
        <xdr:cNvGrpSpPr/>
      </xdr:nvGrpSpPr>
      <xdr:grpSpPr>
        <a:xfrm>
          <a:off x="14207694" y="3231182"/>
          <a:ext cx="386899" cy="452059"/>
          <a:chOff x="15229840" y="3139440"/>
          <a:chExt cx="386080" cy="457200"/>
        </a:xfrm>
      </xdr:grpSpPr>
      <xdr:sp macro="" textlink="Pivottables!E37">
        <xdr:nvSpPr>
          <xdr:cNvPr id="529" name="TextBox 528">
            <a:extLst>
              <a:ext uri="{FF2B5EF4-FFF2-40B4-BE49-F238E27FC236}">
                <a16:creationId xmlns:a16="http://schemas.microsoft.com/office/drawing/2014/main" id="{AE666642-50B4-49BF-B45E-9772309EA14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0" name="TextBox 529">
            <a:extLst>
              <a:ext uri="{FF2B5EF4-FFF2-40B4-BE49-F238E27FC236}">
                <a16:creationId xmlns:a16="http://schemas.microsoft.com/office/drawing/2014/main" id="{BA648099-CFDD-4EC8-B9AD-4E9E4021D6A6}"/>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363876</xdr:colOff>
      <xdr:row>18</xdr:row>
      <xdr:rowOff>59152</xdr:rowOff>
    </xdr:from>
    <xdr:to>
      <xdr:col>24</xdr:col>
      <xdr:colOff>140355</xdr:colOff>
      <xdr:row>20</xdr:row>
      <xdr:rowOff>150592</xdr:rowOff>
    </xdr:to>
    <xdr:grpSp>
      <xdr:nvGrpSpPr>
        <xdr:cNvPr id="531" name="Group 530">
          <a:extLst>
            <a:ext uri="{FF2B5EF4-FFF2-40B4-BE49-F238E27FC236}">
              <a16:creationId xmlns:a16="http://schemas.microsoft.com/office/drawing/2014/main" id="{030763DA-F992-4121-A6A9-55E8B1F81301}"/>
            </a:ext>
          </a:extLst>
        </xdr:cNvPr>
        <xdr:cNvGrpSpPr/>
      </xdr:nvGrpSpPr>
      <xdr:grpSpPr>
        <a:xfrm>
          <a:off x="14384676" y="3316702"/>
          <a:ext cx="386079" cy="453390"/>
          <a:chOff x="15229840" y="3139440"/>
          <a:chExt cx="386080" cy="457200"/>
        </a:xfrm>
      </xdr:grpSpPr>
      <xdr:sp macro="" textlink="Pivottables!E37">
        <xdr:nvSpPr>
          <xdr:cNvPr id="532" name="TextBox 531">
            <a:extLst>
              <a:ext uri="{FF2B5EF4-FFF2-40B4-BE49-F238E27FC236}">
                <a16:creationId xmlns:a16="http://schemas.microsoft.com/office/drawing/2014/main" id="{4588B0C4-5A13-4C76-9B86-0C30D5BCE44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3" name="TextBox 532">
            <a:extLst>
              <a:ext uri="{FF2B5EF4-FFF2-40B4-BE49-F238E27FC236}">
                <a16:creationId xmlns:a16="http://schemas.microsoft.com/office/drawing/2014/main" id="{01AC8EA7-AA85-4344-9926-DEA320E03584}"/>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20567</xdr:colOff>
      <xdr:row>17</xdr:row>
      <xdr:rowOff>158292</xdr:rowOff>
    </xdr:from>
    <xdr:to>
      <xdr:col>24</xdr:col>
      <xdr:colOff>407466</xdr:colOff>
      <xdr:row>20</xdr:row>
      <xdr:rowOff>67426</xdr:rowOff>
    </xdr:to>
    <xdr:grpSp>
      <xdr:nvGrpSpPr>
        <xdr:cNvPr id="534" name="Group 533">
          <a:extLst>
            <a:ext uri="{FF2B5EF4-FFF2-40B4-BE49-F238E27FC236}">
              <a16:creationId xmlns:a16="http://schemas.microsoft.com/office/drawing/2014/main" id="{0BC74378-17D0-4154-A52F-A3AB294AEB76}"/>
            </a:ext>
          </a:extLst>
        </xdr:cNvPr>
        <xdr:cNvGrpSpPr/>
      </xdr:nvGrpSpPr>
      <xdr:grpSpPr>
        <a:xfrm>
          <a:off x="14650967" y="3234867"/>
          <a:ext cx="386899" cy="452059"/>
          <a:chOff x="15229840" y="3139440"/>
          <a:chExt cx="386080" cy="457200"/>
        </a:xfrm>
      </xdr:grpSpPr>
      <xdr:sp macro="" textlink="Pivottables!E37">
        <xdr:nvSpPr>
          <xdr:cNvPr id="535" name="TextBox 534">
            <a:extLst>
              <a:ext uri="{FF2B5EF4-FFF2-40B4-BE49-F238E27FC236}">
                <a16:creationId xmlns:a16="http://schemas.microsoft.com/office/drawing/2014/main" id="{9E6F2BB4-65FF-45FE-996A-3F8148AC6942}"/>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6" name="TextBox 535">
            <a:extLst>
              <a:ext uri="{FF2B5EF4-FFF2-40B4-BE49-F238E27FC236}">
                <a16:creationId xmlns:a16="http://schemas.microsoft.com/office/drawing/2014/main" id="{EBB264FA-B2CE-48BB-AC03-AEF94A27F107}"/>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185259</xdr:colOff>
      <xdr:row>15</xdr:row>
      <xdr:rowOff>177545</xdr:rowOff>
    </xdr:from>
    <xdr:to>
      <xdr:col>23</xdr:col>
      <xdr:colOff>572158</xdr:colOff>
      <xdr:row>18</xdr:row>
      <xdr:rowOff>86679</xdr:rowOff>
    </xdr:to>
    <xdr:grpSp>
      <xdr:nvGrpSpPr>
        <xdr:cNvPr id="537" name="Group 536">
          <a:extLst>
            <a:ext uri="{FF2B5EF4-FFF2-40B4-BE49-F238E27FC236}">
              <a16:creationId xmlns:a16="http://schemas.microsoft.com/office/drawing/2014/main" id="{52916053-51FD-49A5-BD4A-7CE7CAA5C651}"/>
            </a:ext>
          </a:extLst>
        </xdr:cNvPr>
        <xdr:cNvGrpSpPr/>
      </xdr:nvGrpSpPr>
      <xdr:grpSpPr>
        <a:xfrm>
          <a:off x="14206059" y="2892170"/>
          <a:ext cx="386899" cy="452059"/>
          <a:chOff x="15229840" y="3139440"/>
          <a:chExt cx="386080" cy="457200"/>
        </a:xfrm>
      </xdr:grpSpPr>
      <xdr:sp macro="" textlink="Pivottables!E37">
        <xdr:nvSpPr>
          <xdr:cNvPr id="538" name="TextBox 537">
            <a:extLst>
              <a:ext uri="{FF2B5EF4-FFF2-40B4-BE49-F238E27FC236}">
                <a16:creationId xmlns:a16="http://schemas.microsoft.com/office/drawing/2014/main" id="{FEB0B9A7-56A0-4B57-88FF-66AB1CFC356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9" name="TextBox 538">
            <a:extLst>
              <a:ext uri="{FF2B5EF4-FFF2-40B4-BE49-F238E27FC236}">
                <a16:creationId xmlns:a16="http://schemas.microsoft.com/office/drawing/2014/main" id="{42C88841-C749-43A0-BA74-1F054D2E949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112337</xdr:colOff>
      <xdr:row>16</xdr:row>
      <xdr:rowOff>172217</xdr:rowOff>
    </xdr:from>
    <xdr:to>
      <xdr:col>24</xdr:col>
      <xdr:colOff>499236</xdr:colOff>
      <xdr:row>19</xdr:row>
      <xdr:rowOff>81350</xdr:rowOff>
    </xdr:to>
    <xdr:grpSp>
      <xdr:nvGrpSpPr>
        <xdr:cNvPr id="540" name="Group 539">
          <a:extLst>
            <a:ext uri="{FF2B5EF4-FFF2-40B4-BE49-F238E27FC236}">
              <a16:creationId xmlns:a16="http://schemas.microsoft.com/office/drawing/2014/main" id="{82EBB7D2-BD04-4E6F-B06A-D18722B4F6BF}"/>
            </a:ext>
          </a:extLst>
        </xdr:cNvPr>
        <xdr:cNvGrpSpPr/>
      </xdr:nvGrpSpPr>
      <xdr:grpSpPr>
        <a:xfrm>
          <a:off x="14742737" y="3067817"/>
          <a:ext cx="386899" cy="452058"/>
          <a:chOff x="15229840" y="3139440"/>
          <a:chExt cx="386080" cy="457200"/>
        </a:xfrm>
      </xdr:grpSpPr>
      <xdr:sp macro="" textlink="Pivottables!E37">
        <xdr:nvSpPr>
          <xdr:cNvPr id="541" name="TextBox 540">
            <a:extLst>
              <a:ext uri="{FF2B5EF4-FFF2-40B4-BE49-F238E27FC236}">
                <a16:creationId xmlns:a16="http://schemas.microsoft.com/office/drawing/2014/main" id="{1530A562-5DFE-4E3F-B841-3C90B917CF2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42" name="TextBox 541">
            <a:extLst>
              <a:ext uri="{FF2B5EF4-FFF2-40B4-BE49-F238E27FC236}">
                <a16:creationId xmlns:a16="http://schemas.microsoft.com/office/drawing/2014/main" id="{B5087CC2-09C4-4C45-8052-2B6926D0EE57}"/>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452284</xdr:colOff>
      <xdr:row>16</xdr:row>
      <xdr:rowOff>85379</xdr:rowOff>
    </xdr:from>
    <xdr:to>
      <xdr:col>24</xdr:col>
      <xdr:colOff>227944</xdr:colOff>
      <xdr:row>18</xdr:row>
      <xdr:rowOff>176819</xdr:rowOff>
    </xdr:to>
    <xdr:grpSp>
      <xdr:nvGrpSpPr>
        <xdr:cNvPr id="543" name="Group 542">
          <a:extLst>
            <a:ext uri="{FF2B5EF4-FFF2-40B4-BE49-F238E27FC236}">
              <a16:creationId xmlns:a16="http://schemas.microsoft.com/office/drawing/2014/main" id="{81F4F21F-A3CF-44F2-AABF-962958E7E044}"/>
            </a:ext>
          </a:extLst>
        </xdr:cNvPr>
        <xdr:cNvGrpSpPr/>
      </xdr:nvGrpSpPr>
      <xdr:grpSpPr>
        <a:xfrm>
          <a:off x="14473084" y="2980979"/>
          <a:ext cx="385260" cy="453390"/>
          <a:chOff x="14147800" y="3139440"/>
          <a:chExt cx="386080" cy="457200"/>
        </a:xfrm>
      </xdr:grpSpPr>
      <xdr:sp macro="" textlink="Pivottables!D37">
        <xdr:nvSpPr>
          <xdr:cNvPr id="544" name="TextBox 543">
            <a:extLst>
              <a:ext uri="{FF2B5EF4-FFF2-40B4-BE49-F238E27FC236}">
                <a16:creationId xmlns:a16="http://schemas.microsoft.com/office/drawing/2014/main" id="{171957E7-A02C-4BEE-B243-B393EC460C86}"/>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45" name="TextBox 544">
            <a:extLst>
              <a:ext uri="{FF2B5EF4-FFF2-40B4-BE49-F238E27FC236}">
                <a16:creationId xmlns:a16="http://schemas.microsoft.com/office/drawing/2014/main" id="{A0DAAB2E-30BB-4CD4-981D-F5D60073E901}"/>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274894</xdr:colOff>
      <xdr:row>16</xdr:row>
      <xdr:rowOff>167</xdr:rowOff>
    </xdr:from>
    <xdr:to>
      <xdr:col>24</xdr:col>
      <xdr:colOff>50554</xdr:colOff>
      <xdr:row>18</xdr:row>
      <xdr:rowOff>91607</xdr:rowOff>
    </xdr:to>
    <xdr:grpSp>
      <xdr:nvGrpSpPr>
        <xdr:cNvPr id="546" name="Group 545">
          <a:extLst>
            <a:ext uri="{FF2B5EF4-FFF2-40B4-BE49-F238E27FC236}">
              <a16:creationId xmlns:a16="http://schemas.microsoft.com/office/drawing/2014/main" id="{3C2A8D68-DF60-4E34-9E98-61EBFC1D2F38}"/>
            </a:ext>
          </a:extLst>
        </xdr:cNvPr>
        <xdr:cNvGrpSpPr/>
      </xdr:nvGrpSpPr>
      <xdr:grpSpPr>
        <a:xfrm>
          <a:off x="14295694" y="2895767"/>
          <a:ext cx="385260" cy="453390"/>
          <a:chOff x="14147800" y="3139440"/>
          <a:chExt cx="386080" cy="457200"/>
        </a:xfrm>
      </xdr:grpSpPr>
      <xdr:sp macro="" textlink="Pivottables!D37">
        <xdr:nvSpPr>
          <xdr:cNvPr id="547" name="TextBox 546">
            <a:extLst>
              <a:ext uri="{FF2B5EF4-FFF2-40B4-BE49-F238E27FC236}">
                <a16:creationId xmlns:a16="http://schemas.microsoft.com/office/drawing/2014/main" id="{F0780301-34A3-4898-843C-8F8181C5EA1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48" name="TextBox 547">
            <a:extLst>
              <a:ext uri="{FF2B5EF4-FFF2-40B4-BE49-F238E27FC236}">
                <a16:creationId xmlns:a16="http://schemas.microsoft.com/office/drawing/2014/main" id="{975D0E3F-13E8-4EF2-9829-50B735EFC96E}"/>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273665</xdr:colOff>
      <xdr:row>15</xdr:row>
      <xdr:rowOff>101357</xdr:rowOff>
    </xdr:from>
    <xdr:to>
      <xdr:col>24</xdr:col>
      <xdr:colOff>49325</xdr:colOff>
      <xdr:row>18</xdr:row>
      <xdr:rowOff>10491</xdr:rowOff>
    </xdr:to>
    <xdr:grpSp>
      <xdr:nvGrpSpPr>
        <xdr:cNvPr id="549" name="Group 548">
          <a:extLst>
            <a:ext uri="{FF2B5EF4-FFF2-40B4-BE49-F238E27FC236}">
              <a16:creationId xmlns:a16="http://schemas.microsoft.com/office/drawing/2014/main" id="{D7494114-2BAD-46C1-9399-0DFB578E3ABF}"/>
            </a:ext>
          </a:extLst>
        </xdr:cNvPr>
        <xdr:cNvGrpSpPr/>
      </xdr:nvGrpSpPr>
      <xdr:grpSpPr>
        <a:xfrm>
          <a:off x="14294465" y="2815982"/>
          <a:ext cx="385260" cy="452059"/>
          <a:chOff x="14147800" y="3139440"/>
          <a:chExt cx="386080" cy="457200"/>
        </a:xfrm>
      </xdr:grpSpPr>
      <xdr:sp macro="" textlink="Pivottables!D37">
        <xdr:nvSpPr>
          <xdr:cNvPr id="550" name="TextBox 549">
            <a:extLst>
              <a:ext uri="{FF2B5EF4-FFF2-40B4-BE49-F238E27FC236}">
                <a16:creationId xmlns:a16="http://schemas.microsoft.com/office/drawing/2014/main" id="{B290B5FE-3B34-4566-9288-8E118D9BE66F}"/>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51" name="TextBox 550">
            <a:extLst>
              <a:ext uri="{FF2B5EF4-FFF2-40B4-BE49-F238E27FC236}">
                <a16:creationId xmlns:a16="http://schemas.microsoft.com/office/drawing/2014/main" id="{C0A7FE81-DCF8-4B94-AB79-C5C39E548CFA}"/>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542823</xdr:colOff>
      <xdr:row>16</xdr:row>
      <xdr:rowOff>169774</xdr:rowOff>
    </xdr:from>
    <xdr:to>
      <xdr:col>24</xdr:col>
      <xdr:colOff>318483</xdr:colOff>
      <xdr:row>19</xdr:row>
      <xdr:rowOff>78907</xdr:rowOff>
    </xdr:to>
    <xdr:grpSp>
      <xdr:nvGrpSpPr>
        <xdr:cNvPr id="552" name="Group 551">
          <a:extLst>
            <a:ext uri="{FF2B5EF4-FFF2-40B4-BE49-F238E27FC236}">
              <a16:creationId xmlns:a16="http://schemas.microsoft.com/office/drawing/2014/main" id="{40D31238-3D32-4A85-913A-D34D3A8586C6}"/>
            </a:ext>
          </a:extLst>
        </xdr:cNvPr>
        <xdr:cNvGrpSpPr/>
      </xdr:nvGrpSpPr>
      <xdr:grpSpPr>
        <a:xfrm>
          <a:off x="14563623" y="3065374"/>
          <a:ext cx="385260" cy="452058"/>
          <a:chOff x="14147800" y="3139440"/>
          <a:chExt cx="386080" cy="457200"/>
        </a:xfrm>
      </xdr:grpSpPr>
      <xdr:sp macro="" textlink="Pivottables!D37">
        <xdr:nvSpPr>
          <xdr:cNvPr id="553" name="TextBox 552">
            <a:extLst>
              <a:ext uri="{FF2B5EF4-FFF2-40B4-BE49-F238E27FC236}">
                <a16:creationId xmlns:a16="http://schemas.microsoft.com/office/drawing/2014/main" id="{B1827CD9-1043-4F7C-9CD3-B510FFFB44F6}"/>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54" name="TextBox 553">
            <a:extLst>
              <a:ext uri="{FF2B5EF4-FFF2-40B4-BE49-F238E27FC236}">
                <a16:creationId xmlns:a16="http://schemas.microsoft.com/office/drawing/2014/main" id="{224C02A2-45EB-4977-B580-9E25C6677CE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365433</xdr:colOff>
      <xdr:row>17</xdr:row>
      <xdr:rowOff>158303</xdr:rowOff>
    </xdr:from>
    <xdr:to>
      <xdr:col>24</xdr:col>
      <xdr:colOff>141093</xdr:colOff>
      <xdr:row>20</xdr:row>
      <xdr:rowOff>67437</xdr:rowOff>
    </xdr:to>
    <xdr:grpSp>
      <xdr:nvGrpSpPr>
        <xdr:cNvPr id="555" name="Group 554">
          <a:extLst>
            <a:ext uri="{FF2B5EF4-FFF2-40B4-BE49-F238E27FC236}">
              <a16:creationId xmlns:a16="http://schemas.microsoft.com/office/drawing/2014/main" id="{75B699DB-2AEB-4D22-B0C5-E79E951FBEA1}"/>
            </a:ext>
          </a:extLst>
        </xdr:cNvPr>
        <xdr:cNvGrpSpPr/>
      </xdr:nvGrpSpPr>
      <xdr:grpSpPr>
        <a:xfrm>
          <a:off x="14386233" y="3234878"/>
          <a:ext cx="385260" cy="452059"/>
          <a:chOff x="14147800" y="3139440"/>
          <a:chExt cx="386080" cy="457200"/>
        </a:xfrm>
      </xdr:grpSpPr>
      <xdr:sp macro="" textlink="Pivottables!D37">
        <xdr:nvSpPr>
          <xdr:cNvPr id="556" name="TextBox 555">
            <a:extLst>
              <a:ext uri="{FF2B5EF4-FFF2-40B4-BE49-F238E27FC236}">
                <a16:creationId xmlns:a16="http://schemas.microsoft.com/office/drawing/2014/main" id="{9FB2D78E-BB50-4277-A1BB-DAD923A5DD88}"/>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57" name="TextBox 556">
            <a:extLst>
              <a:ext uri="{FF2B5EF4-FFF2-40B4-BE49-F238E27FC236}">
                <a16:creationId xmlns:a16="http://schemas.microsoft.com/office/drawing/2014/main" id="{0B5DE4B2-61B7-41CC-9EF6-E43BD0C3E543}"/>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24</xdr:col>
      <xdr:colOff>110203</xdr:colOff>
      <xdr:row>16</xdr:row>
      <xdr:rowOff>83334</xdr:rowOff>
    </xdr:from>
    <xdr:to>
      <xdr:col>24</xdr:col>
      <xdr:colOff>496283</xdr:colOff>
      <xdr:row>18</xdr:row>
      <xdr:rowOff>174774</xdr:rowOff>
    </xdr:to>
    <xdr:grpSp>
      <xdr:nvGrpSpPr>
        <xdr:cNvPr id="558" name="Group 557">
          <a:extLst>
            <a:ext uri="{FF2B5EF4-FFF2-40B4-BE49-F238E27FC236}">
              <a16:creationId xmlns:a16="http://schemas.microsoft.com/office/drawing/2014/main" id="{91DBFC04-4BBF-4C41-8093-5B632F7F5C50}"/>
            </a:ext>
          </a:extLst>
        </xdr:cNvPr>
        <xdr:cNvGrpSpPr/>
      </xdr:nvGrpSpPr>
      <xdr:grpSpPr>
        <a:xfrm>
          <a:off x="14740603" y="2978934"/>
          <a:ext cx="386080" cy="453390"/>
          <a:chOff x="14147800" y="3139440"/>
          <a:chExt cx="386080" cy="457200"/>
        </a:xfrm>
      </xdr:grpSpPr>
      <xdr:sp macro="" textlink="Pivottables!D37">
        <xdr:nvSpPr>
          <xdr:cNvPr id="559" name="TextBox 558">
            <a:extLst>
              <a:ext uri="{FF2B5EF4-FFF2-40B4-BE49-F238E27FC236}">
                <a16:creationId xmlns:a16="http://schemas.microsoft.com/office/drawing/2014/main" id="{AE472E46-E222-44D0-971B-A38AA1B84A2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0" name="TextBox 559">
            <a:extLst>
              <a:ext uri="{FF2B5EF4-FFF2-40B4-BE49-F238E27FC236}">
                <a16:creationId xmlns:a16="http://schemas.microsoft.com/office/drawing/2014/main" id="{C3C4E48E-1CB2-4773-9943-614027E7997E}"/>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24</xdr:col>
      <xdr:colOff>22942</xdr:colOff>
      <xdr:row>16</xdr:row>
      <xdr:rowOff>171</xdr:rowOff>
    </xdr:from>
    <xdr:to>
      <xdr:col>24</xdr:col>
      <xdr:colOff>409022</xdr:colOff>
      <xdr:row>18</xdr:row>
      <xdr:rowOff>91611</xdr:rowOff>
    </xdr:to>
    <xdr:grpSp>
      <xdr:nvGrpSpPr>
        <xdr:cNvPr id="561" name="Group 560">
          <a:extLst>
            <a:ext uri="{FF2B5EF4-FFF2-40B4-BE49-F238E27FC236}">
              <a16:creationId xmlns:a16="http://schemas.microsoft.com/office/drawing/2014/main" id="{C71AD4AE-068F-48A0-876C-7552F4853305}"/>
            </a:ext>
          </a:extLst>
        </xdr:cNvPr>
        <xdr:cNvGrpSpPr/>
      </xdr:nvGrpSpPr>
      <xdr:grpSpPr>
        <a:xfrm>
          <a:off x="14653342" y="2895771"/>
          <a:ext cx="386080" cy="453390"/>
          <a:chOff x="14147800" y="3139440"/>
          <a:chExt cx="386080" cy="457200"/>
        </a:xfrm>
      </xdr:grpSpPr>
      <xdr:sp macro="" textlink="Pivottables!D37">
        <xdr:nvSpPr>
          <xdr:cNvPr id="562" name="TextBox 561">
            <a:extLst>
              <a:ext uri="{FF2B5EF4-FFF2-40B4-BE49-F238E27FC236}">
                <a16:creationId xmlns:a16="http://schemas.microsoft.com/office/drawing/2014/main" id="{FF61C9F1-9C1C-425F-B3E1-5E78039409CA}"/>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3" name="TextBox 562">
            <a:extLst>
              <a:ext uri="{FF2B5EF4-FFF2-40B4-BE49-F238E27FC236}">
                <a16:creationId xmlns:a16="http://schemas.microsoft.com/office/drawing/2014/main" id="{35DF8310-9DFA-42CD-B4FC-16726267B8E9}"/>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24</xdr:col>
      <xdr:colOff>21713</xdr:colOff>
      <xdr:row>17</xdr:row>
      <xdr:rowOff>72685</xdr:rowOff>
    </xdr:from>
    <xdr:to>
      <xdr:col>24</xdr:col>
      <xdr:colOff>407793</xdr:colOff>
      <xdr:row>19</xdr:row>
      <xdr:rowOff>164125</xdr:rowOff>
    </xdr:to>
    <xdr:grpSp>
      <xdr:nvGrpSpPr>
        <xdr:cNvPr id="564" name="Group 563">
          <a:extLst>
            <a:ext uri="{FF2B5EF4-FFF2-40B4-BE49-F238E27FC236}">
              <a16:creationId xmlns:a16="http://schemas.microsoft.com/office/drawing/2014/main" id="{B992B92F-D030-466B-840A-38DBB639CBDF}"/>
            </a:ext>
          </a:extLst>
        </xdr:cNvPr>
        <xdr:cNvGrpSpPr/>
      </xdr:nvGrpSpPr>
      <xdr:grpSpPr>
        <a:xfrm>
          <a:off x="14652113" y="3149260"/>
          <a:ext cx="386080" cy="453390"/>
          <a:chOff x="14147800" y="3139440"/>
          <a:chExt cx="386080" cy="457200"/>
        </a:xfrm>
      </xdr:grpSpPr>
      <xdr:sp macro="" textlink="Pivottables!D37">
        <xdr:nvSpPr>
          <xdr:cNvPr id="565" name="TextBox 564">
            <a:extLst>
              <a:ext uri="{FF2B5EF4-FFF2-40B4-BE49-F238E27FC236}">
                <a16:creationId xmlns:a16="http://schemas.microsoft.com/office/drawing/2014/main" id="{6ECE1F40-4314-4FFF-8D98-1AFBD67F1EE2}"/>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6" name="TextBox 565">
            <a:extLst>
              <a:ext uri="{FF2B5EF4-FFF2-40B4-BE49-F238E27FC236}">
                <a16:creationId xmlns:a16="http://schemas.microsoft.com/office/drawing/2014/main" id="{A9DBD486-E81D-4BB4-8A1E-EEA954064240}"/>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542823</xdr:colOff>
      <xdr:row>17</xdr:row>
      <xdr:rowOff>153393</xdr:rowOff>
    </xdr:from>
    <xdr:to>
      <xdr:col>24</xdr:col>
      <xdr:colOff>318483</xdr:colOff>
      <xdr:row>20</xdr:row>
      <xdr:rowOff>62527</xdr:rowOff>
    </xdr:to>
    <xdr:grpSp>
      <xdr:nvGrpSpPr>
        <xdr:cNvPr id="567" name="Group 566">
          <a:extLst>
            <a:ext uri="{FF2B5EF4-FFF2-40B4-BE49-F238E27FC236}">
              <a16:creationId xmlns:a16="http://schemas.microsoft.com/office/drawing/2014/main" id="{6899B0F9-A17B-4A44-AE0B-36EB8B2996B6}"/>
            </a:ext>
          </a:extLst>
        </xdr:cNvPr>
        <xdr:cNvGrpSpPr/>
      </xdr:nvGrpSpPr>
      <xdr:grpSpPr>
        <a:xfrm>
          <a:off x="14563623" y="3229968"/>
          <a:ext cx="385260" cy="452059"/>
          <a:chOff x="14147800" y="3139440"/>
          <a:chExt cx="386080" cy="457200"/>
        </a:xfrm>
      </xdr:grpSpPr>
      <xdr:sp macro="" textlink="Pivottables!D37">
        <xdr:nvSpPr>
          <xdr:cNvPr id="568" name="TextBox 567">
            <a:extLst>
              <a:ext uri="{FF2B5EF4-FFF2-40B4-BE49-F238E27FC236}">
                <a16:creationId xmlns:a16="http://schemas.microsoft.com/office/drawing/2014/main" id="{60DBB8B0-4B9A-4503-B28E-802C956AB64B}"/>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9" name="TextBox 568">
            <a:extLst>
              <a:ext uri="{FF2B5EF4-FFF2-40B4-BE49-F238E27FC236}">
                <a16:creationId xmlns:a16="http://schemas.microsoft.com/office/drawing/2014/main" id="{3017EDBE-CD5E-4EE8-87D7-F7E24E384C9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6</xdr:col>
      <xdr:colOff>579121</xdr:colOff>
      <xdr:row>4</xdr:row>
      <xdr:rowOff>150124</xdr:rowOff>
    </xdr:from>
    <xdr:to>
      <xdr:col>29</xdr:col>
      <xdr:colOff>448452</xdr:colOff>
      <xdr:row>48</xdr:row>
      <xdr:rowOff>176249</xdr:rowOff>
    </xdr:to>
    <xdr:grpSp>
      <xdr:nvGrpSpPr>
        <xdr:cNvPr id="6" name="Group 5">
          <a:extLst>
            <a:ext uri="{FF2B5EF4-FFF2-40B4-BE49-F238E27FC236}">
              <a16:creationId xmlns:a16="http://schemas.microsoft.com/office/drawing/2014/main" id="{10AE5E07-FB0A-4A56-86F4-68C68A59DA3C}"/>
            </a:ext>
          </a:extLst>
        </xdr:cNvPr>
        <xdr:cNvGrpSpPr/>
      </xdr:nvGrpSpPr>
      <xdr:grpSpPr>
        <a:xfrm>
          <a:off x="4236721" y="874024"/>
          <a:ext cx="13890131" cy="7989025"/>
          <a:chOff x="4260472" y="862643"/>
          <a:chExt cx="13981175" cy="7863840"/>
        </a:xfrm>
      </xdr:grpSpPr>
      <xdr:sp macro="" textlink="">
        <xdr:nvSpPr>
          <xdr:cNvPr id="58" name="Freeform: Shape 57">
            <a:extLst>
              <a:ext uri="{FF2B5EF4-FFF2-40B4-BE49-F238E27FC236}">
                <a16:creationId xmlns:a16="http://schemas.microsoft.com/office/drawing/2014/main" id="{498C6CDD-3F85-E94A-5180-F0487A83465F}"/>
              </a:ext>
            </a:extLst>
          </xdr:cNvPr>
          <xdr:cNvSpPr/>
        </xdr:nvSpPr>
        <xdr:spPr>
          <a:xfrm flipV="1">
            <a:off x="4260472" y="862643"/>
            <a:ext cx="13981175" cy="7863840"/>
          </a:xfrm>
          <a:custGeom>
            <a:avLst/>
            <a:gdLst>
              <a:gd name="connsiteX0" fmla="*/ 0 w 12192000"/>
              <a:gd name="connsiteY0" fmla="*/ 6858000 h 6858000"/>
              <a:gd name="connsiteX1" fmla="*/ 12192000 w 12192000"/>
              <a:gd name="connsiteY1" fmla="*/ 6858000 h 6858000"/>
              <a:gd name="connsiteX2" fmla="*/ 12192000 w 12192000"/>
              <a:gd name="connsiteY2" fmla="*/ 0 h 6858000"/>
              <a:gd name="connsiteX3" fmla="*/ 0 w 12192000"/>
              <a:gd name="connsiteY3" fmla="*/ 0 h 6858000"/>
              <a:gd name="connsiteX4" fmla="*/ 0 w 12192000"/>
              <a:gd name="connsiteY4" fmla="*/ 6858000 h 6858000"/>
              <a:gd name="connsiteX5" fmla="*/ 4443527 w 12192000"/>
              <a:gd name="connsiteY5" fmla="*/ 5964174 h 6858000"/>
              <a:gd name="connsiteX6" fmla="*/ 4411317 w 12192000"/>
              <a:gd name="connsiteY6" fmla="*/ 5934522 h 6858000"/>
              <a:gd name="connsiteX7" fmla="*/ 4443527 w 12192000"/>
              <a:gd name="connsiteY7" fmla="*/ 5904870 h 6858000"/>
              <a:gd name="connsiteX8" fmla="*/ 4475738 w 12192000"/>
              <a:gd name="connsiteY8" fmla="*/ 5934522 h 6858000"/>
              <a:gd name="connsiteX9" fmla="*/ 4443527 w 12192000"/>
              <a:gd name="connsiteY9" fmla="*/ 5964174 h 6858000"/>
              <a:gd name="connsiteX10" fmla="*/ 4522062 w 12192000"/>
              <a:gd name="connsiteY10" fmla="*/ 5964174 h 6858000"/>
              <a:gd name="connsiteX11" fmla="*/ 4489851 w 12192000"/>
              <a:gd name="connsiteY11" fmla="*/ 5934522 h 6858000"/>
              <a:gd name="connsiteX12" fmla="*/ 4522062 w 12192000"/>
              <a:gd name="connsiteY12" fmla="*/ 5904870 h 6858000"/>
              <a:gd name="connsiteX13" fmla="*/ 4554272 w 12192000"/>
              <a:gd name="connsiteY13" fmla="*/ 5934522 h 6858000"/>
              <a:gd name="connsiteX14" fmla="*/ 4522062 w 12192000"/>
              <a:gd name="connsiteY14" fmla="*/ 5964174 h 6858000"/>
              <a:gd name="connsiteX15" fmla="*/ 4600596 w 12192000"/>
              <a:gd name="connsiteY15" fmla="*/ 5964174 h 6858000"/>
              <a:gd name="connsiteX16" fmla="*/ 4568386 w 12192000"/>
              <a:gd name="connsiteY16" fmla="*/ 5934522 h 6858000"/>
              <a:gd name="connsiteX17" fmla="*/ 4600596 w 12192000"/>
              <a:gd name="connsiteY17" fmla="*/ 5904870 h 6858000"/>
              <a:gd name="connsiteX18" fmla="*/ 4632806 w 12192000"/>
              <a:gd name="connsiteY18" fmla="*/ 5934522 h 6858000"/>
              <a:gd name="connsiteX19" fmla="*/ 4600596 w 12192000"/>
              <a:gd name="connsiteY19" fmla="*/ 5964174 h 6858000"/>
              <a:gd name="connsiteX20" fmla="*/ 4679129 w 12192000"/>
              <a:gd name="connsiteY20" fmla="*/ 5964174 h 6858000"/>
              <a:gd name="connsiteX21" fmla="*/ 4646919 w 12192000"/>
              <a:gd name="connsiteY21" fmla="*/ 5934522 h 6858000"/>
              <a:gd name="connsiteX22" fmla="*/ 4679129 w 12192000"/>
              <a:gd name="connsiteY22" fmla="*/ 5904870 h 6858000"/>
              <a:gd name="connsiteX23" fmla="*/ 4711339 w 12192000"/>
              <a:gd name="connsiteY23" fmla="*/ 5934522 h 6858000"/>
              <a:gd name="connsiteX24" fmla="*/ 4679129 w 12192000"/>
              <a:gd name="connsiteY24" fmla="*/ 5964174 h 6858000"/>
              <a:gd name="connsiteX25" fmla="*/ 4757663 w 12192000"/>
              <a:gd name="connsiteY25" fmla="*/ 5964174 h 6858000"/>
              <a:gd name="connsiteX26" fmla="*/ 4725453 w 12192000"/>
              <a:gd name="connsiteY26" fmla="*/ 5934522 h 6858000"/>
              <a:gd name="connsiteX27" fmla="*/ 4757663 w 12192000"/>
              <a:gd name="connsiteY27" fmla="*/ 5904870 h 6858000"/>
              <a:gd name="connsiteX28" fmla="*/ 4789874 w 12192000"/>
              <a:gd name="connsiteY28" fmla="*/ 5934522 h 6858000"/>
              <a:gd name="connsiteX29" fmla="*/ 4757663 w 12192000"/>
              <a:gd name="connsiteY29" fmla="*/ 5964174 h 6858000"/>
              <a:gd name="connsiteX30" fmla="*/ 4286460 w 12192000"/>
              <a:gd name="connsiteY30" fmla="*/ 5891909 h 6858000"/>
              <a:gd name="connsiteX31" fmla="*/ 4254250 w 12192000"/>
              <a:gd name="connsiteY31" fmla="*/ 5862256 h 6858000"/>
              <a:gd name="connsiteX32" fmla="*/ 4286460 w 12192000"/>
              <a:gd name="connsiteY32" fmla="*/ 5832604 h 6858000"/>
              <a:gd name="connsiteX33" fmla="*/ 4318670 w 12192000"/>
              <a:gd name="connsiteY33" fmla="*/ 5862256 h 6858000"/>
              <a:gd name="connsiteX34" fmla="*/ 4286460 w 12192000"/>
              <a:gd name="connsiteY34" fmla="*/ 5891909 h 6858000"/>
              <a:gd name="connsiteX35" fmla="*/ 4364994 w 12192000"/>
              <a:gd name="connsiteY35" fmla="*/ 5891909 h 6858000"/>
              <a:gd name="connsiteX36" fmla="*/ 4332784 w 12192000"/>
              <a:gd name="connsiteY36" fmla="*/ 5862256 h 6858000"/>
              <a:gd name="connsiteX37" fmla="*/ 4364994 w 12192000"/>
              <a:gd name="connsiteY37" fmla="*/ 5832604 h 6858000"/>
              <a:gd name="connsiteX38" fmla="*/ 4397204 w 12192000"/>
              <a:gd name="connsiteY38" fmla="*/ 5862256 h 6858000"/>
              <a:gd name="connsiteX39" fmla="*/ 4364994 w 12192000"/>
              <a:gd name="connsiteY39" fmla="*/ 5891909 h 6858000"/>
              <a:gd name="connsiteX40" fmla="*/ 4443527 w 12192000"/>
              <a:gd name="connsiteY40" fmla="*/ 5891909 h 6858000"/>
              <a:gd name="connsiteX41" fmla="*/ 4411317 w 12192000"/>
              <a:gd name="connsiteY41" fmla="*/ 5862256 h 6858000"/>
              <a:gd name="connsiteX42" fmla="*/ 4443527 w 12192000"/>
              <a:gd name="connsiteY42" fmla="*/ 5832604 h 6858000"/>
              <a:gd name="connsiteX43" fmla="*/ 4475738 w 12192000"/>
              <a:gd name="connsiteY43" fmla="*/ 5862256 h 6858000"/>
              <a:gd name="connsiteX44" fmla="*/ 4443527 w 12192000"/>
              <a:gd name="connsiteY44" fmla="*/ 5891909 h 6858000"/>
              <a:gd name="connsiteX45" fmla="*/ 4522062 w 12192000"/>
              <a:gd name="connsiteY45" fmla="*/ 5891909 h 6858000"/>
              <a:gd name="connsiteX46" fmla="*/ 4489851 w 12192000"/>
              <a:gd name="connsiteY46" fmla="*/ 5862256 h 6858000"/>
              <a:gd name="connsiteX47" fmla="*/ 4522062 w 12192000"/>
              <a:gd name="connsiteY47" fmla="*/ 5832604 h 6858000"/>
              <a:gd name="connsiteX48" fmla="*/ 4554272 w 12192000"/>
              <a:gd name="connsiteY48" fmla="*/ 5862256 h 6858000"/>
              <a:gd name="connsiteX49" fmla="*/ 4522062 w 12192000"/>
              <a:gd name="connsiteY49" fmla="*/ 5891909 h 6858000"/>
              <a:gd name="connsiteX50" fmla="*/ 4600596 w 12192000"/>
              <a:gd name="connsiteY50" fmla="*/ 5891909 h 6858000"/>
              <a:gd name="connsiteX51" fmla="*/ 4568386 w 12192000"/>
              <a:gd name="connsiteY51" fmla="*/ 5862256 h 6858000"/>
              <a:gd name="connsiteX52" fmla="*/ 4600596 w 12192000"/>
              <a:gd name="connsiteY52" fmla="*/ 5832604 h 6858000"/>
              <a:gd name="connsiteX53" fmla="*/ 4632806 w 12192000"/>
              <a:gd name="connsiteY53" fmla="*/ 5862256 h 6858000"/>
              <a:gd name="connsiteX54" fmla="*/ 4600596 w 12192000"/>
              <a:gd name="connsiteY54" fmla="*/ 5891909 h 6858000"/>
              <a:gd name="connsiteX55" fmla="*/ 4679129 w 12192000"/>
              <a:gd name="connsiteY55" fmla="*/ 5891909 h 6858000"/>
              <a:gd name="connsiteX56" fmla="*/ 4646919 w 12192000"/>
              <a:gd name="connsiteY56" fmla="*/ 5862256 h 6858000"/>
              <a:gd name="connsiteX57" fmla="*/ 4679129 w 12192000"/>
              <a:gd name="connsiteY57" fmla="*/ 5832604 h 6858000"/>
              <a:gd name="connsiteX58" fmla="*/ 4711339 w 12192000"/>
              <a:gd name="connsiteY58" fmla="*/ 5862256 h 6858000"/>
              <a:gd name="connsiteX59" fmla="*/ 4679129 w 12192000"/>
              <a:gd name="connsiteY59" fmla="*/ 5891909 h 6858000"/>
              <a:gd name="connsiteX60" fmla="*/ 4757663 w 12192000"/>
              <a:gd name="connsiteY60" fmla="*/ 5891909 h 6858000"/>
              <a:gd name="connsiteX61" fmla="*/ 4725453 w 12192000"/>
              <a:gd name="connsiteY61" fmla="*/ 5862256 h 6858000"/>
              <a:gd name="connsiteX62" fmla="*/ 4757663 w 12192000"/>
              <a:gd name="connsiteY62" fmla="*/ 5832604 h 6858000"/>
              <a:gd name="connsiteX63" fmla="*/ 4789874 w 12192000"/>
              <a:gd name="connsiteY63" fmla="*/ 5862256 h 6858000"/>
              <a:gd name="connsiteX64" fmla="*/ 4757663 w 12192000"/>
              <a:gd name="connsiteY64" fmla="*/ 5891909 h 6858000"/>
              <a:gd name="connsiteX65" fmla="*/ 4836197 w 12192000"/>
              <a:gd name="connsiteY65" fmla="*/ 5891909 h 6858000"/>
              <a:gd name="connsiteX66" fmla="*/ 4803986 w 12192000"/>
              <a:gd name="connsiteY66" fmla="*/ 5862256 h 6858000"/>
              <a:gd name="connsiteX67" fmla="*/ 4836197 w 12192000"/>
              <a:gd name="connsiteY67" fmla="*/ 5832604 h 6858000"/>
              <a:gd name="connsiteX68" fmla="*/ 4868407 w 12192000"/>
              <a:gd name="connsiteY68" fmla="*/ 5862256 h 6858000"/>
              <a:gd name="connsiteX69" fmla="*/ 4836197 w 12192000"/>
              <a:gd name="connsiteY69" fmla="*/ 5891909 h 6858000"/>
              <a:gd name="connsiteX70" fmla="*/ 5228867 w 12192000"/>
              <a:gd name="connsiteY70" fmla="*/ 5891909 h 6858000"/>
              <a:gd name="connsiteX71" fmla="*/ 5196657 w 12192000"/>
              <a:gd name="connsiteY71" fmla="*/ 5862256 h 6858000"/>
              <a:gd name="connsiteX72" fmla="*/ 5228867 w 12192000"/>
              <a:gd name="connsiteY72" fmla="*/ 5832604 h 6858000"/>
              <a:gd name="connsiteX73" fmla="*/ 5261077 w 12192000"/>
              <a:gd name="connsiteY73" fmla="*/ 5862256 h 6858000"/>
              <a:gd name="connsiteX74" fmla="*/ 5228867 w 12192000"/>
              <a:gd name="connsiteY74" fmla="*/ 5891909 h 6858000"/>
              <a:gd name="connsiteX75" fmla="*/ 5307400 w 12192000"/>
              <a:gd name="connsiteY75" fmla="*/ 5891909 h 6858000"/>
              <a:gd name="connsiteX76" fmla="*/ 5275190 w 12192000"/>
              <a:gd name="connsiteY76" fmla="*/ 5862256 h 6858000"/>
              <a:gd name="connsiteX77" fmla="*/ 5307400 w 12192000"/>
              <a:gd name="connsiteY77" fmla="*/ 5832604 h 6858000"/>
              <a:gd name="connsiteX78" fmla="*/ 5339610 w 12192000"/>
              <a:gd name="connsiteY78" fmla="*/ 5862256 h 6858000"/>
              <a:gd name="connsiteX79" fmla="*/ 5307400 w 12192000"/>
              <a:gd name="connsiteY79" fmla="*/ 5891909 h 6858000"/>
              <a:gd name="connsiteX80" fmla="*/ 5464468 w 12192000"/>
              <a:gd name="connsiteY80" fmla="*/ 5891909 h 6858000"/>
              <a:gd name="connsiteX81" fmla="*/ 5432257 w 12192000"/>
              <a:gd name="connsiteY81" fmla="*/ 5862256 h 6858000"/>
              <a:gd name="connsiteX82" fmla="*/ 5464468 w 12192000"/>
              <a:gd name="connsiteY82" fmla="*/ 5832604 h 6858000"/>
              <a:gd name="connsiteX83" fmla="*/ 5496678 w 12192000"/>
              <a:gd name="connsiteY83" fmla="*/ 5862256 h 6858000"/>
              <a:gd name="connsiteX84" fmla="*/ 5464468 w 12192000"/>
              <a:gd name="connsiteY84" fmla="*/ 5891909 h 6858000"/>
              <a:gd name="connsiteX85" fmla="*/ 7584906 w 12192000"/>
              <a:gd name="connsiteY85" fmla="*/ 5891909 h 6858000"/>
              <a:gd name="connsiteX86" fmla="*/ 7552690 w 12192000"/>
              <a:gd name="connsiteY86" fmla="*/ 5862256 h 6858000"/>
              <a:gd name="connsiteX87" fmla="*/ 7584906 w 12192000"/>
              <a:gd name="connsiteY87" fmla="*/ 5832604 h 6858000"/>
              <a:gd name="connsiteX88" fmla="*/ 7617111 w 12192000"/>
              <a:gd name="connsiteY88" fmla="*/ 5862256 h 6858000"/>
              <a:gd name="connsiteX89" fmla="*/ 7584906 w 12192000"/>
              <a:gd name="connsiteY89" fmla="*/ 5891909 h 6858000"/>
              <a:gd name="connsiteX90" fmla="*/ 3815250 w 12192000"/>
              <a:gd name="connsiteY90" fmla="*/ 5819643 h 6858000"/>
              <a:gd name="connsiteX91" fmla="*/ 3783040 w 12192000"/>
              <a:gd name="connsiteY91" fmla="*/ 5789991 h 6858000"/>
              <a:gd name="connsiteX92" fmla="*/ 3815250 w 12192000"/>
              <a:gd name="connsiteY92" fmla="*/ 5760339 h 6858000"/>
              <a:gd name="connsiteX93" fmla="*/ 3847461 w 12192000"/>
              <a:gd name="connsiteY93" fmla="*/ 5789991 h 6858000"/>
              <a:gd name="connsiteX94" fmla="*/ 3815250 w 12192000"/>
              <a:gd name="connsiteY94" fmla="*/ 5819643 h 6858000"/>
              <a:gd name="connsiteX95" fmla="*/ 3972319 w 12192000"/>
              <a:gd name="connsiteY95" fmla="*/ 5819643 h 6858000"/>
              <a:gd name="connsiteX96" fmla="*/ 3940108 w 12192000"/>
              <a:gd name="connsiteY96" fmla="*/ 5789991 h 6858000"/>
              <a:gd name="connsiteX97" fmla="*/ 3972319 w 12192000"/>
              <a:gd name="connsiteY97" fmla="*/ 5760339 h 6858000"/>
              <a:gd name="connsiteX98" fmla="*/ 4004529 w 12192000"/>
              <a:gd name="connsiteY98" fmla="*/ 5789991 h 6858000"/>
              <a:gd name="connsiteX99" fmla="*/ 3972319 w 12192000"/>
              <a:gd name="connsiteY99" fmla="*/ 5819643 h 6858000"/>
              <a:gd name="connsiteX100" fmla="*/ 4207926 w 12192000"/>
              <a:gd name="connsiteY100" fmla="*/ 5819643 h 6858000"/>
              <a:gd name="connsiteX101" fmla="*/ 4175715 w 12192000"/>
              <a:gd name="connsiteY101" fmla="*/ 5789991 h 6858000"/>
              <a:gd name="connsiteX102" fmla="*/ 4207926 w 12192000"/>
              <a:gd name="connsiteY102" fmla="*/ 5760339 h 6858000"/>
              <a:gd name="connsiteX103" fmla="*/ 4240136 w 12192000"/>
              <a:gd name="connsiteY103" fmla="*/ 5789991 h 6858000"/>
              <a:gd name="connsiteX104" fmla="*/ 4207926 w 12192000"/>
              <a:gd name="connsiteY104" fmla="*/ 5819643 h 6858000"/>
              <a:gd name="connsiteX105" fmla="*/ 4286460 w 12192000"/>
              <a:gd name="connsiteY105" fmla="*/ 5819643 h 6858000"/>
              <a:gd name="connsiteX106" fmla="*/ 4254250 w 12192000"/>
              <a:gd name="connsiteY106" fmla="*/ 5789991 h 6858000"/>
              <a:gd name="connsiteX107" fmla="*/ 4286460 w 12192000"/>
              <a:gd name="connsiteY107" fmla="*/ 5760339 h 6858000"/>
              <a:gd name="connsiteX108" fmla="*/ 4318670 w 12192000"/>
              <a:gd name="connsiteY108" fmla="*/ 5789991 h 6858000"/>
              <a:gd name="connsiteX109" fmla="*/ 4286460 w 12192000"/>
              <a:gd name="connsiteY109" fmla="*/ 5819643 h 6858000"/>
              <a:gd name="connsiteX110" fmla="*/ 4600596 w 12192000"/>
              <a:gd name="connsiteY110" fmla="*/ 5819643 h 6858000"/>
              <a:gd name="connsiteX111" fmla="*/ 4568386 w 12192000"/>
              <a:gd name="connsiteY111" fmla="*/ 5789991 h 6858000"/>
              <a:gd name="connsiteX112" fmla="*/ 4600596 w 12192000"/>
              <a:gd name="connsiteY112" fmla="*/ 5760339 h 6858000"/>
              <a:gd name="connsiteX113" fmla="*/ 4632806 w 12192000"/>
              <a:gd name="connsiteY113" fmla="*/ 5789991 h 6858000"/>
              <a:gd name="connsiteX114" fmla="*/ 4600596 w 12192000"/>
              <a:gd name="connsiteY114" fmla="*/ 5819643 h 6858000"/>
              <a:gd name="connsiteX115" fmla="*/ 4679129 w 12192000"/>
              <a:gd name="connsiteY115" fmla="*/ 5819643 h 6858000"/>
              <a:gd name="connsiteX116" fmla="*/ 4646919 w 12192000"/>
              <a:gd name="connsiteY116" fmla="*/ 5789991 h 6858000"/>
              <a:gd name="connsiteX117" fmla="*/ 4679129 w 12192000"/>
              <a:gd name="connsiteY117" fmla="*/ 5760339 h 6858000"/>
              <a:gd name="connsiteX118" fmla="*/ 4711339 w 12192000"/>
              <a:gd name="connsiteY118" fmla="*/ 5789991 h 6858000"/>
              <a:gd name="connsiteX119" fmla="*/ 4679129 w 12192000"/>
              <a:gd name="connsiteY119" fmla="*/ 5819643 h 6858000"/>
              <a:gd name="connsiteX120" fmla="*/ 4914731 w 12192000"/>
              <a:gd name="connsiteY120" fmla="*/ 5819643 h 6858000"/>
              <a:gd name="connsiteX121" fmla="*/ 4882521 w 12192000"/>
              <a:gd name="connsiteY121" fmla="*/ 5789991 h 6858000"/>
              <a:gd name="connsiteX122" fmla="*/ 4914731 w 12192000"/>
              <a:gd name="connsiteY122" fmla="*/ 5760339 h 6858000"/>
              <a:gd name="connsiteX123" fmla="*/ 4946941 w 12192000"/>
              <a:gd name="connsiteY123" fmla="*/ 5789991 h 6858000"/>
              <a:gd name="connsiteX124" fmla="*/ 4914731 w 12192000"/>
              <a:gd name="connsiteY124" fmla="*/ 5819643 h 6858000"/>
              <a:gd name="connsiteX125" fmla="*/ 5071798 w 12192000"/>
              <a:gd name="connsiteY125" fmla="*/ 5819643 h 6858000"/>
              <a:gd name="connsiteX126" fmla="*/ 5039588 w 12192000"/>
              <a:gd name="connsiteY126" fmla="*/ 5789991 h 6858000"/>
              <a:gd name="connsiteX127" fmla="*/ 5071798 w 12192000"/>
              <a:gd name="connsiteY127" fmla="*/ 5760339 h 6858000"/>
              <a:gd name="connsiteX128" fmla="*/ 5104009 w 12192000"/>
              <a:gd name="connsiteY128" fmla="*/ 5789991 h 6858000"/>
              <a:gd name="connsiteX129" fmla="*/ 5071798 w 12192000"/>
              <a:gd name="connsiteY129" fmla="*/ 5819643 h 6858000"/>
              <a:gd name="connsiteX130" fmla="*/ 5228867 w 12192000"/>
              <a:gd name="connsiteY130" fmla="*/ 5819643 h 6858000"/>
              <a:gd name="connsiteX131" fmla="*/ 5196657 w 12192000"/>
              <a:gd name="connsiteY131" fmla="*/ 5789991 h 6858000"/>
              <a:gd name="connsiteX132" fmla="*/ 5228867 w 12192000"/>
              <a:gd name="connsiteY132" fmla="*/ 5760339 h 6858000"/>
              <a:gd name="connsiteX133" fmla="*/ 5261077 w 12192000"/>
              <a:gd name="connsiteY133" fmla="*/ 5789991 h 6858000"/>
              <a:gd name="connsiteX134" fmla="*/ 5228867 w 12192000"/>
              <a:gd name="connsiteY134" fmla="*/ 5819643 h 6858000"/>
              <a:gd name="connsiteX135" fmla="*/ 5307400 w 12192000"/>
              <a:gd name="connsiteY135" fmla="*/ 5819643 h 6858000"/>
              <a:gd name="connsiteX136" fmla="*/ 5275190 w 12192000"/>
              <a:gd name="connsiteY136" fmla="*/ 5789991 h 6858000"/>
              <a:gd name="connsiteX137" fmla="*/ 5307400 w 12192000"/>
              <a:gd name="connsiteY137" fmla="*/ 5760339 h 6858000"/>
              <a:gd name="connsiteX138" fmla="*/ 5339610 w 12192000"/>
              <a:gd name="connsiteY138" fmla="*/ 5789991 h 6858000"/>
              <a:gd name="connsiteX139" fmla="*/ 5307400 w 12192000"/>
              <a:gd name="connsiteY139" fmla="*/ 5819643 h 6858000"/>
              <a:gd name="connsiteX140" fmla="*/ 5385934 w 12192000"/>
              <a:gd name="connsiteY140" fmla="*/ 5819643 h 6858000"/>
              <a:gd name="connsiteX141" fmla="*/ 5353724 w 12192000"/>
              <a:gd name="connsiteY141" fmla="*/ 5789991 h 6858000"/>
              <a:gd name="connsiteX142" fmla="*/ 5385934 w 12192000"/>
              <a:gd name="connsiteY142" fmla="*/ 5760339 h 6858000"/>
              <a:gd name="connsiteX143" fmla="*/ 5418145 w 12192000"/>
              <a:gd name="connsiteY143" fmla="*/ 5789991 h 6858000"/>
              <a:gd name="connsiteX144" fmla="*/ 5385934 w 12192000"/>
              <a:gd name="connsiteY144" fmla="*/ 5819643 h 6858000"/>
              <a:gd name="connsiteX145" fmla="*/ 5464468 w 12192000"/>
              <a:gd name="connsiteY145" fmla="*/ 5819643 h 6858000"/>
              <a:gd name="connsiteX146" fmla="*/ 5432257 w 12192000"/>
              <a:gd name="connsiteY146" fmla="*/ 5789991 h 6858000"/>
              <a:gd name="connsiteX147" fmla="*/ 5464468 w 12192000"/>
              <a:gd name="connsiteY147" fmla="*/ 5760339 h 6858000"/>
              <a:gd name="connsiteX148" fmla="*/ 5496678 w 12192000"/>
              <a:gd name="connsiteY148" fmla="*/ 5789991 h 6858000"/>
              <a:gd name="connsiteX149" fmla="*/ 5464468 w 12192000"/>
              <a:gd name="connsiteY149" fmla="*/ 5819643 h 6858000"/>
              <a:gd name="connsiteX150" fmla="*/ 5543002 w 12192000"/>
              <a:gd name="connsiteY150" fmla="*/ 5819643 h 6858000"/>
              <a:gd name="connsiteX151" fmla="*/ 5510792 w 12192000"/>
              <a:gd name="connsiteY151" fmla="*/ 5789991 h 6858000"/>
              <a:gd name="connsiteX152" fmla="*/ 5543002 w 12192000"/>
              <a:gd name="connsiteY152" fmla="*/ 5760339 h 6858000"/>
              <a:gd name="connsiteX153" fmla="*/ 5575212 w 12192000"/>
              <a:gd name="connsiteY153" fmla="*/ 5789991 h 6858000"/>
              <a:gd name="connsiteX154" fmla="*/ 5543002 w 12192000"/>
              <a:gd name="connsiteY154" fmla="*/ 5819643 h 6858000"/>
              <a:gd name="connsiteX155" fmla="*/ 7035146 w 12192000"/>
              <a:gd name="connsiteY155" fmla="*/ 5819643 h 6858000"/>
              <a:gd name="connsiteX156" fmla="*/ 7002929 w 12192000"/>
              <a:gd name="connsiteY156" fmla="*/ 5789991 h 6858000"/>
              <a:gd name="connsiteX157" fmla="*/ 7035146 w 12192000"/>
              <a:gd name="connsiteY157" fmla="*/ 5760339 h 6858000"/>
              <a:gd name="connsiteX158" fmla="*/ 7067350 w 12192000"/>
              <a:gd name="connsiteY158" fmla="*/ 5789991 h 6858000"/>
              <a:gd name="connsiteX159" fmla="*/ 7035146 w 12192000"/>
              <a:gd name="connsiteY159" fmla="*/ 5819643 h 6858000"/>
              <a:gd name="connsiteX160" fmla="*/ 7663441 w 12192000"/>
              <a:gd name="connsiteY160" fmla="*/ 5819643 h 6858000"/>
              <a:gd name="connsiteX161" fmla="*/ 7631224 w 12192000"/>
              <a:gd name="connsiteY161" fmla="*/ 5789991 h 6858000"/>
              <a:gd name="connsiteX162" fmla="*/ 7663441 w 12192000"/>
              <a:gd name="connsiteY162" fmla="*/ 5760339 h 6858000"/>
              <a:gd name="connsiteX163" fmla="*/ 7695645 w 12192000"/>
              <a:gd name="connsiteY163" fmla="*/ 5789991 h 6858000"/>
              <a:gd name="connsiteX164" fmla="*/ 7663441 w 12192000"/>
              <a:gd name="connsiteY164" fmla="*/ 5819643 h 6858000"/>
              <a:gd name="connsiteX165" fmla="*/ 7741974 w 12192000"/>
              <a:gd name="connsiteY165" fmla="*/ 5819643 h 6858000"/>
              <a:gd name="connsiteX166" fmla="*/ 7709758 w 12192000"/>
              <a:gd name="connsiteY166" fmla="*/ 5789991 h 6858000"/>
              <a:gd name="connsiteX167" fmla="*/ 7741974 w 12192000"/>
              <a:gd name="connsiteY167" fmla="*/ 5760339 h 6858000"/>
              <a:gd name="connsiteX168" fmla="*/ 7774178 w 12192000"/>
              <a:gd name="connsiteY168" fmla="*/ 5789991 h 6858000"/>
              <a:gd name="connsiteX169" fmla="*/ 7741974 w 12192000"/>
              <a:gd name="connsiteY169" fmla="*/ 5819643 h 6858000"/>
              <a:gd name="connsiteX170" fmla="*/ 8841448 w 12192000"/>
              <a:gd name="connsiteY170" fmla="*/ 5819643 h 6858000"/>
              <a:gd name="connsiteX171" fmla="*/ 8809232 w 12192000"/>
              <a:gd name="connsiteY171" fmla="*/ 5789991 h 6858000"/>
              <a:gd name="connsiteX172" fmla="*/ 8841448 w 12192000"/>
              <a:gd name="connsiteY172" fmla="*/ 5760339 h 6858000"/>
              <a:gd name="connsiteX173" fmla="*/ 8873653 w 12192000"/>
              <a:gd name="connsiteY173" fmla="*/ 5789991 h 6858000"/>
              <a:gd name="connsiteX174" fmla="*/ 8841448 w 12192000"/>
              <a:gd name="connsiteY174" fmla="*/ 5819643 h 6858000"/>
              <a:gd name="connsiteX175" fmla="*/ 8998516 w 12192000"/>
              <a:gd name="connsiteY175" fmla="*/ 5819643 h 6858000"/>
              <a:gd name="connsiteX176" fmla="*/ 8966300 w 12192000"/>
              <a:gd name="connsiteY176" fmla="*/ 5789991 h 6858000"/>
              <a:gd name="connsiteX177" fmla="*/ 8998516 w 12192000"/>
              <a:gd name="connsiteY177" fmla="*/ 5760339 h 6858000"/>
              <a:gd name="connsiteX178" fmla="*/ 9030720 w 12192000"/>
              <a:gd name="connsiteY178" fmla="*/ 5789991 h 6858000"/>
              <a:gd name="connsiteX179" fmla="*/ 8998516 w 12192000"/>
              <a:gd name="connsiteY179" fmla="*/ 5819643 h 6858000"/>
              <a:gd name="connsiteX180" fmla="*/ 3501115 w 12192000"/>
              <a:gd name="connsiteY180" fmla="*/ 5747378 h 6858000"/>
              <a:gd name="connsiteX181" fmla="*/ 3468905 w 12192000"/>
              <a:gd name="connsiteY181" fmla="*/ 5717726 h 6858000"/>
              <a:gd name="connsiteX182" fmla="*/ 3501115 w 12192000"/>
              <a:gd name="connsiteY182" fmla="*/ 5688074 h 6858000"/>
              <a:gd name="connsiteX183" fmla="*/ 3533326 w 12192000"/>
              <a:gd name="connsiteY183" fmla="*/ 5717726 h 6858000"/>
              <a:gd name="connsiteX184" fmla="*/ 3501115 w 12192000"/>
              <a:gd name="connsiteY184" fmla="*/ 5747378 h 6858000"/>
              <a:gd name="connsiteX185" fmla="*/ 3579650 w 12192000"/>
              <a:gd name="connsiteY185" fmla="*/ 5747378 h 6858000"/>
              <a:gd name="connsiteX186" fmla="*/ 3547439 w 12192000"/>
              <a:gd name="connsiteY186" fmla="*/ 5717726 h 6858000"/>
              <a:gd name="connsiteX187" fmla="*/ 3579650 w 12192000"/>
              <a:gd name="connsiteY187" fmla="*/ 5688074 h 6858000"/>
              <a:gd name="connsiteX188" fmla="*/ 3611860 w 12192000"/>
              <a:gd name="connsiteY188" fmla="*/ 5717726 h 6858000"/>
              <a:gd name="connsiteX189" fmla="*/ 3579650 w 12192000"/>
              <a:gd name="connsiteY189" fmla="*/ 5747378 h 6858000"/>
              <a:gd name="connsiteX190" fmla="*/ 3736717 w 12192000"/>
              <a:gd name="connsiteY190" fmla="*/ 5747378 h 6858000"/>
              <a:gd name="connsiteX191" fmla="*/ 3704507 w 12192000"/>
              <a:gd name="connsiteY191" fmla="*/ 5717726 h 6858000"/>
              <a:gd name="connsiteX192" fmla="*/ 3736717 w 12192000"/>
              <a:gd name="connsiteY192" fmla="*/ 5688074 h 6858000"/>
              <a:gd name="connsiteX193" fmla="*/ 3768927 w 12192000"/>
              <a:gd name="connsiteY193" fmla="*/ 5717726 h 6858000"/>
              <a:gd name="connsiteX194" fmla="*/ 3736717 w 12192000"/>
              <a:gd name="connsiteY194" fmla="*/ 5747378 h 6858000"/>
              <a:gd name="connsiteX195" fmla="*/ 3972319 w 12192000"/>
              <a:gd name="connsiteY195" fmla="*/ 5747378 h 6858000"/>
              <a:gd name="connsiteX196" fmla="*/ 3940108 w 12192000"/>
              <a:gd name="connsiteY196" fmla="*/ 5717726 h 6858000"/>
              <a:gd name="connsiteX197" fmla="*/ 3972319 w 12192000"/>
              <a:gd name="connsiteY197" fmla="*/ 5688074 h 6858000"/>
              <a:gd name="connsiteX198" fmla="*/ 4004529 w 12192000"/>
              <a:gd name="connsiteY198" fmla="*/ 5717726 h 6858000"/>
              <a:gd name="connsiteX199" fmla="*/ 3972319 w 12192000"/>
              <a:gd name="connsiteY199" fmla="*/ 5747378 h 6858000"/>
              <a:gd name="connsiteX200" fmla="*/ 4207926 w 12192000"/>
              <a:gd name="connsiteY200" fmla="*/ 5747378 h 6858000"/>
              <a:gd name="connsiteX201" fmla="*/ 4175715 w 12192000"/>
              <a:gd name="connsiteY201" fmla="*/ 5717726 h 6858000"/>
              <a:gd name="connsiteX202" fmla="*/ 4207926 w 12192000"/>
              <a:gd name="connsiteY202" fmla="*/ 5688074 h 6858000"/>
              <a:gd name="connsiteX203" fmla="*/ 4240136 w 12192000"/>
              <a:gd name="connsiteY203" fmla="*/ 5717726 h 6858000"/>
              <a:gd name="connsiteX204" fmla="*/ 4207926 w 12192000"/>
              <a:gd name="connsiteY204" fmla="*/ 5747378 h 6858000"/>
              <a:gd name="connsiteX205" fmla="*/ 4364994 w 12192000"/>
              <a:gd name="connsiteY205" fmla="*/ 5747378 h 6858000"/>
              <a:gd name="connsiteX206" fmla="*/ 4332784 w 12192000"/>
              <a:gd name="connsiteY206" fmla="*/ 5717726 h 6858000"/>
              <a:gd name="connsiteX207" fmla="*/ 4364994 w 12192000"/>
              <a:gd name="connsiteY207" fmla="*/ 5688074 h 6858000"/>
              <a:gd name="connsiteX208" fmla="*/ 4397204 w 12192000"/>
              <a:gd name="connsiteY208" fmla="*/ 5717726 h 6858000"/>
              <a:gd name="connsiteX209" fmla="*/ 4364994 w 12192000"/>
              <a:gd name="connsiteY209" fmla="*/ 5747378 h 6858000"/>
              <a:gd name="connsiteX210" fmla="*/ 4443527 w 12192000"/>
              <a:gd name="connsiteY210" fmla="*/ 5747378 h 6858000"/>
              <a:gd name="connsiteX211" fmla="*/ 4411317 w 12192000"/>
              <a:gd name="connsiteY211" fmla="*/ 5717726 h 6858000"/>
              <a:gd name="connsiteX212" fmla="*/ 4443527 w 12192000"/>
              <a:gd name="connsiteY212" fmla="*/ 5688074 h 6858000"/>
              <a:gd name="connsiteX213" fmla="*/ 4475738 w 12192000"/>
              <a:gd name="connsiteY213" fmla="*/ 5717726 h 6858000"/>
              <a:gd name="connsiteX214" fmla="*/ 4443527 w 12192000"/>
              <a:gd name="connsiteY214" fmla="*/ 5747378 h 6858000"/>
              <a:gd name="connsiteX215" fmla="*/ 4522062 w 12192000"/>
              <a:gd name="connsiteY215" fmla="*/ 5747378 h 6858000"/>
              <a:gd name="connsiteX216" fmla="*/ 4489851 w 12192000"/>
              <a:gd name="connsiteY216" fmla="*/ 5717726 h 6858000"/>
              <a:gd name="connsiteX217" fmla="*/ 4522062 w 12192000"/>
              <a:gd name="connsiteY217" fmla="*/ 5688074 h 6858000"/>
              <a:gd name="connsiteX218" fmla="*/ 4554272 w 12192000"/>
              <a:gd name="connsiteY218" fmla="*/ 5717726 h 6858000"/>
              <a:gd name="connsiteX219" fmla="*/ 4522062 w 12192000"/>
              <a:gd name="connsiteY219" fmla="*/ 5747378 h 6858000"/>
              <a:gd name="connsiteX220" fmla="*/ 4600596 w 12192000"/>
              <a:gd name="connsiteY220" fmla="*/ 5747378 h 6858000"/>
              <a:gd name="connsiteX221" fmla="*/ 4568386 w 12192000"/>
              <a:gd name="connsiteY221" fmla="*/ 5717726 h 6858000"/>
              <a:gd name="connsiteX222" fmla="*/ 4600596 w 12192000"/>
              <a:gd name="connsiteY222" fmla="*/ 5688074 h 6858000"/>
              <a:gd name="connsiteX223" fmla="*/ 4632806 w 12192000"/>
              <a:gd name="connsiteY223" fmla="*/ 5717726 h 6858000"/>
              <a:gd name="connsiteX224" fmla="*/ 4600596 w 12192000"/>
              <a:gd name="connsiteY224" fmla="*/ 5747378 h 6858000"/>
              <a:gd name="connsiteX225" fmla="*/ 4757663 w 12192000"/>
              <a:gd name="connsiteY225" fmla="*/ 5747378 h 6858000"/>
              <a:gd name="connsiteX226" fmla="*/ 4725453 w 12192000"/>
              <a:gd name="connsiteY226" fmla="*/ 5717726 h 6858000"/>
              <a:gd name="connsiteX227" fmla="*/ 4757663 w 12192000"/>
              <a:gd name="connsiteY227" fmla="*/ 5688074 h 6858000"/>
              <a:gd name="connsiteX228" fmla="*/ 4789874 w 12192000"/>
              <a:gd name="connsiteY228" fmla="*/ 5717726 h 6858000"/>
              <a:gd name="connsiteX229" fmla="*/ 4757663 w 12192000"/>
              <a:gd name="connsiteY229" fmla="*/ 5747378 h 6858000"/>
              <a:gd name="connsiteX230" fmla="*/ 4836197 w 12192000"/>
              <a:gd name="connsiteY230" fmla="*/ 5747378 h 6858000"/>
              <a:gd name="connsiteX231" fmla="*/ 4803986 w 12192000"/>
              <a:gd name="connsiteY231" fmla="*/ 5717726 h 6858000"/>
              <a:gd name="connsiteX232" fmla="*/ 4836197 w 12192000"/>
              <a:gd name="connsiteY232" fmla="*/ 5688074 h 6858000"/>
              <a:gd name="connsiteX233" fmla="*/ 4868407 w 12192000"/>
              <a:gd name="connsiteY233" fmla="*/ 5717726 h 6858000"/>
              <a:gd name="connsiteX234" fmla="*/ 4836197 w 12192000"/>
              <a:gd name="connsiteY234" fmla="*/ 5747378 h 6858000"/>
              <a:gd name="connsiteX235" fmla="*/ 4914731 w 12192000"/>
              <a:gd name="connsiteY235" fmla="*/ 5747378 h 6858000"/>
              <a:gd name="connsiteX236" fmla="*/ 4882521 w 12192000"/>
              <a:gd name="connsiteY236" fmla="*/ 5717726 h 6858000"/>
              <a:gd name="connsiteX237" fmla="*/ 4914731 w 12192000"/>
              <a:gd name="connsiteY237" fmla="*/ 5688074 h 6858000"/>
              <a:gd name="connsiteX238" fmla="*/ 4946941 w 12192000"/>
              <a:gd name="connsiteY238" fmla="*/ 5717726 h 6858000"/>
              <a:gd name="connsiteX239" fmla="*/ 4914731 w 12192000"/>
              <a:gd name="connsiteY239" fmla="*/ 5747378 h 6858000"/>
              <a:gd name="connsiteX240" fmla="*/ 4993265 w 12192000"/>
              <a:gd name="connsiteY240" fmla="*/ 5747378 h 6858000"/>
              <a:gd name="connsiteX241" fmla="*/ 4961055 w 12192000"/>
              <a:gd name="connsiteY241" fmla="*/ 5717726 h 6858000"/>
              <a:gd name="connsiteX242" fmla="*/ 4993265 w 12192000"/>
              <a:gd name="connsiteY242" fmla="*/ 5688074 h 6858000"/>
              <a:gd name="connsiteX243" fmla="*/ 5025475 w 12192000"/>
              <a:gd name="connsiteY243" fmla="*/ 5717726 h 6858000"/>
              <a:gd name="connsiteX244" fmla="*/ 4993265 w 12192000"/>
              <a:gd name="connsiteY244" fmla="*/ 5747378 h 6858000"/>
              <a:gd name="connsiteX245" fmla="*/ 5071798 w 12192000"/>
              <a:gd name="connsiteY245" fmla="*/ 5747378 h 6858000"/>
              <a:gd name="connsiteX246" fmla="*/ 5039588 w 12192000"/>
              <a:gd name="connsiteY246" fmla="*/ 5717726 h 6858000"/>
              <a:gd name="connsiteX247" fmla="*/ 5071798 w 12192000"/>
              <a:gd name="connsiteY247" fmla="*/ 5688074 h 6858000"/>
              <a:gd name="connsiteX248" fmla="*/ 5104009 w 12192000"/>
              <a:gd name="connsiteY248" fmla="*/ 5717726 h 6858000"/>
              <a:gd name="connsiteX249" fmla="*/ 5071798 w 12192000"/>
              <a:gd name="connsiteY249" fmla="*/ 5747378 h 6858000"/>
              <a:gd name="connsiteX250" fmla="*/ 5150333 w 12192000"/>
              <a:gd name="connsiteY250" fmla="*/ 5747378 h 6858000"/>
              <a:gd name="connsiteX251" fmla="*/ 5118122 w 12192000"/>
              <a:gd name="connsiteY251" fmla="*/ 5717726 h 6858000"/>
              <a:gd name="connsiteX252" fmla="*/ 5150333 w 12192000"/>
              <a:gd name="connsiteY252" fmla="*/ 5688074 h 6858000"/>
              <a:gd name="connsiteX253" fmla="*/ 5182543 w 12192000"/>
              <a:gd name="connsiteY253" fmla="*/ 5717726 h 6858000"/>
              <a:gd name="connsiteX254" fmla="*/ 5150333 w 12192000"/>
              <a:gd name="connsiteY254" fmla="*/ 5747378 h 6858000"/>
              <a:gd name="connsiteX255" fmla="*/ 5228867 w 12192000"/>
              <a:gd name="connsiteY255" fmla="*/ 5747378 h 6858000"/>
              <a:gd name="connsiteX256" fmla="*/ 5196657 w 12192000"/>
              <a:gd name="connsiteY256" fmla="*/ 5717726 h 6858000"/>
              <a:gd name="connsiteX257" fmla="*/ 5228867 w 12192000"/>
              <a:gd name="connsiteY257" fmla="*/ 5688074 h 6858000"/>
              <a:gd name="connsiteX258" fmla="*/ 5261077 w 12192000"/>
              <a:gd name="connsiteY258" fmla="*/ 5717726 h 6858000"/>
              <a:gd name="connsiteX259" fmla="*/ 5228867 w 12192000"/>
              <a:gd name="connsiteY259" fmla="*/ 5747378 h 6858000"/>
              <a:gd name="connsiteX260" fmla="*/ 5307400 w 12192000"/>
              <a:gd name="connsiteY260" fmla="*/ 5747378 h 6858000"/>
              <a:gd name="connsiteX261" fmla="*/ 5275190 w 12192000"/>
              <a:gd name="connsiteY261" fmla="*/ 5717726 h 6858000"/>
              <a:gd name="connsiteX262" fmla="*/ 5307400 w 12192000"/>
              <a:gd name="connsiteY262" fmla="*/ 5688074 h 6858000"/>
              <a:gd name="connsiteX263" fmla="*/ 5339610 w 12192000"/>
              <a:gd name="connsiteY263" fmla="*/ 5717726 h 6858000"/>
              <a:gd name="connsiteX264" fmla="*/ 5307400 w 12192000"/>
              <a:gd name="connsiteY264" fmla="*/ 5747378 h 6858000"/>
              <a:gd name="connsiteX265" fmla="*/ 5385934 w 12192000"/>
              <a:gd name="connsiteY265" fmla="*/ 5747378 h 6858000"/>
              <a:gd name="connsiteX266" fmla="*/ 5353724 w 12192000"/>
              <a:gd name="connsiteY266" fmla="*/ 5717726 h 6858000"/>
              <a:gd name="connsiteX267" fmla="*/ 5385934 w 12192000"/>
              <a:gd name="connsiteY267" fmla="*/ 5688074 h 6858000"/>
              <a:gd name="connsiteX268" fmla="*/ 5418145 w 12192000"/>
              <a:gd name="connsiteY268" fmla="*/ 5717726 h 6858000"/>
              <a:gd name="connsiteX269" fmla="*/ 5385934 w 12192000"/>
              <a:gd name="connsiteY269" fmla="*/ 5747378 h 6858000"/>
              <a:gd name="connsiteX270" fmla="*/ 5464468 w 12192000"/>
              <a:gd name="connsiteY270" fmla="*/ 5747378 h 6858000"/>
              <a:gd name="connsiteX271" fmla="*/ 5432257 w 12192000"/>
              <a:gd name="connsiteY271" fmla="*/ 5717726 h 6858000"/>
              <a:gd name="connsiteX272" fmla="*/ 5464468 w 12192000"/>
              <a:gd name="connsiteY272" fmla="*/ 5688074 h 6858000"/>
              <a:gd name="connsiteX273" fmla="*/ 5496678 w 12192000"/>
              <a:gd name="connsiteY273" fmla="*/ 5717726 h 6858000"/>
              <a:gd name="connsiteX274" fmla="*/ 5464468 w 12192000"/>
              <a:gd name="connsiteY274" fmla="*/ 5747378 h 6858000"/>
              <a:gd name="connsiteX275" fmla="*/ 6956611 w 12192000"/>
              <a:gd name="connsiteY275" fmla="*/ 5747378 h 6858000"/>
              <a:gd name="connsiteX276" fmla="*/ 6924395 w 12192000"/>
              <a:gd name="connsiteY276" fmla="*/ 5717726 h 6858000"/>
              <a:gd name="connsiteX277" fmla="*/ 6956611 w 12192000"/>
              <a:gd name="connsiteY277" fmla="*/ 5688074 h 6858000"/>
              <a:gd name="connsiteX278" fmla="*/ 6988816 w 12192000"/>
              <a:gd name="connsiteY278" fmla="*/ 5717726 h 6858000"/>
              <a:gd name="connsiteX279" fmla="*/ 6956611 w 12192000"/>
              <a:gd name="connsiteY279" fmla="*/ 5747378 h 6858000"/>
              <a:gd name="connsiteX280" fmla="*/ 7899042 w 12192000"/>
              <a:gd name="connsiteY280" fmla="*/ 5747378 h 6858000"/>
              <a:gd name="connsiteX281" fmla="*/ 7866826 w 12192000"/>
              <a:gd name="connsiteY281" fmla="*/ 5717726 h 6858000"/>
              <a:gd name="connsiteX282" fmla="*/ 7899042 w 12192000"/>
              <a:gd name="connsiteY282" fmla="*/ 5688074 h 6858000"/>
              <a:gd name="connsiteX283" fmla="*/ 7931247 w 12192000"/>
              <a:gd name="connsiteY283" fmla="*/ 5717726 h 6858000"/>
              <a:gd name="connsiteX284" fmla="*/ 7899042 w 12192000"/>
              <a:gd name="connsiteY284" fmla="*/ 5747378 h 6858000"/>
              <a:gd name="connsiteX285" fmla="*/ 8762914 w 12192000"/>
              <a:gd name="connsiteY285" fmla="*/ 5747378 h 6858000"/>
              <a:gd name="connsiteX286" fmla="*/ 8730698 w 12192000"/>
              <a:gd name="connsiteY286" fmla="*/ 5717726 h 6858000"/>
              <a:gd name="connsiteX287" fmla="*/ 8762914 w 12192000"/>
              <a:gd name="connsiteY287" fmla="*/ 5688074 h 6858000"/>
              <a:gd name="connsiteX288" fmla="*/ 8795118 w 12192000"/>
              <a:gd name="connsiteY288" fmla="*/ 5717726 h 6858000"/>
              <a:gd name="connsiteX289" fmla="*/ 8762914 w 12192000"/>
              <a:gd name="connsiteY289" fmla="*/ 5747378 h 6858000"/>
              <a:gd name="connsiteX290" fmla="*/ 8841448 w 12192000"/>
              <a:gd name="connsiteY290" fmla="*/ 5747378 h 6858000"/>
              <a:gd name="connsiteX291" fmla="*/ 8809232 w 12192000"/>
              <a:gd name="connsiteY291" fmla="*/ 5717726 h 6858000"/>
              <a:gd name="connsiteX292" fmla="*/ 8841448 w 12192000"/>
              <a:gd name="connsiteY292" fmla="*/ 5688074 h 6858000"/>
              <a:gd name="connsiteX293" fmla="*/ 8873653 w 12192000"/>
              <a:gd name="connsiteY293" fmla="*/ 5717726 h 6858000"/>
              <a:gd name="connsiteX294" fmla="*/ 8841448 w 12192000"/>
              <a:gd name="connsiteY294" fmla="*/ 5747378 h 6858000"/>
              <a:gd name="connsiteX295" fmla="*/ 3422581 w 12192000"/>
              <a:gd name="connsiteY295" fmla="*/ 5675112 h 6858000"/>
              <a:gd name="connsiteX296" fmla="*/ 3390371 w 12192000"/>
              <a:gd name="connsiteY296" fmla="*/ 5645460 h 6858000"/>
              <a:gd name="connsiteX297" fmla="*/ 3422581 w 12192000"/>
              <a:gd name="connsiteY297" fmla="*/ 5615808 h 6858000"/>
              <a:gd name="connsiteX298" fmla="*/ 3454791 w 12192000"/>
              <a:gd name="connsiteY298" fmla="*/ 5645460 h 6858000"/>
              <a:gd name="connsiteX299" fmla="*/ 3422581 w 12192000"/>
              <a:gd name="connsiteY299" fmla="*/ 5675112 h 6858000"/>
              <a:gd name="connsiteX300" fmla="*/ 4050852 w 12192000"/>
              <a:gd name="connsiteY300" fmla="*/ 5675112 h 6858000"/>
              <a:gd name="connsiteX301" fmla="*/ 4018642 w 12192000"/>
              <a:gd name="connsiteY301" fmla="*/ 5645460 h 6858000"/>
              <a:gd name="connsiteX302" fmla="*/ 4050852 w 12192000"/>
              <a:gd name="connsiteY302" fmla="*/ 5615808 h 6858000"/>
              <a:gd name="connsiteX303" fmla="*/ 4083062 w 12192000"/>
              <a:gd name="connsiteY303" fmla="*/ 5645460 h 6858000"/>
              <a:gd name="connsiteX304" fmla="*/ 4050852 w 12192000"/>
              <a:gd name="connsiteY304" fmla="*/ 5675112 h 6858000"/>
              <a:gd name="connsiteX305" fmla="*/ 4286460 w 12192000"/>
              <a:gd name="connsiteY305" fmla="*/ 5675112 h 6858000"/>
              <a:gd name="connsiteX306" fmla="*/ 4254250 w 12192000"/>
              <a:gd name="connsiteY306" fmla="*/ 5645460 h 6858000"/>
              <a:gd name="connsiteX307" fmla="*/ 4286460 w 12192000"/>
              <a:gd name="connsiteY307" fmla="*/ 5615808 h 6858000"/>
              <a:gd name="connsiteX308" fmla="*/ 4318670 w 12192000"/>
              <a:gd name="connsiteY308" fmla="*/ 5645460 h 6858000"/>
              <a:gd name="connsiteX309" fmla="*/ 4286460 w 12192000"/>
              <a:gd name="connsiteY309" fmla="*/ 5675112 h 6858000"/>
              <a:gd name="connsiteX310" fmla="*/ 4364994 w 12192000"/>
              <a:gd name="connsiteY310" fmla="*/ 5675112 h 6858000"/>
              <a:gd name="connsiteX311" fmla="*/ 4332784 w 12192000"/>
              <a:gd name="connsiteY311" fmla="*/ 5645460 h 6858000"/>
              <a:gd name="connsiteX312" fmla="*/ 4364994 w 12192000"/>
              <a:gd name="connsiteY312" fmla="*/ 5615808 h 6858000"/>
              <a:gd name="connsiteX313" fmla="*/ 4397204 w 12192000"/>
              <a:gd name="connsiteY313" fmla="*/ 5645460 h 6858000"/>
              <a:gd name="connsiteX314" fmla="*/ 4364994 w 12192000"/>
              <a:gd name="connsiteY314" fmla="*/ 5675112 h 6858000"/>
              <a:gd name="connsiteX315" fmla="*/ 4443527 w 12192000"/>
              <a:gd name="connsiteY315" fmla="*/ 5675112 h 6858000"/>
              <a:gd name="connsiteX316" fmla="*/ 4411317 w 12192000"/>
              <a:gd name="connsiteY316" fmla="*/ 5645460 h 6858000"/>
              <a:gd name="connsiteX317" fmla="*/ 4443527 w 12192000"/>
              <a:gd name="connsiteY317" fmla="*/ 5615808 h 6858000"/>
              <a:gd name="connsiteX318" fmla="*/ 4475738 w 12192000"/>
              <a:gd name="connsiteY318" fmla="*/ 5645460 h 6858000"/>
              <a:gd name="connsiteX319" fmla="*/ 4443527 w 12192000"/>
              <a:gd name="connsiteY319" fmla="*/ 5675112 h 6858000"/>
              <a:gd name="connsiteX320" fmla="*/ 4757663 w 12192000"/>
              <a:gd name="connsiteY320" fmla="*/ 5675112 h 6858000"/>
              <a:gd name="connsiteX321" fmla="*/ 4725453 w 12192000"/>
              <a:gd name="connsiteY321" fmla="*/ 5645460 h 6858000"/>
              <a:gd name="connsiteX322" fmla="*/ 4757663 w 12192000"/>
              <a:gd name="connsiteY322" fmla="*/ 5615808 h 6858000"/>
              <a:gd name="connsiteX323" fmla="*/ 4789874 w 12192000"/>
              <a:gd name="connsiteY323" fmla="*/ 5645460 h 6858000"/>
              <a:gd name="connsiteX324" fmla="*/ 4757663 w 12192000"/>
              <a:gd name="connsiteY324" fmla="*/ 5675112 h 6858000"/>
              <a:gd name="connsiteX325" fmla="*/ 4836197 w 12192000"/>
              <a:gd name="connsiteY325" fmla="*/ 5675112 h 6858000"/>
              <a:gd name="connsiteX326" fmla="*/ 4803986 w 12192000"/>
              <a:gd name="connsiteY326" fmla="*/ 5645460 h 6858000"/>
              <a:gd name="connsiteX327" fmla="*/ 4836197 w 12192000"/>
              <a:gd name="connsiteY327" fmla="*/ 5615808 h 6858000"/>
              <a:gd name="connsiteX328" fmla="*/ 4868407 w 12192000"/>
              <a:gd name="connsiteY328" fmla="*/ 5645460 h 6858000"/>
              <a:gd name="connsiteX329" fmla="*/ 4836197 w 12192000"/>
              <a:gd name="connsiteY329" fmla="*/ 5675112 h 6858000"/>
              <a:gd name="connsiteX330" fmla="*/ 4914731 w 12192000"/>
              <a:gd name="connsiteY330" fmla="*/ 5675112 h 6858000"/>
              <a:gd name="connsiteX331" fmla="*/ 4882521 w 12192000"/>
              <a:gd name="connsiteY331" fmla="*/ 5645460 h 6858000"/>
              <a:gd name="connsiteX332" fmla="*/ 4914731 w 12192000"/>
              <a:gd name="connsiteY332" fmla="*/ 5615808 h 6858000"/>
              <a:gd name="connsiteX333" fmla="*/ 4946941 w 12192000"/>
              <a:gd name="connsiteY333" fmla="*/ 5645460 h 6858000"/>
              <a:gd name="connsiteX334" fmla="*/ 4914731 w 12192000"/>
              <a:gd name="connsiteY334" fmla="*/ 5675112 h 6858000"/>
              <a:gd name="connsiteX335" fmla="*/ 4993265 w 12192000"/>
              <a:gd name="connsiteY335" fmla="*/ 5675112 h 6858000"/>
              <a:gd name="connsiteX336" fmla="*/ 4961055 w 12192000"/>
              <a:gd name="connsiteY336" fmla="*/ 5645460 h 6858000"/>
              <a:gd name="connsiteX337" fmla="*/ 4993265 w 12192000"/>
              <a:gd name="connsiteY337" fmla="*/ 5615808 h 6858000"/>
              <a:gd name="connsiteX338" fmla="*/ 5025475 w 12192000"/>
              <a:gd name="connsiteY338" fmla="*/ 5645460 h 6858000"/>
              <a:gd name="connsiteX339" fmla="*/ 4993265 w 12192000"/>
              <a:gd name="connsiteY339" fmla="*/ 5675112 h 6858000"/>
              <a:gd name="connsiteX340" fmla="*/ 5071798 w 12192000"/>
              <a:gd name="connsiteY340" fmla="*/ 5675112 h 6858000"/>
              <a:gd name="connsiteX341" fmla="*/ 5039588 w 12192000"/>
              <a:gd name="connsiteY341" fmla="*/ 5645460 h 6858000"/>
              <a:gd name="connsiteX342" fmla="*/ 5071798 w 12192000"/>
              <a:gd name="connsiteY342" fmla="*/ 5615808 h 6858000"/>
              <a:gd name="connsiteX343" fmla="*/ 5104009 w 12192000"/>
              <a:gd name="connsiteY343" fmla="*/ 5645460 h 6858000"/>
              <a:gd name="connsiteX344" fmla="*/ 5071798 w 12192000"/>
              <a:gd name="connsiteY344" fmla="*/ 5675112 h 6858000"/>
              <a:gd name="connsiteX345" fmla="*/ 5150333 w 12192000"/>
              <a:gd name="connsiteY345" fmla="*/ 5675112 h 6858000"/>
              <a:gd name="connsiteX346" fmla="*/ 5118122 w 12192000"/>
              <a:gd name="connsiteY346" fmla="*/ 5645460 h 6858000"/>
              <a:gd name="connsiteX347" fmla="*/ 5150333 w 12192000"/>
              <a:gd name="connsiteY347" fmla="*/ 5615808 h 6858000"/>
              <a:gd name="connsiteX348" fmla="*/ 5182543 w 12192000"/>
              <a:gd name="connsiteY348" fmla="*/ 5645460 h 6858000"/>
              <a:gd name="connsiteX349" fmla="*/ 5150333 w 12192000"/>
              <a:gd name="connsiteY349" fmla="*/ 5675112 h 6858000"/>
              <a:gd name="connsiteX350" fmla="*/ 5228867 w 12192000"/>
              <a:gd name="connsiteY350" fmla="*/ 5675112 h 6858000"/>
              <a:gd name="connsiteX351" fmla="*/ 5196657 w 12192000"/>
              <a:gd name="connsiteY351" fmla="*/ 5645460 h 6858000"/>
              <a:gd name="connsiteX352" fmla="*/ 5228867 w 12192000"/>
              <a:gd name="connsiteY352" fmla="*/ 5615808 h 6858000"/>
              <a:gd name="connsiteX353" fmla="*/ 5261077 w 12192000"/>
              <a:gd name="connsiteY353" fmla="*/ 5645460 h 6858000"/>
              <a:gd name="connsiteX354" fmla="*/ 5228867 w 12192000"/>
              <a:gd name="connsiteY354" fmla="*/ 5675112 h 6858000"/>
              <a:gd name="connsiteX355" fmla="*/ 5307400 w 12192000"/>
              <a:gd name="connsiteY355" fmla="*/ 5675112 h 6858000"/>
              <a:gd name="connsiteX356" fmla="*/ 5275190 w 12192000"/>
              <a:gd name="connsiteY356" fmla="*/ 5645460 h 6858000"/>
              <a:gd name="connsiteX357" fmla="*/ 5307400 w 12192000"/>
              <a:gd name="connsiteY357" fmla="*/ 5615808 h 6858000"/>
              <a:gd name="connsiteX358" fmla="*/ 5339610 w 12192000"/>
              <a:gd name="connsiteY358" fmla="*/ 5645460 h 6858000"/>
              <a:gd name="connsiteX359" fmla="*/ 5307400 w 12192000"/>
              <a:gd name="connsiteY359" fmla="*/ 5675112 h 6858000"/>
              <a:gd name="connsiteX360" fmla="*/ 5385934 w 12192000"/>
              <a:gd name="connsiteY360" fmla="*/ 5675112 h 6858000"/>
              <a:gd name="connsiteX361" fmla="*/ 5353724 w 12192000"/>
              <a:gd name="connsiteY361" fmla="*/ 5645460 h 6858000"/>
              <a:gd name="connsiteX362" fmla="*/ 5385934 w 12192000"/>
              <a:gd name="connsiteY362" fmla="*/ 5615808 h 6858000"/>
              <a:gd name="connsiteX363" fmla="*/ 5418145 w 12192000"/>
              <a:gd name="connsiteY363" fmla="*/ 5645460 h 6858000"/>
              <a:gd name="connsiteX364" fmla="*/ 5385934 w 12192000"/>
              <a:gd name="connsiteY364" fmla="*/ 5675112 h 6858000"/>
              <a:gd name="connsiteX365" fmla="*/ 5464468 w 12192000"/>
              <a:gd name="connsiteY365" fmla="*/ 5675112 h 6858000"/>
              <a:gd name="connsiteX366" fmla="*/ 5432257 w 12192000"/>
              <a:gd name="connsiteY366" fmla="*/ 5645460 h 6858000"/>
              <a:gd name="connsiteX367" fmla="*/ 5464468 w 12192000"/>
              <a:gd name="connsiteY367" fmla="*/ 5615808 h 6858000"/>
              <a:gd name="connsiteX368" fmla="*/ 5496678 w 12192000"/>
              <a:gd name="connsiteY368" fmla="*/ 5645460 h 6858000"/>
              <a:gd name="connsiteX369" fmla="*/ 5464468 w 12192000"/>
              <a:gd name="connsiteY369" fmla="*/ 5675112 h 6858000"/>
              <a:gd name="connsiteX370" fmla="*/ 5543002 w 12192000"/>
              <a:gd name="connsiteY370" fmla="*/ 5675112 h 6858000"/>
              <a:gd name="connsiteX371" fmla="*/ 5510792 w 12192000"/>
              <a:gd name="connsiteY371" fmla="*/ 5645460 h 6858000"/>
              <a:gd name="connsiteX372" fmla="*/ 5543002 w 12192000"/>
              <a:gd name="connsiteY372" fmla="*/ 5615808 h 6858000"/>
              <a:gd name="connsiteX373" fmla="*/ 5575212 w 12192000"/>
              <a:gd name="connsiteY373" fmla="*/ 5645460 h 6858000"/>
              <a:gd name="connsiteX374" fmla="*/ 5543002 w 12192000"/>
              <a:gd name="connsiteY374" fmla="*/ 5675112 h 6858000"/>
              <a:gd name="connsiteX375" fmla="*/ 5621536 w 12192000"/>
              <a:gd name="connsiteY375" fmla="*/ 5675112 h 6858000"/>
              <a:gd name="connsiteX376" fmla="*/ 5589326 w 12192000"/>
              <a:gd name="connsiteY376" fmla="*/ 5645460 h 6858000"/>
              <a:gd name="connsiteX377" fmla="*/ 5621536 w 12192000"/>
              <a:gd name="connsiteY377" fmla="*/ 5615808 h 6858000"/>
              <a:gd name="connsiteX378" fmla="*/ 5653746 w 12192000"/>
              <a:gd name="connsiteY378" fmla="*/ 5645460 h 6858000"/>
              <a:gd name="connsiteX379" fmla="*/ 5621536 w 12192000"/>
              <a:gd name="connsiteY379" fmla="*/ 5675112 h 6858000"/>
              <a:gd name="connsiteX380" fmla="*/ 6799544 w 12192000"/>
              <a:gd name="connsiteY380" fmla="*/ 5675112 h 6858000"/>
              <a:gd name="connsiteX381" fmla="*/ 6767327 w 12192000"/>
              <a:gd name="connsiteY381" fmla="*/ 5645460 h 6858000"/>
              <a:gd name="connsiteX382" fmla="*/ 6799544 w 12192000"/>
              <a:gd name="connsiteY382" fmla="*/ 5615808 h 6858000"/>
              <a:gd name="connsiteX383" fmla="*/ 6831748 w 12192000"/>
              <a:gd name="connsiteY383" fmla="*/ 5645460 h 6858000"/>
              <a:gd name="connsiteX384" fmla="*/ 6799544 w 12192000"/>
              <a:gd name="connsiteY384" fmla="*/ 5675112 h 6858000"/>
              <a:gd name="connsiteX385" fmla="*/ 6956611 w 12192000"/>
              <a:gd name="connsiteY385" fmla="*/ 5675112 h 6858000"/>
              <a:gd name="connsiteX386" fmla="*/ 6924395 w 12192000"/>
              <a:gd name="connsiteY386" fmla="*/ 5645460 h 6858000"/>
              <a:gd name="connsiteX387" fmla="*/ 6956611 w 12192000"/>
              <a:gd name="connsiteY387" fmla="*/ 5615808 h 6858000"/>
              <a:gd name="connsiteX388" fmla="*/ 6988816 w 12192000"/>
              <a:gd name="connsiteY388" fmla="*/ 5645460 h 6858000"/>
              <a:gd name="connsiteX389" fmla="*/ 6956611 w 12192000"/>
              <a:gd name="connsiteY389" fmla="*/ 5675112 h 6858000"/>
              <a:gd name="connsiteX390" fmla="*/ 7977576 w 12192000"/>
              <a:gd name="connsiteY390" fmla="*/ 5675112 h 6858000"/>
              <a:gd name="connsiteX391" fmla="*/ 7945359 w 12192000"/>
              <a:gd name="connsiteY391" fmla="*/ 5645460 h 6858000"/>
              <a:gd name="connsiteX392" fmla="*/ 7977576 w 12192000"/>
              <a:gd name="connsiteY392" fmla="*/ 5615808 h 6858000"/>
              <a:gd name="connsiteX393" fmla="*/ 8009780 w 12192000"/>
              <a:gd name="connsiteY393" fmla="*/ 5645460 h 6858000"/>
              <a:gd name="connsiteX394" fmla="*/ 7977576 w 12192000"/>
              <a:gd name="connsiteY394" fmla="*/ 5675112 h 6858000"/>
              <a:gd name="connsiteX395" fmla="*/ 8134643 w 12192000"/>
              <a:gd name="connsiteY395" fmla="*/ 5675112 h 6858000"/>
              <a:gd name="connsiteX396" fmla="*/ 8102427 w 12192000"/>
              <a:gd name="connsiteY396" fmla="*/ 5645460 h 6858000"/>
              <a:gd name="connsiteX397" fmla="*/ 8134643 w 12192000"/>
              <a:gd name="connsiteY397" fmla="*/ 5615808 h 6858000"/>
              <a:gd name="connsiteX398" fmla="*/ 8166847 w 12192000"/>
              <a:gd name="connsiteY398" fmla="*/ 5645460 h 6858000"/>
              <a:gd name="connsiteX399" fmla="*/ 8134643 w 12192000"/>
              <a:gd name="connsiteY399" fmla="*/ 5675112 h 6858000"/>
              <a:gd name="connsiteX400" fmla="*/ 8919983 w 12192000"/>
              <a:gd name="connsiteY400" fmla="*/ 5675112 h 6858000"/>
              <a:gd name="connsiteX401" fmla="*/ 8887766 w 12192000"/>
              <a:gd name="connsiteY401" fmla="*/ 5645460 h 6858000"/>
              <a:gd name="connsiteX402" fmla="*/ 8919983 w 12192000"/>
              <a:gd name="connsiteY402" fmla="*/ 5615808 h 6858000"/>
              <a:gd name="connsiteX403" fmla="*/ 8952187 w 12192000"/>
              <a:gd name="connsiteY403" fmla="*/ 5645460 h 6858000"/>
              <a:gd name="connsiteX404" fmla="*/ 8919983 w 12192000"/>
              <a:gd name="connsiteY404" fmla="*/ 5675112 h 6858000"/>
              <a:gd name="connsiteX405" fmla="*/ 3579650 w 12192000"/>
              <a:gd name="connsiteY405" fmla="*/ 5602847 h 6858000"/>
              <a:gd name="connsiteX406" fmla="*/ 3547439 w 12192000"/>
              <a:gd name="connsiteY406" fmla="*/ 5573194 h 6858000"/>
              <a:gd name="connsiteX407" fmla="*/ 3579650 w 12192000"/>
              <a:gd name="connsiteY407" fmla="*/ 5543542 h 6858000"/>
              <a:gd name="connsiteX408" fmla="*/ 3611860 w 12192000"/>
              <a:gd name="connsiteY408" fmla="*/ 5573194 h 6858000"/>
              <a:gd name="connsiteX409" fmla="*/ 3579650 w 12192000"/>
              <a:gd name="connsiteY409" fmla="*/ 5602847 h 6858000"/>
              <a:gd name="connsiteX410" fmla="*/ 3736717 w 12192000"/>
              <a:gd name="connsiteY410" fmla="*/ 5602847 h 6858000"/>
              <a:gd name="connsiteX411" fmla="*/ 3704507 w 12192000"/>
              <a:gd name="connsiteY411" fmla="*/ 5573194 h 6858000"/>
              <a:gd name="connsiteX412" fmla="*/ 3736717 w 12192000"/>
              <a:gd name="connsiteY412" fmla="*/ 5543542 h 6858000"/>
              <a:gd name="connsiteX413" fmla="*/ 3768927 w 12192000"/>
              <a:gd name="connsiteY413" fmla="*/ 5573194 h 6858000"/>
              <a:gd name="connsiteX414" fmla="*/ 3736717 w 12192000"/>
              <a:gd name="connsiteY414" fmla="*/ 5602847 h 6858000"/>
              <a:gd name="connsiteX415" fmla="*/ 3893785 w 12192000"/>
              <a:gd name="connsiteY415" fmla="*/ 5602847 h 6858000"/>
              <a:gd name="connsiteX416" fmla="*/ 3861574 w 12192000"/>
              <a:gd name="connsiteY416" fmla="*/ 5573194 h 6858000"/>
              <a:gd name="connsiteX417" fmla="*/ 3893785 w 12192000"/>
              <a:gd name="connsiteY417" fmla="*/ 5543542 h 6858000"/>
              <a:gd name="connsiteX418" fmla="*/ 3925995 w 12192000"/>
              <a:gd name="connsiteY418" fmla="*/ 5573194 h 6858000"/>
              <a:gd name="connsiteX419" fmla="*/ 3893785 w 12192000"/>
              <a:gd name="connsiteY419" fmla="*/ 5602847 h 6858000"/>
              <a:gd name="connsiteX420" fmla="*/ 4364994 w 12192000"/>
              <a:gd name="connsiteY420" fmla="*/ 5602847 h 6858000"/>
              <a:gd name="connsiteX421" fmla="*/ 4332784 w 12192000"/>
              <a:gd name="connsiteY421" fmla="*/ 5573194 h 6858000"/>
              <a:gd name="connsiteX422" fmla="*/ 4364994 w 12192000"/>
              <a:gd name="connsiteY422" fmla="*/ 5543542 h 6858000"/>
              <a:gd name="connsiteX423" fmla="*/ 4397204 w 12192000"/>
              <a:gd name="connsiteY423" fmla="*/ 5573194 h 6858000"/>
              <a:gd name="connsiteX424" fmla="*/ 4364994 w 12192000"/>
              <a:gd name="connsiteY424" fmla="*/ 5602847 h 6858000"/>
              <a:gd name="connsiteX425" fmla="*/ 4600596 w 12192000"/>
              <a:gd name="connsiteY425" fmla="*/ 5602847 h 6858000"/>
              <a:gd name="connsiteX426" fmla="*/ 4568386 w 12192000"/>
              <a:gd name="connsiteY426" fmla="*/ 5573194 h 6858000"/>
              <a:gd name="connsiteX427" fmla="*/ 4600596 w 12192000"/>
              <a:gd name="connsiteY427" fmla="*/ 5543542 h 6858000"/>
              <a:gd name="connsiteX428" fmla="*/ 4632806 w 12192000"/>
              <a:gd name="connsiteY428" fmla="*/ 5573194 h 6858000"/>
              <a:gd name="connsiteX429" fmla="*/ 4600596 w 12192000"/>
              <a:gd name="connsiteY429" fmla="*/ 5602847 h 6858000"/>
              <a:gd name="connsiteX430" fmla="*/ 4679129 w 12192000"/>
              <a:gd name="connsiteY430" fmla="*/ 5602847 h 6858000"/>
              <a:gd name="connsiteX431" fmla="*/ 4646919 w 12192000"/>
              <a:gd name="connsiteY431" fmla="*/ 5573194 h 6858000"/>
              <a:gd name="connsiteX432" fmla="*/ 4679129 w 12192000"/>
              <a:gd name="connsiteY432" fmla="*/ 5543542 h 6858000"/>
              <a:gd name="connsiteX433" fmla="*/ 4711339 w 12192000"/>
              <a:gd name="connsiteY433" fmla="*/ 5573194 h 6858000"/>
              <a:gd name="connsiteX434" fmla="*/ 4679129 w 12192000"/>
              <a:gd name="connsiteY434" fmla="*/ 5602847 h 6858000"/>
              <a:gd name="connsiteX435" fmla="*/ 4757663 w 12192000"/>
              <a:gd name="connsiteY435" fmla="*/ 5602847 h 6858000"/>
              <a:gd name="connsiteX436" fmla="*/ 4725453 w 12192000"/>
              <a:gd name="connsiteY436" fmla="*/ 5573194 h 6858000"/>
              <a:gd name="connsiteX437" fmla="*/ 4757663 w 12192000"/>
              <a:gd name="connsiteY437" fmla="*/ 5543542 h 6858000"/>
              <a:gd name="connsiteX438" fmla="*/ 4789874 w 12192000"/>
              <a:gd name="connsiteY438" fmla="*/ 5573194 h 6858000"/>
              <a:gd name="connsiteX439" fmla="*/ 4757663 w 12192000"/>
              <a:gd name="connsiteY439" fmla="*/ 5602847 h 6858000"/>
              <a:gd name="connsiteX440" fmla="*/ 4836197 w 12192000"/>
              <a:gd name="connsiteY440" fmla="*/ 5602847 h 6858000"/>
              <a:gd name="connsiteX441" fmla="*/ 4803986 w 12192000"/>
              <a:gd name="connsiteY441" fmla="*/ 5573194 h 6858000"/>
              <a:gd name="connsiteX442" fmla="*/ 4836197 w 12192000"/>
              <a:gd name="connsiteY442" fmla="*/ 5543542 h 6858000"/>
              <a:gd name="connsiteX443" fmla="*/ 4868407 w 12192000"/>
              <a:gd name="connsiteY443" fmla="*/ 5573194 h 6858000"/>
              <a:gd name="connsiteX444" fmla="*/ 4836197 w 12192000"/>
              <a:gd name="connsiteY444" fmla="*/ 5602847 h 6858000"/>
              <a:gd name="connsiteX445" fmla="*/ 4914731 w 12192000"/>
              <a:gd name="connsiteY445" fmla="*/ 5602847 h 6858000"/>
              <a:gd name="connsiteX446" fmla="*/ 4882521 w 12192000"/>
              <a:gd name="connsiteY446" fmla="*/ 5573194 h 6858000"/>
              <a:gd name="connsiteX447" fmla="*/ 4914731 w 12192000"/>
              <a:gd name="connsiteY447" fmla="*/ 5543542 h 6858000"/>
              <a:gd name="connsiteX448" fmla="*/ 4946941 w 12192000"/>
              <a:gd name="connsiteY448" fmla="*/ 5573194 h 6858000"/>
              <a:gd name="connsiteX449" fmla="*/ 4914731 w 12192000"/>
              <a:gd name="connsiteY449" fmla="*/ 5602847 h 6858000"/>
              <a:gd name="connsiteX450" fmla="*/ 4993265 w 12192000"/>
              <a:gd name="connsiteY450" fmla="*/ 5602847 h 6858000"/>
              <a:gd name="connsiteX451" fmla="*/ 4961055 w 12192000"/>
              <a:gd name="connsiteY451" fmla="*/ 5573194 h 6858000"/>
              <a:gd name="connsiteX452" fmla="*/ 4993265 w 12192000"/>
              <a:gd name="connsiteY452" fmla="*/ 5543542 h 6858000"/>
              <a:gd name="connsiteX453" fmla="*/ 5025475 w 12192000"/>
              <a:gd name="connsiteY453" fmla="*/ 5573194 h 6858000"/>
              <a:gd name="connsiteX454" fmla="*/ 4993265 w 12192000"/>
              <a:gd name="connsiteY454" fmla="*/ 5602847 h 6858000"/>
              <a:gd name="connsiteX455" fmla="*/ 5071798 w 12192000"/>
              <a:gd name="connsiteY455" fmla="*/ 5602847 h 6858000"/>
              <a:gd name="connsiteX456" fmla="*/ 5039588 w 12192000"/>
              <a:gd name="connsiteY456" fmla="*/ 5573194 h 6858000"/>
              <a:gd name="connsiteX457" fmla="*/ 5071798 w 12192000"/>
              <a:gd name="connsiteY457" fmla="*/ 5543542 h 6858000"/>
              <a:gd name="connsiteX458" fmla="*/ 5104009 w 12192000"/>
              <a:gd name="connsiteY458" fmla="*/ 5573194 h 6858000"/>
              <a:gd name="connsiteX459" fmla="*/ 5071798 w 12192000"/>
              <a:gd name="connsiteY459" fmla="*/ 5602847 h 6858000"/>
              <a:gd name="connsiteX460" fmla="*/ 5150333 w 12192000"/>
              <a:gd name="connsiteY460" fmla="*/ 5602847 h 6858000"/>
              <a:gd name="connsiteX461" fmla="*/ 5118122 w 12192000"/>
              <a:gd name="connsiteY461" fmla="*/ 5573194 h 6858000"/>
              <a:gd name="connsiteX462" fmla="*/ 5150333 w 12192000"/>
              <a:gd name="connsiteY462" fmla="*/ 5543542 h 6858000"/>
              <a:gd name="connsiteX463" fmla="*/ 5182543 w 12192000"/>
              <a:gd name="connsiteY463" fmla="*/ 5573194 h 6858000"/>
              <a:gd name="connsiteX464" fmla="*/ 5150333 w 12192000"/>
              <a:gd name="connsiteY464" fmla="*/ 5602847 h 6858000"/>
              <a:gd name="connsiteX465" fmla="*/ 5228867 w 12192000"/>
              <a:gd name="connsiteY465" fmla="*/ 5602847 h 6858000"/>
              <a:gd name="connsiteX466" fmla="*/ 5196657 w 12192000"/>
              <a:gd name="connsiteY466" fmla="*/ 5573194 h 6858000"/>
              <a:gd name="connsiteX467" fmla="*/ 5228867 w 12192000"/>
              <a:gd name="connsiteY467" fmla="*/ 5543542 h 6858000"/>
              <a:gd name="connsiteX468" fmla="*/ 5261077 w 12192000"/>
              <a:gd name="connsiteY468" fmla="*/ 5573194 h 6858000"/>
              <a:gd name="connsiteX469" fmla="*/ 5228867 w 12192000"/>
              <a:gd name="connsiteY469" fmla="*/ 5602847 h 6858000"/>
              <a:gd name="connsiteX470" fmla="*/ 5307400 w 12192000"/>
              <a:gd name="connsiteY470" fmla="*/ 5602847 h 6858000"/>
              <a:gd name="connsiteX471" fmla="*/ 5275190 w 12192000"/>
              <a:gd name="connsiteY471" fmla="*/ 5573194 h 6858000"/>
              <a:gd name="connsiteX472" fmla="*/ 5307400 w 12192000"/>
              <a:gd name="connsiteY472" fmla="*/ 5543542 h 6858000"/>
              <a:gd name="connsiteX473" fmla="*/ 5339610 w 12192000"/>
              <a:gd name="connsiteY473" fmla="*/ 5573194 h 6858000"/>
              <a:gd name="connsiteX474" fmla="*/ 5307400 w 12192000"/>
              <a:gd name="connsiteY474" fmla="*/ 5602847 h 6858000"/>
              <a:gd name="connsiteX475" fmla="*/ 5385934 w 12192000"/>
              <a:gd name="connsiteY475" fmla="*/ 5602847 h 6858000"/>
              <a:gd name="connsiteX476" fmla="*/ 5353724 w 12192000"/>
              <a:gd name="connsiteY476" fmla="*/ 5573194 h 6858000"/>
              <a:gd name="connsiteX477" fmla="*/ 5385934 w 12192000"/>
              <a:gd name="connsiteY477" fmla="*/ 5543542 h 6858000"/>
              <a:gd name="connsiteX478" fmla="*/ 5418145 w 12192000"/>
              <a:gd name="connsiteY478" fmla="*/ 5573194 h 6858000"/>
              <a:gd name="connsiteX479" fmla="*/ 5385934 w 12192000"/>
              <a:gd name="connsiteY479" fmla="*/ 5602847 h 6858000"/>
              <a:gd name="connsiteX480" fmla="*/ 5464468 w 12192000"/>
              <a:gd name="connsiteY480" fmla="*/ 5602847 h 6858000"/>
              <a:gd name="connsiteX481" fmla="*/ 5432257 w 12192000"/>
              <a:gd name="connsiteY481" fmla="*/ 5573194 h 6858000"/>
              <a:gd name="connsiteX482" fmla="*/ 5464468 w 12192000"/>
              <a:gd name="connsiteY482" fmla="*/ 5543542 h 6858000"/>
              <a:gd name="connsiteX483" fmla="*/ 5496678 w 12192000"/>
              <a:gd name="connsiteY483" fmla="*/ 5573194 h 6858000"/>
              <a:gd name="connsiteX484" fmla="*/ 5464468 w 12192000"/>
              <a:gd name="connsiteY484" fmla="*/ 5602847 h 6858000"/>
              <a:gd name="connsiteX485" fmla="*/ 5543002 w 12192000"/>
              <a:gd name="connsiteY485" fmla="*/ 5602847 h 6858000"/>
              <a:gd name="connsiteX486" fmla="*/ 5510792 w 12192000"/>
              <a:gd name="connsiteY486" fmla="*/ 5573194 h 6858000"/>
              <a:gd name="connsiteX487" fmla="*/ 5543002 w 12192000"/>
              <a:gd name="connsiteY487" fmla="*/ 5543542 h 6858000"/>
              <a:gd name="connsiteX488" fmla="*/ 5575212 w 12192000"/>
              <a:gd name="connsiteY488" fmla="*/ 5573194 h 6858000"/>
              <a:gd name="connsiteX489" fmla="*/ 5543002 w 12192000"/>
              <a:gd name="connsiteY489" fmla="*/ 5602847 h 6858000"/>
              <a:gd name="connsiteX490" fmla="*/ 6328340 w 12192000"/>
              <a:gd name="connsiteY490" fmla="*/ 5602847 h 6858000"/>
              <a:gd name="connsiteX491" fmla="*/ 6296124 w 12192000"/>
              <a:gd name="connsiteY491" fmla="*/ 5573194 h 6858000"/>
              <a:gd name="connsiteX492" fmla="*/ 6328340 w 12192000"/>
              <a:gd name="connsiteY492" fmla="*/ 5543542 h 6858000"/>
              <a:gd name="connsiteX493" fmla="*/ 6360545 w 12192000"/>
              <a:gd name="connsiteY493" fmla="*/ 5573194 h 6858000"/>
              <a:gd name="connsiteX494" fmla="*/ 6328340 w 12192000"/>
              <a:gd name="connsiteY494" fmla="*/ 5602847 h 6858000"/>
              <a:gd name="connsiteX495" fmla="*/ 6406875 w 12192000"/>
              <a:gd name="connsiteY495" fmla="*/ 5602847 h 6858000"/>
              <a:gd name="connsiteX496" fmla="*/ 6374658 w 12192000"/>
              <a:gd name="connsiteY496" fmla="*/ 5573194 h 6858000"/>
              <a:gd name="connsiteX497" fmla="*/ 6406875 w 12192000"/>
              <a:gd name="connsiteY497" fmla="*/ 5543542 h 6858000"/>
              <a:gd name="connsiteX498" fmla="*/ 6439079 w 12192000"/>
              <a:gd name="connsiteY498" fmla="*/ 5573194 h 6858000"/>
              <a:gd name="connsiteX499" fmla="*/ 6406875 w 12192000"/>
              <a:gd name="connsiteY499" fmla="*/ 5602847 h 6858000"/>
              <a:gd name="connsiteX500" fmla="*/ 7977576 w 12192000"/>
              <a:gd name="connsiteY500" fmla="*/ 5602847 h 6858000"/>
              <a:gd name="connsiteX501" fmla="*/ 7945359 w 12192000"/>
              <a:gd name="connsiteY501" fmla="*/ 5573194 h 6858000"/>
              <a:gd name="connsiteX502" fmla="*/ 7977576 w 12192000"/>
              <a:gd name="connsiteY502" fmla="*/ 5543542 h 6858000"/>
              <a:gd name="connsiteX503" fmla="*/ 8009780 w 12192000"/>
              <a:gd name="connsiteY503" fmla="*/ 5573194 h 6858000"/>
              <a:gd name="connsiteX504" fmla="*/ 7977576 w 12192000"/>
              <a:gd name="connsiteY504" fmla="*/ 5602847 h 6858000"/>
              <a:gd name="connsiteX505" fmla="*/ 8056110 w 12192000"/>
              <a:gd name="connsiteY505" fmla="*/ 5602847 h 6858000"/>
              <a:gd name="connsiteX506" fmla="*/ 8023894 w 12192000"/>
              <a:gd name="connsiteY506" fmla="*/ 5573194 h 6858000"/>
              <a:gd name="connsiteX507" fmla="*/ 8056110 w 12192000"/>
              <a:gd name="connsiteY507" fmla="*/ 5543542 h 6858000"/>
              <a:gd name="connsiteX508" fmla="*/ 8088314 w 12192000"/>
              <a:gd name="connsiteY508" fmla="*/ 5573194 h 6858000"/>
              <a:gd name="connsiteX509" fmla="*/ 8056110 w 12192000"/>
              <a:gd name="connsiteY509" fmla="*/ 5602847 h 6858000"/>
              <a:gd name="connsiteX510" fmla="*/ 8134643 w 12192000"/>
              <a:gd name="connsiteY510" fmla="*/ 5602847 h 6858000"/>
              <a:gd name="connsiteX511" fmla="*/ 8102427 w 12192000"/>
              <a:gd name="connsiteY511" fmla="*/ 5573194 h 6858000"/>
              <a:gd name="connsiteX512" fmla="*/ 8134643 w 12192000"/>
              <a:gd name="connsiteY512" fmla="*/ 5543542 h 6858000"/>
              <a:gd name="connsiteX513" fmla="*/ 8166847 w 12192000"/>
              <a:gd name="connsiteY513" fmla="*/ 5573194 h 6858000"/>
              <a:gd name="connsiteX514" fmla="*/ 8134643 w 12192000"/>
              <a:gd name="connsiteY514" fmla="*/ 5602847 h 6858000"/>
              <a:gd name="connsiteX515" fmla="*/ 8213177 w 12192000"/>
              <a:gd name="connsiteY515" fmla="*/ 5602847 h 6858000"/>
              <a:gd name="connsiteX516" fmla="*/ 8180961 w 12192000"/>
              <a:gd name="connsiteY516" fmla="*/ 5573194 h 6858000"/>
              <a:gd name="connsiteX517" fmla="*/ 8213177 w 12192000"/>
              <a:gd name="connsiteY517" fmla="*/ 5543542 h 6858000"/>
              <a:gd name="connsiteX518" fmla="*/ 8245382 w 12192000"/>
              <a:gd name="connsiteY518" fmla="*/ 5573194 h 6858000"/>
              <a:gd name="connsiteX519" fmla="*/ 8213177 w 12192000"/>
              <a:gd name="connsiteY519" fmla="*/ 5602847 h 6858000"/>
              <a:gd name="connsiteX520" fmla="*/ 9155583 w 12192000"/>
              <a:gd name="connsiteY520" fmla="*/ 5602847 h 6858000"/>
              <a:gd name="connsiteX521" fmla="*/ 9123367 w 12192000"/>
              <a:gd name="connsiteY521" fmla="*/ 5573194 h 6858000"/>
              <a:gd name="connsiteX522" fmla="*/ 9155583 w 12192000"/>
              <a:gd name="connsiteY522" fmla="*/ 5543542 h 6858000"/>
              <a:gd name="connsiteX523" fmla="*/ 9187788 w 12192000"/>
              <a:gd name="connsiteY523" fmla="*/ 5573194 h 6858000"/>
              <a:gd name="connsiteX524" fmla="*/ 9155583 w 12192000"/>
              <a:gd name="connsiteY524" fmla="*/ 5602847 h 6858000"/>
              <a:gd name="connsiteX525" fmla="*/ 9862389 w 12192000"/>
              <a:gd name="connsiteY525" fmla="*/ 5602847 h 6858000"/>
              <a:gd name="connsiteX526" fmla="*/ 9830172 w 12192000"/>
              <a:gd name="connsiteY526" fmla="*/ 5573194 h 6858000"/>
              <a:gd name="connsiteX527" fmla="*/ 9862389 w 12192000"/>
              <a:gd name="connsiteY527" fmla="*/ 5543542 h 6858000"/>
              <a:gd name="connsiteX528" fmla="*/ 9894593 w 12192000"/>
              <a:gd name="connsiteY528" fmla="*/ 5573194 h 6858000"/>
              <a:gd name="connsiteX529" fmla="*/ 9862389 w 12192000"/>
              <a:gd name="connsiteY529" fmla="*/ 5602847 h 6858000"/>
              <a:gd name="connsiteX530" fmla="*/ 9940923 w 12192000"/>
              <a:gd name="connsiteY530" fmla="*/ 5602847 h 6858000"/>
              <a:gd name="connsiteX531" fmla="*/ 9908707 w 12192000"/>
              <a:gd name="connsiteY531" fmla="*/ 5573194 h 6858000"/>
              <a:gd name="connsiteX532" fmla="*/ 9940923 w 12192000"/>
              <a:gd name="connsiteY532" fmla="*/ 5543542 h 6858000"/>
              <a:gd name="connsiteX533" fmla="*/ 9973127 w 12192000"/>
              <a:gd name="connsiteY533" fmla="*/ 5573194 h 6858000"/>
              <a:gd name="connsiteX534" fmla="*/ 9940923 w 12192000"/>
              <a:gd name="connsiteY534" fmla="*/ 5602847 h 6858000"/>
              <a:gd name="connsiteX535" fmla="*/ 10019456 w 12192000"/>
              <a:gd name="connsiteY535" fmla="*/ 5602847 h 6858000"/>
              <a:gd name="connsiteX536" fmla="*/ 9987240 w 12192000"/>
              <a:gd name="connsiteY536" fmla="*/ 5573194 h 6858000"/>
              <a:gd name="connsiteX537" fmla="*/ 10019456 w 12192000"/>
              <a:gd name="connsiteY537" fmla="*/ 5543542 h 6858000"/>
              <a:gd name="connsiteX538" fmla="*/ 10051660 w 12192000"/>
              <a:gd name="connsiteY538" fmla="*/ 5573194 h 6858000"/>
              <a:gd name="connsiteX539" fmla="*/ 10019456 w 12192000"/>
              <a:gd name="connsiteY539" fmla="*/ 5602847 h 6858000"/>
              <a:gd name="connsiteX540" fmla="*/ 10097990 w 12192000"/>
              <a:gd name="connsiteY540" fmla="*/ 5602847 h 6858000"/>
              <a:gd name="connsiteX541" fmla="*/ 10065774 w 12192000"/>
              <a:gd name="connsiteY541" fmla="*/ 5573194 h 6858000"/>
              <a:gd name="connsiteX542" fmla="*/ 10097990 w 12192000"/>
              <a:gd name="connsiteY542" fmla="*/ 5543542 h 6858000"/>
              <a:gd name="connsiteX543" fmla="*/ 10130195 w 12192000"/>
              <a:gd name="connsiteY543" fmla="*/ 5573194 h 6858000"/>
              <a:gd name="connsiteX544" fmla="*/ 10097990 w 12192000"/>
              <a:gd name="connsiteY544" fmla="*/ 5602847 h 6858000"/>
              <a:gd name="connsiteX545" fmla="*/ 10176524 w 12192000"/>
              <a:gd name="connsiteY545" fmla="*/ 5602847 h 6858000"/>
              <a:gd name="connsiteX546" fmla="*/ 10144307 w 12192000"/>
              <a:gd name="connsiteY546" fmla="*/ 5573194 h 6858000"/>
              <a:gd name="connsiteX547" fmla="*/ 10176524 w 12192000"/>
              <a:gd name="connsiteY547" fmla="*/ 5543542 h 6858000"/>
              <a:gd name="connsiteX548" fmla="*/ 10208728 w 12192000"/>
              <a:gd name="connsiteY548" fmla="*/ 5573194 h 6858000"/>
              <a:gd name="connsiteX549" fmla="*/ 10176524 w 12192000"/>
              <a:gd name="connsiteY549" fmla="*/ 5602847 h 6858000"/>
              <a:gd name="connsiteX550" fmla="*/ 10333592 w 12192000"/>
              <a:gd name="connsiteY550" fmla="*/ 5602847 h 6858000"/>
              <a:gd name="connsiteX551" fmla="*/ 10301376 w 12192000"/>
              <a:gd name="connsiteY551" fmla="*/ 5573194 h 6858000"/>
              <a:gd name="connsiteX552" fmla="*/ 10333592 w 12192000"/>
              <a:gd name="connsiteY552" fmla="*/ 5543542 h 6858000"/>
              <a:gd name="connsiteX553" fmla="*/ 10365796 w 12192000"/>
              <a:gd name="connsiteY553" fmla="*/ 5573194 h 6858000"/>
              <a:gd name="connsiteX554" fmla="*/ 10333592 w 12192000"/>
              <a:gd name="connsiteY554" fmla="*/ 5602847 h 6858000"/>
              <a:gd name="connsiteX555" fmla="*/ 2323114 w 12192000"/>
              <a:gd name="connsiteY555" fmla="*/ 5530582 h 6858000"/>
              <a:gd name="connsiteX556" fmla="*/ 2290903 w 12192000"/>
              <a:gd name="connsiteY556" fmla="*/ 5500930 h 6858000"/>
              <a:gd name="connsiteX557" fmla="*/ 2323114 w 12192000"/>
              <a:gd name="connsiteY557" fmla="*/ 5471278 h 6858000"/>
              <a:gd name="connsiteX558" fmla="*/ 2355324 w 12192000"/>
              <a:gd name="connsiteY558" fmla="*/ 5500930 h 6858000"/>
              <a:gd name="connsiteX559" fmla="*/ 2323114 w 12192000"/>
              <a:gd name="connsiteY559" fmla="*/ 5530582 h 6858000"/>
              <a:gd name="connsiteX560" fmla="*/ 2401647 w 12192000"/>
              <a:gd name="connsiteY560" fmla="*/ 5530582 h 6858000"/>
              <a:gd name="connsiteX561" fmla="*/ 2369437 w 12192000"/>
              <a:gd name="connsiteY561" fmla="*/ 5500930 h 6858000"/>
              <a:gd name="connsiteX562" fmla="*/ 2401647 w 12192000"/>
              <a:gd name="connsiteY562" fmla="*/ 5471278 h 6858000"/>
              <a:gd name="connsiteX563" fmla="*/ 2433857 w 12192000"/>
              <a:gd name="connsiteY563" fmla="*/ 5500930 h 6858000"/>
              <a:gd name="connsiteX564" fmla="*/ 2401647 w 12192000"/>
              <a:gd name="connsiteY564" fmla="*/ 5530582 h 6858000"/>
              <a:gd name="connsiteX565" fmla="*/ 3344048 w 12192000"/>
              <a:gd name="connsiteY565" fmla="*/ 5530582 h 6858000"/>
              <a:gd name="connsiteX566" fmla="*/ 3311837 w 12192000"/>
              <a:gd name="connsiteY566" fmla="*/ 5500930 h 6858000"/>
              <a:gd name="connsiteX567" fmla="*/ 3344048 w 12192000"/>
              <a:gd name="connsiteY567" fmla="*/ 5471278 h 6858000"/>
              <a:gd name="connsiteX568" fmla="*/ 3376258 w 12192000"/>
              <a:gd name="connsiteY568" fmla="*/ 5500930 h 6858000"/>
              <a:gd name="connsiteX569" fmla="*/ 3344048 w 12192000"/>
              <a:gd name="connsiteY569" fmla="*/ 5530582 h 6858000"/>
              <a:gd name="connsiteX570" fmla="*/ 3579650 w 12192000"/>
              <a:gd name="connsiteY570" fmla="*/ 5530582 h 6858000"/>
              <a:gd name="connsiteX571" fmla="*/ 3547439 w 12192000"/>
              <a:gd name="connsiteY571" fmla="*/ 5500930 h 6858000"/>
              <a:gd name="connsiteX572" fmla="*/ 3579650 w 12192000"/>
              <a:gd name="connsiteY572" fmla="*/ 5471278 h 6858000"/>
              <a:gd name="connsiteX573" fmla="*/ 3611860 w 12192000"/>
              <a:gd name="connsiteY573" fmla="*/ 5500930 h 6858000"/>
              <a:gd name="connsiteX574" fmla="*/ 3579650 w 12192000"/>
              <a:gd name="connsiteY574" fmla="*/ 5530582 h 6858000"/>
              <a:gd name="connsiteX575" fmla="*/ 3658183 w 12192000"/>
              <a:gd name="connsiteY575" fmla="*/ 5530582 h 6858000"/>
              <a:gd name="connsiteX576" fmla="*/ 3625972 w 12192000"/>
              <a:gd name="connsiteY576" fmla="*/ 5500930 h 6858000"/>
              <a:gd name="connsiteX577" fmla="*/ 3658183 w 12192000"/>
              <a:gd name="connsiteY577" fmla="*/ 5471278 h 6858000"/>
              <a:gd name="connsiteX578" fmla="*/ 3690393 w 12192000"/>
              <a:gd name="connsiteY578" fmla="*/ 5500930 h 6858000"/>
              <a:gd name="connsiteX579" fmla="*/ 3658183 w 12192000"/>
              <a:gd name="connsiteY579" fmla="*/ 5530582 h 6858000"/>
              <a:gd name="connsiteX580" fmla="*/ 3736717 w 12192000"/>
              <a:gd name="connsiteY580" fmla="*/ 5530582 h 6858000"/>
              <a:gd name="connsiteX581" fmla="*/ 3704507 w 12192000"/>
              <a:gd name="connsiteY581" fmla="*/ 5500930 h 6858000"/>
              <a:gd name="connsiteX582" fmla="*/ 3736717 w 12192000"/>
              <a:gd name="connsiteY582" fmla="*/ 5471278 h 6858000"/>
              <a:gd name="connsiteX583" fmla="*/ 3768927 w 12192000"/>
              <a:gd name="connsiteY583" fmla="*/ 5500930 h 6858000"/>
              <a:gd name="connsiteX584" fmla="*/ 3736717 w 12192000"/>
              <a:gd name="connsiteY584" fmla="*/ 5530582 h 6858000"/>
              <a:gd name="connsiteX585" fmla="*/ 3893785 w 12192000"/>
              <a:gd name="connsiteY585" fmla="*/ 5530582 h 6858000"/>
              <a:gd name="connsiteX586" fmla="*/ 3861574 w 12192000"/>
              <a:gd name="connsiteY586" fmla="*/ 5500930 h 6858000"/>
              <a:gd name="connsiteX587" fmla="*/ 3893785 w 12192000"/>
              <a:gd name="connsiteY587" fmla="*/ 5471278 h 6858000"/>
              <a:gd name="connsiteX588" fmla="*/ 3925995 w 12192000"/>
              <a:gd name="connsiteY588" fmla="*/ 5500930 h 6858000"/>
              <a:gd name="connsiteX589" fmla="*/ 3893785 w 12192000"/>
              <a:gd name="connsiteY589" fmla="*/ 5530582 h 6858000"/>
              <a:gd name="connsiteX590" fmla="*/ 4050852 w 12192000"/>
              <a:gd name="connsiteY590" fmla="*/ 5530582 h 6858000"/>
              <a:gd name="connsiteX591" fmla="*/ 4018642 w 12192000"/>
              <a:gd name="connsiteY591" fmla="*/ 5500930 h 6858000"/>
              <a:gd name="connsiteX592" fmla="*/ 4050852 w 12192000"/>
              <a:gd name="connsiteY592" fmla="*/ 5471278 h 6858000"/>
              <a:gd name="connsiteX593" fmla="*/ 4083062 w 12192000"/>
              <a:gd name="connsiteY593" fmla="*/ 5500930 h 6858000"/>
              <a:gd name="connsiteX594" fmla="*/ 4050852 w 12192000"/>
              <a:gd name="connsiteY594" fmla="*/ 5530582 h 6858000"/>
              <a:gd name="connsiteX595" fmla="*/ 4207926 w 12192000"/>
              <a:gd name="connsiteY595" fmla="*/ 5530582 h 6858000"/>
              <a:gd name="connsiteX596" fmla="*/ 4175715 w 12192000"/>
              <a:gd name="connsiteY596" fmla="*/ 5500930 h 6858000"/>
              <a:gd name="connsiteX597" fmla="*/ 4207926 w 12192000"/>
              <a:gd name="connsiteY597" fmla="*/ 5471278 h 6858000"/>
              <a:gd name="connsiteX598" fmla="*/ 4240136 w 12192000"/>
              <a:gd name="connsiteY598" fmla="*/ 5500930 h 6858000"/>
              <a:gd name="connsiteX599" fmla="*/ 4207926 w 12192000"/>
              <a:gd name="connsiteY599" fmla="*/ 5530582 h 6858000"/>
              <a:gd name="connsiteX600" fmla="*/ 4286460 w 12192000"/>
              <a:gd name="connsiteY600" fmla="*/ 5530582 h 6858000"/>
              <a:gd name="connsiteX601" fmla="*/ 4254250 w 12192000"/>
              <a:gd name="connsiteY601" fmla="*/ 5500930 h 6858000"/>
              <a:gd name="connsiteX602" fmla="*/ 4286460 w 12192000"/>
              <a:gd name="connsiteY602" fmla="*/ 5471278 h 6858000"/>
              <a:gd name="connsiteX603" fmla="*/ 4318670 w 12192000"/>
              <a:gd name="connsiteY603" fmla="*/ 5500930 h 6858000"/>
              <a:gd name="connsiteX604" fmla="*/ 4286460 w 12192000"/>
              <a:gd name="connsiteY604" fmla="*/ 5530582 h 6858000"/>
              <a:gd name="connsiteX605" fmla="*/ 4600596 w 12192000"/>
              <a:gd name="connsiteY605" fmla="*/ 5530582 h 6858000"/>
              <a:gd name="connsiteX606" fmla="*/ 4568386 w 12192000"/>
              <a:gd name="connsiteY606" fmla="*/ 5500930 h 6858000"/>
              <a:gd name="connsiteX607" fmla="*/ 4600596 w 12192000"/>
              <a:gd name="connsiteY607" fmla="*/ 5471278 h 6858000"/>
              <a:gd name="connsiteX608" fmla="*/ 4632806 w 12192000"/>
              <a:gd name="connsiteY608" fmla="*/ 5500930 h 6858000"/>
              <a:gd name="connsiteX609" fmla="*/ 4600596 w 12192000"/>
              <a:gd name="connsiteY609" fmla="*/ 5530582 h 6858000"/>
              <a:gd name="connsiteX610" fmla="*/ 4679129 w 12192000"/>
              <a:gd name="connsiteY610" fmla="*/ 5530582 h 6858000"/>
              <a:gd name="connsiteX611" fmla="*/ 4646919 w 12192000"/>
              <a:gd name="connsiteY611" fmla="*/ 5500930 h 6858000"/>
              <a:gd name="connsiteX612" fmla="*/ 4679129 w 12192000"/>
              <a:gd name="connsiteY612" fmla="*/ 5471278 h 6858000"/>
              <a:gd name="connsiteX613" fmla="*/ 4711339 w 12192000"/>
              <a:gd name="connsiteY613" fmla="*/ 5500930 h 6858000"/>
              <a:gd name="connsiteX614" fmla="*/ 4679129 w 12192000"/>
              <a:gd name="connsiteY614" fmla="*/ 5530582 h 6858000"/>
              <a:gd name="connsiteX615" fmla="*/ 4757663 w 12192000"/>
              <a:gd name="connsiteY615" fmla="*/ 5530582 h 6858000"/>
              <a:gd name="connsiteX616" fmla="*/ 4725453 w 12192000"/>
              <a:gd name="connsiteY616" fmla="*/ 5500930 h 6858000"/>
              <a:gd name="connsiteX617" fmla="*/ 4757663 w 12192000"/>
              <a:gd name="connsiteY617" fmla="*/ 5471278 h 6858000"/>
              <a:gd name="connsiteX618" fmla="*/ 4789874 w 12192000"/>
              <a:gd name="connsiteY618" fmla="*/ 5500930 h 6858000"/>
              <a:gd name="connsiteX619" fmla="*/ 4757663 w 12192000"/>
              <a:gd name="connsiteY619" fmla="*/ 5530582 h 6858000"/>
              <a:gd name="connsiteX620" fmla="*/ 4836197 w 12192000"/>
              <a:gd name="connsiteY620" fmla="*/ 5530582 h 6858000"/>
              <a:gd name="connsiteX621" fmla="*/ 4803986 w 12192000"/>
              <a:gd name="connsiteY621" fmla="*/ 5500930 h 6858000"/>
              <a:gd name="connsiteX622" fmla="*/ 4836197 w 12192000"/>
              <a:gd name="connsiteY622" fmla="*/ 5471278 h 6858000"/>
              <a:gd name="connsiteX623" fmla="*/ 4868407 w 12192000"/>
              <a:gd name="connsiteY623" fmla="*/ 5500930 h 6858000"/>
              <a:gd name="connsiteX624" fmla="*/ 4836197 w 12192000"/>
              <a:gd name="connsiteY624" fmla="*/ 5530582 h 6858000"/>
              <a:gd name="connsiteX625" fmla="*/ 4914731 w 12192000"/>
              <a:gd name="connsiteY625" fmla="*/ 5530582 h 6858000"/>
              <a:gd name="connsiteX626" fmla="*/ 4882521 w 12192000"/>
              <a:gd name="connsiteY626" fmla="*/ 5500930 h 6858000"/>
              <a:gd name="connsiteX627" fmla="*/ 4914731 w 12192000"/>
              <a:gd name="connsiteY627" fmla="*/ 5471278 h 6858000"/>
              <a:gd name="connsiteX628" fmla="*/ 4946941 w 12192000"/>
              <a:gd name="connsiteY628" fmla="*/ 5500930 h 6858000"/>
              <a:gd name="connsiteX629" fmla="*/ 4914731 w 12192000"/>
              <a:gd name="connsiteY629" fmla="*/ 5530582 h 6858000"/>
              <a:gd name="connsiteX630" fmla="*/ 4993265 w 12192000"/>
              <a:gd name="connsiteY630" fmla="*/ 5530582 h 6858000"/>
              <a:gd name="connsiteX631" fmla="*/ 4961055 w 12192000"/>
              <a:gd name="connsiteY631" fmla="*/ 5500930 h 6858000"/>
              <a:gd name="connsiteX632" fmla="*/ 4993265 w 12192000"/>
              <a:gd name="connsiteY632" fmla="*/ 5471278 h 6858000"/>
              <a:gd name="connsiteX633" fmla="*/ 5025475 w 12192000"/>
              <a:gd name="connsiteY633" fmla="*/ 5500930 h 6858000"/>
              <a:gd name="connsiteX634" fmla="*/ 4993265 w 12192000"/>
              <a:gd name="connsiteY634" fmla="*/ 5530582 h 6858000"/>
              <a:gd name="connsiteX635" fmla="*/ 5071798 w 12192000"/>
              <a:gd name="connsiteY635" fmla="*/ 5530582 h 6858000"/>
              <a:gd name="connsiteX636" fmla="*/ 5039588 w 12192000"/>
              <a:gd name="connsiteY636" fmla="*/ 5500930 h 6858000"/>
              <a:gd name="connsiteX637" fmla="*/ 5071798 w 12192000"/>
              <a:gd name="connsiteY637" fmla="*/ 5471278 h 6858000"/>
              <a:gd name="connsiteX638" fmla="*/ 5104009 w 12192000"/>
              <a:gd name="connsiteY638" fmla="*/ 5500930 h 6858000"/>
              <a:gd name="connsiteX639" fmla="*/ 5071798 w 12192000"/>
              <a:gd name="connsiteY639" fmla="*/ 5530582 h 6858000"/>
              <a:gd name="connsiteX640" fmla="*/ 5150333 w 12192000"/>
              <a:gd name="connsiteY640" fmla="*/ 5530582 h 6858000"/>
              <a:gd name="connsiteX641" fmla="*/ 5118122 w 12192000"/>
              <a:gd name="connsiteY641" fmla="*/ 5500930 h 6858000"/>
              <a:gd name="connsiteX642" fmla="*/ 5150333 w 12192000"/>
              <a:gd name="connsiteY642" fmla="*/ 5471278 h 6858000"/>
              <a:gd name="connsiteX643" fmla="*/ 5182543 w 12192000"/>
              <a:gd name="connsiteY643" fmla="*/ 5500930 h 6858000"/>
              <a:gd name="connsiteX644" fmla="*/ 5150333 w 12192000"/>
              <a:gd name="connsiteY644" fmla="*/ 5530582 h 6858000"/>
              <a:gd name="connsiteX645" fmla="*/ 5228867 w 12192000"/>
              <a:gd name="connsiteY645" fmla="*/ 5530582 h 6858000"/>
              <a:gd name="connsiteX646" fmla="*/ 5196657 w 12192000"/>
              <a:gd name="connsiteY646" fmla="*/ 5500930 h 6858000"/>
              <a:gd name="connsiteX647" fmla="*/ 5228867 w 12192000"/>
              <a:gd name="connsiteY647" fmla="*/ 5471278 h 6858000"/>
              <a:gd name="connsiteX648" fmla="*/ 5261077 w 12192000"/>
              <a:gd name="connsiteY648" fmla="*/ 5500930 h 6858000"/>
              <a:gd name="connsiteX649" fmla="*/ 5228867 w 12192000"/>
              <a:gd name="connsiteY649" fmla="*/ 5530582 h 6858000"/>
              <a:gd name="connsiteX650" fmla="*/ 5307400 w 12192000"/>
              <a:gd name="connsiteY650" fmla="*/ 5530582 h 6858000"/>
              <a:gd name="connsiteX651" fmla="*/ 5275190 w 12192000"/>
              <a:gd name="connsiteY651" fmla="*/ 5500930 h 6858000"/>
              <a:gd name="connsiteX652" fmla="*/ 5307400 w 12192000"/>
              <a:gd name="connsiteY652" fmla="*/ 5471278 h 6858000"/>
              <a:gd name="connsiteX653" fmla="*/ 5339610 w 12192000"/>
              <a:gd name="connsiteY653" fmla="*/ 5500930 h 6858000"/>
              <a:gd name="connsiteX654" fmla="*/ 5307400 w 12192000"/>
              <a:gd name="connsiteY654" fmla="*/ 5530582 h 6858000"/>
              <a:gd name="connsiteX655" fmla="*/ 5385934 w 12192000"/>
              <a:gd name="connsiteY655" fmla="*/ 5530582 h 6858000"/>
              <a:gd name="connsiteX656" fmla="*/ 5353724 w 12192000"/>
              <a:gd name="connsiteY656" fmla="*/ 5500930 h 6858000"/>
              <a:gd name="connsiteX657" fmla="*/ 5385934 w 12192000"/>
              <a:gd name="connsiteY657" fmla="*/ 5471278 h 6858000"/>
              <a:gd name="connsiteX658" fmla="*/ 5418145 w 12192000"/>
              <a:gd name="connsiteY658" fmla="*/ 5500930 h 6858000"/>
              <a:gd name="connsiteX659" fmla="*/ 5385934 w 12192000"/>
              <a:gd name="connsiteY659" fmla="*/ 5530582 h 6858000"/>
              <a:gd name="connsiteX660" fmla="*/ 5464468 w 12192000"/>
              <a:gd name="connsiteY660" fmla="*/ 5530582 h 6858000"/>
              <a:gd name="connsiteX661" fmla="*/ 5432257 w 12192000"/>
              <a:gd name="connsiteY661" fmla="*/ 5500930 h 6858000"/>
              <a:gd name="connsiteX662" fmla="*/ 5464468 w 12192000"/>
              <a:gd name="connsiteY662" fmla="*/ 5471278 h 6858000"/>
              <a:gd name="connsiteX663" fmla="*/ 5496678 w 12192000"/>
              <a:gd name="connsiteY663" fmla="*/ 5500930 h 6858000"/>
              <a:gd name="connsiteX664" fmla="*/ 5464468 w 12192000"/>
              <a:gd name="connsiteY664" fmla="*/ 5530582 h 6858000"/>
              <a:gd name="connsiteX665" fmla="*/ 5543002 w 12192000"/>
              <a:gd name="connsiteY665" fmla="*/ 5530582 h 6858000"/>
              <a:gd name="connsiteX666" fmla="*/ 5510792 w 12192000"/>
              <a:gd name="connsiteY666" fmla="*/ 5500930 h 6858000"/>
              <a:gd name="connsiteX667" fmla="*/ 5543002 w 12192000"/>
              <a:gd name="connsiteY667" fmla="*/ 5471278 h 6858000"/>
              <a:gd name="connsiteX668" fmla="*/ 5575212 w 12192000"/>
              <a:gd name="connsiteY668" fmla="*/ 5500930 h 6858000"/>
              <a:gd name="connsiteX669" fmla="*/ 5543002 w 12192000"/>
              <a:gd name="connsiteY669" fmla="*/ 5530582 h 6858000"/>
              <a:gd name="connsiteX670" fmla="*/ 6171273 w 12192000"/>
              <a:gd name="connsiteY670" fmla="*/ 5530582 h 6858000"/>
              <a:gd name="connsiteX671" fmla="*/ 6139056 w 12192000"/>
              <a:gd name="connsiteY671" fmla="*/ 5500930 h 6858000"/>
              <a:gd name="connsiteX672" fmla="*/ 6171273 w 12192000"/>
              <a:gd name="connsiteY672" fmla="*/ 5471278 h 6858000"/>
              <a:gd name="connsiteX673" fmla="*/ 6203477 w 12192000"/>
              <a:gd name="connsiteY673" fmla="*/ 5500930 h 6858000"/>
              <a:gd name="connsiteX674" fmla="*/ 6171273 w 12192000"/>
              <a:gd name="connsiteY674" fmla="*/ 5530582 h 6858000"/>
              <a:gd name="connsiteX675" fmla="*/ 6249806 w 12192000"/>
              <a:gd name="connsiteY675" fmla="*/ 5530582 h 6858000"/>
              <a:gd name="connsiteX676" fmla="*/ 6217590 w 12192000"/>
              <a:gd name="connsiteY676" fmla="*/ 5500930 h 6858000"/>
              <a:gd name="connsiteX677" fmla="*/ 6249806 w 12192000"/>
              <a:gd name="connsiteY677" fmla="*/ 5471278 h 6858000"/>
              <a:gd name="connsiteX678" fmla="*/ 6282010 w 12192000"/>
              <a:gd name="connsiteY678" fmla="*/ 5500930 h 6858000"/>
              <a:gd name="connsiteX679" fmla="*/ 6249806 w 12192000"/>
              <a:gd name="connsiteY679" fmla="*/ 5530582 h 6858000"/>
              <a:gd name="connsiteX680" fmla="*/ 7899042 w 12192000"/>
              <a:gd name="connsiteY680" fmla="*/ 5530582 h 6858000"/>
              <a:gd name="connsiteX681" fmla="*/ 7866826 w 12192000"/>
              <a:gd name="connsiteY681" fmla="*/ 5500930 h 6858000"/>
              <a:gd name="connsiteX682" fmla="*/ 7899042 w 12192000"/>
              <a:gd name="connsiteY682" fmla="*/ 5471278 h 6858000"/>
              <a:gd name="connsiteX683" fmla="*/ 7931247 w 12192000"/>
              <a:gd name="connsiteY683" fmla="*/ 5500930 h 6858000"/>
              <a:gd name="connsiteX684" fmla="*/ 7899042 w 12192000"/>
              <a:gd name="connsiteY684" fmla="*/ 5530582 h 6858000"/>
              <a:gd name="connsiteX685" fmla="*/ 7977576 w 12192000"/>
              <a:gd name="connsiteY685" fmla="*/ 5530582 h 6858000"/>
              <a:gd name="connsiteX686" fmla="*/ 7945359 w 12192000"/>
              <a:gd name="connsiteY686" fmla="*/ 5500930 h 6858000"/>
              <a:gd name="connsiteX687" fmla="*/ 7977576 w 12192000"/>
              <a:gd name="connsiteY687" fmla="*/ 5471278 h 6858000"/>
              <a:gd name="connsiteX688" fmla="*/ 8009780 w 12192000"/>
              <a:gd name="connsiteY688" fmla="*/ 5500930 h 6858000"/>
              <a:gd name="connsiteX689" fmla="*/ 7977576 w 12192000"/>
              <a:gd name="connsiteY689" fmla="*/ 5530582 h 6858000"/>
              <a:gd name="connsiteX690" fmla="*/ 8056110 w 12192000"/>
              <a:gd name="connsiteY690" fmla="*/ 5530582 h 6858000"/>
              <a:gd name="connsiteX691" fmla="*/ 8023894 w 12192000"/>
              <a:gd name="connsiteY691" fmla="*/ 5500930 h 6858000"/>
              <a:gd name="connsiteX692" fmla="*/ 8056110 w 12192000"/>
              <a:gd name="connsiteY692" fmla="*/ 5471278 h 6858000"/>
              <a:gd name="connsiteX693" fmla="*/ 8088314 w 12192000"/>
              <a:gd name="connsiteY693" fmla="*/ 5500930 h 6858000"/>
              <a:gd name="connsiteX694" fmla="*/ 8056110 w 12192000"/>
              <a:gd name="connsiteY694" fmla="*/ 5530582 h 6858000"/>
              <a:gd name="connsiteX695" fmla="*/ 8134643 w 12192000"/>
              <a:gd name="connsiteY695" fmla="*/ 5530582 h 6858000"/>
              <a:gd name="connsiteX696" fmla="*/ 8102427 w 12192000"/>
              <a:gd name="connsiteY696" fmla="*/ 5500930 h 6858000"/>
              <a:gd name="connsiteX697" fmla="*/ 8134643 w 12192000"/>
              <a:gd name="connsiteY697" fmla="*/ 5471278 h 6858000"/>
              <a:gd name="connsiteX698" fmla="*/ 8166847 w 12192000"/>
              <a:gd name="connsiteY698" fmla="*/ 5500930 h 6858000"/>
              <a:gd name="connsiteX699" fmla="*/ 8134643 w 12192000"/>
              <a:gd name="connsiteY699" fmla="*/ 5530582 h 6858000"/>
              <a:gd name="connsiteX700" fmla="*/ 8213177 w 12192000"/>
              <a:gd name="connsiteY700" fmla="*/ 5530582 h 6858000"/>
              <a:gd name="connsiteX701" fmla="*/ 8180961 w 12192000"/>
              <a:gd name="connsiteY701" fmla="*/ 5500930 h 6858000"/>
              <a:gd name="connsiteX702" fmla="*/ 8213177 w 12192000"/>
              <a:gd name="connsiteY702" fmla="*/ 5471278 h 6858000"/>
              <a:gd name="connsiteX703" fmla="*/ 8245382 w 12192000"/>
              <a:gd name="connsiteY703" fmla="*/ 5500930 h 6858000"/>
              <a:gd name="connsiteX704" fmla="*/ 8213177 w 12192000"/>
              <a:gd name="connsiteY704" fmla="*/ 5530582 h 6858000"/>
              <a:gd name="connsiteX705" fmla="*/ 9077050 w 12192000"/>
              <a:gd name="connsiteY705" fmla="*/ 5530582 h 6858000"/>
              <a:gd name="connsiteX706" fmla="*/ 9044834 w 12192000"/>
              <a:gd name="connsiteY706" fmla="*/ 5500930 h 6858000"/>
              <a:gd name="connsiteX707" fmla="*/ 9077050 w 12192000"/>
              <a:gd name="connsiteY707" fmla="*/ 5471278 h 6858000"/>
              <a:gd name="connsiteX708" fmla="*/ 9109254 w 12192000"/>
              <a:gd name="connsiteY708" fmla="*/ 5500930 h 6858000"/>
              <a:gd name="connsiteX709" fmla="*/ 9077050 w 12192000"/>
              <a:gd name="connsiteY709" fmla="*/ 5530582 h 6858000"/>
              <a:gd name="connsiteX710" fmla="*/ 9155583 w 12192000"/>
              <a:gd name="connsiteY710" fmla="*/ 5530582 h 6858000"/>
              <a:gd name="connsiteX711" fmla="*/ 9123367 w 12192000"/>
              <a:gd name="connsiteY711" fmla="*/ 5500930 h 6858000"/>
              <a:gd name="connsiteX712" fmla="*/ 9155583 w 12192000"/>
              <a:gd name="connsiteY712" fmla="*/ 5471278 h 6858000"/>
              <a:gd name="connsiteX713" fmla="*/ 9187788 w 12192000"/>
              <a:gd name="connsiteY713" fmla="*/ 5500930 h 6858000"/>
              <a:gd name="connsiteX714" fmla="*/ 9155583 w 12192000"/>
              <a:gd name="connsiteY714" fmla="*/ 5530582 h 6858000"/>
              <a:gd name="connsiteX715" fmla="*/ 9234118 w 12192000"/>
              <a:gd name="connsiteY715" fmla="*/ 5530582 h 6858000"/>
              <a:gd name="connsiteX716" fmla="*/ 9201901 w 12192000"/>
              <a:gd name="connsiteY716" fmla="*/ 5500930 h 6858000"/>
              <a:gd name="connsiteX717" fmla="*/ 9234118 w 12192000"/>
              <a:gd name="connsiteY717" fmla="*/ 5471278 h 6858000"/>
              <a:gd name="connsiteX718" fmla="*/ 9266322 w 12192000"/>
              <a:gd name="connsiteY718" fmla="*/ 5500930 h 6858000"/>
              <a:gd name="connsiteX719" fmla="*/ 9234118 w 12192000"/>
              <a:gd name="connsiteY719" fmla="*/ 5530582 h 6858000"/>
              <a:gd name="connsiteX720" fmla="*/ 9391185 w 12192000"/>
              <a:gd name="connsiteY720" fmla="*/ 5530582 h 6858000"/>
              <a:gd name="connsiteX721" fmla="*/ 9358969 w 12192000"/>
              <a:gd name="connsiteY721" fmla="*/ 5500930 h 6858000"/>
              <a:gd name="connsiteX722" fmla="*/ 9391185 w 12192000"/>
              <a:gd name="connsiteY722" fmla="*/ 5471278 h 6858000"/>
              <a:gd name="connsiteX723" fmla="*/ 9423389 w 12192000"/>
              <a:gd name="connsiteY723" fmla="*/ 5500930 h 6858000"/>
              <a:gd name="connsiteX724" fmla="*/ 9391185 w 12192000"/>
              <a:gd name="connsiteY724" fmla="*/ 5530582 h 6858000"/>
              <a:gd name="connsiteX725" fmla="*/ 9469719 w 12192000"/>
              <a:gd name="connsiteY725" fmla="*/ 5530582 h 6858000"/>
              <a:gd name="connsiteX726" fmla="*/ 9437503 w 12192000"/>
              <a:gd name="connsiteY726" fmla="*/ 5500930 h 6858000"/>
              <a:gd name="connsiteX727" fmla="*/ 9469719 w 12192000"/>
              <a:gd name="connsiteY727" fmla="*/ 5471278 h 6858000"/>
              <a:gd name="connsiteX728" fmla="*/ 9501924 w 12192000"/>
              <a:gd name="connsiteY728" fmla="*/ 5500930 h 6858000"/>
              <a:gd name="connsiteX729" fmla="*/ 9469719 w 12192000"/>
              <a:gd name="connsiteY729" fmla="*/ 5530582 h 6858000"/>
              <a:gd name="connsiteX730" fmla="*/ 9705321 w 12192000"/>
              <a:gd name="connsiteY730" fmla="*/ 5530582 h 6858000"/>
              <a:gd name="connsiteX731" fmla="*/ 9673105 w 12192000"/>
              <a:gd name="connsiteY731" fmla="*/ 5500930 h 6858000"/>
              <a:gd name="connsiteX732" fmla="*/ 9705321 w 12192000"/>
              <a:gd name="connsiteY732" fmla="*/ 5471278 h 6858000"/>
              <a:gd name="connsiteX733" fmla="*/ 9737525 w 12192000"/>
              <a:gd name="connsiteY733" fmla="*/ 5500930 h 6858000"/>
              <a:gd name="connsiteX734" fmla="*/ 9705321 w 12192000"/>
              <a:gd name="connsiteY734" fmla="*/ 5530582 h 6858000"/>
              <a:gd name="connsiteX735" fmla="*/ 9783854 w 12192000"/>
              <a:gd name="connsiteY735" fmla="*/ 5530582 h 6858000"/>
              <a:gd name="connsiteX736" fmla="*/ 9751638 w 12192000"/>
              <a:gd name="connsiteY736" fmla="*/ 5500930 h 6858000"/>
              <a:gd name="connsiteX737" fmla="*/ 9783854 w 12192000"/>
              <a:gd name="connsiteY737" fmla="*/ 5471278 h 6858000"/>
              <a:gd name="connsiteX738" fmla="*/ 9816059 w 12192000"/>
              <a:gd name="connsiteY738" fmla="*/ 5500930 h 6858000"/>
              <a:gd name="connsiteX739" fmla="*/ 9783854 w 12192000"/>
              <a:gd name="connsiteY739" fmla="*/ 5530582 h 6858000"/>
              <a:gd name="connsiteX740" fmla="*/ 9862389 w 12192000"/>
              <a:gd name="connsiteY740" fmla="*/ 5530582 h 6858000"/>
              <a:gd name="connsiteX741" fmla="*/ 9830172 w 12192000"/>
              <a:gd name="connsiteY741" fmla="*/ 5500930 h 6858000"/>
              <a:gd name="connsiteX742" fmla="*/ 9862389 w 12192000"/>
              <a:gd name="connsiteY742" fmla="*/ 5471278 h 6858000"/>
              <a:gd name="connsiteX743" fmla="*/ 9894593 w 12192000"/>
              <a:gd name="connsiteY743" fmla="*/ 5500930 h 6858000"/>
              <a:gd name="connsiteX744" fmla="*/ 9862389 w 12192000"/>
              <a:gd name="connsiteY744" fmla="*/ 5530582 h 6858000"/>
              <a:gd name="connsiteX745" fmla="*/ 9940923 w 12192000"/>
              <a:gd name="connsiteY745" fmla="*/ 5530582 h 6858000"/>
              <a:gd name="connsiteX746" fmla="*/ 9908707 w 12192000"/>
              <a:gd name="connsiteY746" fmla="*/ 5500930 h 6858000"/>
              <a:gd name="connsiteX747" fmla="*/ 9940923 w 12192000"/>
              <a:gd name="connsiteY747" fmla="*/ 5471278 h 6858000"/>
              <a:gd name="connsiteX748" fmla="*/ 9973127 w 12192000"/>
              <a:gd name="connsiteY748" fmla="*/ 5500930 h 6858000"/>
              <a:gd name="connsiteX749" fmla="*/ 9940923 w 12192000"/>
              <a:gd name="connsiteY749" fmla="*/ 5530582 h 6858000"/>
              <a:gd name="connsiteX750" fmla="*/ 10019456 w 12192000"/>
              <a:gd name="connsiteY750" fmla="*/ 5530582 h 6858000"/>
              <a:gd name="connsiteX751" fmla="*/ 9987240 w 12192000"/>
              <a:gd name="connsiteY751" fmla="*/ 5500930 h 6858000"/>
              <a:gd name="connsiteX752" fmla="*/ 10019456 w 12192000"/>
              <a:gd name="connsiteY752" fmla="*/ 5471278 h 6858000"/>
              <a:gd name="connsiteX753" fmla="*/ 10051660 w 12192000"/>
              <a:gd name="connsiteY753" fmla="*/ 5500930 h 6858000"/>
              <a:gd name="connsiteX754" fmla="*/ 10019456 w 12192000"/>
              <a:gd name="connsiteY754" fmla="*/ 5530582 h 6858000"/>
              <a:gd name="connsiteX755" fmla="*/ 10097990 w 12192000"/>
              <a:gd name="connsiteY755" fmla="*/ 5530582 h 6858000"/>
              <a:gd name="connsiteX756" fmla="*/ 10065774 w 12192000"/>
              <a:gd name="connsiteY756" fmla="*/ 5500930 h 6858000"/>
              <a:gd name="connsiteX757" fmla="*/ 10097990 w 12192000"/>
              <a:gd name="connsiteY757" fmla="*/ 5471278 h 6858000"/>
              <a:gd name="connsiteX758" fmla="*/ 10130195 w 12192000"/>
              <a:gd name="connsiteY758" fmla="*/ 5500930 h 6858000"/>
              <a:gd name="connsiteX759" fmla="*/ 10097990 w 12192000"/>
              <a:gd name="connsiteY759" fmla="*/ 5530582 h 6858000"/>
              <a:gd name="connsiteX760" fmla="*/ 10176524 w 12192000"/>
              <a:gd name="connsiteY760" fmla="*/ 5530582 h 6858000"/>
              <a:gd name="connsiteX761" fmla="*/ 10144307 w 12192000"/>
              <a:gd name="connsiteY761" fmla="*/ 5500930 h 6858000"/>
              <a:gd name="connsiteX762" fmla="*/ 10176524 w 12192000"/>
              <a:gd name="connsiteY762" fmla="*/ 5471278 h 6858000"/>
              <a:gd name="connsiteX763" fmla="*/ 10208728 w 12192000"/>
              <a:gd name="connsiteY763" fmla="*/ 5500930 h 6858000"/>
              <a:gd name="connsiteX764" fmla="*/ 10176524 w 12192000"/>
              <a:gd name="connsiteY764" fmla="*/ 5530582 h 6858000"/>
              <a:gd name="connsiteX765" fmla="*/ 10255058 w 12192000"/>
              <a:gd name="connsiteY765" fmla="*/ 5530582 h 6858000"/>
              <a:gd name="connsiteX766" fmla="*/ 10222842 w 12192000"/>
              <a:gd name="connsiteY766" fmla="*/ 5500930 h 6858000"/>
              <a:gd name="connsiteX767" fmla="*/ 10255058 w 12192000"/>
              <a:gd name="connsiteY767" fmla="*/ 5471278 h 6858000"/>
              <a:gd name="connsiteX768" fmla="*/ 10287262 w 12192000"/>
              <a:gd name="connsiteY768" fmla="*/ 5500930 h 6858000"/>
              <a:gd name="connsiteX769" fmla="*/ 10255058 w 12192000"/>
              <a:gd name="connsiteY769" fmla="*/ 5530582 h 6858000"/>
              <a:gd name="connsiteX770" fmla="*/ 10333592 w 12192000"/>
              <a:gd name="connsiteY770" fmla="*/ 5530582 h 6858000"/>
              <a:gd name="connsiteX771" fmla="*/ 10301376 w 12192000"/>
              <a:gd name="connsiteY771" fmla="*/ 5500930 h 6858000"/>
              <a:gd name="connsiteX772" fmla="*/ 10333592 w 12192000"/>
              <a:gd name="connsiteY772" fmla="*/ 5471278 h 6858000"/>
              <a:gd name="connsiteX773" fmla="*/ 10365796 w 12192000"/>
              <a:gd name="connsiteY773" fmla="*/ 5500930 h 6858000"/>
              <a:gd name="connsiteX774" fmla="*/ 10333592 w 12192000"/>
              <a:gd name="connsiteY774" fmla="*/ 5530582 h 6858000"/>
              <a:gd name="connsiteX775" fmla="*/ 2087512 w 12192000"/>
              <a:gd name="connsiteY775" fmla="*/ 5458316 h 6858000"/>
              <a:gd name="connsiteX776" fmla="*/ 2055302 w 12192000"/>
              <a:gd name="connsiteY776" fmla="*/ 5428664 h 6858000"/>
              <a:gd name="connsiteX777" fmla="*/ 2087512 w 12192000"/>
              <a:gd name="connsiteY777" fmla="*/ 5399012 h 6858000"/>
              <a:gd name="connsiteX778" fmla="*/ 2119722 w 12192000"/>
              <a:gd name="connsiteY778" fmla="*/ 5428664 h 6858000"/>
              <a:gd name="connsiteX779" fmla="*/ 2087512 w 12192000"/>
              <a:gd name="connsiteY779" fmla="*/ 5458316 h 6858000"/>
              <a:gd name="connsiteX780" fmla="*/ 2166045 w 12192000"/>
              <a:gd name="connsiteY780" fmla="*/ 5458316 h 6858000"/>
              <a:gd name="connsiteX781" fmla="*/ 2133835 w 12192000"/>
              <a:gd name="connsiteY781" fmla="*/ 5428664 h 6858000"/>
              <a:gd name="connsiteX782" fmla="*/ 2166045 w 12192000"/>
              <a:gd name="connsiteY782" fmla="*/ 5399012 h 6858000"/>
              <a:gd name="connsiteX783" fmla="*/ 2198255 w 12192000"/>
              <a:gd name="connsiteY783" fmla="*/ 5428664 h 6858000"/>
              <a:gd name="connsiteX784" fmla="*/ 2166045 w 12192000"/>
              <a:gd name="connsiteY784" fmla="*/ 5458316 h 6858000"/>
              <a:gd name="connsiteX785" fmla="*/ 2244579 w 12192000"/>
              <a:gd name="connsiteY785" fmla="*/ 5458316 h 6858000"/>
              <a:gd name="connsiteX786" fmla="*/ 2212369 w 12192000"/>
              <a:gd name="connsiteY786" fmla="*/ 5428664 h 6858000"/>
              <a:gd name="connsiteX787" fmla="*/ 2244579 w 12192000"/>
              <a:gd name="connsiteY787" fmla="*/ 5399012 h 6858000"/>
              <a:gd name="connsiteX788" fmla="*/ 2276790 w 12192000"/>
              <a:gd name="connsiteY788" fmla="*/ 5428664 h 6858000"/>
              <a:gd name="connsiteX789" fmla="*/ 2244579 w 12192000"/>
              <a:gd name="connsiteY789" fmla="*/ 5458316 h 6858000"/>
              <a:gd name="connsiteX790" fmla="*/ 2323114 w 12192000"/>
              <a:gd name="connsiteY790" fmla="*/ 5458316 h 6858000"/>
              <a:gd name="connsiteX791" fmla="*/ 2290903 w 12192000"/>
              <a:gd name="connsiteY791" fmla="*/ 5428664 h 6858000"/>
              <a:gd name="connsiteX792" fmla="*/ 2323114 w 12192000"/>
              <a:gd name="connsiteY792" fmla="*/ 5399012 h 6858000"/>
              <a:gd name="connsiteX793" fmla="*/ 2355324 w 12192000"/>
              <a:gd name="connsiteY793" fmla="*/ 5428664 h 6858000"/>
              <a:gd name="connsiteX794" fmla="*/ 2323114 w 12192000"/>
              <a:gd name="connsiteY794" fmla="*/ 5458316 h 6858000"/>
              <a:gd name="connsiteX795" fmla="*/ 2401647 w 12192000"/>
              <a:gd name="connsiteY795" fmla="*/ 5458316 h 6858000"/>
              <a:gd name="connsiteX796" fmla="*/ 2369437 w 12192000"/>
              <a:gd name="connsiteY796" fmla="*/ 5428664 h 6858000"/>
              <a:gd name="connsiteX797" fmla="*/ 2401647 w 12192000"/>
              <a:gd name="connsiteY797" fmla="*/ 5399012 h 6858000"/>
              <a:gd name="connsiteX798" fmla="*/ 2433857 w 12192000"/>
              <a:gd name="connsiteY798" fmla="*/ 5428664 h 6858000"/>
              <a:gd name="connsiteX799" fmla="*/ 2401647 w 12192000"/>
              <a:gd name="connsiteY799" fmla="*/ 5458316 h 6858000"/>
              <a:gd name="connsiteX800" fmla="*/ 2480181 w 12192000"/>
              <a:gd name="connsiteY800" fmla="*/ 5458316 h 6858000"/>
              <a:gd name="connsiteX801" fmla="*/ 2447971 w 12192000"/>
              <a:gd name="connsiteY801" fmla="*/ 5428664 h 6858000"/>
              <a:gd name="connsiteX802" fmla="*/ 2480181 w 12192000"/>
              <a:gd name="connsiteY802" fmla="*/ 5399012 h 6858000"/>
              <a:gd name="connsiteX803" fmla="*/ 2512391 w 12192000"/>
              <a:gd name="connsiteY803" fmla="*/ 5428664 h 6858000"/>
              <a:gd name="connsiteX804" fmla="*/ 2480181 w 12192000"/>
              <a:gd name="connsiteY804" fmla="*/ 5458316 h 6858000"/>
              <a:gd name="connsiteX805" fmla="*/ 3265514 w 12192000"/>
              <a:gd name="connsiteY805" fmla="*/ 5458316 h 6858000"/>
              <a:gd name="connsiteX806" fmla="*/ 3233303 w 12192000"/>
              <a:gd name="connsiteY806" fmla="*/ 5428664 h 6858000"/>
              <a:gd name="connsiteX807" fmla="*/ 3265514 w 12192000"/>
              <a:gd name="connsiteY807" fmla="*/ 5399012 h 6858000"/>
              <a:gd name="connsiteX808" fmla="*/ 3297724 w 12192000"/>
              <a:gd name="connsiteY808" fmla="*/ 5428664 h 6858000"/>
              <a:gd name="connsiteX809" fmla="*/ 3265514 w 12192000"/>
              <a:gd name="connsiteY809" fmla="*/ 5458316 h 6858000"/>
              <a:gd name="connsiteX810" fmla="*/ 3344048 w 12192000"/>
              <a:gd name="connsiteY810" fmla="*/ 5458316 h 6858000"/>
              <a:gd name="connsiteX811" fmla="*/ 3311837 w 12192000"/>
              <a:gd name="connsiteY811" fmla="*/ 5428664 h 6858000"/>
              <a:gd name="connsiteX812" fmla="*/ 3344048 w 12192000"/>
              <a:gd name="connsiteY812" fmla="*/ 5399012 h 6858000"/>
              <a:gd name="connsiteX813" fmla="*/ 3376258 w 12192000"/>
              <a:gd name="connsiteY813" fmla="*/ 5428664 h 6858000"/>
              <a:gd name="connsiteX814" fmla="*/ 3344048 w 12192000"/>
              <a:gd name="connsiteY814" fmla="*/ 5458316 h 6858000"/>
              <a:gd name="connsiteX815" fmla="*/ 3422581 w 12192000"/>
              <a:gd name="connsiteY815" fmla="*/ 5458316 h 6858000"/>
              <a:gd name="connsiteX816" fmla="*/ 3390371 w 12192000"/>
              <a:gd name="connsiteY816" fmla="*/ 5428664 h 6858000"/>
              <a:gd name="connsiteX817" fmla="*/ 3422581 w 12192000"/>
              <a:gd name="connsiteY817" fmla="*/ 5399012 h 6858000"/>
              <a:gd name="connsiteX818" fmla="*/ 3454791 w 12192000"/>
              <a:gd name="connsiteY818" fmla="*/ 5428664 h 6858000"/>
              <a:gd name="connsiteX819" fmla="*/ 3422581 w 12192000"/>
              <a:gd name="connsiteY819" fmla="*/ 5458316 h 6858000"/>
              <a:gd name="connsiteX820" fmla="*/ 4050852 w 12192000"/>
              <a:gd name="connsiteY820" fmla="*/ 5458316 h 6858000"/>
              <a:gd name="connsiteX821" fmla="*/ 4018642 w 12192000"/>
              <a:gd name="connsiteY821" fmla="*/ 5428664 h 6858000"/>
              <a:gd name="connsiteX822" fmla="*/ 4050852 w 12192000"/>
              <a:gd name="connsiteY822" fmla="*/ 5399012 h 6858000"/>
              <a:gd name="connsiteX823" fmla="*/ 4083062 w 12192000"/>
              <a:gd name="connsiteY823" fmla="*/ 5428664 h 6858000"/>
              <a:gd name="connsiteX824" fmla="*/ 4050852 w 12192000"/>
              <a:gd name="connsiteY824" fmla="*/ 5458316 h 6858000"/>
              <a:gd name="connsiteX825" fmla="*/ 4129386 w 12192000"/>
              <a:gd name="connsiteY825" fmla="*/ 5458316 h 6858000"/>
              <a:gd name="connsiteX826" fmla="*/ 4097176 w 12192000"/>
              <a:gd name="connsiteY826" fmla="*/ 5428664 h 6858000"/>
              <a:gd name="connsiteX827" fmla="*/ 4129386 w 12192000"/>
              <a:gd name="connsiteY827" fmla="*/ 5399012 h 6858000"/>
              <a:gd name="connsiteX828" fmla="*/ 4161597 w 12192000"/>
              <a:gd name="connsiteY828" fmla="*/ 5428664 h 6858000"/>
              <a:gd name="connsiteX829" fmla="*/ 4129386 w 12192000"/>
              <a:gd name="connsiteY829" fmla="*/ 5458316 h 6858000"/>
              <a:gd name="connsiteX830" fmla="*/ 4207926 w 12192000"/>
              <a:gd name="connsiteY830" fmla="*/ 5458316 h 6858000"/>
              <a:gd name="connsiteX831" fmla="*/ 4175715 w 12192000"/>
              <a:gd name="connsiteY831" fmla="*/ 5428664 h 6858000"/>
              <a:gd name="connsiteX832" fmla="*/ 4207926 w 12192000"/>
              <a:gd name="connsiteY832" fmla="*/ 5399012 h 6858000"/>
              <a:gd name="connsiteX833" fmla="*/ 4240136 w 12192000"/>
              <a:gd name="connsiteY833" fmla="*/ 5428664 h 6858000"/>
              <a:gd name="connsiteX834" fmla="*/ 4207926 w 12192000"/>
              <a:gd name="connsiteY834" fmla="*/ 5458316 h 6858000"/>
              <a:gd name="connsiteX835" fmla="*/ 4522062 w 12192000"/>
              <a:gd name="connsiteY835" fmla="*/ 5458316 h 6858000"/>
              <a:gd name="connsiteX836" fmla="*/ 4489851 w 12192000"/>
              <a:gd name="connsiteY836" fmla="*/ 5428664 h 6858000"/>
              <a:gd name="connsiteX837" fmla="*/ 4522062 w 12192000"/>
              <a:gd name="connsiteY837" fmla="*/ 5399012 h 6858000"/>
              <a:gd name="connsiteX838" fmla="*/ 4554272 w 12192000"/>
              <a:gd name="connsiteY838" fmla="*/ 5428664 h 6858000"/>
              <a:gd name="connsiteX839" fmla="*/ 4522062 w 12192000"/>
              <a:gd name="connsiteY839" fmla="*/ 5458316 h 6858000"/>
              <a:gd name="connsiteX840" fmla="*/ 4600596 w 12192000"/>
              <a:gd name="connsiteY840" fmla="*/ 5458316 h 6858000"/>
              <a:gd name="connsiteX841" fmla="*/ 4568386 w 12192000"/>
              <a:gd name="connsiteY841" fmla="*/ 5428664 h 6858000"/>
              <a:gd name="connsiteX842" fmla="*/ 4600596 w 12192000"/>
              <a:gd name="connsiteY842" fmla="*/ 5399012 h 6858000"/>
              <a:gd name="connsiteX843" fmla="*/ 4632806 w 12192000"/>
              <a:gd name="connsiteY843" fmla="*/ 5428664 h 6858000"/>
              <a:gd name="connsiteX844" fmla="*/ 4600596 w 12192000"/>
              <a:gd name="connsiteY844" fmla="*/ 5458316 h 6858000"/>
              <a:gd name="connsiteX845" fmla="*/ 4679129 w 12192000"/>
              <a:gd name="connsiteY845" fmla="*/ 5458316 h 6858000"/>
              <a:gd name="connsiteX846" fmla="*/ 4646919 w 12192000"/>
              <a:gd name="connsiteY846" fmla="*/ 5428664 h 6858000"/>
              <a:gd name="connsiteX847" fmla="*/ 4679129 w 12192000"/>
              <a:gd name="connsiteY847" fmla="*/ 5399012 h 6858000"/>
              <a:gd name="connsiteX848" fmla="*/ 4711339 w 12192000"/>
              <a:gd name="connsiteY848" fmla="*/ 5428664 h 6858000"/>
              <a:gd name="connsiteX849" fmla="*/ 4679129 w 12192000"/>
              <a:gd name="connsiteY849" fmla="*/ 5458316 h 6858000"/>
              <a:gd name="connsiteX850" fmla="*/ 4757663 w 12192000"/>
              <a:gd name="connsiteY850" fmla="*/ 5458316 h 6858000"/>
              <a:gd name="connsiteX851" fmla="*/ 4725453 w 12192000"/>
              <a:gd name="connsiteY851" fmla="*/ 5428664 h 6858000"/>
              <a:gd name="connsiteX852" fmla="*/ 4757663 w 12192000"/>
              <a:gd name="connsiteY852" fmla="*/ 5399012 h 6858000"/>
              <a:gd name="connsiteX853" fmla="*/ 4789874 w 12192000"/>
              <a:gd name="connsiteY853" fmla="*/ 5428664 h 6858000"/>
              <a:gd name="connsiteX854" fmla="*/ 4757663 w 12192000"/>
              <a:gd name="connsiteY854" fmla="*/ 5458316 h 6858000"/>
              <a:gd name="connsiteX855" fmla="*/ 4836197 w 12192000"/>
              <a:gd name="connsiteY855" fmla="*/ 5458316 h 6858000"/>
              <a:gd name="connsiteX856" fmla="*/ 4803986 w 12192000"/>
              <a:gd name="connsiteY856" fmla="*/ 5428664 h 6858000"/>
              <a:gd name="connsiteX857" fmla="*/ 4836197 w 12192000"/>
              <a:gd name="connsiteY857" fmla="*/ 5399012 h 6858000"/>
              <a:gd name="connsiteX858" fmla="*/ 4868407 w 12192000"/>
              <a:gd name="connsiteY858" fmla="*/ 5428664 h 6858000"/>
              <a:gd name="connsiteX859" fmla="*/ 4836197 w 12192000"/>
              <a:gd name="connsiteY859" fmla="*/ 5458316 h 6858000"/>
              <a:gd name="connsiteX860" fmla="*/ 4914731 w 12192000"/>
              <a:gd name="connsiteY860" fmla="*/ 5458316 h 6858000"/>
              <a:gd name="connsiteX861" fmla="*/ 4882521 w 12192000"/>
              <a:gd name="connsiteY861" fmla="*/ 5428664 h 6858000"/>
              <a:gd name="connsiteX862" fmla="*/ 4914731 w 12192000"/>
              <a:gd name="connsiteY862" fmla="*/ 5399012 h 6858000"/>
              <a:gd name="connsiteX863" fmla="*/ 4946941 w 12192000"/>
              <a:gd name="connsiteY863" fmla="*/ 5428664 h 6858000"/>
              <a:gd name="connsiteX864" fmla="*/ 4914731 w 12192000"/>
              <a:gd name="connsiteY864" fmla="*/ 5458316 h 6858000"/>
              <a:gd name="connsiteX865" fmla="*/ 4993265 w 12192000"/>
              <a:gd name="connsiteY865" fmla="*/ 5458316 h 6858000"/>
              <a:gd name="connsiteX866" fmla="*/ 4961055 w 12192000"/>
              <a:gd name="connsiteY866" fmla="*/ 5428664 h 6858000"/>
              <a:gd name="connsiteX867" fmla="*/ 4993265 w 12192000"/>
              <a:gd name="connsiteY867" fmla="*/ 5399012 h 6858000"/>
              <a:gd name="connsiteX868" fmla="*/ 5025475 w 12192000"/>
              <a:gd name="connsiteY868" fmla="*/ 5428664 h 6858000"/>
              <a:gd name="connsiteX869" fmla="*/ 4993265 w 12192000"/>
              <a:gd name="connsiteY869" fmla="*/ 5458316 h 6858000"/>
              <a:gd name="connsiteX870" fmla="*/ 5071798 w 12192000"/>
              <a:gd name="connsiteY870" fmla="*/ 5458316 h 6858000"/>
              <a:gd name="connsiteX871" fmla="*/ 5039588 w 12192000"/>
              <a:gd name="connsiteY871" fmla="*/ 5428664 h 6858000"/>
              <a:gd name="connsiteX872" fmla="*/ 5071798 w 12192000"/>
              <a:gd name="connsiteY872" fmla="*/ 5399012 h 6858000"/>
              <a:gd name="connsiteX873" fmla="*/ 5104009 w 12192000"/>
              <a:gd name="connsiteY873" fmla="*/ 5428664 h 6858000"/>
              <a:gd name="connsiteX874" fmla="*/ 5071798 w 12192000"/>
              <a:gd name="connsiteY874" fmla="*/ 5458316 h 6858000"/>
              <a:gd name="connsiteX875" fmla="*/ 5150333 w 12192000"/>
              <a:gd name="connsiteY875" fmla="*/ 5458316 h 6858000"/>
              <a:gd name="connsiteX876" fmla="*/ 5118122 w 12192000"/>
              <a:gd name="connsiteY876" fmla="*/ 5428664 h 6858000"/>
              <a:gd name="connsiteX877" fmla="*/ 5150333 w 12192000"/>
              <a:gd name="connsiteY877" fmla="*/ 5399012 h 6858000"/>
              <a:gd name="connsiteX878" fmla="*/ 5182543 w 12192000"/>
              <a:gd name="connsiteY878" fmla="*/ 5428664 h 6858000"/>
              <a:gd name="connsiteX879" fmla="*/ 5150333 w 12192000"/>
              <a:gd name="connsiteY879" fmla="*/ 5458316 h 6858000"/>
              <a:gd name="connsiteX880" fmla="*/ 5228867 w 12192000"/>
              <a:gd name="connsiteY880" fmla="*/ 5458316 h 6858000"/>
              <a:gd name="connsiteX881" fmla="*/ 5196657 w 12192000"/>
              <a:gd name="connsiteY881" fmla="*/ 5428664 h 6858000"/>
              <a:gd name="connsiteX882" fmla="*/ 5228867 w 12192000"/>
              <a:gd name="connsiteY882" fmla="*/ 5399012 h 6858000"/>
              <a:gd name="connsiteX883" fmla="*/ 5261077 w 12192000"/>
              <a:gd name="connsiteY883" fmla="*/ 5428664 h 6858000"/>
              <a:gd name="connsiteX884" fmla="*/ 5228867 w 12192000"/>
              <a:gd name="connsiteY884" fmla="*/ 5458316 h 6858000"/>
              <a:gd name="connsiteX885" fmla="*/ 5307400 w 12192000"/>
              <a:gd name="connsiteY885" fmla="*/ 5458316 h 6858000"/>
              <a:gd name="connsiteX886" fmla="*/ 5275190 w 12192000"/>
              <a:gd name="connsiteY886" fmla="*/ 5428664 h 6858000"/>
              <a:gd name="connsiteX887" fmla="*/ 5307400 w 12192000"/>
              <a:gd name="connsiteY887" fmla="*/ 5399012 h 6858000"/>
              <a:gd name="connsiteX888" fmla="*/ 5339610 w 12192000"/>
              <a:gd name="connsiteY888" fmla="*/ 5428664 h 6858000"/>
              <a:gd name="connsiteX889" fmla="*/ 5307400 w 12192000"/>
              <a:gd name="connsiteY889" fmla="*/ 5458316 h 6858000"/>
              <a:gd name="connsiteX890" fmla="*/ 5385934 w 12192000"/>
              <a:gd name="connsiteY890" fmla="*/ 5458316 h 6858000"/>
              <a:gd name="connsiteX891" fmla="*/ 5353724 w 12192000"/>
              <a:gd name="connsiteY891" fmla="*/ 5428664 h 6858000"/>
              <a:gd name="connsiteX892" fmla="*/ 5385934 w 12192000"/>
              <a:gd name="connsiteY892" fmla="*/ 5399012 h 6858000"/>
              <a:gd name="connsiteX893" fmla="*/ 5418145 w 12192000"/>
              <a:gd name="connsiteY893" fmla="*/ 5428664 h 6858000"/>
              <a:gd name="connsiteX894" fmla="*/ 5385934 w 12192000"/>
              <a:gd name="connsiteY894" fmla="*/ 5458316 h 6858000"/>
              <a:gd name="connsiteX895" fmla="*/ 5464468 w 12192000"/>
              <a:gd name="connsiteY895" fmla="*/ 5458316 h 6858000"/>
              <a:gd name="connsiteX896" fmla="*/ 5432257 w 12192000"/>
              <a:gd name="connsiteY896" fmla="*/ 5428664 h 6858000"/>
              <a:gd name="connsiteX897" fmla="*/ 5464468 w 12192000"/>
              <a:gd name="connsiteY897" fmla="*/ 5399012 h 6858000"/>
              <a:gd name="connsiteX898" fmla="*/ 5496678 w 12192000"/>
              <a:gd name="connsiteY898" fmla="*/ 5428664 h 6858000"/>
              <a:gd name="connsiteX899" fmla="*/ 5464468 w 12192000"/>
              <a:gd name="connsiteY899" fmla="*/ 5458316 h 6858000"/>
              <a:gd name="connsiteX900" fmla="*/ 6249806 w 12192000"/>
              <a:gd name="connsiteY900" fmla="*/ 5458316 h 6858000"/>
              <a:gd name="connsiteX901" fmla="*/ 6217590 w 12192000"/>
              <a:gd name="connsiteY901" fmla="*/ 5428664 h 6858000"/>
              <a:gd name="connsiteX902" fmla="*/ 6249806 w 12192000"/>
              <a:gd name="connsiteY902" fmla="*/ 5399012 h 6858000"/>
              <a:gd name="connsiteX903" fmla="*/ 6282010 w 12192000"/>
              <a:gd name="connsiteY903" fmla="*/ 5428664 h 6858000"/>
              <a:gd name="connsiteX904" fmla="*/ 6249806 w 12192000"/>
              <a:gd name="connsiteY904" fmla="*/ 5458316 h 6858000"/>
              <a:gd name="connsiteX905" fmla="*/ 6328340 w 12192000"/>
              <a:gd name="connsiteY905" fmla="*/ 5458316 h 6858000"/>
              <a:gd name="connsiteX906" fmla="*/ 6296124 w 12192000"/>
              <a:gd name="connsiteY906" fmla="*/ 5428664 h 6858000"/>
              <a:gd name="connsiteX907" fmla="*/ 6328340 w 12192000"/>
              <a:gd name="connsiteY907" fmla="*/ 5399012 h 6858000"/>
              <a:gd name="connsiteX908" fmla="*/ 6360545 w 12192000"/>
              <a:gd name="connsiteY908" fmla="*/ 5428664 h 6858000"/>
              <a:gd name="connsiteX909" fmla="*/ 6328340 w 12192000"/>
              <a:gd name="connsiteY909" fmla="*/ 5458316 h 6858000"/>
              <a:gd name="connsiteX910" fmla="*/ 7270771 w 12192000"/>
              <a:gd name="connsiteY910" fmla="*/ 5458316 h 6858000"/>
              <a:gd name="connsiteX911" fmla="*/ 7238555 w 12192000"/>
              <a:gd name="connsiteY911" fmla="*/ 5428664 h 6858000"/>
              <a:gd name="connsiteX912" fmla="*/ 7270771 w 12192000"/>
              <a:gd name="connsiteY912" fmla="*/ 5399012 h 6858000"/>
              <a:gd name="connsiteX913" fmla="*/ 7302976 w 12192000"/>
              <a:gd name="connsiteY913" fmla="*/ 5428664 h 6858000"/>
              <a:gd name="connsiteX914" fmla="*/ 7270771 w 12192000"/>
              <a:gd name="connsiteY914" fmla="*/ 5458316 h 6858000"/>
              <a:gd name="connsiteX915" fmla="*/ 7820508 w 12192000"/>
              <a:gd name="connsiteY915" fmla="*/ 5458316 h 6858000"/>
              <a:gd name="connsiteX916" fmla="*/ 7788292 w 12192000"/>
              <a:gd name="connsiteY916" fmla="*/ 5428664 h 6858000"/>
              <a:gd name="connsiteX917" fmla="*/ 7820508 w 12192000"/>
              <a:gd name="connsiteY917" fmla="*/ 5399012 h 6858000"/>
              <a:gd name="connsiteX918" fmla="*/ 7852712 w 12192000"/>
              <a:gd name="connsiteY918" fmla="*/ 5428664 h 6858000"/>
              <a:gd name="connsiteX919" fmla="*/ 7820508 w 12192000"/>
              <a:gd name="connsiteY919" fmla="*/ 5458316 h 6858000"/>
              <a:gd name="connsiteX920" fmla="*/ 7899042 w 12192000"/>
              <a:gd name="connsiteY920" fmla="*/ 5458316 h 6858000"/>
              <a:gd name="connsiteX921" fmla="*/ 7866826 w 12192000"/>
              <a:gd name="connsiteY921" fmla="*/ 5428664 h 6858000"/>
              <a:gd name="connsiteX922" fmla="*/ 7899042 w 12192000"/>
              <a:gd name="connsiteY922" fmla="*/ 5399012 h 6858000"/>
              <a:gd name="connsiteX923" fmla="*/ 7931247 w 12192000"/>
              <a:gd name="connsiteY923" fmla="*/ 5428664 h 6858000"/>
              <a:gd name="connsiteX924" fmla="*/ 7899042 w 12192000"/>
              <a:gd name="connsiteY924" fmla="*/ 5458316 h 6858000"/>
              <a:gd name="connsiteX925" fmla="*/ 7977576 w 12192000"/>
              <a:gd name="connsiteY925" fmla="*/ 5458316 h 6858000"/>
              <a:gd name="connsiteX926" fmla="*/ 7945359 w 12192000"/>
              <a:gd name="connsiteY926" fmla="*/ 5428664 h 6858000"/>
              <a:gd name="connsiteX927" fmla="*/ 7977576 w 12192000"/>
              <a:gd name="connsiteY927" fmla="*/ 5399012 h 6858000"/>
              <a:gd name="connsiteX928" fmla="*/ 8009780 w 12192000"/>
              <a:gd name="connsiteY928" fmla="*/ 5428664 h 6858000"/>
              <a:gd name="connsiteX929" fmla="*/ 7977576 w 12192000"/>
              <a:gd name="connsiteY929" fmla="*/ 5458316 h 6858000"/>
              <a:gd name="connsiteX930" fmla="*/ 8134643 w 12192000"/>
              <a:gd name="connsiteY930" fmla="*/ 5458316 h 6858000"/>
              <a:gd name="connsiteX931" fmla="*/ 8102427 w 12192000"/>
              <a:gd name="connsiteY931" fmla="*/ 5428664 h 6858000"/>
              <a:gd name="connsiteX932" fmla="*/ 8134643 w 12192000"/>
              <a:gd name="connsiteY932" fmla="*/ 5399012 h 6858000"/>
              <a:gd name="connsiteX933" fmla="*/ 8166847 w 12192000"/>
              <a:gd name="connsiteY933" fmla="*/ 5428664 h 6858000"/>
              <a:gd name="connsiteX934" fmla="*/ 8134643 w 12192000"/>
              <a:gd name="connsiteY934" fmla="*/ 5458316 h 6858000"/>
              <a:gd name="connsiteX935" fmla="*/ 8448779 w 12192000"/>
              <a:gd name="connsiteY935" fmla="*/ 5458316 h 6858000"/>
              <a:gd name="connsiteX936" fmla="*/ 8416563 w 12192000"/>
              <a:gd name="connsiteY936" fmla="*/ 5428664 h 6858000"/>
              <a:gd name="connsiteX937" fmla="*/ 8448779 w 12192000"/>
              <a:gd name="connsiteY937" fmla="*/ 5399012 h 6858000"/>
              <a:gd name="connsiteX938" fmla="*/ 8480983 w 12192000"/>
              <a:gd name="connsiteY938" fmla="*/ 5428664 h 6858000"/>
              <a:gd name="connsiteX939" fmla="*/ 8448779 w 12192000"/>
              <a:gd name="connsiteY939" fmla="*/ 5458316 h 6858000"/>
              <a:gd name="connsiteX940" fmla="*/ 8605847 w 12192000"/>
              <a:gd name="connsiteY940" fmla="*/ 5458316 h 6858000"/>
              <a:gd name="connsiteX941" fmla="*/ 8573630 w 12192000"/>
              <a:gd name="connsiteY941" fmla="*/ 5428664 h 6858000"/>
              <a:gd name="connsiteX942" fmla="*/ 8605847 w 12192000"/>
              <a:gd name="connsiteY942" fmla="*/ 5399012 h 6858000"/>
              <a:gd name="connsiteX943" fmla="*/ 8638051 w 12192000"/>
              <a:gd name="connsiteY943" fmla="*/ 5428664 h 6858000"/>
              <a:gd name="connsiteX944" fmla="*/ 8605847 w 12192000"/>
              <a:gd name="connsiteY944" fmla="*/ 5458316 h 6858000"/>
              <a:gd name="connsiteX945" fmla="*/ 8684381 w 12192000"/>
              <a:gd name="connsiteY945" fmla="*/ 5458316 h 6858000"/>
              <a:gd name="connsiteX946" fmla="*/ 8652165 w 12192000"/>
              <a:gd name="connsiteY946" fmla="*/ 5428664 h 6858000"/>
              <a:gd name="connsiteX947" fmla="*/ 8684381 w 12192000"/>
              <a:gd name="connsiteY947" fmla="*/ 5399012 h 6858000"/>
              <a:gd name="connsiteX948" fmla="*/ 8716585 w 12192000"/>
              <a:gd name="connsiteY948" fmla="*/ 5428664 h 6858000"/>
              <a:gd name="connsiteX949" fmla="*/ 8684381 w 12192000"/>
              <a:gd name="connsiteY949" fmla="*/ 5458316 h 6858000"/>
              <a:gd name="connsiteX950" fmla="*/ 8998516 w 12192000"/>
              <a:gd name="connsiteY950" fmla="*/ 5458316 h 6858000"/>
              <a:gd name="connsiteX951" fmla="*/ 8966300 w 12192000"/>
              <a:gd name="connsiteY951" fmla="*/ 5428664 h 6858000"/>
              <a:gd name="connsiteX952" fmla="*/ 8998516 w 12192000"/>
              <a:gd name="connsiteY952" fmla="*/ 5399012 h 6858000"/>
              <a:gd name="connsiteX953" fmla="*/ 9030720 w 12192000"/>
              <a:gd name="connsiteY953" fmla="*/ 5428664 h 6858000"/>
              <a:gd name="connsiteX954" fmla="*/ 8998516 w 12192000"/>
              <a:gd name="connsiteY954" fmla="*/ 5458316 h 6858000"/>
              <a:gd name="connsiteX955" fmla="*/ 9077050 w 12192000"/>
              <a:gd name="connsiteY955" fmla="*/ 5458316 h 6858000"/>
              <a:gd name="connsiteX956" fmla="*/ 9044834 w 12192000"/>
              <a:gd name="connsiteY956" fmla="*/ 5428664 h 6858000"/>
              <a:gd name="connsiteX957" fmla="*/ 9077050 w 12192000"/>
              <a:gd name="connsiteY957" fmla="*/ 5399012 h 6858000"/>
              <a:gd name="connsiteX958" fmla="*/ 9109254 w 12192000"/>
              <a:gd name="connsiteY958" fmla="*/ 5428664 h 6858000"/>
              <a:gd name="connsiteX959" fmla="*/ 9077050 w 12192000"/>
              <a:gd name="connsiteY959" fmla="*/ 5458316 h 6858000"/>
              <a:gd name="connsiteX960" fmla="*/ 9155583 w 12192000"/>
              <a:gd name="connsiteY960" fmla="*/ 5458316 h 6858000"/>
              <a:gd name="connsiteX961" fmla="*/ 9123367 w 12192000"/>
              <a:gd name="connsiteY961" fmla="*/ 5428664 h 6858000"/>
              <a:gd name="connsiteX962" fmla="*/ 9155583 w 12192000"/>
              <a:gd name="connsiteY962" fmla="*/ 5399012 h 6858000"/>
              <a:gd name="connsiteX963" fmla="*/ 9187788 w 12192000"/>
              <a:gd name="connsiteY963" fmla="*/ 5428664 h 6858000"/>
              <a:gd name="connsiteX964" fmla="*/ 9155583 w 12192000"/>
              <a:gd name="connsiteY964" fmla="*/ 5458316 h 6858000"/>
              <a:gd name="connsiteX965" fmla="*/ 9234118 w 12192000"/>
              <a:gd name="connsiteY965" fmla="*/ 5458316 h 6858000"/>
              <a:gd name="connsiteX966" fmla="*/ 9201901 w 12192000"/>
              <a:gd name="connsiteY966" fmla="*/ 5428664 h 6858000"/>
              <a:gd name="connsiteX967" fmla="*/ 9234118 w 12192000"/>
              <a:gd name="connsiteY967" fmla="*/ 5399012 h 6858000"/>
              <a:gd name="connsiteX968" fmla="*/ 9266322 w 12192000"/>
              <a:gd name="connsiteY968" fmla="*/ 5428664 h 6858000"/>
              <a:gd name="connsiteX969" fmla="*/ 9234118 w 12192000"/>
              <a:gd name="connsiteY969" fmla="*/ 5458316 h 6858000"/>
              <a:gd name="connsiteX970" fmla="*/ 9312652 w 12192000"/>
              <a:gd name="connsiteY970" fmla="*/ 5458316 h 6858000"/>
              <a:gd name="connsiteX971" fmla="*/ 9280436 w 12192000"/>
              <a:gd name="connsiteY971" fmla="*/ 5428664 h 6858000"/>
              <a:gd name="connsiteX972" fmla="*/ 9312652 w 12192000"/>
              <a:gd name="connsiteY972" fmla="*/ 5399012 h 6858000"/>
              <a:gd name="connsiteX973" fmla="*/ 9344856 w 12192000"/>
              <a:gd name="connsiteY973" fmla="*/ 5428664 h 6858000"/>
              <a:gd name="connsiteX974" fmla="*/ 9312652 w 12192000"/>
              <a:gd name="connsiteY974" fmla="*/ 5458316 h 6858000"/>
              <a:gd name="connsiteX975" fmla="*/ 9391185 w 12192000"/>
              <a:gd name="connsiteY975" fmla="*/ 5458316 h 6858000"/>
              <a:gd name="connsiteX976" fmla="*/ 9358969 w 12192000"/>
              <a:gd name="connsiteY976" fmla="*/ 5428664 h 6858000"/>
              <a:gd name="connsiteX977" fmla="*/ 9391185 w 12192000"/>
              <a:gd name="connsiteY977" fmla="*/ 5399012 h 6858000"/>
              <a:gd name="connsiteX978" fmla="*/ 9423389 w 12192000"/>
              <a:gd name="connsiteY978" fmla="*/ 5428664 h 6858000"/>
              <a:gd name="connsiteX979" fmla="*/ 9391185 w 12192000"/>
              <a:gd name="connsiteY979" fmla="*/ 5458316 h 6858000"/>
              <a:gd name="connsiteX980" fmla="*/ 9469719 w 12192000"/>
              <a:gd name="connsiteY980" fmla="*/ 5458316 h 6858000"/>
              <a:gd name="connsiteX981" fmla="*/ 9437503 w 12192000"/>
              <a:gd name="connsiteY981" fmla="*/ 5428664 h 6858000"/>
              <a:gd name="connsiteX982" fmla="*/ 9469719 w 12192000"/>
              <a:gd name="connsiteY982" fmla="*/ 5399012 h 6858000"/>
              <a:gd name="connsiteX983" fmla="*/ 9501924 w 12192000"/>
              <a:gd name="connsiteY983" fmla="*/ 5428664 h 6858000"/>
              <a:gd name="connsiteX984" fmla="*/ 9469719 w 12192000"/>
              <a:gd name="connsiteY984" fmla="*/ 5458316 h 6858000"/>
              <a:gd name="connsiteX985" fmla="*/ 9548254 w 12192000"/>
              <a:gd name="connsiteY985" fmla="*/ 5458316 h 6858000"/>
              <a:gd name="connsiteX986" fmla="*/ 9516037 w 12192000"/>
              <a:gd name="connsiteY986" fmla="*/ 5428664 h 6858000"/>
              <a:gd name="connsiteX987" fmla="*/ 9548254 w 12192000"/>
              <a:gd name="connsiteY987" fmla="*/ 5399012 h 6858000"/>
              <a:gd name="connsiteX988" fmla="*/ 9580458 w 12192000"/>
              <a:gd name="connsiteY988" fmla="*/ 5428664 h 6858000"/>
              <a:gd name="connsiteX989" fmla="*/ 9548254 w 12192000"/>
              <a:gd name="connsiteY989" fmla="*/ 5458316 h 6858000"/>
              <a:gd name="connsiteX990" fmla="*/ 9626787 w 12192000"/>
              <a:gd name="connsiteY990" fmla="*/ 5458316 h 6858000"/>
              <a:gd name="connsiteX991" fmla="*/ 9594571 w 12192000"/>
              <a:gd name="connsiteY991" fmla="*/ 5428664 h 6858000"/>
              <a:gd name="connsiteX992" fmla="*/ 9626787 w 12192000"/>
              <a:gd name="connsiteY992" fmla="*/ 5399012 h 6858000"/>
              <a:gd name="connsiteX993" fmla="*/ 9658991 w 12192000"/>
              <a:gd name="connsiteY993" fmla="*/ 5428664 h 6858000"/>
              <a:gd name="connsiteX994" fmla="*/ 9626787 w 12192000"/>
              <a:gd name="connsiteY994" fmla="*/ 5458316 h 6858000"/>
              <a:gd name="connsiteX995" fmla="*/ 9705321 w 12192000"/>
              <a:gd name="connsiteY995" fmla="*/ 5458316 h 6858000"/>
              <a:gd name="connsiteX996" fmla="*/ 9673105 w 12192000"/>
              <a:gd name="connsiteY996" fmla="*/ 5428664 h 6858000"/>
              <a:gd name="connsiteX997" fmla="*/ 9705321 w 12192000"/>
              <a:gd name="connsiteY997" fmla="*/ 5399012 h 6858000"/>
              <a:gd name="connsiteX998" fmla="*/ 9737525 w 12192000"/>
              <a:gd name="connsiteY998" fmla="*/ 5428664 h 6858000"/>
              <a:gd name="connsiteX999" fmla="*/ 9705321 w 12192000"/>
              <a:gd name="connsiteY999" fmla="*/ 5458316 h 6858000"/>
              <a:gd name="connsiteX1000" fmla="*/ 9783854 w 12192000"/>
              <a:gd name="connsiteY1000" fmla="*/ 5458316 h 6858000"/>
              <a:gd name="connsiteX1001" fmla="*/ 9751638 w 12192000"/>
              <a:gd name="connsiteY1001" fmla="*/ 5428664 h 6858000"/>
              <a:gd name="connsiteX1002" fmla="*/ 9783854 w 12192000"/>
              <a:gd name="connsiteY1002" fmla="*/ 5399012 h 6858000"/>
              <a:gd name="connsiteX1003" fmla="*/ 9816059 w 12192000"/>
              <a:gd name="connsiteY1003" fmla="*/ 5428664 h 6858000"/>
              <a:gd name="connsiteX1004" fmla="*/ 9783854 w 12192000"/>
              <a:gd name="connsiteY1004" fmla="*/ 5458316 h 6858000"/>
              <a:gd name="connsiteX1005" fmla="*/ 9862389 w 12192000"/>
              <a:gd name="connsiteY1005" fmla="*/ 5458316 h 6858000"/>
              <a:gd name="connsiteX1006" fmla="*/ 9830172 w 12192000"/>
              <a:gd name="connsiteY1006" fmla="*/ 5428664 h 6858000"/>
              <a:gd name="connsiteX1007" fmla="*/ 9862389 w 12192000"/>
              <a:gd name="connsiteY1007" fmla="*/ 5399012 h 6858000"/>
              <a:gd name="connsiteX1008" fmla="*/ 9894593 w 12192000"/>
              <a:gd name="connsiteY1008" fmla="*/ 5428664 h 6858000"/>
              <a:gd name="connsiteX1009" fmla="*/ 9862389 w 12192000"/>
              <a:gd name="connsiteY1009" fmla="*/ 5458316 h 6858000"/>
              <a:gd name="connsiteX1010" fmla="*/ 9940923 w 12192000"/>
              <a:gd name="connsiteY1010" fmla="*/ 5458316 h 6858000"/>
              <a:gd name="connsiteX1011" fmla="*/ 9908707 w 12192000"/>
              <a:gd name="connsiteY1011" fmla="*/ 5428664 h 6858000"/>
              <a:gd name="connsiteX1012" fmla="*/ 9940923 w 12192000"/>
              <a:gd name="connsiteY1012" fmla="*/ 5399012 h 6858000"/>
              <a:gd name="connsiteX1013" fmla="*/ 9973127 w 12192000"/>
              <a:gd name="connsiteY1013" fmla="*/ 5428664 h 6858000"/>
              <a:gd name="connsiteX1014" fmla="*/ 9940923 w 12192000"/>
              <a:gd name="connsiteY1014" fmla="*/ 5458316 h 6858000"/>
              <a:gd name="connsiteX1015" fmla="*/ 10019456 w 12192000"/>
              <a:gd name="connsiteY1015" fmla="*/ 5458316 h 6858000"/>
              <a:gd name="connsiteX1016" fmla="*/ 9987240 w 12192000"/>
              <a:gd name="connsiteY1016" fmla="*/ 5428664 h 6858000"/>
              <a:gd name="connsiteX1017" fmla="*/ 10019456 w 12192000"/>
              <a:gd name="connsiteY1017" fmla="*/ 5399012 h 6858000"/>
              <a:gd name="connsiteX1018" fmla="*/ 10051660 w 12192000"/>
              <a:gd name="connsiteY1018" fmla="*/ 5428664 h 6858000"/>
              <a:gd name="connsiteX1019" fmla="*/ 10019456 w 12192000"/>
              <a:gd name="connsiteY1019" fmla="*/ 5458316 h 6858000"/>
              <a:gd name="connsiteX1020" fmla="*/ 10097990 w 12192000"/>
              <a:gd name="connsiteY1020" fmla="*/ 5458316 h 6858000"/>
              <a:gd name="connsiteX1021" fmla="*/ 10065774 w 12192000"/>
              <a:gd name="connsiteY1021" fmla="*/ 5428664 h 6858000"/>
              <a:gd name="connsiteX1022" fmla="*/ 10097990 w 12192000"/>
              <a:gd name="connsiteY1022" fmla="*/ 5399012 h 6858000"/>
              <a:gd name="connsiteX1023" fmla="*/ 10130195 w 12192000"/>
              <a:gd name="connsiteY1023" fmla="*/ 5428664 h 6858000"/>
              <a:gd name="connsiteX1024" fmla="*/ 10097990 w 12192000"/>
              <a:gd name="connsiteY1024" fmla="*/ 5458316 h 6858000"/>
              <a:gd name="connsiteX1025" fmla="*/ 10176524 w 12192000"/>
              <a:gd name="connsiteY1025" fmla="*/ 5458316 h 6858000"/>
              <a:gd name="connsiteX1026" fmla="*/ 10144307 w 12192000"/>
              <a:gd name="connsiteY1026" fmla="*/ 5428664 h 6858000"/>
              <a:gd name="connsiteX1027" fmla="*/ 10176524 w 12192000"/>
              <a:gd name="connsiteY1027" fmla="*/ 5399012 h 6858000"/>
              <a:gd name="connsiteX1028" fmla="*/ 10208728 w 12192000"/>
              <a:gd name="connsiteY1028" fmla="*/ 5428664 h 6858000"/>
              <a:gd name="connsiteX1029" fmla="*/ 10176524 w 12192000"/>
              <a:gd name="connsiteY1029" fmla="*/ 5458316 h 6858000"/>
              <a:gd name="connsiteX1030" fmla="*/ 10333592 w 12192000"/>
              <a:gd name="connsiteY1030" fmla="*/ 5458316 h 6858000"/>
              <a:gd name="connsiteX1031" fmla="*/ 10301376 w 12192000"/>
              <a:gd name="connsiteY1031" fmla="*/ 5428664 h 6858000"/>
              <a:gd name="connsiteX1032" fmla="*/ 10333592 w 12192000"/>
              <a:gd name="connsiteY1032" fmla="*/ 5399012 h 6858000"/>
              <a:gd name="connsiteX1033" fmla="*/ 10365796 w 12192000"/>
              <a:gd name="connsiteY1033" fmla="*/ 5428664 h 6858000"/>
              <a:gd name="connsiteX1034" fmla="*/ 10333592 w 12192000"/>
              <a:gd name="connsiteY1034" fmla="*/ 5458316 h 6858000"/>
              <a:gd name="connsiteX1035" fmla="*/ 2087512 w 12192000"/>
              <a:gd name="connsiteY1035" fmla="*/ 5386050 h 6858000"/>
              <a:gd name="connsiteX1036" fmla="*/ 2055302 w 12192000"/>
              <a:gd name="connsiteY1036" fmla="*/ 5356398 h 6858000"/>
              <a:gd name="connsiteX1037" fmla="*/ 2087512 w 12192000"/>
              <a:gd name="connsiteY1037" fmla="*/ 5326746 h 6858000"/>
              <a:gd name="connsiteX1038" fmla="*/ 2119722 w 12192000"/>
              <a:gd name="connsiteY1038" fmla="*/ 5356398 h 6858000"/>
              <a:gd name="connsiteX1039" fmla="*/ 2087512 w 12192000"/>
              <a:gd name="connsiteY1039" fmla="*/ 5386050 h 6858000"/>
              <a:gd name="connsiteX1040" fmla="*/ 2166045 w 12192000"/>
              <a:gd name="connsiteY1040" fmla="*/ 5386050 h 6858000"/>
              <a:gd name="connsiteX1041" fmla="*/ 2133835 w 12192000"/>
              <a:gd name="connsiteY1041" fmla="*/ 5356398 h 6858000"/>
              <a:gd name="connsiteX1042" fmla="*/ 2166045 w 12192000"/>
              <a:gd name="connsiteY1042" fmla="*/ 5326746 h 6858000"/>
              <a:gd name="connsiteX1043" fmla="*/ 2198255 w 12192000"/>
              <a:gd name="connsiteY1043" fmla="*/ 5356398 h 6858000"/>
              <a:gd name="connsiteX1044" fmla="*/ 2166045 w 12192000"/>
              <a:gd name="connsiteY1044" fmla="*/ 5386050 h 6858000"/>
              <a:gd name="connsiteX1045" fmla="*/ 2244579 w 12192000"/>
              <a:gd name="connsiteY1045" fmla="*/ 5386050 h 6858000"/>
              <a:gd name="connsiteX1046" fmla="*/ 2212369 w 12192000"/>
              <a:gd name="connsiteY1046" fmla="*/ 5356398 h 6858000"/>
              <a:gd name="connsiteX1047" fmla="*/ 2244579 w 12192000"/>
              <a:gd name="connsiteY1047" fmla="*/ 5326746 h 6858000"/>
              <a:gd name="connsiteX1048" fmla="*/ 2276790 w 12192000"/>
              <a:gd name="connsiteY1048" fmla="*/ 5356398 h 6858000"/>
              <a:gd name="connsiteX1049" fmla="*/ 2244579 w 12192000"/>
              <a:gd name="connsiteY1049" fmla="*/ 5386050 h 6858000"/>
              <a:gd name="connsiteX1050" fmla="*/ 2323114 w 12192000"/>
              <a:gd name="connsiteY1050" fmla="*/ 5386050 h 6858000"/>
              <a:gd name="connsiteX1051" fmla="*/ 2290903 w 12192000"/>
              <a:gd name="connsiteY1051" fmla="*/ 5356398 h 6858000"/>
              <a:gd name="connsiteX1052" fmla="*/ 2323114 w 12192000"/>
              <a:gd name="connsiteY1052" fmla="*/ 5326746 h 6858000"/>
              <a:gd name="connsiteX1053" fmla="*/ 2355324 w 12192000"/>
              <a:gd name="connsiteY1053" fmla="*/ 5356398 h 6858000"/>
              <a:gd name="connsiteX1054" fmla="*/ 2323114 w 12192000"/>
              <a:gd name="connsiteY1054" fmla="*/ 5386050 h 6858000"/>
              <a:gd name="connsiteX1055" fmla="*/ 2401647 w 12192000"/>
              <a:gd name="connsiteY1055" fmla="*/ 5386050 h 6858000"/>
              <a:gd name="connsiteX1056" fmla="*/ 2369437 w 12192000"/>
              <a:gd name="connsiteY1056" fmla="*/ 5356398 h 6858000"/>
              <a:gd name="connsiteX1057" fmla="*/ 2401647 w 12192000"/>
              <a:gd name="connsiteY1057" fmla="*/ 5326746 h 6858000"/>
              <a:gd name="connsiteX1058" fmla="*/ 2433857 w 12192000"/>
              <a:gd name="connsiteY1058" fmla="*/ 5356398 h 6858000"/>
              <a:gd name="connsiteX1059" fmla="*/ 2401647 w 12192000"/>
              <a:gd name="connsiteY1059" fmla="*/ 5386050 h 6858000"/>
              <a:gd name="connsiteX1060" fmla="*/ 2480181 w 12192000"/>
              <a:gd name="connsiteY1060" fmla="*/ 5386050 h 6858000"/>
              <a:gd name="connsiteX1061" fmla="*/ 2447971 w 12192000"/>
              <a:gd name="connsiteY1061" fmla="*/ 5356398 h 6858000"/>
              <a:gd name="connsiteX1062" fmla="*/ 2480181 w 12192000"/>
              <a:gd name="connsiteY1062" fmla="*/ 5326746 h 6858000"/>
              <a:gd name="connsiteX1063" fmla="*/ 2512391 w 12192000"/>
              <a:gd name="connsiteY1063" fmla="*/ 5356398 h 6858000"/>
              <a:gd name="connsiteX1064" fmla="*/ 2480181 w 12192000"/>
              <a:gd name="connsiteY1064" fmla="*/ 5386050 h 6858000"/>
              <a:gd name="connsiteX1065" fmla="*/ 2558715 w 12192000"/>
              <a:gd name="connsiteY1065" fmla="*/ 5386050 h 6858000"/>
              <a:gd name="connsiteX1066" fmla="*/ 2526505 w 12192000"/>
              <a:gd name="connsiteY1066" fmla="*/ 5356398 h 6858000"/>
              <a:gd name="connsiteX1067" fmla="*/ 2558715 w 12192000"/>
              <a:gd name="connsiteY1067" fmla="*/ 5326746 h 6858000"/>
              <a:gd name="connsiteX1068" fmla="*/ 2590926 w 12192000"/>
              <a:gd name="connsiteY1068" fmla="*/ 5356398 h 6858000"/>
              <a:gd name="connsiteX1069" fmla="*/ 2558715 w 12192000"/>
              <a:gd name="connsiteY1069" fmla="*/ 5386050 h 6858000"/>
              <a:gd name="connsiteX1070" fmla="*/ 2637243 w 12192000"/>
              <a:gd name="connsiteY1070" fmla="*/ 5386050 h 6858000"/>
              <a:gd name="connsiteX1071" fmla="*/ 2605032 w 12192000"/>
              <a:gd name="connsiteY1071" fmla="*/ 5356398 h 6858000"/>
              <a:gd name="connsiteX1072" fmla="*/ 2637243 w 12192000"/>
              <a:gd name="connsiteY1072" fmla="*/ 5326746 h 6858000"/>
              <a:gd name="connsiteX1073" fmla="*/ 2669453 w 12192000"/>
              <a:gd name="connsiteY1073" fmla="*/ 5356398 h 6858000"/>
              <a:gd name="connsiteX1074" fmla="*/ 2637243 w 12192000"/>
              <a:gd name="connsiteY1074" fmla="*/ 5386050 h 6858000"/>
              <a:gd name="connsiteX1075" fmla="*/ 3186979 w 12192000"/>
              <a:gd name="connsiteY1075" fmla="*/ 5386050 h 6858000"/>
              <a:gd name="connsiteX1076" fmla="*/ 3154769 w 12192000"/>
              <a:gd name="connsiteY1076" fmla="*/ 5356398 h 6858000"/>
              <a:gd name="connsiteX1077" fmla="*/ 3186979 w 12192000"/>
              <a:gd name="connsiteY1077" fmla="*/ 5326746 h 6858000"/>
              <a:gd name="connsiteX1078" fmla="*/ 3219190 w 12192000"/>
              <a:gd name="connsiteY1078" fmla="*/ 5356398 h 6858000"/>
              <a:gd name="connsiteX1079" fmla="*/ 3186979 w 12192000"/>
              <a:gd name="connsiteY1079" fmla="*/ 5386050 h 6858000"/>
              <a:gd name="connsiteX1080" fmla="*/ 3344048 w 12192000"/>
              <a:gd name="connsiteY1080" fmla="*/ 5386050 h 6858000"/>
              <a:gd name="connsiteX1081" fmla="*/ 3311837 w 12192000"/>
              <a:gd name="connsiteY1081" fmla="*/ 5356398 h 6858000"/>
              <a:gd name="connsiteX1082" fmla="*/ 3344048 w 12192000"/>
              <a:gd name="connsiteY1082" fmla="*/ 5326746 h 6858000"/>
              <a:gd name="connsiteX1083" fmla="*/ 3376258 w 12192000"/>
              <a:gd name="connsiteY1083" fmla="*/ 5356398 h 6858000"/>
              <a:gd name="connsiteX1084" fmla="*/ 3344048 w 12192000"/>
              <a:gd name="connsiteY1084" fmla="*/ 5386050 h 6858000"/>
              <a:gd name="connsiteX1085" fmla="*/ 3422581 w 12192000"/>
              <a:gd name="connsiteY1085" fmla="*/ 5386050 h 6858000"/>
              <a:gd name="connsiteX1086" fmla="*/ 3390371 w 12192000"/>
              <a:gd name="connsiteY1086" fmla="*/ 5356398 h 6858000"/>
              <a:gd name="connsiteX1087" fmla="*/ 3422581 w 12192000"/>
              <a:gd name="connsiteY1087" fmla="*/ 5326746 h 6858000"/>
              <a:gd name="connsiteX1088" fmla="*/ 3454791 w 12192000"/>
              <a:gd name="connsiteY1088" fmla="*/ 5356398 h 6858000"/>
              <a:gd name="connsiteX1089" fmla="*/ 3422581 w 12192000"/>
              <a:gd name="connsiteY1089" fmla="*/ 5386050 h 6858000"/>
              <a:gd name="connsiteX1090" fmla="*/ 3658183 w 12192000"/>
              <a:gd name="connsiteY1090" fmla="*/ 5386050 h 6858000"/>
              <a:gd name="connsiteX1091" fmla="*/ 3625972 w 12192000"/>
              <a:gd name="connsiteY1091" fmla="*/ 5356398 h 6858000"/>
              <a:gd name="connsiteX1092" fmla="*/ 3658183 w 12192000"/>
              <a:gd name="connsiteY1092" fmla="*/ 5326746 h 6858000"/>
              <a:gd name="connsiteX1093" fmla="*/ 3690393 w 12192000"/>
              <a:gd name="connsiteY1093" fmla="*/ 5356398 h 6858000"/>
              <a:gd name="connsiteX1094" fmla="*/ 3658183 w 12192000"/>
              <a:gd name="connsiteY1094" fmla="*/ 5386050 h 6858000"/>
              <a:gd name="connsiteX1095" fmla="*/ 3815250 w 12192000"/>
              <a:gd name="connsiteY1095" fmla="*/ 5386050 h 6858000"/>
              <a:gd name="connsiteX1096" fmla="*/ 3783040 w 12192000"/>
              <a:gd name="connsiteY1096" fmla="*/ 5356398 h 6858000"/>
              <a:gd name="connsiteX1097" fmla="*/ 3815250 w 12192000"/>
              <a:gd name="connsiteY1097" fmla="*/ 5326746 h 6858000"/>
              <a:gd name="connsiteX1098" fmla="*/ 3847461 w 12192000"/>
              <a:gd name="connsiteY1098" fmla="*/ 5356398 h 6858000"/>
              <a:gd name="connsiteX1099" fmla="*/ 3815250 w 12192000"/>
              <a:gd name="connsiteY1099" fmla="*/ 5386050 h 6858000"/>
              <a:gd name="connsiteX1100" fmla="*/ 3972319 w 12192000"/>
              <a:gd name="connsiteY1100" fmla="*/ 5386050 h 6858000"/>
              <a:gd name="connsiteX1101" fmla="*/ 3940108 w 12192000"/>
              <a:gd name="connsiteY1101" fmla="*/ 5356398 h 6858000"/>
              <a:gd name="connsiteX1102" fmla="*/ 3972319 w 12192000"/>
              <a:gd name="connsiteY1102" fmla="*/ 5326746 h 6858000"/>
              <a:gd name="connsiteX1103" fmla="*/ 4004529 w 12192000"/>
              <a:gd name="connsiteY1103" fmla="*/ 5356398 h 6858000"/>
              <a:gd name="connsiteX1104" fmla="*/ 3972319 w 12192000"/>
              <a:gd name="connsiteY1104" fmla="*/ 5386050 h 6858000"/>
              <a:gd name="connsiteX1105" fmla="*/ 4207926 w 12192000"/>
              <a:gd name="connsiteY1105" fmla="*/ 5386050 h 6858000"/>
              <a:gd name="connsiteX1106" fmla="*/ 4175715 w 12192000"/>
              <a:gd name="connsiteY1106" fmla="*/ 5356398 h 6858000"/>
              <a:gd name="connsiteX1107" fmla="*/ 4207926 w 12192000"/>
              <a:gd name="connsiteY1107" fmla="*/ 5326746 h 6858000"/>
              <a:gd name="connsiteX1108" fmla="*/ 4240136 w 12192000"/>
              <a:gd name="connsiteY1108" fmla="*/ 5356398 h 6858000"/>
              <a:gd name="connsiteX1109" fmla="*/ 4207926 w 12192000"/>
              <a:gd name="connsiteY1109" fmla="*/ 5386050 h 6858000"/>
              <a:gd name="connsiteX1110" fmla="*/ 4757663 w 12192000"/>
              <a:gd name="connsiteY1110" fmla="*/ 5386050 h 6858000"/>
              <a:gd name="connsiteX1111" fmla="*/ 4725453 w 12192000"/>
              <a:gd name="connsiteY1111" fmla="*/ 5356398 h 6858000"/>
              <a:gd name="connsiteX1112" fmla="*/ 4757663 w 12192000"/>
              <a:gd name="connsiteY1112" fmla="*/ 5326746 h 6858000"/>
              <a:gd name="connsiteX1113" fmla="*/ 4789874 w 12192000"/>
              <a:gd name="connsiteY1113" fmla="*/ 5356398 h 6858000"/>
              <a:gd name="connsiteX1114" fmla="*/ 4757663 w 12192000"/>
              <a:gd name="connsiteY1114" fmla="*/ 5386050 h 6858000"/>
              <a:gd name="connsiteX1115" fmla="*/ 4836197 w 12192000"/>
              <a:gd name="connsiteY1115" fmla="*/ 5386050 h 6858000"/>
              <a:gd name="connsiteX1116" fmla="*/ 4803986 w 12192000"/>
              <a:gd name="connsiteY1116" fmla="*/ 5356398 h 6858000"/>
              <a:gd name="connsiteX1117" fmla="*/ 4836197 w 12192000"/>
              <a:gd name="connsiteY1117" fmla="*/ 5326746 h 6858000"/>
              <a:gd name="connsiteX1118" fmla="*/ 4868407 w 12192000"/>
              <a:gd name="connsiteY1118" fmla="*/ 5356398 h 6858000"/>
              <a:gd name="connsiteX1119" fmla="*/ 4836197 w 12192000"/>
              <a:gd name="connsiteY1119" fmla="*/ 5386050 h 6858000"/>
              <a:gd name="connsiteX1120" fmla="*/ 4914731 w 12192000"/>
              <a:gd name="connsiteY1120" fmla="*/ 5386050 h 6858000"/>
              <a:gd name="connsiteX1121" fmla="*/ 4882521 w 12192000"/>
              <a:gd name="connsiteY1121" fmla="*/ 5356398 h 6858000"/>
              <a:gd name="connsiteX1122" fmla="*/ 4914731 w 12192000"/>
              <a:gd name="connsiteY1122" fmla="*/ 5326746 h 6858000"/>
              <a:gd name="connsiteX1123" fmla="*/ 4946941 w 12192000"/>
              <a:gd name="connsiteY1123" fmla="*/ 5356398 h 6858000"/>
              <a:gd name="connsiteX1124" fmla="*/ 4914731 w 12192000"/>
              <a:gd name="connsiteY1124" fmla="*/ 5386050 h 6858000"/>
              <a:gd name="connsiteX1125" fmla="*/ 4993265 w 12192000"/>
              <a:gd name="connsiteY1125" fmla="*/ 5386050 h 6858000"/>
              <a:gd name="connsiteX1126" fmla="*/ 4961055 w 12192000"/>
              <a:gd name="connsiteY1126" fmla="*/ 5356398 h 6858000"/>
              <a:gd name="connsiteX1127" fmla="*/ 4993265 w 12192000"/>
              <a:gd name="connsiteY1127" fmla="*/ 5326746 h 6858000"/>
              <a:gd name="connsiteX1128" fmla="*/ 5025475 w 12192000"/>
              <a:gd name="connsiteY1128" fmla="*/ 5356398 h 6858000"/>
              <a:gd name="connsiteX1129" fmla="*/ 4993265 w 12192000"/>
              <a:gd name="connsiteY1129" fmla="*/ 5386050 h 6858000"/>
              <a:gd name="connsiteX1130" fmla="*/ 5071798 w 12192000"/>
              <a:gd name="connsiteY1130" fmla="*/ 5386050 h 6858000"/>
              <a:gd name="connsiteX1131" fmla="*/ 5039588 w 12192000"/>
              <a:gd name="connsiteY1131" fmla="*/ 5356398 h 6858000"/>
              <a:gd name="connsiteX1132" fmla="*/ 5071798 w 12192000"/>
              <a:gd name="connsiteY1132" fmla="*/ 5326746 h 6858000"/>
              <a:gd name="connsiteX1133" fmla="*/ 5104009 w 12192000"/>
              <a:gd name="connsiteY1133" fmla="*/ 5356398 h 6858000"/>
              <a:gd name="connsiteX1134" fmla="*/ 5071798 w 12192000"/>
              <a:gd name="connsiteY1134" fmla="*/ 5386050 h 6858000"/>
              <a:gd name="connsiteX1135" fmla="*/ 5150333 w 12192000"/>
              <a:gd name="connsiteY1135" fmla="*/ 5386050 h 6858000"/>
              <a:gd name="connsiteX1136" fmla="*/ 5118122 w 12192000"/>
              <a:gd name="connsiteY1136" fmla="*/ 5356398 h 6858000"/>
              <a:gd name="connsiteX1137" fmla="*/ 5150333 w 12192000"/>
              <a:gd name="connsiteY1137" fmla="*/ 5326746 h 6858000"/>
              <a:gd name="connsiteX1138" fmla="*/ 5182543 w 12192000"/>
              <a:gd name="connsiteY1138" fmla="*/ 5356398 h 6858000"/>
              <a:gd name="connsiteX1139" fmla="*/ 5150333 w 12192000"/>
              <a:gd name="connsiteY1139" fmla="*/ 5386050 h 6858000"/>
              <a:gd name="connsiteX1140" fmla="*/ 5228867 w 12192000"/>
              <a:gd name="connsiteY1140" fmla="*/ 5386050 h 6858000"/>
              <a:gd name="connsiteX1141" fmla="*/ 5196657 w 12192000"/>
              <a:gd name="connsiteY1141" fmla="*/ 5356398 h 6858000"/>
              <a:gd name="connsiteX1142" fmla="*/ 5228867 w 12192000"/>
              <a:gd name="connsiteY1142" fmla="*/ 5326746 h 6858000"/>
              <a:gd name="connsiteX1143" fmla="*/ 5261077 w 12192000"/>
              <a:gd name="connsiteY1143" fmla="*/ 5356398 h 6858000"/>
              <a:gd name="connsiteX1144" fmla="*/ 5228867 w 12192000"/>
              <a:gd name="connsiteY1144" fmla="*/ 5386050 h 6858000"/>
              <a:gd name="connsiteX1145" fmla="*/ 5307400 w 12192000"/>
              <a:gd name="connsiteY1145" fmla="*/ 5386050 h 6858000"/>
              <a:gd name="connsiteX1146" fmla="*/ 5275190 w 12192000"/>
              <a:gd name="connsiteY1146" fmla="*/ 5356398 h 6858000"/>
              <a:gd name="connsiteX1147" fmla="*/ 5307400 w 12192000"/>
              <a:gd name="connsiteY1147" fmla="*/ 5326746 h 6858000"/>
              <a:gd name="connsiteX1148" fmla="*/ 5339610 w 12192000"/>
              <a:gd name="connsiteY1148" fmla="*/ 5356398 h 6858000"/>
              <a:gd name="connsiteX1149" fmla="*/ 5307400 w 12192000"/>
              <a:gd name="connsiteY1149" fmla="*/ 5386050 h 6858000"/>
              <a:gd name="connsiteX1150" fmla="*/ 5385934 w 12192000"/>
              <a:gd name="connsiteY1150" fmla="*/ 5386050 h 6858000"/>
              <a:gd name="connsiteX1151" fmla="*/ 5353724 w 12192000"/>
              <a:gd name="connsiteY1151" fmla="*/ 5356398 h 6858000"/>
              <a:gd name="connsiteX1152" fmla="*/ 5385934 w 12192000"/>
              <a:gd name="connsiteY1152" fmla="*/ 5326746 h 6858000"/>
              <a:gd name="connsiteX1153" fmla="*/ 5418145 w 12192000"/>
              <a:gd name="connsiteY1153" fmla="*/ 5356398 h 6858000"/>
              <a:gd name="connsiteX1154" fmla="*/ 5385934 w 12192000"/>
              <a:gd name="connsiteY1154" fmla="*/ 5386050 h 6858000"/>
              <a:gd name="connsiteX1155" fmla="*/ 5464468 w 12192000"/>
              <a:gd name="connsiteY1155" fmla="*/ 5386050 h 6858000"/>
              <a:gd name="connsiteX1156" fmla="*/ 5432257 w 12192000"/>
              <a:gd name="connsiteY1156" fmla="*/ 5356398 h 6858000"/>
              <a:gd name="connsiteX1157" fmla="*/ 5464468 w 12192000"/>
              <a:gd name="connsiteY1157" fmla="*/ 5326746 h 6858000"/>
              <a:gd name="connsiteX1158" fmla="*/ 5496678 w 12192000"/>
              <a:gd name="connsiteY1158" fmla="*/ 5356398 h 6858000"/>
              <a:gd name="connsiteX1159" fmla="*/ 5464468 w 12192000"/>
              <a:gd name="connsiteY1159" fmla="*/ 5386050 h 6858000"/>
              <a:gd name="connsiteX1160" fmla="*/ 6249806 w 12192000"/>
              <a:gd name="connsiteY1160" fmla="*/ 5386050 h 6858000"/>
              <a:gd name="connsiteX1161" fmla="*/ 6217590 w 12192000"/>
              <a:gd name="connsiteY1161" fmla="*/ 5356398 h 6858000"/>
              <a:gd name="connsiteX1162" fmla="*/ 6249806 w 12192000"/>
              <a:gd name="connsiteY1162" fmla="*/ 5326746 h 6858000"/>
              <a:gd name="connsiteX1163" fmla="*/ 6282010 w 12192000"/>
              <a:gd name="connsiteY1163" fmla="*/ 5356398 h 6858000"/>
              <a:gd name="connsiteX1164" fmla="*/ 6249806 w 12192000"/>
              <a:gd name="connsiteY1164" fmla="*/ 5386050 h 6858000"/>
              <a:gd name="connsiteX1165" fmla="*/ 7192237 w 12192000"/>
              <a:gd name="connsiteY1165" fmla="*/ 5386050 h 6858000"/>
              <a:gd name="connsiteX1166" fmla="*/ 7160021 w 12192000"/>
              <a:gd name="connsiteY1166" fmla="*/ 5356398 h 6858000"/>
              <a:gd name="connsiteX1167" fmla="*/ 7192237 w 12192000"/>
              <a:gd name="connsiteY1167" fmla="*/ 5326746 h 6858000"/>
              <a:gd name="connsiteX1168" fmla="*/ 7224441 w 12192000"/>
              <a:gd name="connsiteY1168" fmla="*/ 5356398 h 6858000"/>
              <a:gd name="connsiteX1169" fmla="*/ 7192237 w 12192000"/>
              <a:gd name="connsiteY1169" fmla="*/ 5386050 h 6858000"/>
              <a:gd name="connsiteX1170" fmla="*/ 7820508 w 12192000"/>
              <a:gd name="connsiteY1170" fmla="*/ 5386050 h 6858000"/>
              <a:gd name="connsiteX1171" fmla="*/ 7788292 w 12192000"/>
              <a:gd name="connsiteY1171" fmla="*/ 5356398 h 6858000"/>
              <a:gd name="connsiteX1172" fmla="*/ 7820508 w 12192000"/>
              <a:gd name="connsiteY1172" fmla="*/ 5326746 h 6858000"/>
              <a:gd name="connsiteX1173" fmla="*/ 7852712 w 12192000"/>
              <a:gd name="connsiteY1173" fmla="*/ 5356398 h 6858000"/>
              <a:gd name="connsiteX1174" fmla="*/ 7820508 w 12192000"/>
              <a:gd name="connsiteY1174" fmla="*/ 5386050 h 6858000"/>
              <a:gd name="connsiteX1175" fmla="*/ 7899042 w 12192000"/>
              <a:gd name="connsiteY1175" fmla="*/ 5386050 h 6858000"/>
              <a:gd name="connsiteX1176" fmla="*/ 7866826 w 12192000"/>
              <a:gd name="connsiteY1176" fmla="*/ 5356398 h 6858000"/>
              <a:gd name="connsiteX1177" fmla="*/ 7899042 w 12192000"/>
              <a:gd name="connsiteY1177" fmla="*/ 5326746 h 6858000"/>
              <a:gd name="connsiteX1178" fmla="*/ 7931247 w 12192000"/>
              <a:gd name="connsiteY1178" fmla="*/ 5356398 h 6858000"/>
              <a:gd name="connsiteX1179" fmla="*/ 7899042 w 12192000"/>
              <a:gd name="connsiteY1179" fmla="*/ 5386050 h 6858000"/>
              <a:gd name="connsiteX1180" fmla="*/ 7977576 w 12192000"/>
              <a:gd name="connsiteY1180" fmla="*/ 5386050 h 6858000"/>
              <a:gd name="connsiteX1181" fmla="*/ 7945359 w 12192000"/>
              <a:gd name="connsiteY1181" fmla="*/ 5356398 h 6858000"/>
              <a:gd name="connsiteX1182" fmla="*/ 7977576 w 12192000"/>
              <a:gd name="connsiteY1182" fmla="*/ 5326746 h 6858000"/>
              <a:gd name="connsiteX1183" fmla="*/ 8009780 w 12192000"/>
              <a:gd name="connsiteY1183" fmla="*/ 5356398 h 6858000"/>
              <a:gd name="connsiteX1184" fmla="*/ 7977576 w 12192000"/>
              <a:gd name="connsiteY1184" fmla="*/ 5386050 h 6858000"/>
              <a:gd name="connsiteX1185" fmla="*/ 8056110 w 12192000"/>
              <a:gd name="connsiteY1185" fmla="*/ 5386050 h 6858000"/>
              <a:gd name="connsiteX1186" fmla="*/ 8023894 w 12192000"/>
              <a:gd name="connsiteY1186" fmla="*/ 5356398 h 6858000"/>
              <a:gd name="connsiteX1187" fmla="*/ 8056110 w 12192000"/>
              <a:gd name="connsiteY1187" fmla="*/ 5326746 h 6858000"/>
              <a:gd name="connsiteX1188" fmla="*/ 8088314 w 12192000"/>
              <a:gd name="connsiteY1188" fmla="*/ 5356398 h 6858000"/>
              <a:gd name="connsiteX1189" fmla="*/ 8056110 w 12192000"/>
              <a:gd name="connsiteY1189" fmla="*/ 5386050 h 6858000"/>
              <a:gd name="connsiteX1190" fmla="*/ 8134643 w 12192000"/>
              <a:gd name="connsiteY1190" fmla="*/ 5386050 h 6858000"/>
              <a:gd name="connsiteX1191" fmla="*/ 8102427 w 12192000"/>
              <a:gd name="connsiteY1191" fmla="*/ 5356398 h 6858000"/>
              <a:gd name="connsiteX1192" fmla="*/ 8134643 w 12192000"/>
              <a:gd name="connsiteY1192" fmla="*/ 5326746 h 6858000"/>
              <a:gd name="connsiteX1193" fmla="*/ 8166847 w 12192000"/>
              <a:gd name="connsiteY1193" fmla="*/ 5356398 h 6858000"/>
              <a:gd name="connsiteX1194" fmla="*/ 8134643 w 12192000"/>
              <a:gd name="connsiteY1194" fmla="*/ 5386050 h 6858000"/>
              <a:gd name="connsiteX1195" fmla="*/ 8291712 w 12192000"/>
              <a:gd name="connsiteY1195" fmla="*/ 5386050 h 6858000"/>
              <a:gd name="connsiteX1196" fmla="*/ 8259495 w 12192000"/>
              <a:gd name="connsiteY1196" fmla="*/ 5356398 h 6858000"/>
              <a:gd name="connsiteX1197" fmla="*/ 8291712 w 12192000"/>
              <a:gd name="connsiteY1197" fmla="*/ 5326746 h 6858000"/>
              <a:gd name="connsiteX1198" fmla="*/ 8323916 w 12192000"/>
              <a:gd name="connsiteY1198" fmla="*/ 5356398 h 6858000"/>
              <a:gd name="connsiteX1199" fmla="*/ 8291712 w 12192000"/>
              <a:gd name="connsiteY1199" fmla="*/ 5386050 h 6858000"/>
              <a:gd name="connsiteX1200" fmla="*/ 8370245 w 12192000"/>
              <a:gd name="connsiteY1200" fmla="*/ 5386050 h 6858000"/>
              <a:gd name="connsiteX1201" fmla="*/ 8338029 w 12192000"/>
              <a:gd name="connsiteY1201" fmla="*/ 5356398 h 6858000"/>
              <a:gd name="connsiteX1202" fmla="*/ 8370245 w 12192000"/>
              <a:gd name="connsiteY1202" fmla="*/ 5326746 h 6858000"/>
              <a:gd name="connsiteX1203" fmla="*/ 8402449 w 12192000"/>
              <a:gd name="connsiteY1203" fmla="*/ 5356398 h 6858000"/>
              <a:gd name="connsiteX1204" fmla="*/ 8370245 w 12192000"/>
              <a:gd name="connsiteY1204" fmla="*/ 5386050 h 6858000"/>
              <a:gd name="connsiteX1205" fmla="*/ 8448779 w 12192000"/>
              <a:gd name="connsiteY1205" fmla="*/ 5386050 h 6858000"/>
              <a:gd name="connsiteX1206" fmla="*/ 8416563 w 12192000"/>
              <a:gd name="connsiteY1206" fmla="*/ 5356398 h 6858000"/>
              <a:gd name="connsiteX1207" fmla="*/ 8448779 w 12192000"/>
              <a:gd name="connsiteY1207" fmla="*/ 5326746 h 6858000"/>
              <a:gd name="connsiteX1208" fmla="*/ 8480983 w 12192000"/>
              <a:gd name="connsiteY1208" fmla="*/ 5356398 h 6858000"/>
              <a:gd name="connsiteX1209" fmla="*/ 8448779 w 12192000"/>
              <a:gd name="connsiteY1209" fmla="*/ 5386050 h 6858000"/>
              <a:gd name="connsiteX1210" fmla="*/ 8527313 w 12192000"/>
              <a:gd name="connsiteY1210" fmla="*/ 5386050 h 6858000"/>
              <a:gd name="connsiteX1211" fmla="*/ 8495097 w 12192000"/>
              <a:gd name="connsiteY1211" fmla="*/ 5356398 h 6858000"/>
              <a:gd name="connsiteX1212" fmla="*/ 8527313 w 12192000"/>
              <a:gd name="connsiteY1212" fmla="*/ 5326746 h 6858000"/>
              <a:gd name="connsiteX1213" fmla="*/ 8559518 w 12192000"/>
              <a:gd name="connsiteY1213" fmla="*/ 5356398 h 6858000"/>
              <a:gd name="connsiteX1214" fmla="*/ 8527313 w 12192000"/>
              <a:gd name="connsiteY1214" fmla="*/ 5386050 h 6858000"/>
              <a:gd name="connsiteX1215" fmla="*/ 8605847 w 12192000"/>
              <a:gd name="connsiteY1215" fmla="*/ 5386050 h 6858000"/>
              <a:gd name="connsiteX1216" fmla="*/ 8573630 w 12192000"/>
              <a:gd name="connsiteY1216" fmla="*/ 5356398 h 6858000"/>
              <a:gd name="connsiteX1217" fmla="*/ 8605847 w 12192000"/>
              <a:gd name="connsiteY1217" fmla="*/ 5326746 h 6858000"/>
              <a:gd name="connsiteX1218" fmla="*/ 8638051 w 12192000"/>
              <a:gd name="connsiteY1218" fmla="*/ 5356398 h 6858000"/>
              <a:gd name="connsiteX1219" fmla="*/ 8605847 w 12192000"/>
              <a:gd name="connsiteY1219" fmla="*/ 5386050 h 6858000"/>
              <a:gd name="connsiteX1220" fmla="*/ 8684381 w 12192000"/>
              <a:gd name="connsiteY1220" fmla="*/ 5386050 h 6858000"/>
              <a:gd name="connsiteX1221" fmla="*/ 8652165 w 12192000"/>
              <a:gd name="connsiteY1221" fmla="*/ 5356398 h 6858000"/>
              <a:gd name="connsiteX1222" fmla="*/ 8684381 w 12192000"/>
              <a:gd name="connsiteY1222" fmla="*/ 5326746 h 6858000"/>
              <a:gd name="connsiteX1223" fmla="*/ 8716585 w 12192000"/>
              <a:gd name="connsiteY1223" fmla="*/ 5356398 h 6858000"/>
              <a:gd name="connsiteX1224" fmla="*/ 8684381 w 12192000"/>
              <a:gd name="connsiteY1224" fmla="*/ 5386050 h 6858000"/>
              <a:gd name="connsiteX1225" fmla="*/ 8762914 w 12192000"/>
              <a:gd name="connsiteY1225" fmla="*/ 5386050 h 6858000"/>
              <a:gd name="connsiteX1226" fmla="*/ 8730698 w 12192000"/>
              <a:gd name="connsiteY1226" fmla="*/ 5356398 h 6858000"/>
              <a:gd name="connsiteX1227" fmla="*/ 8762914 w 12192000"/>
              <a:gd name="connsiteY1227" fmla="*/ 5326746 h 6858000"/>
              <a:gd name="connsiteX1228" fmla="*/ 8795118 w 12192000"/>
              <a:gd name="connsiteY1228" fmla="*/ 5356398 h 6858000"/>
              <a:gd name="connsiteX1229" fmla="*/ 8762914 w 12192000"/>
              <a:gd name="connsiteY1229" fmla="*/ 5386050 h 6858000"/>
              <a:gd name="connsiteX1230" fmla="*/ 8919983 w 12192000"/>
              <a:gd name="connsiteY1230" fmla="*/ 5386050 h 6858000"/>
              <a:gd name="connsiteX1231" fmla="*/ 8887766 w 12192000"/>
              <a:gd name="connsiteY1231" fmla="*/ 5356398 h 6858000"/>
              <a:gd name="connsiteX1232" fmla="*/ 8919983 w 12192000"/>
              <a:gd name="connsiteY1232" fmla="*/ 5326746 h 6858000"/>
              <a:gd name="connsiteX1233" fmla="*/ 8952187 w 12192000"/>
              <a:gd name="connsiteY1233" fmla="*/ 5356398 h 6858000"/>
              <a:gd name="connsiteX1234" fmla="*/ 8919983 w 12192000"/>
              <a:gd name="connsiteY1234" fmla="*/ 5386050 h 6858000"/>
              <a:gd name="connsiteX1235" fmla="*/ 8998516 w 12192000"/>
              <a:gd name="connsiteY1235" fmla="*/ 5386050 h 6858000"/>
              <a:gd name="connsiteX1236" fmla="*/ 8966300 w 12192000"/>
              <a:gd name="connsiteY1236" fmla="*/ 5356398 h 6858000"/>
              <a:gd name="connsiteX1237" fmla="*/ 8998516 w 12192000"/>
              <a:gd name="connsiteY1237" fmla="*/ 5326746 h 6858000"/>
              <a:gd name="connsiteX1238" fmla="*/ 9030720 w 12192000"/>
              <a:gd name="connsiteY1238" fmla="*/ 5356398 h 6858000"/>
              <a:gd name="connsiteX1239" fmla="*/ 8998516 w 12192000"/>
              <a:gd name="connsiteY1239" fmla="*/ 5386050 h 6858000"/>
              <a:gd name="connsiteX1240" fmla="*/ 9077050 w 12192000"/>
              <a:gd name="connsiteY1240" fmla="*/ 5386050 h 6858000"/>
              <a:gd name="connsiteX1241" fmla="*/ 9044834 w 12192000"/>
              <a:gd name="connsiteY1241" fmla="*/ 5356398 h 6858000"/>
              <a:gd name="connsiteX1242" fmla="*/ 9077050 w 12192000"/>
              <a:gd name="connsiteY1242" fmla="*/ 5326746 h 6858000"/>
              <a:gd name="connsiteX1243" fmla="*/ 9109254 w 12192000"/>
              <a:gd name="connsiteY1243" fmla="*/ 5356398 h 6858000"/>
              <a:gd name="connsiteX1244" fmla="*/ 9077050 w 12192000"/>
              <a:gd name="connsiteY1244" fmla="*/ 5386050 h 6858000"/>
              <a:gd name="connsiteX1245" fmla="*/ 9155583 w 12192000"/>
              <a:gd name="connsiteY1245" fmla="*/ 5386050 h 6858000"/>
              <a:gd name="connsiteX1246" fmla="*/ 9123367 w 12192000"/>
              <a:gd name="connsiteY1246" fmla="*/ 5356398 h 6858000"/>
              <a:gd name="connsiteX1247" fmla="*/ 9155583 w 12192000"/>
              <a:gd name="connsiteY1247" fmla="*/ 5326746 h 6858000"/>
              <a:gd name="connsiteX1248" fmla="*/ 9187788 w 12192000"/>
              <a:gd name="connsiteY1248" fmla="*/ 5356398 h 6858000"/>
              <a:gd name="connsiteX1249" fmla="*/ 9155583 w 12192000"/>
              <a:gd name="connsiteY1249" fmla="*/ 5386050 h 6858000"/>
              <a:gd name="connsiteX1250" fmla="*/ 9234118 w 12192000"/>
              <a:gd name="connsiteY1250" fmla="*/ 5386050 h 6858000"/>
              <a:gd name="connsiteX1251" fmla="*/ 9201901 w 12192000"/>
              <a:gd name="connsiteY1251" fmla="*/ 5356398 h 6858000"/>
              <a:gd name="connsiteX1252" fmla="*/ 9234118 w 12192000"/>
              <a:gd name="connsiteY1252" fmla="*/ 5326746 h 6858000"/>
              <a:gd name="connsiteX1253" fmla="*/ 9266322 w 12192000"/>
              <a:gd name="connsiteY1253" fmla="*/ 5356398 h 6858000"/>
              <a:gd name="connsiteX1254" fmla="*/ 9234118 w 12192000"/>
              <a:gd name="connsiteY1254" fmla="*/ 5386050 h 6858000"/>
              <a:gd name="connsiteX1255" fmla="*/ 9312652 w 12192000"/>
              <a:gd name="connsiteY1255" fmla="*/ 5386050 h 6858000"/>
              <a:gd name="connsiteX1256" fmla="*/ 9280436 w 12192000"/>
              <a:gd name="connsiteY1256" fmla="*/ 5356398 h 6858000"/>
              <a:gd name="connsiteX1257" fmla="*/ 9312652 w 12192000"/>
              <a:gd name="connsiteY1257" fmla="*/ 5326746 h 6858000"/>
              <a:gd name="connsiteX1258" fmla="*/ 9344856 w 12192000"/>
              <a:gd name="connsiteY1258" fmla="*/ 5356398 h 6858000"/>
              <a:gd name="connsiteX1259" fmla="*/ 9312652 w 12192000"/>
              <a:gd name="connsiteY1259" fmla="*/ 5386050 h 6858000"/>
              <a:gd name="connsiteX1260" fmla="*/ 9391185 w 12192000"/>
              <a:gd name="connsiteY1260" fmla="*/ 5386050 h 6858000"/>
              <a:gd name="connsiteX1261" fmla="*/ 9358969 w 12192000"/>
              <a:gd name="connsiteY1261" fmla="*/ 5356398 h 6858000"/>
              <a:gd name="connsiteX1262" fmla="*/ 9391185 w 12192000"/>
              <a:gd name="connsiteY1262" fmla="*/ 5326746 h 6858000"/>
              <a:gd name="connsiteX1263" fmla="*/ 9423389 w 12192000"/>
              <a:gd name="connsiteY1263" fmla="*/ 5356398 h 6858000"/>
              <a:gd name="connsiteX1264" fmla="*/ 9391185 w 12192000"/>
              <a:gd name="connsiteY1264" fmla="*/ 5386050 h 6858000"/>
              <a:gd name="connsiteX1265" fmla="*/ 9469719 w 12192000"/>
              <a:gd name="connsiteY1265" fmla="*/ 5386050 h 6858000"/>
              <a:gd name="connsiteX1266" fmla="*/ 9437503 w 12192000"/>
              <a:gd name="connsiteY1266" fmla="*/ 5356398 h 6858000"/>
              <a:gd name="connsiteX1267" fmla="*/ 9469719 w 12192000"/>
              <a:gd name="connsiteY1267" fmla="*/ 5326746 h 6858000"/>
              <a:gd name="connsiteX1268" fmla="*/ 9501924 w 12192000"/>
              <a:gd name="connsiteY1268" fmla="*/ 5356398 h 6858000"/>
              <a:gd name="connsiteX1269" fmla="*/ 9469719 w 12192000"/>
              <a:gd name="connsiteY1269" fmla="*/ 5386050 h 6858000"/>
              <a:gd name="connsiteX1270" fmla="*/ 9548254 w 12192000"/>
              <a:gd name="connsiteY1270" fmla="*/ 5386050 h 6858000"/>
              <a:gd name="connsiteX1271" fmla="*/ 9516037 w 12192000"/>
              <a:gd name="connsiteY1271" fmla="*/ 5356398 h 6858000"/>
              <a:gd name="connsiteX1272" fmla="*/ 9548254 w 12192000"/>
              <a:gd name="connsiteY1272" fmla="*/ 5326746 h 6858000"/>
              <a:gd name="connsiteX1273" fmla="*/ 9580458 w 12192000"/>
              <a:gd name="connsiteY1273" fmla="*/ 5356398 h 6858000"/>
              <a:gd name="connsiteX1274" fmla="*/ 9548254 w 12192000"/>
              <a:gd name="connsiteY1274" fmla="*/ 5386050 h 6858000"/>
              <a:gd name="connsiteX1275" fmla="*/ 9626787 w 12192000"/>
              <a:gd name="connsiteY1275" fmla="*/ 5386050 h 6858000"/>
              <a:gd name="connsiteX1276" fmla="*/ 9594571 w 12192000"/>
              <a:gd name="connsiteY1276" fmla="*/ 5356398 h 6858000"/>
              <a:gd name="connsiteX1277" fmla="*/ 9626787 w 12192000"/>
              <a:gd name="connsiteY1277" fmla="*/ 5326746 h 6858000"/>
              <a:gd name="connsiteX1278" fmla="*/ 9658991 w 12192000"/>
              <a:gd name="connsiteY1278" fmla="*/ 5356398 h 6858000"/>
              <a:gd name="connsiteX1279" fmla="*/ 9626787 w 12192000"/>
              <a:gd name="connsiteY1279" fmla="*/ 5386050 h 6858000"/>
              <a:gd name="connsiteX1280" fmla="*/ 9705321 w 12192000"/>
              <a:gd name="connsiteY1280" fmla="*/ 5386050 h 6858000"/>
              <a:gd name="connsiteX1281" fmla="*/ 9673105 w 12192000"/>
              <a:gd name="connsiteY1281" fmla="*/ 5356398 h 6858000"/>
              <a:gd name="connsiteX1282" fmla="*/ 9705321 w 12192000"/>
              <a:gd name="connsiteY1282" fmla="*/ 5326746 h 6858000"/>
              <a:gd name="connsiteX1283" fmla="*/ 9737525 w 12192000"/>
              <a:gd name="connsiteY1283" fmla="*/ 5356398 h 6858000"/>
              <a:gd name="connsiteX1284" fmla="*/ 9705321 w 12192000"/>
              <a:gd name="connsiteY1284" fmla="*/ 5386050 h 6858000"/>
              <a:gd name="connsiteX1285" fmla="*/ 9783854 w 12192000"/>
              <a:gd name="connsiteY1285" fmla="*/ 5386050 h 6858000"/>
              <a:gd name="connsiteX1286" fmla="*/ 9751638 w 12192000"/>
              <a:gd name="connsiteY1286" fmla="*/ 5356398 h 6858000"/>
              <a:gd name="connsiteX1287" fmla="*/ 9783854 w 12192000"/>
              <a:gd name="connsiteY1287" fmla="*/ 5326746 h 6858000"/>
              <a:gd name="connsiteX1288" fmla="*/ 9816059 w 12192000"/>
              <a:gd name="connsiteY1288" fmla="*/ 5356398 h 6858000"/>
              <a:gd name="connsiteX1289" fmla="*/ 9783854 w 12192000"/>
              <a:gd name="connsiteY1289" fmla="*/ 5386050 h 6858000"/>
              <a:gd name="connsiteX1290" fmla="*/ 9862389 w 12192000"/>
              <a:gd name="connsiteY1290" fmla="*/ 5386050 h 6858000"/>
              <a:gd name="connsiteX1291" fmla="*/ 9830172 w 12192000"/>
              <a:gd name="connsiteY1291" fmla="*/ 5356398 h 6858000"/>
              <a:gd name="connsiteX1292" fmla="*/ 9862389 w 12192000"/>
              <a:gd name="connsiteY1292" fmla="*/ 5326746 h 6858000"/>
              <a:gd name="connsiteX1293" fmla="*/ 9894593 w 12192000"/>
              <a:gd name="connsiteY1293" fmla="*/ 5356398 h 6858000"/>
              <a:gd name="connsiteX1294" fmla="*/ 9862389 w 12192000"/>
              <a:gd name="connsiteY1294" fmla="*/ 5386050 h 6858000"/>
              <a:gd name="connsiteX1295" fmla="*/ 9940923 w 12192000"/>
              <a:gd name="connsiteY1295" fmla="*/ 5386050 h 6858000"/>
              <a:gd name="connsiteX1296" fmla="*/ 9908707 w 12192000"/>
              <a:gd name="connsiteY1296" fmla="*/ 5356398 h 6858000"/>
              <a:gd name="connsiteX1297" fmla="*/ 9940923 w 12192000"/>
              <a:gd name="connsiteY1297" fmla="*/ 5326746 h 6858000"/>
              <a:gd name="connsiteX1298" fmla="*/ 9973127 w 12192000"/>
              <a:gd name="connsiteY1298" fmla="*/ 5356398 h 6858000"/>
              <a:gd name="connsiteX1299" fmla="*/ 9940923 w 12192000"/>
              <a:gd name="connsiteY1299" fmla="*/ 5386050 h 6858000"/>
              <a:gd name="connsiteX1300" fmla="*/ 10019456 w 12192000"/>
              <a:gd name="connsiteY1300" fmla="*/ 5386050 h 6858000"/>
              <a:gd name="connsiteX1301" fmla="*/ 9987240 w 12192000"/>
              <a:gd name="connsiteY1301" fmla="*/ 5356398 h 6858000"/>
              <a:gd name="connsiteX1302" fmla="*/ 10019456 w 12192000"/>
              <a:gd name="connsiteY1302" fmla="*/ 5326746 h 6858000"/>
              <a:gd name="connsiteX1303" fmla="*/ 10051660 w 12192000"/>
              <a:gd name="connsiteY1303" fmla="*/ 5356398 h 6858000"/>
              <a:gd name="connsiteX1304" fmla="*/ 10019456 w 12192000"/>
              <a:gd name="connsiteY1304" fmla="*/ 5386050 h 6858000"/>
              <a:gd name="connsiteX1305" fmla="*/ 10097990 w 12192000"/>
              <a:gd name="connsiteY1305" fmla="*/ 5386050 h 6858000"/>
              <a:gd name="connsiteX1306" fmla="*/ 10065774 w 12192000"/>
              <a:gd name="connsiteY1306" fmla="*/ 5356398 h 6858000"/>
              <a:gd name="connsiteX1307" fmla="*/ 10097990 w 12192000"/>
              <a:gd name="connsiteY1307" fmla="*/ 5326746 h 6858000"/>
              <a:gd name="connsiteX1308" fmla="*/ 10130195 w 12192000"/>
              <a:gd name="connsiteY1308" fmla="*/ 5356398 h 6858000"/>
              <a:gd name="connsiteX1309" fmla="*/ 10097990 w 12192000"/>
              <a:gd name="connsiteY1309" fmla="*/ 5386050 h 6858000"/>
              <a:gd name="connsiteX1310" fmla="*/ 10176524 w 12192000"/>
              <a:gd name="connsiteY1310" fmla="*/ 5386050 h 6858000"/>
              <a:gd name="connsiteX1311" fmla="*/ 10144307 w 12192000"/>
              <a:gd name="connsiteY1311" fmla="*/ 5356398 h 6858000"/>
              <a:gd name="connsiteX1312" fmla="*/ 10176524 w 12192000"/>
              <a:gd name="connsiteY1312" fmla="*/ 5326746 h 6858000"/>
              <a:gd name="connsiteX1313" fmla="*/ 10208728 w 12192000"/>
              <a:gd name="connsiteY1313" fmla="*/ 5356398 h 6858000"/>
              <a:gd name="connsiteX1314" fmla="*/ 10176524 w 12192000"/>
              <a:gd name="connsiteY1314" fmla="*/ 5386050 h 6858000"/>
              <a:gd name="connsiteX1315" fmla="*/ 10255058 w 12192000"/>
              <a:gd name="connsiteY1315" fmla="*/ 5386050 h 6858000"/>
              <a:gd name="connsiteX1316" fmla="*/ 10222842 w 12192000"/>
              <a:gd name="connsiteY1316" fmla="*/ 5356398 h 6858000"/>
              <a:gd name="connsiteX1317" fmla="*/ 10255058 w 12192000"/>
              <a:gd name="connsiteY1317" fmla="*/ 5326746 h 6858000"/>
              <a:gd name="connsiteX1318" fmla="*/ 10287262 w 12192000"/>
              <a:gd name="connsiteY1318" fmla="*/ 5356398 h 6858000"/>
              <a:gd name="connsiteX1319" fmla="*/ 10255058 w 12192000"/>
              <a:gd name="connsiteY1319" fmla="*/ 5386050 h 6858000"/>
              <a:gd name="connsiteX1320" fmla="*/ 1930444 w 12192000"/>
              <a:gd name="connsiteY1320" fmla="*/ 5313785 h 6858000"/>
              <a:gd name="connsiteX1321" fmla="*/ 1898234 w 12192000"/>
              <a:gd name="connsiteY1321" fmla="*/ 5284132 h 6858000"/>
              <a:gd name="connsiteX1322" fmla="*/ 1930444 w 12192000"/>
              <a:gd name="connsiteY1322" fmla="*/ 5254480 h 6858000"/>
              <a:gd name="connsiteX1323" fmla="*/ 1962655 w 12192000"/>
              <a:gd name="connsiteY1323" fmla="*/ 5284132 h 6858000"/>
              <a:gd name="connsiteX1324" fmla="*/ 1930444 w 12192000"/>
              <a:gd name="connsiteY1324" fmla="*/ 5313785 h 6858000"/>
              <a:gd name="connsiteX1325" fmla="*/ 2166045 w 12192000"/>
              <a:gd name="connsiteY1325" fmla="*/ 5313785 h 6858000"/>
              <a:gd name="connsiteX1326" fmla="*/ 2133835 w 12192000"/>
              <a:gd name="connsiteY1326" fmla="*/ 5284132 h 6858000"/>
              <a:gd name="connsiteX1327" fmla="*/ 2166045 w 12192000"/>
              <a:gd name="connsiteY1327" fmla="*/ 5254480 h 6858000"/>
              <a:gd name="connsiteX1328" fmla="*/ 2198255 w 12192000"/>
              <a:gd name="connsiteY1328" fmla="*/ 5284132 h 6858000"/>
              <a:gd name="connsiteX1329" fmla="*/ 2166045 w 12192000"/>
              <a:gd name="connsiteY1329" fmla="*/ 5313785 h 6858000"/>
              <a:gd name="connsiteX1330" fmla="*/ 2244579 w 12192000"/>
              <a:gd name="connsiteY1330" fmla="*/ 5313785 h 6858000"/>
              <a:gd name="connsiteX1331" fmla="*/ 2212369 w 12192000"/>
              <a:gd name="connsiteY1331" fmla="*/ 5284132 h 6858000"/>
              <a:gd name="connsiteX1332" fmla="*/ 2244579 w 12192000"/>
              <a:gd name="connsiteY1332" fmla="*/ 5254480 h 6858000"/>
              <a:gd name="connsiteX1333" fmla="*/ 2276790 w 12192000"/>
              <a:gd name="connsiteY1333" fmla="*/ 5284132 h 6858000"/>
              <a:gd name="connsiteX1334" fmla="*/ 2244579 w 12192000"/>
              <a:gd name="connsiteY1334" fmla="*/ 5313785 h 6858000"/>
              <a:gd name="connsiteX1335" fmla="*/ 2323114 w 12192000"/>
              <a:gd name="connsiteY1335" fmla="*/ 5313785 h 6858000"/>
              <a:gd name="connsiteX1336" fmla="*/ 2290903 w 12192000"/>
              <a:gd name="connsiteY1336" fmla="*/ 5284132 h 6858000"/>
              <a:gd name="connsiteX1337" fmla="*/ 2323114 w 12192000"/>
              <a:gd name="connsiteY1337" fmla="*/ 5254480 h 6858000"/>
              <a:gd name="connsiteX1338" fmla="*/ 2355324 w 12192000"/>
              <a:gd name="connsiteY1338" fmla="*/ 5284132 h 6858000"/>
              <a:gd name="connsiteX1339" fmla="*/ 2323114 w 12192000"/>
              <a:gd name="connsiteY1339" fmla="*/ 5313785 h 6858000"/>
              <a:gd name="connsiteX1340" fmla="*/ 2401647 w 12192000"/>
              <a:gd name="connsiteY1340" fmla="*/ 5313785 h 6858000"/>
              <a:gd name="connsiteX1341" fmla="*/ 2369437 w 12192000"/>
              <a:gd name="connsiteY1341" fmla="*/ 5284132 h 6858000"/>
              <a:gd name="connsiteX1342" fmla="*/ 2401647 w 12192000"/>
              <a:gd name="connsiteY1342" fmla="*/ 5254480 h 6858000"/>
              <a:gd name="connsiteX1343" fmla="*/ 2433857 w 12192000"/>
              <a:gd name="connsiteY1343" fmla="*/ 5284132 h 6858000"/>
              <a:gd name="connsiteX1344" fmla="*/ 2401647 w 12192000"/>
              <a:gd name="connsiteY1344" fmla="*/ 5313785 h 6858000"/>
              <a:gd name="connsiteX1345" fmla="*/ 2480181 w 12192000"/>
              <a:gd name="connsiteY1345" fmla="*/ 5313785 h 6858000"/>
              <a:gd name="connsiteX1346" fmla="*/ 2447971 w 12192000"/>
              <a:gd name="connsiteY1346" fmla="*/ 5284132 h 6858000"/>
              <a:gd name="connsiteX1347" fmla="*/ 2480181 w 12192000"/>
              <a:gd name="connsiteY1347" fmla="*/ 5254480 h 6858000"/>
              <a:gd name="connsiteX1348" fmla="*/ 2512391 w 12192000"/>
              <a:gd name="connsiteY1348" fmla="*/ 5284132 h 6858000"/>
              <a:gd name="connsiteX1349" fmla="*/ 2480181 w 12192000"/>
              <a:gd name="connsiteY1349" fmla="*/ 5313785 h 6858000"/>
              <a:gd name="connsiteX1350" fmla="*/ 2558715 w 12192000"/>
              <a:gd name="connsiteY1350" fmla="*/ 5313785 h 6858000"/>
              <a:gd name="connsiteX1351" fmla="*/ 2526505 w 12192000"/>
              <a:gd name="connsiteY1351" fmla="*/ 5284132 h 6858000"/>
              <a:gd name="connsiteX1352" fmla="*/ 2558715 w 12192000"/>
              <a:gd name="connsiteY1352" fmla="*/ 5254480 h 6858000"/>
              <a:gd name="connsiteX1353" fmla="*/ 2590926 w 12192000"/>
              <a:gd name="connsiteY1353" fmla="*/ 5284132 h 6858000"/>
              <a:gd name="connsiteX1354" fmla="*/ 2558715 w 12192000"/>
              <a:gd name="connsiteY1354" fmla="*/ 5313785 h 6858000"/>
              <a:gd name="connsiteX1355" fmla="*/ 2637243 w 12192000"/>
              <a:gd name="connsiteY1355" fmla="*/ 5313785 h 6858000"/>
              <a:gd name="connsiteX1356" fmla="*/ 2605032 w 12192000"/>
              <a:gd name="connsiteY1356" fmla="*/ 5284132 h 6858000"/>
              <a:gd name="connsiteX1357" fmla="*/ 2637243 w 12192000"/>
              <a:gd name="connsiteY1357" fmla="*/ 5254480 h 6858000"/>
              <a:gd name="connsiteX1358" fmla="*/ 2669453 w 12192000"/>
              <a:gd name="connsiteY1358" fmla="*/ 5284132 h 6858000"/>
              <a:gd name="connsiteX1359" fmla="*/ 2637243 w 12192000"/>
              <a:gd name="connsiteY1359" fmla="*/ 5313785 h 6858000"/>
              <a:gd name="connsiteX1360" fmla="*/ 2715777 w 12192000"/>
              <a:gd name="connsiteY1360" fmla="*/ 5313785 h 6858000"/>
              <a:gd name="connsiteX1361" fmla="*/ 2683566 w 12192000"/>
              <a:gd name="connsiteY1361" fmla="*/ 5284132 h 6858000"/>
              <a:gd name="connsiteX1362" fmla="*/ 2715777 w 12192000"/>
              <a:gd name="connsiteY1362" fmla="*/ 5254480 h 6858000"/>
              <a:gd name="connsiteX1363" fmla="*/ 2747987 w 12192000"/>
              <a:gd name="connsiteY1363" fmla="*/ 5284132 h 6858000"/>
              <a:gd name="connsiteX1364" fmla="*/ 2715777 w 12192000"/>
              <a:gd name="connsiteY1364" fmla="*/ 5313785 h 6858000"/>
              <a:gd name="connsiteX1365" fmla="*/ 2951379 w 12192000"/>
              <a:gd name="connsiteY1365" fmla="*/ 5313785 h 6858000"/>
              <a:gd name="connsiteX1366" fmla="*/ 2919168 w 12192000"/>
              <a:gd name="connsiteY1366" fmla="*/ 5284132 h 6858000"/>
              <a:gd name="connsiteX1367" fmla="*/ 2951379 w 12192000"/>
              <a:gd name="connsiteY1367" fmla="*/ 5254480 h 6858000"/>
              <a:gd name="connsiteX1368" fmla="*/ 2983589 w 12192000"/>
              <a:gd name="connsiteY1368" fmla="*/ 5284132 h 6858000"/>
              <a:gd name="connsiteX1369" fmla="*/ 2951379 w 12192000"/>
              <a:gd name="connsiteY1369" fmla="*/ 5313785 h 6858000"/>
              <a:gd name="connsiteX1370" fmla="*/ 3029912 w 12192000"/>
              <a:gd name="connsiteY1370" fmla="*/ 5313785 h 6858000"/>
              <a:gd name="connsiteX1371" fmla="*/ 2997701 w 12192000"/>
              <a:gd name="connsiteY1371" fmla="*/ 5284132 h 6858000"/>
              <a:gd name="connsiteX1372" fmla="*/ 3029912 w 12192000"/>
              <a:gd name="connsiteY1372" fmla="*/ 5254480 h 6858000"/>
              <a:gd name="connsiteX1373" fmla="*/ 3062122 w 12192000"/>
              <a:gd name="connsiteY1373" fmla="*/ 5284132 h 6858000"/>
              <a:gd name="connsiteX1374" fmla="*/ 3029912 w 12192000"/>
              <a:gd name="connsiteY1374" fmla="*/ 5313785 h 6858000"/>
              <a:gd name="connsiteX1375" fmla="*/ 3344048 w 12192000"/>
              <a:gd name="connsiteY1375" fmla="*/ 5313785 h 6858000"/>
              <a:gd name="connsiteX1376" fmla="*/ 3311837 w 12192000"/>
              <a:gd name="connsiteY1376" fmla="*/ 5284132 h 6858000"/>
              <a:gd name="connsiteX1377" fmla="*/ 3344048 w 12192000"/>
              <a:gd name="connsiteY1377" fmla="*/ 5254480 h 6858000"/>
              <a:gd name="connsiteX1378" fmla="*/ 3376258 w 12192000"/>
              <a:gd name="connsiteY1378" fmla="*/ 5284132 h 6858000"/>
              <a:gd name="connsiteX1379" fmla="*/ 3344048 w 12192000"/>
              <a:gd name="connsiteY1379" fmla="*/ 5313785 h 6858000"/>
              <a:gd name="connsiteX1380" fmla="*/ 3422581 w 12192000"/>
              <a:gd name="connsiteY1380" fmla="*/ 5313785 h 6858000"/>
              <a:gd name="connsiteX1381" fmla="*/ 3390371 w 12192000"/>
              <a:gd name="connsiteY1381" fmla="*/ 5284132 h 6858000"/>
              <a:gd name="connsiteX1382" fmla="*/ 3422581 w 12192000"/>
              <a:gd name="connsiteY1382" fmla="*/ 5254480 h 6858000"/>
              <a:gd name="connsiteX1383" fmla="*/ 3454791 w 12192000"/>
              <a:gd name="connsiteY1383" fmla="*/ 5284132 h 6858000"/>
              <a:gd name="connsiteX1384" fmla="*/ 3422581 w 12192000"/>
              <a:gd name="connsiteY1384" fmla="*/ 5313785 h 6858000"/>
              <a:gd name="connsiteX1385" fmla="*/ 3501115 w 12192000"/>
              <a:gd name="connsiteY1385" fmla="*/ 5313785 h 6858000"/>
              <a:gd name="connsiteX1386" fmla="*/ 3468905 w 12192000"/>
              <a:gd name="connsiteY1386" fmla="*/ 5284132 h 6858000"/>
              <a:gd name="connsiteX1387" fmla="*/ 3501115 w 12192000"/>
              <a:gd name="connsiteY1387" fmla="*/ 5254480 h 6858000"/>
              <a:gd name="connsiteX1388" fmla="*/ 3533326 w 12192000"/>
              <a:gd name="connsiteY1388" fmla="*/ 5284132 h 6858000"/>
              <a:gd name="connsiteX1389" fmla="*/ 3501115 w 12192000"/>
              <a:gd name="connsiteY1389" fmla="*/ 5313785 h 6858000"/>
              <a:gd name="connsiteX1390" fmla="*/ 3579650 w 12192000"/>
              <a:gd name="connsiteY1390" fmla="*/ 5313785 h 6858000"/>
              <a:gd name="connsiteX1391" fmla="*/ 3547439 w 12192000"/>
              <a:gd name="connsiteY1391" fmla="*/ 5284132 h 6858000"/>
              <a:gd name="connsiteX1392" fmla="*/ 3579650 w 12192000"/>
              <a:gd name="connsiteY1392" fmla="*/ 5254480 h 6858000"/>
              <a:gd name="connsiteX1393" fmla="*/ 3611860 w 12192000"/>
              <a:gd name="connsiteY1393" fmla="*/ 5284132 h 6858000"/>
              <a:gd name="connsiteX1394" fmla="*/ 3579650 w 12192000"/>
              <a:gd name="connsiteY1394" fmla="*/ 5313785 h 6858000"/>
              <a:gd name="connsiteX1395" fmla="*/ 3736717 w 12192000"/>
              <a:gd name="connsiteY1395" fmla="*/ 5313785 h 6858000"/>
              <a:gd name="connsiteX1396" fmla="*/ 3704507 w 12192000"/>
              <a:gd name="connsiteY1396" fmla="*/ 5284132 h 6858000"/>
              <a:gd name="connsiteX1397" fmla="*/ 3736717 w 12192000"/>
              <a:gd name="connsiteY1397" fmla="*/ 5254480 h 6858000"/>
              <a:gd name="connsiteX1398" fmla="*/ 3768927 w 12192000"/>
              <a:gd name="connsiteY1398" fmla="*/ 5284132 h 6858000"/>
              <a:gd name="connsiteX1399" fmla="*/ 3736717 w 12192000"/>
              <a:gd name="connsiteY1399" fmla="*/ 5313785 h 6858000"/>
              <a:gd name="connsiteX1400" fmla="*/ 3893785 w 12192000"/>
              <a:gd name="connsiteY1400" fmla="*/ 5313785 h 6858000"/>
              <a:gd name="connsiteX1401" fmla="*/ 3861574 w 12192000"/>
              <a:gd name="connsiteY1401" fmla="*/ 5284132 h 6858000"/>
              <a:gd name="connsiteX1402" fmla="*/ 3893785 w 12192000"/>
              <a:gd name="connsiteY1402" fmla="*/ 5254480 h 6858000"/>
              <a:gd name="connsiteX1403" fmla="*/ 3925995 w 12192000"/>
              <a:gd name="connsiteY1403" fmla="*/ 5284132 h 6858000"/>
              <a:gd name="connsiteX1404" fmla="*/ 3893785 w 12192000"/>
              <a:gd name="connsiteY1404" fmla="*/ 5313785 h 6858000"/>
              <a:gd name="connsiteX1405" fmla="*/ 4050852 w 12192000"/>
              <a:gd name="connsiteY1405" fmla="*/ 5313785 h 6858000"/>
              <a:gd name="connsiteX1406" fmla="*/ 4018642 w 12192000"/>
              <a:gd name="connsiteY1406" fmla="*/ 5284132 h 6858000"/>
              <a:gd name="connsiteX1407" fmla="*/ 4050852 w 12192000"/>
              <a:gd name="connsiteY1407" fmla="*/ 5254480 h 6858000"/>
              <a:gd name="connsiteX1408" fmla="*/ 4083062 w 12192000"/>
              <a:gd name="connsiteY1408" fmla="*/ 5284132 h 6858000"/>
              <a:gd name="connsiteX1409" fmla="*/ 4050852 w 12192000"/>
              <a:gd name="connsiteY1409" fmla="*/ 5313785 h 6858000"/>
              <a:gd name="connsiteX1410" fmla="*/ 4757663 w 12192000"/>
              <a:gd name="connsiteY1410" fmla="*/ 5313785 h 6858000"/>
              <a:gd name="connsiteX1411" fmla="*/ 4725453 w 12192000"/>
              <a:gd name="connsiteY1411" fmla="*/ 5284132 h 6858000"/>
              <a:gd name="connsiteX1412" fmla="*/ 4757663 w 12192000"/>
              <a:gd name="connsiteY1412" fmla="*/ 5254480 h 6858000"/>
              <a:gd name="connsiteX1413" fmla="*/ 4789874 w 12192000"/>
              <a:gd name="connsiteY1413" fmla="*/ 5284132 h 6858000"/>
              <a:gd name="connsiteX1414" fmla="*/ 4757663 w 12192000"/>
              <a:gd name="connsiteY1414" fmla="*/ 5313785 h 6858000"/>
              <a:gd name="connsiteX1415" fmla="*/ 4836197 w 12192000"/>
              <a:gd name="connsiteY1415" fmla="*/ 5313785 h 6858000"/>
              <a:gd name="connsiteX1416" fmla="*/ 4803986 w 12192000"/>
              <a:gd name="connsiteY1416" fmla="*/ 5284132 h 6858000"/>
              <a:gd name="connsiteX1417" fmla="*/ 4836197 w 12192000"/>
              <a:gd name="connsiteY1417" fmla="*/ 5254480 h 6858000"/>
              <a:gd name="connsiteX1418" fmla="*/ 4868407 w 12192000"/>
              <a:gd name="connsiteY1418" fmla="*/ 5284132 h 6858000"/>
              <a:gd name="connsiteX1419" fmla="*/ 4836197 w 12192000"/>
              <a:gd name="connsiteY1419" fmla="*/ 5313785 h 6858000"/>
              <a:gd name="connsiteX1420" fmla="*/ 4914731 w 12192000"/>
              <a:gd name="connsiteY1420" fmla="*/ 5313785 h 6858000"/>
              <a:gd name="connsiteX1421" fmla="*/ 4882521 w 12192000"/>
              <a:gd name="connsiteY1421" fmla="*/ 5284132 h 6858000"/>
              <a:gd name="connsiteX1422" fmla="*/ 4914731 w 12192000"/>
              <a:gd name="connsiteY1422" fmla="*/ 5254480 h 6858000"/>
              <a:gd name="connsiteX1423" fmla="*/ 4946941 w 12192000"/>
              <a:gd name="connsiteY1423" fmla="*/ 5284132 h 6858000"/>
              <a:gd name="connsiteX1424" fmla="*/ 4914731 w 12192000"/>
              <a:gd name="connsiteY1424" fmla="*/ 5313785 h 6858000"/>
              <a:gd name="connsiteX1425" fmla="*/ 4993265 w 12192000"/>
              <a:gd name="connsiteY1425" fmla="*/ 5313785 h 6858000"/>
              <a:gd name="connsiteX1426" fmla="*/ 4961055 w 12192000"/>
              <a:gd name="connsiteY1426" fmla="*/ 5284132 h 6858000"/>
              <a:gd name="connsiteX1427" fmla="*/ 4993265 w 12192000"/>
              <a:gd name="connsiteY1427" fmla="*/ 5254480 h 6858000"/>
              <a:gd name="connsiteX1428" fmla="*/ 5025475 w 12192000"/>
              <a:gd name="connsiteY1428" fmla="*/ 5284132 h 6858000"/>
              <a:gd name="connsiteX1429" fmla="*/ 4993265 w 12192000"/>
              <a:gd name="connsiteY1429" fmla="*/ 5313785 h 6858000"/>
              <a:gd name="connsiteX1430" fmla="*/ 5071798 w 12192000"/>
              <a:gd name="connsiteY1430" fmla="*/ 5313785 h 6858000"/>
              <a:gd name="connsiteX1431" fmla="*/ 5039588 w 12192000"/>
              <a:gd name="connsiteY1431" fmla="*/ 5284132 h 6858000"/>
              <a:gd name="connsiteX1432" fmla="*/ 5071798 w 12192000"/>
              <a:gd name="connsiteY1432" fmla="*/ 5254480 h 6858000"/>
              <a:gd name="connsiteX1433" fmla="*/ 5104009 w 12192000"/>
              <a:gd name="connsiteY1433" fmla="*/ 5284132 h 6858000"/>
              <a:gd name="connsiteX1434" fmla="*/ 5071798 w 12192000"/>
              <a:gd name="connsiteY1434" fmla="*/ 5313785 h 6858000"/>
              <a:gd name="connsiteX1435" fmla="*/ 5150333 w 12192000"/>
              <a:gd name="connsiteY1435" fmla="*/ 5313785 h 6858000"/>
              <a:gd name="connsiteX1436" fmla="*/ 5118122 w 12192000"/>
              <a:gd name="connsiteY1436" fmla="*/ 5284132 h 6858000"/>
              <a:gd name="connsiteX1437" fmla="*/ 5150333 w 12192000"/>
              <a:gd name="connsiteY1437" fmla="*/ 5254480 h 6858000"/>
              <a:gd name="connsiteX1438" fmla="*/ 5182543 w 12192000"/>
              <a:gd name="connsiteY1438" fmla="*/ 5284132 h 6858000"/>
              <a:gd name="connsiteX1439" fmla="*/ 5150333 w 12192000"/>
              <a:gd name="connsiteY1439" fmla="*/ 5313785 h 6858000"/>
              <a:gd name="connsiteX1440" fmla="*/ 5228867 w 12192000"/>
              <a:gd name="connsiteY1440" fmla="*/ 5313785 h 6858000"/>
              <a:gd name="connsiteX1441" fmla="*/ 5196657 w 12192000"/>
              <a:gd name="connsiteY1441" fmla="*/ 5284132 h 6858000"/>
              <a:gd name="connsiteX1442" fmla="*/ 5228867 w 12192000"/>
              <a:gd name="connsiteY1442" fmla="*/ 5254480 h 6858000"/>
              <a:gd name="connsiteX1443" fmla="*/ 5261077 w 12192000"/>
              <a:gd name="connsiteY1443" fmla="*/ 5284132 h 6858000"/>
              <a:gd name="connsiteX1444" fmla="*/ 5228867 w 12192000"/>
              <a:gd name="connsiteY1444" fmla="*/ 5313785 h 6858000"/>
              <a:gd name="connsiteX1445" fmla="*/ 5307400 w 12192000"/>
              <a:gd name="connsiteY1445" fmla="*/ 5313785 h 6858000"/>
              <a:gd name="connsiteX1446" fmla="*/ 5275190 w 12192000"/>
              <a:gd name="connsiteY1446" fmla="*/ 5284132 h 6858000"/>
              <a:gd name="connsiteX1447" fmla="*/ 5307400 w 12192000"/>
              <a:gd name="connsiteY1447" fmla="*/ 5254480 h 6858000"/>
              <a:gd name="connsiteX1448" fmla="*/ 5339610 w 12192000"/>
              <a:gd name="connsiteY1448" fmla="*/ 5284132 h 6858000"/>
              <a:gd name="connsiteX1449" fmla="*/ 5307400 w 12192000"/>
              <a:gd name="connsiteY1449" fmla="*/ 5313785 h 6858000"/>
              <a:gd name="connsiteX1450" fmla="*/ 5385934 w 12192000"/>
              <a:gd name="connsiteY1450" fmla="*/ 5313785 h 6858000"/>
              <a:gd name="connsiteX1451" fmla="*/ 5353724 w 12192000"/>
              <a:gd name="connsiteY1451" fmla="*/ 5284132 h 6858000"/>
              <a:gd name="connsiteX1452" fmla="*/ 5385934 w 12192000"/>
              <a:gd name="connsiteY1452" fmla="*/ 5254480 h 6858000"/>
              <a:gd name="connsiteX1453" fmla="*/ 5418145 w 12192000"/>
              <a:gd name="connsiteY1453" fmla="*/ 5284132 h 6858000"/>
              <a:gd name="connsiteX1454" fmla="*/ 5385934 w 12192000"/>
              <a:gd name="connsiteY1454" fmla="*/ 5313785 h 6858000"/>
              <a:gd name="connsiteX1455" fmla="*/ 7113703 w 12192000"/>
              <a:gd name="connsiteY1455" fmla="*/ 5313785 h 6858000"/>
              <a:gd name="connsiteX1456" fmla="*/ 7081487 w 12192000"/>
              <a:gd name="connsiteY1456" fmla="*/ 5284132 h 6858000"/>
              <a:gd name="connsiteX1457" fmla="*/ 7113703 w 12192000"/>
              <a:gd name="connsiteY1457" fmla="*/ 5254480 h 6858000"/>
              <a:gd name="connsiteX1458" fmla="*/ 7145907 w 12192000"/>
              <a:gd name="connsiteY1458" fmla="*/ 5284132 h 6858000"/>
              <a:gd name="connsiteX1459" fmla="*/ 7113703 w 12192000"/>
              <a:gd name="connsiteY1459" fmla="*/ 5313785 h 6858000"/>
              <a:gd name="connsiteX1460" fmla="*/ 7663441 w 12192000"/>
              <a:gd name="connsiteY1460" fmla="*/ 5313785 h 6858000"/>
              <a:gd name="connsiteX1461" fmla="*/ 7631224 w 12192000"/>
              <a:gd name="connsiteY1461" fmla="*/ 5284132 h 6858000"/>
              <a:gd name="connsiteX1462" fmla="*/ 7663441 w 12192000"/>
              <a:gd name="connsiteY1462" fmla="*/ 5254480 h 6858000"/>
              <a:gd name="connsiteX1463" fmla="*/ 7695645 w 12192000"/>
              <a:gd name="connsiteY1463" fmla="*/ 5284132 h 6858000"/>
              <a:gd name="connsiteX1464" fmla="*/ 7663441 w 12192000"/>
              <a:gd name="connsiteY1464" fmla="*/ 5313785 h 6858000"/>
              <a:gd name="connsiteX1465" fmla="*/ 7820508 w 12192000"/>
              <a:gd name="connsiteY1465" fmla="*/ 5313785 h 6858000"/>
              <a:gd name="connsiteX1466" fmla="*/ 7788292 w 12192000"/>
              <a:gd name="connsiteY1466" fmla="*/ 5284132 h 6858000"/>
              <a:gd name="connsiteX1467" fmla="*/ 7820508 w 12192000"/>
              <a:gd name="connsiteY1467" fmla="*/ 5254480 h 6858000"/>
              <a:gd name="connsiteX1468" fmla="*/ 7852712 w 12192000"/>
              <a:gd name="connsiteY1468" fmla="*/ 5284132 h 6858000"/>
              <a:gd name="connsiteX1469" fmla="*/ 7820508 w 12192000"/>
              <a:gd name="connsiteY1469" fmla="*/ 5313785 h 6858000"/>
              <a:gd name="connsiteX1470" fmla="*/ 7899042 w 12192000"/>
              <a:gd name="connsiteY1470" fmla="*/ 5313785 h 6858000"/>
              <a:gd name="connsiteX1471" fmla="*/ 7866826 w 12192000"/>
              <a:gd name="connsiteY1471" fmla="*/ 5284132 h 6858000"/>
              <a:gd name="connsiteX1472" fmla="*/ 7899042 w 12192000"/>
              <a:gd name="connsiteY1472" fmla="*/ 5254480 h 6858000"/>
              <a:gd name="connsiteX1473" fmla="*/ 7931247 w 12192000"/>
              <a:gd name="connsiteY1473" fmla="*/ 5284132 h 6858000"/>
              <a:gd name="connsiteX1474" fmla="*/ 7899042 w 12192000"/>
              <a:gd name="connsiteY1474" fmla="*/ 5313785 h 6858000"/>
              <a:gd name="connsiteX1475" fmla="*/ 7977576 w 12192000"/>
              <a:gd name="connsiteY1475" fmla="*/ 5313785 h 6858000"/>
              <a:gd name="connsiteX1476" fmla="*/ 7945359 w 12192000"/>
              <a:gd name="connsiteY1476" fmla="*/ 5284132 h 6858000"/>
              <a:gd name="connsiteX1477" fmla="*/ 7977576 w 12192000"/>
              <a:gd name="connsiteY1477" fmla="*/ 5254480 h 6858000"/>
              <a:gd name="connsiteX1478" fmla="*/ 8009780 w 12192000"/>
              <a:gd name="connsiteY1478" fmla="*/ 5284132 h 6858000"/>
              <a:gd name="connsiteX1479" fmla="*/ 7977576 w 12192000"/>
              <a:gd name="connsiteY1479" fmla="*/ 5313785 h 6858000"/>
              <a:gd name="connsiteX1480" fmla="*/ 8056110 w 12192000"/>
              <a:gd name="connsiteY1480" fmla="*/ 5313785 h 6858000"/>
              <a:gd name="connsiteX1481" fmla="*/ 8023894 w 12192000"/>
              <a:gd name="connsiteY1481" fmla="*/ 5284132 h 6858000"/>
              <a:gd name="connsiteX1482" fmla="*/ 8056110 w 12192000"/>
              <a:gd name="connsiteY1482" fmla="*/ 5254480 h 6858000"/>
              <a:gd name="connsiteX1483" fmla="*/ 8088314 w 12192000"/>
              <a:gd name="connsiteY1483" fmla="*/ 5284132 h 6858000"/>
              <a:gd name="connsiteX1484" fmla="*/ 8056110 w 12192000"/>
              <a:gd name="connsiteY1484" fmla="*/ 5313785 h 6858000"/>
              <a:gd name="connsiteX1485" fmla="*/ 8134643 w 12192000"/>
              <a:gd name="connsiteY1485" fmla="*/ 5313785 h 6858000"/>
              <a:gd name="connsiteX1486" fmla="*/ 8102427 w 12192000"/>
              <a:gd name="connsiteY1486" fmla="*/ 5284132 h 6858000"/>
              <a:gd name="connsiteX1487" fmla="*/ 8134643 w 12192000"/>
              <a:gd name="connsiteY1487" fmla="*/ 5254480 h 6858000"/>
              <a:gd name="connsiteX1488" fmla="*/ 8166847 w 12192000"/>
              <a:gd name="connsiteY1488" fmla="*/ 5284132 h 6858000"/>
              <a:gd name="connsiteX1489" fmla="*/ 8134643 w 12192000"/>
              <a:gd name="connsiteY1489" fmla="*/ 5313785 h 6858000"/>
              <a:gd name="connsiteX1490" fmla="*/ 8213177 w 12192000"/>
              <a:gd name="connsiteY1490" fmla="*/ 5313785 h 6858000"/>
              <a:gd name="connsiteX1491" fmla="*/ 8180961 w 12192000"/>
              <a:gd name="connsiteY1491" fmla="*/ 5284132 h 6858000"/>
              <a:gd name="connsiteX1492" fmla="*/ 8213177 w 12192000"/>
              <a:gd name="connsiteY1492" fmla="*/ 5254480 h 6858000"/>
              <a:gd name="connsiteX1493" fmla="*/ 8245382 w 12192000"/>
              <a:gd name="connsiteY1493" fmla="*/ 5284132 h 6858000"/>
              <a:gd name="connsiteX1494" fmla="*/ 8213177 w 12192000"/>
              <a:gd name="connsiteY1494" fmla="*/ 5313785 h 6858000"/>
              <a:gd name="connsiteX1495" fmla="*/ 8291712 w 12192000"/>
              <a:gd name="connsiteY1495" fmla="*/ 5313785 h 6858000"/>
              <a:gd name="connsiteX1496" fmla="*/ 8259495 w 12192000"/>
              <a:gd name="connsiteY1496" fmla="*/ 5284132 h 6858000"/>
              <a:gd name="connsiteX1497" fmla="*/ 8291712 w 12192000"/>
              <a:gd name="connsiteY1497" fmla="*/ 5254480 h 6858000"/>
              <a:gd name="connsiteX1498" fmla="*/ 8323916 w 12192000"/>
              <a:gd name="connsiteY1498" fmla="*/ 5284132 h 6858000"/>
              <a:gd name="connsiteX1499" fmla="*/ 8291712 w 12192000"/>
              <a:gd name="connsiteY1499" fmla="*/ 5313785 h 6858000"/>
              <a:gd name="connsiteX1500" fmla="*/ 8370245 w 12192000"/>
              <a:gd name="connsiteY1500" fmla="*/ 5313785 h 6858000"/>
              <a:gd name="connsiteX1501" fmla="*/ 8338029 w 12192000"/>
              <a:gd name="connsiteY1501" fmla="*/ 5284132 h 6858000"/>
              <a:gd name="connsiteX1502" fmla="*/ 8370245 w 12192000"/>
              <a:gd name="connsiteY1502" fmla="*/ 5254480 h 6858000"/>
              <a:gd name="connsiteX1503" fmla="*/ 8402449 w 12192000"/>
              <a:gd name="connsiteY1503" fmla="*/ 5284132 h 6858000"/>
              <a:gd name="connsiteX1504" fmla="*/ 8370245 w 12192000"/>
              <a:gd name="connsiteY1504" fmla="*/ 5313785 h 6858000"/>
              <a:gd name="connsiteX1505" fmla="*/ 8448779 w 12192000"/>
              <a:gd name="connsiteY1505" fmla="*/ 5313785 h 6858000"/>
              <a:gd name="connsiteX1506" fmla="*/ 8416563 w 12192000"/>
              <a:gd name="connsiteY1506" fmla="*/ 5284132 h 6858000"/>
              <a:gd name="connsiteX1507" fmla="*/ 8448779 w 12192000"/>
              <a:gd name="connsiteY1507" fmla="*/ 5254480 h 6858000"/>
              <a:gd name="connsiteX1508" fmla="*/ 8480983 w 12192000"/>
              <a:gd name="connsiteY1508" fmla="*/ 5284132 h 6858000"/>
              <a:gd name="connsiteX1509" fmla="*/ 8448779 w 12192000"/>
              <a:gd name="connsiteY1509" fmla="*/ 5313785 h 6858000"/>
              <a:gd name="connsiteX1510" fmla="*/ 8527313 w 12192000"/>
              <a:gd name="connsiteY1510" fmla="*/ 5313785 h 6858000"/>
              <a:gd name="connsiteX1511" fmla="*/ 8495097 w 12192000"/>
              <a:gd name="connsiteY1511" fmla="*/ 5284132 h 6858000"/>
              <a:gd name="connsiteX1512" fmla="*/ 8527313 w 12192000"/>
              <a:gd name="connsiteY1512" fmla="*/ 5254480 h 6858000"/>
              <a:gd name="connsiteX1513" fmla="*/ 8559518 w 12192000"/>
              <a:gd name="connsiteY1513" fmla="*/ 5284132 h 6858000"/>
              <a:gd name="connsiteX1514" fmla="*/ 8527313 w 12192000"/>
              <a:gd name="connsiteY1514" fmla="*/ 5313785 h 6858000"/>
              <a:gd name="connsiteX1515" fmla="*/ 8605847 w 12192000"/>
              <a:gd name="connsiteY1515" fmla="*/ 5313785 h 6858000"/>
              <a:gd name="connsiteX1516" fmla="*/ 8573630 w 12192000"/>
              <a:gd name="connsiteY1516" fmla="*/ 5284132 h 6858000"/>
              <a:gd name="connsiteX1517" fmla="*/ 8605847 w 12192000"/>
              <a:gd name="connsiteY1517" fmla="*/ 5254480 h 6858000"/>
              <a:gd name="connsiteX1518" fmla="*/ 8638051 w 12192000"/>
              <a:gd name="connsiteY1518" fmla="*/ 5284132 h 6858000"/>
              <a:gd name="connsiteX1519" fmla="*/ 8605847 w 12192000"/>
              <a:gd name="connsiteY1519" fmla="*/ 5313785 h 6858000"/>
              <a:gd name="connsiteX1520" fmla="*/ 8684381 w 12192000"/>
              <a:gd name="connsiteY1520" fmla="*/ 5313785 h 6858000"/>
              <a:gd name="connsiteX1521" fmla="*/ 8652165 w 12192000"/>
              <a:gd name="connsiteY1521" fmla="*/ 5284132 h 6858000"/>
              <a:gd name="connsiteX1522" fmla="*/ 8684381 w 12192000"/>
              <a:gd name="connsiteY1522" fmla="*/ 5254480 h 6858000"/>
              <a:gd name="connsiteX1523" fmla="*/ 8716585 w 12192000"/>
              <a:gd name="connsiteY1523" fmla="*/ 5284132 h 6858000"/>
              <a:gd name="connsiteX1524" fmla="*/ 8684381 w 12192000"/>
              <a:gd name="connsiteY1524" fmla="*/ 5313785 h 6858000"/>
              <a:gd name="connsiteX1525" fmla="*/ 8762914 w 12192000"/>
              <a:gd name="connsiteY1525" fmla="*/ 5313785 h 6858000"/>
              <a:gd name="connsiteX1526" fmla="*/ 8730698 w 12192000"/>
              <a:gd name="connsiteY1526" fmla="*/ 5284132 h 6858000"/>
              <a:gd name="connsiteX1527" fmla="*/ 8762914 w 12192000"/>
              <a:gd name="connsiteY1527" fmla="*/ 5254480 h 6858000"/>
              <a:gd name="connsiteX1528" fmla="*/ 8795118 w 12192000"/>
              <a:gd name="connsiteY1528" fmla="*/ 5284132 h 6858000"/>
              <a:gd name="connsiteX1529" fmla="*/ 8762914 w 12192000"/>
              <a:gd name="connsiteY1529" fmla="*/ 5313785 h 6858000"/>
              <a:gd name="connsiteX1530" fmla="*/ 8841448 w 12192000"/>
              <a:gd name="connsiteY1530" fmla="*/ 5313785 h 6858000"/>
              <a:gd name="connsiteX1531" fmla="*/ 8809232 w 12192000"/>
              <a:gd name="connsiteY1531" fmla="*/ 5284132 h 6858000"/>
              <a:gd name="connsiteX1532" fmla="*/ 8841448 w 12192000"/>
              <a:gd name="connsiteY1532" fmla="*/ 5254480 h 6858000"/>
              <a:gd name="connsiteX1533" fmla="*/ 8873653 w 12192000"/>
              <a:gd name="connsiteY1533" fmla="*/ 5284132 h 6858000"/>
              <a:gd name="connsiteX1534" fmla="*/ 8841448 w 12192000"/>
              <a:gd name="connsiteY1534" fmla="*/ 5313785 h 6858000"/>
              <a:gd name="connsiteX1535" fmla="*/ 8919983 w 12192000"/>
              <a:gd name="connsiteY1535" fmla="*/ 5313785 h 6858000"/>
              <a:gd name="connsiteX1536" fmla="*/ 8887766 w 12192000"/>
              <a:gd name="connsiteY1536" fmla="*/ 5284132 h 6858000"/>
              <a:gd name="connsiteX1537" fmla="*/ 8919983 w 12192000"/>
              <a:gd name="connsiteY1537" fmla="*/ 5254480 h 6858000"/>
              <a:gd name="connsiteX1538" fmla="*/ 8952187 w 12192000"/>
              <a:gd name="connsiteY1538" fmla="*/ 5284132 h 6858000"/>
              <a:gd name="connsiteX1539" fmla="*/ 8919983 w 12192000"/>
              <a:gd name="connsiteY1539" fmla="*/ 5313785 h 6858000"/>
              <a:gd name="connsiteX1540" fmla="*/ 8998516 w 12192000"/>
              <a:gd name="connsiteY1540" fmla="*/ 5313785 h 6858000"/>
              <a:gd name="connsiteX1541" fmla="*/ 8966300 w 12192000"/>
              <a:gd name="connsiteY1541" fmla="*/ 5284132 h 6858000"/>
              <a:gd name="connsiteX1542" fmla="*/ 8998516 w 12192000"/>
              <a:gd name="connsiteY1542" fmla="*/ 5254480 h 6858000"/>
              <a:gd name="connsiteX1543" fmla="*/ 9030720 w 12192000"/>
              <a:gd name="connsiteY1543" fmla="*/ 5284132 h 6858000"/>
              <a:gd name="connsiteX1544" fmla="*/ 8998516 w 12192000"/>
              <a:gd name="connsiteY1544" fmla="*/ 5313785 h 6858000"/>
              <a:gd name="connsiteX1545" fmla="*/ 9077050 w 12192000"/>
              <a:gd name="connsiteY1545" fmla="*/ 5313785 h 6858000"/>
              <a:gd name="connsiteX1546" fmla="*/ 9044834 w 12192000"/>
              <a:gd name="connsiteY1546" fmla="*/ 5284132 h 6858000"/>
              <a:gd name="connsiteX1547" fmla="*/ 9077050 w 12192000"/>
              <a:gd name="connsiteY1547" fmla="*/ 5254480 h 6858000"/>
              <a:gd name="connsiteX1548" fmla="*/ 9109254 w 12192000"/>
              <a:gd name="connsiteY1548" fmla="*/ 5284132 h 6858000"/>
              <a:gd name="connsiteX1549" fmla="*/ 9077050 w 12192000"/>
              <a:gd name="connsiteY1549" fmla="*/ 5313785 h 6858000"/>
              <a:gd name="connsiteX1550" fmla="*/ 9155583 w 12192000"/>
              <a:gd name="connsiteY1550" fmla="*/ 5313785 h 6858000"/>
              <a:gd name="connsiteX1551" fmla="*/ 9123367 w 12192000"/>
              <a:gd name="connsiteY1551" fmla="*/ 5284132 h 6858000"/>
              <a:gd name="connsiteX1552" fmla="*/ 9155583 w 12192000"/>
              <a:gd name="connsiteY1552" fmla="*/ 5254480 h 6858000"/>
              <a:gd name="connsiteX1553" fmla="*/ 9187788 w 12192000"/>
              <a:gd name="connsiteY1553" fmla="*/ 5284132 h 6858000"/>
              <a:gd name="connsiteX1554" fmla="*/ 9155583 w 12192000"/>
              <a:gd name="connsiteY1554" fmla="*/ 5313785 h 6858000"/>
              <a:gd name="connsiteX1555" fmla="*/ 9234118 w 12192000"/>
              <a:gd name="connsiteY1555" fmla="*/ 5313785 h 6858000"/>
              <a:gd name="connsiteX1556" fmla="*/ 9201901 w 12192000"/>
              <a:gd name="connsiteY1556" fmla="*/ 5284132 h 6858000"/>
              <a:gd name="connsiteX1557" fmla="*/ 9234118 w 12192000"/>
              <a:gd name="connsiteY1557" fmla="*/ 5254480 h 6858000"/>
              <a:gd name="connsiteX1558" fmla="*/ 9266322 w 12192000"/>
              <a:gd name="connsiteY1558" fmla="*/ 5284132 h 6858000"/>
              <a:gd name="connsiteX1559" fmla="*/ 9234118 w 12192000"/>
              <a:gd name="connsiteY1559" fmla="*/ 5313785 h 6858000"/>
              <a:gd name="connsiteX1560" fmla="*/ 9312652 w 12192000"/>
              <a:gd name="connsiteY1560" fmla="*/ 5313785 h 6858000"/>
              <a:gd name="connsiteX1561" fmla="*/ 9280436 w 12192000"/>
              <a:gd name="connsiteY1561" fmla="*/ 5284132 h 6858000"/>
              <a:gd name="connsiteX1562" fmla="*/ 9312652 w 12192000"/>
              <a:gd name="connsiteY1562" fmla="*/ 5254480 h 6858000"/>
              <a:gd name="connsiteX1563" fmla="*/ 9344856 w 12192000"/>
              <a:gd name="connsiteY1563" fmla="*/ 5284132 h 6858000"/>
              <a:gd name="connsiteX1564" fmla="*/ 9312652 w 12192000"/>
              <a:gd name="connsiteY1564" fmla="*/ 5313785 h 6858000"/>
              <a:gd name="connsiteX1565" fmla="*/ 9391185 w 12192000"/>
              <a:gd name="connsiteY1565" fmla="*/ 5313785 h 6858000"/>
              <a:gd name="connsiteX1566" fmla="*/ 9358969 w 12192000"/>
              <a:gd name="connsiteY1566" fmla="*/ 5284132 h 6858000"/>
              <a:gd name="connsiteX1567" fmla="*/ 9391185 w 12192000"/>
              <a:gd name="connsiteY1567" fmla="*/ 5254480 h 6858000"/>
              <a:gd name="connsiteX1568" fmla="*/ 9423389 w 12192000"/>
              <a:gd name="connsiteY1568" fmla="*/ 5284132 h 6858000"/>
              <a:gd name="connsiteX1569" fmla="*/ 9391185 w 12192000"/>
              <a:gd name="connsiteY1569" fmla="*/ 5313785 h 6858000"/>
              <a:gd name="connsiteX1570" fmla="*/ 9469719 w 12192000"/>
              <a:gd name="connsiteY1570" fmla="*/ 5313785 h 6858000"/>
              <a:gd name="connsiteX1571" fmla="*/ 9437503 w 12192000"/>
              <a:gd name="connsiteY1571" fmla="*/ 5284132 h 6858000"/>
              <a:gd name="connsiteX1572" fmla="*/ 9469719 w 12192000"/>
              <a:gd name="connsiteY1572" fmla="*/ 5254480 h 6858000"/>
              <a:gd name="connsiteX1573" fmla="*/ 9501924 w 12192000"/>
              <a:gd name="connsiteY1573" fmla="*/ 5284132 h 6858000"/>
              <a:gd name="connsiteX1574" fmla="*/ 9469719 w 12192000"/>
              <a:gd name="connsiteY1574" fmla="*/ 5313785 h 6858000"/>
              <a:gd name="connsiteX1575" fmla="*/ 9548254 w 12192000"/>
              <a:gd name="connsiteY1575" fmla="*/ 5313785 h 6858000"/>
              <a:gd name="connsiteX1576" fmla="*/ 9516037 w 12192000"/>
              <a:gd name="connsiteY1576" fmla="*/ 5284132 h 6858000"/>
              <a:gd name="connsiteX1577" fmla="*/ 9548254 w 12192000"/>
              <a:gd name="connsiteY1577" fmla="*/ 5254480 h 6858000"/>
              <a:gd name="connsiteX1578" fmla="*/ 9580458 w 12192000"/>
              <a:gd name="connsiteY1578" fmla="*/ 5284132 h 6858000"/>
              <a:gd name="connsiteX1579" fmla="*/ 9548254 w 12192000"/>
              <a:gd name="connsiteY1579" fmla="*/ 5313785 h 6858000"/>
              <a:gd name="connsiteX1580" fmla="*/ 9626787 w 12192000"/>
              <a:gd name="connsiteY1580" fmla="*/ 5313785 h 6858000"/>
              <a:gd name="connsiteX1581" fmla="*/ 9594571 w 12192000"/>
              <a:gd name="connsiteY1581" fmla="*/ 5284132 h 6858000"/>
              <a:gd name="connsiteX1582" fmla="*/ 9626787 w 12192000"/>
              <a:gd name="connsiteY1582" fmla="*/ 5254480 h 6858000"/>
              <a:gd name="connsiteX1583" fmla="*/ 9658991 w 12192000"/>
              <a:gd name="connsiteY1583" fmla="*/ 5284132 h 6858000"/>
              <a:gd name="connsiteX1584" fmla="*/ 9626787 w 12192000"/>
              <a:gd name="connsiteY1584" fmla="*/ 5313785 h 6858000"/>
              <a:gd name="connsiteX1585" fmla="*/ 9705321 w 12192000"/>
              <a:gd name="connsiteY1585" fmla="*/ 5313785 h 6858000"/>
              <a:gd name="connsiteX1586" fmla="*/ 9673105 w 12192000"/>
              <a:gd name="connsiteY1586" fmla="*/ 5284132 h 6858000"/>
              <a:gd name="connsiteX1587" fmla="*/ 9705321 w 12192000"/>
              <a:gd name="connsiteY1587" fmla="*/ 5254480 h 6858000"/>
              <a:gd name="connsiteX1588" fmla="*/ 9737525 w 12192000"/>
              <a:gd name="connsiteY1588" fmla="*/ 5284132 h 6858000"/>
              <a:gd name="connsiteX1589" fmla="*/ 9705321 w 12192000"/>
              <a:gd name="connsiteY1589" fmla="*/ 5313785 h 6858000"/>
              <a:gd name="connsiteX1590" fmla="*/ 9783854 w 12192000"/>
              <a:gd name="connsiteY1590" fmla="*/ 5313785 h 6858000"/>
              <a:gd name="connsiteX1591" fmla="*/ 9751638 w 12192000"/>
              <a:gd name="connsiteY1591" fmla="*/ 5284132 h 6858000"/>
              <a:gd name="connsiteX1592" fmla="*/ 9783854 w 12192000"/>
              <a:gd name="connsiteY1592" fmla="*/ 5254480 h 6858000"/>
              <a:gd name="connsiteX1593" fmla="*/ 9816059 w 12192000"/>
              <a:gd name="connsiteY1593" fmla="*/ 5284132 h 6858000"/>
              <a:gd name="connsiteX1594" fmla="*/ 9783854 w 12192000"/>
              <a:gd name="connsiteY1594" fmla="*/ 5313785 h 6858000"/>
              <a:gd name="connsiteX1595" fmla="*/ 9862389 w 12192000"/>
              <a:gd name="connsiteY1595" fmla="*/ 5313785 h 6858000"/>
              <a:gd name="connsiteX1596" fmla="*/ 9830172 w 12192000"/>
              <a:gd name="connsiteY1596" fmla="*/ 5284132 h 6858000"/>
              <a:gd name="connsiteX1597" fmla="*/ 9862389 w 12192000"/>
              <a:gd name="connsiteY1597" fmla="*/ 5254480 h 6858000"/>
              <a:gd name="connsiteX1598" fmla="*/ 9894593 w 12192000"/>
              <a:gd name="connsiteY1598" fmla="*/ 5284132 h 6858000"/>
              <a:gd name="connsiteX1599" fmla="*/ 9862389 w 12192000"/>
              <a:gd name="connsiteY1599" fmla="*/ 5313785 h 6858000"/>
              <a:gd name="connsiteX1600" fmla="*/ 9940923 w 12192000"/>
              <a:gd name="connsiteY1600" fmla="*/ 5313785 h 6858000"/>
              <a:gd name="connsiteX1601" fmla="*/ 9908707 w 12192000"/>
              <a:gd name="connsiteY1601" fmla="*/ 5284132 h 6858000"/>
              <a:gd name="connsiteX1602" fmla="*/ 9940923 w 12192000"/>
              <a:gd name="connsiteY1602" fmla="*/ 5254480 h 6858000"/>
              <a:gd name="connsiteX1603" fmla="*/ 9973127 w 12192000"/>
              <a:gd name="connsiteY1603" fmla="*/ 5284132 h 6858000"/>
              <a:gd name="connsiteX1604" fmla="*/ 9940923 w 12192000"/>
              <a:gd name="connsiteY1604" fmla="*/ 5313785 h 6858000"/>
              <a:gd name="connsiteX1605" fmla="*/ 10019456 w 12192000"/>
              <a:gd name="connsiteY1605" fmla="*/ 5313785 h 6858000"/>
              <a:gd name="connsiteX1606" fmla="*/ 9987240 w 12192000"/>
              <a:gd name="connsiteY1606" fmla="*/ 5284132 h 6858000"/>
              <a:gd name="connsiteX1607" fmla="*/ 10019456 w 12192000"/>
              <a:gd name="connsiteY1607" fmla="*/ 5254480 h 6858000"/>
              <a:gd name="connsiteX1608" fmla="*/ 10051660 w 12192000"/>
              <a:gd name="connsiteY1608" fmla="*/ 5284132 h 6858000"/>
              <a:gd name="connsiteX1609" fmla="*/ 10019456 w 12192000"/>
              <a:gd name="connsiteY1609" fmla="*/ 5313785 h 6858000"/>
              <a:gd name="connsiteX1610" fmla="*/ 10097990 w 12192000"/>
              <a:gd name="connsiteY1610" fmla="*/ 5313785 h 6858000"/>
              <a:gd name="connsiteX1611" fmla="*/ 10065774 w 12192000"/>
              <a:gd name="connsiteY1611" fmla="*/ 5284132 h 6858000"/>
              <a:gd name="connsiteX1612" fmla="*/ 10097990 w 12192000"/>
              <a:gd name="connsiteY1612" fmla="*/ 5254480 h 6858000"/>
              <a:gd name="connsiteX1613" fmla="*/ 10130195 w 12192000"/>
              <a:gd name="connsiteY1613" fmla="*/ 5284132 h 6858000"/>
              <a:gd name="connsiteX1614" fmla="*/ 10097990 w 12192000"/>
              <a:gd name="connsiteY1614" fmla="*/ 5313785 h 6858000"/>
              <a:gd name="connsiteX1615" fmla="*/ 10176524 w 12192000"/>
              <a:gd name="connsiteY1615" fmla="*/ 5313785 h 6858000"/>
              <a:gd name="connsiteX1616" fmla="*/ 10144307 w 12192000"/>
              <a:gd name="connsiteY1616" fmla="*/ 5284132 h 6858000"/>
              <a:gd name="connsiteX1617" fmla="*/ 10176524 w 12192000"/>
              <a:gd name="connsiteY1617" fmla="*/ 5254480 h 6858000"/>
              <a:gd name="connsiteX1618" fmla="*/ 10208728 w 12192000"/>
              <a:gd name="connsiteY1618" fmla="*/ 5284132 h 6858000"/>
              <a:gd name="connsiteX1619" fmla="*/ 10176524 w 12192000"/>
              <a:gd name="connsiteY1619" fmla="*/ 5313785 h 6858000"/>
              <a:gd name="connsiteX1620" fmla="*/ 1930444 w 12192000"/>
              <a:gd name="connsiteY1620" fmla="*/ 5241520 h 6858000"/>
              <a:gd name="connsiteX1621" fmla="*/ 1898234 w 12192000"/>
              <a:gd name="connsiteY1621" fmla="*/ 5211868 h 6858000"/>
              <a:gd name="connsiteX1622" fmla="*/ 1930444 w 12192000"/>
              <a:gd name="connsiteY1622" fmla="*/ 5182216 h 6858000"/>
              <a:gd name="connsiteX1623" fmla="*/ 1962655 w 12192000"/>
              <a:gd name="connsiteY1623" fmla="*/ 5211868 h 6858000"/>
              <a:gd name="connsiteX1624" fmla="*/ 1930444 w 12192000"/>
              <a:gd name="connsiteY1624" fmla="*/ 5241520 h 6858000"/>
              <a:gd name="connsiteX1625" fmla="*/ 2008978 w 12192000"/>
              <a:gd name="connsiteY1625" fmla="*/ 5241520 h 6858000"/>
              <a:gd name="connsiteX1626" fmla="*/ 1976767 w 12192000"/>
              <a:gd name="connsiteY1626" fmla="*/ 5211868 h 6858000"/>
              <a:gd name="connsiteX1627" fmla="*/ 2008978 w 12192000"/>
              <a:gd name="connsiteY1627" fmla="*/ 5182216 h 6858000"/>
              <a:gd name="connsiteX1628" fmla="*/ 2041188 w 12192000"/>
              <a:gd name="connsiteY1628" fmla="*/ 5211868 h 6858000"/>
              <a:gd name="connsiteX1629" fmla="*/ 2008978 w 12192000"/>
              <a:gd name="connsiteY1629" fmla="*/ 5241520 h 6858000"/>
              <a:gd name="connsiteX1630" fmla="*/ 2087512 w 12192000"/>
              <a:gd name="connsiteY1630" fmla="*/ 5241520 h 6858000"/>
              <a:gd name="connsiteX1631" fmla="*/ 2055302 w 12192000"/>
              <a:gd name="connsiteY1631" fmla="*/ 5211868 h 6858000"/>
              <a:gd name="connsiteX1632" fmla="*/ 2087512 w 12192000"/>
              <a:gd name="connsiteY1632" fmla="*/ 5182216 h 6858000"/>
              <a:gd name="connsiteX1633" fmla="*/ 2119722 w 12192000"/>
              <a:gd name="connsiteY1633" fmla="*/ 5211868 h 6858000"/>
              <a:gd name="connsiteX1634" fmla="*/ 2087512 w 12192000"/>
              <a:gd name="connsiteY1634" fmla="*/ 5241520 h 6858000"/>
              <a:gd name="connsiteX1635" fmla="*/ 2166045 w 12192000"/>
              <a:gd name="connsiteY1635" fmla="*/ 5241520 h 6858000"/>
              <a:gd name="connsiteX1636" fmla="*/ 2133835 w 12192000"/>
              <a:gd name="connsiteY1636" fmla="*/ 5211868 h 6858000"/>
              <a:gd name="connsiteX1637" fmla="*/ 2166045 w 12192000"/>
              <a:gd name="connsiteY1637" fmla="*/ 5182216 h 6858000"/>
              <a:gd name="connsiteX1638" fmla="*/ 2198255 w 12192000"/>
              <a:gd name="connsiteY1638" fmla="*/ 5211868 h 6858000"/>
              <a:gd name="connsiteX1639" fmla="*/ 2166045 w 12192000"/>
              <a:gd name="connsiteY1639" fmla="*/ 5241520 h 6858000"/>
              <a:gd name="connsiteX1640" fmla="*/ 2244579 w 12192000"/>
              <a:gd name="connsiteY1640" fmla="*/ 5241520 h 6858000"/>
              <a:gd name="connsiteX1641" fmla="*/ 2212369 w 12192000"/>
              <a:gd name="connsiteY1641" fmla="*/ 5211868 h 6858000"/>
              <a:gd name="connsiteX1642" fmla="*/ 2244579 w 12192000"/>
              <a:gd name="connsiteY1642" fmla="*/ 5182216 h 6858000"/>
              <a:gd name="connsiteX1643" fmla="*/ 2276790 w 12192000"/>
              <a:gd name="connsiteY1643" fmla="*/ 5211868 h 6858000"/>
              <a:gd name="connsiteX1644" fmla="*/ 2244579 w 12192000"/>
              <a:gd name="connsiteY1644" fmla="*/ 5241520 h 6858000"/>
              <a:gd name="connsiteX1645" fmla="*/ 2323114 w 12192000"/>
              <a:gd name="connsiteY1645" fmla="*/ 5241520 h 6858000"/>
              <a:gd name="connsiteX1646" fmla="*/ 2290903 w 12192000"/>
              <a:gd name="connsiteY1646" fmla="*/ 5211868 h 6858000"/>
              <a:gd name="connsiteX1647" fmla="*/ 2323114 w 12192000"/>
              <a:gd name="connsiteY1647" fmla="*/ 5182216 h 6858000"/>
              <a:gd name="connsiteX1648" fmla="*/ 2355324 w 12192000"/>
              <a:gd name="connsiteY1648" fmla="*/ 5211868 h 6858000"/>
              <a:gd name="connsiteX1649" fmla="*/ 2323114 w 12192000"/>
              <a:gd name="connsiteY1649" fmla="*/ 5241520 h 6858000"/>
              <a:gd name="connsiteX1650" fmla="*/ 2401647 w 12192000"/>
              <a:gd name="connsiteY1650" fmla="*/ 5241520 h 6858000"/>
              <a:gd name="connsiteX1651" fmla="*/ 2369437 w 12192000"/>
              <a:gd name="connsiteY1651" fmla="*/ 5211868 h 6858000"/>
              <a:gd name="connsiteX1652" fmla="*/ 2401647 w 12192000"/>
              <a:gd name="connsiteY1652" fmla="*/ 5182216 h 6858000"/>
              <a:gd name="connsiteX1653" fmla="*/ 2433857 w 12192000"/>
              <a:gd name="connsiteY1653" fmla="*/ 5211868 h 6858000"/>
              <a:gd name="connsiteX1654" fmla="*/ 2401647 w 12192000"/>
              <a:gd name="connsiteY1654" fmla="*/ 5241520 h 6858000"/>
              <a:gd name="connsiteX1655" fmla="*/ 2480181 w 12192000"/>
              <a:gd name="connsiteY1655" fmla="*/ 5241520 h 6858000"/>
              <a:gd name="connsiteX1656" fmla="*/ 2447971 w 12192000"/>
              <a:gd name="connsiteY1656" fmla="*/ 5211868 h 6858000"/>
              <a:gd name="connsiteX1657" fmla="*/ 2480181 w 12192000"/>
              <a:gd name="connsiteY1657" fmla="*/ 5182216 h 6858000"/>
              <a:gd name="connsiteX1658" fmla="*/ 2512391 w 12192000"/>
              <a:gd name="connsiteY1658" fmla="*/ 5211868 h 6858000"/>
              <a:gd name="connsiteX1659" fmla="*/ 2480181 w 12192000"/>
              <a:gd name="connsiteY1659" fmla="*/ 5241520 h 6858000"/>
              <a:gd name="connsiteX1660" fmla="*/ 2558715 w 12192000"/>
              <a:gd name="connsiteY1660" fmla="*/ 5241520 h 6858000"/>
              <a:gd name="connsiteX1661" fmla="*/ 2526505 w 12192000"/>
              <a:gd name="connsiteY1661" fmla="*/ 5211868 h 6858000"/>
              <a:gd name="connsiteX1662" fmla="*/ 2558715 w 12192000"/>
              <a:gd name="connsiteY1662" fmla="*/ 5182216 h 6858000"/>
              <a:gd name="connsiteX1663" fmla="*/ 2590926 w 12192000"/>
              <a:gd name="connsiteY1663" fmla="*/ 5211868 h 6858000"/>
              <a:gd name="connsiteX1664" fmla="*/ 2558715 w 12192000"/>
              <a:gd name="connsiteY1664" fmla="*/ 5241520 h 6858000"/>
              <a:gd name="connsiteX1665" fmla="*/ 2637243 w 12192000"/>
              <a:gd name="connsiteY1665" fmla="*/ 5241520 h 6858000"/>
              <a:gd name="connsiteX1666" fmla="*/ 2605032 w 12192000"/>
              <a:gd name="connsiteY1666" fmla="*/ 5211868 h 6858000"/>
              <a:gd name="connsiteX1667" fmla="*/ 2637243 w 12192000"/>
              <a:gd name="connsiteY1667" fmla="*/ 5182216 h 6858000"/>
              <a:gd name="connsiteX1668" fmla="*/ 2669453 w 12192000"/>
              <a:gd name="connsiteY1668" fmla="*/ 5211868 h 6858000"/>
              <a:gd name="connsiteX1669" fmla="*/ 2637243 w 12192000"/>
              <a:gd name="connsiteY1669" fmla="*/ 5241520 h 6858000"/>
              <a:gd name="connsiteX1670" fmla="*/ 2715777 w 12192000"/>
              <a:gd name="connsiteY1670" fmla="*/ 5241520 h 6858000"/>
              <a:gd name="connsiteX1671" fmla="*/ 2683566 w 12192000"/>
              <a:gd name="connsiteY1671" fmla="*/ 5211868 h 6858000"/>
              <a:gd name="connsiteX1672" fmla="*/ 2715777 w 12192000"/>
              <a:gd name="connsiteY1672" fmla="*/ 5182216 h 6858000"/>
              <a:gd name="connsiteX1673" fmla="*/ 2747987 w 12192000"/>
              <a:gd name="connsiteY1673" fmla="*/ 5211868 h 6858000"/>
              <a:gd name="connsiteX1674" fmla="*/ 2715777 w 12192000"/>
              <a:gd name="connsiteY1674" fmla="*/ 5241520 h 6858000"/>
              <a:gd name="connsiteX1675" fmla="*/ 2794310 w 12192000"/>
              <a:gd name="connsiteY1675" fmla="*/ 5241520 h 6858000"/>
              <a:gd name="connsiteX1676" fmla="*/ 2762100 w 12192000"/>
              <a:gd name="connsiteY1676" fmla="*/ 5211868 h 6858000"/>
              <a:gd name="connsiteX1677" fmla="*/ 2794310 w 12192000"/>
              <a:gd name="connsiteY1677" fmla="*/ 5182216 h 6858000"/>
              <a:gd name="connsiteX1678" fmla="*/ 2826520 w 12192000"/>
              <a:gd name="connsiteY1678" fmla="*/ 5211868 h 6858000"/>
              <a:gd name="connsiteX1679" fmla="*/ 2794310 w 12192000"/>
              <a:gd name="connsiteY1679" fmla="*/ 5241520 h 6858000"/>
              <a:gd name="connsiteX1680" fmla="*/ 2872844 w 12192000"/>
              <a:gd name="connsiteY1680" fmla="*/ 5241520 h 6858000"/>
              <a:gd name="connsiteX1681" fmla="*/ 2840634 w 12192000"/>
              <a:gd name="connsiteY1681" fmla="*/ 5211868 h 6858000"/>
              <a:gd name="connsiteX1682" fmla="*/ 2872844 w 12192000"/>
              <a:gd name="connsiteY1682" fmla="*/ 5182216 h 6858000"/>
              <a:gd name="connsiteX1683" fmla="*/ 2905055 w 12192000"/>
              <a:gd name="connsiteY1683" fmla="*/ 5211868 h 6858000"/>
              <a:gd name="connsiteX1684" fmla="*/ 2872844 w 12192000"/>
              <a:gd name="connsiteY1684" fmla="*/ 5241520 h 6858000"/>
              <a:gd name="connsiteX1685" fmla="*/ 2951379 w 12192000"/>
              <a:gd name="connsiteY1685" fmla="*/ 5241520 h 6858000"/>
              <a:gd name="connsiteX1686" fmla="*/ 2919168 w 12192000"/>
              <a:gd name="connsiteY1686" fmla="*/ 5211868 h 6858000"/>
              <a:gd name="connsiteX1687" fmla="*/ 2951379 w 12192000"/>
              <a:gd name="connsiteY1687" fmla="*/ 5182216 h 6858000"/>
              <a:gd name="connsiteX1688" fmla="*/ 2983589 w 12192000"/>
              <a:gd name="connsiteY1688" fmla="*/ 5211868 h 6858000"/>
              <a:gd name="connsiteX1689" fmla="*/ 2951379 w 12192000"/>
              <a:gd name="connsiteY1689" fmla="*/ 5241520 h 6858000"/>
              <a:gd name="connsiteX1690" fmla="*/ 3029912 w 12192000"/>
              <a:gd name="connsiteY1690" fmla="*/ 5241520 h 6858000"/>
              <a:gd name="connsiteX1691" fmla="*/ 2997701 w 12192000"/>
              <a:gd name="connsiteY1691" fmla="*/ 5211868 h 6858000"/>
              <a:gd name="connsiteX1692" fmla="*/ 3029912 w 12192000"/>
              <a:gd name="connsiteY1692" fmla="*/ 5182216 h 6858000"/>
              <a:gd name="connsiteX1693" fmla="*/ 3062122 w 12192000"/>
              <a:gd name="connsiteY1693" fmla="*/ 5211868 h 6858000"/>
              <a:gd name="connsiteX1694" fmla="*/ 3029912 w 12192000"/>
              <a:gd name="connsiteY1694" fmla="*/ 5241520 h 6858000"/>
              <a:gd name="connsiteX1695" fmla="*/ 3108446 w 12192000"/>
              <a:gd name="connsiteY1695" fmla="*/ 5241520 h 6858000"/>
              <a:gd name="connsiteX1696" fmla="*/ 3076236 w 12192000"/>
              <a:gd name="connsiteY1696" fmla="*/ 5211868 h 6858000"/>
              <a:gd name="connsiteX1697" fmla="*/ 3108446 w 12192000"/>
              <a:gd name="connsiteY1697" fmla="*/ 5182216 h 6858000"/>
              <a:gd name="connsiteX1698" fmla="*/ 3140656 w 12192000"/>
              <a:gd name="connsiteY1698" fmla="*/ 5211868 h 6858000"/>
              <a:gd name="connsiteX1699" fmla="*/ 3108446 w 12192000"/>
              <a:gd name="connsiteY1699" fmla="*/ 5241520 h 6858000"/>
              <a:gd name="connsiteX1700" fmla="*/ 3265514 w 12192000"/>
              <a:gd name="connsiteY1700" fmla="*/ 5241520 h 6858000"/>
              <a:gd name="connsiteX1701" fmla="*/ 3233303 w 12192000"/>
              <a:gd name="connsiteY1701" fmla="*/ 5211868 h 6858000"/>
              <a:gd name="connsiteX1702" fmla="*/ 3265514 w 12192000"/>
              <a:gd name="connsiteY1702" fmla="*/ 5182216 h 6858000"/>
              <a:gd name="connsiteX1703" fmla="*/ 3297724 w 12192000"/>
              <a:gd name="connsiteY1703" fmla="*/ 5211868 h 6858000"/>
              <a:gd name="connsiteX1704" fmla="*/ 3265514 w 12192000"/>
              <a:gd name="connsiteY1704" fmla="*/ 5241520 h 6858000"/>
              <a:gd name="connsiteX1705" fmla="*/ 3344048 w 12192000"/>
              <a:gd name="connsiteY1705" fmla="*/ 5241520 h 6858000"/>
              <a:gd name="connsiteX1706" fmla="*/ 3311837 w 12192000"/>
              <a:gd name="connsiteY1706" fmla="*/ 5211868 h 6858000"/>
              <a:gd name="connsiteX1707" fmla="*/ 3344048 w 12192000"/>
              <a:gd name="connsiteY1707" fmla="*/ 5182216 h 6858000"/>
              <a:gd name="connsiteX1708" fmla="*/ 3376258 w 12192000"/>
              <a:gd name="connsiteY1708" fmla="*/ 5211868 h 6858000"/>
              <a:gd name="connsiteX1709" fmla="*/ 3344048 w 12192000"/>
              <a:gd name="connsiteY1709" fmla="*/ 5241520 h 6858000"/>
              <a:gd name="connsiteX1710" fmla="*/ 3422581 w 12192000"/>
              <a:gd name="connsiteY1710" fmla="*/ 5241520 h 6858000"/>
              <a:gd name="connsiteX1711" fmla="*/ 3390371 w 12192000"/>
              <a:gd name="connsiteY1711" fmla="*/ 5211868 h 6858000"/>
              <a:gd name="connsiteX1712" fmla="*/ 3422581 w 12192000"/>
              <a:gd name="connsiteY1712" fmla="*/ 5182216 h 6858000"/>
              <a:gd name="connsiteX1713" fmla="*/ 3454791 w 12192000"/>
              <a:gd name="connsiteY1713" fmla="*/ 5211868 h 6858000"/>
              <a:gd name="connsiteX1714" fmla="*/ 3422581 w 12192000"/>
              <a:gd name="connsiteY1714" fmla="*/ 5241520 h 6858000"/>
              <a:gd name="connsiteX1715" fmla="*/ 3501115 w 12192000"/>
              <a:gd name="connsiteY1715" fmla="*/ 5241520 h 6858000"/>
              <a:gd name="connsiteX1716" fmla="*/ 3468905 w 12192000"/>
              <a:gd name="connsiteY1716" fmla="*/ 5211868 h 6858000"/>
              <a:gd name="connsiteX1717" fmla="*/ 3501115 w 12192000"/>
              <a:gd name="connsiteY1717" fmla="*/ 5182216 h 6858000"/>
              <a:gd name="connsiteX1718" fmla="*/ 3533326 w 12192000"/>
              <a:gd name="connsiteY1718" fmla="*/ 5211868 h 6858000"/>
              <a:gd name="connsiteX1719" fmla="*/ 3501115 w 12192000"/>
              <a:gd name="connsiteY1719" fmla="*/ 5241520 h 6858000"/>
              <a:gd name="connsiteX1720" fmla="*/ 3815250 w 12192000"/>
              <a:gd name="connsiteY1720" fmla="*/ 5241520 h 6858000"/>
              <a:gd name="connsiteX1721" fmla="*/ 3783040 w 12192000"/>
              <a:gd name="connsiteY1721" fmla="*/ 5211868 h 6858000"/>
              <a:gd name="connsiteX1722" fmla="*/ 3815250 w 12192000"/>
              <a:gd name="connsiteY1722" fmla="*/ 5182216 h 6858000"/>
              <a:gd name="connsiteX1723" fmla="*/ 3847461 w 12192000"/>
              <a:gd name="connsiteY1723" fmla="*/ 5211868 h 6858000"/>
              <a:gd name="connsiteX1724" fmla="*/ 3815250 w 12192000"/>
              <a:gd name="connsiteY1724" fmla="*/ 5241520 h 6858000"/>
              <a:gd name="connsiteX1725" fmla="*/ 3972319 w 12192000"/>
              <a:gd name="connsiteY1725" fmla="*/ 5241520 h 6858000"/>
              <a:gd name="connsiteX1726" fmla="*/ 3940108 w 12192000"/>
              <a:gd name="connsiteY1726" fmla="*/ 5211868 h 6858000"/>
              <a:gd name="connsiteX1727" fmla="*/ 3972319 w 12192000"/>
              <a:gd name="connsiteY1727" fmla="*/ 5182216 h 6858000"/>
              <a:gd name="connsiteX1728" fmla="*/ 4004529 w 12192000"/>
              <a:gd name="connsiteY1728" fmla="*/ 5211868 h 6858000"/>
              <a:gd name="connsiteX1729" fmla="*/ 3972319 w 12192000"/>
              <a:gd name="connsiteY1729" fmla="*/ 5241520 h 6858000"/>
              <a:gd name="connsiteX1730" fmla="*/ 4129386 w 12192000"/>
              <a:gd name="connsiteY1730" fmla="*/ 5241520 h 6858000"/>
              <a:gd name="connsiteX1731" fmla="*/ 4097176 w 12192000"/>
              <a:gd name="connsiteY1731" fmla="*/ 5211868 h 6858000"/>
              <a:gd name="connsiteX1732" fmla="*/ 4129386 w 12192000"/>
              <a:gd name="connsiteY1732" fmla="*/ 5182216 h 6858000"/>
              <a:gd name="connsiteX1733" fmla="*/ 4161597 w 12192000"/>
              <a:gd name="connsiteY1733" fmla="*/ 5211868 h 6858000"/>
              <a:gd name="connsiteX1734" fmla="*/ 4129386 w 12192000"/>
              <a:gd name="connsiteY1734" fmla="*/ 5241520 h 6858000"/>
              <a:gd name="connsiteX1735" fmla="*/ 4207926 w 12192000"/>
              <a:gd name="connsiteY1735" fmla="*/ 5241520 h 6858000"/>
              <a:gd name="connsiteX1736" fmla="*/ 4175715 w 12192000"/>
              <a:gd name="connsiteY1736" fmla="*/ 5211868 h 6858000"/>
              <a:gd name="connsiteX1737" fmla="*/ 4207926 w 12192000"/>
              <a:gd name="connsiteY1737" fmla="*/ 5182216 h 6858000"/>
              <a:gd name="connsiteX1738" fmla="*/ 4240136 w 12192000"/>
              <a:gd name="connsiteY1738" fmla="*/ 5211868 h 6858000"/>
              <a:gd name="connsiteX1739" fmla="*/ 4207926 w 12192000"/>
              <a:gd name="connsiteY1739" fmla="*/ 5241520 h 6858000"/>
              <a:gd name="connsiteX1740" fmla="*/ 4757663 w 12192000"/>
              <a:gd name="connsiteY1740" fmla="*/ 5241520 h 6858000"/>
              <a:gd name="connsiteX1741" fmla="*/ 4725453 w 12192000"/>
              <a:gd name="connsiteY1741" fmla="*/ 5211868 h 6858000"/>
              <a:gd name="connsiteX1742" fmla="*/ 4757663 w 12192000"/>
              <a:gd name="connsiteY1742" fmla="*/ 5182216 h 6858000"/>
              <a:gd name="connsiteX1743" fmla="*/ 4789874 w 12192000"/>
              <a:gd name="connsiteY1743" fmla="*/ 5211868 h 6858000"/>
              <a:gd name="connsiteX1744" fmla="*/ 4757663 w 12192000"/>
              <a:gd name="connsiteY1744" fmla="*/ 5241520 h 6858000"/>
              <a:gd name="connsiteX1745" fmla="*/ 4836197 w 12192000"/>
              <a:gd name="connsiteY1745" fmla="*/ 5241520 h 6858000"/>
              <a:gd name="connsiteX1746" fmla="*/ 4803986 w 12192000"/>
              <a:gd name="connsiteY1746" fmla="*/ 5211868 h 6858000"/>
              <a:gd name="connsiteX1747" fmla="*/ 4836197 w 12192000"/>
              <a:gd name="connsiteY1747" fmla="*/ 5182216 h 6858000"/>
              <a:gd name="connsiteX1748" fmla="*/ 4868407 w 12192000"/>
              <a:gd name="connsiteY1748" fmla="*/ 5211868 h 6858000"/>
              <a:gd name="connsiteX1749" fmla="*/ 4836197 w 12192000"/>
              <a:gd name="connsiteY1749" fmla="*/ 5241520 h 6858000"/>
              <a:gd name="connsiteX1750" fmla="*/ 4914731 w 12192000"/>
              <a:gd name="connsiteY1750" fmla="*/ 5241520 h 6858000"/>
              <a:gd name="connsiteX1751" fmla="*/ 4882521 w 12192000"/>
              <a:gd name="connsiteY1751" fmla="*/ 5211868 h 6858000"/>
              <a:gd name="connsiteX1752" fmla="*/ 4914731 w 12192000"/>
              <a:gd name="connsiteY1752" fmla="*/ 5182216 h 6858000"/>
              <a:gd name="connsiteX1753" fmla="*/ 4946941 w 12192000"/>
              <a:gd name="connsiteY1753" fmla="*/ 5211868 h 6858000"/>
              <a:gd name="connsiteX1754" fmla="*/ 4914731 w 12192000"/>
              <a:gd name="connsiteY1754" fmla="*/ 5241520 h 6858000"/>
              <a:gd name="connsiteX1755" fmla="*/ 4993265 w 12192000"/>
              <a:gd name="connsiteY1755" fmla="*/ 5241520 h 6858000"/>
              <a:gd name="connsiteX1756" fmla="*/ 4961055 w 12192000"/>
              <a:gd name="connsiteY1756" fmla="*/ 5211868 h 6858000"/>
              <a:gd name="connsiteX1757" fmla="*/ 4993265 w 12192000"/>
              <a:gd name="connsiteY1757" fmla="*/ 5182216 h 6858000"/>
              <a:gd name="connsiteX1758" fmla="*/ 5025475 w 12192000"/>
              <a:gd name="connsiteY1758" fmla="*/ 5211868 h 6858000"/>
              <a:gd name="connsiteX1759" fmla="*/ 4993265 w 12192000"/>
              <a:gd name="connsiteY1759" fmla="*/ 5241520 h 6858000"/>
              <a:gd name="connsiteX1760" fmla="*/ 5071798 w 12192000"/>
              <a:gd name="connsiteY1760" fmla="*/ 5241520 h 6858000"/>
              <a:gd name="connsiteX1761" fmla="*/ 5039588 w 12192000"/>
              <a:gd name="connsiteY1761" fmla="*/ 5211868 h 6858000"/>
              <a:gd name="connsiteX1762" fmla="*/ 5071798 w 12192000"/>
              <a:gd name="connsiteY1762" fmla="*/ 5182216 h 6858000"/>
              <a:gd name="connsiteX1763" fmla="*/ 5104009 w 12192000"/>
              <a:gd name="connsiteY1763" fmla="*/ 5211868 h 6858000"/>
              <a:gd name="connsiteX1764" fmla="*/ 5071798 w 12192000"/>
              <a:gd name="connsiteY1764" fmla="*/ 5241520 h 6858000"/>
              <a:gd name="connsiteX1765" fmla="*/ 5150333 w 12192000"/>
              <a:gd name="connsiteY1765" fmla="*/ 5241520 h 6858000"/>
              <a:gd name="connsiteX1766" fmla="*/ 5118122 w 12192000"/>
              <a:gd name="connsiteY1766" fmla="*/ 5211868 h 6858000"/>
              <a:gd name="connsiteX1767" fmla="*/ 5150333 w 12192000"/>
              <a:gd name="connsiteY1767" fmla="*/ 5182216 h 6858000"/>
              <a:gd name="connsiteX1768" fmla="*/ 5182543 w 12192000"/>
              <a:gd name="connsiteY1768" fmla="*/ 5211868 h 6858000"/>
              <a:gd name="connsiteX1769" fmla="*/ 5150333 w 12192000"/>
              <a:gd name="connsiteY1769" fmla="*/ 5241520 h 6858000"/>
              <a:gd name="connsiteX1770" fmla="*/ 5228867 w 12192000"/>
              <a:gd name="connsiteY1770" fmla="*/ 5241520 h 6858000"/>
              <a:gd name="connsiteX1771" fmla="*/ 5196657 w 12192000"/>
              <a:gd name="connsiteY1771" fmla="*/ 5211868 h 6858000"/>
              <a:gd name="connsiteX1772" fmla="*/ 5228867 w 12192000"/>
              <a:gd name="connsiteY1772" fmla="*/ 5182216 h 6858000"/>
              <a:gd name="connsiteX1773" fmla="*/ 5261077 w 12192000"/>
              <a:gd name="connsiteY1773" fmla="*/ 5211868 h 6858000"/>
              <a:gd name="connsiteX1774" fmla="*/ 5228867 w 12192000"/>
              <a:gd name="connsiteY1774" fmla="*/ 5241520 h 6858000"/>
              <a:gd name="connsiteX1775" fmla="*/ 5307400 w 12192000"/>
              <a:gd name="connsiteY1775" fmla="*/ 5241520 h 6858000"/>
              <a:gd name="connsiteX1776" fmla="*/ 5275190 w 12192000"/>
              <a:gd name="connsiteY1776" fmla="*/ 5211868 h 6858000"/>
              <a:gd name="connsiteX1777" fmla="*/ 5307400 w 12192000"/>
              <a:gd name="connsiteY1777" fmla="*/ 5182216 h 6858000"/>
              <a:gd name="connsiteX1778" fmla="*/ 5339610 w 12192000"/>
              <a:gd name="connsiteY1778" fmla="*/ 5211868 h 6858000"/>
              <a:gd name="connsiteX1779" fmla="*/ 5307400 w 12192000"/>
              <a:gd name="connsiteY1779" fmla="*/ 5241520 h 6858000"/>
              <a:gd name="connsiteX1780" fmla="*/ 5385934 w 12192000"/>
              <a:gd name="connsiteY1780" fmla="*/ 5241520 h 6858000"/>
              <a:gd name="connsiteX1781" fmla="*/ 5353724 w 12192000"/>
              <a:gd name="connsiteY1781" fmla="*/ 5211868 h 6858000"/>
              <a:gd name="connsiteX1782" fmla="*/ 5385934 w 12192000"/>
              <a:gd name="connsiteY1782" fmla="*/ 5182216 h 6858000"/>
              <a:gd name="connsiteX1783" fmla="*/ 5418145 w 12192000"/>
              <a:gd name="connsiteY1783" fmla="*/ 5211868 h 6858000"/>
              <a:gd name="connsiteX1784" fmla="*/ 5385934 w 12192000"/>
              <a:gd name="connsiteY1784" fmla="*/ 5241520 h 6858000"/>
              <a:gd name="connsiteX1785" fmla="*/ 5464468 w 12192000"/>
              <a:gd name="connsiteY1785" fmla="*/ 5241520 h 6858000"/>
              <a:gd name="connsiteX1786" fmla="*/ 5432257 w 12192000"/>
              <a:gd name="connsiteY1786" fmla="*/ 5211868 h 6858000"/>
              <a:gd name="connsiteX1787" fmla="*/ 5464468 w 12192000"/>
              <a:gd name="connsiteY1787" fmla="*/ 5182216 h 6858000"/>
              <a:gd name="connsiteX1788" fmla="*/ 5496678 w 12192000"/>
              <a:gd name="connsiteY1788" fmla="*/ 5211868 h 6858000"/>
              <a:gd name="connsiteX1789" fmla="*/ 5464468 w 12192000"/>
              <a:gd name="connsiteY1789" fmla="*/ 5241520 h 6858000"/>
              <a:gd name="connsiteX1790" fmla="*/ 7113703 w 12192000"/>
              <a:gd name="connsiteY1790" fmla="*/ 5241520 h 6858000"/>
              <a:gd name="connsiteX1791" fmla="*/ 7081487 w 12192000"/>
              <a:gd name="connsiteY1791" fmla="*/ 5211868 h 6858000"/>
              <a:gd name="connsiteX1792" fmla="*/ 7113703 w 12192000"/>
              <a:gd name="connsiteY1792" fmla="*/ 5182216 h 6858000"/>
              <a:gd name="connsiteX1793" fmla="*/ 7145907 w 12192000"/>
              <a:gd name="connsiteY1793" fmla="*/ 5211868 h 6858000"/>
              <a:gd name="connsiteX1794" fmla="*/ 7113703 w 12192000"/>
              <a:gd name="connsiteY1794" fmla="*/ 5241520 h 6858000"/>
              <a:gd name="connsiteX1795" fmla="*/ 7427839 w 12192000"/>
              <a:gd name="connsiteY1795" fmla="*/ 5241520 h 6858000"/>
              <a:gd name="connsiteX1796" fmla="*/ 7395623 w 12192000"/>
              <a:gd name="connsiteY1796" fmla="*/ 5211868 h 6858000"/>
              <a:gd name="connsiteX1797" fmla="*/ 7427839 w 12192000"/>
              <a:gd name="connsiteY1797" fmla="*/ 5182216 h 6858000"/>
              <a:gd name="connsiteX1798" fmla="*/ 7460043 w 12192000"/>
              <a:gd name="connsiteY1798" fmla="*/ 5211868 h 6858000"/>
              <a:gd name="connsiteX1799" fmla="*/ 7427839 w 12192000"/>
              <a:gd name="connsiteY1799" fmla="*/ 5241520 h 6858000"/>
              <a:gd name="connsiteX1800" fmla="*/ 7741974 w 12192000"/>
              <a:gd name="connsiteY1800" fmla="*/ 5241520 h 6858000"/>
              <a:gd name="connsiteX1801" fmla="*/ 7709758 w 12192000"/>
              <a:gd name="connsiteY1801" fmla="*/ 5211868 h 6858000"/>
              <a:gd name="connsiteX1802" fmla="*/ 7741974 w 12192000"/>
              <a:gd name="connsiteY1802" fmla="*/ 5182216 h 6858000"/>
              <a:gd name="connsiteX1803" fmla="*/ 7774178 w 12192000"/>
              <a:gd name="connsiteY1803" fmla="*/ 5211868 h 6858000"/>
              <a:gd name="connsiteX1804" fmla="*/ 7741974 w 12192000"/>
              <a:gd name="connsiteY1804" fmla="*/ 5241520 h 6858000"/>
              <a:gd name="connsiteX1805" fmla="*/ 7820508 w 12192000"/>
              <a:gd name="connsiteY1805" fmla="*/ 5241520 h 6858000"/>
              <a:gd name="connsiteX1806" fmla="*/ 7788292 w 12192000"/>
              <a:gd name="connsiteY1806" fmla="*/ 5211868 h 6858000"/>
              <a:gd name="connsiteX1807" fmla="*/ 7820508 w 12192000"/>
              <a:gd name="connsiteY1807" fmla="*/ 5182216 h 6858000"/>
              <a:gd name="connsiteX1808" fmla="*/ 7852712 w 12192000"/>
              <a:gd name="connsiteY1808" fmla="*/ 5211868 h 6858000"/>
              <a:gd name="connsiteX1809" fmla="*/ 7820508 w 12192000"/>
              <a:gd name="connsiteY1809" fmla="*/ 5241520 h 6858000"/>
              <a:gd name="connsiteX1810" fmla="*/ 7899042 w 12192000"/>
              <a:gd name="connsiteY1810" fmla="*/ 5241520 h 6858000"/>
              <a:gd name="connsiteX1811" fmla="*/ 7866826 w 12192000"/>
              <a:gd name="connsiteY1811" fmla="*/ 5211868 h 6858000"/>
              <a:gd name="connsiteX1812" fmla="*/ 7899042 w 12192000"/>
              <a:gd name="connsiteY1812" fmla="*/ 5182216 h 6858000"/>
              <a:gd name="connsiteX1813" fmla="*/ 7931247 w 12192000"/>
              <a:gd name="connsiteY1813" fmla="*/ 5211868 h 6858000"/>
              <a:gd name="connsiteX1814" fmla="*/ 7899042 w 12192000"/>
              <a:gd name="connsiteY1814" fmla="*/ 5241520 h 6858000"/>
              <a:gd name="connsiteX1815" fmla="*/ 7977576 w 12192000"/>
              <a:gd name="connsiteY1815" fmla="*/ 5241520 h 6858000"/>
              <a:gd name="connsiteX1816" fmla="*/ 7945359 w 12192000"/>
              <a:gd name="connsiteY1816" fmla="*/ 5211868 h 6858000"/>
              <a:gd name="connsiteX1817" fmla="*/ 7977576 w 12192000"/>
              <a:gd name="connsiteY1817" fmla="*/ 5182216 h 6858000"/>
              <a:gd name="connsiteX1818" fmla="*/ 8009780 w 12192000"/>
              <a:gd name="connsiteY1818" fmla="*/ 5211868 h 6858000"/>
              <a:gd name="connsiteX1819" fmla="*/ 7977576 w 12192000"/>
              <a:gd name="connsiteY1819" fmla="*/ 5241520 h 6858000"/>
              <a:gd name="connsiteX1820" fmla="*/ 8056110 w 12192000"/>
              <a:gd name="connsiteY1820" fmla="*/ 5241520 h 6858000"/>
              <a:gd name="connsiteX1821" fmla="*/ 8023894 w 12192000"/>
              <a:gd name="connsiteY1821" fmla="*/ 5211868 h 6858000"/>
              <a:gd name="connsiteX1822" fmla="*/ 8056110 w 12192000"/>
              <a:gd name="connsiteY1822" fmla="*/ 5182216 h 6858000"/>
              <a:gd name="connsiteX1823" fmla="*/ 8088314 w 12192000"/>
              <a:gd name="connsiteY1823" fmla="*/ 5211868 h 6858000"/>
              <a:gd name="connsiteX1824" fmla="*/ 8056110 w 12192000"/>
              <a:gd name="connsiteY1824" fmla="*/ 5241520 h 6858000"/>
              <a:gd name="connsiteX1825" fmla="*/ 8134643 w 12192000"/>
              <a:gd name="connsiteY1825" fmla="*/ 5241520 h 6858000"/>
              <a:gd name="connsiteX1826" fmla="*/ 8102427 w 12192000"/>
              <a:gd name="connsiteY1826" fmla="*/ 5211868 h 6858000"/>
              <a:gd name="connsiteX1827" fmla="*/ 8134643 w 12192000"/>
              <a:gd name="connsiteY1827" fmla="*/ 5182216 h 6858000"/>
              <a:gd name="connsiteX1828" fmla="*/ 8166847 w 12192000"/>
              <a:gd name="connsiteY1828" fmla="*/ 5211868 h 6858000"/>
              <a:gd name="connsiteX1829" fmla="*/ 8134643 w 12192000"/>
              <a:gd name="connsiteY1829" fmla="*/ 5241520 h 6858000"/>
              <a:gd name="connsiteX1830" fmla="*/ 8213177 w 12192000"/>
              <a:gd name="connsiteY1830" fmla="*/ 5241520 h 6858000"/>
              <a:gd name="connsiteX1831" fmla="*/ 8180961 w 12192000"/>
              <a:gd name="connsiteY1831" fmla="*/ 5211868 h 6858000"/>
              <a:gd name="connsiteX1832" fmla="*/ 8213177 w 12192000"/>
              <a:gd name="connsiteY1832" fmla="*/ 5182216 h 6858000"/>
              <a:gd name="connsiteX1833" fmla="*/ 8245382 w 12192000"/>
              <a:gd name="connsiteY1833" fmla="*/ 5211868 h 6858000"/>
              <a:gd name="connsiteX1834" fmla="*/ 8213177 w 12192000"/>
              <a:gd name="connsiteY1834" fmla="*/ 5241520 h 6858000"/>
              <a:gd name="connsiteX1835" fmla="*/ 8291712 w 12192000"/>
              <a:gd name="connsiteY1835" fmla="*/ 5241520 h 6858000"/>
              <a:gd name="connsiteX1836" fmla="*/ 8259495 w 12192000"/>
              <a:gd name="connsiteY1836" fmla="*/ 5211868 h 6858000"/>
              <a:gd name="connsiteX1837" fmla="*/ 8291712 w 12192000"/>
              <a:gd name="connsiteY1837" fmla="*/ 5182216 h 6858000"/>
              <a:gd name="connsiteX1838" fmla="*/ 8323916 w 12192000"/>
              <a:gd name="connsiteY1838" fmla="*/ 5211868 h 6858000"/>
              <a:gd name="connsiteX1839" fmla="*/ 8291712 w 12192000"/>
              <a:gd name="connsiteY1839" fmla="*/ 5241520 h 6858000"/>
              <a:gd name="connsiteX1840" fmla="*/ 8370245 w 12192000"/>
              <a:gd name="connsiteY1840" fmla="*/ 5241520 h 6858000"/>
              <a:gd name="connsiteX1841" fmla="*/ 8338029 w 12192000"/>
              <a:gd name="connsiteY1841" fmla="*/ 5211868 h 6858000"/>
              <a:gd name="connsiteX1842" fmla="*/ 8370245 w 12192000"/>
              <a:gd name="connsiteY1842" fmla="*/ 5182216 h 6858000"/>
              <a:gd name="connsiteX1843" fmla="*/ 8402449 w 12192000"/>
              <a:gd name="connsiteY1843" fmla="*/ 5211868 h 6858000"/>
              <a:gd name="connsiteX1844" fmla="*/ 8370245 w 12192000"/>
              <a:gd name="connsiteY1844" fmla="*/ 5241520 h 6858000"/>
              <a:gd name="connsiteX1845" fmla="*/ 8448779 w 12192000"/>
              <a:gd name="connsiteY1845" fmla="*/ 5241520 h 6858000"/>
              <a:gd name="connsiteX1846" fmla="*/ 8416563 w 12192000"/>
              <a:gd name="connsiteY1846" fmla="*/ 5211868 h 6858000"/>
              <a:gd name="connsiteX1847" fmla="*/ 8448779 w 12192000"/>
              <a:gd name="connsiteY1847" fmla="*/ 5182216 h 6858000"/>
              <a:gd name="connsiteX1848" fmla="*/ 8480983 w 12192000"/>
              <a:gd name="connsiteY1848" fmla="*/ 5211868 h 6858000"/>
              <a:gd name="connsiteX1849" fmla="*/ 8448779 w 12192000"/>
              <a:gd name="connsiteY1849" fmla="*/ 5241520 h 6858000"/>
              <a:gd name="connsiteX1850" fmla="*/ 8527313 w 12192000"/>
              <a:gd name="connsiteY1850" fmla="*/ 5241520 h 6858000"/>
              <a:gd name="connsiteX1851" fmla="*/ 8495097 w 12192000"/>
              <a:gd name="connsiteY1851" fmla="*/ 5211868 h 6858000"/>
              <a:gd name="connsiteX1852" fmla="*/ 8527313 w 12192000"/>
              <a:gd name="connsiteY1852" fmla="*/ 5182216 h 6858000"/>
              <a:gd name="connsiteX1853" fmla="*/ 8559518 w 12192000"/>
              <a:gd name="connsiteY1853" fmla="*/ 5211868 h 6858000"/>
              <a:gd name="connsiteX1854" fmla="*/ 8527313 w 12192000"/>
              <a:gd name="connsiteY1854" fmla="*/ 5241520 h 6858000"/>
              <a:gd name="connsiteX1855" fmla="*/ 8605847 w 12192000"/>
              <a:gd name="connsiteY1855" fmla="*/ 5241520 h 6858000"/>
              <a:gd name="connsiteX1856" fmla="*/ 8573630 w 12192000"/>
              <a:gd name="connsiteY1856" fmla="*/ 5211868 h 6858000"/>
              <a:gd name="connsiteX1857" fmla="*/ 8605847 w 12192000"/>
              <a:gd name="connsiteY1857" fmla="*/ 5182216 h 6858000"/>
              <a:gd name="connsiteX1858" fmla="*/ 8638051 w 12192000"/>
              <a:gd name="connsiteY1858" fmla="*/ 5211868 h 6858000"/>
              <a:gd name="connsiteX1859" fmla="*/ 8605847 w 12192000"/>
              <a:gd name="connsiteY1859" fmla="*/ 5241520 h 6858000"/>
              <a:gd name="connsiteX1860" fmla="*/ 8684381 w 12192000"/>
              <a:gd name="connsiteY1860" fmla="*/ 5241520 h 6858000"/>
              <a:gd name="connsiteX1861" fmla="*/ 8652165 w 12192000"/>
              <a:gd name="connsiteY1861" fmla="*/ 5211868 h 6858000"/>
              <a:gd name="connsiteX1862" fmla="*/ 8684381 w 12192000"/>
              <a:gd name="connsiteY1862" fmla="*/ 5182216 h 6858000"/>
              <a:gd name="connsiteX1863" fmla="*/ 8716585 w 12192000"/>
              <a:gd name="connsiteY1863" fmla="*/ 5211868 h 6858000"/>
              <a:gd name="connsiteX1864" fmla="*/ 8684381 w 12192000"/>
              <a:gd name="connsiteY1864" fmla="*/ 5241520 h 6858000"/>
              <a:gd name="connsiteX1865" fmla="*/ 8762914 w 12192000"/>
              <a:gd name="connsiteY1865" fmla="*/ 5241520 h 6858000"/>
              <a:gd name="connsiteX1866" fmla="*/ 8730698 w 12192000"/>
              <a:gd name="connsiteY1866" fmla="*/ 5211868 h 6858000"/>
              <a:gd name="connsiteX1867" fmla="*/ 8762914 w 12192000"/>
              <a:gd name="connsiteY1867" fmla="*/ 5182216 h 6858000"/>
              <a:gd name="connsiteX1868" fmla="*/ 8795118 w 12192000"/>
              <a:gd name="connsiteY1868" fmla="*/ 5211868 h 6858000"/>
              <a:gd name="connsiteX1869" fmla="*/ 8762914 w 12192000"/>
              <a:gd name="connsiteY1869" fmla="*/ 5241520 h 6858000"/>
              <a:gd name="connsiteX1870" fmla="*/ 8841448 w 12192000"/>
              <a:gd name="connsiteY1870" fmla="*/ 5241520 h 6858000"/>
              <a:gd name="connsiteX1871" fmla="*/ 8809232 w 12192000"/>
              <a:gd name="connsiteY1871" fmla="*/ 5211868 h 6858000"/>
              <a:gd name="connsiteX1872" fmla="*/ 8841448 w 12192000"/>
              <a:gd name="connsiteY1872" fmla="*/ 5182216 h 6858000"/>
              <a:gd name="connsiteX1873" fmla="*/ 8873653 w 12192000"/>
              <a:gd name="connsiteY1873" fmla="*/ 5211868 h 6858000"/>
              <a:gd name="connsiteX1874" fmla="*/ 8841448 w 12192000"/>
              <a:gd name="connsiteY1874" fmla="*/ 5241520 h 6858000"/>
              <a:gd name="connsiteX1875" fmla="*/ 8919983 w 12192000"/>
              <a:gd name="connsiteY1875" fmla="*/ 5241520 h 6858000"/>
              <a:gd name="connsiteX1876" fmla="*/ 8887766 w 12192000"/>
              <a:gd name="connsiteY1876" fmla="*/ 5211868 h 6858000"/>
              <a:gd name="connsiteX1877" fmla="*/ 8919983 w 12192000"/>
              <a:gd name="connsiteY1877" fmla="*/ 5182216 h 6858000"/>
              <a:gd name="connsiteX1878" fmla="*/ 8952187 w 12192000"/>
              <a:gd name="connsiteY1878" fmla="*/ 5211868 h 6858000"/>
              <a:gd name="connsiteX1879" fmla="*/ 8919983 w 12192000"/>
              <a:gd name="connsiteY1879" fmla="*/ 5241520 h 6858000"/>
              <a:gd name="connsiteX1880" fmla="*/ 8998516 w 12192000"/>
              <a:gd name="connsiteY1880" fmla="*/ 5241520 h 6858000"/>
              <a:gd name="connsiteX1881" fmla="*/ 8966300 w 12192000"/>
              <a:gd name="connsiteY1881" fmla="*/ 5211868 h 6858000"/>
              <a:gd name="connsiteX1882" fmla="*/ 8998516 w 12192000"/>
              <a:gd name="connsiteY1882" fmla="*/ 5182216 h 6858000"/>
              <a:gd name="connsiteX1883" fmla="*/ 9030720 w 12192000"/>
              <a:gd name="connsiteY1883" fmla="*/ 5211868 h 6858000"/>
              <a:gd name="connsiteX1884" fmla="*/ 8998516 w 12192000"/>
              <a:gd name="connsiteY1884" fmla="*/ 5241520 h 6858000"/>
              <a:gd name="connsiteX1885" fmla="*/ 9077050 w 12192000"/>
              <a:gd name="connsiteY1885" fmla="*/ 5241520 h 6858000"/>
              <a:gd name="connsiteX1886" fmla="*/ 9044834 w 12192000"/>
              <a:gd name="connsiteY1886" fmla="*/ 5211868 h 6858000"/>
              <a:gd name="connsiteX1887" fmla="*/ 9077050 w 12192000"/>
              <a:gd name="connsiteY1887" fmla="*/ 5182216 h 6858000"/>
              <a:gd name="connsiteX1888" fmla="*/ 9109254 w 12192000"/>
              <a:gd name="connsiteY1888" fmla="*/ 5211868 h 6858000"/>
              <a:gd name="connsiteX1889" fmla="*/ 9077050 w 12192000"/>
              <a:gd name="connsiteY1889" fmla="*/ 5241520 h 6858000"/>
              <a:gd name="connsiteX1890" fmla="*/ 9155583 w 12192000"/>
              <a:gd name="connsiteY1890" fmla="*/ 5241520 h 6858000"/>
              <a:gd name="connsiteX1891" fmla="*/ 9123367 w 12192000"/>
              <a:gd name="connsiteY1891" fmla="*/ 5211868 h 6858000"/>
              <a:gd name="connsiteX1892" fmla="*/ 9155583 w 12192000"/>
              <a:gd name="connsiteY1892" fmla="*/ 5182216 h 6858000"/>
              <a:gd name="connsiteX1893" fmla="*/ 9187788 w 12192000"/>
              <a:gd name="connsiteY1893" fmla="*/ 5211868 h 6858000"/>
              <a:gd name="connsiteX1894" fmla="*/ 9155583 w 12192000"/>
              <a:gd name="connsiteY1894" fmla="*/ 5241520 h 6858000"/>
              <a:gd name="connsiteX1895" fmla="*/ 9234118 w 12192000"/>
              <a:gd name="connsiteY1895" fmla="*/ 5241520 h 6858000"/>
              <a:gd name="connsiteX1896" fmla="*/ 9201901 w 12192000"/>
              <a:gd name="connsiteY1896" fmla="*/ 5211868 h 6858000"/>
              <a:gd name="connsiteX1897" fmla="*/ 9234118 w 12192000"/>
              <a:gd name="connsiteY1897" fmla="*/ 5182216 h 6858000"/>
              <a:gd name="connsiteX1898" fmla="*/ 9266322 w 12192000"/>
              <a:gd name="connsiteY1898" fmla="*/ 5211868 h 6858000"/>
              <a:gd name="connsiteX1899" fmla="*/ 9234118 w 12192000"/>
              <a:gd name="connsiteY1899" fmla="*/ 5241520 h 6858000"/>
              <a:gd name="connsiteX1900" fmla="*/ 9312652 w 12192000"/>
              <a:gd name="connsiteY1900" fmla="*/ 5241520 h 6858000"/>
              <a:gd name="connsiteX1901" fmla="*/ 9280436 w 12192000"/>
              <a:gd name="connsiteY1901" fmla="*/ 5211868 h 6858000"/>
              <a:gd name="connsiteX1902" fmla="*/ 9312652 w 12192000"/>
              <a:gd name="connsiteY1902" fmla="*/ 5182216 h 6858000"/>
              <a:gd name="connsiteX1903" fmla="*/ 9344856 w 12192000"/>
              <a:gd name="connsiteY1903" fmla="*/ 5211868 h 6858000"/>
              <a:gd name="connsiteX1904" fmla="*/ 9312652 w 12192000"/>
              <a:gd name="connsiteY1904" fmla="*/ 5241520 h 6858000"/>
              <a:gd name="connsiteX1905" fmla="*/ 9391185 w 12192000"/>
              <a:gd name="connsiteY1905" fmla="*/ 5241520 h 6858000"/>
              <a:gd name="connsiteX1906" fmla="*/ 9358969 w 12192000"/>
              <a:gd name="connsiteY1906" fmla="*/ 5211868 h 6858000"/>
              <a:gd name="connsiteX1907" fmla="*/ 9391185 w 12192000"/>
              <a:gd name="connsiteY1907" fmla="*/ 5182216 h 6858000"/>
              <a:gd name="connsiteX1908" fmla="*/ 9423389 w 12192000"/>
              <a:gd name="connsiteY1908" fmla="*/ 5211868 h 6858000"/>
              <a:gd name="connsiteX1909" fmla="*/ 9391185 w 12192000"/>
              <a:gd name="connsiteY1909" fmla="*/ 5241520 h 6858000"/>
              <a:gd name="connsiteX1910" fmla="*/ 9469719 w 12192000"/>
              <a:gd name="connsiteY1910" fmla="*/ 5241520 h 6858000"/>
              <a:gd name="connsiteX1911" fmla="*/ 9437503 w 12192000"/>
              <a:gd name="connsiteY1911" fmla="*/ 5211868 h 6858000"/>
              <a:gd name="connsiteX1912" fmla="*/ 9469719 w 12192000"/>
              <a:gd name="connsiteY1912" fmla="*/ 5182216 h 6858000"/>
              <a:gd name="connsiteX1913" fmla="*/ 9501924 w 12192000"/>
              <a:gd name="connsiteY1913" fmla="*/ 5211868 h 6858000"/>
              <a:gd name="connsiteX1914" fmla="*/ 9469719 w 12192000"/>
              <a:gd name="connsiteY1914" fmla="*/ 5241520 h 6858000"/>
              <a:gd name="connsiteX1915" fmla="*/ 9548254 w 12192000"/>
              <a:gd name="connsiteY1915" fmla="*/ 5241520 h 6858000"/>
              <a:gd name="connsiteX1916" fmla="*/ 9516037 w 12192000"/>
              <a:gd name="connsiteY1916" fmla="*/ 5211868 h 6858000"/>
              <a:gd name="connsiteX1917" fmla="*/ 9548254 w 12192000"/>
              <a:gd name="connsiteY1917" fmla="*/ 5182216 h 6858000"/>
              <a:gd name="connsiteX1918" fmla="*/ 9580458 w 12192000"/>
              <a:gd name="connsiteY1918" fmla="*/ 5211868 h 6858000"/>
              <a:gd name="connsiteX1919" fmla="*/ 9548254 w 12192000"/>
              <a:gd name="connsiteY1919" fmla="*/ 5241520 h 6858000"/>
              <a:gd name="connsiteX1920" fmla="*/ 9626787 w 12192000"/>
              <a:gd name="connsiteY1920" fmla="*/ 5241520 h 6858000"/>
              <a:gd name="connsiteX1921" fmla="*/ 9594571 w 12192000"/>
              <a:gd name="connsiteY1921" fmla="*/ 5211868 h 6858000"/>
              <a:gd name="connsiteX1922" fmla="*/ 9626787 w 12192000"/>
              <a:gd name="connsiteY1922" fmla="*/ 5182216 h 6858000"/>
              <a:gd name="connsiteX1923" fmla="*/ 9658991 w 12192000"/>
              <a:gd name="connsiteY1923" fmla="*/ 5211868 h 6858000"/>
              <a:gd name="connsiteX1924" fmla="*/ 9626787 w 12192000"/>
              <a:gd name="connsiteY1924" fmla="*/ 5241520 h 6858000"/>
              <a:gd name="connsiteX1925" fmla="*/ 9705321 w 12192000"/>
              <a:gd name="connsiteY1925" fmla="*/ 5241520 h 6858000"/>
              <a:gd name="connsiteX1926" fmla="*/ 9673105 w 12192000"/>
              <a:gd name="connsiteY1926" fmla="*/ 5211868 h 6858000"/>
              <a:gd name="connsiteX1927" fmla="*/ 9705321 w 12192000"/>
              <a:gd name="connsiteY1927" fmla="*/ 5182216 h 6858000"/>
              <a:gd name="connsiteX1928" fmla="*/ 9737525 w 12192000"/>
              <a:gd name="connsiteY1928" fmla="*/ 5211868 h 6858000"/>
              <a:gd name="connsiteX1929" fmla="*/ 9705321 w 12192000"/>
              <a:gd name="connsiteY1929" fmla="*/ 5241520 h 6858000"/>
              <a:gd name="connsiteX1930" fmla="*/ 9783854 w 12192000"/>
              <a:gd name="connsiteY1930" fmla="*/ 5241520 h 6858000"/>
              <a:gd name="connsiteX1931" fmla="*/ 9751638 w 12192000"/>
              <a:gd name="connsiteY1931" fmla="*/ 5211868 h 6858000"/>
              <a:gd name="connsiteX1932" fmla="*/ 9783854 w 12192000"/>
              <a:gd name="connsiteY1932" fmla="*/ 5182216 h 6858000"/>
              <a:gd name="connsiteX1933" fmla="*/ 9816059 w 12192000"/>
              <a:gd name="connsiteY1933" fmla="*/ 5211868 h 6858000"/>
              <a:gd name="connsiteX1934" fmla="*/ 9783854 w 12192000"/>
              <a:gd name="connsiteY1934" fmla="*/ 5241520 h 6858000"/>
              <a:gd name="connsiteX1935" fmla="*/ 9862389 w 12192000"/>
              <a:gd name="connsiteY1935" fmla="*/ 5241520 h 6858000"/>
              <a:gd name="connsiteX1936" fmla="*/ 9830172 w 12192000"/>
              <a:gd name="connsiteY1936" fmla="*/ 5211868 h 6858000"/>
              <a:gd name="connsiteX1937" fmla="*/ 9862389 w 12192000"/>
              <a:gd name="connsiteY1937" fmla="*/ 5182216 h 6858000"/>
              <a:gd name="connsiteX1938" fmla="*/ 9894593 w 12192000"/>
              <a:gd name="connsiteY1938" fmla="*/ 5211868 h 6858000"/>
              <a:gd name="connsiteX1939" fmla="*/ 9862389 w 12192000"/>
              <a:gd name="connsiteY1939" fmla="*/ 5241520 h 6858000"/>
              <a:gd name="connsiteX1940" fmla="*/ 9940923 w 12192000"/>
              <a:gd name="connsiteY1940" fmla="*/ 5241520 h 6858000"/>
              <a:gd name="connsiteX1941" fmla="*/ 9908707 w 12192000"/>
              <a:gd name="connsiteY1941" fmla="*/ 5211868 h 6858000"/>
              <a:gd name="connsiteX1942" fmla="*/ 9940923 w 12192000"/>
              <a:gd name="connsiteY1942" fmla="*/ 5182216 h 6858000"/>
              <a:gd name="connsiteX1943" fmla="*/ 9973127 w 12192000"/>
              <a:gd name="connsiteY1943" fmla="*/ 5211868 h 6858000"/>
              <a:gd name="connsiteX1944" fmla="*/ 9940923 w 12192000"/>
              <a:gd name="connsiteY1944" fmla="*/ 5241520 h 6858000"/>
              <a:gd name="connsiteX1945" fmla="*/ 10019456 w 12192000"/>
              <a:gd name="connsiteY1945" fmla="*/ 5241520 h 6858000"/>
              <a:gd name="connsiteX1946" fmla="*/ 9987240 w 12192000"/>
              <a:gd name="connsiteY1946" fmla="*/ 5211868 h 6858000"/>
              <a:gd name="connsiteX1947" fmla="*/ 10019456 w 12192000"/>
              <a:gd name="connsiteY1947" fmla="*/ 5182216 h 6858000"/>
              <a:gd name="connsiteX1948" fmla="*/ 10051660 w 12192000"/>
              <a:gd name="connsiteY1948" fmla="*/ 5211868 h 6858000"/>
              <a:gd name="connsiteX1949" fmla="*/ 10019456 w 12192000"/>
              <a:gd name="connsiteY1949" fmla="*/ 5241520 h 6858000"/>
              <a:gd name="connsiteX1950" fmla="*/ 10097990 w 12192000"/>
              <a:gd name="connsiteY1950" fmla="*/ 5241520 h 6858000"/>
              <a:gd name="connsiteX1951" fmla="*/ 10065774 w 12192000"/>
              <a:gd name="connsiteY1951" fmla="*/ 5211868 h 6858000"/>
              <a:gd name="connsiteX1952" fmla="*/ 10097990 w 12192000"/>
              <a:gd name="connsiteY1952" fmla="*/ 5182216 h 6858000"/>
              <a:gd name="connsiteX1953" fmla="*/ 10130195 w 12192000"/>
              <a:gd name="connsiteY1953" fmla="*/ 5211868 h 6858000"/>
              <a:gd name="connsiteX1954" fmla="*/ 10097990 w 12192000"/>
              <a:gd name="connsiteY1954" fmla="*/ 5241520 h 6858000"/>
              <a:gd name="connsiteX1955" fmla="*/ 10176524 w 12192000"/>
              <a:gd name="connsiteY1955" fmla="*/ 5241520 h 6858000"/>
              <a:gd name="connsiteX1956" fmla="*/ 10144307 w 12192000"/>
              <a:gd name="connsiteY1956" fmla="*/ 5211868 h 6858000"/>
              <a:gd name="connsiteX1957" fmla="*/ 10176524 w 12192000"/>
              <a:gd name="connsiteY1957" fmla="*/ 5182216 h 6858000"/>
              <a:gd name="connsiteX1958" fmla="*/ 10208728 w 12192000"/>
              <a:gd name="connsiteY1958" fmla="*/ 5211868 h 6858000"/>
              <a:gd name="connsiteX1959" fmla="*/ 10176524 w 12192000"/>
              <a:gd name="connsiteY1959" fmla="*/ 5241520 h 6858000"/>
              <a:gd name="connsiteX1960" fmla="*/ 10255058 w 12192000"/>
              <a:gd name="connsiteY1960" fmla="*/ 5241520 h 6858000"/>
              <a:gd name="connsiteX1961" fmla="*/ 10222842 w 12192000"/>
              <a:gd name="connsiteY1961" fmla="*/ 5211868 h 6858000"/>
              <a:gd name="connsiteX1962" fmla="*/ 10255058 w 12192000"/>
              <a:gd name="connsiteY1962" fmla="*/ 5182216 h 6858000"/>
              <a:gd name="connsiteX1963" fmla="*/ 10287262 w 12192000"/>
              <a:gd name="connsiteY1963" fmla="*/ 5211868 h 6858000"/>
              <a:gd name="connsiteX1964" fmla="*/ 10255058 w 12192000"/>
              <a:gd name="connsiteY1964" fmla="*/ 5241520 h 6858000"/>
              <a:gd name="connsiteX1965" fmla="*/ 1773370 w 12192000"/>
              <a:gd name="connsiteY1965" fmla="*/ 5169254 h 6858000"/>
              <a:gd name="connsiteX1966" fmla="*/ 1741159 w 12192000"/>
              <a:gd name="connsiteY1966" fmla="*/ 5139602 h 6858000"/>
              <a:gd name="connsiteX1967" fmla="*/ 1773370 w 12192000"/>
              <a:gd name="connsiteY1967" fmla="*/ 5109950 h 6858000"/>
              <a:gd name="connsiteX1968" fmla="*/ 1805580 w 12192000"/>
              <a:gd name="connsiteY1968" fmla="*/ 5139602 h 6858000"/>
              <a:gd name="connsiteX1969" fmla="*/ 1773370 w 12192000"/>
              <a:gd name="connsiteY1969" fmla="*/ 5169254 h 6858000"/>
              <a:gd name="connsiteX1970" fmla="*/ 2087512 w 12192000"/>
              <a:gd name="connsiteY1970" fmla="*/ 5169254 h 6858000"/>
              <a:gd name="connsiteX1971" fmla="*/ 2055302 w 12192000"/>
              <a:gd name="connsiteY1971" fmla="*/ 5139602 h 6858000"/>
              <a:gd name="connsiteX1972" fmla="*/ 2087512 w 12192000"/>
              <a:gd name="connsiteY1972" fmla="*/ 5109950 h 6858000"/>
              <a:gd name="connsiteX1973" fmla="*/ 2119722 w 12192000"/>
              <a:gd name="connsiteY1973" fmla="*/ 5139602 h 6858000"/>
              <a:gd name="connsiteX1974" fmla="*/ 2087512 w 12192000"/>
              <a:gd name="connsiteY1974" fmla="*/ 5169254 h 6858000"/>
              <a:gd name="connsiteX1975" fmla="*/ 2166045 w 12192000"/>
              <a:gd name="connsiteY1975" fmla="*/ 5169254 h 6858000"/>
              <a:gd name="connsiteX1976" fmla="*/ 2133835 w 12192000"/>
              <a:gd name="connsiteY1976" fmla="*/ 5139602 h 6858000"/>
              <a:gd name="connsiteX1977" fmla="*/ 2166045 w 12192000"/>
              <a:gd name="connsiteY1977" fmla="*/ 5109950 h 6858000"/>
              <a:gd name="connsiteX1978" fmla="*/ 2198255 w 12192000"/>
              <a:gd name="connsiteY1978" fmla="*/ 5139602 h 6858000"/>
              <a:gd name="connsiteX1979" fmla="*/ 2166045 w 12192000"/>
              <a:gd name="connsiteY1979" fmla="*/ 5169254 h 6858000"/>
              <a:gd name="connsiteX1980" fmla="*/ 2244579 w 12192000"/>
              <a:gd name="connsiteY1980" fmla="*/ 5169254 h 6858000"/>
              <a:gd name="connsiteX1981" fmla="*/ 2212369 w 12192000"/>
              <a:gd name="connsiteY1981" fmla="*/ 5139602 h 6858000"/>
              <a:gd name="connsiteX1982" fmla="*/ 2244579 w 12192000"/>
              <a:gd name="connsiteY1982" fmla="*/ 5109950 h 6858000"/>
              <a:gd name="connsiteX1983" fmla="*/ 2276790 w 12192000"/>
              <a:gd name="connsiteY1983" fmla="*/ 5139602 h 6858000"/>
              <a:gd name="connsiteX1984" fmla="*/ 2244579 w 12192000"/>
              <a:gd name="connsiteY1984" fmla="*/ 5169254 h 6858000"/>
              <a:gd name="connsiteX1985" fmla="*/ 2323114 w 12192000"/>
              <a:gd name="connsiteY1985" fmla="*/ 5169254 h 6858000"/>
              <a:gd name="connsiteX1986" fmla="*/ 2290903 w 12192000"/>
              <a:gd name="connsiteY1986" fmla="*/ 5139602 h 6858000"/>
              <a:gd name="connsiteX1987" fmla="*/ 2323114 w 12192000"/>
              <a:gd name="connsiteY1987" fmla="*/ 5109950 h 6858000"/>
              <a:gd name="connsiteX1988" fmla="*/ 2355324 w 12192000"/>
              <a:gd name="connsiteY1988" fmla="*/ 5139602 h 6858000"/>
              <a:gd name="connsiteX1989" fmla="*/ 2323114 w 12192000"/>
              <a:gd name="connsiteY1989" fmla="*/ 5169254 h 6858000"/>
              <a:gd name="connsiteX1990" fmla="*/ 2401647 w 12192000"/>
              <a:gd name="connsiteY1990" fmla="*/ 5169254 h 6858000"/>
              <a:gd name="connsiteX1991" fmla="*/ 2369437 w 12192000"/>
              <a:gd name="connsiteY1991" fmla="*/ 5139602 h 6858000"/>
              <a:gd name="connsiteX1992" fmla="*/ 2401647 w 12192000"/>
              <a:gd name="connsiteY1992" fmla="*/ 5109950 h 6858000"/>
              <a:gd name="connsiteX1993" fmla="*/ 2433857 w 12192000"/>
              <a:gd name="connsiteY1993" fmla="*/ 5139602 h 6858000"/>
              <a:gd name="connsiteX1994" fmla="*/ 2401647 w 12192000"/>
              <a:gd name="connsiteY1994" fmla="*/ 5169254 h 6858000"/>
              <a:gd name="connsiteX1995" fmla="*/ 2480181 w 12192000"/>
              <a:gd name="connsiteY1995" fmla="*/ 5169254 h 6858000"/>
              <a:gd name="connsiteX1996" fmla="*/ 2447971 w 12192000"/>
              <a:gd name="connsiteY1996" fmla="*/ 5139602 h 6858000"/>
              <a:gd name="connsiteX1997" fmla="*/ 2480181 w 12192000"/>
              <a:gd name="connsiteY1997" fmla="*/ 5109950 h 6858000"/>
              <a:gd name="connsiteX1998" fmla="*/ 2512391 w 12192000"/>
              <a:gd name="connsiteY1998" fmla="*/ 5139602 h 6858000"/>
              <a:gd name="connsiteX1999" fmla="*/ 2480181 w 12192000"/>
              <a:gd name="connsiteY1999" fmla="*/ 5169254 h 6858000"/>
              <a:gd name="connsiteX2000" fmla="*/ 2558715 w 12192000"/>
              <a:gd name="connsiteY2000" fmla="*/ 5169254 h 6858000"/>
              <a:gd name="connsiteX2001" fmla="*/ 2526505 w 12192000"/>
              <a:gd name="connsiteY2001" fmla="*/ 5139602 h 6858000"/>
              <a:gd name="connsiteX2002" fmla="*/ 2558715 w 12192000"/>
              <a:gd name="connsiteY2002" fmla="*/ 5109950 h 6858000"/>
              <a:gd name="connsiteX2003" fmla="*/ 2590926 w 12192000"/>
              <a:gd name="connsiteY2003" fmla="*/ 5139602 h 6858000"/>
              <a:gd name="connsiteX2004" fmla="*/ 2558715 w 12192000"/>
              <a:gd name="connsiteY2004" fmla="*/ 5169254 h 6858000"/>
              <a:gd name="connsiteX2005" fmla="*/ 2637243 w 12192000"/>
              <a:gd name="connsiteY2005" fmla="*/ 5169254 h 6858000"/>
              <a:gd name="connsiteX2006" fmla="*/ 2605032 w 12192000"/>
              <a:gd name="connsiteY2006" fmla="*/ 5139602 h 6858000"/>
              <a:gd name="connsiteX2007" fmla="*/ 2637243 w 12192000"/>
              <a:gd name="connsiteY2007" fmla="*/ 5109950 h 6858000"/>
              <a:gd name="connsiteX2008" fmla="*/ 2669453 w 12192000"/>
              <a:gd name="connsiteY2008" fmla="*/ 5139602 h 6858000"/>
              <a:gd name="connsiteX2009" fmla="*/ 2637243 w 12192000"/>
              <a:gd name="connsiteY2009" fmla="*/ 5169254 h 6858000"/>
              <a:gd name="connsiteX2010" fmla="*/ 2715777 w 12192000"/>
              <a:gd name="connsiteY2010" fmla="*/ 5169254 h 6858000"/>
              <a:gd name="connsiteX2011" fmla="*/ 2683566 w 12192000"/>
              <a:gd name="connsiteY2011" fmla="*/ 5139602 h 6858000"/>
              <a:gd name="connsiteX2012" fmla="*/ 2715777 w 12192000"/>
              <a:gd name="connsiteY2012" fmla="*/ 5109950 h 6858000"/>
              <a:gd name="connsiteX2013" fmla="*/ 2747987 w 12192000"/>
              <a:gd name="connsiteY2013" fmla="*/ 5139602 h 6858000"/>
              <a:gd name="connsiteX2014" fmla="*/ 2715777 w 12192000"/>
              <a:gd name="connsiteY2014" fmla="*/ 5169254 h 6858000"/>
              <a:gd name="connsiteX2015" fmla="*/ 2794310 w 12192000"/>
              <a:gd name="connsiteY2015" fmla="*/ 5169254 h 6858000"/>
              <a:gd name="connsiteX2016" fmla="*/ 2762100 w 12192000"/>
              <a:gd name="connsiteY2016" fmla="*/ 5139602 h 6858000"/>
              <a:gd name="connsiteX2017" fmla="*/ 2794310 w 12192000"/>
              <a:gd name="connsiteY2017" fmla="*/ 5109950 h 6858000"/>
              <a:gd name="connsiteX2018" fmla="*/ 2826520 w 12192000"/>
              <a:gd name="connsiteY2018" fmla="*/ 5139602 h 6858000"/>
              <a:gd name="connsiteX2019" fmla="*/ 2794310 w 12192000"/>
              <a:gd name="connsiteY2019" fmla="*/ 5169254 h 6858000"/>
              <a:gd name="connsiteX2020" fmla="*/ 2872844 w 12192000"/>
              <a:gd name="connsiteY2020" fmla="*/ 5169254 h 6858000"/>
              <a:gd name="connsiteX2021" fmla="*/ 2840634 w 12192000"/>
              <a:gd name="connsiteY2021" fmla="*/ 5139602 h 6858000"/>
              <a:gd name="connsiteX2022" fmla="*/ 2872844 w 12192000"/>
              <a:gd name="connsiteY2022" fmla="*/ 5109950 h 6858000"/>
              <a:gd name="connsiteX2023" fmla="*/ 2905055 w 12192000"/>
              <a:gd name="connsiteY2023" fmla="*/ 5139602 h 6858000"/>
              <a:gd name="connsiteX2024" fmla="*/ 2872844 w 12192000"/>
              <a:gd name="connsiteY2024" fmla="*/ 5169254 h 6858000"/>
              <a:gd name="connsiteX2025" fmla="*/ 2951379 w 12192000"/>
              <a:gd name="connsiteY2025" fmla="*/ 5169254 h 6858000"/>
              <a:gd name="connsiteX2026" fmla="*/ 2919168 w 12192000"/>
              <a:gd name="connsiteY2026" fmla="*/ 5139602 h 6858000"/>
              <a:gd name="connsiteX2027" fmla="*/ 2951379 w 12192000"/>
              <a:gd name="connsiteY2027" fmla="*/ 5109950 h 6858000"/>
              <a:gd name="connsiteX2028" fmla="*/ 2983589 w 12192000"/>
              <a:gd name="connsiteY2028" fmla="*/ 5139602 h 6858000"/>
              <a:gd name="connsiteX2029" fmla="*/ 2951379 w 12192000"/>
              <a:gd name="connsiteY2029" fmla="*/ 5169254 h 6858000"/>
              <a:gd name="connsiteX2030" fmla="*/ 3029912 w 12192000"/>
              <a:gd name="connsiteY2030" fmla="*/ 5169254 h 6858000"/>
              <a:gd name="connsiteX2031" fmla="*/ 2997701 w 12192000"/>
              <a:gd name="connsiteY2031" fmla="*/ 5139602 h 6858000"/>
              <a:gd name="connsiteX2032" fmla="*/ 3029912 w 12192000"/>
              <a:gd name="connsiteY2032" fmla="*/ 5109950 h 6858000"/>
              <a:gd name="connsiteX2033" fmla="*/ 3062122 w 12192000"/>
              <a:gd name="connsiteY2033" fmla="*/ 5139602 h 6858000"/>
              <a:gd name="connsiteX2034" fmla="*/ 3029912 w 12192000"/>
              <a:gd name="connsiteY2034" fmla="*/ 5169254 h 6858000"/>
              <a:gd name="connsiteX2035" fmla="*/ 3108446 w 12192000"/>
              <a:gd name="connsiteY2035" fmla="*/ 5169254 h 6858000"/>
              <a:gd name="connsiteX2036" fmla="*/ 3076236 w 12192000"/>
              <a:gd name="connsiteY2036" fmla="*/ 5139602 h 6858000"/>
              <a:gd name="connsiteX2037" fmla="*/ 3108446 w 12192000"/>
              <a:gd name="connsiteY2037" fmla="*/ 5109950 h 6858000"/>
              <a:gd name="connsiteX2038" fmla="*/ 3140656 w 12192000"/>
              <a:gd name="connsiteY2038" fmla="*/ 5139602 h 6858000"/>
              <a:gd name="connsiteX2039" fmla="*/ 3108446 w 12192000"/>
              <a:gd name="connsiteY2039" fmla="*/ 5169254 h 6858000"/>
              <a:gd name="connsiteX2040" fmla="*/ 3186979 w 12192000"/>
              <a:gd name="connsiteY2040" fmla="*/ 5169254 h 6858000"/>
              <a:gd name="connsiteX2041" fmla="*/ 3154769 w 12192000"/>
              <a:gd name="connsiteY2041" fmla="*/ 5139602 h 6858000"/>
              <a:gd name="connsiteX2042" fmla="*/ 3186979 w 12192000"/>
              <a:gd name="connsiteY2042" fmla="*/ 5109950 h 6858000"/>
              <a:gd name="connsiteX2043" fmla="*/ 3219190 w 12192000"/>
              <a:gd name="connsiteY2043" fmla="*/ 5139602 h 6858000"/>
              <a:gd name="connsiteX2044" fmla="*/ 3186979 w 12192000"/>
              <a:gd name="connsiteY2044" fmla="*/ 5169254 h 6858000"/>
              <a:gd name="connsiteX2045" fmla="*/ 3344048 w 12192000"/>
              <a:gd name="connsiteY2045" fmla="*/ 5169254 h 6858000"/>
              <a:gd name="connsiteX2046" fmla="*/ 3311837 w 12192000"/>
              <a:gd name="connsiteY2046" fmla="*/ 5139602 h 6858000"/>
              <a:gd name="connsiteX2047" fmla="*/ 3344048 w 12192000"/>
              <a:gd name="connsiteY2047" fmla="*/ 5109950 h 6858000"/>
              <a:gd name="connsiteX2048" fmla="*/ 3376258 w 12192000"/>
              <a:gd name="connsiteY2048" fmla="*/ 5139602 h 6858000"/>
              <a:gd name="connsiteX2049" fmla="*/ 3344048 w 12192000"/>
              <a:gd name="connsiteY2049" fmla="*/ 5169254 h 6858000"/>
              <a:gd name="connsiteX2050" fmla="*/ 3422581 w 12192000"/>
              <a:gd name="connsiteY2050" fmla="*/ 5169254 h 6858000"/>
              <a:gd name="connsiteX2051" fmla="*/ 3390371 w 12192000"/>
              <a:gd name="connsiteY2051" fmla="*/ 5139602 h 6858000"/>
              <a:gd name="connsiteX2052" fmla="*/ 3422581 w 12192000"/>
              <a:gd name="connsiteY2052" fmla="*/ 5109950 h 6858000"/>
              <a:gd name="connsiteX2053" fmla="*/ 3454791 w 12192000"/>
              <a:gd name="connsiteY2053" fmla="*/ 5139602 h 6858000"/>
              <a:gd name="connsiteX2054" fmla="*/ 3422581 w 12192000"/>
              <a:gd name="connsiteY2054" fmla="*/ 5169254 h 6858000"/>
              <a:gd name="connsiteX2055" fmla="*/ 3579650 w 12192000"/>
              <a:gd name="connsiteY2055" fmla="*/ 5169254 h 6858000"/>
              <a:gd name="connsiteX2056" fmla="*/ 3547439 w 12192000"/>
              <a:gd name="connsiteY2056" fmla="*/ 5139602 h 6858000"/>
              <a:gd name="connsiteX2057" fmla="*/ 3579650 w 12192000"/>
              <a:gd name="connsiteY2057" fmla="*/ 5109950 h 6858000"/>
              <a:gd name="connsiteX2058" fmla="*/ 3611860 w 12192000"/>
              <a:gd name="connsiteY2058" fmla="*/ 5139602 h 6858000"/>
              <a:gd name="connsiteX2059" fmla="*/ 3579650 w 12192000"/>
              <a:gd name="connsiteY2059" fmla="*/ 5169254 h 6858000"/>
              <a:gd name="connsiteX2060" fmla="*/ 3815250 w 12192000"/>
              <a:gd name="connsiteY2060" fmla="*/ 5169254 h 6858000"/>
              <a:gd name="connsiteX2061" fmla="*/ 3783040 w 12192000"/>
              <a:gd name="connsiteY2061" fmla="*/ 5139602 h 6858000"/>
              <a:gd name="connsiteX2062" fmla="*/ 3815250 w 12192000"/>
              <a:gd name="connsiteY2062" fmla="*/ 5109950 h 6858000"/>
              <a:gd name="connsiteX2063" fmla="*/ 3847461 w 12192000"/>
              <a:gd name="connsiteY2063" fmla="*/ 5139602 h 6858000"/>
              <a:gd name="connsiteX2064" fmla="*/ 3815250 w 12192000"/>
              <a:gd name="connsiteY2064" fmla="*/ 5169254 h 6858000"/>
              <a:gd name="connsiteX2065" fmla="*/ 3972319 w 12192000"/>
              <a:gd name="connsiteY2065" fmla="*/ 5169254 h 6858000"/>
              <a:gd name="connsiteX2066" fmla="*/ 3940108 w 12192000"/>
              <a:gd name="connsiteY2066" fmla="*/ 5139602 h 6858000"/>
              <a:gd name="connsiteX2067" fmla="*/ 3972319 w 12192000"/>
              <a:gd name="connsiteY2067" fmla="*/ 5109950 h 6858000"/>
              <a:gd name="connsiteX2068" fmla="*/ 4004529 w 12192000"/>
              <a:gd name="connsiteY2068" fmla="*/ 5139602 h 6858000"/>
              <a:gd name="connsiteX2069" fmla="*/ 3972319 w 12192000"/>
              <a:gd name="connsiteY2069" fmla="*/ 5169254 h 6858000"/>
              <a:gd name="connsiteX2070" fmla="*/ 4050852 w 12192000"/>
              <a:gd name="connsiteY2070" fmla="*/ 5169254 h 6858000"/>
              <a:gd name="connsiteX2071" fmla="*/ 4018642 w 12192000"/>
              <a:gd name="connsiteY2071" fmla="*/ 5139602 h 6858000"/>
              <a:gd name="connsiteX2072" fmla="*/ 4050852 w 12192000"/>
              <a:gd name="connsiteY2072" fmla="*/ 5109950 h 6858000"/>
              <a:gd name="connsiteX2073" fmla="*/ 4083062 w 12192000"/>
              <a:gd name="connsiteY2073" fmla="*/ 5139602 h 6858000"/>
              <a:gd name="connsiteX2074" fmla="*/ 4050852 w 12192000"/>
              <a:gd name="connsiteY2074" fmla="*/ 5169254 h 6858000"/>
              <a:gd name="connsiteX2075" fmla="*/ 4129386 w 12192000"/>
              <a:gd name="connsiteY2075" fmla="*/ 5169254 h 6858000"/>
              <a:gd name="connsiteX2076" fmla="*/ 4097176 w 12192000"/>
              <a:gd name="connsiteY2076" fmla="*/ 5139602 h 6858000"/>
              <a:gd name="connsiteX2077" fmla="*/ 4129386 w 12192000"/>
              <a:gd name="connsiteY2077" fmla="*/ 5109950 h 6858000"/>
              <a:gd name="connsiteX2078" fmla="*/ 4161597 w 12192000"/>
              <a:gd name="connsiteY2078" fmla="*/ 5139602 h 6858000"/>
              <a:gd name="connsiteX2079" fmla="*/ 4129386 w 12192000"/>
              <a:gd name="connsiteY2079" fmla="*/ 5169254 h 6858000"/>
              <a:gd name="connsiteX2080" fmla="*/ 4207926 w 12192000"/>
              <a:gd name="connsiteY2080" fmla="*/ 5169254 h 6858000"/>
              <a:gd name="connsiteX2081" fmla="*/ 4175715 w 12192000"/>
              <a:gd name="connsiteY2081" fmla="*/ 5139602 h 6858000"/>
              <a:gd name="connsiteX2082" fmla="*/ 4207926 w 12192000"/>
              <a:gd name="connsiteY2082" fmla="*/ 5109950 h 6858000"/>
              <a:gd name="connsiteX2083" fmla="*/ 4240136 w 12192000"/>
              <a:gd name="connsiteY2083" fmla="*/ 5139602 h 6858000"/>
              <a:gd name="connsiteX2084" fmla="*/ 4207926 w 12192000"/>
              <a:gd name="connsiteY2084" fmla="*/ 5169254 h 6858000"/>
              <a:gd name="connsiteX2085" fmla="*/ 4757663 w 12192000"/>
              <a:gd name="connsiteY2085" fmla="*/ 5169254 h 6858000"/>
              <a:gd name="connsiteX2086" fmla="*/ 4725453 w 12192000"/>
              <a:gd name="connsiteY2086" fmla="*/ 5139602 h 6858000"/>
              <a:gd name="connsiteX2087" fmla="*/ 4757663 w 12192000"/>
              <a:gd name="connsiteY2087" fmla="*/ 5109950 h 6858000"/>
              <a:gd name="connsiteX2088" fmla="*/ 4789874 w 12192000"/>
              <a:gd name="connsiteY2088" fmla="*/ 5139602 h 6858000"/>
              <a:gd name="connsiteX2089" fmla="*/ 4757663 w 12192000"/>
              <a:gd name="connsiteY2089" fmla="*/ 5169254 h 6858000"/>
              <a:gd name="connsiteX2090" fmla="*/ 4836197 w 12192000"/>
              <a:gd name="connsiteY2090" fmla="*/ 5169254 h 6858000"/>
              <a:gd name="connsiteX2091" fmla="*/ 4803986 w 12192000"/>
              <a:gd name="connsiteY2091" fmla="*/ 5139602 h 6858000"/>
              <a:gd name="connsiteX2092" fmla="*/ 4836197 w 12192000"/>
              <a:gd name="connsiteY2092" fmla="*/ 5109950 h 6858000"/>
              <a:gd name="connsiteX2093" fmla="*/ 4868407 w 12192000"/>
              <a:gd name="connsiteY2093" fmla="*/ 5139602 h 6858000"/>
              <a:gd name="connsiteX2094" fmla="*/ 4836197 w 12192000"/>
              <a:gd name="connsiteY2094" fmla="*/ 5169254 h 6858000"/>
              <a:gd name="connsiteX2095" fmla="*/ 4914731 w 12192000"/>
              <a:gd name="connsiteY2095" fmla="*/ 5169254 h 6858000"/>
              <a:gd name="connsiteX2096" fmla="*/ 4882521 w 12192000"/>
              <a:gd name="connsiteY2096" fmla="*/ 5139602 h 6858000"/>
              <a:gd name="connsiteX2097" fmla="*/ 4914731 w 12192000"/>
              <a:gd name="connsiteY2097" fmla="*/ 5109950 h 6858000"/>
              <a:gd name="connsiteX2098" fmla="*/ 4946941 w 12192000"/>
              <a:gd name="connsiteY2098" fmla="*/ 5139602 h 6858000"/>
              <a:gd name="connsiteX2099" fmla="*/ 4914731 w 12192000"/>
              <a:gd name="connsiteY2099" fmla="*/ 5169254 h 6858000"/>
              <a:gd name="connsiteX2100" fmla="*/ 4993265 w 12192000"/>
              <a:gd name="connsiteY2100" fmla="*/ 5169254 h 6858000"/>
              <a:gd name="connsiteX2101" fmla="*/ 4961055 w 12192000"/>
              <a:gd name="connsiteY2101" fmla="*/ 5139602 h 6858000"/>
              <a:gd name="connsiteX2102" fmla="*/ 4993265 w 12192000"/>
              <a:gd name="connsiteY2102" fmla="*/ 5109950 h 6858000"/>
              <a:gd name="connsiteX2103" fmla="*/ 5025475 w 12192000"/>
              <a:gd name="connsiteY2103" fmla="*/ 5139602 h 6858000"/>
              <a:gd name="connsiteX2104" fmla="*/ 4993265 w 12192000"/>
              <a:gd name="connsiteY2104" fmla="*/ 5169254 h 6858000"/>
              <a:gd name="connsiteX2105" fmla="*/ 5071798 w 12192000"/>
              <a:gd name="connsiteY2105" fmla="*/ 5169254 h 6858000"/>
              <a:gd name="connsiteX2106" fmla="*/ 5039588 w 12192000"/>
              <a:gd name="connsiteY2106" fmla="*/ 5139602 h 6858000"/>
              <a:gd name="connsiteX2107" fmla="*/ 5071798 w 12192000"/>
              <a:gd name="connsiteY2107" fmla="*/ 5109950 h 6858000"/>
              <a:gd name="connsiteX2108" fmla="*/ 5104009 w 12192000"/>
              <a:gd name="connsiteY2108" fmla="*/ 5139602 h 6858000"/>
              <a:gd name="connsiteX2109" fmla="*/ 5071798 w 12192000"/>
              <a:gd name="connsiteY2109" fmla="*/ 5169254 h 6858000"/>
              <a:gd name="connsiteX2110" fmla="*/ 5150333 w 12192000"/>
              <a:gd name="connsiteY2110" fmla="*/ 5169254 h 6858000"/>
              <a:gd name="connsiteX2111" fmla="*/ 5118122 w 12192000"/>
              <a:gd name="connsiteY2111" fmla="*/ 5139602 h 6858000"/>
              <a:gd name="connsiteX2112" fmla="*/ 5150333 w 12192000"/>
              <a:gd name="connsiteY2112" fmla="*/ 5109950 h 6858000"/>
              <a:gd name="connsiteX2113" fmla="*/ 5182543 w 12192000"/>
              <a:gd name="connsiteY2113" fmla="*/ 5139602 h 6858000"/>
              <a:gd name="connsiteX2114" fmla="*/ 5150333 w 12192000"/>
              <a:gd name="connsiteY2114" fmla="*/ 5169254 h 6858000"/>
              <a:gd name="connsiteX2115" fmla="*/ 5228867 w 12192000"/>
              <a:gd name="connsiteY2115" fmla="*/ 5169254 h 6858000"/>
              <a:gd name="connsiteX2116" fmla="*/ 5196657 w 12192000"/>
              <a:gd name="connsiteY2116" fmla="*/ 5139602 h 6858000"/>
              <a:gd name="connsiteX2117" fmla="*/ 5228867 w 12192000"/>
              <a:gd name="connsiteY2117" fmla="*/ 5109950 h 6858000"/>
              <a:gd name="connsiteX2118" fmla="*/ 5261077 w 12192000"/>
              <a:gd name="connsiteY2118" fmla="*/ 5139602 h 6858000"/>
              <a:gd name="connsiteX2119" fmla="*/ 5228867 w 12192000"/>
              <a:gd name="connsiteY2119" fmla="*/ 5169254 h 6858000"/>
              <a:gd name="connsiteX2120" fmla="*/ 5307400 w 12192000"/>
              <a:gd name="connsiteY2120" fmla="*/ 5169254 h 6858000"/>
              <a:gd name="connsiteX2121" fmla="*/ 5275190 w 12192000"/>
              <a:gd name="connsiteY2121" fmla="*/ 5139602 h 6858000"/>
              <a:gd name="connsiteX2122" fmla="*/ 5307400 w 12192000"/>
              <a:gd name="connsiteY2122" fmla="*/ 5109950 h 6858000"/>
              <a:gd name="connsiteX2123" fmla="*/ 5339610 w 12192000"/>
              <a:gd name="connsiteY2123" fmla="*/ 5139602 h 6858000"/>
              <a:gd name="connsiteX2124" fmla="*/ 5307400 w 12192000"/>
              <a:gd name="connsiteY2124" fmla="*/ 5169254 h 6858000"/>
              <a:gd name="connsiteX2125" fmla="*/ 7113703 w 12192000"/>
              <a:gd name="connsiteY2125" fmla="*/ 5169254 h 6858000"/>
              <a:gd name="connsiteX2126" fmla="*/ 7081487 w 12192000"/>
              <a:gd name="connsiteY2126" fmla="*/ 5139602 h 6858000"/>
              <a:gd name="connsiteX2127" fmla="*/ 7113703 w 12192000"/>
              <a:gd name="connsiteY2127" fmla="*/ 5109950 h 6858000"/>
              <a:gd name="connsiteX2128" fmla="*/ 7145907 w 12192000"/>
              <a:gd name="connsiteY2128" fmla="*/ 5139602 h 6858000"/>
              <a:gd name="connsiteX2129" fmla="*/ 7113703 w 12192000"/>
              <a:gd name="connsiteY2129" fmla="*/ 5169254 h 6858000"/>
              <a:gd name="connsiteX2130" fmla="*/ 7506373 w 12192000"/>
              <a:gd name="connsiteY2130" fmla="*/ 5169254 h 6858000"/>
              <a:gd name="connsiteX2131" fmla="*/ 7474157 w 12192000"/>
              <a:gd name="connsiteY2131" fmla="*/ 5139602 h 6858000"/>
              <a:gd name="connsiteX2132" fmla="*/ 7506373 w 12192000"/>
              <a:gd name="connsiteY2132" fmla="*/ 5109950 h 6858000"/>
              <a:gd name="connsiteX2133" fmla="*/ 7538577 w 12192000"/>
              <a:gd name="connsiteY2133" fmla="*/ 5139602 h 6858000"/>
              <a:gd name="connsiteX2134" fmla="*/ 7506373 w 12192000"/>
              <a:gd name="connsiteY2134" fmla="*/ 5169254 h 6858000"/>
              <a:gd name="connsiteX2135" fmla="*/ 7584906 w 12192000"/>
              <a:gd name="connsiteY2135" fmla="*/ 5169254 h 6858000"/>
              <a:gd name="connsiteX2136" fmla="*/ 7552690 w 12192000"/>
              <a:gd name="connsiteY2136" fmla="*/ 5139602 h 6858000"/>
              <a:gd name="connsiteX2137" fmla="*/ 7584906 w 12192000"/>
              <a:gd name="connsiteY2137" fmla="*/ 5109950 h 6858000"/>
              <a:gd name="connsiteX2138" fmla="*/ 7617111 w 12192000"/>
              <a:gd name="connsiteY2138" fmla="*/ 5139602 h 6858000"/>
              <a:gd name="connsiteX2139" fmla="*/ 7584906 w 12192000"/>
              <a:gd name="connsiteY2139" fmla="*/ 5169254 h 6858000"/>
              <a:gd name="connsiteX2140" fmla="*/ 7663441 w 12192000"/>
              <a:gd name="connsiteY2140" fmla="*/ 5169254 h 6858000"/>
              <a:gd name="connsiteX2141" fmla="*/ 7631224 w 12192000"/>
              <a:gd name="connsiteY2141" fmla="*/ 5139602 h 6858000"/>
              <a:gd name="connsiteX2142" fmla="*/ 7663441 w 12192000"/>
              <a:gd name="connsiteY2142" fmla="*/ 5109950 h 6858000"/>
              <a:gd name="connsiteX2143" fmla="*/ 7695645 w 12192000"/>
              <a:gd name="connsiteY2143" fmla="*/ 5139602 h 6858000"/>
              <a:gd name="connsiteX2144" fmla="*/ 7663441 w 12192000"/>
              <a:gd name="connsiteY2144" fmla="*/ 5169254 h 6858000"/>
              <a:gd name="connsiteX2145" fmla="*/ 7820508 w 12192000"/>
              <a:gd name="connsiteY2145" fmla="*/ 5169254 h 6858000"/>
              <a:gd name="connsiteX2146" fmla="*/ 7788292 w 12192000"/>
              <a:gd name="connsiteY2146" fmla="*/ 5139602 h 6858000"/>
              <a:gd name="connsiteX2147" fmla="*/ 7820508 w 12192000"/>
              <a:gd name="connsiteY2147" fmla="*/ 5109950 h 6858000"/>
              <a:gd name="connsiteX2148" fmla="*/ 7852712 w 12192000"/>
              <a:gd name="connsiteY2148" fmla="*/ 5139602 h 6858000"/>
              <a:gd name="connsiteX2149" fmla="*/ 7820508 w 12192000"/>
              <a:gd name="connsiteY2149" fmla="*/ 5169254 h 6858000"/>
              <a:gd name="connsiteX2150" fmla="*/ 7899042 w 12192000"/>
              <a:gd name="connsiteY2150" fmla="*/ 5169254 h 6858000"/>
              <a:gd name="connsiteX2151" fmla="*/ 7866826 w 12192000"/>
              <a:gd name="connsiteY2151" fmla="*/ 5139602 h 6858000"/>
              <a:gd name="connsiteX2152" fmla="*/ 7899042 w 12192000"/>
              <a:gd name="connsiteY2152" fmla="*/ 5109950 h 6858000"/>
              <a:gd name="connsiteX2153" fmla="*/ 7931247 w 12192000"/>
              <a:gd name="connsiteY2153" fmla="*/ 5139602 h 6858000"/>
              <a:gd name="connsiteX2154" fmla="*/ 7899042 w 12192000"/>
              <a:gd name="connsiteY2154" fmla="*/ 5169254 h 6858000"/>
              <a:gd name="connsiteX2155" fmla="*/ 7977576 w 12192000"/>
              <a:gd name="connsiteY2155" fmla="*/ 5169254 h 6858000"/>
              <a:gd name="connsiteX2156" fmla="*/ 7945359 w 12192000"/>
              <a:gd name="connsiteY2156" fmla="*/ 5139602 h 6858000"/>
              <a:gd name="connsiteX2157" fmla="*/ 7977576 w 12192000"/>
              <a:gd name="connsiteY2157" fmla="*/ 5109950 h 6858000"/>
              <a:gd name="connsiteX2158" fmla="*/ 8009780 w 12192000"/>
              <a:gd name="connsiteY2158" fmla="*/ 5139602 h 6858000"/>
              <a:gd name="connsiteX2159" fmla="*/ 7977576 w 12192000"/>
              <a:gd name="connsiteY2159" fmla="*/ 5169254 h 6858000"/>
              <a:gd name="connsiteX2160" fmla="*/ 8056110 w 12192000"/>
              <a:gd name="connsiteY2160" fmla="*/ 5169254 h 6858000"/>
              <a:gd name="connsiteX2161" fmla="*/ 8023894 w 12192000"/>
              <a:gd name="connsiteY2161" fmla="*/ 5139602 h 6858000"/>
              <a:gd name="connsiteX2162" fmla="*/ 8056110 w 12192000"/>
              <a:gd name="connsiteY2162" fmla="*/ 5109950 h 6858000"/>
              <a:gd name="connsiteX2163" fmla="*/ 8088314 w 12192000"/>
              <a:gd name="connsiteY2163" fmla="*/ 5139602 h 6858000"/>
              <a:gd name="connsiteX2164" fmla="*/ 8056110 w 12192000"/>
              <a:gd name="connsiteY2164" fmla="*/ 5169254 h 6858000"/>
              <a:gd name="connsiteX2165" fmla="*/ 8134643 w 12192000"/>
              <a:gd name="connsiteY2165" fmla="*/ 5169254 h 6858000"/>
              <a:gd name="connsiteX2166" fmla="*/ 8102427 w 12192000"/>
              <a:gd name="connsiteY2166" fmla="*/ 5139602 h 6858000"/>
              <a:gd name="connsiteX2167" fmla="*/ 8134643 w 12192000"/>
              <a:gd name="connsiteY2167" fmla="*/ 5109950 h 6858000"/>
              <a:gd name="connsiteX2168" fmla="*/ 8166847 w 12192000"/>
              <a:gd name="connsiteY2168" fmla="*/ 5139602 h 6858000"/>
              <a:gd name="connsiteX2169" fmla="*/ 8134643 w 12192000"/>
              <a:gd name="connsiteY2169" fmla="*/ 5169254 h 6858000"/>
              <a:gd name="connsiteX2170" fmla="*/ 8213177 w 12192000"/>
              <a:gd name="connsiteY2170" fmla="*/ 5169254 h 6858000"/>
              <a:gd name="connsiteX2171" fmla="*/ 8180961 w 12192000"/>
              <a:gd name="connsiteY2171" fmla="*/ 5139602 h 6858000"/>
              <a:gd name="connsiteX2172" fmla="*/ 8213177 w 12192000"/>
              <a:gd name="connsiteY2172" fmla="*/ 5109950 h 6858000"/>
              <a:gd name="connsiteX2173" fmla="*/ 8245382 w 12192000"/>
              <a:gd name="connsiteY2173" fmla="*/ 5139602 h 6858000"/>
              <a:gd name="connsiteX2174" fmla="*/ 8213177 w 12192000"/>
              <a:gd name="connsiteY2174" fmla="*/ 5169254 h 6858000"/>
              <a:gd name="connsiteX2175" fmla="*/ 8291712 w 12192000"/>
              <a:gd name="connsiteY2175" fmla="*/ 5169254 h 6858000"/>
              <a:gd name="connsiteX2176" fmla="*/ 8259495 w 12192000"/>
              <a:gd name="connsiteY2176" fmla="*/ 5139602 h 6858000"/>
              <a:gd name="connsiteX2177" fmla="*/ 8291712 w 12192000"/>
              <a:gd name="connsiteY2177" fmla="*/ 5109950 h 6858000"/>
              <a:gd name="connsiteX2178" fmla="*/ 8323916 w 12192000"/>
              <a:gd name="connsiteY2178" fmla="*/ 5139602 h 6858000"/>
              <a:gd name="connsiteX2179" fmla="*/ 8291712 w 12192000"/>
              <a:gd name="connsiteY2179" fmla="*/ 5169254 h 6858000"/>
              <a:gd name="connsiteX2180" fmla="*/ 8370245 w 12192000"/>
              <a:gd name="connsiteY2180" fmla="*/ 5169254 h 6858000"/>
              <a:gd name="connsiteX2181" fmla="*/ 8338029 w 12192000"/>
              <a:gd name="connsiteY2181" fmla="*/ 5139602 h 6858000"/>
              <a:gd name="connsiteX2182" fmla="*/ 8370245 w 12192000"/>
              <a:gd name="connsiteY2182" fmla="*/ 5109950 h 6858000"/>
              <a:gd name="connsiteX2183" fmla="*/ 8402449 w 12192000"/>
              <a:gd name="connsiteY2183" fmla="*/ 5139602 h 6858000"/>
              <a:gd name="connsiteX2184" fmla="*/ 8370245 w 12192000"/>
              <a:gd name="connsiteY2184" fmla="*/ 5169254 h 6858000"/>
              <a:gd name="connsiteX2185" fmla="*/ 8448779 w 12192000"/>
              <a:gd name="connsiteY2185" fmla="*/ 5169254 h 6858000"/>
              <a:gd name="connsiteX2186" fmla="*/ 8416563 w 12192000"/>
              <a:gd name="connsiteY2186" fmla="*/ 5139602 h 6858000"/>
              <a:gd name="connsiteX2187" fmla="*/ 8448779 w 12192000"/>
              <a:gd name="connsiteY2187" fmla="*/ 5109950 h 6858000"/>
              <a:gd name="connsiteX2188" fmla="*/ 8480983 w 12192000"/>
              <a:gd name="connsiteY2188" fmla="*/ 5139602 h 6858000"/>
              <a:gd name="connsiteX2189" fmla="*/ 8448779 w 12192000"/>
              <a:gd name="connsiteY2189" fmla="*/ 5169254 h 6858000"/>
              <a:gd name="connsiteX2190" fmla="*/ 8527313 w 12192000"/>
              <a:gd name="connsiteY2190" fmla="*/ 5169254 h 6858000"/>
              <a:gd name="connsiteX2191" fmla="*/ 8495097 w 12192000"/>
              <a:gd name="connsiteY2191" fmla="*/ 5139602 h 6858000"/>
              <a:gd name="connsiteX2192" fmla="*/ 8527313 w 12192000"/>
              <a:gd name="connsiteY2192" fmla="*/ 5109950 h 6858000"/>
              <a:gd name="connsiteX2193" fmla="*/ 8559518 w 12192000"/>
              <a:gd name="connsiteY2193" fmla="*/ 5139602 h 6858000"/>
              <a:gd name="connsiteX2194" fmla="*/ 8527313 w 12192000"/>
              <a:gd name="connsiteY2194" fmla="*/ 5169254 h 6858000"/>
              <a:gd name="connsiteX2195" fmla="*/ 8605847 w 12192000"/>
              <a:gd name="connsiteY2195" fmla="*/ 5169254 h 6858000"/>
              <a:gd name="connsiteX2196" fmla="*/ 8573630 w 12192000"/>
              <a:gd name="connsiteY2196" fmla="*/ 5139602 h 6858000"/>
              <a:gd name="connsiteX2197" fmla="*/ 8605847 w 12192000"/>
              <a:gd name="connsiteY2197" fmla="*/ 5109950 h 6858000"/>
              <a:gd name="connsiteX2198" fmla="*/ 8638051 w 12192000"/>
              <a:gd name="connsiteY2198" fmla="*/ 5139602 h 6858000"/>
              <a:gd name="connsiteX2199" fmla="*/ 8605847 w 12192000"/>
              <a:gd name="connsiteY2199" fmla="*/ 5169254 h 6858000"/>
              <a:gd name="connsiteX2200" fmla="*/ 8684381 w 12192000"/>
              <a:gd name="connsiteY2200" fmla="*/ 5169254 h 6858000"/>
              <a:gd name="connsiteX2201" fmla="*/ 8652165 w 12192000"/>
              <a:gd name="connsiteY2201" fmla="*/ 5139602 h 6858000"/>
              <a:gd name="connsiteX2202" fmla="*/ 8684381 w 12192000"/>
              <a:gd name="connsiteY2202" fmla="*/ 5109950 h 6858000"/>
              <a:gd name="connsiteX2203" fmla="*/ 8716585 w 12192000"/>
              <a:gd name="connsiteY2203" fmla="*/ 5139602 h 6858000"/>
              <a:gd name="connsiteX2204" fmla="*/ 8684381 w 12192000"/>
              <a:gd name="connsiteY2204" fmla="*/ 5169254 h 6858000"/>
              <a:gd name="connsiteX2205" fmla="*/ 8762914 w 12192000"/>
              <a:gd name="connsiteY2205" fmla="*/ 5169254 h 6858000"/>
              <a:gd name="connsiteX2206" fmla="*/ 8730698 w 12192000"/>
              <a:gd name="connsiteY2206" fmla="*/ 5139602 h 6858000"/>
              <a:gd name="connsiteX2207" fmla="*/ 8762914 w 12192000"/>
              <a:gd name="connsiteY2207" fmla="*/ 5109950 h 6858000"/>
              <a:gd name="connsiteX2208" fmla="*/ 8795118 w 12192000"/>
              <a:gd name="connsiteY2208" fmla="*/ 5139602 h 6858000"/>
              <a:gd name="connsiteX2209" fmla="*/ 8762914 w 12192000"/>
              <a:gd name="connsiteY2209" fmla="*/ 5169254 h 6858000"/>
              <a:gd name="connsiteX2210" fmla="*/ 8841448 w 12192000"/>
              <a:gd name="connsiteY2210" fmla="*/ 5169254 h 6858000"/>
              <a:gd name="connsiteX2211" fmla="*/ 8809232 w 12192000"/>
              <a:gd name="connsiteY2211" fmla="*/ 5139602 h 6858000"/>
              <a:gd name="connsiteX2212" fmla="*/ 8841448 w 12192000"/>
              <a:gd name="connsiteY2212" fmla="*/ 5109950 h 6858000"/>
              <a:gd name="connsiteX2213" fmla="*/ 8873653 w 12192000"/>
              <a:gd name="connsiteY2213" fmla="*/ 5139602 h 6858000"/>
              <a:gd name="connsiteX2214" fmla="*/ 8841448 w 12192000"/>
              <a:gd name="connsiteY2214" fmla="*/ 5169254 h 6858000"/>
              <a:gd name="connsiteX2215" fmla="*/ 8919983 w 12192000"/>
              <a:gd name="connsiteY2215" fmla="*/ 5169254 h 6858000"/>
              <a:gd name="connsiteX2216" fmla="*/ 8887766 w 12192000"/>
              <a:gd name="connsiteY2216" fmla="*/ 5139602 h 6858000"/>
              <a:gd name="connsiteX2217" fmla="*/ 8919983 w 12192000"/>
              <a:gd name="connsiteY2217" fmla="*/ 5109950 h 6858000"/>
              <a:gd name="connsiteX2218" fmla="*/ 8952187 w 12192000"/>
              <a:gd name="connsiteY2218" fmla="*/ 5139602 h 6858000"/>
              <a:gd name="connsiteX2219" fmla="*/ 8919983 w 12192000"/>
              <a:gd name="connsiteY2219" fmla="*/ 5169254 h 6858000"/>
              <a:gd name="connsiteX2220" fmla="*/ 8998516 w 12192000"/>
              <a:gd name="connsiteY2220" fmla="*/ 5169254 h 6858000"/>
              <a:gd name="connsiteX2221" fmla="*/ 8966300 w 12192000"/>
              <a:gd name="connsiteY2221" fmla="*/ 5139602 h 6858000"/>
              <a:gd name="connsiteX2222" fmla="*/ 8998516 w 12192000"/>
              <a:gd name="connsiteY2222" fmla="*/ 5109950 h 6858000"/>
              <a:gd name="connsiteX2223" fmla="*/ 9030720 w 12192000"/>
              <a:gd name="connsiteY2223" fmla="*/ 5139602 h 6858000"/>
              <a:gd name="connsiteX2224" fmla="*/ 8998516 w 12192000"/>
              <a:gd name="connsiteY2224" fmla="*/ 5169254 h 6858000"/>
              <a:gd name="connsiteX2225" fmla="*/ 9077050 w 12192000"/>
              <a:gd name="connsiteY2225" fmla="*/ 5169254 h 6858000"/>
              <a:gd name="connsiteX2226" fmla="*/ 9044834 w 12192000"/>
              <a:gd name="connsiteY2226" fmla="*/ 5139602 h 6858000"/>
              <a:gd name="connsiteX2227" fmla="*/ 9077050 w 12192000"/>
              <a:gd name="connsiteY2227" fmla="*/ 5109950 h 6858000"/>
              <a:gd name="connsiteX2228" fmla="*/ 9109254 w 12192000"/>
              <a:gd name="connsiteY2228" fmla="*/ 5139602 h 6858000"/>
              <a:gd name="connsiteX2229" fmla="*/ 9077050 w 12192000"/>
              <a:gd name="connsiteY2229" fmla="*/ 5169254 h 6858000"/>
              <a:gd name="connsiteX2230" fmla="*/ 9155583 w 12192000"/>
              <a:gd name="connsiteY2230" fmla="*/ 5169254 h 6858000"/>
              <a:gd name="connsiteX2231" fmla="*/ 9123367 w 12192000"/>
              <a:gd name="connsiteY2231" fmla="*/ 5139602 h 6858000"/>
              <a:gd name="connsiteX2232" fmla="*/ 9155583 w 12192000"/>
              <a:gd name="connsiteY2232" fmla="*/ 5109950 h 6858000"/>
              <a:gd name="connsiteX2233" fmla="*/ 9187788 w 12192000"/>
              <a:gd name="connsiteY2233" fmla="*/ 5139602 h 6858000"/>
              <a:gd name="connsiteX2234" fmla="*/ 9155583 w 12192000"/>
              <a:gd name="connsiteY2234" fmla="*/ 5169254 h 6858000"/>
              <a:gd name="connsiteX2235" fmla="*/ 9234118 w 12192000"/>
              <a:gd name="connsiteY2235" fmla="*/ 5169254 h 6858000"/>
              <a:gd name="connsiteX2236" fmla="*/ 9201901 w 12192000"/>
              <a:gd name="connsiteY2236" fmla="*/ 5139602 h 6858000"/>
              <a:gd name="connsiteX2237" fmla="*/ 9234118 w 12192000"/>
              <a:gd name="connsiteY2237" fmla="*/ 5109950 h 6858000"/>
              <a:gd name="connsiteX2238" fmla="*/ 9266322 w 12192000"/>
              <a:gd name="connsiteY2238" fmla="*/ 5139602 h 6858000"/>
              <a:gd name="connsiteX2239" fmla="*/ 9234118 w 12192000"/>
              <a:gd name="connsiteY2239" fmla="*/ 5169254 h 6858000"/>
              <a:gd name="connsiteX2240" fmla="*/ 9312652 w 12192000"/>
              <a:gd name="connsiteY2240" fmla="*/ 5169254 h 6858000"/>
              <a:gd name="connsiteX2241" fmla="*/ 9280436 w 12192000"/>
              <a:gd name="connsiteY2241" fmla="*/ 5139602 h 6858000"/>
              <a:gd name="connsiteX2242" fmla="*/ 9312652 w 12192000"/>
              <a:gd name="connsiteY2242" fmla="*/ 5109950 h 6858000"/>
              <a:gd name="connsiteX2243" fmla="*/ 9344856 w 12192000"/>
              <a:gd name="connsiteY2243" fmla="*/ 5139602 h 6858000"/>
              <a:gd name="connsiteX2244" fmla="*/ 9312652 w 12192000"/>
              <a:gd name="connsiteY2244" fmla="*/ 5169254 h 6858000"/>
              <a:gd name="connsiteX2245" fmla="*/ 9391185 w 12192000"/>
              <a:gd name="connsiteY2245" fmla="*/ 5169254 h 6858000"/>
              <a:gd name="connsiteX2246" fmla="*/ 9358969 w 12192000"/>
              <a:gd name="connsiteY2246" fmla="*/ 5139602 h 6858000"/>
              <a:gd name="connsiteX2247" fmla="*/ 9391185 w 12192000"/>
              <a:gd name="connsiteY2247" fmla="*/ 5109950 h 6858000"/>
              <a:gd name="connsiteX2248" fmla="*/ 9423389 w 12192000"/>
              <a:gd name="connsiteY2248" fmla="*/ 5139602 h 6858000"/>
              <a:gd name="connsiteX2249" fmla="*/ 9391185 w 12192000"/>
              <a:gd name="connsiteY2249" fmla="*/ 5169254 h 6858000"/>
              <a:gd name="connsiteX2250" fmla="*/ 9469719 w 12192000"/>
              <a:gd name="connsiteY2250" fmla="*/ 5169254 h 6858000"/>
              <a:gd name="connsiteX2251" fmla="*/ 9437503 w 12192000"/>
              <a:gd name="connsiteY2251" fmla="*/ 5139602 h 6858000"/>
              <a:gd name="connsiteX2252" fmla="*/ 9469719 w 12192000"/>
              <a:gd name="connsiteY2252" fmla="*/ 5109950 h 6858000"/>
              <a:gd name="connsiteX2253" fmla="*/ 9501924 w 12192000"/>
              <a:gd name="connsiteY2253" fmla="*/ 5139602 h 6858000"/>
              <a:gd name="connsiteX2254" fmla="*/ 9469719 w 12192000"/>
              <a:gd name="connsiteY2254" fmla="*/ 5169254 h 6858000"/>
              <a:gd name="connsiteX2255" fmla="*/ 9548254 w 12192000"/>
              <a:gd name="connsiteY2255" fmla="*/ 5169254 h 6858000"/>
              <a:gd name="connsiteX2256" fmla="*/ 9516037 w 12192000"/>
              <a:gd name="connsiteY2256" fmla="*/ 5139602 h 6858000"/>
              <a:gd name="connsiteX2257" fmla="*/ 9548254 w 12192000"/>
              <a:gd name="connsiteY2257" fmla="*/ 5109950 h 6858000"/>
              <a:gd name="connsiteX2258" fmla="*/ 9580458 w 12192000"/>
              <a:gd name="connsiteY2258" fmla="*/ 5139602 h 6858000"/>
              <a:gd name="connsiteX2259" fmla="*/ 9548254 w 12192000"/>
              <a:gd name="connsiteY2259" fmla="*/ 5169254 h 6858000"/>
              <a:gd name="connsiteX2260" fmla="*/ 9626787 w 12192000"/>
              <a:gd name="connsiteY2260" fmla="*/ 5169254 h 6858000"/>
              <a:gd name="connsiteX2261" fmla="*/ 9594571 w 12192000"/>
              <a:gd name="connsiteY2261" fmla="*/ 5139602 h 6858000"/>
              <a:gd name="connsiteX2262" fmla="*/ 9626787 w 12192000"/>
              <a:gd name="connsiteY2262" fmla="*/ 5109950 h 6858000"/>
              <a:gd name="connsiteX2263" fmla="*/ 9658991 w 12192000"/>
              <a:gd name="connsiteY2263" fmla="*/ 5139602 h 6858000"/>
              <a:gd name="connsiteX2264" fmla="*/ 9626787 w 12192000"/>
              <a:gd name="connsiteY2264" fmla="*/ 5169254 h 6858000"/>
              <a:gd name="connsiteX2265" fmla="*/ 9705321 w 12192000"/>
              <a:gd name="connsiteY2265" fmla="*/ 5169254 h 6858000"/>
              <a:gd name="connsiteX2266" fmla="*/ 9673105 w 12192000"/>
              <a:gd name="connsiteY2266" fmla="*/ 5139602 h 6858000"/>
              <a:gd name="connsiteX2267" fmla="*/ 9705321 w 12192000"/>
              <a:gd name="connsiteY2267" fmla="*/ 5109950 h 6858000"/>
              <a:gd name="connsiteX2268" fmla="*/ 9737525 w 12192000"/>
              <a:gd name="connsiteY2268" fmla="*/ 5139602 h 6858000"/>
              <a:gd name="connsiteX2269" fmla="*/ 9705321 w 12192000"/>
              <a:gd name="connsiteY2269" fmla="*/ 5169254 h 6858000"/>
              <a:gd name="connsiteX2270" fmla="*/ 9783854 w 12192000"/>
              <a:gd name="connsiteY2270" fmla="*/ 5169254 h 6858000"/>
              <a:gd name="connsiteX2271" fmla="*/ 9751638 w 12192000"/>
              <a:gd name="connsiteY2271" fmla="*/ 5139602 h 6858000"/>
              <a:gd name="connsiteX2272" fmla="*/ 9783854 w 12192000"/>
              <a:gd name="connsiteY2272" fmla="*/ 5109950 h 6858000"/>
              <a:gd name="connsiteX2273" fmla="*/ 9816059 w 12192000"/>
              <a:gd name="connsiteY2273" fmla="*/ 5139602 h 6858000"/>
              <a:gd name="connsiteX2274" fmla="*/ 9783854 w 12192000"/>
              <a:gd name="connsiteY2274" fmla="*/ 5169254 h 6858000"/>
              <a:gd name="connsiteX2275" fmla="*/ 9862389 w 12192000"/>
              <a:gd name="connsiteY2275" fmla="*/ 5169254 h 6858000"/>
              <a:gd name="connsiteX2276" fmla="*/ 9830172 w 12192000"/>
              <a:gd name="connsiteY2276" fmla="*/ 5139602 h 6858000"/>
              <a:gd name="connsiteX2277" fmla="*/ 9862389 w 12192000"/>
              <a:gd name="connsiteY2277" fmla="*/ 5109950 h 6858000"/>
              <a:gd name="connsiteX2278" fmla="*/ 9894593 w 12192000"/>
              <a:gd name="connsiteY2278" fmla="*/ 5139602 h 6858000"/>
              <a:gd name="connsiteX2279" fmla="*/ 9862389 w 12192000"/>
              <a:gd name="connsiteY2279" fmla="*/ 5169254 h 6858000"/>
              <a:gd name="connsiteX2280" fmla="*/ 9940923 w 12192000"/>
              <a:gd name="connsiteY2280" fmla="*/ 5169254 h 6858000"/>
              <a:gd name="connsiteX2281" fmla="*/ 9908707 w 12192000"/>
              <a:gd name="connsiteY2281" fmla="*/ 5139602 h 6858000"/>
              <a:gd name="connsiteX2282" fmla="*/ 9940923 w 12192000"/>
              <a:gd name="connsiteY2282" fmla="*/ 5109950 h 6858000"/>
              <a:gd name="connsiteX2283" fmla="*/ 9973127 w 12192000"/>
              <a:gd name="connsiteY2283" fmla="*/ 5139602 h 6858000"/>
              <a:gd name="connsiteX2284" fmla="*/ 9940923 w 12192000"/>
              <a:gd name="connsiteY2284" fmla="*/ 5169254 h 6858000"/>
              <a:gd name="connsiteX2285" fmla="*/ 10019456 w 12192000"/>
              <a:gd name="connsiteY2285" fmla="*/ 5169254 h 6858000"/>
              <a:gd name="connsiteX2286" fmla="*/ 9987240 w 12192000"/>
              <a:gd name="connsiteY2286" fmla="*/ 5139602 h 6858000"/>
              <a:gd name="connsiteX2287" fmla="*/ 10019456 w 12192000"/>
              <a:gd name="connsiteY2287" fmla="*/ 5109950 h 6858000"/>
              <a:gd name="connsiteX2288" fmla="*/ 10051660 w 12192000"/>
              <a:gd name="connsiteY2288" fmla="*/ 5139602 h 6858000"/>
              <a:gd name="connsiteX2289" fmla="*/ 10019456 w 12192000"/>
              <a:gd name="connsiteY2289" fmla="*/ 5169254 h 6858000"/>
              <a:gd name="connsiteX2290" fmla="*/ 10097990 w 12192000"/>
              <a:gd name="connsiteY2290" fmla="*/ 5169254 h 6858000"/>
              <a:gd name="connsiteX2291" fmla="*/ 10065774 w 12192000"/>
              <a:gd name="connsiteY2291" fmla="*/ 5139602 h 6858000"/>
              <a:gd name="connsiteX2292" fmla="*/ 10097990 w 12192000"/>
              <a:gd name="connsiteY2292" fmla="*/ 5109950 h 6858000"/>
              <a:gd name="connsiteX2293" fmla="*/ 10130195 w 12192000"/>
              <a:gd name="connsiteY2293" fmla="*/ 5139602 h 6858000"/>
              <a:gd name="connsiteX2294" fmla="*/ 10097990 w 12192000"/>
              <a:gd name="connsiteY2294" fmla="*/ 5169254 h 6858000"/>
              <a:gd name="connsiteX2295" fmla="*/ 10176524 w 12192000"/>
              <a:gd name="connsiteY2295" fmla="*/ 5169254 h 6858000"/>
              <a:gd name="connsiteX2296" fmla="*/ 10144307 w 12192000"/>
              <a:gd name="connsiteY2296" fmla="*/ 5139602 h 6858000"/>
              <a:gd name="connsiteX2297" fmla="*/ 10176524 w 12192000"/>
              <a:gd name="connsiteY2297" fmla="*/ 5109950 h 6858000"/>
              <a:gd name="connsiteX2298" fmla="*/ 10208728 w 12192000"/>
              <a:gd name="connsiteY2298" fmla="*/ 5139602 h 6858000"/>
              <a:gd name="connsiteX2299" fmla="*/ 10176524 w 12192000"/>
              <a:gd name="connsiteY2299" fmla="*/ 5169254 h 6858000"/>
              <a:gd name="connsiteX2300" fmla="*/ 10255058 w 12192000"/>
              <a:gd name="connsiteY2300" fmla="*/ 5169254 h 6858000"/>
              <a:gd name="connsiteX2301" fmla="*/ 10222842 w 12192000"/>
              <a:gd name="connsiteY2301" fmla="*/ 5139602 h 6858000"/>
              <a:gd name="connsiteX2302" fmla="*/ 10255058 w 12192000"/>
              <a:gd name="connsiteY2302" fmla="*/ 5109950 h 6858000"/>
              <a:gd name="connsiteX2303" fmla="*/ 10287262 w 12192000"/>
              <a:gd name="connsiteY2303" fmla="*/ 5139602 h 6858000"/>
              <a:gd name="connsiteX2304" fmla="*/ 10255058 w 12192000"/>
              <a:gd name="connsiteY2304" fmla="*/ 5169254 h 6858000"/>
              <a:gd name="connsiteX2305" fmla="*/ 10333592 w 12192000"/>
              <a:gd name="connsiteY2305" fmla="*/ 5169254 h 6858000"/>
              <a:gd name="connsiteX2306" fmla="*/ 10301376 w 12192000"/>
              <a:gd name="connsiteY2306" fmla="*/ 5139602 h 6858000"/>
              <a:gd name="connsiteX2307" fmla="*/ 10333592 w 12192000"/>
              <a:gd name="connsiteY2307" fmla="*/ 5109950 h 6858000"/>
              <a:gd name="connsiteX2308" fmla="*/ 10365796 w 12192000"/>
              <a:gd name="connsiteY2308" fmla="*/ 5139602 h 6858000"/>
              <a:gd name="connsiteX2309" fmla="*/ 10333592 w 12192000"/>
              <a:gd name="connsiteY2309" fmla="*/ 5169254 h 6858000"/>
              <a:gd name="connsiteX2310" fmla="*/ 1930444 w 12192000"/>
              <a:gd name="connsiteY2310" fmla="*/ 5096988 h 6858000"/>
              <a:gd name="connsiteX2311" fmla="*/ 1898234 w 12192000"/>
              <a:gd name="connsiteY2311" fmla="*/ 5067336 h 6858000"/>
              <a:gd name="connsiteX2312" fmla="*/ 1930444 w 12192000"/>
              <a:gd name="connsiteY2312" fmla="*/ 5037684 h 6858000"/>
              <a:gd name="connsiteX2313" fmla="*/ 1962655 w 12192000"/>
              <a:gd name="connsiteY2313" fmla="*/ 5067336 h 6858000"/>
              <a:gd name="connsiteX2314" fmla="*/ 1930444 w 12192000"/>
              <a:gd name="connsiteY2314" fmla="*/ 5096988 h 6858000"/>
              <a:gd name="connsiteX2315" fmla="*/ 2008978 w 12192000"/>
              <a:gd name="connsiteY2315" fmla="*/ 5096988 h 6858000"/>
              <a:gd name="connsiteX2316" fmla="*/ 1976767 w 12192000"/>
              <a:gd name="connsiteY2316" fmla="*/ 5067336 h 6858000"/>
              <a:gd name="connsiteX2317" fmla="*/ 2008978 w 12192000"/>
              <a:gd name="connsiteY2317" fmla="*/ 5037684 h 6858000"/>
              <a:gd name="connsiteX2318" fmla="*/ 2041188 w 12192000"/>
              <a:gd name="connsiteY2318" fmla="*/ 5067336 h 6858000"/>
              <a:gd name="connsiteX2319" fmla="*/ 2008978 w 12192000"/>
              <a:gd name="connsiteY2319" fmla="*/ 5096988 h 6858000"/>
              <a:gd name="connsiteX2320" fmla="*/ 2087512 w 12192000"/>
              <a:gd name="connsiteY2320" fmla="*/ 5096988 h 6858000"/>
              <a:gd name="connsiteX2321" fmla="*/ 2055302 w 12192000"/>
              <a:gd name="connsiteY2321" fmla="*/ 5067336 h 6858000"/>
              <a:gd name="connsiteX2322" fmla="*/ 2087512 w 12192000"/>
              <a:gd name="connsiteY2322" fmla="*/ 5037684 h 6858000"/>
              <a:gd name="connsiteX2323" fmla="*/ 2119722 w 12192000"/>
              <a:gd name="connsiteY2323" fmla="*/ 5067336 h 6858000"/>
              <a:gd name="connsiteX2324" fmla="*/ 2087512 w 12192000"/>
              <a:gd name="connsiteY2324" fmla="*/ 5096988 h 6858000"/>
              <a:gd name="connsiteX2325" fmla="*/ 2166045 w 12192000"/>
              <a:gd name="connsiteY2325" fmla="*/ 5096988 h 6858000"/>
              <a:gd name="connsiteX2326" fmla="*/ 2133835 w 12192000"/>
              <a:gd name="connsiteY2326" fmla="*/ 5067336 h 6858000"/>
              <a:gd name="connsiteX2327" fmla="*/ 2166045 w 12192000"/>
              <a:gd name="connsiteY2327" fmla="*/ 5037684 h 6858000"/>
              <a:gd name="connsiteX2328" fmla="*/ 2198255 w 12192000"/>
              <a:gd name="connsiteY2328" fmla="*/ 5067336 h 6858000"/>
              <a:gd name="connsiteX2329" fmla="*/ 2166045 w 12192000"/>
              <a:gd name="connsiteY2329" fmla="*/ 5096988 h 6858000"/>
              <a:gd name="connsiteX2330" fmla="*/ 2244579 w 12192000"/>
              <a:gd name="connsiteY2330" fmla="*/ 5096988 h 6858000"/>
              <a:gd name="connsiteX2331" fmla="*/ 2212369 w 12192000"/>
              <a:gd name="connsiteY2331" fmla="*/ 5067336 h 6858000"/>
              <a:gd name="connsiteX2332" fmla="*/ 2244579 w 12192000"/>
              <a:gd name="connsiteY2332" fmla="*/ 5037684 h 6858000"/>
              <a:gd name="connsiteX2333" fmla="*/ 2276790 w 12192000"/>
              <a:gd name="connsiteY2333" fmla="*/ 5067336 h 6858000"/>
              <a:gd name="connsiteX2334" fmla="*/ 2244579 w 12192000"/>
              <a:gd name="connsiteY2334" fmla="*/ 5096988 h 6858000"/>
              <a:gd name="connsiteX2335" fmla="*/ 2323114 w 12192000"/>
              <a:gd name="connsiteY2335" fmla="*/ 5096988 h 6858000"/>
              <a:gd name="connsiteX2336" fmla="*/ 2290903 w 12192000"/>
              <a:gd name="connsiteY2336" fmla="*/ 5067336 h 6858000"/>
              <a:gd name="connsiteX2337" fmla="*/ 2323114 w 12192000"/>
              <a:gd name="connsiteY2337" fmla="*/ 5037684 h 6858000"/>
              <a:gd name="connsiteX2338" fmla="*/ 2355324 w 12192000"/>
              <a:gd name="connsiteY2338" fmla="*/ 5067336 h 6858000"/>
              <a:gd name="connsiteX2339" fmla="*/ 2323114 w 12192000"/>
              <a:gd name="connsiteY2339" fmla="*/ 5096988 h 6858000"/>
              <a:gd name="connsiteX2340" fmla="*/ 2401647 w 12192000"/>
              <a:gd name="connsiteY2340" fmla="*/ 5096988 h 6858000"/>
              <a:gd name="connsiteX2341" fmla="*/ 2369437 w 12192000"/>
              <a:gd name="connsiteY2341" fmla="*/ 5067336 h 6858000"/>
              <a:gd name="connsiteX2342" fmla="*/ 2401647 w 12192000"/>
              <a:gd name="connsiteY2342" fmla="*/ 5037684 h 6858000"/>
              <a:gd name="connsiteX2343" fmla="*/ 2433857 w 12192000"/>
              <a:gd name="connsiteY2343" fmla="*/ 5067336 h 6858000"/>
              <a:gd name="connsiteX2344" fmla="*/ 2401647 w 12192000"/>
              <a:gd name="connsiteY2344" fmla="*/ 5096988 h 6858000"/>
              <a:gd name="connsiteX2345" fmla="*/ 2480181 w 12192000"/>
              <a:gd name="connsiteY2345" fmla="*/ 5096988 h 6858000"/>
              <a:gd name="connsiteX2346" fmla="*/ 2447971 w 12192000"/>
              <a:gd name="connsiteY2346" fmla="*/ 5067336 h 6858000"/>
              <a:gd name="connsiteX2347" fmla="*/ 2480181 w 12192000"/>
              <a:gd name="connsiteY2347" fmla="*/ 5037684 h 6858000"/>
              <a:gd name="connsiteX2348" fmla="*/ 2512391 w 12192000"/>
              <a:gd name="connsiteY2348" fmla="*/ 5067336 h 6858000"/>
              <a:gd name="connsiteX2349" fmla="*/ 2480181 w 12192000"/>
              <a:gd name="connsiteY2349" fmla="*/ 5096988 h 6858000"/>
              <a:gd name="connsiteX2350" fmla="*/ 2558715 w 12192000"/>
              <a:gd name="connsiteY2350" fmla="*/ 5096988 h 6858000"/>
              <a:gd name="connsiteX2351" fmla="*/ 2526505 w 12192000"/>
              <a:gd name="connsiteY2351" fmla="*/ 5067336 h 6858000"/>
              <a:gd name="connsiteX2352" fmla="*/ 2558715 w 12192000"/>
              <a:gd name="connsiteY2352" fmla="*/ 5037684 h 6858000"/>
              <a:gd name="connsiteX2353" fmla="*/ 2590926 w 12192000"/>
              <a:gd name="connsiteY2353" fmla="*/ 5067336 h 6858000"/>
              <a:gd name="connsiteX2354" fmla="*/ 2558715 w 12192000"/>
              <a:gd name="connsiteY2354" fmla="*/ 5096988 h 6858000"/>
              <a:gd name="connsiteX2355" fmla="*/ 2637243 w 12192000"/>
              <a:gd name="connsiteY2355" fmla="*/ 5096988 h 6858000"/>
              <a:gd name="connsiteX2356" fmla="*/ 2605032 w 12192000"/>
              <a:gd name="connsiteY2356" fmla="*/ 5067336 h 6858000"/>
              <a:gd name="connsiteX2357" fmla="*/ 2637243 w 12192000"/>
              <a:gd name="connsiteY2357" fmla="*/ 5037684 h 6858000"/>
              <a:gd name="connsiteX2358" fmla="*/ 2669453 w 12192000"/>
              <a:gd name="connsiteY2358" fmla="*/ 5067336 h 6858000"/>
              <a:gd name="connsiteX2359" fmla="*/ 2637243 w 12192000"/>
              <a:gd name="connsiteY2359" fmla="*/ 5096988 h 6858000"/>
              <a:gd name="connsiteX2360" fmla="*/ 2715777 w 12192000"/>
              <a:gd name="connsiteY2360" fmla="*/ 5096988 h 6858000"/>
              <a:gd name="connsiteX2361" fmla="*/ 2683566 w 12192000"/>
              <a:gd name="connsiteY2361" fmla="*/ 5067336 h 6858000"/>
              <a:gd name="connsiteX2362" fmla="*/ 2715777 w 12192000"/>
              <a:gd name="connsiteY2362" fmla="*/ 5037684 h 6858000"/>
              <a:gd name="connsiteX2363" fmla="*/ 2747987 w 12192000"/>
              <a:gd name="connsiteY2363" fmla="*/ 5067336 h 6858000"/>
              <a:gd name="connsiteX2364" fmla="*/ 2715777 w 12192000"/>
              <a:gd name="connsiteY2364" fmla="*/ 5096988 h 6858000"/>
              <a:gd name="connsiteX2365" fmla="*/ 2794310 w 12192000"/>
              <a:gd name="connsiteY2365" fmla="*/ 5096988 h 6858000"/>
              <a:gd name="connsiteX2366" fmla="*/ 2762100 w 12192000"/>
              <a:gd name="connsiteY2366" fmla="*/ 5067336 h 6858000"/>
              <a:gd name="connsiteX2367" fmla="*/ 2794310 w 12192000"/>
              <a:gd name="connsiteY2367" fmla="*/ 5037684 h 6858000"/>
              <a:gd name="connsiteX2368" fmla="*/ 2826520 w 12192000"/>
              <a:gd name="connsiteY2368" fmla="*/ 5067336 h 6858000"/>
              <a:gd name="connsiteX2369" fmla="*/ 2794310 w 12192000"/>
              <a:gd name="connsiteY2369" fmla="*/ 5096988 h 6858000"/>
              <a:gd name="connsiteX2370" fmla="*/ 2872844 w 12192000"/>
              <a:gd name="connsiteY2370" fmla="*/ 5096988 h 6858000"/>
              <a:gd name="connsiteX2371" fmla="*/ 2840634 w 12192000"/>
              <a:gd name="connsiteY2371" fmla="*/ 5067336 h 6858000"/>
              <a:gd name="connsiteX2372" fmla="*/ 2872844 w 12192000"/>
              <a:gd name="connsiteY2372" fmla="*/ 5037684 h 6858000"/>
              <a:gd name="connsiteX2373" fmla="*/ 2905055 w 12192000"/>
              <a:gd name="connsiteY2373" fmla="*/ 5067336 h 6858000"/>
              <a:gd name="connsiteX2374" fmla="*/ 2872844 w 12192000"/>
              <a:gd name="connsiteY2374" fmla="*/ 5096988 h 6858000"/>
              <a:gd name="connsiteX2375" fmla="*/ 3029912 w 12192000"/>
              <a:gd name="connsiteY2375" fmla="*/ 5096988 h 6858000"/>
              <a:gd name="connsiteX2376" fmla="*/ 2997701 w 12192000"/>
              <a:gd name="connsiteY2376" fmla="*/ 5067336 h 6858000"/>
              <a:gd name="connsiteX2377" fmla="*/ 3029912 w 12192000"/>
              <a:gd name="connsiteY2377" fmla="*/ 5037684 h 6858000"/>
              <a:gd name="connsiteX2378" fmla="*/ 3062122 w 12192000"/>
              <a:gd name="connsiteY2378" fmla="*/ 5067336 h 6858000"/>
              <a:gd name="connsiteX2379" fmla="*/ 3029912 w 12192000"/>
              <a:gd name="connsiteY2379" fmla="*/ 5096988 h 6858000"/>
              <a:gd name="connsiteX2380" fmla="*/ 3108446 w 12192000"/>
              <a:gd name="connsiteY2380" fmla="*/ 5096988 h 6858000"/>
              <a:gd name="connsiteX2381" fmla="*/ 3076236 w 12192000"/>
              <a:gd name="connsiteY2381" fmla="*/ 5067336 h 6858000"/>
              <a:gd name="connsiteX2382" fmla="*/ 3108446 w 12192000"/>
              <a:gd name="connsiteY2382" fmla="*/ 5037684 h 6858000"/>
              <a:gd name="connsiteX2383" fmla="*/ 3140656 w 12192000"/>
              <a:gd name="connsiteY2383" fmla="*/ 5067336 h 6858000"/>
              <a:gd name="connsiteX2384" fmla="*/ 3108446 w 12192000"/>
              <a:gd name="connsiteY2384" fmla="*/ 5096988 h 6858000"/>
              <a:gd name="connsiteX2385" fmla="*/ 3186979 w 12192000"/>
              <a:gd name="connsiteY2385" fmla="*/ 5096988 h 6858000"/>
              <a:gd name="connsiteX2386" fmla="*/ 3154769 w 12192000"/>
              <a:gd name="connsiteY2386" fmla="*/ 5067336 h 6858000"/>
              <a:gd name="connsiteX2387" fmla="*/ 3186979 w 12192000"/>
              <a:gd name="connsiteY2387" fmla="*/ 5037684 h 6858000"/>
              <a:gd name="connsiteX2388" fmla="*/ 3219190 w 12192000"/>
              <a:gd name="connsiteY2388" fmla="*/ 5067336 h 6858000"/>
              <a:gd name="connsiteX2389" fmla="*/ 3186979 w 12192000"/>
              <a:gd name="connsiteY2389" fmla="*/ 5096988 h 6858000"/>
              <a:gd name="connsiteX2390" fmla="*/ 3344048 w 12192000"/>
              <a:gd name="connsiteY2390" fmla="*/ 5096988 h 6858000"/>
              <a:gd name="connsiteX2391" fmla="*/ 3311837 w 12192000"/>
              <a:gd name="connsiteY2391" fmla="*/ 5067336 h 6858000"/>
              <a:gd name="connsiteX2392" fmla="*/ 3344048 w 12192000"/>
              <a:gd name="connsiteY2392" fmla="*/ 5037684 h 6858000"/>
              <a:gd name="connsiteX2393" fmla="*/ 3376258 w 12192000"/>
              <a:gd name="connsiteY2393" fmla="*/ 5067336 h 6858000"/>
              <a:gd name="connsiteX2394" fmla="*/ 3344048 w 12192000"/>
              <a:gd name="connsiteY2394" fmla="*/ 5096988 h 6858000"/>
              <a:gd name="connsiteX2395" fmla="*/ 3422581 w 12192000"/>
              <a:gd name="connsiteY2395" fmla="*/ 5096988 h 6858000"/>
              <a:gd name="connsiteX2396" fmla="*/ 3390371 w 12192000"/>
              <a:gd name="connsiteY2396" fmla="*/ 5067336 h 6858000"/>
              <a:gd name="connsiteX2397" fmla="*/ 3422581 w 12192000"/>
              <a:gd name="connsiteY2397" fmla="*/ 5037684 h 6858000"/>
              <a:gd name="connsiteX2398" fmla="*/ 3454791 w 12192000"/>
              <a:gd name="connsiteY2398" fmla="*/ 5067336 h 6858000"/>
              <a:gd name="connsiteX2399" fmla="*/ 3422581 w 12192000"/>
              <a:gd name="connsiteY2399" fmla="*/ 5096988 h 6858000"/>
              <a:gd name="connsiteX2400" fmla="*/ 3658183 w 12192000"/>
              <a:gd name="connsiteY2400" fmla="*/ 5096988 h 6858000"/>
              <a:gd name="connsiteX2401" fmla="*/ 3625972 w 12192000"/>
              <a:gd name="connsiteY2401" fmla="*/ 5067336 h 6858000"/>
              <a:gd name="connsiteX2402" fmla="*/ 3658183 w 12192000"/>
              <a:gd name="connsiteY2402" fmla="*/ 5037684 h 6858000"/>
              <a:gd name="connsiteX2403" fmla="*/ 3690393 w 12192000"/>
              <a:gd name="connsiteY2403" fmla="*/ 5067336 h 6858000"/>
              <a:gd name="connsiteX2404" fmla="*/ 3658183 w 12192000"/>
              <a:gd name="connsiteY2404" fmla="*/ 5096988 h 6858000"/>
              <a:gd name="connsiteX2405" fmla="*/ 4050852 w 12192000"/>
              <a:gd name="connsiteY2405" fmla="*/ 5096988 h 6858000"/>
              <a:gd name="connsiteX2406" fmla="*/ 4018642 w 12192000"/>
              <a:gd name="connsiteY2406" fmla="*/ 5067336 h 6858000"/>
              <a:gd name="connsiteX2407" fmla="*/ 4050852 w 12192000"/>
              <a:gd name="connsiteY2407" fmla="*/ 5037684 h 6858000"/>
              <a:gd name="connsiteX2408" fmla="*/ 4083062 w 12192000"/>
              <a:gd name="connsiteY2408" fmla="*/ 5067336 h 6858000"/>
              <a:gd name="connsiteX2409" fmla="*/ 4050852 w 12192000"/>
              <a:gd name="connsiteY2409" fmla="*/ 5096988 h 6858000"/>
              <a:gd name="connsiteX2410" fmla="*/ 4207926 w 12192000"/>
              <a:gd name="connsiteY2410" fmla="*/ 5096988 h 6858000"/>
              <a:gd name="connsiteX2411" fmla="*/ 4175715 w 12192000"/>
              <a:gd name="connsiteY2411" fmla="*/ 5067336 h 6858000"/>
              <a:gd name="connsiteX2412" fmla="*/ 4207926 w 12192000"/>
              <a:gd name="connsiteY2412" fmla="*/ 5037684 h 6858000"/>
              <a:gd name="connsiteX2413" fmla="*/ 4240136 w 12192000"/>
              <a:gd name="connsiteY2413" fmla="*/ 5067336 h 6858000"/>
              <a:gd name="connsiteX2414" fmla="*/ 4207926 w 12192000"/>
              <a:gd name="connsiteY2414" fmla="*/ 5096988 h 6858000"/>
              <a:gd name="connsiteX2415" fmla="*/ 4286460 w 12192000"/>
              <a:gd name="connsiteY2415" fmla="*/ 5096988 h 6858000"/>
              <a:gd name="connsiteX2416" fmla="*/ 4254250 w 12192000"/>
              <a:gd name="connsiteY2416" fmla="*/ 5067336 h 6858000"/>
              <a:gd name="connsiteX2417" fmla="*/ 4286460 w 12192000"/>
              <a:gd name="connsiteY2417" fmla="*/ 5037684 h 6858000"/>
              <a:gd name="connsiteX2418" fmla="*/ 4318670 w 12192000"/>
              <a:gd name="connsiteY2418" fmla="*/ 5067336 h 6858000"/>
              <a:gd name="connsiteX2419" fmla="*/ 4286460 w 12192000"/>
              <a:gd name="connsiteY2419" fmla="*/ 5096988 h 6858000"/>
              <a:gd name="connsiteX2420" fmla="*/ 4757663 w 12192000"/>
              <a:gd name="connsiteY2420" fmla="*/ 5096988 h 6858000"/>
              <a:gd name="connsiteX2421" fmla="*/ 4725453 w 12192000"/>
              <a:gd name="connsiteY2421" fmla="*/ 5067336 h 6858000"/>
              <a:gd name="connsiteX2422" fmla="*/ 4757663 w 12192000"/>
              <a:gd name="connsiteY2422" fmla="*/ 5037684 h 6858000"/>
              <a:gd name="connsiteX2423" fmla="*/ 4789874 w 12192000"/>
              <a:gd name="connsiteY2423" fmla="*/ 5067336 h 6858000"/>
              <a:gd name="connsiteX2424" fmla="*/ 4757663 w 12192000"/>
              <a:gd name="connsiteY2424" fmla="*/ 5096988 h 6858000"/>
              <a:gd name="connsiteX2425" fmla="*/ 4836197 w 12192000"/>
              <a:gd name="connsiteY2425" fmla="*/ 5096988 h 6858000"/>
              <a:gd name="connsiteX2426" fmla="*/ 4803986 w 12192000"/>
              <a:gd name="connsiteY2426" fmla="*/ 5067336 h 6858000"/>
              <a:gd name="connsiteX2427" fmla="*/ 4836197 w 12192000"/>
              <a:gd name="connsiteY2427" fmla="*/ 5037684 h 6858000"/>
              <a:gd name="connsiteX2428" fmla="*/ 4868407 w 12192000"/>
              <a:gd name="connsiteY2428" fmla="*/ 5067336 h 6858000"/>
              <a:gd name="connsiteX2429" fmla="*/ 4836197 w 12192000"/>
              <a:gd name="connsiteY2429" fmla="*/ 5096988 h 6858000"/>
              <a:gd name="connsiteX2430" fmla="*/ 4914731 w 12192000"/>
              <a:gd name="connsiteY2430" fmla="*/ 5096988 h 6858000"/>
              <a:gd name="connsiteX2431" fmla="*/ 4882521 w 12192000"/>
              <a:gd name="connsiteY2431" fmla="*/ 5067336 h 6858000"/>
              <a:gd name="connsiteX2432" fmla="*/ 4914731 w 12192000"/>
              <a:gd name="connsiteY2432" fmla="*/ 5037684 h 6858000"/>
              <a:gd name="connsiteX2433" fmla="*/ 4946941 w 12192000"/>
              <a:gd name="connsiteY2433" fmla="*/ 5067336 h 6858000"/>
              <a:gd name="connsiteX2434" fmla="*/ 4914731 w 12192000"/>
              <a:gd name="connsiteY2434" fmla="*/ 5096988 h 6858000"/>
              <a:gd name="connsiteX2435" fmla="*/ 4993265 w 12192000"/>
              <a:gd name="connsiteY2435" fmla="*/ 5096988 h 6858000"/>
              <a:gd name="connsiteX2436" fmla="*/ 4961055 w 12192000"/>
              <a:gd name="connsiteY2436" fmla="*/ 5067336 h 6858000"/>
              <a:gd name="connsiteX2437" fmla="*/ 4993265 w 12192000"/>
              <a:gd name="connsiteY2437" fmla="*/ 5037684 h 6858000"/>
              <a:gd name="connsiteX2438" fmla="*/ 5025475 w 12192000"/>
              <a:gd name="connsiteY2438" fmla="*/ 5067336 h 6858000"/>
              <a:gd name="connsiteX2439" fmla="*/ 4993265 w 12192000"/>
              <a:gd name="connsiteY2439" fmla="*/ 5096988 h 6858000"/>
              <a:gd name="connsiteX2440" fmla="*/ 5071798 w 12192000"/>
              <a:gd name="connsiteY2440" fmla="*/ 5096988 h 6858000"/>
              <a:gd name="connsiteX2441" fmla="*/ 5039588 w 12192000"/>
              <a:gd name="connsiteY2441" fmla="*/ 5067336 h 6858000"/>
              <a:gd name="connsiteX2442" fmla="*/ 5071798 w 12192000"/>
              <a:gd name="connsiteY2442" fmla="*/ 5037684 h 6858000"/>
              <a:gd name="connsiteX2443" fmla="*/ 5104009 w 12192000"/>
              <a:gd name="connsiteY2443" fmla="*/ 5067336 h 6858000"/>
              <a:gd name="connsiteX2444" fmla="*/ 5071798 w 12192000"/>
              <a:gd name="connsiteY2444" fmla="*/ 5096988 h 6858000"/>
              <a:gd name="connsiteX2445" fmla="*/ 5150333 w 12192000"/>
              <a:gd name="connsiteY2445" fmla="*/ 5096988 h 6858000"/>
              <a:gd name="connsiteX2446" fmla="*/ 5118122 w 12192000"/>
              <a:gd name="connsiteY2446" fmla="*/ 5067336 h 6858000"/>
              <a:gd name="connsiteX2447" fmla="*/ 5150333 w 12192000"/>
              <a:gd name="connsiteY2447" fmla="*/ 5037684 h 6858000"/>
              <a:gd name="connsiteX2448" fmla="*/ 5182543 w 12192000"/>
              <a:gd name="connsiteY2448" fmla="*/ 5067336 h 6858000"/>
              <a:gd name="connsiteX2449" fmla="*/ 5150333 w 12192000"/>
              <a:gd name="connsiteY2449" fmla="*/ 5096988 h 6858000"/>
              <a:gd name="connsiteX2450" fmla="*/ 5228867 w 12192000"/>
              <a:gd name="connsiteY2450" fmla="*/ 5096988 h 6858000"/>
              <a:gd name="connsiteX2451" fmla="*/ 5196657 w 12192000"/>
              <a:gd name="connsiteY2451" fmla="*/ 5067336 h 6858000"/>
              <a:gd name="connsiteX2452" fmla="*/ 5228867 w 12192000"/>
              <a:gd name="connsiteY2452" fmla="*/ 5037684 h 6858000"/>
              <a:gd name="connsiteX2453" fmla="*/ 5261077 w 12192000"/>
              <a:gd name="connsiteY2453" fmla="*/ 5067336 h 6858000"/>
              <a:gd name="connsiteX2454" fmla="*/ 5228867 w 12192000"/>
              <a:gd name="connsiteY2454" fmla="*/ 5096988 h 6858000"/>
              <a:gd name="connsiteX2455" fmla="*/ 5307400 w 12192000"/>
              <a:gd name="connsiteY2455" fmla="*/ 5096988 h 6858000"/>
              <a:gd name="connsiteX2456" fmla="*/ 5275190 w 12192000"/>
              <a:gd name="connsiteY2456" fmla="*/ 5067336 h 6858000"/>
              <a:gd name="connsiteX2457" fmla="*/ 5307400 w 12192000"/>
              <a:gd name="connsiteY2457" fmla="*/ 5037684 h 6858000"/>
              <a:gd name="connsiteX2458" fmla="*/ 5339610 w 12192000"/>
              <a:gd name="connsiteY2458" fmla="*/ 5067336 h 6858000"/>
              <a:gd name="connsiteX2459" fmla="*/ 5307400 w 12192000"/>
              <a:gd name="connsiteY2459" fmla="*/ 5096988 h 6858000"/>
              <a:gd name="connsiteX2460" fmla="*/ 7113703 w 12192000"/>
              <a:gd name="connsiteY2460" fmla="*/ 5096988 h 6858000"/>
              <a:gd name="connsiteX2461" fmla="*/ 7081487 w 12192000"/>
              <a:gd name="connsiteY2461" fmla="*/ 5067336 h 6858000"/>
              <a:gd name="connsiteX2462" fmla="*/ 7113703 w 12192000"/>
              <a:gd name="connsiteY2462" fmla="*/ 5037684 h 6858000"/>
              <a:gd name="connsiteX2463" fmla="*/ 7145907 w 12192000"/>
              <a:gd name="connsiteY2463" fmla="*/ 5067336 h 6858000"/>
              <a:gd name="connsiteX2464" fmla="*/ 7113703 w 12192000"/>
              <a:gd name="connsiteY2464" fmla="*/ 5096988 h 6858000"/>
              <a:gd name="connsiteX2465" fmla="*/ 7427839 w 12192000"/>
              <a:gd name="connsiteY2465" fmla="*/ 5096988 h 6858000"/>
              <a:gd name="connsiteX2466" fmla="*/ 7395623 w 12192000"/>
              <a:gd name="connsiteY2466" fmla="*/ 5067336 h 6858000"/>
              <a:gd name="connsiteX2467" fmla="*/ 7427839 w 12192000"/>
              <a:gd name="connsiteY2467" fmla="*/ 5037684 h 6858000"/>
              <a:gd name="connsiteX2468" fmla="*/ 7460043 w 12192000"/>
              <a:gd name="connsiteY2468" fmla="*/ 5067336 h 6858000"/>
              <a:gd name="connsiteX2469" fmla="*/ 7427839 w 12192000"/>
              <a:gd name="connsiteY2469" fmla="*/ 5096988 h 6858000"/>
              <a:gd name="connsiteX2470" fmla="*/ 7506373 w 12192000"/>
              <a:gd name="connsiteY2470" fmla="*/ 5096988 h 6858000"/>
              <a:gd name="connsiteX2471" fmla="*/ 7474157 w 12192000"/>
              <a:gd name="connsiteY2471" fmla="*/ 5067336 h 6858000"/>
              <a:gd name="connsiteX2472" fmla="*/ 7506373 w 12192000"/>
              <a:gd name="connsiteY2472" fmla="*/ 5037684 h 6858000"/>
              <a:gd name="connsiteX2473" fmla="*/ 7538577 w 12192000"/>
              <a:gd name="connsiteY2473" fmla="*/ 5067336 h 6858000"/>
              <a:gd name="connsiteX2474" fmla="*/ 7506373 w 12192000"/>
              <a:gd name="connsiteY2474" fmla="*/ 5096988 h 6858000"/>
              <a:gd name="connsiteX2475" fmla="*/ 7663441 w 12192000"/>
              <a:gd name="connsiteY2475" fmla="*/ 5096988 h 6858000"/>
              <a:gd name="connsiteX2476" fmla="*/ 7631224 w 12192000"/>
              <a:gd name="connsiteY2476" fmla="*/ 5067336 h 6858000"/>
              <a:gd name="connsiteX2477" fmla="*/ 7663441 w 12192000"/>
              <a:gd name="connsiteY2477" fmla="*/ 5037684 h 6858000"/>
              <a:gd name="connsiteX2478" fmla="*/ 7695645 w 12192000"/>
              <a:gd name="connsiteY2478" fmla="*/ 5067336 h 6858000"/>
              <a:gd name="connsiteX2479" fmla="*/ 7663441 w 12192000"/>
              <a:gd name="connsiteY2479" fmla="*/ 5096988 h 6858000"/>
              <a:gd name="connsiteX2480" fmla="*/ 7741974 w 12192000"/>
              <a:gd name="connsiteY2480" fmla="*/ 5096988 h 6858000"/>
              <a:gd name="connsiteX2481" fmla="*/ 7709758 w 12192000"/>
              <a:gd name="connsiteY2481" fmla="*/ 5067336 h 6858000"/>
              <a:gd name="connsiteX2482" fmla="*/ 7741974 w 12192000"/>
              <a:gd name="connsiteY2482" fmla="*/ 5037684 h 6858000"/>
              <a:gd name="connsiteX2483" fmla="*/ 7774178 w 12192000"/>
              <a:gd name="connsiteY2483" fmla="*/ 5067336 h 6858000"/>
              <a:gd name="connsiteX2484" fmla="*/ 7741974 w 12192000"/>
              <a:gd name="connsiteY2484" fmla="*/ 5096988 h 6858000"/>
              <a:gd name="connsiteX2485" fmla="*/ 7899042 w 12192000"/>
              <a:gd name="connsiteY2485" fmla="*/ 5096988 h 6858000"/>
              <a:gd name="connsiteX2486" fmla="*/ 7866826 w 12192000"/>
              <a:gd name="connsiteY2486" fmla="*/ 5067336 h 6858000"/>
              <a:gd name="connsiteX2487" fmla="*/ 7899042 w 12192000"/>
              <a:gd name="connsiteY2487" fmla="*/ 5037684 h 6858000"/>
              <a:gd name="connsiteX2488" fmla="*/ 7931247 w 12192000"/>
              <a:gd name="connsiteY2488" fmla="*/ 5067336 h 6858000"/>
              <a:gd name="connsiteX2489" fmla="*/ 7899042 w 12192000"/>
              <a:gd name="connsiteY2489" fmla="*/ 5096988 h 6858000"/>
              <a:gd name="connsiteX2490" fmla="*/ 7977576 w 12192000"/>
              <a:gd name="connsiteY2490" fmla="*/ 5096988 h 6858000"/>
              <a:gd name="connsiteX2491" fmla="*/ 7945359 w 12192000"/>
              <a:gd name="connsiteY2491" fmla="*/ 5067336 h 6858000"/>
              <a:gd name="connsiteX2492" fmla="*/ 7977576 w 12192000"/>
              <a:gd name="connsiteY2492" fmla="*/ 5037684 h 6858000"/>
              <a:gd name="connsiteX2493" fmla="*/ 8009780 w 12192000"/>
              <a:gd name="connsiteY2493" fmla="*/ 5067336 h 6858000"/>
              <a:gd name="connsiteX2494" fmla="*/ 7977576 w 12192000"/>
              <a:gd name="connsiteY2494" fmla="*/ 5096988 h 6858000"/>
              <a:gd name="connsiteX2495" fmla="*/ 8056110 w 12192000"/>
              <a:gd name="connsiteY2495" fmla="*/ 5096988 h 6858000"/>
              <a:gd name="connsiteX2496" fmla="*/ 8023894 w 12192000"/>
              <a:gd name="connsiteY2496" fmla="*/ 5067336 h 6858000"/>
              <a:gd name="connsiteX2497" fmla="*/ 8056110 w 12192000"/>
              <a:gd name="connsiteY2497" fmla="*/ 5037684 h 6858000"/>
              <a:gd name="connsiteX2498" fmla="*/ 8088314 w 12192000"/>
              <a:gd name="connsiteY2498" fmla="*/ 5067336 h 6858000"/>
              <a:gd name="connsiteX2499" fmla="*/ 8056110 w 12192000"/>
              <a:gd name="connsiteY2499" fmla="*/ 5096988 h 6858000"/>
              <a:gd name="connsiteX2500" fmla="*/ 8134643 w 12192000"/>
              <a:gd name="connsiteY2500" fmla="*/ 5096988 h 6858000"/>
              <a:gd name="connsiteX2501" fmla="*/ 8102427 w 12192000"/>
              <a:gd name="connsiteY2501" fmla="*/ 5067336 h 6858000"/>
              <a:gd name="connsiteX2502" fmla="*/ 8134643 w 12192000"/>
              <a:gd name="connsiteY2502" fmla="*/ 5037684 h 6858000"/>
              <a:gd name="connsiteX2503" fmla="*/ 8166847 w 12192000"/>
              <a:gd name="connsiteY2503" fmla="*/ 5067336 h 6858000"/>
              <a:gd name="connsiteX2504" fmla="*/ 8134643 w 12192000"/>
              <a:gd name="connsiteY2504" fmla="*/ 5096988 h 6858000"/>
              <a:gd name="connsiteX2505" fmla="*/ 8213177 w 12192000"/>
              <a:gd name="connsiteY2505" fmla="*/ 5096988 h 6858000"/>
              <a:gd name="connsiteX2506" fmla="*/ 8180961 w 12192000"/>
              <a:gd name="connsiteY2506" fmla="*/ 5067336 h 6858000"/>
              <a:gd name="connsiteX2507" fmla="*/ 8213177 w 12192000"/>
              <a:gd name="connsiteY2507" fmla="*/ 5037684 h 6858000"/>
              <a:gd name="connsiteX2508" fmla="*/ 8245382 w 12192000"/>
              <a:gd name="connsiteY2508" fmla="*/ 5067336 h 6858000"/>
              <a:gd name="connsiteX2509" fmla="*/ 8213177 w 12192000"/>
              <a:gd name="connsiteY2509" fmla="*/ 5096988 h 6858000"/>
              <a:gd name="connsiteX2510" fmla="*/ 8291712 w 12192000"/>
              <a:gd name="connsiteY2510" fmla="*/ 5096988 h 6858000"/>
              <a:gd name="connsiteX2511" fmla="*/ 8259495 w 12192000"/>
              <a:gd name="connsiteY2511" fmla="*/ 5067336 h 6858000"/>
              <a:gd name="connsiteX2512" fmla="*/ 8291712 w 12192000"/>
              <a:gd name="connsiteY2512" fmla="*/ 5037684 h 6858000"/>
              <a:gd name="connsiteX2513" fmla="*/ 8323916 w 12192000"/>
              <a:gd name="connsiteY2513" fmla="*/ 5067336 h 6858000"/>
              <a:gd name="connsiteX2514" fmla="*/ 8291712 w 12192000"/>
              <a:gd name="connsiteY2514" fmla="*/ 5096988 h 6858000"/>
              <a:gd name="connsiteX2515" fmla="*/ 8370245 w 12192000"/>
              <a:gd name="connsiteY2515" fmla="*/ 5096988 h 6858000"/>
              <a:gd name="connsiteX2516" fmla="*/ 8338029 w 12192000"/>
              <a:gd name="connsiteY2516" fmla="*/ 5067336 h 6858000"/>
              <a:gd name="connsiteX2517" fmla="*/ 8370245 w 12192000"/>
              <a:gd name="connsiteY2517" fmla="*/ 5037684 h 6858000"/>
              <a:gd name="connsiteX2518" fmla="*/ 8402449 w 12192000"/>
              <a:gd name="connsiteY2518" fmla="*/ 5067336 h 6858000"/>
              <a:gd name="connsiteX2519" fmla="*/ 8370245 w 12192000"/>
              <a:gd name="connsiteY2519" fmla="*/ 5096988 h 6858000"/>
              <a:gd name="connsiteX2520" fmla="*/ 8448779 w 12192000"/>
              <a:gd name="connsiteY2520" fmla="*/ 5096988 h 6858000"/>
              <a:gd name="connsiteX2521" fmla="*/ 8416563 w 12192000"/>
              <a:gd name="connsiteY2521" fmla="*/ 5067336 h 6858000"/>
              <a:gd name="connsiteX2522" fmla="*/ 8448779 w 12192000"/>
              <a:gd name="connsiteY2522" fmla="*/ 5037684 h 6858000"/>
              <a:gd name="connsiteX2523" fmla="*/ 8480983 w 12192000"/>
              <a:gd name="connsiteY2523" fmla="*/ 5067336 h 6858000"/>
              <a:gd name="connsiteX2524" fmla="*/ 8448779 w 12192000"/>
              <a:gd name="connsiteY2524" fmla="*/ 5096988 h 6858000"/>
              <a:gd name="connsiteX2525" fmla="*/ 8527313 w 12192000"/>
              <a:gd name="connsiteY2525" fmla="*/ 5096988 h 6858000"/>
              <a:gd name="connsiteX2526" fmla="*/ 8495097 w 12192000"/>
              <a:gd name="connsiteY2526" fmla="*/ 5067336 h 6858000"/>
              <a:gd name="connsiteX2527" fmla="*/ 8527313 w 12192000"/>
              <a:gd name="connsiteY2527" fmla="*/ 5037684 h 6858000"/>
              <a:gd name="connsiteX2528" fmla="*/ 8559518 w 12192000"/>
              <a:gd name="connsiteY2528" fmla="*/ 5067336 h 6858000"/>
              <a:gd name="connsiteX2529" fmla="*/ 8527313 w 12192000"/>
              <a:gd name="connsiteY2529" fmla="*/ 5096988 h 6858000"/>
              <a:gd name="connsiteX2530" fmla="*/ 8605847 w 12192000"/>
              <a:gd name="connsiteY2530" fmla="*/ 5096988 h 6858000"/>
              <a:gd name="connsiteX2531" fmla="*/ 8573630 w 12192000"/>
              <a:gd name="connsiteY2531" fmla="*/ 5067336 h 6858000"/>
              <a:gd name="connsiteX2532" fmla="*/ 8605847 w 12192000"/>
              <a:gd name="connsiteY2532" fmla="*/ 5037684 h 6858000"/>
              <a:gd name="connsiteX2533" fmla="*/ 8638051 w 12192000"/>
              <a:gd name="connsiteY2533" fmla="*/ 5067336 h 6858000"/>
              <a:gd name="connsiteX2534" fmla="*/ 8605847 w 12192000"/>
              <a:gd name="connsiteY2534" fmla="*/ 5096988 h 6858000"/>
              <a:gd name="connsiteX2535" fmla="*/ 8684381 w 12192000"/>
              <a:gd name="connsiteY2535" fmla="*/ 5096988 h 6858000"/>
              <a:gd name="connsiteX2536" fmla="*/ 8652165 w 12192000"/>
              <a:gd name="connsiteY2536" fmla="*/ 5067336 h 6858000"/>
              <a:gd name="connsiteX2537" fmla="*/ 8684381 w 12192000"/>
              <a:gd name="connsiteY2537" fmla="*/ 5037684 h 6858000"/>
              <a:gd name="connsiteX2538" fmla="*/ 8716585 w 12192000"/>
              <a:gd name="connsiteY2538" fmla="*/ 5067336 h 6858000"/>
              <a:gd name="connsiteX2539" fmla="*/ 8684381 w 12192000"/>
              <a:gd name="connsiteY2539" fmla="*/ 5096988 h 6858000"/>
              <a:gd name="connsiteX2540" fmla="*/ 8762914 w 12192000"/>
              <a:gd name="connsiteY2540" fmla="*/ 5096988 h 6858000"/>
              <a:gd name="connsiteX2541" fmla="*/ 8730698 w 12192000"/>
              <a:gd name="connsiteY2541" fmla="*/ 5067336 h 6858000"/>
              <a:gd name="connsiteX2542" fmla="*/ 8762914 w 12192000"/>
              <a:gd name="connsiteY2542" fmla="*/ 5037684 h 6858000"/>
              <a:gd name="connsiteX2543" fmla="*/ 8795118 w 12192000"/>
              <a:gd name="connsiteY2543" fmla="*/ 5067336 h 6858000"/>
              <a:gd name="connsiteX2544" fmla="*/ 8762914 w 12192000"/>
              <a:gd name="connsiteY2544" fmla="*/ 5096988 h 6858000"/>
              <a:gd name="connsiteX2545" fmla="*/ 8841448 w 12192000"/>
              <a:gd name="connsiteY2545" fmla="*/ 5096988 h 6858000"/>
              <a:gd name="connsiteX2546" fmla="*/ 8809232 w 12192000"/>
              <a:gd name="connsiteY2546" fmla="*/ 5067336 h 6858000"/>
              <a:gd name="connsiteX2547" fmla="*/ 8841448 w 12192000"/>
              <a:gd name="connsiteY2547" fmla="*/ 5037684 h 6858000"/>
              <a:gd name="connsiteX2548" fmla="*/ 8873653 w 12192000"/>
              <a:gd name="connsiteY2548" fmla="*/ 5067336 h 6858000"/>
              <a:gd name="connsiteX2549" fmla="*/ 8841448 w 12192000"/>
              <a:gd name="connsiteY2549" fmla="*/ 5096988 h 6858000"/>
              <a:gd name="connsiteX2550" fmla="*/ 8919983 w 12192000"/>
              <a:gd name="connsiteY2550" fmla="*/ 5096988 h 6858000"/>
              <a:gd name="connsiteX2551" fmla="*/ 8887766 w 12192000"/>
              <a:gd name="connsiteY2551" fmla="*/ 5067336 h 6858000"/>
              <a:gd name="connsiteX2552" fmla="*/ 8919983 w 12192000"/>
              <a:gd name="connsiteY2552" fmla="*/ 5037684 h 6858000"/>
              <a:gd name="connsiteX2553" fmla="*/ 8952187 w 12192000"/>
              <a:gd name="connsiteY2553" fmla="*/ 5067336 h 6858000"/>
              <a:gd name="connsiteX2554" fmla="*/ 8919983 w 12192000"/>
              <a:gd name="connsiteY2554" fmla="*/ 5096988 h 6858000"/>
              <a:gd name="connsiteX2555" fmla="*/ 8998516 w 12192000"/>
              <a:gd name="connsiteY2555" fmla="*/ 5096988 h 6858000"/>
              <a:gd name="connsiteX2556" fmla="*/ 8966300 w 12192000"/>
              <a:gd name="connsiteY2556" fmla="*/ 5067336 h 6858000"/>
              <a:gd name="connsiteX2557" fmla="*/ 8998516 w 12192000"/>
              <a:gd name="connsiteY2557" fmla="*/ 5037684 h 6858000"/>
              <a:gd name="connsiteX2558" fmla="*/ 9030720 w 12192000"/>
              <a:gd name="connsiteY2558" fmla="*/ 5067336 h 6858000"/>
              <a:gd name="connsiteX2559" fmla="*/ 8998516 w 12192000"/>
              <a:gd name="connsiteY2559" fmla="*/ 5096988 h 6858000"/>
              <a:gd name="connsiteX2560" fmla="*/ 9077050 w 12192000"/>
              <a:gd name="connsiteY2560" fmla="*/ 5096988 h 6858000"/>
              <a:gd name="connsiteX2561" fmla="*/ 9044834 w 12192000"/>
              <a:gd name="connsiteY2561" fmla="*/ 5067336 h 6858000"/>
              <a:gd name="connsiteX2562" fmla="*/ 9077050 w 12192000"/>
              <a:gd name="connsiteY2562" fmla="*/ 5037684 h 6858000"/>
              <a:gd name="connsiteX2563" fmla="*/ 9109254 w 12192000"/>
              <a:gd name="connsiteY2563" fmla="*/ 5067336 h 6858000"/>
              <a:gd name="connsiteX2564" fmla="*/ 9077050 w 12192000"/>
              <a:gd name="connsiteY2564" fmla="*/ 5096988 h 6858000"/>
              <a:gd name="connsiteX2565" fmla="*/ 9155583 w 12192000"/>
              <a:gd name="connsiteY2565" fmla="*/ 5096988 h 6858000"/>
              <a:gd name="connsiteX2566" fmla="*/ 9123367 w 12192000"/>
              <a:gd name="connsiteY2566" fmla="*/ 5067336 h 6858000"/>
              <a:gd name="connsiteX2567" fmla="*/ 9155583 w 12192000"/>
              <a:gd name="connsiteY2567" fmla="*/ 5037684 h 6858000"/>
              <a:gd name="connsiteX2568" fmla="*/ 9187788 w 12192000"/>
              <a:gd name="connsiteY2568" fmla="*/ 5067336 h 6858000"/>
              <a:gd name="connsiteX2569" fmla="*/ 9155583 w 12192000"/>
              <a:gd name="connsiteY2569" fmla="*/ 5096988 h 6858000"/>
              <a:gd name="connsiteX2570" fmla="*/ 9234118 w 12192000"/>
              <a:gd name="connsiteY2570" fmla="*/ 5096988 h 6858000"/>
              <a:gd name="connsiteX2571" fmla="*/ 9201901 w 12192000"/>
              <a:gd name="connsiteY2571" fmla="*/ 5067336 h 6858000"/>
              <a:gd name="connsiteX2572" fmla="*/ 9234118 w 12192000"/>
              <a:gd name="connsiteY2572" fmla="*/ 5037684 h 6858000"/>
              <a:gd name="connsiteX2573" fmla="*/ 9266322 w 12192000"/>
              <a:gd name="connsiteY2573" fmla="*/ 5067336 h 6858000"/>
              <a:gd name="connsiteX2574" fmla="*/ 9234118 w 12192000"/>
              <a:gd name="connsiteY2574" fmla="*/ 5096988 h 6858000"/>
              <a:gd name="connsiteX2575" fmla="*/ 9312652 w 12192000"/>
              <a:gd name="connsiteY2575" fmla="*/ 5096988 h 6858000"/>
              <a:gd name="connsiteX2576" fmla="*/ 9280436 w 12192000"/>
              <a:gd name="connsiteY2576" fmla="*/ 5067336 h 6858000"/>
              <a:gd name="connsiteX2577" fmla="*/ 9312652 w 12192000"/>
              <a:gd name="connsiteY2577" fmla="*/ 5037684 h 6858000"/>
              <a:gd name="connsiteX2578" fmla="*/ 9344856 w 12192000"/>
              <a:gd name="connsiteY2578" fmla="*/ 5067336 h 6858000"/>
              <a:gd name="connsiteX2579" fmla="*/ 9312652 w 12192000"/>
              <a:gd name="connsiteY2579" fmla="*/ 5096988 h 6858000"/>
              <a:gd name="connsiteX2580" fmla="*/ 9391185 w 12192000"/>
              <a:gd name="connsiteY2580" fmla="*/ 5096988 h 6858000"/>
              <a:gd name="connsiteX2581" fmla="*/ 9358969 w 12192000"/>
              <a:gd name="connsiteY2581" fmla="*/ 5067336 h 6858000"/>
              <a:gd name="connsiteX2582" fmla="*/ 9391185 w 12192000"/>
              <a:gd name="connsiteY2582" fmla="*/ 5037684 h 6858000"/>
              <a:gd name="connsiteX2583" fmla="*/ 9423389 w 12192000"/>
              <a:gd name="connsiteY2583" fmla="*/ 5067336 h 6858000"/>
              <a:gd name="connsiteX2584" fmla="*/ 9391185 w 12192000"/>
              <a:gd name="connsiteY2584" fmla="*/ 5096988 h 6858000"/>
              <a:gd name="connsiteX2585" fmla="*/ 9469719 w 12192000"/>
              <a:gd name="connsiteY2585" fmla="*/ 5096988 h 6858000"/>
              <a:gd name="connsiteX2586" fmla="*/ 9437503 w 12192000"/>
              <a:gd name="connsiteY2586" fmla="*/ 5067336 h 6858000"/>
              <a:gd name="connsiteX2587" fmla="*/ 9469719 w 12192000"/>
              <a:gd name="connsiteY2587" fmla="*/ 5037684 h 6858000"/>
              <a:gd name="connsiteX2588" fmla="*/ 9501924 w 12192000"/>
              <a:gd name="connsiteY2588" fmla="*/ 5067336 h 6858000"/>
              <a:gd name="connsiteX2589" fmla="*/ 9469719 w 12192000"/>
              <a:gd name="connsiteY2589" fmla="*/ 5096988 h 6858000"/>
              <a:gd name="connsiteX2590" fmla="*/ 9548254 w 12192000"/>
              <a:gd name="connsiteY2590" fmla="*/ 5096988 h 6858000"/>
              <a:gd name="connsiteX2591" fmla="*/ 9516037 w 12192000"/>
              <a:gd name="connsiteY2591" fmla="*/ 5067336 h 6858000"/>
              <a:gd name="connsiteX2592" fmla="*/ 9548254 w 12192000"/>
              <a:gd name="connsiteY2592" fmla="*/ 5037684 h 6858000"/>
              <a:gd name="connsiteX2593" fmla="*/ 9580458 w 12192000"/>
              <a:gd name="connsiteY2593" fmla="*/ 5067336 h 6858000"/>
              <a:gd name="connsiteX2594" fmla="*/ 9548254 w 12192000"/>
              <a:gd name="connsiteY2594" fmla="*/ 5096988 h 6858000"/>
              <a:gd name="connsiteX2595" fmla="*/ 9626787 w 12192000"/>
              <a:gd name="connsiteY2595" fmla="*/ 5096988 h 6858000"/>
              <a:gd name="connsiteX2596" fmla="*/ 9594571 w 12192000"/>
              <a:gd name="connsiteY2596" fmla="*/ 5067336 h 6858000"/>
              <a:gd name="connsiteX2597" fmla="*/ 9626787 w 12192000"/>
              <a:gd name="connsiteY2597" fmla="*/ 5037684 h 6858000"/>
              <a:gd name="connsiteX2598" fmla="*/ 9658991 w 12192000"/>
              <a:gd name="connsiteY2598" fmla="*/ 5067336 h 6858000"/>
              <a:gd name="connsiteX2599" fmla="*/ 9626787 w 12192000"/>
              <a:gd name="connsiteY2599" fmla="*/ 5096988 h 6858000"/>
              <a:gd name="connsiteX2600" fmla="*/ 9705321 w 12192000"/>
              <a:gd name="connsiteY2600" fmla="*/ 5096988 h 6858000"/>
              <a:gd name="connsiteX2601" fmla="*/ 9673105 w 12192000"/>
              <a:gd name="connsiteY2601" fmla="*/ 5067336 h 6858000"/>
              <a:gd name="connsiteX2602" fmla="*/ 9705321 w 12192000"/>
              <a:gd name="connsiteY2602" fmla="*/ 5037684 h 6858000"/>
              <a:gd name="connsiteX2603" fmla="*/ 9737525 w 12192000"/>
              <a:gd name="connsiteY2603" fmla="*/ 5067336 h 6858000"/>
              <a:gd name="connsiteX2604" fmla="*/ 9705321 w 12192000"/>
              <a:gd name="connsiteY2604" fmla="*/ 5096988 h 6858000"/>
              <a:gd name="connsiteX2605" fmla="*/ 9783854 w 12192000"/>
              <a:gd name="connsiteY2605" fmla="*/ 5096988 h 6858000"/>
              <a:gd name="connsiteX2606" fmla="*/ 9751638 w 12192000"/>
              <a:gd name="connsiteY2606" fmla="*/ 5067336 h 6858000"/>
              <a:gd name="connsiteX2607" fmla="*/ 9783854 w 12192000"/>
              <a:gd name="connsiteY2607" fmla="*/ 5037684 h 6858000"/>
              <a:gd name="connsiteX2608" fmla="*/ 9816059 w 12192000"/>
              <a:gd name="connsiteY2608" fmla="*/ 5067336 h 6858000"/>
              <a:gd name="connsiteX2609" fmla="*/ 9783854 w 12192000"/>
              <a:gd name="connsiteY2609" fmla="*/ 5096988 h 6858000"/>
              <a:gd name="connsiteX2610" fmla="*/ 9862389 w 12192000"/>
              <a:gd name="connsiteY2610" fmla="*/ 5096988 h 6858000"/>
              <a:gd name="connsiteX2611" fmla="*/ 9830172 w 12192000"/>
              <a:gd name="connsiteY2611" fmla="*/ 5067336 h 6858000"/>
              <a:gd name="connsiteX2612" fmla="*/ 9862389 w 12192000"/>
              <a:gd name="connsiteY2612" fmla="*/ 5037684 h 6858000"/>
              <a:gd name="connsiteX2613" fmla="*/ 9894593 w 12192000"/>
              <a:gd name="connsiteY2613" fmla="*/ 5067336 h 6858000"/>
              <a:gd name="connsiteX2614" fmla="*/ 9862389 w 12192000"/>
              <a:gd name="connsiteY2614" fmla="*/ 5096988 h 6858000"/>
              <a:gd name="connsiteX2615" fmla="*/ 9940923 w 12192000"/>
              <a:gd name="connsiteY2615" fmla="*/ 5096988 h 6858000"/>
              <a:gd name="connsiteX2616" fmla="*/ 9908707 w 12192000"/>
              <a:gd name="connsiteY2616" fmla="*/ 5067336 h 6858000"/>
              <a:gd name="connsiteX2617" fmla="*/ 9940923 w 12192000"/>
              <a:gd name="connsiteY2617" fmla="*/ 5037684 h 6858000"/>
              <a:gd name="connsiteX2618" fmla="*/ 9973127 w 12192000"/>
              <a:gd name="connsiteY2618" fmla="*/ 5067336 h 6858000"/>
              <a:gd name="connsiteX2619" fmla="*/ 9940923 w 12192000"/>
              <a:gd name="connsiteY2619" fmla="*/ 5096988 h 6858000"/>
              <a:gd name="connsiteX2620" fmla="*/ 10019456 w 12192000"/>
              <a:gd name="connsiteY2620" fmla="*/ 5096988 h 6858000"/>
              <a:gd name="connsiteX2621" fmla="*/ 9987240 w 12192000"/>
              <a:gd name="connsiteY2621" fmla="*/ 5067336 h 6858000"/>
              <a:gd name="connsiteX2622" fmla="*/ 10019456 w 12192000"/>
              <a:gd name="connsiteY2622" fmla="*/ 5037684 h 6858000"/>
              <a:gd name="connsiteX2623" fmla="*/ 10051660 w 12192000"/>
              <a:gd name="connsiteY2623" fmla="*/ 5067336 h 6858000"/>
              <a:gd name="connsiteX2624" fmla="*/ 10019456 w 12192000"/>
              <a:gd name="connsiteY2624" fmla="*/ 5096988 h 6858000"/>
              <a:gd name="connsiteX2625" fmla="*/ 10097990 w 12192000"/>
              <a:gd name="connsiteY2625" fmla="*/ 5096988 h 6858000"/>
              <a:gd name="connsiteX2626" fmla="*/ 10065774 w 12192000"/>
              <a:gd name="connsiteY2626" fmla="*/ 5067336 h 6858000"/>
              <a:gd name="connsiteX2627" fmla="*/ 10097990 w 12192000"/>
              <a:gd name="connsiteY2627" fmla="*/ 5037684 h 6858000"/>
              <a:gd name="connsiteX2628" fmla="*/ 10130195 w 12192000"/>
              <a:gd name="connsiteY2628" fmla="*/ 5067336 h 6858000"/>
              <a:gd name="connsiteX2629" fmla="*/ 10097990 w 12192000"/>
              <a:gd name="connsiteY2629" fmla="*/ 5096988 h 6858000"/>
              <a:gd name="connsiteX2630" fmla="*/ 10176524 w 12192000"/>
              <a:gd name="connsiteY2630" fmla="*/ 5096988 h 6858000"/>
              <a:gd name="connsiteX2631" fmla="*/ 10144307 w 12192000"/>
              <a:gd name="connsiteY2631" fmla="*/ 5067336 h 6858000"/>
              <a:gd name="connsiteX2632" fmla="*/ 10176524 w 12192000"/>
              <a:gd name="connsiteY2632" fmla="*/ 5037684 h 6858000"/>
              <a:gd name="connsiteX2633" fmla="*/ 10208728 w 12192000"/>
              <a:gd name="connsiteY2633" fmla="*/ 5067336 h 6858000"/>
              <a:gd name="connsiteX2634" fmla="*/ 10176524 w 12192000"/>
              <a:gd name="connsiteY2634" fmla="*/ 5096988 h 6858000"/>
              <a:gd name="connsiteX2635" fmla="*/ 1851910 w 12192000"/>
              <a:gd name="connsiteY2635" fmla="*/ 5024724 h 6858000"/>
              <a:gd name="connsiteX2636" fmla="*/ 1819700 w 12192000"/>
              <a:gd name="connsiteY2636" fmla="*/ 4995071 h 6858000"/>
              <a:gd name="connsiteX2637" fmla="*/ 1851910 w 12192000"/>
              <a:gd name="connsiteY2637" fmla="*/ 4965419 h 6858000"/>
              <a:gd name="connsiteX2638" fmla="*/ 1884120 w 12192000"/>
              <a:gd name="connsiteY2638" fmla="*/ 4995071 h 6858000"/>
              <a:gd name="connsiteX2639" fmla="*/ 1851910 w 12192000"/>
              <a:gd name="connsiteY2639" fmla="*/ 5024724 h 6858000"/>
              <a:gd name="connsiteX2640" fmla="*/ 1930444 w 12192000"/>
              <a:gd name="connsiteY2640" fmla="*/ 5024724 h 6858000"/>
              <a:gd name="connsiteX2641" fmla="*/ 1898234 w 12192000"/>
              <a:gd name="connsiteY2641" fmla="*/ 4995071 h 6858000"/>
              <a:gd name="connsiteX2642" fmla="*/ 1930444 w 12192000"/>
              <a:gd name="connsiteY2642" fmla="*/ 4965419 h 6858000"/>
              <a:gd name="connsiteX2643" fmla="*/ 1962655 w 12192000"/>
              <a:gd name="connsiteY2643" fmla="*/ 4995071 h 6858000"/>
              <a:gd name="connsiteX2644" fmla="*/ 1930444 w 12192000"/>
              <a:gd name="connsiteY2644" fmla="*/ 5024724 h 6858000"/>
              <a:gd name="connsiteX2645" fmla="*/ 2008978 w 12192000"/>
              <a:gd name="connsiteY2645" fmla="*/ 5024724 h 6858000"/>
              <a:gd name="connsiteX2646" fmla="*/ 1976767 w 12192000"/>
              <a:gd name="connsiteY2646" fmla="*/ 4995071 h 6858000"/>
              <a:gd name="connsiteX2647" fmla="*/ 2008978 w 12192000"/>
              <a:gd name="connsiteY2647" fmla="*/ 4965419 h 6858000"/>
              <a:gd name="connsiteX2648" fmla="*/ 2041188 w 12192000"/>
              <a:gd name="connsiteY2648" fmla="*/ 4995071 h 6858000"/>
              <a:gd name="connsiteX2649" fmla="*/ 2008978 w 12192000"/>
              <a:gd name="connsiteY2649" fmla="*/ 5024724 h 6858000"/>
              <a:gd name="connsiteX2650" fmla="*/ 2087512 w 12192000"/>
              <a:gd name="connsiteY2650" fmla="*/ 5024724 h 6858000"/>
              <a:gd name="connsiteX2651" fmla="*/ 2055302 w 12192000"/>
              <a:gd name="connsiteY2651" fmla="*/ 4995071 h 6858000"/>
              <a:gd name="connsiteX2652" fmla="*/ 2087512 w 12192000"/>
              <a:gd name="connsiteY2652" fmla="*/ 4965419 h 6858000"/>
              <a:gd name="connsiteX2653" fmla="*/ 2119722 w 12192000"/>
              <a:gd name="connsiteY2653" fmla="*/ 4995071 h 6858000"/>
              <a:gd name="connsiteX2654" fmla="*/ 2087512 w 12192000"/>
              <a:gd name="connsiteY2654" fmla="*/ 5024724 h 6858000"/>
              <a:gd name="connsiteX2655" fmla="*/ 2166045 w 12192000"/>
              <a:gd name="connsiteY2655" fmla="*/ 5024724 h 6858000"/>
              <a:gd name="connsiteX2656" fmla="*/ 2133835 w 12192000"/>
              <a:gd name="connsiteY2656" fmla="*/ 4995071 h 6858000"/>
              <a:gd name="connsiteX2657" fmla="*/ 2166045 w 12192000"/>
              <a:gd name="connsiteY2657" fmla="*/ 4965419 h 6858000"/>
              <a:gd name="connsiteX2658" fmla="*/ 2198255 w 12192000"/>
              <a:gd name="connsiteY2658" fmla="*/ 4995071 h 6858000"/>
              <a:gd name="connsiteX2659" fmla="*/ 2166045 w 12192000"/>
              <a:gd name="connsiteY2659" fmla="*/ 5024724 h 6858000"/>
              <a:gd name="connsiteX2660" fmla="*/ 2244579 w 12192000"/>
              <a:gd name="connsiteY2660" fmla="*/ 5024724 h 6858000"/>
              <a:gd name="connsiteX2661" fmla="*/ 2212369 w 12192000"/>
              <a:gd name="connsiteY2661" fmla="*/ 4995071 h 6858000"/>
              <a:gd name="connsiteX2662" fmla="*/ 2244579 w 12192000"/>
              <a:gd name="connsiteY2662" fmla="*/ 4965419 h 6858000"/>
              <a:gd name="connsiteX2663" fmla="*/ 2276790 w 12192000"/>
              <a:gd name="connsiteY2663" fmla="*/ 4995071 h 6858000"/>
              <a:gd name="connsiteX2664" fmla="*/ 2244579 w 12192000"/>
              <a:gd name="connsiteY2664" fmla="*/ 5024724 h 6858000"/>
              <a:gd name="connsiteX2665" fmla="*/ 2323114 w 12192000"/>
              <a:gd name="connsiteY2665" fmla="*/ 5024724 h 6858000"/>
              <a:gd name="connsiteX2666" fmla="*/ 2290903 w 12192000"/>
              <a:gd name="connsiteY2666" fmla="*/ 4995071 h 6858000"/>
              <a:gd name="connsiteX2667" fmla="*/ 2323114 w 12192000"/>
              <a:gd name="connsiteY2667" fmla="*/ 4965419 h 6858000"/>
              <a:gd name="connsiteX2668" fmla="*/ 2355324 w 12192000"/>
              <a:gd name="connsiteY2668" fmla="*/ 4995071 h 6858000"/>
              <a:gd name="connsiteX2669" fmla="*/ 2323114 w 12192000"/>
              <a:gd name="connsiteY2669" fmla="*/ 5024724 h 6858000"/>
              <a:gd name="connsiteX2670" fmla="*/ 2401647 w 12192000"/>
              <a:gd name="connsiteY2670" fmla="*/ 5024724 h 6858000"/>
              <a:gd name="connsiteX2671" fmla="*/ 2369437 w 12192000"/>
              <a:gd name="connsiteY2671" fmla="*/ 4995071 h 6858000"/>
              <a:gd name="connsiteX2672" fmla="*/ 2401647 w 12192000"/>
              <a:gd name="connsiteY2672" fmla="*/ 4965419 h 6858000"/>
              <a:gd name="connsiteX2673" fmla="*/ 2433857 w 12192000"/>
              <a:gd name="connsiteY2673" fmla="*/ 4995071 h 6858000"/>
              <a:gd name="connsiteX2674" fmla="*/ 2401647 w 12192000"/>
              <a:gd name="connsiteY2674" fmla="*/ 5024724 h 6858000"/>
              <a:gd name="connsiteX2675" fmla="*/ 2480181 w 12192000"/>
              <a:gd name="connsiteY2675" fmla="*/ 5024724 h 6858000"/>
              <a:gd name="connsiteX2676" fmla="*/ 2447971 w 12192000"/>
              <a:gd name="connsiteY2676" fmla="*/ 4995071 h 6858000"/>
              <a:gd name="connsiteX2677" fmla="*/ 2480181 w 12192000"/>
              <a:gd name="connsiteY2677" fmla="*/ 4965419 h 6858000"/>
              <a:gd name="connsiteX2678" fmla="*/ 2512391 w 12192000"/>
              <a:gd name="connsiteY2678" fmla="*/ 4995071 h 6858000"/>
              <a:gd name="connsiteX2679" fmla="*/ 2480181 w 12192000"/>
              <a:gd name="connsiteY2679" fmla="*/ 5024724 h 6858000"/>
              <a:gd name="connsiteX2680" fmla="*/ 2558715 w 12192000"/>
              <a:gd name="connsiteY2680" fmla="*/ 5024724 h 6858000"/>
              <a:gd name="connsiteX2681" fmla="*/ 2526505 w 12192000"/>
              <a:gd name="connsiteY2681" fmla="*/ 4995071 h 6858000"/>
              <a:gd name="connsiteX2682" fmla="*/ 2558715 w 12192000"/>
              <a:gd name="connsiteY2682" fmla="*/ 4965419 h 6858000"/>
              <a:gd name="connsiteX2683" fmla="*/ 2590926 w 12192000"/>
              <a:gd name="connsiteY2683" fmla="*/ 4995071 h 6858000"/>
              <a:gd name="connsiteX2684" fmla="*/ 2558715 w 12192000"/>
              <a:gd name="connsiteY2684" fmla="*/ 5024724 h 6858000"/>
              <a:gd name="connsiteX2685" fmla="*/ 2637243 w 12192000"/>
              <a:gd name="connsiteY2685" fmla="*/ 5024724 h 6858000"/>
              <a:gd name="connsiteX2686" fmla="*/ 2605032 w 12192000"/>
              <a:gd name="connsiteY2686" fmla="*/ 4995071 h 6858000"/>
              <a:gd name="connsiteX2687" fmla="*/ 2637243 w 12192000"/>
              <a:gd name="connsiteY2687" fmla="*/ 4965419 h 6858000"/>
              <a:gd name="connsiteX2688" fmla="*/ 2669453 w 12192000"/>
              <a:gd name="connsiteY2688" fmla="*/ 4995071 h 6858000"/>
              <a:gd name="connsiteX2689" fmla="*/ 2637243 w 12192000"/>
              <a:gd name="connsiteY2689" fmla="*/ 5024724 h 6858000"/>
              <a:gd name="connsiteX2690" fmla="*/ 2715777 w 12192000"/>
              <a:gd name="connsiteY2690" fmla="*/ 5024724 h 6858000"/>
              <a:gd name="connsiteX2691" fmla="*/ 2683566 w 12192000"/>
              <a:gd name="connsiteY2691" fmla="*/ 4995071 h 6858000"/>
              <a:gd name="connsiteX2692" fmla="*/ 2715777 w 12192000"/>
              <a:gd name="connsiteY2692" fmla="*/ 4965419 h 6858000"/>
              <a:gd name="connsiteX2693" fmla="*/ 2747987 w 12192000"/>
              <a:gd name="connsiteY2693" fmla="*/ 4995071 h 6858000"/>
              <a:gd name="connsiteX2694" fmla="*/ 2715777 w 12192000"/>
              <a:gd name="connsiteY2694" fmla="*/ 5024724 h 6858000"/>
              <a:gd name="connsiteX2695" fmla="*/ 2794310 w 12192000"/>
              <a:gd name="connsiteY2695" fmla="*/ 5024724 h 6858000"/>
              <a:gd name="connsiteX2696" fmla="*/ 2762100 w 12192000"/>
              <a:gd name="connsiteY2696" fmla="*/ 4995071 h 6858000"/>
              <a:gd name="connsiteX2697" fmla="*/ 2794310 w 12192000"/>
              <a:gd name="connsiteY2697" fmla="*/ 4965419 h 6858000"/>
              <a:gd name="connsiteX2698" fmla="*/ 2826520 w 12192000"/>
              <a:gd name="connsiteY2698" fmla="*/ 4995071 h 6858000"/>
              <a:gd name="connsiteX2699" fmla="*/ 2794310 w 12192000"/>
              <a:gd name="connsiteY2699" fmla="*/ 5024724 h 6858000"/>
              <a:gd name="connsiteX2700" fmla="*/ 2872844 w 12192000"/>
              <a:gd name="connsiteY2700" fmla="*/ 5024724 h 6858000"/>
              <a:gd name="connsiteX2701" fmla="*/ 2840634 w 12192000"/>
              <a:gd name="connsiteY2701" fmla="*/ 4995071 h 6858000"/>
              <a:gd name="connsiteX2702" fmla="*/ 2872844 w 12192000"/>
              <a:gd name="connsiteY2702" fmla="*/ 4965419 h 6858000"/>
              <a:gd name="connsiteX2703" fmla="*/ 2905055 w 12192000"/>
              <a:gd name="connsiteY2703" fmla="*/ 4995071 h 6858000"/>
              <a:gd name="connsiteX2704" fmla="*/ 2872844 w 12192000"/>
              <a:gd name="connsiteY2704" fmla="*/ 5024724 h 6858000"/>
              <a:gd name="connsiteX2705" fmla="*/ 2951379 w 12192000"/>
              <a:gd name="connsiteY2705" fmla="*/ 5024724 h 6858000"/>
              <a:gd name="connsiteX2706" fmla="*/ 2919168 w 12192000"/>
              <a:gd name="connsiteY2706" fmla="*/ 4995071 h 6858000"/>
              <a:gd name="connsiteX2707" fmla="*/ 2951379 w 12192000"/>
              <a:gd name="connsiteY2707" fmla="*/ 4965419 h 6858000"/>
              <a:gd name="connsiteX2708" fmla="*/ 2983589 w 12192000"/>
              <a:gd name="connsiteY2708" fmla="*/ 4995071 h 6858000"/>
              <a:gd name="connsiteX2709" fmla="*/ 2951379 w 12192000"/>
              <a:gd name="connsiteY2709" fmla="*/ 5024724 h 6858000"/>
              <a:gd name="connsiteX2710" fmla="*/ 3186979 w 12192000"/>
              <a:gd name="connsiteY2710" fmla="*/ 5024724 h 6858000"/>
              <a:gd name="connsiteX2711" fmla="*/ 3154769 w 12192000"/>
              <a:gd name="connsiteY2711" fmla="*/ 4995071 h 6858000"/>
              <a:gd name="connsiteX2712" fmla="*/ 3186979 w 12192000"/>
              <a:gd name="connsiteY2712" fmla="*/ 4965419 h 6858000"/>
              <a:gd name="connsiteX2713" fmla="*/ 3219190 w 12192000"/>
              <a:gd name="connsiteY2713" fmla="*/ 4995071 h 6858000"/>
              <a:gd name="connsiteX2714" fmla="*/ 3186979 w 12192000"/>
              <a:gd name="connsiteY2714" fmla="*/ 5024724 h 6858000"/>
              <a:gd name="connsiteX2715" fmla="*/ 3265514 w 12192000"/>
              <a:gd name="connsiteY2715" fmla="*/ 5024724 h 6858000"/>
              <a:gd name="connsiteX2716" fmla="*/ 3233303 w 12192000"/>
              <a:gd name="connsiteY2716" fmla="*/ 4995071 h 6858000"/>
              <a:gd name="connsiteX2717" fmla="*/ 3265514 w 12192000"/>
              <a:gd name="connsiteY2717" fmla="*/ 4965419 h 6858000"/>
              <a:gd name="connsiteX2718" fmla="*/ 3297724 w 12192000"/>
              <a:gd name="connsiteY2718" fmla="*/ 4995071 h 6858000"/>
              <a:gd name="connsiteX2719" fmla="*/ 3265514 w 12192000"/>
              <a:gd name="connsiteY2719" fmla="*/ 5024724 h 6858000"/>
              <a:gd name="connsiteX2720" fmla="*/ 3344048 w 12192000"/>
              <a:gd name="connsiteY2720" fmla="*/ 5024724 h 6858000"/>
              <a:gd name="connsiteX2721" fmla="*/ 3311837 w 12192000"/>
              <a:gd name="connsiteY2721" fmla="*/ 4995071 h 6858000"/>
              <a:gd name="connsiteX2722" fmla="*/ 3344048 w 12192000"/>
              <a:gd name="connsiteY2722" fmla="*/ 4965419 h 6858000"/>
              <a:gd name="connsiteX2723" fmla="*/ 3376258 w 12192000"/>
              <a:gd name="connsiteY2723" fmla="*/ 4995071 h 6858000"/>
              <a:gd name="connsiteX2724" fmla="*/ 3344048 w 12192000"/>
              <a:gd name="connsiteY2724" fmla="*/ 5024724 h 6858000"/>
              <a:gd name="connsiteX2725" fmla="*/ 3422581 w 12192000"/>
              <a:gd name="connsiteY2725" fmla="*/ 5024724 h 6858000"/>
              <a:gd name="connsiteX2726" fmla="*/ 3390371 w 12192000"/>
              <a:gd name="connsiteY2726" fmla="*/ 4995071 h 6858000"/>
              <a:gd name="connsiteX2727" fmla="*/ 3422581 w 12192000"/>
              <a:gd name="connsiteY2727" fmla="*/ 4965419 h 6858000"/>
              <a:gd name="connsiteX2728" fmla="*/ 3454791 w 12192000"/>
              <a:gd name="connsiteY2728" fmla="*/ 4995071 h 6858000"/>
              <a:gd name="connsiteX2729" fmla="*/ 3422581 w 12192000"/>
              <a:gd name="connsiteY2729" fmla="*/ 5024724 h 6858000"/>
              <a:gd name="connsiteX2730" fmla="*/ 3501115 w 12192000"/>
              <a:gd name="connsiteY2730" fmla="*/ 5024724 h 6858000"/>
              <a:gd name="connsiteX2731" fmla="*/ 3468905 w 12192000"/>
              <a:gd name="connsiteY2731" fmla="*/ 4995071 h 6858000"/>
              <a:gd name="connsiteX2732" fmla="*/ 3501115 w 12192000"/>
              <a:gd name="connsiteY2732" fmla="*/ 4965419 h 6858000"/>
              <a:gd name="connsiteX2733" fmla="*/ 3533326 w 12192000"/>
              <a:gd name="connsiteY2733" fmla="*/ 4995071 h 6858000"/>
              <a:gd name="connsiteX2734" fmla="*/ 3501115 w 12192000"/>
              <a:gd name="connsiteY2734" fmla="*/ 5024724 h 6858000"/>
              <a:gd name="connsiteX2735" fmla="*/ 3579650 w 12192000"/>
              <a:gd name="connsiteY2735" fmla="*/ 5024724 h 6858000"/>
              <a:gd name="connsiteX2736" fmla="*/ 3547439 w 12192000"/>
              <a:gd name="connsiteY2736" fmla="*/ 4995071 h 6858000"/>
              <a:gd name="connsiteX2737" fmla="*/ 3579650 w 12192000"/>
              <a:gd name="connsiteY2737" fmla="*/ 4965419 h 6858000"/>
              <a:gd name="connsiteX2738" fmla="*/ 3611860 w 12192000"/>
              <a:gd name="connsiteY2738" fmla="*/ 4995071 h 6858000"/>
              <a:gd name="connsiteX2739" fmla="*/ 3579650 w 12192000"/>
              <a:gd name="connsiteY2739" fmla="*/ 5024724 h 6858000"/>
              <a:gd name="connsiteX2740" fmla="*/ 3658183 w 12192000"/>
              <a:gd name="connsiteY2740" fmla="*/ 5024724 h 6858000"/>
              <a:gd name="connsiteX2741" fmla="*/ 3625972 w 12192000"/>
              <a:gd name="connsiteY2741" fmla="*/ 4995071 h 6858000"/>
              <a:gd name="connsiteX2742" fmla="*/ 3658183 w 12192000"/>
              <a:gd name="connsiteY2742" fmla="*/ 4965419 h 6858000"/>
              <a:gd name="connsiteX2743" fmla="*/ 3690393 w 12192000"/>
              <a:gd name="connsiteY2743" fmla="*/ 4995071 h 6858000"/>
              <a:gd name="connsiteX2744" fmla="*/ 3658183 w 12192000"/>
              <a:gd name="connsiteY2744" fmla="*/ 5024724 h 6858000"/>
              <a:gd name="connsiteX2745" fmla="*/ 3736717 w 12192000"/>
              <a:gd name="connsiteY2745" fmla="*/ 5024724 h 6858000"/>
              <a:gd name="connsiteX2746" fmla="*/ 3704507 w 12192000"/>
              <a:gd name="connsiteY2746" fmla="*/ 4995071 h 6858000"/>
              <a:gd name="connsiteX2747" fmla="*/ 3736717 w 12192000"/>
              <a:gd name="connsiteY2747" fmla="*/ 4965419 h 6858000"/>
              <a:gd name="connsiteX2748" fmla="*/ 3768927 w 12192000"/>
              <a:gd name="connsiteY2748" fmla="*/ 4995071 h 6858000"/>
              <a:gd name="connsiteX2749" fmla="*/ 3736717 w 12192000"/>
              <a:gd name="connsiteY2749" fmla="*/ 5024724 h 6858000"/>
              <a:gd name="connsiteX2750" fmla="*/ 3815250 w 12192000"/>
              <a:gd name="connsiteY2750" fmla="*/ 5024724 h 6858000"/>
              <a:gd name="connsiteX2751" fmla="*/ 3783040 w 12192000"/>
              <a:gd name="connsiteY2751" fmla="*/ 4995071 h 6858000"/>
              <a:gd name="connsiteX2752" fmla="*/ 3815250 w 12192000"/>
              <a:gd name="connsiteY2752" fmla="*/ 4965419 h 6858000"/>
              <a:gd name="connsiteX2753" fmla="*/ 3847461 w 12192000"/>
              <a:gd name="connsiteY2753" fmla="*/ 4995071 h 6858000"/>
              <a:gd name="connsiteX2754" fmla="*/ 3815250 w 12192000"/>
              <a:gd name="connsiteY2754" fmla="*/ 5024724 h 6858000"/>
              <a:gd name="connsiteX2755" fmla="*/ 3972319 w 12192000"/>
              <a:gd name="connsiteY2755" fmla="*/ 5024724 h 6858000"/>
              <a:gd name="connsiteX2756" fmla="*/ 3940108 w 12192000"/>
              <a:gd name="connsiteY2756" fmla="*/ 4995071 h 6858000"/>
              <a:gd name="connsiteX2757" fmla="*/ 3972319 w 12192000"/>
              <a:gd name="connsiteY2757" fmla="*/ 4965419 h 6858000"/>
              <a:gd name="connsiteX2758" fmla="*/ 4004529 w 12192000"/>
              <a:gd name="connsiteY2758" fmla="*/ 4995071 h 6858000"/>
              <a:gd name="connsiteX2759" fmla="*/ 3972319 w 12192000"/>
              <a:gd name="connsiteY2759" fmla="*/ 5024724 h 6858000"/>
              <a:gd name="connsiteX2760" fmla="*/ 4286460 w 12192000"/>
              <a:gd name="connsiteY2760" fmla="*/ 5024724 h 6858000"/>
              <a:gd name="connsiteX2761" fmla="*/ 4254250 w 12192000"/>
              <a:gd name="connsiteY2761" fmla="*/ 4995071 h 6858000"/>
              <a:gd name="connsiteX2762" fmla="*/ 4286460 w 12192000"/>
              <a:gd name="connsiteY2762" fmla="*/ 4965419 h 6858000"/>
              <a:gd name="connsiteX2763" fmla="*/ 4318670 w 12192000"/>
              <a:gd name="connsiteY2763" fmla="*/ 4995071 h 6858000"/>
              <a:gd name="connsiteX2764" fmla="*/ 4286460 w 12192000"/>
              <a:gd name="connsiteY2764" fmla="*/ 5024724 h 6858000"/>
              <a:gd name="connsiteX2765" fmla="*/ 4364994 w 12192000"/>
              <a:gd name="connsiteY2765" fmla="*/ 5024724 h 6858000"/>
              <a:gd name="connsiteX2766" fmla="*/ 4332784 w 12192000"/>
              <a:gd name="connsiteY2766" fmla="*/ 4995071 h 6858000"/>
              <a:gd name="connsiteX2767" fmla="*/ 4364994 w 12192000"/>
              <a:gd name="connsiteY2767" fmla="*/ 4965419 h 6858000"/>
              <a:gd name="connsiteX2768" fmla="*/ 4397204 w 12192000"/>
              <a:gd name="connsiteY2768" fmla="*/ 4995071 h 6858000"/>
              <a:gd name="connsiteX2769" fmla="*/ 4364994 w 12192000"/>
              <a:gd name="connsiteY2769" fmla="*/ 5024724 h 6858000"/>
              <a:gd name="connsiteX2770" fmla="*/ 4679129 w 12192000"/>
              <a:gd name="connsiteY2770" fmla="*/ 5024724 h 6858000"/>
              <a:gd name="connsiteX2771" fmla="*/ 4646919 w 12192000"/>
              <a:gd name="connsiteY2771" fmla="*/ 4995071 h 6858000"/>
              <a:gd name="connsiteX2772" fmla="*/ 4679129 w 12192000"/>
              <a:gd name="connsiteY2772" fmla="*/ 4965419 h 6858000"/>
              <a:gd name="connsiteX2773" fmla="*/ 4711339 w 12192000"/>
              <a:gd name="connsiteY2773" fmla="*/ 4995071 h 6858000"/>
              <a:gd name="connsiteX2774" fmla="*/ 4679129 w 12192000"/>
              <a:gd name="connsiteY2774" fmla="*/ 5024724 h 6858000"/>
              <a:gd name="connsiteX2775" fmla="*/ 4757663 w 12192000"/>
              <a:gd name="connsiteY2775" fmla="*/ 5024724 h 6858000"/>
              <a:gd name="connsiteX2776" fmla="*/ 4725453 w 12192000"/>
              <a:gd name="connsiteY2776" fmla="*/ 4995071 h 6858000"/>
              <a:gd name="connsiteX2777" fmla="*/ 4757663 w 12192000"/>
              <a:gd name="connsiteY2777" fmla="*/ 4965419 h 6858000"/>
              <a:gd name="connsiteX2778" fmla="*/ 4789874 w 12192000"/>
              <a:gd name="connsiteY2778" fmla="*/ 4995071 h 6858000"/>
              <a:gd name="connsiteX2779" fmla="*/ 4757663 w 12192000"/>
              <a:gd name="connsiteY2779" fmla="*/ 5024724 h 6858000"/>
              <a:gd name="connsiteX2780" fmla="*/ 4836197 w 12192000"/>
              <a:gd name="connsiteY2780" fmla="*/ 5024724 h 6858000"/>
              <a:gd name="connsiteX2781" fmla="*/ 4803986 w 12192000"/>
              <a:gd name="connsiteY2781" fmla="*/ 4995071 h 6858000"/>
              <a:gd name="connsiteX2782" fmla="*/ 4836197 w 12192000"/>
              <a:gd name="connsiteY2782" fmla="*/ 4965419 h 6858000"/>
              <a:gd name="connsiteX2783" fmla="*/ 4868407 w 12192000"/>
              <a:gd name="connsiteY2783" fmla="*/ 4995071 h 6858000"/>
              <a:gd name="connsiteX2784" fmla="*/ 4836197 w 12192000"/>
              <a:gd name="connsiteY2784" fmla="*/ 5024724 h 6858000"/>
              <a:gd name="connsiteX2785" fmla="*/ 4914731 w 12192000"/>
              <a:gd name="connsiteY2785" fmla="*/ 5024724 h 6858000"/>
              <a:gd name="connsiteX2786" fmla="*/ 4882521 w 12192000"/>
              <a:gd name="connsiteY2786" fmla="*/ 4995071 h 6858000"/>
              <a:gd name="connsiteX2787" fmla="*/ 4914731 w 12192000"/>
              <a:gd name="connsiteY2787" fmla="*/ 4965419 h 6858000"/>
              <a:gd name="connsiteX2788" fmla="*/ 4946941 w 12192000"/>
              <a:gd name="connsiteY2788" fmla="*/ 4995071 h 6858000"/>
              <a:gd name="connsiteX2789" fmla="*/ 4914731 w 12192000"/>
              <a:gd name="connsiteY2789" fmla="*/ 5024724 h 6858000"/>
              <a:gd name="connsiteX2790" fmla="*/ 4993265 w 12192000"/>
              <a:gd name="connsiteY2790" fmla="*/ 5024724 h 6858000"/>
              <a:gd name="connsiteX2791" fmla="*/ 4961055 w 12192000"/>
              <a:gd name="connsiteY2791" fmla="*/ 4995071 h 6858000"/>
              <a:gd name="connsiteX2792" fmla="*/ 4993265 w 12192000"/>
              <a:gd name="connsiteY2792" fmla="*/ 4965419 h 6858000"/>
              <a:gd name="connsiteX2793" fmla="*/ 5025475 w 12192000"/>
              <a:gd name="connsiteY2793" fmla="*/ 4995071 h 6858000"/>
              <a:gd name="connsiteX2794" fmla="*/ 4993265 w 12192000"/>
              <a:gd name="connsiteY2794" fmla="*/ 5024724 h 6858000"/>
              <a:gd name="connsiteX2795" fmla="*/ 5071798 w 12192000"/>
              <a:gd name="connsiteY2795" fmla="*/ 5024724 h 6858000"/>
              <a:gd name="connsiteX2796" fmla="*/ 5039588 w 12192000"/>
              <a:gd name="connsiteY2796" fmla="*/ 4995071 h 6858000"/>
              <a:gd name="connsiteX2797" fmla="*/ 5071798 w 12192000"/>
              <a:gd name="connsiteY2797" fmla="*/ 4965419 h 6858000"/>
              <a:gd name="connsiteX2798" fmla="*/ 5104009 w 12192000"/>
              <a:gd name="connsiteY2798" fmla="*/ 4995071 h 6858000"/>
              <a:gd name="connsiteX2799" fmla="*/ 5071798 w 12192000"/>
              <a:gd name="connsiteY2799" fmla="*/ 5024724 h 6858000"/>
              <a:gd name="connsiteX2800" fmla="*/ 5150333 w 12192000"/>
              <a:gd name="connsiteY2800" fmla="*/ 5024724 h 6858000"/>
              <a:gd name="connsiteX2801" fmla="*/ 5118122 w 12192000"/>
              <a:gd name="connsiteY2801" fmla="*/ 4995071 h 6858000"/>
              <a:gd name="connsiteX2802" fmla="*/ 5150333 w 12192000"/>
              <a:gd name="connsiteY2802" fmla="*/ 4965419 h 6858000"/>
              <a:gd name="connsiteX2803" fmla="*/ 5182543 w 12192000"/>
              <a:gd name="connsiteY2803" fmla="*/ 4995071 h 6858000"/>
              <a:gd name="connsiteX2804" fmla="*/ 5150333 w 12192000"/>
              <a:gd name="connsiteY2804" fmla="*/ 5024724 h 6858000"/>
              <a:gd name="connsiteX2805" fmla="*/ 5228867 w 12192000"/>
              <a:gd name="connsiteY2805" fmla="*/ 5024724 h 6858000"/>
              <a:gd name="connsiteX2806" fmla="*/ 5196657 w 12192000"/>
              <a:gd name="connsiteY2806" fmla="*/ 4995071 h 6858000"/>
              <a:gd name="connsiteX2807" fmla="*/ 5228867 w 12192000"/>
              <a:gd name="connsiteY2807" fmla="*/ 4965419 h 6858000"/>
              <a:gd name="connsiteX2808" fmla="*/ 5261077 w 12192000"/>
              <a:gd name="connsiteY2808" fmla="*/ 4995071 h 6858000"/>
              <a:gd name="connsiteX2809" fmla="*/ 5228867 w 12192000"/>
              <a:gd name="connsiteY2809" fmla="*/ 5024724 h 6858000"/>
              <a:gd name="connsiteX2810" fmla="*/ 5385934 w 12192000"/>
              <a:gd name="connsiteY2810" fmla="*/ 5024724 h 6858000"/>
              <a:gd name="connsiteX2811" fmla="*/ 5353724 w 12192000"/>
              <a:gd name="connsiteY2811" fmla="*/ 4995071 h 6858000"/>
              <a:gd name="connsiteX2812" fmla="*/ 5385934 w 12192000"/>
              <a:gd name="connsiteY2812" fmla="*/ 4965419 h 6858000"/>
              <a:gd name="connsiteX2813" fmla="*/ 5418145 w 12192000"/>
              <a:gd name="connsiteY2813" fmla="*/ 4995071 h 6858000"/>
              <a:gd name="connsiteX2814" fmla="*/ 5385934 w 12192000"/>
              <a:gd name="connsiteY2814" fmla="*/ 5024724 h 6858000"/>
              <a:gd name="connsiteX2815" fmla="*/ 7192237 w 12192000"/>
              <a:gd name="connsiteY2815" fmla="*/ 5024724 h 6858000"/>
              <a:gd name="connsiteX2816" fmla="*/ 7160021 w 12192000"/>
              <a:gd name="connsiteY2816" fmla="*/ 4995071 h 6858000"/>
              <a:gd name="connsiteX2817" fmla="*/ 7192237 w 12192000"/>
              <a:gd name="connsiteY2817" fmla="*/ 4965419 h 6858000"/>
              <a:gd name="connsiteX2818" fmla="*/ 7224441 w 12192000"/>
              <a:gd name="connsiteY2818" fmla="*/ 4995071 h 6858000"/>
              <a:gd name="connsiteX2819" fmla="*/ 7192237 w 12192000"/>
              <a:gd name="connsiteY2819" fmla="*/ 5024724 h 6858000"/>
              <a:gd name="connsiteX2820" fmla="*/ 7506373 w 12192000"/>
              <a:gd name="connsiteY2820" fmla="*/ 5024724 h 6858000"/>
              <a:gd name="connsiteX2821" fmla="*/ 7474157 w 12192000"/>
              <a:gd name="connsiteY2821" fmla="*/ 4995071 h 6858000"/>
              <a:gd name="connsiteX2822" fmla="*/ 7506373 w 12192000"/>
              <a:gd name="connsiteY2822" fmla="*/ 4965419 h 6858000"/>
              <a:gd name="connsiteX2823" fmla="*/ 7538577 w 12192000"/>
              <a:gd name="connsiteY2823" fmla="*/ 4995071 h 6858000"/>
              <a:gd name="connsiteX2824" fmla="*/ 7506373 w 12192000"/>
              <a:gd name="connsiteY2824" fmla="*/ 5024724 h 6858000"/>
              <a:gd name="connsiteX2825" fmla="*/ 7741974 w 12192000"/>
              <a:gd name="connsiteY2825" fmla="*/ 5024724 h 6858000"/>
              <a:gd name="connsiteX2826" fmla="*/ 7709758 w 12192000"/>
              <a:gd name="connsiteY2826" fmla="*/ 4995071 h 6858000"/>
              <a:gd name="connsiteX2827" fmla="*/ 7741974 w 12192000"/>
              <a:gd name="connsiteY2827" fmla="*/ 4965419 h 6858000"/>
              <a:gd name="connsiteX2828" fmla="*/ 7774178 w 12192000"/>
              <a:gd name="connsiteY2828" fmla="*/ 4995071 h 6858000"/>
              <a:gd name="connsiteX2829" fmla="*/ 7741974 w 12192000"/>
              <a:gd name="connsiteY2829" fmla="*/ 5024724 h 6858000"/>
              <a:gd name="connsiteX2830" fmla="*/ 7820508 w 12192000"/>
              <a:gd name="connsiteY2830" fmla="*/ 5024724 h 6858000"/>
              <a:gd name="connsiteX2831" fmla="*/ 7788292 w 12192000"/>
              <a:gd name="connsiteY2831" fmla="*/ 4995071 h 6858000"/>
              <a:gd name="connsiteX2832" fmla="*/ 7820508 w 12192000"/>
              <a:gd name="connsiteY2832" fmla="*/ 4965419 h 6858000"/>
              <a:gd name="connsiteX2833" fmla="*/ 7852712 w 12192000"/>
              <a:gd name="connsiteY2833" fmla="*/ 4995071 h 6858000"/>
              <a:gd name="connsiteX2834" fmla="*/ 7820508 w 12192000"/>
              <a:gd name="connsiteY2834" fmla="*/ 5024724 h 6858000"/>
              <a:gd name="connsiteX2835" fmla="*/ 7899042 w 12192000"/>
              <a:gd name="connsiteY2835" fmla="*/ 5024724 h 6858000"/>
              <a:gd name="connsiteX2836" fmla="*/ 7866826 w 12192000"/>
              <a:gd name="connsiteY2836" fmla="*/ 4995071 h 6858000"/>
              <a:gd name="connsiteX2837" fmla="*/ 7899042 w 12192000"/>
              <a:gd name="connsiteY2837" fmla="*/ 4965419 h 6858000"/>
              <a:gd name="connsiteX2838" fmla="*/ 7931247 w 12192000"/>
              <a:gd name="connsiteY2838" fmla="*/ 4995071 h 6858000"/>
              <a:gd name="connsiteX2839" fmla="*/ 7899042 w 12192000"/>
              <a:gd name="connsiteY2839" fmla="*/ 5024724 h 6858000"/>
              <a:gd name="connsiteX2840" fmla="*/ 7977576 w 12192000"/>
              <a:gd name="connsiteY2840" fmla="*/ 5024724 h 6858000"/>
              <a:gd name="connsiteX2841" fmla="*/ 7945359 w 12192000"/>
              <a:gd name="connsiteY2841" fmla="*/ 4995071 h 6858000"/>
              <a:gd name="connsiteX2842" fmla="*/ 7977576 w 12192000"/>
              <a:gd name="connsiteY2842" fmla="*/ 4965419 h 6858000"/>
              <a:gd name="connsiteX2843" fmla="*/ 8009780 w 12192000"/>
              <a:gd name="connsiteY2843" fmla="*/ 4995071 h 6858000"/>
              <a:gd name="connsiteX2844" fmla="*/ 7977576 w 12192000"/>
              <a:gd name="connsiteY2844" fmla="*/ 5024724 h 6858000"/>
              <a:gd name="connsiteX2845" fmla="*/ 8056110 w 12192000"/>
              <a:gd name="connsiteY2845" fmla="*/ 5024724 h 6858000"/>
              <a:gd name="connsiteX2846" fmla="*/ 8023894 w 12192000"/>
              <a:gd name="connsiteY2846" fmla="*/ 4995071 h 6858000"/>
              <a:gd name="connsiteX2847" fmla="*/ 8056110 w 12192000"/>
              <a:gd name="connsiteY2847" fmla="*/ 4965419 h 6858000"/>
              <a:gd name="connsiteX2848" fmla="*/ 8088314 w 12192000"/>
              <a:gd name="connsiteY2848" fmla="*/ 4995071 h 6858000"/>
              <a:gd name="connsiteX2849" fmla="*/ 8056110 w 12192000"/>
              <a:gd name="connsiteY2849" fmla="*/ 5024724 h 6858000"/>
              <a:gd name="connsiteX2850" fmla="*/ 8134643 w 12192000"/>
              <a:gd name="connsiteY2850" fmla="*/ 5024724 h 6858000"/>
              <a:gd name="connsiteX2851" fmla="*/ 8102427 w 12192000"/>
              <a:gd name="connsiteY2851" fmla="*/ 4995071 h 6858000"/>
              <a:gd name="connsiteX2852" fmla="*/ 8134643 w 12192000"/>
              <a:gd name="connsiteY2852" fmla="*/ 4965419 h 6858000"/>
              <a:gd name="connsiteX2853" fmla="*/ 8166847 w 12192000"/>
              <a:gd name="connsiteY2853" fmla="*/ 4995071 h 6858000"/>
              <a:gd name="connsiteX2854" fmla="*/ 8134643 w 12192000"/>
              <a:gd name="connsiteY2854" fmla="*/ 5024724 h 6858000"/>
              <a:gd name="connsiteX2855" fmla="*/ 8213177 w 12192000"/>
              <a:gd name="connsiteY2855" fmla="*/ 5024724 h 6858000"/>
              <a:gd name="connsiteX2856" fmla="*/ 8180961 w 12192000"/>
              <a:gd name="connsiteY2856" fmla="*/ 4995071 h 6858000"/>
              <a:gd name="connsiteX2857" fmla="*/ 8213177 w 12192000"/>
              <a:gd name="connsiteY2857" fmla="*/ 4965419 h 6858000"/>
              <a:gd name="connsiteX2858" fmla="*/ 8245382 w 12192000"/>
              <a:gd name="connsiteY2858" fmla="*/ 4995071 h 6858000"/>
              <a:gd name="connsiteX2859" fmla="*/ 8213177 w 12192000"/>
              <a:gd name="connsiteY2859" fmla="*/ 5024724 h 6858000"/>
              <a:gd name="connsiteX2860" fmla="*/ 8291712 w 12192000"/>
              <a:gd name="connsiteY2860" fmla="*/ 5024724 h 6858000"/>
              <a:gd name="connsiteX2861" fmla="*/ 8259495 w 12192000"/>
              <a:gd name="connsiteY2861" fmla="*/ 4995071 h 6858000"/>
              <a:gd name="connsiteX2862" fmla="*/ 8291712 w 12192000"/>
              <a:gd name="connsiteY2862" fmla="*/ 4965419 h 6858000"/>
              <a:gd name="connsiteX2863" fmla="*/ 8323916 w 12192000"/>
              <a:gd name="connsiteY2863" fmla="*/ 4995071 h 6858000"/>
              <a:gd name="connsiteX2864" fmla="*/ 8291712 w 12192000"/>
              <a:gd name="connsiteY2864" fmla="*/ 5024724 h 6858000"/>
              <a:gd name="connsiteX2865" fmla="*/ 8370245 w 12192000"/>
              <a:gd name="connsiteY2865" fmla="*/ 5024724 h 6858000"/>
              <a:gd name="connsiteX2866" fmla="*/ 8338029 w 12192000"/>
              <a:gd name="connsiteY2866" fmla="*/ 4995071 h 6858000"/>
              <a:gd name="connsiteX2867" fmla="*/ 8370245 w 12192000"/>
              <a:gd name="connsiteY2867" fmla="*/ 4965419 h 6858000"/>
              <a:gd name="connsiteX2868" fmla="*/ 8402449 w 12192000"/>
              <a:gd name="connsiteY2868" fmla="*/ 4995071 h 6858000"/>
              <a:gd name="connsiteX2869" fmla="*/ 8370245 w 12192000"/>
              <a:gd name="connsiteY2869" fmla="*/ 5024724 h 6858000"/>
              <a:gd name="connsiteX2870" fmla="*/ 8448779 w 12192000"/>
              <a:gd name="connsiteY2870" fmla="*/ 5024724 h 6858000"/>
              <a:gd name="connsiteX2871" fmla="*/ 8416563 w 12192000"/>
              <a:gd name="connsiteY2871" fmla="*/ 4995071 h 6858000"/>
              <a:gd name="connsiteX2872" fmla="*/ 8448779 w 12192000"/>
              <a:gd name="connsiteY2872" fmla="*/ 4965419 h 6858000"/>
              <a:gd name="connsiteX2873" fmla="*/ 8480983 w 12192000"/>
              <a:gd name="connsiteY2873" fmla="*/ 4995071 h 6858000"/>
              <a:gd name="connsiteX2874" fmla="*/ 8448779 w 12192000"/>
              <a:gd name="connsiteY2874" fmla="*/ 5024724 h 6858000"/>
              <a:gd name="connsiteX2875" fmla="*/ 8527313 w 12192000"/>
              <a:gd name="connsiteY2875" fmla="*/ 5024724 h 6858000"/>
              <a:gd name="connsiteX2876" fmla="*/ 8495097 w 12192000"/>
              <a:gd name="connsiteY2876" fmla="*/ 4995071 h 6858000"/>
              <a:gd name="connsiteX2877" fmla="*/ 8527313 w 12192000"/>
              <a:gd name="connsiteY2877" fmla="*/ 4965419 h 6858000"/>
              <a:gd name="connsiteX2878" fmla="*/ 8559518 w 12192000"/>
              <a:gd name="connsiteY2878" fmla="*/ 4995071 h 6858000"/>
              <a:gd name="connsiteX2879" fmla="*/ 8527313 w 12192000"/>
              <a:gd name="connsiteY2879" fmla="*/ 5024724 h 6858000"/>
              <a:gd name="connsiteX2880" fmla="*/ 8605847 w 12192000"/>
              <a:gd name="connsiteY2880" fmla="*/ 5024724 h 6858000"/>
              <a:gd name="connsiteX2881" fmla="*/ 8573630 w 12192000"/>
              <a:gd name="connsiteY2881" fmla="*/ 4995071 h 6858000"/>
              <a:gd name="connsiteX2882" fmla="*/ 8605847 w 12192000"/>
              <a:gd name="connsiteY2882" fmla="*/ 4965419 h 6858000"/>
              <a:gd name="connsiteX2883" fmla="*/ 8638051 w 12192000"/>
              <a:gd name="connsiteY2883" fmla="*/ 4995071 h 6858000"/>
              <a:gd name="connsiteX2884" fmla="*/ 8605847 w 12192000"/>
              <a:gd name="connsiteY2884" fmla="*/ 5024724 h 6858000"/>
              <a:gd name="connsiteX2885" fmla="*/ 8684381 w 12192000"/>
              <a:gd name="connsiteY2885" fmla="*/ 5024724 h 6858000"/>
              <a:gd name="connsiteX2886" fmla="*/ 8652165 w 12192000"/>
              <a:gd name="connsiteY2886" fmla="*/ 4995071 h 6858000"/>
              <a:gd name="connsiteX2887" fmla="*/ 8684381 w 12192000"/>
              <a:gd name="connsiteY2887" fmla="*/ 4965419 h 6858000"/>
              <a:gd name="connsiteX2888" fmla="*/ 8716585 w 12192000"/>
              <a:gd name="connsiteY2888" fmla="*/ 4995071 h 6858000"/>
              <a:gd name="connsiteX2889" fmla="*/ 8684381 w 12192000"/>
              <a:gd name="connsiteY2889" fmla="*/ 5024724 h 6858000"/>
              <a:gd name="connsiteX2890" fmla="*/ 8762914 w 12192000"/>
              <a:gd name="connsiteY2890" fmla="*/ 5024724 h 6858000"/>
              <a:gd name="connsiteX2891" fmla="*/ 8730698 w 12192000"/>
              <a:gd name="connsiteY2891" fmla="*/ 4995071 h 6858000"/>
              <a:gd name="connsiteX2892" fmla="*/ 8762914 w 12192000"/>
              <a:gd name="connsiteY2892" fmla="*/ 4965419 h 6858000"/>
              <a:gd name="connsiteX2893" fmla="*/ 8795118 w 12192000"/>
              <a:gd name="connsiteY2893" fmla="*/ 4995071 h 6858000"/>
              <a:gd name="connsiteX2894" fmla="*/ 8762914 w 12192000"/>
              <a:gd name="connsiteY2894" fmla="*/ 5024724 h 6858000"/>
              <a:gd name="connsiteX2895" fmla="*/ 8841448 w 12192000"/>
              <a:gd name="connsiteY2895" fmla="*/ 5024724 h 6858000"/>
              <a:gd name="connsiteX2896" fmla="*/ 8809232 w 12192000"/>
              <a:gd name="connsiteY2896" fmla="*/ 4995071 h 6858000"/>
              <a:gd name="connsiteX2897" fmla="*/ 8841448 w 12192000"/>
              <a:gd name="connsiteY2897" fmla="*/ 4965419 h 6858000"/>
              <a:gd name="connsiteX2898" fmla="*/ 8873653 w 12192000"/>
              <a:gd name="connsiteY2898" fmla="*/ 4995071 h 6858000"/>
              <a:gd name="connsiteX2899" fmla="*/ 8841448 w 12192000"/>
              <a:gd name="connsiteY2899" fmla="*/ 5024724 h 6858000"/>
              <a:gd name="connsiteX2900" fmla="*/ 8919983 w 12192000"/>
              <a:gd name="connsiteY2900" fmla="*/ 5024724 h 6858000"/>
              <a:gd name="connsiteX2901" fmla="*/ 8887766 w 12192000"/>
              <a:gd name="connsiteY2901" fmla="*/ 4995071 h 6858000"/>
              <a:gd name="connsiteX2902" fmla="*/ 8919983 w 12192000"/>
              <a:gd name="connsiteY2902" fmla="*/ 4965419 h 6858000"/>
              <a:gd name="connsiteX2903" fmla="*/ 8952187 w 12192000"/>
              <a:gd name="connsiteY2903" fmla="*/ 4995071 h 6858000"/>
              <a:gd name="connsiteX2904" fmla="*/ 8919983 w 12192000"/>
              <a:gd name="connsiteY2904" fmla="*/ 5024724 h 6858000"/>
              <a:gd name="connsiteX2905" fmla="*/ 8998516 w 12192000"/>
              <a:gd name="connsiteY2905" fmla="*/ 5024724 h 6858000"/>
              <a:gd name="connsiteX2906" fmla="*/ 8966300 w 12192000"/>
              <a:gd name="connsiteY2906" fmla="*/ 4995071 h 6858000"/>
              <a:gd name="connsiteX2907" fmla="*/ 8998516 w 12192000"/>
              <a:gd name="connsiteY2907" fmla="*/ 4965419 h 6858000"/>
              <a:gd name="connsiteX2908" fmla="*/ 9030720 w 12192000"/>
              <a:gd name="connsiteY2908" fmla="*/ 4995071 h 6858000"/>
              <a:gd name="connsiteX2909" fmla="*/ 8998516 w 12192000"/>
              <a:gd name="connsiteY2909" fmla="*/ 5024724 h 6858000"/>
              <a:gd name="connsiteX2910" fmla="*/ 9077050 w 12192000"/>
              <a:gd name="connsiteY2910" fmla="*/ 5024724 h 6858000"/>
              <a:gd name="connsiteX2911" fmla="*/ 9044834 w 12192000"/>
              <a:gd name="connsiteY2911" fmla="*/ 4995071 h 6858000"/>
              <a:gd name="connsiteX2912" fmla="*/ 9077050 w 12192000"/>
              <a:gd name="connsiteY2912" fmla="*/ 4965419 h 6858000"/>
              <a:gd name="connsiteX2913" fmla="*/ 9109254 w 12192000"/>
              <a:gd name="connsiteY2913" fmla="*/ 4995071 h 6858000"/>
              <a:gd name="connsiteX2914" fmla="*/ 9077050 w 12192000"/>
              <a:gd name="connsiteY2914" fmla="*/ 5024724 h 6858000"/>
              <a:gd name="connsiteX2915" fmla="*/ 9155583 w 12192000"/>
              <a:gd name="connsiteY2915" fmla="*/ 5024724 h 6858000"/>
              <a:gd name="connsiteX2916" fmla="*/ 9123367 w 12192000"/>
              <a:gd name="connsiteY2916" fmla="*/ 4995071 h 6858000"/>
              <a:gd name="connsiteX2917" fmla="*/ 9155583 w 12192000"/>
              <a:gd name="connsiteY2917" fmla="*/ 4965419 h 6858000"/>
              <a:gd name="connsiteX2918" fmla="*/ 9187788 w 12192000"/>
              <a:gd name="connsiteY2918" fmla="*/ 4995071 h 6858000"/>
              <a:gd name="connsiteX2919" fmla="*/ 9155583 w 12192000"/>
              <a:gd name="connsiteY2919" fmla="*/ 5024724 h 6858000"/>
              <a:gd name="connsiteX2920" fmla="*/ 9234118 w 12192000"/>
              <a:gd name="connsiteY2920" fmla="*/ 5024724 h 6858000"/>
              <a:gd name="connsiteX2921" fmla="*/ 9201901 w 12192000"/>
              <a:gd name="connsiteY2921" fmla="*/ 4995071 h 6858000"/>
              <a:gd name="connsiteX2922" fmla="*/ 9234118 w 12192000"/>
              <a:gd name="connsiteY2922" fmla="*/ 4965419 h 6858000"/>
              <a:gd name="connsiteX2923" fmla="*/ 9266322 w 12192000"/>
              <a:gd name="connsiteY2923" fmla="*/ 4995071 h 6858000"/>
              <a:gd name="connsiteX2924" fmla="*/ 9234118 w 12192000"/>
              <a:gd name="connsiteY2924" fmla="*/ 5024724 h 6858000"/>
              <a:gd name="connsiteX2925" fmla="*/ 9312652 w 12192000"/>
              <a:gd name="connsiteY2925" fmla="*/ 5024724 h 6858000"/>
              <a:gd name="connsiteX2926" fmla="*/ 9280436 w 12192000"/>
              <a:gd name="connsiteY2926" fmla="*/ 4995071 h 6858000"/>
              <a:gd name="connsiteX2927" fmla="*/ 9312652 w 12192000"/>
              <a:gd name="connsiteY2927" fmla="*/ 4965419 h 6858000"/>
              <a:gd name="connsiteX2928" fmla="*/ 9344856 w 12192000"/>
              <a:gd name="connsiteY2928" fmla="*/ 4995071 h 6858000"/>
              <a:gd name="connsiteX2929" fmla="*/ 9312652 w 12192000"/>
              <a:gd name="connsiteY2929" fmla="*/ 5024724 h 6858000"/>
              <a:gd name="connsiteX2930" fmla="*/ 9391185 w 12192000"/>
              <a:gd name="connsiteY2930" fmla="*/ 5024724 h 6858000"/>
              <a:gd name="connsiteX2931" fmla="*/ 9358969 w 12192000"/>
              <a:gd name="connsiteY2931" fmla="*/ 4995071 h 6858000"/>
              <a:gd name="connsiteX2932" fmla="*/ 9391185 w 12192000"/>
              <a:gd name="connsiteY2932" fmla="*/ 4965419 h 6858000"/>
              <a:gd name="connsiteX2933" fmla="*/ 9423389 w 12192000"/>
              <a:gd name="connsiteY2933" fmla="*/ 4995071 h 6858000"/>
              <a:gd name="connsiteX2934" fmla="*/ 9391185 w 12192000"/>
              <a:gd name="connsiteY2934" fmla="*/ 5024724 h 6858000"/>
              <a:gd name="connsiteX2935" fmla="*/ 9469719 w 12192000"/>
              <a:gd name="connsiteY2935" fmla="*/ 5024724 h 6858000"/>
              <a:gd name="connsiteX2936" fmla="*/ 9437503 w 12192000"/>
              <a:gd name="connsiteY2936" fmla="*/ 4995071 h 6858000"/>
              <a:gd name="connsiteX2937" fmla="*/ 9469719 w 12192000"/>
              <a:gd name="connsiteY2937" fmla="*/ 4965419 h 6858000"/>
              <a:gd name="connsiteX2938" fmla="*/ 9501924 w 12192000"/>
              <a:gd name="connsiteY2938" fmla="*/ 4995071 h 6858000"/>
              <a:gd name="connsiteX2939" fmla="*/ 9469719 w 12192000"/>
              <a:gd name="connsiteY2939" fmla="*/ 5024724 h 6858000"/>
              <a:gd name="connsiteX2940" fmla="*/ 9548254 w 12192000"/>
              <a:gd name="connsiteY2940" fmla="*/ 5024724 h 6858000"/>
              <a:gd name="connsiteX2941" fmla="*/ 9516037 w 12192000"/>
              <a:gd name="connsiteY2941" fmla="*/ 4995071 h 6858000"/>
              <a:gd name="connsiteX2942" fmla="*/ 9548254 w 12192000"/>
              <a:gd name="connsiteY2942" fmla="*/ 4965419 h 6858000"/>
              <a:gd name="connsiteX2943" fmla="*/ 9580458 w 12192000"/>
              <a:gd name="connsiteY2943" fmla="*/ 4995071 h 6858000"/>
              <a:gd name="connsiteX2944" fmla="*/ 9548254 w 12192000"/>
              <a:gd name="connsiteY2944" fmla="*/ 5024724 h 6858000"/>
              <a:gd name="connsiteX2945" fmla="*/ 9626787 w 12192000"/>
              <a:gd name="connsiteY2945" fmla="*/ 5024724 h 6858000"/>
              <a:gd name="connsiteX2946" fmla="*/ 9594571 w 12192000"/>
              <a:gd name="connsiteY2946" fmla="*/ 4995071 h 6858000"/>
              <a:gd name="connsiteX2947" fmla="*/ 9626787 w 12192000"/>
              <a:gd name="connsiteY2947" fmla="*/ 4965419 h 6858000"/>
              <a:gd name="connsiteX2948" fmla="*/ 9658991 w 12192000"/>
              <a:gd name="connsiteY2948" fmla="*/ 4995071 h 6858000"/>
              <a:gd name="connsiteX2949" fmla="*/ 9626787 w 12192000"/>
              <a:gd name="connsiteY2949" fmla="*/ 5024724 h 6858000"/>
              <a:gd name="connsiteX2950" fmla="*/ 9705321 w 12192000"/>
              <a:gd name="connsiteY2950" fmla="*/ 5024724 h 6858000"/>
              <a:gd name="connsiteX2951" fmla="*/ 9673105 w 12192000"/>
              <a:gd name="connsiteY2951" fmla="*/ 4995071 h 6858000"/>
              <a:gd name="connsiteX2952" fmla="*/ 9705321 w 12192000"/>
              <a:gd name="connsiteY2952" fmla="*/ 4965419 h 6858000"/>
              <a:gd name="connsiteX2953" fmla="*/ 9737525 w 12192000"/>
              <a:gd name="connsiteY2953" fmla="*/ 4995071 h 6858000"/>
              <a:gd name="connsiteX2954" fmla="*/ 9705321 w 12192000"/>
              <a:gd name="connsiteY2954" fmla="*/ 5024724 h 6858000"/>
              <a:gd name="connsiteX2955" fmla="*/ 9783854 w 12192000"/>
              <a:gd name="connsiteY2955" fmla="*/ 5024724 h 6858000"/>
              <a:gd name="connsiteX2956" fmla="*/ 9751638 w 12192000"/>
              <a:gd name="connsiteY2956" fmla="*/ 4995071 h 6858000"/>
              <a:gd name="connsiteX2957" fmla="*/ 9783854 w 12192000"/>
              <a:gd name="connsiteY2957" fmla="*/ 4965419 h 6858000"/>
              <a:gd name="connsiteX2958" fmla="*/ 9816059 w 12192000"/>
              <a:gd name="connsiteY2958" fmla="*/ 4995071 h 6858000"/>
              <a:gd name="connsiteX2959" fmla="*/ 9783854 w 12192000"/>
              <a:gd name="connsiteY2959" fmla="*/ 5024724 h 6858000"/>
              <a:gd name="connsiteX2960" fmla="*/ 9862389 w 12192000"/>
              <a:gd name="connsiteY2960" fmla="*/ 5024724 h 6858000"/>
              <a:gd name="connsiteX2961" fmla="*/ 9830172 w 12192000"/>
              <a:gd name="connsiteY2961" fmla="*/ 4995071 h 6858000"/>
              <a:gd name="connsiteX2962" fmla="*/ 9862389 w 12192000"/>
              <a:gd name="connsiteY2962" fmla="*/ 4965419 h 6858000"/>
              <a:gd name="connsiteX2963" fmla="*/ 9894593 w 12192000"/>
              <a:gd name="connsiteY2963" fmla="*/ 4995071 h 6858000"/>
              <a:gd name="connsiteX2964" fmla="*/ 9862389 w 12192000"/>
              <a:gd name="connsiteY2964" fmla="*/ 5024724 h 6858000"/>
              <a:gd name="connsiteX2965" fmla="*/ 9940923 w 12192000"/>
              <a:gd name="connsiteY2965" fmla="*/ 5024724 h 6858000"/>
              <a:gd name="connsiteX2966" fmla="*/ 9908707 w 12192000"/>
              <a:gd name="connsiteY2966" fmla="*/ 4995071 h 6858000"/>
              <a:gd name="connsiteX2967" fmla="*/ 9940923 w 12192000"/>
              <a:gd name="connsiteY2967" fmla="*/ 4965419 h 6858000"/>
              <a:gd name="connsiteX2968" fmla="*/ 9973127 w 12192000"/>
              <a:gd name="connsiteY2968" fmla="*/ 4995071 h 6858000"/>
              <a:gd name="connsiteX2969" fmla="*/ 9940923 w 12192000"/>
              <a:gd name="connsiteY2969" fmla="*/ 5024724 h 6858000"/>
              <a:gd name="connsiteX2970" fmla="*/ 10097990 w 12192000"/>
              <a:gd name="connsiteY2970" fmla="*/ 5024724 h 6858000"/>
              <a:gd name="connsiteX2971" fmla="*/ 10065774 w 12192000"/>
              <a:gd name="connsiteY2971" fmla="*/ 4995071 h 6858000"/>
              <a:gd name="connsiteX2972" fmla="*/ 10097990 w 12192000"/>
              <a:gd name="connsiteY2972" fmla="*/ 4965419 h 6858000"/>
              <a:gd name="connsiteX2973" fmla="*/ 10130195 w 12192000"/>
              <a:gd name="connsiteY2973" fmla="*/ 4995071 h 6858000"/>
              <a:gd name="connsiteX2974" fmla="*/ 10097990 w 12192000"/>
              <a:gd name="connsiteY2974" fmla="*/ 5024724 h 6858000"/>
              <a:gd name="connsiteX2975" fmla="*/ 10176524 w 12192000"/>
              <a:gd name="connsiteY2975" fmla="*/ 5024724 h 6858000"/>
              <a:gd name="connsiteX2976" fmla="*/ 10144307 w 12192000"/>
              <a:gd name="connsiteY2976" fmla="*/ 4995071 h 6858000"/>
              <a:gd name="connsiteX2977" fmla="*/ 10176524 w 12192000"/>
              <a:gd name="connsiteY2977" fmla="*/ 4965419 h 6858000"/>
              <a:gd name="connsiteX2978" fmla="*/ 10208728 w 12192000"/>
              <a:gd name="connsiteY2978" fmla="*/ 4995071 h 6858000"/>
              <a:gd name="connsiteX2979" fmla="*/ 10176524 w 12192000"/>
              <a:gd name="connsiteY2979" fmla="*/ 5024724 h 6858000"/>
              <a:gd name="connsiteX2980" fmla="*/ 1773370 w 12192000"/>
              <a:gd name="connsiteY2980" fmla="*/ 4952458 h 6858000"/>
              <a:gd name="connsiteX2981" fmla="*/ 1741159 w 12192000"/>
              <a:gd name="connsiteY2981" fmla="*/ 4922806 h 6858000"/>
              <a:gd name="connsiteX2982" fmla="*/ 1773370 w 12192000"/>
              <a:gd name="connsiteY2982" fmla="*/ 4893154 h 6858000"/>
              <a:gd name="connsiteX2983" fmla="*/ 1805580 w 12192000"/>
              <a:gd name="connsiteY2983" fmla="*/ 4922806 h 6858000"/>
              <a:gd name="connsiteX2984" fmla="*/ 1773370 w 12192000"/>
              <a:gd name="connsiteY2984" fmla="*/ 4952458 h 6858000"/>
              <a:gd name="connsiteX2985" fmla="*/ 1851910 w 12192000"/>
              <a:gd name="connsiteY2985" fmla="*/ 4952458 h 6858000"/>
              <a:gd name="connsiteX2986" fmla="*/ 1819700 w 12192000"/>
              <a:gd name="connsiteY2986" fmla="*/ 4922806 h 6858000"/>
              <a:gd name="connsiteX2987" fmla="*/ 1851910 w 12192000"/>
              <a:gd name="connsiteY2987" fmla="*/ 4893154 h 6858000"/>
              <a:gd name="connsiteX2988" fmla="*/ 1884120 w 12192000"/>
              <a:gd name="connsiteY2988" fmla="*/ 4922806 h 6858000"/>
              <a:gd name="connsiteX2989" fmla="*/ 1851910 w 12192000"/>
              <a:gd name="connsiteY2989" fmla="*/ 4952458 h 6858000"/>
              <a:gd name="connsiteX2990" fmla="*/ 1930444 w 12192000"/>
              <a:gd name="connsiteY2990" fmla="*/ 4952458 h 6858000"/>
              <a:gd name="connsiteX2991" fmla="*/ 1898234 w 12192000"/>
              <a:gd name="connsiteY2991" fmla="*/ 4922806 h 6858000"/>
              <a:gd name="connsiteX2992" fmla="*/ 1930444 w 12192000"/>
              <a:gd name="connsiteY2992" fmla="*/ 4893154 h 6858000"/>
              <a:gd name="connsiteX2993" fmla="*/ 1962655 w 12192000"/>
              <a:gd name="connsiteY2993" fmla="*/ 4922806 h 6858000"/>
              <a:gd name="connsiteX2994" fmla="*/ 1930444 w 12192000"/>
              <a:gd name="connsiteY2994" fmla="*/ 4952458 h 6858000"/>
              <a:gd name="connsiteX2995" fmla="*/ 2008978 w 12192000"/>
              <a:gd name="connsiteY2995" fmla="*/ 4952458 h 6858000"/>
              <a:gd name="connsiteX2996" fmla="*/ 1976767 w 12192000"/>
              <a:gd name="connsiteY2996" fmla="*/ 4922806 h 6858000"/>
              <a:gd name="connsiteX2997" fmla="*/ 2008978 w 12192000"/>
              <a:gd name="connsiteY2997" fmla="*/ 4893154 h 6858000"/>
              <a:gd name="connsiteX2998" fmla="*/ 2041188 w 12192000"/>
              <a:gd name="connsiteY2998" fmla="*/ 4922806 h 6858000"/>
              <a:gd name="connsiteX2999" fmla="*/ 2008978 w 12192000"/>
              <a:gd name="connsiteY2999" fmla="*/ 4952458 h 6858000"/>
              <a:gd name="connsiteX3000" fmla="*/ 2087512 w 12192000"/>
              <a:gd name="connsiteY3000" fmla="*/ 4952458 h 6858000"/>
              <a:gd name="connsiteX3001" fmla="*/ 2055302 w 12192000"/>
              <a:gd name="connsiteY3001" fmla="*/ 4922806 h 6858000"/>
              <a:gd name="connsiteX3002" fmla="*/ 2087512 w 12192000"/>
              <a:gd name="connsiteY3002" fmla="*/ 4893154 h 6858000"/>
              <a:gd name="connsiteX3003" fmla="*/ 2119722 w 12192000"/>
              <a:gd name="connsiteY3003" fmla="*/ 4922806 h 6858000"/>
              <a:gd name="connsiteX3004" fmla="*/ 2087512 w 12192000"/>
              <a:gd name="connsiteY3004" fmla="*/ 4952458 h 6858000"/>
              <a:gd name="connsiteX3005" fmla="*/ 2166045 w 12192000"/>
              <a:gd name="connsiteY3005" fmla="*/ 4952458 h 6858000"/>
              <a:gd name="connsiteX3006" fmla="*/ 2133835 w 12192000"/>
              <a:gd name="connsiteY3006" fmla="*/ 4922806 h 6858000"/>
              <a:gd name="connsiteX3007" fmla="*/ 2166045 w 12192000"/>
              <a:gd name="connsiteY3007" fmla="*/ 4893154 h 6858000"/>
              <a:gd name="connsiteX3008" fmla="*/ 2198255 w 12192000"/>
              <a:gd name="connsiteY3008" fmla="*/ 4922806 h 6858000"/>
              <a:gd name="connsiteX3009" fmla="*/ 2166045 w 12192000"/>
              <a:gd name="connsiteY3009" fmla="*/ 4952458 h 6858000"/>
              <a:gd name="connsiteX3010" fmla="*/ 2244579 w 12192000"/>
              <a:gd name="connsiteY3010" fmla="*/ 4952458 h 6858000"/>
              <a:gd name="connsiteX3011" fmla="*/ 2212369 w 12192000"/>
              <a:gd name="connsiteY3011" fmla="*/ 4922806 h 6858000"/>
              <a:gd name="connsiteX3012" fmla="*/ 2244579 w 12192000"/>
              <a:gd name="connsiteY3012" fmla="*/ 4893154 h 6858000"/>
              <a:gd name="connsiteX3013" fmla="*/ 2276790 w 12192000"/>
              <a:gd name="connsiteY3013" fmla="*/ 4922806 h 6858000"/>
              <a:gd name="connsiteX3014" fmla="*/ 2244579 w 12192000"/>
              <a:gd name="connsiteY3014" fmla="*/ 4952458 h 6858000"/>
              <a:gd name="connsiteX3015" fmla="*/ 2323114 w 12192000"/>
              <a:gd name="connsiteY3015" fmla="*/ 4952458 h 6858000"/>
              <a:gd name="connsiteX3016" fmla="*/ 2290903 w 12192000"/>
              <a:gd name="connsiteY3016" fmla="*/ 4922806 h 6858000"/>
              <a:gd name="connsiteX3017" fmla="*/ 2323114 w 12192000"/>
              <a:gd name="connsiteY3017" fmla="*/ 4893154 h 6858000"/>
              <a:gd name="connsiteX3018" fmla="*/ 2355324 w 12192000"/>
              <a:gd name="connsiteY3018" fmla="*/ 4922806 h 6858000"/>
              <a:gd name="connsiteX3019" fmla="*/ 2323114 w 12192000"/>
              <a:gd name="connsiteY3019" fmla="*/ 4952458 h 6858000"/>
              <a:gd name="connsiteX3020" fmla="*/ 2401647 w 12192000"/>
              <a:gd name="connsiteY3020" fmla="*/ 4952458 h 6858000"/>
              <a:gd name="connsiteX3021" fmla="*/ 2369437 w 12192000"/>
              <a:gd name="connsiteY3021" fmla="*/ 4922806 h 6858000"/>
              <a:gd name="connsiteX3022" fmla="*/ 2401647 w 12192000"/>
              <a:gd name="connsiteY3022" fmla="*/ 4893154 h 6858000"/>
              <a:gd name="connsiteX3023" fmla="*/ 2433857 w 12192000"/>
              <a:gd name="connsiteY3023" fmla="*/ 4922806 h 6858000"/>
              <a:gd name="connsiteX3024" fmla="*/ 2401647 w 12192000"/>
              <a:gd name="connsiteY3024" fmla="*/ 4952458 h 6858000"/>
              <a:gd name="connsiteX3025" fmla="*/ 2480181 w 12192000"/>
              <a:gd name="connsiteY3025" fmla="*/ 4952458 h 6858000"/>
              <a:gd name="connsiteX3026" fmla="*/ 2447971 w 12192000"/>
              <a:gd name="connsiteY3026" fmla="*/ 4922806 h 6858000"/>
              <a:gd name="connsiteX3027" fmla="*/ 2480181 w 12192000"/>
              <a:gd name="connsiteY3027" fmla="*/ 4893154 h 6858000"/>
              <a:gd name="connsiteX3028" fmla="*/ 2512391 w 12192000"/>
              <a:gd name="connsiteY3028" fmla="*/ 4922806 h 6858000"/>
              <a:gd name="connsiteX3029" fmla="*/ 2480181 w 12192000"/>
              <a:gd name="connsiteY3029" fmla="*/ 4952458 h 6858000"/>
              <a:gd name="connsiteX3030" fmla="*/ 2558715 w 12192000"/>
              <a:gd name="connsiteY3030" fmla="*/ 4952458 h 6858000"/>
              <a:gd name="connsiteX3031" fmla="*/ 2526505 w 12192000"/>
              <a:gd name="connsiteY3031" fmla="*/ 4922806 h 6858000"/>
              <a:gd name="connsiteX3032" fmla="*/ 2558715 w 12192000"/>
              <a:gd name="connsiteY3032" fmla="*/ 4893154 h 6858000"/>
              <a:gd name="connsiteX3033" fmla="*/ 2590926 w 12192000"/>
              <a:gd name="connsiteY3033" fmla="*/ 4922806 h 6858000"/>
              <a:gd name="connsiteX3034" fmla="*/ 2558715 w 12192000"/>
              <a:gd name="connsiteY3034" fmla="*/ 4952458 h 6858000"/>
              <a:gd name="connsiteX3035" fmla="*/ 2637243 w 12192000"/>
              <a:gd name="connsiteY3035" fmla="*/ 4952458 h 6858000"/>
              <a:gd name="connsiteX3036" fmla="*/ 2605032 w 12192000"/>
              <a:gd name="connsiteY3036" fmla="*/ 4922806 h 6858000"/>
              <a:gd name="connsiteX3037" fmla="*/ 2637243 w 12192000"/>
              <a:gd name="connsiteY3037" fmla="*/ 4893154 h 6858000"/>
              <a:gd name="connsiteX3038" fmla="*/ 2669453 w 12192000"/>
              <a:gd name="connsiteY3038" fmla="*/ 4922806 h 6858000"/>
              <a:gd name="connsiteX3039" fmla="*/ 2637243 w 12192000"/>
              <a:gd name="connsiteY3039" fmla="*/ 4952458 h 6858000"/>
              <a:gd name="connsiteX3040" fmla="*/ 2715777 w 12192000"/>
              <a:gd name="connsiteY3040" fmla="*/ 4952458 h 6858000"/>
              <a:gd name="connsiteX3041" fmla="*/ 2683566 w 12192000"/>
              <a:gd name="connsiteY3041" fmla="*/ 4922806 h 6858000"/>
              <a:gd name="connsiteX3042" fmla="*/ 2715777 w 12192000"/>
              <a:gd name="connsiteY3042" fmla="*/ 4893154 h 6858000"/>
              <a:gd name="connsiteX3043" fmla="*/ 2747987 w 12192000"/>
              <a:gd name="connsiteY3043" fmla="*/ 4922806 h 6858000"/>
              <a:gd name="connsiteX3044" fmla="*/ 2715777 w 12192000"/>
              <a:gd name="connsiteY3044" fmla="*/ 4952458 h 6858000"/>
              <a:gd name="connsiteX3045" fmla="*/ 2794310 w 12192000"/>
              <a:gd name="connsiteY3045" fmla="*/ 4952458 h 6858000"/>
              <a:gd name="connsiteX3046" fmla="*/ 2762100 w 12192000"/>
              <a:gd name="connsiteY3046" fmla="*/ 4922806 h 6858000"/>
              <a:gd name="connsiteX3047" fmla="*/ 2794310 w 12192000"/>
              <a:gd name="connsiteY3047" fmla="*/ 4893154 h 6858000"/>
              <a:gd name="connsiteX3048" fmla="*/ 2826520 w 12192000"/>
              <a:gd name="connsiteY3048" fmla="*/ 4922806 h 6858000"/>
              <a:gd name="connsiteX3049" fmla="*/ 2794310 w 12192000"/>
              <a:gd name="connsiteY3049" fmla="*/ 4952458 h 6858000"/>
              <a:gd name="connsiteX3050" fmla="*/ 2872844 w 12192000"/>
              <a:gd name="connsiteY3050" fmla="*/ 4952458 h 6858000"/>
              <a:gd name="connsiteX3051" fmla="*/ 2840634 w 12192000"/>
              <a:gd name="connsiteY3051" fmla="*/ 4922806 h 6858000"/>
              <a:gd name="connsiteX3052" fmla="*/ 2872844 w 12192000"/>
              <a:gd name="connsiteY3052" fmla="*/ 4893154 h 6858000"/>
              <a:gd name="connsiteX3053" fmla="*/ 2905055 w 12192000"/>
              <a:gd name="connsiteY3053" fmla="*/ 4922806 h 6858000"/>
              <a:gd name="connsiteX3054" fmla="*/ 2872844 w 12192000"/>
              <a:gd name="connsiteY3054" fmla="*/ 4952458 h 6858000"/>
              <a:gd name="connsiteX3055" fmla="*/ 2951379 w 12192000"/>
              <a:gd name="connsiteY3055" fmla="*/ 4952458 h 6858000"/>
              <a:gd name="connsiteX3056" fmla="*/ 2919168 w 12192000"/>
              <a:gd name="connsiteY3056" fmla="*/ 4922806 h 6858000"/>
              <a:gd name="connsiteX3057" fmla="*/ 2951379 w 12192000"/>
              <a:gd name="connsiteY3057" fmla="*/ 4893154 h 6858000"/>
              <a:gd name="connsiteX3058" fmla="*/ 2983589 w 12192000"/>
              <a:gd name="connsiteY3058" fmla="*/ 4922806 h 6858000"/>
              <a:gd name="connsiteX3059" fmla="*/ 2951379 w 12192000"/>
              <a:gd name="connsiteY3059" fmla="*/ 4952458 h 6858000"/>
              <a:gd name="connsiteX3060" fmla="*/ 3029912 w 12192000"/>
              <a:gd name="connsiteY3060" fmla="*/ 4952458 h 6858000"/>
              <a:gd name="connsiteX3061" fmla="*/ 2997701 w 12192000"/>
              <a:gd name="connsiteY3061" fmla="*/ 4922806 h 6858000"/>
              <a:gd name="connsiteX3062" fmla="*/ 3029912 w 12192000"/>
              <a:gd name="connsiteY3062" fmla="*/ 4893154 h 6858000"/>
              <a:gd name="connsiteX3063" fmla="*/ 3062122 w 12192000"/>
              <a:gd name="connsiteY3063" fmla="*/ 4922806 h 6858000"/>
              <a:gd name="connsiteX3064" fmla="*/ 3029912 w 12192000"/>
              <a:gd name="connsiteY3064" fmla="*/ 4952458 h 6858000"/>
              <a:gd name="connsiteX3065" fmla="*/ 3108446 w 12192000"/>
              <a:gd name="connsiteY3065" fmla="*/ 4952458 h 6858000"/>
              <a:gd name="connsiteX3066" fmla="*/ 3076236 w 12192000"/>
              <a:gd name="connsiteY3066" fmla="*/ 4922806 h 6858000"/>
              <a:gd name="connsiteX3067" fmla="*/ 3108446 w 12192000"/>
              <a:gd name="connsiteY3067" fmla="*/ 4893154 h 6858000"/>
              <a:gd name="connsiteX3068" fmla="*/ 3140656 w 12192000"/>
              <a:gd name="connsiteY3068" fmla="*/ 4922806 h 6858000"/>
              <a:gd name="connsiteX3069" fmla="*/ 3108446 w 12192000"/>
              <a:gd name="connsiteY3069" fmla="*/ 4952458 h 6858000"/>
              <a:gd name="connsiteX3070" fmla="*/ 3186979 w 12192000"/>
              <a:gd name="connsiteY3070" fmla="*/ 4952458 h 6858000"/>
              <a:gd name="connsiteX3071" fmla="*/ 3154769 w 12192000"/>
              <a:gd name="connsiteY3071" fmla="*/ 4922806 h 6858000"/>
              <a:gd name="connsiteX3072" fmla="*/ 3186979 w 12192000"/>
              <a:gd name="connsiteY3072" fmla="*/ 4893154 h 6858000"/>
              <a:gd name="connsiteX3073" fmla="*/ 3219190 w 12192000"/>
              <a:gd name="connsiteY3073" fmla="*/ 4922806 h 6858000"/>
              <a:gd name="connsiteX3074" fmla="*/ 3186979 w 12192000"/>
              <a:gd name="connsiteY3074" fmla="*/ 4952458 h 6858000"/>
              <a:gd name="connsiteX3075" fmla="*/ 3265514 w 12192000"/>
              <a:gd name="connsiteY3075" fmla="*/ 4952458 h 6858000"/>
              <a:gd name="connsiteX3076" fmla="*/ 3233303 w 12192000"/>
              <a:gd name="connsiteY3076" fmla="*/ 4922806 h 6858000"/>
              <a:gd name="connsiteX3077" fmla="*/ 3265514 w 12192000"/>
              <a:gd name="connsiteY3077" fmla="*/ 4893154 h 6858000"/>
              <a:gd name="connsiteX3078" fmla="*/ 3297724 w 12192000"/>
              <a:gd name="connsiteY3078" fmla="*/ 4922806 h 6858000"/>
              <a:gd name="connsiteX3079" fmla="*/ 3265514 w 12192000"/>
              <a:gd name="connsiteY3079" fmla="*/ 4952458 h 6858000"/>
              <a:gd name="connsiteX3080" fmla="*/ 3344048 w 12192000"/>
              <a:gd name="connsiteY3080" fmla="*/ 4952458 h 6858000"/>
              <a:gd name="connsiteX3081" fmla="*/ 3311837 w 12192000"/>
              <a:gd name="connsiteY3081" fmla="*/ 4922806 h 6858000"/>
              <a:gd name="connsiteX3082" fmla="*/ 3344048 w 12192000"/>
              <a:gd name="connsiteY3082" fmla="*/ 4893154 h 6858000"/>
              <a:gd name="connsiteX3083" fmla="*/ 3376258 w 12192000"/>
              <a:gd name="connsiteY3083" fmla="*/ 4922806 h 6858000"/>
              <a:gd name="connsiteX3084" fmla="*/ 3344048 w 12192000"/>
              <a:gd name="connsiteY3084" fmla="*/ 4952458 h 6858000"/>
              <a:gd name="connsiteX3085" fmla="*/ 3422581 w 12192000"/>
              <a:gd name="connsiteY3085" fmla="*/ 4952458 h 6858000"/>
              <a:gd name="connsiteX3086" fmla="*/ 3390371 w 12192000"/>
              <a:gd name="connsiteY3086" fmla="*/ 4922806 h 6858000"/>
              <a:gd name="connsiteX3087" fmla="*/ 3422581 w 12192000"/>
              <a:gd name="connsiteY3087" fmla="*/ 4893154 h 6858000"/>
              <a:gd name="connsiteX3088" fmla="*/ 3454791 w 12192000"/>
              <a:gd name="connsiteY3088" fmla="*/ 4922806 h 6858000"/>
              <a:gd name="connsiteX3089" fmla="*/ 3422581 w 12192000"/>
              <a:gd name="connsiteY3089" fmla="*/ 4952458 h 6858000"/>
              <a:gd name="connsiteX3090" fmla="*/ 3501115 w 12192000"/>
              <a:gd name="connsiteY3090" fmla="*/ 4952458 h 6858000"/>
              <a:gd name="connsiteX3091" fmla="*/ 3468905 w 12192000"/>
              <a:gd name="connsiteY3091" fmla="*/ 4922806 h 6858000"/>
              <a:gd name="connsiteX3092" fmla="*/ 3501115 w 12192000"/>
              <a:gd name="connsiteY3092" fmla="*/ 4893154 h 6858000"/>
              <a:gd name="connsiteX3093" fmla="*/ 3533326 w 12192000"/>
              <a:gd name="connsiteY3093" fmla="*/ 4922806 h 6858000"/>
              <a:gd name="connsiteX3094" fmla="*/ 3501115 w 12192000"/>
              <a:gd name="connsiteY3094" fmla="*/ 4952458 h 6858000"/>
              <a:gd name="connsiteX3095" fmla="*/ 3579650 w 12192000"/>
              <a:gd name="connsiteY3095" fmla="*/ 4952458 h 6858000"/>
              <a:gd name="connsiteX3096" fmla="*/ 3547439 w 12192000"/>
              <a:gd name="connsiteY3096" fmla="*/ 4922806 h 6858000"/>
              <a:gd name="connsiteX3097" fmla="*/ 3579650 w 12192000"/>
              <a:gd name="connsiteY3097" fmla="*/ 4893154 h 6858000"/>
              <a:gd name="connsiteX3098" fmla="*/ 3611860 w 12192000"/>
              <a:gd name="connsiteY3098" fmla="*/ 4922806 h 6858000"/>
              <a:gd name="connsiteX3099" fmla="*/ 3579650 w 12192000"/>
              <a:gd name="connsiteY3099" fmla="*/ 4952458 h 6858000"/>
              <a:gd name="connsiteX3100" fmla="*/ 3658183 w 12192000"/>
              <a:gd name="connsiteY3100" fmla="*/ 4952458 h 6858000"/>
              <a:gd name="connsiteX3101" fmla="*/ 3625972 w 12192000"/>
              <a:gd name="connsiteY3101" fmla="*/ 4922806 h 6858000"/>
              <a:gd name="connsiteX3102" fmla="*/ 3658183 w 12192000"/>
              <a:gd name="connsiteY3102" fmla="*/ 4893154 h 6858000"/>
              <a:gd name="connsiteX3103" fmla="*/ 3690393 w 12192000"/>
              <a:gd name="connsiteY3103" fmla="*/ 4922806 h 6858000"/>
              <a:gd name="connsiteX3104" fmla="*/ 3658183 w 12192000"/>
              <a:gd name="connsiteY3104" fmla="*/ 4952458 h 6858000"/>
              <a:gd name="connsiteX3105" fmla="*/ 3736717 w 12192000"/>
              <a:gd name="connsiteY3105" fmla="*/ 4952458 h 6858000"/>
              <a:gd name="connsiteX3106" fmla="*/ 3704507 w 12192000"/>
              <a:gd name="connsiteY3106" fmla="*/ 4922806 h 6858000"/>
              <a:gd name="connsiteX3107" fmla="*/ 3736717 w 12192000"/>
              <a:gd name="connsiteY3107" fmla="*/ 4893154 h 6858000"/>
              <a:gd name="connsiteX3108" fmla="*/ 3768927 w 12192000"/>
              <a:gd name="connsiteY3108" fmla="*/ 4922806 h 6858000"/>
              <a:gd name="connsiteX3109" fmla="*/ 3736717 w 12192000"/>
              <a:gd name="connsiteY3109" fmla="*/ 4952458 h 6858000"/>
              <a:gd name="connsiteX3110" fmla="*/ 3815250 w 12192000"/>
              <a:gd name="connsiteY3110" fmla="*/ 4952458 h 6858000"/>
              <a:gd name="connsiteX3111" fmla="*/ 3783040 w 12192000"/>
              <a:gd name="connsiteY3111" fmla="*/ 4922806 h 6858000"/>
              <a:gd name="connsiteX3112" fmla="*/ 3815250 w 12192000"/>
              <a:gd name="connsiteY3112" fmla="*/ 4893154 h 6858000"/>
              <a:gd name="connsiteX3113" fmla="*/ 3847461 w 12192000"/>
              <a:gd name="connsiteY3113" fmla="*/ 4922806 h 6858000"/>
              <a:gd name="connsiteX3114" fmla="*/ 3815250 w 12192000"/>
              <a:gd name="connsiteY3114" fmla="*/ 4952458 h 6858000"/>
              <a:gd name="connsiteX3115" fmla="*/ 3893785 w 12192000"/>
              <a:gd name="connsiteY3115" fmla="*/ 4952458 h 6858000"/>
              <a:gd name="connsiteX3116" fmla="*/ 3861574 w 12192000"/>
              <a:gd name="connsiteY3116" fmla="*/ 4922806 h 6858000"/>
              <a:gd name="connsiteX3117" fmla="*/ 3893785 w 12192000"/>
              <a:gd name="connsiteY3117" fmla="*/ 4893154 h 6858000"/>
              <a:gd name="connsiteX3118" fmla="*/ 3925995 w 12192000"/>
              <a:gd name="connsiteY3118" fmla="*/ 4922806 h 6858000"/>
              <a:gd name="connsiteX3119" fmla="*/ 3893785 w 12192000"/>
              <a:gd name="connsiteY3119" fmla="*/ 4952458 h 6858000"/>
              <a:gd name="connsiteX3120" fmla="*/ 3972319 w 12192000"/>
              <a:gd name="connsiteY3120" fmla="*/ 4952458 h 6858000"/>
              <a:gd name="connsiteX3121" fmla="*/ 3940108 w 12192000"/>
              <a:gd name="connsiteY3121" fmla="*/ 4922806 h 6858000"/>
              <a:gd name="connsiteX3122" fmla="*/ 3972319 w 12192000"/>
              <a:gd name="connsiteY3122" fmla="*/ 4893154 h 6858000"/>
              <a:gd name="connsiteX3123" fmla="*/ 4004529 w 12192000"/>
              <a:gd name="connsiteY3123" fmla="*/ 4922806 h 6858000"/>
              <a:gd name="connsiteX3124" fmla="*/ 3972319 w 12192000"/>
              <a:gd name="connsiteY3124" fmla="*/ 4952458 h 6858000"/>
              <a:gd name="connsiteX3125" fmla="*/ 4129386 w 12192000"/>
              <a:gd name="connsiteY3125" fmla="*/ 4952458 h 6858000"/>
              <a:gd name="connsiteX3126" fmla="*/ 4097176 w 12192000"/>
              <a:gd name="connsiteY3126" fmla="*/ 4922806 h 6858000"/>
              <a:gd name="connsiteX3127" fmla="*/ 4129386 w 12192000"/>
              <a:gd name="connsiteY3127" fmla="*/ 4893154 h 6858000"/>
              <a:gd name="connsiteX3128" fmla="*/ 4161597 w 12192000"/>
              <a:gd name="connsiteY3128" fmla="*/ 4922806 h 6858000"/>
              <a:gd name="connsiteX3129" fmla="*/ 4129386 w 12192000"/>
              <a:gd name="connsiteY3129" fmla="*/ 4952458 h 6858000"/>
              <a:gd name="connsiteX3130" fmla="*/ 4286460 w 12192000"/>
              <a:gd name="connsiteY3130" fmla="*/ 4952458 h 6858000"/>
              <a:gd name="connsiteX3131" fmla="*/ 4254250 w 12192000"/>
              <a:gd name="connsiteY3131" fmla="*/ 4922806 h 6858000"/>
              <a:gd name="connsiteX3132" fmla="*/ 4286460 w 12192000"/>
              <a:gd name="connsiteY3132" fmla="*/ 4893154 h 6858000"/>
              <a:gd name="connsiteX3133" fmla="*/ 4318670 w 12192000"/>
              <a:gd name="connsiteY3133" fmla="*/ 4922806 h 6858000"/>
              <a:gd name="connsiteX3134" fmla="*/ 4286460 w 12192000"/>
              <a:gd name="connsiteY3134" fmla="*/ 4952458 h 6858000"/>
              <a:gd name="connsiteX3135" fmla="*/ 4836197 w 12192000"/>
              <a:gd name="connsiteY3135" fmla="*/ 4952458 h 6858000"/>
              <a:gd name="connsiteX3136" fmla="*/ 4803986 w 12192000"/>
              <a:gd name="connsiteY3136" fmla="*/ 4922806 h 6858000"/>
              <a:gd name="connsiteX3137" fmla="*/ 4836197 w 12192000"/>
              <a:gd name="connsiteY3137" fmla="*/ 4893154 h 6858000"/>
              <a:gd name="connsiteX3138" fmla="*/ 4868407 w 12192000"/>
              <a:gd name="connsiteY3138" fmla="*/ 4922806 h 6858000"/>
              <a:gd name="connsiteX3139" fmla="*/ 4836197 w 12192000"/>
              <a:gd name="connsiteY3139" fmla="*/ 4952458 h 6858000"/>
              <a:gd name="connsiteX3140" fmla="*/ 4914731 w 12192000"/>
              <a:gd name="connsiteY3140" fmla="*/ 4952458 h 6858000"/>
              <a:gd name="connsiteX3141" fmla="*/ 4882521 w 12192000"/>
              <a:gd name="connsiteY3141" fmla="*/ 4922806 h 6858000"/>
              <a:gd name="connsiteX3142" fmla="*/ 4914731 w 12192000"/>
              <a:gd name="connsiteY3142" fmla="*/ 4893154 h 6858000"/>
              <a:gd name="connsiteX3143" fmla="*/ 4946941 w 12192000"/>
              <a:gd name="connsiteY3143" fmla="*/ 4922806 h 6858000"/>
              <a:gd name="connsiteX3144" fmla="*/ 4914731 w 12192000"/>
              <a:gd name="connsiteY3144" fmla="*/ 4952458 h 6858000"/>
              <a:gd name="connsiteX3145" fmla="*/ 4993265 w 12192000"/>
              <a:gd name="connsiteY3145" fmla="*/ 4952458 h 6858000"/>
              <a:gd name="connsiteX3146" fmla="*/ 4961055 w 12192000"/>
              <a:gd name="connsiteY3146" fmla="*/ 4922806 h 6858000"/>
              <a:gd name="connsiteX3147" fmla="*/ 4993265 w 12192000"/>
              <a:gd name="connsiteY3147" fmla="*/ 4893154 h 6858000"/>
              <a:gd name="connsiteX3148" fmla="*/ 5025475 w 12192000"/>
              <a:gd name="connsiteY3148" fmla="*/ 4922806 h 6858000"/>
              <a:gd name="connsiteX3149" fmla="*/ 4993265 w 12192000"/>
              <a:gd name="connsiteY3149" fmla="*/ 4952458 h 6858000"/>
              <a:gd name="connsiteX3150" fmla="*/ 5071798 w 12192000"/>
              <a:gd name="connsiteY3150" fmla="*/ 4952458 h 6858000"/>
              <a:gd name="connsiteX3151" fmla="*/ 5039588 w 12192000"/>
              <a:gd name="connsiteY3151" fmla="*/ 4922806 h 6858000"/>
              <a:gd name="connsiteX3152" fmla="*/ 5071798 w 12192000"/>
              <a:gd name="connsiteY3152" fmla="*/ 4893154 h 6858000"/>
              <a:gd name="connsiteX3153" fmla="*/ 5104009 w 12192000"/>
              <a:gd name="connsiteY3153" fmla="*/ 4922806 h 6858000"/>
              <a:gd name="connsiteX3154" fmla="*/ 5071798 w 12192000"/>
              <a:gd name="connsiteY3154" fmla="*/ 4952458 h 6858000"/>
              <a:gd name="connsiteX3155" fmla="*/ 5150333 w 12192000"/>
              <a:gd name="connsiteY3155" fmla="*/ 4952458 h 6858000"/>
              <a:gd name="connsiteX3156" fmla="*/ 5118122 w 12192000"/>
              <a:gd name="connsiteY3156" fmla="*/ 4922806 h 6858000"/>
              <a:gd name="connsiteX3157" fmla="*/ 5150333 w 12192000"/>
              <a:gd name="connsiteY3157" fmla="*/ 4893154 h 6858000"/>
              <a:gd name="connsiteX3158" fmla="*/ 5182543 w 12192000"/>
              <a:gd name="connsiteY3158" fmla="*/ 4922806 h 6858000"/>
              <a:gd name="connsiteX3159" fmla="*/ 5150333 w 12192000"/>
              <a:gd name="connsiteY3159" fmla="*/ 4952458 h 6858000"/>
              <a:gd name="connsiteX3160" fmla="*/ 5228867 w 12192000"/>
              <a:gd name="connsiteY3160" fmla="*/ 4952458 h 6858000"/>
              <a:gd name="connsiteX3161" fmla="*/ 5196657 w 12192000"/>
              <a:gd name="connsiteY3161" fmla="*/ 4922806 h 6858000"/>
              <a:gd name="connsiteX3162" fmla="*/ 5228867 w 12192000"/>
              <a:gd name="connsiteY3162" fmla="*/ 4893154 h 6858000"/>
              <a:gd name="connsiteX3163" fmla="*/ 5261077 w 12192000"/>
              <a:gd name="connsiteY3163" fmla="*/ 4922806 h 6858000"/>
              <a:gd name="connsiteX3164" fmla="*/ 5228867 w 12192000"/>
              <a:gd name="connsiteY3164" fmla="*/ 4952458 h 6858000"/>
              <a:gd name="connsiteX3165" fmla="*/ 5307400 w 12192000"/>
              <a:gd name="connsiteY3165" fmla="*/ 4952458 h 6858000"/>
              <a:gd name="connsiteX3166" fmla="*/ 5275190 w 12192000"/>
              <a:gd name="connsiteY3166" fmla="*/ 4922806 h 6858000"/>
              <a:gd name="connsiteX3167" fmla="*/ 5307400 w 12192000"/>
              <a:gd name="connsiteY3167" fmla="*/ 4893154 h 6858000"/>
              <a:gd name="connsiteX3168" fmla="*/ 5339610 w 12192000"/>
              <a:gd name="connsiteY3168" fmla="*/ 4922806 h 6858000"/>
              <a:gd name="connsiteX3169" fmla="*/ 5307400 w 12192000"/>
              <a:gd name="connsiteY3169" fmla="*/ 4952458 h 6858000"/>
              <a:gd name="connsiteX3170" fmla="*/ 6485408 w 12192000"/>
              <a:gd name="connsiteY3170" fmla="*/ 4952458 h 6858000"/>
              <a:gd name="connsiteX3171" fmla="*/ 6453191 w 12192000"/>
              <a:gd name="connsiteY3171" fmla="*/ 4922806 h 6858000"/>
              <a:gd name="connsiteX3172" fmla="*/ 6485408 w 12192000"/>
              <a:gd name="connsiteY3172" fmla="*/ 4893154 h 6858000"/>
              <a:gd name="connsiteX3173" fmla="*/ 6517612 w 12192000"/>
              <a:gd name="connsiteY3173" fmla="*/ 4922806 h 6858000"/>
              <a:gd name="connsiteX3174" fmla="*/ 6485408 w 12192000"/>
              <a:gd name="connsiteY3174" fmla="*/ 4952458 h 6858000"/>
              <a:gd name="connsiteX3175" fmla="*/ 6563942 w 12192000"/>
              <a:gd name="connsiteY3175" fmla="*/ 4952458 h 6858000"/>
              <a:gd name="connsiteX3176" fmla="*/ 6531726 w 12192000"/>
              <a:gd name="connsiteY3176" fmla="*/ 4922806 h 6858000"/>
              <a:gd name="connsiteX3177" fmla="*/ 6563942 w 12192000"/>
              <a:gd name="connsiteY3177" fmla="*/ 4893154 h 6858000"/>
              <a:gd name="connsiteX3178" fmla="*/ 6596146 w 12192000"/>
              <a:gd name="connsiteY3178" fmla="*/ 4922806 h 6858000"/>
              <a:gd name="connsiteX3179" fmla="*/ 6563942 w 12192000"/>
              <a:gd name="connsiteY3179" fmla="*/ 4952458 h 6858000"/>
              <a:gd name="connsiteX3180" fmla="*/ 7035146 w 12192000"/>
              <a:gd name="connsiteY3180" fmla="*/ 4952458 h 6858000"/>
              <a:gd name="connsiteX3181" fmla="*/ 7002929 w 12192000"/>
              <a:gd name="connsiteY3181" fmla="*/ 4922806 h 6858000"/>
              <a:gd name="connsiteX3182" fmla="*/ 7035146 w 12192000"/>
              <a:gd name="connsiteY3182" fmla="*/ 4893154 h 6858000"/>
              <a:gd name="connsiteX3183" fmla="*/ 7067350 w 12192000"/>
              <a:gd name="connsiteY3183" fmla="*/ 4922806 h 6858000"/>
              <a:gd name="connsiteX3184" fmla="*/ 7035146 w 12192000"/>
              <a:gd name="connsiteY3184" fmla="*/ 4952458 h 6858000"/>
              <a:gd name="connsiteX3185" fmla="*/ 7349305 w 12192000"/>
              <a:gd name="connsiteY3185" fmla="*/ 4952458 h 6858000"/>
              <a:gd name="connsiteX3186" fmla="*/ 7317088 w 12192000"/>
              <a:gd name="connsiteY3186" fmla="*/ 4922806 h 6858000"/>
              <a:gd name="connsiteX3187" fmla="*/ 7349305 w 12192000"/>
              <a:gd name="connsiteY3187" fmla="*/ 4893154 h 6858000"/>
              <a:gd name="connsiteX3188" fmla="*/ 7381509 w 12192000"/>
              <a:gd name="connsiteY3188" fmla="*/ 4922806 h 6858000"/>
              <a:gd name="connsiteX3189" fmla="*/ 7349305 w 12192000"/>
              <a:gd name="connsiteY3189" fmla="*/ 4952458 h 6858000"/>
              <a:gd name="connsiteX3190" fmla="*/ 7427839 w 12192000"/>
              <a:gd name="connsiteY3190" fmla="*/ 4952458 h 6858000"/>
              <a:gd name="connsiteX3191" fmla="*/ 7395623 w 12192000"/>
              <a:gd name="connsiteY3191" fmla="*/ 4922806 h 6858000"/>
              <a:gd name="connsiteX3192" fmla="*/ 7427839 w 12192000"/>
              <a:gd name="connsiteY3192" fmla="*/ 4893154 h 6858000"/>
              <a:gd name="connsiteX3193" fmla="*/ 7460043 w 12192000"/>
              <a:gd name="connsiteY3193" fmla="*/ 4922806 h 6858000"/>
              <a:gd name="connsiteX3194" fmla="*/ 7427839 w 12192000"/>
              <a:gd name="connsiteY3194" fmla="*/ 4952458 h 6858000"/>
              <a:gd name="connsiteX3195" fmla="*/ 7584906 w 12192000"/>
              <a:gd name="connsiteY3195" fmla="*/ 4952458 h 6858000"/>
              <a:gd name="connsiteX3196" fmla="*/ 7552690 w 12192000"/>
              <a:gd name="connsiteY3196" fmla="*/ 4922806 h 6858000"/>
              <a:gd name="connsiteX3197" fmla="*/ 7584906 w 12192000"/>
              <a:gd name="connsiteY3197" fmla="*/ 4893154 h 6858000"/>
              <a:gd name="connsiteX3198" fmla="*/ 7617111 w 12192000"/>
              <a:gd name="connsiteY3198" fmla="*/ 4922806 h 6858000"/>
              <a:gd name="connsiteX3199" fmla="*/ 7584906 w 12192000"/>
              <a:gd name="connsiteY3199" fmla="*/ 4952458 h 6858000"/>
              <a:gd name="connsiteX3200" fmla="*/ 7663441 w 12192000"/>
              <a:gd name="connsiteY3200" fmla="*/ 4952458 h 6858000"/>
              <a:gd name="connsiteX3201" fmla="*/ 7631224 w 12192000"/>
              <a:gd name="connsiteY3201" fmla="*/ 4922806 h 6858000"/>
              <a:gd name="connsiteX3202" fmla="*/ 7663441 w 12192000"/>
              <a:gd name="connsiteY3202" fmla="*/ 4893154 h 6858000"/>
              <a:gd name="connsiteX3203" fmla="*/ 7695645 w 12192000"/>
              <a:gd name="connsiteY3203" fmla="*/ 4922806 h 6858000"/>
              <a:gd name="connsiteX3204" fmla="*/ 7663441 w 12192000"/>
              <a:gd name="connsiteY3204" fmla="*/ 4952458 h 6858000"/>
              <a:gd name="connsiteX3205" fmla="*/ 7820508 w 12192000"/>
              <a:gd name="connsiteY3205" fmla="*/ 4952458 h 6858000"/>
              <a:gd name="connsiteX3206" fmla="*/ 7788292 w 12192000"/>
              <a:gd name="connsiteY3206" fmla="*/ 4922806 h 6858000"/>
              <a:gd name="connsiteX3207" fmla="*/ 7820508 w 12192000"/>
              <a:gd name="connsiteY3207" fmla="*/ 4893154 h 6858000"/>
              <a:gd name="connsiteX3208" fmla="*/ 7852712 w 12192000"/>
              <a:gd name="connsiteY3208" fmla="*/ 4922806 h 6858000"/>
              <a:gd name="connsiteX3209" fmla="*/ 7820508 w 12192000"/>
              <a:gd name="connsiteY3209" fmla="*/ 4952458 h 6858000"/>
              <a:gd name="connsiteX3210" fmla="*/ 7899042 w 12192000"/>
              <a:gd name="connsiteY3210" fmla="*/ 4952458 h 6858000"/>
              <a:gd name="connsiteX3211" fmla="*/ 7866826 w 12192000"/>
              <a:gd name="connsiteY3211" fmla="*/ 4922806 h 6858000"/>
              <a:gd name="connsiteX3212" fmla="*/ 7899042 w 12192000"/>
              <a:gd name="connsiteY3212" fmla="*/ 4893154 h 6858000"/>
              <a:gd name="connsiteX3213" fmla="*/ 7931247 w 12192000"/>
              <a:gd name="connsiteY3213" fmla="*/ 4922806 h 6858000"/>
              <a:gd name="connsiteX3214" fmla="*/ 7899042 w 12192000"/>
              <a:gd name="connsiteY3214" fmla="*/ 4952458 h 6858000"/>
              <a:gd name="connsiteX3215" fmla="*/ 7977576 w 12192000"/>
              <a:gd name="connsiteY3215" fmla="*/ 4952458 h 6858000"/>
              <a:gd name="connsiteX3216" fmla="*/ 7945359 w 12192000"/>
              <a:gd name="connsiteY3216" fmla="*/ 4922806 h 6858000"/>
              <a:gd name="connsiteX3217" fmla="*/ 7977576 w 12192000"/>
              <a:gd name="connsiteY3217" fmla="*/ 4893154 h 6858000"/>
              <a:gd name="connsiteX3218" fmla="*/ 8009780 w 12192000"/>
              <a:gd name="connsiteY3218" fmla="*/ 4922806 h 6858000"/>
              <a:gd name="connsiteX3219" fmla="*/ 7977576 w 12192000"/>
              <a:gd name="connsiteY3219" fmla="*/ 4952458 h 6858000"/>
              <a:gd name="connsiteX3220" fmla="*/ 8056110 w 12192000"/>
              <a:gd name="connsiteY3220" fmla="*/ 4952458 h 6858000"/>
              <a:gd name="connsiteX3221" fmla="*/ 8023894 w 12192000"/>
              <a:gd name="connsiteY3221" fmla="*/ 4922806 h 6858000"/>
              <a:gd name="connsiteX3222" fmla="*/ 8056110 w 12192000"/>
              <a:gd name="connsiteY3222" fmla="*/ 4893154 h 6858000"/>
              <a:gd name="connsiteX3223" fmla="*/ 8088314 w 12192000"/>
              <a:gd name="connsiteY3223" fmla="*/ 4922806 h 6858000"/>
              <a:gd name="connsiteX3224" fmla="*/ 8056110 w 12192000"/>
              <a:gd name="connsiteY3224" fmla="*/ 4952458 h 6858000"/>
              <a:gd name="connsiteX3225" fmla="*/ 8134643 w 12192000"/>
              <a:gd name="connsiteY3225" fmla="*/ 4952458 h 6858000"/>
              <a:gd name="connsiteX3226" fmla="*/ 8102427 w 12192000"/>
              <a:gd name="connsiteY3226" fmla="*/ 4922806 h 6858000"/>
              <a:gd name="connsiteX3227" fmla="*/ 8134643 w 12192000"/>
              <a:gd name="connsiteY3227" fmla="*/ 4893154 h 6858000"/>
              <a:gd name="connsiteX3228" fmla="*/ 8166847 w 12192000"/>
              <a:gd name="connsiteY3228" fmla="*/ 4922806 h 6858000"/>
              <a:gd name="connsiteX3229" fmla="*/ 8134643 w 12192000"/>
              <a:gd name="connsiteY3229" fmla="*/ 4952458 h 6858000"/>
              <a:gd name="connsiteX3230" fmla="*/ 8213177 w 12192000"/>
              <a:gd name="connsiteY3230" fmla="*/ 4952458 h 6858000"/>
              <a:gd name="connsiteX3231" fmla="*/ 8180961 w 12192000"/>
              <a:gd name="connsiteY3231" fmla="*/ 4922806 h 6858000"/>
              <a:gd name="connsiteX3232" fmla="*/ 8213177 w 12192000"/>
              <a:gd name="connsiteY3232" fmla="*/ 4893154 h 6858000"/>
              <a:gd name="connsiteX3233" fmla="*/ 8245382 w 12192000"/>
              <a:gd name="connsiteY3233" fmla="*/ 4922806 h 6858000"/>
              <a:gd name="connsiteX3234" fmla="*/ 8213177 w 12192000"/>
              <a:gd name="connsiteY3234" fmla="*/ 4952458 h 6858000"/>
              <a:gd name="connsiteX3235" fmla="*/ 8291712 w 12192000"/>
              <a:gd name="connsiteY3235" fmla="*/ 4952458 h 6858000"/>
              <a:gd name="connsiteX3236" fmla="*/ 8259495 w 12192000"/>
              <a:gd name="connsiteY3236" fmla="*/ 4922806 h 6858000"/>
              <a:gd name="connsiteX3237" fmla="*/ 8291712 w 12192000"/>
              <a:gd name="connsiteY3237" fmla="*/ 4893154 h 6858000"/>
              <a:gd name="connsiteX3238" fmla="*/ 8323916 w 12192000"/>
              <a:gd name="connsiteY3238" fmla="*/ 4922806 h 6858000"/>
              <a:gd name="connsiteX3239" fmla="*/ 8291712 w 12192000"/>
              <a:gd name="connsiteY3239" fmla="*/ 4952458 h 6858000"/>
              <a:gd name="connsiteX3240" fmla="*/ 8370245 w 12192000"/>
              <a:gd name="connsiteY3240" fmla="*/ 4952458 h 6858000"/>
              <a:gd name="connsiteX3241" fmla="*/ 8338029 w 12192000"/>
              <a:gd name="connsiteY3241" fmla="*/ 4922806 h 6858000"/>
              <a:gd name="connsiteX3242" fmla="*/ 8370245 w 12192000"/>
              <a:gd name="connsiteY3242" fmla="*/ 4893154 h 6858000"/>
              <a:gd name="connsiteX3243" fmla="*/ 8402449 w 12192000"/>
              <a:gd name="connsiteY3243" fmla="*/ 4922806 h 6858000"/>
              <a:gd name="connsiteX3244" fmla="*/ 8370245 w 12192000"/>
              <a:gd name="connsiteY3244" fmla="*/ 4952458 h 6858000"/>
              <a:gd name="connsiteX3245" fmla="*/ 8448779 w 12192000"/>
              <a:gd name="connsiteY3245" fmla="*/ 4952458 h 6858000"/>
              <a:gd name="connsiteX3246" fmla="*/ 8416563 w 12192000"/>
              <a:gd name="connsiteY3246" fmla="*/ 4922806 h 6858000"/>
              <a:gd name="connsiteX3247" fmla="*/ 8448779 w 12192000"/>
              <a:gd name="connsiteY3247" fmla="*/ 4893154 h 6858000"/>
              <a:gd name="connsiteX3248" fmla="*/ 8480983 w 12192000"/>
              <a:gd name="connsiteY3248" fmla="*/ 4922806 h 6858000"/>
              <a:gd name="connsiteX3249" fmla="*/ 8448779 w 12192000"/>
              <a:gd name="connsiteY3249" fmla="*/ 4952458 h 6858000"/>
              <a:gd name="connsiteX3250" fmla="*/ 8527313 w 12192000"/>
              <a:gd name="connsiteY3250" fmla="*/ 4952458 h 6858000"/>
              <a:gd name="connsiteX3251" fmla="*/ 8495097 w 12192000"/>
              <a:gd name="connsiteY3251" fmla="*/ 4922806 h 6858000"/>
              <a:gd name="connsiteX3252" fmla="*/ 8527313 w 12192000"/>
              <a:gd name="connsiteY3252" fmla="*/ 4893154 h 6858000"/>
              <a:gd name="connsiteX3253" fmla="*/ 8559518 w 12192000"/>
              <a:gd name="connsiteY3253" fmla="*/ 4922806 h 6858000"/>
              <a:gd name="connsiteX3254" fmla="*/ 8527313 w 12192000"/>
              <a:gd name="connsiteY3254" fmla="*/ 4952458 h 6858000"/>
              <a:gd name="connsiteX3255" fmla="*/ 8605847 w 12192000"/>
              <a:gd name="connsiteY3255" fmla="*/ 4952458 h 6858000"/>
              <a:gd name="connsiteX3256" fmla="*/ 8573630 w 12192000"/>
              <a:gd name="connsiteY3256" fmla="*/ 4922806 h 6858000"/>
              <a:gd name="connsiteX3257" fmla="*/ 8605847 w 12192000"/>
              <a:gd name="connsiteY3257" fmla="*/ 4893154 h 6858000"/>
              <a:gd name="connsiteX3258" fmla="*/ 8638051 w 12192000"/>
              <a:gd name="connsiteY3258" fmla="*/ 4922806 h 6858000"/>
              <a:gd name="connsiteX3259" fmla="*/ 8605847 w 12192000"/>
              <a:gd name="connsiteY3259" fmla="*/ 4952458 h 6858000"/>
              <a:gd name="connsiteX3260" fmla="*/ 8684381 w 12192000"/>
              <a:gd name="connsiteY3260" fmla="*/ 4952458 h 6858000"/>
              <a:gd name="connsiteX3261" fmla="*/ 8652165 w 12192000"/>
              <a:gd name="connsiteY3261" fmla="*/ 4922806 h 6858000"/>
              <a:gd name="connsiteX3262" fmla="*/ 8684381 w 12192000"/>
              <a:gd name="connsiteY3262" fmla="*/ 4893154 h 6858000"/>
              <a:gd name="connsiteX3263" fmla="*/ 8716585 w 12192000"/>
              <a:gd name="connsiteY3263" fmla="*/ 4922806 h 6858000"/>
              <a:gd name="connsiteX3264" fmla="*/ 8684381 w 12192000"/>
              <a:gd name="connsiteY3264" fmla="*/ 4952458 h 6858000"/>
              <a:gd name="connsiteX3265" fmla="*/ 8762914 w 12192000"/>
              <a:gd name="connsiteY3265" fmla="*/ 4952458 h 6858000"/>
              <a:gd name="connsiteX3266" fmla="*/ 8730698 w 12192000"/>
              <a:gd name="connsiteY3266" fmla="*/ 4922806 h 6858000"/>
              <a:gd name="connsiteX3267" fmla="*/ 8762914 w 12192000"/>
              <a:gd name="connsiteY3267" fmla="*/ 4893154 h 6858000"/>
              <a:gd name="connsiteX3268" fmla="*/ 8795118 w 12192000"/>
              <a:gd name="connsiteY3268" fmla="*/ 4922806 h 6858000"/>
              <a:gd name="connsiteX3269" fmla="*/ 8762914 w 12192000"/>
              <a:gd name="connsiteY3269" fmla="*/ 4952458 h 6858000"/>
              <a:gd name="connsiteX3270" fmla="*/ 8841448 w 12192000"/>
              <a:gd name="connsiteY3270" fmla="*/ 4952458 h 6858000"/>
              <a:gd name="connsiteX3271" fmla="*/ 8809232 w 12192000"/>
              <a:gd name="connsiteY3271" fmla="*/ 4922806 h 6858000"/>
              <a:gd name="connsiteX3272" fmla="*/ 8841448 w 12192000"/>
              <a:gd name="connsiteY3272" fmla="*/ 4893154 h 6858000"/>
              <a:gd name="connsiteX3273" fmla="*/ 8873653 w 12192000"/>
              <a:gd name="connsiteY3273" fmla="*/ 4922806 h 6858000"/>
              <a:gd name="connsiteX3274" fmla="*/ 8841448 w 12192000"/>
              <a:gd name="connsiteY3274" fmla="*/ 4952458 h 6858000"/>
              <a:gd name="connsiteX3275" fmla="*/ 8919983 w 12192000"/>
              <a:gd name="connsiteY3275" fmla="*/ 4952458 h 6858000"/>
              <a:gd name="connsiteX3276" fmla="*/ 8887766 w 12192000"/>
              <a:gd name="connsiteY3276" fmla="*/ 4922806 h 6858000"/>
              <a:gd name="connsiteX3277" fmla="*/ 8919983 w 12192000"/>
              <a:gd name="connsiteY3277" fmla="*/ 4893154 h 6858000"/>
              <a:gd name="connsiteX3278" fmla="*/ 8952187 w 12192000"/>
              <a:gd name="connsiteY3278" fmla="*/ 4922806 h 6858000"/>
              <a:gd name="connsiteX3279" fmla="*/ 8919983 w 12192000"/>
              <a:gd name="connsiteY3279" fmla="*/ 4952458 h 6858000"/>
              <a:gd name="connsiteX3280" fmla="*/ 8998516 w 12192000"/>
              <a:gd name="connsiteY3280" fmla="*/ 4952458 h 6858000"/>
              <a:gd name="connsiteX3281" fmla="*/ 8966300 w 12192000"/>
              <a:gd name="connsiteY3281" fmla="*/ 4922806 h 6858000"/>
              <a:gd name="connsiteX3282" fmla="*/ 8998516 w 12192000"/>
              <a:gd name="connsiteY3282" fmla="*/ 4893154 h 6858000"/>
              <a:gd name="connsiteX3283" fmla="*/ 9030720 w 12192000"/>
              <a:gd name="connsiteY3283" fmla="*/ 4922806 h 6858000"/>
              <a:gd name="connsiteX3284" fmla="*/ 8998516 w 12192000"/>
              <a:gd name="connsiteY3284" fmla="*/ 4952458 h 6858000"/>
              <a:gd name="connsiteX3285" fmla="*/ 9077050 w 12192000"/>
              <a:gd name="connsiteY3285" fmla="*/ 4952458 h 6858000"/>
              <a:gd name="connsiteX3286" fmla="*/ 9044834 w 12192000"/>
              <a:gd name="connsiteY3286" fmla="*/ 4922806 h 6858000"/>
              <a:gd name="connsiteX3287" fmla="*/ 9077050 w 12192000"/>
              <a:gd name="connsiteY3287" fmla="*/ 4893154 h 6858000"/>
              <a:gd name="connsiteX3288" fmla="*/ 9109254 w 12192000"/>
              <a:gd name="connsiteY3288" fmla="*/ 4922806 h 6858000"/>
              <a:gd name="connsiteX3289" fmla="*/ 9077050 w 12192000"/>
              <a:gd name="connsiteY3289" fmla="*/ 4952458 h 6858000"/>
              <a:gd name="connsiteX3290" fmla="*/ 9155583 w 12192000"/>
              <a:gd name="connsiteY3290" fmla="*/ 4952458 h 6858000"/>
              <a:gd name="connsiteX3291" fmla="*/ 9123367 w 12192000"/>
              <a:gd name="connsiteY3291" fmla="*/ 4922806 h 6858000"/>
              <a:gd name="connsiteX3292" fmla="*/ 9155583 w 12192000"/>
              <a:gd name="connsiteY3292" fmla="*/ 4893154 h 6858000"/>
              <a:gd name="connsiteX3293" fmla="*/ 9187788 w 12192000"/>
              <a:gd name="connsiteY3293" fmla="*/ 4922806 h 6858000"/>
              <a:gd name="connsiteX3294" fmla="*/ 9155583 w 12192000"/>
              <a:gd name="connsiteY3294" fmla="*/ 4952458 h 6858000"/>
              <a:gd name="connsiteX3295" fmla="*/ 9234118 w 12192000"/>
              <a:gd name="connsiteY3295" fmla="*/ 4952458 h 6858000"/>
              <a:gd name="connsiteX3296" fmla="*/ 9201901 w 12192000"/>
              <a:gd name="connsiteY3296" fmla="*/ 4922806 h 6858000"/>
              <a:gd name="connsiteX3297" fmla="*/ 9234118 w 12192000"/>
              <a:gd name="connsiteY3297" fmla="*/ 4893154 h 6858000"/>
              <a:gd name="connsiteX3298" fmla="*/ 9266322 w 12192000"/>
              <a:gd name="connsiteY3298" fmla="*/ 4922806 h 6858000"/>
              <a:gd name="connsiteX3299" fmla="*/ 9234118 w 12192000"/>
              <a:gd name="connsiteY3299" fmla="*/ 4952458 h 6858000"/>
              <a:gd name="connsiteX3300" fmla="*/ 9312652 w 12192000"/>
              <a:gd name="connsiteY3300" fmla="*/ 4952458 h 6858000"/>
              <a:gd name="connsiteX3301" fmla="*/ 9280436 w 12192000"/>
              <a:gd name="connsiteY3301" fmla="*/ 4922806 h 6858000"/>
              <a:gd name="connsiteX3302" fmla="*/ 9312652 w 12192000"/>
              <a:gd name="connsiteY3302" fmla="*/ 4893154 h 6858000"/>
              <a:gd name="connsiteX3303" fmla="*/ 9344856 w 12192000"/>
              <a:gd name="connsiteY3303" fmla="*/ 4922806 h 6858000"/>
              <a:gd name="connsiteX3304" fmla="*/ 9312652 w 12192000"/>
              <a:gd name="connsiteY3304" fmla="*/ 4952458 h 6858000"/>
              <a:gd name="connsiteX3305" fmla="*/ 9391185 w 12192000"/>
              <a:gd name="connsiteY3305" fmla="*/ 4952458 h 6858000"/>
              <a:gd name="connsiteX3306" fmla="*/ 9358969 w 12192000"/>
              <a:gd name="connsiteY3306" fmla="*/ 4922806 h 6858000"/>
              <a:gd name="connsiteX3307" fmla="*/ 9391185 w 12192000"/>
              <a:gd name="connsiteY3307" fmla="*/ 4893154 h 6858000"/>
              <a:gd name="connsiteX3308" fmla="*/ 9423389 w 12192000"/>
              <a:gd name="connsiteY3308" fmla="*/ 4922806 h 6858000"/>
              <a:gd name="connsiteX3309" fmla="*/ 9391185 w 12192000"/>
              <a:gd name="connsiteY3309" fmla="*/ 4952458 h 6858000"/>
              <a:gd name="connsiteX3310" fmla="*/ 9469719 w 12192000"/>
              <a:gd name="connsiteY3310" fmla="*/ 4952458 h 6858000"/>
              <a:gd name="connsiteX3311" fmla="*/ 9437503 w 12192000"/>
              <a:gd name="connsiteY3311" fmla="*/ 4922806 h 6858000"/>
              <a:gd name="connsiteX3312" fmla="*/ 9469719 w 12192000"/>
              <a:gd name="connsiteY3312" fmla="*/ 4893154 h 6858000"/>
              <a:gd name="connsiteX3313" fmla="*/ 9501924 w 12192000"/>
              <a:gd name="connsiteY3313" fmla="*/ 4922806 h 6858000"/>
              <a:gd name="connsiteX3314" fmla="*/ 9469719 w 12192000"/>
              <a:gd name="connsiteY3314" fmla="*/ 4952458 h 6858000"/>
              <a:gd name="connsiteX3315" fmla="*/ 9548254 w 12192000"/>
              <a:gd name="connsiteY3315" fmla="*/ 4952458 h 6858000"/>
              <a:gd name="connsiteX3316" fmla="*/ 9516037 w 12192000"/>
              <a:gd name="connsiteY3316" fmla="*/ 4922806 h 6858000"/>
              <a:gd name="connsiteX3317" fmla="*/ 9548254 w 12192000"/>
              <a:gd name="connsiteY3317" fmla="*/ 4893154 h 6858000"/>
              <a:gd name="connsiteX3318" fmla="*/ 9580458 w 12192000"/>
              <a:gd name="connsiteY3318" fmla="*/ 4922806 h 6858000"/>
              <a:gd name="connsiteX3319" fmla="*/ 9548254 w 12192000"/>
              <a:gd name="connsiteY3319" fmla="*/ 4952458 h 6858000"/>
              <a:gd name="connsiteX3320" fmla="*/ 9626787 w 12192000"/>
              <a:gd name="connsiteY3320" fmla="*/ 4952458 h 6858000"/>
              <a:gd name="connsiteX3321" fmla="*/ 9594571 w 12192000"/>
              <a:gd name="connsiteY3321" fmla="*/ 4922806 h 6858000"/>
              <a:gd name="connsiteX3322" fmla="*/ 9626787 w 12192000"/>
              <a:gd name="connsiteY3322" fmla="*/ 4893154 h 6858000"/>
              <a:gd name="connsiteX3323" fmla="*/ 9658991 w 12192000"/>
              <a:gd name="connsiteY3323" fmla="*/ 4922806 h 6858000"/>
              <a:gd name="connsiteX3324" fmla="*/ 9626787 w 12192000"/>
              <a:gd name="connsiteY3324" fmla="*/ 4952458 h 6858000"/>
              <a:gd name="connsiteX3325" fmla="*/ 9705321 w 12192000"/>
              <a:gd name="connsiteY3325" fmla="*/ 4952458 h 6858000"/>
              <a:gd name="connsiteX3326" fmla="*/ 9673105 w 12192000"/>
              <a:gd name="connsiteY3326" fmla="*/ 4922806 h 6858000"/>
              <a:gd name="connsiteX3327" fmla="*/ 9705321 w 12192000"/>
              <a:gd name="connsiteY3327" fmla="*/ 4893154 h 6858000"/>
              <a:gd name="connsiteX3328" fmla="*/ 9737525 w 12192000"/>
              <a:gd name="connsiteY3328" fmla="*/ 4922806 h 6858000"/>
              <a:gd name="connsiteX3329" fmla="*/ 9705321 w 12192000"/>
              <a:gd name="connsiteY3329" fmla="*/ 4952458 h 6858000"/>
              <a:gd name="connsiteX3330" fmla="*/ 9783854 w 12192000"/>
              <a:gd name="connsiteY3330" fmla="*/ 4952458 h 6858000"/>
              <a:gd name="connsiteX3331" fmla="*/ 9751638 w 12192000"/>
              <a:gd name="connsiteY3331" fmla="*/ 4922806 h 6858000"/>
              <a:gd name="connsiteX3332" fmla="*/ 9783854 w 12192000"/>
              <a:gd name="connsiteY3332" fmla="*/ 4893154 h 6858000"/>
              <a:gd name="connsiteX3333" fmla="*/ 9816059 w 12192000"/>
              <a:gd name="connsiteY3333" fmla="*/ 4922806 h 6858000"/>
              <a:gd name="connsiteX3334" fmla="*/ 9783854 w 12192000"/>
              <a:gd name="connsiteY3334" fmla="*/ 4952458 h 6858000"/>
              <a:gd name="connsiteX3335" fmla="*/ 10019456 w 12192000"/>
              <a:gd name="connsiteY3335" fmla="*/ 4952458 h 6858000"/>
              <a:gd name="connsiteX3336" fmla="*/ 9987240 w 12192000"/>
              <a:gd name="connsiteY3336" fmla="*/ 4922806 h 6858000"/>
              <a:gd name="connsiteX3337" fmla="*/ 10019456 w 12192000"/>
              <a:gd name="connsiteY3337" fmla="*/ 4893154 h 6858000"/>
              <a:gd name="connsiteX3338" fmla="*/ 10051660 w 12192000"/>
              <a:gd name="connsiteY3338" fmla="*/ 4922806 h 6858000"/>
              <a:gd name="connsiteX3339" fmla="*/ 10019456 w 12192000"/>
              <a:gd name="connsiteY3339" fmla="*/ 4952458 h 6858000"/>
              <a:gd name="connsiteX3340" fmla="*/ 1851910 w 12192000"/>
              <a:gd name="connsiteY3340" fmla="*/ 4880192 h 6858000"/>
              <a:gd name="connsiteX3341" fmla="*/ 1819700 w 12192000"/>
              <a:gd name="connsiteY3341" fmla="*/ 4850540 h 6858000"/>
              <a:gd name="connsiteX3342" fmla="*/ 1851910 w 12192000"/>
              <a:gd name="connsiteY3342" fmla="*/ 4820888 h 6858000"/>
              <a:gd name="connsiteX3343" fmla="*/ 1884120 w 12192000"/>
              <a:gd name="connsiteY3343" fmla="*/ 4850540 h 6858000"/>
              <a:gd name="connsiteX3344" fmla="*/ 1851910 w 12192000"/>
              <a:gd name="connsiteY3344" fmla="*/ 4880192 h 6858000"/>
              <a:gd name="connsiteX3345" fmla="*/ 1930444 w 12192000"/>
              <a:gd name="connsiteY3345" fmla="*/ 4880192 h 6858000"/>
              <a:gd name="connsiteX3346" fmla="*/ 1898234 w 12192000"/>
              <a:gd name="connsiteY3346" fmla="*/ 4850540 h 6858000"/>
              <a:gd name="connsiteX3347" fmla="*/ 1930444 w 12192000"/>
              <a:gd name="connsiteY3347" fmla="*/ 4820888 h 6858000"/>
              <a:gd name="connsiteX3348" fmla="*/ 1962655 w 12192000"/>
              <a:gd name="connsiteY3348" fmla="*/ 4850540 h 6858000"/>
              <a:gd name="connsiteX3349" fmla="*/ 1930444 w 12192000"/>
              <a:gd name="connsiteY3349" fmla="*/ 4880192 h 6858000"/>
              <a:gd name="connsiteX3350" fmla="*/ 2008978 w 12192000"/>
              <a:gd name="connsiteY3350" fmla="*/ 4880192 h 6858000"/>
              <a:gd name="connsiteX3351" fmla="*/ 1976767 w 12192000"/>
              <a:gd name="connsiteY3351" fmla="*/ 4850540 h 6858000"/>
              <a:gd name="connsiteX3352" fmla="*/ 2008978 w 12192000"/>
              <a:gd name="connsiteY3352" fmla="*/ 4820888 h 6858000"/>
              <a:gd name="connsiteX3353" fmla="*/ 2041188 w 12192000"/>
              <a:gd name="connsiteY3353" fmla="*/ 4850540 h 6858000"/>
              <a:gd name="connsiteX3354" fmla="*/ 2008978 w 12192000"/>
              <a:gd name="connsiteY3354" fmla="*/ 4880192 h 6858000"/>
              <a:gd name="connsiteX3355" fmla="*/ 2087512 w 12192000"/>
              <a:gd name="connsiteY3355" fmla="*/ 4880192 h 6858000"/>
              <a:gd name="connsiteX3356" fmla="*/ 2055302 w 12192000"/>
              <a:gd name="connsiteY3356" fmla="*/ 4850540 h 6858000"/>
              <a:gd name="connsiteX3357" fmla="*/ 2087512 w 12192000"/>
              <a:gd name="connsiteY3357" fmla="*/ 4820888 h 6858000"/>
              <a:gd name="connsiteX3358" fmla="*/ 2119722 w 12192000"/>
              <a:gd name="connsiteY3358" fmla="*/ 4850540 h 6858000"/>
              <a:gd name="connsiteX3359" fmla="*/ 2087512 w 12192000"/>
              <a:gd name="connsiteY3359" fmla="*/ 4880192 h 6858000"/>
              <a:gd name="connsiteX3360" fmla="*/ 2166045 w 12192000"/>
              <a:gd name="connsiteY3360" fmla="*/ 4880192 h 6858000"/>
              <a:gd name="connsiteX3361" fmla="*/ 2133835 w 12192000"/>
              <a:gd name="connsiteY3361" fmla="*/ 4850540 h 6858000"/>
              <a:gd name="connsiteX3362" fmla="*/ 2166045 w 12192000"/>
              <a:gd name="connsiteY3362" fmla="*/ 4820888 h 6858000"/>
              <a:gd name="connsiteX3363" fmla="*/ 2198255 w 12192000"/>
              <a:gd name="connsiteY3363" fmla="*/ 4850540 h 6858000"/>
              <a:gd name="connsiteX3364" fmla="*/ 2166045 w 12192000"/>
              <a:gd name="connsiteY3364" fmla="*/ 4880192 h 6858000"/>
              <a:gd name="connsiteX3365" fmla="*/ 2323114 w 12192000"/>
              <a:gd name="connsiteY3365" fmla="*/ 4880192 h 6858000"/>
              <a:gd name="connsiteX3366" fmla="*/ 2290903 w 12192000"/>
              <a:gd name="connsiteY3366" fmla="*/ 4850540 h 6858000"/>
              <a:gd name="connsiteX3367" fmla="*/ 2323114 w 12192000"/>
              <a:gd name="connsiteY3367" fmla="*/ 4820888 h 6858000"/>
              <a:gd name="connsiteX3368" fmla="*/ 2355324 w 12192000"/>
              <a:gd name="connsiteY3368" fmla="*/ 4850540 h 6858000"/>
              <a:gd name="connsiteX3369" fmla="*/ 2323114 w 12192000"/>
              <a:gd name="connsiteY3369" fmla="*/ 4880192 h 6858000"/>
              <a:gd name="connsiteX3370" fmla="*/ 2401647 w 12192000"/>
              <a:gd name="connsiteY3370" fmla="*/ 4880192 h 6858000"/>
              <a:gd name="connsiteX3371" fmla="*/ 2369437 w 12192000"/>
              <a:gd name="connsiteY3371" fmla="*/ 4850540 h 6858000"/>
              <a:gd name="connsiteX3372" fmla="*/ 2401647 w 12192000"/>
              <a:gd name="connsiteY3372" fmla="*/ 4820888 h 6858000"/>
              <a:gd name="connsiteX3373" fmla="*/ 2433857 w 12192000"/>
              <a:gd name="connsiteY3373" fmla="*/ 4850540 h 6858000"/>
              <a:gd name="connsiteX3374" fmla="*/ 2401647 w 12192000"/>
              <a:gd name="connsiteY3374" fmla="*/ 4880192 h 6858000"/>
              <a:gd name="connsiteX3375" fmla="*/ 2480181 w 12192000"/>
              <a:gd name="connsiteY3375" fmla="*/ 4880192 h 6858000"/>
              <a:gd name="connsiteX3376" fmla="*/ 2447971 w 12192000"/>
              <a:gd name="connsiteY3376" fmla="*/ 4850540 h 6858000"/>
              <a:gd name="connsiteX3377" fmla="*/ 2480181 w 12192000"/>
              <a:gd name="connsiteY3377" fmla="*/ 4820888 h 6858000"/>
              <a:gd name="connsiteX3378" fmla="*/ 2512391 w 12192000"/>
              <a:gd name="connsiteY3378" fmla="*/ 4850540 h 6858000"/>
              <a:gd name="connsiteX3379" fmla="*/ 2480181 w 12192000"/>
              <a:gd name="connsiteY3379" fmla="*/ 4880192 h 6858000"/>
              <a:gd name="connsiteX3380" fmla="*/ 2558715 w 12192000"/>
              <a:gd name="connsiteY3380" fmla="*/ 4880192 h 6858000"/>
              <a:gd name="connsiteX3381" fmla="*/ 2526505 w 12192000"/>
              <a:gd name="connsiteY3381" fmla="*/ 4850540 h 6858000"/>
              <a:gd name="connsiteX3382" fmla="*/ 2558715 w 12192000"/>
              <a:gd name="connsiteY3382" fmla="*/ 4820888 h 6858000"/>
              <a:gd name="connsiteX3383" fmla="*/ 2590926 w 12192000"/>
              <a:gd name="connsiteY3383" fmla="*/ 4850540 h 6858000"/>
              <a:gd name="connsiteX3384" fmla="*/ 2558715 w 12192000"/>
              <a:gd name="connsiteY3384" fmla="*/ 4880192 h 6858000"/>
              <a:gd name="connsiteX3385" fmla="*/ 2637243 w 12192000"/>
              <a:gd name="connsiteY3385" fmla="*/ 4880192 h 6858000"/>
              <a:gd name="connsiteX3386" fmla="*/ 2605032 w 12192000"/>
              <a:gd name="connsiteY3386" fmla="*/ 4850540 h 6858000"/>
              <a:gd name="connsiteX3387" fmla="*/ 2637243 w 12192000"/>
              <a:gd name="connsiteY3387" fmla="*/ 4820888 h 6858000"/>
              <a:gd name="connsiteX3388" fmla="*/ 2669453 w 12192000"/>
              <a:gd name="connsiteY3388" fmla="*/ 4850540 h 6858000"/>
              <a:gd name="connsiteX3389" fmla="*/ 2637243 w 12192000"/>
              <a:gd name="connsiteY3389" fmla="*/ 4880192 h 6858000"/>
              <a:gd name="connsiteX3390" fmla="*/ 2715777 w 12192000"/>
              <a:gd name="connsiteY3390" fmla="*/ 4880192 h 6858000"/>
              <a:gd name="connsiteX3391" fmla="*/ 2683566 w 12192000"/>
              <a:gd name="connsiteY3391" fmla="*/ 4850540 h 6858000"/>
              <a:gd name="connsiteX3392" fmla="*/ 2715777 w 12192000"/>
              <a:gd name="connsiteY3392" fmla="*/ 4820888 h 6858000"/>
              <a:gd name="connsiteX3393" fmla="*/ 2747987 w 12192000"/>
              <a:gd name="connsiteY3393" fmla="*/ 4850540 h 6858000"/>
              <a:gd name="connsiteX3394" fmla="*/ 2715777 w 12192000"/>
              <a:gd name="connsiteY3394" fmla="*/ 4880192 h 6858000"/>
              <a:gd name="connsiteX3395" fmla="*/ 2794310 w 12192000"/>
              <a:gd name="connsiteY3395" fmla="*/ 4880192 h 6858000"/>
              <a:gd name="connsiteX3396" fmla="*/ 2762100 w 12192000"/>
              <a:gd name="connsiteY3396" fmla="*/ 4850540 h 6858000"/>
              <a:gd name="connsiteX3397" fmla="*/ 2794310 w 12192000"/>
              <a:gd name="connsiteY3397" fmla="*/ 4820888 h 6858000"/>
              <a:gd name="connsiteX3398" fmla="*/ 2826520 w 12192000"/>
              <a:gd name="connsiteY3398" fmla="*/ 4850540 h 6858000"/>
              <a:gd name="connsiteX3399" fmla="*/ 2794310 w 12192000"/>
              <a:gd name="connsiteY3399" fmla="*/ 4880192 h 6858000"/>
              <a:gd name="connsiteX3400" fmla="*/ 2872844 w 12192000"/>
              <a:gd name="connsiteY3400" fmla="*/ 4880192 h 6858000"/>
              <a:gd name="connsiteX3401" fmla="*/ 2840634 w 12192000"/>
              <a:gd name="connsiteY3401" fmla="*/ 4850540 h 6858000"/>
              <a:gd name="connsiteX3402" fmla="*/ 2872844 w 12192000"/>
              <a:gd name="connsiteY3402" fmla="*/ 4820888 h 6858000"/>
              <a:gd name="connsiteX3403" fmla="*/ 2905055 w 12192000"/>
              <a:gd name="connsiteY3403" fmla="*/ 4850540 h 6858000"/>
              <a:gd name="connsiteX3404" fmla="*/ 2872844 w 12192000"/>
              <a:gd name="connsiteY3404" fmla="*/ 4880192 h 6858000"/>
              <a:gd name="connsiteX3405" fmla="*/ 2951379 w 12192000"/>
              <a:gd name="connsiteY3405" fmla="*/ 4880192 h 6858000"/>
              <a:gd name="connsiteX3406" fmla="*/ 2919168 w 12192000"/>
              <a:gd name="connsiteY3406" fmla="*/ 4850540 h 6858000"/>
              <a:gd name="connsiteX3407" fmla="*/ 2951379 w 12192000"/>
              <a:gd name="connsiteY3407" fmla="*/ 4820888 h 6858000"/>
              <a:gd name="connsiteX3408" fmla="*/ 2983589 w 12192000"/>
              <a:gd name="connsiteY3408" fmla="*/ 4850540 h 6858000"/>
              <a:gd name="connsiteX3409" fmla="*/ 2951379 w 12192000"/>
              <a:gd name="connsiteY3409" fmla="*/ 4880192 h 6858000"/>
              <a:gd name="connsiteX3410" fmla="*/ 3108446 w 12192000"/>
              <a:gd name="connsiteY3410" fmla="*/ 4880192 h 6858000"/>
              <a:gd name="connsiteX3411" fmla="*/ 3076236 w 12192000"/>
              <a:gd name="connsiteY3411" fmla="*/ 4850540 h 6858000"/>
              <a:gd name="connsiteX3412" fmla="*/ 3108446 w 12192000"/>
              <a:gd name="connsiteY3412" fmla="*/ 4820888 h 6858000"/>
              <a:gd name="connsiteX3413" fmla="*/ 3140656 w 12192000"/>
              <a:gd name="connsiteY3413" fmla="*/ 4850540 h 6858000"/>
              <a:gd name="connsiteX3414" fmla="*/ 3108446 w 12192000"/>
              <a:gd name="connsiteY3414" fmla="*/ 4880192 h 6858000"/>
              <a:gd name="connsiteX3415" fmla="*/ 3186979 w 12192000"/>
              <a:gd name="connsiteY3415" fmla="*/ 4880192 h 6858000"/>
              <a:gd name="connsiteX3416" fmla="*/ 3154769 w 12192000"/>
              <a:gd name="connsiteY3416" fmla="*/ 4850540 h 6858000"/>
              <a:gd name="connsiteX3417" fmla="*/ 3186979 w 12192000"/>
              <a:gd name="connsiteY3417" fmla="*/ 4820888 h 6858000"/>
              <a:gd name="connsiteX3418" fmla="*/ 3219190 w 12192000"/>
              <a:gd name="connsiteY3418" fmla="*/ 4850540 h 6858000"/>
              <a:gd name="connsiteX3419" fmla="*/ 3186979 w 12192000"/>
              <a:gd name="connsiteY3419" fmla="*/ 4880192 h 6858000"/>
              <a:gd name="connsiteX3420" fmla="*/ 3344048 w 12192000"/>
              <a:gd name="connsiteY3420" fmla="*/ 4880192 h 6858000"/>
              <a:gd name="connsiteX3421" fmla="*/ 3311837 w 12192000"/>
              <a:gd name="connsiteY3421" fmla="*/ 4850540 h 6858000"/>
              <a:gd name="connsiteX3422" fmla="*/ 3344048 w 12192000"/>
              <a:gd name="connsiteY3422" fmla="*/ 4820888 h 6858000"/>
              <a:gd name="connsiteX3423" fmla="*/ 3376258 w 12192000"/>
              <a:gd name="connsiteY3423" fmla="*/ 4850540 h 6858000"/>
              <a:gd name="connsiteX3424" fmla="*/ 3344048 w 12192000"/>
              <a:gd name="connsiteY3424" fmla="*/ 4880192 h 6858000"/>
              <a:gd name="connsiteX3425" fmla="*/ 3422581 w 12192000"/>
              <a:gd name="connsiteY3425" fmla="*/ 4880192 h 6858000"/>
              <a:gd name="connsiteX3426" fmla="*/ 3390371 w 12192000"/>
              <a:gd name="connsiteY3426" fmla="*/ 4850540 h 6858000"/>
              <a:gd name="connsiteX3427" fmla="*/ 3422581 w 12192000"/>
              <a:gd name="connsiteY3427" fmla="*/ 4820888 h 6858000"/>
              <a:gd name="connsiteX3428" fmla="*/ 3454791 w 12192000"/>
              <a:gd name="connsiteY3428" fmla="*/ 4850540 h 6858000"/>
              <a:gd name="connsiteX3429" fmla="*/ 3422581 w 12192000"/>
              <a:gd name="connsiteY3429" fmla="*/ 4880192 h 6858000"/>
              <a:gd name="connsiteX3430" fmla="*/ 3501115 w 12192000"/>
              <a:gd name="connsiteY3430" fmla="*/ 4880192 h 6858000"/>
              <a:gd name="connsiteX3431" fmla="*/ 3468905 w 12192000"/>
              <a:gd name="connsiteY3431" fmla="*/ 4850540 h 6858000"/>
              <a:gd name="connsiteX3432" fmla="*/ 3501115 w 12192000"/>
              <a:gd name="connsiteY3432" fmla="*/ 4820888 h 6858000"/>
              <a:gd name="connsiteX3433" fmla="*/ 3533326 w 12192000"/>
              <a:gd name="connsiteY3433" fmla="*/ 4850540 h 6858000"/>
              <a:gd name="connsiteX3434" fmla="*/ 3501115 w 12192000"/>
              <a:gd name="connsiteY3434" fmla="*/ 4880192 h 6858000"/>
              <a:gd name="connsiteX3435" fmla="*/ 3658183 w 12192000"/>
              <a:gd name="connsiteY3435" fmla="*/ 4880192 h 6858000"/>
              <a:gd name="connsiteX3436" fmla="*/ 3625972 w 12192000"/>
              <a:gd name="connsiteY3436" fmla="*/ 4850540 h 6858000"/>
              <a:gd name="connsiteX3437" fmla="*/ 3658183 w 12192000"/>
              <a:gd name="connsiteY3437" fmla="*/ 4820888 h 6858000"/>
              <a:gd name="connsiteX3438" fmla="*/ 3690393 w 12192000"/>
              <a:gd name="connsiteY3438" fmla="*/ 4850540 h 6858000"/>
              <a:gd name="connsiteX3439" fmla="*/ 3658183 w 12192000"/>
              <a:gd name="connsiteY3439" fmla="*/ 4880192 h 6858000"/>
              <a:gd name="connsiteX3440" fmla="*/ 3736717 w 12192000"/>
              <a:gd name="connsiteY3440" fmla="*/ 4880192 h 6858000"/>
              <a:gd name="connsiteX3441" fmla="*/ 3704507 w 12192000"/>
              <a:gd name="connsiteY3441" fmla="*/ 4850540 h 6858000"/>
              <a:gd name="connsiteX3442" fmla="*/ 3736717 w 12192000"/>
              <a:gd name="connsiteY3442" fmla="*/ 4820888 h 6858000"/>
              <a:gd name="connsiteX3443" fmla="*/ 3768927 w 12192000"/>
              <a:gd name="connsiteY3443" fmla="*/ 4850540 h 6858000"/>
              <a:gd name="connsiteX3444" fmla="*/ 3736717 w 12192000"/>
              <a:gd name="connsiteY3444" fmla="*/ 4880192 h 6858000"/>
              <a:gd name="connsiteX3445" fmla="*/ 4207926 w 12192000"/>
              <a:gd name="connsiteY3445" fmla="*/ 4880192 h 6858000"/>
              <a:gd name="connsiteX3446" fmla="*/ 4175715 w 12192000"/>
              <a:gd name="connsiteY3446" fmla="*/ 4850540 h 6858000"/>
              <a:gd name="connsiteX3447" fmla="*/ 4207926 w 12192000"/>
              <a:gd name="connsiteY3447" fmla="*/ 4820888 h 6858000"/>
              <a:gd name="connsiteX3448" fmla="*/ 4240136 w 12192000"/>
              <a:gd name="connsiteY3448" fmla="*/ 4850540 h 6858000"/>
              <a:gd name="connsiteX3449" fmla="*/ 4207926 w 12192000"/>
              <a:gd name="connsiteY3449" fmla="*/ 4880192 h 6858000"/>
              <a:gd name="connsiteX3450" fmla="*/ 4286460 w 12192000"/>
              <a:gd name="connsiteY3450" fmla="*/ 4880192 h 6858000"/>
              <a:gd name="connsiteX3451" fmla="*/ 4254250 w 12192000"/>
              <a:gd name="connsiteY3451" fmla="*/ 4850540 h 6858000"/>
              <a:gd name="connsiteX3452" fmla="*/ 4286460 w 12192000"/>
              <a:gd name="connsiteY3452" fmla="*/ 4820888 h 6858000"/>
              <a:gd name="connsiteX3453" fmla="*/ 4318670 w 12192000"/>
              <a:gd name="connsiteY3453" fmla="*/ 4850540 h 6858000"/>
              <a:gd name="connsiteX3454" fmla="*/ 4286460 w 12192000"/>
              <a:gd name="connsiteY3454" fmla="*/ 4880192 h 6858000"/>
              <a:gd name="connsiteX3455" fmla="*/ 4364994 w 12192000"/>
              <a:gd name="connsiteY3455" fmla="*/ 4880192 h 6858000"/>
              <a:gd name="connsiteX3456" fmla="*/ 4332784 w 12192000"/>
              <a:gd name="connsiteY3456" fmla="*/ 4850540 h 6858000"/>
              <a:gd name="connsiteX3457" fmla="*/ 4364994 w 12192000"/>
              <a:gd name="connsiteY3457" fmla="*/ 4820888 h 6858000"/>
              <a:gd name="connsiteX3458" fmla="*/ 4397204 w 12192000"/>
              <a:gd name="connsiteY3458" fmla="*/ 4850540 h 6858000"/>
              <a:gd name="connsiteX3459" fmla="*/ 4364994 w 12192000"/>
              <a:gd name="connsiteY3459" fmla="*/ 4880192 h 6858000"/>
              <a:gd name="connsiteX3460" fmla="*/ 4757663 w 12192000"/>
              <a:gd name="connsiteY3460" fmla="*/ 4880192 h 6858000"/>
              <a:gd name="connsiteX3461" fmla="*/ 4725453 w 12192000"/>
              <a:gd name="connsiteY3461" fmla="*/ 4850540 h 6858000"/>
              <a:gd name="connsiteX3462" fmla="*/ 4757663 w 12192000"/>
              <a:gd name="connsiteY3462" fmla="*/ 4820888 h 6858000"/>
              <a:gd name="connsiteX3463" fmla="*/ 4789874 w 12192000"/>
              <a:gd name="connsiteY3463" fmla="*/ 4850540 h 6858000"/>
              <a:gd name="connsiteX3464" fmla="*/ 4757663 w 12192000"/>
              <a:gd name="connsiteY3464" fmla="*/ 4880192 h 6858000"/>
              <a:gd name="connsiteX3465" fmla="*/ 4836197 w 12192000"/>
              <a:gd name="connsiteY3465" fmla="*/ 4880192 h 6858000"/>
              <a:gd name="connsiteX3466" fmla="*/ 4803986 w 12192000"/>
              <a:gd name="connsiteY3466" fmla="*/ 4850540 h 6858000"/>
              <a:gd name="connsiteX3467" fmla="*/ 4836197 w 12192000"/>
              <a:gd name="connsiteY3467" fmla="*/ 4820888 h 6858000"/>
              <a:gd name="connsiteX3468" fmla="*/ 4868407 w 12192000"/>
              <a:gd name="connsiteY3468" fmla="*/ 4850540 h 6858000"/>
              <a:gd name="connsiteX3469" fmla="*/ 4836197 w 12192000"/>
              <a:gd name="connsiteY3469" fmla="*/ 4880192 h 6858000"/>
              <a:gd name="connsiteX3470" fmla="*/ 4914731 w 12192000"/>
              <a:gd name="connsiteY3470" fmla="*/ 4880192 h 6858000"/>
              <a:gd name="connsiteX3471" fmla="*/ 4882521 w 12192000"/>
              <a:gd name="connsiteY3471" fmla="*/ 4850540 h 6858000"/>
              <a:gd name="connsiteX3472" fmla="*/ 4914731 w 12192000"/>
              <a:gd name="connsiteY3472" fmla="*/ 4820888 h 6858000"/>
              <a:gd name="connsiteX3473" fmla="*/ 4946941 w 12192000"/>
              <a:gd name="connsiteY3473" fmla="*/ 4850540 h 6858000"/>
              <a:gd name="connsiteX3474" fmla="*/ 4914731 w 12192000"/>
              <a:gd name="connsiteY3474" fmla="*/ 4880192 h 6858000"/>
              <a:gd name="connsiteX3475" fmla="*/ 4993265 w 12192000"/>
              <a:gd name="connsiteY3475" fmla="*/ 4880192 h 6858000"/>
              <a:gd name="connsiteX3476" fmla="*/ 4961055 w 12192000"/>
              <a:gd name="connsiteY3476" fmla="*/ 4850540 h 6858000"/>
              <a:gd name="connsiteX3477" fmla="*/ 4993265 w 12192000"/>
              <a:gd name="connsiteY3477" fmla="*/ 4820888 h 6858000"/>
              <a:gd name="connsiteX3478" fmla="*/ 5025475 w 12192000"/>
              <a:gd name="connsiteY3478" fmla="*/ 4850540 h 6858000"/>
              <a:gd name="connsiteX3479" fmla="*/ 4993265 w 12192000"/>
              <a:gd name="connsiteY3479" fmla="*/ 4880192 h 6858000"/>
              <a:gd name="connsiteX3480" fmla="*/ 5071798 w 12192000"/>
              <a:gd name="connsiteY3480" fmla="*/ 4880192 h 6858000"/>
              <a:gd name="connsiteX3481" fmla="*/ 5039588 w 12192000"/>
              <a:gd name="connsiteY3481" fmla="*/ 4850540 h 6858000"/>
              <a:gd name="connsiteX3482" fmla="*/ 5071798 w 12192000"/>
              <a:gd name="connsiteY3482" fmla="*/ 4820888 h 6858000"/>
              <a:gd name="connsiteX3483" fmla="*/ 5104009 w 12192000"/>
              <a:gd name="connsiteY3483" fmla="*/ 4850540 h 6858000"/>
              <a:gd name="connsiteX3484" fmla="*/ 5071798 w 12192000"/>
              <a:gd name="connsiteY3484" fmla="*/ 4880192 h 6858000"/>
              <a:gd name="connsiteX3485" fmla="*/ 5150333 w 12192000"/>
              <a:gd name="connsiteY3485" fmla="*/ 4880192 h 6858000"/>
              <a:gd name="connsiteX3486" fmla="*/ 5118122 w 12192000"/>
              <a:gd name="connsiteY3486" fmla="*/ 4850540 h 6858000"/>
              <a:gd name="connsiteX3487" fmla="*/ 5150333 w 12192000"/>
              <a:gd name="connsiteY3487" fmla="*/ 4820888 h 6858000"/>
              <a:gd name="connsiteX3488" fmla="*/ 5182543 w 12192000"/>
              <a:gd name="connsiteY3488" fmla="*/ 4850540 h 6858000"/>
              <a:gd name="connsiteX3489" fmla="*/ 5150333 w 12192000"/>
              <a:gd name="connsiteY3489" fmla="*/ 4880192 h 6858000"/>
              <a:gd name="connsiteX3490" fmla="*/ 6406875 w 12192000"/>
              <a:gd name="connsiteY3490" fmla="*/ 4880192 h 6858000"/>
              <a:gd name="connsiteX3491" fmla="*/ 6374658 w 12192000"/>
              <a:gd name="connsiteY3491" fmla="*/ 4850540 h 6858000"/>
              <a:gd name="connsiteX3492" fmla="*/ 6406875 w 12192000"/>
              <a:gd name="connsiteY3492" fmla="*/ 4820888 h 6858000"/>
              <a:gd name="connsiteX3493" fmla="*/ 6439079 w 12192000"/>
              <a:gd name="connsiteY3493" fmla="*/ 4850540 h 6858000"/>
              <a:gd name="connsiteX3494" fmla="*/ 6406875 w 12192000"/>
              <a:gd name="connsiteY3494" fmla="*/ 4880192 h 6858000"/>
              <a:gd name="connsiteX3495" fmla="*/ 6485408 w 12192000"/>
              <a:gd name="connsiteY3495" fmla="*/ 4880192 h 6858000"/>
              <a:gd name="connsiteX3496" fmla="*/ 6453191 w 12192000"/>
              <a:gd name="connsiteY3496" fmla="*/ 4850540 h 6858000"/>
              <a:gd name="connsiteX3497" fmla="*/ 6485408 w 12192000"/>
              <a:gd name="connsiteY3497" fmla="*/ 4820888 h 6858000"/>
              <a:gd name="connsiteX3498" fmla="*/ 6517612 w 12192000"/>
              <a:gd name="connsiteY3498" fmla="*/ 4850540 h 6858000"/>
              <a:gd name="connsiteX3499" fmla="*/ 6485408 w 12192000"/>
              <a:gd name="connsiteY3499" fmla="*/ 4880192 h 6858000"/>
              <a:gd name="connsiteX3500" fmla="*/ 6563942 w 12192000"/>
              <a:gd name="connsiteY3500" fmla="*/ 4880192 h 6858000"/>
              <a:gd name="connsiteX3501" fmla="*/ 6531726 w 12192000"/>
              <a:gd name="connsiteY3501" fmla="*/ 4850540 h 6858000"/>
              <a:gd name="connsiteX3502" fmla="*/ 6563942 w 12192000"/>
              <a:gd name="connsiteY3502" fmla="*/ 4820888 h 6858000"/>
              <a:gd name="connsiteX3503" fmla="*/ 6596146 w 12192000"/>
              <a:gd name="connsiteY3503" fmla="*/ 4850540 h 6858000"/>
              <a:gd name="connsiteX3504" fmla="*/ 6563942 w 12192000"/>
              <a:gd name="connsiteY3504" fmla="*/ 4880192 h 6858000"/>
              <a:gd name="connsiteX3505" fmla="*/ 6642476 w 12192000"/>
              <a:gd name="connsiteY3505" fmla="*/ 4880192 h 6858000"/>
              <a:gd name="connsiteX3506" fmla="*/ 6610260 w 12192000"/>
              <a:gd name="connsiteY3506" fmla="*/ 4850540 h 6858000"/>
              <a:gd name="connsiteX3507" fmla="*/ 6642476 w 12192000"/>
              <a:gd name="connsiteY3507" fmla="*/ 4820888 h 6858000"/>
              <a:gd name="connsiteX3508" fmla="*/ 6674681 w 12192000"/>
              <a:gd name="connsiteY3508" fmla="*/ 4850540 h 6858000"/>
              <a:gd name="connsiteX3509" fmla="*/ 6642476 w 12192000"/>
              <a:gd name="connsiteY3509" fmla="*/ 4880192 h 6858000"/>
              <a:gd name="connsiteX3510" fmla="*/ 6721010 w 12192000"/>
              <a:gd name="connsiteY3510" fmla="*/ 4880192 h 6858000"/>
              <a:gd name="connsiteX3511" fmla="*/ 6688793 w 12192000"/>
              <a:gd name="connsiteY3511" fmla="*/ 4850540 h 6858000"/>
              <a:gd name="connsiteX3512" fmla="*/ 6721010 w 12192000"/>
              <a:gd name="connsiteY3512" fmla="*/ 4820888 h 6858000"/>
              <a:gd name="connsiteX3513" fmla="*/ 6753214 w 12192000"/>
              <a:gd name="connsiteY3513" fmla="*/ 4850540 h 6858000"/>
              <a:gd name="connsiteX3514" fmla="*/ 6721010 w 12192000"/>
              <a:gd name="connsiteY3514" fmla="*/ 4880192 h 6858000"/>
              <a:gd name="connsiteX3515" fmla="*/ 6956611 w 12192000"/>
              <a:gd name="connsiteY3515" fmla="*/ 4880192 h 6858000"/>
              <a:gd name="connsiteX3516" fmla="*/ 6924395 w 12192000"/>
              <a:gd name="connsiteY3516" fmla="*/ 4850540 h 6858000"/>
              <a:gd name="connsiteX3517" fmla="*/ 6956611 w 12192000"/>
              <a:gd name="connsiteY3517" fmla="*/ 4820888 h 6858000"/>
              <a:gd name="connsiteX3518" fmla="*/ 6988816 w 12192000"/>
              <a:gd name="connsiteY3518" fmla="*/ 4850540 h 6858000"/>
              <a:gd name="connsiteX3519" fmla="*/ 6956611 w 12192000"/>
              <a:gd name="connsiteY3519" fmla="*/ 4880192 h 6858000"/>
              <a:gd name="connsiteX3520" fmla="*/ 7113703 w 12192000"/>
              <a:gd name="connsiteY3520" fmla="*/ 4880192 h 6858000"/>
              <a:gd name="connsiteX3521" fmla="*/ 7081487 w 12192000"/>
              <a:gd name="connsiteY3521" fmla="*/ 4850540 h 6858000"/>
              <a:gd name="connsiteX3522" fmla="*/ 7113703 w 12192000"/>
              <a:gd name="connsiteY3522" fmla="*/ 4820888 h 6858000"/>
              <a:gd name="connsiteX3523" fmla="*/ 7145907 w 12192000"/>
              <a:gd name="connsiteY3523" fmla="*/ 4850540 h 6858000"/>
              <a:gd name="connsiteX3524" fmla="*/ 7113703 w 12192000"/>
              <a:gd name="connsiteY3524" fmla="*/ 4880192 h 6858000"/>
              <a:gd name="connsiteX3525" fmla="*/ 7192237 w 12192000"/>
              <a:gd name="connsiteY3525" fmla="*/ 4880192 h 6858000"/>
              <a:gd name="connsiteX3526" fmla="*/ 7160021 w 12192000"/>
              <a:gd name="connsiteY3526" fmla="*/ 4850540 h 6858000"/>
              <a:gd name="connsiteX3527" fmla="*/ 7192237 w 12192000"/>
              <a:gd name="connsiteY3527" fmla="*/ 4820888 h 6858000"/>
              <a:gd name="connsiteX3528" fmla="*/ 7224441 w 12192000"/>
              <a:gd name="connsiteY3528" fmla="*/ 4850540 h 6858000"/>
              <a:gd name="connsiteX3529" fmla="*/ 7192237 w 12192000"/>
              <a:gd name="connsiteY3529" fmla="*/ 4880192 h 6858000"/>
              <a:gd name="connsiteX3530" fmla="*/ 7270771 w 12192000"/>
              <a:gd name="connsiteY3530" fmla="*/ 4880192 h 6858000"/>
              <a:gd name="connsiteX3531" fmla="*/ 7238555 w 12192000"/>
              <a:gd name="connsiteY3531" fmla="*/ 4850540 h 6858000"/>
              <a:gd name="connsiteX3532" fmla="*/ 7270771 w 12192000"/>
              <a:gd name="connsiteY3532" fmla="*/ 4820888 h 6858000"/>
              <a:gd name="connsiteX3533" fmla="*/ 7302976 w 12192000"/>
              <a:gd name="connsiteY3533" fmla="*/ 4850540 h 6858000"/>
              <a:gd name="connsiteX3534" fmla="*/ 7270771 w 12192000"/>
              <a:gd name="connsiteY3534" fmla="*/ 4880192 h 6858000"/>
              <a:gd name="connsiteX3535" fmla="*/ 7349305 w 12192000"/>
              <a:gd name="connsiteY3535" fmla="*/ 4880192 h 6858000"/>
              <a:gd name="connsiteX3536" fmla="*/ 7317088 w 12192000"/>
              <a:gd name="connsiteY3536" fmla="*/ 4850540 h 6858000"/>
              <a:gd name="connsiteX3537" fmla="*/ 7349305 w 12192000"/>
              <a:gd name="connsiteY3537" fmla="*/ 4820888 h 6858000"/>
              <a:gd name="connsiteX3538" fmla="*/ 7381509 w 12192000"/>
              <a:gd name="connsiteY3538" fmla="*/ 4850540 h 6858000"/>
              <a:gd name="connsiteX3539" fmla="*/ 7349305 w 12192000"/>
              <a:gd name="connsiteY3539" fmla="*/ 4880192 h 6858000"/>
              <a:gd name="connsiteX3540" fmla="*/ 7427839 w 12192000"/>
              <a:gd name="connsiteY3540" fmla="*/ 4880192 h 6858000"/>
              <a:gd name="connsiteX3541" fmla="*/ 7395623 w 12192000"/>
              <a:gd name="connsiteY3541" fmla="*/ 4850540 h 6858000"/>
              <a:gd name="connsiteX3542" fmla="*/ 7427839 w 12192000"/>
              <a:gd name="connsiteY3542" fmla="*/ 4820888 h 6858000"/>
              <a:gd name="connsiteX3543" fmla="*/ 7460043 w 12192000"/>
              <a:gd name="connsiteY3543" fmla="*/ 4850540 h 6858000"/>
              <a:gd name="connsiteX3544" fmla="*/ 7427839 w 12192000"/>
              <a:gd name="connsiteY3544" fmla="*/ 4880192 h 6858000"/>
              <a:gd name="connsiteX3545" fmla="*/ 7506373 w 12192000"/>
              <a:gd name="connsiteY3545" fmla="*/ 4880192 h 6858000"/>
              <a:gd name="connsiteX3546" fmla="*/ 7474157 w 12192000"/>
              <a:gd name="connsiteY3546" fmla="*/ 4850540 h 6858000"/>
              <a:gd name="connsiteX3547" fmla="*/ 7506373 w 12192000"/>
              <a:gd name="connsiteY3547" fmla="*/ 4820888 h 6858000"/>
              <a:gd name="connsiteX3548" fmla="*/ 7538577 w 12192000"/>
              <a:gd name="connsiteY3548" fmla="*/ 4850540 h 6858000"/>
              <a:gd name="connsiteX3549" fmla="*/ 7506373 w 12192000"/>
              <a:gd name="connsiteY3549" fmla="*/ 4880192 h 6858000"/>
              <a:gd name="connsiteX3550" fmla="*/ 7663441 w 12192000"/>
              <a:gd name="connsiteY3550" fmla="*/ 4880192 h 6858000"/>
              <a:gd name="connsiteX3551" fmla="*/ 7631224 w 12192000"/>
              <a:gd name="connsiteY3551" fmla="*/ 4850540 h 6858000"/>
              <a:gd name="connsiteX3552" fmla="*/ 7663441 w 12192000"/>
              <a:gd name="connsiteY3552" fmla="*/ 4820888 h 6858000"/>
              <a:gd name="connsiteX3553" fmla="*/ 7695645 w 12192000"/>
              <a:gd name="connsiteY3553" fmla="*/ 4850540 h 6858000"/>
              <a:gd name="connsiteX3554" fmla="*/ 7663441 w 12192000"/>
              <a:gd name="connsiteY3554" fmla="*/ 4880192 h 6858000"/>
              <a:gd name="connsiteX3555" fmla="*/ 7741974 w 12192000"/>
              <a:gd name="connsiteY3555" fmla="*/ 4880192 h 6858000"/>
              <a:gd name="connsiteX3556" fmla="*/ 7709758 w 12192000"/>
              <a:gd name="connsiteY3556" fmla="*/ 4850540 h 6858000"/>
              <a:gd name="connsiteX3557" fmla="*/ 7741974 w 12192000"/>
              <a:gd name="connsiteY3557" fmla="*/ 4820888 h 6858000"/>
              <a:gd name="connsiteX3558" fmla="*/ 7774178 w 12192000"/>
              <a:gd name="connsiteY3558" fmla="*/ 4850540 h 6858000"/>
              <a:gd name="connsiteX3559" fmla="*/ 7741974 w 12192000"/>
              <a:gd name="connsiteY3559" fmla="*/ 4880192 h 6858000"/>
              <a:gd name="connsiteX3560" fmla="*/ 7820508 w 12192000"/>
              <a:gd name="connsiteY3560" fmla="*/ 4880192 h 6858000"/>
              <a:gd name="connsiteX3561" fmla="*/ 7788292 w 12192000"/>
              <a:gd name="connsiteY3561" fmla="*/ 4850540 h 6858000"/>
              <a:gd name="connsiteX3562" fmla="*/ 7820508 w 12192000"/>
              <a:gd name="connsiteY3562" fmla="*/ 4820888 h 6858000"/>
              <a:gd name="connsiteX3563" fmla="*/ 7852712 w 12192000"/>
              <a:gd name="connsiteY3563" fmla="*/ 4850540 h 6858000"/>
              <a:gd name="connsiteX3564" fmla="*/ 7820508 w 12192000"/>
              <a:gd name="connsiteY3564" fmla="*/ 4880192 h 6858000"/>
              <a:gd name="connsiteX3565" fmla="*/ 7899042 w 12192000"/>
              <a:gd name="connsiteY3565" fmla="*/ 4880192 h 6858000"/>
              <a:gd name="connsiteX3566" fmla="*/ 7866826 w 12192000"/>
              <a:gd name="connsiteY3566" fmla="*/ 4850540 h 6858000"/>
              <a:gd name="connsiteX3567" fmla="*/ 7899042 w 12192000"/>
              <a:gd name="connsiteY3567" fmla="*/ 4820888 h 6858000"/>
              <a:gd name="connsiteX3568" fmla="*/ 7931247 w 12192000"/>
              <a:gd name="connsiteY3568" fmla="*/ 4850540 h 6858000"/>
              <a:gd name="connsiteX3569" fmla="*/ 7899042 w 12192000"/>
              <a:gd name="connsiteY3569" fmla="*/ 4880192 h 6858000"/>
              <a:gd name="connsiteX3570" fmla="*/ 7977576 w 12192000"/>
              <a:gd name="connsiteY3570" fmla="*/ 4880192 h 6858000"/>
              <a:gd name="connsiteX3571" fmla="*/ 7945359 w 12192000"/>
              <a:gd name="connsiteY3571" fmla="*/ 4850540 h 6858000"/>
              <a:gd name="connsiteX3572" fmla="*/ 7977576 w 12192000"/>
              <a:gd name="connsiteY3572" fmla="*/ 4820888 h 6858000"/>
              <a:gd name="connsiteX3573" fmla="*/ 8009780 w 12192000"/>
              <a:gd name="connsiteY3573" fmla="*/ 4850540 h 6858000"/>
              <a:gd name="connsiteX3574" fmla="*/ 7977576 w 12192000"/>
              <a:gd name="connsiteY3574" fmla="*/ 4880192 h 6858000"/>
              <a:gd name="connsiteX3575" fmla="*/ 8056110 w 12192000"/>
              <a:gd name="connsiteY3575" fmla="*/ 4880192 h 6858000"/>
              <a:gd name="connsiteX3576" fmla="*/ 8023894 w 12192000"/>
              <a:gd name="connsiteY3576" fmla="*/ 4850540 h 6858000"/>
              <a:gd name="connsiteX3577" fmla="*/ 8056110 w 12192000"/>
              <a:gd name="connsiteY3577" fmla="*/ 4820888 h 6858000"/>
              <a:gd name="connsiteX3578" fmla="*/ 8088314 w 12192000"/>
              <a:gd name="connsiteY3578" fmla="*/ 4850540 h 6858000"/>
              <a:gd name="connsiteX3579" fmla="*/ 8056110 w 12192000"/>
              <a:gd name="connsiteY3579" fmla="*/ 4880192 h 6858000"/>
              <a:gd name="connsiteX3580" fmla="*/ 8134643 w 12192000"/>
              <a:gd name="connsiteY3580" fmla="*/ 4880192 h 6858000"/>
              <a:gd name="connsiteX3581" fmla="*/ 8102427 w 12192000"/>
              <a:gd name="connsiteY3581" fmla="*/ 4850540 h 6858000"/>
              <a:gd name="connsiteX3582" fmla="*/ 8134643 w 12192000"/>
              <a:gd name="connsiteY3582" fmla="*/ 4820888 h 6858000"/>
              <a:gd name="connsiteX3583" fmla="*/ 8166847 w 12192000"/>
              <a:gd name="connsiteY3583" fmla="*/ 4850540 h 6858000"/>
              <a:gd name="connsiteX3584" fmla="*/ 8134643 w 12192000"/>
              <a:gd name="connsiteY3584" fmla="*/ 4880192 h 6858000"/>
              <a:gd name="connsiteX3585" fmla="*/ 8213177 w 12192000"/>
              <a:gd name="connsiteY3585" fmla="*/ 4880192 h 6858000"/>
              <a:gd name="connsiteX3586" fmla="*/ 8180961 w 12192000"/>
              <a:gd name="connsiteY3586" fmla="*/ 4850540 h 6858000"/>
              <a:gd name="connsiteX3587" fmla="*/ 8213177 w 12192000"/>
              <a:gd name="connsiteY3587" fmla="*/ 4820888 h 6858000"/>
              <a:gd name="connsiteX3588" fmla="*/ 8245382 w 12192000"/>
              <a:gd name="connsiteY3588" fmla="*/ 4850540 h 6858000"/>
              <a:gd name="connsiteX3589" fmla="*/ 8213177 w 12192000"/>
              <a:gd name="connsiteY3589" fmla="*/ 4880192 h 6858000"/>
              <a:gd name="connsiteX3590" fmla="*/ 8291712 w 12192000"/>
              <a:gd name="connsiteY3590" fmla="*/ 4880192 h 6858000"/>
              <a:gd name="connsiteX3591" fmla="*/ 8259495 w 12192000"/>
              <a:gd name="connsiteY3591" fmla="*/ 4850540 h 6858000"/>
              <a:gd name="connsiteX3592" fmla="*/ 8291712 w 12192000"/>
              <a:gd name="connsiteY3592" fmla="*/ 4820888 h 6858000"/>
              <a:gd name="connsiteX3593" fmla="*/ 8323916 w 12192000"/>
              <a:gd name="connsiteY3593" fmla="*/ 4850540 h 6858000"/>
              <a:gd name="connsiteX3594" fmla="*/ 8291712 w 12192000"/>
              <a:gd name="connsiteY3594" fmla="*/ 4880192 h 6858000"/>
              <a:gd name="connsiteX3595" fmla="*/ 8370245 w 12192000"/>
              <a:gd name="connsiteY3595" fmla="*/ 4880192 h 6858000"/>
              <a:gd name="connsiteX3596" fmla="*/ 8338029 w 12192000"/>
              <a:gd name="connsiteY3596" fmla="*/ 4850540 h 6858000"/>
              <a:gd name="connsiteX3597" fmla="*/ 8370245 w 12192000"/>
              <a:gd name="connsiteY3597" fmla="*/ 4820888 h 6858000"/>
              <a:gd name="connsiteX3598" fmla="*/ 8402449 w 12192000"/>
              <a:gd name="connsiteY3598" fmla="*/ 4850540 h 6858000"/>
              <a:gd name="connsiteX3599" fmla="*/ 8370245 w 12192000"/>
              <a:gd name="connsiteY3599" fmla="*/ 4880192 h 6858000"/>
              <a:gd name="connsiteX3600" fmla="*/ 8448779 w 12192000"/>
              <a:gd name="connsiteY3600" fmla="*/ 4880192 h 6858000"/>
              <a:gd name="connsiteX3601" fmla="*/ 8416563 w 12192000"/>
              <a:gd name="connsiteY3601" fmla="*/ 4850540 h 6858000"/>
              <a:gd name="connsiteX3602" fmla="*/ 8448779 w 12192000"/>
              <a:gd name="connsiteY3602" fmla="*/ 4820888 h 6858000"/>
              <a:gd name="connsiteX3603" fmla="*/ 8480983 w 12192000"/>
              <a:gd name="connsiteY3603" fmla="*/ 4850540 h 6858000"/>
              <a:gd name="connsiteX3604" fmla="*/ 8448779 w 12192000"/>
              <a:gd name="connsiteY3604" fmla="*/ 4880192 h 6858000"/>
              <a:gd name="connsiteX3605" fmla="*/ 8527313 w 12192000"/>
              <a:gd name="connsiteY3605" fmla="*/ 4880192 h 6858000"/>
              <a:gd name="connsiteX3606" fmla="*/ 8495097 w 12192000"/>
              <a:gd name="connsiteY3606" fmla="*/ 4850540 h 6858000"/>
              <a:gd name="connsiteX3607" fmla="*/ 8527313 w 12192000"/>
              <a:gd name="connsiteY3607" fmla="*/ 4820888 h 6858000"/>
              <a:gd name="connsiteX3608" fmla="*/ 8559518 w 12192000"/>
              <a:gd name="connsiteY3608" fmla="*/ 4850540 h 6858000"/>
              <a:gd name="connsiteX3609" fmla="*/ 8527313 w 12192000"/>
              <a:gd name="connsiteY3609" fmla="*/ 4880192 h 6858000"/>
              <a:gd name="connsiteX3610" fmla="*/ 8605847 w 12192000"/>
              <a:gd name="connsiteY3610" fmla="*/ 4880192 h 6858000"/>
              <a:gd name="connsiteX3611" fmla="*/ 8573630 w 12192000"/>
              <a:gd name="connsiteY3611" fmla="*/ 4850540 h 6858000"/>
              <a:gd name="connsiteX3612" fmla="*/ 8605847 w 12192000"/>
              <a:gd name="connsiteY3612" fmla="*/ 4820888 h 6858000"/>
              <a:gd name="connsiteX3613" fmla="*/ 8638051 w 12192000"/>
              <a:gd name="connsiteY3613" fmla="*/ 4850540 h 6858000"/>
              <a:gd name="connsiteX3614" fmla="*/ 8605847 w 12192000"/>
              <a:gd name="connsiteY3614" fmla="*/ 4880192 h 6858000"/>
              <a:gd name="connsiteX3615" fmla="*/ 8684381 w 12192000"/>
              <a:gd name="connsiteY3615" fmla="*/ 4880192 h 6858000"/>
              <a:gd name="connsiteX3616" fmla="*/ 8652165 w 12192000"/>
              <a:gd name="connsiteY3616" fmla="*/ 4850540 h 6858000"/>
              <a:gd name="connsiteX3617" fmla="*/ 8684381 w 12192000"/>
              <a:gd name="connsiteY3617" fmla="*/ 4820888 h 6858000"/>
              <a:gd name="connsiteX3618" fmla="*/ 8716585 w 12192000"/>
              <a:gd name="connsiteY3618" fmla="*/ 4850540 h 6858000"/>
              <a:gd name="connsiteX3619" fmla="*/ 8684381 w 12192000"/>
              <a:gd name="connsiteY3619" fmla="*/ 4880192 h 6858000"/>
              <a:gd name="connsiteX3620" fmla="*/ 8762914 w 12192000"/>
              <a:gd name="connsiteY3620" fmla="*/ 4880192 h 6858000"/>
              <a:gd name="connsiteX3621" fmla="*/ 8730698 w 12192000"/>
              <a:gd name="connsiteY3621" fmla="*/ 4850540 h 6858000"/>
              <a:gd name="connsiteX3622" fmla="*/ 8762914 w 12192000"/>
              <a:gd name="connsiteY3622" fmla="*/ 4820888 h 6858000"/>
              <a:gd name="connsiteX3623" fmla="*/ 8795118 w 12192000"/>
              <a:gd name="connsiteY3623" fmla="*/ 4850540 h 6858000"/>
              <a:gd name="connsiteX3624" fmla="*/ 8762914 w 12192000"/>
              <a:gd name="connsiteY3624" fmla="*/ 4880192 h 6858000"/>
              <a:gd name="connsiteX3625" fmla="*/ 8841448 w 12192000"/>
              <a:gd name="connsiteY3625" fmla="*/ 4880192 h 6858000"/>
              <a:gd name="connsiteX3626" fmla="*/ 8809232 w 12192000"/>
              <a:gd name="connsiteY3626" fmla="*/ 4850540 h 6858000"/>
              <a:gd name="connsiteX3627" fmla="*/ 8841448 w 12192000"/>
              <a:gd name="connsiteY3627" fmla="*/ 4820888 h 6858000"/>
              <a:gd name="connsiteX3628" fmla="*/ 8873653 w 12192000"/>
              <a:gd name="connsiteY3628" fmla="*/ 4850540 h 6858000"/>
              <a:gd name="connsiteX3629" fmla="*/ 8841448 w 12192000"/>
              <a:gd name="connsiteY3629" fmla="*/ 4880192 h 6858000"/>
              <a:gd name="connsiteX3630" fmla="*/ 8919983 w 12192000"/>
              <a:gd name="connsiteY3630" fmla="*/ 4880192 h 6858000"/>
              <a:gd name="connsiteX3631" fmla="*/ 8887766 w 12192000"/>
              <a:gd name="connsiteY3631" fmla="*/ 4850540 h 6858000"/>
              <a:gd name="connsiteX3632" fmla="*/ 8919983 w 12192000"/>
              <a:gd name="connsiteY3632" fmla="*/ 4820888 h 6858000"/>
              <a:gd name="connsiteX3633" fmla="*/ 8952187 w 12192000"/>
              <a:gd name="connsiteY3633" fmla="*/ 4850540 h 6858000"/>
              <a:gd name="connsiteX3634" fmla="*/ 8919983 w 12192000"/>
              <a:gd name="connsiteY3634" fmla="*/ 4880192 h 6858000"/>
              <a:gd name="connsiteX3635" fmla="*/ 8998516 w 12192000"/>
              <a:gd name="connsiteY3635" fmla="*/ 4880192 h 6858000"/>
              <a:gd name="connsiteX3636" fmla="*/ 8966300 w 12192000"/>
              <a:gd name="connsiteY3636" fmla="*/ 4850540 h 6858000"/>
              <a:gd name="connsiteX3637" fmla="*/ 8998516 w 12192000"/>
              <a:gd name="connsiteY3637" fmla="*/ 4820888 h 6858000"/>
              <a:gd name="connsiteX3638" fmla="*/ 9030720 w 12192000"/>
              <a:gd name="connsiteY3638" fmla="*/ 4850540 h 6858000"/>
              <a:gd name="connsiteX3639" fmla="*/ 8998516 w 12192000"/>
              <a:gd name="connsiteY3639" fmla="*/ 4880192 h 6858000"/>
              <a:gd name="connsiteX3640" fmla="*/ 9077050 w 12192000"/>
              <a:gd name="connsiteY3640" fmla="*/ 4880192 h 6858000"/>
              <a:gd name="connsiteX3641" fmla="*/ 9044834 w 12192000"/>
              <a:gd name="connsiteY3641" fmla="*/ 4850540 h 6858000"/>
              <a:gd name="connsiteX3642" fmla="*/ 9077050 w 12192000"/>
              <a:gd name="connsiteY3642" fmla="*/ 4820888 h 6858000"/>
              <a:gd name="connsiteX3643" fmla="*/ 9109254 w 12192000"/>
              <a:gd name="connsiteY3643" fmla="*/ 4850540 h 6858000"/>
              <a:gd name="connsiteX3644" fmla="*/ 9077050 w 12192000"/>
              <a:gd name="connsiteY3644" fmla="*/ 4880192 h 6858000"/>
              <a:gd name="connsiteX3645" fmla="*/ 9155583 w 12192000"/>
              <a:gd name="connsiteY3645" fmla="*/ 4880192 h 6858000"/>
              <a:gd name="connsiteX3646" fmla="*/ 9123367 w 12192000"/>
              <a:gd name="connsiteY3646" fmla="*/ 4850540 h 6858000"/>
              <a:gd name="connsiteX3647" fmla="*/ 9155583 w 12192000"/>
              <a:gd name="connsiteY3647" fmla="*/ 4820888 h 6858000"/>
              <a:gd name="connsiteX3648" fmla="*/ 9187788 w 12192000"/>
              <a:gd name="connsiteY3648" fmla="*/ 4850540 h 6858000"/>
              <a:gd name="connsiteX3649" fmla="*/ 9155583 w 12192000"/>
              <a:gd name="connsiteY3649" fmla="*/ 4880192 h 6858000"/>
              <a:gd name="connsiteX3650" fmla="*/ 9234118 w 12192000"/>
              <a:gd name="connsiteY3650" fmla="*/ 4880192 h 6858000"/>
              <a:gd name="connsiteX3651" fmla="*/ 9201901 w 12192000"/>
              <a:gd name="connsiteY3651" fmla="*/ 4850540 h 6858000"/>
              <a:gd name="connsiteX3652" fmla="*/ 9234118 w 12192000"/>
              <a:gd name="connsiteY3652" fmla="*/ 4820888 h 6858000"/>
              <a:gd name="connsiteX3653" fmla="*/ 9266322 w 12192000"/>
              <a:gd name="connsiteY3653" fmla="*/ 4850540 h 6858000"/>
              <a:gd name="connsiteX3654" fmla="*/ 9234118 w 12192000"/>
              <a:gd name="connsiteY3654" fmla="*/ 4880192 h 6858000"/>
              <a:gd name="connsiteX3655" fmla="*/ 9312652 w 12192000"/>
              <a:gd name="connsiteY3655" fmla="*/ 4880192 h 6858000"/>
              <a:gd name="connsiteX3656" fmla="*/ 9280436 w 12192000"/>
              <a:gd name="connsiteY3656" fmla="*/ 4850540 h 6858000"/>
              <a:gd name="connsiteX3657" fmla="*/ 9312652 w 12192000"/>
              <a:gd name="connsiteY3657" fmla="*/ 4820888 h 6858000"/>
              <a:gd name="connsiteX3658" fmla="*/ 9344856 w 12192000"/>
              <a:gd name="connsiteY3658" fmla="*/ 4850540 h 6858000"/>
              <a:gd name="connsiteX3659" fmla="*/ 9312652 w 12192000"/>
              <a:gd name="connsiteY3659" fmla="*/ 4880192 h 6858000"/>
              <a:gd name="connsiteX3660" fmla="*/ 9391185 w 12192000"/>
              <a:gd name="connsiteY3660" fmla="*/ 4880192 h 6858000"/>
              <a:gd name="connsiteX3661" fmla="*/ 9358969 w 12192000"/>
              <a:gd name="connsiteY3661" fmla="*/ 4850540 h 6858000"/>
              <a:gd name="connsiteX3662" fmla="*/ 9391185 w 12192000"/>
              <a:gd name="connsiteY3662" fmla="*/ 4820888 h 6858000"/>
              <a:gd name="connsiteX3663" fmla="*/ 9423389 w 12192000"/>
              <a:gd name="connsiteY3663" fmla="*/ 4850540 h 6858000"/>
              <a:gd name="connsiteX3664" fmla="*/ 9391185 w 12192000"/>
              <a:gd name="connsiteY3664" fmla="*/ 4880192 h 6858000"/>
              <a:gd name="connsiteX3665" fmla="*/ 9469719 w 12192000"/>
              <a:gd name="connsiteY3665" fmla="*/ 4880192 h 6858000"/>
              <a:gd name="connsiteX3666" fmla="*/ 9437503 w 12192000"/>
              <a:gd name="connsiteY3666" fmla="*/ 4850540 h 6858000"/>
              <a:gd name="connsiteX3667" fmla="*/ 9469719 w 12192000"/>
              <a:gd name="connsiteY3667" fmla="*/ 4820888 h 6858000"/>
              <a:gd name="connsiteX3668" fmla="*/ 9501924 w 12192000"/>
              <a:gd name="connsiteY3668" fmla="*/ 4850540 h 6858000"/>
              <a:gd name="connsiteX3669" fmla="*/ 9469719 w 12192000"/>
              <a:gd name="connsiteY3669" fmla="*/ 4880192 h 6858000"/>
              <a:gd name="connsiteX3670" fmla="*/ 9548254 w 12192000"/>
              <a:gd name="connsiteY3670" fmla="*/ 4880192 h 6858000"/>
              <a:gd name="connsiteX3671" fmla="*/ 9516037 w 12192000"/>
              <a:gd name="connsiteY3671" fmla="*/ 4850540 h 6858000"/>
              <a:gd name="connsiteX3672" fmla="*/ 9548254 w 12192000"/>
              <a:gd name="connsiteY3672" fmla="*/ 4820888 h 6858000"/>
              <a:gd name="connsiteX3673" fmla="*/ 9580458 w 12192000"/>
              <a:gd name="connsiteY3673" fmla="*/ 4850540 h 6858000"/>
              <a:gd name="connsiteX3674" fmla="*/ 9548254 w 12192000"/>
              <a:gd name="connsiteY3674" fmla="*/ 4880192 h 6858000"/>
              <a:gd name="connsiteX3675" fmla="*/ 9626787 w 12192000"/>
              <a:gd name="connsiteY3675" fmla="*/ 4880192 h 6858000"/>
              <a:gd name="connsiteX3676" fmla="*/ 9594571 w 12192000"/>
              <a:gd name="connsiteY3676" fmla="*/ 4850540 h 6858000"/>
              <a:gd name="connsiteX3677" fmla="*/ 9626787 w 12192000"/>
              <a:gd name="connsiteY3677" fmla="*/ 4820888 h 6858000"/>
              <a:gd name="connsiteX3678" fmla="*/ 9658991 w 12192000"/>
              <a:gd name="connsiteY3678" fmla="*/ 4850540 h 6858000"/>
              <a:gd name="connsiteX3679" fmla="*/ 9626787 w 12192000"/>
              <a:gd name="connsiteY3679" fmla="*/ 4880192 h 6858000"/>
              <a:gd name="connsiteX3680" fmla="*/ 9705321 w 12192000"/>
              <a:gd name="connsiteY3680" fmla="*/ 4880192 h 6858000"/>
              <a:gd name="connsiteX3681" fmla="*/ 9673105 w 12192000"/>
              <a:gd name="connsiteY3681" fmla="*/ 4850540 h 6858000"/>
              <a:gd name="connsiteX3682" fmla="*/ 9705321 w 12192000"/>
              <a:gd name="connsiteY3682" fmla="*/ 4820888 h 6858000"/>
              <a:gd name="connsiteX3683" fmla="*/ 9737525 w 12192000"/>
              <a:gd name="connsiteY3683" fmla="*/ 4850540 h 6858000"/>
              <a:gd name="connsiteX3684" fmla="*/ 9705321 w 12192000"/>
              <a:gd name="connsiteY3684" fmla="*/ 4880192 h 6858000"/>
              <a:gd name="connsiteX3685" fmla="*/ 9783854 w 12192000"/>
              <a:gd name="connsiteY3685" fmla="*/ 4880192 h 6858000"/>
              <a:gd name="connsiteX3686" fmla="*/ 9751638 w 12192000"/>
              <a:gd name="connsiteY3686" fmla="*/ 4850540 h 6858000"/>
              <a:gd name="connsiteX3687" fmla="*/ 9783854 w 12192000"/>
              <a:gd name="connsiteY3687" fmla="*/ 4820888 h 6858000"/>
              <a:gd name="connsiteX3688" fmla="*/ 9816059 w 12192000"/>
              <a:gd name="connsiteY3688" fmla="*/ 4850540 h 6858000"/>
              <a:gd name="connsiteX3689" fmla="*/ 9783854 w 12192000"/>
              <a:gd name="connsiteY3689" fmla="*/ 4880192 h 6858000"/>
              <a:gd name="connsiteX3690" fmla="*/ 10019456 w 12192000"/>
              <a:gd name="connsiteY3690" fmla="*/ 4880192 h 6858000"/>
              <a:gd name="connsiteX3691" fmla="*/ 9987240 w 12192000"/>
              <a:gd name="connsiteY3691" fmla="*/ 4850540 h 6858000"/>
              <a:gd name="connsiteX3692" fmla="*/ 10019456 w 12192000"/>
              <a:gd name="connsiteY3692" fmla="*/ 4820888 h 6858000"/>
              <a:gd name="connsiteX3693" fmla="*/ 10051660 w 12192000"/>
              <a:gd name="connsiteY3693" fmla="*/ 4850540 h 6858000"/>
              <a:gd name="connsiteX3694" fmla="*/ 10019456 w 12192000"/>
              <a:gd name="connsiteY3694" fmla="*/ 4880192 h 6858000"/>
              <a:gd name="connsiteX3695" fmla="*/ 1930444 w 12192000"/>
              <a:gd name="connsiteY3695" fmla="*/ 4807927 h 6858000"/>
              <a:gd name="connsiteX3696" fmla="*/ 1898234 w 12192000"/>
              <a:gd name="connsiteY3696" fmla="*/ 4778275 h 6858000"/>
              <a:gd name="connsiteX3697" fmla="*/ 1930444 w 12192000"/>
              <a:gd name="connsiteY3697" fmla="*/ 4748623 h 6858000"/>
              <a:gd name="connsiteX3698" fmla="*/ 1962655 w 12192000"/>
              <a:gd name="connsiteY3698" fmla="*/ 4778275 h 6858000"/>
              <a:gd name="connsiteX3699" fmla="*/ 1930444 w 12192000"/>
              <a:gd name="connsiteY3699" fmla="*/ 4807927 h 6858000"/>
              <a:gd name="connsiteX3700" fmla="*/ 2401647 w 12192000"/>
              <a:gd name="connsiteY3700" fmla="*/ 4807927 h 6858000"/>
              <a:gd name="connsiteX3701" fmla="*/ 2369437 w 12192000"/>
              <a:gd name="connsiteY3701" fmla="*/ 4778275 h 6858000"/>
              <a:gd name="connsiteX3702" fmla="*/ 2401647 w 12192000"/>
              <a:gd name="connsiteY3702" fmla="*/ 4748623 h 6858000"/>
              <a:gd name="connsiteX3703" fmla="*/ 2433857 w 12192000"/>
              <a:gd name="connsiteY3703" fmla="*/ 4778275 h 6858000"/>
              <a:gd name="connsiteX3704" fmla="*/ 2401647 w 12192000"/>
              <a:gd name="connsiteY3704" fmla="*/ 4807927 h 6858000"/>
              <a:gd name="connsiteX3705" fmla="*/ 2480181 w 12192000"/>
              <a:gd name="connsiteY3705" fmla="*/ 4807927 h 6858000"/>
              <a:gd name="connsiteX3706" fmla="*/ 2447971 w 12192000"/>
              <a:gd name="connsiteY3706" fmla="*/ 4778275 h 6858000"/>
              <a:gd name="connsiteX3707" fmla="*/ 2480181 w 12192000"/>
              <a:gd name="connsiteY3707" fmla="*/ 4748623 h 6858000"/>
              <a:gd name="connsiteX3708" fmla="*/ 2512391 w 12192000"/>
              <a:gd name="connsiteY3708" fmla="*/ 4778275 h 6858000"/>
              <a:gd name="connsiteX3709" fmla="*/ 2480181 w 12192000"/>
              <a:gd name="connsiteY3709" fmla="*/ 4807927 h 6858000"/>
              <a:gd name="connsiteX3710" fmla="*/ 2558715 w 12192000"/>
              <a:gd name="connsiteY3710" fmla="*/ 4807927 h 6858000"/>
              <a:gd name="connsiteX3711" fmla="*/ 2526505 w 12192000"/>
              <a:gd name="connsiteY3711" fmla="*/ 4778275 h 6858000"/>
              <a:gd name="connsiteX3712" fmla="*/ 2558715 w 12192000"/>
              <a:gd name="connsiteY3712" fmla="*/ 4748623 h 6858000"/>
              <a:gd name="connsiteX3713" fmla="*/ 2590926 w 12192000"/>
              <a:gd name="connsiteY3713" fmla="*/ 4778275 h 6858000"/>
              <a:gd name="connsiteX3714" fmla="*/ 2558715 w 12192000"/>
              <a:gd name="connsiteY3714" fmla="*/ 4807927 h 6858000"/>
              <a:gd name="connsiteX3715" fmla="*/ 2637243 w 12192000"/>
              <a:gd name="connsiteY3715" fmla="*/ 4807927 h 6858000"/>
              <a:gd name="connsiteX3716" fmla="*/ 2605032 w 12192000"/>
              <a:gd name="connsiteY3716" fmla="*/ 4778275 h 6858000"/>
              <a:gd name="connsiteX3717" fmla="*/ 2637243 w 12192000"/>
              <a:gd name="connsiteY3717" fmla="*/ 4748623 h 6858000"/>
              <a:gd name="connsiteX3718" fmla="*/ 2669453 w 12192000"/>
              <a:gd name="connsiteY3718" fmla="*/ 4778275 h 6858000"/>
              <a:gd name="connsiteX3719" fmla="*/ 2637243 w 12192000"/>
              <a:gd name="connsiteY3719" fmla="*/ 4807927 h 6858000"/>
              <a:gd name="connsiteX3720" fmla="*/ 2715777 w 12192000"/>
              <a:gd name="connsiteY3720" fmla="*/ 4807927 h 6858000"/>
              <a:gd name="connsiteX3721" fmla="*/ 2683566 w 12192000"/>
              <a:gd name="connsiteY3721" fmla="*/ 4778275 h 6858000"/>
              <a:gd name="connsiteX3722" fmla="*/ 2715777 w 12192000"/>
              <a:gd name="connsiteY3722" fmla="*/ 4748623 h 6858000"/>
              <a:gd name="connsiteX3723" fmla="*/ 2747987 w 12192000"/>
              <a:gd name="connsiteY3723" fmla="*/ 4778275 h 6858000"/>
              <a:gd name="connsiteX3724" fmla="*/ 2715777 w 12192000"/>
              <a:gd name="connsiteY3724" fmla="*/ 4807927 h 6858000"/>
              <a:gd name="connsiteX3725" fmla="*/ 2794310 w 12192000"/>
              <a:gd name="connsiteY3725" fmla="*/ 4807927 h 6858000"/>
              <a:gd name="connsiteX3726" fmla="*/ 2762100 w 12192000"/>
              <a:gd name="connsiteY3726" fmla="*/ 4778275 h 6858000"/>
              <a:gd name="connsiteX3727" fmla="*/ 2794310 w 12192000"/>
              <a:gd name="connsiteY3727" fmla="*/ 4748623 h 6858000"/>
              <a:gd name="connsiteX3728" fmla="*/ 2826520 w 12192000"/>
              <a:gd name="connsiteY3728" fmla="*/ 4778275 h 6858000"/>
              <a:gd name="connsiteX3729" fmla="*/ 2794310 w 12192000"/>
              <a:gd name="connsiteY3729" fmla="*/ 4807927 h 6858000"/>
              <a:gd name="connsiteX3730" fmla="*/ 2872844 w 12192000"/>
              <a:gd name="connsiteY3730" fmla="*/ 4807927 h 6858000"/>
              <a:gd name="connsiteX3731" fmla="*/ 2840634 w 12192000"/>
              <a:gd name="connsiteY3731" fmla="*/ 4778275 h 6858000"/>
              <a:gd name="connsiteX3732" fmla="*/ 2872844 w 12192000"/>
              <a:gd name="connsiteY3732" fmla="*/ 4748623 h 6858000"/>
              <a:gd name="connsiteX3733" fmla="*/ 2905055 w 12192000"/>
              <a:gd name="connsiteY3733" fmla="*/ 4778275 h 6858000"/>
              <a:gd name="connsiteX3734" fmla="*/ 2872844 w 12192000"/>
              <a:gd name="connsiteY3734" fmla="*/ 4807927 h 6858000"/>
              <a:gd name="connsiteX3735" fmla="*/ 2951379 w 12192000"/>
              <a:gd name="connsiteY3735" fmla="*/ 4807927 h 6858000"/>
              <a:gd name="connsiteX3736" fmla="*/ 2919168 w 12192000"/>
              <a:gd name="connsiteY3736" fmla="*/ 4778275 h 6858000"/>
              <a:gd name="connsiteX3737" fmla="*/ 2951379 w 12192000"/>
              <a:gd name="connsiteY3737" fmla="*/ 4748623 h 6858000"/>
              <a:gd name="connsiteX3738" fmla="*/ 2983589 w 12192000"/>
              <a:gd name="connsiteY3738" fmla="*/ 4778275 h 6858000"/>
              <a:gd name="connsiteX3739" fmla="*/ 2951379 w 12192000"/>
              <a:gd name="connsiteY3739" fmla="*/ 4807927 h 6858000"/>
              <a:gd name="connsiteX3740" fmla="*/ 3029912 w 12192000"/>
              <a:gd name="connsiteY3740" fmla="*/ 4807927 h 6858000"/>
              <a:gd name="connsiteX3741" fmla="*/ 2997701 w 12192000"/>
              <a:gd name="connsiteY3741" fmla="*/ 4778275 h 6858000"/>
              <a:gd name="connsiteX3742" fmla="*/ 3029912 w 12192000"/>
              <a:gd name="connsiteY3742" fmla="*/ 4748623 h 6858000"/>
              <a:gd name="connsiteX3743" fmla="*/ 3062122 w 12192000"/>
              <a:gd name="connsiteY3743" fmla="*/ 4778275 h 6858000"/>
              <a:gd name="connsiteX3744" fmla="*/ 3029912 w 12192000"/>
              <a:gd name="connsiteY3744" fmla="*/ 4807927 h 6858000"/>
              <a:gd name="connsiteX3745" fmla="*/ 3265514 w 12192000"/>
              <a:gd name="connsiteY3745" fmla="*/ 4807927 h 6858000"/>
              <a:gd name="connsiteX3746" fmla="*/ 3233303 w 12192000"/>
              <a:gd name="connsiteY3746" fmla="*/ 4778275 h 6858000"/>
              <a:gd name="connsiteX3747" fmla="*/ 3265514 w 12192000"/>
              <a:gd name="connsiteY3747" fmla="*/ 4748623 h 6858000"/>
              <a:gd name="connsiteX3748" fmla="*/ 3297724 w 12192000"/>
              <a:gd name="connsiteY3748" fmla="*/ 4778275 h 6858000"/>
              <a:gd name="connsiteX3749" fmla="*/ 3265514 w 12192000"/>
              <a:gd name="connsiteY3749" fmla="*/ 4807927 h 6858000"/>
              <a:gd name="connsiteX3750" fmla="*/ 3344048 w 12192000"/>
              <a:gd name="connsiteY3750" fmla="*/ 4807927 h 6858000"/>
              <a:gd name="connsiteX3751" fmla="*/ 3311837 w 12192000"/>
              <a:gd name="connsiteY3751" fmla="*/ 4778275 h 6858000"/>
              <a:gd name="connsiteX3752" fmla="*/ 3344048 w 12192000"/>
              <a:gd name="connsiteY3752" fmla="*/ 4748623 h 6858000"/>
              <a:gd name="connsiteX3753" fmla="*/ 3376258 w 12192000"/>
              <a:gd name="connsiteY3753" fmla="*/ 4778275 h 6858000"/>
              <a:gd name="connsiteX3754" fmla="*/ 3344048 w 12192000"/>
              <a:gd name="connsiteY3754" fmla="*/ 4807927 h 6858000"/>
              <a:gd name="connsiteX3755" fmla="*/ 3422581 w 12192000"/>
              <a:gd name="connsiteY3755" fmla="*/ 4807927 h 6858000"/>
              <a:gd name="connsiteX3756" fmla="*/ 3390371 w 12192000"/>
              <a:gd name="connsiteY3756" fmla="*/ 4778275 h 6858000"/>
              <a:gd name="connsiteX3757" fmla="*/ 3422581 w 12192000"/>
              <a:gd name="connsiteY3757" fmla="*/ 4748623 h 6858000"/>
              <a:gd name="connsiteX3758" fmla="*/ 3454791 w 12192000"/>
              <a:gd name="connsiteY3758" fmla="*/ 4778275 h 6858000"/>
              <a:gd name="connsiteX3759" fmla="*/ 3422581 w 12192000"/>
              <a:gd name="connsiteY3759" fmla="*/ 4807927 h 6858000"/>
              <a:gd name="connsiteX3760" fmla="*/ 3579650 w 12192000"/>
              <a:gd name="connsiteY3760" fmla="*/ 4807927 h 6858000"/>
              <a:gd name="connsiteX3761" fmla="*/ 3547439 w 12192000"/>
              <a:gd name="connsiteY3761" fmla="*/ 4778275 h 6858000"/>
              <a:gd name="connsiteX3762" fmla="*/ 3579650 w 12192000"/>
              <a:gd name="connsiteY3762" fmla="*/ 4748623 h 6858000"/>
              <a:gd name="connsiteX3763" fmla="*/ 3611860 w 12192000"/>
              <a:gd name="connsiteY3763" fmla="*/ 4778275 h 6858000"/>
              <a:gd name="connsiteX3764" fmla="*/ 3579650 w 12192000"/>
              <a:gd name="connsiteY3764" fmla="*/ 4807927 h 6858000"/>
              <a:gd name="connsiteX3765" fmla="*/ 3658183 w 12192000"/>
              <a:gd name="connsiteY3765" fmla="*/ 4807927 h 6858000"/>
              <a:gd name="connsiteX3766" fmla="*/ 3625972 w 12192000"/>
              <a:gd name="connsiteY3766" fmla="*/ 4778275 h 6858000"/>
              <a:gd name="connsiteX3767" fmla="*/ 3658183 w 12192000"/>
              <a:gd name="connsiteY3767" fmla="*/ 4748623 h 6858000"/>
              <a:gd name="connsiteX3768" fmla="*/ 3690393 w 12192000"/>
              <a:gd name="connsiteY3768" fmla="*/ 4778275 h 6858000"/>
              <a:gd name="connsiteX3769" fmla="*/ 3658183 w 12192000"/>
              <a:gd name="connsiteY3769" fmla="*/ 4807927 h 6858000"/>
              <a:gd name="connsiteX3770" fmla="*/ 3815250 w 12192000"/>
              <a:gd name="connsiteY3770" fmla="*/ 4807927 h 6858000"/>
              <a:gd name="connsiteX3771" fmla="*/ 3783040 w 12192000"/>
              <a:gd name="connsiteY3771" fmla="*/ 4778275 h 6858000"/>
              <a:gd name="connsiteX3772" fmla="*/ 3815250 w 12192000"/>
              <a:gd name="connsiteY3772" fmla="*/ 4748623 h 6858000"/>
              <a:gd name="connsiteX3773" fmla="*/ 3847461 w 12192000"/>
              <a:gd name="connsiteY3773" fmla="*/ 4778275 h 6858000"/>
              <a:gd name="connsiteX3774" fmla="*/ 3815250 w 12192000"/>
              <a:gd name="connsiteY3774" fmla="*/ 4807927 h 6858000"/>
              <a:gd name="connsiteX3775" fmla="*/ 3893785 w 12192000"/>
              <a:gd name="connsiteY3775" fmla="*/ 4807927 h 6858000"/>
              <a:gd name="connsiteX3776" fmla="*/ 3861574 w 12192000"/>
              <a:gd name="connsiteY3776" fmla="*/ 4778275 h 6858000"/>
              <a:gd name="connsiteX3777" fmla="*/ 3893785 w 12192000"/>
              <a:gd name="connsiteY3777" fmla="*/ 4748623 h 6858000"/>
              <a:gd name="connsiteX3778" fmla="*/ 3925995 w 12192000"/>
              <a:gd name="connsiteY3778" fmla="*/ 4778275 h 6858000"/>
              <a:gd name="connsiteX3779" fmla="*/ 3893785 w 12192000"/>
              <a:gd name="connsiteY3779" fmla="*/ 4807927 h 6858000"/>
              <a:gd name="connsiteX3780" fmla="*/ 4050852 w 12192000"/>
              <a:gd name="connsiteY3780" fmla="*/ 4807927 h 6858000"/>
              <a:gd name="connsiteX3781" fmla="*/ 4018642 w 12192000"/>
              <a:gd name="connsiteY3781" fmla="*/ 4778275 h 6858000"/>
              <a:gd name="connsiteX3782" fmla="*/ 4050852 w 12192000"/>
              <a:gd name="connsiteY3782" fmla="*/ 4748623 h 6858000"/>
              <a:gd name="connsiteX3783" fmla="*/ 4083062 w 12192000"/>
              <a:gd name="connsiteY3783" fmla="*/ 4778275 h 6858000"/>
              <a:gd name="connsiteX3784" fmla="*/ 4050852 w 12192000"/>
              <a:gd name="connsiteY3784" fmla="*/ 4807927 h 6858000"/>
              <a:gd name="connsiteX3785" fmla="*/ 4129386 w 12192000"/>
              <a:gd name="connsiteY3785" fmla="*/ 4807927 h 6858000"/>
              <a:gd name="connsiteX3786" fmla="*/ 4097176 w 12192000"/>
              <a:gd name="connsiteY3786" fmla="*/ 4778275 h 6858000"/>
              <a:gd name="connsiteX3787" fmla="*/ 4129386 w 12192000"/>
              <a:gd name="connsiteY3787" fmla="*/ 4748623 h 6858000"/>
              <a:gd name="connsiteX3788" fmla="*/ 4161597 w 12192000"/>
              <a:gd name="connsiteY3788" fmla="*/ 4778275 h 6858000"/>
              <a:gd name="connsiteX3789" fmla="*/ 4129386 w 12192000"/>
              <a:gd name="connsiteY3789" fmla="*/ 4807927 h 6858000"/>
              <a:gd name="connsiteX3790" fmla="*/ 4207926 w 12192000"/>
              <a:gd name="connsiteY3790" fmla="*/ 4807927 h 6858000"/>
              <a:gd name="connsiteX3791" fmla="*/ 4175715 w 12192000"/>
              <a:gd name="connsiteY3791" fmla="*/ 4778275 h 6858000"/>
              <a:gd name="connsiteX3792" fmla="*/ 4207926 w 12192000"/>
              <a:gd name="connsiteY3792" fmla="*/ 4748623 h 6858000"/>
              <a:gd name="connsiteX3793" fmla="*/ 4240136 w 12192000"/>
              <a:gd name="connsiteY3793" fmla="*/ 4778275 h 6858000"/>
              <a:gd name="connsiteX3794" fmla="*/ 4207926 w 12192000"/>
              <a:gd name="connsiteY3794" fmla="*/ 4807927 h 6858000"/>
              <a:gd name="connsiteX3795" fmla="*/ 4286460 w 12192000"/>
              <a:gd name="connsiteY3795" fmla="*/ 4807927 h 6858000"/>
              <a:gd name="connsiteX3796" fmla="*/ 4254250 w 12192000"/>
              <a:gd name="connsiteY3796" fmla="*/ 4778275 h 6858000"/>
              <a:gd name="connsiteX3797" fmla="*/ 4286460 w 12192000"/>
              <a:gd name="connsiteY3797" fmla="*/ 4748623 h 6858000"/>
              <a:gd name="connsiteX3798" fmla="*/ 4318670 w 12192000"/>
              <a:gd name="connsiteY3798" fmla="*/ 4778275 h 6858000"/>
              <a:gd name="connsiteX3799" fmla="*/ 4286460 w 12192000"/>
              <a:gd name="connsiteY3799" fmla="*/ 4807927 h 6858000"/>
              <a:gd name="connsiteX3800" fmla="*/ 4443527 w 12192000"/>
              <a:gd name="connsiteY3800" fmla="*/ 4807927 h 6858000"/>
              <a:gd name="connsiteX3801" fmla="*/ 4411317 w 12192000"/>
              <a:gd name="connsiteY3801" fmla="*/ 4778275 h 6858000"/>
              <a:gd name="connsiteX3802" fmla="*/ 4443527 w 12192000"/>
              <a:gd name="connsiteY3802" fmla="*/ 4748623 h 6858000"/>
              <a:gd name="connsiteX3803" fmla="*/ 4475738 w 12192000"/>
              <a:gd name="connsiteY3803" fmla="*/ 4778275 h 6858000"/>
              <a:gd name="connsiteX3804" fmla="*/ 4443527 w 12192000"/>
              <a:gd name="connsiteY3804" fmla="*/ 4807927 h 6858000"/>
              <a:gd name="connsiteX3805" fmla="*/ 4679129 w 12192000"/>
              <a:gd name="connsiteY3805" fmla="*/ 4807927 h 6858000"/>
              <a:gd name="connsiteX3806" fmla="*/ 4646919 w 12192000"/>
              <a:gd name="connsiteY3806" fmla="*/ 4778275 h 6858000"/>
              <a:gd name="connsiteX3807" fmla="*/ 4679129 w 12192000"/>
              <a:gd name="connsiteY3807" fmla="*/ 4748623 h 6858000"/>
              <a:gd name="connsiteX3808" fmla="*/ 4711339 w 12192000"/>
              <a:gd name="connsiteY3808" fmla="*/ 4778275 h 6858000"/>
              <a:gd name="connsiteX3809" fmla="*/ 4679129 w 12192000"/>
              <a:gd name="connsiteY3809" fmla="*/ 4807927 h 6858000"/>
              <a:gd name="connsiteX3810" fmla="*/ 4757663 w 12192000"/>
              <a:gd name="connsiteY3810" fmla="*/ 4807927 h 6858000"/>
              <a:gd name="connsiteX3811" fmla="*/ 4725453 w 12192000"/>
              <a:gd name="connsiteY3811" fmla="*/ 4778275 h 6858000"/>
              <a:gd name="connsiteX3812" fmla="*/ 4757663 w 12192000"/>
              <a:gd name="connsiteY3812" fmla="*/ 4748623 h 6858000"/>
              <a:gd name="connsiteX3813" fmla="*/ 4789874 w 12192000"/>
              <a:gd name="connsiteY3813" fmla="*/ 4778275 h 6858000"/>
              <a:gd name="connsiteX3814" fmla="*/ 4757663 w 12192000"/>
              <a:gd name="connsiteY3814" fmla="*/ 4807927 h 6858000"/>
              <a:gd name="connsiteX3815" fmla="*/ 4836197 w 12192000"/>
              <a:gd name="connsiteY3815" fmla="*/ 4807927 h 6858000"/>
              <a:gd name="connsiteX3816" fmla="*/ 4803986 w 12192000"/>
              <a:gd name="connsiteY3816" fmla="*/ 4778275 h 6858000"/>
              <a:gd name="connsiteX3817" fmla="*/ 4836197 w 12192000"/>
              <a:gd name="connsiteY3817" fmla="*/ 4748623 h 6858000"/>
              <a:gd name="connsiteX3818" fmla="*/ 4868407 w 12192000"/>
              <a:gd name="connsiteY3818" fmla="*/ 4778275 h 6858000"/>
              <a:gd name="connsiteX3819" fmla="*/ 4836197 w 12192000"/>
              <a:gd name="connsiteY3819" fmla="*/ 4807927 h 6858000"/>
              <a:gd name="connsiteX3820" fmla="*/ 4914731 w 12192000"/>
              <a:gd name="connsiteY3820" fmla="*/ 4807927 h 6858000"/>
              <a:gd name="connsiteX3821" fmla="*/ 4882521 w 12192000"/>
              <a:gd name="connsiteY3821" fmla="*/ 4778275 h 6858000"/>
              <a:gd name="connsiteX3822" fmla="*/ 4914731 w 12192000"/>
              <a:gd name="connsiteY3822" fmla="*/ 4748623 h 6858000"/>
              <a:gd name="connsiteX3823" fmla="*/ 4946941 w 12192000"/>
              <a:gd name="connsiteY3823" fmla="*/ 4778275 h 6858000"/>
              <a:gd name="connsiteX3824" fmla="*/ 4914731 w 12192000"/>
              <a:gd name="connsiteY3824" fmla="*/ 4807927 h 6858000"/>
              <a:gd name="connsiteX3825" fmla="*/ 4993265 w 12192000"/>
              <a:gd name="connsiteY3825" fmla="*/ 4807927 h 6858000"/>
              <a:gd name="connsiteX3826" fmla="*/ 4961055 w 12192000"/>
              <a:gd name="connsiteY3826" fmla="*/ 4778275 h 6858000"/>
              <a:gd name="connsiteX3827" fmla="*/ 4993265 w 12192000"/>
              <a:gd name="connsiteY3827" fmla="*/ 4748623 h 6858000"/>
              <a:gd name="connsiteX3828" fmla="*/ 5025475 w 12192000"/>
              <a:gd name="connsiteY3828" fmla="*/ 4778275 h 6858000"/>
              <a:gd name="connsiteX3829" fmla="*/ 4993265 w 12192000"/>
              <a:gd name="connsiteY3829" fmla="*/ 4807927 h 6858000"/>
              <a:gd name="connsiteX3830" fmla="*/ 5071798 w 12192000"/>
              <a:gd name="connsiteY3830" fmla="*/ 4807927 h 6858000"/>
              <a:gd name="connsiteX3831" fmla="*/ 5039588 w 12192000"/>
              <a:gd name="connsiteY3831" fmla="*/ 4778275 h 6858000"/>
              <a:gd name="connsiteX3832" fmla="*/ 5071798 w 12192000"/>
              <a:gd name="connsiteY3832" fmla="*/ 4748623 h 6858000"/>
              <a:gd name="connsiteX3833" fmla="*/ 5104009 w 12192000"/>
              <a:gd name="connsiteY3833" fmla="*/ 4778275 h 6858000"/>
              <a:gd name="connsiteX3834" fmla="*/ 5071798 w 12192000"/>
              <a:gd name="connsiteY3834" fmla="*/ 4807927 h 6858000"/>
              <a:gd name="connsiteX3835" fmla="*/ 6328340 w 12192000"/>
              <a:gd name="connsiteY3835" fmla="*/ 4807927 h 6858000"/>
              <a:gd name="connsiteX3836" fmla="*/ 6296124 w 12192000"/>
              <a:gd name="connsiteY3836" fmla="*/ 4778275 h 6858000"/>
              <a:gd name="connsiteX3837" fmla="*/ 6328340 w 12192000"/>
              <a:gd name="connsiteY3837" fmla="*/ 4748623 h 6858000"/>
              <a:gd name="connsiteX3838" fmla="*/ 6360545 w 12192000"/>
              <a:gd name="connsiteY3838" fmla="*/ 4778275 h 6858000"/>
              <a:gd name="connsiteX3839" fmla="*/ 6328340 w 12192000"/>
              <a:gd name="connsiteY3839" fmla="*/ 4807927 h 6858000"/>
              <a:gd name="connsiteX3840" fmla="*/ 6406875 w 12192000"/>
              <a:gd name="connsiteY3840" fmla="*/ 4807927 h 6858000"/>
              <a:gd name="connsiteX3841" fmla="*/ 6374658 w 12192000"/>
              <a:gd name="connsiteY3841" fmla="*/ 4778275 h 6858000"/>
              <a:gd name="connsiteX3842" fmla="*/ 6406875 w 12192000"/>
              <a:gd name="connsiteY3842" fmla="*/ 4748623 h 6858000"/>
              <a:gd name="connsiteX3843" fmla="*/ 6439079 w 12192000"/>
              <a:gd name="connsiteY3843" fmla="*/ 4778275 h 6858000"/>
              <a:gd name="connsiteX3844" fmla="*/ 6406875 w 12192000"/>
              <a:gd name="connsiteY3844" fmla="*/ 4807927 h 6858000"/>
              <a:gd name="connsiteX3845" fmla="*/ 6485408 w 12192000"/>
              <a:gd name="connsiteY3845" fmla="*/ 4807927 h 6858000"/>
              <a:gd name="connsiteX3846" fmla="*/ 6453191 w 12192000"/>
              <a:gd name="connsiteY3846" fmla="*/ 4778275 h 6858000"/>
              <a:gd name="connsiteX3847" fmla="*/ 6485408 w 12192000"/>
              <a:gd name="connsiteY3847" fmla="*/ 4748623 h 6858000"/>
              <a:gd name="connsiteX3848" fmla="*/ 6517612 w 12192000"/>
              <a:gd name="connsiteY3848" fmla="*/ 4778275 h 6858000"/>
              <a:gd name="connsiteX3849" fmla="*/ 6485408 w 12192000"/>
              <a:gd name="connsiteY3849" fmla="*/ 4807927 h 6858000"/>
              <a:gd name="connsiteX3850" fmla="*/ 6563942 w 12192000"/>
              <a:gd name="connsiteY3850" fmla="*/ 4807927 h 6858000"/>
              <a:gd name="connsiteX3851" fmla="*/ 6531726 w 12192000"/>
              <a:gd name="connsiteY3851" fmla="*/ 4778275 h 6858000"/>
              <a:gd name="connsiteX3852" fmla="*/ 6563942 w 12192000"/>
              <a:gd name="connsiteY3852" fmla="*/ 4748623 h 6858000"/>
              <a:gd name="connsiteX3853" fmla="*/ 6596146 w 12192000"/>
              <a:gd name="connsiteY3853" fmla="*/ 4778275 h 6858000"/>
              <a:gd name="connsiteX3854" fmla="*/ 6563942 w 12192000"/>
              <a:gd name="connsiteY3854" fmla="*/ 4807927 h 6858000"/>
              <a:gd name="connsiteX3855" fmla="*/ 6642476 w 12192000"/>
              <a:gd name="connsiteY3855" fmla="*/ 4807927 h 6858000"/>
              <a:gd name="connsiteX3856" fmla="*/ 6610260 w 12192000"/>
              <a:gd name="connsiteY3856" fmla="*/ 4778275 h 6858000"/>
              <a:gd name="connsiteX3857" fmla="*/ 6642476 w 12192000"/>
              <a:gd name="connsiteY3857" fmla="*/ 4748623 h 6858000"/>
              <a:gd name="connsiteX3858" fmla="*/ 6674681 w 12192000"/>
              <a:gd name="connsiteY3858" fmla="*/ 4778275 h 6858000"/>
              <a:gd name="connsiteX3859" fmla="*/ 6642476 w 12192000"/>
              <a:gd name="connsiteY3859" fmla="*/ 4807927 h 6858000"/>
              <a:gd name="connsiteX3860" fmla="*/ 6721010 w 12192000"/>
              <a:gd name="connsiteY3860" fmla="*/ 4807927 h 6858000"/>
              <a:gd name="connsiteX3861" fmla="*/ 6688793 w 12192000"/>
              <a:gd name="connsiteY3861" fmla="*/ 4778275 h 6858000"/>
              <a:gd name="connsiteX3862" fmla="*/ 6721010 w 12192000"/>
              <a:gd name="connsiteY3862" fmla="*/ 4748623 h 6858000"/>
              <a:gd name="connsiteX3863" fmla="*/ 6753214 w 12192000"/>
              <a:gd name="connsiteY3863" fmla="*/ 4778275 h 6858000"/>
              <a:gd name="connsiteX3864" fmla="*/ 6721010 w 12192000"/>
              <a:gd name="connsiteY3864" fmla="*/ 4807927 h 6858000"/>
              <a:gd name="connsiteX3865" fmla="*/ 6799544 w 12192000"/>
              <a:gd name="connsiteY3865" fmla="*/ 4807927 h 6858000"/>
              <a:gd name="connsiteX3866" fmla="*/ 6767327 w 12192000"/>
              <a:gd name="connsiteY3866" fmla="*/ 4778275 h 6858000"/>
              <a:gd name="connsiteX3867" fmla="*/ 6799544 w 12192000"/>
              <a:gd name="connsiteY3867" fmla="*/ 4748623 h 6858000"/>
              <a:gd name="connsiteX3868" fmla="*/ 6831748 w 12192000"/>
              <a:gd name="connsiteY3868" fmla="*/ 4778275 h 6858000"/>
              <a:gd name="connsiteX3869" fmla="*/ 6799544 w 12192000"/>
              <a:gd name="connsiteY3869" fmla="*/ 4807927 h 6858000"/>
              <a:gd name="connsiteX3870" fmla="*/ 7035146 w 12192000"/>
              <a:gd name="connsiteY3870" fmla="*/ 4807927 h 6858000"/>
              <a:gd name="connsiteX3871" fmla="*/ 7002929 w 12192000"/>
              <a:gd name="connsiteY3871" fmla="*/ 4778275 h 6858000"/>
              <a:gd name="connsiteX3872" fmla="*/ 7035146 w 12192000"/>
              <a:gd name="connsiteY3872" fmla="*/ 4748623 h 6858000"/>
              <a:gd name="connsiteX3873" fmla="*/ 7067350 w 12192000"/>
              <a:gd name="connsiteY3873" fmla="*/ 4778275 h 6858000"/>
              <a:gd name="connsiteX3874" fmla="*/ 7035146 w 12192000"/>
              <a:gd name="connsiteY3874" fmla="*/ 4807927 h 6858000"/>
              <a:gd name="connsiteX3875" fmla="*/ 7113703 w 12192000"/>
              <a:gd name="connsiteY3875" fmla="*/ 4807927 h 6858000"/>
              <a:gd name="connsiteX3876" fmla="*/ 7081487 w 12192000"/>
              <a:gd name="connsiteY3876" fmla="*/ 4778275 h 6858000"/>
              <a:gd name="connsiteX3877" fmla="*/ 7113703 w 12192000"/>
              <a:gd name="connsiteY3877" fmla="*/ 4748623 h 6858000"/>
              <a:gd name="connsiteX3878" fmla="*/ 7145907 w 12192000"/>
              <a:gd name="connsiteY3878" fmla="*/ 4778275 h 6858000"/>
              <a:gd name="connsiteX3879" fmla="*/ 7113703 w 12192000"/>
              <a:gd name="connsiteY3879" fmla="*/ 4807927 h 6858000"/>
              <a:gd name="connsiteX3880" fmla="*/ 7192237 w 12192000"/>
              <a:gd name="connsiteY3880" fmla="*/ 4807927 h 6858000"/>
              <a:gd name="connsiteX3881" fmla="*/ 7160021 w 12192000"/>
              <a:gd name="connsiteY3881" fmla="*/ 4778275 h 6858000"/>
              <a:gd name="connsiteX3882" fmla="*/ 7192237 w 12192000"/>
              <a:gd name="connsiteY3882" fmla="*/ 4748623 h 6858000"/>
              <a:gd name="connsiteX3883" fmla="*/ 7224441 w 12192000"/>
              <a:gd name="connsiteY3883" fmla="*/ 4778275 h 6858000"/>
              <a:gd name="connsiteX3884" fmla="*/ 7192237 w 12192000"/>
              <a:gd name="connsiteY3884" fmla="*/ 4807927 h 6858000"/>
              <a:gd name="connsiteX3885" fmla="*/ 7270771 w 12192000"/>
              <a:gd name="connsiteY3885" fmla="*/ 4807927 h 6858000"/>
              <a:gd name="connsiteX3886" fmla="*/ 7238555 w 12192000"/>
              <a:gd name="connsiteY3886" fmla="*/ 4778275 h 6858000"/>
              <a:gd name="connsiteX3887" fmla="*/ 7270771 w 12192000"/>
              <a:gd name="connsiteY3887" fmla="*/ 4748623 h 6858000"/>
              <a:gd name="connsiteX3888" fmla="*/ 7302976 w 12192000"/>
              <a:gd name="connsiteY3888" fmla="*/ 4778275 h 6858000"/>
              <a:gd name="connsiteX3889" fmla="*/ 7270771 w 12192000"/>
              <a:gd name="connsiteY3889" fmla="*/ 4807927 h 6858000"/>
              <a:gd name="connsiteX3890" fmla="*/ 7349305 w 12192000"/>
              <a:gd name="connsiteY3890" fmla="*/ 4807927 h 6858000"/>
              <a:gd name="connsiteX3891" fmla="*/ 7317088 w 12192000"/>
              <a:gd name="connsiteY3891" fmla="*/ 4778275 h 6858000"/>
              <a:gd name="connsiteX3892" fmla="*/ 7349305 w 12192000"/>
              <a:gd name="connsiteY3892" fmla="*/ 4748623 h 6858000"/>
              <a:gd name="connsiteX3893" fmla="*/ 7381509 w 12192000"/>
              <a:gd name="connsiteY3893" fmla="*/ 4778275 h 6858000"/>
              <a:gd name="connsiteX3894" fmla="*/ 7349305 w 12192000"/>
              <a:gd name="connsiteY3894" fmla="*/ 4807927 h 6858000"/>
              <a:gd name="connsiteX3895" fmla="*/ 7427839 w 12192000"/>
              <a:gd name="connsiteY3895" fmla="*/ 4807927 h 6858000"/>
              <a:gd name="connsiteX3896" fmla="*/ 7395623 w 12192000"/>
              <a:gd name="connsiteY3896" fmla="*/ 4778275 h 6858000"/>
              <a:gd name="connsiteX3897" fmla="*/ 7427839 w 12192000"/>
              <a:gd name="connsiteY3897" fmla="*/ 4748623 h 6858000"/>
              <a:gd name="connsiteX3898" fmla="*/ 7460043 w 12192000"/>
              <a:gd name="connsiteY3898" fmla="*/ 4778275 h 6858000"/>
              <a:gd name="connsiteX3899" fmla="*/ 7427839 w 12192000"/>
              <a:gd name="connsiteY3899" fmla="*/ 4807927 h 6858000"/>
              <a:gd name="connsiteX3900" fmla="*/ 7506373 w 12192000"/>
              <a:gd name="connsiteY3900" fmla="*/ 4807927 h 6858000"/>
              <a:gd name="connsiteX3901" fmla="*/ 7474157 w 12192000"/>
              <a:gd name="connsiteY3901" fmla="*/ 4778275 h 6858000"/>
              <a:gd name="connsiteX3902" fmla="*/ 7506373 w 12192000"/>
              <a:gd name="connsiteY3902" fmla="*/ 4748623 h 6858000"/>
              <a:gd name="connsiteX3903" fmla="*/ 7538577 w 12192000"/>
              <a:gd name="connsiteY3903" fmla="*/ 4778275 h 6858000"/>
              <a:gd name="connsiteX3904" fmla="*/ 7506373 w 12192000"/>
              <a:gd name="connsiteY3904" fmla="*/ 4807927 h 6858000"/>
              <a:gd name="connsiteX3905" fmla="*/ 7584906 w 12192000"/>
              <a:gd name="connsiteY3905" fmla="*/ 4807927 h 6858000"/>
              <a:gd name="connsiteX3906" fmla="*/ 7552690 w 12192000"/>
              <a:gd name="connsiteY3906" fmla="*/ 4778275 h 6858000"/>
              <a:gd name="connsiteX3907" fmla="*/ 7584906 w 12192000"/>
              <a:gd name="connsiteY3907" fmla="*/ 4748623 h 6858000"/>
              <a:gd name="connsiteX3908" fmla="*/ 7617111 w 12192000"/>
              <a:gd name="connsiteY3908" fmla="*/ 4778275 h 6858000"/>
              <a:gd name="connsiteX3909" fmla="*/ 7584906 w 12192000"/>
              <a:gd name="connsiteY3909" fmla="*/ 4807927 h 6858000"/>
              <a:gd name="connsiteX3910" fmla="*/ 7663441 w 12192000"/>
              <a:gd name="connsiteY3910" fmla="*/ 4807927 h 6858000"/>
              <a:gd name="connsiteX3911" fmla="*/ 7631224 w 12192000"/>
              <a:gd name="connsiteY3911" fmla="*/ 4778275 h 6858000"/>
              <a:gd name="connsiteX3912" fmla="*/ 7663441 w 12192000"/>
              <a:gd name="connsiteY3912" fmla="*/ 4748623 h 6858000"/>
              <a:gd name="connsiteX3913" fmla="*/ 7695645 w 12192000"/>
              <a:gd name="connsiteY3913" fmla="*/ 4778275 h 6858000"/>
              <a:gd name="connsiteX3914" fmla="*/ 7663441 w 12192000"/>
              <a:gd name="connsiteY3914" fmla="*/ 4807927 h 6858000"/>
              <a:gd name="connsiteX3915" fmla="*/ 7741974 w 12192000"/>
              <a:gd name="connsiteY3915" fmla="*/ 4807927 h 6858000"/>
              <a:gd name="connsiteX3916" fmla="*/ 7709758 w 12192000"/>
              <a:gd name="connsiteY3916" fmla="*/ 4778275 h 6858000"/>
              <a:gd name="connsiteX3917" fmla="*/ 7741974 w 12192000"/>
              <a:gd name="connsiteY3917" fmla="*/ 4748623 h 6858000"/>
              <a:gd name="connsiteX3918" fmla="*/ 7774178 w 12192000"/>
              <a:gd name="connsiteY3918" fmla="*/ 4778275 h 6858000"/>
              <a:gd name="connsiteX3919" fmla="*/ 7741974 w 12192000"/>
              <a:gd name="connsiteY3919" fmla="*/ 4807927 h 6858000"/>
              <a:gd name="connsiteX3920" fmla="*/ 7820508 w 12192000"/>
              <a:gd name="connsiteY3920" fmla="*/ 4807927 h 6858000"/>
              <a:gd name="connsiteX3921" fmla="*/ 7788292 w 12192000"/>
              <a:gd name="connsiteY3921" fmla="*/ 4778275 h 6858000"/>
              <a:gd name="connsiteX3922" fmla="*/ 7820508 w 12192000"/>
              <a:gd name="connsiteY3922" fmla="*/ 4748623 h 6858000"/>
              <a:gd name="connsiteX3923" fmla="*/ 7852712 w 12192000"/>
              <a:gd name="connsiteY3923" fmla="*/ 4778275 h 6858000"/>
              <a:gd name="connsiteX3924" fmla="*/ 7820508 w 12192000"/>
              <a:gd name="connsiteY3924" fmla="*/ 4807927 h 6858000"/>
              <a:gd name="connsiteX3925" fmla="*/ 7899042 w 12192000"/>
              <a:gd name="connsiteY3925" fmla="*/ 4807927 h 6858000"/>
              <a:gd name="connsiteX3926" fmla="*/ 7866826 w 12192000"/>
              <a:gd name="connsiteY3926" fmla="*/ 4778275 h 6858000"/>
              <a:gd name="connsiteX3927" fmla="*/ 7899042 w 12192000"/>
              <a:gd name="connsiteY3927" fmla="*/ 4748623 h 6858000"/>
              <a:gd name="connsiteX3928" fmla="*/ 7931247 w 12192000"/>
              <a:gd name="connsiteY3928" fmla="*/ 4778275 h 6858000"/>
              <a:gd name="connsiteX3929" fmla="*/ 7899042 w 12192000"/>
              <a:gd name="connsiteY3929" fmla="*/ 4807927 h 6858000"/>
              <a:gd name="connsiteX3930" fmla="*/ 7977576 w 12192000"/>
              <a:gd name="connsiteY3930" fmla="*/ 4807927 h 6858000"/>
              <a:gd name="connsiteX3931" fmla="*/ 7945359 w 12192000"/>
              <a:gd name="connsiteY3931" fmla="*/ 4778275 h 6858000"/>
              <a:gd name="connsiteX3932" fmla="*/ 7977576 w 12192000"/>
              <a:gd name="connsiteY3932" fmla="*/ 4748623 h 6858000"/>
              <a:gd name="connsiteX3933" fmla="*/ 8009780 w 12192000"/>
              <a:gd name="connsiteY3933" fmla="*/ 4778275 h 6858000"/>
              <a:gd name="connsiteX3934" fmla="*/ 7977576 w 12192000"/>
              <a:gd name="connsiteY3934" fmla="*/ 4807927 h 6858000"/>
              <a:gd name="connsiteX3935" fmla="*/ 8056110 w 12192000"/>
              <a:gd name="connsiteY3935" fmla="*/ 4807927 h 6858000"/>
              <a:gd name="connsiteX3936" fmla="*/ 8023894 w 12192000"/>
              <a:gd name="connsiteY3936" fmla="*/ 4778275 h 6858000"/>
              <a:gd name="connsiteX3937" fmla="*/ 8056110 w 12192000"/>
              <a:gd name="connsiteY3937" fmla="*/ 4748623 h 6858000"/>
              <a:gd name="connsiteX3938" fmla="*/ 8088314 w 12192000"/>
              <a:gd name="connsiteY3938" fmla="*/ 4778275 h 6858000"/>
              <a:gd name="connsiteX3939" fmla="*/ 8056110 w 12192000"/>
              <a:gd name="connsiteY3939" fmla="*/ 4807927 h 6858000"/>
              <a:gd name="connsiteX3940" fmla="*/ 8134643 w 12192000"/>
              <a:gd name="connsiteY3940" fmla="*/ 4807927 h 6858000"/>
              <a:gd name="connsiteX3941" fmla="*/ 8102427 w 12192000"/>
              <a:gd name="connsiteY3941" fmla="*/ 4778275 h 6858000"/>
              <a:gd name="connsiteX3942" fmla="*/ 8134643 w 12192000"/>
              <a:gd name="connsiteY3942" fmla="*/ 4748623 h 6858000"/>
              <a:gd name="connsiteX3943" fmla="*/ 8166847 w 12192000"/>
              <a:gd name="connsiteY3943" fmla="*/ 4778275 h 6858000"/>
              <a:gd name="connsiteX3944" fmla="*/ 8134643 w 12192000"/>
              <a:gd name="connsiteY3944" fmla="*/ 4807927 h 6858000"/>
              <a:gd name="connsiteX3945" fmla="*/ 8213177 w 12192000"/>
              <a:gd name="connsiteY3945" fmla="*/ 4807927 h 6858000"/>
              <a:gd name="connsiteX3946" fmla="*/ 8180961 w 12192000"/>
              <a:gd name="connsiteY3946" fmla="*/ 4778275 h 6858000"/>
              <a:gd name="connsiteX3947" fmla="*/ 8213177 w 12192000"/>
              <a:gd name="connsiteY3947" fmla="*/ 4748623 h 6858000"/>
              <a:gd name="connsiteX3948" fmla="*/ 8245382 w 12192000"/>
              <a:gd name="connsiteY3948" fmla="*/ 4778275 h 6858000"/>
              <a:gd name="connsiteX3949" fmla="*/ 8213177 w 12192000"/>
              <a:gd name="connsiteY3949" fmla="*/ 4807927 h 6858000"/>
              <a:gd name="connsiteX3950" fmla="*/ 8291712 w 12192000"/>
              <a:gd name="connsiteY3950" fmla="*/ 4807927 h 6858000"/>
              <a:gd name="connsiteX3951" fmla="*/ 8259495 w 12192000"/>
              <a:gd name="connsiteY3951" fmla="*/ 4778275 h 6858000"/>
              <a:gd name="connsiteX3952" fmla="*/ 8291712 w 12192000"/>
              <a:gd name="connsiteY3952" fmla="*/ 4748623 h 6858000"/>
              <a:gd name="connsiteX3953" fmla="*/ 8323916 w 12192000"/>
              <a:gd name="connsiteY3953" fmla="*/ 4778275 h 6858000"/>
              <a:gd name="connsiteX3954" fmla="*/ 8291712 w 12192000"/>
              <a:gd name="connsiteY3954" fmla="*/ 4807927 h 6858000"/>
              <a:gd name="connsiteX3955" fmla="*/ 8370245 w 12192000"/>
              <a:gd name="connsiteY3955" fmla="*/ 4807927 h 6858000"/>
              <a:gd name="connsiteX3956" fmla="*/ 8338029 w 12192000"/>
              <a:gd name="connsiteY3956" fmla="*/ 4778275 h 6858000"/>
              <a:gd name="connsiteX3957" fmla="*/ 8370245 w 12192000"/>
              <a:gd name="connsiteY3957" fmla="*/ 4748623 h 6858000"/>
              <a:gd name="connsiteX3958" fmla="*/ 8402449 w 12192000"/>
              <a:gd name="connsiteY3958" fmla="*/ 4778275 h 6858000"/>
              <a:gd name="connsiteX3959" fmla="*/ 8370245 w 12192000"/>
              <a:gd name="connsiteY3959" fmla="*/ 4807927 h 6858000"/>
              <a:gd name="connsiteX3960" fmla="*/ 8448779 w 12192000"/>
              <a:gd name="connsiteY3960" fmla="*/ 4807927 h 6858000"/>
              <a:gd name="connsiteX3961" fmla="*/ 8416563 w 12192000"/>
              <a:gd name="connsiteY3961" fmla="*/ 4778275 h 6858000"/>
              <a:gd name="connsiteX3962" fmla="*/ 8448779 w 12192000"/>
              <a:gd name="connsiteY3962" fmla="*/ 4748623 h 6858000"/>
              <a:gd name="connsiteX3963" fmla="*/ 8480983 w 12192000"/>
              <a:gd name="connsiteY3963" fmla="*/ 4778275 h 6858000"/>
              <a:gd name="connsiteX3964" fmla="*/ 8448779 w 12192000"/>
              <a:gd name="connsiteY3964" fmla="*/ 4807927 h 6858000"/>
              <a:gd name="connsiteX3965" fmla="*/ 8527313 w 12192000"/>
              <a:gd name="connsiteY3965" fmla="*/ 4807927 h 6858000"/>
              <a:gd name="connsiteX3966" fmla="*/ 8495097 w 12192000"/>
              <a:gd name="connsiteY3966" fmla="*/ 4778275 h 6858000"/>
              <a:gd name="connsiteX3967" fmla="*/ 8527313 w 12192000"/>
              <a:gd name="connsiteY3967" fmla="*/ 4748623 h 6858000"/>
              <a:gd name="connsiteX3968" fmla="*/ 8559518 w 12192000"/>
              <a:gd name="connsiteY3968" fmla="*/ 4778275 h 6858000"/>
              <a:gd name="connsiteX3969" fmla="*/ 8527313 w 12192000"/>
              <a:gd name="connsiteY3969" fmla="*/ 4807927 h 6858000"/>
              <a:gd name="connsiteX3970" fmla="*/ 8605847 w 12192000"/>
              <a:gd name="connsiteY3970" fmla="*/ 4807927 h 6858000"/>
              <a:gd name="connsiteX3971" fmla="*/ 8573630 w 12192000"/>
              <a:gd name="connsiteY3971" fmla="*/ 4778275 h 6858000"/>
              <a:gd name="connsiteX3972" fmla="*/ 8605847 w 12192000"/>
              <a:gd name="connsiteY3972" fmla="*/ 4748623 h 6858000"/>
              <a:gd name="connsiteX3973" fmla="*/ 8638051 w 12192000"/>
              <a:gd name="connsiteY3973" fmla="*/ 4778275 h 6858000"/>
              <a:gd name="connsiteX3974" fmla="*/ 8605847 w 12192000"/>
              <a:gd name="connsiteY3974" fmla="*/ 4807927 h 6858000"/>
              <a:gd name="connsiteX3975" fmla="*/ 8684381 w 12192000"/>
              <a:gd name="connsiteY3975" fmla="*/ 4807927 h 6858000"/>
              <a:gd name="connsiteX3976" fmla="*/ 8652165 w 12192000"/>
              <a:gd name="connsiteY3976" fmla="*/ 4778275 h 6858000"/>
              <a:gd name="connsiteX3977" fmla="*/ 8684381 w 12192000"/>
              <a:gd name="connsiteY3977" fmla="*/ 4748623 h 6858000"/>
              <a:gd name="connsiteX3978" fmla="*/ 8716585 w 12192000"/>
              <a:gd name="connsiteY3978" fmla="*/ 4778275 h 6858000"/>
              <a:gd name="connsiteX3979" fmla="*/ 8684381 w 12192000"/>
              <a:gd name="connsiteY3979" fmla="*/ 4807927 h 6858000"/>
              <a:gd name="connsiteX3980" fmla="*/ 8762914 w 12192000"/>
              <a:gd name="connsiteY3980" fmla="*/ 4807927 h 6858000"/>
              <a:gd name="connsiteX3981" fmla="*/ 8730698 w 12192000"/>
              <a:gd name="connsiteY3981" fmla="*/ 4778275 h 6858000"/>
              <a:gd name="connsiteX3982" fmla="*/ 8762914 w 12192000"/>
              <a:gd name="connsiteY3982" fmla="*/ 4748623 h 6858000"/>
              <a:gd name="connsiteX3983" fmla="*/ 8795118 w 12192000"/>
              <a:gd name="connsiteY3983" fmla="*/ 4778275 h 6858000"/>
              <a:gd name="connsiteX3984" fmla="*/ 8762914 w 12192000"/>
              <a:gd name="connsiteY3984" fmla="*/ 4807927 h 6858000"/>
              <a:gd name="connsiteX3985" fmla="*/ 8841448 w 12192000"/>
              <a:gd name="connsiteY3985" fmla="*/ 4807927 h 6858000"/>
              <a:gd name="connsiteX3986" fmla="*/ 8809232 w 12192000"/>
              <a:gd name="connsiteY3986" fmla="*/ 4778275 h 6858000"/>
              <a:gd name="connsiteX3987" fmla="*/ 8841448 w 12192000"/>
              <a:gd name="connsiteY3987" fmla="*/ 4748623 h 6858000"/>
              <a:gd name="connsiteX3988" fmla="*/ 8873653 w 12192000"/>
              <a:gd name="connsiteY3988" fmla="*/ 4778275 h 6858000"/>
              <a:gd name="connsiteX3989" fmla="*/ 8841448 w 12192000"/>
              <a:gd name="connsiteY3989" fmla="*/ 4807927 h 6858000"/>
              <a:gd name="connsiteX3990" fmla="*/ 8919983 w 12192000"/>
              <a:gd name="connsiteY3990" fmla="*/ 4807927 h 6858000"/>
              <a:gd name="connsiteX3991" fmla="*/ 8887766 w 12192000"/>
              <a:gd name="connsiteY3991" fmla="*/ 4778275 h 6858000"/>
              <a:gd name="connsiteX3992" fmla="*/ 8919983 w 12192000"/>
              <a:gd name="connsiteY3992" fmla="*/ 4748623 h 6858000"/>
              <a:gd name="connsiteX3993" fmla="*/ 8952187 w 12192000"/>
              <a:gd name="connsiteY3993" fmla="*/ 4778275 h 6858000"/>
              <a:gd name="connsiteX3994" fmla="*/ 8919983 w 12192000"/>
              <a:gd name="connsiteY3994" fmla="*/ 4807927 h 6858000"/>
              <a:gd name="connsiteX3995" fmla="*/ 8998516 w 12192000"/>
              <a:gd name="connsiteY3995" fmla="*/ 4807927 h 6858000"/>
              <a:gd name="connsiteX3996" fmla="*/ 8966300 w 12192000"/>
              <a:gd name="connsiteY3996" fmla="*/ 4778275 h 6858000"/>
              <a:gd name="connsiteX3997" fmla="*/ 8998516 w 12192000"/>
              <a:gd name="connsiteY3997" fmla="*/ 4748623 h 6858000"/>
              <a:gd name="connsiteX3998" fmla="*/ 9030720 w 12192000"/>
              <a:gd name="connsiteY3998" fmla="*/ 4778275 h 6858000"/>
              <a:gd name="connsiteX3999" fmla="*/ 8998516 w 12192000"/>
              <a:gd name="connsiteY3999" fmla="*/ 4807927 h 6858000"/>
              <a:gd name="connsiteX4000" fmla="*/ 9077050 w 12192000"/>
              <a:gd name="connsiteY4000" fmla="*/ 4807927 h 6858000"/>
              <a:gd name="connsiteX4001" fmla="*/ 9044834 w 12192000"/>
              <a:gd name="connsiteY4001" fmla="*/ 4778275 h 6858000"/>
              <a:gd name="connsiteX4002" fmla="*/ 9077050 w 12192000"/>
              <a:gd name="connsiteY4002" fmla="*/ 4748623 h 6858000"/>
              <a:gd name="connsiteX4003" fmla="*/ 9109254 w 12192000"/>
              <a:gd name="connsiteY4003" fmla="*/ 4778275 h 6858000"/>
              <a:gd name="connsiteX4004" fmla="*/ 9077050 w 12192000"/>
              <a:gd name="connsiteY4004" fmla="*/ 4807927 h 6858000"/>
              <a:gd name="connsiteX4005" fmla="*/ 9155583 w 12192000"/>
              <a:gd name="connsiteY4005" fmla="*/ 4807927 h 6858000"/>
              <a:gd name="connsiteX4006" fmla="*/ 9123367 w 12192000"/>
              <a:gd name="connsiteY4006" fmla="*/ 4778275 h 6858000"/>
              <a:gd name="connsiteX4007" fmla="*/ 9155583 w 12192000"/>
              <a:gd name="connsiteY4007" fmla="*/ 4748623 h 6858000"/>
              <a:gd name="connsiteX4008" fmla="*/ 9187788 w 12192000"/>
              <a:gd name="connsiteY4008" fmla="*/ 4778275 h 6858000"/>
              <a:gd name="connsiteX4009" fmla="*/ 9155583 w 12192000"/>
              <a:gd name="connsiteY4009" fmla="*/ 4807927 h 6858000"/>
              <a:gd name="connsiteX4010" fmla="*/ 9234118 w 12192000"/>
              <a:gd name="connsiteY4010" fmla="*/ 4807927 h 6858000"/>
              <a:gd name="connsiteX4011" fmla="*/ 9201901 w 12192000"/>
              <a:gd name="connsiteY4011" fmla="*/ 4778275 h 6858000"/>
              <a:gd name="connsiteX4012" fmla="*/ 9234118 w 12192000"/>
              <a:gd name="connsiteY4012" fmla="*/ 4748623 h 6858000"/>
              <a:gd name="connsiteX4013" fmla="*/ 9266322 w 12192000"/>
              <a:gd name="connsiteY4013" fmla="*/ 4778275 h 6858000"/>
              <a:gd name="connsiteX4014" fmla="*/ 9234118 w 12192000"/>
              <a:gd name="connsiteY4014" fmla="*/ 4807927 h 6858000"/>
              <a:gd name="connsiteX4015" fmla="*/ 9312652 w 12192000"/>
              <a:gd name="connsiteY4015" fmla="*/ 4807927 h 6858000"/>
              <a:gd name="connsiteX4016" fmla="*/ 9280436 w 12192000"/>
              <a:gd name="connsiteY4016" fmla="*/ 4778275 h 6858000"/>
              <a:gd name="connsiteX4017" fmla="*/ 9312652 w 12192000"/>
              <a:gd name="connsiteY4017" fmla="*/ 4748623 h 6858000"/>
              <a:gd name="connsiteX4018" fmla="*/ 9344856 w 12192000"/>
              <a:gd name="connsiteY4018" fmla="*/ 4778275 h 6858000"/>
              <a:gd name="connsiteX4019" fmla="*/ 9312652 w 12192000"/>
              <a:gd name="connsiteY4019" fmla="*/ 4807927 h 6858000"/>
              <a:gd name="connsiteX4020" fmla="*/ 9391185 w 12192000"/>
              <a:gd name="connsiteY4020" fmla="*/ 4807927 h 6858000"/>
              <a:gd name="connsiteX4021" fmla="*/ 9358969 w 12192000"/>
              <a:gd name="connsiteY4021" fmla="*/ 4778275 h 6858000"/>
              <a:gd name="connsiteX4022" fmla="*/ 9391185 w 12192000"/>
              <a:gd name="connsiteY4022" fmla="*/ 4748623 h 6858000"/>
              <a:gd name="connsiteX4023" fmla="*/ 9423389 w 12192000"/>
              <a:gd name="connsiteY4023" fmla="*/ 4778275 h 6858000"/>
              <a:gd name="connsiteX4024" fmla="*/ 9391185 w 12192000"/>
              <a:gd name="connsiteY4024" fmla="*/ 4807927 h 6858000"/>
              <a:gd name="connsiteX4025" fmla="*/ 9469719 w 12192000"/>
              <a:gd name="connsiteY4025" fmla="*/ 4807927 h 6858000"/>
              <a:gd name="connsiteX4026" fmla="*/ 9437503 w 12192000"/>
              <a:gd name="connsiteY4026" fmla="*/ 4778275 h 6858000"/>
              <a:gd name="connsiteX4027" fmla="*/ 9469719 w 12192000"/>
              <a:gd name="connsiteY4027" fmla="*/ 4748623 h 6858000"/>
              <a:gd name="connsiteX4028" fmla="*/ 9501924 w 12192000"/>
              <a:gd name="connsiteY4028" fmla="*/ 4778275 h 6858000"/>
              <a:gd name="connsiteX4029" fmla="*/ 9469719 w 12192000"/>
              <a:gd name="connsiteY4029" fmla="*/ 4807927 h 6858000"/>
              <a:gd name="connsiteX4030" fmla="*/ 9548254 w 12192000"/>
              <a:gd name="connsiteY4030" fmla="*/ 4807927 h 6858000"/>
              <a:gd name="connsiteX4031" fmla="*/ 9516037 w 12192000"/>
              <a:gd name="connsiteY4031" fmla="*/ 4778275 h 6858000"/>
              <a:gd name="connsiteX4032" fmla="*/ 9548254 w 12192000"/>
              <a:gd name="connsiteY4032" fmla="*/ 4748623 h 6858000"/>
              <a:gd name="connsiteX4033" fmla="*/ 9580458 w 12192000"/>
              <a:gd name="connsiteY4033" fmla="*/ 4778275 h 6858000"/>
              <a:gd name="connsiteX4034" fmla="*/ 9548254 w 12192000"/>
              <a:gd name="connsiteY4034" fmla="*/ 4807927 h 6858000"/>
              <a:gd name="connsiteX4035" fmla="*/ 10019456 w 12192000"/>
              <a:gd name="connsiteY4035" fmla="*/ 4807927 h 6858000"/>
              <a:gd name="connsiteX4036" fmla="*/ 9987240 w 12192000"/>
              <a:gd name="connsiteY4036" fmla="*/ 4778275 h 6858000"/>
              <a:gd name="connsiteX4037" fmla="*/ 10019456 w 12192000"/>
              <a:gd name="connsiteY4037" fmla="*/ 4748623 h 6858000"/>
              <a:gd name="connsiteX4038" fmla="*/ 10051660 w 12192000"/>
              <a:gd name="connsiteY4038" fmla="*/ 4778275 h 6858000"/>
              <a:gd name="connsiteX4039" fmla="*/ 10019456 w 12192000"/>
              <a:gd name="connsiteY4039" fmla="*/ 4807927 h 6858000"/>
              <a:gd name="connsiteX4040" fmla="*/ 10097990 w 12192000"/>
              <a:gd name="connsiteY4040" fmla="*/ 4807927 h 6858000"/>
              <a:gd name="connsiteX4041" fmla="*/ 10065774 w 12192000"/>
              <a:gd name="connsiteY4041" fmla="*/ 4778275 h 6858000"/>
              <a:gd name="connsiteX4042" fmla="*/ 10097990 w 12192000"/>
              <a:gd name="connsiteY4042" fmla="*/ 4748623 h 6858000"/>
              <a:gd name="connsiteX4043" fmla="*/ 10130195 w 12192000"/>
              <a:gd name="connsiteY4043" fmla="*/ 4778275 h 6858000"/>
              <a:gd name="connsiteX4044" fmla="*/ 10097990 w 12192000"/>
              <a:gd name="connsiteY4044" fmla="*/ 4807927 h 6858000"/>
              <a:gd name="connsiteX4045" fmla="*/ 1773370 w 12192000"/>
              <a:gd name="connsiteY4045" fmla="*/ 4735662 h 6858000"/>
              <a:gd name="connsiteX4046" fmla="*/ 1741159 w 12192000"/>
              <a:gd name="connsiteY4046" fmla="*/ 4706009 h 6858000"/>
              <a:gd name="connsiteX4047" fmla="*/ 1773370 w 12192000"/>
              <a:gd name="connsiteY4047" fmla="*/ 4676357 h 6858000"/>
              <a:gd name="connsiteX4048" fmla="*/ 1805580 w 12192000"/>
              <a:gd name="connsiteY4048" fmla="*/ 4706009 h 6858000"/>
              <a:gd name="connsiteX4049" fmla="*/ 1773370 w 12192000"/>
              <a:gd name="connsiteY4049" fmla="*/ 4735662 h 6858000"/>
              <a:gd name="connsiteX4050" fmla="*/ 1851910 w 12192000"/>
              <a:gd name="connsiteY4050" fmla="*/ 4735662 h 6858000"/>
              <a:gd name="connsiteX4051" fmla="*/ 1819700 w 12192000"/>
              <a:gd name="connsiteY4051" fmla="*/ 4706009 h 6858000"/>
              <a:gd name="connsiteX4052" fmla="*/ 1851910 w 12192000"/>
              <a:gd name="connsiteY4052" fmla="*/ 4676357 h 6858000"/>
              <a:gd name="connsiteX4053" fmla="*/ 1884120 w 12192000"/>
              <a:gd name="connsiteY4053" fmla="*/ 4706009 h 6858000"/>
              <a:gd name="connsiteX4054" fmla="*/ 1851910 w 12192000"/>
              <a:gd name="connsiteY4054" fmla="*/ 4735662 h 6858000"/>
              <a:gd name="connsiteX4055" fmla="*/ 2480181 w 12192000"/>
              <a:gd name="connsiteY4055" fmla="*/ 4735662 h 6858000"/>
              <a:gd name="connsiteX4056" fmla="*/ 2447971 w 12192000"/>
              <a:gd name="connsiteY4056" fmla="*/ 4706009 h 6858000"/>
              <a:gd name="connsiteX4057" fmla="*/ 2480181 w 12192000"/>
              <a:gd name="connsiteY4057" fmla="*/ 4676357 h 6858000"/>
              <a:gd name="connsiteX4058" fmla="*/ 2512391 w 12192000"/>
              <a:gd name="connsiteY4058" fmla="*/ 4706009 h 6858000"/>
              <a:gd name="connsiteX4059" fmla="*/ 2480181 w 12192000"/>
              <a:gd name="connsiteY4059" fmla="*/ 4735662 h 6858000"/>
              <a:gd name="connsiteX4060" fmla="*/ 2558715 w 12192000"/>
              <a:gd name="connsiteY4060" fmla="*/ 4735662 h 6858000"/>
              <a:gd name="connsiteX4061" fmla="*/ 2526505 w 12192000"/>
              <a:gd name="connsiteY4061" fmla="*/ 4706009 h 6858000"/>
              <a:gd name="connsiteX4062" fmla="*/ 2558715 w 12192000"/>
              <a:gd name="connsiteY4062" fmla="*/ 4676357 h 6858000"/>
              <a:gd name="connsiteX4063" fmla="*/ 2590926 w 12192000"/>
              <a:gd name="connsiteY4063" fmla="*/ 4706009 h 6858000"/>
              <a:gd name="connsiteX4064" fmla="*/ 2558715 w 12192000"/>
              <a:gd name="connsiteY4064" fmla="*/ 4735662 h 6858000"/>
              <a:gd name="connsiteX4065" fmla="*/ 2637243 w 12192000"/>
              <a:gd name="connsiteY4065" fmla="*/ 4735662 h 6858000"/>
              <a:gd name="connsiteX4066" fmla="*/ 2605032 w 12192000"/>
              <a:gd name="connsiteY4066" fmla="*/ 4706009 h 6858000"/>
              <a:gd name="connsiteX4067" fmla="*/ 2637243 w 12192000"/>
              <a:gd name="connsiteY4067" fmla="*/ 4676357 h 6858000"/>
              <a:gd name="connsiteX4068" fmla="*/ 2669453 w 12192000"/>
              <a:gd name="connsiteY4068" fmla="*/ 4706009 h 6858000"/>
              <a:gd name="connsiteX4069" fmla="*/ 2637243 w 12192000"/>
              <a:gd name="connsiteY4069" fmla="*/ 4735662 h 6858000"/>
              <a:gd name="connsiteX4070" fmla="*/ 2715777 w 12192000"/>
              <a:gd name="connsiteY4070" fmla="*/ 4735662 h 6858000"/>
              <a:gd name="connsiteX4071" fmla="*/ 2683566 w 12192000"/>
              <a:gd name="connsiteY4071" fmla="*/ 4706009 h 6858000"/>
              <a:gd name="connsiteX4072" fmla="*/ 2715777 w 12192000"/>
              <a:gd name="connsiteY4072" fmla="*/ 4676357 h 6858000"/>
              <a:gd name="connsiteX4073" fmla="*/ 2747987 w 12192000"/>
              <a:gd name="connsiteY4073" fmla="*/ 4706009 h 6858000"/>
              <a:gd name="connsiteX4074" fmla="*/ 2715777 w 12192000"/>
              <a:gd name="connsiteY4074" fmla="*/ 4735662 h 6858000"/>
              <a:gd name="connsiteX4075" fmla="*/ 2794310 w 12192000"/>
              <a:gd name="connsiteY4075" fmla="*/ 4735662 h 6858000"/>
              <a:gd name="connsiteX4076" fmla="*/ 2762100 w 12192000"/>
              <a:gd name="connsiteY4076" fmla="*/ 4706009 h 6858000"/>
              <a:gd name="connsiteX4077" fmla="*/ 2794310 w 12192000"/>
              <a:gd name="connsiteY4077" fmla="*/ 4676357 h 6858000"/>
              <a:gd name="connsiteX4078" fmla="*/ 2826520 w 12192000"/>
              <a:gd name="connsiteY4078" fmla="*/ 4706009 h 6858000"/>
              <a:gd name="connsiteX4079" fmla="*/ 2794310 w 12192000"/>
              <a:gd name="connsiteY4079" fmla="*/ 4735662 h 6858000"/>
              <a:gd name="connsiteX4080" fmla="*/ 2872844 w 12192000"/>
              <a:gd name="connsiteY4080" fmla="*/ 4735662 h 6858000"/>
              <a:gd name="connsiteX4081" fmla="*/ 2840634 w 12192000"/>
              <a:gd name="connsiteY4081" fmla="*/ 4706009 h 6858000"/>
              <a:gd name="connsiteX4082" fmla="*/ 2872844 w 12192000"/>
              <a:gd name="connsiteY4082" fmla="*/ 4676357 h 6858000"/>
              <a:gd name="connsiteX4083" fmla="*/ 2905055 w 12192000"/>
              <a:gd name="connsiteY4083" fmla="*/ 4706009 h 6858000"/>
              <a:gd name="connsiteX4084" fmla="*/ 2872844 w 12192000"/>
              <a:gd name="connsiteY4084" fmla="*/ 4735662 h 6858000"/>
              <a:gd name="connsiteX4085" fmla="*/ 2951379 w 12192000"/>
              <a:gd name="connsiteY4085" fmla="*/ 4735662 h 6858000"/>
              <a:gd name="connsiteX4086" fmla="*/ 2919168 w 12192000"/>
              <a:gd name="connsiteY4086" fmla="*/ 4706009 h 6858000"/>
              <a:gd name="connsiteX4087" fmla="*/ 2951379 w 12192000"/>
              <a:gd name="connsiteY4087" fmla="*/ 4676357 h 6858000"/>
              <a:gd name="connsiteX4088" fmla="*/ 2983589 w 12192000"/>
              <a:gd name="connsiteY4088" fmla="*/ 4706009 h 6858000"/>
              <a:gd name="connsiteX4089" fmla="*/ 2951379 w 12192000"/>
              <a:gd name="connsiteY4089" fmla="*/ 4735662 h 6858000"/>
              <a:gd name="connsiteX4090" fmla="*/ 3108446 w 12192000"/>
              <a:gd name="connsiteY4090" fmla="*/ 4735662 h 6858000"/>
              <a:gd name="connsiteX4091" fmla="*/ 3076236 w 12192000"/>
              <a:gd name="connsiteY4091" fmla="*/ 4706009 h 6858000"/>
              <a:gd name="connsiteX4092" fmla="*/ 3108446 w 12192000"/>
              <a:gd name="connsiteY4092" fmla="*/ 4676357 h 6858000"/>
              <a:gd name="connsiteX4093" fmla="*/ 3140656 w 12192000"/>
              <a:gd name="connsiteY4093" fmla="*/ 4706009 h 6858000"/>
              <a:gd name="connsiteX4094" fmla="*/ 3108446 w 12192000"/>
              <a:gd name="connsiteY4094" fmla="*/ 4735662 h 6858000"/>
              <a:gd name="connsiteX4095" fmla="*/ 3186979 w 12192000"/>
              <a:gd name="connsiteY4095" fmla="*/ 4735662 h 6858000"/>
              <a:gd name="connsiteX4096" fmla="*/ 3154769 w 12192000"/>
              <a:gd name="connsiteY4096" fmla="*/ 4706009 h 6858000"/>
              <a:gd name="connsiteX4097" fmla="*/ 3186979 w 12192000"/>
              <a:gd name="connsiteY4097" fmla="*/ 4676357 h 6858000"/>
              <a:gd name="connsiteX4098" fmla="*/ 3219190 w 12192000"/>
              <a:gd name="connsiteY4098" fmla="*/ 4706009 h 6858000"/>
              <a:gd name="connsiteX4099" fmla="*/ 3186979 w 12192000"/>
              <a:gd name="connsiteY4099" fmla="*/ 4735662 h 6858000"/>
              <a:gd name="connsiteX4100" fmla="*/ 3265514 w 12192000"/>
              <a:gd name="connsiteY4100" fmla="*/ 4735662 h 6858000"/>
              <a:gd name="connsiteX4101" fmla="*/ 3233303 w 12192000"/>
              <a:gd name="connsiteY4101" fmla="*/ 4706009 h 6858000"/>
              <a:gd name="connsiteX4102" fmla="*/ 3265514 w 12192000"/>
              <a:gd name="connsiteY4102" fmla="*/ 4676357 h 6858000"/>
              <a:gd name="connsiteX4103" fmla="*/ 3297724 w 12192000"/>
              <a:gd name="connsiteY4103" fmla="*/ 4706009 h 6858000"/>
              <a:gd name="connsiteX4104" fmla="*/ 3265514 w 12192000"/>
              <a:gd name="connsiteY4104" fmla="*/ 4735662 h 6858000"/>
              <a:gd name="connsiteX4105" fmla="*/ 3344048 w 12192000"/>
              <a:gd name="connsiteY4105" fmla="*/ 4735662 h 6858000"/>
              <a:gd name="connsiteX4106" fmla="*/ 3311837 w 12192000"/>
              <a:gd name="connsiteY4106" fmla="*/ 4706009 h 6858000"/>
              <a:gd name="connsiteX4107" fmla="*/ 3344048 w 12192000"/>
              <a:gd name="connsiteY4107" fmla="*/ 4676357 h 6858000"/>
              <a:gd name="connsiteX4108" fmla="*/ 3376258 w 12192000"/>
              <a:gd name="connsiteY4108" fmla="*/ 4706009 h 6858000"/>
              <a:gd name="connsiteX4109" fmla="*/ 3344048 w 12192000"/>
              <a:gd name="connsiteY4109" fmla="*/ 4735662 h 6858000"/>
              <a:gd name="connsiteX4110" fmla="*/ 3422581 w 12192000"/>
              <a:gd name="connsiteY4110" fmla="*/ 4735662 h 6858000"/>
              <a:gd name="connsiteX4111" fmla="*/ 3390371 w 12192000"/>
              <a:gd name="connsiteY4111" fmla="*/ 4706009 h 6858000"/>
              <a:gd name="connsiteX4112" fmla="*/ 3422581 w 12192000"/>
              <a:gd name="connsiteY4112" fmla="*/ 4676357 h 6858000"/>
              <a:gd name="connsiteX4113" fmla="*/ 3454791 w 12192000"/>
              <a:gd name="connsiteY4113" fmla="*/ 4706009 h 6858000"/>
              <a:gd name="connsiteX4114" fmla="*/ 3422581 w 12192000"/>
              <a:gd name="connsiteY4114" fmla="*/ 4735662 h 6858000"/>
              <a:gd name="connsiteX4115" fmla="*/ 3501115 w 12192000"/>
              <a:gd name="connsiteY4115" fmla="*/ 4735662 h 6858000"/>
              <a:gd name="connsiteX4116" fmla="*/ 3468905 w 12192000"/>
              <a:gd name="connsiteY4116" fmla="*/ 4706009 h 6858000"/>
              <a:gd name="connsiteX4117" fmla="*/ 3501115 w 12192000"/>
              <a:gd name="connsiteY4117" fmla="*/ 4676357 h 6858000"/>
              <a:gd name="connsiteX4118" fmla="*/ 3533326 w 12192000"/>
              <a:gd name="connsiteY4118" fmla="*/ 4706009 h 6858000"/>
              <a:gd name="connsiteX4119" fmla="*/ 3501115 w 12192000"/>
              <a:gd name="connsiteY4119" fmla="*/ 4735662 h 6858000"/>
              <a:gd name="connsiteX4120" fmla="*/ 3579650 w 12192000"/>
              <a:gd name="connsiteY4120" fmla="*/ 4735662 h 6858000"/>
              <a:gd name="connsiteX4121" fmla="*/ 3547439 w 12192000"/>
              <a:gd name="connsiteY4121" fmla="*/ 4706009 h 6858000"/>
              <a:gd name="connsiteX4122" fmla="*/ 3579650 w 12192000"/>
              <a:gd name="connsiteY4122" fmla="*/ 4676357 h 6858000"/>
              <a:gd name="connsiteX4123" fmla="*/ 3611860 w 12192000"/>
              <a:gd name="connsiteY4123" fmla="*/ 4706009 h 6858000"/>
              <a:gd name="connsiteX4124" fmla="*/ 3579650 w 12192000"/>
              <a:gd name="connsiteY4124" fmla="*/ 4735662 h 6858000"/>
              <a:gd name="connsiteX4125" fmla="*/ 3893785 w 12192000"/>
              <a:gd name="connsiteY4125" fmla="*/ 4735662 h 6858000"/>
              <a:gd name="connsiteX4126" fmla="*/ 3861574 w 12192000"/>
              <a:gd name="connsiteY4126" fmla="*/ 4706009 h 6858000"/>
              <a:gd name="connsiteX4127" fmla="*/ 3893785 w 12192000"/>
              <a:gd name="connsiteY4127" fmla="*/ 4676357 h 6858000"/>
              <a:gd name="connsiteX4128" fmla="*/ 3925995 w 12192000"/>
              <a:gd name="connsiteY4128" fmla="*/ 4706009 h 6858000"/>
              <a:gd name="connsiteX4129" fmla="*/ 3893785 w 12192000"/>
              <a:gd name="connsiteY4129" fmla="*/ 4735662 h 6858000"/>
              <a:gd name="connsiteX4130" fmla="*/ 4207926 w 12192000"/>
              <a:gd name="connsiteY4130" fmla="*/ 4735662 h 6858000"/>
              <a:gd name="connsiteX4131" fmla="*/ 4175715 w 12192000"/>
              <a:gd name="connsiteY4131" fmla="*/ 4706009 h 6858000"/>
              <a:gd name="connsiteX4132" fmla="*/ 4207926 w 12192000"/>
              <a:gd name="connsiteY4132" fmla="*/ 4676357 h 6858000"/>
              <a:gd name="connsiteX4133" fmla="*/ 4240136 w 12192000"/>
              <a:gd name="connsiteY4133" fmla="*/ 4706009 h 6858000"/>
              <a:gd name="connsiteX4134" fmla="*/ 4207926 w 12192000"/>
              <a:gd name="connsiteY4134" fmla="*/ 4735662 h 6858000"/>
              <a:gd name="connsiteX4135" fmla="*/ 4286460 w 12192000"/>
              <a:gd name="connsiteY4135" fmla="*/ 4735662 h 6858000"/>
              <a:gd name="connsiteX4136" fmla="*/ 4254250 w 12192000"/>
              <a:gd name="connsiteY4136" fmla="*/ 4706009 h 6858000"/>
              <a:gd name="connsiteX4137" fmla="*/ 4286460 w 12192000"/>
              <a:gd name="connsiteY4137" fmla="*/ 4676357 h 6858000"/>
              <a:gd name="connsiteX4138" fmla="*/ 4318670 w 12192000"/>
              <a:gd name="connsiteY4138" fmla="*/ 4706009 h 6858000"/>
              <a:gd name="connsiteX4139" fmla="*/ 4286460 w 12192000"/>
              <a:gd name="connsiteY4139" fmla="*/ 4735662 h 6858000"/>
              <a:gd name="connsiteX4140" fmla="*/ 4757663 w 12192000"/>
              <a:gd name="connsiteY4140" fmla="*/ 4735662 h 6858000"/>
              <a:gd name="connsiteX4141" fmla="*/ 4725453 w 12192000"/>
              <a:gd name="connsiteY4141" fmla="*/ 4706009 h 6858000"/>
              <a:gd name="connsiteX4142" fmla="*/ 4757663 w 12192000"/>
              <a:gd name="connsiteY4142" fmla="*/ 4676357 h 6858000"/>
              <a:gd name="connsiteX4143" fmla="*/ 4789874 w 12192000"/>
              <a:gd name="connsiteY4143" fmla="*/ 4706009 h 6858000"/>
              <a:gd name="connsiteX4144" fmla="*/ 4757663 w 12192000"/>
              <a:gd name="connsiteY4144" fmla="*/ 4735662 h 6858000"/>
              <a:gd name="connsiteX4145" fmla="*/ 4836197 w 12192000"/>
              <a:gd name="connsiteY4145" fmla="*/ 4735662 h 6858000"/>
              <a:gd name="connsiteX4146" fmla="*/ 4803986 w 12192000"/>
              <a:gd name="connsiteY4146" fmla="*/ 4706009 h 6858000"/>
              <a:gd name="connsiteX4147" fmla="*/ 4836197 w 12192000"/>
              <a:gd name="connsiteY4147" fmla="*/ 4676357 h 6858000"/>
              <a:gd name="connsiteX4148" fmla="*/ 4868407 w 12192000"/>
              <a:gd name="connsiteY4148" fmla="*/ 4706009 h 6858000"/>
              <a:gd name="connsiteX4149" fmla="*/ 4836197 w 12192000"/>
              <a:gd name="connsiteY4149" fmla="*/ 4735662 h 6858000"/>
              <a:gd name="connsiteX4150" fmla="*/ 4914731 w 12192000"/>
              <a:gd name="connsiteY4150" fmla="*/ 4735662 h 6858000"/>
              <a:gd name="connsiteX4151" fmla="*/ 4882521 w 12192000"/>
              <a:gd name="connsiteY4151" fmla="*/ 4706009 h 6858000"/>
              <a:gd name="connsiteX4152" fmla="*/ 4914731 w 12192000"/>
              <a:gd name="connsiteY4152" fmla="*/ 4676357 h 6858000"/>
              <a:gd name="connsiteX4153" fmla="*/ 4946941 w 12192000"/>
              <a:gd name="connsiteY4153" fmla="*/ 4706009 h 6858000"/>
              <a:gd name="connsiteX4154" fmla="*/ 4914731 w 12192000"/>
              <a:gd name="connsiteY4154" fmla="*/ 4735662 h 6858000"/>
              <a:gd name="connsiteX4155" fmla="*/ 5385934 w 12192000"/>
              <a:gd name="connsiteY4155" fmla="*/ 4735662 h 6858000"/>
              <a:gd name="connsiteX4156" fmla="*/ 5353724 w 12192000"/>
              <a:gd name="connsiteY4156" fmla="*/ 4706009 h 6858000"/>
              <a:gd name="connsiteX4157" fmla="*/ 5385934 w 12192000"/>
              <a:gd name="connsiteY4157" fmla="*/ 4676357 h 6858000"/>
              <a:gd name="connsiteX4158" fmla="*/ 5418145 w 12192000"/>
              <a:gd name="connsiteY4158" fmla="*/ 4706009 h 6858000"/>
              <a:gd name="connsiteX4159" fmla="*/ 5385934 w 12192000"/>
              <a:gd name="connsiteY4159" fmla="*/ 4735662 h 6858000"/>
              <a:gd name="connsiteX4160" fmla="*/ 5543002 w 12192000"/>
              <a:gd name="connsiteY4160" fmla="*/ 4735662 h 6858000"/>
              <a:gd name="connsiteX4161" fmla="*/ 5510792 w 12192000"/>
              <a:gd name="connsiteY4161" fmla="*/ 4706009 h 6858000"/>
              <a:gd name="connsiteX4162" fmla="*/ 5543002 w 12192000"/>
              <a:gd name="connsiteY4162" fmla="*/ 4676357 h 6858000"/>
              <a:gd name="connsiteX4163" fmla="*/ 5575212 w 12192000"/>
              <a:gd name="connsiteY4163" fmla="*/ 4706009 h 6858000"/>
              <a:gd name="connsiteX4164" fmla="*/ 5543002 w 12192000"/>
              <a:gd name="connsiteY4164" fmla="*/ 4735662 h 6858000"/>
              <a:gd name="connsiteX4165" fmla="*/ 6249806 w 12192000"/>
              <a:gd name="connsiteY4165" fmla="*/ 4735662 h 6858000"/>
              <a:gd name="connsiteX4166" fmla="*/ 6217590 w 12192000"/>
              <a:gd name="connsiteY4166" fmla="*/ 4706009 h 6858000"/>
              <a:gd name="connsiteX4167" fmla="*/ 6249806 w 12192000"/>
              <a:gd name="connsiteY4167" fmla="*/ 4676357 h 6858000"/>
              <a:gd name="connsiteX4168" fmla="*/ 6282010 w 12192000"/>
              <a:gd name="connsiteY4168" fmla="*/ 4706009 h 6858000"/>
              <a:gd name="connsiteX4169" fmla="*/ 6249806 w 12192000"/>
              <a:gd name="connsiteY4169" fmla="*/ 4735662 h 6858000"/>
              <a:gd name="connsiteX4170" fmla="*/ 6328340 w 12192000"/>
              <a:gd name="connsiteY4170" fmla="*/ 4735662 h 6858000"/>
              <a:gd name="connsiteX4171" fmla="*/ 6296124 w 12192000"/>
              <a:gd name="connsiteY4171" fmla="*/ 4706009 h 6858000"/>
              <a:gd name="connsiteX4172" fmla="*/ 6328340 w 12192000"/>
              <a:gd name="connsiteY4172" fmla="*/ 4676357 h 6858000"/>
              <a:gd name="connsiteX4173" fmla="*/ 6360545 w 12192000"/>
              <a:gd name="connsiteY4173" fmla="*/ 4706009 h 6858000"/>
              <a:gd name="connsiteX4174" fmla="*/ 6328340 w 12192000"/>
              <a:gd name="connsiteY4174" fmla="*/ 4735662 h 6858000"/>
              <a:gd name="connsiteX4175" fmla="*/ 6406875 w 12192000"/>
              <a:gd name="connsiteY4175" fmla="*/ 4735662 h 6858000"/>
              <a:gd name="connsiteX4176" fmla="*/ 6374658 w 12192000"/>
              <a:gd name="connsiteY4176" fmla="*/ 4706009 h 6858000"/>
              <a:gd name="connsiteX4177" fmla="*/ 6406875 w 12192000"/>
              <a:gd name="connsiteY4177" fmla="*/ 4676357 h 6858000"/>
              <a:gd name="connsiteX4178" fmla="*/ 6439079 w 12192000"/>
              <a:gd name="connsiteY4178" fmla="*/ 4706009 h 6858000"/>
              <a:gd name="connsiteX4179" fmla="*/ 6406875 w 12192000"/>
              <a:gd name="connsiteY4179" fmla="*/ 4735662 h 6858000"/>
              <a:gd name="connsiteX4180" fmla="*/ 6563942 w 12192000"/>
              <a:gd name="connsiteY4180" fmla="*/ 4735662 h 6858000"/>
              <a:gd name="connsiteX4181" fmla="*/ 6531726 w 12192000"/>
              <a:gd name="connsiteY4181" fmla="*/ 4706009 h 6858000"/>
              <a:gd name="connsiteX4182" fmla="*/ 6563942 w 12192000"/>
              <a:gd name="connsiteY4182" fmla="*/ 4676357 h 6858000"/>
              <a:gd name="connsiteX4183" fmla="*/ 6596146 w 12192000"/>
              <a:gd name="connsiteY4183" fmla="*/ 4706009 h 6858000"/>
              <a:gd name="connsiteX4184" fmla="*/ 6563942 w 12192000"/>
              <a:gd name="connsiteY4184" fmla="*/ 4735662 h 6858000"/>
              <a:gd name="connsiteX4185" fmla="*/ 6642476 w 12192000"/>
              <a:gd name="connsiteY4185" fmla="*/ 4735662 h 6858000"/>
              <a:gd name="connsiteX4186" fmla="*/ 6610260 w 12192000"/>
              <a:gd name="connsiteY4186" fmla="*/ 4706009 h 6858000"/>
              <a:gd name="connsiteX4187" fmla="*/ 6642476 w 12192000"/>
              <a:gd name="connsiteY4187" fmla="*/ 4676357 h 6858000"/>
              <a:gd name="connsiteX4188" fmla="*/ 6674681 w 12192000"/>
              <a:gd name="connsiteY4188" fmla="*/ 4706009 h 6858000"/>
              <a:gd name="connsiteX4189" fmla="*/ 6642476 w 12192000"/>
              <a:gd name="connsiteY4189" fmla="*/ 4735662 h 6858000"/>
              <a:gd name="connsiteX4190" fmla="*/ 6956611 w 12192000"/>
              <a:gd name="connsiteY4190" fmla="*/ 4735662 h 6858000"/>
              <a:gd name="connsiteX4191" fmla="*/ 6924395 w 12192000"/>
              <a:gd name="connsiteY4191" fmla="*/ 4706009 h 6858000"/>
              <a:gd name="connsiteX4192" fmla="*/ 6956611 w 12192000"/>
              <a:gd name="connsiteY4192" fmla="*/ 4676357 h 6858000"/>
              <a:gd name="connsiteX4193" fmla="*/ 6988816 w 12192000"/>
              <a:gd name="connsiteY4193" fmla="*/ 4706009 h 6858000"/>
              <a:gd name="connsiteX4194" fmla="*/ 6956611 w 12192000"/>
              <a:gd name="connsiteY4194" fmla="*/ 4735662 h 6858000"/>
              <a:gd name="connsiteX4195" fmla="*/ 7035146 w 12192000"/>
              <a:gd name="connsiteY4195" fmla="*/ 4735662 h 6858000"/>
              <a:gd name="connsiteX4196" fmla="*/ 7002929 w 12192000"/>
              <a:gd name="connsiteY4196" fmla="*/ 4706009 h 6858000"/>
              <a:gd name="connsiteX4197" fmla="*/ 7035146 w 12192000"/>
              <a:gd name="connsiteY4197" fmla="*/ 4676357 h 6858000"/>
              <a:gd name="connsiteX4198" fmla="*/ 7067350 w 12192000"/>
              <a:gd name="connsiteY4198" fmla="*/ 4706009 h 6858000"/>
              <a:gd name="connsiteX4199" fmla="*/ 7035146 w 12192000"/>
              <a:gd name="connsiteY4199" fmla="*/ 4735662 h 6858000"/>
              <a:gd name="connsiteX4200" fmla="*/ 7113703 w 12192000"/>
              <a:gd name="connsiteY4200" fmla="*/ 4735662 h 6858000"/>
              <a:gd name="connsiteX4201" fmla="*/ 7081487 w 12192000"/>
              <a:gd name="connsiteY4201" fmla="*/ 4706009 h 6858000"/>
              <a:gd name="connsiteX4202" fmla="*/ 7113703 w 12192000"/>
              <a:gd name="connsiteY4202" fmla="*/ 4676357 h 6858000"/>
              <a:gd name="connsiteX4203" fmla="*/ 7145907 w 12192000"/>
              <a:gd name="connsiteY4203" fmla="*/ 4706009 h 6858000"/>
              <a:gd name="connsiteX4204" fmla="*/ 7113703 w 12192000"/>
              <a:gd name="connsiteY4204" fmla="*/ 4735662 h 6858000"/>
              <a:gd name="connsiteX4205" fmla="*/ 7192237 w 12192000"/>
              <a:gd name="connsiteY4205" fmla="*/ 4735662 h 6858000"/>
              <a:gd name="connsiteX4206" fmla="*/ 7160021 w 12192000"/>
              <a:gd name="connsiteY4206" fmla="*/ 4706009 h 6858000"/>
              <a:gd name="connsiteX4207" fmla="*/ 7192237 w 12192000"/>
              <a:gd name="connsiteY4207" fmla="*/ 4676357 h 6858000"/>
              <a:gd name="connsiteX4208" fmla="*/ 7224441 w 12192000"/>
              <a:gd name="connsiteY4208" fmla="*/ 4706009 h 6858000"/>
              <a:gd name="connsiteX4209" fmla="*/ 7192237 w 12192000"/>
              <a:gd name="connsiteY4209" fmla="*/ 4735662 h 6858000"/>
              <a:gd name="connsiteX4210" fmla="*/ 7270771 w 12192000"/>
              <a:gd name="connsiteY4210" fmla="*/ 4735662 h 6858000"/>
              <a:gd name="connsiteX4211" fmla="*/ 7238555 w 12192000"/>
              <a:gd name="connsiteY4211" fmla="*/ 4706009 h 6858000"/>
              <a:gd name="connsiteX4212" fmla="*/ 7270771 w 12192000"/>
              <a:gd name="connsiteY4212" fmla="*/ 4676357 h 6858000"/>
              <a:gd name="connsiteX4213" fmla="*/ 7302976 w 12192000"/>
              <a:gd name="connsiteY4213" fmla="*/ 4706009 h 6858000"/>
              <a:gd name="connsiteX4214" fmla="*/ 7270771 w 12192000"/>
              <a:gd name="connsiteY4214" fmla="*/ 4735662 h 6858000"/>
              <a:gd name="connsiteX4215" fmla="*/ 7349305 w 12192000"/>
              <a:gd name="connsiteY4215" fmla="*/ 4735662 h 6858000"/>
              <a:gd name="connsiteX4216" fmla="*/ 7317088 w 12192000"/>
              <a:gd name="connsiteY4216" fmla="*/ 4706009 h 6858000"/>
              <a:gd name="connsiteX4217" fmla="*/ 7349305 w 12192000"/>
              <a:gd name="connsiteY4217" fmla="*/ 4676357 h 6858000"/>
              <a:gd name="connsiteX4218" fmla="*/ 7381509 w 12192000"/>
              <a:gd name="connsiteY4218" fmla="*/ 4706009 h 6858000"/>
              <a:gd name="connsiteX4219" fmla="*/ 7349305 w 12192000"/>
              <a:gd name="connsiteY4219" fmla="*/ 4735662 h 6858000"/>
              <a:gd name="connsiteX4220" fmla="*/ 7427839 w 12192000"/>
              <a:gd name="connsiteY4220" fmla="*/ 4735662 h 6858000"/>
              <a:gd name="connsiteX4221" fmla="*/ 7395623 w 12192000"/>
              <a:gd name="connsiteY4221" fmla="*/ 4706009 h 6858000"/>
              <a:gd name="connsiteX4222" fmla="*/ 7427839 w 12192000"/>
              <a:gd name="connsiteY4222" fmla="*/ 4676357 h 6858000"/>
              <a:gd name="connsiteX4223" fmla="*/ 7460043 w 12192000"/>
              <a:gd name="connsiteY4223" fmla="*/ 4706009 h 6858000"/>
              <a:gd name="connsiteX4224" fmla="*/ 7427839 w 12192000"/>
              <a:gd name="connsiteY4224" fmla="*/ 4735662 h 6858000"/>
              <a:gd name="connsiteX4225" fmla="*/ 7506373 w 12192000"/>
              <a:gd name="connsiteY4225" fmla="*/ 4735662 h 6858000"/>
              <a:gd name="connsiteX4226" fmla="*/ 7474157 w 12192000"/>
              <a:gd name="connsiteY4226" fmla="*/ 4706009 h 6858000"/>
              <a:gd name="connsiteX4227" fmla="*/ 7506373 w 12192000"/>
              <a:gd name="connsiteY4227" fmla="*/ 4676357 h 6858000"/>
              <a:gd name="connsiteX4228" fmla="*/ 7538577 w 12192000"/>
              <a:gd name="connsiteY4228" fmla="*/ 4706009 h 6858000"/>
              <a:gd name="connsiteX4229" fmla="*/ 7506373 w 12192000"/>
              <a:gd name="connsiteY4229" fmla="*/ 4735662 h 6858000"/>
              <a:gd name="connsiteX4230" fmla="*/ 7584906 w 12192000"/>
              <a:gd name="connsiteY4230" fmla="*/ 4735662 h 6858000"/>
              <a:gd name="connsiteX4231" fmla="*/ 7552690 w 12192000"/>
              <a:gd name="connsiteY4231" fmla="*/ 4706009 h 6858000"/>
              <a:gd name="connsiteX4232" fmla="*/ 7584906 w 12192000"/>
              <a:gd name="connsiteY4232" fmla="*/ 4676357 h 6858000"/>
              <a:gd name="connsiteX4233" fmla="*/ 7617111 w 12192000"/>
              <a:gd name="connsiteY4233" fmla="*/ 4706009 h 6858000"/>
              <a:gd name="connsiteX4234" fmla="*/ 7584906 w 12192000"/>
              <a:gd name="connsiteY4234" fmla="*/ 4735662 h 6858000"/>
              <a:gd name="connsiteX4235" fmla="*/ 7663441 w 12192000"/>
              <a:gd name="connsiteY4235" fmla="*/ 4735662 h 6858000"/>
              <a:gd name="connsiteX4236" fmla="*/ 7631224 w 12192000"/>
              <a:gd name="connsiteY4236" fmla="*/ 4706009 h 6858000"/>
              <a:gd name="connsiteX4237" fmla="*/ 7663441 w 12192000"/>
              <a:gd name="connsiteY4237" fmla="*/ 4676357 h 6858000"/>
              <a:gd name="connsiteX4238" fmla="*/ 7695645 w 12192000"/>
              <a:gd name="connsiteY4238" fmla="*/ 4706009 h 6858000"/>
              <a:gd name="connsiteX4239" fmla="*/ 7663441 w 12192000"/>
              <a:gd name="connsiteY4239" fmla="*/ 4735662 h 6858000"/>
              <a:gd name="connsiteX4240" fmla="*/ 7741974 w 12192000"/>
              <a:gd name="connsiteY4240" fmla="*/ 4735662 h 6858000"/>
              <a:gd name="connsiteX4241" fmla="*/ 7709758 w 12192000"/>
              <a:gd name="connsiteY4241" fmla="*/ 4706009 h 6858000"/>
              <a:gd name="connsiteX4242" fmla="*/ 7741974 w 12192000"/>
              <a:gd name="connsiteY4242" fmla="*/ 4676357 h 6858000"/>
              <a:gd name="connsiteX4243" fmla="*/ 7774178 w 12192000"/>
              <a:gd name="connsiteY4243" fmla="*/ 4706009 h 6858000"/>
              <a:gd name="connsiteX4244" fmla="*/ 7741974 w 12192000"/>
              <a:gd name="connsiteY4244" fmla="*/ 4735662 h 6858000"/>
              <a:gd name="connsiteX4245" fmla="*/ 7820508 w 12192000"/>
              <a:gd name="connsiteY4245" fmla="*/ 4735662 h 6858000"/>
              <a:gd name="connsiteX4246" fmla="*/ 7788292 w 12192000"/>
              <a:gd name="connsiteY4246" fmla="*/ 4706009 h 6858000"/>
              <a:gd name="connsiteX4247" fmla="*/ 7820508 w 12192000"/>
              <a:gd name="connsiteY4247" fmla="*/ 4676357 h 6858000"/>
              <a:gd name="connsiteX4248" fmla="*/ 7852712 w 12192000"/>
              <a:gd name="connsiteY4248" fmla="*/ 4706009 h 6858000"/>
              <a:gd name="connsiteX4249" fmla="*/ 7820508 w 12192000"/>
              <a:gd name="connsiteY4249" fmla="*/ 4735662 h 6858000"/>
              <a:gd name="connsiteX4250" fmla="*/ 7899042 w 12192000"/>
              <a:gd name="connsiteY4250" fmla="*/ 4735662 h 6858000"/>
              <a:gd name="connsiteX4251" fmla="*/ 7866826 w 12192000"/>
              <a:gd name="connsiteY4251" fmla="*/ 4706009 h 6858000"/>
              <a:gd name="connsiteX4252" fmla="*/ 7899042 w 12192000"/>
              <a:gd name="connsiteY4252" fmla="*/ 4676357 h 6858000"/>
              <a:gd name="connsiteX4253" fmla="*/ 7931247 w 12192000"/>
              <a:gd name="connsiteY4253" fmla="*/ 4706009 h 6858000"/>
              <a:gd name="connsiteX4254" fmla="*/ 7899042 w 12192000"/>
              <a:gd name="connsiteY4254" fmla="*/ 4735662 h 6858000"/>
              <a:gd name="connsiteX4255" fmla="*/ 7977576 w 12192000"/>
              <a:gd name="connsiteY4255" fmla="*/ 4735662 h 6858000"/>
              <a:gd name="connsiteX4256" fmla="*/ 7945359 w 12192000"/>
              <a:gd name="connsiteY4256" fmla="*/ 4706009 h 6858000"/>
              <a:gd name="connsiteX4257" fmla="*/ 7977576 w 12192000"/>
              <a:gd name="connsiteY4257" fmla="*/ 4676357 h 6858000"/>
              <a:gd name="connsiteX4258" fmla="*/ 8009780 w 12192000"/>
              <a:gd name="connsiteY4258" fmla="*/ 4706009 h 6858000"/>
              <a:gd name="connsiteX4259" fmla="*/ 7977576 w 12192000"/>
              <a:gd name="connsiteY4259" fmla="*/ 4735662 h 6858000"/>
              <a:gd name="connsiteX4260" fmla="*/ 8056110 w 12192000"/>
              <a:gd name="connsiteY4260" fmla="*/ 4735662 h 6858000"/>
              <a:gd name="connsiteX4261" fmla="*/ 8023894 w 12192000"/>
              <a:gd name="connsiteY4261" fmla="*/ 4706009 h 6858000"/>
              <a:gd name="connsiteX4262" fmla="*/ 8056110 w 12192000"/>
              <a:gd name="connsiteY4262" fmla="*/ 4676357 h 6858000"/>
              <a:gd name="connsiteX4263" fmla="*/ 8088314 w 12192000"/>
              <a:gd name="connsiteY4263" fmla="*/ 4706009 h 6858000"/>
              <a:gd name="connsiteX4264" fmla="*/ 8056110 w 12192000"/>
              <a:gd name="connsiteY4264" fmla="*/ 4735662 h 6858000"/>
              <a:gd name="connsiteX4265" fmla="*/ 8134643 w 12192000"/>
              <a:gd name="connsiteY4265" fmla="*/ 4735662 h 6858000"/>
              <a:gd name="connsiteX4266" fmla="*/ 8102427 w 12192000"/>
              <a:gd name="connsiteY4266" fmla="*/ 4706009 h 6858000"/>
              <a:gd name="connsiteX4267" fmla="*/ 8134643 w 12192000"/>
              <a:gd name="connsiteY4267" fmla="*/ 4676357 h 6858000"/>
              <a:gd name="connsiteX4268" fmla="*/ 8166847 w 12192000"/>
              <a:gd name="connsiteY4268" fmla="*/ 4706009 h 6858000"/>
              <a:gd name="connsiteX4269" fmla="*/ 8134643 w 12192000"/>
              <a:gd name="connsiteY4269" fmla="*/ 4735662 h 6858000"/>
              <a:gd name="connsiteX4270" fmla="*/ 8213177 w 12192000"/>
              <a:gd name="connsiteY4270" fmla="*/ 4735662 h 6858000"/>
              <a:gd name="connsiteX4271" fmla="*/ 8180961 w 12192000"/>
              <a:gd name="connsiteY4271" fmla="*/ 4706009 h 6858000"/>
              <a:gd name="connsiteX4272" fmla="*/ 8213177 w 12192000"/>
              <a:gd name="connsiteY4272" fmla="*/ 4676357 h 6858000"/>
              <a:gd name="connsiteX4273" fmla="*/ 8245382 w 12192000"/>
              <a:gd name="connsiteY4273" fmla="*/ 4706009 h 6858000"/>
              <a:gd name="connsiteX4274" fmla="*/ 8213177 w 12192000"/>
              <a:gd name="connsiteY4274" fmla="*/ 4735662 h 6858000"/>
              <a:gd name="connsiteX4275" fmla="*/ 8291712 w 12192000"/>
              <a:gd name="connsiteY4275" fmla="*/ 4735662 h 6858000"/>
              <a:gd name="connsiteX4276" fmla="*/ 8259495 w 12192000"/>
              <a:gd name="connsiteY4276" fmla="*/ 4706009 h 6858000"/>
              <a:gd name="connsiteX4277" fmla="*/ 8291712 w 12192000"/>
              <a:gd name="connsiteY4277" fmla="*/ 4676357 h 6858000"/>
              <a:gd name="connsiteX4278" fmla="*/ 8323916 w 12192000"/>
              <a:gd name="connsiteY4278" fmla="*/ 4706009 h 6858000"/>
              <a:gd name="connsiteX4279" fmla="*/ 8291712 w 12192000"/>
              <a:gd name="connsiteY4279" fmla="*/ 4735662 h 6858000"/>
              <a:gd name="connsiteX4280" fmla="*/ 8370245 w 12192000"/>
              <a:gd name="connsiteY4280" fmla="*/ 4735662 h 6858000"/>
              <a:gd name="connsiteX4281" fmla="*/ 8338029 w 12192000"/>
              <a:gd name="connsiteY4281" fmla="*/ 4706009 h 6858000"/>
              <a:gd name="connsiteX4282" fmla="*/ 8370245 w 12192000"/>
              <a:gd name="connsiteY4282" fmla="*/ 4676357 h 6858000"/>
              <a:gd name="connsiteX4283" fmla="*/ 8402449 w 12192000"/>
              <a:gd name="connsiteY4283" fmla="*/ 4706009 h 6858000"/>
              <a:gd name="connsiteX4284" fmla="*/ 8370245 w 12192000"/>
              <a:gd name="connsiteY4284" fmla="*/ 4735662 h 6858000"/>
              <a:gd name="connsiteX4285" fmla="*/ 8448779 w 12192000"/>
              <a:gd name="connsiteY4285" fmla="*/ 4735662 h 6858000"/>
              <a:gd name="connsiteX4286" fmla="*/ 8416563 w 12192000"/>
              <a:gd name="connsiteY4286" fmla="*/ 4706009 h 6858000"/>
              <a:gd name="connsiteX4287" fmla="*/ 8448779 w 12192000"/>
              <a:gd name="connsiteY4287" fmla="*/ 4676357 h 6858000"/>
              <a:gd name="connsiteX4288" fmla="*/ 8480983 w 12192000"/>
              <a:gd name="connsiteY4288" fmla="*/ 4706009 h 6858000"/>
              <a:gd name="connsiteX4289" fmla="*/ 8448779 w 12192000"/>
              <a:gd name="connsiteY4289" fmla="*/ 4735662 h 6858000"/>
              <a:gd name="connsiteX4290" fmla="*/ 8527313 w 12192000"/>
              <a:gd name="connsiteY4290" fmla="*/ 4735662 h 6858000"/>
              <a:gd name="connsiteX4291" fmla="*/ 8495097 w 12192000"/>
              <a:gd name="connsiteY4291" fmla="*/ 4706009 h 6858000"/>
              <a:gd name="connsiteX4292" fmla="*/ 8527313 w 12192000"/>
              <a:gd name="connsiteY4292" fmla="*/ 4676357 h 6858000"/>
              <a:gd name="connsiteX4293" fmla="*/ 8559518 w 12192000"/>
              <a:gd name="connsiteY4293" fmla="*/ 4706009 h 6858000"/>
              <a:gd name="connsiteX4294" fmla="*/ 8527313 w 12192000"/>
              <a:gd name="connsiteY4294" fmla="*/ 4735662 h 6858000"/>
              <a:gd name="connsiteX4295" fmla="*/ 8605847 w 12192000"/>
              <a:gd name="connsiteY4295" fmla="*/ 4735662 h 6858000"/>
              <a:gd name="connsiteX4296" fmla="*/ 8573630 w 12192000"/>
              <a:gd name="connsiteY4296" fmla="*/ 4706009 h 6858000"/>
              <a:gd name="connsiteX4297" fmla="*/ 8605847 w 12192000"/>
              <a:gd name="connsiteY4297" fmla="*/ 4676357 h 6858000"/>
              <a:gd name="connsiteX4298" fmla="*/ 8638051 w 12192000"/>
              <a:gd name="connsiteY4298" fmla="*/ 4706009 h 6858000"/>
              <a:gd name="connsiteX4299" fmla="*/ 8605847 w 12192000"/>
              <a:gd name="connsiteY4299" fmla="*/ 4735662 h 6858000"/>
              <a:gd name="connsiteX4300" fmla="*/ 8684381 w 12192000"/>
              <a:gd name="connsiteY4300" fmla="*/ 4735662 h 6858000"/>
              <a:gd name="connsiteX4301" fmla="*/ 8652165 w 12192000"/>
              <a:gd name="connsiteY4301" fmla="*/ 4706009 h 6858000"/>
              <a:gd name="connsiteX4302" fmla="*/ 8684381 w 12192000"/>
              <a:gd name="connsiteY4302" fmla="*/ 4676357 h 6858000"/>
              <a:gd name="connsiteX4303" fmla="*/ 8716585 w 12192000"/>
              <a:gd name="connsiteY4303" fmla="*/ 4706009 h 6858000"/>
              <a:gd name="connsiteX4304" fmla="*/ 8684381 w 12192000"/>
              <a:gd name="connsiteY4304" fmla="*/ 4735662 h 6858000"/>
              <a:gd name="connsiteX4305" fmla="*/ 8762914 w 12192000"/>
              <a:gd name="connsiteY4305" fmla="*/ 4735662 h 6858000"/>
              <a:gd name="connsiteX4306" fmla="*/ 8730698 w 12192000"/>
              <a:gd name="connsiteY4306" fmla="*/ 4706009 h 6858000"/>
              <a:gd name="connsiteX4307" fmla="*/ 8762914 w 12192000"/>
              <a:gd name="connsiteY4307" fmla="*/ 4676357 h 6858000"/>
              <a:gd name="connsiteX4308" fmla="*/ 8795118 w 12192000"/>
              <a:gd name="connsiteY4308" fmla="*/ 4706009 h 6858000"/>
              <a:gd name="connsiteX4309" fmla="*/ 8762914 w 12192000"/>
              <a:gd name="connsiteY4309" fmla="*/ 4735662 h 6858000"/>
              <a:gd name="connsiteX4310" fmla="*/ 8841448 w 12192000"/>
              <a:gd name="connsiteY4310" fmla="*/ 4735662 h 6858000"/>
              <a:gd name="connsiteX4311" fmla="*/ 8809232 w 12192000"/>
              <a:gd name="connsiteY4311" fmla="*/ 4706009 h 6858000"/>
              <a:gd name="connsiteX4312" fmla="*/ 8841448 w 12192000"/>
              <a:gd name="connsiteY4312" fmla="*/ 4676357 h 6858000"/>
              <a:gd name="connsiteX4313" fmla="*/ 8873653 w 12192000"/>
              <a:gd name="connsiteY4313" fmla="*/ 4706009 h 6858000"/>
              <a:gd name="connsiteX4314" fmla="*/ 8841448 w 12192000"/>
              <a:gd name="connsiteY4314" fmla="*/ 4735662 h 6858000"/>
              <a:gd name="connsiteX4315" fmla="*/ 8919983 w 12192000"/>
              <a:gd name="connsiteY4315" fmla="*/ 4735662 h 6858000"/>
              <a:gd name="connsiteX4316" fmla="*/ 8887766 w 12192000"/>
              <a:gd name="connsiteY4316" fmla="*/ 4706009 h 6858000"/>
              <a:gd name="connsiteX4317" fmla="*/ 8919983 w 12192000"/>
              <a:gd name="connsiteY4317" fmla="*/ 4676357 h 6858000"/>
              <a:gd name="connsiteX4318" fmla="*/ 8952187 w 12192000"/>
              <a:gd name="connsiteY4318" fmla="*/ 4706009 h 6858000"/>
              <a:gd name="connsiteX4319" fmla="*/ 8919983 w 12192000"/>
              <a:gd name="connsiteY4319" fmla="*/ 4735662 h 6858000"/>
              <a:gd name="connsiteX4320" fmla="*/ 8998516 w 12192000"/>
              <a:gd name="connsiteY4320" fmla="*/ 4735662 h 6858000"/>
              <a:gd name="connsiteX4321" fmla="*/ 8966300 w 12192000"/>
              <a:gd name="connsiteY4321" fmla="*/ 4706009 h 6858000"/>
              <a:gd name="connsiteX4322" fmla="*/ 8998516 w 12192000"/>
              <a:gd name="connsiteY4322" fmla="*/ 4676357 h 6858000"/>
              <a:gd name="connsiteX4323" fmla="*/ 9030720 w 12192000"/>
              <a:gd name="connsiteY4323" fmla="*/ 4706009 h 6858000"/>
              <a:gd name="connsiteX4324" fmla="*/ 8998516 w 12192000"/>
              <a:gd name="connsiteY4324" fmla="*/ 4735662 h 6858000"/>
              <a:gd name="connsiteX4325" fmla="*/ 9077050 w 12192000"/>
              <a:gd name="connsiteY4325" fmla="*/ 4735662 h 6858000"/>
              <a:gd name="connsiteX4326" fmla="*/ 9044834 w 12192000"/>
              <a:gd name="connsiteY4326" fmla="*/ 4706009 h 6858000"/>
              <a:gd name="connsiteX4327" fmla="*/ 9077050 w 12192000"/>
              <a:gd name="connsiteY4327" fmla="*/ 4676357 h 6858000"/>
              <a:gd name="connsiteX4328" fmla="*/ 9109254 w 12192000"/>
              <a:gd name="connsiteY4328" fmla="*/ 4706009 h 6858000"/>
              <a:gd name="connsiteX4329" fmla="*/ 9077050 w 12192000"/>
              <a:gd name="connsiteY4329" fmla="*/ 4735662 h 6858000"/>
              <a:gd name="connsiteX4330" fmla="*/ 9155583 w 12192000"/>
              <a:gd name="connsiteY4330" fmla="*/ 4735662 h 6858000"/>
              <a:gd name="connsiteX4331" fmla="*/ 9123367 w 12192000"/>
              <a:gd name="connsiteY4331" fmla="*/ 4706009 h 6858000"/>
              <a:gd name="connsiteX4332" fmla="*/ 9155583 w 12192000"/>
              <a:gd name="connsiteY4332" fmla="*/ 4676357 h 6858000"/>
              <a:gd name="connsiteX4333" fmla="*/ 9187788 w 12192000"/>
              <a:gd name="connsiteY4333" fmla="*/ 4706009 h 6858000"/>
              <a:gd name="connsiteX4334" fmla="*/ 9155583 w 12192000"/>
              <a:gd name="connsiteY4334" fmla="*/ 4735662 h 6858000"/>
              <a:gd name="connsiteX4335" fmla="*/ 9234118 w 12192000"/>
              <a:gd name="connsiteY4335" fmla="*/ 4735662 h 6858000"/>
              <a:gd name="connsiteX4336" fmla="*/ 9201901 w 12192000"/>
              <a:gd name="connsiteY4336" fmla="*/ 4706009 h 6858000"/>
              <a:gd name="connsiteX4337" fmla="*/ 9234118 w 12192000"/>
              <a:gd name="connsiteY4337" fmla="*/ 4676357 h 6858000"/>
              <a:gd name="connsiteX4338" fmla="*/ 9266322 w 12192000"/>
              <a:gd name="connsiteY4338" fmla="*/ 4706009 h 6858000"/>
              <a:gd name="connsiteX4339" fmla="*/ 9234118 w 12192000"/>
              <a:gd name="connsiteY4339" fmla="*/ 4735662 h 6858000"/>
              <a:gd name="connsiteX4340" fmla="*/ 9312652 w 12192000"/>
              <a:gd name="connsiteY4340" fmla="*/ 4735662 h 6858000"/>
              <a:gd name="connsiteX4341" fmla="*/ 9280436 w 12192000"/>
              <a:gd name="connsiteY4341" fmla="*/ 4706009 h 6858000"/>
              <a:gd name="connsiteX4342" fmla="*/ 9312652 w 12192000"/>
              <a:gd name="connsiteY4342" fmla="*/ 4676357 h 6858000"/>
              <a:gd name="connsiteX4343" fmla="*/ 9344856 w 12192000"/>
              <a:gd name="connsiteY4343" fmla="*/ 4706009 h 6858000"/>
              <a:gd name="connsiteX4344" fmla="*/ 9312652 w 12192000"/>
              <a:gd name="connsiteY4344" fmla="*/ 4735662 h 6858000"/>
              <a:gd name="connsiteX4345" fmla="*/ 9391185 w 12192000"/>
              <a:gd name="connsiteY4345" fmla="*/ 4735662 h 6858000"/>
              <a:gd name="connsiteX4346" fmla="*/ 9358969 w 12192000"/>
              <a:gd name="connsiteY4346" fmla="*/ 4706009 h 6858000"/>
              <a:gd name="connsiteX4347" fmla="*/ 9391185 w 12192000"/>
              <a:gd name="connsiteY4347" fmla="*/ 4676357 h 6858000"/>
              <a:gd name="connsiteX4348" fmla="*/ 9423389 w 12192000"/>
              <a:gd name="connsiteY4348" fmla="*/ 4706009 h 6858000"/>
              <a:gd name="connsiteX4349" fmla="*/ 9391185 w 12192000"/>
              <a:gd name="connsiteY4349" fmla="*/ 4735662 h 6858000"/>
              <a:gd name="connsiteX4350" fmla="*/ 9469719 w 12192000"/>
              <a:gd name="connsiteY4350" fmla="*/ 4735662 h 6858000"/>
              <a:gd name="connsiteX4351" fmla="*/ 9437503 w 12192000"/>
              <a:gd name="connsiteY4351" fmla="*/ 4706009 h 6858000"/>
              <a:gd name="connsiteX4352" fmla="*/ 9469719 w 12192000"/>
              <a:gd name="connsiteY4352" fmla="*/ 4676357 h 6858000"/>
              <a:gd name="connsiteX4353" fmla="*/ 9501924 w 12192000"/>
              <a:gd name="connsiteY4353" fmla="*/ 4706009 h 6858000"/>
              <a:gd name="connsiteX4354" fmla="*/ 9469719 w 12192000"/>
              <a:gd name="connsiteY4354" fmla="*/ 4735662 h 6858000"/>
              <a:gd name="connsiteX4355" fmla="*/ 10019456 w 12192000"/>
              <a:gd name="connsiteY4355" fmla="*/ 4735662 h 6858000"/>
              <a:gd name="connsiteX4356" fmla="*/ 9987240 w 12192000"/>
              <a:gd name="connsiteY4356" fmla="*/ 4706009 h 6858000"/>
              <a:gd name="connsiteX4357" fmla="*/ 10019456 w 12192000"/>
              <a:gd name="connsiteY4357" fmla="*/ 4676357 h 6858000"/>
              <a:gd name="connsiteX4358" fmla="*/ 10051660 w 12192000"/>
              <a:gd name="connsiteY4358" fmla="*/ 4706009 h 6858000"/>
              <a:gd name="connsiteX4359" fmla="*/ 10019456 w 12192000"/>
              <a:gd name="connsiteY4359" fmla="*/ 4735662 h 6858000"/>
              <a:gd name="connsiteX4360" fmla="*/ 10097990 w 12192000"/>
              <a:gd name="connsiteY4360" fmla="*/ 4735662 h 6858000"/>
              <a:gd name="connsiteX4361" fmla="*/ 10065774 w 12192000"/>
              <a:gd name="connsiteY4361" fmla="*/ 4706009 h 6858000"/>
              <a:gd name="connsiteX4362" fmla="*/ 10097990 w 12192000"/>
              <a:gd name="connsiteY4362" fmla="*/ 4676357 h 6858000"/>
              <a:gd name="connsiteX4363" fmla="*/ 10130195 w 12192000"/>
              <a:gd name="connsiteY4363" fmla="*/ 4706009 h 6858000"/>
              <a:gd name="connsiteX4364" fmla="*/ 10097990 w 12192000"/>
              <a:gd name="connsiteY4364" fmla="*/ 4735662 h 6858000"/>
              <a:gd name="connsiteX4365" fmla="*/ 1616305 w 12192000"/>
              <a:gd name="connsiteY4365" fmla="*/ 4663396 h 6858000"/>
              <a:gd name="connsiteX4366" fmla="*/ 1584095 w 12192000"/>
              <a:gd name="connsiteY4366" fmla="*/ 4633744 h 6858000"/>
              <a:gd name="connsiteX4367" fmla="*/ 1616305 w 12192000"/>
              <a:gd name="connsiteY4367" fmla="*/ 4604092 h 6858000"/>
              <a:gd name="connsiteX4368" fmla="*/ 1648516 w 12192000"/>
              <a:gd name="connsiteY4368" fmla="*/ 4633744 h 6858000"/>
              <a:gd name="connsiteX4369" fmla="*/ 1616305 w 12192000"/>
              <a:gd name="connsiteY4369" fmla="*/ 4663396 h 6858000"/>
              <a:gd name="connsiteX4370" fmla="*/ 1694837 w 12192000"/>
              <a:gd name="connsiteY4370" fmla="*/ 4663396 h 6858000"/>
              <a:gd name="connsiteX4371" fmla="*/ 1662626 w 12192000"/>
              <a:gd name="connsiteY4371" fmla="*/ 4633744 h 6858000"/>
              <a:gd name="connsiteX4372" fmla="*/ 1694837 w 12192000"/>
              <a:gd name="connsiteY4372" fmla="*/ 4604092 h 6858000"/>
              <a:gd name="connsiteX4373" fmla="*/ 1727047 w 12192000"/>
              <a:gd name="connsiteY4373" fmla="*/ 4633744 h 6858000"/>
              <a:gd name="connsiteX4374" fmla="*/ 1694837 w 12192000"/>
              <a:gd name="connsiteY4374" fmla="*/ 4663396 h 6858000"/>
              <a:gd name="connsiteX4375" fmla="*/ 2480181 w 12192000"/>
              <a:gd name="connsiteY4375" fmla="*/ 4663396 h 6858000"/>
              <a:gd name="connsiteX4376" fmla="*/ 2447971 w 12192000"/>
              <a:gd name="connsiteY4376" fmla="*/ 4633744 h 6858000"/>
              <a:gd name="connsiteX4377" fmla="*/ 2480181 w 12192000"/>
              <a:gd name="connsiteY4377" fmla="*/ 4604092 h 6858000"/>
              <a:gd name="connsiteX4378" fmla="*/ 2512391 w 12192000"/>
              <a:gd name="connsiteY4378" fmla="*/ 4633744 h 6858000"/>
              <a:gd name="connsiteX4379" fmla="*/ 2480181 w 12192000"/>
              <a:gd name="connsiteY4379" fmla="*/ 4663396 h 6858000"/>
              <a:gd name="connsiteX4380" fmla="*/ 2558715 w 12192000"/>
              <a:gd name="connsiteY4380" fmla="*/ 4663396 h 6858000"/>
              <a:gd name="connsiteX4381" fmla="*/ 2526505 w 12192000"/>
              <a:gd name="connsiteY4381" fmla="*/ 4633744 h 6858000"/>
              <a:gd name="connsiteX4382" fmla="*/ 2558715 w 12192000"/>
              <a:gd name="connsiteY4382" fmla="*/ 4604092 h 6858000"/>
              <a:gd name="connsiteX4383" fmla="*/ 2590926 w 12192000"/>
              <a:gd name="connsiteY4383" fmla="*/ 4633744 h 6858000"/>
              <a:gd name="connsiteX4384" fmla="*/ 2558715 w 12192000"/>
              <a:gd name="connsiteY4384" fmla="*/ 4663396 h 6858000"/>
              <a:gd name="connsiteX4385" fmla="*/ 2637243 w 12192000"/>
              <a:gd name="connsiteY4385" fmla="*/ 4663396 h 6858000"/>
              <a:gd name="connsiteX4386" fmla="*/ 2605032 w 12192000"/>
              <a:gd name="connsiteY4386" fmla="*/ 4633744 h 6858000"/>
              <a:gd name="connsiteX4387" fmla="*/ 2637243 w 12192000"/>
              <a:gd name="connsiteY4387" fmla="*/ 4604092 h 6858000"/>
              <a:gd name="connsiteX4388" fmla="*/ 2669453 w 12192000"/>
              <a:gd name="connsiteY4388" fmla="*/ 4633744 h 6858000"/>
              <a:gd name="connsiteX4389" fmla="*/ 2637243 w 12192000"/>
              <a:gd name="connsiteY4389" fmla="*/ 4663396 h 6858000"/>
              <a:gd name="connsiteX4390" fmla="*/ 2715777 w 12192000"/>
              <a:gd name="connsiteY4390" fmla="*/ 4663396 h 6858000"/>
              <a:gd name="connsiteX4391" fmla="*/ 2683566 w 12192000"/>
              <a:gd name="connsiteY4391" fmla="*/ 4633744 h 6858000"/>
              <a:gd name="connsiteX4392" fmla="*/ 2715777 w 12192000"/>
              <a:gd name="connsiteY4392" fmla="*/ 4604092 h 6858000"/>
              <a:gd name="connsiteX4393" fmla="*/ 2747987 w 12192000"/>
              <a:gd name="connsiteY4393" fmla="*/ 4633744 h 6858000"/>
              <a:gd name="connsiteX4394" fmla="*/ 2715777 w 12192000"/>
              <a:gd name="connsiteY4394" fmla="*/ 4663396 h 6858000"/>
              <a:gd name="connsiteX4395" fmla="*/ 2794310 w 12192000"/>
              <a:gd name="connsiteY4395" fmla="*/ 4663396 h 6858000"/>
              <a:gd name="connsiteX4396" fmla="*/ 2762100 w 12192000"/>
              <a:gd name="connsiteY4396" fmla="*/ 4633744 h 6858000"/>
              <a:gd name="connsiteX4397" fmla="*/ 2794310 w 12192000"/>
              <a:gd name="connsiteY4397" fmla="*/ 4604092 h 6858000"/>
              <a:gd name="connsiteX4398" fmla="*/ 2826520 w 12192000"/>
              <a:gd name="connsiteY4398" fmla="*/ 4633744 h 6858000"/>
              <a:gd name="connsiteX4399" fmla="*/ 2794310 w 12192000"/>
              <a:gd name="connsiteY4399" fmla="*/ 4663396 h 6858000"/>
              <a:gd name="connsiteX4400" fmla="*/ 2872844 w 12192000"/>
              <a:gd name="connsiteY4400" fmla="*/ 4663396 h 6858000"/>
              <a:gd name="connsiteX4401" fmla="*/ 2840634 w 12192000"/>
              <a:gd name="connsiteY4401" fmla="*/ 4633744 h 6858000"/>
              <a:gd name="connsiteX4402" fmla="*/ 2872844 w 12192000"/>
              <a:gd name="connsiteY4402" fmla="*/ 4604092 h 6858000"/>
              <a:gd name="connsiteX4403" fmla="*/ 2905055 w 12192000"/>
              <a:gd name="connsiteY4403" fmla="*/ 4633744 h 6858000"/>
              <a:gd name="connsiteX4404" fmla="*/ 2872844 w 12192000"/>
              <a:gd name="connsiteY4404" fmla="*/ 4663396 h 6858000"/>
              <a:gd name="connsiteX4405" fmla="*/ 2951379 w 12192000"/>
              <a:gd name="connsiteY4405" fmla="*/ 4663396 h 6858000"/>
              <a:gd name="connsiteX4406" fmla="*/ 2919168 w 12192000"/>
              <a:gd name="connsiteY4406" fmla="*/ 4633744 h 6858000"/>
              <a:gd name="connsiteX4407" fmla="*/ 2951379 w 12192000"/>
              <a:gd name="connsiteY4407" fmla="*/ 4604092 h 6858000"/>
              <a:gd name="connsiteX4408" fmla="*/ 2983589 w 12192000"/>
              <a:gd name="connsiteY4408" fmla="*/ 4633744 h 6858000"/>
              <a:gd name="connsiteX4409" fmla="*/ 2951379 w 12192000"/>
              <a:gd name="connsiteY4409" fmla="*/ 4663396 h 6858000"/>
              <a:gd name="connsiteX4410" fmla="*/ 3029912 w 12192000"/>
              <a:gd name="connsiteY4410" fmla="*/ 4663396 h 6858000"/>
              <a:gd name="connsiteX4411" fmla="*/ 2997701 w 12192000"/>
              <a:gd name="connsiteY4411" fmla="*/ 4633744 h 6858000"/>
              <a:gd name="connsiteX4412" fmla="*/ 3029912 w 12192000"/>
              <a:gd name="connsiteY4412" fmla="*/ 4604092 h 6858000"/>
              <a:gd name="connsiteX4413" fmla="*/ 3062122 w 12192000"/>
              <a:gd name="connsiteY4413" fmla="*/ 4633744 h 6858000"/>
              <a:gd name="connsiteX4414" fmla="*/ 3029912 w 12192000"/>
              <a:gd name="connsiteY4414" fmla="*/ 4663396 h 6858000"/>
              <a:gd name="connsiteX4415" fmla="*/ 3108446 w 12192000"/>
              <a:gd name="connsiteY4415" fmla="*/ 4663396 h 6858000"/>
              <a:gd name="connsiteX4416" fmla="*/ 3076236 w 12192000"/>
              <a:gd name="connsiteY4416" fmla="*/ 4633744 h 6858000"/>
              <a:gd name="connsiteX4417" fmla="*/ 3108446 w 12192000"/>
              <a:gd name="connsiteY4417" fmla="*/ 4604092 h 6858000"/>
              <a:gd name="connsiteX4418" fmla="*/ 3140656 w 12192000"/>
              <a:gd name="connsiteY4418" fmla="*/ 4633744 h 6858000"/>
              <a:gd name="connsiteX4419" fmla="*/ 3108446 w 12192000"/>
              <a:gd name="connsiteY4419" fmla="*/ 4663396 h 6858000"/>
              <a:gd name="connsiteX4420" fmla="*/ 3186979 w 12192000"/>
              <a:gd name="connsiteY4420" fmla="*/ 4663396 h 6858000"/>
              <a:gd name="connsiteX4421" fmla="*/ 3154769 w 12192000"/>
              <a:gd name="connsiteY4421" fmla="*/ 4633744 h 6858000"/>
              <a:gd name="connsiteX4422" fmla="*/ 3186979 w 12192000"/>
              <a:gd name="connsiteY4422" fmla="*/ 4604092 h 6858000"/>
              <a:gd name="connsiteX4423" fmla="*/ 3219190 w 12192000"/>
              <a:gd name="connsiteY4423" fmla="*/ 4633744 h 6858000"/>
              <a:gd name="connsiteX4424" fmla="*/ 3186979 w 12192000"/>
              <a:gd name="connsiteY4424" fmla="*/ 4663396 h 6858000"/>
              <a:gd name="connsiteX4425" fmla="*/ 3265514 w 12192000"/>
              <a:gd name="connsiteY4425" fmla="*/ 4663396 h 6858000"/>
              <a:gd name="connsiteX4426" fmla="*/ 3233303 w 12192000"/>
              <a:gd name="connsiteY4426" fmla="*/ 4633744 h 6858000"/>
              <a:gd name="connsiteX4427" fmla="*/ 3265514 w 12192000"/>
              <a:gd name="connsiteY4427" fmla="*/ 4604092 h 6858000"/>
              <a:gd name="connsiteX4428" fmla="*/ 3297724 w 12192000"/>
              <a:gd name="connsiteY4428" fmla="*/ 4633744 h 6858000"/>
              <a:gd name="connsiteX4429" fmla="*/ 3265514 w 12192000"/>
              <a:gd name="connsiteY4429" fmla="*/ 4663396 h 6858000"/>
              <a:gd name="connsiteX4430" fmla="*/ 3344048 w 12192000"/>
              <a:gd name="connsiteY4430" fmla="*/ 4663396 h 6858000"/>
              <a:gd name="connsiteX4431" fmla="*/ 3311837 w 12192000"/>
              <a:gd name="connsiteY4431" fmla="*/ 4633744 h 6858000"/>
              <a:gd name="connsiteX4432" fmla="*/ 3344048 w 12192000"/>
              <a:gd name="connsiteY4432" fmla="*/ 4604092 h 6858000"/>
              <a:gd name="connsiteX4433" fmla="*/ 3376258 w 12192000"/>
              <a:gd name="connsiteY4433" fmla="*/ 4633744 h 6858000"/>
              <a:gd name="connsiteX4434" fmla="*/ 3344048 w 12192000"/>
              <a:gd name="connsiteY4434" fmla="*/ 4663396 h 6858000"/>
              <a:gd name="connsiteX4435" fmla="*/ 3501115 w 12192000"/>
              <a:gd name="connsiteY4435" fmla="*/ 4663396 h 6858000"/>
              <a:gd name="connsiteX4436" fmla="*/ 3468905 w 12192000"/>
              <a:gd name="connsiteY4436" fmla="*/ 4633744 h 6858000"/>
              <a:gd name="connsiteX4437" fmla="*/ 3501115 w 12192000"/>
              <a:gd name="connsiteY4437" fmla="*/ 4604092 h 6858000"/>
              <a:gd name="connsiteX4438" fmla="*/ 3533326 w 12192000"/>
              <a:gd name="connsiteY4438" fmla="*/ 4633744 h 6858000"/>
              <a:gd name="connsiteX4439" fmla="*/ 3501115 w 12192000"/>
              <a:gd name="connsiteY4439" fmla="*/ 4663396 h 6858000"/>
              <a:gd name="connsiteX4440" fmla="*/ 4050852 w 12192000"/>
              <a:gd name="connsiteY4440" fmla="*/ 4663396 h 6858000"/>
              <a:gd name="connsiteX4441" fmla="*/ 4018642 w 12192000"/>
              <a:gd name="connsiteY4441" fmla="*/ 4633744 h 6858000"/>
              <a:gd name="connsiteX4442" fmla="*/ 4050852 w 12192000"/>
              <a:gd name="connsiteY4442" fmla="*/ 4604092 h 6858000"/>
              <a:gd name="connsiteX4443" fmla="*/ 4083062 w 12192000"/>
              <a:gd name="connsiteY4443" fmla="*/ 4633744 h 6858000"/>
              <a:gd name="connsiteX4444" fmla="*/ 4050852 w 12192000"/>
              <a:gd name="connsiteY4444" fmla="*/ 4663396 h 6858000"/>
              <a:gd name="connsiteX4445" fmla="*/ 4286460 w 12192000"/>
              <a:gd name="connsiteY4445" fmla="*/ 4663396 h 6858000"/>
              <a:gd name="connsiteX4446" fmla="*/ 4254250 w 12192000"/>
              <a:gd name="connsiteY4446" fmla="*/ 4633744 h 6858000"/>
              <a:gd name="connsiteX4447" fmla="*/ 4286460 w 12192000"/>
              <a:gd name="connsiteY4447" fmla="*/ 4604092 h 6858000"/>
              <a:gd name="connsiteX4448" fmla="*/ 4318670 w 12192000"/>
              <a:gd name="connsiteY4448" fmla="*/ 4633744 h 6858000"/>
              <a:gd name="connsiteX4449" fmla="*/ 4286460 w 12192000"/>
              <a:gd name="connsiteY4449" fmla="*/ 4663396 h 6858000"/>
              <a:gd name="connsiteX4450" fmla="*/ 4757663 w 12192000"/>
              <a:gd name="connsiteY4450" fmla="*/ 4663396 h 6858000"/>
              <a:gd name="connsiteX4451" fmla="*/ 4725453 w 12192000"/>
              <a:gd name="connsiteY4451" fmla="*/ 4633744 h 6858000"/>
              <a:gd name="connsiteX4452" fmla="*/ 4757663 w 12192000"/>
              <a:gd name="connsiteY4452" fmla="*/ 4604092 h 6858000"/>
              <a:gd name="connsiteX4453" fmla="*/ 4789874 w 12192000"/>
              <a:gd name="connsiteY4453" fmla="*/ 4633744 h 6858000"/>
              <a:gd name="connsiteX4454" fmla="*/ 4757663 w 12192000"/>
              <a:gd name="connsiteY4454" fmla="*/ 4663396 h 6858000"/>
              <a:gd name="connsiteX4455" fmla="*/ 4836197 w 12192000"/>
              <a:gd name="connsiteY4455" fmla="*/ 4663396 h 6858000"/>
              <a:gd name="connsiteX4456" fmla="*/ 4803986 w 12192000"/>
              <a:gd name="connsiteY4456" fmla="*/ 4633744 h 6858000"/>
              <a:gd name="connsiteX4457" fmla="*/ 4836197 w 12192000"/>
              <a:gd name="connsiteY4457" fmla="*/ 4604092 h 6858000"/>
              <a:gd name="connsiteX4458" fmla="*/ 4868407 w 12192000"/>
              <a:gd name="connsiteY4458" fmla="*/ 4633744 h 6858000"/>
              <a:gd name="connsiteX4459" fmla="*/ 4836197 w 12192000"/>
              <a:gd name="connsiteY4459" fmla="*/ 4663396 h 6858000"/>
              <a:gd name="connsiteX4460" fmla="*/ 5464468 w 12192000"/>
              <a:gd name="connsiteY4460" fmla="*/ 4663396 h 6858000"/>
              <a:gd name="connsiteX4461" fmla="*/ 5432257 w 12192000"/>
              <a:gd name="connsiteY4461" fmla="*/ 4633744 h 6858000"/>
              <a:gd name="connsiteX4462" fmla="*/ 5464468 w 12192000"/>
              <a:gd name="connsiteY4462" fmla="*/ 4604092 h 6858000"/>
              <a:gd name="connsiteX4463" fmla="*/ 5496678 w 12192000"/>
              <a:gd name="connsiteY4463" fmla="*/ 4633744 h 6858000"/>
              <a:gd name="connsiteX4464" fmla="*/ 5464468 w 12192000"/>
              <a:gd name="connsiteY4464" fmla="*/ 4663396 h 6858000"/>
              <a:gd name="connsiteX4465" fmla="*/ 6249806 w 12192000"/>
              <a:gd name="connsiteY4465" fmla="*/ 4663396 h 6858000"/>
              <a:gd name="connsiteX4466" fmla="*/ 6217590 w 12192000"/>
              <a:gd name="connsiteY4466" fmla="*/ 4633744 h 6858000"/>
              <a:gd name="connsiteX4467" fmla="*/ 6249806 w 12192000"/>
              <a:gd name="connsiteY4467" fmla="*/ 4604092 h 6858000"/>
              <a:gd name="connsiteX4468" fmla="*/ 6282010 w 12192000"/>
              <a:gd name="connsiteY4468" fmla="*/ 4633744 h 6858000"/>
              <a:gd name="connsiteX4469" fmla="*/ 6249806 w 12192000"/>
              <a:gd name="connsiteY4469" fmla="*/ 4663396 h 6858000"/>
              <a:gd name="connsiteX4470" fmla="*/ 6328340 w 12192000"/>
              <a:gd name="connsiteY4470" fmla="*/ 4663396 h 6858000"/>
              <a:gd name="connsiteX4471" fmla="*/ 6296124 w 12192000"/>
              <a:gd name="connsiteY4471" fmla="*/ 4633744 h 6858000"/>
              <a:gd name="connsiteX4472" fmla="*/ 6328340 w 12192000"/>
              <a:gd name="connsiteY4472" fmla="*/ 4604092 h 6858000"/>
              <a:gd name="connsiteX4473" fmla="*/ 6360545 w 12192000"/>
              <a:gd name="connsiteY4473" fmla="*/ 4633744 h 6858000"/>
              <a:gd name="connsiteX4474" fmla="*/ 6328340 w 12192000"/>
              <a:gd name="connsiteY4474" fmla="*/ 4663396 h 6858000"/>
              <a:gd name="connsiteX4475" fmla="*/ 6563942 w 12192000"/>
              <a:gd name="connsiteY4475" fmla="*/ 4663396 h 6858000"/>
              <a:gd name="connsiteX4476" fmla="*/ 6531726 w 12192000"/>
              <a:gd name="connsiteY4476" fmla="*/ 4633744 h 6858000"/>
              <a:gd name="connsiteX4477" fmla="*/ 6563942 w 12192000"/>
              <a:gd name="connsiteY4477" fmla="*/ 4604092 h 6858000"/>
              <a:gd name="connsiteX4478" fmla="*/ 6596146 w 12192000"/>
              <a:gd name="connsiteY4478" fmla="*/ 4633744 h 6858000"/>
              <a:gd name="connsiteX4479" fmla="*/ 6563942 w 12192000"/>
              <a:gd name="connsiteY4479" fmla="*/ 4663396 h 6858000"/>
              <a:gd name="connsiteX4480" fmla="*/ 6642476 w 12192000"/>
              <a:gd name="connsiteY4480" fmla="*/ 4663396 h 6858000"/>
              <a:gd name="connsiteX4481" fmla="*/ 6610260 w 12192000"/>
              <a:gd name="connsiteY4481" fmla="*/ 4633744 h 6858000"/>
              <a:gd name="connsiteX4482" fmla="*/ 6642476 w 12192000"/>
              <a:gd name="connsiteY4482" fmla="*/ 4604092 h 6858000"/>
              <a:gd name="connsiteX4483" fmla="*/ 6674681 w 12192000"/>
              <a:gd name="connsiteY4483" fmla="*/ 4633744 h 6858000"/>
              <a:gd name="connsiteX4484" fmla="*/ 6642476 w 12192000"/>
              <a:gd name="connsiteY4484" fmla="*/ 4663396 h 6858000"/>
              <a:gd name="connsiteX4485" fmla="*/ 6721010 w 12192000"/>
              <a:gd name="connsiteY4485" fmla="*/ 4663396 h 6858000"/>
              <a:gd name="connsiteX4486" fmla="*/ 6688793 w 12192000"/>
              <a:gd name="connsiteY4486" fmla="*/ 4633744 h 6858000"/>
              <a:gd name="connsiteX4487" fmla="*/ 6721010 w 12192000"/>
              <a:gd name="connsiteY4487" fmla="*/ 4604092 h 6858000"/>
              <a:gd name="connsiteX4488" fmla="*/ 6753214 w 12192000"/>
              <a:gd name="connsiteY4488" fmla="*/ 4633744 h 6858000"/>
              <a:gd name="connsiteX4489" fmla="*/ 6721010 w 12192000"/>
              <a:gd name="connsiteY4489" fmla="*/ 4663396 h 6858000"/>
              <a:gd name="connsiteX4490" fmla="*/ 6878077 w 12192000"/>
              <a:gd name="connsiteY4490" fmla="*/ 4663396 h 6858000"/>
              <a:gd name="connsiteX4491" fmla="*/ 6845861 w 12192000"/>
              <a:gd name="connsiteY4491" fmla="*/ 4633744 h 6858000"/>
              <a:gd name="connsiteX4492" fmla="*/ 6878077 w 12192000"/>
              <a:gd name="connsiteY4492" fmla="*/ 4604092 h 6858000"/>
              <a:gd name="connsiteX4493" fmla="*/ 6910281 w 12192000"/>
              <a:gd name="connsiteY4493" fmla="*/ 4633744 h 6858000"/>
              <a:gd name="connsiteX4494" fmla="*/ 6878077 w 12192000"/>
              <a:gd name="connsiteY4494" fmla="*/ 4663396 h 6858000"/>
              <a:gd name="connsiteX4495" fmla="*/ 6956611 w 12192000"/>
              <a:gd name="connsiteY4495" fmla="*/ 4663396 h 6858000"/>
              <a:gd name="connsiteX4496" fmla="*/ 6924395 w 12192000"/>
              <a:gd name="connsiteY4496" fmla="*/ 4633744 h 6858000"/>
              <a:gd name="connsiteX4497" fmla="*/ 6956611 w 12192000"/>
              <a:gd name="connsiteY4497" fmla="*/ 4604092 h 6858000"/>
              <a:gd name="connsiteX4498" fmla="*/ 6988816 w 12192000"/>
              <a:gd name="connsiteY4498" fmla="*/ 4633744 h 6858000"/>
              <a:gd name="connsiteX4499" fmla="*/ 6956611 w 12192000"/>
              <a:gd name="connsiteY4499" fmla="*/ 4663396 h 6858000"/>
              <a:gd name="connsiteX4500" fmla="*/ 7035146 w 12192000"/>
              <a:gd name="connsiteY4500" fmla="*/ 4663396 h 6858000"/>
              <a:gd name="connsiteX4501" fmla="*/ 7002929 w 12192000"/>
              <a:gd name="connsiteY4501" fmla="*/ 4633744 h 6858000"/>
              <a:gd name="connsiteX4502" fmla="*/ 7035146 w 12192000"/>
              <a:gd name="connsiteY4502" fmla="*/ 4604092 h 6858000"/>
              <a:gd name="connsiteX4503" fmla="*/ 7067350 w 12192000"/>
              <a:gd name="connsiteY4503" fmla="*/ 4633744 h 6858000"/>
              <a:gd name="connsiteX4504" fmla="*/ 7035146 w 12192000"/>
              <a:gd name="connsiteY4504" fmla="*/ 4663396 h 6858000"/>
              <a:gd name="connsiteX4505" fmla="*/ 7113703 w 12192000"/>
              <a:gd name="connsiteY4505" fmla="*/ 4663396 h 6858000"/>
              <a:gd name="connsiteX4506" fmla="*/ 7081487 w 12192000"/>
              <a:gd name="connsiteY4506" fmla="*/ 4633744 h 6858000"/>
              <a:gd name="connsiteX4507" fmla="*/ 7113703 w 12192000"/>
              <a:gd name="connsiteY4507" fmla="*/ 4604092 h 6858000"/>
              <a:gd name="connsiteX4508" fmla="*/ 7145907 w 12192000"/>
              <a:gd name="connsiteY4508" fmla="*/ 4633744 h 6858000"/>
              <a:gd name="connsiteX4509" fmla="*/ 7113703 w 12192000"/>
              <a:gd name="connsiteY4509" fmla="*/ 4663396 h 6858000"/>
              <a:gd name="connsiteX4510" fmla="*/ 7192237 w 12192000"/>
              <a:gd name="connsiteY4510" fmla="*/ 4663396 h 6858000"/>
              <a:gd name="connsiteX4511" fmla="*/ 7160021 w 12192000"/>
              <a:gd name="connsiteY4511" fmla="*/ 4633744 h 6858000"/>
              <a:gd name="connsiteX4512" fmla="*/ 7192237 w 12192000"/>
              <a:gd name="connsiteY4512" fmla="*/ 4604092 h 6858000"/>
              <a:gd name="connsiteX4513" fmla="*/ 7224441 w 12192000"/>
              <a:gd name="connsiteY4513" fmla="*/ 4633744 h 6858000"/>
              <a:gd name="connsiteX4514" fmla="*/ 7192237 w 12192000"/>
              <a:gd name="connsiteY4514" fmla="*/ 4663396 h 6858000"/>
              <a:gd name="connsiteX4515" fmla="*/ 7270771 w 12192000"/>
              <a:gd name="connsiteY4515" fmla="*/ 4663396 h 6858000"/>
              <a:gd name="connsiteX4516" fmla="*/ 7238555 w 12192000"/>
              <a:gd name="connsiteY4516" fmla="*/ 4633744 h 6858000"/>
              <a:gd name="connsiteX4517" fmla="*/ 7270771 w 12192000"/>
              <a:gd name="connsiteY4517" fmla="*/ 4604092 h 6858000"/>
              <a:gd name="connsiteX4518" fmla="*/ 7302976 w 12192000"/>
              <a:gd name="connsiteY4518" fmla="*/ 4633744 h 6858000"/>
              <a:gd name="connsiteX4519" fmla="*/ 7270771 w 12192000"/>
              <a:gd name="connsiteY4519" fmla="*/ 4663396 h 6858000"/>
              <a:gd name="connsiteX4520" fmla="*/ 7349305 w 12192000"/>
              <a:gd name="connsiteY4520" fmla="*/ 4663396 h 6858000"/>
              <a:gd name="connsiteX4521" fmla="*/ 7317088 w 12192000"/>
              <a:gd name="connsiteY4521" fmla="*/ 4633744 h 6858000"/>
              <a:gd name="connsiteX4522" fmla="*/ 7349305 w 12192000"/>
              <a:gd name="connsiteY4522" fmla="*/ 4604092 h 6858000"/>
              <a:gd name="connsiteX4523" fmla="*/ 7381509 w 12192000"/>
              <a:gd name="connsiteY4523" fmla="*/ 4633744 h 6858000"/>
              <a:gd name="connsiteX4524" fmla="*/ 7349305 w 12192000"/>
              <a:gd name="connsiteY4524" fmla="*/ 4663396 h 6858000"/>
              <a:gd name="connsiteX4525" fmla="*/ 7427839 w 12192000"/>
              <a:gd name="connsiteY4525" fmla="*/ 4663396 h 6858000"/>
              <a:gd name="connsiteX4526" fmla="*/ 7395623 w 12192000"/>
              <a:gd name="connsiteY4526" fmla="*/ 4633744 h 6858000"/>
              <a:gd name="connsiteX4527" fmla="*/ 7427839 w 12192000"/>
              <a:gd name="connsiteY4527" fmla="*/ 4604092 h 6858000"/>
              <a:gd name="connsiteX4528" fmla="*/ 7460043 w 12192000"/>
              <a:gd name="connsiteY4528" fmla="*/ 4633744 h 6858000"/>
              <a:gd name="connsiteX4529" fmla="*/ 7427839 w 12192000"/>
              <a:gd name="connsiteY4529" fmla="*/ 4663396 h 6858000"/>
              <a:gd name="connsiteX4530" fmla="*/ 7506373 w 12192000"/>
              <a:gd name="connsiteY4530" fmla="*/ 4663396 h 6858000"/>
              <a:gd name="connsiteX4531" fmla="*/ 7474157 w 12192000"/>
              <a:gd name="connsiteY4531" fmla="*/ 4633744 h 6858000"/>
              <a:gd name="connsiteX4532" fmla="*/ 7506373 w 12192000"/>
              <a:gd name="connsiteY4532" fmla="*/ 4604092 h 6858000"/>
              <a:gd name="connsiteX4533" fmla="*/ 7538577 w 12192000"/>
              <a:gd name="connsiteY4533" fmla="*/ 4633744 h 6858000"/>
              <a:gd name="connsiteX4534" fmla="*/ 7506373 w 12192000"/>
              <a:gd name="connsiteY4534" fmla="*/ 4663396 h 6858000"/>
              <a:gd name="connsiteX4535" fmla="*/ 7584906 w 12192000"/>
              <a:gd name="connsiteY4535" fmla="*/ 4663396 h 6858000"/>
              <a:gd name="connsiteX4536" fmla="*/ 7552690 w 12192000"/>
              <a:gd name="connsiteY4536" fmla="*/ 4633744 h 6858000"/>
              <a:gd name="connsiteX4537" fmla="*/ 7584906 w 12192000"/>
              <a:gd name="connsiteY4537" fmla="*/ 4604092 h 6858000"/>
              <a:gd name="connsiteX4538" fmla="*/ 7617111 w 12192000"/>
              <a:gd name="connsiteY4538" fmla="*/ 4633744 h 6858000"/>
              <a:gd name="connsiteX4539" fmla="*/ 7584906 w 12192000"/>
              <a:gd name="connsiteY4539" fmla="*/ 4663396 h 6858000"/>
              <a:gd name="connsiteX4540" fmla="*/ 7663441 w 12192000"/>
              <a:gd name="connsiteY4540" fmla="*/ 4663396 h 6858000"/>
              <a:gd name="connsiteX4541" fmla="*/ 7631224 w 12192000"/>
              <a:gd name="connsiteY4541" fmla="*/ 4633744 h 6858000"/>
              <a:gd name="connsiteX4542" fmla="*/ 7663441 w 12192000"/>
              <a:gd name="connsiteY4542" fmla="*/ 4604092 h 6858000"/>
              <a:gd name="connsiteX4543" fmla="*/ 7695645 w 12192000"/>
              <a:gd name="connsiteY4543" fmla="*/ 4633744 h 6858000"/>
              <a:gd name="connsiteX4544" fmla="*/ 7663441 w 12192000"/>
              <a:gd name="connsiteY4544" fmla="*/ 4663396 h 6858000"/>
              <a:gd name="connsiteX4545" fmla="*/ 7741974 w 12192000"/>
              <a:gd name="connsiteY4545" fmla="*/ 4663396 h 6858000"/>
              <a:gd name="connsiteX4546" fmla="*/ 7709758 w 12192000"/>
              <a:gd name="connsiteY4546" fmla="*/ 4633744 h 6858000"/>
              <a:gd name="connsiteX4547" fmla="*/ 7741974 w 12192000"/>
              <a:gd name="connsiteY4547" fmla="*/ 4604092 h 6858000"/>
              <a:gd name="connsiteX4548" fmla="*/ 7774178 w 12192000"/>
              <a:gd name="connsiteY4548" fmla="*/ 4633744 h 6858000"/>
              <a:gd name="connsiteX4549" fmla="*/ 7741974 w 12192000"/>
              <a:gd name="connsiteY4549" fmla="*/ 4663396 h 6858000"/>
              <a:gd name="connsiteX4550" fmla="*/ 7820508 w 12192000"/>
              <a:gd name="connsiteY4550" fmla="*/ 4663396 h 6858000"/>
              <a:gd name="connsiteX4551" fmla="*/ 7788292 w 12192000"/>
              <a:gd name="connsiteY4551" fmla="*/ 4633744 h 6858000"/>
              <a:gd name="connsiteX4552" fmla="*/ 7820508 w 12192000"/>
              <a:gd name="connsiteY4552" fmla="*/ 4604092 h 6858000"/>
              <a:gd name="connsiteX4553" fmla="*/ 7852712 w 12192000"/>
              <a:gd name="connsiteY4553" fmla="*/ 4633744 h 6858000"/>
              <a:gd name="connsiteX4554" fmla="*/ 7820508 w 12192000"/>
              <a:gd name="connsiteY4554" fmla="*/ 4663396 h 6858000"/>
              <a:gd name="connsiteX4555" fmla="*/ 7899042 w 12192000"/>
              <a:gd name="connsiteY4555" fmla="*/ 4663396 h 6858000"/>
              <a:gd name="connsiteX4556" fmla="*/ 7866826 w 12192000"/>
              <a:gd name="connsiteY4556" fmla="*/ 4633744 h 6858000"/>
              <a:gd name="connsiteX4557" fmla="*/ 7899042 w 12192000"/>
              <a:gd name="connsiteY4557" fmla="*/ 4604092 h 6858000"/>
              <a:gd name="connsiteX4558" fmla="*/ 7931247 w 12192000"/>
              <a:gd name="connsiteY4558" fmla="*/ 4633744 h 6858000"/>
              <a:gd name="connsiteX4559" fmla="*/ 7899042 w 12192000"/>
              <a:gd name="connsiteY4559" fmla="*/ 4663396 h 6858000"/>
              <a:gd name="connsiteX4560" fmla="*/ 7977576 w 12192000"/>
              <a:gd name="connsiteY4560" fmla="*/ 4663396 h 6858000"/>
              <a:gd name="connsiteX4561" fmla="*/ 7945359 w 12192000"/>
              <a:gd name="connsiteY4561" fmla="*/ 4633744 h 6858000"/>
              <a:gd name="connsiteX4562" fmla="*/ 7977576 w 12192000"/>
              <a:gd name="connsiteY4562" fmla="*/ 4604092 h 6858000"/>
              <a:gd name="connsiteX4563" fmla="*/ 8009780 w 12192000"/>
              <a:gd name="connsiteY4563" fmla="*/ 4633744 h 6858000"/>
              <a:gd name="connsiteX4564" fmla="*/ 7977576 w 12192000"/>
              <a:gd name="connsiteY4564" fmla="*/ 4663396 h 6858000"/>
              <a:gd name="connsiteX4565" fmla="*/ 8056110 w 12192000"/>
              <a:gd name="connsiteY4565" fmla="*/ 4663396 h 6858000"/>
              <a:gd name="connsiteX4566" fmla="*/ 8023894 w 12192000"/>
              <a:gd name="connsiteY4566" fmla="*/ 4633744 h 6858000"/>
              <a:gd name="connsiteX4567" fmla="*/ 8056110 w 12192000"/>
              <a:gd name="connsiteY4567" fmla="*/ 4604092 h 6858000"/>
              <a:gd name="connsiteX4568" fmla="*/ 8088314 w 12192000"/>
              <a:gd name="connsiteY4568" fmla="*/ 4633744 h 6858000"/>
              <a:gd name="connsiteX4569" fmla="*/ 8056110 w 12192000"/>
              <a:gd name="connsiteY4569" fmla="*/ 4663396 h 6858000"/>
              <a:gd name="connsiteX4570" fmla="*/ 8134643 w 12192000"/>
              <a:gd name="connsiteY4570" fmla="*/ 4663396 h 6858000"/>
              <a:gd name="connsiteX4571" fmla="*/ 8102427 w 12192000"/>
              <a:gd name="connsiteY4571" fmla="*/ 4633744 h 6858000"/>
              <a:gd name="connsiteX4572" fmla="*/ 8134643 w 12192000"/>
              <a:gd name="connsiteY4572" fmla="*/ 4604092 h 6858000"/>
              <a:gd name="connsiteX4573" fmla="*/ 8166847 w 12192000"/>
              <a:gd name="connsiteY4573" fmla="*/ 4633744 h 6858000"/>
              <a:gd name="connsiteX4574" fmla="*/ 8134643 w 12192000"/>
              <a:gd name="connsiteY4574" fmla="*/ 4663396 h 6858000"/>
              <a:gd name="connsiteX4575" fmla="*/ 8213177 w 12192000"/>
              <a:gd name="connsiteY4575" fmla="*/ 4663396 h 6858000"/>
              <a:gd name="connsiteX4576" fmla="*/ 8180961 w 12192000"/>
              <a:gd name="connsiteY4576" fmla="*/ 4633744 h 6858000"/>
              <a:gd name="connsiteX4577" fmla="*/ 8213177 w 12192000"/>
              <a:gd name="connsiteY4577" fmla="*/ 4604092 h 6858000"/>
              <a:gd name="connsiteX4578" fmla="*/ 8245382 w 12192000"/>
              <a:gd name="connsiteY4578" fmla="*/ 4633744 h 6858000"/>
              <a:gd name="connsiteX4579" fmla="*/ 8213177 w 12192000"/>
              <a:gd name="connsiteY4579" fmla="*/ 4663396 h 6858000"/>
              <a:gd name="connsiteX4580" fmla="*/ 8291712 w 12192000"/>
              <a:gd name="connsiteY4580" fmla="*/ 4663396 h 6858000"/>
              <a:gd name="connsiteX4581" fmla="*/ 8259495 w 12192000"/>
              <a:gd name="connsiteY4581" fmla="*/ 4633744 h 6858000"/>
              <a:gd name="connsiteX4582" fmla="*/ 8291712 w 12192000"/>
              <a:gd name="connsiteY4582" fmla="*/ 4604092 h 6858000"/>
              <a:gd name="connsiteX4583" fmla="*/ 8323916 w 12192000"/>
              <a:gd name="connsiteY4583" fmla="*/ 4633744 h 6858000"/>
              <a:gd name="connsiteX4584" fmla="*/ 8291712 w 12192000"/>
              <a:gd name="connsiteY4584" fmla="*/ 4663396 h 6858000"/>
              <a:gd name="connsiteX4585" fmla="*/ 8370245 w 12192000"/>
              <a:gd name="connsiteY4585" fmla="*/ 4663396 h 6858000"/>
              <a:gd name="connsiteX4586" fmla="*/ 8338029 w 12192000"/>
              <a:gd name="connsiteY4586" fmla="*/ 4633744 h 6858000"/>
              <a:gd name="connsiteX4587" fmla="*/ 8370245 w 12192000"/>
              <a:gd name="connsiteY4587" fmla="*/ 4604092 h 6858000"/>
              <a:gd name="connsiteX4588" fmla="*/ 8402449 w 12192000"/>
              <a:gd name="connsiteY4588" fmla="*/ 4633744 h 6858000"/>
              <a:gd name="connsiteX4589" fmla="*/ 8370245 w 12192000"/>
              <a:gd name="connsiteY4589" fmla="*/ 4663396 h 6858000"/>
              <a:gd name="connsiteX4590" fmla="*/ 8448779 w 12192000"/>
              <a:gd name="connsiteY4590" fmla="*/ 4663396 h 6858000"/>
              <a:gd name="connsiteX4591" fmla="*/ 8416563 w 12192000"/>
              <a:gd name="connsiteY4591" fmla="*/ 4633744 h 6858000"/>
              <a:gd name="connsiteX4592" fmla="*/ 8448779 w 12192000"/>
              <a:gd name="connsiteY4592" fmla="*/ 4604092 h 6858000"/>
              <a:gd name="connsiteX4593" fmla="*/ 8480983 w 12192000"/>
              <a:gd name="connsiteY4593" fmla="*/ 4633744 h 6858000"/>
              <a:gd name="connsiteX4594" fmla="*/ 8448779 w 12192000"/>
              <a:gd name="connsiteY4594" fmla="*/ 4663396 h 6858000"/>
              <a:gd name="connsiteX4595" fmla="*/ 8527313 w 12192000"/>
              <a:gd name="connsiteY4595" fmla="*/ 4663396 h 6858000"/>
              <a:gd name="connsiteX4596" fmla="*/ 8495097 w 12192000"/>
              <a:gd name="connsiteY4596" fmla="*/ 4633744 h 6858000"/>
              <a:gd name="connsiteX4597" fmla="*/ 8527313 w 12192000"/>
              <a:gd name="connsiteY4597" fmla="*/ 4604092 h 6858000"/>
              <a:gd name="connsiteX4598" fmla="*/ 8559518 w 12192000"/>
              <a:gd name="connsiteY4598" fmla="*/ 4633744 h 6858000"/>
              <a:gd name="connsiteX4599" fmla="*/ 8527313 w 12192000"/>
              <a:gd name="connsiteY4599" fmla="*/ 4663396 h 6858000"/>
              <a:gd name="connsiteX4600" fmla="*/ 8605847 w 12192000"/>
              <a:gd name="connsiteY4600" fmla="*/ 4663396 h 6858000"/>
              <a:gd name="connsiteX4601" fmla="*/ 8573630 w 12192000"/>
              <a:gd name="connsiteY4601" fmla="*/ 4633744 h 6858000"/>
              <a:gd name="connsiteX4602" fmla="*/ 8605847 w 12192000"/>
              <a:gd name="connsiteY4602" fmla="*/ 4604092 h 6858000"/>
              <a:gd name="connsiteX4603" fmla="*/ 8638051 w 12192000"/>
              <a:gd name="connsiteY4603" fmla="*/ 4633744 h 6858000"/>
              <a:gd name="connsiteX4604" fmla="*/ 8605847 w 12192000"/>
              <a:gd name="connsiteY4604" fmla="*/ 4663396 h 6858000"/>
              <a:gd name="connsiteX4605" fmla="*/ 8684381 w 12192000"/>
              <a:gd name="connsiteY4605" fmla="*/ 4663396 h 6858000"/>
              <a:gd name="connsiteX4606" fmla="*/ 8652165 w 12192000"/>
              <a:gd name="connsiteY4606" fmla="*/ 4633744 h 6858000"/>
              <a:gd name="connsiteX4607" fmla="*/ 8684381 w 12192000"/>
              <a:gd name="connsiteY4607" fmla="*/ 4604092 h 6858000"/>
              <a:gd name="connsiteX4608" fmla="*/ 8716585 w 12192000"/>
              <a:gd name="connsiteY4608" fmla="*/ 4633744 h 6858000"/>
              <a:gd name="connsiteX4609" fmla="*/ 8684381 w 12192000"/>
              <a:gd name="connsiteY4609" fmla="*/ 4663396 h 6858000"/>
              <a:gd name="connsiteX4610" fmla="*/ 8762914 w 12192000"/>
              <a:gd name="connsiteY4610" fmla="*/ 4663396 h 6858000"/>
              <a:gd name="connsiteX4611" fmla="*/ 8730698 w 12192000"/>
              <a:gd name="connsiteY4611" fmla="*/ 4633744 h 6858000"/>
              <a:gd name="connsiteX4612" fmla="*/ 8762914 w 12192000"/>
              <a:gd name="connsiteY4612" fmla="*/ 4604092 h 6858000"/>
              <a:gd name="connsiteX4613" fmla="*/ 8795118 w 12192000"/>
              <a:gd name="connsiteY4613" fmla="*/ 4633744 h 6858000"/>
              <a:gd name="connsiteX4614" fmla="*/ 8762914 w 12192000"/>
              <a:gd name="connsiteY4614" fmla="*/ 4663396 h 6858000"/>
              <a:gd name="connsiteX4615" fmla="*/ 8841448 w 12192000"/>
              <a:gd name="connsiteY4615" fmla="*/ 4663396 h 6858000"/>
              <a:gd name="connsiteX4616" fmla="*/ 8809232 w 12192000"/>
              <a:gd name="connsiteY4616" fmla="*/ 4633744 h 6858000"/>
              <a:gd name="connsiteX4617" fmla="*/ 8841448 w 12192000"/>
              <a:gd name="connsiteY4617" fmla="*/ 4604092 h 6858000"/>
              <a:gd name="connsiteX4618" fmla="*/ 8873653 w 12192000"/>
              <a:gd name="connsiteY4618" fmla="*/ 4633744 h 6858000"/>
              <a:gd name="connsiteX4619" fmla="*/ 8841448 w 12192000"/>
              <a:gd name="connsiteY4619" fmla="*/ 4663396 h 6858000"/>
              <a:gd name="connsiteX4620" fmla="*/ 8919983 w 12192000"/>
              <a:gd name="connsiteY4620" fmla="*/ 4663396 h 6858000"/>
              <a:gd name="connsiteX4621" fmla="*/ 8887766 w 12192000"/>
              <a:gd name="connsiteY4621" fmla="*/ 4633744 h 6858000"/>
              <a:gd name="connsiteX4622" fmla="*/ 8919983 w 12192000"/>
              <a:gd name="connsiteY4622" fmla="*/ 4604092 h 6858000"/>
              <a:gd name="connsiteX4623" fmla="*/ 8952187 w 12192000"/>
              <a:gd name="connsiteY4623" fmla="*/ 4633744 h 6858000"/>
              <a:gd name="connsiteX4624" fmla="*/ 8919983 w 12192000"/>
              <a:gd name="connsiteY4624" fmla="*/ 4663396 h 6858000"/>
              <a:gd name="connsiteX4625" fmla="*/ 8998516 w 12192000"/>
              <a:gd name="connsiteY4625" fmla="*/ 4663396 h 6858000"/>
              <a:gd name="connsiteX4626" fmla="*/ 8966300 w 12192000"/>
              <a:gd name="connsiteY4626" fmla="*/ 4633744 h 6858000"/>
              <a:gd name="connsiteX4627" fmla="*/ 8998516 w 12192000"/>
              <a:gd name="connsiteY4627" fmla="*/ 4604092 h 6858000"/>
              <a:gd name="connsiteX4628" fmla="*/ 9030720 w 12192000"/>
              <a:gd name="connsiteY4628" fmla="*/ 4633744 h 6858000"/>
              <a:gd name="connsiteX4629" fmla="*/ 8998516 w 12192000"/>
              <a:gd name="connsiteY4629" fmla="*/ 4663396 h 6858000"/>
              <a:gd name="connsiteX4630" fmla="*/ 9077050 w 12192000"/>
              <a:gd name="connsiteY4630" fmla="*/ 4663396 h 6858000"/>
              <a:gd name="connsiteX4631" fmla="*/ 9044834 w 12192000"/>
              <a:gd name="connsiteY4631" fmla="*/ 4633744 h 6858000"/>
              <a:gd name="connsiteX4632" fmla="*/ 9077050 w 12192000"/>
              <a:gd name="connsiteY4632" fmla="*/ 4604092 h 6858000"/>
              <a:gd name="connsiteX4633" fmla="*/ 9109254 w 12192000"/>
              <a:gd name="connsiteY4633" fmla="*/ 4633744 h 6858000"/>
              <a:gd name="connsiteX4634" fmla="*/ 9077050 w 12192000"/>
              <a:gd name="connsiteY4634" fmla="*/ 4663396 h 6858000"/>
              <a:gd name="connsiteX4635" fmla="*/ 9155583 w 12192000"/>
              <a:gd name="connsiteY4635" fmla="*/ 4663396 h 6858000"/>
              <a:gd name="connsiteX4636" fmla="*/ 9123367 w 12192000"/>
              <a:gd name="connsiteY4636" fmla="*/ 4633744 h 6858000"/>
              <a:gd name="connsiteX4637" fmla="*/ 9155583 w 12192000"/>
              <a:gd name="connsiteY4637" fmla="*/ 4604092 h 6858000"/>
              <a:gd name="connsiteX4638" fmla="*/ 9187788 w 12192000"/>
              <a:gd name="connsiteY4638" fmla="*/ 4633744 h 6858000"/>
              <a:gd name="connsiteX4639" fmla="*/ 9155583 w 12192000"/>
              <a:gd name="connsiteY4639" fmla="*/ 4663396 h 6858000"/>
              <a:gd name="connsiteX4640" fmla="*/ 9234118 w 12192000"/>
              <a:gd name="connsiteY4640" fmla="*/ 4663396 h 6858000"/>
              <a:gd name="connsiteX4641" fmla="*/ 9201901 w 12192000"/>
              <a:gd name="connsiteY4641" fmla="*/ 4633744 h 6858000"/>
              <a:gd name="connsiteX4642" fmla="*/ 9234118 w 12192000"/>
              <a:gd name="connsiteY4642" fmla="*/ 4604092 h 6858000"/>
              <a:gd name="connsiteX4643" fmla="*/ 9266322 w 12192000"/>
              <a:gd name="connsiteY4643" fmla="*/ 4633744 h 6858000"/>
              <a:gd name="connsiteX4644" fmla="*/ 9234118 w 12192000"/>
              <a:gd name="connsiteY4644" fmla="*/ 4663396 h 6858000"/>
              <a:gd name="connsiteX4645" fmla="*/ 9312652 w 12192000"/>
              <a:gd name="connsiteY4645" fmla="*/ 4663396 h 6858000"/>
              <a:gd name="connsiteX4646" fmla="*/ 9280436 w 12192000"/>
              <a:gd name="connsiteY4646" fmla="*/ 4633744 h 6858000"/>
              <a:gd name="connsiteX4647" fmla="*/ 9312652 w 12192000"/>
              <a:gd name="connsiteY4647" fmla="*/ 4604092 h 6858000"/>
              <a:gd name="connsiteX4648" fmla="*/ 9344856 w 12192000"/>
              <a:gd name="connsiteY4648" fmla="*/ 4633744 h 6858000"/>
              <a:gd name="connsiteX4649" fmla="*/ 9312652 w 12192000"/>
              <a:gd name="connsiteY4649" fmla="*/ 4663396 h 6858000"/>
              <a:gd name="connsiteX4650" fmla="*/ 9391185 w 12192000"/>
              <a:gd name="connsiteY4650" fmla="*/ 4663396 h 6858000"/>
              <a:gd name="connsiteX4651" fmla="*/ 9358969 w 12192000"/>
              <a:gd name="connsiteY4651" fmla="*/ 4633744 h 6858000"/>
              <a:gd name="connsiteX4652" fmla="*/ 9391185 w 12192000"/>
              <a:gd name="connsiteY4652" fmla="*/ 4604092 h 6858000"/>
              <a:gd name="connsiteX4653" fmla="*/ 9423389 w 12192000"/>
              <a:gd name="connsiteY4653" fmla="*/ 4633744 h 6858000"/>
              <a:gd name="connsiteX4654" fmla="*/ 9391185 w 12192000"/>
              <a:gd name="connsiteY4654" fmla="*/ 4663396 h 6858000"/>
              <a:gd name="connsiteX4655" fmla="*/ 9469719 w 12192000"/>
              <a:gd name="connsiteY4655" fmla="*/ 4663396 h 6858000"/>
              <a:gd name="connsiteX4656" fmla="*/ 9437503 w 12192000"/>
              <a:gd name="connsiteY4656" fmla="*/ 4633744 h 6858000"/>
              <a:gd name="connsiteX4657" fmla="*/ 9469719 w 12192000"/>
              <a:gd name="connsiteY4657" fmla="*/ 4604092 h 6858000"/>
              <a:gd name="connsiteX4658" fmla="*/ 9501924 w 12192000"/>
              <a:gd name="connsiteY4658" fmla="*/ 4633744 h 6858000"/>
              <a:gd name="connsiteX4659" fmla="*/ 9469719 w 12192000"/>
              <a:gd name="connsiteY4659" fmla="*/ 4663396 h 6858000"/>
              <a:gd name="connsiteX4660" fmla="*/ 10019456 w 12192000"/>
              <a:gd name="connsiteY4660" fmla="*/ 4663396 h 6858000"/>
              <a:gd name="connsiteX4661" fmla="*/ 9987240 w 12192000"/>
              <a:gd name="connsiteY4661" fmla="*/ 4633744 h 6858000"/>
              <a:gd name="connsiteX4662" fmla="*/ 10019456 w 12192000"/>
              <a:gd name="connsiteY4662" fmla="*/ 4604092 h 6858000"/>
              <a:gd name="connsiteX4663" fmla="*/ 10051660 w 12192000"/>
              <a:gd name="connsiteY4663" fmla="*/ 4633744 h 6858000"/>
              <a:gd name="connsiteX4664" fmla="*/ 10019456 w 12192000"/>
              <a:gd name="connsiteY4664" fmla="*/ 4663396 h 6858000"/>
              <a:gd name="connsiteX4665" fmla="*/ 10097990 w 12192000"/>
              <a:gd name="connsiteY4665" fmla="*/ 4663396 h 6858000"/>
              <a:gd name="connsiteX4666" fmla="*/ 10065774 w 12192000"/>
              <a:gd name="connsiteY4666" fmla="*/ 4633744 h 6858000"/>
              <a:gd name="connsiteX4667" fmla="*/ 10097990 w 12192000"/>
              <a:gd name="connsiteY4667" fmla="*/ 4604092 h 6858000"/>
              <a:gd name="connsiteX4668" fmla="*/ 10130195 w 12192000"/>
              <a:gd name="connsiteY4668" fmla="*/ 4633744 h 6858000"/>
              <a:gd name="connsiteX4669" fmla="*/ 10097990 w 12192000"/>
              <a:gd name="connsiteY4669" fmla="*/ 4663396 h 6858000"/>
              <a:gd name="connsiteX4670" fmla="*/ 10176524 w 12192000"/>
              <a:gd name="connsiteY4670" fmla="*/ 4663396 h 6858000"/>
              <a:gd name="connsiteX4671" fmla="*/ 10144307 w 12192000"/>
              <a:gd name="connsiteY4671" fmla="*/ 4633744 h 6858000"/>
              <a:gd name="connsiteX4672" fmla="*/ 10176524 w 12192000"/>
              <a:gd name="connsiteY4672" fmla="*/ 4604092 h 6858000"/>
              <a:gd name="connsiteX4673" fmla="*/ 10208728 w 12192000"/>
              <a:gd name="connsiteY4673" fmla="*/ 4633744 h 6858000"/>
              <a:gd name="connsiteX4674" fmla="*/ 10176524 w 12192000"/>
              <a:gd name="connsiteY4674" fmla="*/ 4663396 h 6858000"/>
              <a:gd name="connsiteX4675" fmla="*/ 10333592 w 12192000"/>
              <a:gd name="connsiteY4675" fmla="*/ 4663396 h 6858000"/>
              <a:gd name="connsiteX4676" fmla="*/ 10301376 w 12192000"/>
              <a:gd name="connsiteY4676" fmla="*/ 4633744 h 6858000"/>
              <a:gd name="connsiteX4677" fmla="*/ 10333592 w 12192000"/>
              <a:gd name="connsiteY4677" fmla="*/ 4604092 h 6858000"/>
              <a:gd name="connsiteX4678" fmla="*/ 10365796 w 12192000"/>
              <a:gd name="connsiteY4678" fmla="*/ 4633744 h 6858000"/>
              <a:gd name="connsiteX4679" fmla="*/ 10333592 w 12192000"/>
              <a:gd name="connsiteY4679" fmla="*/ 4663396 h 6858000"/>
              <a:gd name="connsiteX4680" fmla="*/ 1302170 w 12192000"/>
              <a:gd name="connsiteY4680" fmla="*/ 4591131 h 6858000"/>
              <a:gd name="connsiteX4681" fmla="*/ 1269960 w 12192000"/>
              <a:gd name="connsiteY4681" fmla="*/ 4561479 h 6858000"/>
              <a:gd name="connsiteX4682" fmla="*/ 1302170 w 12192000"/>
              <a:gd name="connsiteY4682" fmla="*/ 4531827 h 6858000"/>
              <a:gd name="connsiteX4683" fmla="*/ 1334381 w 12192000"/>
              <a:gd name="connsiteY4683" fmla="*/ 4561479 h 6858000"/>
              <a:gd name="connsiteX4684" fmla="*/ 1302170 w 12192000"/>
              <a:gd name="connsiteY4684" fmla="*/ 4591131 h 6858000"/>
              <a:gd name="connsiteX4685" fmla="*/ 1380704 w 12192000"/>
              <a:gd name="connsiteY4685" fmla="*/ 4591131 h 6858000"/>
              <a:gd name="connsiteX4686" fmla="*/ 1348493 w 12192000"/>
              <a:gd name="connsiteY4686" fmla="*/ 4561479 h 6858000"/>
              <a:gd name="connsiteX4687" fmla="*/ 1380704 w 12192000"/>
              <a:gd name="connsiteY4687" fmla="*/ 4531827 h 6858000"/>
              <a:gd name="connsiteX4688" fmla="*/ 1412914 w 12192000"/>
              <a:gd name="connsiteY4688" fmla="*/ 4561479 h 6858000"/>
              <a:gd name="connsiteX4689" fmla="*/ 1380704 w 12192000"/>
              <a:gd name="connsiteY4689" fmla="*/ 4591131 h 6858000"/>
              <a:gd name="connsiteX4690" fmla="*/ 1459238 w 12192000"/>
              <a:gd name="connsiteY4690" fmla="*/ 4591131 h 6858000"/>
              <a:gd name="connsiteX4691" fmla="*/ 1427027 w 12192000"/>
              <a:gd name="connsiteY4691" fmla="*/ 4561479 h 6858000"/>
              <a:gd name="connsiteX4692" fmla="*/ 1459238 w 12192000"/>
              <a:gd name="connsiteY4692" fmla="*/ 4531827 h 6858000"/>
              <a:gd name="connsiteX4693" fmla="*/ 1491448 w 12192000"/>
              <a:gd name="connsiteY4693" fmla="*/ 4561479 h 6858000"/>
              <a:gd name="connsiteX4694" fmla="*/ 1459238 w 12192000"/>
              <a:gd name="connsiteY4694" fmla="*/ 4591131 h 6858000"/>
              <a:gd name="connsiteX4695" fmla="*/ 1537772 w 12192000"/>
              <a:gd name="connsiteY4695" fmla="*/ 4591131 h 6858000"/>
              <a:gd name="connsiteX4696" fmla="*/ 1505562 w 12192000"/>
              <a:gd name="connsiteY4696" fmla="*/ 4561479 h 6858000"/>
              <a:gd name="connsiteX4697" fmla="*/ 1537772 w 12192000"/>
              <a:gd name="connsiteY4697" fmla="*/ 4531827 h 6858000"/>
              <a:gd name="connsiteX4698" fmla="*/ 1569982 w 12192000"/>
              <a:gd name="connsiteY4698" fmla="*/ 4561479 h 6858000"/>
              <a:gd name="connsiteX4699" fmla="*/ 1537772 w 12192000"/>
              <a:gd name="connsiteY4699" fmla="*/ 4591131 h 6858000"/>
              <a:gd name="connsiteX4700" fmla="*/ 2480181 w 12192000"/>
              <a:gd name="connsiteY4700" fmla="*/ 4591131 h 6858000"/>
              <a:gd name="connsiteX4701" fmla="*/ 2447971 w 12192000"/>
              <a:gd name="connsiteY4701" fmla="*/ 4561479 h 6858000"/>
              <a:gd name="connsiteX4702" fmla="*/ 2480181 w 12192000"/>
              <a:gd name="connsiteY4702" fmla="*/ 4531827 h 6858000"/>
              <a:gd name="connsiteX4703" fmla="*/ 2512391 w 12192000"/>
              <a:gd name="connsiteY4703" fmla="*/ 4561479 h 6858000"/>
              <a:gd name="connsiteX4704" fmla="*/ 2480181 w 12192000"/>
              <a:gd name="connsiteY4704" fmla="*/ 4591131 h 6858000"/>
              <a:gd name="connsiteX4705" fmla="*/ 2558715 w 12192000"/>
              <a:gd name="connsiteY4705" fmla="*/ 4591131 h 6858000"/>
              <a:gd name="connsiteX4706" fmla="*/ 2526505 w 12192000"/>
              <a:gd name="connsiteY4706" fmla="*/ 4561479 h 6858000"/>
              <a:gd name="connsiteX4707" fmla="*/ 2558715 w 12192000"/>
              <a:gd name="connsiteY4707" fmla="*/ 4531827 h 6858000"/>
              <a:gd name="connsiteX4708" fmla="*/ 2590926 w 12192000"/>
              <a:gd name="connsiteY4708" fmla="*/ 4561479 h 6858000"/>
              <a:gd name="connsiteX4709" fmla="*/ 2558715 w 12192000"/>
              <a:gd name="connsiteY4709" fmla="*/ 4591131 h 6858000"/>
              <a:gd name="connsiteX4710" fmla="*/ 2637243 w 12192000"/>
              <a:gd name="connsiteY4710" fmla="*/ 4591131 h 6858000"/>
              <a:gd name="connsiteX4711" fmla="*/ 2605032 w 12192000"/>
              <a:gd name="connsiteY4711" fmla="*/ 4561479 h 6858000"/>
              <a:gd name="connsiteX4712" fmla="*/ 2637243 w 12192000"/>
              <a:gd name="connsiteY4712" fmla="*/ 4531827 h 6858000"/>
              <a:gd name="connsiteX4713" fmla="*/ 2669453 w 12192000"/>
              <a:gd name="connsiteY4713" fmla="*/ 4561479 h 6858000"/>
              <a:gd name="connsiteX4714" fmla="*/ 2637243 w 12192000"/>
              <a:gd name="connsiteY4714" fmla="*/ 4591131 h 6858000"/>
              <a:gd name="connsiteX4715" fmla="*/ 2715777 w 12192000"/>
              <a:gd name="connsiteY4715" fmla="*/ 4591131 h 6858000"/>
              <a:gd name="connsiteX4716" fmla="*/ 2683566 w 12192000"/>
              <a:gd name="connsiteY4716" fmla="*/ 4561479 h 6858000"/>
              <a:gd name="connsiteX4717" fmla="*/ 2715777 w 12192000"/>
              <a:gd name="connsiteY4717" fmla="*/ 4531827 h 6858000"/>
              <a:gd name="connsiteX4718" fmla="*/ 2747987 w 12192000"/>
              <a:gd name="connsiteY4718" fmla="*/ 4561479 h 6858000"/>
              <a:gd name="connsiteX4719" fmla="*/ 2715777 w 12192000"/>
              <a:gd name="connsiteY4719" fmla="*/ 4591131 h 6858000"/>
              <a:gd name="connsiteX4720" fmla="*/ 2794310 w 12192000"/>
              <a:gd name="connsiteY4720" fmla="*/ 4591131 h 6858000"/>
              <a:gd name="connsiteX4721" fmla="*/ 2762100 w 12192000"/>
              <a:gd name="connsiteY4721" fmla="*/ 4561479 h 6858000"/>
              <a:gd name="connsiteX4722" fmla="*/ 2794310 w 12192000"/>
              <a:gd name="connsiteY4722" fmla="*/ 4531827 h 6858000"/>
              <a:gd name="connsiteX4723" fmla="*/ 2826520 w 12192000"/>
              <a:gd name="connsiteY4723" fmla="*/ 4561479 h 6858000"/>
              <a:gd name="connsiteX4724" fmla="*/ 2794310 w 12192000"/>
              <a:gd name="connsiteY4724" fmla="*/ 4591131 h 6858000"/>
              <a:gd name="connsiteX4725" fmla="*/ 2872844 w 12192000"/>
              <a:gd name="connsiteY4725" fmla="*/ 4591131 h 6858000"/>
              <a:gd name="connsiteX4726" fmla="*/ 2840634 w 12192000"/>
              <a:gd name="connsiteY4726" fmla="*/ 4561479 h 6858000"/>
              <a:gd name="connsiteX4727" fmla="*/ 2872844 w 12192000"/>
              <a:gd name="connsiteY4727" fmla="*/ 4531827 h 6858000"/>
              <a:gd name="connsiteX4728" fmla="*/ 2905055 w 12192000"/>
              <a:gd name="connsiteY4728" fmla="*/ 4561479 h 6858000"/>
              <a:gd name="connsiteX4729" fmla="*/ 2872844 w 12192000"/>
              <a:gd name="connsiteY4729" fmla="*/ 4591131 h 6858000"/>
              <a:gd name="connsiteX4730" fmla="*/ 2951379 w 12192000"/>
              <a:gd name="connsiteY4730" fmla="*/ 4591131 h 6858000"/>
              <a:gd name="connsiteX4731" fmla="*/ 2919168 w 12192000"/>
              <a:gd name="connsiteY4731" fmla="*/ 4561479 h 6858000"/>
              <a:gd name="connsiteX4732" fmla="*/ 2951379 w 12192000"/>
              <a:gd name="connsiteY4732" fmla="*/ 4531827 h 6858000"/>
              <a:gd name="connsiteX4733" fmla="*/ 2983589 w 12192000"/>
              <a:gd name="connsiteY4733" fmla="*/ 4561479 h 6858000"/>
              <a:gd name="connsiteX4734" fmla="*/ 2951379 w 12192000"/>
              <a:gd name="connsiteY4734" fmla="*/ 4591131 h 6858000"/>
              <a:gd name="connsiteX4735" fmla="*/ 3029912 w 12192000"/>
              <a:gd name="connsiteY4735" fmla="*/ 4591131 h 6858000"/>
              <a:gd name="connsiteX4736" fmla="*/ 2997701 w 12192000"/>
              <a:gd name="connsiteY4736" fmla="*/ 4561479 h 6858000"/>
              <a:gd name="connsiteX4737" fmla="*/ 3029912 w 12192000"/>
              <a:gd name="connsiteY4737" fmla="*/ 4531827 h 6858000"/>
              <a:gd name="connsiteX4738" fmla="*/ 3062122 w 12192000"/>
              <a:gd name="connsiteY4738" fmla="*/ 4561479 h 6858000"/>
              <a:gd name="connsiteX4739" fmla="*/ 3029912 w 12192000"/>
              <a:gd name="connsiteY4739" fmla="*/ 4591131 h 6858000"/>
              <a:gd name="connsiteX4740" fmla="*/ 3108446 w 12192000"/>
              <a:gd name="connsiteY4740" fmla="*/ 4591131 h 6858000"/>
              <a:gd name="connsiteX4741" fmla="*/ 3076236 w 12192000"/>
              <a:gd name="connsiteY4741" fmla="*/ 4561479 h 6858000"/>
              <a:gd name="connsiteX4742" fmla="*/ 3108446 w 12192000"/>
              <a:gd name="connsiteY4742" fmla="*/ 4531827 h 6858000"/>
              <a:gd name="connsiteX4743" fmla="*/ 3140656 w 12192000"/>
              <a:gd name="connsiteY4743" fmla="*/ 4561479 h 6858000"/>
              <a:gd name="connsiteX4744" fmla="*/ 3108446 w 12192000"/>
              <a:gd name="connsiteY4744" fmla="*/ 4591131 h 6858000"/>
              <a:gd name="connsiteX4745" fmla="*/ 3186979 w 12192000"/>
              <a:gd name="connsiteY4745" fmla="*/ 4591131 h 6858000"/>
              <a:gd name="connsiteX4746" fmla="*/ 3154769 w 12192000"/>
              <a:gd name="connsiteY4746" fmla="*/ 4561479 h 6858000"/>
              <a:gd name="connsiteX4747" fmla="*/ 3186979 w 12192000"/>
              <a:gd name="connsiteY4747" fmla="*/ 4531827 h 6858000"/>
              <a:gd name="connsiteX4748" fmla="*/ 3219190 w 12192000"/>
              <a:gd name="connsiteY4748" fmla="*/ 4561479 h 6858000"/>
              <a:gd name="connsiteX4749" fmla="*/ 3186979 w 12192000"/>
              <a:gd name="connsiteY4749" fmla="*/ 4591131 h 6858000"/>
              <a:gd name="connsiteX4750" fmla="*/ 3344048 w 12192000"/>
              <a:gd name="connsiteY4750" fmla="*/ 4591131 h 6858000"/>
              <a:gd name="connsiteX4751" fmla="*/ 3311837 w 12192000"/>
              <a:gd name="connsiteY4751" fmla="*/ 4561479 h 6858000"/>
              <a:gd name="connsiteX4752" fmla="*/ 3344048 w 12192000"/>
              <a:gd name="connsiteY4752" fmla="*/ 4531827 h 6858000"/>
              <a:gd name="connsiteX4753" fmla="*/ 3376258 w 12192000"/>
              <a:gd name="connsiteY4753" fmla="*/ 4561479 h 6858000"/>
              <a:gd name="connsiteX4754" fmla="*/ 3344048 w 12192000"/>
              <a:gd name="connsiteY4754" fmla="*/ 4591131 h 6858000"/>
              <a:gd name="connsiteX4755" fmla="*/ 3422581 w 12192000"/>
              <a:gd name="connsiteY4755" fmla="*/ 4591131 h 6858000"/>
              <a:gd name="connsiteX4756" fmla="*/ 3390371 w 12192000"/>
              <a:gd name="connsiteY4756" fmla="*/ 4561479 h 6858000"/>
              <a:gd name="connsiteX4757" fmla="*/ 3422581 w 12192000"/>
              <a:gd name="connsiteY4757" fmla="*/ 4531827 h 6858000"/>
              <a:gd name="connsiteX4758" fmla="*/ 3454791 w 12192000"/>
              <a:gd name="connsiteY4758" fmla="*/ 4561479 h 6858000"/>
              <a:gd name="connsiteX4759" fmla="*/ 3422581 w 12192000"/>
              <a:gd name="connsiteY4759" fmla="*/ 4591131 h 6858000"/>
              <a:gd name="connsiteX4760" fmla="*/ 3501115 w 12192000"/>
              <a:gd name="connsiteY4760" fmla="*/ 4591131 h 6858000"/>
              <a:gd name="connsiteX4761" fmla="*/ 3468905 w 12192000"/>
              <a:gd name="connsiteY4761" fmla="*/ 4561479 h 6858000"/>
              <a:gd name="connsiteX4762" fmla="*/ 3501115 w 12192000"/>
              <a:gd name="connsiteY4762" fmla="*/ 4531827 h 6858000"/>
              <a:gd name="connsiteX4763" fmla="*/ 3533326 w 12192000"/>
              <a:gd name="connsiteY4763" fmla="*/ 4561479 h 6858000"/>
              <a:gd name="connsiteX4764" fmla="*/ 3501115 w 12192000"/>
              <a:gd name="connsiteY4764" fmla="*/ 4591131 h 6858000"/>
              <a:gd name="connsiteX4765" fmla="*/ 4050852 w 12192000"/>
              <a:gd name="connsiteY4765" fmla="*/ 4591131 h 6858000"/>
              <a:gd name="connsiteX4766" fmla="*/ 4018642 w 12192000"/>
              <a:gd name="connsiteY4766" fmla="*/ 4561479 h 6858000"/>
              <a:gd name="connsiteX4767" fmla="*/ 4050852 w 12192000"/>
              <a:gd name="connsiteY4767" fmla="*/ 4531827 h 6858000"/>
              <a:gd name="connsiteX4768" fmla="*/ 4083062 w 12192000"/>
              <a:gd name="connsiteY4768" fmla="*/ 4561479 h 6858000"/>
              <a:gd name="connsiteX4769" fmla="*/ 4050852 w 12192000"/>
              <a:gd name="connsiteY4769" fmla="*/ 4591131 h 6858000"/>
              <a:gd name="connsiteX4770" fmla="*/ 4129386 w 12192000"/>
              <a:gd name="connsiteY4770" fmla="*/ 4591131 h 6858000"/>
              <a:gd name="connsiteX4771" fmla="*/ 4097176 w 12192000"/>
              <a:gd name="connsiteY4771" fmla="*/ 4561479 h 6858000"/>
              <a:gd name="connsiteX4772" fmla="*/ 4129386 w 12192000"/>
              <a:gd name="connsiteY4772" fmla="*/ 4531827 h 6858000"/>
              <a:gd name="connsiteX4773" fmla="*/ 4161597 w 12192000"/>
              <a:gd name="connsiteY4773" fmla="*/ 4561479 h 6858000"/>
              <a:gd name="connsiteX4774" fmla="*/ 4129386 w 12192000"/>
              <a:gd name="connsiteY4774" fmla="*/ 4591131 h 6858000"/>
              <a:gd name="connsiteX4775" fmla="*/ 4757663 w 12192000"/>
              <a:gd name="connsiteY4775" fmla="*/ 4591131 h 6858000"/>
              <a:gd name="connsiteX4776" fmla="*/ 4725453 w 12192000"/>
              <a:gd name="connsiteY4776" fmla="*/ 4561479 h 6858000"/>
              <a:gd name="connsiteX4777" fmla="*/ 4757663 w 12192000"/>
              <a:gd name="connsiteY4777" fmla="*/ 4531827 h 6858000"/>
              <a:gd name="connsiteX4778" fmla="*/ 4789874 w 12192000"/>
              <a:gd name="connsiteY4778" fmla="*/ 4561479 h 6858000"/>
              <a:gd name="connsiteX4779" fmla="*/ 4757663 w 12192000"/>
              <a:gd name="connsiteY4779" fmla="*/ 4591131 h 6858000"/>
              <a:gd name="connsiteX4780" fmla="*/ 4836197 w 12192000"/>
              <a:gd name="connsiteY4780" fmla="*/ 4591131 h 6858000"/>
              <a:gd name="connsiteX4781" fmla="*/ 4803986 w 12192000"/>
              <a:gd name="connsiteY4781" fmla="*/ 4561479 h 6858000"/>
              <a:gd name="connsiteX4782" fmla="*/ 4836197 w 12192000"/>
              <a:gd name="connsiteY4782" fmla="*/ 4531827 h 6858000"/>
              <a:gd name="connsiteX4783" fmla="*/ 4868407 w 12192000"/>
              <a:gd name="connsiteY4783" fmla="*/ 4561479 h 6858000"/>
              <a:gd name="connsiteX4784" fmla="*/ 4836197 w 12192000"/>
              <a:gd name="connsiteY4784" fmla="*/ 4591131 h 6858000"/>
              <a:gd name="connsiteX4785" fmla="*/ 6171273 w 12192000"/>
              <a:gd name="connsiteY4785" fmla="*/ 4591131 h 6858000"/>
              <a:gd name="connsiteX4786" fmla="*/ 6139056 w 12192000"/>
              <a:gd name="connsiteY4786" fmla="*/ 4561479 h 6858000"/>
              <a:gd name="connsiteX4787" fmla="*/ 6171273 w 12192000"/>
              <a:gd name="connsiteY4787" fmla="*/ 4531827 h 6858000"/>
              <a:gd name="connsiteX4788" fmla="*/ 6203477 w 12192000"/>
              <a:gd name="connsiteY4788" fmla="*/ 4561479 h 6858000"/>
              <a:gd name="connsiteX4789" fmla="*/ 6171273 w 12192000"/>
              <a:gd name="connsiteY4789" fmla="*/ 4591131 h 6858000"/>
              <a:gd name="connsiteX4790" fmla="*/ 6249806 w 12192000"/>
              <a:gd name="connsiteY4790" fmla="*/ 4591131 h 6858000"/>
              <a:gd name="connsiteX4791" fmla="*/ 6217590 w 12192000"/>
              <a:gd name="connsiteY4791" fmla="*/ 4561479 h 6858000"/>
              <a:gd name="connsiteX4792" fmla="*/ 6249806 w 12192000"/>
              <a:gd name="connsiteY4792" fmla="*/ 4531827 h 6858000"/>
              <a:gd name="connsiteX4793" fmla="*/ 6282010 w 12192000"/>
              <a:gd name="connsiteY4793" fmla="*/ 4561479 h 6858000"/>
              <a:gd name="connsiteX4794" fmla="*/ 6249806 w 12192000"/>
              <a:gd name="connsiteY4794" fmla="*/ 4591131 h 6858000"/>
              <a:gd name="connsiteX4795" fmla="*/ 6328340 w 12192000"/>
              <a:gd name="connsiteY4795" fmla="*/ 4591131 h 6858000"/>
              <a:gd name="connsiteX4796" fmla="*/ 6296124 w 12192000"/>
              <a:gd name="connsiteY4796" fmla="*/ 4561479 h 6858000"/>
              <a:gd name="connsiteX4797" fmla="*/ 6328340 w 12192000"/>
              <a:gd name="connsiteY4797" fmla="*/ 4531827 h 6858000"/>
              <a:gd name="connsiteX4798" fmla="*/ 6360545 w 12192000"/>
              <a:gd name="connsiteY4798" fmla="*/ 4561479 h 6858000"/>
              <a:gd name="connsiteX4799" fmla="*/ 6328340 w 12192000"/>
              <a:gd name="connsiteY4799" fmla="*/ 4591131 h 6858000"/>
              <a:gd name="connsiteX4800" fmla="*/ 6485408 w 12192000"/>
              <a:gd name="connsiteY4800" fmla="*/ 4591131 h 6858000"/>
              <a:gd name="connsiteX4801" fmla="*/ 6453191 w 12192000"/>
              <a:gd name="connsiteY4801" fmla="*/ 4561479 h 6858000"/>
              <a:gd name="connsiteX4802" fmla="*/ 6485408 w 12192000"/>
              <a:gd name="connsiteY4802" fmla="*/ 4531827 h 6858000"/>
              <a:gd name="connsiteX4803" fmla="*/ 6517612 w 12192000"/>
              <a:gd name="connsiteY4803" fmla="*/ 4561479 h 6858000"/>
              <a:gd name="connsiteX4804" fmla="*/ 6485408 w 12192000"/>
              <a:gd name="connsiteY4804" fmla="*/ 4591131 h 6858000"/>
              <a:gd name="connsiteX4805" fmla="*/ 6721010 w 12192000"/>
              <a:gd name="connsiteY4805" fmla="*/ 4591131 h 6858000"/>
              <a:gd name="connsiteX4806" fmla="*/ 6688793 w 12192000"/>
              <a:gd name="connsiteY4806" fmla="*/ 4561479 h 6858000"/>
              <a:gd name="connsiteX4807" fmla="*/ 6721010 w 12192000"/>
              <a:gd name="connsiteY4807" fmla="*/ 4531827 h 6858000"/>
              <a:gd name="connsiteX4808" fmla="*/ 6753214 w 12192000"/>
              <a:gd name="connsiteY4808" fmla="*/ 4561479 h 6858000"/>
              <a:gd name="connsiteX4809" fmla="*/ 6721010 w 12192000"/>
              <a:gd name="connsiteY4809" fmla="*/ 4591131 h 6858000"/>
              <a:gd name="connsiteX4810" fmla="*/ 6878077 w 12192000"/>
              <a:gd name="connsiteY4810" fmla="*/ 4591131 h 6858000"/>
              <a:gd name="connsiteX4811" fmla="*/ 6845861 w 12192000"/>
              <a:gd name="connsiteY4811" fmla="*/ 4561479 h 6858000"/>
              <a:gd name="connsiteX4812" fmla="*/ 6878077 w 12192000"/>
              <a:gd name="connsiteY4812" fmla="*/ 4531827 h 6858000"/>
              <a:gd name="connsiteX4813" fmla="*/ 6910281 w 12192000"/>
              <a:gd name="connsiteY4813" fmla="*/ 4561479 h 6858000"/>
              <a:gd name="connsiteX4814" fmla="*/ 6878077 w 12192000"/>
              <a:gd name="connsiteY4814" fmla="*/ 4591131 h 6858000"/>
              <a:gd name="connsiteX4815" fmla="*/ 6956611 w 12192000"/>
              <a:gd name="connsiteY4815" fmla="*/ 4591131 h 6858000"/>
              <a:gd name="connsiteX4816" fmla="*/ 6924395 w 12192000"/>
              <a:gd name="connsiteY4816" fmla="*/ 4561479 h 6858000"/>
              <a:gd name="connsiteX4817" fmla="*/ 6956611 w 12192000"/>
              <a:gd name="connsiteY4817" fmla="*/ 4531827 h 6858000"/>
              <a:gd name="connsiteX4818" fmla="*/ 6988816 w 12192000"/>
              <a:gd name="connsiteY4818" fmla="*/ 4561479 h 6858000"/>
              <a:gd name="connsiteX4819" fmla="*/ 6956611 w 12192000"/>
              <a:gd name="connsiteY4819" fmla="*/ 4591131 h 6858000"/>
              <a:gd name="connsiteX4820" fmla="*/ 7035146 w 12192000"/>
              <a:gd name="connsiteY4820" fmla="*/ 4591131 h 6858000"/>
              <a:gd name="connsiteX4821" fmla="*/ 7002929 w 12192000"/>
              <a:gd name="connsiteY4821" fmla="*/ 4561479 h 6858000"/>
              <a:gd name="connsiteX4822" fmla="*/ 7035146 w 12192000"/>
              <a:gd name="connsiteY4822" fmla="*/ 4531827 h 6858000"/>
              <a:gd name="connsiteX4823" fmla="*/ 7067350 w 12192000"/>
              <a:gd name="connsiteY4823" fmla="*/ 4561479 h 6858000"/>
              <a:gd name="connsiteX4824" fmla="*/ 7035146 w 12192000"/>
              <a:gd name="connsiteY4824" fmla="*/ 4591131 h 6858000"/>
              <a:gd name="connsiteX4825" fmla="*/ 7113703 w 12192000"/>
              <a:gd name="connsiteY4825" fmla="*/ 4591131 h 6858000"/>
              <a:gd name="connsiteX4826" fmla="*/ 7081487 w 12192000"/>
              <a:gd name="connsiteY4826" fmla="*/ 4561479 h 6858000"/>
              <a:gd name="connsiteX4827" fmla="*/ 7113703 w 12192000"/>
              <a:gd name="connsiteY4827" fmla="*/ 4531827 h 6858000"/>
              <a:gd name="connsiteX4828" fmla="*/ 7145907 w 12192000"/>
              <a:gd name="connsiteY4828" fmla="*/ 4561479 h 6858000"/>
              <a:gd name="connsiteX4829" fmla="*/ 7113703 w 12192000"/>
              <a:gd name="connsiteY4829" fmla="*/ 4591131 h 6858000"/>
              <a:gd name="connsiteX4830" fmla="*/ 7192237 w 12192000"/>
              <a:gd name="connsiteY4830" fmla="*/ 4591131 h 6858000"/>
              <a:gd name="connsiteX4831" fmla="*/ 7160021 w 12192000"/>
              <a:gd name="connsiteY4831" fmla="*/ 4561479 h 6858000"/>
              <a:gd name="connsiteX4832" fmla="*/ 7192237 w 12192000"/>
              <a:gd name="connsiteY4832" fmla="*/ 4531827 h 6858000"/>
              <a:gd name="connsiteX4833" fmla="*/ 7224441 w 12192000"/>
              <a:gd name="connsiteY4833" fmla="*/ 4561479 h 6858000"/>
              <a:gd name="connsiteX4834" fmla="*/ 7192237 w 12192000"/>
              <a:gd name="connsiteY4834" fmla="*/ 4591131 h 6858000"/>
              <a:gd name="connsiteX4835" fmla="*/ 7270771 w 12192000"/>
              <a:gd name="connsiteY4835" fmla="*/ 4591131 h 6858000"/>
              <a:gd name="connsiteX4836" fmla="*/ 7238555 w 12192000"/>
              <a:gd name="connsiteY4836" fmla="*/ 4561479 h 6858000"/>
              <a:gd name="connsiteX4837" fmla="*/ 7270771 w 12192000"/>
              <a:gd name="connsiteY4837" fmla="*/ 4531827 h 6858000"/>
              <a:gd name="connsiteX4838" fmla="*/ 7302976 w 12192000"/>
              <a:gd name="connsiteY4838" fmla="*/ 4561479 h 6858000"/>
              <a:gd name="connsiteX4839" fmla="*/ 7270771 w 12192000"/>
              <a:gd name="connsiteY4839" fmla="*/ 4591131 h 6858000"/>
              <a:gd name="connsiteX4840" fmla="*/ 7349305 w 12192000"/>
              <a:gd name="connsiteY4840" fmla="*/ 4591131 h 6858000"/>
              <a:gd name="connsiteX4841" fmla="*/ 7317088 w 12192000"/>
              <a:gd name="connsiteY4841" fmla="*/ 4561479 h 6858000"/>
              <a:gd name="connsiteX4842" fmla="*/ 7349305 w 12192000"/>
              <a:gd name="connsiteY4842" fmla="*/ 4531827 h 6858000"/>
              <a:gd name="connsiteX4843" fmla="*/ 7381509 w 12192000"/>
              <a:gd name="connsiteY4843" fmla="*/ 4561479 h 6858000"/>
              <a:gd name="connsiteX4844" fmla="*/ 7349305 w 12192000"/>
              <a:gd name="connsiteY4844" fmla="*/ 4591131 h 6858000"/>
              <a:gd name="connsiteX4845" fmla="*/ 7427839 w 12192000"/>
              <a:gd name="connsiteY4845" fmla="*/ 4591131 h 6858000"/>
              <a:gd name="connsiteX4846" fmla="*/ 7395623 w 12192000"/>
              <a:gd name="connsiteY4846" fmla="*/ 4561479 h 6858000"/>
              <a:gd name="connsiteX4847" fmla="*/ 7427839 w 12192000"/>
              <a:gd name="connsiteY4847" fmla="*/ 4531827 h 6858000"/>
              <a:gd name="connsiteX4848" fmla="*/ 7460043 w 12192000"/>
              <a:gd name="connsiteY4848" fmla="*/ 4561479 h 6858000"/>
              <a:gd name="connsiteX4849" fmla="*/ 7427839 w 12192000"/>
              <a:gd name="connsiteY4849" fmla="*/ 4591131 h 6858000"/>
              <a:gd name="connsiteX4850" fmla="*/ 7506373 w 12192000"/>
              <a:gd name="connsiteY4850" fmla="*/ 4591131 h 6858000"/>
              <a:gd name="connsiteX4851" fmla="*/ 7474157 w 12192000"/>
              <a:gd name="connsiteY4851" fmla="*/ 4561479 h 6858000"/>
              <a:gd name="connsiteX4852" fmla="*/ 7506373 w 12192000"/>
              <a:gd name="connsiteY4852" fmla="*/ 4531827 h 6858000"/>
              <a:gd name="connsiteX4853" fmla="*/ 7538577 w 12192000"/>
              <a:gd name="connsiteY4853" fmla="*/ 4561479 h 6858000"/>
              <a:gd name="connsiteX4854" fmla="*/ 7506373 w 12192000"/>
              <a:gd name="connsiteY4854" fmla="*/ 4591131 h 6858000"/>
              <a:gd name="connsiteX4855" fmla="*/ 7584906 w 12192000"/>
              <a:gd name="connsiteY4855" fmla="*/ 4591131 h 6858000"/>
              <a:gd name="connsiteX4856" fmla="*/ 7552690 w 12192000"/>
              <a:gd name="connsiteY4856" fmla="*/ 4561479 h 6858000"/>
              <a:gd name="connsiteX4857" fmla="*/ 7584906 w 12192000"/>
              <a:gd name="connsiteY4857" fmla="*/ 4531827 h 6858000"/>
              <a:gd name="connsiteX4858" fmla="*/ 7617111 w 12192000"/>
              <a:gd name="connsiteY4858" fmla="*/ 4561479 h 6858000"/>
              <a:gd name="connsiteX4859" fmla="*/ 7584906 w 12192000"/>
              <a:gd name="connsiteY4859" fmla="*/ 4591131 h 6858000"/>
              <a:gd name="connsiteX4860" fmla="*/ 7663441 w 12192000"/>
              <a:gd name="connsiteY4860" fmla="*/ 4591131 h 6858000"/>
              <a:gd name="connsiteX4861" fmla="*/ 7631224 w 12192000"/>
              <a:gd name="connsiteY4861" fmla="*/ 4561479 h 6858000"/>
              <a:gd name="connsiteX4862" fmla="*/ 7663441 w 12192000"/>
              <a:gd name="connsiteY4862" fmla="*/ 4531827 h 6858000"/>
              <a:gd name="connsiteX4863" fmla="*/ 7695645 w 12192000"/>
              <a:gd name="connsiteY4863" fmla="*/ 4561479 h 6858000"/>
              <a:gd name="connsiteX4864" fmla="*/ 7663441 w 12192000"/>
              <a:gd name="connsiteY4864" fmla="*/ 4591131 h 6858000"/>
              <a:gd name="connsiteX4865" fmla="*/ 7741974 w 12192000"/>
              <a:gd name="connsiteY4865" fmla="*/ 4591131 h 6858000"/>
              <a:gd name="connsiteX4866" fmla="*/ 7709758 w 12192000"/>
              <a:gd name="connsiteY4866" fmla="*/ 4561479 h 6858000"/>
              <a:gd name="connsiteX4867" fmla="*/ 7741974 w 12192000"/>
              <a:gd name="connsiteY4867" fmla="*/ 4531827 h 6858000"/>
              <a:gd name="connsiteX4868" fmla="*/ 7774178 w 12192000"/>
              <a:gd name="connsiteY4868" fmla="*/ 4561479 h 6858000"/>
              <a:gd name="connsiteX4869" fmla="*/ 7741974 w 12192000"/>
              <a:gd name="connsiteY4869" fmla="*/ 4591131 h 6858000"/>
              <a:gd name="connsiteX4870" fmla="*/ 7820508 w 12192000"/>
              <a:gd name="connsiteY4870" fmla="*/ 4591131 h 6858000"/>
              <a:gd name="connsiteX4871" fmla="*/ 7788292 w 12192000"/>
              <a:gd name="connsiteY4871" fmla="*/ 4561479 h 6858000"/>
              <a:gd name="connsiteX4872" fmla="*/ 7820508 w 12192000"/>
              <a:gd name="connsiteY4872" fmla="*/ 4531827 h 6858000"/>
              <a:gd name="connsiteX4873" fmla="*/ 7852712 w 12192000"/>
              <a:gd name="connsiteY4873" fmla="*/ 4561479 h 6858000"/>
              <a:gd name="connsiteX4874" fmla="*/ 7820508 w 12192000"/>
              <a:gd name="connsiteY4874" fmla="*/ 4591131 h 6858000"/>
              <a:gd name="connsiteX4875" fmla="*/ 7899042 w 12192000"/>
              <a:gd name="connsiteY4875" fmla="*/ 4591131 h 6858000"/>
              <a:gd name="connsiteX4876" fmla="*/ 7866826 w 12192000"/>
              <a:gd name="connsiteY4876" fmla="*/ 4561479 h 6858000"/>
              <a:gd name="connsiteX4877" fmla="*/ 7899042 w 12192000"/>
              <a:gd name="connsiteY4877" fmla="*/ 4531827 h 6858000"/>
              <a:gd name="connsiteX4878" fmla="*/ 7931247 w 12192000"/>
              <a:gd name="connsiteY4878" fmla="*/ 4561479 h 6858000"/>
              <a:gd name="connsiteX4879" fmla="*/ 7899042 w 12192000"/>
              <a:gd name="connsiteY4879" fmla="*/ 4591131 h 6858000"/>
              <a:gd name="connsiteX4880" fmla="*/ 7977576 w 12192000"/>
              <a:gd name="connsiteY4880" fmla="*/ 4591131 h 6858000"/>
              <a:gd name="connsiteX4881" fmla="*/ 7945359 w 12192000"/>
              <a:gd name="connsiteY4881" fmla="*/ 4561479 h 6858000"/>
              <a:gd name="connsiteX4882" fmla="*/ 7977576 w 12192000"/>
              <a:gd name="connsiteY4882" fmla="*/ 4531827 h 6858000"/>
              <a:gd name="connsiteX4883" fmla="*/ 8009780 w 12192000"/>
              <a:gd name="connsiteY4883" fmla="*/ 4561479 h 6858000"/>
              <a:gd name="connsiteX4884" fmla="*/ 7977576 w 12192000"/>
              <a:gd name="connsiteY4884" fmla="*/ 4591131 h 6858000"/>
              <a:gd name="connsiteX4885" fmla="*/ 8056110 w 12192000"/>
              <a:gd name="connsiteY4885" fmla="*/ 4591131 h 6858000"/>
              <a:gd name="connsiteX4886" fmla="*/ 8023894 w 12192000"/>
              <a:gd name="connsiteY4886" fmla="*/ 4561479 h 6858000"/>
              <a:gd name="connsiteX4887" fmla="*/ 8056110 w 12192000"/>
              <a:gd name="connsiteY4887" fmla="*/ 4531827 h 6858000"/>
              <a:gd name="connsiteX4888" fmla="*/ 8088314 w 12192000"/>
              <a:gd name="connsiteY4888" fmla="*/ 4561479 h 6858000"/>
              <a:gd name="connsiteX4889" fmla="*/ 8056110 w 12192000"/>
              <a:gd name="connsiteY4889" fmla="*/ 4591131 h 6858000"/>
              <a:gd name="connsiteX4890" fmla="*/ 8134643 w 12192000"/>
              <a:gd name="connsiteY4890" fmla="*/ 4591131 h 6858000"/>
              <a:gd name="connsiteX4891" fmla="*/ 8102427 w 12192000"/>
              <a:gd name="connsiteY4891" fmla="*/ 4561479 h 6858000"/>
              <a:gd name="connsiteX4892" fmla="*/ 8134643 w 12192000"/>
              <a:gd name="connsiteY4892" fmla="*/ 4531827 h 6858000"/>
              <a:gd name="connsiteX4893" fmla="*/ 8166847 w 12192000"/>
              <a:gd name="connsiteY4893" fmla="*/ 4561479 h 6858000"/>
              <a:gd name="connsiteX4894" fmla="*/ 8134643 w 12192000"/>
              <a:gd name="connsiteY4894" fmla="*/ 4591131 h 6858000"/>
              <a:gd name="connsiteX4895" fmla="*/ 8213177 w 12192000"/>
              <a:gd name="connsiteY4895" fmla="*/ 4591131 h 6858000"/>
              <a:gd name="connsiteX4896" fmla="*/ 8180961 w 12192000"/>
              <a:gd name="connsiteY4896" fmla="*/ 4561479 h 6858000"/>
              <a:gd name="connsiteX4897" fmla="*/ 8213177 w 12192000"/>
              <a:gd name="connsiteY4897" fmla="*/ 4531827 h 6858000"/>
              <a:gd name="connsiteX4898" fmla="*/ 8245382 w 12192000"/>
              <a:gd name="connsiteY4898" fmla="*/ 4561479 h 6858000"/>
              <a:gd name="connsiteX4899" fmla="*/ 8213177 w 12192000"/>
              <a:gd name="connsiteY4899" fmla="*/ 4591131 h 6858000"/>
              <a:gd name="connsiteX4900" fmla="*/ 8291712 w 12192000"/>
              <a:gd name="connsiteY4900" fmla="*/ 4591131 h 6858000"/>
              <a:gd name="connsiteX4901" fmla="*/ 8259495 w 12192000"/>
              <a:gd name="connsiteY4901" fmla="*/ 4561479 h 6858000"/>
              <a:gd name="connsiteX4902" fmla="*/ 8291712 w 12192000"/>
              <a:gd name="connsiteY4902" fmla="*/ 4531827 h 6858000"/>
              <a:gd name="connsiteX4903" fmla="*/ 8323916 w 12192000"/>
              <a:gd name="connsiteY4903" fmla="*/ 4561479 h 6858000"/>
              <a:gd name="connsiteX4904" fmla="*/ 8291712 w 12192000"/>
              <a:gd name="connsiteY4904" fmla="*/ 4591131 h 6858000"/>
              <a:gd name="connsiteX4905" fmla="*/ 8370245 w 12192000"/>
              <a:gd name="connsiteY4905" fmla="*/ 4591131 h 6858000"/>
              <a:gd name="connsiteX4906" fmla="*/ 8338029 w 12192000"/>
              <a:gd name="connsiteY4906" fmla="*/ 4561479 h 6858000"/>
              <a:gd name="connsiteX4907" fmla="*/ 8370245 w 12192000"/>
              <a:gd name="connsiteY4907" fmla="*/ 4531827 h 6858000"/>
              <a:gd name="connsiteX4908" fmla="*/ 8402449 w 12192000"/>
              <a:gd name="connsiteY4908" fmla="*/ 4561479 h 6858000"/>
              <a:gd name="connsiteX4909" fmla="*/ 8370245 w 12192000"/>
              <a:gd name="connsiteY4909" fmla="*/ 4591131 h 6858000"/>
              <a:gd name="connsiteX4910" fmla="*/ 8448779 w 12192000"/>
              <a:gd name="connsiteY4910" fmla="*/ 4591131 h 6858000"/>
              <a:gd name="connsiteX4911" fmla="*/ 8416563 w 12192000"/>
              <a:gd name="connsiteY4911" fmla="*/ 4561479 h 6858000"/>
              <a:gd name="connsiteX4912" fmla="*/ 8448779 w 12192000"/>
              <a:gd name="connsiteY4912" fmla="*/ 4531827 h 6858000"/>
              <a:gd name="connsiteX4913" fmla="*/ 8480983 w 12192000"/>
              <a:gd name="connsiteY4913" fmla="*/ 4561479 h 6858000"/>
              <a:gd name="connsiteX4914" fmla="*/ 8448779 w 12192000"/>
              <a:gd name="connsiteY4914" fmla="*/ 4591131 h 6858000"/>
              <a:gd name="connsiteX4915" fmla="*/ 8527313 w 12192000"/>
              <a:gd name="connsiteY4915" fmla="*/ 4591131 h 6858000"/>
              <a:gd name="connsiteX4916" fmla="*/ 8495097 w 12192000"/>
              <a:gd name="connsiteY4916" fmla="*/ 4561479 h 6858000"/>
              <a:gd name="connsiteX4917" fmla="*/ 8527313 w 12192000"/>
              <a:gd name="connsiteY4917" fmla="*/ 4531827 h 6858000"/>
              <a:gd name="connsiteX4918" fmla="*/ 8559518 w 12192000"/>
              <a:gd name="connsiteY4918" fmla="*/ 4561479 h 6858000"/>
              <a:gd name="connsiteX4919" fmla="*/ 8527313 w 12192000"/>
              <a:gd name="connsiteY4919" fmla="*/ 4591131 h 6858000"/>
              <a:gd name="connsiteX4920" fmla="*/ 8605847 w 12192000"/>
              <a:gd name="connsiteY4920" fmla="*/ 4591131 h 6858000"/>
              <a:gd name="connsiteX4921" fmla="*/ 8573630 w 12192000"/>
              <a:gd name="connsiteY4921" fmla="*/ 4561479 h 6858000"/>
              <a:gd name="connsiteX4922" fmla="*/ 8605847 w 12192000"/>
              <a:gd name="connsiteY4922" fmla="*/ 4531827 h 6858000"/>
              <a:gd name="connsiteX4923" fmla="*/ 8638051 w 12192000"/>
              <a:gd name="connsiteY4923" fmla="*/ 4561479 h 6858000"/>
              <a:gd name="connsiteX4924" fmla="*/ 8605847 w 12192000"/>
              <a:gd name="connsiteY4924" fmla="*/ 4591131 h 6858000"/>
              <a:gd name="connsiteX4925" fmla="*/ 8684381 w 12192000"/>
              <a:gd name="connsiteY4925" fmla="*/ 4591131 h 6858000"/>
              <a:gd name="connsiteX4926" fmla="*/ 8652165 w 12192000"/>
              <a:gd name="connsiteY4926" fmla="*/ 4561479 h 6858000"/>
              <a:gd name="connsiteX4927" fmla="*/ 8684381 w 12192000"/>
              <a:gd name="connsiteY4927" fmla="*/ 4531827 h 6858000"/>
              <a:gd name="connsiteX4928" fmla="*/ 8716585 w 12192000"/>
              <a:gd name="connsiteY4928" fmla="*/ 4561479 h 6858000"/>
              <a:gd name="connsiteX4929" fmla="*/ 8684381 w 12192000"/>
              <a:gd name="connsiteY4929" fmla="*/ 4591131 h 6858000"/>
              <a:gd name="connsiteX4930" fmla="*/ 8762914 w 12192000"/>
              <a:gd name="connsiteY4930" fmla="*/ 4591131 h 6858000"/>
              <a:gd name="connsiteX4931" fmla="*/ 8730698 w 12192000"/>
              <a:gd name="connsiteY4931" fmla="*/ 4561479 h 6858000"/>
              <a:gd name="connsiteX4932" fmla="*/ 8762914 w 12192000"/>
              <a:gd name="connsiteY4932" fmla="*/ 4531827 h 6858000"/>
              <a:gd name="connsiteX4933" fmla="*/ 8795118 w 12192000"/>
              <a:gd name="connsiteY4933" fmla="*/ 4561479 h 6858000"/>
              <a:gd name="connsiteX4934" fmla="*/ 8762914 w 12192000"/>
              <a:gd name="connsiteY4934" fmla="*/ 4591131 h 6858000"/>
              <a:gd name="connsiteX4935" fmla="*/ 8841448 w 12192000"/>
              <a:gd name="connsiteY4935" fmla="*/ 4591131 h 6858000"/>
              <a:gd name="connsiteX4936" fmla="*/ 8809232 w 12192000"/>
              <a:gd name="connsiteY4936" fmla="*/ 4561479 h 6858000"/>
              <a:gd name="connsiteX4937" fmla="*/ 8841448 w 12192000"/>
              <a:gd name="connsiteY4937" fmla="*/ 4531827 h 6858000"/>
              <a:gd name="connsiteX4938" fmla="*/ 8873653 w 12192000"/>
              <a:gd name="connsiteY4938" fmla="*/ 4561479 h 6858000"/>
              <a:gd name="connsiteX4939" fmla="*/ 8841448 w 12192000"/>
              <a:gd name="connsiteY4939" fmla="*/ 4591131 h 6858000"/>
              <a:gd name="connsiteX4940" fmla="*/ 8919983 w 12192000"/>
              <a:gd name="connsiteY4940" fmla="*/ 4591131 h 6858000"/>
              <a:gd name="connsiteX4941" fmla="*/ 8887766 w 12192000"/>
              <a:gd name="connsiteY4941" fmla="*/ 4561479 h 6858000"/>
              <a:gd name="connsiteX4942" fmla="*/ 8919983 w 12192000"/>
              <a:gd name="connsiteY4942" fmla="*/ 4531827 h 6858000"/>
              <a:gd name="connsiteX4943" fmla="*/ 8952187 w 12192000"/>
              <a:gd name="connsiteY4943" fmla="*/ 4561479 h 6858000"/>
              <a:gd name="connsiteX4944" fmla="*/ 8919983 w 12192000"/>
              <a:gd name="connsiteY4944" fmla="*/ 4591131 h 6858000"/>
              <a:gd name="connsiteX4945" fmla="*/ 8998516 w 12192000"/>
              <a:gd name="connsiteY4945" fmla="*/ 4591131 h 6858000"/>
              <a:gd name="connsiteX4946" fmla="*/ 8966300 w 12192000"/>
              <a:gd name="connsiteY4946" fmla="*/ 4561479 h 6858000"/>
              <a:gd name="connsiteX4947" fmla="*/ 8998516 w 12192000"/>
              <a:gd name="connsiteY4947" fmla="*/ 4531827 h 6858000"/>
              <a:gd name="connsiteX4948" fmla="*/ 9030720 w 12192000"/>
              <a:gd name="connsiteY4948" fmla="*/ 4561479 h 6858000"/>
              <a:gd name="connsiteX4949" fmla="*/ 8998516 w 12192000"/>
              <a:gd name="connsiteY4949" fmla="*/ 4591131 h 6858000"/>
              <a:gd name="connsiteX4950" fmla="*/ 9077050 w 12192000"/>
              <a:gd name="connsiteY4950" fmla="*/ 4591131 h 6858000"/>
              <a:gd name="connsiteX4951" fmla="*/ 9044834 w 12192000"/>
              <a:gd name="connsiteY4951" fmla="*/ 4561479 h 6858000"/>
              <a:gd name="connsiteX4952" fmla="*/ 9077050 w 12192000"/>
              <a:gd name="connsiteY4952" fmla="*/ 4531827 h 6858000"/>
              <a:gd name="connsiteX4953" fmla="*/ 9109254 w 12192000"/>
              <a:gd name="connsiteY4953" fmla="*/ 4561479 h 6858000"/>
              <a:gd name="connsiteX4954" fmla="*/ 9077050 w 12192000"/>
              <a:gd name="connsiteY4954" fmla="*/ 4591131 h 6858000"/>
              <a:gd name="connsiteX4955" fmla="*/ 9155583 w 12192000"/>
              <a:gd name="connsiteY4955" fmla="*/ 4591131 h 6858000"/>
              <a:gd name="connsiteX4956" fmla="*/ 9123367 w 12192000"/>
              <a:gd name="connsiteY4956" fmla="*/ 4561479 h 6858000"/>
              <a:gd name="connsiteX4957" fmla="*/ 9155583 w 12192000"/>
              <a:gd name="connsiteY4957" fmla="*/ 4531827 h 6858000"/>
              <a:gd name="connsiteX4958" fmla="*/ 9187788 w 12192000"/>
              <a:gd name="connsiteY4958" fmla="*/ 4561479 h 6858000"/>
              <a:gd name="connsiteX4959" fmla="*/ 9155583 w 12192000"/>
              <a:gd name="connsiteY4959" fmla="*/ 4591131 h 6858000"/>
              <a:gd name="connsiteX4960" fmla="*/ 9234118 w 12192000"/>
              <a:gd name="connsiteY4960" fmla="*/ 4591131 h 6858000"/>
              <a:gd name="connsiteX4961" fmla="*/ 9201901 w 12192000"/>
              <a:gd name="connsiteY4961" fmla="*/ 4561479 h 6858000"/>
              <a:gd name="connsiteX4962" fmla="*/ 9234118 w 12192000"/>
              <a:gd name="connsiteY4962" fmla="*/ 4531827 h 6858000"/>
              <a:gd name="connsiteX4963" fmla="*/ 9266322 w 12192000"/>
              <a:gd name="connsiteY4963" fmla="*/ 4561479 h 6858000"/>
              <a:gd name="connsiteX4964" fmla="*/ 9234118 w 12192000"/>
              <a:gd name="connsiteY4964" fmla="*/ 4591131 h 6858000"/>
              <a:gd name="connsiteX4965" fmla="*/ 9312652 w 12192000"/>
              <a:gd name="connsiteY4965" fmla="*/ 4591131 h 6858000"/>
              <a:gd name="connsiteX4966" fmla="*/ 9280436 w 12192000"/>
              <a:gd name="connsiteY4966" fmla="*/ 4561479 h 6858000"/>
              <a:gd name="connsiteX4967" fmla="*/ 9312652 w 12192000"/>
              <a:gd name="connsiteY4967" fmla="*/ 4531827 h 6858000"/>
              <a:gd name="connsiteX4968" fmla="*/ 9344856 w 12192000"/>
              <a:gd name="connsiteY4968" fmla="*/ 4561479 h 6858000"/>
              <a:gd name="connsiteX4969" fmla="*/ 9312652 w 12192000"/>
              <a:gd name="connsiteY4969" fmla="*/ 4591131 h 6858000"/>
              <a:gd name="connsiteX4970" fmla="*/ 9391185 w 12192000"/>
              <a:gd name="connsiteY4970" fmla="*/ 4591131 h 6858000"/>
              <a:gd name="connsiteX4971" fmla="*/ 9358969 w 12192000"/>
              <a:gd name="connsiteY4971" fmla="*/ 4561479 h 6858000"/>
              <a:gd name="connsiteX4972" fmla="*/ 9391185 w 12192000"/>
              <a:gd name="connsiteY4972" fmla="*/ 4531827 h 6858000"/>
              <a:gd name="connsiteX4973" fmla="*/ 9423389 w 12192000"/>
              <a:gd name="connsiteY4973" fmla="*/ 4561479 h 6858000"/>
              <a:gd name="connsiteX4974" fmla="*/ 9391185 w 12192000"/>
              <a:gd name="connsiteY4974" fmla="*/ 4591131 h 6858000"/>
              <a:gd name="connsiteX4975" fmla="*/ 9469719 w 12192000"/>
              <a:gd name="connsiteY4975" fmla="*/ 4591131 h 6858000"/>
              <a:gd name="connsiteX4976" fmla="*/ 9437503 w 12192000"/>
              <a:gd name="connsiteY4976" fmla="*/ 4561479 h 6858000"/>
              <a:gd name="connsiteX4977" fmla="*/ 9469719 w 12192000"/>
              <a:gd name="connsiteY4977" fmla="*/ 4531827 h 6858000"/>
              <a:gd name="connsiteX4978" fmla="*/ 9501924 w 12192000"/>
              <a:gd name="connsiteY4978" fmla="*/ 4561479 h 6858000"/>
              <a:gd name="connsiteX4979" fmla="*/ 9469719 w 12192000"/>
              <a:gd name="connsiteY4979" fmla="*/ 4591131 h 6858000"/>
              <a:gd name="connsiteX4980" fmla="*/ 10097990 w 12192000"/>
              <a:gd name="connsiteY4980" fmla="*/ 4591131 h 6858000"/>
              <a:gd name="connsiteX4981" fmla="*/ 10065774 w 12192000"/>
              <a:gd name="connsiteY4981" fmla="*/ 4561479 h 6858000"/>
              <a:gd name="connsiteX4982" fmla="*/ 10097990 w 12192000"/>
              <a:gd name="connsiteY4982" fmla="*/ 4531827 h 6858000"/>
              <a:gd name="connsiteX4983" fmla="*/ 10130195 w 12192000"/>
              <a:gd name="connsiteY4983" fmla="*/ 4561479 h 6858000"/>
              <a:gd name="connsiteX4984" fmla="*/ 10097990 w 12192000"/>
              <a:gd name="connsiteY4984" fmla="*/ 4591131 h 6858000"/>
              <a:gd name="connsiteX4985" fmla="*/ 2558715 w 12192000"/>
              <a:gd name="connsiteY4985" fmla="*/ 4518865 h 6858000"/>
              <a:gd name="connsiteX4986" fmla="*/ 2526505 w 12192000"/>
              <a:gd name="connsiteY4986" fmla="*/ 4489213 h 6858000"/>
              <a:gd name="connsiteX4987" fmla="*/ 2558715 w 12192000"/>
              <a:gd name="connsiteY4987" fmla="*/ 4459561 h 6858000"/>
              <a:gd name="connsiteX4988" fmla="*/ 2590926 w 12192000"/>
              <a:gd name="connsiteY4988" fmla="*/ 4489213 h 6858000"/>
              <a:gd name="connsiteX4989" fmla="*/ 2558715 w 12192000"/>
              <a:gd name="connsiteY4989" fmla="*/ 4518865 h 6858000"/>
              <a:gd name="connsiteX4990" fmla="*/ 2637243 w 12192000"/>
              <a:gd name="connsiteY4990" fmla="*/ 4518865 h 6858000"/>
              <a:gd name="connsiteX4991" fmla="*/ 2605032 w 12192000"/>
              <a:gd name="connsiteY4991" fmla="*/ 4489213 h 6858000"/>
              <a:gd name="connsiteX4992" fmla="*/ 2637243 w 12192000"/>
              <a:gd name="connsiteY4992" fmla="*/ 4459561 h 6858000"/>
              <a:gd name="connsiteX4993" fmla="*/ 2669453 w 12192000"/>
              <a:gd name="connsiteY4993" fmla="*/ 4489213 h 6858000"/>
              <a:gd name="connsiteX4994" fmla="*/ 2637243 w 12192000"/>
              <a:gd name="connsiteY4994" fmla="*/ 4518865 h 6858000"/>
              <a:gd name="connsiteX4995" fmla="*/ 2715777 w 12192000"/>
              <a:gd name="connsiteY4995" fmla="*/ 4518865 h 6858000"/>
              <a:gd name="connsiteX4996" fmla="*/ 2683566 w 12192000"/>
              <a:gd name="connsiteY4996" fmla="*/ 4489213 h 6858000"/>
              <a:gd name="connsiteX4997" fmla="*/ 2715777 w 12192000"/>
              <a:gd name="connsiteY4997" fmla="*/ 4459561 h 6858000"/>
              <a:gd name="connsiteX4998" fmla="*/ 2747987 w 12192000"/>
              <a:gd name="connsiteY4998" fmla="*/ 4489213 h 6858000"/>
              <a:gd name="connsiteX4999" fmla="*/ 2715777 w 12192000"/>
              <a:gd name="connsiteY4999" fmla="*/ 4518865 h 6858000"/>
              <a:gd name="connsiteX5000" fmla="*/ 2794310 w 12192000"/>
              <a:gd name="connsiteY5000" fmla="*/ 4518865 h 6858000"/>
              <a:gd name="connsiteX5001" fmla="*/ 2762100 w 12192000"/>
              <a:gd name="connsiteY5001" fmla="*/ 4489213 h 6858000"/>
              <a:gd name="connsiteX5002" fmla="*/ 2794310 w 12192000"/>
              <a:gd name="connsiteY5002" fmla="*/ 4459561 h 6858000"/>
              <a:gd name="connsiteX5003" fmla="*/ 2826520 w 12192000"/>
              <a:gd name="connsiteY5003" fmla="*/ 4489213 h 6858000"/>
              <a:gd name="connsiteX5004" fmla="*/ 2794310 w 12192000"/>
              <a:gd name="connsiteY5004" fmla="*/ 4518865 h 6858000"/>
              <a:gd name="connsiteX5005" fmla="*/ 2872844 w 12192000"/>
              <a:gd name="connsiteY5005" fmla="*/ 4518865 h 6858000"/>
              <a:gd name="connsiteX5006" fmla="*/ 2840634 w 12192000"/>
              <a:gd name="connsiteY5006" fmla="*/ 4489213 h 6858000"/>
              <a:gd name="connsiteX5007" fmla="*/ 2872844 w 12192000"/>
              <a:gd name="connsiteY5007" fmla="*/ 4459561 h 6858000"/>
              <a:gd name="connsiteX5008" fmla="*/ 2905055 w 12192000"/>
              <a:gd name="connsiteY5008" fmla="*/ 4489213 h 6858000"/>
              <a:gd name="connsiteX5009" fmla="*/ 2872844 w 12192000"/>
              <a:gd name="connsiteY5009" fmla="*/ 4518865 h 6858000"/>
              <a:gd name="connsiteX5010" fmla="*/ 2951379 w 12192000"/>
              <a:gd name="connsiteY5010" fmla="*/ 4518865 h 6858000"/>
              <a:gd name="connsiteX5011" fmla="*/ 2919168 w 12192000"/>
              <a:gd name="connsiteY5011" fmla="*/ 4489213 h 6858000"/>
              <a:gd name="connsiteX5012" fmla="*/ 2951379 w 12192000"/>
              <a:gd name="connsiteY5012" fmla="*/ 4459561 h 6858000"/>
              <a:gd name="connsiteX5013" fmla="*/ 2983589 w 12192000"/>
              <a:gd name="connsiteY5013" fmla="*/ 4489213 h 6858000"/>
              <a:gd name="connsiteX5014" fmla="*/ 2951379 w 12192000"/>
              <a:gd name="connsiteY5014" fmla="*/ 4518865 h 6858000"/>
              <a:gd name="connsiteX5015" fmla="*/ 3029912 w 12192000"/>
              <a:gd name="connsiteY5015" fmla="*/ 4518865 h 6858000"/>
              <a:gd name="connsiteX5016" fmla="*/ 2997701 w 12192000"/>
              <a:gd name="connsiteY5016" fmla="*/ 4489213 h 6858000"/>
              <a:gd name="connsiteX5017" fmla="*/ 3029912 w 12192000"/>
              <a:gd name="connsiteY5017" fmla="*/ 4459561 h 6858000"/>
              <a:gd name="connsiteX5018" fmla="*/ 3062122 w 12192000"/>
              <a:gd name="connsiteY5018" fmla="*/ 4489213 h 6858000"/>
              <a:gd name="connsiteX5019" fmla="*/ 3029912 w 12192000"/>
              <a:gd name="connsiteY5019" fmla="*/ 4518865 h 6858000"/>
              <a:gd name="connsiteX5020" fmla="*/ 3108446 w 12192000"/>
              <a:gd name="connsiteY5020" fmla="*/ 4518865 h 6858000"/>
              <a:gd name="connsiteX5021" fmla="*/ 3076236 w 12192000"/>
              <a:gd name="connsiteY5021" fmla="*/ 4489213 h 6858000"/>
              <a:gd name="connsiteX5022" fmla="*/ 3108446 w 12192000"/>
              <a:gd name="connsiteY5022" fmla="*/ 4459561 h 6858000"/>
              <a:gd name="connsiteX5023" fmla="*/ 3140656 w 12192000"/>
              <a:gd name="connsiteY5023" fmla="*/ 4489213 h 6858000"/>
              <a:gd name="connsiteX5024" fmla="*/ 3108446 w 12192000"/>
              <a:gd name="connsiteY5024" fmla="*/ 4518865 h 6858000"/>
              <a:gd name="connsiteX5025" fmla="*/ 3186979 w 12192000"/>
              <a:gd name="connsiteY5025" fmla="*/ 4518865 h 6858000"/>
              <a:gd name="connsiteX5026" fmla="*/ 3154769 w 12192000"/>
              <a:gd name="connsiteY5026" fmla="*/ 4489213 h 6858000"/>
              <a:gd name="connsiteX5027" fmla="*/ 3186979 w 12192000"/>
              <a:gd name="connsiteY5027" fmla="*/ 4459561 h 6858000"/>
              <a:gd name="connsiteX5028" fmla="*/ 3219190 w 12192000"/>
              <a:gd name="connsiteY5028" fmla="*/ 4489213 h 6858000"/>
              <a:gd name="connsiteX5029" fmla="*/ 3186979 w 12192000"/>
              <a:gd name="connsiteY5029" fmla="*/ 4518865 h 6858000"/>
              <a:gd name="connsiteX5030" fmla="*/ 3265514 w 12192000"/>
              <a:gd name="connsiteY5030" fmla="*/ 4518865 h 6858000"/>
              <a:gd name="connsiteX5031" fmla="*/ 3233303 w 12192000"/>
              <a:gd name="connsiteY5031" fmla="*/ 4489213 h 6858000"/>
              <a:gd name="connsiteX5032" fmla="*/ 3265514 w 12192000"/>
              <a:gd name="connsiteY5032" fmla="*/ 4459561 h 6858000"/>
              <a:gd name="connsiteX5033" fmla="*/ 3297724 w 12192000"/>
              <a:gd name="connsiteY5033" fmla="*/ 4489213 h 6858000"/>
              <a:gd name="connsiteX5034" fmla="*/ 3265514 w 12192000"/>
              <a:gd name="connsiteY5034" fmla="*/ 4518865 h 6858000"/>
              <a:gd name="connsiteX5035" fmla="*/ 3344048 w 12192000"/>
              <a:gd name="connsiteY5035" fmla="*/ 4518865 h 6858000"/>
              <a:gd name="connsiteX5036" fmla="*/ 3311837 w 12192000"/>
              <a:gd name="connsiteY5036" fmla="*/ 4489213 h 6858000"/>
              <a:gd name="connsiteX5037" fmla="*/ 3344048 w 12192000"/>
              <a:gd name="connsiteY5037" fmla="*/ 4459561 h 6858000"/>
              <a:gd name="connsiteX5038" fmla="*/ 3376258 w 12192000"/>
              <a:gd name="connsiteY5038" fmla="*/ 4489213 h 6858000"/>
              <a:gd name="connsiteX5039" fmla="*/ 3344048 w 12192000"/>
              <a:gd name="connsiteY5039" fmla="*/ 4518865 h 6858000"/>
              <a:gd name="connsiteX5040" fmla="*/ 3501115 w 12192000"/>
              <a:gd name="connsiteY5040" fmla="*/ 4518865 h 6858000"/>
              <a:gd name="connsiteX5041" fmla="*/ 3468905 w 12192000"/>
              <a:gd name="connsiteY5041" fmla="*/ 4489213 h 6858000"/>
              <a:gd name="connsiteX5042" fmla="*/ 3501115 w 12192000"/>
              <a:gd name="connsiteY5042" fmla="*/ 4459561 h 6858000"/>
              <a:gd name="connsiteX5043" fmla="*/ 3533326 w 12192000"/>
              <a:gd name="connsiteY5043" fmla="*/ 4489213 h 6858000"/>
              <a:gd name="connsiteX5044" fmla="*/ 3501115 w 12192000"/>
              <a:gd name="connsiteY5044" fmla="*/ 4518865 h 6858000"/>
              <a:gd name="connsiteX5045" fmla="*/ 3972319 w 12192000"/>
              <a:gd name="connsiteY5045" fmla="*/ 4518865 h 6858000"/>
              <a:gd name="connsiteX5046" fmla="*/ 3940108 w 12192000"/>
              <a:gd name="connsiteY5046" fmla="*/ 4489213 h 6858000"/>
              <a:gd name="connsiteX5047" fmla="*/ 3972319 w 12192000"/>
              <a:gd name="connsiteY5047" fmla="*/ 4459561 h 6858000"/>
              <a:gd name="connsiteX5048" fmla="*/ 4004529 w 12192000"/>
              <a:gd name="connsiteY5048" fmla="*/ 4489213 h 6858000"/>
              <a:gd name="connsiteX5049" fmla="*/ 3972319 w 12192000"/>
              <a:gd name="connsiteY5049" fmla="*/ 4518865 h 6858000"/>
              <a:gd name="connsiteX5050" fmla="*/ 4050852 w 12192000"/>
              <a:gd name="connsiteY5050" fmla="*/ 4518865 h 6858000"/>
              <a:gd name="connsiteX5051" fmla="*/ 4018642 w 12192000"/>
              <a:gd name="connsiteY5051" fmla="*/ 4489213 h 6858000"/>
              <a:gd name="connsiteX5052" fmla="*/ 4050852 w 12192000"/>
              <a:gd name="connsiteY5052" fmla="*/ 4459561 h 6858000"/>
              <a:gd name="connsiteX5053" fmla="*/ 4083062 w 12192000"/>
              <a:gd name="connsiteY5053" fmla="*/ 4489213 h 6858000"/>
              <a:gd name="connsiteX5054" fmla="*/ 4050852 w 12192000"/>
              <a:gd name="connsiteY5054" fmla="*/ 4518865 h 6858000"/>
              <a:gd name="connsiteX5055" fmla="*/ 4129386 w 12192000"/>
              <a:gd name="connsiteY5055" fmla="*/ 4518865 h 6858000"/>
              <a:gd name="connsiteX5056" fmla="*/ 4097176 w 12192000"/>
              <a:gd name="connsiteY5056" fmla="*/ 4489213 h 6858000"/>
              <a:gd name="connsiteX5057" fmla="*/ 4129386 w 12192000"/>
              <a:gd name="connsiteY5057" fmla="*/ 4459561 h 6858000"/>
              <a:gd name="connsiteX5058" fmla="*/ 4161597 w 12192000"/>
              <a:gd name="connsiteY5058" fmla="*/ 4489213 h 6858000"/>
              <a:gd name="connsiteX5059" fmla="*/ 4129386 w 12192000"/>
              <a:gd name="connsiteY5059" fmla="*/ 4518865 h 6858000"/>
              <a:gd name="connsiteX5060" fmla="*/ 4286460 w 12192000"/>
              <a:gd name="connsiteY5060" fmla="*/ 4518865 h 6858000"/>
              <a:gd name="connsiteX5061" fmla="*/ 4254250 w 12192000"/>
              <a:gd name="connsiteY5061" fmla="*/ 4489213 h 6858000"/>
              <a:gd name="connsiteX5062" fmla="*/ 4286460 w 12192000"/>
              <a:gd name="connsiteY5062" fmla="*/ 4459561 h 6858000"/>
              <a:gd name="connsiteX5063" fmla="*/ 4318670 w 12192000"/>
              <a:gd name="connsiteY5063" fmla="*/ 4489213 h 6858000"/>
              <a:gd name="connsiteX5064" fmla="*/ 4286460 w 12192000"/>
              <a:gd name="connsiteY5064" fmla="*/ 4518865 h 6858000"/>
              <a:gd name="connsiteX5065" fmla="*/ 6092739 w 12192000"/>
              <a:gd name="connsiteY5065" fmla="*/ 4518865 h 6858000"/>
              <a:gd name="connsiteX5066" fmla="*/ 6060522 w 12192000"/>
              <a:gd name="connsiteY5066" fmla="*/ 4489213 h 6858000"/>
              <a:gd name="connsiteX5067" fmla="*/ 6092739 w 12192000"/>
              <a:gd name="connsiteY5067" fmla="*/ 4459561 h 6858000"/>
              <a:gd name="connsiteX5068" fmla="*/ 6124943 w 12192000"/>
              <a:gd name="connsiteY5068" fmla="*/ 4489213 h 6858000"/>
              <a:gd name="connsiteX5069" fmla="*/ 6092739 w 12192000"/>
              <a:gd name="connsiteY5069" fmla="*/ 4518865 h 6858000"/>
              <a:gd name="connsiteX5070" fmla="*/ 6171273 w 12192000"/>
              <a:gd name="connsiteY5070" fmla="*/ 4518865 h 6858000"/>
              <a:gd name="connsiteX5071" fmla="*/ 6139056 w 12192000"/>
              <a:gd name="connsiteY5071" fmla="*/ 4489213 h 6858000"/>
              <a:gd name="connsiteX5072" fmla="*/ 6171273 w 12192000"/>
              <a:gd name="connsiteY5072" fmla="*/ 4459561 h 6858000"/>
              <a:gd name="connsiteX5073" fmla="*/ 6203477 w 12192000"/>
              <a:gd name="connsiteY5073" fmla="*/ 4489213 h 6858000"/>
              <a:gd name="connsiteX5074" fmla="*/ 6171273 w 12192000"/>
              <a:gd name="connsiteY5074" fmla="*/ 4518865 h 6858000"/>
              <a:gd name="connsiteX5075" fmla="*/ 6249806 w 12192000"/>
              <a:gd name="connsiteY5075" fmla="*/ 4518865 h 6858000"/>
              <a:gd name="connsiteX5076" fmla="*/ 6217590 w 12192000"/>
              <a:gd name="connsiteY5076" fmla="*/ 4489213 h 6858000"/>
              <a:gd name="connsiteX5077" fmla="*/ 6249806 w 12192000"/>
              <a:gd name="connsiteY5077" fmla="*/ 4459561 h 6858000"/>
              <a:gd name="connsiteX5078" fmla="*/ 6282010 w 12192000"/>
              <a:gd name="connsiteY5078" fmla="*/ 4489213 h 6858000"/>
              <a:gd name="connsiteX5079" fmla="*/ 6249806 w 12192000"/>
              <a:gd name="connsiteY5079" fmla="*/ 4518865 h 6858000"/>
              <a:gd name="connsiteX5080" fmla="*/ 6485408 w 12192000"/>
              <a:gd name="connsiteY5080" fmla="*/ 4518865 h 6858000"/>
              <a:gd name="connsiteX5081" fmla="*/ 6453191 w 12192000"/>
              <a:gd name="connsiteY5081" fmla="*/ 4489213 h 6858000"/>
              <a:gd name="connsiteX5082" fmla="*/ 6485408 w 12192000"/>
              <a:gd name="connsiteY5082" fmla="*/ 4459561 h 6858000"/>
              <a:gd name="connsiteX5083" fmla="*/ 6517612 w 12192000"/>
              <a:gd name="connsiteY5083" fmla="*/ 4489213 h 6858000"/>
              <a:gd name="connsiteX5084" fmla="*/ 6485408 w 12192000"/>
              <a:gd name="connsiteY5084" fmla="*/ 4518865 h 6858000"/>
              <a:gd name="connsiteX5085" fmla="*/ 6563942 w 12192000"/>
              <a:gd name="connsiteY5085" fmla="*/ 4518865 h 6858000"/>
              <a:gd name="connsiteX5086" fmla="*/ 6531726 w 12192000"/>
              <a:gd name="connsiteY5086" fmla="*/ 4489213 h 6858000"/>
              <a:gd name="connsiteX5087" fmla="*/ 6563942 w 12192000"/>
              <a:gd name="connsiteY5087" fmla="*/ 4459561 h 6858000"/>
              <a:gd name="connsiteX5088" fmla="*/ 6596146 w 12192000"/>
              <a:gd name="connsiteY5088" fmla="*/ 4489213 h 6858000"/>
              <a:gd name="connsiteX5089" fmla="*/ 6563942 w 12192000"/>
              <a:gd name="connsiteY5089" fmla="*/ 4518865 h 6858000"/>
              <a:gd name="connsiteX5090" fmla="*/ 6642476 w 12192000"/>
              <a:gd name="connsiteY5090" fmla="*/ 4518865 h 6858000"/>
              <a:gd name="connsiteX5091" fmla="*/ 6610260 w 12192000"/>
              <a:gd name="connsiteY5091" fmla="*/ 4489213 h 6858000"/>
              <a:gd name="connsiteX5092" fmla="*/ 6642476 w 12192000"/>
              <a:gd name="connsiteY5092" fmla="*/ 4459561 h 6858000"/>
              <a:gd name="connsiteX5093" fmla="*/ 6674681 w 12192000"/>
              <a:gd name="connsiteY5093" fmla="*/ 4489213 h 6858000"/>
              <a:gd name="connsiteX5094" fmla="*/ 6642476 w 12192000"/>
              <a:gd name="connsiteY5094" fmla="*/ 4518865 h 6858000"/>
              <a:gd name="connsiteX5095" fmla="*/ 6799544 w 12192000"/>
              <a:gd name="connsiteY5095" fmla="*/ 4518865 h 6858000"/>
              <a:gd name="connsiteX5096" fmla="*/ 6767327 w 12192000"/>
              <a:gd name="connsiteY5096" fmla="*/ 4489213 h 6858000"/>
              <a:gd name="connsiteX5097" fmla="*/ 6799544 w 12192000"/>
              <a:gd name="connsiteY5097" fmla="*/ 4459561 h 6858000"/>
              <a:gd name="connsiteX5098" fmla="*/ 6831748 w 12192000"/>
              <a:gd name="connsiteY5098" fmla="*/ 4489213 h 6858000"/>
              <a:gd name="connsiteX5099" fmla="*/ 6799544 w 12192000"/>
              <a:gd name="connsiteY5099" fmla="*/ 4518865 h 6858000"/>
              <a:gd name="connsiteX5100" fmla="*/ 6878077 w 12192000"/>
              <a:gd name="connsiteY5100" fmla="*/ 4518865 h 6858000"/>
              <a:gd name="connsiteX5101" fmla="*/ 6845861 w 12192000"/>
              <a:gd name="connsiteY5101" fmla="*/ 4489213 h 6858000"/>
              <a:gd name="connsiteX5102" fmla="*/ 6878077 w 12192000"/>
              <a:gd name="connsiteY5102" fmla="*/ 4459561 h 6858000"/>
              <a:gd name="connsiteX5103" fmla="*/ 6910281 w 12192000"/>
              <a:gd name="connsiteY5103" fmla="*/ 4489213 h 6858000"/>
              <a:gd name="connsiteX5104" fmla="*/ 6878077 w 12192000"/>
              <a:gd name="connsiteY5104" fmla="*/ 4518865 h 6858000"/>
              <a:gd name="connsiteX5105" fmla="*/ 6956611 w 12192000"/>
              <a:gd name="connsiteY5105" fmla="*/ 4518865 h 6858000"/>
              <a:gd name="connsiteX5106" fmla="*/ 6924395 w 12192000"/>
              <a:gd name="connsiteY5106" fmla="*/ 4489213 h 6858000"/>
              <a:gd name="connsiteX5107" fmla="*/ 6956611 w 12192000"/>
              <a:gd name="connsiteY5107" fmla="*/ 4459561 h 6858000"/>
              <a:gd name="connsiteX5108" fmla="*/ 6988816 w 12192000"/>
              <a:gd name="connsiteY5108" fmla="*/ 4489213 h 6858000"/>
              <a:gd name="connsiteX5109" fmla="*/ 6956611 w 12192000"/>
              <a:gd name="connsiteY5109" fmla="*/ 4518865 h 6858000"/>
              <a:gd name="connsiteX5110" fmla="*/ 7035146 w 12192000"/>
              <a:gd name="connsiteY5110" fmla="*/ 4518865 h 6858000"/>
              <a:gd name="connsiteX5111" fmla="*/ 7002929 w 12192000"/>
              <a:gd name="connsiteY5111" fmla="*/ 4489213 h 6858000"/>
              <a:gd name="connsiteX5112" fmla="*/ 7035146 w 12192000"/>
              <a:gd name="connsiteY5112" fmla="*/ 4459561 h 6858000"/>
              <a:gd name="connsiteX5113" fmla="*/ 7067350 w 12192000"/>
              <a:gd name="connsiteY5113" fmla="*/ 4489213 h 6858000"/>
              <a:gd name="connsiteX5114" fmla="*/ 7035146 w 12192000"/>
              <a:gd name="connsiteY5114" fmla="*/ 4518865 h 6858000"/>
              <a:gd name="connsiteX5115" fmla="*/ 7113703 w 12192000"/>
              <a:gd name="connsiteY5115" fmla="*/ 4518865 h 6858000"/>
              <a:gd name="connsiteX5116" fmla="*/ 7081487 w 12192000"/>
              <a:gd name="connsiteY5116" fmla="*/ 4489213 h 6858000"/>
              <a:gd name="connsiteX5117" fmla="*/ 7113703 w 12192000"/>
              <a:gd name="connsiteY5117" fmla="*/ 4459561 h 6858000"/>
              <a:gd name="connsiteX5118" fmla="*/ 7145907 w 12192000"/>
              <a:gd name="connsiteY5118" fmla="*/ 4489213 h 6858000"/>
              <a:gd name="connsiteX5119" fmla="*/ 7113703 w 12192000"/>
              <a:gd name="connsiteY5119" fmla="*/ 4518865 h 6858000"/>
              <a:gd name="connsiteX5120" fmla="*/ 7192237 w 12192000"/>
              <a:gd name="connsiteY5120" fmla="*/ 4518865 h 6858000"/>
              <a:gd name="connsiteX5121" fmla="*/ 7160021 w 12192000"/>
              <a:gd name="connsiteY5121" fmla="*/ 4489213 h 6858000"/>
              <a:gd name="connsiteX5122" fmla="*/ 7192237 w 12192000"/>
              <a:gd name="connsiteY5122" fmla="*/ 4459561 h 6858000"/>
              <a:gd name="connsiteX5123" fmla="*/ 7224441 w 12192000"/>
              <a:gd name="connsiteY5123" fmla="*/ 4489213 h 6858000"/>
              <a:gd name="connsiteX5124" fmla="*/ 7192237 w 12192000"/>
              <a:gd name="connsiteY5124" fmla="*/ 4518865 h 6858000"/>
              <a:gd name="connsiteX5125" fmla="*/ 7270771 w 12192000"/>
              <a:gd name="connsiteY5125" fmla="*/ 4518865 h 6858000"/>
              <a:gd name="connsiteX5126" fmla="*/ 7238555 w 12192000"/>
              <a:gd name="connsiteY5126" fmla="*/ 4489213 h 6858000"/>
              <a:gd name="connsiteX5127" fmla="*/ 7270771 w 12192000"/>
              <a:gd name="connsiteY5127" fmla="*/ 4459561 h 6858000"/>
              <a:gd name="connsiteX5128" fmla="*/ 7302976 w 12192000"/>
              <a:gd name="connsiteY5128" fmla="*/ 4489213 h 6858000"/>
              <a:gd name="connsiteX5129" fmla="*/ 7270771 w 12192000"/>
              <a:gd name="connsiteY5129" fmla="*/ 4518865 h 6858000"/>
              <a:gd name="connsiteX5130" fmla="*/ 7349305 w 12192000"/>
              <a:gd name="connsiteY5130" fmla="*/ 4518865 h 6858000"/>
              <a:gd name="connsiteX5131" fmla="*/ 7317088 w 12192000"/>
              <a:gd name="connsiteY5131" fmla="*/ 4489213 h 6858000"/>
              <a:gd name="connsiteX5132" fmla="*/ 7349305 w 12192000"/>
              <a:gd name="connsiteY5132" fmla="*/ 4459561 h 6858000"/>
              <a:gd name="connsiteX5133" fmla="*/ 7381509 w 12192000"/>
              <a:gd name="connsiteY5133" fmla="*/ 4489213 h 6858000"/>
              <a:gd name="connsiteX5134" fmla="*/ 7349305 w 12192000"/>
              <a:gd name="connsiteY5134" fmla="*/ 4518865 h 6858000"/>
              <a:gd name="connsiteX5135" fmla="*/ 7427839 w 12192000"/>
              <a:gd name="connsiteY5135" fmla="*/ 4518865 h 6858000"/>
              <a:gd name="connsiteX5136" fmla="*/ 7395623 w 12192000"/>
              <a:gd name="connsiteY5136" fmla="*/ 4489213 h 6858000"/>
              <a:gd name="connsiteX5137" fmla="*/ 7427839 w 12192000"/>
              <a:gd name="connsiteY5137" fmla="*/ 4459561 h 6858000"/>
              <a:gd name="connsiteX5138" fmla="*/ 7460043 w 12192000"/>
              <a:gd name="connsiteY5138" fmla="*/ 4489213 h 6858000"/>
              <a:gd name="connsiteX5139" fmla="*/ 7427839 w 12192000"/>
              <a:gd name="connsiteY5139" fmla="*/ 4518865 h 6858000"/>
              <a:gd name="connsiteX5140" fmla="*/ 7506373 w 12192000"/>
              <a:gd name="connsiteY5140" fmla="*/ 4518865 h 6858000"/>
              <a:gd name="connsiteX5141" fmla="*/ 7474157 w 12192000"/>
              <a:gd name="connsiteY5141" fmla="*/ 4489213 h 6858000"/>
              <a:gd name="connsiteX5142" fmla="*/ 7506373 w 12192000"/>
              <a:gd name="connsiteY5142" fmla="*/ 4459561 h 6858000"/>
              <a:gd name="connsiteX5143" fmla="*/ 7538577 w 12192000"/>
              <a:gd name="connsiteY5143" fmla="*/ 4489213 h 6858000"/>
              <a:gd name="connsiteX5144" fmla="*/ 7506373 w 12192000"/>
              <a:gd name="connsiteY5144" fmla="*/ 4518865 h 6858000"/>
              <a:gd name="connsiteX5145" fmla="*/ 7584906 w 12192000"/>
              <a:gd name="connsiteY5145" fmla="*/ 4518865 h 6858000"/>
              <a:gd name="connsiteX5146" fmla="*/ 7552690 w 12192000"/>
              <a:gd name="connsiteY5146" fmla="*/ 4489213 h 6858000"/>
              <a:gd name="connsiteX5147" fmla="*/ 7584906 w 12192000"/>
              <a:gd name="connsiteY5147" fmla="*/ 4459561 h 6858000"/>
              <a:gd name="connsiteX5148" fmla="*/ 7617111 w 12192000"/>
              <a:gd name="connsiteY5148" fmla="*/ 4489213 h 6858000"/>
              <a:gd name="connsiteX5149" fmla="*/ 7584906 w 12192000"/>
              <a:gd name="connsiteY5149" fmla="*/ 4518865 h 6858000"/>
              <a:gd name="connsiteX5150" fmla="*/ 7663441 w 12192000"/>
              <a:gd name="connsiteY5150" fmla="*/ 4518865 h 6858000"/>
              <a:gd name="connsiteX5151" fmla="*/ 7631224 w 12192000"/>
              <a:gd name="connsiteY5151" fmla="*/ 4489213 h 6858000"/>
              <a:gd name="connsiteX5152" fmla="*/ 7663441 w 12192000"/>
              <a:gd name="connsiteY5152" fmla="*/ 4459561 h 6858000"/>
              <a:gd name="connsiteX5153" fmla="*/ 7695645 w 12192000"/>
              <a:gd name="connsiteY5153" fmla="*/ 4489213 h 6858000"/>
              <a:gd name="connsiteX5154" fmla="*/ 7663441 w 12192000"/>
              <a:gd name="connsiteY5154" fmla="*/ 4518865 h 6858000"/>
              <a:gd name="connsiteX5155" fmla="*/ 7741974 w 12192000"/>
              <a:gd name="connsiteY5155" fmla="*/ 4518865 h 6858000"/>
              <a:gd name="connsiteX5156" fmla="*/ 7709758 w 12192000"/>
              <a:gd name="connsiteY5156" fmla="*/ 4489213 h 6858000"/>
              <a:gd name="connsiteX5157" fmla="*/ 7741974 w 12192000"/>
              <a:gd name="connsiteY5157" fmla="*/ 4459561 h 6858000"/>
              <a:gd name="connsiteX5158" fmla="*/ 7774178 w 12192000"/>
              <a:gd name="connsiteY5158" fmla="*/ 4489213 h 6858000"/>
              <a:gd name="connsiteX5159" fmla="*/ 7741974 w 12192000"/>
              <a:gd name="connsiteY5159" fmla="*/ 4518865 h 6858000"/>
              <a:gd name="connsiteX5160" fmla="*/ 7820508 w 12192000"/>
              <a:gd name="connsiteY5160" fmla="*/ 4518865 h 6858000"/>
              <a:gd name="connsiteX5161" fmla="*/ 7788292 w 12192000"/>
              <a:gd name="connsiteY5161" fmla="*/ 4489213 h 6858000"/>
              <a:gd name="connsiteX5162" fmla="*/ 7820508 w 12192000"/>
              <a:gd name="connsiteY5162" fmla="*/ 4459561 h 6858000"/>
              <a:gd name="connsiteX5163" fmla="*/ 7852712 w 12192000"/>
              <a:gd name="connsiteY5163" fmla="*/ 4489213 h 6858000"/>
              <a:gd name="connsiteX5164" fmla="*/ 7820508 w 12192000"/>
              <a:gd name="connsiteY5164" fmla="*/ 4518865 h 6858000"/>
              <a:gd name="connsiteX5165" fmla="*/ 7899042 w 12192000"/>
              <a:gd name="connsiteY5165" fmla="*/ 4518865 h 6858000"/>
              <a:gd name="connsiteX5166" fmla="*/ 7866826 w 12192000"/>
              <a:gd name="connsiteY5166" fmla="*/ 4489213 h 6858000"/>
              <a:gd name="connsiteX5167" fmla="*/ 7899042 w 12192000"/>
              <a:gd name="connsiteY5167" fmla="*/ 4459561 h 6858000"/>
              <a:gd name="connsiteX5168" fmla="*/ 7931247 w 12192000"/>
              <a:gd name="connsiteY5168" fmla="*/ 4489213 h 6858000"/>
              <a:gd name="connsiteX5169" fmla="*/ 7899042 w 12192000"/>
              <a:gd name="connsiteY5169" fmla="*/ 4518865 h 6858000"/>
              <a:gd name="connsiteX5170" fmla="*/ 7977576 w 12192000"/>
              <a:gd name="connsiteY5170" fmla="*/ 4518865 h 6858000"/>
              <a:gd name="connsiteX5171" fmla="*/ 7945359 w 12192000"/>
              <a:gd name="connsiteY5171" fmla="*/ 4489213 h 6858000"/>
              <a:gd name="connsiteX5172" fmla="*/ 7977576 w 12192000"/>
              <a:gd name="connsiteY5172" fmla="*/ 4459561 h 6858000"/>
              <a:gd name="connsiteX5173" fmla="*/ 8009780 w 12192000"/>
              <a:gd name="connsiteY5173" fmla="*/ 4489213 h 6858000"/>
              <a:gd name="connsiteX5174" fmla="*/ 7977576 w 12192000"/>
              <a:gd name="connsiteY5174" fmla="*/ 4518865 h 6858000"/>
              <a:gd name="connsiteX5175" fmla="*/ 8056110 w 12192000"/>
              <a:gd name="connsiteY5175" fmla="*/ 4518865 h 6858000"/>
              <a:gd name="connsiteX5176" fmla="*/ 8023894 w 12192000"/>
              <a:gd name="connsiteY5176" fmla="*/ 4489213 h 6858000"/>
              <a:gd name="connsiteX5177" fmla="*/ 8056110 w 12192000"/>
              <a:gd name="connsiteY5177" fmla="*/ 4459561 h 6858000"/>
              <a:gd name="connsiteX5178" fmla="*/ 8088314 w 12192000"/>
              <a:gd name="connsiteY5178" fmla="*/ 4489213 h 6858000"/>
              <a:gd name="connsiteX5179" fmla="*/ 8056110 w 12192000"/>
              <a:gd name="connsiteY5179" fmla="*/ 4518865 h 6858000"/>
              <a:gd name="connsiteX5180" fmla="*/ 8134643 w 12192000"/>
              <a:gd name="connsiteY5180" fmla="*/ 4518865 h 6858000"/>
              <a:gd name="connsiteX5181" fmla="*/ 8102427 w 12192000"/>
              <a:gd name="connsiteY5181" fmla="*/ 4489213 h 6858000"/>
              <a:gd name="connsiteX5182" fmla="*/ 8134643 w 12192000"/>
              <a:gd name="connsiteY5182" fmla="*/ 4459561 h 6858000"/>
              <a:gd name="connsiteX5183" fmla="*/ 8166847 w 12192000"/>
              <a:gd name="connsiteY5183" fmla="*/ 4489213 h 6858000"/>
              <a:gd name="connsiteX5184" fmla="*/ 8134643 w 12192000"/>
              <a:gd name="connsiteY5184" fmla="*/ 4518865 h 6858000"/>
              <a:gd name="connsiteX5185" fmla="*/ 8213177 w 12192000"/>
              <a:gd name="connsiteY5185" fmla="*/ 4518865 h 6858000"/>
              <a:gd name="connsiteX5186" fmla="*/ 8180961 w 12192000"/>
              <a:gd name="connsiteY5186" fmla="*/ 4489213 h 6858000"/>
              <a:gd name="connsiteX5187" fmla="*/ 8213177 w 12192000"/>
              <a:gd name="connsiteY5187" fmla="*/ 4459561 h 6858000"/>
              <a:gd name="connsiteX5188" fmla="*/ 8245382 w 12192000"/>
              <a:gd name="connsiteY5188" fmla="*/ 4489213 h 6858000"/>
              <a:gd name="connsiteX5189" fmla="*/ 8213177 w 12192000"/>
              <a:gd name="connsiteY5189" fmla="*/ 4518865 h 6858000"/>
              <a:gd name="connsiteX5190" fmla="*/ 8291712 w 12192000"/>
              <a:gd name="connsiteY5190" fmla="*/ 4518865 h 6858000"/>
              <a:gd name="connsiteX5191" fmla="*/ 8259495 w 12192000"/>
              <a:gd name="connsiteY5191" fmla="*/ 4489213 h 6858000"/>
              <a:gd name="connsiteX5192" fmla="*/ 8291712 w 12192000"/>
              <a:gd name="connsiteY5192" fmla="*/ 4459561 h 6858000"/>
              <a:gd name="connsiteX5193" fmla="*/ 8323916 w 12192000"/>
              <a:gd name="connsiteY5193" fmla="*/ 4489213 h 6858000"/>
              <a:gd name="connsiteX5194" fmla="*/ 8291712 w 12192000"/>
              <a:gd name="connsiteY5194" fmla="*/ 4518865 h 6858000"/>
              <a:gd name="connsiteX5195" fmla="*/ 8370245 w 12192000"/>
              <a:gd name="connsiteY5195" fmla="*/ 4518865 h 6858000"/>
              <a:gd name="connsiteX5196" fmla="*/ 8338029 w 12192000"/>
              <a:gd name="connsiteY5196" fmla="*/ 4489213 h 6858000"/>
              <a:gd name="connsiteX5197" fmla="*/ 8370245 w 12192000"/>
              <a:gd name="connsiteY5197" fmla="*/ 4459561 h 6858000"/>
              <a:gd name="connsiteX5198" fmla="*/ 8402449 w 12192000"/>
              <a:gd name="connsiteY5198" fmla="*/ 4489213 h 6858000"/>
              <a:gd name="connsiteX5199" fmla="*/ 8370245 w 12192000"/>
              <a:gd name="connsiteY5199" fmla="*/ 4518865 h 6858000"/>
              <a:gd name="connsiteX5200" fmla="*/ 8448779 w 12192000"/>
              <a:gd name="connsiteY5200" fmla="*/ 4518865 h 6858000"/>
              <a:gd name="connsiteX5201" fmla="*/ 8416563 w 12192000"/>
              <a:gd name="connsiteY5201" fmla="*/ 4489213 h 6858000"/>
              <a:gd name="connsiteX5202" fmla="*/ 8448779 w 12192000"/>
              <a:gd name="connsiteY5202" fmla="*/ 4459561 h 6858000"/>
              <a:gd name="connsiteX5203" fmla="*/ 8480983 w 12192000"/>
              <a:gd name="connsiteY5203" fmla="*/ 4489213 h 6858000"/>
              <a:gd name="connsiteX5204" fmla="*/ 8448779 w 12192000"/>
              <a:gd name="connsiteY5204" fmla="*/ 4518865 h 6858000"/>
              <a:gd name="connsiteX5205" fmla="*/ 8527313 w 12192000"/>
              <a:gd name="connsiteY5205" fmla="*/ 4518865 h 6858000"/>
              <a:gd name="connsiteX5206" fmla="*/ 8495097 w 12192000"/>
              <a:gd name="connsiteY5206" fmla="*/ 4489213 h 6858000"/>
              <a:gd name="connsiteX5207" fmla="*/ 8527313 w 12192000"/>
              <a:gd name="connsiteY5207" fmla="*/ 4459561 h 6858000"/>
              <a:gd name="connsiteX5208" fmla="*/ 8559518 w 12192000"/>
              <a:gd name="connsiteY5208" fmla="*/ 4489213 h 6858000"/>
              <a:gd name="connsiteX5209" fmla="*/ 8527313 w 12192000"/>
              <a:gd name="connsiteY5209" fmla="*/ 4518865 h 6858000"/>
              <a:gd name="connsiteX5210" fmla="*/ 8605847 w 12192000"/>
              <a:gd name="connsiteY5210" fmla="*/ 4518865 h 6858000"/>
              <a:gd name="connsiteX5211" fmla="*/ 8573630 w 12192000"/>
              <a:gd name="connsiteY5211" fmla="*/ 4489213 h 6858000"/>
              <a:gd name="connsiteX5212" fmla="*/ 8605847 w 12192000"/>
              <a:gd name="connsiteY5212" fmla="*/ 4459561 h 6858000"/>
              <a:gd name="connsiteX5213" fmla="*/ 8638051 w 12192000"/>
              <a:gd name="connsiteY5213" fmla="*/ 4489213 h 6858000"/>
              <a:gd name="connsiteX5214" fmla="*/ 8605847 w 12192000"/>
              <a:gd name="connsiteY5214" fmla="*/ 4518865 h 6858000"/>
              <a:gd name="connsiteX5215" fmla="*/ 8684381 w 12192000"/>
              <a:gd name="connsiteY5215" fmla="*/ 4518865 h 6858000"/>
              <a:gd name="connsiteX5216" fmla="*/ 8652165 w 12192000"/>
              <a:gd name="connsiteY5216" fmla="*/ 4489213 h 6858000"/>
              <a:gd name="connsiteX5217" fmla="*/ 8684381 w 12192000"/>
              <a:gd name="connsiteY5217" fmla="*/ 4459561 h 6858000"/>
              <a:gd name="connsiteX5218" fmla="*/ 8716585 w 12192000"/>
              <a:gd name="connsiteY5218" fmla="*/ 4489213 h 6858000"/>
              <a:gd name="connsiteX5219" fmla="*/ 8684381 w 12192000"/>
              <a:gd name="connsiteY5219" fmla="*/ 4518865 h 6858000"/>
              <a:gd name="connsiteX5220" fmla="*/ 8762914 w 12192000"/>
              <a:gd name="connsiteY5220" fmla="*/ 4518865 h 6858000"/>
              <a:gd name="connsiteX5221" fmla="*/ 8730698 w 12192000"/>
              <a:gd name="connsiteY5221" fmla="*/ 4489213 h 6858000"/>
              <a:gd name="connsiteX5222" fmla="*/ 8762914 w 12192000"/>
              <a:gd name="connsiteY5222" fmla="*/ 4459561 h 6858000"/>
              <a:gd name="connsiteX5223" fmla="*/ 8795118 w 12192000"/>
              <a:gd name="connsiteY5223" fmla="*/ 4489213 h 6858000"/>
              <a:gd name="connsiteX5224" fmla="*/ 8762914 w 12192000"/>
              <a:gd name="connsiteY5224" fmla="*/ 4518865 h 6858000"/>
              <a:gd name="connsiteX5225" fmla="*/ 8841448 w 12192000"/>
              <a:gd name="connsiteY5225" fmla="*/ 4518865 h 6858000"/>
              <a:gd name="connsiteX5226" fmla="*/ 8809232 w 12192000"/>
              <a:gd name="connsiteY5226" fmla="*/ 4489213 h 6858000"/>
              <a:gd name="connsiteX5227" fmla="*/ 8841448 w 12192000"/>
              <a:gd name="connsiteY5227" fmla="*/ 4459561 h 6858000"/>
              <a:gd name="connsiteX5228" fmla="*/ 8873653 w 12192000"/>
              <a:gd name="connsiteY5228" fmla="*/ 4489213 h 6858000"/>
              <a:gd name="connsiteX5229" fmla="*/ 8841448 w 12192000"/>
              <a:gd name="connsiteY5229" fmla="*/ 4518865 h 6858000"/>
              <a:gd name="connsiteX5230" fmla="*/ 8919983 w 12192000"/>
              <a:gd name="connsiteY5230" fmla="*/ 4518865 h 6858000"/>
              <a:gd name="connsiteX5231" fmla="*/ 8887766 w 12192000"/>
              <a:gd name="connsiteY5231" fmla="*/ 4489213 h 6858000"/>
              <a:gd name="connsiteX5232" fmla="*/ 8919983 w 12192000"/>
              <a:gd name="connsiteY5232" fmla="*/ 4459561 h 6858000"/>
              <a:gd name="connsiteX5233" fmla="*/ 8952187 w 12192000"/>
              <a:gd name="connsiteY5233" fmla="*/ 4489213 h 6858000"/>
              <a:gd name="connsiteX5234" fmla="*/ 8919983 w 12192000"/>
              <a:gd name="connsiteY5234" fmla="*/ 4518865 h 6858000"/>
              <a:gd name="connsiteX5235" fmla="*/ 8998516 w 12192000"/>
              <a:gd name="connsiteY5235" fmla="*/ 4518865 h 6858000"/>
              <a:gd name="connsiteX5236" fmla="*/ 8966300 w 12192000"/>
              <a:gd name="connsiteY5236" fmla="*/ 4489213 h 6858000"/>
              <a:gd name="connsiteX5237" fmla="*/ 8998516 w 12192000"/>
              <a:gd name="connsiteY5237" fmla="*/ 4459561 h 6858000"/>
              <a:gd name="connsiteX5238" fmla="*/ 9030720 w 12192000"/>
              <a:gd name="connsiteY5238" fmla="*/ 4489213 h 6858000"/>
              <a:gd name="connsiteX5239" fmla="*/ 8998516 w 12192000"/>
              <a:gd name="connsiteY5239" fmla="*/ 4518865 h 6858000"/>
              <a:gd name="connsiteX5240" fmla="*/ 9077050 w 12192000"/>
              <a:gd name="connsiteY5240" fmla="*/ 4518865 h 6858000"/>
              <a:gd name="connsiteX5241" fmla="*/ 9044834 w 12192000"/>
              <a:gd name="connsiteY5241" fmla="*/ 4489213 h 6858000"/>
              <a:gd name="connsiteX5242" fmla="*/ 9077050 w 12192000"/>
              <a:gd name="connsiteY5242" fmla="*/ 4459561 h 6858000"/>
              <a:gd name="connsiteX5243" fmla="*/ 9109254 w 12192000"/>
              <a:gd name="connsiteY5243" fmla="*/ 4489213 h 6858000"/>
              <a:gd name="connsiteX5244" fmla="*/ 9077050 w 12192000"/>
              <a:gd name="connsiteY5244" fmla="*/ 4518865 h 6858000"/>
              <a:gd name="connsiteX5245" fmla="*/ 9155583 w 12192000"/>
              <a:gd name="connsiteY5245" fmla="*/ 4518865 h 6858000"/>
              <a:gd name="connsiteX5246" fmla="*/ 9123367 w 12192000"/>
              <a:gd name="connsiteY5246" fmla="*/ 4489213 h 6858000"/>
              <a:gd name="connsiteX5247" fmla="*/ 9155583 w 12192000"/>
              <a:gd name="connsiteY5247" fmla="*/ 4459561 h 6858000"/>
              <a:gd name="connsiteX5248" fmla="*/ 9187788 w 12192000"/>
              <a:gd name="connsiteY5248" fmla="*/ 4489213 h 6858000"/>
              <a:gd name="connsiteX5249" fmla="*/ 9155583 w 12192000"/>
              <a:gd name="connsiteY5249" fmla="*/ 4518865 h 6858000"/>
              <a:gd name="connsiteX5250" fmla="*/ 9234118 w 12192000"/>
              <a:gd name="connsiteY5250" fmla="*/ 4518865 h 6858000"/>
              <a:gd name="connsiteX5251" fmla="*/ 9201901 w 12192000"/>
              <a:gd name="connsiteY5251" fmla="*/ 4489213 h 6858000"/>
              <a:gd name="connsiteX5252" fmla="*/ 9234118 w 12192000"/>
              <a:gd name="connsiteY5252" fmla="*/ 4459561 h 6858000"/>
              <a:gd name="connsiteX5253" fmla="*/ 9266322 w 12192000"/>
              <a:gd name="connsiteY5253" fmla="*/ 4489213 h 6858000"/>
              <a:gd name="connsiteX5254" fmla="*/ 9234118 w 12192000"/>
              <a:gd name="connsiteY5254" fmla="*/ 4518865 h 6858000"/>
              <a:gd name="connsiteX5255" fmla="*/ 9312652 w 12192000"/>
              <a:gd name="connsiteY5255" fmla="*/ 4518865 h 6858000"/>
              <a:gd name="connsiteX5256" fmla="*/ 9280436 w 12192000"/>
              <a:gd name="connsiteY5256" fmla="*/ 4489213 h 6858000"/>
              <a:gd name="connsiteX5257" fmla="*/ 9312652 w 12192000"/>
              <a:gd name="connsiteY5257" fmla="*/ 4459561 h 6858000"/>
              <a:gd name="connsiteX5258" fmla="*/ 9344856 w 12192000"/>
              <a:gd name="connsiteY5258" fmla="*/ 4489213 h 6858000"/>
              <a:gd name="connsiteX5259" fmla="*/ 9312652 w 12192000"/>
              <a:gd name="connsiteY5259" fmla="*/ 4518865 h 6858000"/>
              <a:gd name="connsiteX5260" fmla="*/ 9391185 w 12192000"/>
              <a:gd name="connsiteY5260" fmla="*/ 4518865 h 6858000"/>
              <a:gd name="connsiteX5261" fmla="*/ 9358969 w 12192000"/>
              <a:gd name="connsiteY5261" fmla="*/ 4489213 h 6858000"/>
              <a:gd name="connsiteX5262" fmla="*/ 9391185 w 12192000"/>
              <a:gd name="connsiteY5262" fmla="*/ 4459561 h 6858000"/>
              <a:gd name="connsiteX5263" fmla="*/ 9423389 w 12192000"/>
              <a:gd name="connsiteY5263" fmla="*/ 4489213 h 6858000"/>
              <a:gd name="connsiteX5264" fmla="*/ 9391185 w 12192000"/>
              <a:gd name="connsiteY5264" fmla="*/ 4518865 h 6858000"/>
              <a:gd name="connsiteX5265" fmla="*/ 9469719 w 12192000"/>
              <a:gd name="connsiteY5265" fmla="*/ 4518865 h 6858000"/>
              <a:gd name="connsiteX5266" fmla="*/ 9437503 w 12192000"/>
              <a:gd name="connsiteY5266" fmla="*/ 4489213 h 6858000"/>
              <a:gd name="connsiteX5267" fmla="*/ 9469719 w 12192000"/>
              <a:gd name="connsiteY5267" fmla="*/ 4459561 h 6858000"/>
              <a:gd name="connsiteX5268" fmla="*/ 9501924 w 12192000"/>
              <a:gd name="connsiteY5268" fmla="*/ 4489213 h 6858000"/>
              <a:gd name="connsiteX5269" fmla="*/ 9469719 w 12192000"/>
              <a:gd name="connsiteY5269" fmla="*/ 4518865 h 6858000"/>
              <a:gd name="connsiteX5270" fmla="*/ 10097990 w 12192000"/>
              <a:gd name="connsiteY5270" fmla="*/ 4518865 h 6858000"/>
              <a:gd name="connsiteX5271" fmla="*/ 10065774 w 12192000"/>
              <a:gd name="connsiteY5271" fmla="*/ 4489213 h 6858000"/>
              <a:gd name="connsiteX5272" fmla="*/ 10097990 w 12192000"/>
              <a:gd name="connsiteY5272" fmla="*/ 4459561 h 6858000"/>
              <a:gd name="connsiteX5273" fmla="*/ 10130195 w 12192000"/>
              <a:gd name="connsiteY5273" fmla="*/ 4489213 h 6858000"/>
              <a:gd name="connsiteX5274" fmla="*/ 10097990 w 12192000"/>
              <a:gd name="connsiteY5274" fmla="*/ 4518865 h 6858000"/>
              <a:gd name="connsiteX5275" fmla="*/ 2558715 w 12192000"/>
              <a:gd name="connsiteY5275" fmla="*/ 4446600 h 6858000"/>
              <a:gd name="connsiteX5276" fmla="*/ 2526505 w 12192000"/>
              <a:gd name="connsiteY5276" fmla="*/ 4416947 h 6858000"/>
              <a:gd name="connsiteX5277" fmla="*/ 2558715 w 12192000"/>
              <a:gd name="connsiteY5277" fmla="*/ 4387295 h 6858000"/>
              <a:gd name="connsiteX5278" fmla="*/ 2590926 w 12192000"/>
              <a:gd name="connsiteY5278" fmla="*/ 4416947 h 6858000"/>
              <a:gd name="connsiteX5279" fmla="*/ 2558715 w 12192000"/>
              <a:gd name="connsiteY5279" fmla="*/ 4446600 h 6858000"/>
              <a:gd name="connsiteX5280" fmla="*/ 2637243 w 12192000"/>
              <a:gd name="connsiteY5280" fmla="*/ 4446600 h 6858000"/>
              <a:gd name="connsiteX5281" fmla="*/ 2605032 w 12192000"/>
              <a:gd name="connsiteY5281" fmla="*/ 4416947 h 6858000"/>
              <a:gd name="connsiteX5282" fmla="*/ 2637243 w 12192000"/>
              <a:gd name="connsiteY5282" fmla="*/ 4387295 h 6858000"/>
              <a:gd name="connsiteX5283" fmla="*/ 2669453 w 12192000"/>
              <a:gd name="connsiteY5283" fmla="*/ 4416947 h 6858000"/>
              <a:gd name="connsiteX5284" fmla="*/ 2637243 w 12192000"/>
              <a:gd name="connsiteY5284" fmla="*/ 4446600 h 6858000"/>
              <a:gd name="connsiteX5285" fmla="*/ 2715777 w 12192000"/>
              <a:gd name="connsiteY5285" fmla="*/ 4446600 h 6858000"/>
              <a:gd name="connsiteX5286" fmla="*/ 2683566 w 12192000"/>
              <a:gd name="connsiteY5286" fmla="*/ 4416947 h 6858000"/>
              <a:gd name="connsiteX5287" fmla="*/ 2715777 w 12192000"/>
              <a:gd name="connsiteY5287" fmla="*/ 4387295 h 6858000"/>
              <a:gd name="connsiteX5288" fmla="*/ 2747987 w 12192000"/>
              <a:gd name="connsiteY5288" fmla="*/ 4416947 h 6858000"/>
              <a:gd name="connsiteX5289" fmla="*/ 2715777 w 12192000"/>
              <a:gd name="connsiteY5289" fmla="*/ 4446600 h 6858000"/>
              <a:gd name="connsiteX5290" fmla="*/ 2794310 w 12192000"/>
              <a:gd name="connsiteY5290" fmla="*/ 4446600 h 6858000"/>
              <a:gd name="connsiteX5291" fmla="*/ 2762100 w 12192000"/>
              <a:gd name="connsiteY5291" fmla="*/ 4416947 h 6858000"/>
              <a:gd name="connsiteX5292" fmla="*/ 2794310 w 12192000"/>
              <a:gd name="connsiteY5292" fmla="*/ 4387295 h 6858000"/>
              <a:gd name="connsiteX5293" fmla="*/ 2826520 w 12192000"/>
              <a:gd name="connsiteY5293" fmla="*/ 4416947 h 6858000"/>
              <a:gd name="connsiteX5294" fmla="*/ 2794310 w 12192000"/>
              <a:gd name="connsiteY5294" fmla="*/ 4446600 h 6858000"/>
              <a:gd name="connsiteX5295" fmla="*/ 2872844 w 12192000"/>
              <a:gd name="connsiteY5295" fmla="*/ 4446600 h 6858000"/>
              <a:gd name="connsiteX5296" fmla="*/ 2840634 w 12192000"/>
              <a:gd name="connsiteY5296" fmla="*/ 4416947 h 6858000"/>
              <a:gd name="connsiteX5297" fmla="*/ 2872844 w 12192000"/>
              <a:gd name="connsiteY5297" fmla="*/ 4387295 h 6858000"/>
              <a:gd name="connsiteX5298" fmla="*/ 2905055 w 12192000"/>
              <a:gd name="connsiteY5298" fmla="*/ 4416947 h 6858000"/>
              <a:gd name="connsiteX5299" fmla="*/ 2872844 w 12192000"/>
              <a:gd name="connsiteY5299" fmla="*/ 4446600 h 6858000"/>
              <a:gd name="connsiteX5300" fmla="*/ 2951379 w 12192000"/>
              <a:gd name="connsiteY5300" fmla="*/ 4446600 h 6858000"/>
              <a:gd name="connsiteX5301" fmla="*/ 2919168 w 12192000"/>
              <a:gd name="connsiteY5301" fmla="*/ 4416947 h 6858000"/>
              <a:gd name="connsiteX5302" fmla="*/ 2951379 w 12192000"/>
              <a:gd name="connsiteY5302" fmla="*/ 4387295 h 6858000"/>
              <a:gd name="connsiteX5303" fmla="*/ 2983589 w 12192000"/>
              <a:gd name="connsiteY5303" fmla="*/ 4416947 h 6858000"/>
              <a:gd name="connsiteX5304" fmla="*/ 2951379 w 12192000"/>
              <a:gd name="connsiteY5304" fmla="*/ 4446600 h 6858000"/>
              <a:gd name="connsiteX5305" fmla="*/ 3029912 w 12192000"/>
              <a:gd name="connsiteY5305" fmla="*/ 4446600 h 6858000"/>
              <a:gd name="connsiteX5306" fmla="*/ 2997701 w 12192000"/>
              <a:gd name="connsiteY5306" fmla="*/ 4416947 h 6858000"/>
              <a:gd name="connsiteX5307" fmla="*/ 3029912 w 12192000"/>
              <a:gd name="connsiteY5307" fmla="*/ 4387295 h 6858000"/>
              <a:gd name="connsiteX5308" fmla="*/ 3062122 w 12192000"/>
              <a:gd name="connsiteY5308" fmla="*/ 4416947 h 6858000"/>
              <a:gd name="connsiteX5309" fmla="*/ 3029912 w 12192000"/>
              <a:gd name="connsiteY5309" fmla="*/ 4446600 h 6858000"/>
              <a:gd name="connsiteX5310" fmla="*/ 3108446 w 12192000"/>
              <a:gd name="connsiteY5310" fmla="*/ 4446600 h 6858000"/>
              <a:gd name="connsiteX5311" fmla="*/ 3076236 w 12192000"/>
              <a:gd name="connsiteY5311" fmla="*/ 4416947 h 6858000"/>
              <a:gd name="connsiteX5312" fmla="*/ 3108446 w 12192000"/>
              <a:gd name="connsiteY5312" fmla="*/ 4387295 h 6858000"/>
              <a:gd name="connsiteX5313" fmla="*/ 3140656 w 12192000"/>
              <a:gd name="connsiteY5313" fmla="*/ 4416947 h 6858000"/>
              <a:gd name="connsiteX5314" fmla="*/ 3108446 w 12192000"/>
              <a:gd name="connsiteY5314" fmla="*/ 4446600 h 6858000"/>
              <a:gd name="connsiteX5315" fmla="*/ 3186979 w 12192000"/>
              <a:gd name="connsiteY5315" fmla="*/ 4446600 h 6858000"/>
              <a:gd name="connsiteX5316" fmla="*/ 3154769 w 12192000"/>
              <a:gd name="connsiteY5316" fmla="*/ 4416947 h 6858000"/>
              <a:gd name="connsiteX5317" fmla="*/ 3186979 w 12192000"/>
              <a:gd name="connsiteY5317" fmla="*/ 4387295 h 6858000"/>
              <a:gd name="connsiteX5318" fmla="*/ 3219190 w 12192000"/>
              <a:gd name="connsiteY5318" fmla="*/ 4416947 h 6858000"/>
              <a:gd name="connsiteX5319" fmla="*/ 3186979 w 12192000"/>
              <a:gd name="connsiteY5319" fmla="*/ 4446600 h 6858000"/>
              <a:gd name="connsiteX5320" fmla="*/ 3265514 w 12192000"/>
              <a:gd name="connsiteY5320" fmla="*/ 4446600 h 6858000"/>
              <a:gd name="connsiteX5321" fmla="*/ 3233303 w 12192000"/>
              <a:gd name="connsiteY5321" fmla="*/ 4416947 h 6858000"/>
              <a:gd name="connsiteX5322" fmla="*/ 3265514 w 12192000"/>
              <a:gd name="connsiteY5322" fmla="*/ 4387295 h 6858000"/>
              <a:gd name="connsiteX5323" fmla="*/ 3297724 w 12192000"/>
              <a:gd name="connsiteY5323" fmla="*/ 4416947 h 6858000"/>
              <a:gd name="connsiteX5324" fmla="*/ 3265514 w 12192000"/>
              <a:gd name="connsiteY5324" fmla="*/ 4446600 h 6858000"/>
              <a:gd name="connsiteX5325" fmla="*/ 3344048 w 12192000"/>
              <a:gd name="connsiteY5325" fmla="*/ 4446600 h 6858000"/>
              <a:gd name="connsiteX5326" fmla="*/ 3311837 w 12192000"/>
              <a:gd name="connsiteY5326" fmla="*/ 4416947 h 6858000"/>
              <a:gd name="connsiteX5327" fmla="*/ 3344048 w 12192000"/>
              <a:gd name="connsiteY5327" fmla="*/ 4387295 h 6858000"/>
              <a:gd name="connsiteX5328" fmla="*/ 3376258 w 12192000"/>
              <a:gd name="connsiteY5328" fmla="*/ 4416947 h 6858000"/>
              <a:gd name="connsiteX5329" fmla="*/ 3344048 w 12192000"/>
              <a:gd name="connsiteY5329" fmla="*/ 4446600 h 6858000"/>
              <a:gd name="connsiteX5330" fmla="*/ 3422581 w 12192000"/>
              <a:gd name="connsiteY5330" fmla="*/ 4446600 h 6858000"/>
              <a:gd name="connsiteX5331" fmla="*/ 3390371 w 12192000"/>
              <a:gd name="connsiteY5331" fmla="*/ 4416947 h 6858000"/>
              <a:gd name="connsiteX5332" fmla="*/ 3422581 w 12192000"/>
              <a:gd name="connsiteY5332" fmla="*/ 4387295 h 6858000"/>
              <a:gd name="connsiteX5333" fmla="*/ 3454791 w 12192000"/>
              <a:gd name="connsiteY5333" fmla="*/ 4416947 h 6858000"/>
              <a:gd name="connsiteX5334" fmla="*/ 3422581 w 12192000"/>
              <a:gd name="connsiteY5334" fmla="*/ 4446600 h 6858000"/>
              <a:gd name="connsiteX5335" fmla="*/ 3501115 w 12192000"/>
              <a:gd name="connsiteY5335" fmla="*/ 4446600 h 6858000"/>
              <a:gd name="connsiteX5336" fmla="*/ 3468905 w 12192000"/>
              <a:gd name="connsiteY5336" fmla="*/ 4416947 h 6858000"/>
              <a:gd name="connsiteX5337" fmla="*/ 3501115 w 12192000"/>
              <a:gd name="connsiteY5337" fmla="*/ 4387295 h 6858000"/>
              <a:gd name="connsiteX5338" fmla="*/ 3533326 w 12192000"/>
              <a:gd name="connsiteY5338" fmla="*/ 4416947 h 6858000"/>
              <a:gd name="connsiteX5339" fmla="*/ 3501115 w 12192000"/>
              <a:gd name="connsiteY5339" fmla="*/ 4446600 h 6858000"/>
              <a:gd name="connsiteX5340" fmla="*/ 3579650 w 12192000"/>
              <a:gd name="connsiteY5340" fmla="*/ 4446600 h 6858000"/>
              <a:gd name="connsiteX5341" fmla="*/ 3547439 w 12192000"/>
              <a:gd name="connsiteY5341" fmla="*/ 4416947 h 6858000"/>
              <a:gd name="connsiteX5342" fmla="*/ 3579650 w 12192000"/>
              <a:gd name="connsiteY5342" fmla="*/ 4387295 h 6858000"/>
              <a:gd name="connsiteX5343" fmla="*/ 3611860 w 12192000"/>
              <a:gd name="connsiteY5343" fmla="*/ 4416947 h 6858000"/>
              <a:gd name="connsiteX5344" fmla="*/ 3579650 w 12192000"/>
              <a:gd name="connsiteY5344" fmla="*/ 4446600 h 6858000"/>
              <a:gd name="connsiteX5345" fmla="*/ 3972319 w 12192000"/>
              <a:gd name="connsiteY5345" fmla="*/ 4446600 h 6858000"/>
              <a:gd name="connsiteX5346" fmla="*/ 3940108 w 12192000"/>
              <a:gd name="connsiteY5346" fmla="*/ 4416947 h 6858000"/>
              <a:gd name="connsiteX5347" fmla="*/ 3972319 w 12192000"/>
              <a:gd name="connsiteY5347" fmla="*/ 4387295 h 6858000"/>
              <a:gd name="connsiteX5348" fmla="*/ 4004529 w 12192000"/>
              <a:gd name="connsiteY5348" fmla="*/ 4416947 h 6858000"/>
              <a:gd name="connsiteX5349" fmla="*/ 3972319 w 12192000"/>
              <a:gd name="connsiteY5349" fmla="*/ 4446600 h 6858000"/>
              <a:gd name="connsiteX5350" fmla="*/ 4050852 w 12192000"/>
              <a:gd name="connsiteY5350" fmla="*/ 4446600 h 6858000"/>
              <a:gd name="connsiteX5351" fmla="*/ 4018642 w 12192000"/>
              <a:gd name="connsiteY5351" fmla="*/ 4416947 h 6858000"/>
              <a:gd name="connsiteX5352" fmla="*/ 4050852 w 12192000"/>
              <a:gd name="connsiteY5352" fmla="*/ 4387295 h 6858000"/>
              <a:gd name="connsiteX5353" fmla="*/ 4083062 w 12192000"/>
              <a:gd name="connsiteY5353" fmla="*/ 4416947 h 6858000"/>
              <a:gd name="connsiteX5354" fmla="*/ 4050852 w 12192000"/>
              <a:gd name="connsiteY5354" fmla="*/ 4446600 h 6858000"/>
              <a:gd name="connsiteX5355" fmla="*/ 4129386 w 12192000"/>
              <a:gd name="connsiteY5355" fmla="*/ 4446600 h 6858000"/>
              <a:gd name="connsiteX5356" fmla="*/ 4097176 w 12192000"/>
              <a:gd name="connsiteY5356" fmla="*/ 4416947 h 6858000"/>
              <a:gd name="connsiteX5357" fmla="*/ 4129386 w 12192000"/>
              <a:gd name="connsiteY5357" fmla="*/ 4387295 h 6858000"/>
              <a:gd name="connsiteX5358" fmla="*/ 4161597 w 12192000"/>
              <a:gd name="connsiteY5358" fmla="*/ 4416947 h 6858000"/>
              <a:gd name="connsiteX5359" fmla="*/ 4129386 w 12192000"/>
              <a:gd name="connsiteY5359" fmla="*/ 4446600 h 6858000"/>
              <a:gd name="connsiteX5360" fmla="*/ 4207926 w 12192000"/>
              <a:gd name="connsiteY5360" fmla="*/ 4446600 h 6858000"/>
              <a:gd name="connsiteX5361" fmla="*/ 4175715 w 12192000"/>
              <a:gd name="connsiteY5361" fmla="*/ 4416947 h 6858000"/>
              <a:gd name="connsiteX5362" fmla="*/ 4207926 w 12192000"/>
              <a:gd name="connsiteY5362" fmla="*/ 4387295 h 6858000"/>
              <a:gd name="connsiteX5363" fmla="*/ 4240136 w 12192000"/>
              <a:gd name="connsiteY5363" fmla="*/ 4416947 h 6858000"/>
              <a:gd name="connsiteX5364" fmla="*/ 4207926 w 12192000"/>
              <a:gd name="connsiteY5364" fmla="*/ 4446600 h 6858000"/>
              <a:gd name="connsiteX5365" fmla="*/ 4286460 w 12192000"/>
              <a:gd name="connsiteY5365" fmla="*/ 4446600 h 6858000"/>
              <a:gd name="connsiteX5366" fmla="*/ 4254250 w 12192000"/>
              <a:gd name="connsiteY5366" fmla="*/ 4416947 h 6858000"/>
              <a:gd name="connsiteX5367" fmla="*/ 4286460 w 12192000"/>
              <a:gd name="connsiteY5367" fmla="*/ 4387295 h 6858000"/>
              <a:gd name="connsiteX5368" fmla="*/ 4318670 w 12192000"/>
              <a:gd name="connsiteY5368" fmla="*/ 4416947 h 6858000"/>
              <a:gd name="connsiteX5369" fmla="*/ 4286460 w 12192000"/>
              <a:gd name="connsiteY5369" fmla="*/ 4446600 h 6858000"/>
              <a:gd name="connsiteX5370" fmla="*/ 6092739 w 12192000"/>
              <a:gd name="connsiteY5370" fmla="*/ 4446600 h 6858000"/>
              <a:gd name="connsiteX5371" fmla="*/ 6060522 w 12192000"/>
              <a:gd name="connsiteY5371" fmla="*/ 4416947 h 6858000"/>
              <a:gd name="connsiteX5372" fmla="*/ 6092739 w 12192000"/>
              <a:gd name="connsiteY5372" fmla="*/ 4387295 h 6858000"/>
              <a:gd name="connsiteX5373" fmla="*/ 6124943 w 12192000"/>
              <a:gd name="connsiteY5373" fmla="*/ 4416947 h 6858000"/>
              <a:gd name="connsiteX5374" fmla="*/ 6092739 w 12192000"/>
              <a:gd name="connsiteY5374" fmla="*/ 4446600 h 6858000"/>
              <a:gd name="connsiteX5375" fmla="*/ 6249806 w 12192000"/>
              <a:gd name="connsiteY5375" fmla="*/ 4446600 h 6858000"/>
              <a:gd name="connsiteX5376" fmla="*/ 6217590 w 12192000"/>
              <a:gd name="connsiteY5376" fmla="*/ 4416947 h 6858000"/>
              <a:gd name="connsiteX5377" fmla="*/ 6249806 w 12192000"/>
              <a:gd name="connsiteY5377" fmla="*/ 4387295 h 6858000"/>
              <a:gd name="connsiteX5378" fmla="*/ 6282010 w 12192000"/>
              <a:gd name="connsiteY5378" fmla="*/ 4416947 h 6858000"/>
              <a:gd name="connsiteX5379" fmla="*/ 6249806 w 12192000"/>
              <a:gd name="connsiteY5379" fmla="*/ 4446600 h 6858000"/>
              <a:gd name="connsiteX5380" fmla="*/ 6328340 w 12192000"/>
              <a:gd name="connsiteY5380" fmla="*/ 4446600 h 6858000"/>
              <a:gd name="connsiteX5381" fmla="*/ 6296124 w 12192000"/>
              <a:gd name="connsiteY5381" fmla="*/ 4416947 h 6858000"/>
              <a:gd name="connsiteX5382" fmla="*/ 6328340 w 12192000"/>
              <a:gd name="connsiteY5382" fmla="*/ 4387295 h 6858000"/>
              <a:gd name="connsiteX5383" fmla="*/ 6360545 w 12192000"/>
              <a:gd name="connsiteY5383" fmla="*/ 4416947 h 6858000"/>
              <a:gd name="connsiteX5384" fmla="*/ 6328340 w 12192000"/>
              <a:gd name="connsiteY5384" fmla="*/ 4446600 h 6858000"/>
              <a:gd name="connsiteX5385" fmla="*/ 6563942 w 12192000"/>
              <a:gd name="connsiteY5385" fmla="*/ 4446600 h 6858000"/>
              <a:gd name="connsiteX5386" fmla="*/ 6531726 w 12192000"/>
              <a:gd name="connsiteY5386" fmla="*/ 4416947 h 6858000"/>
              <a:gd name="connsiteX5387" fmla="*/ 6563942 w 12192000"/>
              <a:gd name="connsiteY5387" fmla="*/ 4387295 h 6858000"/>
              <a:gd name="connsiteX5388" fmla="*/ 6596146 w 12192000"/>
              <a:gd name="connsiteY5388" fmla="*/ 4416947 h 6858000"/>
              <a:gd name="connsiteX5389" fmla="*/ 6563942 w 12192000"/>
              <a:gd name="connsiteY5389" fmla="*/ 4446600 h 6858000"/>
              <a:gd name="connsiteX5390" fmla="*/ 6642476 w 12192000"/>
              <a:gd name="connsiteY5390" fmla="*/ 4446600 h 6858000"/>
              <a:gd name="connsiteX5391" fmla="*/ 6610260 w 12192000"/>
              <a:gd name="connsiteY5391" fmla="*/ 4416947 h 6858000"/>
              <a:gd name="connsiteX5392" fmla="*/ 6642476 w 12192000"/>
              <a:gd name="connsiteY5392" fmla="*/ 4387295 h 6858000"/>
              <a:gd name="connsiteX5393" fmla="*/ 6674681 w 12192000"/>
              <a:gd name="connsiteY5393" fmla="*/ 4416947 h 6858000"/>
              <a:gd name="connsiteX5394" fmla="*/ 6642476 w 12192000"/>
              <a:gd name="connsiteY5394" fmla="*/ 4446600 h 6858000"/>
              <a:gd name="connsiteX5395" fmla="*/ 6721010 w 12192000"/>
              <a:gd name="connsiteY5395" fmla="*/ 4446600 h 6858000"/>
              <a:gd name="connsiteX5396" fmla="*/ 6688793 w 12192000"/>
              <a:gd name="connsiteY5396" fmla="*/ 4416947 h 6858000"/>
              <a:gd name="connsiteX5397" fmla="*/ 6721010 w 12192000"/>
              <a:gd name="connsiteY5397" fmla="*/ 4387295 h 6858000"/>
              <a:gd name="connsiteX5398" fmla="*/ 6753214 w 12192000"/>
              <a:gd name="connsiteY5398" fmla="*/ 4416947 h 6858000"/>
              <a:gd name="connsiteX5399" fmla="*/ 6721010 w 12192000"/>
              <a:gd name="connsiteY5399" fmla="*/ 4446600 h 6858000"/>
              <a:gd name="connsiteX5400" fmla="*/ 6799544 w 12192000"/>
              <a:gd name="connsiteY5400" fmla="*/ 4446600 h 6858000"/>
              <a:gd name="connsiteX5401" fmla="*/ 6767327 w 12192000"/>
              <a:gd name="connsiteY5401" fmla="*/ 4416947 h 6858000"/>
              <a:gd name="connsiteX5402" fmla="*/ 6799544 w 12192000"/>
              <a:gd name="connsiteY5402" fmla="*/ 4387295 h 6858000"/>
              <a:gd name="connsiteX5403" fmla="*/ 6831748 w 12192000"/>
              <a:gd name="connsiteY5403" fmla="*/ 4416947 h 6858000"/>
              <a:gd name="connsiteX5404" fmla="*/ 6799544 w 12192000"/>
              <a:gd name="connsiteY5404" fmla="*/ 4446600 h 6858000"/>
              <a:gd name="connsiteX5405" fmla="*/ 6956611 w 12192000"/>
              <a:gd name="connsiteY5405" fmla="*/ 4446600 h 6858000"/>
              <a:gd name="connsiteX5406" fmla="*/ 6924395 w 12192000"/>
              <a:gd name="connsiteY5406" fmla="*/ 4416947 h 6858000"/>
              <a:gd name="connsiteX5407" fmla="*/ 6956611 w 12192000"/>
              <a:gd name="connsiteY5407" fmla="*/ 4387295 h 6858000"/>
              <a:gd name="connsiteX5408" fmla="*/ 6988816 w 12192000"/>
              <a:gd name="connsiteY5408" fmla="*/ 4416947 h 6858000"/>
              <a:gd name="connsiteX5409" fmla="*/ 6956611 w 12192000"/>
              <a:gd name="connsiteY5409" fmla="*/ 4446600 h 6858000"/>
              <a:gd name="connsiteX5410" fmla="*/ 7035146 w 12192000"/>
              <a:gd name="connsiteY5410" fmla="*/ 4446600 h 6858000"/>
              <a:gd name="connsiteX5411" fmla="*/ 7002929 w 12192000"/>
              <a:gd name="connsiteY5411" fmla="*/ 4416947 h 6858000"/>
              <a:gd name="connsiteX5412" fmla="*/ 7035146 w 12192000"/>
              <a:gd name="connsiteY5412" fmla="*/ 4387295 h 6858000"/>
              <a:gd name="connsiteX5413" fmla="*/ 7067350 w 12192000"/>
              <a:gd name="connsiteY5413" fmla="*/ 4416947 h 6858000"/>
              <a:gd name="connsiteX5414" fmla="*/ 7035146 w 12192000"/>
              <a:gd name="connsiteY5414" fmla="*/ 4446600 h 6858000"/>
              <a:gd name="connsiteX5415" fmla="*/ 7113703 w 12192000"/>
              <a:gd name="connsiteY5415" fmla="*/ 4446600 h 6858000"/>
              <a:gd name="connsiteX5416" fmla="*/ 7081487 w 12192000"/>
              <a:gd name="connsiteY5416" fmla="*/ 4416947 h 6858000"/>
              <a:gd name="connsiteX5417" fmla="*/ 7113703 w 12192000"/>
              <a:gd name="connsiteY5417" fmla="*/ 4387295 h 6858000"/>
              <a:gd name="connsiteX5418" fmla="*/ 7145907 w 12192000"/>
              <a:gd name="connsiteY5418" fmla="*/ 4416947 h 6858000"/>
              <a:gd name="connsiteX5419" fmla="*/ 7113703 w 12192000"/>
              <a:gd name="connsiteY5419" fmla="*/ 4446600 h 6858000"/>
              <a:gd name="connsiteX5420" fmla="*/ 7192237 w 12192000"/>
              <a:gd name="connsiteY5420" fmla="*/ 4446600 h 6858000"/>
              <a:gd name="connsiteX5421" fmla="*/ 7160021 w 12192000"/>
              <a:gd name="connsiteY5421" fmla="*/ 4416947 h 6858000"/>
              <a:gd name="connsiteX5422" fmla="*/ 7192237 w 12192000"/>
              <a:gd name="connsiteY5422" fmla="*/ 4387295 h 6858000"/>
              <a:gd name="connsiteX5423" fmla="*/ 7224441 w 12192000"/>
              <a:gd name="connsiteY5423" fmla="*/ 4416947 h 6858000"/>
              <a:gd name="connsiteX5424" fmla="*/ 7192237 w 12192000"/>
              <a:gd name="connsiteY5424" fmla="*/ 4446600 h 6858000"/>
              <a:gd name="connsiteX5425" fmla="*/ 7270771 w 12192000"/>
              <a:gd name="connsiteY5425" fmla="*/ 4446600 h 6858000"/>
              <a:gd name="connsiteX5426" fmla="*/ 7238555 w 12192000"/>
              <a:gd name="connsiteY5426" fmla="*/ 4416947 h 6858000"/>
              <a:gd name="connsiteX5427" fmla="*/ 7270771 w 12192000"/>
              <a:gd name="connsiteY5427" fmla="*/ 4387295 h 6858000"/>
              <a:gd name="connsiteX5428" fmla="*/ 7302976 w 12192000"/>
              <a:gd name="connsiteY5428" fmla="*/ 4416947 h 6858000"/>
              <a:gd name="connsiteX5429" fmla="*/ 7270771 w 12192000"/>
              <a:gd name="connsiteY5429" fmla="*/ 4446600 h 6858000"/>
              <a:gd name="connsiteX5430" fmla="*/ 7349305 w 12192000"/>
              <a:gd name="connsiteY5430" fmla="*/ 4446600 h 6858000"/>
              <a:gd name="connsiteX5431" fmla="*/ 7317088 w 12192000"/>
              <a:gd name="connsiteY5431" fmla="*/ 4416947 h 6858000"/>
              <a:gd name="connsiteX5432" fmla="*/ 7349305 w 12192000"/>
              <a:gd name="connsiteY5432" fmla="*/ 4387295 h 6858000"/>
              <a:gd name="connsiteX5433" fmla="*/ 7381509 w 12192000"/>
              <a:gd name="connsiteY5433" fmla="*/ 4416947 h 6858000"/>
              <a:gd name="connsiteX5434" fmla="*/ 7349305 w 12192000"/>
              <a:gd name="connsiteY5434" fmla="*/ 4446600 h 6858000"/>
              <a:gd name="connsiteX5435" fmla="*/ 7427839 w 12192000"/>
              <a:gd name="connsiteY5435" fmla="*/ 4446600 h 6858000"/>
              <a:gd name="connsiteX5436" fmla="*/ 7395623 w 12192000"/>
              <a:gd name="connsiteY5436" fmla="*/ 4416947 h 6858000"/>
              <a:gd name="connsiteX5437" fmla="*/ 7427839 w 12192000"/>
              <a:gd name="connsiteY5437" fmla="*/ 4387295 h 6858000"/>
              <a:gd name="connsiteX5438" fmla="*/ 7460043 w 12192000"/>
              <a:gd name="connsiteY5438" fmla="*/ 4416947 h 6858000"/>
              <a:gd name="connsiteX5439" fmla="*/ 7427839 w 12192000"/>
              <a:gd name="connsiteY5439" fmla="*/ 4446600 h 6858000"/>
              <a:gd name="connsiteX5440" fmla="*/ 7506373 w 12192000"/>
              <a:gd name="connsiteY5440" fmla="*/ 4446600 h 6858000"/>
              <a:gd name="connsiteX5441" fmla="*/ 7474157 w 12192000"/>
              <a:gd name="connsiteY5441" fmla="*/ 4416947 h 6858000"/>
              <a:gd name="connsiteX5442" fmla="*/ 7506373 w 12192000"/>
              <a:gd name="connsiteY5442" fmla="*/ 4387295 h 6858000"/>
              <a:gd name="connsiteX5443" fmla="*/ 7538577 w 12192000"/>
              <a:gd name="connsiteY5443" fmla="*/ 4416947 h 6858000"/>
              <a:gd name="connsiteX5444" fmla="*/ 7506373 w 12192000"/>
              <a:gd name="connsiteY5444" fmla="*/ 4446600 h 6858000"/>
              <a:gd name="connsiteX5445" fmla="*/ 7584906 w 12192000"/>
              <a:gd name="connsiteY5445" fmla="*/ 4446600 h 6858000"/>
              <a:gd name="connsiteX5446" fmla="*/ 7552690 w 12192000"/>
              <a:gd name="connsiteY5446" fmla="*/ 4416947 h 6858000"/>
              <a:gd name="connsiteX5447" fmla="*/ 7584906 w 12192000"/>
              <a:gd name="connsiteY5447" fmla="*/ 4387295 h 6858000"/>
              <a:gd name="connsiteX5448" fmla="*/ 7617111 w 12192000"/>
              <a:gd name="connsiteY5448" fmla="*/ 4416947 h 6858000"/>
              <a:gd name="connsiteX5449" fmla="*/ 7584906 w 12192000"/>
              <a:gd name="connsiteY5449" fmla="*/ 4446600 h 6858000"/>
              <a:gd name="connsiteX5450" fmla="*/ 7663441 w 12192000"/>
              <a:gd name="connsiteY5450" fmla="*/ 4446600 h 6858000"/>
              <a:gd name="connsiteX5451" fmla="*/ 7631224 w 12192000"/>
              <a:gd name="connsiteY5451" fmla="*/ 4416947 h 6858000"/>
              <a:gd name="connsiteX5452" fmla="*/ 7663441 w 12192000"/>
              <a:gd name="connsiteY5452" fmla="*/ 4387295 h 6858000"/>
              <a:gd name="connsiteX5453" fmla="*/ 7695645 w 12192000"/>
              <a:gd name="connsiteY5453" fmla="*/ 4416947 h 6858000"/>
              <a:gd name="connsiteX5454" fmla="*/ 7663441 w 12192000"/>
              <a:gd name="connsiteY5454" fmla="*/ 4446600 h 6858000"/>
              <a:gd name="connsiteX5455" fmla="*/ 7741974 w 12192000"/>
              <a:gd name="connsiteY5455" fmla="*/ 4446600 h 6858000"/>
              <a:gd name="connsiteX5456" fmla="*/ 7709758 w 12192000"/>
              <a:gd name="connsiteY5456" fmla="*/ 4416947 h 6858000"/>
              <a:gd name="connsiteX5457" fmla="*/ 7741974 w 12192000"/>
              <a:gd name="connsiteY5457" fmla="*/ 4387295 h 6858000"/>
              <a:gd name="connsiteX5458" fmla="*/ 7774178 w 12192000"/>
              <a:gd name="connsiteY5458" fmla="*/ 4416947 h 6858000"/>
              <a:gd name="connsiteX5459" fmla="*/ 7741974 w 12192000"/>
              <a:gd name="connsiteY5459" fmla="*/ 4446600 h 6858000"/>
              <a:gd name="connsiteX5460" fmla="*/ 7820508 w 12192000"/>
              <a:gd name="connsiteY5460" fmla="*/ 4446600 h 6858000"/>
              <a:gd name="connsiteX5461" fmla="*/ 7788292 w 12192000"/>
              <a:gd name="connsiteY5461" fmla="*/ 4416947 h 6858000"/>
              <a:gd name="connsiteX5462" fmla="*/ 7820508 w 12192000"/>
              <a:gd name="connsiteY5462" fmla="*/ 4387295 h 6858000"/>
              <a:gd name="connsiteX5463" fmla="*/ 7852712 w 12192000"/>
              <a:gd name="connsiteY5463" fmla="*/ 4416947 h 6858000"/>
              <a:gd name="connsiteX5464" fmla="*/ 7820508 w 12192000"/>
              <a:gd name="connsiteY5464" fmla="*/ 4446600 h 6858000"/>
              <a:gd name="connsiteX5465" fmla="*/ 7899042 w 12192000"/>
              <a:gd name="connsiteY5465" fmla="*/ 4446600 h 6858000"/>
              <a:gd name="connsiteX5466" fmla="*/ 7866826 w 12192000"/>
              <a:gd name="connsiteY5466" fmla="*/ 4416947 h 6858000"/>
              <a:gd name="connsiteX5467" fmla="*/ 7899042 w 12192000"/>
              <a:gd name="connsiteY5467" fmla="*/ 4387295 h 6858000"/>
              <a:gd name="connsiteX5468" fmla="*/ 7931247 w 12192000"/>
              <a:gd name="connsiteY5468" fmla="*/ 4416947 h 6858000"/>
              <a:gd name="connsiteX5469" fmla="*/ 7899042 w 12192000"/>
              <a:gd name="connsiteY5469" fmla="*/ 4446600 h 6858000"/>
              <a:gd name="connsiteX5470" fmla="*/ 7977576 w 12192000"/>
              <a:gd name="connsiteY5470" fmla="*/ 4446600 h 6858000"/>
              <a:gd name="connsiteX5471" fmla="*/ 7945359 w 12192000"/>
              <a:gd name="connsiteY5471" fmla="*/ 4416947 h 6858000"/>
              <a:gd name="connsiteX5472" fmla="*/ 7977576 w 12192000"/>
              <a:gd name="connsiteY5472" fmla="*/ 4387295 h 6858000"/>
              <a:gd name="connsiteX5473" fmla="*/ 8009780 w 12192000"/>
              <a:gd name="connsiteY5473" fmla="*/ 4416947 h 6858000"/>
              <a:gd name="connsiteX5474" fmla="*/ 7977576 w 12192000"/>
              <a:gd name="connsiteY5474" fmla="*/ 4446600 h 6858000"/>
              <a:gd name="connsiteX5475" fmla="*/ 8056110 w 12192000"/>
              <a:gd name="connsiteY5475" fmla="*/ 4446600 h 6858000"/>
              <a:gd name="connsiteX5476" fmla="*/ 8023894 w 12192000"/>
              <a:gd name="connsiteY5476" fmla="*/ 4416947 h 6858000"/>
              <a:gd name="connsiteX5477" fmla="*/ 8056110 w 12192000"/>
              <a:gd name="connsiteY5477" fmla="*/ 4387295 h 6858000"/>
              <a:gd name="connsiteX5478" fmla="*/ 8088314 w 12192000"/>
              <a:gd name="connsiteY5478" fmla="*/ 4416947 h 6858000"/>
              <a:gd name="connsiteX5479" fmla="*/ 8056110 w 12192000"/>
              <a:gd name="connsiteY5479" fmla="*/ 4446600 h 6858000"/>
              <a:gd name="connsiteX5480" fmla="*/ 8134643 w 12192000"/>
              <a:gd name="connsiteY5480" fmla="*/ 4446600 h 6858000"/>
              <a:gd name="connsiteX5481" fmla="*/ 8102427 w 12192000"/>
              <a:gd name="connsiteY5481" fmla="*/ 4416947 h 6858000"/>
              <a:gd name="connsiteX5482" fmla="*/ 8134643 w 12192000"/>
              <a:gd name="connsiteY5482" fmla="*/ 4387295 h 6858000"/>
              <a:gd name="connsiteX5483" fmla="*/ 8166847 w 12192000"/>
              <a:gd name="connsiteY5483" fmla="*/ 4416947 h 6858000"/>
              <a:gd name="connsiteX5484" fmla="*/ 8134643 w 12192000"/>
              <a:gd name="connsiteY5484" fmla="*/ 4446600 h 6858000"/>
              <a:gd name="connsiteX5485" fmla="*/ 8213177 w 12192000"/>
              <a:gd name="connsiteY5485" fmla="*/ 4446600 h 6858000"/>
              <a:gd name="connsiteX5486" fmla="*/ 8180961 w 12192000"/>
              <a:gd name="connsiteY5486" fmla="*/ 4416947 h 6858000"/>
              <a:gd name="connsiteX5487" fmla="*/ 8213177 w 12192000"/>
              <a:gd name="connsiteY5487" fmla="*/ 4387295 h 6858000"/>
              <a:gd name="connsiteX5488" fmla="*/ 8245382 w 12192000"/>
              <a:gd name="connsiteY5488" fmla="*/ 4416947 h 6858000"/>
              <a:gd name="connsiteX5489" fmla="*/ 8213177 w 12192000"/>
              <a:gd name="connsiteY5489" fmla="*/ 4446600 h 6858000"/>
              <a:gd name="connsiteX5490" fmla="*/ 8291712 w 12192000"/>
              <a:gd name="connsiteY5490" fmla="*/ 4446600 h 6858000"/>
              <a:gd name="connsiteX5491" fmla="*/ 8259495 w 12192000"/>
              <a:gd name="connsiteY5491" fmla="*/ 4416947 h 6858000"/>
              <a:gd name="connsiteX5492" fmla="*/ 8291712 w 12192000"/>
              <a:gd name="connsiteY5492" fmla="*/ 4387295 h 6858000"/>
              <a:gd name="connsiteX5493" fmla="*/ 8323916 w 12192000"/>
              <a:gd name="connsiteY5493" fmla="*/ 4416947 h 6858000"/>
              <a:gd name="connsiteX5494" fmla="*/ 8291712 w 12192000"/>
              <a:gd name="connsiteY5494" fmla="*/ 4446600 h 6858000"/>
              <a:gd name="connsiteX5495" fmla="*/ 8370245 w 12192000"/>
              <a:gd name="connsiteY5495" fmla="*/ 4446600 h 6858000"/>
              <a:gd name="connsiteX5496" fmla="*/ 8338029 w 12192000"/>
              <a:gd name="connsiteY5496" fmla="*/ 4416947 h 6858000"/>
              <a:gd name="connsiteX5497" fmla="*/ 8370245 w 12192000"/>
              <a:gd name="connsiteY5497" fmla="*/ 4387295 h 6858000"/>
              <a:gd name="connsiteX5498" fmla="*/ 8402449 w 12192000"/>
              <a:gd name="connsiteY5498" fmla="*/ 4416947 h 6858000"/>
              <a:gd name="connsiteX5499" fmla="*/ 8370245 w 12192000"/>
              <a:gd name="connsiteY5499" fmla="*/ 4446600 h 6858000"/>
              <a:gd name="connsiteX5500" fmla="*/ 8448779 w 12192000"/>
              <a:gd name="connsiteY5500" fmla="*/ 4446600 h 6858000"/>
              <a:gd name="connsiteX5501" fmla="*/ 8416563 w 12192000"/>
              <a:gd name="connsiteY5501" fmla="*/ 4416947 h 6858000"/>
              <a:gd name="connsiteX5502" fmla="*/ 8448779 w 12192000"/>
              <a:gd name="connsiteY5502" fmla="*/ 4387295 h 6858000"/>
              <a:gd name="connsiteX5503" fmla="*/ 8480983 w 12192000"/>
              <a:gd name="connsiteY5503" fmla="*/ 4416947 h 6858000"/>
              <a:gd name="connsiteX5504" fmla="*/ 8448779 w 12192000"/>
              <a:gd name="connsiteY5504" fmla="*/ 4446600 h 6858000"/>
              <a:gd name="connsiteX5505" fmla="*/ 8527313 w 12192000"/>
              <a:gd name="connsiteY5505" fmla="*/ 4446600 h 6858000"/>
              <a:gd name="connsiteX5506" fmla="*/ 8495097 w 12192000"/>
              <a:gd name="connsiteY5506" fmla="*/ 4416947 h 6858000"/>
              <a:gd name="connsiteX5507" fmla="*/ 8527313 w 12192000"/>
              <a:gd name="connsiteY5507" fmla="*/ 4387295 h 6858000"/>
              <a:gd name="connsiteX5508" fmla="*/ 8559518 w 12192000"/>
              <a:gd name="connsiteY5508" fmla="*/ 4416947 h 6858000"/>
              <a:gd name="connsiteX5509" fmla="*/ 8527313 w 12192000"/>
              <a:gd name="connsiteY5509" fmla="*/ 4446600 h 6858000"/>
              <a:gd name="connsiteX5510" fmla="*/ 8684381 w 12192000"/>
              <a:gd name="connsiteY5510" fmla="*/ 4446600 h 6858000"/>
              <a:gd name="connsiteX5511" fmla="*/ 8652165 w 12192000"/>
              <a:gd name="connsiteY5511" fmla="*/ 4416947 h 6858000"/>
              <a:gd name="connsiteX5512" fmla="*/ 8684381 w 12192000"/>
              <a:gd name="connsiteY5512" fmla="*/ 4387295 h 6858000"/>
              <a:gd name="connsiteX5513" fmla="*/ 8716585 w 12192000"/>
              <a:gd name="connsiteY5513" fmla="*/ 4416947 h 6858000"/>
              <a:gd name="connsiteX5514" fmla="*/ 8684381 w 12192000"/>
              <a:gd name="connsiteY5514" fmla="*/ 4446600 h 6858000"/>
              <a:gd name="connsiteX5515" fmla="*/ 8762914 w 12192000"/>
              <a:gd name="connsiteY5515" fmla="*/ 4446600 h 6858000"/>
              <a:gd name="connsiteX5516" fmla="*/ 8730698 w 12192000"/>
              <a:gd name="connsiteY5516" fmla="*/ 4416947 h 6858000"/>
              <a:gd name="connsiteX5517" fmla="*/ 8762914 w 12192000"/>
              <a:gd name="connsiteY5517" fmla="*/ 4387295 h 6858000"/>
              <a:gd name="connsiteX5518" fmla="*/ 8795118 w 12192000"/>
              <a:gd name="connsiteY5518" fmla="*/ 4416947 h 6858000"/>
              <a:gd name="connsiteX5519" fmla="*/ 8762914 w 12192000"/>
              <a:gd name="connsiteY5519" fmla="*/ 4446600 h 6858000"/>
              <a:gd name="connsiteX5520" fmla="*/ 8841448 w 12192000"/>
              <a:gd name="connsiteY5520" fmla="*/ 4446600 h 6858000"/>
              <a:gd name="connsiteX5521" fmla="*/ 8809232 w 12192000"/>
              <a:gd name="connsiteY5521" fmla="*/ 4416947 h 6858000"/>
              <a:gd name="connsiteX5522" fmla="*/ 8841448 w 12192000"/>
              <a:gd name="connsiteY5522" fmla="*/ 4387295 h 6858000"/>
              <a:gd name="connsiteX5523" fmla="*/ 8873653 w 12192000"/>
              <a:gd name="connsiteY5523" fmla="*/ 4416947 h 6858000"/>
              <a:gd name="connsiteX5524" fmla="*/ 8841448 w 12192000"/>
              <a:gd name="connsiteY5524" fmla="*/ 4446600 h 6858000"/>
              <a:gd name="connsiteX5525" fmla="*/ 8919983 w 12192000"/>
              <a:gd name="connsiteY5525" fmla="*/ 4446600 h 6858000"/>
              <a:gd name="connsiteX5526" fmla="*/ 8887766 w 12192000"/>
              <a:gd name="connsiteY5526" fmla="*/ 4416947 h 6858000"/>
              <a:gd name="connsiteX5527" fmla="*/ 8919983 w 12192000"/>
              <a:gd name="connsiteY5527" fmla="*/ 4387295 h 6858000"/>
              <a:gd name="connsiteX5528" fmla="*/ 8952187 w 12192000"/>
              <a:gd name="connsiteY5528" fmla="*/ 4416947 h 6858000"/>
              <a:gd name="connsiteX5529" fmla="*/ 8919983 w 12192000"/>
              <a:gd name="connsiteY5529" fmla="*/ 4446600 h 6858000"/>
              <a:gd name="connsiteX5530" fmla="*/ 8998516 w 12192000"/>
              <a:gd name="connsiteY5530" fmla="*/ 4446600 h 6858000"/>
              <a:gd name="connsiteX5531" fmla="*/ 8966300 w 12192000"/>
              <a:gd name="connsiteY5531" fmla="*/ 4416947 h 6858000"/>
              <a:gd name="connsiteX5532" fmla="*/ 8998516 w 12192000"/>
              <a:gd name="connsiteY5532" fmla="*/ 4387295 h 6858000"/>
              <a:gd name="connsiteX5533" fmla="*/ 9030720 w 12192000"/>
              <a:gd name="connsiteY5533" fmla="*/ 4416947 h 6858000"/>
              <a:gd name="connsiteX5534" fmla="*/ 8998516 w 12192000"/>
              <a:gd name="connsiteY5534" fmla="*/ 4446600 h 6858000"/>
              <a:gd name="connsiteX5535" fmla="*/ 9077050 w 12192000"/>
              <a:gd name="connsiteY5535" fmla="*/ 4446600 h 6858000"/>
              <a:gd name="connsiteX5536" fmla="*/ 9044834 w 12192000"/>
              <a:gd name="connsiteY5536" fmla="*/ 4416947 h 6858000"/>
              <a:gd name="connsiteX5537" fmla="*/ 9077050 w 12192000"/>
              <a:gd name="connsiteY5537" fmla="*/ 4387295 h 6858000"/>
              <a:gd name="connsiteX5538" fmla="*/ 9109254 w 12192000"/>
              <a:gd name="connsiteY5538" fmla="*/ 4416947 h 6858000"/>
              <a:gd name="connsiteX5539" fmla="*/ 9077050 w 12192000"/>
              <a:gd name="connsiteY5539" fmla="*/ 4446600 h 6858000"/>
              <a:gd name="connsiteX5540" fmla="*/ 9155583 w 12192000"/>
              <a:gd name="connsiteY5540" fmla="*/ 4446600 h 6858000"/>
              <a:gd name="connsiteX5541" fmla="*/ 9123367 w 12192000"/>
              <a:gd name="connsiteY5541" fmla="*/ 4416947 h 6858000"/>
              <a:gd name="connsiteX5542" fmla="*/ 9155583 w 12192000"/>
              <a:gd name="connsiteY5542" fmla="*/ 4387295 h 6858000"/>
              <a:gd name="connsiteX5543" fmla="*/ 9187788 w 12192000"/>
              <a:gd name="connsiteY5543" fmla="*/ 4416947 h 6858000"/>
              <a:gd name="connsiteX5544" fmla="*/ 9155583 w 12192000"/>
              <a:gd name="connsiteY5544" fmla="*/ 4446600 h 6858000"/>
              <a:gd name="connsiteX5545" fmla="*/ 9234118 w 12192000"/>
              <a:gd name="connsiteY5545" fmla="*/ 4446600 h 6858000"/>
              <a:gd name="connsiteX5546" fmla="*/ 9201901 w 12192000"/>
              <a:gd name="connsiteY5546" fmla="*/ 4416947 h 6858000"/>
              <a:gd name="connsiteX5547" fmla="*/ 9234118 w 12192000"/>
              <a:gd name="connsiteY5547" fmla="*/ 4387295 h 6858000"/>
              <a:gd name="connsiteX5548" fmla="*/ 9266322 w 12192000"/>
              <a:gd name="connsiteY5548" fmla="*/ 4416947 h 6858000"/>
              <a:gd name="connsiteX5549" fmla="*/ 9234118 w 12192000"/>
              <a:gd name="connsiteY5549" fmla="*/ 4446600 h 6858000"/>
              <a:gd name="connsiteX5550" fmla="*/ 9312652 w 12192000"/>
              <a:gd name="connsiteY5550" fmla="*/ 4446600 h 6858000"/>
              <a:gd name="connsiteX5551" fmla="*/ 9280436 w 12192000"/>
              <a:gd name="connsiteY5551" fmla="*/ 4416947 h 6858000"/>
              <a:gd name="connsiteX5552" fmla="*/ 9312652 w 12192000"/>
              <a:gd name="connsiteY5552" fmla="*/ 4387295 h 6858000"/>
              <a:gd name="connsiteX5553" fmla="*/ 9344856 w 12192000"/>
              <a:gd name="connsiteY5553" fmla="*/ 4416947 h 6858000"/>
              <a:gd name="connsiteX5554" fmla="*/ 9312652 w 12192000"/>
              <a:gd name="connsiteY5554" fmla="*/ 4446600 h 6858000"/>
              <a:gd name="connsiteX5555" fmla="*/ 9391185 w 12192000"/>
              <a:gd name="connsiteY5555" fmla="*/ 4446600 h 6858000"/>
              <a:gd name="connsiteX5556" fmla="*/ 9358969 w 12192000"/>
              <a:gd name="connsiteY5556" fmla="*/ 4416947 h 6858000"/>
              <a:gd name="connsiteX5557" fmla="*/ 9391185 w 12192000"/>
              <a:gd name="connsiteY5557" fmla="*/ 4387295 h 6858000"/>
              <a:gd name="connsiteX5558" fmla="*/ 9423389 w 12192000"/>
              <a:gd name="connsiteY5558" fmla="*/ 4416947 h 6858000"/>
              <a:gd name="connsiteX5559" fmla="*/ 9391185 w 12192000"/>
              <a:gd name="connsiteY5559" fmla="*/ 4446600 h 6858000"/>
              <a:gd name="connsiteX5560" fmla="*/ 9469719 w 12192000"/>
              <a:gd name="connsiteY5560" fmla="*/ 4446600 h 6858000"/>
              <a:gd name="connsiteX5561" fmla="*/ 9437503 w 12192000"/>
              <a:gd name="connsiteY5561" fmla="*/ 4416947 h 6858000"/>
              <a:gd name="connsiteX5562" fmla="*/ 9469719 w 12192000"/>
              <a:gd name="connsiteY5562" fmla="*/ 4387295 h 6858000"/>
              <a:gd name="connsiteX5563" fmla="*/ 9501924 w 12192000"/>
              <a:gd name="connsiteY5563" fmla="*/ 4416947 h 6858000"/>
              <a:gd name="connsiteX5564" fmla="*/ 9469719 w 12192000"/>
              <a:gd name="connsiteY5564" fmla="*/ 4446600 h 6858000"/>
              <a:gd name="connsiteX5565" fmla="*/ 9548254 w 12192000"/>
              <a:gd name="connsiteY5565" fmla="*/ 4446600 h 6858000"/>
              <a:gd name="connsiteX5566" fmla="*/ 9516037 w 12192000"/>
              <a:gd name="connsiteY5566" fmla="*/ 4416947 h 6858000"/>
              <a:gd name="connsiteX5567" fmla="*/ 9548254 w 12192000"/>
              <a:gd name="connsiteY5567" fmla="*/ 4387295 h 6858000"/>
              <a:gd name="connsiteX5568" fmla="*/ 9580458 w 12192000"/>
              <a:gd name="connsiteY5568" fmla="*/ 4416947 h 6858000"/>
              <a:gd name="connsiteX5569" fmla="*/ 9548254 w 12192000"/>
              <a:gd name="connsiteY5569" fmla="*/ 4446600 h 6858000"/>
              <a:gd name="connsiteX5570" fmla="*/ 9626787 w 12192000"/>
              <a:gd name="connsiteY5570" fmla="*/ 4446600 h 6858000"/>
              <a:gd name="connsiteX5571" fmla="*/ 9594571 w 12192000"/>
              <a:gd name="connsiteY5571" fmla="*/ 4416947 h 6858000"/>
              <a:gd name="connsiteX5572" fmla="*/ 9626787 w 12192000"/>
              <a:gd name="connsiteY5572" fmla="*/ 4387295 h 6858000"/>
              <a:gd name="connsiteX5573" fmla="*/ 9658991 w 12192000"/>
              <a:gd name="connsiteY5573" fmla="*/ 4416947 h 6858000"/>
              <a:gd name="connsiteX5574" fmla="*/ 9626787 w 12192000"/>
              <a:gd name="connsiteY5574" fmla="*/ 4446600 h 6858000"/>
              <a:gd name="connsiteX5575" fmla="*/ 9705321 w 12192000"/>
              <a:gd name="connsiteY5575" fmla="*/ 4446600 h 6858000"/>
              <a:gd name="connsiteX5576" fmla="*/ 9673105 w 12192000"/>
              <a:gd name="connsiteY5576" fmla="*/ 4416947 h 6858000"/>
              <a:gd name="connsiteX5577" fmla="*/ 9705321 w 12192000"/>
              <a:gd name="connsiteY5577" fmla="*/ 4387295 h 6858000"/>
              <a:gd name="connsiteX5578" fmla="*/ 9737525 w 12192000"/>
              <a:gd name="connsiteY5578" fmla="*/ 4416947 h 6858000"/>
              <a:gd name="connsiteX5579" fmla="*/ 9705321 w 12192000"/>
              <a:gd name="connsiteY5579" fmla="*/ 4446600 h 6858000"/>
              <a:gd name="connsiteX5580" fmla="*/ 10097990 w 12192000"/>
              <a:gd name="connsiteY5580" fmla="*/ 4446600 h 6858000"/>
              <a:gd name="connsiteX5581" fmla="*/ 10065774 w 12192000"/>
              <a:gd name="connsiteY5581" fmla="*/ 4416947 h 6858000"/>
              <a:gd name="connsiteX5582" fmla="*/ 10097990 w 12192000"/>
              <a:gd name="connsiteY5582" fmla="*/ 4387295 h 6858000"/>
              <a:gd name="connsiteX5583" fmla="*/ 10130195 w 12192000"/>
              <a:gd name="connsiteY5583" fmla="*/ 4416947 h 6858000"/>
              <a:gd name="connsiteX5584" fmla="*/ 10097990 w 12192000"/>
              <a:gd name="connsiteY5584" fmla="*/ 4446600 h 6858000"/>
              <a:gd name="connsiteX5585" fmla="*/ 2558715 w 12192000"/>
              <a:gd name="connsiteY5585" fmla="*/ 4374334 h 6858000"/>
              <a:gd name="connsiteX5586" fmla="*/ 2526505 w 12192000"/>
              <a:gd name="connsiteY5586" fmla="*/ 4344682 h 6858000"/>
              <a:gd name="connsiteX5587" fmla="*/ 2558715 w 12192000"/>
              <a:gd name="connsiteY5587" fmla="*/ 4315030 h 6858000"/>
              <a:gd name="connsiteX5588" fmla="*/ 2590926 w 12192000"/>
              <a:gd name="connsiteY5588" fmla="*/ 4344682 h 6858000"/>
              <a:gd name="connsiteX5589" fmla="*/ 2558715 w 12192000"/>
              <a:gd name="connsiteY5589" fmla="*/ 4374334 h 6858000"/>
              <a:gd name="connsiteX5590" fmla="*/ 2637243 w 12192000"/>
              <a:gd name="connsiteY5590" fmla="*/ 4374334 h 6858000"/>
              <a:gd name="connsiteX5591" fmla="*/ 2605032 w 12192000"/>
              <a:gd name="connsiteY5591" fmla="*/ 4344682 h 6858000"/>
              <a:gd name="connsiteX5592" fmla="*/ 2637243 w 12192000"/>
              <a:gd name="connsiteY5592" fmla="*/ 4315030 h 6858000"/>
              <a:gd name="connsiteX5593" fmla="*/ 2669453 w 12192000"/>
              <a:gd name="connsiteY5593" fmla="*/ 4344682 h 6858000"/>
              <a:gd name="connsiteX5594" fmla="*/ 2637243 w 12192000"/>
              <a:gd name="connsiteY5594" fmla="*/ 4374334 h 6858000"/>
              <a:gd name="connsiteX5595" fmla="*/ 2715777 w 12192000"/>
              <a:gd name="connsiteY5595" fmla="*/ 4374334 h 6858000"/>
              <a:gd name="connsiteX5596" fmla="*/ 2683566 w 12192000"/>
              <a:gd name="connsiteY5596" fmla="*/ 4344682 h 6858000"/>
              <a:gd name="connsiteX5597" fmla="*/ 2715777 w 12192000"/>
              <a:gd name="connsiteY5597" fmla="*/ 4315030 h 6858000"/>
              <a:gd name="connsiteX5598" fmla="*/ 2747987 w 12192000"/>
              <a:gd name="connsiteY5598" fmla="*/ 4344682 h 6858000"/>
              <a:gd name="connsiteX5599" fmla="*/ 2715777 w 12192000"/>
              <a:gd name="connsiteY5599" fmla="*/ 4374334 h 6858000"/>
              <a:gd name="connsiteX5600" fmla="*/ 2794310 w 12192000"/>
              <a:gd name="connsiteY5600" fmla="*/ 4374334 h 6858000"/>
              <a:gd name="connsiteX5601" fmla="*/ 2762100 w 12192000"/>
              <a:gd name="connsiteY5601" fmla="*/ 4344682 h 6858000"/>
              <a:gd name="connsiteX5602" fmla="*/ 2794310 w 12192000"/>
              <a:gd name="connsiteY5602" fmla="*/ 4315030 h 6858000"/>
              <a:gd name="connsiteX5603" fmla="*/ 2826520 w 12192000"/>
              <a:gd name="connsiteY5603" fmla="*/ 4344682 h 6858000"/>
              <a:gd name="connsiteX5604" fmla="*/ 2794310 w 12192000"/>
              <a:gd name="connsiteY5604" fmla="*/ 4374334 h 6858000"/>
              <a:gd name="connsiteX5605" fmla="*/ 2872844 w 12192000"/>
              <a:gd name="connsiteY5605" fmla="*/ 4374334 h 6858000"/>
              <a:gd name="connsiteX5606" fmla="*/ 2840634 w 12192000"/>
              <a:gd name="connsiteY5606" fmla="*/ 4344682 h 6858000"/>
              <a:gd name="connsiteX5607" fmla="*/ 2872844 w 12192000"/>
              <a:gd name="connsiteY5607" fmla="*/ 4315030 h 6858000"/>
              <a:gd name="connsiteX5608" fmla="*/ 2905055 w 12192000"/>
              <a:gd name="connsiteY5608" fmla="*/ 4344682 h 6858000"/>
              <a:gd name="connsiteX5609" fmla="*/ 2872844 w 12192000"/>
              <a:gd name="connsiteY5609" fmla="*/ 4374334 h 6858000"/>
              <a:gd name="connsiteX5610" fmla="*/ 2951379 w 12192000"/>
              <a:gd name="connsiteY5610" fmla="*/ 4374334 h 6858000"/>
              <a:gd name="connsiteX5611" fmla="*/ 2919168 w 12192000"/>
              <a:gd name="connsiteY5611" fmla="*/ 4344682 h 6858000"/>
              <a:gd name="connsiteX5612" fmla="*/ 2951379 w 12192000"/>
              <a:gd name="connsiteY5612" fmla="*/ 4315030 h 6858000"/>
              <a:gd name="connsiteX5613" fmla="*/ 2983589 w 12192000"/>
              <a:gd name="connsiteY5613" fmla="*/ 4344682 h 6858000"/>
              <a:gd name="connsiteX5614" fmla="*/ 2951379 w 12192000"/>
              <a:gd name="connsiteY5614" fmla="*/ 4374334 h 6858000"/>
              <a:gd name="connsiteX5615" fmla="*/ 3029912 w 12192000"/>
              <a:gd name="connsiteY5615" fmla="*/ 4374334 h 6858000"/>
              <a:gd name="connsiteX5616" fmla="*/ 2997701 w 12192000"/>
              <a:gd name="connsiteY5616" fmla="*/ 4344682 h 6858000"/>
              <a:gd name="connsiteX5617" fmla="*/ 3029912 w 12192000"/>
              <a:gd name="connsiteY5617" fmla="*/ 4315030 h 6858000"/>
              <a:gd name="connsiteX5618" fmla="*/ 3062122 w 12192000"/>
              <a:gd name="connsiteY5618" fmla="*/ 4344682 h 6858000"/>
              <a:gd name="connsiteX5619" fmla="*/ 3029912 w 12192000"/>
              <a:gd name="connsiteY5619" fmla="*/ 4374334 h 6858000"/>
              <a:gd name="connsiteX5620" fmla="*/ 3108446 w 12192000"/>
              <a:gd name="connsiteY5620" fmla="*/ 4374334 h 6858000"/>
              <a:gd name="connsiteX5621" fmla="*/ 3076236 w 12192000"/>
              <a:gd name="connsiteY5621" fmla="*/ 4344682 h 6858000"/>
              <a:gd name="connsiteX5622" fmla="*/ 3108446 w 12192000"/>
              <a:gd name="connsiteY5622" fmla="*/ 4315030 h 6858000"/>
              <a:gd name="connsiteX5623" fmla="*/ 3140656 w 12192000"/>
              <a:gd name="connsiteY5623" fmla="*/ 4344682 h 6858000"/>
              <a:gd name="connsiteX5624" fmla="*/ 3108446 w 12192000"/>
              <a:gd name="connsiteY5624" fmla="*/ 4374334 h 6858000"/>
              <a:gd name="connsiteX5625" fmla="*/ 3186979 w 12192000"/>
              <a:gd name="connsiteY5625" fmla="*/ 4374334 h 6858000"/>
              <a:gd name="connsiteX5626" fmla="*/ 3154769 w 12192000"/>
              <a:gd name="connsiteY5626" fmla="*/ 4344682 h 6858000"/>
              <a:gd name="connsiteX5627" fmla="*/ 3186979 w 12192000"/>
              <a:gd name="connsiteY5627" fmla="*/ 4315030 h 6858000"/>
              <a:gd name="connsiteX5628" fmla="*/ 3219190 w 12192000"/>
              <a:gd name="connsiteY5628" fmla="*/ 4344682 h 6858000"/>
              <a:gd name="connsiteX5629" fmla="*/ 3186979 w 12192000"/>
              <a:gd name="connsiteY5629" fmla="*/ 4374334 h 6858000"/>
              <a:gd name="connsiteX5630" fmla="*/ 3265514 w 12192000"/>
              <a:gd name="connsiteY5630" fmla="*/ 4374334 h 6858000"/>
              <a:gd name="connsiteX5631" fmla="*/ 3233303 w 12192000"/>
              <a:gd name="connsiteY5631" fmla="*/ 4344682 h 6858000"/>
              <a:gd name="connsiteX5632" fmla="*/ 3265514 w 12192000"/>
              <a:gd name="connsiteY5632" fmla="*/ 4315030 h 6858000"/>
              <a:gd name="connsiteX5633" fmla="*/ 3297724 w 12192000"/>
              <a:gd name="connsiteY5633" fmla="*/ 4344682 h 6858000"/>
              <a:gd name="connsiteX5634" fmla="*/ 3265514 w 12192000"/>
              <a:gd name="connsiteY5634" fmla="*/ 4374334 h 6858000"/>
              <a:gd name="connsiteX5635" fmla="*/ 3422581 w 12192000"/>
              <a:gd name="connsiteY5635" fmla="*/ 4374334 h 6858000"/>
              <a:gd name="connsiteX5636" fmla="*/ 3390371 w 12192000"/>
              <a:gd name="connsiteY5636" fmla="*/ 4344682 h 6858000"/>
              <a:gd name="connsiteX5637" fmla="*/ 3422581 w 12192000"/>
              <a:gd name="connsiteY5637" fmla="*/ 4315030 h 6858000"/>
              <a:gd name="connsiteX5638" fmla="*/ 3454791 w 12192000"/>
              <a:gd name="connsiteY5638" fmla="*/ 4344682 h 6858000"/>
              <a:gd name="connsiteX5639" fmla="*/ 3422581 w 12192000"/>
              <a:gd name="connsiteY5639" fmla="*/ 4374334 h 6858000"/>
              <a:gd name="connsiteX5640" fmla="*/ 3579650 w 12192000"/>
              <a:gd name="connsiteY5640" fmla="*/ 4374334 h 6858000"/>
              <a:gd name="connsiteX5641" fmla="*/ 3547439 w 12192000"/>
              <a:gd name="connsiteY5641" fmla="*/ 4344682 h 6858000"/>
              <a:gd name="connsiteX5642" fmla="*/ 3579650 w 12192000"/>
              <a:gd name="connsiteY5642" fmla="*/ 4315030 h 6858000"/>
              <a:gd name="connsiteX5643" fmla="*/ 3611860 w 12192000"/>
              <a:gd name="connsiteY5643" fmla="*/ 4344682 h 6858000"/>
              <a:gd name="connsiteX5644" fmla="*/ 3579650 w 12192000"/>
              <a:gd name="connsiteY5644" fmla="*/ 4374334 h 6858000"/>
              <a:gd name="connsiteX5645" fmla="*/ 3658183 w 12192000"/>
              <a:gd name="connsiteY5645" fmla="*/ 4374334 h 6858000"/>
              <a:gd name="connsiteX5646" fmla="*/ 3625972 w 12192000"/>
              <a:gd name="connsiteY5646" fmla="*/ 4344682 h 6858000"/>
              <a:gd name="connsiteX5647" fmla="*/ 3658183 w 12192000"/>
              <a:gd name="connsiteY5647" fmla="*/ 4315030 h 6858000"/>
              <a:gd name="connsiteX5648" fmla="*/ 3690393 w 12192000"/>
              <a:gd name="connsiteY5648" fmla="*/ 4344682 h 6858000"/>
              <a:gd name="connsiteX5649" fmla="*/ 3658183 w 12192000"/>
              <a:gd name="connsiteY5649" fmla="*/ 4374334 h 6858000"/>
              <a:gd name="connsiteX5650" fmla="*/ 3736717 w 12192000"/>
              <a:gd name="connsiteY5650" fmla="*/ 4374334 h 6858000"/>
              <a:gd name="connsiteX5651" fmla="*/ 3704507 w 12192000"/>
              <a:gd name="connsiteY5651" fmla="*/ 4344682 h 6858000"/>
              <a:gd name="connsiteX5652" fmla="*/ 3736717 w 12192000"/>
              <a:gd name="connsiteY5652" fmla="*/ 4315030 h 6858000"/>
              <a:gd name="connsiteX5653" fmla="*/ 3768927 w 12192000"/>
              <a:gd name="connsiteY5653" fmla="*/ 4344682 h 6858000"/>
              <a:gd name="connsiteX5654" fmla="*/ 3736717 w 12192000"/>
              <a:gd name="connsiteY5654" fmla="*/ 4374334 h 6858000"/>
              <a:gd name="connsiteX5655" fmla="*/ 3972319 w 12192000"/>
              <a:gd name="connsiteY5655" fmla="*/ 4374334 h 6858000"/>
              <a:gd name="connsiteX5656" fmla="*/ 3940108 w 12192000"/>
              <a:gd name="connsiteY5656" fmla="*/ 4344682 h 6858000"/>
              <a:gd name="connsiteX5657" fmla="*/ 3972319 w 12192000"/>
              <a:gd name="connsiteY5657" fmla="*/ 4315030 h 6858000"/>
              <a:gd name="connsiteX5658" fmla="*/ 4004529 w 12192000"/>
              <a:gd name="connsiteY5658" fmla="*/ 4344682 h 6858000"/>
              <a:gd name="connsiteX5659" fmla="*/ 3972319 w 12192000"/>
              <a:gd name="connsiteY5659" fmla="*/ 4374334 h 6858000"/>
              <a:gd name="connsiteX5660" fmla="*/ 4050852 w 12192000"/>
              <a:gd name="connsiteY5660" fmla="*/ 4374334 h 6858000"/>
              <a:gd name="connsiteX5661" fmla="*/ 4018642 w 12192000"/>
              <a:gd name="connsiteY5661" fmla="*/ 4344682 h 6858000"/>
              <a:gd name="connsiteX5662" fmla="*/ 4050852 w 12192000"/>
              <a:gd name="connsiteY5662" fmla="*/ 4315030 h 6858000"/>
              <a:gd name="connsiteX5663" fmla="*/ 4083062 w 12192000"/>
              <a:gd name="connsiteY5663" fmla="*/ 4344682 h 6858000"/>
              <a:gd name="connsiteX5664" fmla="*/ 4050852 w 12192000"/>
              <a:gd name="connsiteY5664" fmla="*/ 4374334 h 6858000"/>
              <a:gd name="connsiteX5665" fmla="*/ 4129386 w 12192000"/>
              <a:gd name="connsiteY5665" fmla="*/ 4374334 h 6858000"/>
              <a:gd name="connsiteX5666" fmla="*/ 4097176 w 12192000"/>
              <a:gd name="connsiteY5666" fmla="*/ 4344682 h 6858000"/>
              <a:gd name="connsiteX5667" fmla="*/ 4129386 w 12192000"/>
              <a:gd name="connsiteY5667" fmla="*/ 4315030 h 6858000"/>
              <a:gd name="connsiteX5668" fmla="*/ 4161597 w 12192000"/>
              <a:gd name="connsiteY5668" fmla="*/ 4344682 h 6858000"/>
              <a:gd name="connsiteX5669" fmla="*/ 4129386 w 12192000"/>
              <a:gd name="connsiteY5669" fmla="*/ 4374334 h 6858000"/>
              <a:gd name="connsiteX5670" fmla="*/ 4207926 w 12192000"/>
              <a:gd name="connsiteY5670" fmla="*/ 4374334 h 6858000"/>
              <a:gd name="connsiteX5671" fmla="*/ 4175715 w 12192000"/>
              <a:gd name="connsiteY5671" fmla="*/ 4344682 h 6858000"/>
              <a:gd name="connsiteX5672" fmla="*/ 4207926 w 12192000"/>
              <a:gd name="connsiteY5672" fmla="*/ 4315030 h 6858000"/>
              <a:gd name="connsiteX5673" fmla="*/ 4240136 w 12192000"/>
              <a:gd name="connsiteY5673" fmla="*/ 4344682 h 6858000"/>
              <a:gd name="connsiteX5674" fmla="*/ 4207926 w 12192000"/>
              <a:gd name="connsiteY5674" fmla="*/ 4374334 h 6858000"/>
              <a:gd name="connsiteX5675" fmla="*/ 4286460 w 12192000"/>
              <a:gd name="connsiteY5675" fmla="*/ 4374334 h 6858000"/>
              <a:gd name="connsiteX5676" fmla="*/ 4254250 w 12192000"/>
              <a:gd name="connsiteY5676" fmla="*/ 4344682 h 6858000"/>
              <a:gd name="connsiteX5677" fmla="*/ 4286460 w 12192000"/>
              <a:gd name="connsiteY5677" fmla="*/ 4315030 h 6858000"/>
              <a:gd name="connsiteX5678" fmla="*/ 4318670 w 12192000"/>
              <a:gd name="connsiteY5678" fmla="*/ 4344682 h 6858000"/>
              <a:gd name="connsiteX5679" fmla="*/ 4286460 w 12192000"/>
              <a:gd name="connsiteY5679" fmla="*/ 4374334 h 6858000"/>
              <a:gd name="connsiteX5680" fmla="*/ 5778604 w 12192000"/>
              <a:gd name="connsiteY5680" fmla="*/ 4374334 h 6858000"/>
              <a:gd name="connsiteX5681" fmla="*/ 5746393 w 12192000"/>
              <a:gd name="connsiteY5681" fmla="*/ 4344682 h 6858000"/>
              <a:gd name="connsiteX5682" fmla="*/ 5778604 w 12192000"/>
              <a:gd name="connsiteY5682" fmla="*/ 4315030 h 6858000"/>
              <a:gd name="connsiteX5683" fmla="*/ 5810814 w 12192000"/>
              <a:gd name="connsiteY5683" fmla="*/ 4344682 h 6858000"/>
              <a:gd name="connsiteX5684" fmla="*/ 5778604 w 12192000"/>
              <a:gd name="connsiteY5684" fmla="*/ 4374334 h 6858000"/>
              <a:gd name="connsiteX5685" fmla="*/ 6249806 w 12192000"/>
              <a:gd name="connsiteY5685" fmla="*/ 4374334 h 6858000"/>
              <a:gd name="connsiteX5686" fmla="*/ 6217590 w 12192000"/>
              <a:gd name="connsiteY5686" fmla="*/ 4344682 h 6858000"/>
              <a:gd name="connsiteX5687" fmla="*/ 6249806 w 12192000"/>
              <a:gd name="connsiteY5687" fmla="*/ 4315030 h 6858000"/>
              <a:gd name="connsiteX5688" fmla="*/ 6282010 w 12192000"/>
              <a:gd name="connsiteY5688" fmla="*/ 4344682 h 6858000"/>
              <a:gd name="connsiteX5689" fmla="*/ 6249806 w 12192000"/>
              <a:gd name="connsiteY5689" fmla="*/ 4374334 h 6858000"/>
              <a:gd name="connsiteX5690" fmla="*/ 6485408 w 12192000"/>
              <a:gd name="connsiteY5690" fmla="*/ 4374334 h 6858000"/>
              <a:gd name="connsiteX5691" fmla="*/ 6453191 w 12192000"/>
              <a:gd name="connsiteY5691" fmla="*/ 4344682 h 6858000"/>
              <a:gd name="connsiteX5692" fmla="*/ 6485408 w 12192000"/>
              <a:gd name="connsiteY5692" fmla="*/ 4315030 h 6858000"/>
              <a:gd name="connsiteX5693" fmla="*/ 6517612 w 12192000"/>
              <a:gd name="connsiteY5693" fmla="*/ 4344682 h 6858000"/>
              <a:gd name="connsiteX5694" fmla="*/ 6485408 w 12192000"/>
              <a:gd name="connsiteY5694" fmla="*/ 4374334 h 6858000"/>
              <a:gd name="connsiteX5695" fmla="*/ 6563942 w 12192000"/>
              <a:gd name="connsiteY5695" fmla="*/ 4374334 h 6858000"/>
              <a:gd name="connsiteX5696" fmla="*/ 6531726 w 12192000"/>
              <a:gd name="connsiteY5696" fmla="*/ 4344682 h 6858000"/>
              <a:gd name="connsiteX5697" fmla="*/ 6563942 w 12192000"/>
              <a:gd name="connsiteY5697" fmla="*/ 4315030 h 6858000"/>
              <a:gd name="connsiteX5698" fmla="*/ 6596146 w 12192000"/>
              <a:gd name="connsiteY5698" fmla="*/ 4344682 h 6858000"/>
              <a:gd name="connsiteX5699" fmla="*/ 6563942 w 12192000"/>
              <a:gd name="connsiteY5699" fmla="*/ 4374334 h 6858000"/>
              <a:gd name="connsiteX5700" fmla="*/ 6642476 w 12192000"/>
              <a:gd name="connsiteY5700" fmla="*/ 4374334 h 6858000"/>
              <a:gd name="connsiteX5701" fmla="*/ 6610260 w 12192000"/>
              <a:gd name="connsiteY5701" fmla="*/ 4344682 h 6858000"/>
              <a:gd name="connsiteX5702" fmla="*/ 6642476 w 12192000"/>
              <a:gd name="connsiteY5702" fmla="*/ 4315030 h 6858000"/>
              <a:gd name="connsiteX5703" fmla="*/ 6674681 w 12192000"/>
              <a:gd name="connsiteY5703" fmla="*/ 4344682 h 6858000"/>
              <a:gd name="connsiteX5704" fmla="*/ 6642476 w 12192000"/>
              <a:gd name="connsiteY5704" fmla="*/ 4374334 h 6858000"/>
              <a:gd name="connsiteX5705" fmla="*/ 6721010 w 12192000"/>
              <a:gd name="connsiteY5705" fmla="*/ 4374334 h 6858000"/>
              <a:gd name="connsiteX5706" fmla="*/ 6688793 w 12192000"/>
              <a:gd name="connsiteY5706" fmla="*/ 4344682 h 6858000"/>
              <a:gd name="connsiteX5707" fmla="*/ 6721010 w 12192000"/>
              <a:gd name="connsiteY5707" fmla="*/ 4315030 h 6858000"/>
              <a:gd name="connsiteX5708" fmla="*/ 6753214 w 12192000"/>
              <a:gd name="connsiteY5708" fmla="*/ 4344682 h 6858000"/>
              <a:gd name="connsiteX5709" fmla="*/ 6721010 w 12192000"/>
              <a:gd name="connsiteY5709" fmla="*/ 4374334 h 6858000"/>
              <a:gd name="connsiteX5710" fmla="*/ 6799544 w 12192000"/>
              <a:gd name="connsiteY5710" fmla="*/ 4374334 h 6858000"/>
              <a:gd name="connsiteX5711" fmla="*/ 6767327 w 12192000"/>
              <a:gd name="connsiteY5711" fmla="*/ 4344682 h 6858000"/>
              <a:gd name="connsiteX5712" fmla="*/ 6799544 w 12192000"/>
              <a:gd name="connsiteY5712" fmla="*/ 4315030 h 6858000"/>
              <a:gd name="connsiteX5713" fmla="*/ 6831748 w 12192000"/>
              <a:gd name="connsiteY5713" fmla="*/ 4344682 h 6858000"/>
              <a:gd name="connsiteX5714" fmla="*/ 6799544 w 12192000"/>
              <a:gd name="connsiteY5714" fmla="*/ 4374334 h 6858000"/>
              <a:gd name="connsiteX5715" fmla="*/ 6878077 w 12192000"/>
              <a:gd name="connsiteY5715" fmla="*/ 4374334 h 6858000"/>
              <a:gd name="connsiteX5716" fmla="*/ 6845861 w 12192000"/>
              <a:gd name="connsiteY5716" fmla="*/ 4344682 h 6858000"/>
              <a:gd name="connsiteX5717" fmla="*/ 6878077 w 12192000"/>
              <a:gd name="connsiteY5717" fmla="*/ 4315030 h 6858000"/>
              <a:gd name="connsiteX5718" fmla="*/ 6910281 w 12192000"/>
              <a:gd name="connsiteY5718" fmla="*/ 4344682 h 6858000"/>
              <a:gd name="connsiteX5719" fmla="*/ 6878077 w 12192000"/>
              <a:gd name="connsiteY5719" fmla="*/ 4374334 h 6858000"/>
              <a:gd name="connsiteX5720" fmla="*/ 6956611 w 12192000"/>
              <a:gd name="connsiteY5720" fmla="*/ 4374334 h 6858000"/>
              <a:gd name="connsiteX5721" fmla="*/ 6924395 w 12192000"/>
              <a:gd name="connsiteY5721" fmla="*/ 4344682 h 6858000"/>
              <a:gd name="connsiteX5722" fmla="*/ 6956611 w 12192000"/>
              <a:gd name="connsiteY5722" fmla="*/ 4315030 h 6858000"/>
              <a:gd name="connsiteX5723" fmla="*/ 6988816 w 12192000"/>
              <a:gd name="connsiteY5723" fmla="*/ 4344682 h 6858000"/>
              <a:gd name="connsiteX5724" fmla="*/ 6956611 w 12192000"/>
              <a:gd name="connsiteY5724" fmla="*/ 4374334 h 6858000"/>
              <a:gd name="connsiteX5725" fmla="*/ 7035146 w 12192000"/>
              <a:gd name="connsiteY5725" fmla="*/ 4374334 h 6858000"/>
              <a:gd name="connsiteX5726" fmla="*/ 7002929 w 12192000"/>
              <a:gd name="connsiteY5726" fmla="*/ 4344682 h 6858000"/>
              <a:gd name="connsiteX5727" fmla="*/ 7035146 w 12192000"/>
              <a:gd name="connsiteY5727" fmla="*/ 4315030 h 6858000"/>
              <a:gd name="connsiteX5728" fmla="*/ 7067350 w 12192000"/>
              <a:gd name="connsiteY5728" fmla="*/ 4344682 h 6858000"/>
              <a:gd name="connsiteX5729" fmla="*/ 7035146 w 12192000"/>
              <a:gd name="connsiteY5729" fmla="*/ 4374334 h 6858000"/>
              <a:gd name="connsiteX5730" fmla="*/ 7113703 w 12192000"/>
              <a:gd name="connsiteY5730" fmla="*/ 4374334 h 6858000"/>
              <a:gd name="connsiteX5731" fmla="*/ 7081487 w 12192000"/>
              <a:gd name="connsiteY5731" fmla="*/ 4344682 h 6858000"/>
              <a:gd name="connsiteX5732" fmla="*/ 7113703 w 12192000"/>
              <a:gd name="connsiteY5732" fmla="*/ 4315030 h 6858000"/>
              <a:gd name="connsiteX5733" fmla="*/ 7145907 w 12192000"/>
              <a:gd name="connsiteY5733" fmla="*/ 4344682 h 6858000"/>
              <a:gd name="connsiteX5734" fmla="*/ 7113703 w 12192000"/>
              <a:gd name="connsiteY5734" fmla="*/ 4374334 h 6858000"/>
              <a:gd name="connsiteX5735" fmla="*/ 7192237 w 12192000"/>
              <a:gd name="connsiteY5735" fmla="*/ 4374334 h 6858000"/>
              <a:gd name="connsiteX5736" fmla="*/ 7160021 w 12192000"/>
              <a:gd name="connsiteY5736" fmla="*/ 4344682 h 6858000"/>
              <a:gd name="connsiteX5737" fmla="*/ 7192237 w 12192000"/>
              <a:gd name="connsiteY5737" fmla="*/ 4315030 h 6858000"/>
              <a:gd name="connsiteX5738" fmla="*/ 7224441 w 12192000"/>
              <a:gd name="connsiteY5738" fmla="*/ 4344682 h 6858000"/>
              <a:gd name="connsiteX5739" fmla="*/ 7192237 w 12192000"/>
              <a:gd name="connsiteY5739" fmla="*/ 4374334 h 6858000"/>
              <a:gd name="connsiteX5740" fmla="*/ 7270771 w 12192000"/>
              <a:gd name="connsiteY5740" fmla="*/ 4374334 h 6858000"/>
              <a:gd name="connsiteX5741" fmla="*/ 7238555 w 12192000"/>
              <a:gd name="connsiteY5741" fmla="*/ 4344682 h 6858000"/>
              <a:gd name="connsiteX5742" fmla="*/ 7270771 w 12192000"/>
              <a:gd name="connsiteY5742" fmla="*/ 4315030 h 6858000"/>
              <a:gd name="connsiteX5743" fmla="*/ 7302976 w 12192000"/>
              <a:gd name="connsiteY5743" fmla="*/ 4344682 h 6858000"/>
              <a:gd name="connsiteX5744" fmla="*/ 7270771 w 12192000"/>
              <a:gd name="connsiteY5744" fmla="*/ 4374334 h 6858000"/>
              <a:gd name="connsiteX5745" fmla="*/ 7349305 w 12192000"/>
              <a:gd name="connsiteY5745" fmla="*/ 4374334 h 6858000"/>
              <a:gd name="connsiteX5746" fmla="*/ 7317088 w 12192000"/>
              <a:gd name="connsiteY5746" fmla="*/ 4344682 h 6858000"/>
              <a:gd name="connsiteX5747" fmla="*/ 7349305 w 12192000"/>
              <a:gd name="connsiteY5747" fmla="*/ 4315030 h 6858000"/>
              <a:gd name="connsiteX5748" fmla="*/ 7381509 w 12192000"/>
              <a:gd name="connsiteY5748" fmla="*/ 4344682 h 6858000"/>
              <a:gd name="connsiteX5749" fmla="*/ 7349305 w 12192000"/>
              <a:gd name="connsiteY5749" fmla="*/ 4374334 h 6858000"/>
              <a:gd name="connsiteX5750" fmla="*/ 7427839 w 12192000"/>
              <a:gd name="connsiteY5750" fmla="*/ 4374334 h 6858000"/>
              <a:gd name="connsiteX5751" fmla="*/ 7395623 w 12192000"/>
              <a:gd name="connsiteY5751" fmla="*/ 4344682 h 6858000"/>
              <a:gd name="connsiteX5752" fmla="*/ 7427839 w 12192000"/>
              <a:gd name="connsiteY5752" fmla="*/ 4315030 h 6858000"/>
              <a:gd name="connsiteX5753" fmla="*/ 7460043 w 12192000"/>
              <a:gd name="connsiteY5753" fmla="*/ 4344682 h 6858000"/>
              <a:gd name="connsiteX5754" fmla="*/ 7427839 w 12192000"/>
              <a:gd name="connsiteY5754" fmla="*/ 4374334 h 6858000"/>
              <a:gd name="connsiteX5755" fmla="*/ 7506373 w 12192000"/>
              <a:gd name="connsiteY5755" fmla="*/ 4374334 h 6858000"/>
              <a:gd name="connsiteX5756" fmla="*/ 7474157 w 12192000"/>
              <a:gd name="connsiteY5756" fmla="*/ 4344682 h 6858000"/>
              <a:gd name="connsiteX5757" fmla="*/ 7506373 w 12192000"/>
              <a:gd name="connsiteY5757" fmla="*/ 4315030 h 6858000"/>
              <a:gd name="connsiteX5758" fmla="*/ 7538577 w 12192000"/>
              <a:gd name="connsiteY5758" fmla="*/ 4344682 h 6858000"/>
              <a:gd name="connsiteX5759" fmla="*/ 7506373 w 12192000"/>
              <a:gd name="connsiteY5759" fmla="*/ 4374334 h 6858000"/>
              <a:gd name="connsiteX5760" fmla="*/ 7584906 w 12192000"/>
              <a:gd name="connsiteY5760" fmla="*/ 4374334 h 6858000"/>
              <a:gd name="connsiteX5761" fmla="*/ 7552690 w 12192000"/>
              <a:gd name="connsiteY5761" fmla="*/ 4344682 h 6858000"/>
              <a:gd name="connsiteX5762" fmla="*/ 7584906 w 12192000"/>
              <a:gd name="connsiteY5762" fmla="*/ 4315030 h 6858000"/>
              <a:gd name="connsiteX5763" fmla="*/ 7617111 w 12192000"/>
              <a:gd name="connsiteY5763" fmla="*/ 4344682 h 6858000"/>
              <a:gd name="connsiteX5764" fmla="*/ 7584906 w 12192000"/>
              <a:gd name="connsiteY5764" fmla="*/ 4374334 h 6858000"/>
              <a:gd name="connsiteX5765" fmla="*/ 7663441 w 12192000"/>
              <a:gd name="connsiteY5765" fmla="*/ 4374334 h 6858000"/>
              <a:gd name="connsiteX5766" fmla="*/ 7631224 w 12192000"/>
              <a:gd name="connsiteY5766" fmla="*/ 4344682 h 6858000"/>
              <a:gd name="connsiteX5767" fmla="*/ 7663441 w 12192000"/>
              <a:gd name="connsiteY5767" fmla="*/ 4315030 h 6858000"/>
              <a:gd name="connsiteX5768" fmla="*/ 7695645 w 12192000"/>
              <a:gd name="connsiteY5768" fmla="*/ 4344682 h 6858000"/>
              <a:gd name="connsiteX5769" fmla="*/ 7663441 w 12192000"/>
              <a:gd name="connsiteY5769" fmla="*/ 4374334 h 6858000"/>
              <a:gd name="connsiteX5770" fmla="*/ 7741974 w 12192000"/>
              <a:gd name="connsiteY5770" fmla="*/ 4374334 h 6858000"/>
              <a:gd name="connsiteX5771" fmla="*/ 7709758 w 12192000"/>
              <a:gd name="connsiteY5771" fmla="*/ 4344682 h 6858000"/>
              <a:gd name="connsiteX5772" fmla="*/ 7741974 w 12192000"/>
              <a:gd name="connsiteY5772" fmla="*/ 4315030 h 6858000"/>
              <a:gd name="connsiteX5773" fmla="*/ 7774178 w 12192000"/>
              <a:gd name="connsiteY5773" fmla="*/ 4344682 h 6858000"/>
              <a:gd name="connsiteX5774" fmla="*/ 7741974 w 12192000"/>
              <a:gd name="connsiteY5774" fmla="*/ 4374334 h 6858000"/>
              <a:gd name="connsiteX5775" fmla="*/ 7820508 w 12192000"/>
              <a:gd name="connsiteY5775" fmla="*/ 4374334 h 6858000"/>
              <a:gd name="connsiteX5776" fmla="*/ 7788292 w 12192000"/>
              <a:gd name="connsiteY5776" fmla="*/ 4344682 h 6858000"/>
              <a:gd name="connsiteX5777" fmla="*/ 7820508 w 12192000"/>
              <a:gd name="connsiteY5777" fmla="*/ 4315030 h 6858000"/>
              <a:gd name="connsiteX5778" fmla="*/ 7852712 w 12192000"/>
              <a:gd name="connsiteY5778" fmla="*/ 4344682 h 6858000"/>
              <a:gd name="connsiteX5779" fmla="*/ 7820508 w 12192000"/>
              <a:gd name="connsiteY5779" fmla="*/ 4374334 h 6858000"/>
              <a:gd name="connsiteX5780" fmla="*/ 7899042 w 12192000"/>
              <a:gd name="connsiteY5780" fmla="*/ 4374334 h 6858000"/>
              <a:gd name="connsiteX5781" fmla="*/ 7866826 w 12192000"/>
              <a:gd name="connsiteY5781" fmla="*/ 4344682 h 6858000"/>
              <a:gd name="connsiteX5782" fmla="*/ 7899042 w 12192000"/>
              <a:gd name="connsiteY5782" fmla="*/ 4315030 h 6858000"/>
              <a:gd name="connsiteX5783" fmla="*/ 7931247 w 12192000"/>
              <a:gd name="connsiteY5783" fmla="*/ 4344682 h 6858000"/>
              <a:gd name="connsiteX5784" fmla="*/ 7899042 w 12192000"/>
              <a:gd name="connsiteY5784" fmla="*/ 4374334 h 6858000"/>
              <a:gd name="connsiteX5785" fmla="*/ 7977576 w 12192000"/>
              <a:gd name="connsiteY5785" fmla="*/ 4374334 h 6858000"/>
              <a:gd name="connsiteX5786" fmla="*/ 7945359 w 12192000"/>
              <a:gd name="connsiteY5786" fmla="*/ 4344682 h 6858000"/>
              <a:gd name="connsiteX5787" fmla="*/ 7977576 w 12192000"/>
              <a:gd name="connsiteY5787" fmla="*/ 4315030 h 6858000"/>
              <a:gd name="connsiteX5788" fmla="*/ 8009780 w 12192000"/>
              <a:gd name="connsiteY5788" fmla="*/ 4344682 h 6858000"/>
              <a:gd name="connsiteX5789" fmla="*/ 7977576 w 12192000"/>
              <a:gd name="connsiteY5789" fmla="*/ 4374334 h 6858000"/>
              <a:gd name="connsiteX5790" fmla="*/ 8056110 w 12192000"/>
              <a:gd name="connsiteY5790" fmla="*/ 4374334 h 6858000"/>
              <a:gd name="connsiteX5791" fmla="*/ 8023894 w 12192000"/>
              <a:gd name="connsiteY5791" fmla="*/ 4344682 h 6858000"/>
              <a:gd name="connsiteX5792" fmla="*/ 8056110 w 12192000"/>
              <a:gd name="connsiteY5792" fmla="*/ 4315030 h 6858000"/>
              <a:gd name="connsiteX5793" fmla="*/ 8088314 w 12192000"/>
              <a:gd name="connsiteY5793" fmla="*/ 4344682 h 6858000"/>
              <a:gd name="connsiteX5794" fmla="*/ 8056110 w 12192000"/>
              <a:gd name="connsiteY5794" fmla="*/ 4374334 h 6858000"/>
              <a:gd name="connsiteX5795" fmla="*/ 8134643 w 12192000"/>
              <a:gd name="connsiteY5795" fmla="*/ 4374334 h 6858000"/>
              <a:gd name="connsiteX5796" fmla="*/ 8102427 w 12192000"/>
              <a:gd name="connsiteY5796" fmla="*/ 4344682 h 6858000"/>
              <a:gd name="connsiteX5797" fmla="*/ 8134643 w 12192000"/>
              <a:gd name="connsiteY5797" fmla="*/ 4315030 h 6858000"/>
              <a:gd name="connsiteX5798" fmla="*/ 8166847 w 12192000"/>
              <a:gd name="connsiteY5798" fmla="*/ 4344682 h 6858000"/>
              <a:gd name="connsiteX5799" fmla="*/ 8134643 w 12192000"/>
              <a:gd name="connsiteY5799" fmla="*/ 4374334 h 6858000"/>
              <a:gd name="connsiteX5800" fmla="*/ 8213177 w 12192000"/>
              <a:gd name="connsiteY5800" fmla="*/ 4374334 h 6858000"/>
              <a:gd name="connsiteX5801" fmla="*/ 8180961 w 12192000"/>
              <a:gd name="connsiteY5801" fmla="*/ 4344682 h 6858000"/>
              <a:gd name="connsiteX5802" fmla="*/ 8213177 w 12192000"/>
              <a:gd name="connsiteY5802" fmla="*/ 4315030 h 6858000"/>
              <a:gd name="connsiteX5803" fmla="*/ 8245382 w 12192000"/>
              <a:gd name="connsiteY5803" fmla="*/ 4344682 h 6858000"/>
              <a:gd name="connsiteX5804" fmla="*/ 8213177 w 12192000"/>
              <a:gd name="connsiteY5804" fmla="*/ 4374334 h 6858000"/>
              <a:gd name="connsiteX5805" fmla="*/ 8291712 w 12192000"/>
              <a:gd name="connsiteY5805" fmla="*/ 4374334 h 6858000"/>
              <a:gd name="connsiteX5806" fmla="*/ 8259495 w 12192000"/>
              <a:gd name="connsiteY5806" fmla="*/ 4344682 h 6858000"/>
              <a:gd name="connsiteX5807" fmla="*/ 8291712 w 12192000"/>
              <a:gd name="connsiteY5807" fmla="*/ 4315030 h 6858000"/>
              <a:gd name="connsiteX5808" fmla="*/ 8323916 w 12192000"/>
              <a:gd name="connsiteY5808" fmla="*/ 4344682 h 6858000"/>
              <a:gd name="connsiteX5809" fmla="*/ 8291712 w 12192000"/>
              <a:gd name="connsiteY5809" fmla="*/ 4374334 h 6858000"/>
              <a:gd name="connsiteX5810" fmla="*/ 8370245 w 12192000"/>
              <a:gd name="connsiteY5810" fmla="*/ 4374334 h 6858000"/>
              <a:gd name="connsiteX5811" fmla="*/ 8338029 w 12192000"/>
              <a:gd name="connsiteY5811" fmla="*/ 4344682 h 6858000"/>
              <a:gd name="connsiteX5812" fmla="*/ 8370245 w 12192000"/>
              <a:gd name="connsiteY5812" fmla="*/ 4315030 h 6858000"/>
              <a:gd name="connsiteX5813" fmla="*/ 8402449 w 12192000"/>
              <a:gd name="connsiteY5813" fmla="*/ 4344682 h 6858000"/>
              <a:gd name="connsiteX5814" fmla="*/ 8370245 w 12192000"/>
              <a:gd name="connsiteY5814" fmla="*/ 4374334 h 6858000"/>
              <a:gd name="connsiteX5815" fmla="*/ 8448779 w 12192000"/>
              <a:gd name="connsiteY5815" fmla="*/ 4374334 h 6858000"/>
              <a:gd name="connsiteX5816" fmla="*/ 8416563 w 12192000"/>
              <a:gd name="connsiteY5816" fmla="*/ 4344682 h 6858000"/>
              <a:gd name="connsiteX5817" fmla="*/ 8448779 w 12192000"/>
              <a:gd name="connsiteY5817" fmla="*/ 4315030 h 6858000"/>
              <a:gd name="connsiteX5818" fmla="*/ 8480983 w 12192000"/>
              <a:gd name="connsiteY5818" fmla="*/ 4344682 h 6858000"/>
              <a:gd name="connsiteX5819" fmla="*/ 8448779 w 12192000"/>
              <a:gd name="connsiteY5819" fmla="*/ 4374334 h 6858000"/>
              <a:gd name="connsiteX5820" fmla="*/ 8527313 w 12192000"/>
              <a:gd name="connsiteY5820" fmla="*/ 4374334 h 6858000"/>
              <a:gd name="connsiteX5821" fmla="*/ 8495097 w 12192000"/>
              <a:gd name="connsiteY5821" fmla="*/ 4344682 h 6858000"/>
              <a:gd name="connsiteX5822" fmla="*/ 8527313 w 12192000"/>
              <a:gd name="connsiteY5822" fmla="*/ 4315030 h 6858000"/>
              <a:gd name="connsiteX5823" fmla="*/ 8559518 w 12192000"/>
              <a:gd name="connsiteY5823" fmla="*/ 4344682 h 6858000"/>
              <a:gd name="connsiteX5824" fmla="*/ 8527313 w 12192000"/>
              <a:gd name="connsiteY5824" fmla="*/ 4374334 h 6858000"/>
              <a:gd name="connsiteX5825" fmla="*/ 8605847 w 12192000"/>
              <a:gd name="connsiteY5825" fmla="*/ 4374334 h 6858000"/>
              <a:gd name="connsiteX5826" fmla="*/ 8573630 w 12192000"/>
              <a:gd name="connsiteY5826" fmla="*/ 4344682 h 6858000"/>
              <a:gd name="connsiteX5827" fmla="*/ 8605847 w 12192000"/>
              <a:gd name="connsiteY5827" fmla="*/ 4315030 h 6858000"/>
              <a:gd name="connsiteX5828" fmla="*/ 8638051 w 12192000"/>
              <a:gd name="connsiteY5828" fmla="*/ 4344682 h 6858000"/>
              <a:gd name="connsiteX5829" fmla="*/ 8605847 w 12192000"/>
              <a:gd name="connsiteY5829" fmla="*/ 4374334 h 6858000"/>
              <a:gd name="connsiteX5830" fmla="*/ 8684381 w 12192000"/>
              <a:gd name="connsiteY5830" fmla="*/ 4374334 h 6858000"/>
              <a:gd name="connsiteX5831" fmla="*/ 8652165 w 12192000"/>
              <a:gd name="connsiteY5831" fmla="*/ 4344682 h 6858000"/>
              <a:gd name="connsiteX5832" fmla="*/ 8684381 w 12192000"/>
              <a:gd name="connsiteY5832" fmla="*/ 4315030 h 6858000"/>
              <a:gd name="connsiteX5833" fmla="*/ 8716585 w 12192000"/>
              <a:gd name="connsiteY5833" fmla="*/ 4344682 h 6858000"/>
              <a:gd name="connsiteX5834" fmla="*/ 8684381 w 12192000"/>
              <a:gd name="connsiteY5834" fmla="*/ 4374334 h 6858000"/>
              <a:gd name="connsiteX5835" fmla="*/ 8841448 w 12192000"/>
              <a:gd name="connsiteY5835" fmla="*/ 4374334 h 6858000"/>
              <a:gd name="connsiteX5836" fmla="*/ 8809232 w 12192000"/>
              <a:gd name="connsiteY5836" fmla="*/ 4344682 h 6858000"/>
              <a:gd name="connsiteX5837" fmla="*/ 8841448 w 12192000"/>
              <a:gd name="connsiteY5837" fmla="*/ 4315030 h 6858000"/>
              <a:gd name="connsiteX5838" fmla="*/ 8873653 w 12192000"/>
              <a:gd name="connsiteY5838" fmla="*/ 4344682 h 6858000"/>
              <a:gd name="connsiteX5839" fmla="*/ 8841448 w 12192000"/>
              <a:gd name="connsiteY5839" fmla="*/ 4374334 h 6858000"/>
              <a:gd name="connsiteX5840" fmla="*/ 8919983 w 12192000"/>
              <a:gd name="connsiteY5840" fmla="*/ 4374334 h 6858000"/>
              <a:gd name="connsiteX5841" fmla="*/ 8887766 w 12192000"/>
              <a:gd name="connsiteY5841" fmla="*/ 4344682 h 6858000"/>
              <a:gd name="connsiteX5842" fmla="*/ 8919983 w 12192000"/>
              <a:gd name="connsiteY5842" fmla="*/ 4315030 h 6858000"/>
              <a:gd name="connsiteX5843" fmla="*/ 8952187 w 12192000"/>
              <a:gd name="connsiteY5843" fmla="*/ 4344682 h 6858000"/>
              <a:gd name="connsiteX5844" fmla="*/ 8919983 w 12192000"/>
              <a:gd name="connsiteY5844" fmla="*/ 4374334 h 6858000"/>
              <a:gd name="connsiteX5845" fmla="*/ 8998516 w 12192000"/>
              <a:gd name="connsiteY5845" fmla="*/ 4374334 h 6858000"/>
              <a:gd name="connsiteX5846" fmla="*/ 8966300 w 12192000"/>
              <a:gd name="connsiteY5846" fmla="*/ 4344682 h 6858000"/>
              <a:gd name="connsiteX5847" fmla="*/ 8998516 w 12192000"/>
              <a:gd name="connsiteY5847" fmla="*/ 4315030 h 6858000"/>
              <a:gd name="connsiteX5848" fmla="*/ 9030720 w 12192000"/>
              <a:gd name="connsiteY5848" fmla="*/ 4344682 h 6858000"/>
              <a:gd name="connsiteX5849" fmla="*/ 8998516 w 12192000"/>
              <a:gd name="connsiteY5849" fmla="*/ 4374334 h 6858000"/>
              <a:gd name="connsiteX5850" fmla="*/ 9077050 w 12192000"/>
              <a:gd name="connsiteY5850" fmla="*/ 4374334 h 6858000"/>
              <a:gd name="connsiteX5851" fmla="*/ 9044834 w 12192000"/>
              <a:gd name="connsiteY5851" fmla="*/ 4344682 h 6858000"/>
              <a:gd name="connsiteX5852" fmla="*/ 9077050 w 12192000"/>
              <a:gd name="connsiteY5852" fmla="*/ 4315030 h 6858000"/>
              <a:gd name="connsiteX5853" fmla="*/ 9109254 w 12192000"/>
              <a:gd name="connsiteY5853" fmla="*/ 4344682 h 6858000"/>
              <a:gd name="connsiteX5854" fmla="*/ 9077050 w 12192000"/>
              <a:gd name="connsiteY5854" fmla="*/ 4374334 h 6858000"/>
              <a:gd name="connsiteX5855" fmla="*/ 9155583 w 12192000"/>
              <a:gd name="connsiteY5855" fmla="*/ 4374334 h 6858000"/>
              <a:gd name="connsiteX5856" fmla="*/ 9123367 w 12192000"/>
              <a:gd name="connsiteY5856" fmla="*/ 4344682 h 6858000"/>
              <a:gd name="connsiteX5857" fmla="*/ 9155583 w 12192000"/>
              <a:gd name="connsiteY5857" fmla="*/ 4315030 h 6858000"/>
              <a:gd name="connsiteX5858" fmla="*/ 9187788 w 12192000"/>
              <a:gd name="connsiteY5858" fmla="*/ 4344682 h 6858000"/>
              <a:gd name="connsiteX5859" fmla="*/ 9155583 w 12192000"/>
              <a:gd name="connsiteY5859" fmla="*/ 4374334 h 6858000"/>
              <a:gd name="connsiteX5860" fmla="*/ 9234118 w 12192000"/>
              <a:gd name="connsiteY5860" fmla="*/ 4374334 h 6858000"/>
              <a:gd name="connsiteX5861" fmla="*/ 9201901 w 12192000"/>
              <a:gd name="connsiteY5861" fmla="*/ 4344682 h 6858000"/>
              <a:gd name="connsiteX5862" fmla="*/ 9234118 w 12192000"/>
              <a:gd name="connsiteY5862" fmla="*/ 4315030 h 6858000"/>
              <a:gd name="connsiteX5863" fmla="*/ 9266322 w 12192000"/>
              <a:gd name="connsiteY5863" fmla="*/ 4344682 h 6858000"/>
              <a:gd name="connsiteX5864" fmla="*/ 9234118 w 12192000"/>
              <a:gd name="connsiteY5864" fmla="*/ 4374334 h 6858000"/>
              <a:gd name="connsiteX5865" fmla="*/ 9312652 w 12192000"/>
              <a:gd name="connsiteY5865" fmla="*/ 4374334 h 6858000"/>
              <a:gd name="connsiteX5866" fmla="*/ 9280436 w 12192000"/>
              <a:gd name="connsiteY5866" fmla="*/ 4344682 h 6858000"/>
              <a:gd name="connsiteX5867" fmla="*/ 9312652 w 12192000"/>
              <a:gd name="connsiteY5867" fmla="*/ 4315030 h 6858000"/>
              <a:gd name="connsiteX5868" fmla="*/ 9344856 w 12192000"/>
              <a:gd name="connsiteY5868" fmla="*/ 4344682 h 6858000"/>
              <a:gd name="connsiteX5869" fmla="*/ 9312652 w 12192000"/>
              <a:gd name="connsiteY5869" fmla="*/ 4374334 h 6858000"/>
              <a:gd name="connsiteX5870" fmla="*/ 9391185 w 12192000"/>
              <a:gd name="connsiteY5870" fmla="*/ 4374334 h 6858000"/>
              <a:gd name="connsiteX5871" fmla="*/ 9358969 w 12192000"/>
              <a:gd name="connsiteY5871" fmla="*/ 4344682 h 6858000"/>
              <a:gd name="connsiteX5872" fmla="*/ 9391185 w 12192000"/>
              <a:gd name="connsiteY5872" fmla="*/ 4315030 h 6858000"/>
              <a:gd name="connsiteX5873" fmla="*/ 9423389 w 12192000"/>
              <a:gd name="connsiteY5873" fmla="*/ 4344682 h 6858000"/>
              <a:gd name="connsiteX5874" fmla="*/ 9391185 w 12192000"/>
              <a:gd name="connsiteY5874" fmla="*/ 4374334 h 6858000"/>
              <a:gd name="connsiteX5875" fmla="*/ 9469719 w 12192000"/>
              <a:gd name="connsiteY5875" fmla="*/ 4374334 h 6858000"/>
              <a:gd name="connsiteX5876" fmla="*/ 9437503 w 12192000"/>
              <a:gd name="connsiteY5876" fmla="*/ 4344682 h 6858000"/>
              <a:gd name="connsiteX5877" fmla="*/ 9469719 w 12192000"/>
              <a:gd name="connsiteY5877" fmla="*/ 4315030 h 6858000"/>
              <a:gd name="connsiteX5878" fmla="*/ 9501924 w 12192000"/>
              <a:gd name="connsiteY5878" fmla="*/ 4344682 h 6858000"/>
              <a:gd name="connsiteX5879" fmla="*/ 9469719 w 12192000"/>
              <a:gd name="connsiteY5879" fmla="*/ 4374334 h 6858000"/>
              <a:gd name="connsiteX5880" fmla="*/ 9548254 w 12192000"/>
              <a:gd name="connsiteY5880" fmla="*/ 4374334 h 6858000"/>
              <a:gd name="connsiteX5881" fmla="*/ 9516037 w 12192000"/>
              <a:gd name="connsiteY5881" fmla="*/ 4344682 h 6858000"/>
              <a:gd name="connsiteX5882" fmla="*/ 9548254 w 12192000"/>
              <a:gd name="connsiteY5882" fmla="*/ 4315030 h 6858000"/>
              <a:gd name="connsiteX5883" fmla="*/ 9580458 w 12192000"/>
              <a:gd name="connsiteY5883" fmla="*/ 4344682 h 6858000"/>
              <a:gd name="connsiteX5884" fmla="*/ 9548254 w 12192000"/>
              <a:gd name="connsiteY5884" fmla="*/ 4374334 h 6858000"/>
              <a:gd name="connsiteX5885" fmla="*/ 9626787 w 12192000"/>
              <a:gd name="connsiteY5885" fmla="*/ 4374334 h 6858000"/>
              <a:gd name="connsiteX5886" fmla="*/ 9594571 w 12192000"/>
              <a:gd name="connsiteY5886" fmla="*/ 4344682 h 6858000"/>
              <a:gd name="connsiteX5887" fmla="*/ 9626787 w 12192000"/>
              <a:gd name="connsiteY5887" fmla="*/ 4315030 h 6858000"/>
              <a:gd name="connsiteX5888" fmla="*/ 9658991 w 12192000"/>
              <a:gd name="connsiteY5888" fmla="*/ 4344682 h 6858000"/>
              <a:gd name="connsiteX5889" fmla="*/ 9626787 w 12192000"/>
              <a:gd name="connsiteY5889" fmla="*/ 4374334 h 6858000"/>
              <a:gd name="connsiteX5890" fmla="*/ 9783854 w 12192000"/>
              <a:gd name="connsiteY5890" fmla="*/ 4374334 h 6858000"/>
              <a:gd name="connsiteX5891" fmla="*/ 9751638 w 12192000"/>
              <a:gd name="connsiteY5891" fmla="*/ 4344682 h 6858000"/>
              <a:gd name="connsiteX5892" fmla="*/ 9783854 w 12192000"/>
              <a:gd name="connsiteY5892" fmla="*/ 4315030 h 6858000"/>
              <a:gd name="connsiteX5893" fmla="*/ 9816059 w 12192000"/>
              <a:gd name="connsiteY5893" fmla="*/ 4344682 h 6858000"/>
              <a:gd name="connsiteX5894" fmla="*/ 9783854 w 12192000"/>
              <a:gd name="connsiteY5894" fmla="*/ 4374334 h 6858000"/>
              <a:gd name="connsiteX5895" fmla="*/ 2637243 w 12192000"/>
              <a:gd name="connsiteY5895" fmla="*/ 4302069 h 6858000"/>
              <a:gd name="connsiteX5896" fmla="*/ 2605032 w 12192000"/>
              <a:gd name="connsiteY5896" fmla="*/ 4272417 h 6858000"/>
              <a:gd name="connsiteX5897" fmla="*/ 2637243 w 12192000"/>
              <a:gd name="connsiteY5897" fmla="*/ 4242765 h 6858000"/>
              <a:gd name="connsiteX5898" fmla="*/ 2669453 w 12192000"/>
              <a:gd name="connsiteY5898" fmla="*/ 4272417 h 6858000"/>
              <a:gd name="connsiteX5899" fmla="*/ 2637243 w 12192000"/>
              <a:gd name="connsiteY5899" fmla="*/ 4302069 h 6858000"/>
              <a:gd name="connsiteX5900" fmla="*/ 2715777 w 12192000"/>
              <a:gd name="connsiteY5900" fmla="*/ 4302069 h 6858000"/>
              <a:gd name="connsiteX5901" fmla="*/ 2683566 w 12192000"/>
              <a:gd name="connsiteY5901" fmla="*/ 4272417 h 6858000"/>
              <a:gd name="connsiteX5902" fmla="*/ 2715777 w 12192000"/>
              <a:gd name="connsiteY5902" fmla="*/ 4242765 h 6858000"/>
              <a:gd name="connsiteX5903" fmla="*/ 2747987 w 12192000"/>
              <a:gd name="connsiteY5903" fmla="*/ 4272417 h 6858000"/>
              <a:gd name="connsiteX5904" fmla="*/ 2715777 w 12192000"/>
              <a:gd name="connsiteY5904" fmla="*/ 4302069 h 6858000"/>
              <a:gd name="connsiteX5905" fmla="*/ 2794310 w 12192000"/>
              <a:gd name="connsiteY5905" fmla="*/ 4302069 h 6858000"/>
              <a:gd name="connsiteX5906" fmla="*/ 2762100 w 12192000"/>
              <a:gd name="connsiteY5906" fmla="*/ 4272417 h 6858000"/>
              <a:gd name="connsiteX5907" fmla="*/ 2794310 w 12192000"/>
              <a:gd name="connsiteY5907" fmla="*/ 4242765 h 6858000"/>
              <a:gd name="connsiteX5908" fmla="*/ 2826520 w 12192000"/>
              <a:gd name="connsiteY5908" fmla="*/ 4272417 h 6858000"/>
              <a:gd name="connsiteX5909" fmla="*/ 2794310 w 12192000"/>
              <a:gd name="connsiteY5909" fmla="*/ 4302069 h 6858000"/>
              <a:gd name="connsiteX5910" fmla="*/ 2872844 w 12192000"/>
              <a:gd name="connsiteY5910" fmla="*/ 4302069 h 6858000"/>
              <a:gd name="connsiteX5911" fmla="*/ 2840634 w 12192000"/>
              <a:gd name="connsiteY5911" fmla="*/ 4272417 h 6858000"/>
              <a:gd name="connsiteX5912" fmla="*/ 2872844 w 12192000"/>
              <a:gd name="connsiteY5912" fmla="*/ 4242765 h 6858000"/>
              <a:gd name="connsiteX5913" fmla="*/ 2905055 w 12192000"/>
              <a:gd name="connsiteY5913" fmla="*/ 4272417 h 6858000"/>
              <a:gd name="connsiteX5914" fmla="*/ 2872844 w 12192000"/>
              <a:gd name="connsiteY5914" fmla="*/ 4302069 h 6858000"/>
              <a:gd name="connsiteX5915" fmla="*/ 2951379 w 12192000"/>
              <a:gd name="connsiteY5915" fmla="*/ 4302069 h 6858000"/>
              <a:gd name="connsiteX5916" fmla="*/ 2919168 w 12192000"/>
              <a:gd name="connsiteY5916" fmla="*/ 4272417 h 6858000"/>
              <a:gd name="connsiteX5917" fmla="*/ 2951379 w 12192000"/>
              <a:gd name="connsiteY5917" fmla="*/ 4242765 h 6858000"/>
              <a:gd name="connsiteX5918" fmla="*/ 2983589 w 12192000"/>
              <a:gd name="connsiteY5918" fmla="*/ 4272417 h 6858000"/>
              <a:gd name="connsiteX5919" fmla="*/ 2951379 w 12192000"/>
              <a:gd name="connsiteY5919" fmla="*/ 4302069 h 6858000"/>
              <a:gd name="connsiteX5920" fmla="*/ 3029912 w 12192000"/>
              <a:gd name="connsiteY5920" fmla="*/ 4302069 h 6858000"/>
              <a:gd name="connsiteX5921" fmla="*/ 2997701 w 12192000"/>
              <a:gd name="connsiteY5921" fmla="*/ 4272417 h 6858000"/>
              <a:gd name="connsiteX5922" fmla="*/ 3029912 w 12192000"/>
              <a:gd name="connsiteY5922" fmla="*/ 4242765 h 6858000"/>
              <a:gd name="connsiteX5923" fmla="*/ 3062122 w 12192000"/>
              <a:gd name="connsiteY5923" fmla="*/ 4272417 h 6858000"/>
              <a:gd name="connsiteX5924" fmla="*/ 3029912 w 12192000"/>
              <a:gd name="connsiteY5924" fmla="*/ 4302069 h 6858000"/>
              <a:gd name="connsiteX5925" fmla="*/ 3108446 w 12192000"/>
              <a:gd name="connsiteY5925" fmla="*/ 4302069 h 6858000"/>
              <a:gd name="connsiteX5926" fmla="*/ 3076236 w 12192000"/>
              <a:gd name="connsiteY5926" fmla="*/ 4272417 h 6858000"/>
              <a:gd name="connsiteX5927" fmla="*/ 3108446 w 12192000"/>
              <a:gd name="connsiteY5927" fmla="*/ 4242765 h 6858000"/>
              <a:gd name="connsiteX5928" fmla="*/ 3140656 w 12192000"/>
              <a:gd name="connsiteY5928" fmla="*/ 4272417 h 6858000"/>
              <a:gd name="connsiteX5929" fmla="*/ 3108446 w 12192000"/>
              <a:gd name="connsiteY5929" fmla="*/ 4302069 h 6858000"/>
              <a:gd name="connsiteX5930" fmla="*/ 3186979 w 12192000"/>
              <a:gd name="connsiteY5930" fmla="*/ 4302069 h 6858000"/>
              <a:gd name="connsiteX5931" fmla="*/ 3154769 w 12192000"/>
              <a:gd name="connsiteY5931" fmla="*/ 4272417 h 6858000"/>
              <a:gd name="connsiteX5932" fmla="*/ 3186979 w 12192000"/>
              <a:gd name="connsiteY5932" fmla="*/ 4242765 h 6858000"/>
              <a:gd name="connsiteX5933" fmla="*/ 3219190 w 12192000"/>
              <a:gd name="connsiteY5933" fmla="*/ 4272417 h 6858000"/>
              <a:gd name="connsiteX5934" fmla="*/ 3186979 w 12192000"/>
              <a:gd name="connsiteY5934" fmla="*/ 4302069 h 6858000"/>
              <a:gd name="connsiteX5935" fmla="*/ 3265514 w 12192000"/>
              <a:gd name="connsiteY5935" fmla="*/ 4302069 h 6858000"/>
              <a:gd name="connsiteX5936" fmla="*/ 3233303 w 12192000"/>
              <a:gd name="connsiteY5936" fmla="*/ 4272417 h 6858000"/>
              <a:gd name="connsiteX5937" fmla="*/ 3265514 w 12192000"/>
              <a:gd name="connsiteY5937" fmla="*/ 4242765 h 6858000"/>
              <a:gd name="connsiteX5938" fmla="*/ 3297724 w 12192000"/>
              <a:gd name="connsiteY5938" fmla="*/ 4272417 h 6858000"/>
              <a:gd name="connsiteX5939" fmla="*/ 3265514 w 12192000"/>
              <a:gd name="connsiteY5939" fmla="*/ 4302069 h 6858000"/>
              <a:gd name="connsiteX5940" fmla="*/ 3422581 w 12192000"/>
              <a:gd name="connsiteY5940" fmla="*/ 4302069 h 6858000"/>
              <a:gd name="connsiteX5941" fmla="*/ 3390371 w 12192000"/>
              <a:gd name="connsiteY5941" fmla="*/ 4272417 h 6858000"/>
              <a:gd name="connsiteX5942" fmla="*/ 3422581 w 12192000"/>
              <a:gd name="connsiteY5942" fmla="*/ 4242765 h 6858000"/>
              <a:gd name="connsiteX5943" fmla="*/ 3454791 w 12192000"/>
              <a:gd name="connsiteY5943" fmla="*/ 4272417 h 6858000"/>
              <a:gd name="connsiteX5944" fmla="*/ 3422581 w 12192000"/>
              <a:gd name="connsiteY5944" fmla="*/ 4302069 h 6858000"/>
              <a:gd name="connsiteX5945" fmla="*/ 3501115 w 12192000"/>
              <a:gd name="connsiteY5945" fmla="*/ 4302069 h 6858000"/>
              <a:gd name="connsiteX5946" fmla="*/ 3468905 w 12192000"/>
              <a:gd name="connsiteY5946" fmla="*/ 4272417 h 6858000"/>
              <a:gd name="connsiteX5947" fmla="*/ 3501115 w 12192000"/>
              <a:gd name="connsiteY5947" fmla="*/ 4242765 h 6858000"/>
              <a:gd name="connsiteX5948" fmla="*/ 3533326 w 12192000"/>
              <a:gd name="connsiteY5948" fmla="*/ 4272417 h 6858000"/>
              <a:gd name="connsiteX5949" fmla="*/ 3501115 w 12192000"/>
              <a:gd name="connsiteY5949" fmla="*/ 4302069 h 6858000"/>
              <a:gd name="connsiteX5950" fmla="*/ 3579650 w 12192000"/>
              <a:gd name="connsiteY5950" fmla="*/ 4302069 h 6858000"/>
              <a:gd name="connsiteX5951" fmla="*/ 3547439 w 12192000"/>
              <a:gd name="connsiteY5951" fmla="*/ 4272417 h 6858000"/>
              <a:gd name="connsiteX5952" fmla="*/ 3579650 w 12192000"/>
              <a:gd name="connsiteY5952" fmla="*/ 4242765 h 6858000"/>
              <a:gd name="connsiteX5953" fmla="*/ 3611860 w 12192000"/>
              <a:gd name="connsiteY5953" fmla="*/ 4272417 h 6858000"/>
              <a:gd name="connsiteX5954" fmla="*/ 3579650 w 12192000"/>
              <a:gd name="connsiteY5954" fmla="*/ 4302069 h 6858000"/>
              <a:gd name="connsiteX5955" fmla="*/ 3658183 w 12192000"/>
              <a:gd name="connsiteY5955" fmla="*/ 4302069 h 6858000"/>
              <a:gd name="connsiteX5956" fmla="*/ 3625972 w 12192000"/>
              <a:gd name="connsiteY5956" fmla="*/ 4272417 h 6858000"/>
              <a:gd name="connsiteX5957" fmla="*/ 3658183 w 12192000"/>
              <a:gd name="connsiteY5957" fmla="*/ 4242765 h 6858000"/>
              <a:gd name="connsiteX5958" fmla="*/ 3690393 w 12192000"/>
              <a:gd name="connsiteY5958" fmla="*/ 4272417 h 6858000"/>
              <a:gd name="connsiteX5959" fmla="*/ 3658183 w 12192000"/>
              <a:gd name="connsiteY5959" fmla="*/ 4302069 h 6858000"/>
              <a:gd name="connsiteX5960" fmla="*/ 3736717 w 12192000"/>
              <a:gd name="connsiteY5960" fmla="*/ 4302069 h 6858000"/>
              <a:gd name="connsiteX5961" fmla="*/ 3704507 w 12192000"/>
              <a:gd name="connsiteY5961" fmla="*/ 4272417 h 6858000"/>
              <a:gd name="connsiteX5962" fmla="*/ 3736717 w 12192000"/>
              <a:gd name="connsiteY5962" fmla="*/ 4242765 h 6858000"/>
              <a:gd name="connsiteX5963" fmla="*/ 3768927 w 12192000"/>
              <a:gd name="connsiteY5963" fmla="*/ 4272417 h 6858000"/>
              <a:gd name="connsiteX5964" fmla="*/ 3736717 w 12192000"/>
              <a:gd name="connsiteY5964" fmla="*/ 4302069 h 6858000"/>
              <a:gd name="connsiteX5965" fmla="*/ 3893785 w 12192000"/>
              <a:gd name="connsiteY5965" fmla="*/ 4302069 h 6858000"/>
              <a:gd name="connsiteX5966" fmla="*/ 3861574 w 12192000"/>
              <a:gd name="connsiteY5966" fmla="*/ 4272417 h 6858000"/>
              <a:gd name="connsiteX5967" fmla="*/ 3893785 w 12192000"/>
              <a:gd name="connsiteY5967" fmla="*/ 4242765 h 6858000"/>
              <a:gd name="connsiteX5968" fmla="*/ 3925995 w 12192000"/>
              <a:gd name="connsiteY5968" fmla="*/ 4272417 h 6858000"/>
              <a:gd name="connsiteX5969" fmla="*/ 3893785 w 12192000"/>
              <a:gd name="connsiteY5969" fmla="*/ 4302069 h 6858000"/>
              <a:gd name="connsiteX5970" fmla="*/ 3972319 w 12192000"/>
              <a:gd name="connsiteY5970" fmla="*/ 4302069 h 6858000"/>
              <a:gd name="connsiteX5971" fmla="*/ 3940108 w 12192000"/>
              <a:gd name="connsiteY5971" fmla="*/ 4272417 h 6858000"/>
              <a:gd name="connsiteX5972" fmla="*/ 3972319 w 12192000"/>
              <a:gd name="connsiteY5972" fmla="*/ 4242765 h 6858000"/>
              <a:gd name="connsiteX5973" fmla="*/ 4004529 w 12192000"/>
              <a:gd name="connsiteY5973" fmla="*/ 4272417 h 6858000"/>
              <a:gd name="connsiteX5974" fmla="*/ 3972319 w 12192000"/>
              <a:gd name="connsiteY5974" fmla="*/ 4302069 h 6858000"/>
              <a:gd name="connsiteX5975" fmla="*/ 4050852 w 12192000"/>
              <a:gd name="connsiteY5975" fmla="*/ 4302069 h 6858000"/>
              <a:gd name="connsiteX5976" fmla="*/ 4018642 w 12192000"/>
              <a:gd name="connsiteY5976" fmla="*/ 4272417 h 6858000"/>
              <a:gd name="connsiteX5977" fmla="*/ 4050852 w 12192000"/>
              <a:gd name="connsiteY5977" fmla="*/ 4242765 h 6858000"/>
              <a:gd name="connsiteX5978" fmla="*/ 4083062 w 12192000"/>
              <a:gd name="connsiteY5978" fmla="*/ 4272417 h 6858000"/>
              <a:gd name="connsiteX5979" fmla="*/ 4050852 w 12192000"/>
              <a:gd name="connsiteY5979" fmla="*/ 4302069 h 6858000"/>
              <a:gd name="connsiteX5980" fmla="*/ 4129386 w 12192000"/>
              <a:gd name="connsiteY5980" fmla="*/ 4302069 h 6858000"/>
              <a:gd name="connsiteX5981" fmla="*/ 4097176 w 12192000"/>
              <a:gd name="connsiteY5981" fmla="*/ 4272417 h 6858000"/>
              <a:gd name="connsiteX5982" fmla="*/ 4129386 w 12192000"/>
              <a:gd name="connsiteY5982" fmla="*/ 4242765 h 6858000"/>
              <a:gd name="connsiteX5983" fmla="*/ 4161597 w 12192000"/>
              <a:gd name="connsiteY5983" fmla="*/ 4272417 h 6858000"/>
              <a:gd name="connsiteX5984" fmla="*/ 4129386 w 12192000"/>
              <a:gd name="connsiteY5984" fmla="*/ 4302069 h 6858000"/>
              <a:gd name="connsiteX5985" fmla="*/ 4207926 w 12192000"/>
              <a:gd name="connsiteY5985" fmla="*/ 4302069 h 6858000"/>
              <a:gd name="connsiteX5986" fmla="*/ 4175715 w 12192000"/>
              <a:gd name="connsiteY5986" fmla="*/ 4272417 h 6858000"/>
              <a:gd name="connsiteX5987" fmla="*/ 4207926 w 12192000"/>
              <a:gd name="connsiteY5987" fmla="*/ 4242765 h 6858000"/>
              <a:gd name="connsiteX5988" fmla="*/ 4240136 w 12192000"/>
              <a:gd name="connsiteY5988" fmla="*/ 4272417 h 6858000"/>
              <a:gd name="connsiteX5989" fmla="*/ 4207926 w 12192000"/>
              <a:gd name="connsiteY5989" fmla="*/ 4302069 h 6858000"/>
              <a:gd name="connsiteX5990" fmla="*/ 4286460 w 12192000"/>
              <a:gd name="connsiteY5990" fmla="*/ 4302069 h 6858000"/>
              <a:gd name="connsiteX5991" fmla="*/ 4254250 w 12192000"/>
              <a:gd name="connsiteY5991" fmla="*/ 4272417 h 6858000"/>
              <a:gd name="connsiteX5992" fmla="*/ 4286460 w 12192000"/>
              <a:gd name="connsiteY5992" fmla="*/ 4242765 h 6858000"/>
              <a:gd name="connsiteX5993" fmla="*/ 4318670 w 12192000"/>
              <a:gd name="connsiteY5993" fmla="*/ 4272417 h 6858000"/>
              <a:gd name="connsiteX5994" fmla="*/ 4286460 w 12192000"/>
              <a:gd name="connsiteY5994" fmla="*/ 4302069 h 6858000"/>
              <a:gd name="connsiteX5995" fmla="*/ 4364994 w 12192000"/>
              <a:gd name="connsiteY5995" fmla="*/ 4302069 h 6858000"/>
              <a:gd name="connsiteX5996" fmla="*/ 4332784 w 12192000"/>
              <a:gd name="connsiteY5996" fmla="*/ 4272417 h 6858000"/>
              <a:gd name="connsiteX5997" fmla="*/ 4364994 w 12192000"/>
              <a:gd name="connsiteY5997" fmla="*/ 4242765 h 6858000"/>
              <a:gd name="connsiteX5998" fmla="*/ 4397204 w 12192000"/>
              <a:gd name="connsiteY5998" fmla="*/ 4272417 h 6858000"/>
              <a:gd name="connsiteX5999" fmla="*/ 4364994 w 12192000"/>
              <a:gd name="connsiteY5999" fmla="*/ 4302069 h 6858000"/>
              <a:gd name="connsiteX6000" fmla="*/ 5857137 w 12192000"/>
              <a:gd name="connsiteY6000" fmla="*/ 4302069 h 6858000"/>
              <a:gd name="connsiteX6001" fmla="*/ 5824927 w 12192000"/>
              <a:gd name="connsiteY6001" fmla="*/ 4272417 h 6858000"/>
              <a:gd name="connsiteX6002" fmla="*/ 5857137 w 12192000"/>
              <a:gd name="connsiteY6002" fmla="*/ 4242765 h 6858000"/>
              <a:gd name="connsiteX6003" fmla="*/ 5889347 w 12192000"/>
              <a:gd name="connsiteY6003" fmla="*/ 4272417 h 6858000"/>
              <a:gd name="connsiteX6004" fmla="*/ 5857137 w 12192000"/>
              <a:gd name="connsiteY6004" fmla="*/ 4302069 h 6858000"/>
              <a:gd name="connsiteX6005" fmla="*/ 6171273 w 12192000"/>
              <a:gd name="connsiteY6005" fmla="*/ 4302069 h 6858000"/>
              <a:gd name="connsiteX6006" fmla="*/ 6139056 w 12192000"/>
              <a:gd name="connsiteY6006" fmla="*/ 4272417 h 6858000"/>
              <a:gd name="connsiteX6007" fmla="*/ 6171273 w 12192000"/>
              <a:gd name="connsiteY6007" fmla="*/ 4242765 h 6858000"/>
              <a:gd name="connsiteX6008" fmla="*/ 6203477 w 12192000"/>
              <a:gd name="connsiteY6008" fmla="*/ 4272417 h 6858000"/>
              <a:gd name="connsiteX6009" fmla="*/ 6171273 w 12192000"/>
              <a:gd name="connsiteY6009" fmla="*/ 4302069 h 6858000"/>
              <a:gd name="connsiteX6010" fmla="*/ 6485408 w 12192000"/>
              <a:gd name="connsiteY6010" fmla="*/ 4302069 h 6858000"/>
              <a:gd name="connsiteX6011" fmla="*/ 6453191 w 12192000"/>
              <a:gd name="connsiteY6011" fmla="*/ 4272417 h 6858000"/>
              <a:gd name="connsiteX6012" fmla="*/ 6485408 w 12192000"/>
              <a:gd name="connsiteY6012" fmla="*/ 4242765 h 6858000"/>
              <a:gd name="connsiteX6013" fmla="*/ 6517612 w 12192000"/>
              <a:gd name="connsiteY6013" fmla="*/ 4272417 h 6858000"/>
              <a:gd name="connsiteX6014" fmla="*/ 6485408 w 12192000"/>
              <a:gd name="connsiteY6014" fmla="*/ 4302069 h 6858000"/>
              <a:gd name="connsiteX6015" fmla="*/ 6563942 w 12192000"/>
              <a:gd name="connsiteY6015" fmla="*/ 4302069 h 6858000"/>
              <a:gd name="connsiteX6016" fmla="*/ 6531726 w 12192000"/>
              <a:gd name="connsiteY6016" fmla="*/ 4272417 h 6858000"/>
              <a:gd name="connsiteX6017" fmla="*/ 6563942 w 12192000"/>
              <a:gd name="connsiteY6017" fmla="*/ 4242765 h 6858000"/>
              <a:gd name="connsiteX6018" fmla="*/ 6596146 w 12192000"/>
              <a:gd name="connsiteY6018" fmla="*/ 4272417 h 6858000"/>
              <a:gd name="connsiteX6019" fmla="*/ 6563942 w 12192000"/>
              <a:gd name="connsiteY6019" fmla="*/ 4302069 h 6858000"/>
              <a:gd name="connsiteX6020" fmla="*/ 6642476 w 12192000"/>
              <a:gd name="connsiteY6020" fmla="*/ 4302069 h 6858000"/>
              <a:gd name="connsiteX6021" fmla="*/ 6610260 w 12192000"/>
              <a:gd name="connsiteY6021" fmla="*/ 4272417 h 6858000"/>
              <a:gd name="connsiteX6022" fmla="*/ 6642476 w 12192000"/>
              <a:gd name="connsiteY6022" fmla="*/ 4242765 h 6858000"/>
              <a:gd name="connsiteX6023" fmla="*/ 6674681 w 12192000"/>
              <a:gd name="connsiteY6023" fmla="*/ 4272417 h 6858000"/>
              <a:gd name="connsiteX6024" fmla="*/ 6642476 w 12192000"/>
              <a:gd name="connsiteY6024" fmla="*/ 4302069 h 6858000"/>
              <a:gd name="connsiteX6025" fmla="*/ 6721010 w 12192000"/>
              <a:gd name="connsiteY6025" fmla="*/ 4302069 h 6858000"/>
              <a:gd name="connsiteX6026" fmla="*/ 6688793 w 12192000"/>
              <a:gd name="connsiteY6026" fmla="*/ 4272417 h 6858000"/>
              <a:gd name="connsiteX6027" fmla="*/ 6721010 w 12192000"/>
              <a:gd name="connsiteY6027" fmla="*/ 4242765 h 6858000"/>
              <a:gd name="connsiteX6028" fmla="*/ 6753214 w 12192000"/>
              <a:gd name="connsiteY6028" fmla="*/ 4272417 h 6858000"/>
              <a:gd name="connsiteX6029" fmla="*/ 6721010 w 12192000"/>
              <a:gd name="connsiteY6029" fmla="*/ 4302069 h 6858000"/>
              <a:gd name="connsiteX6030" fmla="*/ 6799544 w 12192000"/>
              <a:gd name="connsiteY6030" fmla="*/ 4302069 h 6858000"/>
              <a:gd name="connsiteX6031" fmla="*/ 6767327 w 12192000"/>
              <a:gd name="connsiteY6031" fmla="*/ 4272417 h 6858000"/>
              <a:gd name="connsiteX6032" fmla="*/ 6799544 w 12192000"/>
              <a:gd name="connsiteY6032" fmla="*/ 4242765 h 6858000"/>
              <a:gd name="connsiteX6033" fmla="*/ 6831748 w 12192000"/>
              <a:gd name="connsiteY6033" fmla="*/ 4272417 h 6858000"/>
              <a:gd name="connsiteX6034" fmla="*/ 6799544 w 12192000"/>
              <a:gd name="connsiteY6034" fmla="*/ 4302069 h 6858000"/>
              <a:gd name="connsiteX6035" fmla="*/ 6878077 w 12192000"/>
              <a:gd name="connsiteY6035" fmla="*/ 4302069 h 6858000"/>
              <a:gd name="connsiteX6036" fmla="*/ 6845861 w 12192000"/>
              <a:gd name="connsiteY6036" fmla="*/ 4272417 h 6858000"/>
              <a:gd name="connsiteX6037" fmla="*/ 6878077 w 12192000"/>
              <a:gd name="connsiteY6037" fmla="*/ 4242765 h 6858000"/>
              <a:gd name="connsiteX6038" fmla="*/ 6910281 w 12192000"/>
              <a:gd name="connsiteY6038" fmla="*/ 4272417 h 6858000"/>
              <a:gd name="connsiteX6039" fmla="*/ 6878077 w 12192000"/>
              <a:gd name="connsiteY6039" fmla="*/ 4302069 h 6858000"/>
              <a:gd name="connsiteX6040" fmla="*/ 6956611 w 12192000"/>
              <a:gd name="connsiteY6040" fmla="*/ 4302069 h 6858000"/>
              <a:gd name="connsiteX6041" fmla="*/ 6924395 w 12192000"/>
              <a:gd name="connsiteY6041" fmla="*/ 4272417 h 6858000"/>
              <a:gd name="connsiteX6042" fmla="*/ 6956611 w 12192000"/>
              <a:gd name="connsiteY6042" fmla="*/ 4242765 h 6858000"/>
              <a:gd name="connsiteX6043" fmla="*/ 6988816 w 12192000"/>
              <a:gd name="connsiteY6043" fmla="*/ 4272417 h 6858000"/>
              <a:gd name="connsiteX6044" fmla="*/ 6956611 w 12192000"/>
              <a:gd name="connsiteY6044" fmla="*/ 4302069 h 6858000"/>
              <a:gd name="connsiteX6045" fmla="*/ 7035146 w 12192000"/>
              <a:gd name="connsiteY6045" fmla="*/ 4302069 h 6858000"/>
              <a:gd name="connsiteX6046" fmla="*/ 7002929 w 12192000"/>
              <a:gd name="connsiteY6046" fmla="*/ 4272417 h 6858000"/>
              <a:gd name="connsiteX6047" fmla="*/ 7035146 w 12192000"/>
              <a:gd name="connsiteY6047" fmla="*/ 4242765 h 6858000"/>
              <a:gd name="connsiteX6048" fmla="*/ 7067350 w 12192000"/>
              <a:gd name="connsiteY6048" fmla="*/ 4272417 h 6858000"/>
              <a:gd name="connsiteX6049" fmla="*/ 7035146 w 12192000"/>
              <a:gd name="connsiteY6049" fmla="*/ 4302069 h 6858000"/>
              <a:gd name="connsiteX6050" fmla="*/ 7113703 w 12192000"/>
              <a:gd name="connsiteY6050" fmla="*/ 4302069 h 6858000"/>
              <a:gd name="connsiteX6051" fmla="*/ 7081487 w 12192000"/>
              <a:gd name="connsiteY6051" fmla="*/ 4272417 h 6858000"/>
              <a:gd name="connsiteX6052" fmla="*/ 7113703 w 12192000"/>
              <a:gd name="connsiteY6052" fmla="*/ 4242765 h 6858000"/>
              <a:gd name="connsiteX6053" fmla="*/ 7145907 w 12192000"/>
              <a:gd name="connsiteY6053" fmla="*/ 4272417 h 6858000"/>
              <a:gd name="connsiteX6054" fmla="*/ 7113703 w 12192000"/>
              <a:gd name="connsiteY6054" fmla="*/ 4302069 h 6858000"/>
              <a:gd name="connsiteX6055" fmla="*/ 7192237 w 12192000"/>
              <a:gd name="connsiteY6055" fmla="*/ 4302069 h 6858000"/>
              <a:gd name="connsiteX6056" fmla="*/ 7160021 w 12192000"/>
              <a:gd name="connsiteY6056" fmla="*/ 4272417 h 6858000"/>
              <a:gd name="connsiteX6057" fmla="*/ 7192237 w 12192000"/>
              <a:gd name="connsiteY6057" fmla="*/ 4242765 h 6858000"/>
              <a:gd name="connsiteX6058" fmla="*/ 7224441 w 12192000"/>
              <a:gd name="connsiteY6058" fmla="*/ 4272417 h 6858000"/>
              <a:gd name="connsiteX6059" fmla="*/ 7192237 w 12192000"/>
              <a:gd name="connsiteY6059" fmla="*/ 4302069 h 6858000"/>
              <a:gd name="connsiteX6060" fmla="*/ 7270771 w 12192000"/>
              <a:gd name="connsiteY6060" fmla="*/ 4302069 h 6858000"/>
              <a:gd name="connsiteX6061" fmla="*/ 7238555 w 12192000"/>
              <a:gd name="connsiteY6061" fmla="*/ 4272417 h 6858000"/>
              <a:gd name="connsiteX6062" fmla="*/ 7270771 w 12192000"/>
              <a:gd name="connsiteY6062" fmla="*/ 4242765 h 6858000"/>
              <a:gd name="connsiteX6063" fmla="*/ 7302976 w 12192000"/>
              <a:gd name="connsiteY6063" fmla="*/ 4272417 h 6858000"/>
              <a:gd name="connsiteX6064" fmla="*/ 7270771 w 12192000"/>
              <a:gd name="connsiteY6064" fmla="*/ 4302069 h 6858000"/>
              <a:gd name="connsiteX6065" fmla="*/ 7349305 w 12192000"/>
              <a:gd name="connsiteY6065" fmla="*/ 4302069 h 6858000"/>
              <a:gd name="connsiteX6066" fmla="*/ 7317088 w 12192000"/>
              <a:gd name="connsiteY6066" fmla="*/ 4272417 h 6858000"/>
              <a:gd name="connsiteX6067" fmla="*/ 7349305 w 12192000"/>
              <a:gd name="connsiteY6067" fmla="*/ 4242765 h 6858000"/>
              <a:gd name="connsiteX6068" fmla="*/ 7381509 w 12192000"/>
              <a:gd name="connsiteY6068" fmla="*/ 4272417 h 6858000"/>
              <a:gd name="connsiteX6069" fmla="*/ 7349305 w 12192000"/>
              <a:gd name="connsiteY6069" fmla="*/ 4302069 h 6858000"/>
              <a:gd name="connsiteX6070" fmla="*/ 7427839 w 12192000"/>
              <a:gd name="connsiteY6070" fmla="*/ 4302069 h 6858000"/>
              <a:gd name="connsiteX6071" fmla="*/ 7395623 w 12192000"/>
              <a:gd name="connsiteY6071" fmla="*/ 4272417 h 6858000"/>
              <a:gd name="connsiteX6072" fmla="*/ 7427839 w 12192000"/>
              <a:gd name="connsiteY6072" fmla="*/ 4242765 h 6858000"/>
              <a:gd name="connsiteX6073" fmla="*/ 7460043 w 12192000"/>
              <a:gd name="connsiteY6073" fmla="*/ 4272417 h 6858000"/>
              <a:gd name="connsiteX6074" fmla="*/ 7427839 w 12192000"/>
              <a:gd name="connsiteY6074" fmla="*/ 4302069 h 6858000"/>
              <a:gd name="connsiteX6075" fmla="*/ 7506373 w 12192000"/>
              <a:gd name="connsiteY6075" fmla="*/ 4302069 h 6858000"/>
              <a:gd name="connsiteX6076" fmla="*/ 7474157 w 12192000"/>
              <a:gd name="connsiteY6076" fmla="*/ 4272417 h 6858000"/>
              <a:gd name="connsiteX6077" fmla="*/ 7506373 w 12192000"/>
              <a:gd name="connsiteY6077" fmla="*/ 4242765 h 6858000"/>
              <a:gd name="connsiteX6078" fmla="*/ 7538577 w 12192000"/>
              <a:gd name="connsiteY6078" fmla="*/ 4272417 h 6858000"/>
              <a:gd name="connsiteX6079" fmla="*/ 7506373 w 12192000"/>
              <a:gd name="connsiteY6079" fmla="*/ 4302069 h 6858000"/>
              <a:gd name="connsiteX6080" fmla="*/ 7584906 w 12192000"/>
              <a:gd name="connsiteY6080" fmla="*/ 4302069 h 6858000"/>
              <a:gd name="connsiteX6081" fmla="*/ 7552690 w 12192000"/>
              <a:gd name="connsiteY6081" fmla="*/ 4272417 h 6858000"/>
              <a:gd name="connsiteX6082" fmla="*/ 7584906 w 12192000"/>
              <a:gd name="connsiteY6082" fmla="*/ 4242765 h 6858000"/>
              <a:gd name="connsiteX6083" fmla="*/ 7617111 w 12192000"/>
              <a:gd name="connsiteY6083" fmla="*/ 4272417 h 6858000"/>
              <a:gd name="connsiteX6084" fmla="*/ 7584906 w 12192000"/>
              <a:gd name="connsiteY6084" fmla="*/ 4302069 h 6858000"/>
              <a:gd name="connsiteX6085" fmla="*/ 7663441 w 12192000"/>
              <a:gd name="connsiteY6085" fmla="*/ 4302069 h 6858000"/>
              <a:gd name="connsiteX6086" fmla="*/ 7631224 w 12192000"/>
              <a:gd name="connsiteY6086" fmla="*/ 4272417 h 6858000"/>
              <a:gd name="connsiteX6087" fmla="*/ 7663441 w 12192000"/>
              <a:gd name="connsiteY6087" fmla="*/ 4242765 h 6858000"/>
              <a:gd name="connsiteX6088" fmla="*/ 7695645 w 12192000"/>
              <a:gd name="connsiteY6088" fmla="*/ 4272417 h 6858000"/>
              <a:gd name="connsiteX6089" fmla="*/ 7663441 w 12192000"/>
              <a:gd name="connsiteY6089" fmla="*/ 4302069 h 6858000"/>
              <a:gd name="connsiteX6090" fmla="*/ 7741974 w 12192000"/>
              <a:gd name="connsiteY6090" fmla="*/ 4302069 h 6858000"/>
              <a:gd name="connsiteX6091" fmla="*/ 7709758 w 12192000"/>
              <a:gd name="connsiteY6091" fmla="*/ 4272417 h 6858000"/>
              <a:gd name="connsiteX6092" fmla="*/ 7741974 w 12192000"/>
              <a:gd name="connsiteY6092" fmla="*/ 4242765 h 6858000"/>
              <a:gd name="connsiteX6093" fmla="*/ 7774178 w 12192000"/>
              <a:gd name="connsiteY6093" fmla="*/ 4272417 h 6858000"/>
              <a:gd name="connsiteX6094" fmla="*/ 7741974 w 12192000"/>
              <a:gd name="connsiteY6094" fmla="*/ 4302069 h 6858000"/>
              <a:gd name="connsiteX6095" fmla="*/ 7820508 w 12192000"/>
              <a:gd name="connsiteY6095" fmla="*/ 4302069 h 6858000"/>
              <a:gd name="connsiteX6096" fmla="*/ 7788292 w 12192000"/>
              <a:gd name="connsiteY6096" fmla="*/ 4272417 h 6858000"/>
              <a:gd name="connsiteX6097" fmla="*/ 7820508 w 12192000"/>
              <a:gd name="connsiteY6097" fmla="*/ 4242765 h 6858000"/>
              <a:gd name="connsiteX6098" fmla="*/ 7852712 w 12192000"/>
              <a:gd name="connsiteY6098" fmla="*/ 4272417 h 6858000"/>
              <a:gd name="connsiteX6099" fmla="*/ 7820508 w 12192000"/>
              <a:gd name="connsiteY6099" fmla="*/ 4302069 h 6858000"/>
              <a:gd name="connsiteX6100" fmla="*/ 7899042 w 12192000"/>
              <a:gd name="connsiteY6100" fmla="*/ 4302069 h 6858000"/>
              <a:gd name="connsiteX6101" fmla="*/ 7866826 w 12192000"/>
              <a:gd name="connsiteY6101" fmla="*/ 4272417 h 6858000"/>
              <a:gd name="connsiteX6102" fmla="*/ 7899042 w 12192000"/>
              <a:gd name="connsiteY6102" fmla="*/ 4242765 h 6858000"/>
              <a:gd name="connsiteX6103" fmla="*/ 7931247 w 12192000"/>
              <a:gd name="connsiteY6103" fmla="*/ 4272417 h 6858000"/>
              <a:gd name="connsiteX6104" fmla="*/ 7899042 w 12192000"/>
              <a:gd name="connsiteY6104" fmla="*/ 4302069 h 6858000"/>
              <a:gd name="connsiteX6105" fmla="*/ 7977576 w 12192000"/>
              <a:gd name="connsiteY6105" fmla="*/ 4302069 h 6858000"/>
              <a:gd name="connsiteX6106" fmla="*/ 7945359 w 12192000"/>
              <a:gd name="connsiteY6106" fmla="*/ 4272417 h 6858000"/>
              <a:gd name="connsiteX6107" fmla="*/ 7977576 w 12192000"/>
              <a:gd name="connsiteY6107" fmla="*/ 4242765 h 6858000"/>
              <a:gd name="connsiteX6108" fmla="*/ 8009780 w 12192000"/>
              <a:gd name="connsiteY6108" fmla="*/ 4272417 h 6858000"/>
              <a:gd name="connsiteX6109" fmla="*/ 7977576 w 12192000"/>
              <a:gd name="connsiteY6109" fmla="*/ 4302069 h 6858000"/>
              <a:gd name="connsiteX6110" fmla="*/ 8056110 w 12192000"/>
              <a:gd name="connsiteY6110" fmla="*/ 4302069 h 6858000"/>
              <a:gd name="connsiteX6111" fmla="*/ 8023894 w 12192000"/>
              <a:gd name="connsiteY6111" fmla="*/ 4272417 h 6858000"/>
              <a:gd name="connsiteX6112" fmla="*/ 8056110 w 12192000"/>
              <a:gd name="connsiteY6112" fmla="*/ 4242765 h 6858000"/>
              <a:gd name="connsiteX6113" fmla="*/ 8088314 w 12192000"/>
              <a:gd name="connsiteY6113" fmla="*/ 4272417 h 6858000"/>
              <a:gd name="connsiteX6114" fmla="*/ 8056110 w 12192000"/>
              <a:gd name="connsiteY6114" fmla="*/ 4302069 h 6858000"/>
              <a:gd name="connsiteX6115" fmla="*/ 8134643 w 12192000"/>
              <a:gd name="connsiteY6115" fmla="*/ 4302069 h 6858000"/>
              <a:gd name="connsiteX6116" fmla="*/ 8102427 w 12192000"/>
              <a:gd name="connsiteY6116" fmla="*/ 4272417 h 6858000"/>
              <a:gd name="connsiteX6117" fmla="*/ 8134643 w 12192000"/>
              <a:gd name="connsiteY6117" fmla="*/ 4242765 h 6858000"/>
              <a:gd name="connsiteX6118" fmla="*/ 8166847 w 12192000"/>
              <a:gd name="connsiteY6118" fmla="*/ 4272417 h 6858000"/>
              <a:gd name="connsiteX6119" fmla="*/ 8134643 w 12192000"/>
              <a:gd name="connsiteY6119" fmla="*/ 4302069 h 6858000"/>
              <a:gd name="connsiteX6120" fmla="*/ 8213177 w 12192000"/>
              <a:gd name="connsiteY6120" fmla="*/ 4302069 h 6858000"/>
              <a:gd name="connsiteX6121" fmla="*/ 8180961 w 12192000"/>
              <a:gd name="connsiteY6121" fmla="*/ 4272417 h 6858000"/>
              <a:gd name="connsiteX6122" fmla="*/ 8213177 w 12192000"/>
              <a:gd name="connsiteY6122" fmla="*/ 4242765 h 6858000"/>
              <a:gd name="connsiteX6123" fmla="*/ 8245382 w 12192000"/>
              <a:gd name="connsiteY6123" fmla="*/ 4272417 h 6858000"/>
              <a:gd name="connsiteX6124" fmla="*/ 8213177 w 12192000"/>
              <a:gd name="connsiteY6124" fmla="*/ 4302069 h 6858000"/>
              <a:gd name="connsiteX6125" fmla="*/ 8291712 w 12192000"/>
              <a:gd name="connsiteY6125" fmla="*/ 4302069 h 6858000"/>
              <a:gd name="connsiteX6126" fmla="*/ 8259495 w 12192000"/>
              <a:gd name="connsiteY6126" fmla="*/ 4272417 h 6858000"/>
              <a:gd name="connsiteX6127" fmla="*/ 8291712 w 12192000"/>
              <a:gd name="connsiteY6127" fmla="*/ 4242765 h 6858000"/>
              <a:gd name="connsiteX6128" fmla="*/ 8323916 w 12192000"/>
              <a:gd name="connsiteY6128" fmla="*/ 4272417 h 6858000"/>
              <a:gd name="connsiteX6129" fmla="*/ 8291712 w 12192000"/>
              <a:gd name="connsiteY6129" fmla="*/ 4302069 h 6858000"/>
              <a:gd name="connsiteX6130" fmla="*/ 8370245 w 12192000"/>
              <a:gd name="connsiteY6130" fmla="*/ 4302069 h 6858000"/>
              <a:gd name="connsiteX6131" fmla="*/ 8338029 w 12192000"/>
              <a:gd name="connsiteY6131" fmla="*/ 4272417 h 6858000"/>
              <a:gd name="connsiteX6132" fmla="*/ 8370245 w 12192000"/>
              <a:gd name="connsiteY6132" fmla="*/ 4242765 h 6858000"/>
              <a:gd name="connsiteX6133" fmla="*/ 8402449 w 12192000"/>
              <a:gd name="connsiteY6133" fmla="*/ 4272417 h 6858000"/>
              <a:gd name="connsiteX6134" fmla="*/ 8370245 w 12192000"/>
              <a:gd name="connsiteY6134" fmla="*/ 4302069 h 6858000"/>
              <a:gd name="connsiteX6135" fmla="*/ 8448779 w 12192000"/>
              <a:gd name="connsiteY6135" fmla="*/ 4302069 h 6858000"/>
              <a:gd name="connsiteX6136" fmla="*/ 8416563 w 12192000"/>
              <a:gd name="connsiteY6136" fmla="*/ 4272417 h 6858000"/>
              <a:gd name="connsiteX6137" fmla="*/ 8448779 w 12192000"/>
              <a:gd name="connsiteY6137" fmla="*/ 4242765 h 6858000"/>
              <a:gd name="connsiteX6138" fmla="*/ 8480983 w 12192000"/>
              <a:gd name="connsiteY6138" fmla="*/ 4272417 h 6858000"/>
              <a:gd name="connsiteX6139" fmla="*/ 8448779 w 12192000"/>
              <a:gd name="connsiteY6139" fmla="*/ 4302069 h 6858000"/>
              <a:gd name="connsiteX6140" fmla="*/ 8527313 w 12192000"/>
              <a:gd name="connsiteY6140" fmla="*/ 4302069 h 6858000"/>
              <a:gd name="connsiteX6141" fmla="*/ 8495097 w 12192000"/>
              <a:gd name="connsiteY6141" fmla="*/ 4272417 h 6858000"/>
              <a:gd name="connsiteX6142" fmla="*/ 8527313 w 12192000"/>
              <a:gd name="connsiteY6142" fmla="*/ 4242765 h 6858000"/>
              <a:gd name="connsiteX6143" fmla="*/ 8559518 w 12192000"/>
              <a:gd name="connsiteY6143" fmla="*/ 4272417 h 6858000"/>
              <a:gd name="connsiteX6144" fmla="*/ 8527313 w 12192000"/>
              <a:gd name="connsiteY6144" fmla="*/ 4302069 h 6858000"/>
              <a:gd name="connsiteX6145" fmla="*/ 8605847 w 12192000"/>
              <a:gd name="connsiteY6145" fmla="*/ 4302069 h 6858000"/>
              <a:gd name="connsiteX6146" fmla="*/ 8573630 w 12192000"/>
              <a:gd name="connsiteY6146" fmla="*/ 4272417 h 6858000"/>
              <a:gd name="connsiteX6147" fmla="*/ 8605847 w 12192000"/>
              <a:gd name="connsiteY6147" fmla="*/ 4242765 h 6858000"/>
              <a:gd name="connsiteX6148" fmla="*/ 8638051 w 12192000"/>
              <a:gd name="connsiteY6148" fmla="*/ 4272417 h 6858000"/>
              <a:gd name="connsiteX6149" fmla="*/ 8605847 w 12192000"/>
              <a:gd name="connsiteY6149" fmla="*/ 4302069 h 6858000"/>
              <a:gd name="connsiteX6150" fmla="*/ 8841448 w 12192000"/>
              <a:gd name="connsiteY6150" fmla="*/ 4302069 h 6858000"/>
              <a:gd name="connsiteX6151" fmla="*/ 8809232 w 12192000"/>
              <a:gd name="connsiteY6151" fmla="*/ 4272417 h 6858000"/>
              <a:gd name="connsiteX6152" fmla="*/ 8841448 w 12192000"/>
              <a:gd name="connsiteY6152" fmla="*/ 4242765 h 6858000"/>
              <a:gd name="connsiteX6153" fmla="*/ 8873653 w 12192000"/>
              <a:gd name="connsiteY6153" fmla="*/ 4272417 h 6858000"/>
              <a:gd name="connsiteX6154" fmla="*/ 8841448 w 12192000"/>
              <a:gd name="connsiteY6154" fmla="*/ 4302069 h 6858000"/>
              <a:gd name="connsiteX6155" fmla="*/ 8919983 w 12192000"/>
              <a:gd name="connsiteY6155" fmla="*/ 4302069 h 6858000"/>
              <a:gd name="connsiteX6156" fmla="*/ 8887766 w 12192000"/>
              <a:gd name="connsiteY6156" fmla="*/ 4272417 h 6858000"/>
              <a:gd name="connsiteX6157" fmla="*/ 8919983 w 12192000"/>
              <a:gd name="connsiteY6157" fmla="*/ 4242765 h 6858000"/>
              <a:gd name="connsiteX6158" fmla="*/ 8952187 w 12192000"/>
              <a:gd name="connsiteY6158" fmla="*/ 4272417 h 6858000"/>
              <a:gd name="connsiteX6159" fmla="*/ 8919983 w 12192000"/>
              <a:gd name="connsiteY6159" fmla="*/ 4302069 h 6858000"/>
              <a:gd name="connsiteX6160" fmla="*/ 8998516 w 12192000"/>
              <a:gd name="connsiteY6160" fmla="*/ 4302069 h 6858000"/>
              <a:gd name="connsiteX6161" fmla="*/ 8966300 w 12192000"/>
              <a:gd name="connsiteY6161" fmla="*/ 4272417 h 6858000"/>
              <a:gd name="connsiteX6162" fmla="*/ 8998516 w 12192000"/>
              <a:gd name="connsiteY6162" fmla="*/ 4242765 h 6858000"/>
              <a:gd name="connsiteX6163" fmla="*/ 9030720 w 12192000"/>
              <a:gd name="connsiteY6163" fmla="*/ 4272417 h 6858000"/>
              <a:gd name="connsiteX6164" fmla="*/ 8998516 w 12192000"/>
              <a:gd name="connsiteY6164" fmla="*/ 4302069 h 6858000"/>
              <a:gd name="connsiteX6165" fmla="*/ 9077050 w 12192000"/>
              <a:gd name="connsiteY6165" fmla="*/ 4302069 h 6858000"/>
              <a:gd name="connsiteX6166" fmla="*/ 9044834 w 12192000"/>
              <a:gd name="connsiteY6166" fmla="*/ 4272417 h 6858000"/>
              <a:gd name="connsiteX6167" fmla="*/ 9077050 w 12192000"/>
              <a:gd name="connsiteY6167" fmla="*/ 4242765 h 6858000"/>
              <a:gd name="connsiteX6168" fmla="*/ 9109254 w 12192000"/>
              <a:gd name="connsiteY6168" fmla="*/ 4272417 h 6858000"/>
              <a:gd name="connsiteX6169" fmla="*/ 9077050 w 12192000"/>
              <a:gd name="connsiteY6169" fmla="*/ 4302069 h 6858000"/>
              <a:gd name="connsiteX6170" fmla="*/ 9155583 w 12192000"/>
              <a:gd name="connsiteY6170" fmla="*/ 4302069 h 6858000"/>
              <a:gd name="connsiteX6171" fmla="*/ 9123367 w 12192000"/>
              <a:gd name="connsiteY6171" fmla="*/ 4272417 h 6858000"/>
              <a:gd name="connsiteX6172" fmla="*/ 9155583 w 12192000"/>
              <a:gd name="connsiteY6172" fmla="*/ 4242765 h 6858000"/>
              <a:gd name="connsiteX6173" fmla="*/ 9187788 w 12192000"/>
              <a:gd name="connsiteY6173" fmla="*/ 4272417 h 6858000"/>
              <a:gd name="connsiteX6174" fmla="*/ 9155583 w 12192000"/>
              <a:gd name="connsiteY6174" fmla="*/ 4302069 h 6858000"/>
              <a:gd name="connsiteX6175" fmla="*/ 9234118 w 12192000"/>
              <a:gd name="connsiteY6175" fmla="*/ 4302069 h 6858000"/>
              <a:gd name="connsiteX6176" fmla="*/ 9201901 w 12192000"/>
              <a:gd name="connsiteY6176" fmla="*/ 4272417 h 6858000"/>
              <a:gd name="connsiteX6177" fmla="*/ 9234118 w 12192000"/>
              <a:gd name="connsiteY6177" fmla="*/ 4242765 h 6858000"/>
              <a:gd name="connsiteX6178" fmla="*/ 9266322 w 12192000"/>
              <a:gd name="connsiteY6178" fmla="*/ 4272417 h 6858000"/>
              <a:gd name="connsiteX6179" fmla="*/ 9234118 w 12192000"/>
              <a:gd name="connsiteY6179" fmla="*/ 4302069 h 6858000"/>
              <a:gd name="connsiteX6180" fmla="*/ 9312652 w 12192000"/>
              <a:gd name="connsiteY6180" fmla="*/ 4302069 h 6858000"/>
              <a:gd name="connsiteX6181" fmla="*/ 9280436 w 12192000"/>
              <a:gd name="connsiteY6181" fmla="*/ 4272417 h 6858000"/>
              <a:gd name="connsiteX6182" fmla="*/ 9312652 w 12192000"/>
              <a:gd name="connsiteY6182" fmla="*/ 4242765 h 6858000"/>
              <a:gd name="connsiteX6183" fmla="*/ 9344856 w 12192000"/>
              <a:gd name="connsiteY6183" fmla="*/ 4272417 h 6858000"/>
              <a:gd name="connsiteX6184" fmla="*/ 9312652 w 12192000"/>
              <a:gd name="connsiteY6184" fmla="*/ 4302069 h 6858000"/>
              <a:gd name="connsiteX6185" fmla="*/ 9391185 w 12192000"/>
              <a:gd name="connsiteY6185" fmla="*/ 4302069 h 6858000"/>
              <a:gd name="connsiteX6186" fmla="*/ 9358969 w 12192000"/>
              <a:gd name="connsiteY6186" fmla="*/ 4272417 h 6858000"/>
              <a:gd name="connsiteX6187" fmla="*/ 9391185 w 12192000"/>
              <a:gd name="connsiteY6187" fmla="*/ 4242765 h 6858000"/>
              <a:gd name="connsiteX6188" fmla="*/ 9423389 w 12192000"/>
              <a:gd name="connsiteY6188" fmla="*/ 4272417 h 6858000"/>
              <a:gd name="connsiteX6189" fmla="*/ 9391185 w 12192000"/>
              <a:gd name="connsiteY6189" fmla="*/ 4302069 h 6858000"/>
              <a:gd name="connsiteX6190" fmla="*/ 9469719 w 12192000"/>
              <a:gd name="connsiteY6190" fmla="*/ 4302069 h 6858000"/>
              <a:gd name="connsiteX6191" fmla="*/ 9437503 w 12192000"/>
              <a:gd name="connsiteY6191" fmla="*/ 4272417 h 6858000"/>
              <a:gd name="connsiteX6192" fmla="*/ 9469719 w 12192000"/>
              <a:gd name="connsiteY6192" fmla="*/ 4242765 h 6858000"/>
              <a:gd name="connsiteX6193" fmla="*/ 9501924 w 12192000"/>
              <a:gd name="connsiteY6193" fmla="*/ 4272417 h 6858000"/>
              <a:gd name="connsiteX6194" fmla="*/ 9469719 w 12192000"/>
              <a:gd name="connsiteY6194" fmla="*/ 4302069 h 6858000"/>
              <a:gd name="connsiteX6195" fmla="*/ 9548254 w 12192000"/>
              <a:gd name="connsiteY6195" fmla="*/ 4302069 h 6858000"/>
              <a:gd name="connsiteX6196" fmla="*/ 9516037 w 12192000"/>
              <a:gd name="connsiteY6196" fmla="*/ 4272417 h 6858000"/>
              <a:gd name="connsiteX6197" fmla="*/ 9548254 w 12192000"/>
              <a:gd name="connsiteY6197" fmla="*/ 4242765 h 6858000"/>
              <a:gd name="connsiteX6198" fmla="*/ 9580458 w 12192000"/>
              <a:gd name="connsiteY6198" fmla="*/ 4272417 h 6858000"/>
              <a:gd name="connsiteX6199" fmla="*/ 9548254 w 12192000"/>
              <a:gd name="connsiteY6199" fmla="*/ 4302069 h 6858000"/>
              <a:gd name="connsiteX6200" fmla="*/ 9626787 w 12192000"/>
              <a:gd name="connsiteY6200" fmla="*/ 4302069 h 6858000"/>
              <a:gd name="connsiteX6201" fmla="*/ 9594571 w 12192000"/>
              <a:gd name="connsiteY6201" fmla="*/ 4272417 h 6858000"/>
              <a:gd name="connsiteX6202" fmla="*/ 9626787 w 12192000"/>
              <a:gd name="connsiteY6202" fmla="*/ 4242765 h 6858000"/>
              <a:gd name="connsiteX6203" fmla="*/ 9658991 w 12192000"/>
              <a:gd name="connsiteY6203" fmla="*/ 4272417 h 6858000"/>
              <a:gd name="connsiteX6204" fmla="*/ 9626787 w 12192000"/>
              <a:gd name="connsiteY6204" fmla="*/ 4302069 h 6858000"/>
              <a:gd name="connsiteX6205" fmla="*/ 9705321 w 12192000"/>
              <a:gd name="connsiteY6205" fmla="*/ 4302069 h 6858000"/>
              <a:gd name="connsiteX6206" fmla="*/ 9673105 w 12192000"/>
              <a:gd name="connsiteY6206" fmla="*/ 4272417 h 6858000"/>
              <a:gd name="connsiteX6207" fmla="*/ 9705321 w 12192000"/>
              <a:gd name="connsiteY6207" fmla="*/ 4242765 h 6858000"/>
              <a:gd name="connsiteX6208" fmla="*/ 9737525 w 12192000"/>
              <a:gd name="connsiteY6208" fmla="*/ 4272417 h 6858000"/>
              <a:gd name="connsiteX6209" fmla="*/ 9705321 w 12192000"/>
              <a:gd name="connsiteY6209" fmla="*/ 4302069 h 6858000"/>
              <a:gd name="connsiteX6210" fmla="*/ 9783854 w 12192000"/>
              <a:gd name="connsiteY6210" fmla="*/ 4302069 h 6858000"/>
              <a:gd name="connsiteX6211" fmla="*/ 9751638 w 12192000"/>
              <a:gd name="connsiteY6211" fmla="*/ 4272417 h 6858000"/>
              <a:gd name="connsiteX6212" fmla="*/ 9783854 w 12192000"/>
              <a:gd name="connsiteY6212" fmla="*/ 4242765 h 6858000"/>
              <a:gd name="connsiteX6213" fmla="*/ 9816059 w 12192000"/>
              <a:gd name="connsiteY6213" fmla="*/ 4272417 h 6858000"/>
              <a:gd name="connsiteX6214" fmla="*/ 9783854 w 12192000"/>
              <a:gd name="connsiteY6214" fmla="*/ 4302069 h 6858000"/>
              <a:gd name="connsiteX6215" fmla="*/ 10097990 w 12192000"/>
              <a:gd name="connsiteY6215" fmla="*/ 4302069 h 6858000"/>
              <a:gd name="connsiteX6216" fmla="*/ 10065774 w 12192000"/>
              <a:gd name="connsiteY6216" fmla="*/ 4272417 h 6858000"/>
              <a:gd name="connsiteX6217" fmla="*/ 10097990 w 12192000"/>
              <a:gd name="connsiteY6217" fmla="*/ 4242765 h 6858000"/>
              <a:gd name="connsiteX6218" fmla="*/ 10130195 w 12192000"/>
              <a:gd name="connsiteY6218" fmla="*/ 4272417 h 6858000"/>
              <a:gd name="connsiteX6219" fmla="*/ 10097990 w 12192000"/>
              <a:gd name="connsiteY6219" fmla="*/ 4302069 h 6858000"/>
              <a:gd name="connsiteX6220" fmla="*/ 2637243 w 12192000"/>
              <a:gd name="connsiteY6220" fmla="*/ 4229803 h 6858000"/>
              <a:gd name="connsiteX6221" fmla="*/ 2605032 w 12192000"/>
              <a:gd name="connsiteY6221" fmla="*/ 4200151 h 6858000"/>
              <a:gd name="connsiteX6222" fmla="*/ 2637243 w 12192000"/>
              <a:gd name="connsiteY6222" fmla="*/ 4170499 h 6858000"/>
              <a:gd name="connsiteX6223" fmla="*/ 2669453 w 12192000"/>
              <a:gd name="connsiteY6223" fmla="*/ 4200151 h 6858000"/>
              <a:gd name="connsiteX6224" fmla="*/ 2637243 w 12192000"/>
              <a:gd name="connsiteY6224" fmla="*/ 4229803 h 6858000"/>
              <a:gd name="connsiteX6225" fmla="*/ 2715777 w 12192000"/>
              <a:gd name="connsiteY6225" fmla="*/ 4229803 h 6858000"/>
              <a:gd name="connsiteX6226" fmla="*/ 2683566 w 12192000"/>
              <a:gd name="connsiteY6226" fmla="*/ 4200151 h 6858000"/>
              <a:gd name="connsiteX6227" fmla="*/ 2715777 w 12192000"/>
              <a:gd name="connsiteY6227" fmla="*/ 4170499 h 6858000"/>
              <a:gd name="connsiteX6228" fmla="*/ 2747987 w 12192000"/>
              <a:gd name="connsiteY6228" fmla="*/ 4200151 h 6858000"/>
              <a:gd name="connsiteX6229" fmla="*/ 2715777 w 12192000"/>
              <a:gd name="connsiteY6229" fmla="*/ 4229803 h 6858000"/>
              <a:gd name="connsiteX6230" fmla="*/ 2794310 w 12192000"/>
              <a:gd name="connsiteY6230" fmla="*/ 4229803 h 6858000"/>
              <a:gd name="connsiteX6231" fmla="*/ 2762100 w 12192000"/>
              <a:gd name="connsiteY6231" fmla="*/ 4200151 h 6858000"/>
              <a:gd name="connsiteX6232" fmla="*/ 2794310 w 12192000"/>
              <a:gd name="connsiteY6232" fmla="*/ 4170499 h 6858000"/>
              <a:gd name="connsiteX6233" fmla="*/ 2826520 w 12192000"/>
              <a:gd name="connsiteY6233" fmla="*/ 4200151 h 6858000"/>
              <a:gd name="connsiteX6234" fmla="*/ 2794310 w 12192000"/>
              <a:gd name="connsiteY6234" fmla="*/ 4229803 h 6858000"/>
              <a:gd name="connsiteX6235" fmla="*/ 2872844 w 12192000"/>
              <a:gd name="connsiteY6235" fmla="*/ 4229803 h 6858000"/>
              <a:gd name="connsiteX6236" fmla="*/ 2840634 w 12192000"/>
              <a:gd name="connsiteY6236" fmla="*/ 4200151 h 6858000"/>
              <a:gd name="connsiteX6237" fmla="*/ 2872844 w 12192000"/>
              <a:gd name="connsiteY6237" fmla="*/ 4170499 h 6858000"/>
              <a:gd name="connsiteX6238" fmla="*/ 2905055 w 12192000"/>
              <a:gd name="connsiteY6238" fmla="*/ 4200151 h 6858000"/>
              <a:gd name="connsiteX6239" fmla="*/ 2872844 w 12192000"/>
              <a:gd name="connsiteY6239" fmla="*/ 4229803 h 6858000"/>
              <a:gd name="connsiteX6240" fmla="*/ 2951379 w 12192000"/>
              <a:gd name="connsiteY6240" fmla="*/ 4229803 h 6858000"/>
              <a:gd name="connsiteX6241" fmla="*/ 2919168 w 12192000"/>
              <a:gd name="connsiteY6241" fmla="*/ 4200151 h 6858000"/>
              <a:gd name="connsiteX6242" fmla="*/ 2951379 w 12192000"/>
              <a:gd name="connsiteY6242" fmla="*/ 4170499 h 6858000"/>
              <a:gd name="connsiteX6243" fmla="*/ 2983589 w 12192000"/>
              <a:gd name="connsiteY6243" fmla="*/ 4200151 h 6858000"/>
              <a:gd name="connsiteX6244" fmla="*/ 2951379 w 12192000"/>
              <a:gd name="connsiteY6244" fmla="*/ 4229803 h 6858000"/>
              <a:gd name="connsiteX6245" fmla="*/ 3029912 w 12192000"/>
              <a:gd name="connsiteY6245" fmla="*/ 4229803 h 6858000"/>
              <a:gd name="connsiteX6246" fmla="*/ 2997701 w 12192000"/>
              <a:gd name="connsiteY6246" fmla="*/ 4200151 h 6858000"/>
              <a:gd name="connsiteX6247" fmla="*/ 3029912 w 12192000"/>
              <a:gd name="connsiteY6247" fmla="*/ 4170499 h 6858000"/>
              <a:gd name="connsiteX6248" fmla="*/ 3062122 w 12192000"/>
              <a:gd name="connsiteY6248" fmla="*/ 4200151 h 6858000"/>
              <a:gd name="connsiteX6249" fmla="*/ 3029912 w 12192000"/>
              <a:gd name="connsiteY6249" fmla="*/ 4229803 h 6858000"/>
              <a:gd name="connsiteX6250" fmla="*/ 3108446 w 12192000"/>
              <a:gd name="connsiteY6250" fmla="*/ 4229803 h 6858000"/>
              <a:gd name="connsiteX6251" fmla="*/ 3076236 w 12192000"/>
              <a:gd name="connsiteY6251" fmla="*/ 4200151 h 6858000"/>
              <a:gd name="connsiteX6252" fmla="*/ 3108446 w 12192000"/>
              <a:gd name="connsiteY6252" fmla="*/ 4170499 h 6858000"/>
              <a:gd name="connsiteX6253" fmla="*/ 3140656 w 12192000"/>
              <a:gd name="connsiteY6253" fmla="*/ 4200151 h 6858000"/>
              <a:gd name="connsiteX6254" fmla="*/ 3108446 w 12192000"/>
              <a:gd name="connsiteY6254" fmla="*/ 4229803 h 6858000"/>
              <a:gd name="connsiteX6255" fmla="*/ 3186979 w 12192000"/>
              <a:gd name="connsiteY6255" fmla="*/ 4229803 h 6858000"/>
              <a:gd name="connsiteX6256" fmla="*/ 3154769 w 12192000"/>
              <a:gd name="connsiteY6256" fmla="*/ 4200151 h 6858000"/>
              <a:gd name="connsiteX6257" fmla="*/ 3186979 w 12192000"/>
              <a:gd name="connsiteY6257" fmla="*/ 4170499 h 6858000"/>
              <a:gd name="connsiteX6258" fmla="*/ 3219190 w 12192000"/>
              <a:gd name="connsiteY6258" fmla="*/ 4200151 h 6858000"/>
              <a:gd name="connsiteX6259" fmla="*/ 3186979 w 12192000"/>
              <a:gd name="connsiteY6259" fmla="*/ 4229803 h 6858000"/>
              <a:gd name="connsiteX6260" fmla="*/ 3265514 w 12192000"/>
              <a:gd name="connsiteY6260" fmla="*/ 4229803 h 6858000"/>
              <a:gd name="connsiteX6261" fmla="*/ 3233303 w 12192000"/>
              <a:gd name="connsiteY6261" fmla="*/ 4200151 h 6858000"/>
              <a:gd name="connsiteX6262" fmla="*/ 3265514 w 12192000"/>
              <a:gd name="connsiteY6262" fmla="*/ 4170499 h 6858000"/>
              <a:gd name="connsiteX6263" fmla="*/ 3297724 w 12192000"/>
              <a:gd name="connsiteY6263" fmla="*/ 4200151 h 6858000"/>
              <a:gd name="connsiteX6264" fmla="*/ 3265514 w 12192000"/>
              <a:gd name="connsiteY6264" fmla="*/ 4229803 h 6858000"/>
              <a:gd name="connsiteX6265" fmla="*/ 3422581 w 12192000"/>
              <a:gd name="connsiteY6265" fmla="*/ 4229803 h 6858000"/>
              <a:gd name="connsiteX6266" fmla="*/ 3390371 w 12192000"/>
              <a:gd name="connsiteY6266" fmla="*/ 4200151 h 6858000"/>
              <a:gd name="connsiteX6267" fmla="*/ 3422581 w 12192000"/>
              <a:gd name="connsiteY6267" fmla="*/ 4170499 h 6858000"/>
              <a:gd name="connsiteX6268" fmla="*/ 3454791 w 12192000"/>
              <a:gd name="connsiteY6268" fmla="*/ 4200151 h 6858000"/>
              <a:gd name="connsiteX6269" fmla="*/ 3422581 w 12192000"/>
              <a:gd name="connsiteY6269" fmla="*/ 4229803 h 6858000"/>
              <a:gd name="connsiteX6270" fmla="*/ 3658183 w 12192000"/>
              <a:gd name="connsiteY6270" fmla="*/ 4229803 h 6858000"/>
              <a:gd name="connsiteX6271" fmla="*/ 3625972 w 12192000"/>
              <a:gd name="connsiteY6271" fmla="*/ 4200151 h 6858000"/>
              <a:gd name="connsiteX6272" fmla="*/ 3658183 w 12192000"/>
              <a:gd name="connsiteY6272" fmla="*/ 4170499 h 6858000"/>
              <a:gd name="connsiteX6273" fmla="*/ 3690393 w 12192000"/>
              <a:gd name="connsiteY6273" fmla="*/ 4200151 h 6858000"/>
              <a:gd name="connsiteX6274" fmla="*/ 3658183 w 12192000"/>
              <a:gd name="connsiteY6274" fmla="*/ 4229803 h 6858000"/>
              <a:gd name="connsiteX6275" fmla="*/ 3736717 w 12192000"/>
              <a:gd name="connsiteY6275" fmla="*/ 4229803 h 6858000"/>
              <a:gd name="connsiteX6276" fmla="*/ 3704507 w 12192000"/>
              <a:gd name="connsiteY6276" fmla="*/ 4200151 h 6858000"/>
              <a:gd name="connsiteX6277" fmla="*/ 3736717 w 12192000"/>
              <a:gd name="connsiteY6277" fmla="*/ 4170499 h 6858000"/>
              <a:gd name="connsiteX6278" fmla="*/ 3768927 w 12192000"/>
              <a:gd name="connsiteY6278" fmla="*/ 4200151 h 6858000"/>
              <a:gd name="connsiteX6279" fmla="*/ 3736717 w 12192000"/>
              <a:gd name="connsiteY6279" fmla="*/ 4229803 h 6858000"/>
              <a:gd name="connsiteX6280" fmla="*/ 3893785 w 12192000"/>
              <a:gd name="connsiteY6280" fmla="*/ 4229803 h 6858000"/>
              <a:gd name="connsiteX6281" fmla="*/ 3861574 w 12192000"/>
              <a:gd name="connsiteY6281" fmla="*/ 4200151 h 6858000"/>
              <a:gd name="connsiteX6282" fmla="*/ 3893785 w 12192000"/>
              <a:gd name="connsiteY6282" fmla="*/ 4170499 h 6858000"/>
              <a:gd name="connsiteX6283" fmla="*/ 3925995 w 12192000"/>
              <a:gd name="connsiteY6283" fmla="*/ 4200151 h 6858000"/>
              <a:gd name="connsiteX6284" fmla="*/ 3893785 w 12192000"/>
              <a:gd name="connsiteY6284" fmla="*/ 4229803 h 6858000"/>
              <a:gd name="connsiteX6285" fmla="*/ 3972319 w 12192000"/>
              <a:gd name="connsiteY6285" fmla="*/ 4229803 h 6858000"/>
              <a:gd name="connsiteX6286" fmla="*/ 3940108 w 12192000"/>
              <a:gd name="connsiteY6286" fmla="*/ 4200151 h 6858000"/>
              <a:gd name="connsiteX6287" fmla="*/ 3972319 w 12192000"/>
              <a:gd name="connsiteY6287" fmla="*/ 4170499 h 6858000"/>
              <a:gd name="connsiteX6288" fmla="*/ 4004529 w 12192000"/>
              <a:gd name="connsiteY6288" fmla="*/ 4200151 h 6858000"/>
              <a:gd name="connsiteX6289" fmla="*/ 3972319 w 12192000"/>
              <a:gd name="connsiteY6289" fmla="*/ 4229803 h 6858000"/>
              <a:gd name="connsiteX6290" fmla="*/ 4050852 w 12192000"/>
              <a:gd name="connsiteY6290" fmla="*/ 4229803 h 6858000"/>
              <a:gd name="connsiteX6291" fmla="*/ 4018642 w 12192000"/>
              <a:gd name="connsiteY6291" fmla="*/ 4200151 h 6858000"/>
              <a:gd name="connsiteX6292" fmla="*/ 4050852 w 12192000"/>
              <a:gd name="connsiteY6292" fmla="*/ 4170499 h 6858000"/>
              <a:gd name="connsiteX6293" fmla="*/ 4083062 w 12192000"/>
              <a:gd name="connsiteY6293" fmla="*/ 4200151 h 6858000"/>
              <a:gd name="connsiteX6294" fmla="*/ 4050852 w 12192000"/>
              <a:gd name="connsiteY6294" fmla="*/ 4229803 h 6858000"/>
              <a:gd name="connsiteX6295" fmla="*/ 4129386 w 12192000"/>
              <a:gd name="connsiteY6295" fmla="*/ 4229803 h 6858000"/>
              <a:gd name="connsiteX6296" fmla="*/ 4097176 w 12192000"/>
              <a:gd name="connsiteY6296" fmla="*/ 4200151 h 6858000"/>
              <a:gd name="connsiteX6297" fmla="*/ 4129386 w 12192000"/>
              <a:gd name="connsiteY6297" fmla="*/ 4170499 h 6858000"/>
              <a:gd name="connsiteX6298" fmla="*/ 4161597 w 12192000"/>
              <a:gd name="connsiteY6298" fmla="*/ 4200151 h 6858000"/>
              <a:gd name="connsiteX6299" fmla="*/ 4129386 w 12192000"/>
              <a:gd name="connsiteY6299" fmla="*/ 4229803 h 6858000"/>
              <a:gd name="connsiteX6300" fmla="*/ 4207926 w 12192000"/>
              <a:gd name="connsiteY6300" fmla="*/ 4229803 h 6858000"/>
              <a:gd name="connsiteX6301" fmla="*/ 4175715 w 12192000"/>
              <a:gd name="connsiteY6301" fmla="*/ 4200151 h 6858000"/>
              <a:gd name="connsiteX6302" fmla="*/ 4207926 w 12192000"/>
              <a:gd name="connsiteY6302" fmla="*/ 4170499 h 6858000"/>
              <a:gd name="connsiteX6303" fmla="*/ 4240136 w 12192000"/>
              <a:gd name="connsiteY6303" fmla="*/ 4200151 h 6858000"/>
              <a:gd name="connsiteX6304" fmla="*/ 4207926 w 12192000"/>
              <a:gd name="connsiteY6304" fmla="*/ 4229803 h 6858000"/>
              <a:gd name="connsiteX6305" fmla="*/ 4286460 w 12192000"/>
              <a:gd name="connsiteY6305" fmla="*/ 4229803 h 6858000"/>
              <a:gd name="connsiteX6306" fmla="*/ 4254250 w 12192000"/>
              <a:gd name="connsiteY6306" fmla="*/ 4200151 h 6858000"/>
              <a:gd name="connsiteX6307" fmla="*/ 4286460 w 12192000"/>
              <a:gd name="connsiteY6307" fmla="*/ 4170499 h 6858000"/>
              <a:gd name="connsiteX6308" fmla="*/ 4318670 w 12192000"/>
              <a:gd name="connsiteY6308" fmla="*/ 4200151 h 6858000"/>
              <a:gd name="connsiteX6309" fmla="*/ 4286460 w 12192000"/>
              <a:gd name="connsiteY6309" fmla="*/ 4229803 h 6858000"/>
              <a:gd name="connsiteX6310" fmla="*/ 4364994 w 12192000"/>
              <a:gd name="connsiteY6310" fmla="*/ 4229803 h 6858000"/>
              <a:gd name="connsiteX6311" fmla="*/ 4332784 w 12192000"/>
              <a:gd name="connsiteY6311" fmla="*/ 4200151 h 6858000"/>
              <a:gd name="connsiteX6312" fmla="*/ 4364994 w 12192000"/>
              <a:gd name="connsiteY6312" fmla="*/ 4170499 h 6858000"/>
              <a:gd name="connsiteX6313" fmla="*/ 4397204 w 12192000"/>
              <a:gd name="connsiteY6313" fmla="*/ 4200151 h 6858000"/>
              <a:gd name="connsiteX6314" fmla="*/ 4364994 w 12192000"/>
              <a:gd name="connsiteY6314" fmla="*/ 4229803 h 6858000"/>
              <a:gd name="connsiteX6315" fmla="*/ 4443527 w 12192000"/>
              <a:gd name="connsiteY6315" fmla="*/ 4229803 h 6858000"/>
              <a:gd name="connsiteX6316" fmla="*/ 4411317 w 12192000"/>
              <a:gd name="connsiteY6316" fmla="*/ 4200151 h 6858000"/>
              <a:gd name="connsiteX6317" fmla="*/ 4443527 w 12192000"/>
              <a:gd name="connsiteY6317" fmla="*/ 4170499 h 6858000"/>
              <a:gd name="connsiteX6318" fmla="*/ 4475738 w 12192000"/>
              <a:gd name="connsiteY6318" fmla="*/ 4200151 h 6858000"/>
              <a:gd name="connsiteX6319" fmla="*/ 4443527 w 12192000"/>
              <a:gd name="connsiteY6319" fmla="*/ 4229803 h 6858000"/>
              <a:gd name="connsiteX6320" fmla="*/ 5700069 w 12192000"/>
              <a:gd name="connsiteY6320" fmla="*/ 4229803 h 6858000"/>
              <a:gd name="connsiteX6321" fmla="*/ 5667859 w 12192000"/>
              <a:gd name="connsiteY6321" fmla="*/ 4200151 h 6858000"/>
              <a:gd name="connsiteX6322" fmla="*/ 5700069 w 12192000"/>
              <a:gd name="connsiteY6322" fmla="*/ 4170499 h 6858000"/>
              <a:gd name="connsiteX6323" fmla="*/ 5732280 w 12192000"/>
              <a:gd name="connsiteY6323" fmla="*/ 4200151 h 6858000"/>
              <a:gd name="connsiteX6324" fmla="*/ 5700069 w 12192000"/>
              <a:gd name="connsiteY6324" fmla="*/ 4229803 h 6858000"/>
              <a:gd name="connsiteX6325" fmla="*/ 5857137 w 12192000"/>
              <a:gd name="connsiteY6325" fmla="*/ 4229803 h 6858000"/>
              <a:gd name="connsiteX6326" fmla="*/ 5824927 w 12192000"/>
              <a:gd name="connsiteY6326" fmla="*/ 4200151 h 6858000"/>
              <a:gd name="connsiteX6327" fmla="*/ 5857137 w 12192000"/>
              <a:gd name="connsiteY6327" fmla="*/ 4170499 h 6858000"/>
              <a:gd name="connsiteX6328" fmla="*/ 5889347 w 12192000"/>
              <a:gd name="connsiteY6328" fmla="*/ 4200151 h 6858000"/>
              <a:gd name="connsiteX6329" fmla="*/ 5857137 w 12192000"/>
              <a:gd name="connsiteY6329" fmla="*/ 4229803 h 6858000"/>
              <a:gd name="connsiteX6330" fmla="*/ 6171273 w 12192000"/>
              <a:gd name="connsiteY6330" fmla="*/ 4229803 h 6858000"/>
              <a:gd name="connsiteX6331" fmla="*/ 6139056 w 12192000"/>
              <a:gd name="connsiteY6331" fmla="*/ 4200151 h 6858000"/>
              <a:gd name="connsiteX6332" fmla="*/ 6171273 w 12192000"/>
              <a:gd name="connsiteY6332" fmla="*/ 4170499 h 6858000"/>
              <a:gd name="connsiteX6333" fmla="*/ 6203477 w 12192000"/>
              <a:gd name="connsiteY6333" fmla="*/ 4200151 h 6858000"/>
              <a:gd name="connsiteX6334" fmla="*/ 6171273 w 12192000"/>
              <a:gd name="connsiteY6334" fmla="*/ 4229803 h 6858000"/>
              <a:gd name="connsiteX6335" fmla="*/ 6249806 w 12192000"/>
              <a:gd name="connsiteY6335" fmla="*/ 4229803 h 6858000"/>
              <a:gd name="connsiteX6336" fmla="*/ 6217590 w 12192000"/>
              <a:gd name="connsiteY6336" fmla="*/ 4200151 h 6858000"/>
              <a:gd name="connsiteX6337" fmla="*/ 6249806 w 12192000"/>
              <a:gd name="connsiteY6337" fmla="*/ 4170499 h 6858000"/>
              <a:gd name="connsiteX6338" fmla="*/ 6282010 w 12192000"/>
              <a:gd name="connsiteY6338" fmla="*/ 4200151 h 6858000"/>
              <a:gd name="connsiteX6339" fmla="*/ 6249806 w 12192000"/>
              <a:gd name="connsiteY6339" fmla="*/ 4229803 h 6858000"/>
              <a:gd name="connsiteX6340" fmla="*/ 6328340 w 12192000"/>
              <a:gd name="connsiteY6340" fmla="*/ 4229803 h 6858000"/>
              <a:gd name="connsiteX6341" fmla="*/ 6296124 w 12192000"/>
              <a:gd name="connsiteY6341" fmla="*/ 4200151 h 6858000"/>
              <a:gd name="connsiteX6342" fmla="*/ 6328340 w 12192000"/>
              <a:gd name="connsiteY6342" fmla="*/ 4170499 h 6858000"/>
              <a:gd name="connsiteX6343" fmla="*/ 6360545 w 12192000"/>
              <a:gd name="connsiteY6343" fmla="*/ 4200151 h 6858000"/>
              <a:gd name="connsiteX6344" fmla="*/ 6328340 w 12192000"/>
              <a:gd name="connsiteY6344" fmla="*/ 4229803 h 6858000"/>
              <a:gd name="connsiteX6345" fmla="*/ 6406875 w 12192000"/>
              <a:gd name="connsiteY6345" fmla="*/ 4229803 h 6858000"/>
              <a:gd name="connsiteX6346" fmla="*/ 6374658 w 12192000"/>
              <a:gd name="connsiteY6346" fmla="*/ 4200151 h 6858000"/>
              <a:gd name="connsiteX6347" fmla="*/ 6406875 w 12192000"/>
              <a:gd name="connsiteY6347" fmla="*/ 4170499 h 6858000"/>
              <a:gd name="connsiteX6348" fmla="*/ 6439079 w 12192000"/>
              <a:gd name="connsiteY6348" fmla="*/ 4200151 h 6858000"/>
              <a:gd name="connsiteX6349" fmla="*/ 6406875 w 12192000"/>
              <a:gd name="connsiteY6349" fmla="*/ 4229803 h 6858000"/>
              <a:gd name="connsiteX6350" fmla="*/ 6485408 w 12192000"/>
              <a:gd name="connsiteY6350" fmla="*/ 4229803 h 6858000"/>
              <a:gd name="connsiteX6351" fmla="*/ 6453191 w 12192000"/>
              <a:gd name="connsiteY6351" fmla="*/ 4200151 h 6858000"/>
              <a:gd name="connsiteX6352" fmla="*/ 6485408 w 12192000"/>
              <a:gd name="connsiteY6352" fmla="*/ 4170499 h 6858000"/>
              <a:gd name="connsiteX6353" fmla="*/ 6517612 w 12192000"/>
              <a:gd name="connsiteY6353" fmla="*/ 4200151 h 6858000"/>
              <a:gd name="connsiteX6354" fmla="*/ 6485408 w 12192000"/>
              <a:gd name="connsiteY6354" fmla="*/ 4229803 h 6858000"/>
              <a:gd name="connsiteX6355" fmla="*/ 6563942 w 12192000"/>
              <a:gd name="connsiteY6355" fmla="*/ 4229803 h 6858000"/>
              <a:gd name="connsiteX6356" fmla="*/ 6531726 w 12192000"/>
              <a:gd name="connsiteY6356" fmla="*/ 4200151 h 6858000"/>
              <a:gd name="connsiteX6357" fmla="*/ 6563942 w 12192000"/>
              <a:gd name="connsiteY6357" fmla="*/ 4170499 h 6858000"/>
              <a:gd name="connsiteX6358" fmla="*/ 6596146 w 12192000"/>
              <a:gd name="connsiteY6358" fmla="*/ 4200151 h 6858000"/>
              <a:gd name="connsiteX6359" fmla="*/ 6563942 w 12192000"/>
              <a:gd name="connsiteY6359" fmla="*/ 4229803 h 6858000"/>
              <a:gd name="connsiteX6360" fmla="*/ 6642476 w 12192000"/>
              <a:gd name="connsiteY6360" fmla="*/ 4229803 h 6858000"/>
              <a:gd name="connsiteX6361" fmla="*/ 6610260 w 12192000"/>
              <a:gd name="connsiteY6361" fmla="*/ 4200151 h 6858000"/>
              <a:gd name="connsiteX6362" fmla="*/ 6642476 w 12192000"/>
              <a:gd name="connsiteY6362" fmla="*/ 4170499 h 6858000"/>
              <a:gd name="connsiteX6363" fmla="*/ 6674681 w 12192000"/>
              <a:gd name="connsiteY6363" fmla="*/ 4200151 h 6858000"/>
              <a:gd name="connsiteX6364" fmla="*/ 6642476 w 12192000"/>
              <a:gd name="connsiteY6364" fmla="*/ 4229803 h 6858000"/>
              <a:gd name="connsiteX6365" fmla="*/ 6721010 w 12192000"/>
              <a:gd name="connsiteY6365" fmla="*/ 4229803 h 6858000"/>
              <a:gd name="connsiteX6366" fmla="*/ 6688793 w 12192000"/>
              <a:gd name="connsiteY6366" fmla="*/ 4200151 h 6858000"/>
              <a:gd name="connsiteX6367" fmla="*/ 6721010 w 12192000"/>
              <a:gd name="connsiteY6367" fmla="*/ 4170499 h 6858000"/>
              <a:gd name="connsiteX6368" fmla="*/ 6753214 w 12192000"/>
              <a:gd name="connsiteY6368" fmla="*/ 4200151 h 6858000"/>
              <a:gd name="connsiteX6369" fmla="*/ 6721010 w 12192000"/>
              <a:gd name="connsiteY6369" fmla="*/ 4229803 h 6858000"/>
              <a:gd name="connsiteX6370" fmla="*/ 6799544 w 12192000"/>
              <a:gd name="connsiteY6370" fmla="*/ 4229803 h 6858000"/>
              <a:gd name="connsiteX6371" fmla="*/ 6767327 w 12192000"/>
              <a:gd name="connsiteY6371" fmla="*/ 4200151 h 6858000"/>
              <a:gd name="connsiteX6372" fmla="*/ 6799544 w 12192000"/>
              <a:gd name="connsiteY6372" fmla="*/ 4170499 h 6858000"/>
              <a:gd name="connsiteX6373" fmla="*/ 6831748 w 12192000"/>
              <a:gd name="connsiteY6373" fmla="*/ 4200151 h 6858000"/>
              <a:gd name="connsiteX6374" fmla="*/ 6799544 w 12192000"/>
              <a:gd name="connsiteY6374" fmla="*/ 4229803 h 6858000"/>
              <a:gd name="connsiteX6375" fmla="*/ 6878077 w 12192000"/>
              <a:gd name="connsiteY6375" fmla="*/ 4229803 h 6858000"/>
              <a:gd name="connsiteX6376" fmla="*/ 6845861 w 12192000"/>
              <a:gd name="connsiteY6376" fmla="*/ 4200151 h 6858000"/>
              <a:gd name="connsiteX6377" fmla="*/ 6878077 w 12192000"/>
              <a:gd name="connsiteY6377" fmla="*/ 4170499 h 6858000"/>
              <a:gd name="connsiteX6378" fmla="*/ 6910281 w 12192000"/>
              <a:gd name="connsiteY6378" fmla="*/ 4200151 h 6858000"/>
              <a:gd name="connsiteX6379" fmla="*/ 6878077 w 12192000"/>
              <a:gd name="connsiteY6379" fmla="*/ 4229803 h 6858000"/>
              <a:gd name="connsiteX6380" fmla="*/ 6956611 w 12192000"/>
              <a:gd name="connsiteY6380" fmla="*/ 4229803 h 6858000"/>
              <a:gd name="connsiteX6381" fmla="*/ 6924395 w 12192000"/>
              <a:gd name="connsiteY6381" fmla="*/ 4200151 h 6858000"/>
              <a:gd name="connsiteX6382" fmla="*/ 6956611 w 12192000"/>
              <a:gd name="connsiteY6382" fmla="*/ 4170499 h 6858000"/>
              <a:gd name="connsiteX6383" fmla="*/ 6988816 w 12192000"/>
              <a:gd name="connsiteY6383" fmla="*/ 4200151 h 6858000"/>
              <a:gd name="connsiteX6384" fmla="*/ 6956611 w 12192000"/>
              <a:gd name="connsiteY6384" fmla="*/ 4229803 h 6858000"/>
              <a:gd name="connsiteX6385" fmla="*/ 7035146 w 12192000"/>
              <a:gd name="connsiteY6385" fmla="*/ 4229803 h 6858000"/>
              <a:gd name="connsiteX6386" fmla="*/ 7002929 w 12192000"/>
              <a:gd name="connsiteY6386" fmla="*/ 4200151 h 6858000"/>
              <a:gd name="connsiteX6387" fmla="*/ 7035146 w 12192000"/>
              <a:gd name="connsiteY6387" fmla="*/ 4170499 h 6858000"/>
              <a:gd name="connsiteX6388" fmla="*/ 7067350 w 12192000"/>
              <a:gd name="connsiteY6388" fmla="*/ 4200151 h 6858000"/>
              <a:gd name="connsiteX6389" fmla="*/ 7035146 w 12192000"/>
              <a:gd name="connsiteY6389" fmla="*/ 4229803 h 6858000"/>
              <a:gd name="connsiteX6390" fmla="*/ 7113703 w 12192000"/>
              <a:gd name="connsiteY6390" fmla="*/ 4229803 h 6858000"/>
              <a:gd name="connsiteX6391" fmla="*/ 7081487 w 12192000"/>
              <a:gd name="connsiteY6391" fmla="*/ 4200151 h 6858000"/>
              <a:gd name="connsiteX6392" fmla="*/ 7113703 w 12192000"/>
              <a:gd name="connsiteY6392" fmla="*/ 4170499 h 6858000"/>
              <a:gd name="connsiteX6393" fmla="*/ 7145907 w 12192000"/>
              <a:gd name="connsiteY6393" fmla="*/ 4200151 h 6858000"/>
              <a:gd name="connsiteX6394" fmla="*/ 7113703 w 12192000"/>
              <a:gd name="connsiteY6394" fmla="*/ 4229803 h 6858000"/>
              <a:gd name="connsiteX6395" fmla="*/ 7192237 w 12192000"/>
              <a:gd name="connsiteY6395" fmla="*/ 4229803 h 6858000"/>
              <a:gd name="connsiteX6396" fmla="*/ 7160021 w 12192000"/>
              <a:gd name="connsiteY6396" fmla="*/ 4200151 h 6858000"/>
              <a:gd name="connsiteX6397" fmla="*/ 7192237 w 12192000"/>
              <a:gd name="connsiteY6397" fmla="*/ 4170499 h 6858000"/>
              <a:gd name="connsiteX6398" fmla="*/ 7224441 w 12192000"/>
              <a:gd name="connsiteY6398" fmla="*/ 4200151 h 6858000"/>
              <a:gd name="connsiteX6399" fmla="*/ 7192237 w 12192000"/>
              <a:gd name="connsiteY6399" fmla="*/ 4229803 h 6858000"/>
              <a:gd name="connsiteX6400" fmla="*/ 7270771 w 12192000"/>
              <a:gd name="connsiteY6400" fmla="*/ 4229803 h 6858000"/>
              <a:gd name="connsiteX6401" fmla="*/ 7238555 w 12192000"/>
              <a:gd name="connsiteY6401" fmla="*/ 4200151 h 6858000"/>
              <a:gd name="connsiteX6402" fmla="*/ 7270771 w 12192000"/>
              <a:gd name="connsiteY6402" fmla="*/ 4170499 h 6858000"/>
              <a:gd name="connsiteX6403" fmla="*/ 7302976 w 12192000"/>
              <a:gd name="connsiteY6403" fmla="*/ 4200151 h 6858000"/>
              <a:gd name="connsiteX6404" fmla="*/ 7270771 w 12192000"/>
              <a:gd name="connsiteY6404" fmla="*/ 4229803 h 6858000"/>
              <a:gd name="connsiteX6405" fmla="*/ 7349305 w 12192000"/>
              <a:gd name="connsiteY6405" fmla="*/ 4229803 h 6858000"/>
              <a:gd name="connsiteX6406" fmla="*/ 7317088 w 12192000"/>
              <a:gd name="connsiteY6406" fmla="*/ 4200151 h 6858000"/>
              <a:gd name="connsiteX6407" fmla="*/ 7349305 w 12192000"/>
              <a:gd name="connsiteY6407" fmla="*/ 4170499 h 6858000"/>
              <a:gd name="connsiteX6408" fmla="*/ 7381509 w 12192000"/>
              <a:gd name="connsiteY6408" fmla="*/ 4200151 h 6858000"/>
              <a:gd name="connsiteX6409" fmla="*/ 7349305 w 12192000"/>
              <a:gd name="connsiteY6409" fmla="*/ 4229803 h 6858000"/>
              <a:gd name="connsiteX6410" fmla="*/ 7427839 w 12192000"/>
              <a:gd name="connsiteY6410" fmla="*/ 4229803 h 6858000"/>
              <a:gd name="connsiteX6411" fmla="*/ 7395623 w 12192000"/>
              <a:gd name="connsiteY6411" fmla="*/ 4200151 h 6858000"/>
              <a:gd name="connsiteX6412" fmla="*/ 7427839 w 12192000"/>
              <a:gd name="connsiteY6412" fmla="*/ 4170499 h 6858000"/>
              <a:gd name="connsiteX6413" fmla="*/ 7460043 w 12192000"/>
              <a:gd name="connsiteY6413" fmla="*/ 4200151 h 6858000"/>
              <a:gd name="connsiteX6414" fmla="*/ 7427839 w 12192000"/>
              <a:gd name="connsiteY6414" fmla="*/ 4229803 h 6858000"/>
              <a:gd name="connsiteX6415" fmla="*/ 7506373 w 12192000"/>
              <a:gd name="connsiteY6415" fmla="*/ 4229803 h 6858000"/>
              <a:gd name="connsiteX6416" fmla="*/ 7474157 w 12192000"/>
              <a:gd name="connsiteY6416" fmla="*/ 4200151 h 6858000"/>
              <a:gd name="connsiteX6417" fmla="*/ 7506373 w 12192000"/>
              <a:gd name="connsiteY6417" fmla="*/ 4170499 h 6858000"/>
              <a:gd name="connsiteX6418" fmla="*/ 7538577 w 12192000"/>
              <a:gd name="connsiteY6418" fmla="*/ 4200151 h 6858000"/>
              <a:gd name="connsiteX6419" fmla="*/ 7506373 w 12192000"/>
              <a:gd name="connsiteY6419" fmla="*/ 4229803 h 6858000"/>
              <a:gd name="connsiteX6420" fmla="*/ 7584906 w 12192000"/>
              <a:gd name="connsiteY6420" fmla="*/ 4229803 h 6858000"/>
              <a:gd name="connsiteX6421" fmla="*/ 7552690 w 12192000"/>
              <a:gd name="connsiteY6421" fmla="*/ 4200151 h 6858000"/>
              <a:gd name="connsiteX6422" fmla="*/ 7584906 w 12192000"/>
              <a:gd name="connsiteY6422" fmla="*/ 4170499 h 6858000"/>
              <a:gd name="connsiteX6423" fmla="*/ 7617111 w 12192000"/>
              <a:gd name="connsiteY6423" fmla="*/ 4200151 h 6858000"/>
              <a:gd name="connsiteX6424" fmla="*/ 7584906 w 12192000"/>
              <a:gd name="connsiteY6424" fmla="*/ 4229803 h 6858000"/>
              <a:gd name="connsiteX6425" fmla="*/ 7663441 w 12192000"/>
              <a:gd name="connsiteY6425" fmla="*/ 4229803 h 6858000"/>
              <a:gd name="connsiteX6426" fmla="*/ 7631224 w 12192000"/>
              <a:gd name="connsiteY6426" fmla="*/ 4200151 h 6858000"/>
              <a:gd name="connsiteX6427" fmla="*/ 7663441 w 12192000"/>
              <a:gd name="connsiteY6427" fmla="*/ 4170499 h 6858000"/>
              <a:gd name="connsiteX6428" fmla="*/ 7695645 w 12192000"/>
              <a:gd name="connsiteY6428" fmla="*/ 4200151 h 6858000"/>
              <a:gd name="connsiteX6429" fmla="*/ 7663441 w 12192000"/>
              <a:gd name="connsiteY6429" fmla="*/ 4229803 h 6858000"/>
              <a:gd name="connsiteX6430" fmla="*/ 7741974 w 12192000"/>
              <a:gd name="connsiteY6430" fmla="*/ 4229803 h 6858000"/>
              <a:gd name="connsiteX6431" fmla="*/ 7709758 w 12192000"/>
              <a:gd name="connsiteY6431" fmla="*/ 4200151 h 6858000"/>
              <a:gd name="connsiteX6432" fmla="*/ 7741974 w 12192000"/>
              <a:gd name="connsiteY6432" fmla="*/ 4170499 h 6858000"/>
              <a:gd name="connsiteX6433" fmla="*/ 7774178 w 12192000"/>
              <a:gd name="connsiteY6433" fmla="*/ 4200151 h 6858000"/>
              <a:gd name="connsiteX6434" fmla="*/ 7741974 w 12192000"/>
              <a:gd name="connsiteY6434" fmla="*/ 4229803 h 6858000"/>
              <a:gd name="connsiteX6435" fmla="*/ 7820508 w 12192000"/>
              <a:gd name="connsiteY6435" fmla="*/ 4229803 h 6858000"/>
              <a:gd name="connsiteX6436" fmla="*/ 7788292 w 12192000"/>
              <a:gd name="connsiteY6436" fmla="*/ 4200151 h 6858000"/>
              <a:gd name="connsiteX6437" fmla="*/ 7820508 w 12192000"/>
              <a:gd name="connsiteY6437" fmla="*/ 4170499 h 6858000"/>
              <a:gd name="connsiteX6438" fmla="*/ 7852712 w 12192000"/>
              <a:gd name="connsiteY6438" fmla="*/ 4200151 h 6858000"/>
              <a:gd name="connsiteX6439" fmla="*/ 7820508 w 12192000"/>
              <a:gd name="connsiteY6439" fmla="*/ 4229803 h 6858000"/>
              <a:gd name="connsiteX6440" fmla="*/ 7899042 w 12192000"/>
              <a:gd name="connsiteY6440" fmla="*/ 4229803 h 6858000"/>
              <a:gd name="connsiteX6441" fmla="*/ 7866826 w 12192000"/>
              <a:gd name="connsiteY6441" fmla="*/ 4200151 h 6858000"/>
              <a:gd name="connsiteX6442" fmla="*/ 7899042 w 12192000"/>
              <a:gd name="connsiteY6442" fmla="*/ 4170499 h 6858000"/>
              <a:gd name="connsiteX6443" fmla="*/ 7931247 w 12192000"/>
              <a:gd name="connsiteY6443" fmla="*/ 4200151 h 6858000"/>
              <a:gd name="connsiteX6444" fmla="*/ 7899042 w 12192000"/>
              <a:gd name="connsiteY6444" fmla="*/ 4229803 h 6858000"/>
              <a:gd name="connsiteX6445" fmla="*/ 7977576 w 12192000"/>
              <a:gd name="connsiteY6445" fmla="*/ 4229803 h 6858000"/>
              <a:gd name="connsiteX6446" fmla="*/ 7945359 w 12192000"/>
              <a:gd name="connsiteY6446" fmla="*/ 4200151 h 6858000"/>
              <a:gd name="connsiteX6447" fmla="*/ 7977576 w 12192000"/>
              <a:gd name="connsiteY6447" fmla="*/ 4170499 h 6858000"/>
              <a:gd name="connsiteX6448" fmla="*/ 8009780 w 12192000"/>
              <a:gd name="connsiteY6448" fmla="*/ 4200151 h 6858000"/>
              <a:gd name="connsiteX6449" fmla="*/ 7977576 w 12192000"/>
              <a:gd name="connsiteY6449" fmla="*/ 4229803 h 6858000"/>
              <a:gd name="connsiteX6450" fmla="*/ 8056110 w 12192000"/>
              <a:gd name="connsiteY6450" fmla="*/ 4229803 h 6858000"/>
              <a:gd name="connsiteX6451" fmla="*/ 8023894 w 12192000"/>
              <a:gd name="connsiteY6451" fmla="*/ 4200151 h 6858000"/>
              <a:gd name="connsiteX6452" fmla="*/ 8056110 w 12192000"/>
              <a:gd name="connsiteY6452" fmla="*/ 4170499 h 6858000"/>
              <a:gd name="connsiteX6453" fmla="*/ 8088314 w 12192000"/>
              <a:gd name="connsiteY6453" fmla="*/ 4200151 h 6858000"/>
              <a:gd name="connsiteX6454" fmla="*/ 8056110 w 12192000"/>
              <a:gd name="connsiteY6454" fmla="*/ 4229803 h 6858000"/>
              <a:gd name="connsiteX6455" fmla="*/ 8134643 w 12192000"/>
              <a:gd name="connsiteY6455" fmla="*/ 4229803 h 6858000"/>
              <a:gd name="connsiteX6456" fmla="*/ 8102427 w 12192000"/>
              <a:gd name="connsiteY6456" fmla="*/ 4200151 h 6858000"/>
              <a:gd name="connsiteX6457" fmla="*/ 8134643 w 12192000"/>
              <a:gd name="connsiteY6457" fmla="*/ 4170499 h 6858000"/>
              <a:gd name="connsiteX6458" fmla="*/ 8166847 w 12192000"/>
              <a:gd name="connsiteY6458" fmla="*/ 4200151 h 6858000"/>
              <a:gd name="connsiteX6459" fmla="*/ 8134643 w 12192000"/>
              <a:gd name="connsiteY6459" fmla="*/ 4229803 h 6858000"/>
              <a:gd name="connsiteX6460" fmla="*/ 8213177 w 12192000"/>
              <a:gd name="connsiteY6460" fmla="*/ 4229803 h 6858000"/>
              <a:gd name="connsiteX6461" fmla="*/ 8180961 w 12192000"/>
              <a:gd name="connsiteY6461" fmla="*/ 4200151 h 6858000"/>
              <a:gd name="connsiteX6462" fmla="*/ 8213177 w 12192000"/>
              <a:gd name="connsiteY6462" fmla="*/ 4170499 h 6858000"/>
              <a:gd name="connsiteX6463" fmla="*/ 8245382 w 12192000"/>
              <a:gd name="connsiteY6463" fmla="*/ 4200151 h 6858000"/>
              <a:gd name="connsiteX6464" fmla="*/ 8213177 w 12192000"/>
              <a:gd name="connsiteY6464" fmla="*/ 4229803 h 6858000"/>
              <a:gd name="connsiteX6465" fmla="*/ 8291712 w 12192000"/>
              <a:gd name="connsiteY6465" fmla="*/ 4229803 h 6858000"/>
              <a:gd name="connsiteX6466" fmla="*/ 8259495 w 12192000"/>
              <a:gd name="connsiteY6466" fmla="*/ 4200151 h 6858000"/>
              <a:gd name="connsiteX6467" fmla="*/ 8291712 w 12192000"/>
              <a:gd name="connsiteY6467" fmla="*/ 4170499 h 6858000"/>
              <a:gd name="connsiteX6468" fmla="*/ 8323916 w 12192000"/>
              <a:gd name="connsiteY6468" fmla="*/ 4200151 h 6858000"/>
              <a:gd name="connsiteX6469" fmla="*/ 8291712 w 12192000"/>
              <a:gd name="connsiteY6469" fmla="*/ 4229803 h 6858000"/>
              <a:gd name="connsiteX6470" fmla="*/ 8370245 w 12192000"/>
              <a:gd name="connsiteY6470" fmla="*/ 4229803 h 6858000"/>
              <a:gd name="connsiteX6471" fmla="*/ 8338029 w 12192000"/>
              <a:gd name="connsiteY6471" fmla="*/ 4200151 h 6858000"/>
              <a:gd name="connsiteX6472" fmla="*/ 8370245 w 12192000"/>
              <a:gd name="connsiteY6472" fmla="*/ 4170499 h 6858000"/>
              <a:gd name="connsiteX6473" fmla="*/ 8402449 w 12192000"/>
              <a:gd name="connsiteY6473" fmla="*/ 4200151 h 6858000"/>
              <a:gd name="connsiteX6474" fmla="*/ 8370245 w 12192000"/>
              <a:gd name="connsiteY6474" fmla="*/ 4229803 h 6858000"/>
              <a:gd name="connsiteX6475" fmla="*/ 8448779 w 12192000"/>
              <a:gd name="connsiteY6475" fmla="*/ 4229803 h 6858000"/>
              <a:gd name="connsiteX6476" fmla="*/ 8416563 w 12192000"/>
              <a:gd name="connsiteY6476" fmla="*/ 4200151 h 6858000"/>
              <a:gd name="connsiteX6477" fmla="*/ 8448779 w 12192000"/>
              <a:gd name="connsiteY6477" fmla="*/ 4170499 h 6858000"/>
              <a:gd name="connsiteX6478" fmla="*/ 8480983 w 12192000"/>
              <a:gd name="connsiteY6478" fmla="*/ 4200151 h 6858000"/>
              <a:gd name="connsiteX6479" fmla="*/ 8448779 w 12192000"/>
              <a:gd name="connsiteY6479" fmla="*/ 4229803 h 6858000"/>
              <a:gd name="connsiteX6480" fmla="*/ 8527313 w 12192000"/>
              <a:gd name="connsiteY6480" fmla="*/ 4229803 h 6858000"/>
              <a:gd name="connsiteX6481" fmla="*/ 8495097 w 12192000"/>
              <a:gd name="connsiteY6481" fmla="*/ 4200151 h 6858000"/>
              <a:gd name="connsiteX6482" fmla="*/ 8527313 w 12192000"/>
              <a:gd name="connsiteY6482" fmla="*/ 4170499 h 6858000"/>
              <a:gd name="connsiteX6483" fmla="*/ 8559518 w 12192000"/>
              <a:gd name="connsiteY6483" fmla="*/ 4200151 h 6858000"/>
              <a:gd name="connsiteX6484" fmla="*/ 8527313 w 12192000"/>
              <a:gd name="connsiteY6484" fmla="*/ 4229803 h 6858000"/>
              <a:gd name="connsiteX6485" fmla="*/ 8684381 w 12192000"/>
              <a:gd name="connsiteY6485" fmla="*/ 4229803 h 6858000"/>
              <a:gd name="connsiteX6486" fmla="*/ 8652165 w 12192000"/>
              <a:gd name="connsiteY6486" fmla="*/ 4200151 h 6858000"/>
              <a:gd name="connsiteX6487" fmla="*/ 8684381 w 12192000"/>
              <a:gd name="connsiteY6487" fmla="*/ 4170499 h 6858000"/>
              <a:gd name="connsiteX6488" fmla="*/ 8716585 w 12192000"/>
              <a:gd name="connsiteY6488" fmla="*/ 4200151 h 6858000"/>
              <a:gd name="connsiteX6489" fmla="*/ 8684381 w 12192000"/>
              <a:gd name="connsiteY6489" fmla="*/ 4229803 h 6858000"/>
              <a:gd name="connsiteX6490" fmla="*/ 8762914 w 12192000"/>
              <a:gd name="connsiteY6490" fmla="*/ 4229803 h 6858000"/>
              <a:gd name="connsiteX6491" fmla="*/ 8730698 w 12192000"/>
              <a:gd name="connsiteY6491" fmla="*/ 4200151 h 6858000"/>
              <a:gd name="connsiteX6492" fmla="*/ 8762914 w 12192000"/>
              <a:gd name="connsiteY6492" fmla="*/ 4170499 h 6858000"/>
              <a:gd name="connsiteX6493" fmla="*/ 8795118 w 12192000"/>
              <a:gd name="connsiteY6493" fmla="*/ 4200151 h 6858000"/>
              <a:gd name="connsiteX6494" fmla="*/ 8762914 w 12192000"/>
              <a:gd name="connsiteY6494" fmla="*/ 4229803 h 6858000"/>
              <a:gd name="connsiteX6495" fmla="*/ 8841448 w 12192000"/>
              <a:gd name="connsiteY6495" fmla="*/ 4229803 h 6858000"/>
              <a:gd name="connsiteX6496" fmla="*/ 8809232 w 12192000"/>
              <a:gd name="connsiteY6496" fmla="*/ 4200151 h 6858000"/>
              <a:gd name="connsiteX6497" fmla="*/ 8841448 w 12192000"/>
              <a:gd name="connsiteY6497" fmla="*/ 4170499 h 6858000"/>
              <a:gd name="connsiteX6498" fmla="*/ 8873653 w 12192000"/>
              <a:gd name="connsiteY6498" fmla="*/ 4200151 h 6858000"/>
              <a:gd name="connsiteX6499" fmla="*/ 8841448 w 12192000"/>
              <a:gd name="connsiteY6499" fmla="*/ 4229803 h 6858000"/>
              <a:gd name="connsiteX6500" fmla="*/ 8919983 w 12192000"/>
              <a:gd name="connsiteY6500" fmla="*/ 4229803 h 6858000"/>
              <a:gd name="connsiteX6501" fmla="*/ 8887766 w 12192000"/>
              <a:gd name="connsiteY6501" fmla="*/ 4200151 h 6858000"/>
              <a:gd name="connsiteX6502" fmla="*/ 8919983 w 12192000"/>
              <a:gd name="connsiteY6502" fmla="*/ 4170499 h 6858000"/>
              <a:gd name="connsiteX6503" fmla="*/ 8952187 w 12192000"/>
              <a:gd name="connsiteY6503" fmla="*/ 4200151 h 6858000"/>
              <a:gd name="connsiteX6504" fmla="*/ 8919983 w 12192000"/>
              <a:gd name="connsiteY6504" fmla="*/ 4229803 h 6858000"/>
              <a:gd name="connsiteX6505" fmla="*/ 8998516 w 12192000"/>
              <a:gd name="connsiteY6505" fmla="*/ 4229803 h 6858000"/>
              <a:gd name="connsiteX6506" fmla="*/ 8966300 w 12192000"/>
              <a:gd name="connsiteY6506" fmla="*/ 4200151 h 6858000"/>
              <a:gd name="connsiteX6507" fmla="*/ 8998516 w 12192000"/>
              <a:gd name="connsiteY6507" fmla="*/ 4170499 h 6858000"/>
              <a:gd name="connsiteX6508" fmla="*/ 9030720 w 12192000"/>
              <a:gd name="connsiteY6508" fmla="*/ 4200151 h 6858000"/>
              <a:gd name="connsiteX6509" fmla="*/ 8998516 w 12192000"/>
              <a:gd name="connsiteY6509" fmla="*/ 4229803 h 6858000"/>
              <a:gd name="connsiteX6510" fmla="*/ 9077050 w 12192000"/>
              <a:gd name="connsiteY6510" fmla="*/ 4229803 h 6858000"/>
              <a:gd name="connsiteX6511" fmla="*/ 9044834 w 12192000"/>
              <a:gd name="connsiteY6511" fmla="*/ 4200151 h 6858000"/>
              <a:gd name="connsiteX6512" fmla="*/ 9077050 w 12192000"/>
              <a:gd name="connsiteY6512" fmla="*/ 4170499 h 6858000"/>
              <a:gd name="connsiteX6513" fmla="*/ 9109254 w 12192000"/>
              <a:gd name="connsiteY6513" fmla="*/ 4200151 h 6858000"/>
              <a:gd name="connsiteX6514" fmla="*/ 9077050 w 12192000"/>
              <a:gd name="connsiteY6514" fmla="*/ 4229803 h 6858000"/>
              <a:gd name="connsiteX6515" fmla="*/ 9155583 w 12192000"/>
              <a:gd name="connsiteY6515" fmla="*/ 4229803 h 6858000"/>
              <a:gd name="connsiteX6516" fmla="*/ 9123367 w 12192000"/>
              <a:gd name="connsiteY6516" fmla="*/ 4200151 h 6858000"/>
              <a:gd name="connsiteX6517" fmla="*/ 9155583 w 12192000"/>
              <a:gd name="connsiteY6517" fmla="*/ 4170499 h 6858000"/>
              <a:gd name="connsiteX6518" fmla="*/ 9187788 w 12192000"/>
              <a:gd name="connsiteY6518" fmla="*/ 4200151 h 6858000"/>
              <a:gd name="connsiteX6519" fmla="*/ 9155583 w 12192000"/>
              <a:gd name="connsiteY6519" fmla="*/ 4229803 h 6858000"/>
              <a:gd name="connsiteX6520" fmla="*/ 9234118 w 12192000"/>
              <a:gd name="connsiteY6520" fmla="*/ 4229803 h 6858000"/>
              <a:gd name="connsiteX6521" fmla="*/ 9201901 w 12192000"/>
              <a:gd name="connsiteY6521" fmla="*/ 4200151 h 6858000"/>
              <a:gd name="connsiteX6522" fmla="*/ 9234118 w 12192000"/>
              <a:gd name="connsiteY6522" fmla="*/ 4170499 h 6858000"/>
              <a:gd name="connsiteX6523" fmla="*/ 9266322 w 12192000"/>
              <a:gd name="connsiteY6523" fmla="*/ 4200151 h 6858000"/>
              <a:gd name="connsiteX6524" fmla="*/ 9234118 w 12192000"/>
              <a:gd name="connsiteY6524" fmla="*/ 4229803 h 6858000"/>
              <a:gd name="connsiteX6525" fmla="*/ 9312652 w 12192000"/>
              <a:gd name="connsiteY6525" fmla="*/ 4229803 h 6858000"/>
              <a:gd name="connsiteX6526" fmla="*/ 9280436 w 12192000"/>
              <a:gd name="connsiteY6526" fmla="*/ 4200151 h 6858000"/>
              <a:gd name="connsiteX6527" fmla="*/ 9312652 w 12192000"/>
              <a:gd name="connsiteY6527" fmla="*/ 4170499 h 6858000"/>
              <a:gd name="connsiteX6528" fmla="*/ 9344856 w 12192000"/>
              <a:gd name="connsiteY6528" fmla="*/ 4200151 h 6858000"/>
              <a:gd name="connsiteX6529" fmla="*/ 9312652 w 12192000"/>
              <a:gd name="connsiteY6529" fmla="*/ 4229803 h 6858000"/>
              <a:gd name="connsiteX6530" fmla="*/ 9391185 w 12192000"/>
              <a:gd name="connsiteY6530" fmla="*/ 4229803 h 6858000"/>
              <a:gd name="connsiteX6531" fmla="*/ 9358969 w 12192000"/>
              <a:gd name="connsiteY6531" fmla="*/ 4200151 h 6858000"/>
              <a:gd name="connsiteX6532" fmla="*/ 9391185 w 12192000"/>
              <a:gd name="connsiteY6532" fmla="*/ 4170499 h 6858000"/>
              <a:gd name="connsiteX6533" fmla="*/ 9423389 w 12192000"/>
              <a:gd name="connsiteY6533" fmla="*/ 4200151 h 6858000"/>
              <a:gd name="connsiteX6534" fmla="*/ 9391185 w 12192000"/>
              <a:gd name="connsiteY6534" fmla="*/ 4229803 h 6858000"/>
              <a:gd name="connsiteX6535" fmla="*/ 9469719 w 12192000"/>
              <a:gd name="connsiteY6535" fmla="*/ 4229803 h 6858000"/>
              <a:gd name="connsiteX6536" fmla="*/ 9437503 w 12192000"/>
              <a:gd name="connsiteY6536" fmla="*/ 4200151 h 6858000"/>
              <a:gd name="connsiteX6537" fmla="*/ 9469719 w 12192000"/>
              <a:gd name="connsiteY6537" fmla="*/ 4170499 h 6858000"/>
              <a:gd name="connsiteX6538" fmla="*/ 9501924 w 12192000"/>
              <a:gd name="connsiteY6538" fmla="*/ 4200151 h 6858000"/>
              <a:gd name="connsiteX6539" fmla="*/ 9469719 w 12192000"/>
              <a:gd name="connsiteY6539" fmla="*/ 4229803 h 6858000"/>
              <a:gd name="connsiteX6540" fmla="*/ 9548254 w 12192000"/>
              <a:gd name="connsiteY6540" fmla="*/ 4229803 h 6858000"/>
              <a:gd name="connsiteX6541" fmla="*/ 9516037 w 12192000"/>
              <a:gd name="connsiteY6541" fmla="*/ 4200151 h 6858000"/>
              <a:gd name="connsiteX6542" fmla="*/ 9548254 w 12192000"/>
              <a:gd name="connsiteY6542" fmla="*/ 4170499 h 6858000"/>
              <a:gd name="connsiteX6543" fmla="*/ 9580458 w 12192000"/>
              <a:gd name="connsiteY6543" fmla="*/ 4200151 h 6858000"/>
              <a:gd name="connsiteX6544" fmla="*/ 9548254 w 12192000"/>
              <a:gd name="connsiteY6544" fmla="*/ 4229803 h 6858000"/>
              <a:gd name="connsiteX6545" fmla="*/ 9626787 w 12192000"/>
              <a:gd name="connsiteY6545" fmla="*/ 4229803 h 6858000"/>
              <a:gd name="connsiteX6546" fmla="*/ 9594571 w 12192000"/>
              <a:gd name="connsiteY6546" fmla="*/ 4200151 h 6858000"/>
              <a:gd name="connsiteX6547" fmla="*/ 9626787 w 12192000"/>
              <a:gd name="connsiteY6547" fmla="*/ 4170499 h 6858000"/>
              <a:gd name="connsiteX6548" fmla="*/ 9658991 w 12192000"/>
              <a:gd name="connsiteY6548" fmla="*/ 4200151 h 6858000"/>
              <a:gd name="connsiteX6549" fmla="*/ 9626787 w 12192000"/>
              <a:gd name="connsiteY6549" fmla="*/ 4229803 h 6858000"/>
              <a:gd name="connsiteX6550" fmla="*/ 9783854 w 12192000"/>
              <a:gd name="connsiteY6550" fmla="*/ 4229803 h 6858000"/>
              <a:gd name="connsiteX6551" fmla="*/ 9751638 w 12192000"/>
              <a:gd name="connsiteY6551" fmla="*/ 4200151 h 6858000"/>
              <a:gd name="connsiteX6552" fmla="*/ 9783854 w 12192000"/>
              <a:gd name="connsiteY6552" fmla="*/ 4170499 h 6858000"/>
              <a:gd name="connsiteX6553" fmla="*/ 9816059 w 12192000"/>
              <a:gd name="connsiteY6553" fmla="*/ 4200151 h 6858000"/>
              <a:gd name="connsiteX6554" fmla="*/ 9783854 w 12192000"/>
              <a:gd name="connsiteY6554" fmla="*/ 4229803 h 6858000"/>
              <a:gd name="connsiteX6555" fmla="*/ 2637243 w 12192000"/>
              <a:gd name="connsiteY6555" fmla="*/ 4157538 h 6858000"/>
              <a:gd name="connsiteX6556" fmla="*/ 2605032 w 12192000"/>
              <a:gd name="connsiteY6556" fmla="*/ 4127885 h 6858000"/>
              <a:gd name="connsiteX6557" fmla="*/ 2637243 w 12192000"/>
              <a:gd name="connsiteY6557" fmla="*/ 4098233 h 6858000"/>
              <a:gd name="connsiteX6558" fmla="*/ 2669453 w 12192000"/>
              <a:gd name="connsiteY6558" fmla="*/ 4127885 h 6858000"/>
              <a:gd name="connsiteX6559" fmla="*/ 2637243 w 12192000"/>
              <a:gd name="connsiteY6559" fmla="*/ 4157538 h 6858000"/>
              <a:gd name="connsiteX6560" fmla="*/ 2715777 w 12192000"/>
              <a:gd name="connsiteY6560" fmla="*/ 4157538 h 6858000"/>
              <a:gd name="connsiteX6561" fmla="*/ 2683566 w 12192000"/>
              <a:gd name="connsiteY6561" fmla="*/ 4127885 h 6858000"/>
              <a:gd name="connsiteX6562" fmla="*/ 2715777 w 12192000"/>
              <a:gd name="connsiteY6562" fmla="*/ 4098233 h 6858000"/>
              <a:gd name="connsiteX6563" fmla="*/ 2747987 w 12192000"/>
              <a:gd name="connsiteY6563" fmla="*/ 4127885 h 6858000"/>
              <a:gd name="connsiteX6564" fmla="*/ 2715777 w 12192000"/>
              <a:gd name="connsiteY6564" fmla="*/ 4157538 h 6858000"/>
              <a:gd name="connsiteX6565" fmla="*/ 2794310 w 12192000"/>
              <a:gd name="connsiteY6565" fmla="*/ 4157538 h 6858000"/>
              <a:gd name="connsiteX6566" fmla="*/ 2762100 w 12192000"/>
              <a:gd name="connsiteY6566" fmla="*/ 4127885 h 6858000"/>
              <a:gd name="connsiteX6567" fmla="*/ 2794310 w 12192000"/>
              <a:gd name="connsiteY6567" fmla="*/ 4098233 h 6858000"/>
              <a:gd name="connsiteX6568" fmla="*/ 2826520 w 12192000"/>
              <a:gd name="connsiteY6568" fmla="*/ 4127885 h 6858000"/>
              <a:gd name="connsiteX6569" fmla="*/ 2794310 w 12192000"/>
              <a:gd name="connsiteY6569" fmla="*/ 4157538 h 6858000"/>
              <a:gd name="connsiteX6570" fmla="*/ 2872844 w 12192000"/>
              <a:gd name="connsiteY6570" fmla="*/ 4157538 h 6858000"/>
              <a:gd name="connsiteX6571" fmla="*/ 2840634 w 12192000"/>
              <a:gd name="connsiteY6571" fmla="*/ 4127885 h 6858000"/>
              <a:gd name="connsiteX6572" fmla="*/ 2872844 w 12192000"/>
              <a:gd name="connsiteY6572" fmla="*/ 4098233 h 6858000"/>
              <a:gd name="connsiteX6573" fmla="*/ 2905055 w 12192000"/>
              <a:gd name="connsiteY6573" fmla="*/ 4127885 h 6858000"/>
              <a:gd name="connsiteX6574" fmla="*/ 2872844 w 12192000"/>
              <a:gd name="connsiteY6574" fmla="*/ 4157538 h 6858000"/>
              <a:gd name="connsiteX6575" fmla="*/ 2951379 w 12192000"/>
              <a:gd name="connsiteY6575" fmla="*/ 4157538 h 6858000"/>
              <a:gd name="connsiteX6576" fmla="*/ 2919168 w 12192000"/>
              <a:gd name="connsiteY6576" fmla="*/ 4127885 h 6858000"/>
              <a:gd name="connsiteX6577" fmla="*/ 2951379 w 12192000"/>
              <a:gd name="connsiteY6577" fmla="*/ 4098233 h 6858000"/>
              <a:gd name="connsiteX6578" fmla="*/ 2983589 w 12192000"/>
              <a:gd name="connsiteY6578" fmla="*/ 4127885 h 6858000"/>
              <a:gd name="connsiteX6579" fmla="*/ 2951379 w 12192000"/>
              <a:gd name="connsiteY6579" fmla="*/ 4157538 h 6858000"/>
              <a:gd name="connsiteX6580" fmla="*/ 3029912 w 12192000"/>
              <a:gd name="connsiteY6580" fmla="*/ 4157538 h 6858000"/>
              <a:gd name="connsiteX6581" fmla="*/ 2997701 w 12192000"/>
              <a:gd name="connsiteY6581" fmla="*/ 4127885 h 6858000"/>
              <a:gd name="connsiteX6582" fmla="*/ 3029912 w 12192000"/>
              <a:gd name="connsiteY6582" fmla="*/ 4098233 h 6858000"/>
              <a:gd name="connsiteX6583" fmla="*/ 3062122 w 12192000"/>
              <a:gd name="connsiteY6583" fmla="*/ 4127885 h 6858000"/>
              <a:gd name="connsiteX6584" fmla="*/ 3029912 w 12192000"/>
              <a:gd name="connsiteY6584" fmla="*/ 4157538 h 6858000"/>
              <a:gd name="connsiteX6585" fmla="*/ 3108446 w 12192000"/>
              <a:gd name="connsiteY6585" fmla="*/ 4157538 h 6858000"/>
              <a:gd name="connsiteX6586" fmla="*/ 3076236 w 12192000"/>
              <a:gd name="connsiteY6586" fmla="*/ 4127885 h 6858000"/>
              <a:gd name="connsiteX6587" fmla="*/ 3108446 w 12192000"/>
              <a:gd name="connsiteY6587" fmla="*/ 4098233 h 6858000"/>
              <a:gd name="connsiteX6588" fmla="*/ 3140656 w 12192000"/>
              <a:gd name="connsiteY6588" fmla="*/ 4127885 h 6858000"/>
              <a:gd name="connsiteX6589" fmla="*/ 3108446 w 12192000"/>
              <a:gd name="connsiteY6589" fmla="*/ 4157538 h 6858000"/>
              <a:gd name="connsiteX6590" fmla="*/ 3186979 w 12192000"/>
              <a:gd name="connsiteY6590" fmla="*/ 4157538 h 6858000"/>
              <a:gd name="connsiteX6591" fmla="*/ 3154769 w 12192000"/>
              <a:gd name="connsiteY6591" fmla="*/ 4127885 h 6858000"/>
              <a:gd name="connsiteX6592" fmla="*/ 3186979 w 12192000"/>
              <a:gd name="connsiteY6592" fmla="*/ 4098233 h 6858000"/>
              <a:gd name="connsiteX6593" fmla="*/ 3219190 w 12192000"/>
              <a:gd name="connsiteY6593" fmla="*/ 4127885 h 6858000"/>
              <a:gd name="connsiteX6594" fmla="*/ 3186979 w 12192000"/>
              <a:gd name="connsiteY6594" fmla="*/ 4157538 h 6858000"/>
              <a:gd name="connsiteX6595" fmla="*/ 3265514 w 12192000"/>
              <a:gd name="connsiteY6595" fmla="*/ 4157538 h 6858000"/>
              <a:gd name="connsiteX6596" fmla="*/ 3233303 w 12192000"/>
              <a:gd name="connsiteY6596" fmla="*/ 4127885 h 6858000"/>
              <a:gd name="connsiteX6597" fmla="*/ 3265514 w 12192000"/>
              <a:gd name="connsiteY6597" fmla="*/ 4098233 h 6858000"/>
              <a:gd name="connsiteX6598" fmla="*/ 3297724 w 12192000"/>
              <a:gd name="connsiteY6598" fmla="*/ 4127885 h 6858000"/>
              <a:gd name="connsiteX6599" fmla="*/ 3265514 w 12192000"/>
              <a:gd name="connsiteY6599" fmla="*/ 4157538 h 6858000"/>
              <a:gd name="connsiteX6600" fmla="*/ 3344048 w 12192000"/>
              <a:gd name="connsiteY6600" fmla="*/ 4157538 h 6858000"/>
              <a:gd name="connsiteX6601" fmla="*/ 3311837 w 12192000"/>
              <a:gd name="connsiteY6601" fmla="*/ 4127885 h 6858000"/>
              <a:gd name="connsiteX6602" fmla="*/ 3344048 w 12192000"/>
              <a:gd name="connsiteY6602" fmla="*/ 4098233 h 6858000"/>
              <a:gd name="connsiteX6603" fmla="*/ 3376258 w 12192000"/>
              <a:gd name="connsiteY6603" fmla="*/ 4127885 h 6858000"/>
              <a:gd name="connsiteX6604" fmla="*/ 3344048 w 12192000"/>
              <a:gd name="connsiteY6604" fmla="*/ 4157538 h 6858000"/>
              <a:gd name="connsiteX6605" fmla="*/ 3422581 w 12192000"/>
              <a:gd name="connsiteY6605" fmla="*/ 4157538 h 6858000"/>
              <a:gd name="connsiteX6606" fmla="*/ 3390371 w 12192000"/>
              <a:gd name="connsiteY6606" fmla="*/ 4127885 h 6858000"/>
              <a:gd name="connsiteX6607" fmla="*/ 3422581 w 12192000"/>
              <a:gd name="connsiteY6607" fmla="*/ 4098233 h 6858000"/>
              <a:gd name="connsiteX6608" fmla="*/ 3454791 w 12192000"/>
              <a:gd name="connsiteY6608" fmla="*/ 4127885 h 6858000"/>
              <a:gd name="connsiteX6609" fmla="*/ 3422581 w 12192000"/>
              <a:gd name="connsiteY6609" fmla="*/ 4157538 h 6858000"/>
              <a:gd name="connsiteX6610" fmla="*/ 3501115 w 12192000"/>
              <a:gd name="connsiteY6610" fmla="*/ 4157538 h 6858000"/>
              <a:gd name="connsiteX6611" fmla="*/ 3468905 w 12192000"/>
              <a:gd name="connsiteY6611" fmla="*/ 4127885 h 6858000"/>
              <a:gd name="connsiteX6612" fmla="*/ 3501115 w 12192000"/>
              <a:gd name="connsiteY6612" fmla="*/ 4098233 h 6858000"/>
              <a:gd name="connsiteX6613" fmla="*/ 3533326 w 12192000"/>
              <a:gd name="connsiteY6613" fmla="*/ 4127885 h 6858000"/>
              <a:gd name="connsiteX6614" fmla="*/ 3501115 w 12192000"/>
              <a:gd name="connsiteY6614" fmla="*/ 4157538 h 6858000"/>
              <a:gd name="connsiteX6615" fmla="*/ 3579650 w 12192000"/>
              <a:gd name="connsiteY6615" fmla="*/ 4157538 h 6858000"/>
              <a:gd name="connsiteX6616" fmla="*/ 3547439 w 12192000"/>
              <a:gd name="connsiteY6616" fmla="*/ 4127885 h 6858000"/>
              <a:gd name="connsiteX6617" fmla="*/ 3579650 w 12192000"/>
              <a:gd name="connsiteY6617" fmla="*/ 4098233 h 6858000"/>
              <a:gd name="connsiteX6618" fmla="*/ 3611860 w 12192000"/>
              <a:gd name="connsiteY6618" fmla="*/ 4127885 h 6858000"/>
              <a:gd name="connsiteX6619" fmla="*/ 3579650 w 12192000"/>
              <a:gd name="connsiteY6619" fmla="*/ 4157538 h 6858000"/>
              <a:gd name="connsiteX6620" fmla="*/ 3658183 w 12192000"/>
              <a:gd name="connsiteY6620" fmla="*/ 4157538 h 6858000"/>
              <a:gd name="connsiteX6621" fmla="*/ 3625972 w 12192000"/>
              <a:gd name="connsiteY6621" fmla="*/ 4127885 h 6858000"/>
              <a:gd name="connsiteX6622" fmla="*/ 3658183 w 12192000"/>
              <a:gd name="connsiteY6622" fmla="*/ 4098233 h 6858000"/>
              <a:gd name="connsiteX6623" fmla="*/ 3690393 w 12192000"/>
              <a:gd name="connsiteY6623" fmla="*/ 4127885 h 6858000"/>
              <a:gd name="connsiteX6624" fmla="*/ 3658183 w 12192000"/>
              <a:gd name="connsiteY6624" fmla="*/ 4157538 h 6858000"/>
              <a:gd name="connsiteX6625" fmla="*/ 3736717 w 12192000"/>
              <a:gd name="connsiteY6625" fmla="*/ 4157538 h 6858000"/>
              <a:gd name="connsiteX6626" fmla="*/ 3704507 w 12192000"/>
              <a:gd name="connsiteY6626" fmla="*/ 4127885 h 6858000"/>
              <a:gd name="connsiteX6627" fmla="*/ 3736717 w 12192000"/>
              <a:gd name="connsiteY6627" fmla="*/ 4098233 h 6858000"/>
              <a:gd name="connsiteX6628" fmla="*/ 3768927 w 12192000"/>
              <a:gd name="connsiteY6628" fmla="*/ 4127885 h 6858000"/>
              <a:gd name="connsiteX6629" fmla="*/ 3736717 w 12192000"/>
              <a:gd name="connsiteY6629" fmla="*/ 4157538 h 6858000"/>
              <a:gd name="connsiteX6630" fmla="*/ 3815250 w 12192000"/>
              <a:gd name="connsiteY6630" fmla="*/ 4157538 h 6858000"/>
              <a:gd name="connsiteX6631" fmla="*/ 3783040 w 12192000"/>
              <a:gd name="connsiteY6631" fmla="*/ 4127885 h 6858000"/>
              <a:gd name="connsiteX6632" fmla="*/ 3815250 w 12192000"/>
              <a:gd name="connsiteY6632" fmla="*/ 4098233 h 6858000"/>
              <a:gd name="connsiteX6633" fmla="*/ 3847461 w 12192000"/>
              <a:gd name="connsiteY6633" fmla="*/ 4127885 h 6858000"/>
              <a:gd name="connsiteX6634" fmla="*/ 3815250 w 12192000"/>
              <a:gd name="connsiteY6634" fmla="*/ 4157538 h 6858000"/>
              <a:gd name="connsiteX6635" fmla="*/ 3893785 w 12192000"/>
              <a:gd name="connsiteY6635" fmla="*/ 4157538 h 6858000"/>
              <a:gd name="connsiteX6636" fmla="*/ 3861574 w 12192000"/>
              <a:gd name="connsiteY6636" fmla="*/ 4127885 h 6858000"/>
              <a:gd name="connsiteX6637" fmla="*/ 3893785 w 12192000"/>
              <a:gd name="connsiteY6637" fmla="*/ 4098233 h 6858000"/>
              <a:gd name="connsiteX6638" fmla="*/ 3925995 w 12192000"/>
              <a:gd name="connsiteY6638" fmla="*/ 4127885 h 6858000"/>
              <a:gd name="connsiteX6639" fmla="*/ 3893785 w 12192000"/>
              <a:gd name="connsiteY6639" fmla="*/ 4157538 h 6858000"/>
              <a:gd name="connsiteX6640" fmla="*/ 3972319 w 12192000"/>
              <a:gd name="connsiteY6640" fmla="*/ 4157538 h 6858000"/>
              <a:gd name="connsiteX6641" fmla="*/ 3940108 w 12192000"/>
              <a:gd name="connsiteY6641" fmla="*/ 4127885 h 6858000"/>
              <a:gd name="connsiteX6642" fmla="*/ 3972319 w 12192000"/>
              <a:gd name="connsiteY6642" fmla="*/ 4098233 h 6858000"/>
              <a:gd name="connsiteX6643" fmla="*/ 4004529 w 12192000"/>
              <a:gd name="connsiteY6643" fmla="*/ 4127885 h 6858000"/>
              <a:gd name="connsiteX6644" fmla="*/ 3972319 w 12192000"/>
              <a:gd name="connsiteY6644" fmla="*/ 4157538 h 6858000"/>
              <a:gd name="connsiteX6645" fmla="*/ 4050852 w 12192000"/>
              <a:gd name="connsiteY6645" fmla="*/ 4157538 h 6858000"/>
              <a:gd name="connsiteX6646" fmla="*/ 4018642 w 12192000"/>
              <a:gd name="connsiteY6646" fmla="*/ 4127885 h 6858000"/>
              <a:gd name="connsiteX6647" fmla="*/ 4050852 w 12192000"/>
              <a:gd name="connsiteY6647" fmla="*/ 4098233 h 6858000"/>
              <a:gd name="connsiteX6648" fmla="*/ 4083062 w 12192000"/>
              <a:gd name="connsiteY6648" fmla="*/ 4127885 h 6858000"/>
              <a:gd name="connsiteX6649" fmla="*/ 4050852 w 12192000"/>
              <a:gd name="connsiteY6649" fmla="*/ 4157538 h 6858000"/>
              <a:gd name="connsiteX6650" fmla="*/ 4129386 w 12192000"/>
              <a:gd name="connsiteY6650" fmla="*/ 4157538 h 6858000"/>
              <a:gd name="connsiteX6651" fmla="*/ 4097176 w 12192000"/>
              <a:gd name="connsiteY6651" fmla="*/ 4127885 h 6858000"/>
              <a:gd name="connsiteX6652" fmla="*/ 4129386 w 12192000"/>
              <a:gd name="connsiteY6652" fmla="*/ 4098233 h 6858000"/>
              <a:gd name="connsiteX6653" fmla="*/ 4161597 w 12192000"/>
              <a:gd name="connsiteY6653" fmla="*/ 4127885 h 6858000"/>
              <a:gd name="connsiteX6654" fmla="*/ 4129386 w 12192000"/>
              <a:gd name="connsiteY6654" fmla="*/ 4157538 h 6858000"/>
              <a:gd name="connsiteX6655" fmla="*/ 5857137 w 12192000"/>
              <a:gd name="connsiteY6655" fmla="*/ 4157538 h 6858000"/>
              <a:gd name="connsiteX6656" fmla="*/ 5824927 w 12192000"/>
              <a:gd name="connsiteY6656" fmla="*/ 4127885 h 6858000"/>
              <a:gd name="connsiteX6657" fmla="*/ 5857137 w 12192000"/>
              <a:gd name="connsiteY6657" fmla="*/ 4098233 h 6858000"/>
              <a:gd name="connsiteX6658" fmla="*/ 5889347 w 12192000"/>
              <a:gd name="connsiteY6658" fmla="*/ 4127885 h 6858000"/>
              <a:gd name="connsiteX6659" fmla="*/ 5857137 w 12192000"/>
              <a:gd name="connsiteY6659" fmla="*/ 4157538 h 6858000"/>
              <a:gd name="connsiteX6660" fmla="*/ 5935671 w 12192000"/>
              <a:gd name="connsiteY6660" fmla="*/ 4157538 h 6858000"/>
              <a:gd name="connsiteX6661" fmla="*/ 5903461 w 12192000"/>
              <a:gd name="connsiteY6661" fmla="*/ 4127885 h 6858000"/>
              <a:gd name="connsiteX6662" fmla="*/ 5935671 w 12192000"/>
              <a:gd name="connsiteY6662" fmla="*/ 4098233 h 6858000"/>
              <a:gd name="connsiteX6663" fmla="*/ 5967881 w 12192000"/>
              <a:gd name="connsiteY6663" fmla="*/ 4127885 h 6858000"/>
              <a:gd name="connsiteX6664" fmla="*/ 5935671 w 12192000"/>
              <a:gd name="connsiteY6664" fmla="*/ 4157538 h 6858000"/>
              <a:gd name="connsiteX6665" fmla="*/ 6092739 w 12192000"/>
              <a:gd name="connsiteY6665" fmla="*/ 4157538 h 6858000"/>
              <a:gd name="connsiteX6666" fmla="*/ 6060528 w 12192000"/>
              <a:gd name="connsiteY6666" fmla="*/ 4127885 h 6858000"/>
              <a:gd name="connsiteX6667" fmla="*/ 6092739 w 12192000"/>
              <a:gd name="connsiteY6667" fmla="*/ 4098233 h 6858000"/>
              <a:gd name="connsiteX6668" fmla="*/ 6124949 w 12192000"/>
              <a:gd name="connsiteY6668" fmla="*/ 4127885 h 6858000"/>
              <a:gd name="connsiteX6669" fmla="*/ 6092739 w 12192000"/>
              <a:gd name="connsiteY6669" fmla="*/ 4157538 h 6858000"/>
              <a:gd name="connsiteX6670" fmla="*/ 6171273 w 12192000"/>
              <a:gd name="connsiteY6670" fmla="*/ 4157538 h 6858000"/>
              <a:gd name="connsiteX6671" fmla="*/ 6139056 w 12192000"/>
              <a:gd name="connsiteY6671" fmla="*/ 4127885 h 6858000"/>
              <a:gd name="connsiteX6672" fmla="*/ 6171273 w 12192000"/>
              <a:gd name="connsiteY6672" fmla="*/ 4098233 h 6858000"/>
              <a:gd name="connsiteX6673" fmla="*/ 6203477 w 12192000"/>
              <a:gd name="connsiteY6673" fmla="*/ 4127885 h 6858000"/>
              <a:gd name="connsiteX6674" fmla="*/ 6171273 w 12192000"/>
              <a:gd name="connsiteY6674" fmla="*/ 4157538 h 6858000"/>
              <a:gd name="connsiteX6675" fmla="*/ 6249806 w 12192000"/>
              <a:gd name="connsiteY6675" fmla="*/ 4157538 h 6858000"/>
              <a:gd name="connsiteX6676" fmla="*/ 6217590 w 12192000"/>
              <a:gd name="connsiteY6676" fmla="*/ 4127885 h 6858000"/>
              <a:gd name="connsiteX6677" fmla="*/ 6249806 w 12192000"/>
              <a:gd name="connsiteY6677" fmla="*/ 4098233 h 6858000"/>
              <a:gd name="connsiteX6678" fmla="*/ 6282010 w 12192000"/>
              <a:gd name="connsiteY6678" fmla="*/ 4127885 h 6858000"/>
              <a:gd name="connsiteX6679" fmla="*/ 6249806 w 12192000"/>
              <a:gd name="connsiteY6679" fmla="*/ 4157538 h 6858000"/>
              <a:gd name="connsiteX6680" fmla="*/ 6328340 w 12192000"/>
              <a:gd name="connsiteY6680" fmla="*/ 4157538 h 6858000"/>
              <a:gd name="connsiteX6681" fmla="*/ 6296124 w 12192000"/>
              <a:gd name="connsiteY6681" fmla="*/ 4127885 h 6858000"/>
              <a:gd name="connsiteX6682" fmla="*/ 6328340 w 12192000"/>
              <a:gd name="connsiteY6682" fmla="*/ 4098233 h 6858000"/>
              <a:gd name="connsiteX6683" fmla="*/ 6360545 w 12192000"/>
              <a:gd name="connsiteY6683" fmla="*/ 4127885 h 6858000"/>
              <a:gd name="connsiteX6684" fmla="*/ 6328340 w 12192000"/>
              <a:gd name="connsiteY6684" fmla="*/ 4157538 h 6858000"/>
              <a:gd name="connsiteX6685" fmla="*/ 6406875 w 12192000"/>
              <a:gd name="connsiteY6685" fmla="*/ 4157538 h 6858000"/>
              <a:gd name="connsiteX6686" fmla="*/ 6374658 w 12192000"/>
              <a:gd name="connsiteY6686" fmla="*/ 4127885 h 6858000"/>
              <a:gd name="connsiteX6687" fmla="*/ 6406875 w 12192000"/>
              <a:gd name="connsiteY6687" fmla="*/ 4098233 h 6858000"/>
              <a:gd name="connsiteX6688" fmla="*/ 6439079 w 12192000"/>
              <a:gd name="connsiteY6688" fmla="*/ 4127885 h 6858000"/>
              <a:gd name="connsiteX6689" fmla="*/ 6406875 w 12192000"/>
              <a:gd name="connsiteY6689" fmla="*/ 4157538 h 6858000"/>
              <a:gd name="connsiteX6690" fmla="*/ 6485408 w 12192000"/>
              <a:gd name="connsiteY6690" fmla="*/ 4157538 h 6858000"/>
              <a:gd name="connsiteX6691" fmla="*/ 6453191 w 12192000"/>
              <a:gd name="connsiteY6691" fmla="*/ 4127885 h 6858000"/>
              <a:gd name="connsiteX6692" fmla="*/ 6485408 w 12192000"/>
              <a:gd name="connsiteY6692" fmla="*/ 4098233 h 6858000"/>
              <a:gd name="connsiteX6693" fmla="*/ 6517612 w 12192000"/>
              <a:gd name="connsiteY6693" fmla="*/ 4127885 h 6858000"/>
              <a:gd name="connsiteX6694" fmla="*/ 6485408 w 12192000"/>
              <a:gd name="connsiteY6694" fmla="*/ 4157538 h 6858000"/>
              <a:gd name="connsiteX6695" fmla="*/ 6563942 w 12192000"/>
              <a:gd name="connsiteY6695" fmla="*/ 4157538 h 6858000"/>
              <a:gd name="connsiteX6696" fmla="*/ 6531726 w 12192000"/>
              <a:gd name="connsiteY6696" fmla="*/ 4127885 h 6858000"/>
              <a:gd name="connsiteX6697" fmla="*/ 6563942 w 12192000"/>
              <a:gd name="connsiteY6697" fmla="*/ 4098233 h 6858000"/>
              <a:gd name="connsiteX6698" fmla="*/ 6596146 w 12192000"/>
              <a:gd name="connsiteY6698" fmla="*/ 4127885 h 6858000"/>
              <a:gd name="connsiteX6699" fmla="*/ 6563942 w 12192000"/>
              <a:gd name="connsiteY6699" fmla="*/ 4157538 h 6858000"/>
              <a:gd name="connsiteX6700" fmla="*/ 6642476 w 12192000"/>
              <a:gd name="connsiteY6700" fmla="*/ 4157538 h 6858000"/>
              <a:gd name="connsiteX6701" fmla="*/ 6610260 w 12192000"/>
              <a:gd name="connsiteY6701" fmla="*/ 4127885 h 6858000"/>
              <a:gd name="connsiteX6702" fmla="*/ 6642476 w 12192000"/>
              <a:gd name="connsiteY6702" fmla="*/ 4098233 h 6858000"/>
              <a:gd name="connsiteX6703" fmla="*/ 6674681 w 12192000"/>
              <a:gd name="connsiteY6703" fmla="*/ 4127885 h 6858000"/>
              <a:gd name="connsiteX6704" fmla="*/ 6642476 w 12192000"/>
              <a:gd name="connsiteY6704" fmla="*/ 4157538 h 6858000"/>
              <a:gd name="connsiteX6705" fmla="*/ 6721010 w 12192000"/>
              <a:gd name="connsiteY6705" fmla="*/ 4157538 h 6858000"/>
              <a:gd name="connsiteX6706" fmla="*/ 6688793 w 12192000"/>
              <a:gd name="connsiteY6706" fmla="*/ 4127885 h 6858000"/>
              <a:gd name="connsiteX6707" fmla="*/ 6721010 w 12192000"/>
              <a:gd name="connsiteY6707" fmla="*/ 4098233 h 6858000"/>
              <a:gd name="connsiteX6708" fmla="*/ 6753214 w 12192000"/>
              <a:gd name="connsiteY6708" fmla="*/ 4127885 h 6858000"/>
              <a:gd name="connsiteX6709" fmla="*/ 6721010 w 12192000"/>
              <a:gd name="connsiteY6709" fmla="*/ 4157538 h 6858000"/>
              <a:gd name="connsiteX6710" fmla="*/ 6799544 w 12192000"/>
              <a:gd name="connsiteY6710" fmla="*/ 4157538 h 6858000"/>
              <a:gd name="connsiteX6711" fmla="*/ 6767327 w 12192000"/>
              <a:gd name="connsiteY6711" fmla="*/ 4127885 h 6858000"/>
              <a:gd name="connsiteX6712" fmla="*/ 6799544 w 12192000"/>
              <a:gd name="connsiteY6712" fmla="*/ 4098233 h 6858000"/>
              <a:gd name="connsiteX6713" fmla="*/ 6831748 w 12192000"/>
              <a:gd name="connsiteY6713" fmla="*/ 4127885 h 6858000"/>
              <a:gd name="connsiteX6714" fmla="*/ 6799544 w 12192000"/>
              <a:gd name="connsiteY6714" fmla="*/ 4157538 h 6858000"/>
              <a:gd name="connsiteX6715" fmla="*/ 6878077 w 12192000"/>
              <a:gd name="connsiteY6715" fmla="*/ 4157538 h 6858000"/>
              <a:gd name="connsiteX6716" fmla="*/ 6845861 w 12192000"/>
              <a:gd name="connsiteY6716" fmla="*/ 4127885 h 6858000"/>
              <a:gd name="connsiteX6717" fmla="*/ 6878077 w 12192000"/>
              <a:gd name="connsiteY6717" fmla="*/ 4098233 h 6858000"/>
              <a:gd name="connsiteX6718" fmla="*/ 6910281 w 12192000"/>
              <a:gd name="connsiteY6718" fmla="*/ 4127885 h 6858000"/>
              <a:gd name="connsiteX6719" fmla="*/ 6878077 w 12192000"/>
              <a:gd name="connsiteY6719" fmla="*/ 4157538 h 6858000"/>
              <a:gd name="connsiteX6720" fmla="*/ 6956611 w 12192000"/>
              <a:gd name="connsiteY6720" fmla="*/ 4157538 h 6858000"/>
              <a:gd name="connsiteX6721" fmla="*/ 6924395 w 12192000"/>
              <a:gd name="connsiteY6721" fmla="*/ 4127885 h 6858000"/>
              <a:gd name="connsiteX6722" fmla="*/ 6956611 w 12192000"/>
              <a:gd name="connsiteY6722" fmla="*/ 4098233 h 6858000"/>
              <a:gd name="connsiteX6723" fmla="*/ 6988816 w 12192000"/>
              <a:gd name="connsiteY6723" fmla="*/ 4127885 h 6858000"/>
              <a:gd name="connsiteX6724" fmla="*/ 6956611 w 12192000"/>
              <a:gd name="connsiteY6724" fmla="*/ 4157538 h 6858000"/>
              <a:gd name="connsiteX6725" fmla="*/ 7035146 w 12192000"/>
              <a:gd name="connsiteY6725" fmla="*/ 4157538 h 6858000"/>
              <a:gd name="connsiteX6726" fmla="*/ 7002929 w 12192000"/>
              <a:gd name="connsiteY6726" fmla="*/ 4127885 h 6858000"/>
              <a:gd name="connsiteX6727" fmla="*/ 7035146 w 12192000"/>
              <a:gd name="connsiteY6727" fmla="*/ 4098233 h 6858000"/>
              <a:gd name="connsiteX6728" fmla="*/ 7067350 w 12192000"/>
              <a:gd name="connsiteY6728" fmla="*/ 4127885 h 6858000"/>
              <a:gd name="connsiteX6729" fmla="*/ 7035146 w 12192000"/>
              <a:gd name="connsiteY6729" fmla="*/ 4157538 h 6858000"/>
              <a:gd name="connsiteX6730" fmla="*/ 7113703 w 12192000"/>
              <a:gd name="connsiteY6730" fmla="*/ 4157538 h 6858000"/>
              <a:gd name="connsiteX6731" fmla="*/ 7081487 w 12192000"/>
              <a:gd name="connsiteY6731" fmla="*/ 4127885 h 6858000"/>
              <a:gd name="connsiteX6732" fmla="*/ 7113703 w 12192000"/>
              <a:gd name="connsiteY6732" fmla="*/ 4098233 h 6858000"/>
              <a:gd name="connsiteX6733" fmla="*/ 7145907 w 12192000"/>
              <a:gd name="connsiteY6733" fmla="*/ 4127885 h 6858000"/>
              <a:gd name="connsiteX6734" fmla="*/ 7113703 w 12192000"/>
              <a:gd name="connsiteY6734" fmla="*/ 4157538 h 6858000"/>
              <a:gd name="connsiteX6735" fmla="*/ 7192237 w 12192000"/>
              <a:gd name="connsiteY6735" fmla="*/ 4157538 h 6858000"/>
              <a:gd name="connsiteX6736" fmla="*/ 7160021 w 12192000"/>
              <a:gd name="connsiteY6736" fmla="*/ 4127885 h 6858000"/>
              <a:gd name="connsiteX6737" fmla="*/ 7192237 w 12192000"/>
              <a:gd name="connsiteY6737" fmla="*/ 4098233 h 6858000"/>
              <a:gd name="connsiteX6738" fmla="*/ 7224441 w 12192000"/>
              <a:gd name="connsiteY6738" fmla="*/ 4127885 h 6858000"/>
              <a:gd name="connsiteX6739" fmla="*/ 7192237 w 12192000"/>
              <a:gd name="connsiteY6739" fmla="*/ 4157538 h 6858000"/>
              <a:gd name="connsiteX6740" fmla="*/ 7270771 w 12192000"/>
              <a:gd name="connsiteY6740" fmla="*/ 4157538 h 6858000"/>
              <a:gd name="connsiteX6741" fmla="*/ 7238555 w 12192000"/>
              <a:gd name="connsiteY6741" fmla="*/ 4127885 h 6858000"/>
              <a:gd name="connsiteX6742" fmla="*/ 7270771 w 12192000"/>
              <a:gd name="connsiteY6742" fmla="*/ 4098233 h 6858000"/>
              <a:gd name="connsiteX6743" fmla="*/ 7302976 w 12192000"/>
              <a:gd name="connsiteY6743" fmla="*/ 4127885 h 6858000"/>
              <a:gd name="connsiteX6744" fmla="*/ 7270771 w 12192000"/>
              <a:gd name="connsiteY6744" fmla="*/ 4157538 h 6858000"/>
              <a:gd name="connsiteX6745" fmla="*/ 7349305 w 12192000"/>
              <a:gd name="connsiteY6745" fmla="*/ 4157538 h 6858000"/>
              <a:gd name="connsiteX6746" fmla="*/ 7317088 w 12192000"/>
              <a:gd name="connsiteY6746" fmla="*/ 4127885 h 6858000"/>
              <a:gd name="connsiteX6747" fmla="*/ 7349305 w 12192000"/>
              <a:gd name="connsiteY6747" fmla="*/ 4098233 h 6858000"/>
              <a:gd name="connsiteX6748" fmla="*/ 7381509 w 12192000"/>
              <a:gd name="connsiteY6748" fmla="*/ 4127885 h 6858000"/>
              <a:gd name="connsiteX6749" fmla="*/ 7349305 w 12192000"/>
              <a:gd name="connsiteY6749" fmla="*/ 4157538 h 6858000"/>
              <a:gd name="connsiteX6750" fmla="*/ 7427839 w 12192000"/>
              <a:gd name="connsiteY6750" fmla="*/ 4157538 h 6858000"/>
              <a:gd name="connsiteX6751" fmla="*/ 7395623 w 12192000"/>
              <a:gd name="connsiteY6751" fmla="*/ 4127885 h 6858000"/>
              <a:gd name="connsiteX6752" fmla="*/ 7427839 w 12192000"/>
              <a:gd name="connsiteY6752" fmla="*/ 4098233 h 6858000"/>
              <a:gd name="connsiteX6753" fmla="*/ 7460043 w 12192000"/>
              <a:gd name="connsiteY6753" fmla="*/ 4127885 h 6858000"/>
              <a:gd name="connsiteX6754" fmla="*/ 7427839 w 12192000"/>
              <a:gd name="connsiteY6754" fmla="*/ 4157538 h 6858000"/>
              <a:gd name="connsiteX6755" fmla="*/ 7506373 w 12192000"/>
              <a:gd name="connsiteY6755" fmla="*/ 4157538 h 6858000"/>
              <a:gd name="connsiteX6756" fmla="*/ 7474157 w 12192000"/>
              <a:gd name="connsiteY6756" fmla="*/ 4127885 h 6858000"/>
              <a:gd name="connsiteX6757" fmla="*/ 7506373 w 12192000"/>
              <a:gd name="connsiteY6757" fmla="*/ 4098233 h 6858000"/>
              <a:gd name="connsiteX6758" fmla="*/ 7538577 w 12192000"/>
              <a:gd name="connsiteY6758" fmla="*/ 4127885 h 6858000"/>
              <a:gd name="connsiteX6759" fmla="*/ 7506373 w 12192000"/>
              <a:gd name="connsiteY6759" fmla="*/ 4157538 h 6858000"/>
              <a:gd name="connsiteX6760" fmla="*/ 7584906 w 12192000"/>
              <a:gd name="connsiteY6760" fmla="*/ 4157538 h 6858000"/>
              <a:gd name="connsiteX6761" fmla="*/ 7552690 w 12192000"/>
              <a:gd name="connsiteY6761" fmla="*/ 4127885 h 6858000"/>
              <a:gd name="connsiteX6762" fmla="*/ 7584906 w 12192000"/>
              <a:gd name="connsiteY6762" fmla="*/ 4098233 h 6858000"/>
              <a:gd name="connsiteX6763" fmla="*/ 7617111 w 12192000"/>
              <a:gd name="connsiteY6763" fmla="*/ 4127885 h 6858000"/>
              <a:gd name="connsiteX6764" fmla="*/ 7584906 w 12192000"/>
              <a:gd name="connsiteY6764" fmla="*/ 4157538 h 6858000"/>
              <a:gd name="connsiteX6765" fmla="*/ 7663441 w 12192000"/>
              <a:gd name="connsiteY6765" fmla="*/ 4157538 h 6858000"/>
              <a:gd name="connsiteX6766" fmla="*/ 7631224 w 12192000"/>
              <a:gd name="connsiteY6766" fmla="*/ 4127885 h 6858000"/>
              <a:gd name="connsiteX6767" fmla="*/ 7663441 w 12192000"/>
              <a:gd name="connsiteY6767" fmla="*/ 4098233 h 6858000"/>
              <a:gd name="connsiteX6768" fmla="*/ 7695645 w 12192000"/>
              <a:gd name="connsiteY6768" fmla="*/ 4127885 h 6858000"/>
              <a:gd name="connsiteX6769" fmla="*/ 7663441 w 12192000"/>
              <a:gd name="connsiteY6769" fmla="*/ 4157538 h 6858000"/>
              <a:gd name="connsiteX6770" fmla="*/ 7741974 w 12192000"/>
              <a:gd name="connsiteY6770" fmla="*/ 4157538 h 6858000"/>
              <a:gd name="connsiteX6771" fmla="*/ 7709758 w 12192000"/>
              <a:gd name="connsiteY6771" fmla="*/ 4127885 h 6858000"/>
              <a:gd name="connsiteX6772" fmla="*/ 7741974 w 12192000"/>
              <a:gd name="connsiteY6772" fmla="*/ 4098233 h 6858000"/>
              <a:gd name="connsiteX6773" fmla="*/ 7774178 w 12192000"/>
              <a:gd name="connsiteY6773" fmla="*/ 4127885 h 6858000"/>
              <a:gd name="connsiteX6774" fmla="*/ 7741974 w 12192000"/>
              <a:gd name="connsiteY6774" fmla="*/ 4157538 h 6858000"/>
              <a:gd name="connsiteX6775" fmla="*/ 7820508 w 12192000"/>
              <a:gd name="connsiteY6775" fmla="*/ 4157538 h 6858000"/>
              <a:gd name="connsiteX6776" fmla="*/ 7788292 w 12192000"/>
              <a:gd name="connsiteY6776" fmla="*/ 4127885 h 6858000"/>
              <a:gd name="connsiteX6777" fmla="*/ 7820508 w 12192000"/>
              <a:gd name="connsiteY6777" fmla="*/ 4098233 h 6858000"/>
              <a:gd name="connsiteX6778" fmla="*/ 7852712 w 12192000"/>
              <a:gd name="connsiteY6778" fmla="*/ 4127885 h 6858000"/>
              <a:gd name="connsiteX6779" fmla="*/ 7820508 w 12192000"/>
              <a:gd name="connsiteY6779" fmla="*/ 4157538 h 6858000"/>
              <a:gd name="connsiteX6780" fmla="*/ 7899042 w 12192000"/>
              <a:gd name="connsiteY6780" fmla="*/ 4157538 h 6858000"/>
              <a:gd name="connsiteX6781" fmla="*/ 7866826 w 12192000"/>
              <a:gd name="connsiteY6781" fmla="*/ 4127885 h 6858000"/>
              <a:gd name="connsiteX6782" fmla="*/ 7899042 w 12192000"/>
              <a:gd name="connsiteY6782" fmla="*/ 4098233 h 6858000"/>
              <a:gd name="connsiteX6783" fmla="*/ 7931247 w 12192000"/>
              <a:gd name="connsiteY6783" fmla="*/ 4127885 h 6858000"/>
              <a:gd name="connsiteX6784" fmla="*/ 7899042 w 12192000"/>
              <a:gd name="connsiteY6784" fmla="*/ 4157538 h 6858000"/>
              <a:gd name="connsiteX6785" fmla="*/ 7977576 w 12192000"/>
              <a:gd name="connsiteY6785" fmla="*/ 4157538 h 6858000"/>
              <a:gd name="connsiteX6786" fmla="*/ 7945359 w 12192000"/>
              <a:gd name="connsiteY6786" fmla="*/ 4127885 h 6858000"/>
              <a:gd name="connsiteX6787" fmla="*/ 7977576 w 12192000"/>
              <a:gd name="connsiteY6787" fmla="*/ 4098233 h 6858000"/>
              <a:gd name="connsiteX6788" fmla="*/ 8009780 w 12192000"/>
              <a:gd name="connsiteY6788" fmla="*/ 4127885 h 6858000"/>
              <a:gd name="connsiteX6789" fmla="*/ 7977576 w 12192000"/>
              <a:gd name="connsiteY6789" fmla="*/ 4157538 h 6858000"/>
              <a:gd name="connsiteX6790" fmla="*/ 8056110 w 12192000"/>
              <a:gd name="connsiteY6790" fmla="*/ 4157538 h 6858000"/>
              <a:gd name="connsiteX6791" fmla="*/ 8023894 w 12192000"/>
              <a:gd name="connsiteY6791" fmla="*/ 4127885 h 6858000"/>
              <a:gd name="connsiteX6792" fmla="*/ 8056110 w 12192000"/>
              <a:gd name="connsiteY6792" fmla="*/ 4098233 h 6858000"/>
              <a:gd name="connsiteX6793" fmla="*/ 8088314 w 12192000"/>
              <a:gd name="connsiteY6793" fmla="*/ 4127885 h 6858000"/>
              <a:gd name="connsiteX6794" fmla="*/ 8056110 w 12192000"/>
              <a:gd name="connsiteY6794" fmla="*/ 4157538 h 6858000"/>
              <a:gd name="connsiteX6795" fmla="*/ 8134643 w 12192000"/>
              <a:gd name="connsiteY6795" fmla="*/ 4157538 h 6858000"/>
              <a:gd name="connsiteX6796" fmla="*/ 8102427 w 12192000"/>
              <a:gd name="connsiteY6796" fmla="*/ 4127885 h 6858000"/>
              <a:gd name="connsiteX6797" fmla="*/ 8134643 w 12192000"/>
              <a:gd name="connsiteY6797" fmla="*/ 4098233 h 6858000"/>
              <a:gd name="connsiteX6798" fmla="*/ 8166847 w 12192000"/>
              <a:gd name="connsiteY6798" fmla="*/ 4127885 h 6858000"/>
              <a:gd name="connsiteX6799" fmla="*/ 8134643 w 12192000"/>
              <a:gd name="connsiteY6799" fmla="*/ 4157538 h 6858000"/>
              <a:gd name="connsiteX6800" fmla="*/ 8213177 w 12192000"/>
              <a:gd name="connsiteY6800" fmla="*/ 4157538 h 6858000"/>
              <a:gd name="connsiteX6801" fmla="*/ 8180961 w 12192000"/>
              <a:gd name="connsiteY6801" fmla="*/ 4127885 h 6858000"/>
              <a:gd name="connsiteX6802" fmla="*/ 8213177 w 12192000"/>
              <a:gd name="connsiteY6802" fmla="*/ 4098233 h 6858000"/>
              <a:gd name="connsiteX6803" fmla="*/ 8245382 w 12192000"/>
              <a:gd name="connsiteY6803" fmla="*/ 4127885 h 6858000"/>
              <a:gd name="connsiteX6804" fmla="*/ 8213177 w 12192000"/>
              <a:gd name="connsiteY6804" fmla="*/ 4157538 h 6858000"/>
              <a:gd name="connsiteX6805" fmla="*/ 8291712 w 12192000"/>
              <a:gd name="connsiteY6805" fmla="*/ 4157538 h 6858000"/>
              <a:gd name="connsiteX6806" fmla="*/ 8259495 w 12192000"/>
              <a:gd name="connsiteY6806" fmla="*/ 4127885 h 6858000"/>
              <a:gd name="connsiteX6807" fmla="*/ 8291712 w 12192000"/>
              <a:gd name="connsiteY6807" fmla="*/ 4098233 h 6858000"/>
              <a:gd name="connsiteX6808" fmla="*/ 8323916 w 12192000"/>
              <a:gd name="connsiteY6808" fmla="*/ 4127885 h 6858000"/>
              <a:gd name="connsiteX6809" fmla="*/ 8291712 w 12192000"/>
              <a:gd name="connsiteY6809" fmla="*/ 4157538 h 6858000"/>
              <a:gd name="connsiteX6810" fmla="*/ 8370245 w 12192000"/>
              <a:gd name="connsiteY6810" fmla="*/ 4157538 h 6858000"/>
              <a:gd name="connsiteX6811" fmla="*/ 8338029 w 12192000"/>
              <a:gd name="connsiteY6811" fmla="*/ 4127885 h 6858000"/>
              <a:gd name="connsiteX6812" fmla="*/ 8370245 w 12192000"/>
              <a:gd name="connsiteY6812" fmla="*/ 4098233 h 6858000"/>
              <a:gd name="connsiteX6813" fmla="*/ 8402449 w 12192000"/>
              <a:gd name="connsiteY6813" fmla="*/ 4127885 h 6858000"/>
              <a:gd name="connsiteX6814" fmla="*/ 8370245 w 12192000"/>
              <a:gd name="connsiteY6814" fmla="*/ 4157538 h 6858000"/>
              <a:gd name="connsiteX6815" fmla="*/ 8448779 w 12192000"/>
              <a:gd name="connsiteY6815" fmla="*/ 4157538 h 6858000"/>
              <a:gd name="connsiteX6816" fmla="*/ 8416563 w 12192000"/>
              <a:gd name="connsiteY6816" fmla="*/ 4127885 h 6858000"/>
              <a:gd name="connsiteX6817" fmla="*/ 8448779 w 12192000"/>
              <a:gd name="connsiteY6817" fmla="*/ 4098233 h 6858000"/>
              <a:gd name="connsiteX6818" fmla="*/ 8480983 w 12192000"/>
              <a:gd name="connsiteY6818" fmla="*/ 4127885 h 6858000"/>
              <a:gd name="connsiteX6819" fmla="*/ 8448779 w 12192000"/>
              <a:gd name="connsiteY6819" fmla="*/ 4157538 h 6858000"/>
              <a:gd name="connsiteX6820" fmla="*/ 8527313 w 12192000"/>
              <a:gd name="connsiteY6820" fmla="*/ 4157538 h 6858000"/>
              <a:gd name="connsiteX6821" fmla="*/ 8495097 w 12192000"/>
              <a:gd name="connsiteY6821" fmla="*/ 4127885 h 6858000"/>
              <a:gd name="connsiteX6822" fmla="*/ 8527313 w 12192000"/>
              <a:gd name="connsiteY6822" fmla="*/ 4098233 h 6858000"/>
              <a:gd name="connsiteX6823" fmla="*/ 8559518 w 12192000"/>
              <a:gd name="connsiteY6823" fmla="*/ 4127885 h 6858000"/>
              <a:gd name="connsiteX6824" fmla="*/ 8527313 w 12192000"/>
              <a:gd name="connsiteY6824" fmla="*/ 4157538 h 6858000"/>
              <a:gd name="connsiteX6825" fmla="*/ 8605847 w 12192000"/>
              <a:gd name="connsiteY6825" fmla="*/ 4157538 h 6858000"/>
              <a:gd name="connsiteX6826" fmla="*/ 8573630 w 12192000"/>
              <a:gd name="connsiteY6826" fmla="*/ 4127885 h 6858000"/>
              <a:gd name="connsiteX6827" fmla="*/ 8605847 w 12192000"/>
              <a:gd name="connsiteY6827" fmla="*/ 4098233 h 6858000"/>
              <a:gd name="connsiteX6828" fmla="*/ 8638051 w 12192000"/>
              <a:gd name="connsiteY6828" fmla="*/ 4127885 h 6858000"/>
              <a:gd name="connsiteX6829" fmla="*/ 8605847 w 12192000"/>
              <a:gd name="connsiteY6829" fmla="*/ 4157538 h 6858000"/>
              <a:gd name="connsiteX6830" fmla="*/ 8684381 w 12192000"/>
              <a:gd name="connsiteY6830" fmla="*/ 4157538 h 6858000"/>
              <a:gd name="connsiteX6831" fmla="*/ 8652165 w 12192000"/>
              <a:gd name="connsiteY6831" fmla="*/ 4127885 h 6858000"/>
              <a:gd name="connsiteX6832" fmla="*/ 8684381 w 12192000"/>
              <a:gd name="connsiteY6832" fmla="*/ 4098233 h 6858000"/>
              <a:gd name="connsiteX6833" fmla="*/ 8716585 w 12192000"/>
              <a:gd name="connsiteY6833" fmla="*/ 4127885 h 6858000"/>
              <a:gd name="connsiteX6834" fmla="*/ 8684381 w 12192000"/>
              <a:gd name="connsiteY6834" fmla="*/ 4157538 h 6858000"/>
              <a:gd name="connsiteX6835" fmla="*/ 8762914 w 12192000"/>
              <a:gd name="connsiteY6835" fmla="*/ 4157538 h 6858000"/>
              <a:gd name="connsiteX6836" fmla="*/ 8730698 w 12192000"/>
              <a:gd name="connsiteY6836" fmla="*/ 4127885 h 6858000"/>
              <a:gd name="connsiteX6837" fmla="*/ 8762914 w 12192000"/>
              <a:gd name="connsiteY6837" fmla="*/ 4098233 h 6858000"/>
              <a:gd name="connsiteX6838" fmla="*/ 8795118 w 12192000"/>
              <a:gd name="connsiteY6838" fmla="*/ 4127885 h 6858000"/>
              <a:gd name="connsiteX6839" fmla="*/ 8762914 w 12192000"/>
              <a:gd name="connsiteY6839" fmla="*/ 4157538 h 6858000"/>
              <a:gd name="connsiteX6840" fmla="*/ 8841448 w 12192000"/>
              <a:gd name="connsiteY6840" fmla="*/ 4157538 h 6858000"/>
              <a:gd name="connsiteX6841" fmla="*/ 8809232 w 12192000"/>
              <a:gd name="connsiteY6841" fmla="*/ 4127885 h 6858000"/>
              <a:gd name="connsiteX6842" fmla="*/ 8841448 w 12192000"/>
              <a:gd name="connsiteY6842" fmla="*/ 4098233 h 6858000"/>
              <a:gd name="connsiteX6843" fmla="*/ 8873653 w 12192000"/>
              <a:gd name="connsiteY6843" fmla="*/ 4127885 h 6858000"/>
              <a:gd name="connsiteX6844" fmla="*/ 8841448 w 12192000"/>
              <a:gd name="connsiteY6844" fmla="*/ 4157538 h 6858000"/>
              <a:gd name="connsiteX6845" fmla="*/ 8919983 w 12192000"/>
              <a:gd name="connsiteY6845" fmla="*/ 4157538 h 6858000"/>
              <a:gd name="connsiteX6846" fmla="*/ 8887766 w 12192000"/>
              <a:gd name="connsiteY6846" fmla="*/ 4127885 h 6858000"/>
              <a:gd name="connsiteX6847" fmla="*/ 8919983 w 12192000"/>
              <a:gd name="connsiteY6847" fmla="*/ 4098233 h 6858000"/>
              <a:gd name="connsiteX6848" fmla="*/ 8952187 w 12192000"/>
              <a:gd name="connsiteY6848" fmla="*/ 4127885 h 6858000"/>
              <a:gd name="connsiteX6849" fmla="*/ 8919983 w 12192000"/>
              <a:gd name="connsiteY6849" fmla="*/ 4157538 h 6858000"/>
              <a:gd name="connsiteX6850" fmla="*/ 8998516 w 12192000"/>
              <a:gd name="connsiteY6850" fmla="*/ 4157538 h 6858000"/>
              <a:gd name="connsiteX6851" fmla="*/ 8966300 w 12192000"/>
              <a:gd name="connsiteY6851" fmla="*/ 4127885 h 6858000"/>
              <a:gd name="connsiteX6852" fmla="*/ 8998516 w 12192000"/>
              <a:gd name="connsiteY6852" fmla="*/ 4098233 h 6858000"/>
              <a:gd name="connsiteX6853" fmla="*/ 9030720 w 12192000"/>
              <a:gd name="connsiteY6853" fmla="*/ 4127885 h 6858000"/>
              <a:gd name="connsiteX6854" fmla="*/ 8998516 w 12192000"/>
              <a:gd name="connsiteY6854" fmla="*/ 4157538 h 6858000"/>
              <a:gd name="connsiteX6855" fmla="*/ 9077050 w 12192000"/>
              <a:gd name="connsiteY6855" fmla="*/ 4157538 h 6858000"/>
              <a:gd name="connsiteX6856" fmla="*/ 9044834 w 12192000"/>
              <a:gd name="connsiteY6856" fmla="*/ 4127885 h 6858000"/>
              <a:gd name="connsiteX6857" fmla="*/ 9077050 w 12192000"/>
              <a:gd name="connsiteY6857" fmla="*/ 4098233 h 6858000"/>
              <a:gd name="connsiteX6858" fmla="*/ 9109254 w 12192000"/>
              <a:gd name="connsiteY6858" fmla="*/ 4127885 h 6858000"/>
              <a:gd name="connsiteX6859" fmla="*/ 9077050 w 12192000"/>
              <a:gd name="connsiteY6859" fmla="*/ 4157538 h 6858000"/>
              <a:gd name="connsiteX6860" fmla="*/ 9155583 w 12192000"/>
              <a:gd name="connsiteY6860" fmla="*/ 4157538 h 6858000"/>
              <a:gd name="connsiteX6861" fmla="*/ 9123367 w 12192000"/>
              <a:gd name="connsiteY6861" fmla="*/ 4127885 h 6858000"/>
              <a:gd name="connsiteX6862" fmla="*/ 9155583 w 12192000"/>
              <a:gd name="connsiteY6862" fmla="*/ 4098233 h 6858000"/>
              <a:gd name="connsiteX6863" fmla="*/ 9187788 w 12192000"/>
              <a:gd name="connsiteY6863" fmla="*/ 4127885 h 6858000"/>
              <a:gd name="connsiteX6864" fmla="*/ 9155583 w 12192000"/>
              <a:gd name="connsiteY6864" fmla="*/ 4157538 h 6858000"/>
              <a:gd name="connsiteX6865" fmla="*/ 9234118 w 12192000"/>
              <a:gd name="connsiteY6865" fmla="*/ 4157538 h 6858000"/>
              <a:gd name="connsiteX6866" fmla="*/ 9201901 w 12192000"/>
              <a:gd name="connsiteY6866" fmla="*/ 4127885 h 6858000"/>
              <a:gd name="connsiteX6867" fmla="*/ 9234118 w 12192000"/>
              <a:gd name="connsiteY6867" fmla="*/ 4098233 h 6858000"/>
              <a:gd name="connsiteX6868" fmla="*/ 9266322 w 12192000"/>
              <a:gd name="connsiteY6868" fmla="*/ 4127885 h 6858000"/>
              <a:gd name="connsiteX6869" fmla="*/ 9234118 w 12192000"/>
              <a:gd name="connsiteY6869" fmla="*/ 4157538 h 6858000"/>
              <a:gd name="connsiteX6870" fmla="*/ 9312652 w 12192000"/>
              <a:gd name="connsiteY6870" fmla="*/ 4157538 h 6858000"/>
              <a:gd name="connsiteX6871" fmla="*/ 9280436 w 12192000"/>
              <a:gd name="connsiteY6871" fmla="*/ 4127885 h 6858000"/>
              <a:gd name="connsiteX6872" fmla="*/ 9312652 w 12192000"/>
              <a:gd name="connsiteY6872" fmla="*/ 4098233 h 6858000"/>
              <a:gd name="connsiteX6873" fmla="*/ 9344856 w 12192000"/>
              <a:gd name="connsiteY6873" fmla="*/ 4127885 h 6858000"/>
              <a:gd name="connsiteX6874" fmla="*/ 9312652 w 12192000"/>
              <a:gd name="connsiteY6874" fmla="*/ 4157538 h 6858000"/>
              <a:gd name="connsiteX6875" fmla="*/ 9391185 w 12192000"/>
              <a:gd name="connsiteY6875" fmla="*/ 4157538 h 6858000"/>
              <a:gd name="connsiteX6876" fmla="*/ 9358969 w 12192000"/>
              <a:gd name="connsiteY6876" fmla="*/ 4127885 h 6858000"/>
              <a:gd name="connsiteX6877" fmla="*/ 9391185 w 12192000"/>
              <a:gd name="connsiteY6877" fmla="*/ 4098233 h 6858000"/>
              <a:gd name="connsiteX6878" fmla="*/ 9423389 w 12192000"/>
              <a:gd name="connsiteY6878" fmla="*/ 4127885 h 6858000"/>
              <a:gd name="connsiteX6879" fmla="*/ 9391185 w 12192000"/>
              <a:gd name="connsiteY6879" fmla="*/ 4157538 h 6858000"/>
              <a:gd name="connsiteX6880" fmla="*/ 9469719 w 12192000"/>
              <a:gd name="connsiteY6880" fmla="*/ 4157538 h 6858000"/>
              <a:gd name="connsiteX6881" fmla="*/ 9437503 w 12192000"/>
              <a:gd name="connsiteY6881" fmla="*/ 4127885 h 6858000"/>
              <a:gd name="connsiteX6882" fmla="*/ 9469719 w 12192000"/>
              <a:gd name="connsiteY6882" fmla="*/ 4098233 h 6858000"/>
              <a:gd name="connsiteX6883" fmla="*/ 9501924 w 12192000"/>
              <a:gd name="connsiteY6883" fmla="*/ 4127885 h 6858000"/>
              <a:gd name="connsiteX6884" fmla="*/ 9469719 w 12192000"/>
              <a:gd name="connsiteY6884" fmla="*/ 4157538 h 6858000"/>
              <a:gd name="connsiteX6885" fmla="*/ 9548254 w 12192000"/>
              <a:gd name="connsiteY6885" fmla="*/ 4157538 h 6858000"/>
              <a:gd name="connsiteX6886" fmla="*/ 9516037 w 12192000"/>
              <a:gd name="connsiteY6886" fmla="*/ 4127885 h 6858000"/>
              <a:gd name="connsiteX6887" fmla="*/ 9548254 w 12192000"/>
              <a:gd name="connsiteY6887" fmla="*/ 4098233 h 6858000"/>
              <a:gd name="connsiteX6888" fmla="*/ 9580458 w 12192000"/>
              <a:gd name="connsiteY6888" fmla="*/ 4127885 h 6858000"/>
              <a:gd name="connsiteX6889" fmla="*/ 9548254 w 12192000"/>
              <a:gd name="connsiteY6889" fmla="*/ 4157538 h 6858000"/>
              <a:gd name="connsiteX6890" fmla="*/ 9626787 w 12192000"/>
              <a:gd name="connsiteY6890" fmla="*/ 4157538 h 6858000"/>
              <a:gd name="connsiteX6891" fmla="*/ 9594571 w 12192000"/>
              <a:gd name="connsiteY6891" fmla="*/ 4127885 h 6858000"/>
              <a:gd name="connsiteX6892" fmla="*/ 9626787 w 12192000"/>
              <a:gd name="connsiteY6892" fmla="*/ 4098233 h 6858000"/>
              <a:gd name="connsiteX6893" fmla="*/ 9658991 w 12192000"/>
              <a:gd name="connsiteY6893" fmla="*/ 4127885 h 6858000"/>
              <a:gd name="connsiteX6894" fmla="*/ 9626787 w 12192000"/>
              <a:gd name="connsiteY6894" fmla="*/ 4157538 h 6858000"/>
              <a:gd name="connsiteX6895" fmla="*/ 10019456 w 12192000"/>
              <a:gd name="connsiteY6895" fmla="*/ 4157538 h 6858000"/>
              <a:gd name="connsiteX6896" fmla="*/ 9987240 w 12192000"/>
              <a:gd name="connsiteY6896" fmla="*/ 4127885 h 6858000"/>
              <a:gd name="connsiteX6897" fmla="*/ 10019456 w 12192000"/>
              <a:gd name="connsiteY6897" fmla="*/ 4098233 h 6858000"/>
              <a:gd name="connsiteX6898" fmla="*/ 10051660 w 12192000"/>
              <a:gd name="connsiteY6898" fmla="*/ 4127885 h 6858000"/>
              <a:gd name="connsiteX6899" fmla="*/ 10019456 w 12192000"/>
              <a:gd name="connsiteY6899" fmla="*/ 4157538 h 6858000"/>
              <a:gd name="connsiteX6900" fmla="*/ 2558715 w 12192000"/>
              <a:gd name="connsiteY6900" fmla="*/ 4085273 h 6858000"/>
              <a:gd name="connsiteX6901" fmla="*/ 2526505 w 12192000"/>
              <a:gd name="connsiteY6901" fmla="*/ 4055621 h 6858000"/>
              <a:gd name="connsiteX6902" fmla="*/ 2558715 w 12192000"/>
              <a:gd name="connsiteY6902" fmla="*/ 4025969 h 6858000"/>
              <a:gd name="connsiteX6903" fmla="*/ 2590926 w 12192000"/>
              <a:gd name="connsiteY6903" fmla="*/ 4055621 h 6858000"/>
              <a:gd name="connsiteX6904" fmla="*/ 2558715 w 12192000"/>
              <a:gd name="connsiteY6904" fmla="*/ 4085273 h 6858000"/>
              <a:gd name="connsiteX6905" fmla="*/ 2637243 w 12192000"/>
              <a:gd name="connsiteY6905" fmla="*/ 4085273 h 6858000"/>
              <a:gd name="connsiteX6906" fmla="*/ 2605032 w 12192000"/>
              <a:gd name="connsiteY6906" fmla="*/ 4055621 h 6858000"/>
              <a:gd name="connsiteX6907" fmla="*/ 2637243 w 12192000"/>
              <a:gd name="connsiteY6907" fmla="*/ 4025969 h 6858000"/>
              <a:gd name="connsiteX6908" fmla="*/ 2669453 w 12192000"/>
              <a:gd name="connsiteY6908" fmla="*/ 4055621 h 6858000"/>
              <a:gd name="connsiteX6909" fmla="*/ 2637243 w 12192000"/>
              <a:gd name="connsiteY6909" fmla="*/ 4085273 h 6858000"/>
              <a:gd name="connsiteX6910" fmla="*/ 2715777 w 12192000"/>
              <a:gd name="connsiteY6910" fmla="*/ 4085273 h 6858000"/>
              <a:gd name="connsiteX6911" fmla="*/ 2683566 w 12192000"/>
              <a:gd name="connsiteY6911" fmla="*/ 4055621 h 6858000"/>
              <a:gd name="connsiteX6912" fmla="*/ 2715777 w 12192000"/>
              <a:gd name="connsiteY6912" fmla="*/ 4025969 h 6858000"/>
              <a:gd name="connsiteX6913" fmla="*/ 2747987 w 12192000"/>
              <a:gd name="connsiteY6913" fmla="*/ 4055621 h 6858000"/>
              <a:gd name="connsiteX6914" fmla="*/ 2715777 w 12192000"/>
              <a:gd name="connsiteY6914" fmla="*/ 4085273 h 6858000"/>
              <a:gd name="connsiteX6915" fmla="*/ 2794310 w 12192000"/>
              <a:gd name="connsiteY6915" fmla="*/ 4085273 h 6858000"/>
              <a:gd name="connsiteX6916" fmla="*/ 2762100 w 12192000"/>
              <a:gd name="connsiteY6916" fmla="*/ 4055621 h 6858000"/>
              <a:gd name="connsiteX6917" fmla="*/ 2794310 w 12192000"/>
              <a:gd name="connsiteY6917" fmla="*/ 4025969 h 6858000"/>
              <a:gd name="connsiteX6918" fmla="*/ 2826520 w 12192000"/>
              <a:gd name="connsiteY6918" fmla="*/ 4055621 h 6858000"/>
              <a:gd name="connsiteX6919" fmla="*/ 2794310 w 12192000"/>
              <a:gd name="connsiteY6919" fmla="*/ 4085273 h 6858000"/>
              <a:gd name="connsiteX6920" fmla="*/ 2872844 w 12192000"/>
              <a:gd name="connsiteY6920" fmla="*/ 4085273 h 6858000"/>
              <a:gd name="connsiteX6921" fmla="*/ 2840634 w 12192000"/>
              <a:gd name="connsiteY6921" fmla="*/ 4055621 h 6858000"/>
              <a:gd name="connsiteX6922" fmla="*/ 2872844 w 12192000"/>
              <a:gd name="connsiteY6922" fmla="*/ 4025969 h 6858000"/>
              <a:gd name="connsiteX6923" fmla="*/ 2905055 w 12192000"/>
              <a:gd name="connsiteY6923" fmla="*/ 4055621 h 6858000"/>
              <a:gd name="connsiteX6924" fmla="*/ 2872844 w 12192000"/>
              <a:gd name="connsiteY6924" fmla="*/ 4085273 h 6858000"/>
              <a:gd name="connsiteX6925" fmla="*/ 2951379 w 12192000"/>
              <a:gd name="connsiteY6925" fmla="*/ 4085273 h 6858000"/>
              <a:gd name="connsiteX6926" fmla="*/ 2919168 w 12192000"/>
              <a:gd name="connsiteY6926" fmla="*/ 4055621 h 6858000"/>
              <a:gd name="connsiteX6927" fmla="*/ 2951379 w 12192000"/>
              <a:gd name="connsiteY6927" fmla="*/ 4025969 h 6858000"/>
              <a:gd name="connsiteX6928" fmla="*/ 2983589 w 12192000"/>
              <a:gd name="connsiteY6928" fmla="*/ 4055621 h 6858000"/>
              <a:gd name="connsiteX6929" fmla="*/ 2951379 w 12192000"/>
              <a:gd name="connsiteY6929" fmla="*/ 4085273 h 6858000"/>
              <a:gd name="connsiteX6930" fmla="*/ 3029912 w 12192000"/>
              <a:gd name="connsiteY6930" fmla="*/ 4085273 h 6858000"/>
              <a:gd name="connsiteX6931" fmla="*/ 2997701 w 12192000"/>
              <a:gd name="connsiteY6931" fmla="*/ 4055621 h 6858000"/>
              <a:gd name="connsiteX6932" fmla="*/ 3029912 w 12192000"/>
              <a:gd name="connsiteY6932" fmla="*/ 4025969 h 6858000"/>
              <a:gd name="connsiteX6933" fmla="*/ 3062122 w 12192000"/>
              <a:gd name="connsiteY6933" fmla="*/ 4055621 h 6858000"/>
              <a:gd name="connsiteX6934" fmla="*/ 3029912 w 12192000"/>
              <a:gd name="connsiteY6934" fmla="*/ 4085273 h 6858000"/>
              <a:gd name="connsiteX6935" fmla="*/ 3108446 w 12192000"/>
              <a:gd name="connsiteY6935" fmla="*/ 4085273 h 6858000"/>
              <a:gd name="connsiteX6936" fmla="*/ 3076236 w 12192000"/>
              <a:gd name="connsiteY6936" fmla="*/ 4055621 h 6858000"/>
              <a:gd name="connsiteX6937" fmla="*/ 3108446 w 12192000"/>
              <a:gd name="connsiteY6937" fmla="*/ 4025969 h 6858000"/>
              <a:gd name="connsiteX6938" fmla="*/ 3140656 w 12192000"/>
              <a:gd name="connsiteY6938" fmla="*/ 4055621 h 6858000"/>
              <a:gd name="connsiteX6939" fmla="*/ 3108446 w 12192000"/>
              <a:gd name="connsiteY6939" fmla="*/ 4085273 h 6858000"/>
              <a:gd name="connsiteX6940" fmla="*/ 3186979 w 12192000"/>
              <a:gd name="connsiteY6940" fmla="*/ 4085273 h 6858000"/>
              <a:gd name="connsiteX6941" fmla="*/ 3154769 w 12192000"/>
              <a:gd name="connsiteY6941" fmla="*/ 4055621 h 6858000"/>
              <a:gd name="connsiteX6942" fmla="*/ 3186979 w 12192000"/>
              <a:gd name="connsiteY6942" fmla="*/ 4025969 h 6858000"/>
              <a:gd name="connsiteX6943" fmla="*/ 3219190 w 12192000"/>
              <a:gd name="connsiteY6943" fmla="*/ 4055621 h 6858000"/>
              <a:gd name="connsiteX6944" fmla="*/ 3186979 w 12192000"/>
              <a:gd name="connsiteY6944" fmla="*/ 4085273 h 6858000"/>
              <a:gd name="connsiteX6945" fmla="*/ 3265514 w 12192000"/>
              <a:gd name="connsiteY6945" fmla="*/ 4085273 h 6858000"/>
              <a:gd name="connsiteX6946" fmla="*/ 3233303 w 12192000"/>
              <a:gd name="connsiteY6946" fmla="*/ 4055621 h 6858000"/>
              <a:gd name="connsiteX6947" fmla="*/ 3265514 w 12192000"/>
              <a:gd name="connsiteY6947" fmla="*/ 4025969 h 6858000"/>
              <a:gd name="connsiteX6948" fmla="*/ 3297724 w 12192000"/>
              <a:gd name="connsiteY6948" fmla="*/ 4055621 h 6858000"/>
              <a:gd name="connsiteX6949" fmla="*/ 3265514 w 12192000"/>
              <a:gd name="connsiteY6949" fmla="*/ 4085273 h 6858000"/>
              <a:gd name="connsiteX6950" fmla="*/ 3344048 w 12192000"/>
              <a:gd name="connsiteY6950" fmla="*/ 4085273 h 6858000"/>
              <a:gd name="connsiteX6951" fmla="*/ 3311837 w 12192000"/>
              <a:gd name="connsiteY6951" fmla="*/ 4055621 h 6858000"/>
              <a:gd name="connsiteX6952" fmla="*/ 3344048 w 12192000"/>
              <a:gd name="connsiteY6952" fmla="*/ 4025969 h 6858000"/>
              <a:gd name="connsiteX6953" fmla="*/ 3376258 w 12192000"/>
              <a:gd name="connsiteY6953" fmla="*/ 4055621 h 6858000"/>
              <a:gd name="connsiteX6954" fmla="*/ 3344048 w 12192000"/>
              <a:gd name="connsiteY6954" fmla="*/ 4085273 h 6858000"/>
              <a:gd name="connsiteX6955" fmla="*/ 3422581 w 12192000"/>
              <a:gd name="connsiteY6955" fmla="*/ 4085273 h 6858000"/>
              <a:gd name="connsiteX6956" fmla="*/ 3390371 w 12192000"/>
              <a:gd name="connsiteY6956" fmla="*/ 4055621 h 6858000"/>
              <a:gd name="connsiteX6957" fmla="*/ 3422581 w 12192000"/>
              <a:gd name="connsiteY6957" fmla="*/ 4025969 h 6858000"/>
              <a:gd name="connsiteX6958" fmla="*/ 3454791 w 12192000"/>
              <a:gd name="connsiteY6958" fmla="*/ 4055621 h 6858000"/>
              <a:gd name="connsiteX6959" fmla="*/ 3422581 w 12192000"/>
              <a:gd name="connsiteY6959" fmla="*/ 4085273 h 6858000"/>
              <a:gd name="connsiteX6960" fmla="*/ 3658183 w 12192000"/>
              <a:gd name="connsiteY6960" fmla="*/ 4085273 h 6858000"/>
              <a:gd name="connsiteX6961" fmla="*/ 3625972 w 12192000"/>
              <a:gd name="connsiteY6961" fmla="*/ 4055621 h 6858000"/>
              <a:gd name="connsiteX6962" fmla="*/ 3658183 w 12192000"/>
              <a:gd name="connsiteY6962" fmla="*/ 4025969 h 6858000"/>
              <a:gd name="connsiteX6963" fmla="*/ 3690393 w 12192000"/>
              <a:gd name="connsiteY6963" fmla="*/ 4055621 h 6858000"/>
              <a:gd name="connsiteX6964" fmla="*/ 3658183 w 12192000"/>
              <a:gd name="connsiteY6964" fmla="*/ 4085273 h 6858000"/>
              <a:gd name="connsiteX6965" fmla="*/ 3736717 w 12192000"/>
              <a:gd name="connsiteY6965" fmla="*/ 4085273 h 6858000"/>
              <a:gd name="connsiteX6966" fmla="*/ 3704507 w 12192000"/>
              <a:gd name="connsiteY6966" fmla="*/ 4055621 h 6858000"/>
              <a:gd name="connsiteX6967" fmla="*/ 3736717 w 12192000"/>
              <a:gd name="connsiteY6967" fmla="*/ 4025969 h 6858000"/>
              <a:gd name="connsiteX6968" fmla="*/ 3768927 w 12192000"/>
              <a:gd name="connsiteY6968" fmla="*/ 4055621 h 6858000"/>
              <a:gd name="connsiteX6969" fmla="*/ 3736717 w 12192000"/>
              <a:gd name="connsiteY6969" fmla="*/ 4085273 h 6858000"/>
              <a:gd name="connsiteX6970" fmla="*/ 3815250 w 12192000"/>
              <a:gd name="connsiteY6970" fmla="*/ 4085273 h 6858000"/>
              <a:gd name="connsiteX6971" fmla="*/ 3783040 w 12192000"/>
              <a:gd name="connsiteY6971" fmla="*/ 4055621 h 6858000"/>
              <a:gd name="connsiteX6972" fmla="*/ 3815250 w 12192000"/>
              <a:gd name="connsiteY6972" fmla="*/ 4025969 h 6858000"/>
              <a:gd name="connsiteX6973" fmla="*/ 3847461 w 12192000"/>
              <a:gd name="connsiteY6973" fmla="*/ 4055621 h 6858000"/>
              <a:gd name="connsiteX6974" fmla="*/ 3815250 w 12192000"/>
              <a:gd name="connsiteY6974" fmla="*/ 4085273 h 6858000"/>
              <a:gd name="connsiteX6975" fmla="*/ 3893785 w 12192000"/>
              <a:gd name="connsiteY6975" fmla="*/ 4085273 h 6858000"/>
              <a:gd name="connsiteX6976" fmla="*/ 3861574 w 12192000"/>
              <a:gd name="connsiteY6976" fmla="*/ 4055621 h 6858000"/>
              <a:gd name="connsiteX6977" fmla="*/ 3893785 w 12192000"/>
              <a:gd name="connsiteY6977" fmla="*/ 4025969 h 6858000"/>
              <a:gd name="connsiteX6978" fmla="*/ 3925995 w 12192000"/>
              <a:gd name="connsiteY6978" fmla="*/ 4055621 h 6858000"/>
              <a:gd name="connsiteX6979" fmla="*/ 3893785 w 12192000"/>
              <a:gd name="connsiteY6979" fmla="*/ 4085273 h 6858000"/>
              <a:gd name="connsiteX6980" fmla="*/ 3972319 w 12192000"/>
              <a:gd name="connsiteY6980" fmla="*/ 4085273 h 6858000"/>
              <a:gd name="connsiteX6981" fmla="*/ 3940108 w 12192000"/>
              <a:gd name="connsiteY6981" fmla="*/ 4055621 h 6858000"/>
              <a:gd name="connsiteX6982" fmla="*/ 3972319 w 12192000"/>
              <a:gd name="connsiteY6982" fmla="*/ 4025969 h 6858000"/>
              <a:gd name="connsiteX6983" fmla="*/ 4004529 w 12192000"/>
              <a:gd name="connsiteY6983" fmla="*/ 4055621 h 6858000"/>
              <a:gd name="connsiteX6984" fmla="*/ 3972319 w 12192000"/>
              <a:gd name="connsiteY6984" fmla="*/ 4085273 h 6858000"/>
              <a:gd name="connsiteX6985" fmla="*/ 4129386 w 12192000"/>
              <a:gd name="connsiteY6985" fmla="*/ 4085273 h 6858000"/>
              <a:gd name="connsiteX6986" fmla="*/ 4097176 w 12192000"/>
              <a:gd name="connsiteY6986" fmla="*/ 4055621 h 6858000"/>
              <a:gd name="connsiteX6987" fmla="*/ 4129386 w 12192000"/>
              <a:gd name="connsiteY6987" fmla="*/ 4025969 h 6858000"/>
              <a:gd name="connsiteX6988" fmla="*/ 4161597 w 12192000"/>
              <a:gd name="connsiteY6988" fmla="*/ 4055621 h 6858000"/>
              <a:gd name="connsiteX6989" fmla="*/ 4129386 w 12192000"/>
              <a:gd name="connsiteY6989" fmla="*/ 4085273 h 6858000"/>
              <a:gd name="connsiteX6990" fmla="*/ 4364994 w 12192000"/>
              <a:gd name="connsiteY6990" fmla="*/ 4085273 h 6858000"/>
              <a:gd name="connsiteX6991" fmla="*/ 4332784 w 12192000"/>
              <a:gd name="connsiteY6991" fmla="*/ 4055621 h 6858000"/>
              <a:gd name="connsiteX6992" fmla="*/ 4364994 w 12192000"/>
              <a:gd name="connsiteY6992" fmla="*/ 4025969 h 6858000"/>
              <a:gd name="connsiteX6993" fmla="*/ 4397204 w 12192000"/>
              <a:gd name="connsiteY6993" fmla="*/ 4055621 h 6858000"/>
              <a:gd name="connsiteX6994" fmla="*/ 4364994 w 12192000"/>
              <a:gd name="connsiteY6994" fmla="*/ 4085273 h 6858000"/>
              <a:gd name="connsiteX6995" fmla="*/ 4443527 w 12192000"/>
              <a:gd name="connsiteY6995" fmla="*/ 4085273 h 6858000"/>
              <a:gd name="connsiteX6996" fmla="*/ 4411317 w 12192000"/>
              <a:gd name="connsiteY6996" fmla="*/ 4055621 h 6858000"/>
              <a:gd name="connsiteX6997" fmla="*/ 4443527 w 12192000"/>
              <a:gd name="connsiteY6997" fmla="*/ 4025969 h 6858000"/>
              <a:gd name="connsiteX6998" fmla="*/ 4475738 w 12192000"/>
              <a:gd name="connsiteY6998" fmla="*/ 4055621 h 6858000"/>
              <a:gd name="connsiteX6999" fmla="*/ 4443527 w 12192000"/>
              <a:gd name="connsiteY6999" fmla="*/ 4085273 h 6858000"/>
              <a:gd name="connsiteX7000" fmla="*/ 6014205 w 12192000"/>
              <a:gd name="connsiteY7000" fmla="*/ 4085273 h 6858000"/>
              <a:gd name="connsiteX7001" fmla="*/ 5981995 w 12192000"/>
              <a:gd name="connsiteY7001" fmla="*/ 4055621 h 6858000"/>
              <a:gd name="connsiteX7002" fmla="*/ 6014205 w 12192000"/>
              <a:gd name="connsiteY7002" fmla="*/ 4025969 h 6858000"/>
              <a:gd name="connsiteX7003" fmla="*/ 6046416 w 12192000"/>
              <a:gd name="connsiteY7003" fmla="*/ 4055621 h 6858000"/>
              <a:gd name="connsiteX7004" fmla="*/ 6014205 w 12192000"/>
              <a:gd name="connsiteY7004" fmla="*/ 4085273 h 6858000"/>
              <a:gd name="connsiteX7005" fmla="*/ 6092739 w 12192000"/>
              <a:gd name="connsiteY7005" fmla="*/ 4085273 h 6858000"/>
              <a:gd name="connsiteX7006" fmla="*/ 6060528 w 12192000"/>
              <a:gd name="connsiteY7006" fmla="*/ 4055621 h 6858000"/>
              <a:gd name="connsiteX7007" fmla="*/ 6092739 w 12192000"/>
              <a:gd name="connsiteY7007" fmla="*/ 4025969 h 6858000"/>
              <a:gd name="connsiteX7008" fmla="*/ 6124949 w 12192000"/>
              <a:gd name="connsiteY7008" fmla="*/ 4055621 h 6858000"/>
              <a:gd name="connsiteX7009" fmla="*/ 6092739 w 12192000"/>
              <a:gd name="connsiteY7009" fmla="*/ 4085273 h 6858000"/>
              <a:gd name="connsiteX7010" fmla="*/ 6171273 w 12192000"/>
              <a:gd name="connsiteY7010" fmla="*/ 4085273 h 6858000"/>
              <a:gd name="connsiteX7011" fmla="*/ 6139056 w 12192000"/>
              <a:gd name="connsiteY7011" fmla="*/ 4055621 h 6858000"/>
              <a:gd name="connsiteX7012" fmla="*/ 6171273 w 12192000"/>
              <a:gd name="connsiteY7012" fmla="*/ 4025969 h 6858000"/>
              <a:gd name="connsiteX7013" fmla="*/ 6203477 w 12192000"/>
              <a:gd name="connsiteY7013" fmla="*/ 4055621 h 6858000"/>
              <a:gd name="connsiteX7014" fmla="*/ 6171273 w 12192000"/>
              <a:gd name="connsiteY7014" fmla="*/ 4085273 h 6858000"/>
              <a:gd name="connsiteX7015" fmla="*/ 6249806 w 12192000"/>
              <a:gd name="connsiteY7015" fmla="*/ 4085273 h 6858000"/>
              <a:gd name="connsiteX7016" fmla="*/ 6217590 w 12192000"/>
              <a:gd name="connsiteY7016" fmla="*/ 4055621 h 6858000"/>
              <a:gd name="connsiteX7017" fmla="*/ 6249806 w 12192000"/>
              <a:gd name="connsiteY7017" fmla="*/ 4025969 h 6858000"/>
              <a:gd name="connsiteX7018" fmla="*/ 6282010 w 12192000"/>
              <a:gd name="connsiteY7018" fmla="*/ 4055621 h 6858000"/>
              <a:gd name="connsiteX7019" fmla="*/ 6249806 w 12192000"/>
              <a:gd name="connsiteY7019" fmla="*/ 4085273 h 6858000"/>
              <a:gd name="connsiteX7020" fmla="*/ 6328340 w 12192000"/>
              <a:gd name="connsiteY7020" fmla="*/ 4085273 h 6858000"/>
              <a:gd name="connsiteX7021" fmla="*/ 6296124 w 12192000"/>
              <a:gd name="connsiteY7021" fmla="*/ 4055621 h 6858000"/>
              <a:gd name="connsiteX7022" fmla="*/ 6328340 w 12192000"/>
              <a:gd name="connsiteY7022" fmla="*/ 4025969 h 6858000"/>
              <a:gd name="connsiteX7023" fmla="*/ 6360545 w 12192000"/>
              <a:gd name="connsiteY7023" fmla="*/ 4055621 h 6858000"/>
              <a:gd name="connsiteX7024" fmla="*/ 6328340 w 12192000"/>
              <a:gd name="connsiteY7024" fmla="*/ 4085273 h 6858000"/>
              <a:gd name="connsiteX7025" fmla="*/ 6406875 w 12192000"/>
              <a:gd name="connsiteY7025" fmla="*/ 4085273 h 6858000"/>
              <a:gd name="connsiteX7026" fmla="*/ 6374658 w 12192000"/>
              <a:gd name="connsiteY7026" fmla="*/ 4055621 h 6858000"/>
              <a:gd name="connsiteX7027" fmla="*/ 6406875 w 12192000"/>
              <a:gd name="connsiteY7027" fmla="*/ 4025969 h 6858000"/>
              <a:gd name="connsiteX7028" fmla="*/ 6439079 w 12192000"/>
              <a:gd name="connsiteY7028" fmla="*/ 4055621 h 6858000"/>
              <a:gd name="connsiteX7029" fmla="*/ 6406875 w 12192000"/>
              <a:gd name="connsiteY7029" fmla="*/ 4085273 h 6858000"/>
              <a:gd name="connsiteX7030" fmla="*/ 6485408 w 12192000"/>
              <a:gd name="connsiteY7030" fmla="*/ 4085273 h 6858000"/>
              <a:gd name="connsiteX7031" fmla="*/ 6453191 w 12192000"/>
              <a:gd name="connsiteY7031" fmla="*/ 4055621 h 6858000"/>
              <a:gd name="connsiteX7032" fmla="*/ 6485408 w 12192000"/>
              <a:gd name="connsiteY7032" fmla="*/ 4025969 h 6858000"/>
              <a:gd name="connsiteX7033" fmla="*/ 6517612 w 12192000"/>
              <a:gd name="connsiteY7033" fmla="*/ 4055621 h 6858000"/>
              <a:gd name="connsiteX7034" fmla="*/ 6485408 w 12192000"/>
              <a:gd name="connsiteY7034" fmla="*/ 4085273 h 6858000"/>
              <a:gd name="connsiteX7035" fmla="*/ 6563942 w 12192000"/>
              <a:gd name="connsiteY7035" fmla="*/ 4085273 h 6858000"/>
              <a:gd name="connsiteX7036" fmla="*/ 6531726 w 12192000"/>
              <a:gd name="connsiteY7036" fmla="*/ 4055621 h 6858000"/>
              <a:gd name="connsiteX7037" fmla="*/ 6563942 w 12192000"/>
              <a:gd name="connsiteY7037" fmla="*/ 4025969 h 6858000"/>
              <a:gd name="connsiteX7038" fmla="*/ 6596146 w 12192000"/>
              <a:gd name="connsiteY7038" fmla="*/ 4055621 h 6858000"/>
              <a:gd name="connsiteX7039" fmla="*/ 6563942 w 12192000"/>
              <a:gd name="connsiteY7039" fmla="*/ 4085273 h 6858000"/>
              <a:gd name="connsiteX7040" fmla="*/ 6642476 w 12192000"/>
              <a:gd name="connsiteY7040" fmla="*/ 4085273 h 6858000"/>
              <a:gd name="connsiteX7041" fmla="*/ 6610260 w 12192000"/>
              <a:gd name="connsiteY7041" fmla="*/ 4055621 h 6858000"/>
              <a:gd name="connsiteX7042" fmla="*/ 6642476 w 12192000"/>
              <a:gd name="connsiteY7042" fmla="*/ 4025969 h 6858000"/>
              <a:gd name="connsiteX7043" fmla="*/ 6674681 w 12192000"/>
              <a:gd name="connsiteY7043" fmla="*/ 4055621 h 6858000"/>
              <a:gd name="connsiteX7044" fmla="*/ 6642476 w 12192000"/>
              <a:gd name="connsiteY7044" fmla="*/ 4085273 h 6858000"/>
              <a:gd name="connsiteX7045" fmla="*/ 6721010 w 12192000"/>
              <a:gd name="connsiteY7045" fmla="*/ 4085273 h 6858000"/>
              <a:gd name="connsiteX7046" fmla="*/ 6688793 w 12192000"/>
              <a:gd name="connsiteY7046" fmla="*/ 4055621 h 6858000"/>
              <a:gd name="connsiteX7047" fmla="*/ 6721010 w 12192000"/>
              <a:gd name="connsiteY7047" fmla="*/ 4025969 h 6858000"/>
              <a:gd name="connsiteX7048" fmla="*/ 6753214 w 12192000"/>
              <a:gd name="connsiteY7048" fmla="*/ 4055621 h 6858000"/>
              <a:gd name="connsiteX7049" fmla="*/ 6721010 w 12192000"/>
              <a:gd name="connsiteY7049" fmla="*/ 4085273 h 6858000"/>
              <a:gd name="connsiteX7050" fmla="*/ 6799544 w 12192000"/>
              <a:gd name="connsiteY7050" fmla="*/ 4085273 h 6858000"/>
              <a:gd name="connsiteX7051" fmla="*/ 6767327 w 12192000"/>
              <a:gd name="connsiteY7051" fmla="*/ 4055621 h 6858000"/>
              <a:gd name="connsiteX7052" fmla="*/ 6799544 w 12192000"/>
              <a:gd name="connsiteY7052" fmla="*/ 4025969 h 6858000"/>
              <a:gd name="connsiteX7053" fmla="*/ 6831748 w 12192000"/>
              <a:gd name="connsiteY7053" fmla="*/ 4055621 h 6858000"/>
              <a:gd name="connsiteX7054" fmla="*/ 6799544 w 12192000"/>
              <a:gd name="connsiteY7054" fmla="*/ 4085273 h 6858000"/>
              <a:gd name="connsiteX7055" fmla="*/ 6878077 w 12192000"/>
              <a:gd name="connsiteY7055" fmla="*/ 4085273 h 6858000"/>
              <a:gd name="connsiteX7056" fmla="*/ 6845861 w 12192000"/>
              <a:gd name="connsiteY7056" fmla="*/ 4055621 h 6858000"/>
              <a:gd name="connsiteX7057" fmla="*/ 6878077 w 12192000"/>
              <a:gd name="connsiteY7057" fmla="*/ 4025969 h 6858000"/>
              <a:gd name="connsiteX7058" fmla="*/ 6910281 w 12192000"/>
              <a:gd name="connsiteY7058" fmla="*/ 4055621 h 6858000"/>
              <a:gd name="connsiteX7059" fmla="*/ 6878077 w 12192000"/>
              <a:gd name="connsiteY7059" fmla="*/ 4085273 h 6858000"/>
              <a:gd name="connsiteX7060" fmla="*/ 6956611 w 12192000"/>
              <a:gd name="connsiteY7060" fmla="*/ 4085273 h 6858000"/>
              <a:gd name="connsiteX7061" fmla="*/ 6924395 w 12192000"/>
              <a:gd name="connsiteY7061" fmla="*/ 4055621 h 6858000"/>
              <a:gd name="connsiteX7062" fmla="*/ 6956611 w 12192000"/>
              <a:gd name="connsiteY7062" fmla="*/ 4025969 h 6858000"/>
              <a:gd name="connsiteX7063" fmla="*/ 6988816 w 12192000"/>
              <a:gd name="connsiteY7063" fmla="*/ 4055621 h 6858000"/>
              <a:gd name="connsiteX7064" fmla="*/ 6956611 w 12192000"/>
              <a:gd name="connsiteY7064" fmla="*/ 4085273 h 6858000"/>
              <a:gd name="connsiteX7065" fmla="*/ 7035146 w 12192000"/>
              <a:gd name="connsiteY7065" fmla="*/ 4085273 h 6858000"/>
              <a:gd name="connsiteX7066" fmla="*/ 7002929 w 12192000"/>
              <a:gd name="connsiteY7066" fmla="*/ 4055621 h 6858000"/>
              <a:gd name="connsiteX7067" fmla="*/ 7035146 w 12192000"/>
              <a:gd name="connsiteY7067" fmla="*/ 4025969 h 6858000"/>
              <a:gd name="connsiteX7068" fmla="*/ 7067350 w 12192000"/>
              <a:gd name="connsiteY7068" fmla="*/ 4055621 h 6858000"/>
              <a:gd name="connsiteX7069" fmla="*/ 7035146 w 12192000"/>
              <a:gd name="connsiteY7069" fmla="*/ 4085273 h 6858000"/>
              <a:gd name="connsiteX7070" fmla="*/ 7113703 w 12192000"/>
              <a:gd name="connsiteY7070" fmla="*/ 4085273 h 6858000"/>
              <a:gd name="connsiteX7071" fmla="*/ 7081487 w 12192000"/>
              <a:gd name="connsiteY7071" fmla="*/ 4055621 h 6858000"/>
              <a:gd name="connsiteX7072" fmla="*/ 7113703 w 12192000"/>
              <a:gd name="connsiteY7072" fmla="*/ 4025969 h 6858000"/>
              <a:gd name="connsiteX7073" fmla="*/ 7145907 w 12192000"/>
              <a:gd name="connsiteY7073" fmla="*/ 4055621 h 6858000"/>
              <a:gd name="connsiteX7074" fmla="*/ 7113703 w 12192000"/>
              <a:gd name="connsiteY7074" fmla="*/ 4085273 h 6858000"/>
              <a:gd name="connsiteX7075" fmla="*/ 7192237 w 12192000"/>
              <a:gd name="connsiteY7075" fmla="*/ 4085273 h 6858000"/>
              <a:gd name="connsiteX7076" fmla="*/ 7160021 w 12192000"/>
              <a:gd name="connsiteY7076" fmla="*/ 4055621 h 6858000"/>
              <a:gd name="connsiteX7077" fmla="*/ 7192237 w 12192000"/>
              <a:gd name="connsiteY7077" fmla="*/ 4025969 h 6858000"/>
              <a:gd name="connsiteX7078" fmla="*/ 7224441 w 12192000"/>
              <a:gd name="connsiteY7078" fmla="*/ 4055621 h 6858000"/>
              <a:gd name="connsiteX7079" fmla="*/ 7192237 w 12192000"/>
              <a:gd name="connsiteY7079" fmla="*/ 4085273 h 6858000"/>
              <a:gd name="connsiteX7080" fmla="*/ 7270771 w 12192000"/>
              <a:gd name="connsiteY7080" fmla="*/ 4085273 h 6858000"/>
              <a:gd name="connsiteX7081" fmla="*/ 7238555 w 12192000"/>
              <a:gd name="connsiteY7081" fmla="*/ 4055621 h 6858000"/>
              <a:gd name="connsiteX7082" fmla="*/ 7270771 w 12192000"/>
              <a:gd name="connsiteY7082" fmla="*/ 4025969 h 6858000"/>
              <a:gd name="connsiteX7083" fmla="*/ 7302976 w 12192000"/>
              <a:gd name="connsiteY7083" fmla="*/ 4055621 h 6858000"/>
              <a:gd name="connsiteX7084" fmla="*/ 7270771 w 12192000"/>
              <a:gd name="connsiteY7084" fmla="*/ 4085273 h 6858000"/>
              <a:gd name="connsiteX7085" fmla="*/ 7349305 w 12192000"/>
              <a:gd name="connsiteY7085" fmla="*/ 4085273 h 6858000"/>
              <a:gd name="connsiteX7086" fmla="*/ 7317088 w 12192000"/>
              <a:gd name="connsiteY7086" fmla="*/ 4055621 h 6858000"/>
              <a:gd name="connsiteX7087" fmla="*/ 7349305 w 12192000"/>
              <a:gd name="connsiteY7087" fmla="*/ 4025969 h 6858000"/>
              <a:gd name="connsiteX7088" fmla="*/ 7381509 w 12192000"/>
              <a:gd name="connsiteY7088" fmla="*/ 4055621 h 6858000"/>
              <a:gd name="connsiteX7089" fmla="*/ 7349305 w 12192000"/>
              <a:gd name="connsiteY7089" fmla="*/ 4085273 h 6858000"/>
              <a:gd name="connsiteX7090" fmla="*/ 7427839 w 12192000"/>
              <a:gd name="connsiteY7090" fmla="*/ 4085273 h 6858000"/>
              <a:gd name="connsiteX7091" fmla="*/ 7395623 w 12192000"/>
              <a:gd name="connsiteY7091" fmla="*/ 4055621 h 6858000"/>
              <a:gd name="connsiteX7092" fmla="*/ 7427839 w 12192000"/>
              <a:gd name="connsiteY7092" fmla="*/ 4025969 h 6858000"/>
              <a:gd name="connsiteX7093" fmla="*/ 7460043 w 12192000"/>
              <a:gd name="connsiteY7093" fmla="*/ 4055621 h 6858000"/>
              <a:gd name="connsiteX7094" fmla="*/ 7427839 w 12192000"/>
              <a:gd name="connsiteY7094" fmla="*/ 4085273 h 6858000"/>
              <a:gd name="connsiteX7095" fmla="*/ 7506373 w 12192000"/>
              <a:gd name="connsiteY7095" fmla="*/ 4085273 h 6858000"/>
              <a:gd name="connsiteX7096" fmla="*/ 7474157 w 12192000"/>
              <a:gd name="connsiteY7096" fmla="*/ 4055621 h 6858000"/>
              <a:gd name="connsiteX7097" fmla="*/ 7506373 w 12192000"/>
              <a:gd name="connsiteY7097" fmla="*/ 4025969 h 6858000"/>
              <a:gd name="connsiteX7098" fmla="*/ 7538577 w 12192000"/>
              <a:gd name="connsiteY7098" fmla="*/ 4055621 h 6858000"/>
              <a:gd name="connsiteX7099" fmla="*/ 7506373 w 12192000"/>
              <a:gd name="connsiteY7099" fmla="*/ 4085273 h 6858000"/>
              <a:gd name="connsiteX7100" fmla="*/ 7584906 w 12192000"/>
              <a:gd name="connsiteY7100" fmla="*/ 4085273 h 6858000"/>
              <a:gd name="connsiteX7101" fmla="*/ 7552690 w 12192000"/>
              <a:gd name="connsiteY7101" fmla="*/ 4055621 h 6858000"/>
              <a:gd name="connsiteX7102" fmla="*/ 7584906 w 12192000"/>
              <a:gd name="connsiteY7102" fmla="*/ 4025969 h 6858000"/>
              <a:gd name="connsiteX7103" fmla="*/ 7617111 w 12192000"/>
              <a:gd name="connsiteY7103" fmla="*/ 4055621 h 6858000"/>
              <a:gd name="connsiteX7104" fmla="*/ 7584906 w 12192000"/>
              <a:gd name="connsiteY7104" fmla="*/ 4085273 h 6858000"/>
              <a:gd name="connsiteX7105" fmla="*/ 7663441 w 12192000"/>
              <a:gd name="connsiteY7105" fmla="*/ 4085273 h 6858000"/>
              <a:gd name="connsiteX7106" fmla="*/ 7631224 w 12192000"/>
              <a:gd name="connsiteY7106" fmla="*/ 4055621 h 6858000"/>
              <a:gd name="connsiteX7107" fmla="*/ 7663441 w 12192000"/>
              <a:gd name="connsiteY7107" fmla="*/ 4025969 h 6858000"/>
              <a:gd name="connsiteX7108" fmla="*/ 7695645 w 12192000"/>
              <a:gd name="connsiteY7108" fmla="*/ 4055621 h 6858000"/>
              <a:gd name="connsiteX7109" fmla="*/ 7663441 w 12192000"/>
              <a:gd name="connsiteY7109" fmla="*/ 4085273 h 6858000"/>
              <a:gd name="connsiteX7110" fmla="*/ 7741974 w 12192000"/>
              <a:gd name="connsiteY7110" fmla="*/ 4085273 h 6858000"/>
              <a:gd name="connsiteX7111" fmla="*/ 7709758 w 12192000"/>
              <a:gd name="connsiteY7111" fmla="*/ 4055621 h 6858000"/>
              <a:gd name="connsiteX7112" fmla="*/ 7741974 w 12192000"/>
              <a:gd name="connsiteY7112" fmla="*/ 4025969 h 6858000"/>
              <a:gd name="connsiteX7113" fmla="*/ 7774178 w 12192000"/>
              <a:gd name="connsiteY7113" fmla="*/ 4055621 h 6858000"/>
              <a:gd name="connsiteX7114" fmla="*/ 7741974 w 12192000"/>
              <a:gd name="connsiteY7114" fmla="*/ 4085273 h 6858000"/>
              <a:gd name="connsiteX7115" fmla="*/ 7820508 w 12192000"/>
              <a:gd name="connsiteY7115" fmla="*/ 4085273 h 6858000"/>
              <a:gd name="connsiteX7116" fmla="*/ 7788292 w 12192000"/>
              <a:gd name="connsiteY7116" fmla="*/ 4055621 h 6858000"/>
              <a:gd name="connsiteX7117" fmla="*/ 7820508 w 12192000"/>
              <a:gd name="connsiteY7117" fmla="*/ 4025969 h 6858000"/>
              <a:gd name="connsiteX7118" fmla="*/ 7852712 w 12192000"/>
              <a:gd name="connsiteY7118" fmla="*/ 4055621 h 6858000"/>
              <a:gd name="connsiteX7119" fmla="*/ 7820508 w 12192000"/>
              <a:gd name="connsiteY7119" fmla="*/ 4085273 h 6858000"/>
              <a:gd name="connsiteX7120" fmla="*/ 7899042 w 12192000"/>
              <a:gd name="connsiteY7120" fmla="*/ 4085273 h 6858000"/>
              <a:gd name="connsiteX7121" fmla="*/ 7866826 w 12192000"/>
              <a:gd name="connsiteY7121" fmla="*/ 4055621 h 6858000"/>
              <a:gd name="connsiteX7122" fmla="*/ 7899042 w 12192000"/>
              <a:gd name="connsiteY7122" fmla="*/ 4025969 h 6858000"/>
              <a:gd name="connsiteX7123" fmla="*/ 7931247 w 12192000"/>
              <a:gd name="connsiteY7123" fmla="*/ 4055621 h 6858000"/>
              <a:gd name="connsiteX7124" fmla="*/ 7899042 w 12192000"/>
              <a:gd name="connsiteY7124" fmla="*/ 4085273 h 6858000"/>
              <a:gd name="connsiteX7125" fmla="*/ 7977576 w 12192000"/>
              <a:gd name="connsiteY7125" fmla="*/ 4085273 h 6858000"/>
              <a:gd name="connsiteX7126" fmla="*/ 7945359 w 12192000"/>
              <a:gd name="connsiteY7126" fmla="*/ 4055621 h 6858000"/>
              <a:gd name="connsiteX7127" fmla="*/ 7977576 w 12192000"/>
              <a:gd name="connsiteY7127" fmla="*/ 4025969 h 6858000"/>
              <a:gd name="connsiteX7128" fmla="*/ 8009780 w 12192000"/>
              <a:gd name="connsiteY7128" fmla="*/ 4055621 h 6858000"/>
              <a:gd name="connsiteX7129" fmla="*/ 7977576 w 12192000"/>
              <a:gd name="connsiteY7129" fmla="*/ 4085273 h 6858000"/>
              <a:gd name="connsiteX7130" fmla="*/ 8056110 w 12192000"/>
              <a:gd name="connsiteY7130" fmla="*/ 4085273 h 6858000"/>
              <a:gd name="connsiteX7131" fmla="*/ 8023894 w 12192000"/>
              <a:gd name="connsiteY7131" fmla="*/ 4055621 h 6858000"/>
              <a:gd name="connsiteX7132" fmla="*/ 8056110 w 12192000"/>
              <a:gd name="connsiteY7132" fmla="*/ 4025969 h 6858000"/>
              <a:gd name="connsiteX7133" fmla="*/ 8088314 w 12192000"/>
              <a:gd name="connsiteY7133" fmla="*/ 4055621 h 6858000"/>
              <a:gd name="connsiteX7134" fmla="*/ 8056110 w 12192000"/>
              <a:gd name="connsiteY7134" fmla="*/ 4085273 h 6858000"/>
              <a:gd name="connsiteX7135" fmla="*/ 8134643 w 12192000"/>
              <a:gd name="connsiteY7135" fmla="*/ 4085273 h 6858000"/>
              <a:gd name="connsiteX7136" fmla="*/ 8102427 w 12192000"/>
              <a:gd name="connsiteY7136" fmla="*/ 4055621 h 6858000"/>
              <a:gd name="connsiteX7137" fmla="*/ 8134643 w 12192000"/>
              <a:gd name="connsiteY7137" fmla="*/ 4025969 h 6858000"/>
              <a:gd name="connsiteX7138" fmla="*/ 8166847 w 12192000"/>
              <a:gd name="connsiteY7138" fmla="*/ 4055621 h 6858000"/>
              <a:gd name="connsiteX7139" fmla="*/ 8134643 w 12192000"/>
              <a:gd name="connsiteY7139" fmla="*/ 4085273 h 6858000"/>
              <a:gd name="connsiteX7140" fmla="*/ 8213177 w 12192000"/>
              <a:gd name="connsiteY7140" fmla="*/ 4085273 h 6858000"/>
              <a:gd name="connsiteX7141" fmla="*/ 8180961 w 12192000"/>
              <a:gd name="connsiteY7141" fmla="*/ 4055621 h 6858000"/>
              <a:gd name="connsiteX7142" fmla="*/ 8213177 w 12192000"/>
              <a:gd name="connsiteY7142" fmla="*/ 4025969 h 6858000"/>
              <a:gd name="connsiteX7143" fmla="*/ 8245382 w 12192000"/>
              <a:gd name="connsiteY7143" fmla="*/ 4055621 h 6858000"/>
              <a:gd name="connsiteX7144" fmla="*/ 8213177 w 12192000"/>
              <a:gd name="connsiteY7144" fmla="*/ 4085273 h 6858000"/>
              <a:gd name="connsiteX7145" fmla="*/ 8291712 w 12192000"/>
              <a:gd name="connsiteY7145" fmla="*/ 4085273 h 6858000"/>
              <a:gd name="connsiteX7146" fmla="*/ 8259495 w 12192000"/>
              <a:gd name="connsiteY7146" fmla="*/ 4055621 h 6858000"/>
              <a:gd name="connsiteX7147" fmla="*/ 8291712 w 12192000"/>
              <a:gd name="connsiteY7147" fmla="*/ 4025969 h 6858000"/>
              <a:gd name="connsiteX7148" fmla="*/ 8323916 w 12192000"/>
              <a:gd name="connsiteY7148" fmla="*/ 4055621 h 6858000"/>
              <a:gd name="connsiteX7149" fmla="*/ 8291712 w 12192000"/>
              <a:gd name="connsiteY7149" fmla="*/ 4085273 h 6858000"/>
              <a:gd name="connsiteX7150" fmla="*/ 8370245 w 12192000"/>
              <a:gd name="connsiteY7150" fmla="*/ 4085273 h 6858000"/>
              <a:gd name="connsiteX7151" fmla="*/ 8338029 w 12192000"/>
              <a:gd name="connsiteY7151" fmla="*/ 4055621 h 6858000"/>
              <a:gd name="connsiteX7152" fmla="*/ 8370245 w 12192000"/>
              <a:gd name="connsiteY7152" fmla="*/ 4025969 h 6858000"/>
              <a:gd name="connsiteX7153" fmla="*/ 8402449 w 12192000"/>
              <a:gd name="connsiteY7153" fmla="*/ 4055621 h 6858000"/>
              <a:gd name="connsiteX7154" fmla="*/ 8370245 w 12192000"/>
              <a:gd name="connsiteY7154" fmla="*/ 4085273 h 6858000"/>
              <a:gd name="connsiteX7155" fmla="*/ 8448779 w 12192000"/>
              <a:gd name="connsiteY7155" fmla="*/ 4085273 h 6858000"/>
              <a:gd name="connsiteX7156" fmla="*/ 8416563 w 12192000"/>
              <a:gd name="connsiteY7156" fmla="*/ 4055621 h 6858000"/>
              <a:gd name="connsiteX7157" fmla="*/ 8448779 w 12192000"/>
              <a:gd name="connsiteY7157" fmla="*/ 4025969 h 6858000"/>
              <a:gd name="connsiteX7158" fmla="*/ 8480983 w 12192000"/>
              <a:gd name="connsiteY7158" fmla="*/ 4055621 h 6858000"/>
              <a:gd name="connsiteX7159" fmla="*/ 8448779 w 12192000"/>
              <a:gd name="connsiteY7159" fmla="*/ 4085273 h 6858000"/>
              <a:gd name="connsiteX7160" fmla="*/ 8527313 w 12192000"/>
              <a:gd name="connsiteY7160" fmla="*/ 4085273 h 6858000"/>
              <a:gd name="connsiteX7161" fmla="*/ 8495097 w 12192000"/>
              <a:gd name="connsiteY7161" fmla="*/ 4055621 h 6858000"/>
              <a:gd name="connsiteX7162" fmla="*/ 8527313 w 12192000"/>
              <a:gd name="connsiteY7162" fmla="*/ 4025969 h 6858000"/>
              <a:gd name="connsiteX7163" fmla="*/ 8559518 w 12192000"/>
              <a:gd name="connsiteY7163" fmla="*/ 4055621 h 6858000"/>
              <a:gd name="connsiteX7164" fmla="*/ 8527313 w 12192000"/>
              <a:gd name="connsiteY7164" fmla="*/ 4085273 h 6858000"/>
              <a:gd name="connsiteX7165" fmla="*/ 8605847 w 12192000"/>
              <a:gd name="connsiteY7165" fmla="*/ 4085273 h 6858000"/>
              <a:gd name="connsiteX7166" fmla="*/ 8573630 w 12192000"/>
              <a:gd name="connsiteY7166" fmla="*/ 4055621 h 6858000"/>
              <a:gd name="connsiteX7167" fmla="*/ 8605847 w 12192000"/>
              <a:gd name="connsiteY7167" fmla="*/ 4025969 h 6858000"/>
              <a:gd name="connsiteX7168" fmla="*/ 8638051 w 12192000"/>
              <a:gd name="connsiteY7168" fmla="*/ 4055621 h 6858000"/>
              <a:gd name="connsiteX7169" fmla="*/ 8605847 w 12192000"/>
              <a:gd name="connsiteY7169" fmla="*/ 4085273 h 6858000"/>
              <a:gd name="connsiteX7170" fmla="*/ 8684381 w 12192000"/>
              <a:gd name="connsiteY7170" fmla="*/ 4085273 h 6858000"/>
              <a:gd name="connsiteX7171" fmla="*/ 8652165 w 12192000"/>
              <a:gd name="connsiteY7171" fmla="*/ 4055621 h 6858000"/>
              <a:gd name="connsiteX7172" fmla="*/ 8684381 w 12192000"/>
              <a:gd name="connsiteY7172" fmla="*/ 4025969 h 6858000"/>
              <a:gd name="connsiteX7173" fmla="*/ 8716585 w 12192000"/>
              <a:gd name="connsiteY7173" fmla="*/ 4055621 h 6858000"/>
              <a:gd name="connsiteX7174" fmla="*/ 8684381 w 12192000"/>
              <a:gd name="connsiteY7174" fmla="*/ 4085273 h 6858000"/>
              <a:gd name="connsiteX7175" fmla="*/ 8762914 w 12192000"/>
              <a:gd name="connsiteY7175" fmla="*/ 4085273 h 6858000"/>
              <a:gd name="connsiteX7176" fmla="*/ 8730698 w 12192000"/>
              <a:gd name="connsiteY7176" fmla="*/ 4055621 h 6858000"/>
              <a:gd name="connsiteX7177" fmla="*/ 8762914 w 12192000"/>
              <a:gd name="connsiteY7177" fmla="*/ 4025969 h 6858000"/>
              <a:gd name="connsiteX7178" fmla="*/ 8795118 w 12192000"/>
              <a:gd name="connsiteY7178" fmla="*/ 4055621 h 6858000"/>
              <a:gd name="connsiteX7179" fmla="*/ 8762914 w 12192000"/>
              <a:gd name="connsiteY7179" fmla="*/ 4085273 h 6858000"/>
              <a:gd name="connsiteX7180" fmla="*/ 8841448 w 12192000"/>
              <a:gd name="connsiteY7180" fmla="*/ 4085273 h 6858000"/>
              <a:gd name="connsiteX7181" fmla="*/ 8809232 w 12192000"/>
              <a:gd name="connsiteY7181" fmla="*/ 4055621 h 6858000"/>
              <a:gd name="connsiteX7182" fmla="*/ 8841448 w 12192000"/>
              <a:gd name="connsiteY7182" fmla="*/ 4025969 h 6858000"/>
              <a:gd name="connsiteX7183" fmla="*/ 8873653 w 12192000"/>
              <a:gd name="connsiteY7183" fmla="*/ 4055621 h 6858000"/>
              <a:gd name="connsiteX7184" fmla="*/ 8841448 w 12192000"/>
              <a:gd name="connsiteY7184" fmla="*/ 4085273 h 6858000"/>
              <a:gd name="connsiteX7185" fmla="*/ 8919983 w 12192000"/>
              <a:gd name="connsiteY7185" fmla="*/ 4085273 h 6858000"/>
              <a:gd name="connsiteX7186" fmla="*/ 8887766 w 12192000"/>
              <a:gd name="connsiteY7186" fmla="*/ 4055621 h 6858000"/>
              <a:gd name="connsiteX7187" fmla="*/ 8919983 w 12192000"/>
              <a:gd name="connsiteY7187" fmla="*/ 4025969 h 6858000"/>
              <a:gd name="connsiteX7188" fmla="*/ 8952187 w 12192000"/>
              <a:gd name="connsiteY7188" fmla="*/ 4055621 h 6858000"/>
              <a:gd name="connsiteX7189" fmla="*/ 8919983 w 12192000"/>
              <a:gd name="connsiteY7189" fmla="*/ 4085273 h 6858000"/>
              <a:gd name="connsiteX7190" fmla="*/ 8998516 w 12192000"/>
              <a:gd name="connsiteY7190" fmla="*/ 4085273 h 6858000"/>
              <a:gd name="connsiteX7191" fmla="*/ 8966300 w 12192000"/>
              <a:gd name="connsiteY7191" fmla="*/ 4055621 h 6858000"/>
              <a:gd name="connsiteX7192" fmla="*/ 8998516 w 12192000"/>
              <a:gd name="connsiteY7192" fmla="*/ 4025969 h 6858000"/>
              <a:gd name="connsiteX7193" fmla="*/ 9030720 w 12192000"/>
              <a:gd name="connsiteY7193" fmla="*/ 4055621 h 6858000"/>
              <a:gd name="connsiteX7194" fmla="*/ 8998516 w 12192000"/>
              <a:gd name="connsiteY7194" fmla="*/ 4085273 h 6858000"/>
              <a:gd name="connsiteX7195" fmla="*/ 9077050 w 12192000"/>
              <a:gd name="connsiteY7195" fmla="*/ 4085273 h 6858000"/>
              <a:gd name="connsiteX7196" fmla="*/ 9044834 w 12192000"/>
              <a:gd name="connsiteY7196" fmla="*/ 4055621 h 6858000"/>
              <a:gd name="connsiteX7197" fmla="*/ 9077050 w 12192000"/>
              <a:gd name="connsiteY7197" fmla="*/ 4025969 h 6858000"/>
              <a:gd name="connsiteX7198" fmla="*/ 9109254 w 12192000"/>
              <a:gd name="connsiteY7198" fmla="*/ 4055621 h 6858000"/>
              <a:gd name="connsiteX7199" fmla="*/ 9077050 w 12192000"/>
              <a:gd name="connsiteY7199" fmla="*/ 4085273 h 6858000"/>
              <a:gd name="connsiteX7200" fmla="*/ 9155583 w 12192000"/>
              <a:gd name="connsiteY7200" fmla="*/ 4085273 h 6858000"/>
              <a:gd name="connsiteX7201" fmla="*/ 9123367 w 12192000"/>
              <a:gd name="connsiteY7201" fmla="*/ 4055621 h 6858000"/>
              <a:gd name="connsiteX7202" fmla="*/ 9155583 w 12192000"/>
              <a:gd name="connsiteY7202" fmla="*/ 4025969 h 6858000"/>
              <a:gd name="connsiteX7203" fmla="*/ 9187788 w 12192000"/>
              <a:gd name="connsiteY7203" fmla="*/ 4055621 h 6858000"/>
              <a:gd name="connsiteX7204" fmla="*/ 9155583 w 12192000"/>
              <a:gd name="connsiteY7204" fmla="*/ 4085273 h 6858000"/>
              <a:gd name="connsiteX7205" fmla="*/ 9234118 w 12192000"/>
              <a:gd name="connsiteY7205" fmla="*/ 4085273 h 6858000"/>
              <a:gd name="connsiteX7206" fmla="*/ 9201901 w 12192000"/>
              <a:gd name="connsiteY7206" fmla="*/ 4055621 h 6858000"/>
              <a:gd name="connsiteX7207" fmla="*/ 9234118 w 12192000"/>
              <a:gd name="connsiteY7207" fmla="*/ 4025969 h 6858000"/>
              <a:gd name="connsiteX7208" fmla="*/ 9266322 w 12192000"/>
              <a:gd name="connsiteY7208" fmla="*/ 4055621 h 6858000"/>
              <a:gd name="connsiteX7209" fmla="*/ 9234118 w 12192000"/>
              <a:gd name="connsiteY7209" fmla="*/ 4085273 h 6858000"/>
              <a:gd name="connsiteX7210" fmla="*/ 9312652 w 12192000"/>
              <a:gd name="connsiteY7210" fmla="*/ 4085273 h 6858000"/>
              <a:gd name="connsiteX7211" fmla="*/ 9280436 w 12192000"/>
              <a:gd name="connsiteY7211" fmla="*/ 4055621 h 6858000"/>
              <a:gd name="connsiteX7212" fmla="*/ 9312652 w 12192000"/>
              <a:gd name="connsiteY7212" fmla="*/ 4025969 h 6858000"/>
              <a:gd name="connsiteX7213" fmla="*/ 9344856 w 12192000"/>
              <a:gd name="connsiteY7213" fmla="*/ 4055621 h 6858000"/>
              <a:gd name="connsiteX7214" fmla="*/ 9312652 w 12192000"/>
              <a:gd name="connsiteY7214" fmla="*/ 4085273 h 6858000"/>
              <a:gd name="connsiteX7215" fmla="*/ 9391185 w 12192000"/>
              <a:gd name="connsiteY7215" fmla="*/ 4085273 h 6858000"/>
              <a:gd name="connsiteX7216" fmla="*/ 9358969 w 12192000"/>
              <a:gd name="connsiteY7216" fmla="*/ 4055621 h 6858000"/>
              <a:gd name="connsiteX7217" fmla="*/ 9391185 w 12192000"/>
              <a:gd name="connsiteY7217" fmla="*/ 4025969 h 6858000"/>
              <a:gd name="connsiteX7218" fmla="*/ 9423389 w 12192000"/>
              <a:gd name="connsiteY7218" fmla="*/ 4055621 h 6858000"/>
              <a:gd name="connsiteX7219" fmla="*/ 9391185 w 12192000"/>
              <a:gd name="connsiteY7219" fmla="*/ 4085273 h 6858000"/>
              <a:gd name="connsiteX7220" fmla="*/ 9469719 w 12192000"/>
              <a:gd name="connsiteY7220" fmla="*/ 4085273 h 6858000"/>
              <a:gd name="connsiteX7221" fmla="*/ 9437503 w 12192000"/>
              <a:gd name="connsiteY7221" fmla="*/ 4055621 h 6858000"/>
              <a:gd name="connsiteX7222" fmla="*/ 9469719 w 12192000"/>
              <a:gd name="connsiteY7222" fmla="*/ 4025969 h 6858000"/>
              <a:gd name="connsiteX7223" fmla="*/ 9501924 w 12192000"/>
              <a:gd name="connsiteY7223" fmla="*/ 4055621 h 6858000"/>
              <a:gd name="connsiteX7224" fmla="*/ 9469719 w 12192000"/>
              <a:gd name="connsiteY7224" fmla="*/ 4085273 h 6858000"/>
              <a:gd name="connsiteX7225" fmla="*/ 9548254 w 12192000"/>
              <a:gd name="connsiteY7225" fmla="*/ 4085273 h 6858000"/>
              <a:gd name="connsiteX7226" fmla="*/ 9516037 w 12192000"/>
              <a:gd name="connsiteY7226" fmla="*/ 4055621 h 6858000"/>
              <a:gd name="connsiteX7227" fmla="*/ 9548254 w 12192000"/>
              <a:gd name="connsiteY7227" fmla="*/ 4025969 h 6858000"/>
              <a:gd name="connsiteX7228" fmla="*/ 9580458 w 12192000"/>
              <a:gd name="connsiteY7228" fmla="*/ 4055621 h 6858000"/>
              <a:gd name="connsiteX7229" fmla="*/ 9548254 w 12192000"/>
              <a:gd name="connsiteY7229" fmla="*/ 4085273 h 6858000"/>
              <a:gd name="connsiteX7230" fmla="*/ 9626787 w 12192000"/>
              <a:gd name="connsiteY7230" fmla="*/ 4085273 h 6858000"/>
              <a:gd name="connsiteX7231" fmla="*/ 9594571 w 12192000"/>
              <a:gd name="connsiteY7231" fmla="*/ 4055621 h 6858000"/>
              <a:gd name="connsiteX7232" fmla="*/ 9626787 w 12192000"/>
              <a:gd name="connsiteY7232" fmla="*/ 4025969 h 6858000"/>
              <a:gd name="connsiteX7233" fmla="*/ 9658991 w 12192000"/>
              <a:gd name="connsiteY7233" fmla="*/ 4055621 h 6858000"/>
              <a:gd name="connsiteX7234" fmla="*/ 9626787 w 12192000"/>
              <a:gd name="connsiteY7234" fmla="*/ 4085273 h 6858000"/>
              <a:gd name="connsiteX7235" fmla="*/ 9862389 w 12192000"/>
              <a:gd name="connsiteY7235" fmla="*/ 4085273 h 6858000"/>
              <a:gd name="connsiteX7236" fmla="*/ 9830172 w 12192000"/>
              <a:gd name="connsiteY7236" fmla="*/ 4055621 h 6858000"/>
              <a:gd name="connsiteX7237" fmla="*/ 9862389 w 12192000"/>
              <a:gd name="connsiteY7237" fmla="*/ 4025969 h 6858000"/>
              <a:gd name="connsiteX7238" fmla="*/ 9894593 w 12192000"/>
              <a:gd name="connsiteY7238" fmla="*/ 4055621 h 6858000"/>
              <a:gd name="connsiteX7239" fmla="*/ 9862389 w 12192000"/>
              <a:gd name="connsiteY7239" fmla="*/ 4085273 h 6858000"/>
              <a:gd name="connsiteX7240" fmla="*/ 9940923 w 12192000"/>
              <a:gd name="connsiteY7240" fmla="*/ 4085273 h 6858000"/>
              <a:gd name="connsiteX7241" fmla="*/ 9908707 w 12192000"/>
              <a:gd name="connsiteY7241" fmla="*/ 4055621 h 6858000"/>
              <a:gd name="connsiteX7242" fmla="*/ 9940923 w 12192000"/>
              <a:gd name="connsiteY7242" fmla="*/ 4025969 h 6858000"/>
              <a:gd name="connsiteX7243" fmla="*/ 9973127 w 12192000"/>
              <a:gd name="connsiteY7243" fmla="*/ 4055621 h 6858000"/>
              <a:gd name="connsiteX7244" fmla="*/ 9940923 w 12192000"/>
              <a:gd name="connsiteY7244" fmla="*/ 4085273 h 6858000"/>
              <a:gd name="connsiteX7245" fmla="*/ 2558715 w 12192000"/>
              <a:gd name="connsiteY7245" fmla="*/ 4013007 h 6858000"/>
              <a:gd name="connsiteX7246" fmla="*/ 2526505 w 12192000"/>
              <a:gd name="connsiteY7246" fmla="*/ 3983355 h 6858000"/>
              <a:gd name="connsiteX7247" fmla="*/ 2558715 w 12192000"/>
              <a:gd name="connsiteY7247" fmla="*/ 3953703 h 6858000"/>
              <a:gd name="connsiteX7248" fmla="*/ 2590926 w 12192000"/>
              <a:gd name="connsiteY7248" fmla="*/ 3983355 h 6858000"/>
              <a:gd name="connsiteX7249" fmla="*/ 2558715 w 12192000"/>
              <a:gd name="connsiteY7249" fmla="*/ 4013007 h 6858000"/>
              <a:gd name="connsiteX7250" fmla="*/ 2637243 w 12192000"/>
              <a:gd name="connsiteY7250" fmla="*/ 4013007 h 6858000"/>
              <a:gd name="connsiteX7251" fmla="*/ 2605032 w 12192000"/>
              <a:gd name="connsiteY7251" fmla="*/ 3983355 h 6858000"/>
              <a:gd name="connsiteX7252" fmla="*/ 2637243 w 12192000"/>
              <a:gd name="connsiteY7252" fmla="*/ 3953703 h 6858000"/>
              <a:gd name="connsiteX7253" fmla="*/ 2669453 w 12192000"/>
              <a:gd name="connsiteY7253" fmla="*/ 3983355 h 6858000"/>
              <a:gd name="connsiteX7254" fmla="*/ 2637243 w 12192000"/>
              <a:gd name="connsiteY7254" fmla="*/ 4013007 h 6858000"/>
              <a:gd name="connsiteX7255" fmla="*/ 2715777 w 12192000"/>
              <a:gd name="connsiteY7255" fmla="*/ 4013007 h 6858000"/>
              <a:gd name="connsiteX7256" fmla="*/ 2683566 w 12192000"/>
              <a:gd name="connsiteY7256" fmla="*/ 3983355 h 6858000"/>
              <a:gd name="connsiteX7257" fmla="*/ 2715777 w 12192000"/>
              <a:gd name="connsiteY7257" fmla="*/ 3953703 h 6858000"/>
              <a:gd name="connsiteX7258" fmla="*/ 2747987 w 12192000"/>
              <a:gd name="connsiteY7258" fmla="*/ 3983355 h 6858000"/>
              <a:gd name="connsiteX7259" fmla="*/ 2715777 w 12192000"/>
              <a:gd name="connsiteY7259" fmla="*/ 4013007 h 6858000"/>
              <a:gd name="connsiteX7260" fmla="*/ 2794310 w 12192000"/>
              <a:gd name="connsiteY7260" fmla="*/ 4013007 h 6858000"/>
              <a:gd name="connsiteX7261" fmla="*/ 2762100 w 12192000"/>
              <a:gd name="connsiteY7261" fmla="*/ 3983355 h 6858000"/>
              <a:gd name="connsiteX7262" fmla="*/ 2794310 w 12192000"/>
              <a:gd name="connsiteY7262" fmla="*/ 3953703 h 6858000"/>
              <a:gd name="connsiteX7263" fmla="*/ 2826520 w 12192000"/>
              <a:gd name="connsiteY7263" fmla="*/ 3983355 h 6858000"/>
              <a:gd name="connsiteX7264" fmla="*/ 2794310 w 12192000"/>
              <a:gd name="connsiteY7264" fmla="*/ 4013007 h 6858000"/>
              <a:gd name="connsiteX7265" fmla="*/ 2872844 w 12192000"/>
              <a:gd name="connsiteY7265" fmla="*/ 4013007 h 6858000"/>
              <a:gd name="connsiteX7266" fmla="*/ 2840634 w 12192000"/>
              <a:gd name="connsiteY7266" fmla="*/ 3983355 h 6858000"/>
              <a:gd name="connsiteX7267" fmla="*/ 2872844 w 12192000"/>
              <a:gd name="connsiteY7267" fmla="*/ 3953703 h 6858000"/>
              <a:gd name="connsiteX7268" fmla="*/ 2905055 w 12192000"/>
              <a:gd name="connsiteY7268" fmla="*/ 3983355 h 6858000"/>
              <a:gd name="connsiteX7269" fmla="*/ 2872844 w 12192000"/>
              <a:gd name="connsiteY7269" fmla="*/ 4013007 h 6858000"/>
              <a:gd name="connsiteX7270" fmla="*/ 2951379 w 12192000"/>
              <a:gd name="connsiteY7270" fmla="*/ 4013007 h 6858000"/>
              <a:gd name="connsiteX7271" fmla="*/ 2919168 w 12192000"/>
              <a:gd name="connsiteY7271" fmla="*/ 3983355 h 6858000"/>
              <a:gd name="connsiteX7272" fmla="*/ 2951379 w 12192000"/>
              <a:gd name="connsiteY7272" fmla="*/ 3953703 h 6858000"/>
              <a:gd name="connsiteX7273" fmla="*/ 2983589 w 12192000"/>
              <a:gd name="connsiteY7273" fmla="*/ 3983355 h 6858000"/>
              <a:gd name="connsiteX7274" fmla="*/ 2951379 w 12192000"/>
              <a:gd name="connsiteY7274" fmla="*/ 4013007 h 6858000"/>
              <a:gd name="connsiteX7275" fmla="*/ 3029912 w 12192000"/>
              <a:gd name="connsiteY7275" fmla="*/ 4013007 h 6858000"/>
              <a:gd name="connsiteX7276" fmla="*/ 2997701 w 12192000"/>
              <a:gd name="connsiteY7276" fmla="*/ 3983355 h 6858000"/>
              <a:gd name="connsiteX7277" fmla="*/ 3029912 w 12192000"/>
              <a:gd name="connsiteY7277" fmla="*/ 3953703 h 6858000"/>
              <a:gd name="connsiteX7278" fmla="*/ 3062122 w 12192000"/>
              <a:gd name="connsiteY7278" fmla="*/ 3983355 h 6858000"/>
              <a:gd name="connsiteX7279" fmla="*/ 3029912 w 12192000"/>
              <a:gd name="connsiteY7279" fmla="*/ 4013007 h 6858000"/>
              <a:gd name="connsiteX7280" fmla="*/ 3108446 w 12192000"/>
              <a:gd name="connsiteY7280" fmla="*/ 4013007 h 6858000"/>
              <a:gd name="connsiteX7281" fmla="*/ 3076236 w 12192000"/>
              <a:gd name="connsiteY7281" fmla="*/ 3983355 h 6858000"/>
              <a:gd name="connsiteX7282" fmla="*/ 3108446 w 12192000"/>
              <a:gd name="connsiteY7282" fmla="*/ 3953703 h 6858000"/>
              <a:gd name="connsiteX7283" fmla="*/ 3140656 w 12192000"/>
              <a:gd name="connsiteY7283" fmla="*/ 3983355 h 6858000"/>
              <a:gd name="connsiteX7284" fmla="*/ 3108446 w 12192000"/>
              <a:gd name="connsiteY7284" fmla="*/ 4013007 h 6858000"/>
              <a:gd name="connsiteX7285" fmla="*/ 3186979 w 12192000"/>
              <a:gd name="connsiteY7285" fmla="*/ 4013007 h 6858000"/>
              <a:gd name="connsiteX7286" fmla="*/ 3154769 w 12192000"/>
              <a:gd name="connsiteY7286" fmla="*/ 3983355 h 6858000"/>
              <a:gd name="connsiteX7287" fmla="*/ 3186979 w 12192000"/>
              <a:gd name="connsiteY7287" fmla="*/ 3953703 h 6858000"/>
              <a:gd name="connsiteX7288" fmla="*/ 3219190 w 12192000"/>
              <a:gd name="connsiteY7288" fmla="*/ 3983355 h 6858000"/>
              <a:gd name="connsiteX7289" fmla="*/ 3186979 w 12192000"/>
              <a:gd name="connsiteY7289" fmla="*/ 4013007 h 6858000"/>
              <a:gd name="connsiteX7290" fmla="*/ 3265514 w 12192000"/>
              <a:gd name="connsiteY7290" fmla="*/ 4013007 h 6858000"/>
              <a:gd name="connsiteX7291" fmla="*/ 3233303 w 12192000"/>
              <a:gd name="connsiteY7291" fmla="*/ 3983355 h 6858000"/>
              <a:gd name="connsiteX7292" fmla="*/ 3265514 w 12192000"/>
              <a:gd name="connsiteY7292" fmla="*/ 3953703 h 6858000"/>
              <a:gd name="connsiteX7293" fmla="*/ 3297724 w 12192000"/>
              <a:gd name="connsiteY7293" fmla="*/ 3983355 h 6858000"/>
              <a:gd name="connsiteX7294" fmla="*/ 3265514 w 12192000"/>
              <a:gd name="connsiteY7294" fmla="*/ 4013007 h 6858000"/>
              <a:gd name="connsiteX7295" fmla="*/ 3344048 w 12192000"/>
              <a:gd name="connsiteY7295" fmla="*/ 4013007 h 6858000"/>
              <a:gd name="connsiteX7296" fmla="*/ 3311837 w 12192000"/>
              <a:gd name="connsiteY7296" fmla="*/ 3983355 h 6858000"/>
              <a:gd name="connsiteX7297" fmla="*/ 3344048 w 12192000"/>
              <a:gd name="connsiteY7297" fmla="*/ 3953703 h 6858000"/>
              <a:gd name="connsiteX7298" fmla="*/ 3376258 w 12192000"/>
              <a:gd name="connsiteY7298" fmla="*/ 3983355 h 6858000"/>
              <a:gd name="connsiteX7299" fmla="*/ 3344048 w 12192000"/>
              <a:gd name="connsiteY7299" fmla="*/ 4013007 h 6858000"/>
              <a:gd name="connsiteX7300" fmla="*/ 3422581 w 12192000"/>
              <a:gd name="connsiteY7300" fmla="*/ 4013007 h 6858000"/>
              <a:gd name="connsiteX7301" fmla="*/ 3390371 w 12192000"/>
              <a:gd name="connsiteY7301" fmla="*/ 3983355 h 6858000"/>
              <a:gd name="connsiteX7302" fmla="*/ 3422581 w 12192000"/>
              <a:gd name="connsiteY7302" fmla="*/ 3953703 h 6858000"/>
              <a:gd name="connsiteX7303" fmla="*/ 3454791 w 12192000"/>
              <a:gd name="connsiteY7303" fmla="*/ 3983355 h 6858000"/>
              <a:gd name="connsiteX7304" fmla="*/ 3422581 w 12192000"/>
              <a:gd name="connsiteY7304" fmla="*/ 4013007 h 6858000"/>
              <a:gd name="connsiteX7305" fmla="*/ 3501115 w 12192000"/>
              <a:gd name="connsiteY7305" fmla="*/ 4013007 h 6858000"/>
              <a:gd name="connsiteX7306" fmla="*/ 3468905 w 12192000"/>
              <a:gd name="connsiteY7306" fmla="*/ 3983355 h 6858000"/>
              <a:gd name="connsiteX7307" fmla="*/ 3501115 w 12192000"/>
              <a:gd name="connsiteY7307" fmla="*/ 3953703 h 6858000"/>
              <a:gd name="connsiteX7308" fmla="*/ 3533326 w 12192000"/>
              <a:gd name="connsiteY7308" fmla="*/ 3983355 h 6858000"/>
              <a:gd name="connsiteX7309" fmla="*/ 3501115 w 12192000"/>
              <a:gd name="connsiteY7309" fmla="*/ 4013007 h 6858000"/>
              <a:gd name="connsiteX7310" fmla="*/ 3658183 w 12192000"/>
              <a:gd name="connsiteY7310" fmla="*/ 4013007 h 6858000"/>
              <a:gd name="connsiteX7311" fmla="*/ 3625972 w 12192000"/>
              <a:gd name="connsiteY7311" fmla="*/ 3983355 h 6858000"/>
              <a:gd name="connsiteX7312" fmla="*/ 3658183 w 12192000"/>
              <a:gd name="connsiteY7312" fmla="*/ 3953703 h 6858000"/>
              <a:gd name="connsiteX7313" fmla="*/ 3690393 w 12192000"/>
              <a:gd name="connsiteY7313" fmla="*/ 3983355 h 6858000"/>
              <a:gd name="connsiteX7314" fmla="*/ 3658183 w 12192000"/>
              <a:gd name="connsiteY7314" fmla="*/ 4013007 h 6858000"/>
              <a:gd name="connsiteX7315" fmla="*/ 3815250 w 12192000"/>
              <a:gd name="connsiteY7315" fmla="*/ 4013007 h 6858000"/>
              <a:gd name="connsiteX7316" fmla="*/ 3783040 w 12192000"/>
              <a:gd name="connsiteY7316" fmla="*/ 3983355 h 6858000"/>
              <a:gd name="connsiteX7317" fmla="*/ 3815250 w 12192000"/>
              <a:gd name="connsiteY7317" fmla="*/ 3953703 h 6858000"/>
              <a:gd name="connsiteX7318" fmla="*/ 3847461 w 12192000"/>
              <a:gd name="connsiteY7318" fmla="*/ 3983355 h 6858000"/>
              <a:gd name="connsiteX7319" fmla="*/ 3815250 w 12192000"/>
              <a:gd name="connsiteY7319" fmla="*/ 4013007 h 6858000"/>
              <a:gd name="connsiteX7320" fmla="*/ 3893785 w 12192000"/>
              <a:gd name="connsiteY7320" fmla="*/ 4013007 h 6858000"/>
              <a:gd name="connsiteX7321" fmla="*/ 3861574 w 12192000"/>
              <a:gd name="connsiteY7321" fmla="*/ 3983355 h 6858000"/>
              <a:gd name="connsiteX7322" fmla="*/ 3893785 w 12192000"/>
              <a:gd name="connsiteY7322" fmla="*/ 3953703 h 6858000"/>
              <a:gd name="connsiteX7323" fmla="*/ 3925995 w 12192000"/>
              <a:gd name="connsiteY7323" fmla="*/ 3983355 h 6858000"/>
              <a:gd name="connsiteX7324" fmla="*/ 3893785 w 12192000"/>
              <a:gd name="connsiteY7324" fmla="*/ 4013007 h 6858000"/>
              <a:gd name="connsiteX7325" fmla="*/ 3972319 w 12192000"/>
              <a:gd name="connsiteY7325" fmla="*/ 4013007 h 6858000"/>
              <a:gd name="connsiteX7326" fmla="*/ 3940108 w 12192000"/>
              <a:gd name="connsiteY7326" fmla="*/ 3983355 h 6858000"/>
              <a:gd name="connsiteX7327" fmla="*/ 3972319 w 12192000"/>
              <a:gd name="connsiteY7327" fmla="*/ 3953703 h 6858000"/>
              <a:gd name="connsiteX7328" fmla="*/ 4004529 w 12192000"/>
              <a:gd name="connsiteY7328" fmla="*/ 3983355 h 6858000"/>
              <a:gd name="connsiteX7329" fmla="*/ 3972319 w 12192000"/>
              <a:gd name="connsiteY7329" fmla="*/ 4013007 h 6858000"/>
              <a:gd name="connsiteX7330" fmla="*/ 4050852 w 12192000"/>
              <a:gd name="connsiteY7330" fmla="*/ 4013007 h 6858000"/>
              <a:gd name="connsiteX7331" fmla="*/ 4018642 w 12192000"/>
              <a:gd name="connsiteY7331" fmla="*/ 3983355 h 6858000"/>
              <a:gd name="connsiteX7332" fmla="*/ 4050852 w 12192000"/>
              <a:gd name="connsiteY7332" fmla="*/ 3953703 h 6858000"/>
              <a:gd name="connsiteX7333" fmla="*/ 4083062 w 12192000"/>
              <a:gd name="connsiteY7333" fmla="*/ 3983355 h 6858000"/>
              <a:gd name="connsiteX7334" fmla="*/ 4050852 w 12192000"/>
              <a:gd name="connsiteY7334" fmla="*/ 4013007 h 6858000"/>
              <a:gd name="connsiteX7335" fmla="*/ 4129386 w 12192000"/>
              <a:gd name="connsiteY7335" fmla="*/ 4013007 h 6858000"/>
              <a:gd name="connsiteX7336" fmla="*/ 4097176 w 12192000"/>
              <a:gd name="connsiteY7336" fmla="*/ 3983355 h 6858000"/>
              <a:gd name="connsiteX7337" fmla="*/ 4129386 w 12192000"/>
              <a:gd name="connsiteY7337" fmla="*/ 3953703 h 6858000"/>
              <a:gd name="connsiteX7338" fmla="*/ 4161597 w 12192000"/>
              <a:gd name="connsiteY7338" fmla="*/ 3983355 h 6858000"/>
              <a:gd name="connsiteX7339" fmla="*/ 4129386 w 12192000"/>
              <a:gd name="connsiteY7339" fmla="*/ 4013007 h 6858000"/>
              <a:gd name="connsiteX7340" fmla="*/ 4286460 w 12192000"/>
              <a:gd name="connsiteY7340" fmla="*/ 4013007 h 6858000"/>
              <a:gd name="connsiteX7341" fmla="*/ 4254250 w 12192000"/>
              <a:gd name="connsiteY7341" fmla="*/ 3983355 h 6858000"/>
              <a:gd name="connsiteX7342" fmla="*/ 4286460 w 12192000"/>
              <a:gd name="connsiteY7342" fmla="*/ 3953703 h 6858000"/>
              <a:gd name="connsiteX7343" fmla="*/ 4318670 w 12192000"/>
              <a:gd name="connsiteY7343" fmla="*/ 3983355 h 6858000"/>
              <a:gd name="connsiteX7344" fmla="*/ 4286460 w 12192000"/>
              <a:gd name="connsiteY7344" fmla="*/ 4013007 h 6858000"/>
              <a:gd name="connsiteX7345" fmla="*/ 5857137 w 12192000"/>
              <a:gd name="connsiteY7345" fmla="*/ 4013007 h 6858000"/>
              <a:gd name="connsiteX7346" fmla="*/ 5824927 w 12192000"/>
              <a:gd name="connsiteY7346" fmla="*/ 3983355 h 6858000"/>
              <a:gd name="connsiteX7347" fmla="*/ 5857137 w 12192000"/>
              <a:gd name="connsiteY7347" fmla="*/ 3953703 h 6858000"/>
              <a:gd name="connsiteX7348" fmla="*/ 5889347 w 12192000"/>
              <a:gd name="connsiteY7348" fmla="*/ 3983355 h 6858000"/>
              <a:gd name="connsiteX7349" fmla="*/ 5857137 w 12192000"/>
              <a:gd name="connsiteY7349" fmla="*/ 4013007 h 6858000"/>
              <a:gd name="connsiteX7350" fmla="*/ 5935671 w 12192000"/>
              <a:gd name="connsiteY7350" fmla="*/ 4013007 h 6858000"/>
              <a:gd name="connsiteX7351" fmla="*/ 5903461 w 12192000"/>
              <a:gd name="connsiteY7351" fmla="*/ 3983355 h 6858000"/>
              <a:gd name="connsiteX7352" fmla="*/ 5935671 w 12192000"/>
              <a:gd name="connsiteY7352" fmla="*/ 3953703 h 6858000"/>
              <a:gd name="connsiteX7353" fmla="*/ 5967881 w 12192000"/>
              <a:gd name="connsiteY7353" fmla="*/ 3983355 h 6858000"/>
              <a:gd name="connsiteX7354" fmla="*/ 5935671 w 12192000"/>
              <a:gd name="connsiteY7354" fmla="*/ 4013007 h 6858000"/>
              <a:gd name="connsiteX7355" fmla="*/ 6014205 w 12192000"/>
              <a:gd name="connsiteY7355" fmla="*/ 4013007 h 6858000"/>
              <a:gd name="connsiteX7356" fmla="*/ 5981995 w 12192000"/>
              <a:gd name="connsiteY7356" fmla="*/ 3983355 h 6858000"/>
              <a:gd name="connsiteX7357" fmla="*/ 6014205 w 12192000"/>
              <a:gd name="connsiteY7357" fmla="*/ 3953703 h 6858000"/>
              <a:gd name="connsiteX7358" fmla="*/ 6046416 w 12192000"/>
              <a:gd name="connsiteY7358" fmla="*/ 3983355 h 6858000"/>
              <a:gd name="connsiteX7359" fmla="*/ 6014205 w 12192000"/>
              <a:gd name="connsiteY7359" fmla="*/ 4013007 h 6858000"/>
              <a:gd name="connsiteX7360" fmla="*/ 6092739 w 12192000"/>
              <a:gd name="connsiteY7360" fmla="*/ 4013007 h 6858000"/>
              <a:gd name="connsiteX7361" fmla="*/ 6060528 w 12192000"/>
              <a:gd name="connsiteY7361" fmla="*/ 3983355 h 6858000"/>
              <a:gd name="connsiteX7362" fmla="*/ 6092739 w 12192000"/>
              <a:gd name="connsiteY7362" fmla="*/ 3953703 h 6858000"/>
              <a:gd name="connsiteX7363" fmla="*/ 6124949 w 12192000"/>
              <a:gd name="connsiteY7363" fmla="*/ 3983355 h 6858000"/>
              <a:gd name="connsiteX7364" fmla="*/ 6092739 w 12192000"/>
              <a:gd name="connsiteY7364" fmla="*/ 4013007 h 6858000"/>
              <a:gd name="connsiteX7365" fmla="*/ 6171273 w 12192000"/>
              <a:gd name="connsiteY7365" fmla="*/ 4013007 h 6858000"/>
              <a:gd name="connsiteX7366" fmla="*/ 6139056 w 12192000"/>
              <a:gd name="connsiteY7366" fmla="*/ 3983355 h 6858000"/>
              <a:gd name="connsiteX7367" fmla="*/ 6171273 w 12192000"/>
              <a:gd name="connsiteY7367" fmla="*/ 3953703 h 6858000"/>
              <a:gd name="connsiteX7368" fmla="*/ 6203477 w 12192000"/>
              <a:gd name="connsiteY7368" fmla="*/ 3983355 h 6858000"/>
              <a:gd name="connsiteX7369" fmla="*/ 6171273 w 12192000"/>
              <a:gd name="connsiteY7369" fmla="*/ 4013007 h 6858000"/>
              <a:gd name="connsiteX7370" fmla="*/ 6249806 w 12192000"/>
              <a:gd name="connsiteY7370" fmla="*/ 4013007 h 6858000"/>
              <a:gd name="connsiteX7371" fmla="*/ 6217590 w 12192000"/>
              <a:gd name="connsiteY7371" fmla="*/ 3983355 h 6858000"/>
              <a:gd name="connsiteX7372" fmla="*/ 6249806 w 12192000"/>
              <a:gd name="connsiteY7372" fmla="*/ 3953703 h 6858000"/>
              <a:gd name="connsiteX7373" fmla="*/ 6282010 w 12192000"/>
              <a:gd name="connsiteY7373" fmla="*/ 3983355 h 6858000"/>
              <a:gd name="connsiteX7374" fmla="*/ 6249806 w 12192000"/>
              <a:gd name="connsiteY7374" fmla="*/ 4013007 h 6858000"/>
              <a:gd name="connsiteX7375" fmla="*/ 6328340 w 12192000"/>
              <a:gd name="connsiteY7375" fmla="*/ 4013007 h 6858000"/>
              <a:gd name="connsiteX7376" fmla="*/ 6296124 w 12192000"/>
              <a:gd name="connsiteY7376" fmla="*/ 3983355 h 6858000"/>
              <a:gd name="connsiteX7377" fmla="*/ 6328340 w 12192000"/>
              <a:gd name="connsiteY7377" fmla="*/ 3953703 h 6858000"/>
              <a:gd name="connsiteX7378" fmla="*/ 6360545 w 12192000"/>
              <a:gd name="connsiteY7378" fmla="*/ 3983355 h 6858000"/>
              <a:gd name="connsiteX7379" fmla="*/ 6328340 w 12192000"/>
              <a:gd name="connsiteY7379" fmla="*/ 4013007 h 6858000"/>
              <a:gd name="connsiteX7380" fmla="*/ 6406875 w 12192000"/>
              <a:gd name="connsiteY7380" fmla="*/ 4013007 h 6858000"/>
              <a:gd name="connsiteX7381" fmla="*/ 6374658 w 12192000"/>
              <a:gd name="connsiteY7381" fmla="*/ 3983355 h 6858000"/>
              <a:gd name="connsiteX7382" fmla="*/ 6406875 w 12192000"/>
              <a:gd name="connsiteY7382" fmla="*/ 3953703 h 6858000"/>
              <a:gd name="connsiteX7383" fmla="*/ 6439079 w 12192000"/>
              <a:gd name="connsiteY7383" fmla="*/ 3983355 h 6858000"/>
              <a:gd name="connsiteX7384" fmla="*/ 6406875 w 12192000"/>
              <a:gd name="connsiteY7384" fmla="*/ 4013007 h 6858000"/>
              <a:gd name="connsiteX7385" fmla="*/ 6485408 w 12192000"/>
              <a:gd name="connsiteY7385" fmla="*/ 4013007 h 6858000"/>
              <a:gd name="connsiteX7386" fmla="*/ 6453191 w 12192000"/>
              <a:gd name="connsiteY7386" fmla="*/ 3983355 h 6858000"/>
              <a:gd name="connsiteX7387" fmla="*/ 6485408 w 12192000"/>
              <a:gd name="connsiteY7387" fmla="*/ 3953703 h 6858000"/>
              <a:gd name="connsiteX7388" fmla="*/ 6517612 w 12192000"/>
              <a:gd name="connsiteY7388" fmla="*/ 3983355 h 6858000"/>
              <a:gd name="connsiteX7389" fmla="*/ 6485408 w 12192000"/>
              <a:gd name="connsiteY7389" fmla="*/ 4013007 h 6858000"/>
              <a:gd name="connsiteX7390" fmla="*/ 6563942 w 12192000"/>
              <a:gd name="connsiteY7390" fmla="*/ 4013007 h 6858000"/>
              <a:gd name="connsiteX7391" fmla="*/ 6531726 w 12192000"/>
              <a:gd name="connsiteY7391" fmla="*/ 3983355 h 6858000"/>
              <a:gd name="connsiteX7392" fmla="*/ 6563942 w 12192000"/>
              <a:gd name="connsiteY7392" fmla="*/ 3953703 h 6858000"/>
              <a:gd name="connsiteX7393" fmla="*/ 6596146 w 12192000"/>
              <a:gd name="connsiteY7393" fmla="*/ 3983355 h 6858000"/>
              <a:gd name="connsiteX7394" fmla="*/ 6563942 w 12192000"/>
              <a:gd name="connsiteY7394" fmla="*/ 4013007 h 6858000"/>
              <a:gd name="connsiteX7395" fmla="*/ 6642476 w 12192000"/>
              <a:gd name="connsiteY7395" fmla="*/ 4013007 h 6858000"/>
              <a:gd name="connsiteX7396" fmla="*/ 6610260 w 12192000"/>
              <a:gd name="connsiteY7396" fmla="*/ 3983355 h 6858000"/>
              <a:gd name="connsiteX7397" fmla="*/ 6642476 w 12192000"/>
              <a:gd name="connsiteY7397" fmla="*/ 3953703 h 6858000"/>
              <a:gd name="connsiteX7398" fmla="*/ 6674681 w 12192000"/>
              <a:gd name="connsiteY7398" fmla="*/ 3983355 h 6858000"/>
              <a:gd name="connsiteX7399" fmla="*/ 6642476 w 12192000"/>
              <a:gd name="connsiteY7399" fmla="*/ 4013007 h 6858000"/>
              <a:gd name="connsiteX7400" fmla="*/ 6721010 w 12192000"/>
              <a:gd name="connsiteY7400" fmla="*/ 4013007 h 6858000"/>
              <a:gd name="connsiteX7401" fmla="*/ 6688793 w 12192000"/>
              <a:gd name="connsiteY7401" fmla="*/ 3983355 h 6858000"/>
              <a:gd name="connsiteX7402" fmla="*/ 6721010 w 12192000"/>
              <a:gd name="connsiteY7402" fmla="*/ 3953703 h 6858000"/>
              <a:gd name="connsiteX7403" fmla="*/ 6753214 w 12192000"/>
              <a:gd name="connsiteY7403" fmla="*/ 3983355 h 6858000"/>
              <a:gd name="connsiteX7404" fmla="*/ 6721010 w 12192000"/>
              <a:gd name="connsiteY7404" fmla="*/ 4013007 h 6858000"/>
              <a:gd name="connsiteX7405" fmla="*/ 6878077 w 12192000"/>
              <a:gd name="connsiteY7405" fmla="*/ 4013007 h 6858000"/>
              <a:gd name="connsiteX7406" fmla="*/ 6845861 w 12192000"/>
              <a:gd name="connsiteY7406" fmla="*/ 3983355 h 6858000"/>
              <a:gd name="connsiteX7407" fmla="*/ 6878077 w 12192000"/>
              <a:gd name="connsiteY7407" fmla="*/ 3953703 h 6858000"/>
              <a:gd name="connsiteX7408" fmla="*/ 6910281 w 12192000"/>
              <a:gd name="connsiteY7408" fmla="*/ 3983355 h 6858000"/>
              <a:gd name="connsiteX7409" fmla="*/ 6878077 w 12192000"/>
              <a:gd name="connsiteY7409" fmla="*/ 4013007 h 6858000"/>
              <a:gd name="connsiteX7410" fmla="*/ 7035146 w 12192000"/>
              <a:gd name="connsiteY7410" fmla="*/ 4013007 h 6858000"/>
              <a:gd name="connsiteX7411" fmla="*/ 7002929 w 12192000"/>
              <a:gd name="connsiteY7411" fmla="*/ 3983355 h 6858000"/>
              <a:gd name="connsiteX7412" fmla="*/ 7035146 w 12192000"/>
              <a:gd name="connsiteY7412" fmla="*/ 3953703 h 6858000"/>
              <a:gd name="connsiteX7413" fmla="*/ 7067350 w 12192000"/>
              <a:gd name="connsiteY7413" fmla="*/ 3983355 h 6858000"/>
              <a:gd name="connsiteX7414" fmla="*/ 7035146 w 12192000"/>
              <a:gd name="connsiteY7414" fmla="*/ 4013007 h 6858000"/>
              <a:gd name="connsiteX7415" fmla="*/ 7113703 w 12192000"/>
              <a:gd name="connsiteY7415" fmla="*/ 4013007 h 6858000"/>
              <a:gd name="connsiteX7416" fmla="*/ 7081487 w 12192000"/>
              <a:gd name="connsiteY7416" fmla="*/ 3983355 h 6858000"/>
              <a:gd name="connsiteX7417" fmla="*/ 7113703 w 12192000"/>
              <a:gd name="connsiteY7417" fmla="*/ 3953703 h 6858000"/>
              <a:gd name="connsiteX7418" fmla="*/ 7145907 w 12192000"/>
              <a:gd name="connsiteY7418" fmla="*/ 3983355 h 6858000"/>
              <a:gd name="connsiteX7419" fmla="*/ 7113703 w 12192000"/>
              <a:gd name="connsiteY7419" fmla="*/ 4013007 h 6858000"/>
              <a:gd name="connsiteX7420" fmla="*/ 7192237 w 12192000"/>
              <a:gd name="connsiteY7420" fmla="*/ 4013007 h 6858000"/>
              <a:gd name="connsiteX7421" fmla="*/ 7160021 w 12192000"/>
              <a:gd name="connsiteY7421" fmla="*/ 3983355 h 6858000"/>
              <a:gd name="connsiteX7422" fmla="*/ 7192237 w 12192000"/>
              <a:gd name="connsiteY7422" fmla="*/ 3953703 h 6858000"/>
              <a:gd name="connsiteX7423" fmla="*/ 7224441 w 12192000"/>
              <a:gd name="connsiteY7423" fmla="*/ 3983355 h 6858000"/>
              <a:gd name="connsiteX7424" fmla="*/ 7192237 w 12192000"/>
              <a:gd name="connsiteY7424" fmla="*/ 4013007 h 6858000"/>
              <a:gd name="connsiteX7425" fmla="*/ 7427839 w 12192000"/>
              <a:gd name="connsiteY7425" fmla="*/ 4013007 h 6858000"/>
              <a:gd name="connsiteX7426" fmla="*/ 7395623 w 12192000"/>
              <a:gd name="connsiteY7426" fmla="*/ 3983355 h 6858000"/>
              <a:gd name="connsiteX7427" fmla="*/ 7427839 w 12192000"/>
              <a:gd name="connsiteY7427" fmla="*/ 3953703 h 6858000"/>
              <a:gd name="connsiteX7428" fmla="*/ 7460043 w 12192000"/>
              <a:gd name="connsiteY7428" fmla="*/ 3983355 h 6858000"/>
              <a:gd name="connsiteX7429" fmla="*/ 7427839 w 12192000"/>
              <a:gd name="connsiteY7429" fmla="*/ 4013007 h 6858000"/>
              <a:gd name="connsiteX7430" fmla="*/ 7506373 w 12192000"/>
              <a:gd name="connsiteY7430" fmla="*/ 4013007 h 6858000"/>
              <a:gd name="connsiteX7431" fmla="*/ 7474157 w 12192000"/>
              <a:gd name="connsiteY7431" fmla="*/ 3983355 h 6858000"/>
              <a:gd name="connsiteX7432" fmla="*/ 7506373 w 12192000"/>
              <a:gd name="connsiteY7432" fmla="*/ 3953703 h 6858000"/>
              <a:gd name="connsiteX7433" fmla="*/ 7538577 w 12192000"/>
              <a:gd name="connsiteY7433" fmla="*/ 3983355 h 6858000"/>
              <a:gd name="connsiteX7434" fmla="*/ 7506373 w 12192000"/>
              <a:gd name="connsiteY7434" fmla="*/ 4013007 h 6858000"/>
              <a:gd name="connsiteX7435" fmla="*/ 7584906 w 12192000"/>
              <a:gd name="connsiteY7435" fmla="*/ 4013007 h 6858000"/>
              <a:gd name="connsiteX7436" fmla="*/ 7552690 w 12192000"/>
              <a:gd name="connsiteY7436" fmla="*/ 3983355 h 6858000"/>
              <a:gd name="connsiteX7437" fmla="*/ 7584906 w 12192000"/>
              <a:gd name="connsiteY7437" fmla="*/ 3953703 h 6858000"/>
              <a:gd name="connsiteX7438" fmla="*/ 7617111 w 12192000"/>
              <a:gd name="connsiteY7438" fmla="*/ 3983355 h 6858000"/>
              <a:gd name="connsiteX7439" fmla="*/ 7584906 w 12192000"/>
              <a:gd name="connsiteY7439" fmla="*/ 4013007 h 6858000"/>
              <a:gd name="connsiteX7440" fmla="*/ 7663441 w 12192000"/>
              <a:gd name="connsiteY7440" fmla="*/ 4013007 h 6858000"/>
              <a:gd name="connsiteX7441" fmla="*/ 7631224 w 12192000"/>
              <a:gd name="connsiteY7441" fmla="*/ 3983355 h 6858000"/>
              <a:gd name="connsiteX7442" fmla="*/ 7663441 w 12192000"/>
              <a:gd name="connsiteY7442" fmla="*/ 3953703 h 6858000"/>
              <a:gd name="connsiteX7443" fmla="*/ 7695645 w 12192000"/>
              <a:gd name="connsiteY7443" fmla="*/ 3983355 h 6858000"/>
              <a:gd name="connsiteX7444" fmla="*/ 7663441 w 12192000"/>
              <a:gd name="connsiteY7444" fmla="*/ 4013007 h 6858000"/>
              <a:gd name="connsiteX7445" fmla="*/ 7741974 w 12192000"/>
              <a:gd name="connsiteY7445" fmla="*/ 4013007 h 6858000"/>
              <a:gd name="connsiteX7446" fmla="*/ 7709758 w 12192000"/>
              <a:gd name="connsiteY7446" fmla="*/ 3983355 h 6858000"/>
              <a:gd name="connsiteX7447" fmla="*/ 7741974 w 12192000"/>
              <a:gd name="connsiteY7447" fmla="*/ 3953703 h 6858000"/>
              <a:gd name="connsiteX7448" fmla="*/ 7774178 w 12192000"/>
              <a:gd name="connsiteY7448" fmla="*/ 3983355 h 6858000"/>
              <a:gd name="connsiteX7449" fmla="*/ 7741974 w 12192000"/>
              <a:gd name="connsiteY7449" fmla="*/ 4013007 h 6858000"/>
              <a:gd name="connsiteX7450" fmla="*/ 7820508 w 12192000"/>
              <a:gd name="connsiteY7450" fmla="*/ 4013007 h 6858000"/>
              <a:gd name="connsiteX7451" fmla="*/ 7788292 w 12192000"/>
              <a:gd name="connsiteY7451" fmla="*/ 3983355 h 6858000"/>
              <a:gd name="connsiteX7452" fmla="*/ 7820508 w 12192000"/>
              <a:gd name="connsiteY7452" fmla="*/ 3953703 h 6858000"/>
              <a:gd name="connsiteX7453" fmla="*/ 7852712 w 12192000"/>
              <a:gd name="connsiteY7453" fmla="*/ 3983355 h 6858000"/>
              <a:gd name="connsiteX7454" fmla="*/ 7820508 w 12192000"/>
              <a:gd name="connsiteY7454" fmla="*/ 4013007 h 6858000"/>
              <a:gd name="connsiteX7455" fmla="*/ 7899042 w 12192000"/>
              <a:gd name="connsiteY7455" fmla="*/ 4013007 h 6858000"/>
              <a:gd name="connsiteX7456" fmla="*/ 7866826 w 12192000"/>
              <a:gd name="connsiteY7456" fmla="*/ 3983355 h 6858000"/>
              <a:gd name="connsiteX7457" fmla="*/ 7899042 w 12192000"/>
              <a:gd name="connsiteY7457" fmla="*/ 3953703 h 6858000"/>
              <a:gd name="connsiteX7458" fmla="*/ 7931247 w 12192000"/>
              <a:gd name="connsiteY7458" fmla="*/ 3983355 h 6858000"/>
              <a:gd name="connsiteX7459" fmla="*/ 7899042 w 12192000"/>
              <a:gd name="connsiteY7459" fmla="*/ 4013007 h 6858000"/>
              <a:gd name="connsiteX7460" fmla="*/ 8056110 w 12192000"/>
              <a:gd name="connsiteY7460" fmla="*/ 4013007 h 6858000"/>
              <a:gd name="connsiteX7461" fmla="*/ 8023894 w 12192000"/>
              <a:gd name="connsiteY7461" fmla="*/ 3983355 h 6858000"/>
              <a:gd name="connsiteX7462" fmla="*/ 8056110 w 12192000"/>
              <a:gd name="connsiteY7462" fmla="*/ 3953703 h 6858000"/>
              <a:gd name="connsiteX7463" fmla="*/ 8088314 w 12192000"/>
              <a:gd name="connsiteY7463" fmla="*/ 3983355 h 6858000"/>
              <a:gd name="connsiteX7464" fmla="*/ 8056110 w 12192000"/>
              <a:gd name="connsiteY7464" fmla="*/ 4013007 h 6858000"/>
              <a:gd name="connsiteX7465" fmla="*/ 8134643 w 12192000"/>
              <a:gd name="connsiteY7465" fmla="*/ 4013007 h 6858000"/>
              <a:gd name="connsiteX7466" fmla="*/ 8102427 w 12192000"/>
              <a:gd name="connsiteY7466" fmla="*/ 3983355 h 6858000"/>
              <a:gd name="connsiteX7467" fmla="*/ 8134643 w 12192000"/>
              <a:gd name="connsiteY7467" fmla="*/ 3953703 h 6858000"/>
              <a:gd name="connsiteX7468" fmla="*/ 8166847 w 12192000"/>
              <a:gd name="connsiteY7468" fmla="*/ 3983355 h 6858000"/>
              <a:gd name="connsiteX7469" fmla="*/ 8134643 w 12192000"/>
              <a:gd name="connsiteY7469" fmla="*/ 4013007 h 6858000"/>
              <a:gd name="connsiteX7470" fmla="*/ 8213177 w 12192000"/>
              <a:gd name="connsiteY7470" fmla="*/ 4013007 h 6858000"/>
              <a:gd name="connsiteX7471" fmla="*/ 8180961 w 12192000"/>
              <a:gd name="connsiteY7471" fmla="*/ 3983355 h 6858000"/>
              <a:gd name="connsiteX7472" fmla="*/ 8213177 w 12192000"/>
              <a:gd name="connsiteY7472" fmla="*/ 3953703 h 6858000"/>
              <a:gd name="connsiteX7473" fmla="*/ 8245382 w 12192000"/>
              <a:gd name="connsiteY7473" fmla="*/ 3983355 h 6858000"/>
              <a:gd name="connsiteX7474" fmla="*/ 8213177 w 12192000"/>
              <a:gd name="connsiteY7474" fmla="*/ 4013007 h 6858000"/>
              <a:gd name="connsiteX7475" fmla="*/ 8291712 w 12192000"/>
              <a:gd name="connsiteY7475" fmla="*/ 4013007 h 6858000"/>
              <a:gd name="connsiteX7476" fmla="*/ 8259495 w 12192000"/>
              <a:gd name="connsiteY7476" fmla="*/ 3983355 h 6858000"/>
              <a:gd name="connsiteX7477" fmla="*/ 8291712 w 12192000"/>
              <a:gd name="connsiteY7477" fmla="*/ 3953703 h 6858000"/>
              <a:gd name="connsiteX7478" fmla="*/ 8323916 w 12192000"/>
              <a:gd name="connsiteY7478" fmla="*/ 3983355 h 6858000"/>
              <a:gd name="connsiteX7479" fmla="*/ 8291712 w 12192000"/>
              <a:gd name="connsiteY7479" fmla="*/ 4013007 h 6858000"/>
              <a:gd name="connsiteX7480" fmla="*/ 8370245 w 12192000"/>
              <a:gd name="connsiteY7480" fmla="*/ 4013007 h 6858000"/>
              <a:gd name="connsiteX7481" fmla="*/ 8338029 w 12192000"/>
              <a:gd name="connsiteY7481" fmla="*/ 3983355 h 6858000"/>
              <a:gd name="connsiteX7482" fmla="*/ 8370245 w 12192000"/>
              <a:gd name="connsiteY7482" fmla="*/ 3953703 h 6858000"/>
              <a:gd name="connsiteX7483" fmla="*/ 8402449 w 12192000"/>
              <a:gd name="connsiteY7483" fmla="*/ 3983355 h 6858000"/>
              <a:gd name="connsiteX7484" fmla="*/ 8370245 w 12192000"/>
              <a:gd name="connsiteY7484" fmla="*/ 4013007 h 6858000"/>
              <a:gd name="connsiteX7485" fmla="*/ 8448779 w 12192000"/>
              <a:gd name="connsiteY7485" fmla="*/ 4013007 h 6858000"/>
              <a:gd name="connsiteX7486" fmla="*/ 8416563 w 12192000"/>
              <a:gd name="connsiteY7486" fmla="*/ 3983355 h 6858000"/>
              <a:gd name="connsiteX7487" fmla="*/ 8448779 w 12192000"/>
              <a:gd name="connsiteY7487" fmla="*/ 3953703 h 6858000"/>
              <a:gd name="connsiteX7488" fmla="*/ 8480983 w 12192000"/>
              <a:gd name="connsiteY7488" fmla="*/ 3983355 h 6858000"/>
              <a:gd name="connsiteX7489" fmla="*/ 8448779 w 12192000"/>
              <a:gd name="connsiteY7489" fmla="*/ 4013007 h 6858000"/>
              <a:gd name="connsiteX7490" fmla="*/ 8527313 w 12192000"/>
              <a:gd name="connsiteY7490" fmla="*/ 4013007 h 6858000"/>
              <a:gd name="connsiteX7491" fmla="*/ 8495097 w 12192000"/>
              <a:gd name="connsiteY7491" fmla="*/ 3983355 h 6858000"/>
              <a:gd name="connsiteX7492" fmla="*/ 8527313 w 12192000"/>
              <a:gd name="connsiteY7492" fmla="*/ 3953703 h 6858000"/>
              <a:gd name="connsiteX7493" fmla="*/ 8559518 w 12192000"/>
              <a:gd name="connsiteY7493" fmla="*/ 3983355 h 6858000"/>
              <a:gd name="connsiteX7494" fmla="*/ 8527313 w 12192000"/>
              <a:gd name="connsiteY7494" fmla="*/ 4013007 h 6858000"/>
              <a:gd name="connsiteX7495" fmla="*/ 8605847 w 12192000"/>
              <a:gd name="connsiteY7495" fmla="*/ 4013007 h 6858000"/>
              <a:gd name="connsiteX7496" fmla="*/ 8573630 w 12192000"/>
              <a:gd name="connsiteY7496" fmla="*/ 3983355 h 6858000"/>
              <a:gd name="connsiteX7497" fmla="*/ 8605847 w 12192000"/>
              <a:gd name="connsiteY7497" fmla="*/ 3953703 h 6858000"/>
              <a:gd name="connsiteX7498" fmla="*/ 8638051 w 12192000"/>
              <a:gd name="connsiteY7498" fmla="*/ 3983355 h 6858000"/>
              <a:gd name="connsiteX7499" fmla="*/ 8605847 w 12192000"/>
              <a:gd name="connsiteY7499" fmla="*/ 4013007 h 6858000"/>
              <a:gd name="connsiteX7500" fmla="*/ 8684381 w 12192000"/>
              <a:gd name="connsiteY7500" fmla="*/ 4013007 h 6858000"/>
              <a:gd name="connsiteX7501" fmla="*/ 8652165 w 12192000"/>
              <a:gd name="connsiteY7501" fmla="*/ 3983355 h 6858000"/>
              <a:gd name="connsiteX7502" fmla="*/ 8684381 w 12192000"/>
              <a:gd name="connsiteY7502" fmla="*/ 3953703 h 6858000"/>
              <a:gd name="connsiteX7503" fmla="*/ 8716585 w 12192000"/>
              <a:gd name="connsiteY7503" fmla="*/ 3983355 h 6858000"/>
              <a:gd name="connsiteX7504" fmla="*/ 8684381 w 12192000"/>
              <a:gd name="connsiteY7504" fmla="*/ 4013007 h 6858000"/>
              <a:gd name="connsiteX7505" fmla="*/ 8762914 w 12192000"/>
              <a:gd name="connsiteY7505" fmla="*/ 4013007 h 6858000"/>
              <a:gd name="connsiteX7506" fmla="*/ 8730698 w 12192000"/>
              <a:gd name="connsiteY7506" fmla="*/ 3983355 h 6858000"/>
              <a:gd name="connsiteX7507" fmla="*/ 8762914 w 12192000"/>
              <a:gd name="connsiteY7507" fmla="*/ 3953703 h 6858000"/>
              <a:gd name="connsiteX7508" fmla="*/ 8795118 w 12192000"/>
              <a:gd name="connsiteY7508" fmla="*/ 3983355 h 6858000"/>
              <a:gd name="connsiteX7509" fmla="*/ 8762914 w 12192000"/>
              <a:gd name="connsiteY7509" fmla="*/ 4013007 h 6858000"/>
              <a:gd name="connsiteX7510" fmla="*/ 8841448 w 12192000"/>
              <a:gd name="connsiteY7510" fmla="*/ 4013007 h 6858000"/>
              <a:gd name="connsiteX7511" fmla="*/ 8809232 w 12192000"/>
              <a:gd name="connsiteY7511" fmla="*/ 3983355 h 6858000"/>
              <a:gd name="connsiteX7512" fmla="*/ 8841448 w 12192000"/>
              <a:gd name="connsiteY7512" fmla="*/ 3953703 h 6858000"/>
              <a:gd name="connsiteX7513" fmla="*/ 8873653 w 12192000"/>
              <a:gd name="connsiteY7513" fmla="*/ 3983355 h 6858000"/>
              <a:gd name="connsiteX7514" fmla="*/ 8841448 w 12192000"/>
              <a:gd name="connsiteY7514" fmla="*/ 4013007 h 6858000"/>
              <a:gd name="connsiteX7515" fmla="*/ 8919983 w 12192000"/>
              <a:gd name="connsiteY7515" fmla="*/ 4013007 h 6858000"/>
              <a:gd name="connsiteX7516" fmla="*/ 8887766 w 12192000"/>
              <a:gd name="connsiteY7516" fmla="*/ 3983355 h 6858000"/>
              <a:gd name="connsiteX7517" fmla="*/ 8919983 w 12192000"/>
              <a:gd name="connsiteY7517" fmla="*/ 3953703 h 6858000"/>
              <a:gd name="connsiteX7518" fmla="*/ 8952187 w 12192000"/>
              <a:gd name="connsiteY7518" fmla="*/ 3983355 h 6858000"/>
              <a:gd name="connsiteX7519" fmla="*/ 8919983 w 12192000"/>
              <a:gd name="connsiteY7519" fmla="*/ 4013007 h 6858000"/>
              <a:gd name="connsiteX7520" fmla="*/ 8998516 w 12192000"/>
              <a:gd name="connsiteY7520" fmla="*/ 4013007 h 6858000"/>
              <a:gd name="connsiteX7521" fmla="*/ 8966300 w 12192000"/>
              <a:gd name="connsiteY7521" fmla="*/ 3983355 h 6858000"/>
              <a:gd name="connsiteX7522" fmla="*/ 8998516 w 12192000"/>
              <a:gd name="connsiteY7522" fmla="*/ 3953703 h 6858000"/>
              <a:gd name="connsiteX7523" fmla="*/ 9030720 w 12192000"/>
              <a:gd name="connsiteY7523" fmla="*/ 3983355 h 6858000"/>
              <a:gd name="connsiteX7524" fmla="*/ 8998516 w 12192000"/>
              <a:gd name="connsiteY7524" fmla="*/ 4013007 h 6858000"/>
              <a:gd name="connsiteX7525" fmla="*/ 9077050 w 12192000"/>
              <a:gd name="connsiteY7525" fmla="*/ 4013007 h 6858000"/>
              <a:gd name="connsiteX7526" fmla="*/ 9044834 w 12192000"/>
              <a:gd name="connsiteY7526" fmla="*/ 3983355 h 6858000"/>
              <a:gd name="connsiteX7527" fmla="*/ 9077050 w 12192000"/>
              <a:gd name="connsiteY7527" fmla="*/ 3953703 h 6858000"/>
              <a:gd name="connsiteX7528" fmla="*/ 9109254 w 12192000"/>
              <a:gd name="connsiteY7528" fmla="*/ 3983355 h 6858000"/>
              <a:gd name="connsiteX7529" fmla="*/ 9077050 w 12192000"/>
              <a:gd name="connsiteY7529" fmla="*/ 4013007 h 6858000"/>
              <a:gd name="connsiteX7530" fmla="*/ 9155583 w 12192000"/>
              <a:gd name="connsiteY7530" fmla="*/ 4013007 h 6858000"/>
              <a:gd name="connsiteX7531" fmla="*/ 9123367 w 12192000"/>
              <a:gd name="connsiteY7531" fmla="*/ 3983355 h 6858000"/>
              <a:gd name="connsiteX7532" fmla="*/ 9155583 w 12192000"/>
              <a:gd name="connsiteY7532" fmla="*/ 3953703 h 6858000"/>
              <a:gd name="connsiteX7533" fmla="*/ 9187788 w 12192000"/>
              <a:gd name="connsiteY7533" fmla="*/ 3983355 h 6858000"/>
              <a:gd name="connsiteX7534" fmla="*/ 9155583 w 12192000"/>
              <a:gd name="connsiteY7534" fmla="*/ 4013007 h 6858000"/>
              <a:gd name="connsiteX7535" fmla="*/ 9234118 w 12192000"/>
              <a:gd name="connsiteY7535" fmla="*/ 4013007 h 6858000"/>
              <a:gd name="connsiteX7536" fmla="*/ 9201901 w 12192000"/>
              <a:gd name="connsiteY7536" fmla="*/ 3983355 h 6858000"/>
              <a:gd name="connsiteX7537" fmla="*/ 9234118 w 12192000"/>
              <a:gd name="connsiteY7537" fmla="*/ 3953703 h 6858000"/>
              <a:gd name="connsiteX7538" fmla="*/ 9266322 w 12192000"/>
              <a:gd name="connsiteY7538" fmla="*/ 3983355 h 6858000"/>
              <a:gd name="connsiteX7539" fmla="*/ 9234118 w 12192000"/>
              <a:gd name="connsiteY7539" fmla="*/ 4013007 h 6858000"/>
              <a:gd name="connsiteX7540" fmla="*/ 9312652 w 12192000"/>
              <a:gd name="connsiteY7540" fmla="*/ 4013007 h 6858000"/>
              <a:gd name="connsiteX7541" fmla="*/ 9280436 w 12192000"/>
              <a:gd name="connsiteY7541" fmla="*/ 3983355 h 6858000"/>
              <a:gd name="connsiteX7542" fmla="*/ 9312652 w 12192000"/>
              <a:gd name="connsiteY7542" fmla="*/ 3953703 h 6858000"/>
              <a:gd name="connsiteX7543" fmla="*/ 9344856 w 12192000"/>
              <a:gd name="connsiteY7543" fmla="*/ 3983355 h 6858000"/>
              <a:gd name="connsiteX7544" fmla="*/ 9312652 w 12192000"/>
              <a:gd name="connsiteY7544" fmla="*/ 4013007 h 6858000"/>
              <a:gd name="connsiteX7545" fmla="*/ 9391185 w 12192000"/>
              <a:gd name="connsiteY7545" fmla="*/ 4013007 h 6858000"/>
              <a:gd name="connsiteX7546" fmla="*/ 9358969 w 12192000"/>
              <a:gd name="connsiteY7546" fmla="*/ 3983355 h 6858000"/>
              <a:gd name="connsiteX7547" fmla="*/ 9391185 w 12192000"/>
              <a:gd name="connsiteY7547" fmla="*/ 3953703 h 6858000"/>
              <a:gd name="connsiteX7548" fmla="*/ 9423389 w 12192000"/>
              <a:gd name="connsiteY7548" fmla="*/ 3983355 h 6858000"/>
              <a:gd name="connsiteX7549" fmla="*/ 9391185 w 12192000"/>
              <a:gd name="connsiteY7549" fmla="*/ 4013007 h 6858000"/>
              <a:gd name="connsiteX7550" fmla="*/ 9469719 w 12192000"/>
              <a:gd name="connsiteY7550" fmla="*/ 4013007 h 6858000"/>
              <a:gd name="connsiteX7551" fmla="*/ 9437503 w 12192000"/>
              <a:gd name="connsiteY7551" fmla="*/ 3983355 h 6858000"/>
              <a:gd name="connsiteX7552" fmla="*/ 9469719 w 12192000"/>
              <a:gd name="connsiteY7552" fmla="*/ 3953703 h 6858000"/>
              <a:gd name="connsiteX7553" fmla="*/ 9501924 w 12192000"/>
              <a:gd name="connsiteY7553" fmla="*/ 3983355 h 6858000"/>
              <a:gd name="connsiteX7554" fmla="*/ 9469719 w 12192000"/>
              <a:gd name="connsiteY7554" fmla="*/ 4013007 h 6858000"/>
              <a:gd name="connsiteX7555" fmla="*/ 9862389 w 12192000"/>
              <a:gd name="connsiteY7555" fmla="*/ 4013007 h 6858000"/>
              <a:gd name="connsiteX7556" fmla="*/ 9830172 w 12192000"/>
              <a:gd name="connsiteY7556" fmla="*/ 3983355 h 6858000"/>
              <a:gd name="connsiteX7557" fmla="*/ 9862389 w 12192000"/>
              <a:gd name="connsiteY7557" fmla="*/ 3953703 h 6858000"/>
              <a:gd name="connsiteX7558" fmla="*/ 9894593 w 12192000"/>
              <a:gd name="connsiteY7558" fmla="*/ 3983355 h 6858000"/>
              <a:gd name="connsiteX7559" fmla="*/ 9862389 w 12192000"/>
              <a:gd name="connsiteY7559" fmla="*/ 4013007 h 6858000"/>
              <a:gd name="connsiteX7560" fmla="*/ 2558715 w 12192000"/>
              <a:gd name="connsiteY7560" fmla="*/ 3940741 h 6858000"/>
              <a:gd name="connsiteX7561" fmla="*/ 2526505 w 12192000"/>
              <a:gd name="connsiteY7561" fmla="*/ 3911089 h 6858000"/>
              <a:gd name="connsiteX7562" fmla="*/ 2558715 w 12192000"/>
              <a:gd name="connsiteY7562" fmla="*/ 3881437 h 6858000"/>
              <a:gd name="connsiteX7563" fmla="*/ 2590926 w 12192000"/>
              <a:gd name="connsiteY7563" fmla="*/ 3911089 h 6858000"/>
              <a:gd name="connsiteX7564" fmla="*/ 2558715 w 12192000"/>
              <a:gd name="connsiteY7564" fmla="*/ 3940741 h 6858000"/>
              <a:gd name="connsiteX7565" fmla="*/ 2637243 w 12192000"/>
              <a:gd name="connsiteY7565" fmla="*/ 3940741 h 6858000"/>
              <a:gd name="connsiteX7566" fmla="*/ 2605032 w 12192000"/>
              <a:gd name="connsiteY7566" fmla="*/ 3911089 h 6858000"/>
              <a:gd name="connsiteX7567" fmla="*/ 2637243 w 12192000"/>
              <a:gd name="connsiteY7567" fmla="*/ 3881437 h 6858000"/>
              <a:gd name="connsiteX7568" fmla="*/ 2669453 w 12192000"/>
              <a:gd name="connsiteY7568" fmla="*/ 3911089 h 6858000"/>
              <a:gd name="connsiteX7569" fmla="*/ 2637243 w 12192000"/>
              <a:gd name="connsiteY7569" fmla="*/ 3940741 h 6858000"/>
              <a:gd name="connsiteX7570" fmla="*/ 2715777 w 12192000"/>
              <a:gd name="connsiteY7570" fmla="*/ 3940741 h 6858000"/>
              <a:gd name="connsiteX7571" fmla="*/ 2683566 w 12192000"/>
              <a:gd name="connsiteY7571" fmla="*/ 3911089 h 6858000"/>
              <a:gd name="connsiteX7572" fmla="*/ 2715777 w 12192000"/>
              <a:gd name="connsiteY7572" fmla="*/ 3881437 h 6858000"/>
              <a:gd name="connsiteX7573" fmla="*/ 2747987 w 12192000"/>
              <a:gd name="connsiteY7573" fmla="*/ 3911089 h 6858000"/>
              <a:gd name="connsiteX7574" fmla="*/ 2715777 w 12192000"/>
              <a:gd name="connsiteY7574" fmla="*/ 3940741 h 6858000"/>
              <a:gd name="connsiteX7575" fmla="*/ 2794310 w 12192000"/>
              <a:gd name="connsiteY7575" fmla="*/ 3940741 h 6858000"/>
              <a:gd name="connsiteX7576" fmla="*/ 2762100 w 12192000"/>
              <a:gd name="connsiteY7576" fmla="*/ 3911089 h 6858000"/>
              <a:gd name="connsiteX7577" fmla="*/ 2794310 w 12192000"/>
              <a:gd name="connsiteY7577" fmla="*/ 3881437 h 6858000"/>
              <a:gd name="connsiteX7578" fmla="*/ 2826520 w 12192000"/>
              <a:gd name="connsiteY7578" fmla="*/ 3911089 h 6858000"/>
              <a:gd name="connsiteX7579" fmla="*/ 2794310 w 12192000"/>
              <a:gd name="connsiteY7579" fmla="*/ 3940741 h 6858000"/>
              <a:gd name="connsiteX7580" fmla="*/ 2872844 w 12192000"/>
              <a:gd name="connsiteY7580" fmla="*/ 3940741 h 6858000"/>
              <a:gd name="connsiteX7581" fmla="*/ 2840634 w 12192000"/>
              <a:gd name="connsiteY7581" fmla="*/ 3911089 h 6858000"/>
              <a:gd name="connsiteX7582" fmla="*/ 2872844 w 12192000"/>
              <a:gd name="connsiteY7582" fmla="*/ 3881437 h 6858000"/>
              <a:gd name="connsiteX7583" fmla="*/ 2905055 w 12192000"/>
              <a:gd name="connsiteY7583" fmla="*/ 3911089 h 6858000"/>
              <a:gd name="connsiteX7584" fmla="*/ 2872844 w 12192000"/>
              <a:gd name="connsiteY7584" fmla="*/ 3940741 h 6858000"/>
              <a:gd name="connsiteX7585" fmla="*/ 2951379 w 12192000"/>
              <a:gd name="connsiteY7585" fmla="*/ 3940741 h 6858000"/>
              <a:gd name="connsiteX7586" fmla="*/ 2919168 w 12192000"/>
              <a:gd name="connsiteY7586" fmla="*/ 3911089 h 6858000"/>
              <a:gd name="connsiteX7587" fmla="*/ 2951379 w 12192000"/>
              <a:gd name="connsiteY7587" fmla="*/ 3881437 h 6858000"/>
              <a:gd name="connsiteX7588" fmla="*/ 2983589 w 12192000"/>
              <a:gd name="connsiteY7588" fmla="*/ 3911089 h 6858000"/>
              <a:gd name="connsiteX7589" fmla="*/ 2951379 w 12192000"/>
              <a:gd name="connsiteY7589" fmla="*/ 3940741 h 6858000"/>
              <a:gd name="connsiteX7590" fmla="*/ 3029912 w 12192000"/>
              <a:gd name="connsiteY7590" fmla="*/ 3940741 h 6858000"/>
              <a:gd name="connsiteX7591" fmla="*/ 2997701 w 12192000"/>
              <a:gd name="connsiteY7591" fmla="*/ 3911089 h 6858000"/>
              <a:gd name="connsiteX7592" fmla="*/ 3029912 w 12192000"/>
              <a:gd name="connsiteY7592" fmla="*/ 3881437 h 6858000"/>
              <a:gd name="connsiteX7593" fmla="*/ 3062122 w 12192000"/>
              <a:gd name="connsiteY7593" fmla="*/ 3911089 h 6858000"/>
              <a:gd name="connsiteX7594" fmla="*/ 3029912 w 12192000"/>
              <a:gd name="connsiteY7594" fmla="*/ 3940741 h 6858000"/>
              <a:gd name="connsiteX7595" fmla="*/ 3108446 w 12192000"/>
              <a:gd name="connsiteY7595" fmla="*/ 3940741 h 6858000"/>
              <a:gd name="connsiteX7596" fmla="*/ 3076236 w 12192000"/>
              <a:gd name="connsiteY7596" fmla="*/ 3911089 h 6858000"/>
              <a:gd name="connsiteX7597" fmla="*/ 3108446 w 12192000"/>
              <a:gd name="connsiteY7597" fmla="*/ 3881437 h 6858000"/>
              <a:gd name="connsiteX7598" fmla="*/ 3140656 w 12192000"/>
              <a:gd name="connsiteY7598" fmla="*/ 3911089 h 6858000"/>
              <a:gd name="connsiteX7599" fmla="*/ 3108446 w 12192000"/>
              <a:gd name="connsiteY7599" fmla="*/ 3940741 h 6858000"/>
              <a:gd name="connsiteX7600" fmla="*/ 3186979 w 12192000"/>
              <a:gd name="connsiteY7600" fmla="*/ 3940741 h 6858000"/>
              <a:gd name="connsiteX7601" fmla="*/ 3154769 w 12192000"/>
              <a:gd name="connsiteY7601" fmla="*/ 3911089 h 6858000"/>
              <a:gd name="connsiteX7602" fmla="*/ 3186979 w 12192000"/>
              <a:gd name="connsiteY7602" fmla="*/ 3881437 h 6858000"/>
              <a:gd name="connsiteX7603" fmla="*/ 3219190 w 12192000"/>
              <a:gd name="connsiteY7603" fmla="*/ 3911089 h 6858000"/>
              <a:gd name="connsiteX7604" fmla="*/ 3186979 w 12192000"/>
              <a:gd name="connsiteY7604" fmla="*/ 3940741 h 6858000"/>
              <a:gd name="connsiteX7605" fmla="*/ 3265514 w 12192000"/>
              <a:gd name="connsiteY7605" fmla="*/ 3940741 h 6858000"/>
              <a:gd name="connsiteX7606" fmla="*/ 3233303 w 12192000"/>
              <a:gd name="connsiteY7606" fmla="*/ 3911089 h 6858000"/>
              <a:gd name="connsiteX7607" fmla="*/ 3265514 w 12192000"/>
              <a:gd name="connsiteY7607" fmla="*/ 3881437 h 6858000"/>
              <a:gd name="connsiteX7608" fmla="*/ 3297724 w 12192000"/>
              <a:gd name="connsiteY7608" fmla="*/ 3911089 h 6858000"/>
              <a:gd name="connsiteX7609" fmla="*/ 3265514 w 12192000"/>
              <a:gd name="connsiteY7609" fmla="*/ 3940741 h 6858000"/>
              <a:gd name="connsiteX7610" fmla="*/ 3344048 w 12192000"/>
              <a:gd name="connsiteY7610" fmla="*/ 3940741 h 6858000"/>
              <a:gd name="connsiteX7611" fmla="*/ 3311837 w 12192000"/>
              <a:gd name="connsiteY7611" fmla="*/ 3911089 h 6858000"/>
              <a:gd name="connsiteX7612" fmla="*/ 3344048 w 12192000"/>
              <a:gd name="connsiteY7612" fmla="*/ 3881437 h 6858000"/>
              <a:gd name="connsiteX7613" fmla="*/ 3376258 w 12192000"/>
              <a:gd name="connsiteY7613" fmla="*/ 3911089 h 6858000"/>
              <a:gd name="connsiteX7614" fmla="*/ 3344048 w 12192000"/>
              <a:gd name="connsiteY7614" fmla="*/ 3940741 h 6858000"/>
              <a:gd name="connsiteX7615" fmla="*/ 3422581 w 12192000"/>
              <a:gd name="connsiteY7615" fmla="*/ 3940741 h 6858000"/>
              <a:gd name="connsiteX7616" fmla="*/ 3390371 w 12192000"/>
              <a:gd name="connsiteY7616" fmla="*/ 3911089 h 6858000"/>
              <a:gd name="connsiteX7617" fmla="*/ 3422581 w 12192000"/>
              <a:gd name="connsiteY7617" fmla="*/ 3881437 h 6858000"/>
              <a:gd name="connsiteX7618" fmla="*/ 3454791 w 12192000"/>
              <a:gd name="connsiteY7618" fmla="*/ 3911089 h 6858000"/>
              <a:gd name="connsiteX7619" fmla="*/ 3422581 w 12192000"/>
              <a:gd name="connsiteY7619" fmla="*/ 3940741 h 6858000"/>
              <a:gd name="connsiteX7620" fmla="*/ 3501115 w 12192000"/>
              <a:gd name="connsiteY7620" fmla="*/ 3940741 h 6858000"/>
              <a:gd name="connsiteX7621" fmla="*/ 3468905 w 12192000"/>
              <a:gd name="connsiteY7621" fmla="*/ 3911089 h 6858000"/>
              <a:gd name="connsiteX7622" fmla="*/ 3501115 w 12192000"/>
              <a:gd name="connsiteY7622" fmla="*/ 3881437 h 6858000"/>
              <a:gd name="connsiteX7623" fmla="*/ 3533326 w 12192000"/>
              <a:gd name="connsiteY7623" fmla="*/ 3911089 h 6858000"/>
              <a:gd name="connsiteX7624" fmla="*/ 3501115 w 12192000"/>
              <a:gd name="connsiteY7624" fmla="*/ 3940741 h 6858000"/>
              <a:gd name="connsiteX7625" fmla="*/ 3658183 w 12192000"/>
              <a:gd name="connsiteY7625" fmla="*/ 3940741 h 6858000"/>
              <a:gd name="connsiteX7626" fmla="*/ 3625972 w 12192000"/>
              <a:gd name="connsiteY7626" fmla="*/ 3911089 h 6858000"/>
              <a:gd name="connsiteX7627" fmla="*/ 3658183 w 12192000"/>
              <a:gd name="connsiteY7627" fmla="*/ 3881437 h 6858000"/>
              <a:gd name="connsiteX7628" fmla="*/ 3690393 w 12192000"/>
              <a:gd name="connsiteY7628" fmla="*/ 3911089 h 6858000"/>
              <a:gd name="connsiteX7629" fmla="*/ 3658183 w 12192000"/>
              <a:gd name="connsiteY7629" fmla="*/ 3940741 h 6858000"/>
              <a:gd name="connsiteX7630" fmla="*/ 3893785 w 12192000"/>
              <a:gd name="connsiteY7630" fmla="*/ 3940741 h 6858000"/>
              <a:gd name="connsiteX7631" fmla="*/ 3861574 w 12192000"/>
              <a:gd name="connsiteY7631" fmla="*/ 3911089 h 6858000"/>
              <a:gd name="connsiteX7632" fmla="*/ 3893785 w 12192000"/>
              <a:gd name="connsiteY7632" fmla="*/ 3881437 h 6858000"/>
              <a:gd name="connsiteX7633" fmla="*/ 3925995 w 12192000"/>
              <a:gd name="connsiteY7633" fmla="*/ 3911089 h 6858000"/>
              <a:gd name="connsiteX7634" fmla="*/ 3893785 w 12192000"/>
              <a:gd name="connsiteY7634" fmla="*/ 3940741 h 6858000"/>
              <a:gd name="connsiteX7635" fmla="*/ 3972319 w 12192000"/>
              <a:gd name="connsiteY7635" fmla="*/ 3940741 h 6858000"/>
              <a:gd name="connsiteX7636" fmla="*/ 3940108 w 12192000"/>
              <a:gd name="connsiteY7636" fmla="*/ 3911089 h 6858000"/>
              <a:gd name="connsiteX7637" fmla="*/ 3972319 w 12192000"/>
              <a:gd name="connsiteY7637" fmla="*/ 3881437 h 6858000"/>
              <a:gd name="connsiteX7638" fmla="*/ 4004529 w 12192000"/>
              <a:gd name="connsiteY7638" fmla="*/ 3911089 h 6858000"/>
              <a:gd name="connsiteX7639" fmla="*/ 3972319 w 12192000"/>
              <a:gd name="connsiteY7639" fmla="*/ 3940741 h 6858000"/>
              <a:gd name="connsiteX7640" fmla="*/ 4207926 w 12192000"/>
              <a:gd name="connsiteY7640" fmla="*/ 3940741 h 6858000"/>
              <a:gd name="connsiteX7641" fmla="*/ 4175715 w 12192000"/>
              <a:gd name="connsiteY7641" fmla="*/ 3911089 h 6858000"/>
              <a:gd name="connsiteX7642" fmla="*/ 4207926 w 12192000"/>
              <a:gd name="connsiteY7642" fmla="*/ 3881437 h 6858000"/>
              <a:gd name="connsiteX7643" fmla="*/ 4240136 w 12192000"/>
              <a:gd name="connsiteY7643" fmla="*/ 3911089 h 6858000"/>
              <a:gd name="connsiteX7644" fmla="*/ 4207926 w 12192000"/>
              <a:gd name="connsiteY7644" fmla="*/ 3940741 h 6858000"/>
              <a:gd name="connsiteX7645" fmla="*/ 5935671 w 12192000"/>
              <a:gd name="connsiteY7645" fmla="*/ 3940741 h 6858000"/>
              <a:gd name="connsiteX7646" fmla="*/ 5903461 w 12192000"/>
              <a:gd name="connsiteY7646" fmla="*/ 3911089 h 6858000"/>
              <a:gd name="connsiteX7647" fmla="*/ 5935671 w 12192000"/>
              <a:gd name="connsiteY7647" fmla="*/ 3881437 h 6858000"/>
              <a:gd name="connsiteX7648" fmla="*/ 5967881 w 12192000"/>
              <a:gd name="connsiteY7648" fmla="*/ 3911089 h 6858000"/>
              <a:gd name="connsiteX7649" fmla="*/ 5935671 w 12192000"/>
              <a:gd name="connsiteY7649" fmla="*/ 3940741 h 6858000"/>
              <a:gd name="connsiteX7650" fmla="*/ 6014205 w 12192000"/>
              <a:gd name="connsiteY7650" fmla="*/ 3940741 h 6858000"/>
              <a:gd name="connsiteX7651" fmla="*/ 5981995 w 12192000"/>
              <a:gd name="connsiteY7651" fmla="*/ 3911089 h 6858000"/>
              <a:gd name="connsiteX7652" fmla="*/ 6014205 w 12192000"/>
              <a:gd name="connsiteY7652" fmla="*/ 3881437 h 6858000"/>
              <a:gd name="connsiteX7653" fmla="*/ 6046416 w 12192000"/>
              <a:gd name="connsiteY7653" fmla="*/ 3911089 h 6858000"/>
              <a:gd name="connsiteX7654" fmla="*/ 6014205 w 12192000"/>
              <a:gd name="connsiteY7654" fmla="*/ 3940741 h 6858000"/>
              <a:gd name="connsiteX7655" fmla="*/ 6092739 w 12192000"/>
              <a:gd name="connsiteY7655" fmla="*/ 3940741 h 6858000"/>
              <a:gd name="connsiteX7656" fmla="*/ 6060528 w 12192000"/>
              <a:gd name="connsiteY7656" fmla="*/ 3911089 h 6858000"/>
              <a:gd name="connsiteX7657" fmla="*/ 6092739 w 12192000"/>
              <a:gd name="connsiteY7657" fmla="*/ 3881437 h 6858000"/>
              <a:gd name="connsiteX7658" fmla="*/ 6124949 w 12192000"/>
              <a:gd name="connsiteY7658" fmla="*/ 3911089 h 6858000"/>
              <a:gd name="connsiteX7659" fmla="*/ 6092739 w 12192000"/>
              <a:gd name="connsiteY7659" fmla="*/ 3940741 h 6858000"/>
              <a:gd name="connsiteX7660" fmla="*/ 6171273 w 12192000"/>
              <a:gd name="connsiteY7660" fmla="*/ 3940741 h 6858000"/>
              <a:gd name="connsiteX7661" fmla="*/ 6139056 w 12192000"/>
              <a:gd name="connsiteY7661" fmla="*/ 3911089 h 6858000"/>
              <a:gd name="connsiteX7662" fmla="*/ 6171273 w 12192000"/>
              <a:gd name="connsiteY7662" fmla="*/ 3881437 h 6858000"/>
              <a:gd name="connsiteX7663" fmla="*/ 6203477 w 12192000"/>
              <a:gd name="connsiteY7663" fmla="*/ 3911089 h 6858000"/>
              <a:gd name="connsiteX7664" fmla="*/ 6171273 w 12192000"/>
              <a:gd name="connsiteY7664" fmla="*/ 3940741 h 6858000"/>
              <a:gd name="connsiteX7665" fmla="*/ 6249806 w 12192000"/>
              <a:gd name="connsiteY7665" fmla="*/ 3940741 h 6858000"/>
              <a:gd name="connsiteX7666" fmla="*/ 6217590 w 12192000"/>
              <a:gd name="connsiteY7666" fmla="*/ 3911089 h 6858000"/>
              <a:gd name="connsiteX7667" fmla="*/ 6249806 w 12192000"/>
              <a:gd name="connsiteY7667" fmla="*/ 3881437 h 6858000"/>
              <a:gd name="connsiteX7668" fmla="*/ 6282010 w 12192000"/>
              <a:gd name="connsiteY7668" fmla="*/ 3911089 h 6858000"/>
              <a:gd name="connsiteX7669" fmla="*/ 6249806 w 12192000"/>
              <a:gd name="connsiteY7669" fmla="*/ 3940741 h 6858000"/>
              <a:gd name="connsiteX7670" fmla="*/ 6406875 w 12192000"/>
              <a:gd name="connsiteY7670" fmla="*/ 3940741 h 6858000"/>
              <a:gd name="connsiteX7671" fmla="*/ 6374658 w 12192000"/>
              <a:gd name="connsiteY7671" fmla="*/ 3911089 h 6858000"/>
              <a:gd name="connsiteX7672" fmla="*/ 6406875 w 12192000"/>
              <a:gd name="connsiteY7672" fmla="*/ 3881437 h 6858000"/>
              <a:gd name="connsiteX7673" fmla="*/ 6439079 w 12192000"/>
              <a:gd name="connsiteY7673" fmla="*/ 3911089 h 6858000"/>
              <a:gd name="connsiteX7674" fmla="*/ 6406875 w 12192000"/>
              <a:gd name="connsiteY7674" fmla="*/ 3940741 h 6858000"/>
              <a:gd name="connsiteX7675" fmla="*/ 6485408 w 12192000"/>
              <a:gd name="connsiteY7675" fmla="*/ 3940741 h 6858000"/>
              <a:gd name="connsiteX7676" fmla="*/ 6453191 w 12192000"/>
              <a:gd name="connsiteY7676" fmla="*/ 3911089 h 6858000"/>
              <a:gd name="connsiteX7677" fmla="*/ 6485408 w 12192000"/>
              <a:gd name="connsiteY7677" fmla="*/ 3881437 h 6858000"/>
              <a:gd name="connsiteX7678" fmla="*/ 6517612 w 12192000"/>
              <a:gd name="connsiteY7678" fmla="*/ 3911089 h 6858000"/>
              <a:gd name="connsiteX7679" fmla="*/ 6485408 w 12192000"/>
              <a:gd name="connsiteY7679" fmla="*/ 3940741 h 6858000"/>
              <a:gd name="connsiteX7680" fmla="*/ 6563942 w 12192000"/>
              <a:gd name="connsiteY7680" fmla="*/ 3940741 h 6858000"/>
              <a:gd name="connsiteX7681" fmla="*/ 6531726 w 12192000"/>
              <a:gd name="connsiteY7681" fmla="*/ 3911089 h 6858000"/>
              <a:gd name="connsiteX7682" fmla="*/ 6563942 w 12192000"/>
              <a:gd name="connsiteY7682" fmla="*/ 3881437 h 6858000"/>
              <a:gd name="connsiteX7683" fmla="*/ 6596146 w 12192000"/>
              <a:gd name="connsiteY7683" fmla="*/ 3911089 h 6858000"/>
              <a:gd name="connsiteX7684" fmla="*/ 6563942 w 12192000"/>
              <a:gd name="connsiteY7684" fmla="*/ 3940741 h 6858000"/>
              <a:gd name="connsiteX7685" fmla="*/ 6642476 w 12192000"/>
              <a:gd name="connsiteY7685" fmla="*/ 3940741 h 6858000"/>
              <a:gd name="connsiteX7686" fmla="*/ 6610260 w 12192000"/>
              <a:gd name="connsiteY7686" fmla="*/ 3911089 h 6858000"/>
              <a:gd name="connsiteX7687" fmla="*/ 6642476 w 12192000"/>
              <a:gd name="connsiteY7687" fmla="*/ 3881437 h 6858000"/>
              <a:gd name="connsiteX7688" fmla="*/ 6674681 w 12192000"/>
              <a:gd name="connsiteY7688" fmla="*/ 3911089 h 6858000"/>
              <a:gd name="connsiteX7689" fmla="*/ 6642476 w 12192000"/>
              <a:gd name="connsiteY7689" fmla="*/ 3940741 h 6858000"/>
              <a:gd name="connsiteX7690" fmla="*/ 6878077 w 12192000"/>
              <a:gd name="connsiteY7690" fmla="*/ 3940741 h 6858000"/>
              <a:gd name="connsiteX7691" fmla="*/ 6845861 w 12192000"/>
              <a:gd name="connsiteY7691" fmla="*/ 3911089 h 6858000"/>
              <a:gd name="connsiteX7692" fmla="*/ 6878077 w 12192000"/>
              <a:gd name="connsiteY7692" fmla="*/ 3881437 h 6858000"/>
              <a:gd name="connsiteX7693" fmla="*/ 6910281 w 12192000"/>
              <a:gd name="connsiteY7693" fmla="*/ 3911089 h 6858000"/>
              <a:gd name="connsiteX7694" fmla="*/ 6878077 w 12192000"/>
              <a:gd name="connsiteY7694" fmla="*/ 3940741 h 6858000"/>
              <a:gd name="connsiteX7695" fmla="*/ 6956611 w 12192000"/>
              <a:gd name="connsiteY7695" fmla="*/ 3940741 h 6858000"/>
              <a:gd name="connsiteX7696" fmla="*/ 6924395 w 12192000"/>
              <a:gd name="connsiteY7696" fmla="*/ 3911089 h 6858000"/>
              <a:gd name="connsiteX7697" fmla="*/ 6956611 w 12192000"/>
              <a:gd name="connsiteY7697" fmla="*/ 3881437 h 6858000"/>
              <a:gd name="connsiteX7698" fmla="*/ 6988816 w 12192000"/>
              <a:gd name="connsiteY7698" fmla="*/ 3911089 h 6858000"/>
              <a:gd name="connsiteX7699" fmla="*/ 6956611 w 12192000"/>
              <a:gd name="connsiteY7699" fmla="*/ 3940741 h 6858000"/>
              <a:gd name="connsiteX7700" fmla="*/ 7035146 w 12192000"/>
              <a:gd name="connsiteY7700" fmla="*/ 3940741 h 6858000"/>
              <a:gd name="connsiteX7701" fmla="*/ 7002929 w 12192000"/>
              <a:gd name="connsiteY7701" fmla="*/ 3911089 h 6858000"/>
              <a:gd name="connsiteX7702" fmla="*/ 7035146 w 12192000"/>
              <a:gd name="connsiteY7702" fmla="*/ 3881437 h 6858000"/>
              <a:gd name="connsiteX7703" fmla="*/ 7067350 w 12192000"/>
              <a:gd name="connsiteY7703" fmla="*/ 3911089 h 6858000"/>
              <a:gd name="connsiteX7704" fmla="*/ 7035146 w 12192000"/>
              <a:gd name="connsiteY7704" fmla="*/ 3940741 h 6858000"/>
              <a:gd name="connsiteX7705" fmla="*/ 7113703 w 12192000"/>
              <a:gd name="connsiteY7705" fmla="*/ 3940741 h 6858000"/>
              <a:gd name="connsiteX7706" fmla="*/ 7081487 w 12192000"/>
              <a:gd name="connsiteY7706" fmla="*/ 3911089 h 6858000"/>
              <a:gd name="connsiteX7707" fmla="*/ 7113703 w 12192000"/>
              <a:gd name="connsiteY7707" fmla="*/ 3881437 h 6858000"/>
              <a:gd name="connsiteX7708" fmla="*/ 7145907 w 12192000"/>
              <a:gd name="connsiteY7708" fmla="*/ 3911089 h 6858000"/>
              <a:gd name="connsiteX7709" fmla="*/ 7113703 w 12192000"/>
              <a:gd name="connsiteY7709" fmla="*/ 3940741 h 6858000"/>
              <a:gd name="connsiteX7710" fmla="*/ 7349305 w 12192000"/>
              <a:gd name="connsiteY7710" fmla="*/ 3940741 h 6858000"/>
              <a:gd name="connsiteX7711" fmla="*/ 7317088 w 12192000"/>
              <a:gd name="connsiteY7711" fmla="*/ 3911089 h 6858000"/>
              <a:gd name="connsiteX7712" fmla="*/ 7349305 w 12192000"/>
              <a:gd name="connsiteY7712" fmla="*/ 3881437 h 6858000"/>
              <a:gd name="connsiteX7713" fmla="*/ 7381509 w 12192000"/>
              <a:gd name="connsiteY7713" fmla="*/ 3911089 h 6858000"/>
              <a:gd name="connsiteX7714" fmla="*/ 7349305 w 12192000"/>
              <a:gd name="connsiteY7714" fmla="*/ 3940741 h 6858000"/>
              <a:gd name="connsiteX7715" fmla="*/ 7427839 w 12192000"/>
              <a:gd name="connsiteY7715" fmla="*/ 3940741 h 6858000"/>
              <a:gd name="connsiteX7716" fmla="*/ 7395623 w 12192000"/>
              <a:gd name="connsiteY7716" fmla="*/ 3911089 h 6858000"/>
              <a:gd name="connsiteX7717" fmla="*/ 7427839 w 12192000"/>
              <a:gd name="connsiteY7717" fmla="*/ 3881437 h 6858000"/>
              <a:gd name="connsiteX7718" fmla="*/ 7460043 w 12192000"/>
              <a:gd name="connsiteY7718" fmla="*/ 3911089 h 6858000"/>
              <a:gd name="connsiteX7719" fmla="*/ 7427839 w 12192000"/>
              <a:gd name="connsiteY7719" fmla="*/ 3940741 h 6858000"/>
              <a:gd name="connsiteX7720" fmla="*/ 7506373 w 12192000"/>
              <a:gd name="connsiteY7720" fmla="*/ 3940741 h 6858000"/>
              <a:gd name="connsiteX7721" fmla="*/ 7474157 w 12192000"/>
              <a:gd name="connsiteY7721" fmla="*/ 3911089 h 6858000"/>
              <a:gd name="connsiteX7722" fmla="*/ 7506373 w 12192000"/>
              <a:gd name="connsiteY7722" fmla="*/ 3881437 h 6858000"/>
              <a:gd name="connsiteX7723" fmla="*/ 7538577 w 12192000"/>
              <a:gd name="connsiteY7723" fmla="*/ 3911089 h 6858000"/>
              <a:gd name="connsiteX7724" fmla="*/ 7506373 w 12192000"/>
              <a:gd name="connsiteY7724" fmla="*/ 3940741 h 6858000"/>
              <a:gd name="connsiteX7725" fmla="*/ 7663441 w 12192000"/>
              <a:gd name="connsiteY7725" fmla="*/ 3940741 h 6858000"/>
              <a:gd name="connsiteX7726" fmla="*/ 7631224 w 12192000"/>
              <a:gd name="connsiteY7726" fmla="*/ 3911089 h 6858000"/>
              <a:gd name="connsiteX7727" fmla="*/ 7663441 w 12192000"/>
              <a:gd name="connsiteY7727" fmla="*/ 3881437 h 6858000"/>
              <a:gd name="connsiteX7728" fmla="*/ 7695645 w 12192000"/>
              <a:gd name="connsiteY7728" fmla="*/ 3911089 h 6858000"/>
              <a:gd name="connsiteX7729" fmla="*/ 7663441 w 12192000"/>
              <a:gd name="connsiteY7729" fmla="*/ 3940741 h 6858000"/>
              <a:gd name="connsiteX7730" fmla="*/ 7741974 w 12192000"/>
              <a:gd name="connsiteY7730" fmla="*/ 3940741 h 6858000"/>
              <a:gd name="connsiteX7731" fmla="*/ 7709758 w 12192000"/>
              <a:gd name="connsiteY7731" fmla="*/ 3911089 h 6858000"/>
              <a:gd name="connsiteX7732" fmla="*/ 7741974 w 12192000"/>
              <a:gd name="connsiteY7732" fmla="*/ 3881437 h 6858000"/>
              <a:gd name="connsiteX7733" fmla="*/ 7774178 w 12192000"/>
              <a:gd name="connsiteY7733" fmla="*/ 3911089 h 6858000"/>
              <a:gd name="connsiteX7734" fmla="*/ 7741974 w 12192000"/>
              <a:gd name="connsiteY7734" fmla="*/ 3940741 h 6858000"/>
              <a:gd name="connsiteX7735" fmla="*/ 7820508 w 12192000"/>
              <a:gd name="connsiteY7735" fmla="*/ 3940741 h 6858000"/>
              <a:gd name="connsiteX7736" fmla="*/ 7788292 w 12192000"/>
              <a:gd name="connsiteY7736" fmla="*/ 3911089 h 6858000"/>
              <a:gd name="connsiteX7737" fmla="*/ 7820508 w 12192000"/>
              <a:gd name="connsiteY7737" fmla="*/ 3881437 h 6858000"/>
              <a:gd name="connsiteX7738" fmla="*/ 7852712 w 12192000"/>
              <a:gd name="connsiteY7738" fmla="*/ 3911089 h 6858000"/>
              <a:gd name="connsiteX7739" fmla="*/ 7820508 w 12192000"/>
              <a:gd name="connsiteY7739" fmla="*/ 3940741 h 6858000"/>
              <a:gd name="connsiteX7740" fmla="*/ 7899042 w 12192000"/>
              <a:gd name="connsiteY7740" fmla="*/ 3940741 h 6858000"/>
              <a:gd name="connsiteX7741" fmla="*/ 7866826 w 12192000"/>
              <a:gd name="connsiteY7741" fmla="*/ 3911089 h 6858000"/>
              <a:gd name="connsiteX7742" fmla="*/ 7899042 w 12192000"/>
              <a:gd name="connsiteY7742" fmla="*/ 3881437 h 6858000"/>
              <a:gd name="connsiteX7743" fmla="*/ 7931247 w 12192000"/>
              <a:gd name="connsiteY7743" fmla="*/ 3911089 h 6858000"/>
              <a:gd name="connsiteX7744" fmla="*/ 7899042 w 12192000"/>
              <a:gd name="connsiteY7744" fmla="*/ 3940741 h 6858000"/>
              <a:gd name="connsiteX7745" fmla="*/ 7977576 w 12192000"/>
              <a:gd name="connsiteY7745" fmla="*/ 3940741 h 6858000"/>
              <a:gd name="connsiteX7746" fmla="*/ 7945359 w 12192000"/>
              <a:gd name="connsiteY7746" fmla="*/ 3911089 h 6858000"/>
              <a:gd name="connsiteX7747" fmla="*/ 7977576 w 12192000"/>
              <a:gd name="connsiteY7747" fmla="*/ 3881437 h 6858000"/>
              <a:gd name="connsiteX7748" fmla="*/ 8009780 w 12192000"/>
              <a:gd name="connsiteY7748" fmla="*/ 3911089 h 6858000"/>
              <a:gd name="connsiteX7749" fmla="*/ 7977576 w 12192000"/>
              <a:gd name="connsiteY7749" fmla="*/ 3940741 h 6858000"/>
              <a:gd name="connsiteX7750" fmla="*/ 8056110 w 12192000"/>
              <a:gd name="connsiteY7750" fmla="*/ 3940741 h 6858000"/>
              <a:gd name="connsiteX7751" fmla="*/ 8023894 w 12192000"/>
              <a:gd name="connsiteY7751" fmla="*/ 3911089 h 6858000"/>
              <a:gd name="connsiteX7752" fmla="*/ 8056110 w 12192000"/>
              <a:gd name="connsiteY7752" fmla="*/ 3881437 h 6858000"/>
              <a:gd name="connsiteX7753" fmla="*/ 8088314 w 12192000"/>
              <a:gd name="connsiteY7753" fmla="*/ 3911089 h 6858000"/>
              <a:gd name="connsiteX7754" fmla="*/ 8056110 w 12192000"/>
              <a:gd name="connsiteY7754" fmla="*/ 3940741 h 6858000"/>
              <a:gd name="connsiteX7755" fmla="*/ 8134643 w 12192000"/>
              <a:gd name="connsiteY7755" fmla="*/ 3940741 h 6858000"/>
              <a:gd name="connsiteX7756" fmla="*/ 8102427 w 12192000"/>
              <a:gd name="connsiteY7756" fmla="*/ 3911089 h 6858000"/>
              <a:gd name="connsiteX7757" fmla="*/ 8134643 w 12192000"/>
              <a:gd name="connsiteY7757" fmla="*/ 3881437 h 6858000"/>
              <a:gd name="connsiteX7758" fmla="*/ 8166847 w 12192000"/>
              <a:gd name="connsiteY7758" fmla="*/ 3911089 h 6858000"/>
              <a:gd name="connsiteX7759" fmla="*/ 8134643 w 12192000"/>
              <a:gd name="connsiteY7759" fmla="*/ 3940741 h 6858000"/>
              <a:gd name="connsiteX7760" fmla="*/ 8213177 w 12192000"/>
              <a:gd name="connsiteY7760" fmla="*/ 3940741 h 6858000"/>
              <a:gd name="connsiteX7761" fmla="*/ 8180961 w 12192000"/>
              <a:gd name="connsiteY7761" fmla="*/ 3911089 h 6858000"/>
              <a:gd name="connsiteX7762" fmla="*/ 8213177 w 12192000"/>
              <a:gd name="connsiteY7762" fmla="*/ 3881437 h 6858000"/>
              <a:gd name="connsiteX7763" fmla="*/ 8245382 w 12192000"/>
              <a:gd name="connsiteY7763" fmla="*/ 3911089 h 6858000"/>
              <a:gd name="connsiteX7764" fmla="*/ 8213177 w 12192000"/>
              <a:gd name="connsiteY7764" fmla="*/ 3940741 h 6858000"/>
              <a:gd name="connsiteX7765" fmla="*/ 8291712 w 12192000"/>
              <a:gd name="connsiteY7765" fmla="*/ 3940741 h 6858000"/>
              <a:gd name="connsiteX7766" fmla="*/ 8259495 w 12192000"/>
              <a:gd name="connsiteY7766" fmla="*/ 3911089 h 6858000"/>
              <a:gd name="connsiteX7767" fmla="*/ 8291712 w 12192000"/>
              <a:gd name="connsiteY7767" fmla="*/ 3881437 h 6858000"/>
              <a:gd name="connsiteX7768" fmla="*/ 8323916 w 12192000"/>
              <a:gd name="connsiteY7768" fmla="*/ 3911089 h 6858000"/>
              <a:gd name="connsiteX7769" fmla="*/ 8291712 w 12192000"/>
              <a:gd name="connsiteY7769" fmla="*/ 3940741 h 6858000"/>
              <a:gd name="connsiteX7770" fmla="*/ 8370245 w 12192000"/>
              <a:gd name="connsiteY7770" fmla="*/ 3940741 h 6858000"/>
              <a:gd name="connsiteX7771" fmla="*/ 8338029 w 12192000"/>
              <a:gd name="connsiteY7771" fmla="*/ 3911089 h 6858000"/>
              <a:gd name="connsiteX7772" fmla="*/ 8370245 w 12192000"/>
              <a:gd name="connsiteY7772" fmla="*/ 3881437 h 6858000"/>
              <a:gd name="connsiteX7773" fmla="*/ 8402449 w 12192000"/>
              <a:gd name="connsiteY7773" fmla="*/ 3911089 h 6858000"/>
              <a:gd name="connsiteX7774" fmla="*/ 8370245 w 12192000"/>
              <a:gd name="connsiteY7774" fmla="*/ 3940741 h 6858000"/>
              <a:gd name="connsiteX7775" fmla="*/ 8448779 w 12192000"/>
              <a:gd name="connsiteY7775" fmla="*/ 3940741 h 6858000"/>
              <a:gd name="connsiteX7776" fmla="*/ 8416563 w 12192000"/>
              <a:gd name="connsiteY7776" fmla="*/ 3911089 h 6858000"/>
              <a:gd name="connsiteX7777" fmla="*/ 8448779 w 12192000"/>
              <a:gd name="connsiteY7777" fmla="*/ 3881437 h 6858000"/>
              <a:gd name="connsiteX7778" fmla="*/ 8480983 w 12192000"/>
              <a:gd name="connsiteY7778" fmla="*/ 3911089 h 6858000"/>
              <a:gd name="connsiteX7779" fmla="*/ 8448779 w 12192000"/>
              <a:gd name="connsiteY7779" fmla="*/ 3940741 h 6858000"/>
              <a:gd name="connsiteX7780" fmla="*/ 8527313 w 12192000"/>
              <a:gd name="connsiteY7780" fmla="*/ 3940741 h 6858000"/>
              <a:gd name="connsiteX7781" fmla="*/ 8495097 w 12192000"/>
              <a:gd name="connsiteY7781" fmla="*/ 3911089 h 6858000"/>
              <a:gd name="connsiteX7782" fmla="*/ 8527313 w 12192000"/>
              <a:gd name="connsiteY7782" fmla="*/ 3881437 h 6858000"/>
              <a:gd name="connsiteX7783" fmla="*/ 8559518 w 12192000"/>
              <a:gd name="connsiteY7783" fmla="*/ 3911089 h 6858000"/>
              <a:gd name="connsiteX7784" fmla="*/ 8527313 w 12192000"/>
              <a:gd name="connsiteY7784" fmla="*/ 3940741 h 6858000"/>
              <a:gd name="connsiteX7785" fmla="*/ 8605847 w 12192000"/>
              <a:gd name="connsiteY7785" fmla="*/ 3940741 h 6858000"/>
              <a:gd name="connsiteX7786" fmla="*/ 8573630 w 12192000"/>
              <a:gd name="connsiteY7786" fmla="*/ 3911089 h 6858000"/>
              <a:gd name="connsiteX7787" fmla="*/ 8605847 w 12192000"/>
              <a:gd name="connsiteY7787" fmla="*/ 3881437 h 6858000"/>
              <a:gd name="connsiteX7788" fmla="*/ 8638051 w 12192000"/>
              <a:gd name="connsiteY7788" fmla="*/ 3911089 h 6858000"/>
              <a:gd name="connsiteX7789" fmla="*/ 8605847 w 12192000"/>
              <a:gd name="connsiteY7789" fmla="*/ 3940741 h 6858000"/>
              <a:gd name="connsiteX7790" fmla="*/ 8684381 w 12192000"/>
              <a:gd name="connsiteY7790" fmla="*/ 3940741 h 6858000"/>
              <a:gd name="connsiteX7791" fmla="*/ 8652165 w 12192000"/>
              <a:gd name="connsiteY7791" fmla="*/ 3911089 h 6858000"/>
              <a:gd name="connsiteX7792" fmla="*/ 8684381 w 12192000"/>
              <a:gd name="connsiteY7792" fmla="*/ 3881437 h 6858000"/>
              <a:gd name="connsiteX7793" fmla="*/ 8716585 w 12192000"/>
              <a:gd name="connsiteY7793" fmla="*/ 3911089 h 6858000"/>
              <a:gd name="connsiteX7794" fmla="*/ 8684381 w 12192000"/>
              <a:gd name="connsiteY7794" fmla="*/ 3940741 h 6858000"/>
              <a:gd name="connsiteX7795" fmla="*/ 8762914 w 12192000"/>
              <a:gd name="connsiteY7795" fmla="*/ 3940741 h 6858000"/>
              <a:gd name="connsiteX7796" fmla="*/ 8730698 w 12192000"/>
              <a:gd name="connsiteY7796" fmla="*/ 3911089 h 6858000"/>
              <a:gd name="connsiteX7797" fmla="*/ 8762914 w 12192000"/>
              <a:gd name="connsiteY7797" fmla="*/ 3881437 h 6858000"/>
              <a:gd name="connsiteX7798" fmla="*/ 8795118 w 12192000"/>
              <a:gd name="connsiteY7798" fmla="*/ 3911089 h 6858000"/>
              <a:gd name="connsiteX7799" fmla="*/ 8762914 w 12192000"/>
              <a:gd name="connsiteY7799" fmla="*/ 3940741 h 6858000"/>
              <a:gd name="connsiteX7800" fmla="*/ 8841448 w 12192000"/>
              <a:gd name="connsiteY7800" fmla="*/ 3940741 h 6858000"/>
              <a:gd name="connsiteX7801" fmla="*/ 8809232 w 12192000"/>
              <a:gd name="connsiteY7801" fmla="*/ 3911089 h 6858000"/>
              <a:gd name="connsiteX7802" fmla="*/ 8841448 w 12192000"/>
              <a:gd name="connsiteY7802" fmla="*/ 3881437 h 6858000"/>
              <a:gd name="connsiteX7803" fmla="*/ 8873653 w 12192000"/>
              <a:gd name="connsiteY7803" fmla="*/ 3911089 h 6858000"/>
              <a:gd name="connsiteX7804" fmla="*/ 8841448 w 12192000"/>
              <a:gd name="connsiteY7804" fmla="*/ 3940741 h 6858000"/>
              <a:gd name="connsiteX7805" fmla="*/ 8919983 w 12192000"/>
              <a:gd name="connsiteY7805" fmla="*/ 3940741 h 6858000"/>
              <a:gd name="connsiteX7806" fmla="*/ 8887766 w 12192000"/>
              <a:gd name="connsiteY7806" fmla="*/ 3911089 h 6858000"/>
              <a:gd name="connsiteX7807" fmla="*/ 8919983 w 12192000"/>
              <a:gd name="connsiteY7807" fmla="*/ 3881437 h 6858000"/>
              <a:gd name="connsiteX7808" fmla="*/ 8952187 w 12192000"/>
              <a:gd name="connsiteY7808" fmla="*/ 3911089 h 6858000"/>
              <a:gd name="connsiteX7809" fmla="*/ 8919983 w 12192000"/>
              <a:gd name="connsiteY7809" fmla="*/ 3940741 h 6858000"/>
              <a:gd name="connsiteX7810" fmla="*/ 8998516 w 12192000"/>
              <a:gd name="connsiteY7810" fmla="*/ 3940741 h 6858000"/>
              <a:gd name="connsiteX7811" fmla="*/ 8966300 w 12192000"/>
              <a:gd name="connsiteY7811" fmla="*/ 3911089 h 6858000"/>
              <a:gd name="connsiteX7812" fmla="*/ 8998516 w 12192000"/>
              <a:gd name="connsiteY7812" fmla="*/ 3881437 h 6858000"/>
              <a:gd name="connsiteX7813" fmla="*/ 9030720 w 12192000"/>
              <a:gd name="connsiteY7813" fmla="*/ 3911089 h 6858000"/>
              <a:gd name="connsiteX7814" fmla="*/ 8998516 w 12192000"/>
              <a:gd name="connsiteY7814" fmla="*/ 3940741 h 6858000"/>
              <a:gd name="connsiteX7815" fmla="*/ 9077050 w 12192000"/>
              <a:gd name="connsiteY7815" fmla="*/ 3940741 h 6858000"/>
              <a:gd name="connsiteX7816" fmla="*/ 9044834 w 12192000"/>
              <a:gd name="connsiteY7816" fmla="*/ 3911089 h 6858000"/>
              <a:gd name="connsiteX7817" fmla="*/ 9077050 w 12192000"/>
              <a:gd name="connsiteY7817" fmla="*/ 3881437 h 6858000"/>
              <a:gd name="connsiteX7818" fmla="*/ 9109254 w 12192000"/>
              <a:gd name="connsiteY7818" fmla="*/ 3911089 h 6858000"/>
              <a:gd name="connsiteX7819" fmla="*/ 9077050 w 12192000"/>
              <a:gd name="connsiteY7819" fmla="*/ 3940741 h 6858000"/>
              <a:gd name="connsiteX7820" fmla="*/ 9155583 w 12192000"/>
              <a:gd name="connsiteY7820" fmla="*/ 3940741 h 6858000"/>
              <a:gd name="connsiteX7821" fmla="*/ 9123367 w 12192000"/>
              <a:gd name="connsiteY7821" fmla="*/ 3911089 h 6858000"/>
              <a:gd name="connsiteX7822" fmla="*/ 9155583 w 12192000"/>
              <a:gd name="connsiteY7822" fmla="*/ 3881437 h 6858000"/>
              <a:gd name="connsiteX7823" fmla="*/ 9187788 w 12192000"/>
              <a:gd name="connsiteY7823" fmla="*/ 3911089 h 6858000"/>
              <a:gd name="connsiteX7824" fmla="*/ 9155583 w 12192000"/>
              <a:gd name="connsiteY7824" fmla="*/ 3940741 h 6858000"/>
              <a:gd name="connsiteX7825" fmla="*/ 9234118 w 12192000"/>
              <a:gd name="connsiteY7825" fmla="*/ 3940741 h 6858000"/>
              <a:gd name="connsiteX7826" fmla="*/ 9201901 w 12192000"/>
              <a:gd name="connsiteY7826" fmla="*/ 3911089 h 6858000"/>
              <a:gd name="connsiteX7827" fmla="*/ 9234118 w 12192000"/>
              <a:gd name="connsiteY7827" fmla="*/ 3881437 h 6858000"/>
              <a:gd name="connsiteX7828" fmla="*/ 9266322 w 12192000"/>
              <a:gd name="connsiteY7828" fmla="*/ 3911089 h 6858000"/>
              <a:gd name="connsiteX7829" fmla="*/ 9234118 w 12192000"/>
              <a:gd name="connsiteY7829" fmla="*/ 3940741 h 6858000"/>
              <a:gd name="connsiteX7830" fmla="*/ 9312652 w 12192000"/>
              <a:gd name="connsiteY7830" fmla="*/ 3940741 h 6858000"/>
              <a:gd name="connsiteX7831" fmla="*/ 9280436 w 12192000"/>
              <a:gd name="connsiteY7831" fmla="*/ 3911089 h 6858000"/>
              <a:gd name="connsiteX7832" fmla="*/ 9312652 w 12192000"/>
              <a:gd name="connsiteY7832" fmla="*/ 3881437 h 6858000"/>
              <a:gd name="connsiteX7833" fmla="*/ 9344856 w 12192000"/>
              <a:gd name="connsiteY7833" fmla="*/ 3911089 h 6858000"/>
              <a:gd name="connsiteX7834" fmla="*/ 9312652 w 12192000"/>
              <a:gd name="connsiteY7834" fmla="*/ 3940741 h 6858000"/>
              <a:gd name="connsiteX7835" fmla="*/ 9391185 w 12192000"/>
              <a:gd name="connsiteY7835" fmla="*/ 3940741 h 6858000"/>
              <a:gd name="connsiteX7836" fmla="*/ 9358969 w 12192000"/>
              <a:gd name="connsiteY7836" fmla="*/ 3911089 h 6858000"/>
              <a:gd name="connsiteX7837" fmla="*/ 9391185 w 12192000"/>
              <a:gd name="connsiteY7837" fmla="*/ 3881437 h 6858000"/>
              <a:gd name="connsiteX7838" fmla="*/ 9423389 w 12192000"/>
              <a:gd name="connsiteY7838" fmla="*/ 3911089 h 6858000"/>
              <a:gd name="connsiteX7839" fmla="*/ 9391185 w 12192000"/>
              <a:gd name="connsiteY7839" fmla="*/ 3940741 h 6858000"/>
              <a:gd name="connsiteX7840" fmla="*/ 9469719 w 12192000"/>
              <a:gd name="connsiteY7840" fmla="*/ 3940741 h 6858000"/>
              <a:gd name="connsiteX7841" fmla="*/ 9437503 w 12192000"/>
              <a:gd name="connsiteY7841" fmla="*/ 3911089 h 6858000"/>
              <a:gd name="connsiteX7842" fmla="*/ 9469719 w 12192000"/>
              <a:gd name="connsiteY7842" fmla="*/ 3881437 h 6858000"/>
              <a:gd name="connsiteX7843" fmla="*/ 9501924 w 12192000"/>
              <a:gd name="connsiteY7843" fmla="*/ 3911089 h 6858000"/>
              <a:gd name="connsiteX7844" fmla="*/ 9469719 w 12192000"/>
              <a:gd name="connsiteY7844" fmla="*/ 3940741 h 6858000"/>
              <a:gd name="connsiteX7845" fmla="*/ 9862389 w 12192000"/>
              <a:gd name="connsiteY7845" fmla="*/ 3940741 h 6858000"/>
              <a:gd name="connsiteX7846" fmla="*/ 9830172 w 12192000"/>
              <a:gd name="connsiteY7846" fmla="*/ 3911089 h 6858000"/>
              <a:gd name="connsiteX7847" fmla="*/ 9862389 w 12192000"/>
              <a:gd name="connsiteY7847" fmla="*/ 3881437 h 6858000"/>
              <a:gd name="connsiteX7848" fmla="*/ 9894593 w 12192000"/>
              <a:gd name="connsiteY7848" fmla="*/ 3911089 h 6858000"/>
              <a:gd name="connsiteX7849" fmla="*/ 9862389 w 12192000"/>
              <a:gd name="connsiteY7849" fmla="*/ 3940741 h 6858000"/>
              <a:gd name="connsiteX7850" fmla="*/ 2480181 w 12192000"/>
              <a:gd name="connsiteY7850" fmla="*/ 3868477 h 6858000"/>
              <a:gd name="connsiteX7851" fmla="*/ 2447971 w 12192000"/>
              <a:gd name="connsiteY7851" fmla="*/ 3838824 h 6858000"/>
              <a:gd name="connsiteX7852" fmla="*/ 2480181 w 12192000"/>
              <a:gd name="connsiteY7852" fmla="*/ 3809172 h 6858000"/>
              <a:gd name="connsiteX7853" fmla="*/ 2512391 w 12192000"/>
              <a:gd name="connsiteY7853" fmla="*/ 3838824 h 6858000"/>
              <a:gd name="connsiteX7854" fmla="*/ 2480181 w 12192000"/>
              <a:gd name="connsiteY7854" fmla="*/ 3868477 h 6858000"/>
              <a:gd name="connsiteX7855" fmla="*/ 2558715 w 12192000"/>
              <a:gd name="connsiteY7855" fmla="*/ 3868477 h 6858000"/>
              <a:gd name="connsiteX7856" fmla="*/ 2526505 w 12192000"/>
              <a:gd name="connsiteY7856" fmla="*/ 3838824 h 6858000"/>
              <a:gd name="connsiteX7857" fmla="*/ 2558715 w 12192000"/>
              <a:gd name="connsiteY7857" fmla="*/ 3809172 h 6858000"/>
              <a:gd name="connsiteX7858" fmla="*/ 2590926 w 12192000"/>
              <a:gd name="connsiteY7858" fmla="*/ 3838824 h 6858000"/>
              <a:gd name="connsiteX7859" fmla="*/ 2558715 w 12192000"/>
              <a:gd name="connsiteY7859" fmla="*/ 3868477 h 6858000"/>
              <a:gd name="connsiteX7860" fmla="*/ 2637243 w 12192000"/>
              <a:gd name="connsiteY7860" fmla="*/ 3868477 h 6858000"/>
              <a:gd name="connsiteX7861" fmla="*/ 2605032 w 12192000"/>
              <a:gd name="connsiteY7861" fmla="*/ 3838824 h 6858000"/>
              <a:gd name="connsiteX7862" fmla="*/ 2637243 w 12192000"/>
              <a:gd name="connsiteY7862" fmla="*/ 3809172 h 6858000"/>
              <a:gd name="connsiteX7863" fmla="*/ 2669453 w 12192000"/>
              <a:gd name="connsiteY7863" fmla="*/ 3838824 h 6858000"/>
              <a:gd name="connsiteX7864" fmla="*/ 2637243 w 12192000"/>
              <a:gd name="connsiteY7864" fmla="*/ 3868477 h 6858000"/>
              <a:gd name="connsiteX7865" fmla="*/ 2715777 w 12192000"/>
              <a:gd name="connsiteY7865" fmla="*/ 3868477 h 6858000"/>
              <a:gd name="connsiteX7866" fmla="*/ 2683566 w 12192000"/>
              <a:gd name="connsiteY7866" fmla="*/ 3838824 h 6858000"/>
              <a:gd name="connsiteX7867" fmla="*/ 2715777 w 12192000"/>
              <a:gd name="connsiteY7867" fmla="*/ 3809172 h 6858000"/>
              <a:gd name="connsiteX7868" fmla="*/ 2747987 w 12192000"/>
              <a:gd name="connsiteY7868" fmla="*/ 3838824 h 6858000"/>
              <a:gd name="connsiteX7869" fmla="*/ 2715777 w 12192000"/>
              <a:gd name="connsiteY7869" fmla="*/ 3868477 h 6858000"/>
              <a:gd name="connsiteX7870" fmla="*/ 2794310 w 12192000"/>
              <a:gd name="connsiteY7870" fmla="*/ 3868477 h 6858000"/>
              <a:gd name="connsiteX7871" fmla="*/ 2762100 w 12192000"/>
              <a:gd name="connsiteY7871" fmla="*/ 3838824 h 6858000"/>
              <a:gd name="connsiteX7872" fmla="*/ 2794310 w 12192000"/>
              <a:gd name="connsiteY7872" fmla="*/ 3809172 h 6858000"/>
              <a:gd name="connsiteX7873" fmla="*/ 2826520 w 12192000"/>
              <a:gd name="connsiteY7873" fmla="*/ 3838824 h 6858000"/>
              <a:gd name="connsiteX7874" fmla="*/ 2794310 w 12192000"/>
              <a:gd name="connsiteY7874" fmla="*/ 3868477 h 6858000"/>
              <a:gd name="connsiteX7875" fmla="*/ 2872844 w 12192000"/>
              <a:gd name="connsiteY7875" fmla="*/ 3868477 h 6858000"/>
              <a:gd name="connsiteX7876" fmla="*/ 2840634 w 12192000"/>
              <a:gd name="connsiteY7876" fmla="*/ 3838824 h 6858000"/>
              <a:gd name="connsiteX7877" fmla="*/ 2872844 w 12192000"/>
              <a:gd name="connsiteY7877" fmla="*/ 3809172 h 6858000"/>
              <a:gd name="connsiteX7878" fmla="*/ 2905055 w 12192000"/>
              <a:gd name="connsiteY7878" fmla="*/ 3838824 h 6858000"/>
              <a:gd name="connsiteX7879" fmla="*/ 2872844 w 12192000"/>
              <a:gd name="connsiteY7879" fmla="*/ 3868477 h 6858000"/>
              <a:gd name="connsiteX7880" fmla="*/ 2951379 w 12192000"/>
              <a:gd name="connsiteY7880" fmla="*/ 3868477 h 6858000"/>
              <a:gd name="connsiteX7881" fmla="*/ 2919168 w 12192000"/>
              <a:gd name="connsiteY7881" fmla="*/ 3838824 h 6858000"/>
              <a:gd name="connsiteX7882" fmla="*/ 2951379 w 12192000"/>
              <a:gd name="connsiteY7882" fmla="*/ 3809172 h 6858000"/>
              <a:gd name="connsiteX7883" fmla="*/ 2983589 w 12192000"/>
              <a:gd name="connsiteY7883" fmla="*/ 3838824 h 6858000"/>
              <a:gd name="connsiteX7884" fmla="*/ 2951379 w 12192000"/>
              <a:gd name="connsiteY7884" fmla="*/ 3868477 h 6858000"/>
              <a:gd name="connsiteX7885" fmla="*/ 3029912 w 12192000"/>
              <a:gd name="connsiteY7885" fmla="*/ 3868477 h 6858000"/>
              <a:gd name="connsiteX7886" fmla="*/ 2997701 w 12192000"/>
              <a:gd name="connsiteY7886" fmla="*/ 3838824 h 6858000"/>
              <a:gd name="connsiteX7887" fmla="*/ 3029912 w 12192000"/>
              <a:gd name="connsiteY7887" fmla="*/ 3809172 h 6858000"/>
              <a:gd name="connsiteX7888" fmla="*/ 3062122 w 12192000"/>
              <a:gd name="connsiteY7888" fmla="*/ 3838824 h 6858000"/>
              <a:gd name="connsiteX7889" fmla="*/ 3029912 w 12192000"/>
              <a:gd name="connsiteY7889" fmla="*/ 3868477 h 6858000"/>
              <a:gd name="connsiteX7890" fmla="*/ 3108446 w 12192000"/>
              <a:gd name="connsiteY7890" fmla="*/ 3868477 h 6858000"/>
              <a:gd name="connsiteX7891" fmla="*/ 3076236 w 12192000"/>
              <a:gd name="connsiteY7891" fmla="*/ 3838824 h 6858000"/>
              <a:gd name="connsiteX7892" fmla="*/ 3108446 w 12192000"/>
              <a:gd name="connsiteY7892" fmla="*/ 3809172 h 6858000"/>
              <a:gd name="connsiteX7893" fmla="*/ 3140656 w 12192000"/>
              <a:gd name="connsiteY7893" fmla="*/ 3838824 h 6858000"/>
              <a:gd name="connsiteX7894" fmla="*/ 3108446 w 12192000"/>
              <a:gd name="connsiteY7894" fmla="*/ 3868477 h 6858000"/>
              <a:gd name="connsiteX7895" fmla="*/ 3186979 w 12192000"/>
              <a:gd name="connsiteY7895" fmla="*/ 3868477 h 6858000"/>
              <a:gd name="connsiteX7896" fmla="*/ 3154769 w 12192000"/>
              <a:gd name="connsiteY7896" fmla="*/ 3838824 h 6858000"/>
              <a:gd name="connsiteX7897" fmla="*/ 3186979 w 12192000"/>
              <a:gd name="connsiteY7897" fmla="*/ 3809172 h 6858000"/>
              <a:gd name="connsiteX7898" fmla="*/ 3219190 w 12192000"/>
              <a:gd name="connsiteY7898" fmla="*/ 3838824 h 6858000"/>
              <a:gd name="connsiteX7899" fmla="*/ 3186979 w 12192000"/>
              <a:gd name="connsiteY7899" fmla="*/ 3868477 h 6858000"/>
              <a:gd name="connsiteX7900" fmla="*/ 3265514 w 12192000"/>
              <a:gd name="connsiteY7900" fmla="*/ 3868477 h 6858000"/>
              <a:gd name="connsiteX7901" fmla="*/ 3233303 w 12192000"/>
              <a:gd name="connsiteY7901" fmla="*/ 3838824 h 6858000"/>
              <a:gd name="connsiteX7902" fmla="*/ 3265514 w 12192000"/>
              <a:gd name="connsiteY7902" fmla="*/ 3809172 h 6858000"/>
              <a:gd name="connsiteX7903" fmla="*/ 3297724 w 12192000"/>
              <a:gd name="connsiteY7903" fmla="*/ 3838824 h 6858000"/>
              <a:gd name="connsiteX7904" fmla="*/ 3265514 w 12192000"/>
              <a:gd name="connsiteY7904" fmla="*/ 3868477 h 6858000"/>
              <a:gd name="connsiteX7905" fmla="*/ 3344048 w 12192000"/>
              <a:gd name="connsiteY7905" fmla="*/ 3868477 h 6858000"/>
              <a:gd name="connsiteX7906" fmla="*/ 3311837 w 12192000"/>
              <a:gd name="connsiteY7906" fmla="*/ 3838824 h 6858000"/>
              <a:gd name="connsiteX7907" fmla="*/ 3344048 w 12192000"/>
              <a:gd name="connsiteY7907" fmla="*/ 3809172 h 6858000"/>
              <a:gd name="connsiteX7908" fmla="*/ 3376258 w 12192000"/>
              <a:gd name="connsiteY7908" fmla="*/ 3838824 h 6858000"/>
              <a:gd name="connsiteX7909" fmla="*/ 3344048 w 12192000"/>
              <a:gd name="connsiteY7909" fmla="*/ 3868477 h 6858000"/>
              <a:gd name="connsiteX7910" fmla="*/ 3422581 w 12192000"/>
              <a:gd name="connsiteY7910" fmla="*/ 3868477 h 6858000"/>
              <a:gd name="connsiteX7911" fmla="*/ 3390371 w 12192000"/>
              <a:gd name="connsiteY7911" fmla="*/ 3838824 h 6858000"/>
              <a:gd name="connsiteX7912" fmla="*/ 3422581 w 12192000"/>
              <a:gd name="connsiteY7912" fmla="*/ 3809172 h 6858000"/>
              <a:gd name="connsiteX7913" fmla="*/ 3454791 w 12192000"/>
              <a:gd name="connsiteY7913" fmla="*/ 3838824 h 6858000"/>
              <a:gd name="connsiteX7914" fmla="*/ 3422581 w 12192000"/>
              <a:gd name="connsiteY7914" fmla="*/ 3868477 h 6858000"/>
              <a:gd name="connsiteX7915" fmla="*/ 3501115 w 12192000"/>
              <a:gd name="connsiteY7915" fmla="*/ 3868477 h 6858000"/>
              <a:gd name="connsiteX7916" fmla="*/ 3468905 w 12192000"/>
              <a:gd name="connsiteY7916" fmla="*/ 3838824 h 6858000"/>
              <a:gd name="connsiteX7917" fmla="*/ 3501115 w 12192000"/>
              <a:gd name="connsiteY7917" fmla="*/ 3809172 h 6858000"/>
              <a:gd name="connsiteX7918" fmla="*/ 3533326 w 12192000"/>
              <a:gd name="connsiteY7918" fmla="*/ 3838824 h 6858000"/>
              <a:gd name="connsiteX7919" fmla="*/ 3501115 w 12192000"/>
              <a:gd name="connsiteY7919" fmla="*/ 3868477 h 6858000"/>
              <a:gd name="connsiteX7920" fmla="*/ 3579650 w 12192000"/>
              <a:gd name="connsiteY7920" fmla="*/ 3868477 h 6858000"/>
              <a:gd name="connsiteX7921" fmla="*/ 3547439 w 12192000"/>
              <a:gd name="connsiteY7921" fmla="*/ 3838824 h 6858000"/>
              <a:gd name="connsiteX7922" fmla="*/ 3579650 w 12192000"/>
              <a:gd name="connsiteY7922" fmla="*/ 3809172 h 6858000"/>
              <a:gd name="connsiteX7923" fmla="*/ 3611860 w 12192000"/>
              <a:gd name="connsiteY7923" fmla="*/ 3838824 h 6858000"/>
              <a:gd name="connsiteX7924" fmla="*/ 3579650 w 12192000"/>
              <a:gd name="connsiteY7924" fmla="*/ 3868477 h 6858000"/>
              <a:gd name="connsiteX7925" fmla="*/ 3736717 w 12192000"/>
              <a:gd name="connsiteY7925" fmla="*/ 3868477 h 6858000"/>
              <a:gd name="connsiteX7926" fmla="*/ 3704507 w 12192000"/>
              <a:gd name="connsiteY7926" fmla="*/ 3838824 h 6858000"/>
              <a:gd name="connsiteX7927" fmla="*/ 3736717 w 12192000"/>
              <a:gd name="connsiteY7927" fmla="*/ 3809172 h 6858000"/>
              <a:gd name="connsiteX7928" fmla="*/ 3768927 w 12192000"/>
              <a:gd name="connsiteY7928" fmla="*/ 3838824 h 6858000"/>
              <a:gd name="connsiteX7929" fmla="*/ 3736717 w 12192000"/>
              <a:gd name="connsiteY7929" fmla="*/ 3868477 h 6858000"/>
              <a:gd name="connsiteX7930" fmla="*/ 3815250 w 12192000"/>
              <a:gd name="connsiteY7930" fmla="*/ 3868477 h 6858000"/>
              <a:gd name="connsiteX7931" fmla="*/ 3783040 w 12192000"/>
              <a:gd name="connsiteY7931" fmla="*/ 3838824 h 6858000"/>
              <a:gd name="connsiteX7932" fmla="*/ 3815250 w 12192000"/>
              <a:gd name="connsiteY7932" fmla="*/ 3809172 h 6858000"/>
              <a:gd name="connsiteX7933" fmla="*/ 3847461 w 12192000"/>
              <a:gd name="connsiteY7933" fmla="*/ 3838824 h 6858000"/>
              <a:gd name="connsiteX7934" fmla="*/ 3815250 w 12192000"/>
              <a:gd name="connsiteY7934" fmla="*/ 3868477 h 6858000"/>
              <a:gd name="connsiteX7935" fmla="*/ 3893785 w 12192000"/>
              <a:gd name="connsiteY7935" fmla="*/ 3868477 h 6858000"/>
              <a:gd name="connsiteX7936" fmla="*/ 3861574 w 12192000"/>
              <a:gd name="connsiteY7936" fmla="*/ 3838824 h 6858000"/>
              <a:gd name="connsiteX7937" fmla="*/ 3893785 w 12192000"/>
              <a:gd name="connsiteY7937" fmla="*/ 3809172 h 6858000"/>
              <a:gd name="connsiteX7938" fmla="*/ 3925995 w 12192000"/>
              <a:gd name="connsiteY7938" fmla="*/ 3838824 h 6858000"/>
              <a:gd name="connsiteX7939" fmla="*/ 3893785 w 12192000"/>
              <a:gd name="connsiteY7939" fmla="*/ 3868477 h 6858000"/>
              <a:gd name="connsiteX7940" fmla="*/ 5778604 w 12192000"/>
              <a:gd name="connsiteY7940" fmla="*/ 3868477 h 6858000"/>
              <a:gd name="connsiteX7941" fmla="*/ 5746393 w 12192000"/>
              <a:gd name="connsiteY7941" fmla="*/ 3838824 h 6858000"/>
              <a:gd name="connsiteX7942" fmla="*/ 5778604 w 12192000"/>
              <a:gd name="connsiteY7942" fmla="*/ 3809172 h 6858000"/>
              <a:gd name="connsiteX7943" fmla="*/ 5810814 w 12192000"/>
              <a:gd name="connsiteY7943" fmla="*/ 3838824 h 6858000"/>
              <a:gd name="connsiteX7944" fmla="*/ 5778604 w 12192000"/>
              <a:gd name="connsiteY7944" fmla="*/ 3868477 h 6858000"/>
              <a:gd name="connsiteX7945" fmla="*/ 5857137 w 12192000"/>
              <a:gd name="connsiteY7945" fmla="*/ 3868477 h 6858000"/>
              <a:gd name="connsiteX7946" fmla="*/ 5824927 w 12192000"/>
              <a:gd name="connsiteY7946" fmla="*/ 3838824 h 6858000"/>
              <a:gd name="connsiteX7947" fmla="*/ 5857137 w 12192000"/>
              <a:gd name="connsiteY7947" fmla="*/ 3809172 h 6858000"/>
              <a:gd name="connsiteX7948" fmla="*/ 5889347 w 12192000"/>
              <a:gd name="connsiteY7948" fmla="*/ 3838824 h 6858000"/>
              <a:gd name="connsiteX7949" fmla="*/ 5857137 w 12192000"/>
              <a:gd name="connsiteY7949" fmla="*/ 3868477 h 6858000"/>
              <a:gd name="connsiteX7950" fmla="*/ 5935671 w 12192000"/>
              <a:gd name="connsiteY7950" fmla="*/ 3868477 h 6858000"/>
              <a:gd name="connsiteX7951" fmla="*/ 5903461 w 12192000"/>
              <a:gd name="connsiteY7951" fmla="*/ 3838824 h 6858000"/>
              <a:gd name="connsiteX7952" fmla="*/ 5935671 w 12192000"/>
              <a:gd name="connsiteY7952" fmla="*/ 3809172 h 6858000"/>
              <a:gd name="connsiteX7953" fmla="*/ 5967881 w 12192000"/>
              <a:gd name="connsiteY7953" fmla="*/ 3838824 h 6858000"/>
              <a:gd name="connsiteX7954" fmla="*/ 5935671 w 12192000"/>
              <a:gd name="connsiteY7954" fmla="*/ 3868477 h 6858000"/>
              <a:gd name="connsiteX7955" fmla="*/ 6092739 w 12192000"/>
              <a:gd name="connsiteY7955" fmla="*/ 3868477 h 6858000"/>
              <a:gd name="connsiteX7956" fmla="*/ 6060528 w 12192000"/>
              <a:gd name="connsiteY7956" fmla="*/ 3838824 h 6858000"/>
              <a:gd name="connsiteX7957" fmla="*/ 6092739 w 12192000"/>
              <a:gd name="connsiteY7957" fmla="*/ 3809172 h 6858000"/>
              <a:gd name="connsiteX7958" fmla="*/ 6124949 w 12192000"/>
              <a:gd name="connsiteY7958" fmla="*/ 3838824 h 6858000"/>
              <a:gd name="connsiteX7959" fmla="*/ 6092739 w 12192000"/>
              <a:gd name="connsiteY7959" fmla="*/ 3868477 h 6858000"/>
              <a:gd name="connsiteX7960" fmla="*/ 6249806 w 12192000"/>
              <a:gd name="connsiteY7960" fmla="*/ 3868477 h 6858000"/>
              <a:gd name="connsiteX7961" fmla="*/ 6217590 w 12192000"/>
              <a:gd name="connsiteY7961" fmla="*/ 3838824 h 6858000"/>
              <a:gd name="connsiteX7962" fmla="*/ 6249806 w 12192000"/>
              <a:gd name="connsiteY7962" fmla="*/ 3809172 h 6858000"/>
              <a:gd name="connsiteX7963" fmla="*/ 6282010 w 12192000"/>
              <a:gd name="connsiteY7963" fmla="*/ 3838824 h 6858000"/>
              <a:gd name="connsiteX7964" fmla="*/ 6249806 w 12192000"/>
              <a:gd name="connsiteY7964" fmla="*/ 3868477 h 6858000"/>
              <a:gd name="connsiteX7965" fmla="*/ 6485408 w 12192000"/>
              <a:gd name="connsiteY7965" fmla="*/ 3868477 h 6858000"/>
              <a:gd name="connsiteX7966" fmla="*/ 6453191 w 12192000"/>
              <a:gd name="connsiteY7966" fmla="*/ 3838824 h 6858000"/>
              <a:gd name="connsiteX7967" fmla="*/ 6485408 w 12192000"/>
              <a:gd name="connsiteY7967" fmla="*/ 3809172 h 6858000"/>
              <a:gd name="connsiteX7968" fmla="*/ 6517612 w 12192000"/>
              <a:gd name="connsiteY7968" fmla="*/ 3838824 h 6858000"/>
              <a:gd name="connsiteX7969" fmla="*/ 6485408 w 12192000"/>
              <a:gd name="connsiteY7969" fmla="*/ 3868477 h 6858000"/>
              <a:gd name="connsiteX7970" fmla="*/ 6563942 w 12192000"/>
              <a:gd name="connsiteY7970" fmla="*/ 3868477 h 6858000"/>
              <a:gd name="connsiteX7971" fmla="*/ 6531726 w 12192000"/>
              <a:gd name="connsiteY7971" fmla="*/ 3838824 h 6858000"/>
              <a:gd name="connsiteX7972" fmla="*/ 6563942 w 12192000"/>
              <a:gd name="connsiteY7972" fmla="*/ 3809172 h 6858000"/>
              <a:gd name="connsiteX7973" fmla="*/ 6596146 w 12192000"/>
              <a:gd name="connsiteY7973" fmla="*/ 3838824 h 6858000"/>
              <a:gd name="connsiteX7974" fmla="*/ 6563942 w 12192000"/>
              <a:gd name="connsiteY7974" fmla="*/ 3868477 h 6858000"/>
              <a:gd name="connsiteX7975" fmla="*/ 6642476 w 12192000"/>
              <a:gd name="connsiteY7975" fmla="*/ 3868477 h 6858000"/>
              <a:gd name="connsiteX7976" fmla="*/ 6610260 w 12192000"/>
              <a:gd name="connsiteY7976" fmla="*/ 3838824 h 6858000"/>
              <a:gd name="connsiteX7977" fmla="*/ 6642476 w 12192000"/>
              <a:gd name="connsiteY7977" fmla="*/ 3809172 h 6858000"/>
              <a:gd name="connsiteX7978" fmla="*/ 6674681 w 12192000"/>
              <a:gd name="connsiteY7978" fmla="*/ 3838824 h 6858000"/>
              <a:gd name="connsiteX7979" fmla="*/ 6642476 w 12192000"/>
              <a:gd name="connsiteY7979" fmla="*/ 3868477 h 6858000"/>
              <a:gd name="connsiteX7980" fmla="*/ 7113703 w 12192000"/>
              <a:gd name="connsiteY7980" fmla="*/ 3868477 h 6858000"/>
              <a:gd name="connsiteX7981" fmla="*/ 7081487 w 12192000"/>
              <a:gd name="connsiteY7981" fmla="*/ 3838824 h 6858000"/>
              <a:gd name="connsiteX7982" fmla="*/ 7113703 w 12192000"/>
              <a:gd name="connsiteY7982" fmla="*/ 3809172 h 6858000"/>
              <a:gd name="connsiteX7983" fmla="*/ 7145907 w 12192000"/>
              <a:gd name="connsiteY7983" fmla="*/ 3838824 h 6858000"/>
              <a:gd name="connsiteX7984" fmla="*/ 7113703 w 12192000"/>
              <a:gd name="connsiteY7984" fmla="*/ 3868477 h 6858000"/>
              <a:gd name="connsiteX7985" fmla="*/ 7192237 w 12192000"/>
              <a:gd name="connsiteY7985" fmla="*/ 3868477 h 6858000"/>
              <a:gd name="connsiteX7986" fmla="*/ 7160021 w 12192000"/>
              <a:gd name="connsiteY7986" fmla="*/ 3838824 h 6858000"/>
              <a:gd name="connsiteX7987" fmla="*/ 7192237 w 12192000"/>
              <a:gd name="connsiteY7987" fmla="*/ 3809172 h 6858000"/>
              <a:gd name="connsiteX7988" fmla="*/ 7224441 w 12192000"/>
              <a:gd name="connsiteY7988" fmla="*/ 3838824 h 6858000"/>
              <a:gd name="connsiteX7989" fmla="*/ 7192237 w 12192000"/>
              <a:gd name="connsiteY7989" fmla="*/ 3868477 h 6858000"/>
              <a:gd name="connsiteX7990" fmla="*/ 7427839 w 12192000"/>
              <a:gd name="connsiteY7990" fmla="*/ 3868477 h 6858000"/>
              <a:gd name="connsiteX7991" fmla="*/ 7395623 w 12192000"/>
              <a:gd name="connsiteY7991" fmla="*/ 3838824 h 6858000"/>
              <a:gd name="connsiteX7992" fmla="*/ 7427839 w 12192000"/>
              <a:gd name="connsiteY7992" fmla="*/ 3809172 h 6858000"/>
              <a:gd name="connsiteX7993" fmla="*/ 7460043 w 12192000"/>
              <a:gd name="connsiteY7993" fmla="*/ 3838824 h 6858000"/>
              <a:gd name="connsiteX7994" fmla="*/ 7427839 w 12192000"/>
              <a:gd name="connsiteY7994" fmla="*/ 3868477 h 6858000"/>
              <a:gd name="connsiteX7995" fmla="*/ 7506373 w 12192000"/>
              <a:gd name="connsiteY7995" fmla="*/ 3868477 h 6858000"/>
              <a:gd name="connsiteX7996" fmla="*/ 7474157 w 12192000"/>
              <a:gd name="connsiteY7996" fmla="*/ 3838824 h 6858000"/>
              <a:gd name="connsiteX7997" fmla="*/ 7506373 w 12192000"/>
              <a:gd name="connsiteY7997" fmla="*/ 3809172 h 6858000"/>
              <a:gd name="connsiteX7998" fmla="*/ 7538577 w 12192000"/>
              <a:gd name="connsiteY7998" fmla="*/ 3838824 h 6858000"/>
              <a:gd name="connsiteX7999" fmla="*/ 7506373 w 12192000"/>
              <a:gd name="connsiteY7999" fmla="*/ 3868477 h 6858000"/>
              <a:gd name="connsiteX8000" fmla="*/ 7584906 w 12192000"/>
              <a:gd name="connsiteY8000" fmla="*/ 3868477 h 6858000"/>
              <a:gd name="connsiteX8001" fmla="*/ 7552690 w 12192000"/>
              <a:gd name="connsiteY8001" fmla="*/ 3838824 h 6858000"/>
              <a:gd name="connsiteX8002" fmla="*/ 7584906 w 12192000"/>
              <a:gd name="connsiteY8002" fmla="*/ 3809172 h 6858000"/>
              <a:gd name="connsiteX8003" fmla="*/ 7617111 w 12192000"/>
              <a:gd name="connsiteY8003" fmla="*/ 3838824 h 6858000"/>
              <a:gd name="connsiteX8004" fmla="*/ 7584906 w 12192000"/>
              <a:gd name="connsiteY8004" fmla="*/ 3868477 h 6858000"/>
              <a:gd name="connsiteX8005" fmla="*/ 7663441 w 12192000"/>
              <a:gd name="connsiteY8005" fmla="*/ 3868477 h 6858000"/>
              <a:gd name="connsiteX8006" fmla="*/ 7631224 w 12192000"/>
              <a:gd name="connsiteY8006" fmla="*/ 3838824 h 6858000"/>
              <a:gd name="connsiteX8007" fmla="*/ 7663441 w 12192000"/>
              <a:gd name="connsiteY8007" fmla="*/ 3809172 h 6858000"/>
              <a:gd name="connsiteX8008" fmla="*/ 7695645 w 12192000"/>
              <a:gd name="connsiteY8008" fmla="*/ 3838824 h 6858000"/>
              <a:gd name="connsiteX8009" fmla="*/ 7663441 w 12192000"/>
              <a:gd name="connsiteY8009" fmla="*/ 3868477 h 6858000"/>
              <a:gd name="connsiteX8010" fmla="*/ 7741974 w 12192000"/>
              <a:gd name="connsiteY8010" fmla="*/ 3868477 h 6858000"/>
              <a:gd name="connsiteX8011" fmla="*/ 7709758 w 12192000"/>
              <a:gd name="connsiteY8011" fmla="*/ 3838824 h 6858000"/>
              <a:gd name="connsiteX8012" fmla="*/ 7741974 w 12192000"/>
              <a:gd name="connsiteY8012" fmla="*/ 3809172 h 6858000"/>
              <a:gd name="connsiteX8013" fmla="*/ 7774178 w 12192000"/>
              <a:gd name="connsiteY8013" fmla="*/ 3838824 h 6858000"/>
              <a:gd name="connsiteX8014" fmla="*/ 7741974 w 12192000"/>
              <a:gd name="connsiteY8014" fmla="*/ 3868477 h 6858000"/>
              <a:gd name="connsiteX8015" fmla="*/ 7820508 w 12192000"/>
              <a:gd name="connsiteY8015" fmla="*/ 3868477 h 6858000"/>
              <a:gd name="connsiteX8016" fmla="*/ 7788292 w 12192000"/>
              <a:gd name="connsiteY8016" fmla="*/ 3838824 h 6858000"/>
              <a:gd name="connsiteX8017" fmla="*/ 7820508 w 12192000"/>
              <a:gd name="connsiteY8017" fmla="*/ 3809172 h 6858000"/>
              <a:gd name="connsiteX8018" fmla="*/ 7852712 w 12192000"/>
              <a:gd name="connsiteY8018" fmla="*/ 3838824 h 6858000"/>
              <a:gd name="connsiteX8019" fmla="*/ 7820508 w 12192000"/>
              <a:gd name="connsiteY8019" fmla="*/ 3868477 h 6858000"/>
              <a:gd name="connsiteX8020" fmla="*/ 7899042 w 12192000"/>
              <a:gd name="connsiteY8020" fmla="*/ 3868477 h 6858000"/>
              <a:gd name="connsiteX8021" fmla="*/ 7866826 w 12192000"/>
              <a:gd name="connsiteY8021" fmla="*/ 3838824 h 6858000"/>
              <a:gd name="connsiteX8022" fmla="*/ 7899042 w 12192000"/>
              <a:gd name="connsiteY8022" fmla="*/ 3809172 h 6858000"/>
              <a:gd name="connsiteX8023" fmla="*/ 7931247 w 12192000"/>
              <a:gd name="connsiteY8023" fmla="*/ 3838824 h 6858000"/>
              <a:gd name="connsiteX8024" fmla="*/ 7899042 w 12192000"/>
              <a:gd name="connsiteY8024" fmla="*/ 3868477 h 6858000"/>
              <a:gd name="connsiteX8025" fmla="*/ 7977576 w 12192000"/>
              <a:gd name="connsiteY8025" fmla="*/ 3868477 h 6858000"/>
              <a:gd name="connsiteX8026" fmla="*/ 7945359 w 12192000"/>
              <a:gd name="connsiteY8026" fmla="*/ 3838824 h 6858000"/>
              <a:gd name="connsiteX8027" fmla="*/ 7977576 w 12192000"/>
              <a:gd name="connsiteY8027" fmla="*/ 3809172 h 6858000"/>
              <a:gd name="connsiteX8028" fmla="*/ 8009780 w 12192000"/>
              <a:gd name="connsiteY8028" fmla="*/ 3838824 h 6858000"/>
              <a:gd name="connsiteX8029" fmla="*/ 7977576 w 12192000"/>
              <a:gd name="connsiteY8029" fmla="*/ 3868477 h 6858000"/>
              <a:gd name="connsiteX8030" fmla="*/ 8056110 w 12192000"/>
              <a:gd name="connsiteY8030" fmla="*/ 3868477 h 6858000"/>
              <a:gd name="connsiteX8031" fmla="*/ 8023894 w 12192000"/>
              <a:gd name="connsiteY8031" fmla="*/ 3838824 h 6858000"/>
              <a:gd name="connsiteX8032" fmla="*/ 8056110 w 12192000"/>
              <a:gd name="connsiteY8032" fmla="*/ 3809172 h 6858000"/>
              <a:gd name="connsiteX8033" fmla="*/ 8088314 w 12192000"/>
              <a:gd name="connsiteY8033" fmla="*/ 3838824 h 6858000"/>
              <a:gd name="connsiteX8034" fmla="*/ 8056110 w 12192000"/>
              <a:gd name="connsiteY8034" fmla="*/ 3868477 h 6858000"/>
              <a:gd name="connsiteX8035" fmla="*/ 8134643 w 12192000"/>
              <a:gd name="connsiteY8035" fmla="*/ 3868477 h 6858000"/>
              <a:gd name="connsiteX8036" fmla="*/ 8102427 w 12192000"/>
              <a:gd name="connsiteY8036" fmla="*/ 3838824 h 6858000"/>
              <a:gd name="connsiteX8037" fmla="*/ 8134643 w 12192000"/>
              <a:gd name="connsiteY8037" fmla="*/ 3809172 h 6858000"/>
              <a:gd name="connsiteX8038" fmla="*/ 8166847 w 12192000"/>
              <a:gd name="connsiteY8038" fmla="*/ 3838824 h 6858000"/>
              <a:gd name="connsiteX8039" fmla="*/ 8134643 w 12192000"/>
              <a:gd name="connsiteY8039" fmla="*/ 3868477 h 6858000"/>
              <a:gd name="connsiteX8040" fmla="*/ 8213177 w 12192000"/>
              <a:gd name="connsiteY8040" fmla="*/ 3868477 h 6858000"/>
              <a:gd name="connsiteX8041" fmla="*/ 8180961 w 12192000"/>
              <a:gd name="connsiteY8041" fmla="*/ 3838824 h 6858000"/>
              <a:gd name="connsiteX8042" fmla="*/ 8213177 w 12192000"/>
              <a:gd name="connsiteY8042" fmla="*/ 3809172 h 6858000"/>
              <a:gd name="connsiteX8043" fmla="*/ 8245382 w 12192000"/>
              <a:gd name="connsiteY8043" fmla="*/ 3838824 h 6858000"/>
              <a:gd name="connsiteX8044" fmla="*/ 8213177 w 12192000"/>
              <a:gd name="connsiteY8044" fmla="*/ 3868477 h 6858000"/>
              <a:gd name="connsiteX8045" fmla="*/ 8291712 w 12192000"/>
              <a:gd name="connsiteY8045" fmla="*/ 3868477 h 6858000"/>
              <a:gd name="connsiteX8046" fmla="*/ 8259495 w 12192000"/>
              <a:gd name="connsiteY8046" fmla="*/ 3838824 h 6858000"/>
              <a:gd name="connsiteX8047" fmla="*/ 8291712 w 12192000"/>
              <a:gd name="connsiteY8047" fmla="*/ 3809172 h 6858000"/>
              <a:gd name="connsiteX8048" fmla="*/ 8323916 w 12192000"/>
              <a:gd name="connsiteY8048" fmla="*/ 3838824 h 6858000"/>
              <a:gd name="connsiteX8049" fmla="*/ 8291712 w 12192000"/>
              <a:gd name="connsiteY8049" fmla="*/ 3868477 h 6858000"/>
              <a:gd name="connsiteX8050" fmla="*/ 8370245 w 12192000"/>
              <a:gd name="connsiteY8050" fmla="*/ 3868477 h 6858000"/>
              <a:gd name="connsiteX8051" fmla="*/ 8338029 w 12192000"/>
              <a:gd name="connsiteY8051" fmla="*/ 3838824 h 6858000"/>
              <a:gd name="connsiteX8052" fmla="*/ 8370245 w 12192000"/>
              <a:gd name="connsiteY8052" fmla="*/ 3809172 h 6858000"/>
              <a:gd name="connsiteX8053" fmla="*/ 8402449 w 12192000"/>
              <a:gd name="connsiteY8053" fmla="*/ 3838824 h 6858000"/>
              <a:gd name="connsiteX8054" fmla="*/ 8370245 w 12192000"/>
              <a:gd name="connsiteY8054" fmla="*/ 3868477 h 6858000"/>
              <a:gd name="connsiteX8055" fmla="*/ 8448779 w 12192000"/>
              <a:gd name="connsiteY8055" fmla="*/ 3868477 h 6858000"/>
              <a:gd name="connsiteX8056" fmla="*/ 8416563 w 12192000"/>
              <a:gd name="connsiteY8056" fmla="*/ 3838824 h 6858000"/>
              <a:gd name="connsiteX8057" fmla="*/ 8448779 w 12192000"/>
              <a:gd name="connsiteY8057" fmla="*/ 3809172 h 6858000"/>
              <a:gd name="connsiteX8058" fmla="*/ 8480983 w 12192000"/>
              <a:gd name="connsiteY8058" fmla="*/ 3838824 h 6858000"/>
              <a:gd name="connsiteX8059" fmla="*/ 8448779 w 12192000"/>
              <a:gd name="connsiteY8059" fmla="*/ 3868477 h 6858000"/>
              <a:gd name="connsiteX8060" fmla="*/ 8527313 w 12192000"/>
              <a:gd name="connsiteY8060" fmla="*/ 3868477 h 6858000"/>
              <a:gd name="connsiteX8061" fmla="*/ 8495097 w 12192000"/>
              <a:gd name="connsiteY8061" fmla="*/ 3838824 h 6858000"/>
              <a:gd name="connsiteX8062" fmla="*/ 8527313 w 12192000"/>
              <a:gd name="connsiteY8062" fmla="*/ 3809172 h 6858000"/>
              <a:gd name="connsiteX8063" fmla="*/ 8559518 w 12192000"/>
              <a:gd name="connsiteY8063" fmla="*/ 3838824 h 6858000"/>
              <a:gd name="connsiteX8064" fmla="*/ 8527313 w 12192000"/>
              <a:gd name="connsiteY8064" fmla="*/ 3868477 h 6858000"/>
              <a:gd name="connsiteX8065" fmla="*/ 8605847 w 12192000"/>
              <a:gd name="connsiteY8065" fmla="*/ 3868477 h 6858000"/>
              <a:gd name="connsiteX8066" fmla="*/ 8573630 w 12192000"/>
              <a:gd name="connsiteY8066" fmla="*/ 3838824 h 6858000"/>
              <a:gd name="connsiteX8067" fmla="*/ 8605847 w 12192000"/>
              <a:gd name="connsiteY8067" fmla="*/ 3809172 h 6858000"/>
              <a:gd name="connsiteX8068" fmla="*/ 8638051 w 12192000"/>
              <a:gd name="connsiteY8068" fmla="*/ 3838824 h 6858000"/>
              <a:gd name="connsiteX8069" fmla="*/ 8605847 w 12192000"/>
              <a:gd name="connsiteY8069" fmla="*/ 3868477 h 6858000"/>
              <a:gd name="connsiteX8070" fmla="*/ 8684381 w 12192000"/>
              <a:gd name="connsiteY8070" fmla="*/ 3868477 h 6858000"/>
              <a:gd name="connsiteX8071" fmla="*/ 8652165 w 12192000"/>
              <a:gd name="connsiteY8071" fmla="*/ 3838824 h 6858000"/>
              <a:gd name="connsiteX8072" fmla="*/ 8684381 w 12192000"/>
              <a:gd name="connsiteY8072" fmla="*/ 3809172 h 6858000"/>
              <a:gd name="connsiteX8073" fmla="*/ 8716585 w 12192000"/>
              <a:gd name="connsiteY8073" fmla="*/ 3838824 h 6858000"/>
              <a:gd name="connsiteX8074" fmla="*/ 8684381 w 12192000"/>
              <a:gd name="connsiteY8074" fmla="*/ 3868477 h 6858000"/>
              <a:gd name="connsiteX8075" fmla="*/ 8762914 w 12192000"/>
              <a:gd name="connsiteY8075" fmla="*/ 3868477 h 6858000"/>
              <a:gd name="connsiteX8076" fmla="*/ 8730698 w 12192000"/>
              <a:gd name="connsiteY8076" fmla="*/ 3838824 h 6858000"/>
              <a:gd name="connsiteX8077" fmla="*/ 8762914 w 12192000"/>
              <a:gd name="connsiteY8077" fmla="*/ 3809172 h 6858000"/>
              <a:gd name="connsiteX8078" fmla="*/ 8795118 w 12192000"/>
              <a:gd name="connsiteY8078" fmla="*/ 3838824 h 6858000"/>
              <a:gd name="connsiteX8079" fmla="*/ 8762914 w 12192000"/>
              <a:gd name="connsiteY8079" fmla="*/ 3868477 h 6858000"/>
              <a:gd name="connsiteX8080" fmla="*/ 8841448 w 12192000"/>
              <a:gd name="connsiteY8080" fmla="*/ 3868477 h 6858000"/>
              <a:gd name="connsiteX8081" fmla="*/ 8809232 w 12192000"/>
              <a:gd name="connsiteY8081" fmla="*/ 3838824 h 6858000"/>
              <a:gd name="connsiteX8082" fmla="*/ 8841448 w 12192000"/>
              <a:gd name="connsiteY8082" fmla="*/ 3809172 h 6858000"/>
              <a:gd name="connsiteX8083" fmla="*/ 8873653 w 12192000"/>
              <a:gd name="connsiteY8083" fmla="*/ 3838824 h 6858000"/>
              <a:gd name="connsiteX8084" fmla="*/ 8841448 w 12192000"/>
              <a:gd name="connsiteY8084" fmla="*/ 3868477 h 6858000"/>
              <a:gd name="connsiteX8085" fmla="*/ 8919983 w 12192000"/>
              <a:gd name="connsiteY8085" fmla="*/ 3868477 h 6858000"/>
              <a:gd name="connsiteX8086" fmla="*/ 8887766 w 12192000"/>
              <a:gd name="connsiteY8086" fmla="*/ 3838824 h 6858000"/>
              <a:gd name="connsiteX8087" fmla="*/ 8919983 w 12192000"/>
              <a:gd name="connsiteY8087" fmla="*/ 3809172 h 6858000"/>
              <a:gd name="connsiteX8088" fmla="*/ 8952187 w 12192000"/>
              <a:gd name="connsiteY8088" fmla="*/ 3838824 h 6858000"/>
              <a:gd name="connsiteX8089" fmla="*/ 8919983 w 12192000"/>
              <a:gd name="connsiteY8089" fmla="*/ 3868477 h 6858000"/>
              <a:gd name="connsiteX8090" fmla="*/ 8998516 w 12192000"/>
              <a:gd name="connsiteY8090" fmla="*/ 3868477 h 6858000"/>
              <a:gd name="connsiteX8091" fmla="*/ 8966300 w 12192000"/>
              <a:gd name="connsiteY8091" fmla="*/ 3838824 h 6858000"/>
              <a:gd name="connsiteX8092" fmla="*/ 8998516 w 12192000"/>
              <a:gd name="connsiteY8092" fmla="*/ 3809172 h 6858000"/>
              <a:gd name="connsiteX8093" fmla="*/ 9030720 w 12192000"/>
              <a:gd name="connsiteY8093" fmla="*/ 3838824 h 6858000"/>
              <a:gd name="connsiteX8094" fmla="*/ 8998516 w 12192000"/>
              <a:gd name="connsiteY8094" fmla="*/ 3868477 h 6858000"/>
              <a:gd name="connsiteX8095" fmla="*/ 9077050 w 12192000"/>
              <a:gd name="connsiteY8095" fmla="*/ 3868477 h 6858000"/>
              <a:gd name="connsiteX8096" fmla="*/ 9044834 w 12192000"/>
              <a:gd name="connsiteY8096" fmla="*/ 3838824 h 6858000"/>
              <a:gd name="connsiteX8097" fmla="*/ 9077050 w 12192000"/>
              <a:gd name="connsiteY8097" fmla="*/ 3809172 h 6858000"/>
              <a:gd name="connsiteX8098" fmla="*/ 9109254 w 12192000"/>
              <a:gd name="connsiteY8098" fmla="*/ 3838824 h 6858000"/>
              <a:gd name="connsiteX8099" fmla="*/ 9077050 w 12192000"/>
              <a:gd name="connsiteY8099" fmla="*/ 3868477 h 6858000"/>
              <a:gd name="connsiteX8100" fmla="*/ 9155583 w 12192000"/>
              <a:gd name="connsiteY8100" fmla="*/ 3868477 h 6858000"/>
              <a:gd name="connsiteX8101" fmla="*/ 9123367 w 12192000"/>
              <a:gd name="connsiteY8101" fmla="*/ 3838824 h 6858000"/>
              <a:gd name="connsiteX8102" fmla="*/ 9155583 w 12192000"/>
              <a:gd name="connsiteY8102" fmla="*/ 3809172 h 6858000"/>
              <a:gd name="connsiteX8103" fmla="*/ 9187788 w 12192000"/>
              <a:gd name="connsiteY8103" fmla="*/ 3838824 h 6858000"/>
              <a:gd name="connsiteX8104" fmla="*/ 9155583 w 12192000"/>
              <a:gd name="connsiteY8104" fmla="*/ 3868477 h 6858000"/>
              <a:gd name="connsiteX8105" fmla="*/ 9234118 w 12192000"/>
              <a:gd name="connsiteY8105" fmla="*/ 3868477 h 6858000"/>
              <a:gd name="connsiteX8106" fmla="*/ 9201901 w 12192000"/>
              <a:gd name="connsiteY8106" fmla="*/ 3838824 h 6858000"/>
              <a:gd name="connsiteX8107" fmla="*/ 9234118 w 12192000"/>
              <a:gd name="connsiteY8107" fmla="*/ 3809172 h 6858000"/>
              <a:gd name="connsiteX8108" fmla="*/ 9266322 w 12192000"/>
              <a:gd name="connsiteY8108" fmla="*/ 3838824 h 6858000"/>
              <a:gd name="connsiteX8109" fmla="*/ 9234118 w 12192000"/>
              <a:gd name="connsiteY8109" fmla="*/ 3868477 h 6858000"/>
              <a:gd name="connsiteX8110" fmla="*/ 9469719 w 12192000"/>
              <a:gd name="connsiteY8110" fmla="*/ 3868477 h 6858000"/>
              <a:gd name="connsiteX8111" fmla="*/ 9437503 w 12192000"/>
              <a:gd name="connsiteY8111" fmla="*/ 3838824 h 6858000"/>
              <a:gd name="connsiteX8112" fmla="*/ 9469719 w 12192000"/>
              <a:gd name="connsiteY8112" fmla="*/ 3809172 h 6858000"/>
              <a:gd name="connsiteX8113" fmla="*/ 9501924 w 12192000"/>
              <a:gd name="connsiteY8113" fmla="*/ 3838824 h 6858000"/>
              <a:gd name="connsiteX8114" fmla="*/ 9469719 w 12192000"/>
              <a:gd name="connsiteY8114" fmla="*/ 3868477 h 6858000"/>
              <a:gd name="connsiteX8115" fmla="*/ 9862389 w 12192000"/>
              <a:gd name="connsiteY8115" fmla="*/ 3868477 h 6858000"/>
              <a:gd name="connsiteX8116" fmla="*/ 9830172 w 12192000"/>
              <a:gd name="connsiteY8116" fmla="*/ 3838824 h 6858000"/>
              <a:gd name="connsiteX8117" fmla="*/ 9862389 w 12192000"/>
              <a:gd name="connsiteY8117" fmla="*/ 3809172 h 6858000"/>
              <a:gd name="connsiteX8118" fmla="*/ 9894593 w 12192000"/>
              <a:gd name="connsiteY8118" fmla="*/ 3838824 h 6858000"/>
              <a:gd name="connsiteX8119" fmla="*/ 9862389 w 12192000"/>
              <a:gd name="connsiteY8119" fmla="*/ 3868477 h 6858000"/>
              <a:gd name="connsiteX8120" fmla="*/ 2558715 w 12192000"/>
              <a:gd name="connsiteY8120" fmla="*/ 3796211 h 6858000"/>
              <a:gd name="connsiteX8121" fmla="*/ 2526505 w 12192000"/>
              <a:gd name="connsiteY8121" fmla="*/ 3766559 h 6858000"/>
              <a:gd name="connsiteX8122" fmla="*/ 2558715 w 12192000"/>
              <a:gd name="connsiteY8122" fmla="*/ 3736907 h 6858000"/>
              <a:gd name="connsiteX8123" fmla="*/ 2590926 w 12192000"/>
              <a:gd name="connsiteY8123" fmla="*/ 3766559 h 6858000"/>
              <a:gd name="connsiteX8124" fmla="*/ 2558715 w 12192000"/>
              <a:gd name="connsiteY8124" fmla="*/ 3796211 h 6858000"/>
              <a:gd name="connsiteX8125" fmla="*/ 2637243 w 12192000"/>
              <a:gd name="connsiteY8125" fmla="*/ 3796211 h 6858000"/>
              <a:gd name="connsiteX8126" fmla="*/ 2605032 w 12192000"/>
              <a:gd name="connsiteY8126" fmla="*/ 3766559 h 6858000"/>
              <a:gd name="connsiteX8127" fmla="*/ 2637243 w 12192000"/>
              <a:gd name="connsiteY8127" fmla="*/ 3736907 h 6858000"/>
              <a:gd name="connsiteX8128" fmla="*/ 2669453 w 12192000"/>
              <a:gd name="connsiteY8128" fmla="*/ 3766559 h 6858000"/>
              <a:gd name="connsiteX8129" fmla="*/ 2637243 w 12192000"/>
              <a:gd name="connsiteY8129" fmla="*/ 3796211 h 6858000"/>
              <a:gd name="connsiteX8130" fmla="*/ 2715777 w 12192000"/>
              <a:gd name="connsiteY8130" fmla="*/ 3796211 h 6858000"/>
              <a:gd name="connsiteX8131" fmla="*/ 2683566 w 12192000"/>
              <a:gd name="connsiteY8131" fmla="*/ 3766559 h 6858000"/>
              <a:gd name="connsiteX8132" fmla="*/ 2715777 w 12192000"/>
              <a:gd name="connsiteY8132" fmla="*/ 3736907 h 6858000"/>
              <a:gd name="connsiteX8133" fmla="*/ 2747987 w 12192000"/>
              <a:gd name="connsiteY8133" fmla="*/ 3766559 h 6858000"/>
              <a:gd name="connsiteX8134" fmla="*/ 2715777 w 12192000"/>
              <a:gd name="connsiteY8134" fmla="*/ 3796211 h 6858000"/>
              <a:gd name="connsiteX8135" fmla="*/ 2794310 w 12192000"/>
              <a:gd name="connsiteY8135" fmla="*/ 3796211 h 6858000"/>
              <a:gd name="connsiteX8136" fmla="*/ 2762100 w 12192000"/>
              <a:gd name="connsiteY8136" fmla="*/ 3766559 h 6858000"/>
              <a:gd name="connsiteX8137" fmla="*/ 2794310 w 12192000"/>
              <a:gd name="connsiteY8137" fmla="*/ 3736907 h 6858000"/>
              <a:gd name="connsiteX8138" fmla="*/ 2826520 w 12192000"/>
              <a:gd name="connsiteY8138" fmla="*/ 3766559 h 6858000"/>
              <a:gd name="connsiteX8139" fmla="*/ 2794310 w 12192000"/>
              <a:gd name="connsiteY8139" fmla="*/ 3796211 h 6858000"/>
              <a:gd name="connsiteX8140" fmla="*/ 2872844 w 12192000"/>
              <a:gd name="connsiteY8140" fmla="*/ 3796211 h 6858000"/>
              <a:gd name="connsiteX8141" fmla="*/ 2840634 w 12192000"/>
              <a:gd name="connsiteY8141" fmla="*/ 3766559 h 6858000"/>
              <a:gd name="connsiteX8142" fmla="*/ 2872844 w 12192000"/>
              <a:gd name="connsiteY8142" fmla="*/ 3736907 h 6858000"/>
              <a:gd name="connsiteX8143" fmla="*/ 2905055 w 12192000"/>
              <a:gd name="connsiteY8143" fmla="*/ 3766559 h 6858000"/>
              <a:gd name="connsiteX8144" fmla="*/ 2872844 w 12192000"/>
              <a:gd name="connsiteY8144" fmla="*/ 3796211 h 6858000"/>
              <a:gd name="connsiteX8145" fmla="*/ 2951379 w 12192000"/>
              <a:gd name="connsiteY8145" fmla="*/ 3796211 h 6858000"/>
              <a:gd name="connsiteX8146" fmla="*/ 2919168 w 12192000"/>
              <a:gd name="connsiteY8146" fmla="*/ 3766559 h 6858000"/>
              <a:gd name="connsiteX8147" fmla="*/ 2951379 w 12192000"/>
              <a:gd name="connsiteY8147" fmla="*/ 3736907 h 6858000"/>
              <a:gd name="connsiteX8148" fmla="*/ 2983589 w 12192000"/>
              <a:gd name="connsiteY8148" fmla="*/ 3766559 h 6858000"/>
              <a:gd name="connsiteX8149" fmla="*/ 2951379 w 12192000"/>
              <a:gd name="connsiteY8149" fmla="*/ 3796211 h 6858000"/>
              <a:gd name="connsiteX8150" fmla="*/ 3029912 w 12192000"/>
              <a:gd name="connsiteY8150" fmla="*/ 3796211 h 6858000"/>
              <a:gd name="connsiteX8151" fmla="*/ 2997701 w 12192000"/>
              <a:gd name="connsiteY8151" fmla="*/ 3766559 h 6858000"/>
              <a:gd name="connsiteX8152" fmla="*/ 3029912 w 12192000"/>
              <a:gd name="connsiteY8152" fmla="*/ 3736907 h 6858000"/>
              <a:gd name="connsiteX8153" fmla="*/ 3062122 w 12192000"/>
              <a:gd name="connsiteY8153" fmla="*/ 3766559 h 6858000"/>
              <a:gd name="connsiteX8154" fmla="*/ 3029912 w 12192000"/>
              <a:gd name="connsiteY8154" fmla="*/ 3796211 h 6858000"/>
              <a:gd name="connsiteX8155" fmla="*/ 3108446 w 12192000"/>
              <a:gd name="connsiteY8155" fmla="*/ 3796211 h 6858000"/>
              <a:gd name="connsiteX8156" fmla="*/ 3076236 w 12192000"/>
              <a:gd name="connsiteY8156" fmla="*/ 3766559 h 6858000"/>
              <a:gd name="connsiteX8157" fmla="*/ 3108446 w 12192000"/>
              <a:gd name="connsiteY8157" fmla="*/ 3736907 h 6858000"/>
              <a:gd name="connsiteX8158" fmla="*/ 3140656 w 12192000"/>
              <a:gd name="connsiteY8158" fmla="*/ 3766559 h 6858000"/>
              <a:gd name="connsiteX8159" fmla="*/ 3108446 w 12192000"/>
              <a:gd name="connsiteY8159" fmla="*/ 3796211 h 6858000"/>
              <a:gd name="connsiteX8160" fmla="*/ 3186979 w 12192000"/>
              <a:gd name="connsiteY8160" fmla="*/ 3796211 h 6858000"/>
              <a:gd name="connsiteX8161" fmla="*/ 3154769 w 12192000"/>
              <a:gd name="connsiteY8161" fmla="*/ 3766559 h 6858000"/>
              <a:gd name="connsiteX8162" fmla="*/ 3186979 w 12192000"/>
              <a:gd name="connsiteY8162" fmla="*/ 3736907 h 6858000"/>
              <a:gd name="connsiteX8163" fmla="*/ 3219190 w 12192000"/>
              <a:gd name="connsiteY8163" fmla="*/ 3766559 h 6858000"/>
              <a:gd name="connsiteX8164" fmla="*/ 3186979 w 12192000"/>
              <a:gd name="connsiteY8164" fmla="*/ 3796211 h 6858000"/>
              <a:gd name="connsiteX8165" fmla="*/ 3265514 w 12192000"/>
              <a:gd name="connsiteY8165" fmla="*/ 3796211 h 6858000"/>
              <a:gd name="connsiteX8166" fmla="*/ 3233303 w 12192000"/>
              <a:gd name="connsiteY8166" fmla="*/ 3766559 h 6858000"/>
              <a:gd name="connsiteX8167" fmla="*/ 3265514 w 12192000"/>
              <a:gd name="connsiteY8167" fmla="*/ 3736907 h 6858000"/>
              <a:gd name="connsiteX8168" fmla="*/ 3297724 w 12192000"/>
              <a:gd name="connsiteY8168" fmla="*/ 3766559 h 6858000"/>
              <a:gd name="connsiteX8169" fmla="*/ 3265514 w 12192000"/>
              <a:gd name="connsiteY8169" fmla="*/ 3796211 h 6858000"/>
              <a:gd name="connsiteX8170" fmla="*/ 3344048 w 12192000"/>
              <a:gd name="connsiteY8170" fmla="*/ 3796211 h 6858000"/>
              <a:gd name="connsiteX8171" fmla="*/ 3311837 w 12192000"/>
              <a:gd name="connsiteY8171" fmla="*/ 3766559 h 6858000"/>
              <a:gd name="connsiteX8172" fmla="*/ 3344048 w 12192000"/>
              <a:gd name="connsiteY8172" fmla="*/ 3736907 h 6858000"/>
              <a:gd name="connsiteX8173" fmla="*/ 3376258 w 12192000"/>
              <a:gd name="connsiteY8173" fmla="*/ 3766559 h 6858000"/>
              <a:gd name="connsiteX8174" fmla="*/ 3344048 w 12192000"/>
              <a:gd name="connsiteY8174" fmla="*/ 3796211 h 6858000"/>
              <a:gd name="connsiteX8175" fmla="*/ 3422581 w 12192000"/>
              <a:gd name="connsiteY8175" fmla="*/ 3796211 h 6858000"/>
              <a:gd name="connsiteX8176" fmla="*/ 3390371 w 12192000"/>
              <a:gd name="connsiteY8176" fmla="*/ 3766559 h 6858000"/>
              <a:gd name="connsiteX8177" fmla="*/ 3422581 w 12192000"/>
              <a:gd name="connsiteY8177" fmla="*/ 3736907 h 6858000"/>
              <a:gd name="connsiteX8178" fmla="*/ 3454791 w 12192000"/>
              <a:gd name="connsiteY8178" fmla="*/ 3766559 h 6858000"/>
              <a:gd name="connsiteX8179" fmla="*/ 3422581 w 12192000"/>
              <a:gd name="connsiteY8179" fmla="*/ 3796211 h 6858000"/>
              <a:gd name="connsiteX8180" fmla="*/ 3501115 w 12192000"/>
              <a:gd name="connsiteY8180" fmla="*/ 3796211 h 6858000"/>
              <a:gd name="connsiteX8181" fmla="*/ 3468905 w 12192000"/>
              <a:gd name="connsiteY8181" fmla="*/ 3766559 h 6858000"/>
              <a:gd name="connsiteX8182" fmla="*/ 3501115 w 12192000"/>
              <a:gd name="connsiteY8182" fmla="*/ 3736907 h 6858000"/>
              <a:gd name="connsiteX8183" fmla="*/ 3533326 w 12192000"/>
              <a:gd name="connsiteY8183" fmla="*/ 3766559 h 6858000"/>
              <a:gd name="connsiteX8184" fmla="*/ 3501115 w 12192000"/>
              <a:gd name="connsiteY8184" fmla="*/ 3796211 h 6858000"/>
              <a:gd name="connsiteX8185" fmla="*/ 3579650 w 12192000"/>
              <a:gd name="connsiteY8185" fmla="*/ 3796211 h 6858000"/>
              <a:gd name="connsiteX8186" fmla="*/ 3547439 w 12192000"/>
              <a:gd name="connsiteY8186" fmla="*/ 3766559 h 6858000"/>
              <a:gd name="connsiteX8187" fmla="*/ 3579650 w 12192000"/>
              <a:gd name="connsiteY8187" fmla="*/ 3736907 h 6858000"/>
              <a:gd name="connsiteX8188" fmla="*/ 3611860 w 12192000"/>
              <a:gd name="connsiteY8188" fmla="*/ 3766559 h 6858000"/>
              <a:gd name="connsiteX8189" fmla="*/ 3579650 w 12192000"/>
              <a:gd name="connsiteY8189" fmla="*/ 3796211 h 6858000"/>
              <a:gd name="connsiteX8190" fmla="*/ 3658183 w 12192000"/>
              <a:gd name="connsiteY8190" fmla="*/ 3796211 h 6858000"/>
              <a:gd name="connsiteX8191" fmla="*/ 3625972 w 12192000"/>
              <a:gd name="connsiteY8191" fmla="*/ 3766559 h 6858000"/>
              <a:gd name="connsiteX8192" fmla="*/ 3658183 w 12192000"/>
              <a:gd name="connsiteY8192" fmla="*/ 3736907 h 6858000"/>
              <a:gd name="connsiteX8193" fmla="*/ 3690393 w 12192000"/>
              <a:gd name="connsiteY8193" fmla="*/ 3766559 h 6858000"/>
              <a:gd name="connsiteX8194" fmla="*/ 3658183 w 12192000"/>
              <a:gd name="connsiteY8194" fmla="*/ 3796211 h 6858000"/>
              <a:gd name="connsiteX8195" fmla="*/ 3736717 w 12192000"/>
              <a:gd name="connsiteY8195" fmla="*/ 3796211 h 6858000"/>
              <a:gd name="connsiteX8196" fmla="*/ 3704507 w 12192000"/>
              <a:gd name="connsiteY8196" fmla="*/ 3766559 h 6858000"/>
              <a:gd name="connsiteX8197" fmla="*/ 3736717 w 12192000"/>
              <a:gd name="connsiteY8197" fmla="*/ 3736907 h 6858000"/>
              <a:gd name="connsiteX8198" fmla="*/ 3768927 w 12192000"/>
              <a:gd name="connsiteY8198" fmla="*/ 3766559 h 6858000"/>
              <a:gd name="connsiteX8199" fmla="*/ 3736717 w 12192000"/>
              <a:gd name="connsiteY8199" fmla="*/ 3796211 h 6858000"/>
              <a:gd name="connsiteX8200" fmla="*/ 3815250 w 12192000"/>
              <a:gd name="connsiteY8200" fmla="*/ 3796211 h 6858000"/>
              <a:gd name="connsiteX8201" fmla="*/ 3783040 w 12192000"/>
              <a:gd name="connsiteY8201" fmla="*/ 3766559 h 6858000"/>
              <a:gd name="connsiteX8202" fmla="*/ 3815250 w 12192000"/>
              <a:gd name="connsiteY8202" fmla="*/ 3736907 h 6858000"/>
              <a:gd name="connsiteX8203" fmla="*/ 3847461 w 12192000"/>
              <a:gd name="connsiteY8203" fmla="*/ 3766559 h 6858000"/>
              <a:gd name="connsiteX8204" fmla="*/ 3815250 w 12192000"/>
              <a:gd name="connsiteY8204" fmla="*/ 3796211 h 6858000"/>
              <a:gd name="connsiteX8205" fmla="*/ 3893785 w 12192000"/>
              <a:gd name="connsiteY8205" fmla="*/ 3796211 h 6858000"/>
              <a:gd name="connsiteX8206" fmla="*/ 3861574 w 12192000"/>
              <a:gd name="connsiteY8206" fmla="*/ 3766559 h 6858000"/>
              <a:gd name="connsiteX8207" fmla="*/ 3893785 w 12192000"/>
              <a:gd name="connsiteY8207" fmla="*/ 3736907 h 6858000"/>
              <a:gd name="connsiteX8208" fmla="*/ 3925995 w 12192000"/>
              <a:gd name="connsiteY8208" fmla="*/ 3766559 h 6858000"/>
              <a:gd name="connsiteX8209" fmla="*/ 3893785 w 12192000"/>
              <a:gd name="connsiteY8209" fmla="*/ 3796211 h 6858000"/>
              <a:gd name="connsiteX8210" fmla="*/ 5700069 w 12192000"/>
              <a:gd name="connsiteY8210" fmla="*/ 3796211 h 6858000"/>
              <a:gd name="connsiteX8211" fmla="*/ 5667859 w 12192000"/>
              <a:gd name="connsiteY8211" fmla="*/ 3766559 h 6858000"/>
              <a:gd name="connsiteX8212" fmla="*/ 5700069 w 12192000"/>
              <a:gd name="connsiteY8212" fmla="*/ 3736907 h 6858000"/>
              <a:gd name="connsiteX8213" fmla="*/ 5732280 w 12192000"/>
              <a:gd name="connsiteY8213" fmla="*/ 3766559 h 6858000"/>
              <a:gd name="connsiteX8214" fmla="*/ 5700069 w 12192000"/>
              <a:gd name="connsiteY8214" fmla="*/ 3796211 h 6858000"/>
              <a:gd name="connsiteX8215" fmla="*/ 5778604 w 12192000"/>
              <a:gd name="connsiteY8215" fmla="*/ 3796211 h 6858000"/>
              <a:gd name="connsiteX8216" fmla="*/ 5746393 w 12192000"/>
              <a:gd name="connsiteY8216" fmla="*/ 3766559 h 6858000"/>
              <a:gd name="connsiteX8217" fmla="*/ 5778604 w 12192000"/>
              <a:gd name="connsiteY8217" fmla="*/ 3736907 h 6858000"/>
              <a:gd name="connsiteX8218" fmla="*/ 5810814 w 12192000"/>
              <a:gd name="connsiteY8218" fmla="*/ 3766559 h 6858000"/>
              <a:gd name="connsiteX8219" fmla="*/ 5778604 w 12192000"/>
              <a:gd name="connsiteY8219" fmla="*/ 3796211 h 6858000"/>
              <a:gd name="connsiteX8220" fmla="*/ 5857137 w 12192000"/>
              <a:gd name="connsiteY8220" fmla="*/ 3796211 h 6858000"/>
              <a:gd name="connsiteX8221" fmla="*/ 5824927 w 12192000"/>
              <a:gd name="connsiteY8221" fmla="*/ 3766559 h 6858000"/>
              <a:gd name="connsiteX8222" fmla="*/ 5857137 w 12192000"/>
              <a:gd name="connsiteY8222" fmla="*/ 3736907 h 6858000"/>
              <a:gd name="connsiteX8223" fmla="*/ 5889347 w 12192000"/>
              <a:gd name="connsiteY8223" fmla="*/ 3766559 h 6858000"/>
              <a:gd name="connsiteX8224" fmla="*/ 5857137 w 12192000"/>
              <a:gd name="connsiteY8224" fmla="*/ 3796211 h 6858000"/>
              <a:gd name="connsiteX8225" fmla="*/ 5935671 w 12192000"/>
              <a:gd name="connsiteY8225" fmla="*/ 3796211 h 6858000"/>
              <a:gd name="connsiteX8226" fmla="*/ 5903461 w 12192000"/>
              <a:gd name="connsiteY8226" fmla="*/ 3766559 h 6858000"/>
              <a:gd name="connsiteX8227" fmla="*/ 5935671 w 12192000"/>
              <a:gd name="connsiteY8227" fmla="*/ 3736907 h 6858000"/>
              <a:gd name="connsiteX8228" fmla="*/ 5967881 w 12192000"/>
              <a:gd name="connsiteY8228" fmla="*/ 3766559 h 6858000"/>
              <a:gd name="connsiteX8229" fmla="*/ 5935671 w 12192000"/>
              <a:gd name="connsiteY8229" fmla="*/ 3796211 h 6858000"/>
              <a:gd name="connsiteX8230" fmla="*/ 6171273 w 12192000"/>
              <a:gd name="connsiteY8230" fmla="*/ 3796211 h 6858000"/>
              <a:gd name="connsiteX8231" fmla="*/ 6139056 w 12192000"/>
              <a:gd name="connsiteY8231" fmla="*/ 3766559 h 6858000"/>
              <a:gd name="connsiteX8232" fmla="*/ 6171273 w 12192000"/>
              <a:gd name="connsiteY8232" fmla="*/ 3736907 h 6858000"/>
              <a:gd name="connsiteX8233" fmla="*/ 6203477 w 12192000"/>
              <a:gd name="connsiteY8233" fmla="*/ 3766559 h 6858000"/>
              <a:gd name="connsiteX8234" fmla="*/ 6171273 w 12192000"/>
              <a:gd name="connsiteY8234" fmla="*/ 3796211 h 6858000"/>
              <a:gd name="connsiteX8235" fmla="*/ 6328340 w 12192000"/>
              <a:gd name="connsiteY8235" fmla="*/ 3796211 h 6858000"/>
              <a:gd name="connsiteX8236" fmla="*/ 6296124 w 12192000"/>
              <a:gd name="connsiteY8236" fmla="*/ 3766559 h 6858000"/>
              <a:gd name="connsiteX8237" fmla="*/ 6328340 w 12192000"/>
              <a:gd name="connsiteY8237" fmla="*/ 3736907 h 6858000"/>
              <a:gd name="connsiteX8238" fmla="*/ 6360545 w 12192000"/>
              <a:gd name="connsiteY8238" fmla="*/ 3766559 h 6858000"/>
              <a:gd name="connsiteX8239" fmla="*/ 6328340 w 12192000"/>
              <a:gd name="connsiteY8239" fmla="*/ 3796211 h 6858000"/>
              <a:gd name="connsiteX8240" fmla="*/ 6485408 w 12192000"/>
              <a:gd name="connsiteY8240" fmla="*/ 3796211 h 6858000"/>
              <a:gd name="connsiteX8241" fmla="*/ 6453191 w 12192000"/>
              <a:gd name="connsiteY8241" fmla="*/ 3766559 h 6858000"/>
              <a:gd name="connsiteX8242" fmla="*/ 6485408 w 12192000"/>
              <a:gd name="connsiteY8242" fmla="*/ 3736907 h 6858000"/>
              <a:gd name="connsiteX8243" fmla="*/ 6517612 w 12192000"/>
              <a:gd name="connsiteY8243" fmla="*/ 3766559 h 6858000"/>
              <a:gd name="connsiteX8244" fmla="*/ 6485408 w 12192000"/>
              <a:gd name="connsiteY8244" fmla="*/ 3796211 h 6858000"/>
              <a:gd name="connsiteX8245" fmla="*/ 6642476 w 12192000"/>
              <a:gd name="connsiteY8245" fmla="*/ 3796211 h 6858000"/>
              <a:gd name="connsiteX8246" fmla="*/ 6610260 w 12192000"/>
              <a:gd name="connsiteY8246" fmla="*/ 3766559 h 6858000"/>
              <a:gd name="connsiteX8247" fmla="*/ 6642476 w 12192000"/>
              <a:gd name="connsiteY8247" fmla="*/ 3736907 h 6858000"/>
              <a:gd name="connsiteX8248" fmla="*/ 6674681 w 12192000"/>
              <a:gd name="connsiteY8248" fmla="*/ 3766559 h 6858000"/>
              <a:gd name="connsiteX8249" fmla="*/ 6642476 w 12192000"/>
              <a:gd name="connsiteY8249" fmla="*/ 3796211 h 6858000"/>
              <a:gd name="connsiteX8250" fmla="*/ 6799544 w 12192000"/>
              <a:gd name="connsiteY8250" fmla="*/ 3796211 h 6858000"/>
              <a:gd name="connsiteX8251" fmla="*/ 6767327 w 12192000"/>
              <a:gd name="connsiteY8251" fmla="*/ 3766559 h 6858000"/>
              <a:gd name="connsiteX8252" fmla="*/ 6799544 w 12192000"/>
              <a:gd name="connsiteY8252" fmla="*/ 3736907 h 6858000"/>
              <a:gd name="connsiteX8253" fmla="*/ 6831748 w 12192000"/>
              <a:gd name="connsiteY8253" fmla="*/ 3766559 h 6858000"/>
              <a:gd name="connsiteX8254" fmla="*/ 6799544 w 12192000"/>
              <a:gd name="connsiteY8254" fmla="*/ 3796211 h 6858000"/>
              <a:gd name="connsiteX8255" fmla="*/ 6878077 w 12192000"/>
              <a:gd name="connsiteY8255" fmla="*/ 3796211 h 6858000"/>
              <a:gd name="connsiteX8256" fmla="*/ 6845861 w 12192000"/>
              <a:gd name="connsiteY8256" fmla="*/ 3766559 h 6858000"/>
              <a:gd name="connsiteX8257" fmla="*/ 6878077 w 12192000"/>
              <a:gd name="connsiteY8257" fmla="*/ 3736907 h 6858000"/>
              <a:gd name="connsiteX8258" fmla="*/ 6910281 w 12192000"/>
              <a:gd name="connsiteY8258" fmla="*/ 3766559 h 6858000"/>
              <a:gd name="connsiteX8259" fmla="*/ 6878077 w 12192000"/>
              <a:gd name="connsiteY8259" fmla="*/ 3796211 h 6858000"/>
              <a:gd name="connsiteX8260" fmla="*/ 6956611 w 12192000"/>
              <a:gd name="connsiteY8260" fmla="*/ 3796211 h 6858000"/>
              <a:gd name="connsiteX8261" fmla="*/ 6924395 w 12192000"/>
              <a:gd name="connsiteY8261" fmla="*/ 3766559 h 6858000"/>
              <a:gd name="connsiteX8262" fmla="*/ 6956611 w 12192000"/>
              <a:gd name="connsiteY8262" fmla="*/ 3736907 h 6858000"/>
              <a:gd name="connsiteX8263" fmla="*/ 6988816 w 12192000"/>
              <a:gd name="connsiteY8263" fmla="*/ 3766559 h 6858000"/>
              <a:gd name="connsiteX8264" fmla="*/ 6956611 w 12192000"/>
              <a:gd name="connsiteY8264" fmla="*/ 3796211 h 6858000"/>
              <a:gd name="connsiteX8265" fmla="*/ 7113703 w 12192000"/>
              <a:gd name="connsiteY8265" fmla="*/ 3796211 h 6858000"/>
              <a:gd name="connsiteX8266" fmla="*/ 7081487 w 12192000"/>
              <a:gd name="connsiteY8266" fmla="*/ 3766559 h 6858000"/>
              <a:gd name="connsiteX8267" fmla="*/ 7113703 w 12192000"/>
              <a:gd name="connsiteY8267" fmla="*/ 3736907 h 6858000"/>
              <a:gd name="connsiteX8268" fmla="*/ 7145907 w 12192000"/>
              <a:gd name="connsiteY8268" fmla="*/ 3766559 h 6858000"/>
              <a:gd name="connsiteX8269" fmla="*/ 7113703 w 12192000"/>
              <a:gd name="connsiteY8269" fmla="*/ 3796211 h 6858000"/>
              <a:gd name="connsiteX8270" fmla="*/ 7192237 w 12192000"/>
              <a:gd name="connsiteY8270" fmla="*/ 3796211 h 6858000"/>
              <a:gd name="connsiteX8271" fmla="*/ 7160021 w 12192000"/>
              <a:gd name="connsiteY8271" fmla="*/ 3766559 h 6858000"/>
              <a:gd name="connsiteX8272" fmla="*/ 7192237 w 12192000"/>
              <a:gd name="connsiteY8272" fmla="*/ 3736907 h 6858000"/>
              <a:gd name="connsiteX8273" fmla="*/ 7224441 w 12192000"/>
              <a:gd name="connsiteY8273" fmla="*/ 3766559 h 6858000"/>
              <a:gd name="connsiteX8274" fmla="*/ 7192237 w 12192000"/>
              <a:gd name="connsiteY8274" fmla="*/ 3796211 h 6858000"/>
              <a:gd name="connsiteX8275" fmla="*/ 7270771 w 12192000"/>
              <a:gd name="connsiteY8275" fmla="*/ 3796211 h 6858000"/>
              <a:gd name="connsiteX8276" fmla="*/ 7238555 w 12192000"/>
              <a:gd name="connsiteY8276" fmla="*/ 3766559 h 6858000"/>
              <a:gd name="connsiteX8277" fmla="*/ 7270771 w 12192000"/>
              <a:gd name="connsiteY8277" fmla="*/ 3736907 h 6858000"/>
              <a:gd name="connsiteX8278" fmla="*/ 7302976 w 12192000"/>
              <a:gd name="connsiteY8278" fmla="*/ 3766559 h 6858000"/>
              <a:gd name="connsiteX8279" fmla="*/ 7270771 w 12192000"/>
              <a:gd name="connsiteY8279" fmla="*/ 3796211 h 6858000"/>
              <a:gd name="connsiteX8280" fmla="*/ 7427839 w 12192000"/>
              <a:gd name="connsiteY8280" fmla="*/ 3796211 h 6858000"/>
              <a:gd name="connsiteX8281" fmla="*/ 7395623 w 12192000"/>
              <a:gd name="connsiteY8281" fmla="*/ 3766559 h 6858000"/>
              <a:gd name="connsiteX8282" fmla="*/ 7427839 w 12192000"/>
              <a:gd name="connsiteY8282" fmla="*/ 3736907 h 6858000"/>
              <a:gd name="connsiteX8283" fmla="*/ 7460043 w 12192000"/>
              <a:gd name="connsiteY8283" fmla="*/ 3766559 h 6858000"/>
              <a:gd name="connsiteX8284" fmla="*/ 7427839 w 12192000"/>
              <a:gd name="connsiteY8284" fmla="*/ 3796211 h 6858000"/>
              <a:gd name="connsiteX8285" fmla="*/ 7506373 w 12192000"/>
              <a:gd name="connsiteY8285" fmla="*/ 3796211 h 6858000"/>
              <a:gd name="connsiteX8286" fmla="*/ 7474157 w 12192000"/>
              <a:gd name="connsiteY8286" fmla="*/ 3766559 h 6858000"/>
              <a:gd name="connsiteX8287" fmla="*/ 7506373 w 12192000"/>
              <a:gd name="connsiteY8287" fmla="*/ 3736907 h 6858000"/>
              <a:gd name="connsiteX8288" fmla="*/ 7538577 w 12192000"/>
              <a:gd name="connsiteY8288" fmla="*/ 3766559 h 6858000"/>
              <a:gd name="connsiteX8289" fmla="*/ 7506373 w 12192000"/>
              <a:gd name="connsiteY8289" fmla="*/ 3796211 h 6858000"/>
              <a:gd name="connsiteX8290" fmla="*/ 7584906 w 12192000"/>
              <a:gd name="connsiteY8290" fmla="*/ 3796211 h 6858000"/>
              <a:gd name="connsiteX8291" fmla="*/ 7552690 w 12192000"/>
              <a:gd name="connsiteY8291" fmla="*/ 3766559 h 6858000"/>
              <a:gd name="connsiteX8292" fmla="*/ 7584906 w 12192000"/>
              <a:gd name="connsiteY8292" fmla="*/ 3736907 h 6858000"/>
              <a:gd name="connsiteX8293" fmla="*/ 7617111 w 12192000"/>
              <a:gd name="connsiteY8293" fmla="*/ 3766559 h 6858000"/>
              <a:gd name="connsiteX8294" fmla="*/ 7584906 w 12192000"/>
              <a:gd name="connsiteY8294" fmla="*/ 3796211 h 6858000"/>
              <a:gd name="connsiteX8295" fmla="*/ 7663441 w 12192000"/>
              <a:gd name="connsiteY8295" fmla="*/ 3796211 h 6858000"/>
              <a:gd name="connsiteX8296" fmla="*/ 7631224 w 12192000"/>
              <a:gd name="connsiteY8296" fmla="*/ 3766559 h 6858000"/>
              <a:gd name="connsiteX8297" fmla="*/ 7663441 w 12192000"/>
              <a:gd name="connsiteY8297" fmla="*/ 3736907 h 6858000"/>
              <a:gd name="connsiteX8298" fmla="*/ 7695645 w 12192000"/>
              <a:gd name="connsiteY8298" fmla="*/ 3766559 h 6858000"/>
              <a:gd name="connsiteX8299" fmla="*/ 7663441 w 12192000"/>
              <a:gd name="connsiteY8299" fmla="*/ 3796211 h 6858000"/>
              <a:gd name="connsiteX8300" fmla="*/ 7741974 w 12192000"/>
              <a:gd name="connsiteY8300" fmla="*/ 3796211 h 6858000"/>
              <a:gd name="connsiteX8301" fmla="*/ 7709758 w 12192000"/>
              <a:gd name="connsiteY8301" fmla="*/ 3766559 h 6858000"/>
              <a:gd name="connsiteX8302" fmla="*/ 7741974 w 12192000"/>
              <a:gd name="connsiteY8302" fmla="*/ 3736907 h 6858000"/>
              <a:gd name="connsiteX8303" fmla="*/ 7774178 w 12192000"/>
              <a:gd name="connsiteY8303" fmla="*/ 3766559 h 6858000"/>
              <a:gd name="connsiteX8304" fmla="*/ 7741974 w 12192000"/>
              <a:gd name="connsiteY8304" fmla="*/ 3796211 h 6858000"/>
              <a:gd name="connsiteX8305" fmla="*/ 7820508 w 12192000"/>
              <a:gd name="connsiteY8305" fmla="*/ 3796211 h 6858000"/>
              <a:gd name="connsiteX8306" fmla="*/ 7788292 w 12192000"/>
              <a:gd name="connsiteY8306" fmla="*/ 3766559 h 6858000"/>
              <a:gd name="connsiteX8307" fmla="*/ 7820508 w 12192000"/>
              <a:gd name="connsiteY8307" fmla="*/ 3736907 h 6858000"/>
              <a:gd name="connsiteX8308" fmla="*/ 7852712 w 12192000"/>
              <a:gd name="connsiteY8308" fmla="*/ 3766559 h 6858000"/>
              <a:gd name="connsiteX8309" fmla="*/ 7820508 w 12192000"/>
              <a:gd name="connsiteY8309" fmla="*/ 3796211 h 6858000"/>
              <a:gd name="connsiteX8310" fmla="*/ 7899042 w 12192000"/>
              <a:gd name="connsiteY8310" fmla="*/ 3796211 h 6858000"/>
              <a:gd name="connsiteX8311" fmla="*/ 7866826 w 12192000"/>
              <a:gd name="connsiteY8311" fmla="*/ 3766559 h 6858000"/>
              <a:gd name="connsiteX8312" fmla="*/ 7899042 w 12192000"/>
              <a:gd name="connsiteY8312" fmla="*/ 3736907 h 6858000"/>
              <a:gd name="connsiteX8313" fmla="*/ 7931247 w 12192000"/>
              <a:gd name="connsiteY8313" fmla="*/ 3766559 h 6858000"/>
              <a:gd name="connsiteX8314" fmla="*/ 7899042 w 12192000"/>
              <a:gd name="connsiteY8314" fmla="*/ 3796211 h 6858000"/>
              <a:gd name="connsiteX8315" fmla="*/ 7977576 w 12192000"/>
              <a:gd name="connsiteY8315" fmla="*/ 3796211 h 6858000"/>
              <a:gd name="connsiteX8316" fmla="*/ 7945359 w 12192000"/>
              <a:gd name="connsiteY8316" fmla="*/ 3766559 h 6858000"/>
              <a:gd name="connsiteX8317" fmla="*/ 7977576 w 12192000"/>
              <a:gd name="connsiteY8317" fmla="*/ 3736907 h 6858000"/>
              <a:gd name="connsiteX8318" fmla="*/ 8009780 w 12192000"/>
              <a:gd name="connsiteY8318" fmla="*/ 3766559 h 6858000"/>
              <a:gd name="connsiteX8319" fmla="*/ 7977576 w 12192000"/>
              <a:gd name="connsiteY8319" fmla="*/ 3796211 h 6858000"/>
              <a:gd name="connsiteX8320" fmla="*/ 8056110 w 12192000"/>
              <a:gd name="connsiteY8320" fmla="*/ 3796211 h 6858000"/>
              <a:gd name="connsiteX8321" fmla="*/ 8023894 w 12192000"/>
              <a:gd name="connsiteY8321" fmla="*/ 3766559 h 6858000"/>
              <a:gd name="connsiteX8322" fmla="*/ 8056110 w 12192000"/>
              <a:gd name="connsiteY8322" fmla="*/ 3736907 h 6858000"/>
              <a:gd name="connsiteX8323" fmla="*/ 8088314 w 12192000"/>
              <a:gd name="connsiteY8323" fmla="*/ 3766559 h 6858000"/>
              <a:gd name="connsiteX8324" fmla="*/ 8056110 w 12192000"/>
              <a:gd name="connsiteY8324" fmla="*/ 3796211 h 6858000"/>
              <a:gd name="connsiteX8325" fmla="*/ 8134643 w 12192000"/>
              <a:gd name="connsiteY8325" fmla="*/ 3796211 h 6858000"/>
              <a:gd name="connsiteX8326" fmla="*/ 8102427 w 12192000"/>
              <a:gd name="connsiteY8326" fmla="*/ 3766559 h 6858000"/>
              <a:gd name="connsiteX8327" fmla="*/ 8134643 w 12192000"/>
              <a:gd name="connsiteY8327" fmla="*/ 3736907 h 6858000"/>
              <a:gd name="connsiteX8328" fmla="*/ 8166847 w 12192000"/>
              <a:gd name="connsiteY8328" fmla="*/ 3766559 h 6858000"/>
              <a:gd name="connsiteX8329" fmla="*/ 8134643 w 12192000"/>
              <a:gd name="connsiteY8329" fmla="*/ 3796211 h 6858000"/>
              <a:gd name="connsiteX8330" fmla="*/ 8213177 w 12192000"/>
              <a:gd name="connsiteY8330" fmla="*/ 3796211 h 6858000"/>
              <a:gd name="connsiteX8331" fmla="*/ 8180961 w 12192000"/>
              <a:gd name="connsiteY8331" fmla="*/ 3766559 h 6858000"/>
              <a:gd name="connsiteX8332" fmla="*/ 8213177 w 12192000"/>
              <a:gd name="connsiteY8332" fmla="*/ 3736907 h 6858000"/>
              <a:gd name="connsiteX8333" fmla="*/ 8245382 w 12192000"/>
              <a:gd name="connsiteY8333" fmla="*/ 3766559 h 6858000"/>
              <a:gd name="connsiteX8334" fmla="*/ 8213177 w 12192000"/>
              <a:gd name="connsiteY8334" fmla="*/ 3796211 h 6858000"/>
              <a:gd name="connsiteX8335" fmla="*/ 8291712 w 12192000"/>
              <a:gd name="connsiteY8335" fmla="*/ 3796211 h 6858000"/>
              <a:gd name="connsiteX8336" fmla="*/ 8259495 w 12192000"/>
              <a:gd name="connsiteY8336" fmla="*/ 3766559 h 6858000"/>
              <a:gd name="connsiteX8337" fmla="*/ 8291712 w 12192000"/>
              <a:gd name="connsiteY8337" fmla="*/ 3736907 h 6858000"/>
              <a:gd name="connsiteX8338" fmla="*/ 8323916 w 12192000"/>
              <a:gd name="connsiteY8338" fmla="*/ 3766559 h 6858000"/>
              <a:gd name="connsiteX8339" fmla="*/ 8291712 w 12192000"/>
              <a:gd name="connsiteY8339" fmla="*/ 3796211 h 6858000"/>
              <a:gd name="connsiteX8340" fmla="*/ 8370245 w 12192000"/>
              <a:gd name="connsiteY8340" fmla="*/ 3796211 h 6858000"/>
              <a:gd name="connsiteX8341" fmla="*/ 8338029 w 12192000"/>
              <a:gd name="connsiteY8341" fmla="*/ 3766559 h 6858000"/>
              <a:gd name="connsiteX8342" fmla="*/ 8370245 w 12192000"/>
              <a:gd name="connsiteY8342" fmla="*/ 3736907 h 6858000"/>
              <a:gd name="connsiteX8343" fmla="*/ 8402449 w 12192000"/>
              <a:gd name="connsiteY8343" fmla="*/ 3766559 h 6858000"/>
              <a:gd name="connsiteX8344" fmla="*/ 8370245 w 12192000"/>
              <a:gd name="connsiteY8344" fmla="*/ 3796211 h 6858000"/>
              <a:gd name="connsiteX8345" fmla="*/ 8448779 w 12192000"/>
              <a:gd name="connsiteY8345" fmla="*/ 3796211 h 6858000"/>
              <a:gd name="connsiteX8346" fmla="*/ 8416563 w 12192000"/>
              <a:gd name="connsiteY8346" fmla="*/ 3766559 h 6858000"/>
              <a:gd name="connsiteX8347" fmla="*/ 8448779 w 12192000"/>
              <a:gd name="connsiteY8347" fmla="*/ 3736907 h 6858000"/>
              <a:gd name="connsiteX8348" fmla="*/ 8480983 w 12192000"/>
              <a:gd name="connsiteY8348" fmla="*/ 3766559 h 6858000"/>
              <a:gd name="connsiteX8349" fmla="*/ 8448779 w 12192000"/>
              <a:gd name="connsiteY8349" fmla="*/ 3796211 h 6858000"/>
              <a:gd name="connsiteX8350" fmla="*/ 8527313 w 12192000"/>
              <a:gd name="connsiteY8350" fmla="*/ 3796211 h 6858000"/>
              <a:gd name="connsiteX8351" fmla="*/ 8495097 w 12192000"/>
              <a:gd name="connsiteY8351" fmla="*/ 3766559 h 6858000"/>
              <a:gd name="connsiteX8352" fmla="*/ 8527313 w 12192000"/>
              <a:gd name="connsiteY8352" fmla="*/ 3736907 h 6858000"/>
              <a:gd name="connsiteX8353" fmla="*/ 8559518 w 12192000"/>
              <a:gd name="connsiteY8353" fmla="*/ 3766559 h 6858000"/>
              <a:gd name="connsiteX8354" fmla="*/ 8527313 w 12192000"/>
              <a:gd name="connsiteY8354" fmla="*/ 3796211 h 6858000"/>
              <a:gd name="connsiteX8355" fmla="*/ 8605847 w 12192000"/>
              <a:gd name="connsiteY8355" fmla="*/ 3796211 h 6858000"/>
              <a:gd name="connsiteX8356" fmla="*/ 8573630 w 12192000"/>
              <a:gd name="connsiteY8356" fmla="*/ 3766559 h 6858000"/>
              <a:gd name="connsiteX8357" fmla="*/ 8605847 w 12192000"/>
              <a:gd name="connsiteY8357" fmla="*/ 3736907 h 6858000"/>
              <a:gd name="connsiteX8358" fmla="*/ 8638051 w 12192000"/>
              <a:gd name="connsiteY8358" fmla="*/ 3766559 h 6858000"/>
              <a:gd name="connsiteX8359" fmla="*/ 8605847 w 12192000"/>
              <a:gd name="connsiteY8359" fmla="*/ 3796211 h 6858000"/>
              <a:gd name="connsiteX8360" fmla="*/ 8684381 w 12192000"/>
              <a:gd name="connsiteY8360" fmla="*/ 3796211 h 6858000"/>
              <a:gd name="connsiteX8361" fmla="*/ 8652165 w 12192000"/>
              <a:gd name="connsiteY8361" fmla="*/ 3766559 h 6858000"/>
              <a:gd name="connsiteX8362" fmla="*/ 8684381 w 12192000"/>
              <a:gd name="connsiteY8362" fmla="*/ 3736907 h 6858000"/>
              <a:gd name="connsiteX8363" fmla="*/ 8716585 w 12192000"/>
              <a:gd name="connsiteY8363" fmla="*/ 3766559 h 6858000"/>
              <a:gd name="connsiteX8364" fmla="*/ 8684381 w 12192000"/>
              <a:gd name="connsiteY8364" fmla="*/ 3796211 h 6858000"/>
              <a:gd name="connsiteX8365" fmla="*/ 8762914 w 12192000"/>
              <a:gd name="connsiteY8365" fmla="*/ 3796211 h 6858000"/>
              <a:gd name="connsiteX8366" fmla="*/ 8730698 w 12192000"/>
              <a:gd name="connsiteY8366" fmla="*/ 3766559 h 6858000"/>
              <a:gd name="connsiteX8367" fmla="*/ 8762914 w 12192000"/>
              <a:gd name="connsiteY8367" fmla="*/ 3736907 h 6858000"/>
              <a:gd name="connsiteX8368" fmla="*/ 8795118 w 12192000"/>
              <a:gd name="connsiteY8368" fmla="*/ 3766559 h 6858000"/>
              <a:gd name="connsiteX8369" fmla="*/ 8762914 w 12192000"/>
              <a:gd name="connsiteY8369" fmla="*/ 3796211 h 6858000"/>
              <a:gd name="connsiteX8370" fmla="*/ 8841448 w 12192000"/>
              <a:gd name="connsiteY8370" fmla="*/ 3796211 h 6858000"/>
              <a:gd name="connsiteX8371" fmla="*/ 8809232 w 12192000"/>
              <a:gd name="connsiteY8371" fmla="*/ 3766559 h 6858000"/>
              <a:gd name="connsiteX8372" fmla="*/ 8841448 w 12192000"/>
              <a:gd name="connsiteY8372" fmla="*/ 3736907 h 6858000"/>
              <a:gd name="connsiteX8373" fmla="*/ 8873653 w 12192000"/>
              <a:gd name="connsiteY8373" fmla="*/ 3766559 h 6858000"/>
              <a:gd name="connsiteX8374" fmla="*/ 8841448 w 12192000"/>
              <a:gd name="connsiteY8374" fmla="*/ 3796211 h 6858000"/>
              <a:gd name="connsiteX8375" fmla="*/ 8919983 w 12192000"/>
              <a:gd name="connsiteY8375" fmla="*/ 3796211 h 6858000"/>
              <a:gd name="connsiteX8376" fmla="*/ 8887766 w 12192000"/>
              <a:gd name="connsiteY8376" fmla="*/ 3766559 h 6858000"/>
              <a:gd name="connsiteX8377" fmla="*/ 8919983 w 12192000"/>
              <a:gd name="connsiteY8377" fmla="*/ 3736907 h 6858000"/>
              <a:gd name="connsiteX8378" fmla="*/ 8952187 w 12192000"/>
              <a:gd name="connsiteY8378" fmla="*/ 3766559 h 6858000"/>
              <a:gd name="connsiteX8379" fmla="*/ 8919983 w 12192000"/>
              <a:gd name="connsiteY8379" fmla="*/ 3796211 h 6858000"/>
              <a:gd name="connsiteX8380" fmla="*/ 8998516 w 12192000"/>
              <a:gd name="connsiteY8380" fmla="*/ 3796211 h 6858000"/>
              <a:gd name="connsiteX8381" fmla="*/ 8966300 w 12192000"/>
              <a:gd name="connsiteY8381" fmla="*/ 3766559 h 6858000"/>
              <a:gd name="connsiteX8382" fmla="*/ 8998516 w 12192000"/>
              <a:gd name="connsiteY8382" fmla="*/ 3736907 h 6858000"/>
              <a:gd name="connsiteX8383" fmla="*/ 9030720 w 12192000"/>
              <a:gd name="connsiteY8383" fmla="*/ 3766559 h 6858000"/>
              <a:gd name="connsiteX8384" fmla="*/ 8998516 w 12192000"/>
              <a:gd name="connsiteY8384" fmla="*/ 3796211 h 6858000"/>
              <a:gd name="connsiteX8385" fmla="*/ 9077050 w 12192000"/>
              <a:gd name="connsiteY8385" fmla="*/ 3796211 h 6858000"/>
              <a:gd name="connsiteX8386" fmla="*/ 9044834 w 12192000"/>
              <a:gd name="connsiteY8386" fmla="*/ 3766559 h 6858000"/>
              <a:gd name="connsiteX8387" fmla="*/ 9077050 w 12192000"/>
              <a:gd name="connsiteY8387" fmla="*/ 3736907 h 6858000"/>
              <a:gd name="connsiteX8388" fmla="*/ 9109254 w 12192000"/>
              <a:gd name="connsiteY8388" fmla="*/ 3766559 h 6858000"/>
              <a:gd name="connsiteX8389" fmla="*/ 9077050 w 12192000"/>
              <a:gd name="connsiteY8389" fmla="*/ 3796211 h 6858000"/>
              <a:gd name="connsiteX8390" fmla="*/ 9155583 w 12192000"/>
              <a:gd name="connsiteY8390" fmla="*/ 3796211 h 6858000"/>
              <a:gd name="connsiteX8391" fmla="*/ 9123367 w 12192000"/>
              <a:gd name="connsiteY8391" fmla="*/ 3766559 h 6858000"/>
              <a:gd name="connsiteX8392" fmla="*/ 9155583 w 12192000"/>
              <a:gd name="connsiteY8392" fmla="*/ 3736907 h 6858000"/>
              <a:gd name="connsiteX8393" fmla="*/ 9187788 w 12192000"/>
              <a:gd name="connsiteY8393" fmla="*/ 3766559 h 6858000"/>
              <a:gd name="connsiteX8394" fmla="*/ 9155583 w 12192000"/>
              <a:gd name="connsiteY8394" fmla="*/ 3796211 h 6858000"/>
              <a:gd name="connsiteX8395" fmla="*/ 9548254 w 12192000"/>
              <a:gd name="connsiteY8395" fmla="*/ 3796211 h 6858000"/>
              <a:gd name="connsiteX8396" fmla="*/ 9516037 w 12192000"/>
              <a:gd name="connsiteY8396" fmla="*/ 3766559 h 6858000"/>
              <a:gd name="connsiteX8397" fmla="*/ 9548254 w 12192000"/>
              <a:gd name="connsiteY8397" fmla="*/ 3736907 h 6858000"/>
              <a:gd name="connsiteX8398" fmla="*/ 9580458 w 12192000"/>
              <a:gd name="connsiteY8398" fmla="*/ 3766559 h 6858000"/>
              <a:gd name="connsiteX8399" fmla="*/ 9548254 w 12192000"/>
              <a:gd name="connsiteY8399" fmla="*/ 3796211 h 6858000"/>
              <a:gd name="connsiteX8400" fmla="*/ 9862389 w 12192000"/>
              <a:gd name="connsiteY8400" fmla="*/ 3796211 h 6858000"/>
              <a:gd name="connsiteX8401" fmla="*/ 9830172 w 12192000"/>
              <a:gd name="connsiteY8401" fmla="*/ 3766559 h 6858000"/>
              <a:gd name="connsiteX8402" fmla="*/ 9862389 w 12192000"/>
              <a:gd name="connsiteY8402" fmla="*/ 3736907 h 6858000"/>
              <a:gd name="connsiteX8403" fmla="*/ 9894593 w 12192000"/>
              <a:gd name="connsiteY8403" fmla="*/ 3766559 h 6858000"/>
              <a:gd name="connsiteX8404" fmla="*/ 9862389 w 12192000"/>
              <a:gd name="connsiteY8404" fmla="*/ 3796211 h 6858000"/>
              <a:gd name="connsiteX8405" fmla="*/ 2558715 w 12192000"/>
              <a:gd name="connsiteY8405" fmla="*/ 3723945 h 6858000"/>
              <a:gd name="connsiteX8406" fmla="*/ 2526505 w 12192000"/>
              <a:gd name="connsiteY8406" fmla="*/ 3694293 h 6858000"/>
              <a:gd name="connsiteX8407" fmla="*/ 2558715 w 12192000"/>
              <a:gd name="connsiteY8407" fmla="*/ 3664641 h 6858000"/>
              <a:gd name="connsiteX8408" fmla="*/ 2590926 w 12192000"/>
              <a:gd name="connsiteY8408" fmla="*/ 3694293 h 6858000"/>
              <a:gd name="connsiteX8409" fmla="*/ 2558715 w 12192000"/>
              <a:gd name="connsiteY8409" fmla="*/ 3723945 h 6858000"/>
              <a:gd name="connsiteX8410" fmla="*/ 2637243 w 12192000"/>
              <a:gd name="connsiteY8410" fmla="*/ 3723945 h 6858000"/>
              <a:gd name="connsiteX8411" fmla="*/ 2605032 w 12192000"/>
              <a:gd name="connsiteY8411" fmla="*/ 3694293 h 6858000"/>
              <a:gd name="connsiteX8412" fmla="*/ 2637243 w 12192000"/>
              <a:gd name="connsiteY8412" fmla="*/ 3664641 h 6858000"/>
              <a:gd name="connsiteX8413" fmla="*/ 2669453 w 12192000"/>
              <a:gd name="connsiteY8413" fmla="*/ 3694293 h 6858000"/>
              <a:gd name="connsiteX8414" fmla="*/ 2637243 w 12192000"/>
              <a:gd name="connsiteY8414" fmla="*/ 3723945 h 6858000"/>
              <a:gd name="connsiteX8415" fmla="*/ 2715777 w 12192000"/>
              <a:gd name="connsiteY8415" fmla="*/ 3723945 h 6858000"/>
              <a:gd name="connsiteX8416" fmla="*/ 2683566 w 12192000"/>
              <a:gd name="connsiteY8416" fmla="*/ 3694293 h 6858000"/>
              <a:gd name="connsiteX8417" fmla="*/ 2715777 w 12192000"/>
              <a:gd name="connsiteY8417" fmla="*/ 3664641 h 6858000"/>
              <a:gd name="connsiteX8418" fmla="*/ 2747987 w 12192000"/>
              <a:gd name="connsiteY8418" fmla="*/ 3694293 h 6858000"/>
              <a:gd name="connsiteX8419" fmla="*/ 2715777 w 12192000"/>
              <a:gd name="connsiteY8419" fmla="*/ 3723945 h 6858000"/>
              <a:gd name="connsiteX8420" fmla="*/ 2794310 w 12192000"/>
              <a:gd name="connsiteY8420" fmla="*/ 3723945 h 6858000"/>
              <a:gd name="connsiteX8421" fmla="*/ 2762100 w 12192000"/>
              <a:gd name="connsiteY8421" fmla="*/ 3694293 h 6858000"/>
              <a:gd name="connsiteX8422" fmla="*/ 2794310 w 12192000"/>
              <a:gd name="connsiteY8422" fmla="*/ 3664641 h 6858000"/>
              <a:gd name="connsiteX8423" fmla="*/ 2826520 w 12192000"/>
              <a:gd name="connsiteY8423" fmla="*/ 3694293 h 6858000"/>
              <a:gd name="connsiteX8424" fmla="*/ 2794310 w 12192000"/>
              <a:gd name="connsiteY8424" fmla="*/ 3723945 h 6858000"/>
              <a:gd name="connsiteX8425" fmla="*/ 2872844 w 12192000"/>
              <a:gd name="connsiteY8425" fmla="*/ 3723945 h 6858000"/>
              <a:gd name="connsiteX8426" fmla="*/ 2840634 w 12192000"/>
              <a:gd name="connsiteY8426" fmla="*/ 3694293 h 6858000"/>
              <a:gd name="connsiteX8427" fmla="*/ 2872844 w 12192000"/>
              <a:gd name="connsiteY8427" fmla="*/ 3664641 h 6858000"/>
              <a:gd name="connsiteX8428" fmla="*/ 2905055 w 12192000"/>
              <a:gd name="connsiteY8428" fmla="*/ 3694293 h 6858000"/>
              <a:gd name="connsiteX8429" fmla="*/ 2872844 w 12192000"/>
              <a:gd name="connsiteY8429" fmla="*/ 3723945 h 6858000"/>
              <a:gd name="connsiteX8430" fmla="*/ 2951379 w 12192000"/>
              <a:gd name="connsiteY8430" fmla="*/ 3723945 h 6858000"/>
              <a:gd name="connsiteX8431" fmla="*/ 2919168 w 12192000"/>
              <a:gd name="connsiteY8431" fmla="*/ 3694293 h 6858000"/>
              <a:gd name="connsiteX8432" fmla="*/ 2951379 w 12192000"/>
              <a:gd name="connsiteY8432" fmla="*/ 3664641 h 6858000"/>
              <a:gd name="connsiteX8433" fmla="*/ 2983589 w 12192000"/>
              <a:gd name="connsiteY8433" fmla="*/ 3694293 h 6858000"/>
              <a:gd name="connsiteX8434" fmla="*/ 2951379 w 12192000"/>
              <a:gd name="connsiteY8434" fmla="*/ 3723945 h 6858000"/>
              <a:gd name="connsiteX8435" fmla="*/ 3029912 w 12192000"/>
              <a:gd name="connsiteY8435" fmla="*/ 3723945 h 6858000"/>
              <a:gd name="connsiteX8436" fmla="*/ 2997701 w 12192000"/>
              <a:gd name="connsiteY8436" fmla="*/ 3694293 h 6858000"/>
              <a:gd name="connsiteX8437" fmla="*/ 3029912 w 12192000"/>
              <a:gd name="connsiteY8437" fmla="*/ 3664641 h 6858000"/>
              <a:gd name="connsiteX8438" fmla="*/ 3062122 w 12192000"/>
              <a:gd name="connsiteY8438" fmla="*/ 3694293 h 6858000"/>
              <a:gd name="connsiteX8439" fmla="*/ 3029912 w 12192000"/>
              <a:gd name="connsiteY8439" fmla="*/ 3723945 h 6858000"/>
              <a:gd name="connsiteX8440" fmla="*/ 3108446 w 12192000"/>
              <a:gd name="connsiteY8440" fmla="*/ 3723945 h 6858000"/>
              <a:gd name="connsiteX8441" fmla="*/ 3076236 w 12192000"/>
              <a:gd name="connsiteY8441" fmla="*/ 3694293 h 6858000"/>
              <a:gd name="connsiteX8442" fmla="*/ 3108446 w 12192000"/>
              <a:gd name="connsiteY8442" fmla="*/ 3664641 h 6858000"/>
              <a:gd name="connsiteX8443" fmla="*/ 3140656 w 12192000"/>
              <a:gd name="connsiteY8443" fmla="*/ 3694293 h 6858000"/>
              <a:gd name="connsiteX8444" fmla="*/ 3108446 w 12192000"/>
              <a:gd name="connsiteY8444" fmla="*/ 3723945 h 6858000"/>
              <a:gd name="connsiteX8445" fmla="*/ 3186979 w 12192000"/>
              <a:gd name="connsiteY8445" fmla="*/ 3723945 h 6858000"/>
              <a:gd name="connsiteX8446" fmla="*/ 3154769 w 12192000"/>
              <a:gd name="connsiteY8446" fmla="*/ 3694293 h 6858000"/>
              <a:gd name="connsiteX8447" fmla="*/ 3186979 w 12192000"/>
              <a:gd name="connsiteY8447" fmla="*/ 3664641 h 6858000"/>
              <a:gd name="connsiteX8448" fmla="*/ 3219190 w 12192000"/>
              <a:gd name="connsiteY8448" fmla="*/ 3694293 h 6858000"/>
              <a:gd name="connsiteX8449" fmla="*/ 3186979 w 12192000"/>
              <a:gd name="connsiteY8449" fmla="*/ 3723945 h 6858000"/>
              <a:gd name="connsiteX8450" fmla="*/ 3265514 w 12192000"/>
              <a:gd name="connsiteY8450" fmla="*/ 3723945 h 6858000"/>
              <a:gd name="connsiteX8451" fmla="*/ 3233303 w 12192000"/>
              <a:gd name="connsiteY8451" fmla="*/ 3694293 h 6858000"/>
              <a:gd name="connsiteX8452" fmla="*/ 3265514 w 12192000"/>
              <a:gd name="connsiteY8452" fmla="*/ 3664641 h 6858000"/>
              <a:gd name="connsiteX8453" fmla="*/ 3297724 w 12192000"/>
              <a:gd name="connsiteY8453" fmla="*/ 3694293 h 6858000"/>
              <a:gd name="connsiteX8454" fmla="*/ 3265514 w 12192000"/>
              <a:gd name="connsiteY8454" fmla="*/ 3723945 h 6858000"/>
              <a:gd name="connsiteX8455" fmla="*/ 3344048 w 12192000"/>
              <a:gd name="connsiteY8455" fmla="*/ 3723945 h 6858000"/>
              <a:gd name="connsiteX8456" fmla="*/ 3311837 w 12192000"/>
              <a:gd name="connsiteY8456" fmla="*/ 3694293 h 6858000"/>
              <a:gd name="connsiteX8457" fmla="*/ 3344048 w 12192000"/>
              <a:gd name="connsiteY8457" fmla="*/ 3664641 h 6858000"/>
              <a:gd name="connsiteX8458" fmla="*/ 3376258 w 12192000"/>
              <a:gd name="connsiteY8458" fmla="*/ 3694293 h 6858000"/>
              <a:gd name="connsiteX8459" fmla="*/ 3344048 w 12192000"/>
              <a:gd name="connsiteY8459" fmla="*/ 3723945 h 6858000"/>
              <a:gd name="connsiteX8460" fmla="*/ 3422581 w 12192000"/>
              <a:gd name="connsiteY8460" fmla="*/ 3723945 h 6858000"/>
              <a:gd name="connsiteX8461" fmla="*/ 3390371 w 12192000"/>
              <a:gd name="connsiteY8461" fmla="*/ 3694293 h 6858000"/>
              <a:gd name="connsiteX8462" fmla="*/ 3422581 w 12192000"/>
              <a:gd name="connsiteY8462" fmla="*/ 3664641 h 6858000"/>
              <a:gd name="connsiteX8463" fmla="*/ 3454791 w 12192000"/>
              <a:gd name="connsiteY8463" fmla="*/ 3694293 h 6858000"/>
              <a:gd name="connsiteX8464" fmla="*/ 3422581 w 12192000"/>
              <a:gd name="connsiteY8464" fmla="*/ 3723945 h 6858000"/>
              <a:gd name="connsiteX8465" fmla="*/ 3501115 w 12192000"/>
              <a:gd name="connsiteY8465" fmla="*/ 3723945 h 6858000"/>
              <a:gd name="connsiteX8466" fmla="*/ 3468905 w 12192000"/>
              <a:gd name="connsiteY8466" fmla="*/ 3694293 h 6858000"/>
              <a:gd name="connsiteX8467" fmla="*/ 3501115 w 12192000"/>
              <a:gd name="connsiteY8467" fmla="*/ 3664641 h 6858000"/>
              <a:gd name="connsiteX8468" fmla="*/ 3533326 w 12192000"/>
              <a:gd name="connsiteY8468" fmla="*/ 3694293 h 6858000"/>
              <a:gd name="connsiteX8469" fmla="*/ 3501115 w 12192000"/>
              <a:gd name="connsiteY8469" fmla="*/ 3723945 h 6858000"/>
              <a:gd name="connsiteX8470" fmla="*/ 3579650 w 12192000"/>
              <a:gd name="connsiteY8470" fmla="*/ 3723945 h 6858000"/>
              <a:gd name="connsiteX8471" fmla="*/ 3547439 w 12192000"/>
              <a:gd name="connsiteY8471" fmla="*/ 3694293 h 6858000"/>
              <a:gd name="connsiteX8472" fmla="*/ 3579650 w 12192000"/>
              <a:gd name="connsiteY8472" fmla="*/ 3664641 h 6858000"/>
              <a:gd name="connsiteX8473" fmla="*/ 3611860 w 12192000"/>
              <a:gd name="connsiteY8473" fmla="*/ 3694293 h 6858000"/>
              <a:gd name="connsiteX8474" fmla="*/ 3579650 w 12192000"/>
              <a:gd name="connsiteY8474" fmla="*/ 3723945 h 6858000"/>
              <a:gd name="connsiteX8475" fmla="*/ 3658183 w 12192000"/>
              <a:gd name="connsiteY8475" fmla="*/ 3723945 h 6858000"/>
              <a:gd name="connsiteX8476" fmla="*/ 3625972 w 12192000"/>
              <a:gd name="connsiteY8476" fmla="*/ 3694293 h 6858000"/>
              <a:gd name="connsiteX8477" fmla="*/ 3658183 w 12192000"/>
              <a:gd name="connsiteY8477" fmla="*/ 3664641 h 6858000"/>
              <a:gd name="connsiteX8478" fmla="*/ 3690393 w 12192000"/>
              <a:gd name="connsiteY8478" fmla="*/ 3694293 h 6858000"/>
              <a:gd name="connsiteX8479" fmla="*/ 3658183 w 12192000"/>
              <a:gd name="connsiteY8479" fmla="*/ 3723945 h 6858000"/>
              <a:gd name="connsiteX8480" fmla="*/ 3736717 w 12192000"/>
              <a:gd name="connsiteY8480" fmla="*/ 3723945 h 6858000"/>
              <a:gd name="connsiteX8481" fmla="*/ 3704507 w 12192000"/>
              <a:gd name="connsiteY8481" fmla="*/ 3694293 h 6858000"/>
              <a:gd name="connsiteX8482" fmla="*/ 3736717 w 12192000"/>
              <a:gd name="connsiteY8482" fmla="*/ 3664641 h 6858000"/>
              <a:gd name="connsiteX8483" fmla="*/ 3768927 w 12192000"/>
              <a:gd name="connsiteY8483" fmla="*/ 3694293 h 6858000"/>
              <a:gd name="connsiteX8484" fmla="*/ 3736717 w 12192000"/>
              <a:gd name="connsiteY8484" fmla="*/ 3723945 h 6858000"/>
              <a:gd name="connsiteX8485" fmla="*/ 3815250 w 12192000"/>
              <a:gd name="connsiteY8485" fmla="*/ 3723945 h 6858000"/>
              <a:gd name="connsiteX8486" fmla="*/ 3783040 w 12192000"/>
              <a:gd name="connsiteY8486" fmla="*/ 3694293 h 6858000"/>
              <a:gd name="connsiteX8487" fmla="*/ 3815250 w 12192000"/>
              <a:gd name="connsiteY8487" fmla="*/ 3664641 h 6858000"/>
              <a:gd name="connsiteX8488" fmla="*/ 3847461 w 12192000"/>
              <a:gd name="connsiteY8488" fmla="*/ 3694293 h 6858000"/>
              <a:gd name="connsiteX8489" fmla="*/ 3815250 w 12192000"/>
              <a:gd name="connsiteY8489" fmla="*/ 3723945 h 6858000"/>
              <a:gd name="connsiteX8490" fmla="*/ 5700069 w 12192000"/>
              <a:gd name="connsiteY8490" fmla="*/ 3723945 h 6858000"/>
              <a:gd name="connsiteX8491" fmla="*/ 5667859 w 12192000"/>
              <a:gd name="connsiteY8491" fmla="*/ 3694293 h 6858000"/>
              <a:gd name="connsiteX8492" fmla="*/ 5700069 w 12192000"/>
              <a:gd name="connsiteY8492" fmla="*/ 3664641 h 6858000"/>
              <a:gd name="connsiteX8493" fmla="*/ 5732280 w 12192000"/>
              <a:gd name="connsiteY8493" fmla="*/ 3694293 h 6858000"/>
              <a:gd name="connsiteX8494" fmla="*/ 5700069 w 12192000"/>
              <a:gd name="connsiteY8494" fmla="*/ 3723945 h 6858000"/>
              <a:gd name="connsiteX8495" fmla="*/ 5778604 w 12192000"/>
              <a:gd name="connsiteY8495" fmla="*/ 3723945 h 6858000"/>
              <a:gd name="connsiteX8496" fmla="*/ 5746393 w 12192000"/>
              <a:gd name="connsiteY8496" fmla="*/ 3694293 h 6858000"/>
              <a:gd name="connsiteX8497" fmla="*/ 5778604 w 12192000"/>
              <a:gd name="connsiteY8497" fmla="*/ 3664641 h 6858000"/>
              <a:gd name="connsiteX8498" fmla="*/ 5810814 w 12192000"/>
              <a:gd name="connsiteY8498" fmla="*/ 3694293 h 6858000"/>
              <a:gd name="connsiteX8499" fmla="*/ 5778604 w 12192000"/>
              <a:gd name="connsiteY8499" fmla="*/ 3723945 h 6858000"/>
              <a:gd name="connsiteX8500" fmla="*/ 5857137 w 12192000"/>
              <a:gd name="connsiteY8500" fmla="*/ 3723945 h 6858000"/>
              <a:gd name="connsiteX8501" fmla="*/ 5824927 w 12192000"/>
              <a:gd name="connsiteY8501" fmla="*/ 3694293 h 6858000"/>
              <a:gd name="connsiteX8502" fmla="*/ 5857137 w 12192000"/>
              <a:gd name="connsiteY8502" fmla="*/ 3664641 h 6858000"/>
              <a:gd name="connsiteX8503" fmla="*/ 5889347 w 12192000"/>
              <a:gd name="connsiteY8503" fmla="*/ 3694293 h 6858000"/>
              <a:gd name="connsiteX8504" fmla="*/ 5857137 w 12192000"/>
              <a:gd name="connsiteY8504" fmla="*/ 3723945 h 6858000"/>
              <a:gd name="connsiteX8505" fmla="*/ 6406875 w 12192000"/>
              <a:gd name="connsiteY8505" fmla="*/ 3723945 h 6858000"/>
              <a:gd name="connsiteX8506" fmla="*/ 6374658 w 12192000"/>
              <a:gd name="connsiteY8506" fmla="*/ 3694293 h 6858000"/>
              <a:gd name="connsiteX8507" fmla="*/ 6406875 w 12192000"/>
              <a:gd name="connsiteY8507" fmla="*/ 3664641 h 6858000"/>
              <a:gd name="connsiteX8508" fmla="*/ 6439079 w 12192000"/>
              <a:gd name="connsiteY8508" fmla="*/ 3694293 h 6858000"/>
              <a:gd name="connsiteX8509" fmla="*/ 6406875 w 12192000"/>
              <a:gd name="connsiteY8509" fmla="*/ 3723945 h 6858000"/>
              <a:gd name="connsiteX8510" fmla="*/ 6563942 w 12192000"/>
              <a:gd name="connsiteY8510" fmla="*/ 3723945 h 6858000"/>
              <a:gd name="connsiteX8511" fmla="*/ 6531726 w 12192000"/>
              <a:gd name="connsiteY8511" fmla="*/ 3694293 h 6858000"/>
              <a:gd name="connsiteX8512" fmla="*/ 6563942 w 12192000"/>
              <a:gd name="connsiteY8512" fmla="*/ 3664641 h 6858000"/>
              <a:gd name="connsiteX8513" fmla="*/ 6596146 w 12192000"/>
              <a:gd name="connsiteY8513" fmla="*/ 3694293 h 6858000"/>
              <a:gd name="connsiteX8514" fmla="*/ 6563942 w 12192000"/>
              <a:gd name="connsiteY8514" fmla="*/ 3723945 h 6858000"/>
              <a:gd name="connsiteX8515" fmla="*/ 6721010 w 12192000"/>
              <a:gd name="connsiteY8515" fmla="*/ 3723945 h 6858000"/>
              <a:gd name="connsiteX8516" fmla="*/ 6688793 w 12192000"/>
              <a:gd name="connsiteY8516" fmla="*/ 3694293 h 6858000"/>
              <a:gd name="connsiteX8517" fmla="*/ 6721010 w 12192000"/>
              <a:gd name="connsiteY8517" fmla="*/ 3664641 h 6858000"/>
              <a:gd name="connsiteX8518" fmla="*/ 6753214 w 12192000"/>
              <a:gd name="connsiteY8518" fmla="*/ 3694293 h 6858000"/>
              <a:gd name="connsiteX8519" fmla="*/ 6721010 w 12192000"/>
              <a:gd name="connsiteY8519" fmla="*/ 3723945 h 6858000"/>
              <a:gd name="connsiteX8520" fmla="*/ 6799544 w 12192000"/>
              <a:gd name="connsiteY8520" fmla="*/ 3723945 h 6858000"/>
              <a:gd name="connsiteX8521" fmla="*/ 6767327 w 12192000"/>
              <a:gd name="connsiteY8521" fmla="*/ 3694293 h 6858000"/>
              <a:gd name="connsiteX8522" fmla="*/ 6799544 w 12192000"/>
              <a:gd name="connsiteY8522" fmla="*/ 3664641 h 6858000"/>
              <a:gd name="connsiteX8523" fmla="*/ 6831748 w 12192000"/>
              <a:gd name="connsiteY8523" fmla="*/ 3694293 h 6858000"/>
              <a:gd name="connsiteX8524" fmla="*/ 6799544 w 12192000"/>
              <a:gd name="connsiteY8524" fmla="*/ 3723945 h 6858000"/>
              <a:gd name="connsiteX8525" fmla="*/ 6878077 w 12192000"/>
              <a:gd name="connsiteY8525" fmla="*/ 3723945 h 6858000"/>
              <a:gd name="connsiteX8526" fmla="*/ 6845861 w 12192000"/>
              <a:gd name="connsiteY8526" fmla="*/ 3694293 h 6858000"/>
              <a:gd name="connsiteX8527" fmla="*/ 6878077 w 12192000"/>
              <a:gd name="connsiteY8527" fmla="*/ 3664641 h 6858000"/>
              <a:gd name="connsiteX8528" fmla="*/ 6910281 w 12192000"/>
              <a:gd name="connsiteY8528" fmla="*/ 3694293 h 6858000"/>
              <a:gd name="connsiteX8529" fmla="*/ 6878077 w 12192000"/>
              <a:gd name="connsiteY8529" fmla="*/ 3723945 h 6858000"/>
              <a:gd name="connsiteX8530" fmla="*/ 6956611 w 12192000"/>
              <a:gd name="connsiteY8530" fmla="*/ 3723945 h 6858000"/>
              <a:gd name="connsiteX8531" fmla="*/ 6924395 w 12192000"/>
              <a:gd name="connsiteY8531" fmla="*/ 3694293 h 6858000"/>
              <a:gd name="connsiteX8532" fmla="*/ 6956611 w 12192000"/>
              <a:gd name="connsiteY8532" fmla="*/ 3664641 h 6858000"/>
              <a:gd name="connsiteX8533" fmla="*/ 6988816 w 12192000"/>
              <a:gd name="connsiteY8533" fmla="*/ 3694293 h 6858000"/>
              <a:gd name="connsiteX8534" fmla="*/ 6956611 w 12192000"/>
              <a:gd name="connsiteY8534" fmla="*/ 3723945 h 6858000"/>
              <a:gd name="connsiteX8535" fmla="*/ 7035146 w 12192000"/>
              <a:gd name="connsiteY8535" fmla="*/ 3723945 h 6858000"/>
              <a:gd name="connsiteX8536" fmla="*/ 7002929 w 12192000"/>
              <a:gd name="connsiteY8536" fmla="*/ 3694293 h 6858000"/>
              <a:gd name="connsiteX8537" fmla="*/ 7035146 w 12192000"/>
              <a:gd name="connsiteY8537" fmla="*/ 3664641 h 6858000"/>
              <a:gd name="connsiteX8538" fmla="*/ 7067350 w 12192000"/>
              <a:gd name="connsiteY8538" fmla="*/ 3694293 h 6858000"/>
              <a:gd name="connsiteX8539" fmla="*/ 7035146 w 12192000"/>
              <a:gd name="connsiteY8539" fmla="*/ 3723945 h 6858000"/>
              <a:gd name="connsiteX8540" fmla="*/ 7113703 w 12192000"/>
              <a:gd name="connsiteY8540" fmla="*/ 3723945 h 6858000"/>
              <a:gd name="connsiteX8541" fmla="*/ 7081487 w 12192000"/>
              <a:gd name="connsiteY8541" fmla="*/ 3694293 h 6858000"/>
              <a:gd name="connsiteX8542" fmla="*/ 7113703 w 12192000"/>
              <a:gd name="connsiteY8542" fmla="*/ 3664641 h 6858000"/>
              <a:gd name="connsiteX8543" fmla="*/ 7145907 w 12192000"/>
              <a:gd name="connsiteY8543" fmla="*/ 3694293 h 6858000"/>
              <a:gd name="connsiteX8544" fmla="*/ 7113703 w 12192000"/>
              <a:gd name="connsiteY8544" fmla="*/ 3723945 h 6858000"/>
              <a:gd name="connsiteX8545" fmla="*/ 7192237 w 12192000"/>
              <a:gd name="connsiteY8545" fmla="*/ 3723945 h 6858000"/>
              <a:gd name="connsiteX8546" fmla="*/ 7160021 w 12192000"/>
              <a:gd name="connsiteY8546" fmla="*/ 3694293 h 6858000"/>
              <a:gd name="connsiteX8547" fmla="*/ 7192237 w 12192000"/>
              <a:gd name="connsiteY8547" fmla="*/ 3664641 h 6858000"/>
              <a:gd name="connsiteX8548" fmla="*/ 7224441 w 12192000"/>
              <a:gd name="connsiteY8548" fmla="*/ 3694293 h 6858000"/>
              <a:gd name="connsiteX8549" fmla="*/ 7192237 w 12192000"/>
              <a:gd name="connsiteY8549" fmla="*/ 3723945 h 6858000"/>
              <a:gd name="connsiteX8550" fmla="*/ 7506373 w 12192000"/>
              <a:gd name="connsiteY8550" fmla="*/ 3723945 h 6858000"/>
              <a:gd name="connsiteX8551" fmla="*/ 7474157 w 12192000"/>
              <a:gd name="connsiteY8551" fmla="*/ 3694293 h 6858000"/>
              <a:gd name="connsiteX8552" fmla="*/ 7506373 w 12192000"/>
              <a:gd name="connsiteY8552" fmla="*/ 3664641 h 6858000"/>
              <a:gd name="connsiteX8553" fmla="*/ 7538577 w 12192000"/>
              <a:gd name="connsiteY8553" fmla="*/ 3694293 h 6858000"/>
              <a:gd name="connsiteX8554" fmla="*/ 7506373 w 12192000"/>
              <a:gd name="connsiteY8554" fmla="*/ 3723945 h 6858000"/>
              <a:gd name="connsiteX8555" fmla="*/ 7584906 w 12192000"/>
              <a:gd name="connsiteY8555" fmla="*/ 3723945 h 6858000"/>
              <a:gd name="connsiteX8556" fmla="*/ 7552690 w 12192000"/>
              <a:gd name="connsiteY8556" fmla="*/ 3694293 h 6858000"/>
              <a:gd name="connsiteX8557" fmla="*/ 7584906 w 12192000"/>
              <a:gd name="connsiteY8557" fmla="*/ 3664641 h 6858000"/>
              <a:gd name="connsiteX8558" fmla="*/ 7617111 w 12192000"/>
              <a:gd name="connsiteY8558" fmla="*/ 3694293 h 6858000"/>
              <a:gd name="connsiteX8559" fmla="*/ 7584906 w 12192000"/>
              <a:gd name="connsiteY8559" fmla="*/ 3723945 h 6858000"/>
              <a:gd name="connsiteX8560" fmla="*/ 7663441 w 12192000"/>
              <a:gd name="connsiteY8560" fmla="*/ 3723945 h 6858000"/>
              <a:gd name="connsiteX8561" fmla="*/ 7631224 w 12192000"/>
              <a:gd name="connsiteY8561" fmla="*/ 3694293 h 6858000"/>
              <a:gd name="connsiteX8562" fmla="*/ 7663441 w 12192000"/>
              <a:gd name="connsiteY8562" fmla="*/ 3664641 h 6858000"/>
              <a:gd name="connsiteX8563" fmla="*/ 7695645 w 12192000"/>
              <a:gd name="connsiteY8563" fmla="*/ 3694293 h 6858000"/>
              <a:gd name="connsiteX8564" fmla="*/ 7663441 w 12192000"/>
              <a:gd name="connsiteY8564" fmla="*/ 3723945 h 6858000"/>
              <a:gd name="connsiteX8565" fmla="*/ 7742941 w 12192000"/>
              <a:gd name="connsiteY8565" fmla="*/ 3723945 h 6858000"/>
              <a:gd name="connsiteX8566" fmla="*/ 7710725 w 12192000"/>
              <a:gd name="connsiteY8566" fmla="*/ 3694293 h 6858000"/>
              <a:gd name="connsiteX8567" fmla="*/ 7742941 w 12192000"/>
              <a:gd name="connsiteY8567" fmla="*/ 3664641 h 6858000"/>
              <a:gd name="connsiteX8568" fmla="*/ 7775145 w 12192000"/>
              <a:gd name="connsiteY8568" fmla="*/ 3694293 h 6858000"/>
              <a:gd name="connsiteX8569" fmla="*/ 7742941 w 12192000"/>
              <a:gd name="connsiteY8569" fmla="*/ 3723945 h 6858000"/>
              <a:gd name="connsiteX8570" fmla="*/ 7821474 w 12192000"/>
              <a:gd name="connsiteY8570" fmla="*/ 3723945 h 6858000"/>
              <a:gd name="connsiteX8571" fmla="*/ 7789258 w 12192000"/>
              <a:gd name="connsiteY8571" fmla="*/ 3694293 h 6858000"/>
              <a:gd name="connsiteX8572" fmla="*/ 7821474 w 12192000"/>
              <a:gd name="connsiteY8572" fmla="*/ 3664641 h 6858000"/>
              <a:gd name="connsiteX8573" fmla="*/ 7853679 w 12192000"/>
              <a:gd name="connsiteY8573" fmla="*/ 3694293 h 6858000"/>
              <a:gd name="connsiteX8574" fmla="*/ 7821474 w 12192000"/>
              <a:gd name="connsiteY8574" fmla="*/ 3723945 h 6858000"/>
              <a:gd name="connsiteX8575" fmla="*/ 7898498 w 12192000"/>
              <a:gd name="connsiteY8575" fmla="*/ 3723945 h 6858000"/>
              <a:gd name="connsiteX8576" fmla="*/ 7866282 w 12192000"/>
              <a:gd name="connsiteY8576" fmla="*/ 3694293 h 6858000"/>
              <a:gd name="connsiteX8577" fmla="*/ 7898498 w 12192000"/>
              <a:gd name="connsiteY8577" fmla="*/ 3664641 h 6858000"/>
              <a:gd name="connsiteX8578" fmla="*/ 7930703 w 12192000"/>
              <a:gd name="connsiteY8578" fmla="*/ 3694293 h 6858000"/>
              <a:gd name="connsiteX8579" fmla="*/ 7898498 w 12192000"/>
              <a:gd name="connsiteY8579" fmla="*/ 3723945 h 6858000"/>
              <a:gd name="connsiteX8580" fmla="*/ 7977033 w 12192000"/>
              <a:gd name="connsiteY8580" fmla="*/ 3723945 h 6858000"/>
              <a:gd name="connsiteX8581" fmla="*/ 7944816 w 12192000"/>
              <a:gd name="connsiteY8581" fmla="*/ 3694293 h 6858000"/>
              <a:gd name="connsiteX8582" fmla="*/ 7977033 w 12192000"/>
              <a:gd name="connsiteY8582" fmla="*/ 3664641 h 6858000"/>
              <a:gd name="connsiteX8583" fmla="*/ 8009237 w 12192000"/>
              <a:gd name="connsiteY8583" fmla="*/ 3694293 h 6858000"/>
              <a:gd name="connsiteX8584" fmla="*/ 7977033 w 12192000"/>
              <a:gd name="connsiteY8584" fmla="*/ 3723945 h 6858000"/>
              <a:gd name="connsiteX8585" fmla="*/ 8055566 w 12192000"/>
              <a:gd name="connsiteY8585" fmla="*/ 3723945 h 6858000"/>
              <a:gd name="connsiteX8586" fmla="*/ 8023349 w 12192000"/>
              <a:gd name="connsiteY8586" fmla="*/ 3694293 h 6858000"/>
              <a:gd name="connsiteX8587" fmla="*/ 8055566 w 12192000"/>
              <a:gd name="connsiteY8587" fmla="*/ 3664641 h 6858000"/>
              <a:gd name="connsiteX8588" fmla="*/ 8087770 w 12192000"/>
              <a:gd name="connsiteY8588" fmla="*/ 3694293 h 6858000"/>
              <a:gd name="connsiteX8589" fmla="*/ 8055566 w 12192000"/>
              <a:gd name="connsiteY8589" fmla="*/ 3723945 h 6858000"/>
              <a:gd name="connsiteX8590" fmla="*/ 8135127 w 12192000"/>
              <a:gd name="connsiteY8590" fmla="*/ 3723945 h 6858000"/>
              <a:gd name="connsiteX8591" fmla="*/ 8102911 w 12192000"/>
              <a:gd name="connsiteY8591" fmla="*/ 3694293 h 6858000"/>
              <a:gd name="connsiteX8592" fmla="*/ 8135127 w 12192000"/>
              <a:gd name="connsiteY8592" fmla="*/ 3664641 h 6858000"/>
              <a:gd name="connsiteX8593" fmla="*/ 8167332 w 12192000"/>
              <a:gd name="connsiteY8593" fmla="*/ 3694293 h 6858000"/>
              <a:gd name="connsiteX8594" fmla="*/ 8135127 w 12192000"/>
              <a:gd name="connsiteY8594" fmla="*/ 3723945 h 6858000"/>
              <a:gd name="connsiteX8595" fmla="*/ 8213660 w 12192000"/>
              <a:gd name="connsiteY8595" fmla="*/ 3723945 h 6858000"/>
              <a:gd name="connsiteX8596" fmla="*/ 8181444 w 12192000"/>
              <a:gd name="connsiteY8596" fmla="*/ 3694293 h 6858000"/>
              <a:gd name="connsiteX8597" fmla="*/ 8213660 w 12192000"/>
              <a:gd name="connsiteY8597" fmla="*/ 3664641 h 6858000"/>
              <a:gd name="connsiteX8598" fmla="*/ 8245865 w 12192000"/>
              <a:gd name="connsiteY8598" fmla="*/ 3694293 h 6858000"/>
              <a:gd name="connsiteX8599" fmla="*/ 8213660 w 12192000"/>
              <a:gd name="connsiteY8599" fmla="*/ 3723945 h 6858000"/>
              <a:gd name="connsiteX8600" fmla="*/ 8291712 w 12192000"/>
              <a:gd name="connsiteY8600" fmla="*/ 3723945 h 6858000"/>
              <a:gd name="connsiteX8601" fmla="*/ 8259495 w 12192000"/>
              <a:gd name="connsiteY8601" fmla="*/ 3694293 h 6858000"/>
              <a:gd name="connsiteX8602" fmla="*/ 8291712 w 12192000"/>
              <a:gd name="connsiteY8602" fmla="*/ 3664641 h 6858000"/>
              <a:gd name="connsiteX8603" fmla="*/ 8323916 w 12192000"/>
              <a:gd name="connsiteY8603" fmla="*/ 3694293 h 6858000"/>
              <a:gd name="connsiteX8604" fmla="*/ 8291712 w 12192000"/>
              <a:gd name="connsiteY8604" fmla="*/ 3723945 h 6858000"/>
              <a:gd name="connsiteX8605" fmla="*/ 8370245 w 12192000"/>
              <a:gd name="connsiteY8605" fmla="*/ 3723945 h 6858000"/>
              <a:gd name="connsiteX8606" fmla="*/ 8338029 w 12192000"/>
              <a:gd name="connsiteY8606" fmla="*/ 3694293 h 6858000"/>
              <a:gd name="connsiteX8607" fmla="*/ 8370245 w 12192000"/>
              <a:gd name="connsiteY8607" fmla="*/ 3664641 h 6858000"/>
              <a:gd name="connsiteX8608" fmla="*/ 8402449 w 12192000"/>
              <a:gd name="connsiteY8608" fmla="*/ 3694293 h 6858000"/>
              <a:gd name="connsiteX8609" fmla="*/ 8370245 w 12192000"/>
              <a:gd name="connsiteY8609" fmla="*/ 3723945 h 6858000"/>
              <a:gd name="connsiteX8610" fmla="*/ 8448779 w 12192000"/>
              <a:gd name="connsiteY8610" fmla="*/ 3723945 h 6858000"/>
              <a:gd name="connsiteX8611" fmla="*/ 8416563 w 12192000"/>
              <a:gd name="connsiteY8611" fmla="*/ 3694293 h 6858000"/>
              <a:gd name="connsiteX8612" fmla="*/ 8448779 w 12192000"/>
              <a:gd name="connsiteY8612" fmla="*/ 3664641 h 6858000"/>
              <a:gd name="connsiteX8613" fmla="*/ 8480983 w 12192000"/>
              <a:gd name="connsiteY8613" fmla="*/ 3694293 h 6858000"/>
              <a:gd name="connsiteX8614" fmla="*/ 8448779 w 12192000"/>
              <a:gd name="connsiteY8614" fmla="*/ 3723945 h 6858000"/>
              <a:gd name="connsiteX8615" fmla="*/ 8527313 w 12192000"/>
              <a:gd name="connsiteY8615" fmla="*/ 3723945 h 6858000"/>
              <a:gd name="connsiteX8616" fmla="*/ 8495097 w 12192000"/>
              <a:gd name="connsiteY8616" fmla="*/ 3694293 h 6858000"/>
              <a:gd name="connsiteX8617" fmla="*/ 8527313 w 12192000"/>
              <a:gd name="connsiteY8617" fmla="*/ 3664641 h 6858000"/>
              <a:gd name="connsiteX8618" fmla="*/ 8559518 w 12192000"/>
              <a:gd name="connsiteY8618" fmla="*/ 3694293 h 6858000"/>
              <a:gd name="connsiteX8619" fmla="*/ 8527313 w 12192000"/>
              <a:gd name="connsiteY8619" fmla="*/ 3723945 h 6858000"/>
              <a:gd name="connsiteX8620" fmla="*/ 8605847 w 12192000"/>
              <a:gd name="connsiteY8620" fmla="*/ 3723945 h 6858000"/>
              <a:gd name="connsiteX8621" fmla="*/ 8573630 w 12192000"/>
              <a:gd name="connsiteY8621" fmla="*/ 3694293 h 6858000"/>
              <a:gd name="connsiteX8622" fmla="*/ 8605847 w 12192000"/>
              <a:gd name="connsiteY8622" fmla="*/ 3664641 h 6858000"/>
              <a:gd name="connsiteX8623" fmla="*/ 8638051 w 12192000"/>
              <a:gd name="connsiteY8623" fmla="*/ 3694293 h 6858000"/>
              <a:gd name="connsiteX8624" fmla="*/ 8605847 w 12192000"/>
              <a:gd name="connsiteY8624" fmla="*/ 3723945 h 6858000"/>
              <a:gd name="connsiteX8625" fmla="*/ 8684381 w 12192000"/>
              <a:gd name="connsiteY8625" fmla="*/ 3723945 h 6858000"/>
              <a:gd name="connsiteX8626" fmla="*/ 8652165 w 12192000"/>
              <a:gd name="connsiteY8626" fmla="*/ 3694293 h 6858000"/>
              <a:gd name="connsiteX8627" fmla="*/ 8684381 w 12192000"/>
              <a:gd name="connsiteY8627" fmla="*/ 3664641 h 6858000"/>
              <a:gd name="connsiteX8628" fmla="*/ 8716585 w 12192000"/>
              <a:gd name="connsiteY8628" fmla="*/ 3694293 h 6858000"/>
              <a:gd name="connsiteX8629" fmla="*/ 8684381 w 12192000"/>
              <a:gd name="connsiteY8629" fmla="*/ 3723945 h 6858000"/>
              <a:gd name="connsiteX8630" fmla="*/ 8762914 w 12192000"/>
              <a:gd name="connsiteY8630" fmla="*/ 3723945 h 6858000"/>
              <a:gd name="connsiteX8631" fmla="*/ 8730698 w 12192000"/>
              <a:gd name="connsiteY8631" fmla="*/ 3694293 h 6858000"/>
              <a:gd name="connsiteX8632" fmla="*/ 8762914 w 12192000"/>
              <a:gd name="connsiteY8632" fmla="*/ 3664641 h 6858000"/>
              <a:gd name="connsiteX8633" fmla="*/ 8795118 w 12192000"/>
              <a:gd name="connsiteY8633" fmla="*/ 3694293 h 6858000"/>
              <a:gd name="connsiteX8634" fmla="*/ 8762914 w 12192000"/>
              <a:gd name="connsiteY8634" fmla="*/ 3723945 h 6858000"/>
              <a:gd name="connsiteX8635" fmla="*/ 8841448 w 12192000"/>
              <a:gd name="connsiteY8635" fmla="*/ 3723945 h 6858000"/>
              <a:gd name="connsiteX8636" fmla="*/ 8809232 w 12192000"/>
              <a:gd name="connsiteY8636" fmla="*/ 3694293 h 6858000"/>
              <a:gd name="connsiteX8637" fmla="*/ 8841448 w 12192000"/>
              <a:gd name="connsiteY8637" fmla="*/ 3664641 h 6858000"/>
              <a:gd name="connsiteX8638" fmla="*/ 8873653 w 12192000"/>
              <a:gd name="connsiteY8638" fmla="*/ 3694293 h 6858000"/>
              <a:gd name="connsiteX8639" fmla="*/ 8841448 w 12192000"/>
              <a:gd name="connsiteY8639" fmla="*/ 3723945 h 6858000"/>
              <a:gd name="connsiteX8640" fmla="*/ 8919983 w 12192000"/>
              <a:gd name="connsiteY8640" fmla="*/ 3723945 h 6858000"/>
              <a:gd name="connsiteX8641" fmla="*/ 8887766 w 12192000"/>
              <a:gd name="connsiteY8641" fmla="*/ 3694293 h 6858000"/>
              <a:gd name="connsiteX8642" fmla="*/ 8919983 w 12192000"/>
              <a:gd name="connsiteY8642" fmla="*/ 3664641 h 6858000"/>
              <a:gd name="connsiteX8643" fmla="*/ 8952187 w 12192000"/>
              <a:gd name="connsiteY8643" fmla="*/ 3694293 h 6858000"/>
              <a:gd name="connsiteX8644" fmla="*/ 8919983 w 12192000"/>
              <a:gd name="connsiteY8644" fmla="*/ 3723945 h 6858000"/>
              <a:gd name="connsiteX8645" fmla="*/ 8998516 w 12192000"/>
              <a:gd name="connsiteY8645" fmla="*/ 3723945 h 6858000"/>
              <a:gd name="connsiteX8646" fmla="*/ 8966300 w 12192000"/>
              <a:gd name="connsiteY8646" fmla="*/ 3694293 h 6858000"/>
              <a:gd name="connsiteX8647" fmla="*/ 8998516 w 12192000"/>
              <a:gd name="connsiteY8647" fmla="*/ 3664641 h 6858000"/>
              <a:gd name="connsiteX8648" fmla="*/ 9030720 w 12192000"/>
              <a:gd name="connsiteY8648" fmla="*/ 3694293 h 6858000"/>
              <a:gd name="connsiteX8649" fmla="*/ 8998516 w 12192000"/>
              <a:gd name="connsiteY8649" fmla="*/ 3723945 h 6858000"/>
              <a:gd name="connsiteX8650" fmla="*/ 9077050 w 12192000"/>
              <a:gd name="connsiteY8650" fmla="*/ 3723945 h 6858000"/>
              <a:gd name="connsiteX8651" fmla="*/ 9044834 w 12192000"/>
              <a:gd name="connsiteY8651" fmla="*/ 3694293 h 6858000"/>
              <a:gd name="connsiteX8652" fmla="*/ 9077050 w 12192000"/>
              <a:gd name="connsiteY8652" fmla="*/ 3664641 h 6858000"/>
              <a:gd name="connsiteX8653" fmla="*/ 9109254 w 12192000"/>
              <a:gd name="connsiteY8653" fmla="*/ 3694293 h 6858000"/>
              <a:gd name="connsiteX8654" fmla="*/ 9077050 w 12192000"/>
              <a:gd name="connsiteY8654" fmla="*/ 3723945 h 6858000"/>
              <a:gd name="connsiteX8655" fmla="*/ 9155583 w 12192000"/>
              <a:gd name="connsiteY8655" fmla="*/ 3723945 h 6858000"/>
              <a:gd name="connsiteX8656" fmla="*/ 9123367 w 12192000"/>
              <a:gd name="connsiteY8656" fmla="*/ 3694293 h 6858000"/>
              <a:gd name="connsiteX8657" fmla="*/ 9155583 w 12192000"/>
              <a:gd name="connsiteY8657" fmla="*/ 3664641 h 6858000"/>
              <a:gd name="connsiteX8658" fmla="*/ 9187788 w 12192000"/>
              <a:gd name="connsiteY8658" fmla="*/ 3694293 h 6858000"/>
              <a:gd name="connsiteX8659" fmla="*/ 9155583 w 12192000"/>
              <a:gd name="connsiteY8659" fmla="*/ 3723945 h 6858000"/>
              <a:gd name="connsiteX8660" fmla="*/ 9234118 w 12192000"/>
              <a:gd name="connsiteY8660" fmla="*/ 3723945 h 6858000"/>
              <a:gd name="connsiteX8661" fmla="*/ 9201901 w 12192000"/>
              <a:gd name="connsiteY8661" fmla="*/ 3694293 h 6858000"/>
              <a:gd name="connsiteX8662" fmla="*/ 9234118 w 12192000"/>
              <a:gd name="connsiteY8662" fmla="*/ 3664641 h 6858000"/>
              <a:gd name="connsiteX8663" fmla="*/ 9266322 w 12192000"/>
              <a:gd name="connsiteY8663" fmla="*/ 3694293 h 6858000"/>
              <a:gd name="connsiteX8664" fmla="*/ 9234118 w 12192000"/>
              <a:gd name="connsiteY8664" fmla="*/ 3723945 h 6858000"/>
              <a:gd name="connsiteX8665" fmla="*/ 9312652 w 12192000"/>
              <a:gd name="connsiteY8665" fmla="*/ 3723945 h 6858000"/>
              <a:gd name="connsiteX8666" fmla="*/ 9280436 w 12192000"/>
              <a:gd name="connsiteY8666" fmla="*/ 3694293 h 6858000"/>
              <a:gd name="connsiteX8667" fmla="*/ 9312652 w 12192000"/>
              <a:gd name="connsiteY8667" fmla="*/ 3664641 h 6858000"/>
              <a:gd name="connsiteX8668" fmla="*/ 9344856 w 12192000"/>
              <a:gd name="connsiteY8668" fmla="*/ 3694293 h 6858000"/>
              <a:gd name="connsiteX8669" fmla="*/ 9312652 w 12192000"/>
              <a:gd name="connsiteY8669" fmla="*/ 3723945 h 6858000"/>
              <a:gd name="connsiteX8670" fmla="*/ 9548254 w 12192000"/>
              <a:gd name="connsiteY8670" fmla="*/ 3723945 h 6858000"/>
              <a:gd name="connsiteX8671" fmla="*/ 9516037 w 12192000"/>
              <a:gd name="connsiteY8671" fmla="*/ 3694293 h 6858000"/>
              <a:gd name="connsiteX8672" fmla="*/ 9548254 w 12192000"/>
              <a:gd name="connsiteY8672" fmla="*/ 3664641 h 6858000"/>
              <a:gd name="connsiteX8673" fmla="*/ 9580458 w 12192000"/>
              <a:gd name="connsiteY8673" fmla="*/ 3694293 h 6858000"/>
              <a:gd name="connsiteX8674" fmla="*/ 9548254 w 12192000"/>
              <a:gd name="connsiteY8674" fmla="*/ 3723945 h 6858000"/>
              <a:gd name="connsiteX8675" fmla="*/ 9783854 w 12192000"/>
              <a:gd name="connsiteY8675" fmla="*/ 3723945 h 6858000"/>
              <a:gd name="connsiteX8676" fmla="*/ 9751638 w 12192000"/>
              <a:gd name="connsiteY8676" fmla="*/ 3694293 h 6858000"/>
              <a:gd name="connsiteX8677" fmla="*/ 9783854 w 12192000"/>
              <a:gd name="connsiteY8677" fmla="*/ 3664641 h 6858000"/>
              <a:gd name="connsiteX8678" fmla="*/ 9816059 w 12192000"/>
              <a:gd name="connsiteY8678" fmla="*/ 3694293 h 6858000"/>
              <a:gd name="connsiteX8679" fmla="*/ 9783854 w 12192000"/>
              <a:gd name="connsiteY8679" fmla="*/ 3723945 h 6858000"/>
              <a:gd name="connsiteX8680" fmla="*/ 2637243 w 12192000"/>
              <a:gd name="connsiteY8680" fmla="*/ 3651679 h 6858000"/>
              <a:gd name="connsiteX8681" fmla="*/ 2605032 w 12192000"/>
              <a:gd name="connsiteY8681" fmla="*/ 3622027 h 6858000"/>
              <a:gd name="connsiteX8682" fmla="*/ 2637243 w 12192000"/>
              <a:gd name="connsiteY8682" fmla="*/ 3592375 h 6858000"/>
              <a:gd name="connsiteX8683" fmla="*/ 2669453 w 12192000"/>
              <a:gd name="connsiteY8683" fmla="*/ 3622027 h 6858000"/>
              <a:gd name="connsiteX8684" fmla="*/ 2637243 w 12192000"/>
              <a:gd name="connsiteY8684" fmla="*/ 3651679 h 6858000"/>
              <a:gd name="connsiteX8685" fmla="*/ 2715777 w 12192000"/>
              <a:gd name="connsiteY8685" fmla="*/ 3651679 h 6858000"/>
              <a:gd name="connsiteX8686" fmla="*/ 2683566 w 12192000"/>
              <a:gd name="connsiteY8686" fmla="*/ 3622027 h 6858000"/>
              <a:gd name="connsiteX8687" fmla="*/ 2715777 w 12192000"/>
              <a:gd name="connsiteY8687" fmla="*/ 3592375 h 6858000"/>
              <a:gd name="connsiteX8688" fmla="*/ 2747987 w 12192000"/>
              <a:gd name="connsiteY8688" fmla="*/ 3622027 h 6858000"/>
              <a:gd name="connsiteX8689" fmla="*/ 2715777 w 12192000"/>
              <a:gd name="connsiteY8689" fmla="*/ 3651679 h 6858000"/>
              <a:gd name="connsiteX8690" fmla="*/ 2794310 w 12192000"/>
              <a:gd name="connsiteY8690" fmla="*/ 3651679 h 6858000"/>
              <a:gd name="connsiteX8691" fmla="*/ 2762100 w 12192000"/>
              <a:gd name="connsiteY8691" fmla="*/ 3622027 h 6858000"/>
              <a:gd name="connsiteX8692" fmla="*/ 2794310 w 12192000"/>
              <a:gd name="connsiteY8692" fmla="*/ 3592375 h 6858000"/>
              <a:gd name="connsiteX8693" fmla="*/ 2826520 w 12192000"/>
              <a:gd name="connsiteY8693" fmla="*/ 3622027 h 6858000"/>
              <a:gd name="connsiteX8694" fmla="*/ 2794310 w 12192000"/>
              <a:gd name="connsiteY8694" fmla="*/ 3651679 h 6858000"/>
              <a:gd name="connsiteX8695" fmla="*/ 2872844 w 12192000"/>
              <a:gd name="connsiteY8695" fmla="*/ 3651679 h 6858000"/>
              <a:gd name="connsiteX8696" fmla="*/ 2840634 w 12192000"/>
              <a:gd name="connsiteY8696" fmla="*/ 3622027 h 6858000"/>
              <a:gd name="connsiteX8697" fmla="*/ 2872844 w 12192000"/>
              <a:gd name="connsiteY8697" fmla="*/ 3592375 h 6858000"/>
              <a:gd name="connsiteX8698" fmla="*/ 2905055 w 12192000"/>
              <a:gd name="connsiteY8698" fmla="*/ 3622027 h 6858000"/>
              <a:gd name="connsiteX8699" fmla="*/ 2872844 w 12192000"/>
              <a:gd name="connsiteY8699" fmla="*/ 3651679 h 6858000"/>
              <a:gd name="connsiteX8700" fmla="*/ 2951379 w 12192000"/>
              <a:gd name="connsiteY8700" fmla="*/ 3651679 h 6858000"/>
              <a:gd name="connsiteX8701" fmla="*/ 2919168 w 12192000"/>
              <a:gd name="connsiteY8701" fmla="*/ 3622027 h 6858000"/>
              <a:gd name="connsiteX8702" fmla="*/ 2951379 w 12192000"/>
              <a:gd name="connsiteY8702" fmla="*/ 3592375 h 6858000"/>
              <a:gd name="connsiteX8703" fmla="*/ 2983589 w 12192000"/>
              <a:gd name="connsiteY8703" fmla="*/ 3622027 h 6858000"/>
              <a:gd name="connsiteX8704" fmla="*/ 2951379 w 12192000"/>
              <a:gd name="connsiteY8704" fmla="*/ 3651679 h 6858000"/>
              <a:gd name="connsiteX8705" fmla="*/ 3029912 w 12192000"/>
              <a:gd name="connsiteY8705" fmla="*/ 3651679 h 6858000"/>
              <a:gd name="connsiteX8706" fmla="*/ 2997701 w 12192000"/>
              <a:gd name="connsiteY8706" fmla="*/ 3622027 h 6858000"/>
              <a:gd name="connsiteX8707" fmla="*/ 3029912 w 12192000"/>
              <a:gd name="connsiteY8707" fmla="*/ 3592375 h 6858000"/>
              <a:gd name="connsiteX8708" fmla="*/ 3062122 w 12192000"/>
              <a:gd name="connsiteY8708" fmla="*/ 3622027 h 6858000"/>
              <a:gd name="connsiteX8709" fmla="*/ 3029912 w 12192000"/>
              <a:gd name="connsiteY8709" fmla="*/ 3651679 h 6858000"/>
              <a:gd name="connsiteX8710" fmla="*/ 3108446 w 12192000"/>
              <a:gd name="connsiteY8710" fmla="*/ 3651679 h 6858000"/>
              <a:gd name="connsiteX8711" fmla="*/ 3076236 w 12192000"/>
              <a:gd name="connsiteY8711" fmla="*/ 3622027 h 6858000"/>
              <a:gd name="connsiteX8712" fmla="*/ 3108446 w 12192000"/>
              <a:gd name="connsiteY8712" fmla="*/ 3592375 h 6858000"/>
              <a:gd name="connsiteX8713" fmla="*/ 3140656 w 12192000"/>
              <a:gd name="connsiteY8713" fmla="*/ 3622027 h 6858000"/>
              <a:gd name="connsiteX8714" fmla="*/ 3108446 w 12192000"/>
              <a:gd name="connsiteY8714" fmla="*/ 3651679 h 6858000"/>
              <a:gd name="connsiteX8715" fmla="*/ 3186979 w 12192000"/>
              <a:gd name="connsiteY8715" fmla="*/ 3651679 h 6858000"/>
              <a:gd name="connsiteX8716" fmla="*/ 3154769 w 12192000"/>
              <a:gd name="connsiteY8716" fmla="*/ 3622027 h 6858000"/>
              <a:gd name="connsiteX8717" fmla="*/ 3186979 w 12192000"/>
              <a:gd name="connsiteY8717" fmla="*/ 3592375 h 6858000"/>
              <a:gd name="connsiteX8718" fmla="*/ 3219190 w 12192000"/>
              <a:gd name="connsiteY8718" fmla="*/ 3622027 h 6858000"/>
              <a:gd name="connsiteX8719" fmla="*/ 3186979 w 12192000"/>
              <a:gd name="connsiteY8719" fmla="*/ 3651679 h 6858000"/>
              <a:gd name="connsiteX8720" fmla="*/ 3265514 w 12192000"/>
              <a:gd name="connsiteY8720" fmla="*/ 3651679 h 6858000"/>
              <a:gd name="connsiteX8721" fmla="*/ 3233303 w 12192000"/>
              <a:gd name="connsiteY8721" fmla="*/ 3622027 h 6858000"/>
              <a:gd name="connsiteX8722" fmla="*/ 3265514 w 12192000"/>
              <a:gd name="connsiteY8722" fmla="*/ 3592375 h 6858000"/>
              <a:gd name="connsiteX8723" fmla="*/ 3297724 w 12192000"/>
              <a:gd name="connsiteY8723" fmla="*/ 3622027 h 6858000"/>
              <a:gd name="connsiteX8724" fmla="*/ 3265514 w 12192000"/>
              <a:gd name="connsiteY8724" fmla="*/ 3651679 h 6858000"/>
              <a:gd name="connsiteX8725" fmla="*/ 3344048 w 12192000"/>
              <a:gd name="connsiteY8725" fmla="*/ 3651679 h 6858000"/>
              <a:gd name="connsiteX8726" fmla="*/ 3311837 w 12192000"/>
              <a:gd name="connsiteY8726" fmla="*/ 3622027 h 6858000"/>
              <a:gd name="connsiteX8727" fmla="*/ 3344048 w 12192000"/>
              <a:gd name="connsiteY8727" fmla="*/ 3592375 h 6858000"/>
              <a:gd name="connsiteX8728" fmla="*/ 3376258 w 12192000"/>
              <a:gd name="connsiteY8728" fmla="*/ 3622027 h 6858000"/>
              <a:gd name="connsiteX8729" fmla="*/ 3344048 w 12192000"/>
              <a:gd name="connsiteY8729" fmla="*/ 3651679 h 6858000"/>
              <a:gd name="connsiteX8730" fmla="*/ 3422581 w 12192000"/>
              <a:gd name="connsiteY8730" fmla="*/ 3651679 h 6858000"/>
              <a:gd name="connsiteX8731" fmla="*/ 3390371 w 12192000"/>
              <a:gd name="connsiteY8731" fmla="*/ 3622027 h 6858000"/>
              <a:gd name="connsiteX8732" fmla="*/ 3422581 w 12192000"/>
              <a:gd name="connsiteY8732" fmla="*/ 3592375 h 6858000"/>
              <a:gd name="connsiteX8733" fmla="*/ 3454791 w 12192000"/>
              <a:gd name="connsiteY8733" fmla="*/ 3622027 h 6858000"/>
              <a:gd name="connsiteX8734" fmla="*/ 3422581 w 12192000"/>
              <a:gd name="connsiteY8734" fmla="*/ 3651679 h 6858000"/>
              <a:gd name="connsiteX8735" fmla="*/ 3501115 w 12192000"/>
              <a:gd name="connsiteY8735" fmla="*/ 3651679 h 6858000"/>
              <a:gd name="connsiteX8736" fmla="*/ 3468905 w 12192000"/>
              <a:gd name="connsiteY8736" fmla="*/ 3622027 h 6858000"/>
              <a:gd name="connsiteX8737" fmla="*/ 3501115 w 12192000"/>
              <a:gd name="connsiteY8737" fmla="*/ 3592375 h 6858000"/>
              <a:gd name="connsiteX8738" fmla="*/ 3533326 w 12192000"/>
              <a:gd name="connsiteY8738" fmla="*/ 3622027 h 6858000"/>
              <a:gd name="connsiteX8739" fmla="*/ 3501115 w 12192000"/>
              <a:gd name="connsiteY8739" fmla="*/ 3651679 h 6858000"/>
              <a:gd name="connsiteX8740" fmla="*/ 3579650 w 12192000"/>
              <a:gd name="connsiteY8740" fmla="*/ 3651679 h 6858000"/>
              <a:gd name="connsiteX8741" fmla="*/ 3547439 w 12192000"/>
              <a:gd name="connsiteY8741" fmla="*/ 3622027 h 6858000"/>
              <a:gd name="connsiteX8742" fmla="*/ 3579650 w 12192000"/>
              <a:gd name="connsiteY8742" fmla="*/ 3592375 h 6858000"/>
              <a:gd name="connsiteX8743" fmla="*/ 3611860 w 12192000"/>
              <a:gd name="connsiteY8743" fmla="*/ 3622027 h 6858000"/>
              <a:gd name="connsiteX8744" fmla="*/ 3579650 w 12192000"/>
              <a:gd name="connsiteY8744" fmla="*/ 3651679 h 6858000"/>
              <a:gd name="connsiteX8745" fmla="*/ 3658183 w 12192000"/>
              <a:gd name="connsiteY8745" fmla="*/ 3651679 h 6858000"/>
              <a:gd name="connsiteX8746" fmla="*/ 3625972 w 12192000"/>
              <a:gd name="connsiteY8746" fmla="*/ 3622027 h 6858000"/>
              <a:gd name="connsiteX8747" fmla="*/ 3658183 w 12192000"/>
              <a:gd name="connsiteY8747" fmla="*/ 3592375 h 6858000"/>
              <a:gd name="connsiteX8748" fmla="*/ 3690393 w 12192000"/>
              <a:gd name="connsiteY8748" fmla="*/ 3622027 h 6858000"/>
              <a:gd name="connsiteX8749" fmla="*/ 3658183 w 12192000"/>
              <a:gd name="connsiteY8749" fmla="*/ 3651679 h 6858000"/>
              <a:gd name="connsiteX8750" fmla="*/ 3736717 w 12192000"/>
              <a:gd name="connsiteY8750" fmla="*/ 3651679 h 6858000"/>
              <a:gd name="connsiteX8751" fmla="*/ 3704507 w 12192000"/>
              <a:gd name="connsiteY8751" fmla="*/ 3622027 h 6858000"/>
              <a:gd name="connsiteX8752" fmla="*/ 3736717 w 12192000"/>
              <a:gd name="connsiteY8752" fmla="*/ 3592375 h 6858000"/>
              <a:gd name="connsiteX8753" fmla="*/ 3768927 w 12192000"/>
              <a:gd name="connsiteY8753" fmla="*/ 3622027 h 6858000"/>
              <a:gd name="connsiteX8754" fmla="*/ 3736717 w 12192000"/>
              <a:gd name="connsiteY8754" fmla="*/ 3651679 h 6858000"/>
              <a:gd name="connsiteX8755" fmla="*/ 5778604 w 12192000"/>
              <a:gd name="connsiteY8755" fmla="*/ 3651679 h 6858000"/>
              <a:gd name="connsiteX8756" fmla="*/ 5746393 w 12192000"/>
              <a:gd name="connsiteY8756" fmla="*/ 3622027 h 6858000"/>
              <a:gd name="connsiteX8757" fmla="*/ 5778604 w 12192000"/>
              <a:gd name="connsiteY8757" fmla="*/ 3592375 h 6858000"/>
              <a:gd name="connsiteX8758" fmla="*/ 5810814 w 12192000"/>
              <a:gd name="connsiteY8758" fmla="*/ 3622027 h 6858000"/>
              <a:gd name="connsiteX8759" fmla="*/ 5778604 w 12192000"/>
              <a:gd name="connsiteY8759" fmla="*/ 3651679 h 6858000"/>
              <a:gd name="connsiteX8760" fmla="*/ 6092739 w 12192000"/>
              <a:gd name="connsiteY8760" fmla="*/ 3651679 h 6858000"/>
              <a:gd name="connsiteX8761" fmla="*/ 6060522 w 12192000"/>
              <a:gd name="connsiteY8761" fmla="*/ 3622027 h 6858000"/>
              <a:gd name="connsiteX8762" fmla="*/ 6092739 w 12192000"/>
              <a:gd name="connsiteY8762" fmla="*/ 3592375 h 6858000"/>
              <a:gd name="connsiteX8763" fmla="*/ 6124943 w 12192000"/>
              <a:gd name="connsiteY8763" fmla="*/ 3622027 h 6858000"/>
              <a:gd name="connsiteX8764" fmla="*/ 6092739 w 12192000"/>
              <a:gd name="connsiteY8764" fmla="*/ 3651679 h 6858000"/>
              <a:gd name="connsiteX8765" fmla="*/ 6171273 w 12192000"/>
              <a:gd name="connsiteY8765" fmla="*/ 3651679 h 6858000"/>
              <a:gd name="connsiteX8766" fmla="*/ 6139056 w 12192000"/>
              <a:gd name="connsiteY8766" fmla="*/ 3622027 h 6858000"/>
              <a:gd name="connsiteX8767" fmla="*/ 6171273 w 12192000"/>
              <a:gd name="connsiteY8767" fmla="*/ 3592375 h 6858000"/>
              <a:gd name="connsiteX8768" fmla="*/ 6203477 w 12192000"/>
              <a:gd name="connsiteY8768" fmla="*/ 3622027 h 6858000"/>
              <a:gd name="connsiteX8769" fmla="*/ 6171273 w 12192000"/>
              <a:gd name="connsiteY8769" fmla="*/ 3651679 h 6858000"/>
              <a:gd name="connsiteX8770" fmla="*/ 6328340 w 12192000"/>
              <a:gd name="connsiteY8770" fmla="*/ 3651679 h 6858000"/>
              <a:gd name="connsiteX8771" fmla="*/ 6296124 w 12192000"/>
              <a:gd name="connsiteY8771" fmla="*/ 3622027 h 6858000"/>
              <a:gd name="connsiteX8772" fmla="*/ 6328340 w 12192000"/>
              <a:gd name="connsiteY8772" fmla="*/ 3592375 h 6858000"/>
              <a:gd name="connsiteX8773" fmla="*/ 6360545 w 12192000"/>
              <a:gd name="connsiteY8773" fmla="*/ 3622027 h 6858000"/>
              <a:gd name="connsiteX8774" fmla="*/ 6328340 w 12192000"/>
              <a:gd name="connsiteY8774" fmla="*/ 3651679 h 6858000"/>
              <a:gd name="connsiteX8775" fmla="*/ 6956611 w 12192000"/>
              <a:gd name="connsiteY8775" fmla="*/ 3651679 h 6858000"/>
              <a:gd name="connsiteX8776" fmla="*/ 6924395 w 12192000"/>
              <a:gd name="connsiteY8776" fmla="*/ 3622027 h 6858000"/>
              <a:gd name="connsiteX8777" fmla="*/ 6956611 w 12192000"/>
              <a:gd name="connsiteY8777" fmla="*/ 3592375 h 6858000"/>
              <a:gd name="connsiteX8778" fmla="*/ 6988816 w 12192000"/>
              <a:gd name="connsiteY8778" fmla="*/ 3622027 h 6858000"/>
              <a:gd name="connsiteX8779" fmla="*/ 6956611 w 12192000"/>
              <a:gd name="connsiteY8779" fmla="*/ 3651679 h 6858000"/>
              <a:gd name="connsiteX8780" fmla="*/ 7035146 w 12192000"/>
              <a:gd name="connsiteY8780" fmla="*/ 3651679 h 6858000"/>
              <a:gd name="connsiteX8781" fmla="*/ 7002929 w 12192000"/>
              <a:gd name="connsiteY8781" fmla="*/ 3622027 h 6858000"/>
              <a:gd name="connsiteX8782" fmla="*/ 7035146 w 12192000"/>
              <a:gd name="connsiteY8782" fmla="*/ 3592375 h 6858000"/>
              <a:gd name="connsiteX8783" fmla="*/ 7067350 w 12192000"/>
              <a:gd name="connsiteY8783" fmla="*/ 3622027 h 6858000"/>
              <a:gd name="connsiteX8784" fmla="*/ 7035146 w 12192000"/>
              <a:gd name="connsiteY8784" fmla="*/ 3651679 h 6858000"/>
              <a:gd name="connsiteX8785" fmla="*/ 7113703 w 12192000"/>
              <a:gd name="connsiteY8785" fmla="*/ 3651679 h 6858000"/>
              <a:gd name="connsiteX8786" fmla="*/ 7081487 w 12192000"/>
              <a:gd name="connsiteY8786" fmla="*/ 3622027 h 6858000"/>
              <a:gd name="connsiteX8787" fmla="*/ 7113703 w 12192000"/>
              <a:gd name="connsiteY8787" fmla="*/ 3592375 h 6858000"/>
              <a:gd name="connsiteX8788" fmla="*/ 7145907 w 12192000"/>
              <a:gd name="connsiteY8788" fmla="*/ 3622027 h 6858000"/>
              <a:gd name="connsiteX8789" fmla="*/ 7113703 w 12192000"/>
              <a:gd name="connsiteY8789" fmla="*/ 3651679 h 6858000"/>
              <a:gd name="connsiteX8790" fmla="*/ 7192237 w 12192000"/>
              <a:gd name="connsiteY8790" fmla="*/ 3651679 h 6858000"/>
              <a:gd name="connsiteX8791" fmla="*/ 7160021 w 12192000"/>
              <a:gd name="connsiteY8791" fmla="*/ 3622027 h 6858000"/>
              <a:gd name="connsiteX8792" fmla="*/ 7192237 w 12192000"/>
              <a:gd name="connsiteY8792" fmla="*/ 3592375 h 6858000"/>
              <a:gd name="connsiteX8793" fmla="*/ 7224441 w 12192000"/>
              <a:gd name="connsiteY8793" fmla="*/ 3622027 h 6858000"/>
              <a:gd name="connsiteX8794" fmla="*/ 7192237 w 12192000"/>
              <a:gd name="connsiteY8794" fmla="*/ 3651679 h 6858000"/>
              <a:gd name="connsiteX8795" fmla="*/ 7270771 w 12192000"/>
              <a:gd name="connsiteY8795" fmla="*/ 3651679 h 6858000"/>
              <a:gd name="connsiteX8796" fmla="*/ 7238555 w 12192000"/>
              <a:gd name="connsiteY8796" fmla="*/ 3622027 h 6858000"/>
              <a:gd name="connsiteX8797" fmla="*/ 7270771 w 12192000"/>
              <a:gd name="connsiteY8797" fmla="*/ 3592375 h 6858000"/>
              <a:gd name="connsiteX8798" fmla="*/ 7302976 w 12192000"/>
              <a:gd name="connsiteY8798" fmla="*/ 3622027 h 6858000"/>
              <a:gd name="connsiteX8799" fmla="*/ 7270771 w 12192000"/>
              <a:gd name="connsiteY8799" fmla="*/ 3651679 h 6858000"/>
              <a:gd name="connsiteX8800" fmla="*/ 7349305 w 12192000"/>
              <a:gd name="connsiteY8800" fmla="*/ 3651679 h 6858000"/>
              <a:gd name="connsiteX8801" fmla="*/ 7317088 w 12192000"/>
              <a:gd name="connsiteY8801" fmla="*/ 3622027 h 6858000"/>
              <a:gd name="connsiteX8802" fmla="*/ 7349305 w 12192000"/>
              <a:gd name="connsiteY8802" fmla="*/ 3592375 h 6858000"/>
              <a:gd name="connsiteX8803" fmla="*/ 7381509 w 12192000"/>
              <a:gd name="connsiteY8803" fmla="*/ 3622027 h 6858000"/>
              <a:gd name="connsiteX8804" fmla="*/ 7349305 w 12192000"/>
              <a:gd name="connsiteY8804" fmla="*/ 3651679 h 6858000"/>
              <a:gd name="connsiteX8805" fmla="*/ 7427839 w 12192000"/>
              <a:gd name="connsiteY8805" fmla="*/ 3651679 h 6858000"/>
              <a:gd name="connsiteX8806" fmla="*/ 7395623 w 12192000"/>
              <a:gd name="connsiteY8806" fmla="*/ 3622027 h 6858000"/>
              <a:gd name="connsiteX8807" fmla="*/ 7427839 w 12192000"/>
              <a:gd name="connsiteY8807" fmla="*/ 3592375 h 6858000"/>
              <a:gd name="connsiteX8808" fmla="*/ 7460043 w 12192000"/>
              <a:gd name="connsiteY8808" fmla="*/ 3622027 h 6858000"/>
              <a:gd name="connsiteX8809" fmla="*/ 7427839 w 12192000"/>
              <a:gd name="connsiteY8809" fmla="*/ 3651679 h 6858000"/>
              <a:gd name="connsiteX8810" fmla="*/ 7506373 w 12192000"/>
              <a:gd name="connsiteY8810" fmla="*/ 3651679 h 6858000"/>
              <a:gd name="connsiteX8811" fmla="*/ 7474157 w 12192000"/>
              <a:gd name="connsiteY8811" fmla="*/ 3622027 h 6858000"/>
              <a:gd name="connsiteX8812" fmla="*/ 7506373 w 12192000"/>
              <a:gd name="connsiteY8812" fmla="*/ 3592375 h 6858000"/>
              <a:gd name="connsiteX8813" fmla="*/ 7538577 w 12192000"/>
              <a:gd name="connsiteY8813" fmla="*/ 3622027 h 6858000"/>
              <a:gd name="connsiteX8814" fmla="*/ 7506373 w 12192000"/>
              <a:gd name="connsiteY8814" fmla="*/ 3651679 h 6858000"/>
              <a:gd name="connsiteX8815" fmla="*/ 7584906 w 12192000"/>
              <a:gd name="connsiteY8815" fmla="*/ 3651679 h 6858000"/>
              <a:gd name="connsiteX8816" fmla="*/ 7552690 w 12192000"/>
              <a:gd name="connsiteY8816" fmla="*/ 3622027 h 6858000"/>
              <a:gd name="connsiteX8817" fmla="*/ 7584906 w 12192000"/>
              <a:gd name="connsiteY8817" fmla="*/ 3592375 h 6858000"/>
              <a:gd name="connsiteX8818" fmla="*/ 7617111 w 12192000"/>
              <a:gd name="connsiteY8818" fmla="*/ 3622027 h 6858000"/>
              <a:gd name="connsiteX8819" fmla="*/ 7584906 w 12192000"/>
              <a:gd name="connsiteY8819" fmla="*/ 3651679 h 6858000"/>
              <a:gd name="connsiteX8820" fmla="*/ 7663441 w 12192000"/>
              <a:gd name="connsiteY8820" fmla="*/ 3651679 h 6858000"/>
              <a:gd name="connsiteX8821" fmla="*/ 7631224 w 12192000"/>
              <a:gd name="connsiteY8821" fmla="*/ 3622027 h 6858000"/>
              <a:gd name="connsiteX8822" fmla="*/ 7663441 w 12192000"/>
              <a:gd name="connsiteY8822" fmla="*/ 3592375 h 6858000"/>
              <a:gd name="connsiteX8823" fmla="*/ 7695645 w 12192000"/>
              <a:gd name="connsiteY8823" fmla="*/ 3622027 h 6858000"/>
              <a:gd name="connsiteX8824" fmla="*/ 7663441 w 12192000"/>
              <a:gd name="connsiteY8824" fmla="*/ 3651679 h 6858000"/>
              <a:gd name="connsiteX8825" fmla="*/ 7742941 w 12192000"/>
              <a:gd name="connsiteY8825" fmla="*/ 3651679 h 6858000"/>
              <a:gd name="connsiteX8826" fmla="*/ 7710725 w 12192000"/>
              <a:gd name="connsiteY8826" fmla="*/ 3622027 h 6858000"/>
              <a:gd name="connsiteX8827" fmla="*/ 7742941 w 12192000"/>
              <a:gd name="connsiteY8827" fmla="*/ 3592375 h 6858000"/>
              <a:gd name="connsiteX8828" fmla="*/ 7775145 w 12192000"/>
              <a:gd name="connsiteY8828" fmla="*/ 3622027 h 6858000"/>
              <a:gd name="connsiteX8829" fmla="*/ 7742941 w 12192000"/>
              <a:gd name="connsiteY8829" fmla="*/ 3651679 h 6858000"/>
              <a:gd name="connsiteX8830" fmla="*/ 7821474 w 12192000"/>
              <a:gd name="connsiteY8830" fmla="*/ 3651679 h 6858000"/>
              <a:gd name="connsiteX8831" fmla="*/ 7789258 w 12192000"/>
              <a:gd name="connsiteY8831" fmla="*/ 3622027 h 6858000"/>
              <a:gd name="connsiteX8832" fmla="*/ 7821474 w 12192000"/>
              <a:gd name="connsiteY8832" fmla="*/ 3592375 h 6858000"/>
              <a:gd name="connsiteX8833" fmla="*/ 7853679 w 12192000"/>
              <a:gd name="connsiteY8833" fmla="*/ 3622027 h 6858000"/>
              <a:gd name="connsiteX8834" fmla="*/ 7821474 w 12192000"/>
              <a:gd name="connsiteY8834" fmla="*/ 3651679 h 6858000"/>
              <a:gd name="connsiteX8835" fmla="*/ 7898498 w 12192000"/>
              <a:gd name="connsiteY8835" fmla="*/ 3651679 h 6858000"/>
              <a:gd name="connsiteX8836" fmla="*/ 7866282 w 12192000"/>
              <a:gd name="connsiteY8836" fmla="*/ 3622027 h 6858000"/>
              <a:gd name="connsiteX8837" fmla="*/ 7898498 w 12192000"/>
              <a:gd name="connsiteY8837" fmla="*/ 3592375 h 6858000"/>
              <a:gd name="connsiteX8838" fmla="*/ 7930703 w 12192000"/>
              <a:gd name="connsiteY8838" fmla="*/ 3622027 h 6858000"/>
              <a:gd name="connsiteX8839" fmla="*/ 7898498 w 12192000"/>
              <a:gd name="connsiteY8839" fmla="*/ 3651679 h 6858000"/>
              <a:gd name="connsiteX8840" fmla="*/ 7977033 w 12192000"/>
              <a:gd name="connsiteY8840" fmla="*/ 3651679 h 6858000"/>
              <a:gd name="connsiteX8841" fmla="*/ 7944816 w 12192000"/>
              <a:gd name="connsiteY8841" fmla="*/ 3622027 h 6858000"/>
              <a:gd name="connsiteX8842" fmla="*/ 7977033 w 12192000"/>
              <a:gd name="connsiteY8842" fmla="*/ 3592375 h 6858000"/>
              <a:gd name="connsiteX8843" fmla="*/ 8009237 w 12192000"/>
              <a:gd name="connsiteY8843" fmla="*/ 3622027 h 6858000"/>
              <a:gd name="connsiteX8844" fmla="*/ 7977033 w 12192000"/>
              <a:gd name="connsiteY8844" fmla="*/ 3651679 h 6858000"/>
              <a:gd name="connsiteX8845" fmla="*/ 8055566 w 12192000"/>
              <a:gd name="connsiteY8845" fmla="*/ 3651679 h 6858000"/>
              <a:gd name="connsiteX8846" fmla="*/ 8023349 w 12192000"/>
              <a:gd name="connsiteY8846" fmla="*/ 3622027 h 6858000"/>
              <a:gd name="connsiteX8847" fmla="*/ 8055566 w 12192000"/>
              <a:gd name="connsiteY8847" fmla="*/ 3592375 h 6858000"/>
              <a:gd name="connsiteX8848" fmla="*/ 8087770 w 12192000"/>
              <a:gd name="connsiteY8848" fmla="*/ 3622027 h 6858000"/>
              <a:gd name="connsiteX8849" fmla="*/ 8055566 w 12192000"/>
              <a:gd name="connsiteY8849" fmla="*/ 3651679 h 6858000"/>
              <a:gd name="connsiteX8850" fmla="*/ 8135127 w 12192000"/>
              <a:gd name="connsiteY8850" fmla="*/ 3651679 h 6858000"/>
              <a:gd name="connsiteX8851" fmla="*/ 8102911 w 12192000"/>
              <a:gd name="connsiteY8851" fmla="*/ 3622027 h 6858000"/>
              <a:gd name="connsiteX8852" fmla="*/ 8135127 w 12192000"/>
              <a:gd name="connsiteY8852" fmla="*/ 3592375 h 6858000"/>
              <a:gd name="connsiteX8853" fmla="*/ 8167332 w 12192000"/>
              <a:gd name="connsiteY8853" fmla="*/ 3622027 h 6858000"/>
              <a:gd name="connsiteX8854" fmla="*/ 8135127 w 12192000"/>
              <a:gd name="connsiteY8854" fmla="*/ 3651679 h 6858000"/>
              <a:gd name="connsiteX8855" fmla="*/ 8213660 w 12192000"/>
              <a:gd name="connsiteY8855" fmla="*/ 3651679 h 6858000"/>
              <a:gd name="connsiteX8856" fmla="*/ 8181444 w 12192000"/>
              <a:gd name="connsiteY8856" fmla="*/ 3622027 h 6858000"/>
              <a:gd name="connsiteX8857" fmla="*/ 8213660 w 12192000"/>
              <a:gd name="connsiteY8857" fmla="*/ 3592375 h 6858000"/>
              <a:gd name="connsiteX8858" fmla="*/ 8245865 w 12192000"/>
              <a:gd name="connsiteY8858" fmla="*/ 3622027 h 6858000"/>
              <a:gd name="connsiteX8859" fmla="*/ 8213660 w 12192000"/>
              <a:gd name="connsiteY8859" fmla="*/ 3651679 h 6858000"/>
              <a:gd name="connsiteX8860" fmla="*/ 8291712 w 12192000"/>
              <a:gd name="connsiteY8860" fmla="*/ 3651679 h 6858000"/>
              <a:gd name="connsiteX8861" fmla="*/ 8259495 w 12192000"/>
              <a:gd name="connsiteY8861" fmla="*/ 3622027 h 6858000"/>
              <a:gd name="connsiteX8862" fmla="*/ 8291712 w 12192000"/>
              <a:gd name="connsiteY8862" fmla="*/ 3592375 h 6858000"/>
              <a:gd name="connsiteX8863" fmla="*/ 8323916 w 12192000"/>
              <a:gd name="connsiteY8863" fmla="*/ 3622027 h 6858000"/>
              <a:gd name="connsiteX8864" fmla="*/ 8291712 w 12192000"/>
              <a:gd name="connsiteY8864" fmla="*/ 3651679 h 6858000"/>
              <a:gd name="connsiteX8865" fmla="*/ 8370245 w 12192000"/>
              <a:gd name="connsiteY8865" fmla="*/ 3651679 h 6858000"/>
              <a:gd name="connsiteX8866" fmla="*/ 8338029 w 12192000"/>
              <a:gd name="connsiteY8866" fmla="*/ 3622027 h 6858000"/>
              <a:gd name="connsiteX8867" fmla="*/ 8370245 w 12192000"/>
              <a:gd name="connsiteY8867" fmla="*/ 3592375 h 6858000"/>
              <a:gd name="connsiteX8868" fmla="*/ 8402449 w 12192000"/>
              <a:gd name="connsiteY8868" fmla="*/ 3622027 h 6858000"/>
              <a:gd name="connsiteX8869" fmla="*/ 8370245 w 12192000"/>
              <a:gd name="connsiteY8869" fmla="*/ 3651679 h 6858000"/>
              <a:gd name="connsiteX8870" fmla="*/ 8448779 w 12192000"/>
              <a:gd name="connsiteY8870" fmla="*/ 3651679 h 6858000"/>
              <a:gd name="connsiteX8871" fmla="*/ 8416563 w 12192000"/>
              <a:gd name="connsiteY8871" fmla="*/ 3622027 h 6858000"/>
              <a:gd name="connsiteX8872" fmla="*/ 8448779 w 12192000"/>
              <a:gd name="connsiteY8872" fmla="*/ 3592375 h 6858000"/>
              <a:gd name="connsiteX8873" fmla="*/ 8480983 w 12192000"/>
              <a:gd name="connsiteY8873" fmla="*/ 3622027 h 6858000"/>
              <a:gd name="connsiteX8874" fmla="*/ 8448779 w 12192000"/>
              <a:gd name="connsiteY8874" fmla="*/ 3651679 h 6858000"/>
              <a:gd name="connsiteX8875" fmla="*/ 8527313 w 12192000"/>
              <a:gd name="connsiteY8875" fmla="*/ 3651679 h 6858000"/>
              <a:gd name="connsiteX8876" fmla="*/ 8495097 w 12192000"/>
              <a:gd name="connsiteY8876" fmla="*/ 3622027 h 6858000"/>
              <a:gd name="connsiteX8877" fmla="*/ 8527313 w 12192000"/>
              <a:gd name="connsiteY8877" fmla="*/ 3592375 h 6858000"/>
              <a:gd name="connsiteX8878" fmla="*/ 8559518 w 12192000"/>
              <a:gd name="connsiteY8878" fmla="*/ 3622027 h 6858000"/>
              <a:gd name="connsiteX8879" fmla="*/ 8527313 w 12192000"/>
              <a:gd name="connsiteY8879" fmla="*/ 3651679 h 6858000"/>
              <a:gd name="connsiteX8880" fmla="*/ 8605847 w 12192000"/>
              <a:gd name="connsiteY8880" fmla="*/ 3651679 h 6858000"/>
              <a:gd name="connsiteX8881" fmla="*/ 8573630 w 12192000"/>
              <a:gd name="connsiteY8881" fmla="*/ 3622027 h 6858000"/>
              <a:gd name="connsiteX8882" fmla="*/ 8605847 w 12192000"/>
              <a:gd name="connsiteY8882" fmla="*/ 3592375 h 6858000"/>
              <a:gd name="connsiteX8883" fmla="*/ 8638051 w 12192000"/>
              <a:gd name="connsiteY8883" fmla="*/ 3622027 h 6858000"/>
              <a:gd name="connsiteX8884" fmla="*/ 8605847 w 12192000"/>
              <a:gd name="connsiteY8884" fmla="*/ 3651679 h 6858000"/>
              <a:gd name="connsiteX8885" fmla="*/ 8684381 w 12192000"/>
              <a:gd name="connsiteY8885" fmla="*/ 3651679 h 6858000"/>
              <a:gd name="connsiteX8886" fmla="*/ 8652165 w 12192000"/>
              <a:gd name="connsiteY8886" fmla="*/ 3622027 h 6858000"/>
              <a:gd name="connsiteX8887" fmla="*/ 8684381 w 12192000"/>
              <a:gd name="connsiteY8887" fmla="*/ 3592375 h 6858000"/>
              <a:gd name="connsiteX8888" fmla="*/ 8716585 w 12192000"/>
              <a:gd name="connsiteY8888" fmla="*/ 3622027 h 6858000"/>
              <a:gd name="connsiteX8889" fmla="*/ 8684381 w 12192000"/>
              <a:gd name="connsiteY8889" fmla="*/ 3651679 h 6858000"/>
              <a:gd name="connsiteX8890" fmla="*/ 8762914 w 12192000"/>
              <a:gd name="connsiteY8890" fmla="*/ 3651679 h 6858000"/>
              <a:gd name="connsiteX8891" fmla="*/ 8730698 w 12192000"/>
              <a:gd name="connsiteY8891" fmla="*/ 3622027 h 6858000"/>
              <a:gd name="connsiteX8892" fmla="*/ 8762914 w 12192000"/>
              <a:gd name="connsiteY8892" fmla="*/ 3592375 h 6858000"/>
              <a:gd name="connsiteX8893" fmla="*/ 8795118 w 12192000"/>
              <a:gd name="connsiteY8893" fmla="*/ 3622027 h 6858000"/>
              <a:gd name="connsiteX8894" fmla="*/ 8762914 w 12192000"/>
              <a:gd name="connsiteY8894" fmla="*/ 3651679 h 6858000"/>
              <a:gd name="connsiteX8895" fmla="*/ 8841448 w 12192000"/>
              <a:gd name="connsiteY8895" fmla="*/ 3651679 h 6858000"/>
              <a:gd name="connsiteX8896" fmla="*/ 8809232 w 12192000"/>
              <a:gd name="connsiteY8896" fmla="*/ 3622027 h 6858000"/>
              <a:gd name="connsiteX8897" fmla="*/ 8841448 w 12192000"/>
              <a:gd name="connsiteY8897" fmla="*/ 3592375 h 6858000"/>
              <a:gd name="connsiteX8898" fmla="*/ 8873653 w 12192000"/>
              <a:gd name="connsiteY8898" fmla="*/ 3622027 h 6858000"/>
              <a:gd name="connsiteX8899" fmla="*/ 8841448 w 12192000"/>
              <a:gd name="connsiteY8899" fmla="*/ 3651679 h 6858000"/>
              <a:gd name="connsiteX8900" fmla="*/ 8919983 w 12192000"/>
              <a:gd name="connsiteY8900" fmla="*/ 3651679 h 6858000"/>
              <a:gd name="connsiteX8901" fmla="*/ 8887766 w 12192000"/>
              <a:gd name="connsiteY8901" fmla="*/ 3622027 h 6858000"/>
              <a:gd name="connsiteX8902" fmla="*/ 8919983 w 12192000"/>
              <a:gd name="connsiteY8902" fmla="*/ 3592375 h 6858000"/>
              <a:gd name="connsiteX8903" fmla="*/ 8952187 w 12192000"/>
              <a:gd name="connsiteY8903" fmla="*/ 3622027 h 6858000"/>
              <a:gd name="connsiteX8904" fmla="*/ 8919983 w 12192000"/>
              <a:gd name="connsiteY8904" fmla="*/ 3651679 h 6858000"/>
              <a:gd name="connsiteX8905" fmla="*/ 8998516 w 12192000"/>
              <a:gd name="connsiteY8905" fmla="*/ 3651679 h 6858000"/>
              <a:gd name="connsiteX8906" fmla="*/ 8966300 w 12192000"/>
              <a:gd name="connsiteY8906" fmla="*/ 3622027 h 6858000"/>
              <a:gd name="connsiteX8907" fmla="*/ 8998516 w 12192000"/>
              <a:gd name="connsiteY8907" fmla="*/ 3592375 h 6858000"/>
              <a:gd name="connsiteX8908" fmla="*/ 9030720 w 12192000"/>
              <a:gd name="connsiteY8908" fmla="*/ 3622027 h 6858000"/>
              <a:gd name="connsiteX8909" fmla="*/ 8998516 w 12192000"/>
              <a:gd name="connsiteY8909" fmla="*/ 3651679 h 6858000"/>
              <a:gd name="connsiteX8910" fmla="*/ 9077050 w 12192000"/>
              <a:gd name="connsiteY8910" fmla="*/ 3651679 h 6858000"/>
              <a:gd name="connsiteX8911" fmla="*/ 9044834 w 12192000"/>
              <a:gd name="connsiteY8911" fmla="*/ 3622027 h 6858000"/>
              <a:gd name="connsiteX8912" fmla="*/ 9077050 w 12192000"/>
              <a:gd name="connsiteY8912" fmla="*/ 3592375 h 6858000"/>
              <a:gd name="connsiteX8913" fmla="*/ 9109254 w 12192000"/>
              <a:gd name="connsiteY8913" fmla="*/ 3622027 h 6858000"/>
              <a:gd name="connsiteX8914" fmla="*/ 9077050 w 12192000"/>
              <a:gd name="connsiteY8914" fmla="*/ 3651679 h 6858000"/>
              <a:gd name="connsiteX8915" fmla="*/ 9155583 w 12192000"/>
              <a:gd name="connsiteY8915" fmla="*/ 3651679 h 6858000"/>
              <a:gd name="connsiteX8916" fmla="*/ 9123367 w 12192000"/>
              <a:gd name="connsiteY8916" fmla="*/ 3622027 h 6858000"/>
              <a:gd name="connsiteX8917" fmla="*/ 9155583 w 12192000"/>
              <a:gd name="connsiteY8917" fmla="*/ 3592375 h 6858000"/>
              <a:gd name="connsiteX8918" fmla="*/ 9187788 w 12192000"/>
              <a:gd name="connsiteY8918" fmla="*/ 3622027 h 6858000"/>
              <a:gd name="connsiteX8919" fmla="*/ 9155583 w 12192000"/>
              <a:gd name="connsiteY8919" fmla="*/ 3651679 h 6858000"/>
              <a:gd name="connsiteX8920" fmla="*/ 9234118 w 12192000"/>
              <a:gd name="connsiteY8920" fmla="*/ 3651679 h 6858000"/>
              <a:gd name="connsiteX8921" fmla="*/ 9201901 w 12192000"/>
              <a:gd name="connsiteY8921" fmla="*/ 3622027 h 6858000"/>
              <a:gd name="connsiteX8922" fmla="*/ 9234118 w 12192000"/>
              <a:gd name="connsiteY8922" fmla="*/ 3592375 h 6858000"/>
              <a:gd name="connsiteX8923" fmla="*/ 9266322 w 12192000"/>
              <a:gd name="connsiteY8923" fmla="*/ 3622027 h 6858000"/>
              <a:gd name="connsiteX8924" fmla="*/ 9234118 w 12192000"/>
              <a:gd name="connsiteY8924" fmla="*/ 3651679 h 6858000"/>
              <a:gd name="connsiteX8925" fmla="*/ 9705321 w 12192000"/>
              <a:gd name="connsiteY8925" fmla="*/ 3651679 h 6858000"/>
              <a:gd name="connsiteX8926" fmla="*/ 9673105 w 12192000"/>
              <a:gd name="connsiteY8926" fmla="*/ 3622027 h 6858000"/>
              <a:gd name="connsiteX8927" fmla="*/ 9705321 w 12192000"/>
              <a:gd name="connsiteY8927" fmla="*/ 3592375 h 6858000"/>
              <a:gd name="connsiteX8928" fmla="*/ 9737525 w 12192000"/>
              <a:gd name="connsiteY8928" fmla="*/ 3622027 h 6858000"/>
              <a:gd name="connsiteX8929" fmla="*/ 9705321 w 12192000"/>
              <a:gd name="connsiteY8929" fmla="*/ 3651679 h 6858000"/>
              <a:gd name="connsiteX8930" fmla="*/ 2637243 w 12192000"/>
              <a:gd name="connsiteY8930" fmla="*/ 3579415 h 6858000"/>
              <a:gd name="connsiteX8931" fmla="*/ 2605032 w 12192000"/>
              <a:gd name="connsiteY8931" fmla="*/ 3549762 h 6858000"/>
              <a:gd name="connsiteX8932" fmla="*/ 2637243 w 12192000"/>
              <a:gd name="connsiteY8932" fmla="*/ 3520110 h 6858000"/>
              <a:gd name="connsiteX8933" fmla="*/ 2669453 w 12192000"/>
              <a:gd name="connsiteY8933" fmla="*/ 3549762 h 6858000"/>
              <a:gd name="connsiteX8934" fmla="*/ 2637243 w 12192000"/>
              <a:gd name="connsiteY8934" fmla="*/ 3579415 h 6858000"/>
              <a:gd name="connsiteX8935" fmla="*/ 2715777 w 12192000"/>
              <a:gd name="connsiteY8935" fmla="*/ 3579415 h 6858000"/>
              <a:gd name="connsiteX8936" fmla="*/ 2683566 w 12192000"/>
              <a:gd name="connsiteY8936" fmla="*/ 3549762 h 6858000"/>
              <a:gd name="connsiteX8937" fmla="*/ 2715777 w 12192000"/>
              <a:gd name="connsiteY8937" fmla="*/ 3520110 h 6858000"/>
              <a:gd name="connsiteX8938" fmla="*/ 2747987 w 12192000"/>
              <a:gd name="connsiteY8938" fmla="*/ 3549762 h 6858000"/>
              <a:gd name="connsiteX8939" fmla="*/ 2715777 w 12192000"/>
              <a:gd name="connsiteY8939" fmla="*/ 3579415 h 6858000"/>
              <a:gd name="connsiteX8940" fmla="*/ 2794310 w 12192000"/>
              <a:gd name="connsiteY8940" fmla="*/ 3579415 h 6858000"/>
              <a:gd name="connsiteX8941" fmla="*/ 2762100 w 12192000"/>
              <a:gd name="connsiteY8941" fmla="*/ 3549762 h 6858000"/>
              <a:gd name="connsiteX8942" fmla="*/ 2794310 w 12192000"/>
              <a:gd name="connsiteY8942" fmla="*/ 3520110 h 6858000"/>
              <a:gd name="connsiteX8943" fmla="*/ 2826520 w 12192000"/>
              <a:gd name="connsiteY8943" fmla="*/ 3549762 h 6858000"/>
              <a:gd name="connsiteX8944" fmla="*/ 2794310 w 12192000"/>
              <a:gd name="connsiteY8944" fmla="*/ 3579415 h 6858000"/>
              <a:gd name="connsiteX8945" fmla="*/ 2872844 w 12192000"/>
              <a:gd name="connsiteY8945" fmla="*/ 3579415 h 6858000"/>
              <a:gd name="connsiteX8946" fmla="*/ 2840634 w 12192000"/>
              <a:gd name="connsiteY8946" fmla="*/ 3549762 h 6858000"/>
              <a:gd name="connsiteX8947" fmla="*/ 2872844 w 12192000"/>
              <a:gd name="connsiteY8947" fmla="*/ 3520110 h 6858000"/>
              <a:gd name="connsiteX8948" fmla="*/ 2905055 w 12192000"/>
              <a:gd name="connsiteY8948" fmla="*/ 3549762 h 6858000"/>
              <a:gd name="connsiteX8949" fmla="*/ 2872844 w 12192000"/>
              <a:gd name="connsiteY8949" fmla="*/ 3579415 h 6858000"/>
              <a:gd name="connsiteX8950" fmla="*/ 2951379 w 12192000"/>
              <a:gd name="connsiteY8950" fmla="*/ 3579415 h 6858000"/>
              <a:gd name="connsiteX8951" fmla="*/ 2919168 w 12192000"/>
              <a:gd name="connsiteY8951" fmla="*/ 3549762 h 6858000"/>
              <a:gd name="connsiteX8952" fmla="*/ 2951379 w 12192000"/>
              <a:gd name="connsiteY8952" fmla="*/ 3520110 h 6858000"/>
              <a:gd name="connsiteX8953" fmla="*/ 2983589 w 12192000"/>
              <a:gd name="connsiteY8953" fmla="*/ 3549762 h 6858000"/>
              <a:gd name="connsiteX8954" fmla="*/ 2951379 w 12192000"/>
              <a:gd name="connsiteY8954" fmla="*/ 3579415 h 6858000"/>
              <a:gd name="connsiteX8955" fmla="*/ 3029912 w 12192000"/>
              <a:gd name="connsiteY8955" fmla="*/ 3579415 h 6858000"/>
              <a:gd name="connsiteX8956" fmla="*/ 2997701 w 12192000"/>
              <a:gd name="connsiteY8956" fmla="*/ 3549762 h 6858000"/>
              <a:gd name="connsiteX8957" fmla="*/ 3029912 w 12192000"/>
              <a:gd name="connsiteY8957" fmla="*/ 3520110 h 6858000"/>
              <a:gd name="connsiteX8958" fmla="*/ 3062122 w 12192000"/>
              <a:gd name="connsiteY8958" fmla="*/ 3549762 h 6858000"/>
              <a:gd name="connsiteX8959" fmla="*/ 3029912 w 12192000"/>
              <a:gd name="connsiteY8959" fmla="*/ 3579415 h 6858000"/>
              <a:gd name="connsiteX8960" fmla="*/ 3108446 w 12192000"/>
              <a:gd name="connsiteY8960" fmla="*/ 3579415 h 6858000"/>
              <a:gd name="connsiteX8961" fmla="*/ 3076236 w 12192000"/>
              <a:gd name="connsiteY8961" fmla="*/ 3549762 h 6858000"/>
              <a:gd name="connsiteX8962" fmla="*/ 3108446 w 12192000"/>
              <a:gd name="connsiteY8962" fmla="*/ 3520110 h 6858000"/>
              <a:gd name="connsiteX8963" fmla="*/ 3140656 w 12192000"/>
              <a:gd name="connsiteY8963" fmla="*/ 3549762 h 6858000"/>
              <a:gd name="connsiteX8964" fmla="*/ 3108446 w 12192000"/>
              <a:gd name="connsiteY8964" fmla="*/ 3579415 h 6858000"/>
              <a:gd name="connsiteX8965" fmla="*/ 3186979 w 12192000"/>
              <a:gd name="connsiteY8965" fmla="*/ 3579415 h 6858000"/>
              <a:gd name="connsiteX8966" fmla="*/ 3154769 w 12192000"/>
              <a:gd name="connsiteY8966" fmla="*/ 3549762 h 6858000"/>
              <a:gd name="connsiteX8967" fmla="*/ 3186979 w 12192000"/>
              <a:gd name="connsiteY8967" fmla="*/ 3520110 h 6858000"/>
              <a:gd name="connsiteX8968" fmla="*/ 3219190 w 12192000"/>
              <a:gd name="connsiteY8968" fmla="*/ 3549762 h 6858000"/>
              <a:gd name="connsiteX8969" fmla="*/ 3186979 w 12192000"/>
              <a:gd name="connsiteY8969" fmla="*/ 3579415 h 6858000"/>
              <a:gd name="connsiteX8970" fmla="*/ 3265514 w 12192000"/>
              <a:gd name="connsiteY8970" fmla="*/ 3579415 h 6858000"/>
              <a:gd name="connsiteX8971" fmla="*/ 3233303 w 12192000"/>
              <a:gd name="connsiteY8971" fmla="*/ 3549762 h 6858000"/>
              <a:gd name="connsiteX8972" fmla="*/ 3265514 w 12192000"/>
              <a:gd name="connsiteY8972" fmla="*/ 3520110 h 6858000"/>
              <a:gd name="connsiteX8973" fmla="*/ 3297724 w 12192000"/>
              <a:gd name="connsiteY8973" fmla="*/ 3549762 h 6858000"/>
              <a:gd name="connsiteX8974" fmla="*/ 3265514 w 12192000"/>
              <a:gd name="connsiteY8974" fmla="*/ 3579415 h 6858000"/>
              <a:gd name="connsiteX8975" fmla="*/ 3344048 w 12192000"/>
              <a:gd name="connsiteY8975" fmla="*/ 3579415 h 6858000"/>
              <a:gd name="connsiteX8976" fmla="*/ 3311837 w 12192000"/>
              <a:gd name="connsiteY8976" fmla="*/ 3549762 h 6858000"/>
              <a:gd name="connsiteX8977" fmla="*/ 3344048 w 12192000"/>
              <a:gd name="connsiteY8977" fmla="*/ 3520110 h 6858000"/>
              <a:gd name="connsiteX8978" fmla="*/ 3376258 w 12192000"/>
              <a:gd name="connsiteY8978" fmla="*/ 3549762 h 6858000"/>
              <a:gd name="connsiteX8979" fmla="*/ 3344048 w 12192000"/>
              <a:gd name="connsiteY8979" fmla="*/ 3579415 h 6858000"/>
              <a:gd name="connsiteX8980" fmla="*/ 3422581 w 12192000"/>
              <a:gd name="connsiteY8980" fmla="*/ 3579415 h 6858000"/>
              <a:gd name="connsiteX8981" fmla="*/ 3390371 w 12192000"/>
              <a:gd name="connsiteY8981" fmla="*/ 3549762 h 6858000"/>
              <a:gd name="connsiteX8982" fmla="*/ 3422581 w 12192000"/>
              <a:gd name="connsiteY8982" fmla="*/ 3520110 h 6858000"/>
              <a:gd name="connsiteX8983" fmla="*/ 3454791 w 12192000"/>
              <a:gd name="connsiteY8983" fmla="*/ 3549762 h 6858000"/>
              <a:gd name="connsiteX8984" fmla="*/ 3422581 w 12192000"/>
              <a:gd name="connsiteY8984" fmla="*/ 3579415 h 6858000"/>
              <a:gd name="connsiteX8985" fmla="*/ 3501115 w 12192000"/>
              <a:gd name="connsiteY8985" fmla="*/ 3579415 h 6858000"/>
              <a:gd name="connsiteX8986" fmla="*/ 3468905 w 12192000"/>
              <a:gd name="connsiteY8986" fmla="*/ 3549762 h 6858000"/>
              <a:gd name="connsiteX8987" fmla="*/ 3501115 w 12192000"/>
              <a:gd name="connsiteY8987" fmla="*/ 3520110 h 6858000"/>
              <a:gd name="connsiteX8988" fmla="*/ 3533326 w 12192000"/>
              <a:gd name="connsiteY8988" fmla="*/ 3549762 h 6858000"/>
              <a:gd name="connsiteX8989" fmla="*/ 3501115 w 12192000"/>
              <a:gd name="connsiteY8989" fmla="*/ 3579415 h 6858000"/>
              <a:gd name="connsiteX8990" fmla="*/ 3579650 w 12192000"/>
              <a:gd name="connsiteY8990" fmla="*/ 3579415 h 6858000"/>
              <a:gd name="connsiteX8991" fmla="*/ 3547439 w 12192000"/>
              <a:gd name="connsiteY8991" fmla="*/ 3549762 h 6858000"/>
              <a:gd name="connsiteX8992" fmla="*/ 3579650 w 12192000"/>
              <a:gd name="connsiteY8992" fmla="*/ 3520110 h 6858000"/>
              <a:gd name="connsiteX8993" fmla="*/ 3611860 w 12192000"/>
              <a:gd name="connsiteY8993" fmla="*/ 3549762 h 6858000"/>
              <a:gd name="connsiteX8994" fmla="*/ 3579650 w 12192000"/>
              <a:gd name="connsiteY8994" fmla="*/ 3579415 h 6858000"/>
              <a:gd name="connsiteX8995" fmla="*/ 3658183 w 12192000"/>
              <a:gd name="connsiteY8995" fmla="*/ 3579415 h 6858000"/>
              <a:gd name="connsiteX8996" fmla="*/ 3625972 w 12192000"/>
              <a:gd name="connsiteY8996" fmla="*/ 3549762 h 6858000"/>
              <a:gd name="connsiteX8997" fmla="*/ 3658183 w 12192000"/>
              <a:gd name="connsiteY8997" fmla="*/ 3520110 h 6858000"/>
              <a:gd name="connsiteX8998" fmla="*/ 3690393 w 12192000"/>
              <a:gd name="connsiteY8998" fmla="*/ 3549762 h 6858000"/>
              <a:gd name="connsiteX8999" fmla="*/ 3658183 w 12192000"/>
              <a:gd name="connsiteY8999" fmla="*/ 3579415 h 6858000"/>
              <a:gd name="connsiteX9000" fmla="*/ 5778604 w 12192000"/>
              <a:gd name="connsiteY9000" fmla="*/ 3579415 h 6858000"/>
              <a:gd name="connsiteX9001" fmla="*/ 5746387 w 12192000"/>
              <a:gd name="connsiteY9001" fmla="*/ 3549762 h 6858000"/>
              <a:gd name="connsiteX9002" fmla="*/ 5778604 w 12192000"/>
              <a:gd name="connsiteY9002" fmla="*/ 3520110 h 6858000"/>
              <a:gd name="connsiteX9003" fmla="*/ 5810808 w 12192000"/>
              <a:gd name="connsiteY9003" fmla="*/ 3549762 h 6858000"/>
              <a:gd name="connsiteX9004" fmla="*/ 5778604 w 12192000"/>
              <a:gd name="connsiteY9004" fmla="*/ 3579415 h 6858000"/>
              <a:gd name="connsiteX9005" fmla="*/ 5857137 w 12192000"/>
              <a:gd name="connsiteY9005" fmla="*/ 3579415 h 6858000"/>
              <a:gd name="connsiteX9006" fmla="*/ 5824920 w 12192000"/>
              <a:gd name="connsiteY9006" fmla="*/ 3549762 h 6858000"/>
              <a:gd name="connsiteX9007" fmla="*/ 5857137 w 12192000"/>
              <a:gd name="connsiteY9007" fmla="*/ 3520110 h 6858000"/>
              <a:gd name="connsiteX9008" fmla="*/ 5889341 w 12192000"/>
              <a:gd name="connsiteY9008" fmla="*/ 3549762 h 6858000"/>
              <a:gd name="connsiteX9009" fmla="*/ 5857137 w 12192000"/>
              <a:gd name="connsiteY9009" fmla="*/ 3579415 h 6858000"/>
              <a:gd name="connsiteX9010" fmla="*/ 5935671 w 12192000"/>
              <a:gd name="connsiteY9010" fmla="*/ 3579415 h 6858000"/>
              <a:gd name="connsiteX9011" fmla="*/ 5903455 w 12192000"/>
              <a:gd name="connsiteY9011" fmla="*/ 3549762 h 6858000"/>
              <a:gd name="connsiteX9012" fmla="*/ 5935671 w 12192000"/>
              <a:gd name="connsiteY9012" fmla="*/ 3520110 h 6858000"/>
              <a:gd name="connsiteX9013" fmla="*/ 5967875 w 12192000"/>
              <a:gd name="connsiteY9013" fmla="*/ 3549762 h 6858000"/>
              <a:gd name="connsiteX9014" fmla="*/ 5935671 w 12192000"/>
              <a:gd name="connsiteY9014" fmla="*/ 3579415 h 6858000"/>
              <a:gd name="connsiteX9015" fmla="*/ 6014205 w 12192000"/>
              <a:gd name="connsiteY9015" fmla="*/ 3579415 h 6858000"/>
              <a:gd name="connsiteX9016" fmla="*/ 5981989 w 12192000"/>
              <a:gd name="connsiteY9016" fmla="*/ 3549762 h 6858000"/>
              <a:gd name="connsiteX9017" fmla="*/ 6014205 w 12192000"/>
              <a:gd name="connsiteY9017" fmla="*/ 3520110 h 6858000"/>
              <a:gd name="connsiteX9018" fmla="*/ 6046410 w 12192000"/>
              <a:gd name="connsiteY9018" fmla="*/ 3549762 h 6858000"/>
              <a:gd name="connsiteX9019" fmla="*/ 6014205 w 12192000"/>
              <a:gd name="connsiteY9019" fmla="*/ 3579415 h 6858000"/>
              <a:gd name="connsiteX9020" fmla="*/ 6092739 w 12192000"/>
              <a:gd name="connsiteY9020" fmla="*/ 3579415 h 6858000"/>
              <a:gd name="connsiteX9021" fmla="*/ 6060522 w 12192000"/>
              <a:gd name="connsiteY9021" fmla="*/ 3549762 h 6858000"/>
              <a:gd name="connsiteX9022" fmla="*/ 6092739 w 12192000"/>
              <a:gd name="connsiteY9022" fmla="*/ 3520110 h 6858000"/>
              <a:gd name="connsiteX9023" fmla="*/ 6124943 w 12192000"/>
              <a:gd name="connsiteY9023" fmla="*/ 3549762 h 6858000"/>
              <a:gd name="connsiteX9024" fmla="*/ 6092739 w 12192000"/>
              <a:gd name="connsiteY9024" fmla="*/ 3579415 h 6858000"/>
              <a:gd name="connsiteX9025" fmla="*/ 6171273 w 12192000"/>
              <a:gd name="connsiteY9025" fmla="*/ 3579415 h 6858000"/>
              <a:gd name="connsiteX9026" fmla="*/ 6139056 w 12192000"/>
              <a:gd name="connsiteY9026" fmla="*/ 3549762 h 6858000"/>
              <a:gd name="connsiteX9027" fmla="*/ 6171273 w 12192000"/>
              <a:gd name="connsiteY9027" fmla="*/ 3520110 h 6858000"/>
              <a:gd name="connsiteX9028" fmla="*/ 6203477 w 12192000"/>
              <a:gd name="connsiteY9028" fmla="*/ 3549762 h 6858000"/>
              <a:gd name="connsiteX9029" fmla="*/ 6171273 w 12192000"/>
              <a:gd name="connsiteY9029" fmla="*/ 3579415 h 6858000"/>
              <a:gd name="connsiteX9030" fmla="*/ 6878077 w 12192000"/>
              <a:gd name="connsiteY9030" fmla="*/ 3579415 h 6858000"/>
              <a:gd name="connsiteX9031" fmla="*/ 6845861 w 12192000"/>
              <a:gd name="connsiteY9031" fmla="*/ 3549762 h 6858000"/>
              <a:gd name="connsiteX9032" fmla="*/ 6878077 w 12192000"/>
              <a:gd name="connsiteY9032" fmla="*/ 3520110 h 6858000"/>
              <a:gd name="connsiteX9033" fmla="*/ 6910281 w 12192000"/>
              <a:gd name="connsiteY9033" fmla="*/ 3549762 h 6858000"/>
              <a:gd name="connsiteX9034" fmla="*/ 6878077 w 12192000"/>
              <a:gd name="connsiteY9034" fmla="*/ 3579415 h 6858000"/>
              <a:gd name="connsiteX9035" fmla="*/ 6956611 w 12192000"/>
              <a:gd name="connsiteY9035" fmla="*/ 3579415 h 6858000"/>
              <a:gd name="connsiteX9036" fmla="*/ 6924395 w 12192000"/>
              <a:gd name="connsiteY9036" fmla="*/ 3549762 h 6858000"/>
              <a:gd name="connsiteX9037" fmla="*/ 6956611 w 12192000"/>
              <a:gd name="connsiteY9037" fmla="*/ 3520110 h 6858000"/>
              <a:gd name="connsiteX9038" fmla="*/ 6988816 w 12192000"/>
              <a:gd name="connsiteY9038" fmla="*/ 3549762 h 6858000"/>
              <a:gd name="connsiteX9039" fmla="*/ 6956611 w 12192000"/>
              <a:gd name="connsiteY9039" fmla="*/ 3579415 h 6858000"/>
              <a:gd name="connsiteX9040" fmla="*/ 7035146 w 12192000"/>
              <a:gd name="connsiteY9040" fmla="*/ 3579415 h 6858000"/>
              <a:gd name="connsiteX9041" fmla="*/ 7002929 w 12192000"/>
              <a:gd name="connsiteY9041" fmla="*/ 3549762 h 6858000"/>
              <a:gd name="connsiteX9042" fmla="*/ 7035146 w 12192000"/>
              <a:gd name="connsiteY9042" fmla="*/ 3520110 h 6858000"/>
              <a:gd name="connsiteX9043" fmla="*/ 7067350 w 12192000"/>
              <a:gd name="connsiteY9043" fmla="*/ 3549762 h 6858000"/>
              <a:gd name="connsiteX9044" fmla="*/ 7035146 w 12192000"/>
              <a:gd name="connsiteY9044" fmla="*/ 3579415 h 6858000"/>
              <a:gd name="connsiteX9045" fmla="*/ 7113703 w 12192000"/>
              <a:gd name="connsiteY9045" fmla="*/ 3579415 h 6858000"/>
              <a:gd name="connsiteX9046" fmla="*/ 7081487 w 12192000"/>
              <a:gd name="connsiteY9046" fmla="*/ 3549762 h 6858000"/>
              <a:gd name="connsiteX9047" fmla="*/ 7113703 w 12192000"/>
              <a:gd name="connsiteY9047" fmla="*/ 3520110 h 6858000"/>
              <a:gd name="connsiteX9048" fmla="*/ 7145907 w 12192000"/>
              <a:gd name="connsiteY9048" fmla="*/ 3549762 h 6858000"/>
              <a:gd name="connsiteX9049" fmla="*/ 7113703 w 12192000"/>
              <a:gd name="connsiteY9049" fmla="*/ 3579415 h 6858000"/>
              <a:gd name="connsiteX9050" fmla="*/ 7192237 w 12192000"/>
              <a:gd name="connsiteY9050" fmla="*/ 3579415 h 6858000"/>
              <a:gd name="connsiteX9051" fmla="*/ 7160021 w 12192000"/>
              <a:gd name="connsiteY9051" fmla="*/ 3549762 h 6858000"/>
              <a:gd name="connsiteX9052" fmla="*/ 7192237 w 12192000"/>
              <a:gd name="connsiteY9052" fmla="*/ 3520110 h 6858000"/>
              <a:gd name="connsiteX9053" fmla="*/ 7224441 w 12192000"/>
              <a:gd name="connsiteY9053" fmla="*/ 3549762 h 6858000"/>
              <a:gd name="connsiteX9054" fmla="*/ 7192237 w 12192000"/>
              <a:gd name="connsiteY9054" fmla="*/ 3579415 h 6858000"/>
              <a:gd name="connsiteX9055" fmla="*/ 7270771 w 12192000"/>
              <a:gd name="connsiteY9055" fmla="*/ 3579415 h 6858000"/>
              <a:gd name="connsiteX9056" fmla="*/ 7238555 w 12192000"/>
              <a:gd name="connsiteY9056" fmla="*/ 3549762 h 6858000"/>
              <a:gd name="connsiteX9057" fmla="*/ 7270771 w 12192000"/>
              <a:gd name="connsiteY9057" fmla="*/ 3520110 h 6858000"/>
              <a:gd name="connsiteX9058" fmla="*/ 7302976 w 12192000"/>
              <a:gd name="connsiteY9058" fmla="*/ 3549762 h 6858000"/>
              <a:gd name="connsiteX9059" fmla="*/ 7270771 w 12192000"/>
              <a:gd name="connsiteY9059" fmla="*/ 3579415 h 6858000"/>
              <a:gd name="connsiteX9060" fmla="*/ 7349305 w 12192000"/>
              <a:gd name="connsiteY9060" fmla="*/ 3579415 h 6858000"/>
              <a:gd name="connsiteX9061" fmla="*/ 7317088 w 12192000"/>
              <a:gd name="connsiteY9061" fmla="*/ 3549762 h 6858000"/>
              <a:gd name="connsiteX9062" fmla="*/ 7349305 w 12192000"/>
              <a:gd name="connsiteY9062" fmla="*/ 3520110 h 6858000"/>
              <a:gd name="connsiteX9063" fmla="*/ 7381509 w 12192000"/>
              <a:gd name="connsiteY9063" fmla="*/ 3549762 h 6858000"/>
              <a:gd name="connsiteX9064" fmla="*/ 7349305 w 12192000"/>
              <a:gd name="connsiteY9064" fmla="*/ 3579415 h 6858000"/>
              <a:gd name="connsiteX9065" fmla="*/ 7427839 w 12192000"/>
              <a:gd name="connsiteY9065" fmla="*/ 3579415 h 6858000"/>
              <a:gd name="connsiteX9066" fmla="*/ 7395623 w 12192000"/>
              <a:gd name="connsiteY9066" fmla="*/ 3549762 h 6858000"/>
              <a:gd name="connsiteX9067" fmla="*/ 7427839 w 12192000"/>
              <a:gd name="connsiteY9067" fmla="*/ 3520110 h 6858000"/>
              <a:gd name="connsiteX9068" fmla="*/ 7460043 w 12192000"/>
              <a:gd name="connsiteY9068" fmla="*/ 3549762 h 6858000"/>
              <a:gd name="connsiteX9069" fmla="*/ 7427839 w 12192000"/>
              <a:gd name="connsiteY9069" fmla="*/ 3579415 h 6858000"/>
              <a:gd name="connsiteX9070" fmla="*/ 7506373 w 12192000"/>
              <a:gd name="connsiteY9070" fmla="*/ 3579415 h 6858000"/>
              <a:gd name="connsiteX9071" fmla="*/ 7474157 w 12192000"/>
              <a:gd name="connsiteY9071" fmla="*/ 3549762 h 6858000"/>
              <a:gd name="connsiteX9072" fmla="*/ 7506373 w 12192000"/>
              <a:gd name="connsiteY9072" fmla="*/ 3520110 h 6858000"/>
              <a:gd name="connsiteX9073" fmla="*/ 7538577 w 12192000"/>
              <a:gd name="connsiteY9073" fmla="*/ 3549762 h 6858000"/>
              <a:gd name="connsiteX9074" fmla="*/ 7506373 w 12192000"/>
              <a:gd name="connsiteY9074" fmla="*/ 3579415 h 6858000"/>
              <a:gd name="connsiteX9075" fmla="*/ 7584906 w 12192000"/>
              <a:gd name="connsiteY9075" fmla="*/ 3579415 h 6858000"/>
              <a:gd name="connsiteX9076" fmla="*/ 7552690 w 12192000"/>
              <a:gd name="connsiteY9076" fmla="*/ 3549762 h 6858000"/>
              <a:gd name="connsiteX9077" fmla="*/ 7584906 w 12192000"/>
              <a:gd name="connsiteY9077" fmla="*/ 3520110 h 6858000"/>
              <a:gd name="connsiteX9078" fmla="*/ 7617111 w 12192000"/>
              <a:gd name="connsiteY9078" fmla="*/ 3549762 h 6858000"/>
              <a:gd name="connsiteX9079" fmla="*/ 7584906 w 12192000"/>
              <a:gd name="connsiteY9079" fmla="*/ 3579415 h 6858000"/>
              <a:gd name="connsiteX9080" fmla="*/ 7663441 w 12192000"/>
              <a:gd name="connsiteY9080" fmla="*/ 3579415 h 6858000"/>
              <a:gd name="connsiteX9081" fmla="*/ 7631224 w 12192000"/>
              <a:gd name="connsiteY9081" fmla="*/ 3549762 h 6858000"/>
              <a:gd name="connsiteX9082" fmla="*/ 7663441 w 12192000"/>
              <a:gd name="connsiteY9082" fmla="*/ 3520110 h 6858000"/>
              <a:gd name="connsiteX9083" fmla="*/ 7695645 w 12192000"/>
              <a:gd name="connsiteY9083" fmla="*/ 3549762 h 6858000"/>
              <a:gd name="connsiteX9084" fmla="*/ 7663441 w 12192000"/>
              <a:gd name="connsiteY9084" fmla="*/ 3579415 h 6858000"/>
              <a:gd name="connsiteX9085" fmla="*/ 7741974 w 12192000"/>
              <a:gd name="connsiteY9085" fmla="*/ 3579415 h 6858000"/>
              <a:gd name="connsiteX9086" fmla="*/ 7709758 w 12192000"/>
              <a:gd name="connsiteY9086" fmla="*/ 3549762 h 6858000"/>
              <a:gd name="connsiteX9087" fmla="*/ 7741974 w 12192000"/>
              <a:gd name="connsiteY9087" fmla="*/ 3520110 h 6858000"/>
              <a:gd name="connsiteX9088" fmla="*/ 7774178 w 12192000"/>
              <a:gd name="connsiteY9088" fmla="*/ 3549762 h 6858000"/>
              <a:gd name="connsiteX9089" fmla="*/ 7741974 w 12192000"/>
              <a:gd name="connsiteY9089" fmla="*/ 3579415 h 6858000"/>
              <a:gd name="connsiteX9090" fmla="*/ 7820508 w 12192000"/>
              <a:gd name="connsiteY9090" fmla="*/ 3579415 h 6858000"/>
              <a:gd name="connsiteX9091" fmla="*/ 7788292 w 12192000"/>
              <a:gd name="connsiteY9091" fmla="*/ 3549762 h 6858000"/>
              <a:gd name="connsiteX9092" fmla="*/ 7820508 w 12192000"/>
              <a:gd name="connsiteY9092" fmla="*/ 3520110 h 6858000"/>
              <a:gd name="connsiteX9093" fmla="*/ 7852712 w 12192000"/>
              <a:gd name="connsiteY9093" fmla="*/ 3549762 h 6858000"/>
              <a:gd name="connsiteX9094" fmla="*/ 7820508 w 12192000"/>
              <a:gd name="connsiteY9094" fmla="*/ 3579415 h 6858000"/>
              <a:gd name="connsiteX9095" fmla="*/ 7899042 w 12192000"/>
              <a:gd name="connsiteY9095" fmla="*/ 3579415 h 6858000"/>
              <a:gd name="connsiteX9096" fmla="*/ 7866826 w 12192000"/>
              <a:gd name="connsiteY9096" fmla="*/ 3549762 h 6858000"/>
              <a:gd name="connsiteX9097" fmla="*/ 7899042 w 12192000"/>
              <a:gd name="connsiteY9097" fmla="*/ 3520110 h 6858000"/>
              <a:gd name="connsiteX9098" fmla="*/ 7931247 w 12192000"/>
              <a:gd name="connsiteY9098" fmla="*/ 3549762 h 6858000"/>
              <a:gd name="connsiteX9099" fmla="*/ 7899042 w 12192000"/>
              <a:gd name="connsiteY9099" fmla="*/ 3579415 h 6858000"/>
              <a:gd name="connsiteX9100" fmla="*/ 7977576 w 12192000"/>
              <a:gd name="connsiteY9100" fmla="*/ 3579415 h 6858000"/>
              <a:gd name="connsiteX9101" fmla="*/ 7945359 w 12192000"/>
              <a:gd name="connsiteY9101" fmla="*/ 3549762 h 6858000"/>
              <a:gd name="connsiteX9102" fmla="*/ 7977576 w 12192000"/>
              <a:gd name="connsiteY9102" fmla="*/ 3520110 h 6858000"/>
              <a:gd name="connsiteX9103" fmla="*/ 8009780 w 12192000"/>
              <a:gd name="connsiteY9103" fmla="*/ 3549762 h 6858000"/>
              <a:gd name="connsiteX9104" fmla="*/ 7977576 w 12192000"/>
              <a:gd name="connsiteY9104" fmla="*/ 3579415 h 6858000"/>
              <a:gd name="connsiteX9105" fmla="*/ 8056110 w 12192000"/>
              <a:gd name="connsiteY9105" fmla="*/ 3579415 h 6858000"/>
              <a:gd name="connsiteX9106" fmla="*/ 8023894 w 12192000"/>
              <a:gd name="connsiteY9106" fmla="*/ 3549762 h 6858000"/>
              <a:gd name="connsiteX9107" fmla="*/ 8056110 w 12192000"/>
              <a:gd name="connsiteY9107" fmla="*/ 3520110 h 6858000"/>
              <a:gd name="connsiteX9108" fmla="*/ 8088314 w 12192000"/>
              <a:gd name="connsiteY9108" fmla="*/ 3549762 h 6858000"/>
              <a:gd name="connsiteX9109" fmla="*/ 8056110 w 12192000"/>
              <a:gd name="connsiteY9109" fmla="*/ 3579415 h 6858000"/>
              <a:gd name="connsiteX9110" fmla="*/ 8134643 w 12192000"/>
              <a:gd name="connsiteY9110" fmla="*/ 3579415 h 6858000"/>
              <a:gd name="connsiteX9111" fmla="*/ 8102427 w 12192000"/>
              <a:gd name="connsiteY9111" fmla="*/ 3549762 h 6858000"/>
              <a:gd name="connsiteX9112" fmla="*/ 8134643 w 12192000"/>
              <a:gd name="connsiteY9112" fmla="*/ 3520110 h 6858000"/>
              <a:gd name="connsiteX9113" fmla="*/ 8166847 w 12192000"/>
              <a:gd name="connsiteY9113" fmla="*/ 3549762 h 6858000"/>
              <a:gd name="connsiteX9114" fmla="*/ 8134643 w 12192000"/>
              <a:gd name="connsiteY9114" fmla="*/ 3579415 h 6858000"/>
              <a:gd name="connsiteX9115" fmla="*/ 8213177 w 12192000"/>
              <a:gd name="connsiteY9115" fmla="*/ 3579415 h 6858000"/>
              <a:gd name="connsiteX9116" fmla="*/ 8180961 w 12192000"/>
              <a:gd name="connsiteY9116" fmla="*/ 3549762 h 6858000"/>
              <a:gd name="connsiteX9117" fmla="*/ 8213177 w 12192000"/>
              <a:gd name="connsiteY9117" fmla="*/ 3520110 h 6858000"/>
              <a:gd name="connsiteX9118" fmla="*/ 8245382 w 12192000"/>
              <a:gd name="connsiteY9118" fmla="*/ 3549762 h 6858000"/>
              <a:gd name="connsiteX9119" fmla="*/ 8213177 w 12192000"/>
              <a:gd name="connsiteY9119" fmla="*/ 3579415 h 6858000"/>
              <a:gd name="connsiteX9120" fmla="*/ 8291712 w 12192000"/>
              <a:gd name="connsiteY9120" fmla="*/ 3579415 h 6858000"/>
              <a:gd name="connsiteX9121" fmla="*/ 8259495 w 12192000"/>
              <a:gd name="connsiteY9121" fmla="*/ 3549762 h 6858000"/>
              <a:gd name="connsiteX9122" fmla="*/ 8291712 w 12192000"/>
              <a:gd name="connsiteY9122" fmla="*/ 3520110 h 6858000"/>
              <a:gd name="connsiteX9123" fmla="*/ 8323916 w 12192000"/>
              <a:gd name="connsiteY9123" fmla="*/ 3549762 h 6858000"/>
              <a:gd name="connsiteX9124" fmla="*/ 8291712 w 12192000"/>
              <a:gd name="connsiteY9124" fmla="*/ 3579415 h 6858000"/>
              <a:gd name="connsiteX9125" fmla="*/ 8370245 w 12192000"/>
              <a:gd name="connsiteY9125" fmla="*/ 3579415 h 6858000"/>
              <a:gd name="connsiteX9126" fmla="*/ 8338029 w 12192000"/>
              <a:gd name="connsiteY9126" fmla="*/ 3549762 h 6858000"/>
              <a:gd name="connsiteX9127" fmla="*/ 8370245 w 12192000"/>
              <a:gd name="connsiteY9127" fmla="*/ 3520110 h 6858000"/>
              <a:gd name="connsiteX9128" fmla="*/ 8402449 w 12192000"/>
              <a:gd name="connsiteY9128" fmla="*/ 3549762 h 6858000"/>
              <a:gd name="connsiteX9129" fmla="*/ 8370245 w 12192000"/>
              <a:gd name="connsiteY9129" fmla="*/ 3579415 h 6858000"/>
              <a:gd name="connsiteX9130" fmla="*/ 8448779 w 12192000"/>
              <a:gd name="connsiteY9130" fmla="*/ 3579415 h 6858000"/>
              <a:gd name="connsiteX9131" fmla="*/ 8416563 w 12192000"/>
              <a:gd name="connsiteY9131" fmla="*/ 3549762 h 6858000"/>
              <a:gd name="connsiteX9132" fmla="*/ 8448779 w 12192000"/>
              <a:gd name="connsiteY9132" fmla="*/ 3520110 h 6858000"/>
              <a:gd name="connsiteX9133" fmla="*/ 8480983 w 12192000"/>
              <a:gd name="connsiteY9133" fmla="*/ 3549762 h 6858000"/>
              <a:gd name="connsiteX9134" fmla="*/ 8448779 w 12192000"/>
              <a:gd name="connsiteY9134" fmla="*/ 3579415 h 6858000"/>
              <a:gd name="connsiteX9135" fmla="*/ 8527313 w 12192000"/>
              <a:gd name="connsiteY9135" fmla="*/ 3579415 h 6858000"/>
              <a:gd name="connsiteX9136" fmla="*/ 8495097 w 12192000"/>
              <a:gd name="connsiteY9136" fmla="*/ 3549762 h 6858000"/>
              <a:gd name="connsiteX9137" fmla="*/ 8527313 w 12192000"/>
              <a:gd name="connsiteY9137" fmla="*/ 3520110 h 6858000"/>
              <a:gd name="connsiteX9138" fmla="*/ 8559518 w 12192000"/>
              <a:gd name="connsiteY9138" fmla="*/ 3549762 h 6858000"/>
              <a:gd name="connsiteX9139" fmla="*/ 8527313 w 12192000"/>
              <a:gd name="connsiteY9139" fmla="*/ 3579415 h 6858000"/>
              <a:gd name="connsiteX9140" fmla="*/ 8605847 w 12192000"/>
              <a:gd name="connsiteY9140" fmla="*/ 3579415 h 6858000"/>
              <a:gd name="connsiteX9141" fmla="*/ 8573630 w 12192000"/>
              <a:gd name="connsiteY9141" fmla="*/ 3549762 h 6858000"/>
              <a:gd name="connsiteX9142" fmla="*/ 8605847 w 12192000"/>
              <a:gd name="connsiteY9142" fmla="*/ 3520110 h 6858000"/>
              <a:gd name="connsiteX9143" fmla="*/ 8638051 w 12192000"/>
              <a:gd name="connsiteY9143" fmla="*/ 3549762 h 6858000"/>
              <a:gd name="connsiteX9144" fmla="*/ 8605847 w 12192000"/>
              <a:gd name="connsiteY9144" fmla="*/ 3579415 h 6858000"/>
              <a:gd name="connsiteX9145" fmla="*/ 8684381 w 12192000"/>
              <a:gd name="connsiteY9145" fmla="*/ 3579415 h 6858000"/>
              <a:gd name="connsiteX9146" fmla="*/ 8652165 w 12192000"/>
              <a:gd name="connsiteY9146" fmla="*/ 3549762 h 6858000"/>
              <a:gd name="connsiteX9147" fmla="*/ 8684381 w 12192000"/>
              <a:gd name="connsiteY9147" fmla="*/ 3520110 h 6858000"/>
              <a:gd name="connsiteX9148" fmla="*/ 8716585 w 12192000"/>
              <a:gd name="connsiteY9148" fmla="*/ 3549762 h 6858000"/>
              <a:gd name="connsiteX9149" fmla="*/ 8684381 w 12192000"/>
              <a:gd name="connsiteY9149" fmla="*/ 3579415 h 6858000"/>
              <a:gd name="connsiteX9150" fmla="*/ 8762914 w 12192000"/>
              <a:gd name="connsiteY9150" fmla="*/ 3579415 h 6858000"/>
              <a:gd name="connsiteX9151" fmla="*/ 8730698 w 12192000"/>
              <a:gd name="connsiteY9151" fmla="*/ 3549762 h 6858000"/>
              <a:gd name="connsiteX9152" fmla="*/ 8762914 w 12192000"/>
              <a:gd name="connsiteY9152" fmla="*/ 3520110 h 6858000"/>
              <a:gd name="connsiteX9153" fmla="*/ 8795118 w 12192000"/>
              <a:gd name="connsiteY9153" fmla="*/ 3549762 h 6858000"/>
              <a:gd name="connsiteX9154" fmla="*/ 8762914 w 12192000"/>
              <a:gd name="connsiteY9154" fmla="*/ 3579415 h 6858000"/>
              <a:gd name="connsiteX9155" fmla="*/ 8841448 w 12192000"/>
              <a:gd name="connsiteY9155" fmla="*/ 3579415 h 6858000"/>
              <a:gd name="connsiteX9156" fmla="*/ 8809232 w 12192000"/>
              <a:gd name="connsiteY9156" fmla="*/ 3549762 h 6858000"/>
              <a:gd name="connsiteX9157" fmla="*/ 8841448 w 12192000"/>
              <a:gd name="connsiteY9157" fmla="*/ 3520110 h 6858000"/>
              <a:gd name="connsiteX9158" fmla="*/ 8873653 w 12192000"/>
              <a:gd name="connsiteY9158" fmla="*/ 3549762 h 6858000"/>
              <a:gd name="connsiteX9159" fmla="*/ 8841448 w 12192000"/>
              <a:gd name="connsiteY9159" fmla="*/ 3579415 h 6858000"/>
              <a:gd name="connsiteX9160" fmla="*/ 8919983 w 12192000"/>
              <a:gd name="connsiteY9160" fmla="*/ 3579415 h 6858000"/>
              <a:gd name="connsiteX9161" fmla="*/ 8887766 w 12192000"/>
              <a:gd name="connsiteY9161" fmla="*/ 3549762 h 6858000"/>
              <a:gd name="connsiteX9162" fmla="*/ 8919983 w 12192000"/>
              <a:gd name="connsiteY9162" fmla="*/ 3520110 h 6858000"/>
              <a:gd name="connsiteX9163" fmla="*/ 8952187 w 12192000"/>
              <a:gd name="connsiteY9163" fmla="*/ 3549762 h 6858000"/>
              <a:gd name="connsiteX9164" fmla="*/ 8919983 w 12192000"/>
              <a:gd name="connsiteY9164" fmla="*/ 3579415 h 6858000"/>
              <a:gd name="connsiteX9165" fmla="*/ 8998516 w 12192000"/>
              <a:gd name="connsiteY9165" fmla="*/ 3579415 h 6858000"/>
              <a:gd name="connsiteX9166" fmla="*/ 8966300 w 12192000"/>
              <a:gd name="connsiteY9166" fmla="*/ 3549762 h 6858000"/>
              <a:gd name="connsiteX9167" fmla="*/ 8998516 w 12192000"/>
              <a:gd name="connsiteY9167" fmla="*/ 3520110 h 6858000"/>
              <a:gd name="connsiteX9168" fmla="*/ 9030720 w 12192000"/>
              <a:gd name="connsiteY9168" fmla="*/ 3549762 h 6858000"/>
              <a:gd name="connsiteX9169" fmla="*/ 8998516 w 12192000"/>
              <a:gd name="connsiteY9169" fmla="*/ 3579415 h 6858000"/>
              <a:gd name="connsiteX9170" fmla="*/ 9077050 w 12192000"/>
              <a:gd name="connsiteY9170" fmla="*/ 3579415 h 6858000"/>
              <a:gd name="connsiteX9171" fmla="*/ 9044834 w 12192000"/>
              <a:gd name="connsiteY9171" fmla="*/ 3549762 h 6858000"/>
              <a:gd name="connsiteX9172" fmla="*/ 9077050 w 12192000"/>
              <a:gd name="connsiteY9172" fmla="*/ 3520110 h 6858000"/>
              <a:gd name="connsiteX9173" fmla="*/ 9109254 w 12192000"/>
              <a:gd name="connsiteY9173" fmla="*/ 3549762 h 6858000"/>
              <a:gd name="connsiteX9174" fmla="*/ 9077050 w 12192000"/>
              <a:gd name="connsiteY9174" fmla="*/ 3579415 h 6858000"/>
              <a:gd name="connsiteX9175" fmla="*/ 9155583 w 12192000"/>
              <a:gd name="connsiteY9175" fmla="*/ 3579415 h 6858000"/>
              <a:gd name="connsiteX9176" fmla="*/ 9123367 w 12192000"/>
              <a:gd name="connsiteY9176" fmla="*/ 3549762 h 6858000"/>
              <a:gd name="connsiteX9177" fmla="*/ 9155583 w 12192000"/>
              <a:gd name="connsiteY9177" fmla="*/ 3520110 h 6858000"/>
              <a:gd name="connsiteX9178" fmla="*/ 9187788 w 12192000"/>
              <a:gd name="connsiteY9178" fmla="*/ 3549762 h 6858000"/>
              <a:gd name="connsiteX9179" fmla="*/ 9155583 w 12192000"/>
              <a:gd name="connsiteY9179" fmla="*/ 3579415 h 6858000"/>
              <a:gd name="connsiteX9180" fmla="*/ 9234118 w 12192000"/>
              <a:gd name="connsiteY9180" fmla="*/ 3579415 h 6858000"/>
              <a:gd name="connsiteX9181" fmla="*/ 9201901 w 12192000"/>
              <a:gd name="connsiteY9181" fmla="*/ 3549762 h 6858000"/>
              <a:gd name="connsiteX9182" fmla="*/ 9234118 w 12192000"/>
              <a:gd name="connsiteY9182" fmla="*/ 3520110 h 6858000"/>
              <a:gd name="connsiteX9183" fmla="*/ 9266322 w 12192000"/>
              <a:gd name="connsiteY9183" fmla="*/ 3549762 h 6858000"/>
              <a:gd name="connsiteX9184" fmla="*/ 9234118 w 12192000"/>
              <a:gd name="connsiteY9184" fmla="*/ 3579415 h 6858000"/>
              <a:gd name="connsiteX9185" fmla="*/ 9312652 w 12192000"/>
              <a:gd name="connsiteY9185" fmla="*/ 3579415 h 6858000"/>
              <a:gd name="connsiteX9186" fmla="*/ 9280436 w 12192000"/>
              <a:gd name="connsiteY9186" fmla="*/ 3549762 h 6858000"/>
              <a:gd name="connsiteX9187" fmla="*/ 9312652 w 12192000"/>
              <a:gd name="connsiteY9187" fmla="*/ 3520110 h 6858000"/>
              <a:gd name="connsiteX9188" fmla="*/ 9344856 w 12192000"/>
              <a:gd name="connsiteY9188" fmla="*/ 3549762 h 6858000"/>
              <a:gd name="connsiteX9189" fmla="*/ 9312652 w 12192000"/>
              <a:gd name="connsiteY9189" fmla="*/ 3579415 h 6858000"/>
              <a:gd name="connsiteX9190" fmla="*/ 9626787 w 12192000"/>
              <a:gd name="connsiteY9190" fmla="*/ 3579415 h 6858000"/>
              <a:gd name="connsiteX9191" fmla="*/ 9594571 w 12192000"/>
              <a:gd name="connsiteY9191" fmla="*/ 3549762 h 6858000"/>
              <a:gd name="connsiteX9192" fmla="*/ 9626787 w 12192000"/>
              <a:gd name="connsiteY9192" fmla="*/ 3520110 h 6858000"/>
              <a:gd name="connsiteX9193" fmla="*/ 9658991 w 12192000"/>
              <a:gd name="connsiteY9193" fmla="*/ 3549762 h 6858000"/>
              <a:gd name="connsiteX9194" fmla="*/ 9626787 w 12192000"/>
              <a:gd name="connsiteY9194" fmla="*/ 3579415 h 6858000"/>
              <a:gd name="connsiteX9195" fmla="*/ 2637243 w 12192000"/>
              <a:gd name="connsiteY9195" fmla="*/ 3507149 h 6858000"/>
              <a:gd name="connsiteX9196" fmla="*/ 2605032 w 12192000"/>
              <a:gd name="connsiteY9196" fmla="*/ 3477497 h 6858000"/>
              <a:gd name="connsiteX9197" fmla="*/ 2637243 w 12192000"/>
              <a:gd name="connsiteY9197" fmla="*/ 3447845 h 6858000"/>
              <a:gd name="connsiteX9198" fmla="*/ 2669453 w 12192000"/>
              <a:gd name="connsiteY9198" fmla="*/ 3477497 h 6858000"/>
              <a:gd name="connsiteX9199" fmla="*/ 2637243 w 12192000"/>
              <a:gd name="connsiteY9199" fmla="*/ 3507149 h 6858000"/>
              <a:gd name="connsiteX9200" fmla="*/ 2794310 w 12192000"/>
              <a:gd name="connsiteY9200" fmla="*/ 3507149 h 6858000"/>
              <a:gd name="connsiteX9201" fmla="*/ 2762100 w 12192000"/>
              <a:gd name="connsiteY9201" fmla="*/ 3477497 h 6858000"/>
              <a:gd name="connsiteX9202" fmla="*/ 2794310 w 12192000"/>
              <a:gd name="connsiteY9202" fmla="*/ 3447845 h 6858000"/>
              <a:gd name="connsiteX9203" fmla="*/ 2826520 w 12192000"/>
              <a:gd name="connsiteY9203" fmla="*/ 3477497 h 6858000"/>
              <a:gd name="connsiteX9204" fmla="*/ 2794310 w 12192000"/>
              <a:gd name="connsiteY9204" fmla="*/ 3507149 h 6858000"/>
              <a:gd name="connsiteX9205" fmla="*/ 2872844 w 12192000"/>
              <a:gd name="connsiteY9205" fmla="*/ 3507149 h 6858000"/>
              <a:gd name="connsiteX9206" fmla="*/ 2840634 w 12192000"/>
              <a:gd name="connsiteY9206" fmla="*/ 3477497 h 6858000"/>
              <a:gd name="connsiteX9207" fmla="*/ 2872844 w 12192000"/>
              <a:gd name="connsiteY9207" fmla="*/ 3447845 h 6858000"/>
              <a:gd name="connsiteX9208" fmla="*/ 2905055 w 12192000"/>
              <a:gd name="connsiteY9208" fmla="*/ 3477497 h 6858000"/>
              <a:gd name="connsiteX9209" fmla="*/ 2872844 w 12192000"/>
              <a:gd name="connsiteY9209" fmla="*/ 3507149 h 6858000"/>
              <a:gd name="connsiteX9210" fmla="*/ 2951379 w 12192000"/>
              <a:gd name="connsiteY9210" fmla="*/ 3507149 h 6858000"/>
              <a:gd name="connsiteX9211" fmla="*/ 2919168 w 12192000"/>
              <a:gd name="connsiteY9211" fmla="*/ 3477497 h 6858000"/>
              <a:gd name="connsiteX9212" fmla="*/ 2951379 w 12192000"/>
              <a:gd name="connsiteY9212" fmla="*/ 3447845 h 6858000"/>
              <a:gd name="connsiteX9213" fmla="*/ 2983589 w 12192000"/>
              <a:gd name="connsiteY9213" fmla="*/ 3477497 h 6858000"/>
              <a:gd name="connsiteX9214" fmla="*/ 2951379 w 12192000"/>
              <a:gd name="connsiteY9214" fmla="*/ 3507149 h 6858000"/>
              <a:gd name="connsiteX9215" fmla="*/ 3029912 w 12192000"/>
              <a:gd name="connsiteY9215" fmla="*/ 3507149 h 6858000"/>
              <a:gd name="connsiteX9216" fmla="*/ 2997701 w 12192000"/>
              <a:gd name="connsiteY9216" fmla="*/ 3477497 h 6858000"/>
              <a:gd name="connsiteX9217" fmla="*/ 3029912 w 12192000"/>
              <a:gd name="connsiteY9217" fmla="*/ 3447845 h 6858000"/>
              <a:gd name="connsiteX9218" fmla="*/ 3062122 w 12192000"/>
              <a:gd name="connsiteY9218" fmla="*/ 3477497 h 6858000"/>
              <a:gd name="connsiteX9219" fmla="*/ 3029912 w 12192000"/>
              <a:gd name="connsiteY9219" fmla="*/ 3507149 h 6858000"/>
              <a:gd name="connsiteX9220" fmla="*/ 3108446 w 12192000"/>
              <a:gd name="connsiteY9220" fmla="*/ 3507149 h 6858000"/>
              <a:gd name="connsiteX9221" fmla="*/ 3076236 w 12192000"/>
              <a:gd name="connsiteY9221" fmla="*/ 3477497 h 6858000"/>
              <a:gd name="connsiteX9222" fmla="*/ 3108446 w 12192000"/>
              <a:gd name="connsiteY9222" fmla="*/ 3447845 h 6858000"/>
              <a:gd name="connsiteX9223" fmla="*/ 3140656 w 12192000"/>
              <a:gd name="connsiteY9223" fmla="*/ 3477497 h 6858000"/>
              <a:gd name="connsiteX9224" fmla="*/ 3108446 w 12192000"/>
              <a:gd name="connsiteY9224" fmla="*/ 3507149 h 6858000"/>
              <a:gd name="connsiteX9225" fmla="*/ 3186979 w 12192000"/>
              <a:gd name="connsiteY9225" fmla="*/ 3507149 h 6858000"/>
              <a:gd name="connsiteX9226" fmla="*/ 3154769 w 12192000"/>
              <a:gd name="connsiteY9226" fmla="*/ 3477497 h 6858000"/>
              <a:gd name="connsiteX9227" fmla="*/ 3186979 w 12192000"/>
              <a:gd name="connsiteY9227" fmla="*/ 3447845 h 6858000"/>
              <a:gd name="connsiteX9228" fmla="*/ 3219190 w 12192000"/>
              <a:gd name="connsiteY9228" fmla="*/ 3477497 h 6858000"/>
              <a:gd name="connsiteX9229" fmla="*/ 3186979 w 12192000"/>
              <a:gd name="connsiteY9229" fmla="*/ 3507149 h 6858000"/>
              <a:gd name="connsiteX9230" fmla="*/ 3265514 w 12192000"/>
              <a:gd name="connsiteY9230" fmla="*/ 3507149 h 6858000"/>
              <a:gd name="connsiteX9231" fmla="*/ 3233303 w 12192000"/>
              <a:gd name="connsiteY9231" fmla="*/ 3477497 h 6858000"/>
              <a:gd name="connsiteX9232" fmla="*/ 3265514 w 12192000"/>
              <a:gd name="connsiteY9232" fmla="*/ 3447845 h 6858000"/>
              <a:gd name="connsiteX9233" fmla="*/ 3297724 w 12192000"/>
              <a:gd name="connsiteY9233" fmla="*/ 3477497 h 6858000"/>
              <a:gd name="connsiteX9234" fmla="*/ 3265514 w 12192000"/>
              <a:gd name="connsiteY9234" fmla="*/ 3507149 h 6858000"/>
              <a:gd name="connsiteX9235" fmla="*/ 3344048 w 12192000"/>
              <a:gd name="connsiteY9235" fmla="*/ 3507149 h 6858000"/>
              <a:gd name="connsiteX9236" fmla="*/ 3311837 w 12192000"/>
              <a:gd name="connsiteY9236" fmla="*/ 3477497 h 6858000"/>
              <a:gd name="connsiteX9237" fmla="*/ 3344048 w 12192000"/>
              <a:gd name="connsiteY9237" fmla="*/ 3447845 h 6858000"/>
              <a:gd name="connsiteX9238" fmla="*/ 3376258 w 12192000"/>
              <a:gd name="connsiteY9238" fmla="*/ 3477497 h 6858000"/>
              <a:gd name="connsiteX9239" fmla="*/ 3344048 w 12192000"/>
              <a:gd name="connsiteY9239" fmla="*/ 3507149 h 6858000"/>
              <a:gd name="connsiteX9240" fmla="*/ 3422581 w 12192000"/>
              <a:gd name="connsiteY9240" fmla="*/ 3507149 h 6858000"/>
              <a:gd name="connsiteX9241" fmla="*/ 3390371 w 12192000"/>
              <a:gd name="connsiteY9241" fmla="*/ 3477497 h 6858000"/>
              <a:gd name="connsiteX9242" fmla="*/ 3422581 w 12192000"/>
              <a:gd name="connsiteY9242" fmla="*/ 3447845 h 6858000"/>
              <a:gd name="connsiteX9243" fmla="*/ 3454791 w 12192000"/>
              <a:gd name="connsiteY9243" fmla="*/ 3477497 h 6858000"/>
              <a:gd name="connsiteX9244" fmla="*/ 3422581 w 12192000"/>
              <a:gd name="connsiteY9244" fmla="*/ 3507149 h 6858000"/>
              <a:gd name="connsiteX9245" fmla="*/ 3501115 w 12192000"/>
              <a:gd name="connsiteY9245" fmla="*/ 3507149 h 6858000"/>
              <a:gd name="connsiteX9246" fmla="*/ 3468905 w 12192000"/>
              <a:gd name="connsiteY9246" fmla="*/ 3477497 h 6858000"/>
              <a:gd name="connsiteX9247" fmla="*/ 3501115 w 12192000"/>
              <a:gd name="connsiteY9247" fmla="*/ 3447845 h 6858000"/>
              <a:gd name="connsiteX9248" fmla="*/ 3533326 w 12192000"/>
              <a:gd name="connsiteY9248" fmla="*/ 3477497 h 6858000"/>
              <a:gd name="connsiteX9249" fmla="*/ 3501115 w 12192000"/>
              <a:gd name="connsiteY9249" fmla="*/ 3507149 h 6858000"/>
              <a:gd name="connsiteX9250" fmla="*/ 3579650 w 12192000"/>
              <a:gd name="connsiteY9250" fmla="*/ 3507149 h 6858000"/>
              <a:gd name="connsiteX9251" fmla="*/ 3547439 w 12192000"/>
              <a:gd name="connsiteY9251" fmla="*/ 3477497 h 6858000"/>
              <a:gd name="connsiteX9252" fmla="*/ 3579650 w 12192000"/>
              <a:gd name="connsiteY9252" fmla="*/ 3447845 h 6858000"/>
              <a:gd name="connsiteX9253" fmla="*/ 3611860 w 12192000"/>
              <a:gd name="connsiteY9253" fmla="*/ 3477497 h 6858000"/>
              <a:gd name="connsiteX9254" fmla="*/ 3579650 w 12192000"/>
              <a:gd name="connsiteY9254" fmla="*/ 3507149 h 6858000"/>
              <a:gd name="connsiteX9255" fmla="*/ 5700069 w 12192000"/>
              <a:gd name="connsiteY9255" fmla="*/ 3507149 h 6858000"/>
              <a:gd name="connsiteX9256" fmla="*/ 5667853 w 12192000"/>
              <a:gd name="connsiteY9256" fmla="*/ 3477497 h 6858000"/>
              <a:gd name="connsiteX9257" fmla="*/ 5700069 w 12192000"/>
              <a:gd name="connsiteY9257" fmla="*/ 3447845 h 6858000"/>
              <a:gd name="connsiteX9258" fmla="*/ 5732274 w 12192000"/>
              <a:gd name="connsiteY9258" fmla="*/ 3477497 h 6858000"/>
              <a:gd name="connsiteX9259" fmla="*/ 5700069 w 12192000"/>
              <a:gd name="connsiteY9259" fmla="*/ 3507149 h 6858000"/>
              <a:gd name="connsiteX9260" fmla="*/ 5778604 w 12192000"/>
              <a:gd name="connsiteY9260" fmla="*/ 3507149 h 6858000"/>
              <a:gd name="connsiteX9261" fmla="*/ 5746387 w 12192000"/>
              <a:gd name="connsiteY9261" fmla="*/ 3477497 h 6858000"/>
              <a:gd name="connsiteX9262" fmla="*/ 5778604 w 12192000"/>
              <a:gd name="connsiteY9262" fmla="*/ 3447845 h 6858000"/>
              <a:gd name="connsiteX9263" fmla="*/ 5810808 w 12192000"/>
              <a:gd name="connsiteY9263" fmla="*/ 3477497 h 6858000"/>
              <a:gd name="connsiteX9264" fmla="*/ 5778604 w 12192000"/>
              <a:gd name="connsiteY9264" fmla="*/ 3507149 h 6858000"/>
              <a:gd name="connsiteX9265" fmla="*/ 5857137 w 12192000"/>
              <a:gd name="connsiteY9265" fmla="*/ 3507149 h 6858000"/>
              <a:gd name="connsiteX9266" fmla="*/ 5824920 w 12192000"/>
              <a:gd name="connsiteY9266" fmla="*/ 3477497 h 6858000"/>
              <a:gd name="connsiteX9267" fmla="*/ 5857137 w 12192000"/>
              <a:gd name="connsiteY9267" fmla="*/ 3447845 h 6858000"/>
              <a:gd name="connsiteX9268" fmla="*/ 5889341 w 12192000"/>
              <a:gd name="connsiteY9268" fmla="*/ 3477497 h 6858000"/>
              <a:gd name="connsiteX9269" fmla="*/ 5857137 w 12192000"/>
              <a:gd name="connsiteY9269" fmla="*/ 3507149 h 6858000"/>
              <a:gd name="connsiteX9270" fmla="*/ 5935671 w 12192000"/>
              <a:gd name="connsiteY9270" fmla="*/ 3507149 h 6858000"/>
              <a:gd name="connsiteX9271" fmla="*/ 5903455 w 12192000"/>
              <a:gd name="connsiteY9271" fmla="*/ 3477497 h 6858000"/>
              <a:gd name="connsiteX9272" fmla="*/ 5935671 w 12192000"/>
              <a:gd name="connsiteY9272" fmla="*/ 3447845 h 6858000"/>
              <a:gd name="connsiteX9273" fmla="*/ 5967875 w 12192000"/>
              <a:gd name="connsiteY9273" fmla="*/ 3477497 h 6858000"/>
              <a:gd name="connsiteX9274" fmla="*/ 5935671 w 12192000"/>
              <a:gd name="connsiteY9274" fmla="*/ 3507149 h 6858000"/>
              <a:gd name="connsiteX9275" fmla="*/ 6014205 w 12192000"/>
              <a:gd name="connsiteY9275" fmla="*/ 3507149 h 6858000"/>
              <a:gd name="connsiteX9276" fmla="*/ 5981989 w 12192000"/>
              <a:gd name="connsiteY9276" fmla="*/ 3477497 h 6858000"/>
              <a:gd name="connsiteX9277" fmla="*/ 6014205 w 12192000"/>
              <a:gd name="connsiteY9277" fmla="*/ 3447845 h 6858000"/>
              <a:gd name="connsiteX9278" fmla="*/ 6046410 w 12192000"/>
              <a:gd name="connsiteY9278" fmla="*/ 3477497 h 6858000"/>
              <a:gd name="connsiteX9279" fmla="*/ 6014205 w 12192000"/>
              <a:gd name="connsiteY9279" fmla="*/ 3507149 h 6858000"/>
              <a:gd name="connsiteX9280" fmla="*/ 6092739 w 12192000"/>
              <a:gd name="connsiteY9280" fmla="*/ 3507149 h 6858000"/>
              <a:gd name="connsiteX9281" fmla="*/ 6060522 w 12192000"/>
              <a:gd name="connsiteY9281" fmla="*/ 3477497 h 6858000"/>
              <a:gd name="connsiteX9282" fmla="*/ 6092739 w 12192000"/>
              <a:gd name="connsiteY9282" fmla="*/ 3447845 h 6858000"/>
              <a:gd name="connsiteX9283" fmla="*/ 6124943 w 12192000"/>
              <a:gd name="connsiteY9283" fmla="*/ 3477497 h 6858000"/>
              <a:gd name="connsiteX9284" fmla="*/ 6092739 w 12192000"/>
              <a:gd name="connsiteY9284" fmla="*/ 3507149 h 6858000"/>
              <a:gd name="connsiteX9285" fmla="*/ 6171273 w 12192000"/>
              <a:gd name="connsiteY9285" fmla="*/ 3507149 h 6858000"/>
              <a:gd name="connsiteX9286" fmla="*/ 6139056 w 12192000"/>
              <a:gd name="connsiteY9286" fmla="*/ 3477497 h 6858000"/>
              <a:gd name="connsiteX9287" fmla="*/ 6171273 w 12192000"/>
              <a:gd name="connsiteY9287" fmla="*/ 3447845 h 6858000"/>
              <a:gd name="connsiteX9288" fmla="*/ 6203477 w 12192000"/>
              <a:gd name="connsiteY9288" fmla="*/ 3477497 h 6858000"/>
              <a:gd name="connsiteX9289" fmla="*/ 6171273 w 12192000"/>
              <a:gd name="connsiteY9289" fmla="*/ 3507149 h 6858000"/>
              <a:gd name="connsiteX9290" fmla="*/ 6249806 w 12192000"/>
              <a:gd name="connsiteY9290" fmla="*/ 3507149 h 6858000"/>
              <a:gd name="connsiteX9291" fmla="*/ 6217590 w 12192000"/>
              <a:gd name="connsiteY9291" fmla="*/ 3477497 h 6858000"/>
              <a:gd name="connsiteX9292" fmla="*/ 6249806 w 12192000"/>
              <a:gd name="connsiteY9292" fmla="*/ 3447845 h 6858000"/>
              <a:gd name="connsiteX9293" fmla="*/ 6282010 w 12192000"/>
              <a:gd name="connsiteY9293" fmla="*/ 3477497 h 6858000"/>
              <a:gd name="connsiteX9294" fmla="*/ 6249806 w 12192000"/>
              <a:gd name="connsiteY9294" fmla="*/ 3507149 h 6858000"/>
              <a:gd name="connsiteX9295" fmla="*/ 6328340 w 12192000"/>
              <a:gd name="connsiteY9295" fmla="*/ 3507149 h 6858000"/>
              <a:gd name="connsiteX9296" fmla="*/ 6296124 w 12192000"/>
              <a:gd name="connsiteY9296" fmla="*/ 3477497 h 6858000"/>
              <a:gd name="connsiteX9297" fmla="*/ 6328340 w 12192000"/>
              <a:gd name="connsiteY9297" fmla="*/ 3447845 h 6858000"/>
              <a:gd name="connsiteX9298" fmla="*/ 6360545 w 12192000"/>
              <a:gd name="connsiteY9298" fmla="*/ 3477497 h 6858000"/>
              <a:gd name="connsiteX9299" fmla="*/ 6328340 w 12192000"/>
              <a:gd name="connsiteY9299" fmla="*/ 3507149 h 6858000"/>
              <a:gd name="connsiteX9300" fmla="*/ 6563942 w 12192000"/>
              <a:gd name="connsiteY9300" fmla="*/ 3507149 h 6858000"/>
              <a:gd name="connsiteX9301" fmla="*/ 6531726 w 12192000"/>
              <a:gd name="connsiteY9301" fmla="*/ 3477497 h 6858000"/>
              <a:gd name="connsiteX9302" fmla="*/ 6563942 w 12192000"/>
              <a:gd name="connsiteY9302" fmla="*/ 3447845 h 6858000"/>
              <a:gd name="connsiteX9303" fmla="*/ 6596146 w 12192000"/>
              <a:gd name="connsiteY9303" fmla="*/ 3477497 h 6858000"/>
              <a:gd name="connsiteX9304" fmla="*/ 6563942 w 12192000"/>
              <a:gd name="connsiteY9304" fmla="*/ 3507149 h 6858000"/>
              <a:gd name="connsiteX9305" fmla="*/ 6956611 w 12192000"/>
              <a:gd name="connsiteY9305" fmla="*/ 3507149 h 6858000"/>
              <a:gd name="connsiteX9306" fmla="*/ 6924395 w 12192000"/>
              <a:gd name="connsiteY9306" fmla="*/ 3477497 h 6858000"/>
              <a:gd name="connsiteX9307" fmla="*/ 6956611 w 12192000"/>
              <a:gd name="connsiteY9307" fmla="*/ 3447845 h 6858000"/>
              <a:gd name="connsiteX9308" fmla="*/ 6988816 w 12192000"/>
              <a:gd name="connsiteY9308" fmla="*/ 3477497 h 6858000"/>
              <a:gd name="connsiteX9309" fmla="*/ 6956611 w 12192000"/>
              <a:gd name="connsiteY9309" fmla="*/ 3507149 h 6858000"/>
              <a:gd name="connsiteX9310" fmla="*/ 7035146 w 12192000"/>
              <a:gd name="connsiteY9310" fmla="*/ 3507149 h 6858000"/>
              <a:gd name="connsiteX9311" fmla="*/ 7002929 w 12192000"/>
              <a:gd name="connsiteY9311" fmla="*/ 3477497 h 6858000"/>
              <a:gd name="connsiteX9312" fmla="*/ 7035146 w 12192000"/>
              <a:gd name="connsiteY9312" fmla="*/ 3447845 h 6858000"/>
              <a:gd name="connsiteX9313" fmla="*/ 7067350 w 12192000"/>
              <a:gd name="connsiteY9313" fmla="*/ 3477497 h 6858000"/>
              <a:gd name="connsiteX9314" fmla="*/ 7035146 w 12192000"/>
              <a:gd name="connsiteY9314" fmla="*/ 3507149 h 6858000"/>
              <a:gd name="connsiteX9315" fmla="*/ 7113703 w 12192000"/>
              <a:gd name="connsiteY9315" fmla="*/ 3507149 h 6858000"/>
              <a:gd name="connsiteX9316" fmla="*/ 7081487 w 12192000"/>
              <a:gd name="connsiteY9316" fmla="*/ 3477497 h 6858000"/>
              <a:gd name="connsiteX9317" fmla="*/ 7113703 w 12192000"/>
              <a:gd name="connsiteY9317" fmla="*/ 3447845 h 6858000"/>
              <a:gd name="connsiteX9318" fmla="*/ 7145907 w 12192000"/>
              <a:gd name="connsiteY9318" fmla="*/ 3477497 h 6858000"/>
              <a:gd name="connsiteX9319" fmla="*/ 7113703 w 12192000"/>
              <a:gd name="connsiteY9319" fmla="*/ 3507149 h 6858000"/>
              <a:gd name="connsiteX9320" fmla="*/ 7192237 w 12192000"/>
              <a:gd name="connsiteY9320" fmla="*/ 3507149 h 6858000"/>
              <a:gd name="connsiteX9321" fmla="*/ 7160021 w 12192000"/>
              <a:gd name="connsiteY9321" fmla="*/ 3477497 h 6858000"/>
              <a:gd name="connsiteX9322" fmla="*/ 7192237 w 12192000"/>
              <a:gd name="connsiteY9322" fmla="*/ 3447845 h 6858000"/>
              <a:gd name="connsiteX9323" fmla="*/ 7224441 w 12192000"/>
              <a:gd name="connsiteY9323" fmla="*/ 3477497 h 6858000"/>
              <a:gd name="connsiteX9324" fmla="*/ 7192237 w 12192000"/>
              <a:gd name="connsiteY9324" fmla="*/ 3507149 h 6858000"/>
              <a:gd name="connsiteX9325" fmla="*/ 7270771 w 12192000"/>
              <a:gd name="connsiteY9325" fmla="*/ 3507149 h 6858000"/>
              <a:gd name="connsiteX9326" fmla="*/ 7238555 w 12192000"/>
              <a:gd name="connsiteY9326" fmla="*/ 3477497 h 6858000"/>
              <a:gd name="connsiteX9327" fmla="*/ 7270771 w 12192000"/>
              <a:gd name="connsiteY9327" fmla="*/ 3447845 h 6858000"/>
              <a:gd name="connsiteX9328" fmla="*/ 7302976 w 12192000"/>
              <a:gd name="connsiteY9328" fmla="*/ 3477497 h 6858000"/>
              <a:gd name="connsiteX9329" fmla="*/ 7270771 w 12192000"/>
              <a:gd name="connsiteY9329" fmla="*/ 3507149 h 6858000"/>
              <a:gd name="connsiteX9330" fmla="*/ 7349305 w 12192000"/>
              <a:gd name="connsiteY9330" fmla="*/ 3507149 h 6858000"/>
              <a:gd name="connsiteX9331" fmla="*/ 7317088 w 12192000"/>
              <a:gd name="connsiteY9331" fmla="*/ 3477497 h 6858000"/>
              <a:gd name="connsiteX9332" fmla="*/ 7349305 w 12192000"/>
              <a:gd name="connsiteY9332" fmla="*/ 3447845 h 6858000"/>
              <a:gd name="connsiteX9333" fmla="*/ 7381509 w 12192000"/>
              <a:gd name="connsiteY9333" fmla="*/ 3477497 h 6858000"/>
              <a:gd name="connsiteX9334" fmla="*/ 7349305 w 12192000"/>
              <a:gd name="connsiteY9334" fmla="*/ 3507149 h 6858000"/>
              <a:gd name="connsiteX9335" fmla="*/ 7427839 w 12192000"/>
              <a:gd name="connsiteY9335" fmla="*/ 3507149 h 6858000"/>
              <a:gd name="connsiteX9336" fmla="*/ 7395623 w 12192000"/>
              <a:gd name="connsiteY9336" fmla="*/ 3477497 h 6858000"/>
              <a:gd name="connsiteX9337" fmla="*/ 7427839 w 12192000"/>
              <a:gd name="connsiteY9337" fmla="*/ 3447845 h 6858000"/>
              <a:gd name="connsiteX9338" fmla="*/ 7460043 w 12192000"/>
              <a:gd name="connsiteY9338" fmla="*/ 3477497 h 6858000"/>
              <a:gd name="connsiteX9339" fmla="*/ 7427839 w 12192000"/>
              <a:gd name="connsiteY9339" fmla="*/ 3507149 h 6858000"/>
              <a:gd name="connsiteX9340" fmla="*/ 7506373 w 12192000"/>
              <a:gd name="connsiteY9340" fmla="*/ 3507149 h 6858000"/>
              <a:gd name="connsiteX9341" fmla="*/ 7474157 w 12192000"/>
              <a:gd name="connsiteY9341" fmla="*/ 3477497 h 6858000"/>
              <a:gd name="connsiteX9342" fmla="*/ 7506373 w 12192000"/>
              <a:gd name="connsiteY9342" fmla="*/ 3447845 h 6858000"/>
              <a:gd name="connsiteX9343" fmla="*/ 7538577 w 12192000"/>
              <a:gd name="connsiteY9343" fmla="*/ 3477497 h 6858000"/>
              <a:gd name="connsiteX9344" fmla="*/ 7506373 w 12192000"/>
              <a:gd name="connsiteY9344" fmla="*/ 3507149 h 6858000"/>
              <a:gd name="connsiteX9345" fmla="*/ 7663441 w 12192000"/>
              <a:gd name="connsiteY9345" fmla="*/ 3507149 h 6858000"/>
              <a:gd name="connsiteX9346" fmla="*/ 7631224 w 12192000"/>
              <a:gd name="connsiteY9346" fmla="*/ 3477497 h 6858000"/>
              <a:gd name="connsiteX9347" fmla="*/ 7663441 w 12192000"/>
              <a:gd name="connsiteY9347" fmla="*/ 3447845 h 6858000"/>
              <a:gd name="connsiteX9348" fmla="*/ 7695645 w 12192000"/>
              <a:gd name="connsiteY9348" fmla="*/ 3477497 h 6858000"/>
              <a:gd name="connsiteX9349" fmla="*/ 7663441 w 12192000"/>
              <a:gd name="connsiteY9349" fmla="*/ 3507149 h 6858000"/>
              <a:gd name="connsiteX9350" fmla="*/ 7741974 w 12192000"/>
              <a:gd name="connsiteY9350" fmla="*/ 3507149 h 6858000"/>
              <a:gd name="connsiteX9351" fmla="*/ 7709758 w 12192000"/>
              <a:gd name="connsiteY9351" fmla="*/ 3477497 h 6858000"/>
              <a:gd name="connsiteX9352" fmla="*/ 7741974 w 12192000"/>
              <a:gd name="connsiteY9352" fmla="*/ 3447845 h 6858000"/>
              <a:gd name="connsiteX9353" fmla="*/ 7774178 w 12192000"/>
              <a:gd name="connsiteY9353" fmla="*/ 3477497 h 6858000"/>
              <a:gd name="connsiteX9354" fmla="*/ 7741974 w 12192000"/>
              <a:gd name="connsiteY9354" fmla="*/ 3507149 h 6858000"/>
              <a:gd name="connsiteX9355" fmla="*/ 7820508 w 12192000"/>
              <a:gd name="connsiteY9355" fmla="*/ 3507149 h 6858000"/>
              <a:gd name="connsiteX9356" fmla="*/ 7788292 w 12192000"/>
              <a:gd name="connsiteY9356" fmla="*/ 3477497 h 6858000"/>
              <a:gd name="connsiteX9357" fmla="*/ 7820508 w 12192000"/>
              <a:gd name="connsiteY9357" fmla="*/ 3447845 h 6858000"/>
              <a:gd name="connsiteX9358" fmla="*/ 7852712 w 12192000"/>
              <a:gd name="connsiteY9358" fmla="*/ 3477497 h 6858000"/>
              <a:gd name="connsiteX9359" fmla="*/ 7820508 w 12192000"/>
              <a:gd name="connsiteY9359" fmla="*/ 3507149 h 6858000"/>
              <a:gd name="connsiteX9360" fmla="*/ 7899042 w 12192000"/>
              <a:gd name="connsiteY9360" fmla="*/ 3507149 h 6858000"/>
              <a:gd name="connsiteX9361" fmla="*/ 7866826 w 12192000"/>
              <a:gd name="connsiteY9361" fmla="*/ 3477497 h 6858000"/>
              <a:gd name="connsiteX9362" fmla="*/ 7899042 w 12192000"/>
              <a:gd name="connsiteY9362" fmla="*/ 3447845 h 6858000"/>
              <a:gd name="connsiteX9363" fmla="*/ 7931247 w 12192000"/>
              <a:gd name="connsiteY9363" fmla="*/ 3477497 h 6858000"/>
              <a:gd name="connsiteX9364" fmla="*/ 7899042 w 12192000"/>
              <a:gd name="connsiteY9364" fmla="*/ 3507149 h 6858000"/>
              <a:gd name="connsiteX9365" fmla="*/ 7977576 w 12192000"/>
              <a:gd name="connsiteY9365" fmla="*/ 3507149 h 6858000"/>
              <a:gd name="connsiteX9366" fmla="*/ 7945359 w 12192000"/>
              <a:gd name="connsiteY9366" fmla="*/ 3477497 h 6858000"/>
              <a:gd name="connsiteX9367" fmla="*/ 7977576 w 12192000"/>
              <a:gd name="connsiteY9367" fmla="*/ 3447845 h 6858000"/>
              <a:gd name="connsiteX9368" fmla="*/ 8009780 w 12192000"/>
              <a:gd name="connsiteY9368" fmla="*/ 3477497 h 6858000"/>
              <a:gd name="connsiteX9369" fmla="*/ 7977576 w 12192000"/>
              <a:gd name="connsiteY9369" fmla="*/ 3507149 h 6858000"/>
              <a:gd name="connsiteX9370" fmla="*/ 8056110 w 12192000"/>
              <a:gd name="connsiteY9370" fmla="*/ 3507149 h 6858000"/>
              <a:gd name="connsiteX9371" fmla="*/ 8023894 w 12192000"/>
              <a:gd name="connsiteY9371" fmla="*/ 3477497 h 6858000"/>
              <a:gd name="connsiteX9372" fmla="*/ 8056110 w 12192000"/>
              <a:gd name="connsiteY9372" fmla="*/ 3447845 h 6858000"/>
              <a:gd name="connsiteX9373" fmla="*/ 8088314 w 12192000"/>
              <a:gd name="connsiteY9373" fmla="*/ 3477497 h 6858000"/>
              <a:gd name="connsiteX9374" fmla="*/ 8056110 w 12192000"/>
              <a:gd name="connsiteY9374" fmla="*/ 3507149 h 6858000"/>
              <a:gd name="connsiteX9375" fmla="*/ 8134643 w 12192000"/>
              <a:gd name="connsiteY9375" fmla="*/ 3507149 h 6858000"/>
              <a:gd name="connsiteX9376" fmla="*/ 8102427 w 12192000"/>
              <a:gd name="connsiteY9376" fmla="*/ 3477497 h 6858000"/>
              <a:gd name="connsiteX9377" fmla="*/ 8134643 w 12192000"/>
              <a:gd name="connsiteY9377" fmla="*/ 3447845 h 6858000"/>
              <a:gd name="connsiteX9378" fmla="*/ 8166847 w 12192000"/>
              <a:gd name="connsiteY9378" fmla="*/ 3477497 h 6858000"/>
              <a:gd name="connsiteX9379" fmla="*/ 8134643 w 12192000"/>
              <a:gd name="connsiteY9379" fmla="*/ 3507149 h 6858000"/>
              <a:gd name="connsiteX9380" fmla="*/ 8213177 w 12192000"/>
              <a:gd name="connsiteY9380" fmla="*/ 3507149 h 6858000"/>
              <a:gd name="connsiteX9381" fmla="*/ 8180961 w 12192000"/>
              <a:gd name="connsiteY9381" fmla="*/ 3477497 h 6858000"/>
              <a:gd name="connsiteX9382" fmla="*/ 8213177 w 12192000"/>
              <a:gd name="connsiteY9382" fmla="*/ 3447845 h 6858000"/>
              <a:gd name="connsiteX9383" fmla="*/ 8245382 w 12192000"/>
              <a:gd name="connsiteY9383" fmla="*/ 3477497 h 6858000"/>
              <a:gd name="connsiteX9384" fmla="*/ 8213177 w 12192000"/>
              <a:gd name="connsiteY9384" fmla="*/ 3507149 h 6858000"/>
              <a:gd name="connsiteX9385" fmla="*/ 8291712 w 12192000"/>
              <a:gd name="connsiteY9385" fmla="*/ 3507149 h 6858000"/>
              <a:gd name="connsiteX9386" fmla="*/ 8259495 w 12192000"/>
              <a:gd name="connsiteY9386" fmla="*/ 3477497 h 6858000"/>
              <a:gd name="connsiteX9387" fmla="*/ 8291712 w 12192000"/>
              <a:gd name="connsiteY9387" fmla="*/ 3447845 h 6858000"/>
              <a:gd name="connsiteX9388" fmla="*/ 8323916 w 12192000"/>
              <a:gd name="connsiteY9388" fmla="*/ 3477497 h 6858000"/>
              <a:gd name="connsiteX9389" fmla="*/ 8291712 w 12192000"/>
              <a:gd name="connsiteY9389" fmla="*/ 3507149 h 6858000"/>
              <a:gd name="connsiteX9390" fmla="*/ 8370245 w 12192000"/>
              <a:gd name="connsiteY9390" fmla="*/ 3507149 h 6858000"/>
              <a:gd name="connsiteX9391" fmla="*/ 8338029 w 12192000"/>
              <a:gd name="connsiteY9391" fmla="*/ 3477497 h 6858000"/>
              <a:gd name="connsiteX9392" fmla="*/ 8370245 w 12192000"/>
              <a:gd name="connsiteY9392" fmla="*/ 3447845 h 6858000"/>
              <a:gd name="connsiteX9393" fmla="*/ 8402449 w 12192000"/>
              <a:gd name="connsiteY9393" fmla="*/ 3477497 h 6858000"/>
              <a:gd name="connsiteX9394" fmla="*/ 8370245 w 12192000"/>
              <a:gd name="connsiteY9394" fmla="*/ 3507149 h 6858000"/>
              <a:gd name="connsiteX9395" fmla="*/ 8448779 w 12192000"/>
              <a:gd name="connsiteY9395" fmla="*/ 3507149 h 6858000"/>
              <a:gd name="connsiteX9396" fmla="*/ 8416563 w 12192000"/>
              <a:gd name="connsiteY9396" fmla="*/ 3477497 h 6858000"/>
              <a:gd name="connsiteX9397" fmla="*/ 8448779 w 12192000"/>
              <a:gd name="connsiteY9397" fmla="*/ 3447845 h 6858000"/>
              <a:gd name="connsiteX9398" fmla="*/ 8480983 w 12192000"/>
              <a:gd name="connsiteY9398" fmla="*/ 3477497 h 6858000"/>
              <a:gd name="connsiteX9399" fmla="*/ 8448779 w 12192000"/>
              <a:gd name="connsiteY9399" fmla="*/ 3507149 h 6858000"/>
              <a:gd name="connsiteX9400" fmla="*/ 8527313 w 12192000"/>
              <a:gd name="connsiteY9400" fmla="*/ 3507149 h 6858000"/>
              <a:gd name="connsiteX9401" fmla="*/ 8495097 w 12192000"/>
              <a:gd name="connsiteY9401" fmla="*/ 3477497 h 6858000"/>
              <a:gd name="connsiteX9402" fmla="*/ 8527313 w 12192000"/>
              <a:gd name="connsiteY9402" fmla="*/ 3447845 h 6858000"/>
              <a:gd name="connsiteX9403" fmla="*/ 8559518 w 12192000"/>
              <a:gd name="connsiteY9403" fmla="*/ 3477497 h 6858000"/>
              <a:gd name="connsiteX9404" fmla="*/ 8527313 w 12192000"/>
              <a:gd name="connsiteY9404" fmla="*/ 3507149 h 6858000"/>
              <a:gd name="connsiteX9405" fmla="*/ 8605847 w 12192000"/>
              <a:gd name="connsiteY9405" fmla="*/ 3507149 h 6858000"/>
              <a:gd name="connsiteX9406" fmla="*/ 8573630 w 12192000"/>
              <a:gd name="connsiteY9406" fmla="*/ 3477497 h 6858000"/>
              <a:gd name="connsiteX9407" fmla="*/ 8605847 w 12192000"/>
              <a:gd name="connsiteY9407" fmla="*/ 3447845 h 6858000"/>
              <a:gd name="connsiteX9408" fmla="*/ 8638051 w 12192000"/>
              <a:gd name="connsiteY9408" fmla="*/ 3477497 h 6858000"/>
              <a:gd name="connsiteX9409" fmla="*/ 8605847 w 12192000"/>
              <a:gd name="connsiteY9409" fmla="*/ 3507149 h 6858000"/>
              <a:gd name="connsiteX9410" fmla="*/ 8684381 w 12192000"/>
              <a:gd name="connsiteY9410" fmla="*/ 3507149 h 6858000"/>
              <a:gd name="connsiteX9411" fmla="*/ 8652165 w 12192000"/>
              <a:gd name="connsiteY9411" fmla="*/ 3477497 h 6858000"/>
              <a:gd name="connsiteX9412" fmla="*/ 8684381 w 12192000"/>
              <a:gd name="connsiteY9412" fmla="*/ 3447845 h 6858000"/>
              <a:gd name="connsiteX9413" fmla="*/ 8716585 w 12192000"/>
              <a:gd name="connsiteY9413" fmla="*/ 3477497 h 6858000"/>
              <a:gd name="connsiteX9414" fmla="*/ 8684381 w 12192000"/>
              <a:gd name="connsiteY9414" fmla="*/ 3507149 h 6858000"/>
              <a:gd name="connsiteX9415" fmla="*/ 8762914 w 12192000"/>
              <a:gd name="connsiteY9415" fmla="*/ 3507149 h 6858000"/>
              <a:gd name="connsiteX9416" fmla="*/ 8730698 w 12192000"/>
              <a:gd name="connsiteY9416" fmla="*/ 3477497 h 6858000"/>
              <a:gd name="connsiteX9417" fmla="*/ 8762914 w 12192000"/>
              <a:gd name="connsiteY9417" fmla="*/ 3447845 h 6858000"/>
              <a:gd name="connsiteX9418" fmla="*/ 8795118 w 12192000"/>
              <a:gd name="connsiteY9418" fmla="*/ 3477497 h 6858000"/>
              <a:gd name="connsiteX9419" fmla="*/ 8762914 w 12192000"/>
              <a:gd name="connsiteY9419" fmla="*/ 3507149 h 6858000"/>
              <a:gd name="connsiteX9420" fmla="*/ 8841448 w 12192000"/>
              <a:gd name="connsiteY9420" fmla="*/ 3507149 h 6858000"/>
              <a:gd name="connsiteX9421" fmla="*/ 8809232 w 12192000"/>
              <a:gd name="connsiteY9421" fmla="*/ 3477497 h 6858000"/>
              <a:gd name="connsiteX9422" fmla="*/ 8841448 w 12192000"/>
              <a:gd name="connsiteY9422" fmla="*/ 3447845 h 6858000"/>
              <a:gd name="connsiteX9423" fmla="*/ 8873653 w 12192000"/>
              <a:gd name="connsiteY9423" fmla="*/ 3477497 h 6858000"/>
              <a:gd name="connsiteX9424" fmla="*/ 8841448 w 12192000"/>
              <a:gd name="connsiteY9424" fmla="*/ 3507149 h 6858000"/>
              <a:gd name="connsiteX9425" fmla="*/ 8919983 w 12192000"/>
              <a:gd name="connsiteY9425" fmla="*/ 3507149 h 6858000"/>
              <a:gd name="connsiteX9426" fmla="*/ 8887766 w 12192000"/>
              <a:gd name="connsiteY9426" fmla="*/ 3477497 h 6858000"/>
              <a:gd name="connsiteX9427" fmla="*/ 8919983 w 12192000"/>
              <a:gd name="connsiteY9427" fmla="*/ 3447845 h 6858000"/>
              <a:gd name="connsiteX9428" fmla="*/ 8952187 w 12192000"/>
              <a:gd name="connsiteY9428" fmla="*/ 3477497 h 6858000"/>
              <a:gd name="connsiteX9429" fmla="*/ 8919983 w 12192000"/>
              <a:gd name="connsiteY9429" fmla="*/ 3507149 h 6858000"/>
              <a:gd name="connsiteX9430" fmla="*/ 8998516 w 12192000"/>
              <a:gd name="connsiteY9430" fmla="*/ 3507149 h 6858000"/>
              <a:gd name="connsiteX9431" fmla="*/ 8966300 w 12192000"/>
              <a:gd name="connsiteY9431" fmla="*/ 3477497 h 6858000"/>
              <a:gd name="connsiteX9432" fmla="*/ 8998516 w 12192000"/>
              <a:gd name="connsiteY9432" fmla="*/ 3447845 h 6858000"/>
              <a:gd name="connsiteX9433" fmla="*/ 9030720 w 12192000"/>
              <a:gd name="connsiteY9433" fmla="*/ 3477497 h 6858000"/>
              <a:gd name="connsiteX9434" fmla="*/ 8998516 w 12192000"/>
              <a:gd name="connsiteY9434" fmla="*/ 3507149 h 6858000"/>
              <a:gd name="connsiteX9435" fmla="*/ 9077050 w 12192000"/>
              <a:gd name="connsiteY9435" fmla="*/ 3507149 h 6858000"/>
              <a:gd name="connsiteX9436" fmla="*/ 9044834 w 12192000"/>
              <a:gd name="connsiteY9436" fmla="*/ 3477497 h 6858000"/>
              <a:gd name="connsiteX9437" fmla="*/ 9077050 w 12192000"/>
              <a:gd name="connsiteY9437" fmla="*/ 3447845 h 6858000"/>
              <a:gd name="connsiteX9438" fmla="*/ 9109254 w 12192000"/>
              <a:gd name="connsiteY9438" fmla="*/ 3477497 h 6858000"/>
              <a:gd name="connsiteX9439" fmla="*/ 9077050 w 12192000"/>
              <a:gd name="connsiteY9439" fmla="*/ 3507149 h 6858000"/>
              <a:gd name="connsiteX9440" fmla="*/ 9155583 w 12192000"/>
              <a:gd name="connsiteY9440" fmla="*/ 3507149 h 6858000"/>
              <a:gd name="connsiteX9441" fmla="*/ 9123367 w 12192000"/>
              <a:gd name="connsiteY9441" fmla="*/ 3477497 h 6858000"/>
              <a:gd name="connsiteX9442" fmla="*/ 9155583 w 12192000"/>
              <a:gd name="connsiteY9442" fmla="*/ 3447845 h 6858000"/>
              <a:gd name="connsiteX9443" fmla="*/ 9187788 w 12192000"/>
              <a:gd name="connsiteY9443" fmla="*/ 3477497 h 6858000"/>
              <a:gd name="connsiteX9444" fmla="*/ 9155583 w 12192000"/>
              <a:gd name="connsiteY9444" fmla="*/ 3507149 h 6858000"/>
              <a:gd name="connsiteX9445" fmla="*/ 9234118 w 12192000"/>
              <a:gd name="connsiteY9445" fmla="*/ 3507149 h 6858000"/>
              <a:gd name="connsiteX9446" fmla="*/ 9201901 w 12192000"/>
              <a:gd name="connsiteY9446" fmla="*/ 3477497 h 6858000"/>
              <a:gd name="connsiteX9447" fmla="*/ 9234118 w 12192000"/>
              <a:gd name="connsiteY9447" fmla="*/ 3447845 h 6858000"/>
              <a:gd name="connsiteX9448" fmla="*/ 9266322 w 12192000"/>
              <a:gd name="connsiteY9448" fmla="*/ 3477497 h 6858000"/>
              <a:gd name="connsiteX9449" fmla="*/ 9234118 w 12192000"/>
              <a:gd name="connsiteY9449" fmla="*/ 3507149 h 6858000"/>
              <a:gd name="connsiteX9450" fmla="*/ 9312652 w 12192000"/>
              <a:gd name="connsiteY9450" fmla="*/ 3507149 h 6858000"/>
              <a:gd name="connsiteX9451" fmla="*/ 9280436 w 12192000"/>
              <a:gd name="connsiteY9451" fmla="*/ 3477497 h 6858000"/>
              <a:gd name="connsiteX9452" fmla="*/ 9312652 w 12192000"/>
              <a:gd name="connsiteY9452" fmla="*/ 3447845 h 6858000"/>
              <a:gd name="connsiteX9453" fmla="*/ 9344856 w 12192000"/>
              <a:gd name="connsiteY9453" fmla="*/ 3477497 h 6858000"/>
              <a:gd name="connsiteX9454" fmla="*/ 9312652 w 12192000"/>
              <a:gd name="connsiteY9454" fmla="*/ 3507149 h 6858000"/>
              <a:gd name="connsiteX9455" fmla="*/ 9391185 w 12192000"/>
              <a:gd name="connsiteY9455" fmla="*/ 3507149 h 6858000"/>
              <a:gd name="connsiteX9456" fmla="*/ 9358969 w 12192000"/>
              <a:gd name="connsiteY9456" fmla="*/ 3477497 h 6858000"/>
              <a:gd name="connsiteX9457" fmla="*/ 9391185 w 12192000"/>
              <a:gd name="connsiteY9457" fmla="*/ 3447845 h 6858000"/>
              <a:gd name="connsiteX9458" fmla="*/ 9423389 w 12192000"/>
              <a:gd name="connsiteY9458" fmla="*/ 3477497 h 6858000"/>
              <a:gd name="connsiteX9459" fmla="*/ 9391185 w 12192000"/>
              <a:gd name="connsiteY9459" fmla="*/ 3507149 h 6858000"/>
              <a:gd name="connsiteX9460" fmla="*/ 2637243 w 12192000"/>
              <a:gd name="connsiteY9460" fmla="*/ 3434883 h 6858000"/>
              <a:gd name="connsiteX9461" fmla="*/ 2605032 w 12192000"/>
              <a:gd name="connsiteY9461" fmla="*/ 3405231 h 6858000"/>
              <a:gd name="connsiteX9462" fmla="*/ 2637243 w 12192000"/>
              <a:gd name="connsiteY9462" fmla="*/ 3375579 h 6858000"/>
              <a:gd name="connsiteX9463" fmla="*/ 2669453 w 12192000"/>
              <a:gd name="connsiteY9463" fmla="*/ 3405231 h 6858000"/>
              <a:gd name="connsiteX9464" fmla="*/ 2637243 w 12192000"/>
              <a:gd name="connsiteY9464" fmla="*/ 3434883 h 6858000"/>
              <a:gd name="connsiteX9465" fmla="*/ 2715777 w 12192000"/>
              <a:gd name="connsiteY9465" fmla="*/ 3434883 h 6858000"/>
              <a:gd name="connsiteX9466" fmla="*/ 2683566 w 12192000"/>
              <a:gd name="connsiteY9466" fmla="*/ 3405231 h 6858000"/>
              <a:gd name="connsiteX9467" fmla="*/ 2715777 w 12192000"/>
              <a:gd name="connsiteY9467" fmla="*/ 3375579 h 6858000"/>
              <a:gd name="connsiteX9468" fmla="*/ 2747987 w 12192000"/>
              <a:gd name="connsiteY9468" fmla="*/ 3405231 h 6858000"/>
              <a:gd name="connsiteX9469" fmla="*/ 2715777 w 12192000"/>
              <a:gd name="connsiteY9469" fmla="*/ 3434883 h 6858000"/>
              <a:gd name="connsiteX9470" fmla="*/ 2794310 w 12192000"/>
              <a:gd name="connsiteY9470" fmla="*/ 3434883 h 6858000"/>
              <a:gd name="connsiteX9471" fmla="*/ 2762100 w 12192000"/>
              <a:gd name="connsiteY9471" fmla="*/ 3405231 h 6858000"/>
              <a:gd name="connsiteX9472" fmla="*/ 2794310 w 12192000"/>
              <a:gd name="connsiteY9472" fmla="*/ 3375579 h 6858000"/>
              <a:gd name="connsiteX9473" fmla="*/ 2826520 w 12192000"/>
              <a:gd name="connsiteY9473" fmla="*/ 3405231 h 6858000"/>
              <a:gd name="connsiteX9474" fmla="*/ 2794310 w 12192000"/>
              <a:gd name="connsiteY9474" fmla="*/ 3434883 h 6858000"/>
              <a:gd name="connsiteX9475" fmla="*/ 2872844 w 12192000"/>
              <a:gd name="connsiteY9475" fmla="*/ 3434883 h 6858000"/>
              <a:gd name="connsiteX9476" fmla="*/ 2840634 w 12192000"/>
              <a:gd name="connsiteY9476" fmla="*/ 3405231 h 6858000"/>
              <a:gd name="connsiteX9477" fmla="*/ 2872844 w 12192000"/>
              <a:gd name="connsiteY9477" fmla="*/ 3375579 h 6858000"/>
              <a:gd name="connsiteX9478" fmla="*/ 2905055 w 12192000"/>
              <a:gd name="connsiteY9478" fmla="*/ 3405231 h 6858000"/>
              <a:gd name="connsiteX9479" fmla="*/ 2872844 w 12192000"/>
              <a:gd name="connsiteY9479" fmla="*/ 3434883 h 6858000"/>
              <a:gd name="connsiteX9480" fmla="*/ 2951379 w 12192000"/>
              <a:gd name="connsiteY9480" fmla="*/ 3434883 h 6858000"/>
              <a:gd name="connsiteX9481" fmla="*/ 2919168 w 12192000"/>
              <a:gd name="connsiteY9481" fmla="*/ 3405231 h 6858000"/>
              <a:gd name="connsiteX9482" fmla="*/ 2951379 w 12192000"/>
              <a:gd name="connsiteY9482" fmla="*/ 3375579 h 6858000"/>
              <a:gd name="connsiteX9483" fmla="*/ 2983589 w 12192000"/>
              <a:gd name="connsiteY9483" fmla="*/ 3405231 h 6858000"/>
              <a:gd name="connsiteX9484" fmla="*/ 2951379 w 12192000"/>
              <a:gd name="connsiteY9484" fmla="*/ 3434883 h 6858000"/>
              <a:gd name="connsiteX9485" fmla="*/ 3029912 w 12192000"/>
              <a:gd name="connsiteY9485" fmla="*/ 3434883 h 6858000"/>
              <a:gd name="connsiteX9486" fmla="*/ 2997701 w 12192000"/>
              <a:gd name="connsiteY9486" fmla="*/ 3405231 h 6858000"/>
              <a:gd name="connsiteX9487" fmla="*/ 3029912 w 12192000"/>
              <a:gd name="connsiteY9487" fmla="*/ 3375579 h 6858000"/>
              <a:gd name="connsiteX9488" fmla="*/ 3062122 w 12192000"/>
              <a:gd name="connsiteY9488" fmla="*/ 3405231 h 6858000"/>
              <a:gd name="connsiteX9489" fmla="*/ 3029912 w 12192000"/>
              <a:gd name="connsiteY9489" fmla="*/ 3434883 h 6858000"/>
              <a:gd name="connsiteX9490" fmla="*/ 3108446 w 12192000"/>
              <a:gd name="connsiteY9490" fmla="*/ 3434883 h 6858000"/>
              <a:gd name="connsiteX9491" fmla="*/ 3076236 w 12192000"/>
              <a:gd name="connsiteY9491" fmla="*/ 3405231 h 6858000"/>
              <a:gd name="connsiteX9492" fmla="*/ 3108446 w 12192000"/>
              <a:gd name="connsiteY9492" fmla="*/ 3375579 h 6858000"/>
              <a:gd name="connsiteX9493" fmla="*/ 3140656 w 12192000"/>
              <a:gd name="connsiteY9493" fmla="*/ 3405231 h 6858000"/>
              <a:gd name="connsiteX9494" fmla="*/ 3108446 w 12192000"/>
              <a:gd name="connsiteY9494" fmla="*/ 3434883 h 6858000"/>
              <a:gd name="connsiteX9495" fmla="*/ 3186979 w 12192000"/>
              <a:gd name="connsiteY9495" fmla="*/ 3434883 h 6858000"/>
              <a:gd name="connsiteX9496" fmla="*/ 3154769 w 12192000"/>
              <a:gd name="connsiteY9496" fmla="*/ 3405231 h 6858000"/>
              <a:gd name="connsiteX9497" fmla="*/ 3186979 w 12192000"/>
              <a:gd name="connsiteY9497" fmla="*/ 3375579 h 6858000"/>
              <a:gd name="connsiteX9498" fmla="*/ 3219190 w 12192000"/>
              <a:gd name="connsiteY9498" fmla="*/ 3405231 h 6858000"/>
              <a:gd name="connsiteX9499" fmla="*/ 3186979 w 12192000"/>
              <a:gd name="connsiteY9499" fmla="*/ 3434883 h 6858000"/>
              <a:gd name="connsiteX9500" fmla="*/ 3579650 w 12192000"/>
              <a:gd name="connsiteY9500" fmla="*/ 3434883 h 6858000"/>
              <a:gd name="connsiteX9501" fmla="*/ 3547439 w 12192000"/>
              <a:gd name="connsiteY9501" fmla="*/ 3405231 h 6858000"/>
              <a:gd name="connsiteX9502" fmla="*/ 3579650 w 12192000"/>
              <a:gd name="connsiteY9502" fmla="*/ 3375579 h 6858000"/>
              <a:gd name="connsiteX9503" fmla="*/ 3611860 w 12192000"/>
              <a:gd name="connsiteY9503" fmla="*/ 3405231 h 6858000"/>
              <a:gd name="connsiteX9504" fmla="*/ 3579650 w 12192000"/>
              <a:gd name="connsiteY9504" fmla="*/ 3434883 h 6858000"/>
              <a:gd name="connsiteX9505" fmla="*/ 5700069 w 12192000"/>
              <a:gd name="connsiteY9505" fmla="*/ 3434883 h 6858000"/>
              <a:gd name="connsiteX9506" fmla="*/ 5667853 w 12192000"/>
              <a:gd name="connsiteY9506" fmla="*/ 3405231 h 6858000"/>
              <a:gd name="connsiteX9507" fmla="*/ 5700069 w 12192000"/>
              <a:gd name="connsiteY9507" fmla="*/ 3375579 h 6858000"/>
              <a:gd name="connsiteX9508" fmla="*/ 5732274 w 12192000"/>
              <a:gd name="connsiteY9508" fmla="*/ 3405231 h 6858000"/>
              <a:gd name="connsiteX9509" fmla="*/ 5700069 w 12192000"/>
              <a:gd name="connsiteY9509" fmla="*/ 3434883 h 6858000"/>
              <a:gd name="connsiteX9510" fmla="*/ 5778604 w 12192000"/>
              <a:gd name="connsiteY9510" fmla="*/ 3434883 h 6858000"/>
              <a:gd name="connsiteX9511" fmla="*/ 5746387 w 12192000"/>
              <a:gd name="connsiteY9511" fmla="*/ 3405231 h 6858000"/>
              <a:gd name="connsiteX9512" fmla="*/ 5778604 w 12192000"/>
              <a:gd name="connsiteY9512" fmla="*/ 3375579 h 6858000"/>
              <a:gd name="connsiteX9513" fmla="*/ 5810808 w 12192000"/>
              <a:gd name="connsiteY9513" fmla="*/ 3405231 h 6858000"/>
              <a:gd name="connsiteX9514" fmla="*/ 5778604 w 12192000"/>
              <a:gd name="connsiteY9514" fmla="*/ 3434883 h 6858000"/>
              <a:gd name="connsiteX9515" fmla="*/ 5857137 w 12192000"/>
              <a:gd name="connsiteY9515" fmla="*/ 3434883 h 6858000"/>
              <a:gd name="connsiteX9516" fmla="*/ 5824920 w 12192000"/>
              <a:gd name="connsiteY9516" fmla="*/ 3405231 h 6858000"/>
              <a:gd name="connsiteX9517" fmla="*/ 5857137 w 12192000"/>
              <a:gd name="connsiteY9517" fmla="*/ 3375579 h 6858000"/>
              <a:gd name="connsiteX9518" fmla="*/ 5889341 w 12192000"/>
              <a:gd name="connsiteY9518" fmla="*/ 3405231 h 6858000"/>
              <a:gd name="connsiteX9519" fmla="*/ 5857137 w 12192000"/>
              <a:gd name="connsiteY9519" fmla="*/ 3434883 h 6858000"/>
              <a:gd name="connsiteX9520" fmla="*/ 5935671 w 12192000"/>
              <a:gd name="connsiteY9520" fmla="*/ 3434883 h 6858000"/>
              <a:gd name="connsiteX9521" fmla="*/ 5903455 w 12192000"/>
              <a:gd name="connsiteY9521" fmla="*/ 3405231 h 6858000"/>
              <a:gd name="connsiteX9522" fmla="*/ 5935671 w 12192000"/>
              <a:gd name="connsiteY9522" fmla="*/ 3375579 h 6858000"/>
              <a:gd name="connsiteX9523" fmla="*/ 5967875 w 12192000"/>
              <a:gd name="connsiteY9523" fmla="*/ 3405231 h 6858000"/>
              <a:gd name="connsiteX9524" fmla="*/ 5935671 w 12192000"/>
              <a:gd name="connsiteY9524" fmla="*/ 3434883 h 6858000"/>
              <a:gd name="connsiteX9525" fmla="*/ 6014205 w 12192000"/>
              <a:gd name="connsiteY9525" fmla="*/ 3434883 h 6858000"/>
              <a:gd name="connsiteX9526" fmla="*/ 5981989 w 12192000"/>
              <a:gd name="connsiteY9526" fmla="*/ 3405231 h 6858000"/>
              <a:gd name="connsiteX9527" fmla="*/ 6014205 w 12192000"/>
              <a:gd name="connsiteY9527" fmla="*/ 3375579 h 6858000"/>
              <a:gd name="connsiteX9528" fmla="*/ 6046410 w 12192000"/>
              <a:gd name="connsiteY9528" fmla="*/ 3405231 h 6858000"/>
              <a:gd name="connsiteX9529" fmla="*/ 6014205 w 12192000"/>
              <a:gd name="connsiteY9529" fmla="*/ 3434883 h 6858000"/>
              <a:gd name="connsiteX9530" fmla="*/ 6092739 w 12192000"/>
              <a:gd name="connsiteY9530" fmla="*/ 3434883 h 6858000"/>
              <a:gd name="connsiteX9531" fmla="*/ 6060522 w 12192000"/>
              <a:gd name="connsiteY9531" fmla="*/ 3405231 h 6858000"/>
              <a:gd name="connsiteX9532" fmla="*/ 6092739 w 12192000"/>
              <a:gd name="connsiteY9532" fmla="*/ 3375579 h 6858000"/>
              <a:gd name="connsiteX9533" fmla="*/ 6124943 w 12192000"/>
              <a:gd name="connsiteY9533" fmla="*/ 3405231 h 6858000"/>
              <a:gd name="connsiteX9534" fmla="*/ 6092739 w 12192000"/>
              <a:gd name="connsiteY9534" fmla="*/ 3434883 h 6858000"/>
              <a:gd name="connsiteX9535" fmla="*/ 6171273 w 12192000"/>
              <a:gd name="connsiteY9535" fmla="*/ 3434883 h 6858000"/>
              <a:gd name="connsiteX9536" fmla="*/ 6139056 w 12192000"/>
              <a:gd name="connsiteY9536" fmla="*/ 3405231 h 6858000"/>
              <a:gd name="connsiteX9537" fmla="*/ 6171273 w 12192000"/>
              <a:gd name="connsiteY9537" fmla="*/ 3375579 h 6858000"/>
              <a:gd name="connsiteX9538" fmla="*/ 6203477 w 12192000"/>
              <a:gd name="connsiteY9538" fmla="*/ 3405231 h 6858000"/>
              <a:gd name="connsiteX9539" fmla="*/ 6171273 w 12192000"/>
              <a:gd name="connsiteY9539" fmla="*/ 3434883 h 6858000"/>
              <a:gd name="connsiteX9540" fmla="*/ 6249806 w 12192000"/>
              <a:gd name="connsiteY9540" fmla="*/ 3434883 h 6858000"/>
              <a:gd name="connsiteX9541" fmla="*/ 6217590 w 12192000"/>
              <a:gd name="connsiteY9541" fmla="*/ 3405231 h 6858000"/>
              <a:gd name="connsiteX9542" fmla="*/ 6249806 w 12192000"/>
              <a:gd name="connsiteY9542" fmla="*/ 3375579 h 6858000"/>
              <a:gd name="connsiteX9543" fmla="*/ 6282010 w 12192000"/>
              <a:gd name="connsiteY9543" fmla="*/ 3405231 h 6858000"/>
              <a:gd name="connsiteX9544" fmla="*/ 6249806 w 12192000"/>
              <a:gd name="connsiteY9544" fmla="*/ 3434883 h 6858000"/>
              <a:gd name="connsiteX9545" fmla="*/ 6328340 w 12192000"/>
              <a:gd name="connsiteY9545" fmla="*/ 3434883 h 6858000"/>
              <a:gd name="connsiteX9546" fmla="*/ 6296124 w 12192000"/>
              <a:gd name="connsiteY9546" fmla="*/ 3405231 h 6858000"/>
              <a:gd name="connsiteX9547" fmla="*/ 6328340 w 12192000"/>
              <a:gd name="connsiteY9547" fmla="*/ 3375579 h 6858000"/>
              <a:gd name="connsiteX9548" fmla="*/ 6360545 w 12192000"/>
              <a:gd name="connsiteY9548" fmla="*/ 3405231 h 6858000"/>
              <a:gd name="connsiteX9549" fmla="*/ 6328340 w 12192000"/>
              <a:gd name="connsiteY9549" fmla="*/ 3434883 h 6858000"/>
              <a:gd name="connsiteX9550" fmla="*/ 6406875 w 12192000"/>
              <a:gd name="connsiteY9550" fmla="*/ 3434883 h 6858000"/>
              <a:gd name="connsiteX9551" fmla="*/ 6374658 w 12192000"/>
              <a:gd name="connsiteY9551" fmla="*/ 3405231 h 6858000"/>
              <a:gd name="connsiteX9552" fmla="*/ 6406875 w 12192000"/>
              <a:gd name="connsiteY9552" fmla="*/ 3375579 h 6858000"/>
              <a:gd name="connsiteX9553" fmla="*/ 6439079 w 12192000"/>
              <a:gd name="connsiteY9553" fmla="*/ 3405231 h 6858000"/>
              <a:gd name="connsiteX9554" fmla="*/ 6406875 w 12192000"/>
              <a:gd name="connsiteY9554" fmla="*/ 3434883 h 6858000"/>
              <a:gd name="connsiteX9555" fmla="*/ 6485408 w 12192000"/>
              <a:gd name="connsiteY9555" fmla="*/ 3434883 h 6858000"/>
              <a:gd name="connsiteX9556" fmla="*/ 6453191 w 12192000"/>
              <a:gd name="connsiteY9556" fmla="*/ 3405231 h 6858000"/>
              <a:gd name="connsiteX9557" fmla="*/ 6485408 w 12192000"/>
              <a:gd name="connsiteY9557" fmla="*/ 3375579 h 6858000"/>
              <a:gd name="connsiteX9558" fmla="*/ 6517612 w 12192000"/>
              <a:gd name="connsiteY9558" fmla="*/ 3405231 h 6858000"/>
              <a:gd name="connsiteX9559" fmla="*/ 6485408 w 12192000"/>
              <a:gd name="connsiteY9559" fmla="*/ 3434883 h 6858000"/>
              <a:gd name="connsiteX9560" fmla="*/ 6563942 w 12192000"/>
              <a:gd name="connsiteY9560" fmla="*/ 3434883 h 6858000"/>
              <a:gd name="connsiteX9561" fmla="*/ 6531726 w 12192000"/>
              <a:gd name="connsiteY9561" fmla="*/ 3405231 h 6858000"/>
              <a:gd name="connsiteX9562" fmla="*/ 6563942 w 12192000"/>
              <a:gd name="connsiteY9562" fmla="*/ 3375579 h 6858000"/>
              <a:gd name="connsiteX9563" fmla="*/ 6596146 w 12192000"/>
              <a:gd name="connsiteY9563" fmla="*/ 3405231 h 6858000"/>
              <a:gd name="connsiteX9564" fmla="*/ 6563942 w 12192000"/>
              <a:gd name="connsiteY9564" fmla="*/ 3434883 h 6858000"/>
              <a:gd name="connsiteX9565" fmla="*/ 6642476 w 12192000"/>
              <a:gd name="connsiteY9565" fmla="*/ 3434883 h 6858000"/>
              <a:gd name="connsiteX9566" fmla="*/ 6610260 w 12192000"/>
              <a:gd name="connsiteY9566" fmla="*/ 3405231 h 6858000"/>
              <a:gd name="connsiteX9567" fmla="*/ 6642476 w 12192000"/>
              <a:gd name="connsiteY9567" fmla="*/ 3375579 h 6858000"/>
              <a:gd name="connsiteX9568" fmla="*/ 6674681 w 12192000"/>
              <a:gd name="connsiteY9568" fmla="*/ 3405231 h 6858000"/>
              <a:gd name="connsiteX9569" fmla="*/ 6642476 w 12192000"/>
              <a:gd name="connsiteY9569" fmla="*/ 3434883 h 6858000"/>
              <a:gd name="connsiteX9570" fmla="*/ 6721010 w 12192000"/>
              <a:gd name="connsiteY9570" fmla="*/ 3434883 h 6858000"/>
              <a:gd name="connsiteX9571" fmla="*/ 6688793 w 12192000"/>
              <a:gd name="connsiteY9571" fmla="*/ 3405231 h 6858000"/>
              <a:gd name="connsiteX9572" fmla="*/ 6721010 w 12192000"/>
              <a:gd name="connsiteY9572" fmla="*/ 3375579 h 6858000"/>
              <a:gd name="connsiteX9573" fmla="*/ 6753214 w 12192000"/>
              <a:gd name="connsiteY9573" fmla="*/ 3405231 h 6858000"/>
              <a:gd name="connsiteX9574" fmla="*/ 6721010 w 12192000"/>
              <a:gd name="connsiteY9574" fmla="*/ 3434883 h 6858000"/>
              <a:gd name="connsiteX9575" fmla="*/ 6799544 w 12192000"/>
              <a:gd name="connsiteY9575" fmla="*/ 3434883 h 6858000"/>
              <a:gd name="connsiteX9576" fmla="*/ 6767327 w 12192000"/>
              <a:gd name="connsiteY9576" fmla="*/ 3405231 h 6858000"/>
              <a:gd name="connsiteX9577" fmla="*/ 6799544 w 12192000"/>
              <a:gd name="connsiteY9577" fmla="*/ 3375579 h 6858000"/>
              <a:gd name="connsiteX9578" fmla="*/ 6831748 w 12192000"/>
              <a:gd name="connsiteY9578" fmla="*/ 3405231 h 6858000"/>
              <a:gd name="connsiteX9579" fmla="*/ 6799544 w 12192000"/>
              <a:gd name="connsiteY9579" fmla="*/ 3434883 h 6858000"/>
              <a:gd name="connsiteX9580" fmla="*/ 6878077 w 12192000"/>
              <a:gd name="connsiteY9580" fmla="*/ 3434883 h 6858000"/>
              <a:gd name="connsiteX9581" fmla="*/ 6845861 w 12192000"/>
              <a:gd name="connsiteY9581" fmla="*/ 3405231 h 6858000"/>
              <a:gd name="connsiteX9582" fmla="*/ 6878077 w 12192000"/>
              <a:gd name="connsiteY9582" fmla="*/ 3375579 h 6858000"/>
              <a:gd name="connsiteX9583" fmla="*/ 6910281 w 12192000"/>
              <a:gd name="connsiteY9583" fmla="*/ 3405231 h 6858000"/>
              <a:gd name="connsiteX9584" fmla="*/ 6878077 w 12192000"/>
              <a:gd name="connsiteY9584" fmla="*/ 3434883 h 6858000"/>
              <a:gd name="connsiteX9585" fmla="*/ 6956611 w 12192000"/>
              <a:gd name="connsiteY9585" fmla="*/ 3434883 h 6858000"/>
              <a:gd name="connsiteX9586" fmla="*/ 6924395 w 12192000"/>
              <a:gd name="connsiteY9586" fmla="*/ 3405231 h 6858000"/>
              <a:gd name="connsiteX9587" fmla="*/ 6956611 w 12192000"/>
              <a:gd name="connsiteY9587" fmla="*/ 3375579 h 6858000"/>
              <a:gd name="connsiteX9588" fmla="*/ 6988816 w 12192000"/>
              <a:gd name="connsiteY9588" fmla="*/ 3405231 h 6858000"/>
              <a:gd name="connsiteX9589" fmla="*/ 6956611 w 12192000"/>
              <a:gd name="connsiteY9589" fmla="*/ 3434883 h 6858000"/>
              <a:gd name="connsiteX9590" fmla="*/ 7035146 w 12192000"/>
              <a:gd name="connsiteY9590" fmla="*/ 3434883 h 6858000"/>
              <a:gd name="connsiteX9591" fmla="*/ 7002929 w 12192000"/>
              <a:gd name="connsiteY9591" fmla="*/ 3405231 h 6858000"/>
              <a:gd name="connsiteX9592" fmla="*/ 7035146 w 12192000"/>
              <a:gd name="connsiteY9592" fmla="*/ 3375579 h 6858000"/>
              <a:gd name="connsiteX9593" fmla="*/ 7067350 w 12192000"/>
              <a:gd name="connsiteY9593" fmla="*/ 3405231 h 6858000"/>
              <a:gd name="connsiteX9594" fmla="*/ 7035146 w 12192000"/>
              <a:gd name="connsiteY9594" fmla="*/ 3434883 h 6858000"/>
              <a:gd name="connsiteX9595" fmla="*/ 7113703 w 12192000"/>
              <a:gd name="connsiteY9595" fmla="*/ 3434883 h 6858000"/>
              <a:gd name="connsiteX9596" fmla="*/ 7081487 w 12192000"/>
              <a:gd name="connsiteY9596" fmla="*/ 3405231 h 6858000"/>
              <a:gd name="connsiteX9597" fmla="*/ 7113703 w 12192000"/>
              <a:gd name="connsiteY9597" fmla="*/ 3375579 h 6858000"/>
              <a:gd name="connsiteX9598" fmla="*/ 7145907 w 12192000"/>
              <a:gd name="connsiteY9598" fmla="*/ 3405231 h 6858000"/>
              <a:gd name="connsiteX9599" fmla="*/ 7113703 w 12192000"/>
              <a:gd name="connsiteY9599" fmla="*/ 3434883 h 6858000"/>
              <a:gd name="connsiteX9600" fmla="*/ 7192237 w 12192000"/>
              <a:gd name="connsiteY9600" fmla="*/ 3434883 h 6858000"/>
              <a:gd name="connsiteX9601" fmla="*/ 7160021 w 12192000"/>
              <a:gd name="connsiteY9601" fmla="*/ 3405231 h 6858000"/>
              <a:gd name="connsiteX9602" fmla="*/ 7192237 w 12192000"/>
              <a:gd name="connsiteY9602" fmla="*/ 3375579 h 6858000"/>
              <a:gd name="connsiteX9603" fmla="*/ 7224441 w 12192000"/>
              <a:gd name="connsiteY9603" fmla="*/ 3405231 h 6858000"/>
              <a:gd name="connsiteX9604" fmla="*/ 7192237 w 12192000"/>
              <a:gd name="connsiteY9604" fmla="*/ 3434883 h 6858000"/>
              <a:gd name="connsiteX9605" fmla="*/ 7270771 w 12192000"/>
              <a:gd name="connsiteY9605" fmla="*/ 3434883 h 6858000"/>
              <a:gd name="connsiteX9606" fmla="*/ 7238555 w 12192000"/>
              <a:gd name="connsiteY9606" fmla="*/ 3405231 h 6858000"/>
              <a:gd name="connsiteX9607" fmla="*/ 7270771 w 12192000"/>
              <a:gd name="connsiteY9607" fmla="*/ 3375579 h 6858000"/>
              <a:gd name="connsiteX9608" fmla="*/ 7302976 w 12192000"/>
              <a:gd name="connsiteY9608" fmla="*/ 3405231 h 6858000"/>
              <a:gd name="connsiteX9609" fmla="*/ 7270771 w 12192000"/>
              <a:gd name="connsiteY9609" fmla="*/ 3434883 h 6858000"/>
              <a:gd name="connsiteX9610" fmla="*/ 7427839 w 12192000"/>
              <a:gd name="connsiteY9610" fmla="*/ 3434883 h 6858000"/>
              <a:gd name="connsiteX9611" fmla="*/ 7395623 w 12192000"/>
              <a:gd name="connsiteY9611" fmla="*/ 3405231 h 6858000"/>
              <a:gd name="connsiteX9612" fmla="*/ 7427839 w 12192000"/>
              <a:gd name="connsiteY9612" fmla="*/ 3375579 h 6858000"/>
              <a:gd name="connsiteX9613" fmla="*/ 7460043 w 12192000"/>
              <a:gd name="connsiteY9613" fmla="*/ 3405231 h 6858000"/>
              <a:gd name="connsiteX9614" fmla="*/ 7427839 w 12192000"/>
              <a:gd name="connsiteY9614" fmla="*/ 3434883 h 6858000"/>
              <a:gd name="connsiteX9615" fmla="*/ 7506373 w 12192000"/>
              <a:gd name="connsiteY9615" fmla="*/ 3434883 h 6858000"/>
              <a:gd name="connsiteX9616" fmla="*/ 7474157 w 12192000"/>
              <a:gd name="connsiteY9616" fmla="*/ 3405231 h 6858000"/>
              <a:gd name="connsiteX9617" fmla="*/ 7506373 w 12192000"/>
              <a:gd name="connsiteY9617" fmla="*/ 3375579 h 6858000"/>
              <a:gd name="connsiteX9618" fmla="*/ 7538577 w 12192000"/>
              <a:gd name="connsiteY9618" fmla="*/ 3405231 h 6858000"/>
              <a:gd name="connsiteX9619" fmla="*/ 7506373 w 12192000"/>
              <a:gd name="connsiteY9619" fmla="*/ 3434883 h 6858000"/>
              <a:gd name="connsiteX9620" fmla="*/ 7584906 w 12192000"/>
              <a:gd name="connsiteY9620" fmla="*/ 3434883 h 6858000"/>
              <a:gd name="connsiteX9621" fmla="*/ 7552690 w 12192000"/>
              <a:gd name="connsiteY9621" fmla="*/ 3405231 h 6858000"/>
              <a:gd name="connsiteX9622" fmla="*/ 7584906 w 12192000"/>
              <a:gd name="connsiteY9622" fmla="*/ 3375579 h 6858000"/>
              <a:gd name="connsiteX9623" fmla="*/ 7617111 w 12192000"/>
              <a:gd name="connsiteY9623" fmla="*/ 3405231 h 6858000"/>
              <a:gd name="connsiteX9624" fmla="*/ 7584906 w 12192000"/>
              <a:gd name="connsiteY9624" fmla="*/ 3434883 h 6858000"/>
              <a:gd name="connsiteX9625" fmla="*/ 7663441 w 12192000"/>
              <a:gd name="connsiteY9625" fmla="*/ 3434883 h 6858000"/>
              <a:gd name="connsiteX9626" fmla="*/ 7631224 w 12192000"/>
              <a:gd name="connsiteY9626" fmla="*/ 3405231 h 6858000"/>
              <a:gd name="connsiteX9627" fmla="*/ 7663441 w 12192000"/>
              <a:gd name="connsiteY9627" fmla="*/ 3375579 h 6858000"/>
              <a:gd name="connsiteX9628" fmla="*/ 7695645 w 12192000"/>
              <a:gd name="connsiteY9628" fmla="*/ 3405231 h 6858000"/>
              <a:gd name="connsiteX9629" fmla="*/ 7663441 w 12192000"/>
              <a:gd name="connsiteY9629" fmla="*/ 3434883 h 6858000"/>
              <a:gd name="connsiteX9630" fmla="*/ 7741974 w 12192000"/>
              <a:gd name="connsiteY9630" fmla="*/ 3434883 h 6858000"/>
              <a:gd name="connsiteX9631" fmla="*/ 7709758 w 12192000"/>
              <a:gd name="connsiteY9631" fmla="*/ 3405231 h 6858000"/>
              <a:gd name="connsiteX9632" fmla="*/ 7741974 w 12192000"/>
              <a:gd name="connsiteY9632" fmla="*/ 3375579 h 6858000"/>
              <a:gd name="connsiteX9633" fmla="*/ 7774178 w 12192000"/>
              <a:gd name="connsiteY9633" fmla="*/ 3405231 h 6858000"/>
              <a:gd name="connsiteX9634" fmla="*/ 7741974 w 12192000"/>
              <a:gd name="connsiteY9634" fmla="*/ 3434883 h 6858000"/>
              <a:gd name="connsiteX9635" fmla="*/ 7820508 w 12192000"/>
              <a:gd name="connsiteY9635" fmla="*/ 3434883 h 6858000"/>
              <a:gd name="connsiteX9636" fmla="*/ 7788292 w 12192000"/>
              <a:gd name="connsiteY9636" fmla="*/ 3405231 h 6858000"/>
              <a:gd name="connsiteX9637" fmla="*/ 7820508 w 12192000"/>
              <a:gd name="connsiteY9637" fmla="*/ 3375579 h 6858000"/>
              <a:gd name="connsiteX9638" fmla="*/ 7852712 w 12192000"/>
              <a:gd name="connsiteY9638" fmla="*/ 3405231 h 6858000"/>
              <a:gd name="connsiteX9639" fmla="*/ 7820508 w 12192000"/>
              <a:gd name="connsiteY9639" fmla="*/ 3434883 h 6858000"/>
              <a:gd name="connsiteX9640" fmla="*/ 7899042 w 12192000"/>
              <a:gd name="connsiteY9640" fmla="*/ 3434883 h 6858000"/>
              <a:gd name="connsiteX9641" fmla="*/ 7866826 w 12192000"/>
              <a:gd name="connsiteY9641" fmla="*/ 3405231 h 6858000"/>
              <a:gd name="connsiteX9642" fmla="*/ 7899042 w 12192000"/>
              <a:gd name="connsiteY9642" fmla="*/ 3375579 h 6858000"/>
              <a:gd name="connsiteX9643" fmla="*/ 7931247 w 12192000"/>
              <a:gd name="connsiteY9643" fmla="*/ 3405231 h 6858000"/>
              <a:gd name="connsiteX9644" fmla="*/ 7899042 w 12192000"/>
              <a:gd name="connsiteY9644" fmla="*/ 3434883 h 6858000"/>
              <a:gd name="connsiteX9645" fmla="*/ 7977576 w 12192000"/>
              <a:gd name="connsiteY9645" fmla="*/ 3434883 h 6858000"/>
              <a:gd name="connsiteX9646" fmla="*/ 7945359 w 12192000"/>
              <a:gd name="connsiteY9646" fmla="*/ 3405231 h 6858000"/>
              <a:gd name="connsiteX9647" fmla="*/ 7977576 w 12192000"/>
              <a:gd name="connsiteY9647" fmla="*/ 3375579 h 6858000"/>
              <a:gd name="connsiteX9648" fmla="*/ 8009780 w 12192000"/>
              <a:gd name="connsiteY9648" fmla="*/ 3405231 h 6858000"/>
              <a:gd name="connsiteX9649" fmla="*/ 7977576 w 12192000"/>
              <a:gd name="connsiteY9649" fmla="*/ 3434883 h 6858000"/>
              <a:gd name="connsiteX9650" fmla="*/ 8056110 w 12192000"/>
              <a:gd name="connsiteY9650" fmla="*/ 3434883 h 6858000"/>
              <a:gd name="connsiteX9651" fmla="*/ 8023894 w 12192000"/>
              <a:gd name="connsiteY9651" fmla="*/ 3405231 h 6858000"/>
              <a:gd name="connsiteX9652" fmla="*/ 8056110 w 12192000"/>
              <a:gd name="connsiteY9652" fmla="*/ 3375579 h 6858000"/>
              <a:gd name="connsiteX9653" fmla="*/ 8088314 w 12192000"/>
              <a:gd name="connsiteY9653" fmla="*/ 3405231 h 6858000"/>
              <a:gd name="connsiteX9654" fmla="*/ 8056110 w 12192000"/>
              <a:gd name="connsiteY9654" fmla="*/ 3434883 h 6858000"/>
              <a:gd name="connsiteX9655" fmla="*/ 8134643 w 12192000"/>
              <a:gd name="connsiteY9655" fmla="*/ 3434883 h 6858000"/>
              <a:gd name="connsiteX9656" fmla="*/ 8102427 w 12192000"/>
              <a:gd name="connsiteY9656" fmla="*/ 3405231 h 6858000"/>
              <a:gd name="connsiteX9657" fmla="*/ 8134643 w 12192000"/>
              <a:gd name="connsiteY9657" fmla="*/ 3375579 h 6858000"/>
              <a:gd name="connsiteX9658" fmla="*/ 8166847 w 12192000"/>
              <a:gd name="connsiteY9658" fmla="*/ 3405231 h 6858000"/>
              <a:gd name="connsiteX9659" fmla="*/ 8134643 w 12192000"/>
              <a:gd name="connsiteY9659" fmla="*/ 3434883 h 6858000"/>
              <a:gd name="connsiteX9660" fmla="*/ 8213177 w 12192000"/>
              <a:gd name="connsiteY9660" fmla="*/ 3434883 h 6858000"/>
              <a:gd name="connsiteX9661" fmla="*/ 8180961 w 12192000"/>
              <a:gd name="connsiteY9661" fmla="*/ 3405231 h 6858000"/>
              <a:gd name="connsiteX9662" fmla="*/ 8213177 w 12192000"/>
              <a:gd name="connsiteY9662" fmla="*/ 3375579 h 6858000"/>
              <a:gd name="connsiteX9663" fmla="*/ 8245382 w 12192000"/>
              <a:gd name="connsiteY9663" fmla="*/ 3405231 h 6858000"/>
              <a:gd name="connsiteX9664" fmla="*/ 8213177 w 12192000"/>
              <a:gd name="connsiteY9664" fmla="*/ 3434883 h 6858000"/>
              <a:gd name="connsiteX9665" fmla="*/ 8291712 w 12192000"/>
              <a:gd name="connsiteY9665" fmla="*/ 3434883 h 6858000"/>
              <a:gd name="connsiteX9666" fmla="*/ 8259495 w 12192000"/>
              <a:gd name="connsiteY9666" fmla="*/ 3405231 h 6858000"/>
              <a:gd name="connsiteX9667" fmla="*/ 8291712 w 12192000"/>
              <a:gd name="connsiteY9667" fmla="*/ 3375579 h 6858000"/>
              <a:gd name="connsiteX9668" fmla="*/ 8323916 w 12192000"/>
              <a:gd name="connsiteY9668" fmla="*/ 3405231 h 6858000"/>
              <a:gd name="connsiteX9669" fmla="*/ 8291712 w 12192000"/>
              <a:gd name="connsiteY9669" fmla="*/ 3434883 h 6858000"/>
              <a:gd name="connsiteX9670" fmla="*/ 8370245 w 12192000"/>
              <a:gd name="connsiteY9670" fmla="*/ 3434883 h 6858000"/>
              <a:gd name="connsiteX9671" fmla="*/ 8338029 w 12192000"/>
              <a:gd name="connsiteY9671" fmla="*/ 3405231 h 6858000"/>
              <a:gd name="connsiteX9672" fmla="*/ 8370245 w 12192000"/>
              <a:gd name="connsiteY9672" fmla="*/ 3375579 h 6858000"/>
              <a:gd name="connsiteX9673" fmla="*/ 8402449 w 12192000"/>
              <a:gd name="connsiteY9673" fmla="*/ 3405231 h 6858000"/>
              <a:gd name="connsiteX9674" fmla="*/ 8370245 w 12192000"/>
              <a:gd name="connsiteY9674" fmla="*/ 3434883 h 6858000"/>
              <a:gd name="connsiteX9675" fmla="*/ 8448779 w 12192000"/>
              <a:gd name="connsiteY9675" fmla="*/ 3434883 h 6858000"/>
              <a:gd name="connsiteX9676" fmla="*/ 8416563 w 12192000"/>
              <a:gd name="connsiteY9676" fmla="*/ 3405231 h 6858000"/>
              <a:gd name="connsiteX9677" fmla="*/ 8448779 w 12192000"/>
              <a:gd name="connsiteY9677" fmla="*/ 3375579 h 6858000"/>
              <a:gd name="connsiteX9678" fmla="*/ 8480983 w 12192000"/>
              <a:gd name="connsiteY9678" fmla="*/ 3405231 h 6858000"/>
              <a:gd name="connsiteX9679" fmla="*/ 8448779 w 12192000"/>
              <a:gd name="connsiteY9679" fmla="*/ 3434883 h 6858000"/>
              <a:gd name="connsiteX9680" fmla="*/ 8527313 w 12192000"/>
              <a:gd name="connsiteY9680" fmla="*/ 3434883 h 6858000"/>
              <a:gd name="connsiteX9681" fmla="*/ 8495097 w 12192000"/>
              <a:gd name="connsiteY9681" fmla="*/ 3405231 h 6858000"/>
              <a:gd name="connsiteX9682" fmla="*/ 8527313 w 12192000"/>
              <a:gd name="connsiteY9682" fmla="*/ 3375579 h 6858000"/>
              <a:gd name="connsiteX9683" fmla="*/ 8559518 w 12192000"/>
              <a:gd name="connsiteY9683" fmla="*/ 3405231 h 6858000"/>
              <a:gd name="connsiteX9684" fmla="*/ 8527313 w 12192000"/>
              <a:gd name="connsiteY9684" fmla="*/ 3434883 h 6858000"/>
              <a:gd name="connsiteX9685" fmla="*/ 8605847 w 12192000"/>
              <a:gd name="connsiteY9685" fmla="*/ 3434883 h 6858000"/>
              <a:gd name="connsiteX9686" fmla="*/ 8573630 w 12192000"/>
              <a:gd name="connsiteY9686" fmla="*/ 3405231 h 6858000"/>
              <a:gd name="connsiteX9687" fmla="*/ 8605847 w 12192000"/>
              <a:gd name="connsiteY9687" fmla="*/ 3375579 h 6858000"/>
              <a:gd name="connsiteX9688" fmla="*/ 8638051 w 12192000"/>
              <a:gd name="connsiteY9688" fmla="*/ 3405231 h 6858000"/>
              <a:gd name="connsiteX9689" fmla="*/ 8605847 w 12192000"/>
              <a:gd name="connsiteY9689" fmla="*/ 3434883 h 6858000"/>
              <a:gd name="connsiteX9690" fmla="*/ 8684381 w 12192000"/>
              <a:gd name="connsiteY9690" fmla="*/ 3434883 h 6858000"/>
              <a:gd name="connsiteX9691" fmla="*/ 8652165 w 12192000"/>
              <a:gd name="connsiteY9691" fmla="*/ 3405231 h 6858000"/>
              <a:gd name="connsiteX9692" fmla="*/ 8684381 w 12192000"/>
              <a:gd name="connsiteY9692" fmla="*/ 3375579 h 6858000"/>
              <a:gd name="connsiteX9693" fmla="*/ 8716585 w 12192000"/>
              <a:gd name="connsiteY9693" fmla="*/ 3405231 h 6858000"/>
              <a:gd name="connsiteX9694" fmla="*/ 8684381 w 12192000"/>
              <a:gd name="connsiteY9694" fmla="*/ 3434883 h 6858000"/>
              <a:gd name="connsiteX9695" fmla="*/ 8762914 w 12192000"/>
              <a:gd name="connsiteY9695" fmla="*/ 3434883 h 6858000"/>
              <a:gd name="connsiteX9696" fmla="*/ 8730698 w 12192000"/>
              <a:gd name="connsiteY9696" fmla="*/ 3405231 h 6858000"/>
              <a:gd name="connsiteX9697" fmla="*/ 8762914 w 12192000"/>
              <a:gd name="connsiteY9697" fmla="*/ 3375579 h 6858000"/>
              <a:gd name="connsiteX9698" fmla="*/ 8795118 w 12192000"/>
              <a:gd name="connsiteY9698" fmla="*/ 3405231 h 6858000"/>
              <a:gd name="connsiteX9699" fmla="*/ 8762914 w 12192000"/>
              <a:gd name="connsiteY9699" fmla="*/ 3434883 h 6858000"/>
              <a:gd name="connsiteX9700" fmla="*/ 8841448 w 12192000"/>
              <a:gd name="connsiteY9700" fmla="*/ 3434883 h 6858000"/>
              <a:gd name="connsiteX9701" fmla="*/ 8809232 w 12192000"/>
              <a:gd name="connsiteY9701" fmla="*/ 3405231 h 6858000"/>
              <a:gd name="connsiteX9702" fmla="*/ 8841448 w 12192000"/>
              <a:gd name="connsiteY9702" fmla="*/ 3375579 h 6858000"/>
              <a:gd name="connsiteX9703" fmla="*/ 8873653 w 12192000"/>
              <a:gd name="connsiteY9703" fmla="*/ 3405231 h 6858000"/>
              <a:gd name="connsiteX9704" fmla="*/ 8841448 w 12192000"/>
              <a:gd name="connsiteY9704" fmla="*/ 3434883 h 6858000"/>
              <a:gd name="connsiteX9705" fmla="*/ 8919983 w 12192000"/>
              <a:gd name="connsiteY9705" fmla="*/ 3434883 h 6858000"/>
              <a:gd name="connsiteX9706" fmla="*/ 8887766 w 12192000"/>
              <a:gd name="connsiteY9706" fmla="*/ 3405231 h 6858000"/>
              <a:gd name="connsiteX9707" fmla="*/ 8919983 w 12192000"/>
              <a:gd name="connsiteY9707" fmla="*/ 3375579 h 6858000"/>
              <a:gd name="connsiteX9708" fmla="*/ 8952187 w 12192000"/>
              <a:gd name="connsiteY9708" fmla="*/ 3405231 h 6858000"/>
              <a:gd name="connsiteX9709" fmla="*/ 8919983 w 12192000"/>
              <a:gd name="connsiteY9709" fmla="*/ 3434883 h 6858000"/>
              <a:gd name="connsiteX9710" fmla="*/ 8998516 w 12192000"/>
              <a:gd name="connsiteY9710" fmla="*/ 3434883 h 6858000"/>
              <a:gd name="connsiteX9711" fmla="*/ 8966300 w 12192000"/>
              <a:gd name="connsiteY9711" fmla="*/ 3405231 h 6858000"/>
              <a:gd name="connsiteX9712" fmla="*/ 8998516 w 12192000"/>
              <a:gd name="connsiteY9712" fmla="*/ 3375579 h 6858000"/>
              <a:gd name="connsiteX9713" fmla="*/ 9030720 w 12192000"/>
              <a:gd name="connsiteY9713" fmla="*/ 3405231 h 6858000"/>
              <a:gd name="connsiteX9714" fmla="*/ 8998516 w 12192000"/>
              <a:gd name="connsiteY9714" fmla="*/ 3434883 h 6858000"/>
              <a:gd name="connsiteX9715" fmla="*/ 9077050 w 12192000"/>
              <a:gd name="connsiteY9715" fmla="*/ 3434883 h 6858000"/>
              <a:gd name="connsiteX9716" fmla="*/ 9044834 w 12192000"/>
              <a:gd name="connsiteY9716" fmla="*/ 3405231 h 6858000"/>
              <a:gd name="connsiteX9717" fmla="*/ 9077050 w 12192000"/>
              <a:gd name="connsiteY9717" fmla="*/ 3375579 h 6858000"/>
              <a:gd name="connsiteX9718" fmla="*/ 9109254 w 12192000"/>
              <a:gd name="connsiteY9718" fmla="*/ 3405231 h 6858000"/>
              <a:gd name="connsiteX9719" fmla="*/ 9077050 w 12192000"/>
              <a:gd name="connsiteY9719" fmla="*/ 3434883 h 6858000"/>
              <a:gd name="connsiteX9720" fmla="*/ 9155583 w 12192000"/>
              <a:gd name="connsiteY9720" fmla="*/ 3434883 h 6858000"/>
              <a:gd name="connsiteX9721" fmla="*/ 9123367 w 12192000"/>
              <a:gd name="connsiteY9721" fmla="*/ 3405231 h 6858000"/>
              <a:gd name="connsiteX9722" fmla="*/ 9155583 w 12192000"/>
              <a:gd name="connsiteY9722" fmla="*/ 3375579 h 6858000"/>
              <a:gd name="connsiteX9723" fmla="*/ 9187788 w 12192000"/>
              <a:gd name="connsiteY9723" fmla="*/ 3405231 h 6858000"/>
              <a:gd name="connsiteX9724" fmla="*/ 9155583 w 12192000"/>
              <a:gd name="connsiteY9724" fmla="*/ 3434883 h 6858000"/>
              <a:gd name="connsiteX9725" fmla="*/ 9234118 w 12192000"/>
              <a:gd name="connsiteY9725" fmla="*/ 3434883 h 6858000"/>
              <a:gd name="connsiteX9726" fmla="*/ 9201901 w 12192000"/>
              <a:gd name="connsiteY9726" fmla="*/ 3405231 h 6858000"/>
              <a:gd name="connsiteX9727" fmla="*/ 9234118 w 12192000"/>
              <a:gd name="connsiteY9727" fmla="*/ 3375579 h 6858000"/>
              <a:gd name="connsiteX9728" fmla="*/ 9266322 w 12192000"/>
              <a:gd name="connsiteY9728" fmla="*/ 3405231 h 6858000"/>
              <a:gd name="connsiteX9729" fmla="*/ 9234118 w 12192000"/>
              <a:gd name="connsiteY9729" fmla="*/ 3434883 h 6858000"/>
              <a:gd name="connsiteX9730" fmla="*/ 9312652 w 12192000"/>
              <a:gd name="connsiteY9730" fmla="*/ 3434883 h 6858000"/>
              <a:gd name="connsiteX9731" fmla="*/ 9280436 w 12192000"/>
              <a:gd name="connsiteY9731" fmla="*/ 3405231 h 6858000"/>
              <a:gd name="connsiteX9732" fmla="*/ 9312652 w 12192000"/>
              <a:gd name="connsiteY9732" fmla="*/ 3375579 h 6858000"/>
              <a:gd name="connsiteX9733" fmla="*/ 9344856 w 12192000"/>
              <a:gd name="connsiteY9733" fmla="*/ 3405231 h 6858000"/>
              <a:gd name="connsiteX9734" fmla="*/ 9312652 w 12192000"/>
              <a:gd name="connsiteY9734" fmla="*/ 3434883 h 6858000"/>
              <a:gd name="connsiteX9735" fmla="*/ 2715777 w 12192000"/>
              <a:gd name="connsiteY9735" fmla="*/ 3362618 h 6858000"/>
              <a:gd name="connsiteX9736" fmla="*/ 2683566 w 12192000"/>
              <a:gd name="connsiteY9736" fmla="*/ 3332966 h 6858000"/>
              <a:gd name="connsiteX9737" fmla="*/ 2715777 w 12192000"/>
              <a:gd name="connsiteY9737" fmla="*/ 3303314 h 6858000"/>
              <a:gd name="connsiteX9738" fmla="*/ 2747987 w 12192000"/>
              <a:gd name="connsiteY9738" fmla="*/ 3332966 h 6858000"/>
              <a:gd name="connsiteX9739" fmla="*/ 2715777 w 12192000"/>
              <a:gd name="connsiteY9739" fmla="*/ 3362618 h 6858000"/>
              <a:gd name="connsiteX9740" fmla="*/ 2872844 w 12192000"/>
              <a:gd name="connsiteY9740" fmla="*/ 3362618 h 6858000"/>
              <a:gd name="connsiteX9741" fmla="*/ 2840634 w 12192000"/>
              <a:gd name="connsiteY9741" fmla="*/ 3332966 h 6858000"/>
              <a:gd name="connsiteX9742" fmla="*/ 2872844 w 12192000"/>
              <a:gd name="connsiteY9742" fmla="*/ 3303314 h 6858000"/>
              <a:gd name="connsiteX9743" fmla="*/ 2905055 w 12192000"/>
              <a:gd name="connsiteY9743" fmla="*/ 3332966 h 6858000"/>
              <a:gd name="connsiteX9744" fmla="*/ 2872844 w 12192000"/>
              <a:gd name="connsiteY9744" fmla="*/ 3362618 h 6858000"/>
              <a:gd name="connsiteX9745" fmla="*/ 2951379 w 12192000"/>
              <a:gd name="connsiteY9745" fmla="*/ 3362618 h 6858000"/>
              <a:gd name="connsiteX9746" fmla="*/ 2919168 w 12192000"/>
              <a:gd name="connsiteY9746" fmla="*/ 3332966 h 6858000"/>
              <a:gd name="connsiteX9747" fmla="*/ 2951379 w 12192000"/>
              <a:gd name="connsiteY9747" fmla="*/ 3303314 h 6858000"/>
              <a:gd name="connsiteX9748" fmla="*/ 2983589 w 12192000"/>
              <a:gd name="connsiteY9748" fmla="*/ 3332966 h 6858000"/>
              <a:gd name="connsiteX9749" fmla="*/ 2951379 w 12192000"/>
              <a:gd name="connsiteY9749" fmla="*/ 3362618 h 6858000"/>
              <a:gd name="connsiteX9750" fmla="*/ 3029912 w 12192000"/>
              <a:gd name="connsiteY9750" fmla="*/ 3362618 h 6858000"/>
              <a:gd name="connsiteX9751" fmla="*/ 2997701 w 12192000"/>
              <a:gd name="connsiteY9751" fmla="*/ 3332966 h 6858000"/>
              <a:gd name="connsiteX9752" fmla="*/ 3029912 w 12192000"/>
              <a:gd name="connsiteY9752" fmla="*/ 3303314 h 6858000"/>
              <a:gd name="connsiteX9753" fmla="*/ 3062122 w 12192000"/>
              <a:gd name="connsiteY9753" fmla="*/ 3332966 h 6858000"/>
              <a:gd name="connsiteX9754" fmla="*/ 3029912 w 12192000"/>
              <a:gd name="connsiteY9754" fmla="*/ 3362618 h 6858000"/>
              <a:gd name="connsiteX9755" fmla="*/ 3108446 w 12192000"/>
              <a:gd name="connsiteY9755" fmla="*/ 3362618 h 6858000"/>
              <a:gd name="connsiteX9756" fmla="*/ 3076236 w 12192000"/>
              <a:gd name="connsiteY9756" fmla="*/ 3332966 h 6858000"/>
              <a:gd name="connsiteX9757" fmla="*/ 3108446 w 12192000"/>
              <a:gd name="connsiteY9757" fmla="*/ 3303314 h 6858000"/>
              <a:gd name="connsiteX9758" fmla="*/ 3140656 w 12192000"/>
              <a:gd name="connsiteY9758" fmla="*/ 3332966 h 6858000"/>
              <a:gd name="connsiteX9759" fmla="*/ 3108446 w 12192000"/>
              <a:gd name="connsiteY9759" fmla="*/ 3362618 h 6858000"/>
              <a:gd name="connsiteX9760" fmla="*/ 3658183 w 12192000"/>
              <a:gd name="connsiteY9760" fmla="*/ 3362618 h 6858000"/>
              <a:gd name="connsiteX9761" fmla="*/ 3625972 w 12192000"/>
              <a:gd name="connsiteY9761" fmla="*/ 3332966 h 6858000"/>
              <a:gd name="connsiteX9762" fmla="*/ 3658183 w 12192000"/>
              <a:gd name="connsiteY9762" fmla="*/ 3303314 h 6858000"/>
              <a:gd name="connsiteX9763" fmla="*/ 3690393 w 12192000"/>
              <a:gd name="connsiteY9763" fmla="*/ 3332966 h 6858000"/>
              <a:gd name="connsiteX9764" fmla="*/ 3658183 w 12192000"/>
              <a:gd name="connsiteY9764" fmla="*/ 3362618 h 6858000"/>
              <a:gd name="connsiteX9765" fmla="*/ 5621536 w 12192000"/>
              <a:gd name="connsiteY9765" fmla="*/ 3362618 h 6858000"/>
              <a:gd name="connsiteX9766" fmla="*/ 5589320 w 12192000"/>
              <a:gd name="connsiteY9766" fmla="*/ 3332966 h 6858000"/>
              <a:gd name="connsiteX9767" fmla="*/ 5621536 w 12192000"/>
              <a:gd name="connsiteY9767" fmla="*/ 3303314 h 6858000"/>
              <a:gd name="connsiteX9768" fmla="*/ 5653740 w 12192000"/>
              <a:gd name="connsiteY9768" fmla="*/ 3332966 h 6858000"/>
              <a:gd name="connsiteX9769" fmla="*/ 5621536 w 12192000"/>
              <a:gd name="connsiteY9769" fmla="*/ 3362618 h 6858000"/>
              <a:gd name="connsiteX9770" fmla="*/ 5700069 w 12192000"/>
              <a:gd name="connsiteY9770" fmla="*/ 3362618 h 6858000"/>
              <a:gd name="connsiteX9771" fmla="*/ 5667853 w 12192000"/>
              <a:gd name="connsiteY9771" fmla="*/ 3332966 h 6858000"/>
              <a:gd name="connsiteX9772" fmla="*/ 5700069 w 12192000"/>
              <a:gd name="connsiteY9772" fmla="*/ 3303314 h 6858000"/>
              <a:gd name="connsiteX9773" fmla="*/ 5732274 w 12192000"/>
              <a:gd name="connsiteY9773" fmla="*/ 3332966 h 6858000"/>
              <a:gd name="connsiteX9774" fmla="*/ 5700069 w 12192000"/>
              <a:gd name="connsiteY9774" fmla="*/ 3362618 h 6858000"/>
              <a:gd name="connsiteX9775" fmla="*/ 5778604 w 12192000"/>
              <a:gd name="connsiteY9775" fmla="*/ 3362618 h 6858000"/>
              <a:gd name="connsiteX9776" fmla="*/ 5746387 w 12192000"/>
              <a:gd name="connsiteY9776" fmla="*/ 3332966 h 6858000"/>
              <a:gd name="connsiteX9777" fmla="*/ 5778604 w 12192000"/>
              <a:gd name="connsiteY9777" fmla="*/ 3303314 h 6858000"/>
              <a:gd name="connsiteX9778" fmla="*/ 5810808 w 12192000"/>
              <a:gd name="connsiteY9778" fmla="*/ 3332966 h 6858000"/>
              <a:gd name="connsiteX9779" fmla="*/ 5778604 w 12192000"/>
              <a:gd name="connsiteY9779" fmla="*/ 3362618 h 6858000"/>
              <a:gd name="connsiteX9780" fmla="*/ 5857137 w 12192000"/>
              <a:gd name="connsiteY9780" fmla="*/ 3362618 h 6858000"/>
              <a:gd name="connsiteX9781" fmla="*/ 5824920 w 12192000"/>
              <a:gd name="connsiteY9781" fmla="*/ 3332966 h 6858000"/>
              <a:gd name="connsiteX9782" fmla="*/ 5857137 w 12192000"/>
              <a:gd name="connsiteY9782" fmla="*/ 3303314 h 6858000"/>
              <a:gd name="connsiteX9783" fmla="*/ 5889341 w 12192000"/>
              <a:gd name="connsiteY9783" fmla="*/ 3332966 h 6858000"/>
              <a:gd name="connsiteX9784" fmla="*/ 5857137 w 12192000"/>
              <a:gd name="connsiteY9784" fmla="*/ 3362618 h 6858000"/>
              <a:gd name="connsiteX9785" fmla="*/ 5935671 w 12192000"/>
              <a:gd name="connsiteY9785" fmla="*/ 3362618 h 6858000"/>
              <a:gd name="connsiteX9786" fmla="*/ 5903455 w 12192000"/>
              <a:gd name="connsiteY9786" fmla="*/ 3332966 h 6858000"/>
              <a:gd name="connsiteX9787" fmla="*/ 5935671 w 12192000"/>
              <a:gd name="connsiteY9787" fmla="*/ 3303314 h 6858000"/>
              <a:gd name="connsiteX9788" fmla="*/ 5967875 w 12192000"/>
              <a:gd name="connsiteY9788" fmla="*/ 3332966 h 6858000"/>
              <a:gd name="connsiteX9789" fmla="*/ 5935671 w 12192000"/>
              <a:gd name="connsiteY9789" fmla="*/ 3362618 h 6858000"/>
              <a:gd name="connsiteX9790" fmla="*/ 6014205 w 12192000"/>
              <a:gd name="connsiteY9790" fmla="*/ 3362618 h 6858000"/>
              <a:gd name="connsiteX9791" fmla="*/ 5981989 w 12192000"/>
              <a:gd name="connsiteY9791" fmla="*/ 3332966 h 6858000"/>
              <a:gd name="connsiteX9792" fmla="*/ 6014205 w 12192000"/>
              <a:gd name="connsiteY9792" fmla="*/ 3303314 h 6858000"/>
              <a:gd name="connsiteX9793" fmla="*/ 6046410 w 12192000"/>
              <a:gd name="connsiteY9793" fmla="*/ 3332966 h 6858000"/>
              <a:gd name="connsiteX9794" fmla="*/ 6014205 w 12192000"/>
              <a:gd name="connsiteY9794" fmla="*/ 3362618 h 6858000"/>
              <a:gd name="connsiteX9795" fmla="*/ 6092739 w 12192000"/>
              <a:gd name="connsiteY9795" fmla="*/ 3362618 h 6858000"/>
              <a:gd name="connsiteX9796" fmla="*/ 6060522 w 12192000"/>
              <a:gd name="connsiteY9796" fmla="*/ 3332966 h 6858000"/>
              <a:gd name="connsiteX9797" fmla="*/ 6092739 w 12192000"/>
              <a:gd name="connsiteY9797" fmla="*/ 3303314 h 6858000"/>
              <a:gd name="connsiteX9798" fmla="*/ 6124943 w 12192000"/>
              <a:gd name="connsiteY9798" fmla="*/ 3332966 h 6858000"/>
              <a:gd name="connsiteX9799" fmla="*/ 6092739 w 12192000"/>
              <a:gd name="connsiteY9799" fmla="*/ 3362618 h 6858000"/>
              <a:gd name="connsiteX9800" fmla="*/ 6171273 w 12192000"/>
              <a:gd name="connsiteY9800" fmla="*/ 3362618 h 6858000"/>
              <a:gd name="connsiteX9801" fmla="*/ 6139056 w 12192000"/>
              <a:gd name="connsiteY9801" fmla="*/ 3332966 h 6858000"/>
              <a:gd name="connsiteX9802" fmla="*/ 6171273 w 12192000"/>
              <a:gd name="connsiteY9802" fmla="*/ 3303314 h 6858000"/>
              <a:gd name="connsiteX9803" fmla="*/ 6203477 w 12192000"/>
              <a:gd name="connsiteY9803" fmla="*/ 3332966 h 6858000"/>
              <a:gd name="connsiteX9804" fmla="*/ 6171273 w 12192000"/>
              <a:gd name="connsiteY9804" fmla="*/ 3362618 h 6858000"/>
              <a:gd name="connsiteX9805" fmla="*/ 6249806 w 12192000"/>
              <a:gd name="connsiteY9805" fmla="*/ 3362618 h 6858000"/>
              <a:gd name="connsiteX9806" fmla="*/ 6217590 w 12192000"/>
              <a:gd name="connsiteY9806" fmla="*/ 3332966 h 6858000"/>
              <a:gd name="connsiteX9807" fmla="*/ 6249806 w 12192000"/>
              <a:gd name="connsiteY9807" fmla="*/ 3303314 h 6858000"/>
              <a:gd name="connsiteX9808" fmla="*/ 6282010 w 12192000"/>
              <a:gd name="connsiteY9808" fmla="*/ 3332966 h 6858000"/>
              <a:gd name="connsiteX9809" fmla="*/ 6249806 w 12192000"/>
              <a:gd name="connsiteY9809" fmla="*/ 3362618 h 6858000"/>
              <a:gd name="connsiteX9810" fmla="*/ 6328340 w 12192000"/>
              <a:gd name="connsiteY9810" fmla="*/ 3362618 h 6858000"/>
              <a:gd name="connsiteX9811" fmla="*/ 6296124 w 12192000"/>
              <a:gd name="connsiteY9811" fmla="*/ 3332966 h 6858000"/>
              <a:gd name="connsiteX9812" fmla="*/ 6328340 w 12192000"/>
              <a:gd name="connsiteY9812" fmla="*/ 3303314 h 6858000"/>
              <a:gd name="connsiteX9813" fmla="*/ 6360545 w 12192000"/>
              <a:gd name="connsiteY9813" fmla="*/ 3332966 h 6858000"/>
              <a:gd name="connsiteX9814" fmla="*/ 6328340 w 12192000"/>
              <a:gd name="connsiteY9814" fmla="*/ 3362618 h 6858000"/>
              <a:gd name="connsiteX9815" fmla="*/ 6406875 w 12192000"/>
              <a:gd name="connsiteY9815" fmla="*/ 3362618 h 6858000"/>
              <a:gd name="connsiteX9816" fmla="*/ 6374658 w 12192000"/>
              <a:gd name="connsiteY9816" fmla="*/ 3332966 h 6858000"/>
              <a:gd name="connsiteX9817" fmla="*/ 6406875 w 12192000"/>
              <a:gd name="connsiteY9817" fmla="*/ 3303314 h 6858000"/>
              <a:gd name="connsiteX9818" fmla="*/ 6439079 w 12192000"/>
              <a:gd name="connsiteY9818" fmla="*/ 3332966 h 6858000"/>
              <a:gd name="connsiteX9819" fmla="*/ 6406875 w 12192000"/>
              <a:gd name="connsiteY9819" fmla="*/ 3362618 h 6858000"/>
              <a:gd name="connsiteX9820" fmla="*/ 6485408 w 12192000"/>
              <a:gd name="connsiteY9820" fmla="*/ 3362618 h 6858000"/>
              <a:gd name="connsiteX9821" fmla="*/ 6453191 w 12192000"/>
              <a:gd name="connsiteY9821" fmla="*/ 3332966 h 6858000"/>
              <a:gd name="connsiteX9822" fmla="*/ 6485408 w 12192000"/>
              <a:gd name="connsiteY9822" fmla="*/ 3303314 h 6858000"/>
              <a:gd name="connsiteX9823" fmla="*/ 6517612 w 12192000"/>
              <a:gd name="connsiteY9823" fmla="*/ 3332966 h 6858000"/>
              <a:gd name="connsiteX9824" fmla="*/ 6485408 w 12192000"/>
              <a:gd name="connsiteY9824" fmla="*/ 3362618 h 6858000"/>
              <a:gd name="connsiteX9825" fmla="*/ 6563942 w 12192000"/>
              <a:gd name="connsiteY9825" fmla="*/ 3362618 h 6858000"/>
              <a:gd name="connsiteX9826" fmla="*/ 6531726 w 12192000"/>
              <a:gd name="connsiteY9826" fmla="*/ 3332966 h 6858000"/>
              <a:gd name="connsiteX9827" fmla="*/ 6563942 w 12192000"/>
              <a:gd name="connsiteY9827" fmla="*/ 3303314 h 6858000"/>
              <a:gd name="connsiteX9828" fmla="*/ 6596146 w 12192000"/>
              <a:gd name="connsiteY9828" fmla="*/ 3332966 h 6858000"/>
              <a:gd name="connsiteX9829" fmla="*/ 6563942 w 12192000"/>
              <a:gd name="connsiteY9829" fmla="*/ 3362618 h 6858000"/>
              <a:gd name="connsiteX9830" fmla="*/ 6642476 w 12192000"/>
              <a:gd name="connsiteY9830" fmla="*/ 3362618 h 6858000"/>
              <a:gd name="connsiteX9831" fmla="*/ 6610260 w 12192000"/>
              <a:gd name="connsiteY9831" fmla="*/ 3332966 h 6858000"/>
              <a:gd name="connsiteX9832" fmla="*/ 6642476 w 12192000"/>
              <a:gd name="connsiteY9832" fmla="*/ 3303314 h 6858000"/>
              <a:gd name="connsiteX9833" fmla="*/ 6674681 w 12192000"/>
              <a:gd name="connsiteY9833" fmla="*/ 3332966 h 6858000"/>
              <a:gd name="connsiteX9834" fmla="*/ 6642476 w 12192000"/>
              <a:gd name="connsiteY9834" fmla="*/ 3362618 h 6858000"/>
              <a:gd name="connsiteX9835" fmla="*/ 6721010 w 12192000"/>
              <a:gd name="connsiteY9835" fmla="*/ 3362618 h 6858000"/>
              <a:gd name="connsiteX9836" fmla="*/ 6688793 w 12192000"/>
              <a:gd name="connsiteY9836" fmla="*/ 3332966 h 6858000"/>
              <a:gd name="connsiteX9837" fmla="*/ 6721010 w 12192000"/>
              <a:gd name="connsiteY9837" fmla="*/ 3303314 h 6858000"/>
              <a:gd name="connsiteX9838" fmla="*/ 6753214 w 12192000"/>
              <a:gd name="connsiteY9838" fmla="*/ 3332966 h 6858000"/>
              <a:gd name="connsiteX9839" fmla="*/ 6721010 w 12192000"/>
              <a:gd name="connsiteY9839" fmla="*/ 3362618 h 6858000"/>
              <a:gd name="connsiteX9840" fmla="*/ 6799544 w 12192000"/>
              <a:gd name="connsiteY9840" fmla="*/ 3362618 h 6858000"/>
              <a:gd name="connsiteX9841" fmla="*/ 6767327 w 12192000"/>
              <a:gd name="connsiteY9841" fmla="*/ 3332966 h 6858000"/>
              <a:gd name="connsiteX9842" fmla="*/ 6799544 w 12192000"/>
              <a:gd name="connsiteY9842" fmla="*/ 3303314 h 6858000"/>
              <a:gd name="connsiteX9843" fmla="*/ 6831748 w 12192000"/>
              <a:gd name="connsiteY9843" fmla="*/ 3332966 h 6858000"/>
              <a:gd name="connsiteX9844" fmla="*/ 6799544 w 12192000"/>
              <a:gd name="connsiteY9844" fmla="*/ 3362618 h 6858000"/>
              <a:gd name="connsiteX9845" fmla="*/ 6878077 w 12192000"/>
              <a:gd name="connsiteY9845" fmla="*/ 3362618 h 6858000"/>
              <a:gd name="connsiteX9846" fmla="*/ 6845861 w 12192000"/>
              <a:gd name="connsiteY9846" fmla="*/ 3332966 h 6858000"/>
              <a:gd name="connsiteX9847" fmla="*/ 6878077 w 12192000"/>
              <a:gd name="connsiteY9847" fmla="*/ 3303314 h 6858000"/>
              <a:gd name="connsiteX9848" fmla="*/ 6910281 w 12192000"/>
              <a:gd name="connsiteY9848" fmla="*/ 3332966 h 6858000"/>
              <a:gd name="connsiteX9849" fmla="*/ 6878077 w 12192000"/>
              <a:gd name="connsiteY9849" fmla="*/ 3362618 h 6858000"/>
              <a:gd name="connsiteX9850" fmla="*/ 7035146 w 12192000"/>
              <a:gd name="connsiteY9850" fmla="*/ 3362618 h 6858000"/>
              <a:gd name="connsiteX9851" fmla="*/ 7002929 w 12192000"/>
              <a:gd name="connsiteY9851" fmla="*/ 3332966 h 6858000"/>
              <a:gd name="connsiteX9852" fmla="*/ 7035146 w 12192000"/>
              <a:gd name="connsiteY9852" fmla="*/ 3303314 h 6858000"/>
              <a:gd name="connsiteX9853" fmla="*/ 7067350 w 12192000"/>
              <a:gd name="connsiteY9853" fmla="*/ 3332966 h 6858000"/>
              <a:gd name="connsiteX9854" fmla="*/ 7035146 w 12192000"/>
              <a:gd name="connsiteY9854" fmla="*/ 3362618 h 6858000"/>
              <a:gd name="connsiteX9855" fmla="*/ 7113703 w 12192000"/>
              <a:gd name="connsiteY9855" fmla="*/ 3362618 h 6858000"/>
              <a:gd name="connsiteX9856" fmla="*/ 7081487 w 12192000"/>
              <a:gd name="connsiteY9856" fmla="*/ 3332966 h 6858000"/>
              <a:gd name="connsiteX9857" fmla="*/ 7113703 w 12192000"/>
              <a:gd name="connsiteY9857" fmla="*/ 3303314 h 6858000"/>
              <a:gd name="connsiteX9858" fmla="*/ 7145907 w 12192000"/>
              <a:gd name="connsiteY9858" fmla="*/ 3332966 h 6858000"/>
              <a:gd name="connsiteX9859" fmla="*/ 7113703 w 12192000"/>
              <a:gd name="connsiteY9859" fmla="*/ 3362618 h 6858000"/>
              <a:gd name="connsiteX9860" fmla="*/ 7192237 w 12192000"/>
              <a:gd name="connsiteY9860" fmla="*/ 3362618 h 6858000"/>
              <a:gd name="connsiteX9861" fmla="*/ 7160021 w 12192000"/>
              <a:gd name="connsiteY9861" fmla="*/ 3332966 h 6858000"/>
              <a:gd name="connsiteX9862" fmla="*/ 7192237 w 12192000"/>
              <a:gd name="connsiteY9862" fmla="*/ 3303314 h 6858000"/>
              <a:gd name="connsiteX9863" fmla="*/ 7224441 w 12192000"/>
              <a:gd name="connsiteY9863" fmla="*/ 3332966 h 6858000"/>
              <a:gd name="connsiteX9864" fmla="*/ 7192237 w 12192000"/>
              <a:gd name="connsiteY9864" fmla="*/ 3362618 h 6858000"/>
              <a:gd name="connsiteX9865" fmla="*/ 7270771 w 12192000"/>
              <a:gd name="connsiteY9865" fmla="*/ 3362618 h 6858000"/>
              <a:gd name="connsiteX9866" fmla="*/ 7238555 w 12192000"/>
              <a:gd name="connsiteY9866" fmla="*/ 3332966 h 6858000"/>
              <a:gd name="connsiteX9867" fmla="*/ 7270771 w 12192000"/>
              <a:gd name="connsiteY9867" fmla="*/ 3303314 h 6858000"/>
              <a:gd name="connsiteX9868" fmla="*/ 7302976 w 12192000"/>
              <a:gd name="connsiteY9868" fmla="*/ 3332966 h 6858000"/>
              <a:gd name="connsiteX9869" fmla="*/ 7270771 w 12192000"/>
              <a:gd name="connsiteY9869" fmla="*/ 3362618 h 6858000"/>
              <a:gd name="connsiteX9870" fmla="*/ 7663441 w 12192000"/>
              <a:gd name="connsiteY9870" fmla="*/ 3362618 h 6858000"/>
              <a:gd name="connsiteX9871" fmla="*/ 7631224 w 12192000"/>
              <a:gd name="connsiteY9871" fmla="*/ 3332966 h 6858000"/>
              <a:gd name="connsiteX9872" fmla="*/ 7663441 w 12192000"/>
              <a:gd name="connsiteY9872" fmla="*/ 3303314 h 6858000"/>
              <a:gd name="connsiteX9873" fmla="*/ 7695645 w 12192000"/>
              <a:gd name="connsiteY9873" fmla="*/ 3332966 h 6858000"/>
              <a:gd name="connsiteX9874" fmla="*/ 7663441 w 12192000"/>
              <a:gd name="connsiteY9874" fmla="*/ 3362618 h 6858000"/>
              <a:gd name="connsiteX9875" fmla="*/ 7741974 w 12192000"/>
              <a:gd name="connsiteY9875" fmla="*/ 3362618 h 6858000"/>
              <a:gd name="connsiteX9876" fmla="*/ 7709758 w 12192000"/>
              <a:gd name="connsiteY9876" fmla="*/ 3332966 h 6858000"/>
              <a:gd name="connsiteX9877" fmla="*/ 7741974 w 12192000"/>
              <a:gd name="connsiteY9877" fmla="*/ 3303314 h 6858000"/>
              <a:gd name="connsiteX9878" fmla="*/ 7774178 w 12192000"/>
              <a:gd name="connsiteY9878" fmla="*/ 3332966 h 6858000"/>
              <a:gd name="connsiteX9879" fmla="*/ 7741974 w 12192000"/>
              <a:gd name="connsiteY9879" fmla="*/ 3362618 h 6858000"/>
              <a:gd name="connsiteX9880" fmla="*/ 7820508 w 12192000"/>
              <a:gd name="connsiteY9880" fmla="*/ 3362618 h 6858000"/>
              <a:gd name="connsiteX9881" fmla="*/ 7788292 w 12192000"/>
              <a:gd name="connsiteY9881" fmla="*/ 3332966 h 6858000"/>
              <a:gd name="connsiteX9882" fmla="*/ 7820508 w 12192000"/>
              <a:gd name="connsiteY9882" fmla="*/ 3303314 h 6858000"/>
              <a:gd name="connsiteX9883" fmla="*/ 7852712 w 12192000"/>
              <a:gd name="connsiteY9883" fmla="*/ 3332966 h 6858000"/>
              <a:gd name="connsiteX9884" fmla="*/ 7820508 w 12192000"/>
              <a:gd name="connsiteY9884" fmla="*/ 3362618 h 6858000"/>
              <a:gd name="connsiteX9885" fmla="*/ 7899042 w 12192000"/>
              <a:gd name="connsiteY9885" fmla="*/ 3362618 h 6858000"/>
              <a:gd name="connsiteX9886" fmla="*/ 7866826 w 12192000"/>
              <a:gd name="connsiteY9886" fmla="*/ 3332966 h 6858000"/>
              <a:gd name="connsiteX9887" fmla="*/ 7899042 w 12192000"/>
              <a:gd name="connsiteY9887" fmla="*/ 3303314 h 6858000"/>
              <a:gd name="connsiteX9888" fmla="*/ 7931247 w 12192000"/>
              <a:gd name="connsiteY9888" fmla="*/ 3332966 h 6858000"/>
              <a:gd name="connsiteX9889" fmla="*/ 7899042 w 12192000"/>
              <a:gd name="connsiteY9889" fmla="*/ 3362618 h 6858000"/>
              <a:gd name="connsiteX9890" fmla="*/ 7977576 w 12192000"/>
              <a:gd name="connsiteY9890" fmla="*/ 3362618 h 6858000"/>
              <a:gd name="connsiteX9891" fmla="*/ 7945359 w 12192000"/>
              <a:gd name="connsiteY9891" fmla="*/ 3332966 h 6858000"/>
              <a:gd name="connsiteX9892" fmla="*/ 7977576 w 12192000"/>
              <a:gd name="connsiteY9892" fmla="*/ 3303314 h 6858000"/>
              <a:gd name="connsiteX9893" fmla="*/ 8009780 w 12192000"/>
              <a:gd name="connsiteY9893" fmla="*/ 3332966 h 6858000"/>
              <a:gd name="connsiteX9894" fmla="*/ 7977576 w 12192000"/>
              <a:gd name="connsiteY9894" fmla="*/ 3362618 h 6858000"/>
              <a:gd name="connsiteX9895" fmla="*/ 8056110 w 12192000"/>
              <a:gd name="connsiteY9895" fmla="*/ 3362618 h 6858000"/>
              <a:gd name="connsiteX9896" fmla="*/ 8023894 w 12192000"/>
              <a:gd name="connsiteY9896" fmla="*/ 3332966 h 6858000"/>
              <a:gd name="connsiteX9897" fmla="*/ 8056110 w 12192000"/>
              <a:gd name="connsiteY9897" fmla="*/ 3303314 h 6858000"/>
              <a:gd name="connsiteX9898" fmla="*/ 8088314 w 12192000"/>
              <a:gd name="connsiteY9898" fmla="*/ 3332966 h 6858000"/>
              <a:gd name="connsiteX9899" fmla="*/ 8056110 w 12192000"/>
              <a:gd name="connsiteY9899" fmla="*/ 3362618 h 6858000"/>
              <a:gd name="connsiteX9900" fmla="*/ 8134643 w 12192000"/>
              <a:gd name="connsiteY9900" fmla="*/ 3362618 h 6858000"/>
              <a:gd name="connsiteX9901" fmla="*/ 8102427 w 12192000"/>
              <a:gd name="connsiteY9901" fmla="*/ 3332966 h 6858000"/>
              <a:gd name="connsiteX9902" fmla="*/ 8134643 w 12192000"/>
              <a:gd name="connsiteY9902" fmla="*/ 3303314 h 6858000"/>
              <a:gd name="connsiteX9903" fmla="*/ 8166847 w 12192000"/>
              <a:gd name="connsiteY9903" fmla="*/ 3332966 h 6858000"/>
              <a:gd name="connsiteX9904" fmla="*/ 8134643 w 12192000"/>
              <a:gd name="connsiteY9904" fmla="*/ 3362618 h 6858000"/>
              <a:gd name="connsiteX9905" fmla="*/ 8213177 w 12192000"/>
              <a:gd name="connsiteY9905" fmla="*/ 3362618 h 6858000"/>
              <a:gd name="connsiteX9906" fmla="*/ 8180961 w 12192000"/>
              <a:gd name="connsiteY9906" fmla="*/ 3332966 h 6858000"/>
              <a:gd name="connsiteX9907" fmla="*/ 8213177 w 12192000"/>
              <a:gd name="connsiteY9907" fmla="*/ 3303314 h 6858000"/>
              <a:gd name="connsiteX9908" fmla="*/ 8245382 w 12192000"/>
              <a:gd name="connsiteY9908" fmla="*/ 3332966 h 6858000"/>
              <a:gd name="connsiteX9909" fmla="*/ 8213177 w 12192000"/>
              <a:gd name="connsiteY9909" fmla="*/ 3362618 h 6858000"/>
              <a:gd name="connsiteX9910" fmla="*/ 8291712 w 12192000"/>
              <a:gd name="connsiteY9910" fmla="*/ 3362618 h 6858000"/>
              <a:gd name="connsiteX9911" fmla="*/ 8259495 w 12192000"/>
              <a:gd name="connsiteY9911" fmla="*/ 3332966 h 6858000"/>
              <a:gd name="connsiteX9912" fmla="*/ 8291712 w 12192000"/>
              <a:gd name="connsiteY9912" fmla="*/ 3303314 h 6858000"/>
              <a:gd name="connsiteX9913" fmla="*/ 8323916 w 12192000"/>
              <a:gd name="connsiteY9913" fmla="*/ 3332966 h 6858000"/>
              <a:gd name="connsiteX9914" fmla="*/ 8291712 w 12192000"/>
              <a:gd name="connsiteY9914" fmla="*/ 3362618 h 6858000"/>
              <a:gd name="connsiteX9915" fmla="*/ 8370245 w 12192000"/>
              <a:gd name="connsiteY9915" fmla="*/ 3362618 h 6858000"/>
              <a:gd name="connsiteX9916" fmla="*/ 8338029 w 12192000"/>
              <a:gd name="connsiteY9916" fmla="*/ 3332966 h 6858000"/>
              <a:gd name="connsiteX9917" fmla="*/ 8370245 w 12192000"/>
              <a:gd name="connsiteY9917" fmla="*/ 3303314 h 6858000"/>
              <a:gd name="connsiteX9918" fmla="*/ 8402449 w 12192000"/>
              <a:gd name="connsiteY9918" fmla="*/ 3332966 h 6858000"/>
              <a:gd name="connsiteX9919" fmla="*/ 8370245 w 12192000"/>
              <a:gd name="connsiteY9919" fmla="*/ 3362618 h 6858000"/>
              <a:gd name="connsiteX9920" fmla="*/ 8448779 w 12192000"/>
              <a:gd name="connsiteY9920" fmla="*/ 3362618 h 6858000"/>
              <a:gd name="connsiteX9921" fmla="*/ 8416563 w 12192000"/>
              <a:gd name="connsiteY9921" fmla="*/ 3332966 h 6858000"/>
              <a:gd name="connsiteX9922" fmla="*/ 8448779 w 12192000"/>
              <a:gd name="connsiteY9922" fmla="*/ 3303314 h 6858000"/>
              <a:gd name="connsiteX9923" fmla="*/ 8480983 w 12192000"/>
              <a:gd name="connsiteY9923" fmla="*/ 3332966 h 6858000"/>
              <a:gd name="connsiteX9924" fmla="*/ 8448779 w 12192000"/>
              <a:gd name="connsiteY9924" fmla="*/ 3362618 h 6858000"/>
              <a:gd name="connsiteX9925" fmla="*/ 8527313 w 12192000"/>
              <a:gd name="connsiteY9925" fmla="*/ 3362618 h 6858000"/>
              <a:gd name="connsiteX9926" fmla="*/ 8495097 w 12192000"/>
              <a:gd name="connsiteY9926" fmla="*/ 3332966 h 6858000"/>
              <a:gd name="connsiteX9927" fmla="*/ 8527313 w 12192000"/>
              <a:gd name="connsiteY9927" fmla="*/ 3303314 h 6858000"/>
              <a:gd name="connsiteX9928" fmla="*/ 8559518 w 12192000"/>
              <a:gd name="connsiteY9928" fmla="*/ 3332966 h 6858000"/>
              <a:gd name="connsiteX9929" fmla="*/ 8527313 w 12192000"/>
              <a:gd name="connsiteY9929" fmla="*/ 3362618 h 6858000"/>
              <a:gd name="connsiteX9930" fmla="*/ 8605847 w 12192000"/>
              <a:gd name="connsiteY9930" fmla="*/ 3362618 h 6858000"/>
              <a:gd name="connsiteX9931" fmla="*/ 8573630 w 12192000"/>
              <a:gd name="connsiteY9931" fmla="*/ 3332966 h 6858000"/>
              <a:gd name="connsiteX9932" fmla="*/ 8605847 w 12192000"/>
              <a:gd name="connsiteY9932" fmla="*/ 3303314 h 6858000"/>
              <a:gd name="connsiteX9933" fmla="*/ 8638051 w 12192000"/>
              <a:gd name="connsiteY9933" fmla="*/ 3332966 h 6858000"/>
              <a:gd name="connsiteX9934" fmla="*/ 8605847 w 12192000"/>
              <a:gd name="connsiteY9934" fmla="*/ 3362618 h 6858000"/>
              <a:gd name="connsiteX9935" fmla="*/ 8684381 w 12192000"/>
              <a:gd name="connsiteY9935" fmla="*/ 3362618 h 6858000"/>
              <a:gd name="connsiteX9936" fmla="*/ 8652165 w 12192000"/>
              <a:gd name="connsiteY9936" fmla="*/ 3332966 h 6858000"/>
              <a:gd name="connsiteX9937" fmla="*/ 8684381 w 12192000"/>
              <a:gd name="connsiteY9937" fmla="*/ 3303314 h 6858000"/>
              <a:gd name="connsiteX9938" fmla="*/ 8716585 w 12192000"/>
              <a:gd name="connsiteY9938" fmla="*/ 3332966 h 6858000"/>
              <a:gd name="connsiteX9939" fmla="*/ 8684381 w 12192000"/>
              <a:gd name="connsiteY9939" fmla="*/ 3362618 h 6858000"/>
              <a:gd name="connsiteX9940" fmla="*/ 8762914 w 12192000"/>
              <a:gd name="connsiteY9940" fmla="*/ 3362618 h 6858000"/>
              <a:gd name="connsiteX9941" fmla="*/ 8730698 w 12192000"/>
              <a:gd name="connsiteY9941" fmla="*/ 3332966 h 6858000"/>
              <a:gd name="connsiteX9942" fmla="*/ 8762914 w 12192000"/>
              <a:gd name="connsiteY9942" fmla="*/ 3303314 h 6858000"/>
              <a:gd name="connsiteX9943" fmla="*/ 8795118 w 12192000"/>
              <a:gd name="connsiteY9943" fmla="*/ 3332966 h 6858000"/>
              <a:gd name="connsiteX9944" fmla="*/ 8762914 w 12192000"/>
              <a:gd name="connsiteY9944" fmla="*/ 3362618 h 6858000"/>
              <a:gd name="connsiteX9945" fmla="*/ 8841448 w 12192000"/>
              <a:gd name="connsiteY9945" fmla="*/ 3362618 h 6858000"/>
              <a:gd name="connsiteX9946" fmla="*/ 8809232 w 12192000"/>
              <a:gd name="connsiteY9946" fmla="*/ 3332966 h 6858000"/>
              <a:gd name="connsiteX9947" fmla="*/ 8841448 w 12192000"/>
              <a:gd name="connsiteY9947" fmla="*/ 3303314 h 6858000"/>
              <a:gd name="connsiteX9948" fmla="*/ 8873653 w 12192000"/>
              <a:gd name="connsiteY9948" fmla="*/ 3332966 h 6858000"/>
              <a:gd name="connsiteX9949" fmla="*/ 8841448 w 12192000"/>
              <a:gd name="connsiteY9949" fmla="*/ 3362618 h 6858000"/>
              <a:gd name="connsiteX9950" fmla="*/ 8919983 w 12192000"/>
              <a:gd name="connsiteY9950" fmla="*/ 3362618 h 6858000"/>
              <a:gd name="connsiteX9951" fmla="*/ 8887766 w 12192000"/>
              <a:gd name="connsiteY9951" fmla="*/ 3332966 h 6858000"/>
              <a:gd name="connsiteX9952" fmla="*/ 8919983 w 12192000"/>
              <a:gd name="connsiteY9952" fmla="*/ 3303314 h 6858000"/>
              <a:gd name="connsiteX9953" fmla="*/ 8952187 w 12192000"/>
              <a:gd name="connsiteY9953" fmla="*/ 3332966 h 6858000"/>
              <a:gd name="connsiteX9954" fmla="*/ 8919983 w 12192000"/>
              <a:gd name="connsiteY9954" fmla="*/ 3362618 h 6858000"/>
              <a:gd name="connsiteX9955" fmla="*/ 8998516 w 12192000"/>
              <a:gd name="connsiteY9955" fmla="*/ 3362618 h 6858000"/>
              <a:gd name="connsiteX9956" fmla="*/ 8966300 w 12192000"/>
              <a:gd name="connsiteY9956" fmla="*/ 3332966 h 6858000"/>
              <a:gd name="connsiteX9957" fmla="*/ 8998516 w 12192000"/>
              <a:gd name="connsiteY9957" fmla="*/ 3303314 h 6858000"/>
              <a:gd name="connsiteX9958" fmla="*/ 9030720 w 12192000"/>
              <a:gd name="connsiteY9958" fmla="*/ 3332966 h 6858000"/>
              <a:gd name="connsiteX9959" fmla="*/ 8998516 w 12192000"/>
              <a:gd name="connsiteY9959" fmla="*/ 3362618 h 6858000"/>
              <a:gd name="connsiteX9960" fmla="*/ 9077050 w 12192000"/>
              <a:gd name="connsiteY9960" fmla="*/ 3362618 h 6858000"/>
              <a:gd name="connsiteX9961" fmla="*/ 9044834 w 12192000"/>
              <a:gd name="connsiteY9961" fmla="*/ 3332966 h 6858000"/>
              <a:gd name="connsiteX9962" fmla="*/ 9077050 w 12192000"/>
              <a:gd name="connsiteY9962" fmla="*/ 3303314 h 6858000"/>
              <a:gd name="connsiteX9963" fmla="*/ 9109254 w 12192000"/>
              <a:gd name="connsiteY9963" fmla="*/ 3332966 h 6858000"/>
              <a:gd name="connsiteX9964" fmla="*/ 9077050 w 12192000"/>
              <a:gd name="connsiteY9964" fmla="*/ 3362618 h 6858000"/>
              <a:gd name="connsiteX9965" fmla="*/ 9155583 w 12192000"/>
              <a:gd name="connsiteY9965" fmla="*/ 3362618 h 6858000"/>
              <a:gd name="connsiteX9966" fmla="*/ 9123367 w 12192000"/>
              <a:gd name="connsiteY9966" fmla="*/ 3332966 h 6858000"/>
              <a:gd name="connsiteX9967" fmla="*/ 9155583 w 12192000"/>
              <a:gd name="connsiteY9967" fmla="*/ 3303314 h 6858000"/>
              <a:gd name="connsiteX9968" fmla="*/ 9187788 w 12192000"/>
              <a:gd name="connsiteY9968" fmla="*/ 3332966 h 6858000"/>
              <a:gd name="connsiteX9969" fmla="*/ 9155583 w 12192000"/>
              <a:gd name="connsiteY9969" fmla="*/ 3362618 h 6858000"/>
              <a:gd name="connsiteX9970" fmla="*/ 9234118 w 12192000"/>
              <a:gd name="connsiteY9970" fmla="*/ 3362618 h 6858000"/>
              <a:gd name="connsiteX9971" fmla="*/ 9201901 w 12192000"/>
              <a:gd name="connsiteY9971" fmla="*/ 3332966 h 6858000"/>
              <a:gd name="connsiteX9972" fmla="*/ 9234118 w 12192000"/>
              <a:gd name="connsiteY9972" fmla="*/ 3303314 h 6858000"/>
              <a:gd name="connsiteX9973" fmla="*/ 9266322 w 12192000"/>
              <a:gd name="connsiteY9973" fmla="*/ 3332966 h 6858000"/>
              <a:gd name="connsiteX9974" fmla="*/ 9234118 w 12192000"/>
              <a:gd name="connsiteY9974" fmla="*/ 3362618 h 6858000"/>
              <a:gd name="connsiteX9975" fmla="*/ 9312652 w 12192000"/>
              <a:gd name="connsiteY9975" fmla="*/ 3362618 h 6858000"/>
              <a:gd name="connsiteX9976" fmla="*/ 9280436 w 12192000"/>
              <a:gd name="connsiteY9976" fmla="*/ 3332966 h 6858000"/>
              <a:gd name="connsiteX9977" fmla="*/ 9312652 w 12192000"/>
              <a:gd name="connsiteY9977" fmla="*/ 3303314 h 6858000"/>
              <a:gd name="connsiteX9978" fmla="*/ 9344856 w 12192000"/>
              <a:gd name="connsiteY9978" fmla="*/ 3332966 h 6858000"/>
              <a:gd name="connsiteX9979" fmla="*/ 9312652 w 12192000"/>
              <a:gd name="connsiteY9979" fmla="*/ 3362618 h 6858000"/>
              <a:gd name="connsiteX9980" fmla="*/ 1380704 w 12192000"/>
              <a:gd name="connsiteY9980" fmla="*/ 3290353 h 6858000"/>
              <a:gd name="connsiteX9981" fmla="*/ 1348493 w 12192000"/>
              <a:gd name="connsiteY9981" fmla="*/ 3260700 h 6858000"/>
              <a:gd name="connsiteX9982" fmla="*/ 1380704 w 12192000"/>
              <a:gd name="connsiteY9982" fmla="*/ 3231048 h 6858000"/>
              <a:gd name="connsiteX9983" fmla="*/ 1412914 w 12192000"/>
              <a:gd name="connsiteY9983" fmla="*/ 3260700 h 6858000"/>
              <a:gd name="connsiteX9984" fmla="*/ 1380704 w 12192000"/>
              <a:gd name="connsiteY9984" fmla="*/ 3290353 h 6858000"/>
              <a:gd name="connsiteX9985" fmla="*/ 2794310 w 12192000"/>
              <a:gd name="connsiteY9985" fmla="*/ 3290353 h 6858000"/>
              <a:gd name="connsiteX9986" fmla="*/ 2762100 w 12192000"/>
              <a:gd name="connsiteY9986" fmla="*/ 3260700 h 6858000"/>
              <a:gd name="connsiteX9987" fmla="*/ 2794310 w 12192000"/>
              <a:gd name="connsiteY9987" fmla="*/ 3231048 h 6858000"/>
              <a:gd name="connsiteX9988" fmla="*/ 2826520 w 12192000"/>
              <a:gd name="connsiteY9988" fmla="*/ 3260700 h 6858000"/>
              <a:gd name="connsiteX9989" fmla="*/ 2794310 w 12192000"/>
              <a:gd name="connsiteY9989" fmla="*/ 3290353 h 6858000"/>
              <a:gd name="connsiteX9990" fmla="*/ 2951379 w 12192000"/>
              <a:gd name="connsiteY9990" fmla="*/ 3290353 h 6858000"/>
              <a:gd name="connsiteX9991" fmla="*/ 2919168 w 12192000"/>
              <a:gd name="connsiteY9991" fmla="*/ 3260700 h 6858000"/>
              <a:gd name="connsiteX9992" fmla="*/ 2951379 w 12192000"/>
              <a:gd name="connsiteY9992" fmla="*/ 3231048 h 6858000"/>
              <a:gd name="connsiteX9993" fmla="*/ 2983589 w 12192000"/>
              <a:gd name="connsiteY9993" fmla="*/ 3260700 h 6858000"/>
              <a:gd name="connsiteX9994" fmla="*/ 2951379 w 12192000"/>
              <a:gd name="connsiteY9994" fmla="*/ 3290353 h 6858000"/>
              <a:gd name="connsiteX9995" fmla="*/ 3029912 w 12192000"/>
              <a:gd name="connsiteY9995" fmla="*/ 3290353 h 6858000"/>
              <a:gd name="connsiteX9996" fmla="*/ 2997701 w 12192000"/>
              <a:gd name="connsiteY9996" fmla="*/ 3260700 h 6858000"/>
              <a:gd name="connsiteX9997" fmla="*/ 3029912 w 12192000"/>
              <a:gd name="connsiteY9997" fmla="*/ 3231048 h 6858000"/>
              <a:gd name="connsiteX9998" fmla="*/ 3062122 w 12192000"/>
              <a:gd name="connsiteY9998" fmla="*/ 3260700 h 6858000"/>
              <a:gd name="connsiteX9999" fmla="*/ 3029912 w 12192000"/>
              <a:gd name="connsiteY9999" fmla="*/ 3290353 h 6858000"/>
              <a:gd name="connsiteX10000" fmla="*/ 3108446 w 12192000"/>
              <a:gd name="connsiteY10000" fmla="*/ 3290353 h 6858000"/>
              <a:gd name="connsiteX10001" fmla="*/ 3076236 w 12192000"/>
              <a:gd name="connsiteY10001" fmla="*/ 3260700 h 6858000"/>
              <a:gd name="connsiteX10002" fmla="*/ 3108446 w 12192000"/>
              <a:gd name="connsiteY10002" fmla="*/ 3231048 h 6858000"/>
              <a:gd name="connsiteX10003" fmla="*/ 3140656 w 12192000"/>
              <a:gd name="connsiteY10003" fmla="*/ 3260700 h 6858000"/>
              <a:gd name="connsiteX10004" fmla="*/ 3108446 w 12192000"/>
              <a:gd name="connsiteY10004" fmla="*/ 3290353 h 6858000"/>
              <a:gd name="connsiteX10005" fmla="*/ 3815250 w 12192000"/>
              <a:gd name="connsiteY10005" fmla="*/ 3290353 h 6858000"/>
              <a:gd name="connsiteX10006" fmla="*/ 3783040 w 12192000"/>
              <a:gd name="connsiteY10006" fmla="*/ 3260700 h 6858000"/>
              <a:gd name="connsiteX10007" fmla="*/ 3815250 w 12192000"/>
              <a:gd name="connsiteY10007" fmla="*/ 3231048 h 6858000"/>
              <a:gd name="connsiteX10008" fmla="*/ 3847461 w 12192000"/>
              <a:gd name="connsiteY10008" fmla="*/ 3260700 h 6858000"/>
              <a:gd name="connsiteX10009" fmla="*/ 3815250 w 12192000"/>
              <a:gd name="connsiteY10009" fmla="*/ 3290353 h 6858000"/>
              <a:gd name="connsiteX10010" fmla="*/ 5543002 w 12192000"/>
              <a:gd name="connsiteY10010" fmla="*/ 3290353 h 6858000"/>
              <a:gd name="connsiteX10011" fmla="*/ 5510785 w 12192000"/>
              <a:gd name="connsiteY10011" fmla="*/ 3260700 h 6858000"/>
              <a:gd name="connsiteX10012" fmla="*/ 5543002 w 12192000"/>
              <a:gd name="connsiteY10012" fmla="*/ 3231048 h 6858000"/>
              <a:gd name="connsiteX10013" fmla="*/ 5575206 w 12192000"/>
              <a:gd name="connsiteY10013" fmla="*/ 3260700 h 6858000"/>
              <a:gd name="connsiteX10014" fmla="*/ 5543002 w 12192000"/>
              <a:gd name="connsiteY10014" fmla="*/ 3290353 h 6858000"/>
              <a:gd name="connsiteX10015" fmla="*/ 5621536 w 12192000"/>
              <a:gd name="connsiteY10015" fmla="*/ 3290353 h 6858000"/>
              <a:gd name="connsiteX10016" fmla="*/ 5589320 w 12192000"/>
              <a:gd name="connsiteY10016" fmla="*/ 3260700 h 6858000"/>
              <a:gd name="connsiteX10017" fmla="*/ 5621536 w 12192000"/>
              <a:gd name="connsiteY10017" fmla="*/ 3231048 h 6858000"/>
              <a:gd name="connsiteX10018" fmla="*/ 5653740 w 12192000"/>
              <a:gd name="connsiteY10018" fmla="*/ 3260700 h 6858000"/>
              <a:gd name="connsiteX10019" fmla="*/ 5621536 w 12192000"/>
              <a:gd name="connsiteY10019" fmla="*/ 3290353 h 6858000"/>
              <a:gd name="connsiteX10020" fmla="*/ 5700069 w 12192000"/>
              <a:gd name="connsiteY10020" fmla="*/ 3290353 h 6858000"/>
              <a:gd name="connsiteX10021" fmla="*/ 5667853 w 12192000"/>
              <a:gd name="connsiteY10021" fmla="*/ 3260700 h 6858000"/>
              <a:gd name="connsiteX10022" fmla="*/ 5700069 w 12192000"/>
              <a:gd name="connsiteY10022" fmla="*/ 3231048 h 6858000"/>
              <a:gd name="connsiteX10023" fmla="*/ 5732274 w 12192000"/>
              <a:gd name="connsiteY10023" fmla="*/ 3260700 h 6858000"/>
              <a:gd name="connsiteX10024" fmla="*/ 5700069 w 12192000"/>
              <a:gd name="connsiteY10024" fmla="*/ 3290353 h 6858000"/>
              <a:gd name="connsiteX10025" fmla="*/ 5778604 w 12192000"/>
              <a:gd name="connsiteY10025" fmla="*/ 3290353 h 6858000"/>
              <a:gd name="connsiteX10026" fmla="*/ 5746387 w 12192000"/>
              <a:gd name="connsiteY10026" fmla="*/ 3260700 h 6858000"/>
              <a:gd name="connsiteX10027" fmla="*/ 5778604 w 12192000"/>
              <a:gd name="connsiteY10027" fmla="*/ 3231048 h 6858000"/>
              <a:gd name="connsiteX10028" fmla="*/ 5810808 w 12192000"/>
              <a:gd name="connsiteY10028" fmla="*/ 3260700 h 6858000"/>
              <a:gd name="connsiteX10029" fmla="*/ 5778604 w 12192000"/>
              <a:gd name="connsiteY10029" fmla="*/ 3290353 h 6858000"/>
              <a:gd name="connsiteX10030" fmla="*/ 5857137 w 12192000"/>
              <a:gd name="connsiteY10030" fmla="*/ 3290353 h 6858000"/>
              <a:gd name="connsiteX10031" fmla="*/ 5824920 w 12192000"/>
              <a:gd name="connsiteY10031" fmla="*/ 3260700 h 6858000"/>
              <a:gd name="connsiteX10032" fmla="*/ 5857137 w 12192000"/>
              <a:gd name="connsiteY10032" fmla="*/ 3231048 h 6858000"/>
              <a:gd name="connsiteX10033" fmla="*/ 5889341 w 12192000"/>
              <a:gd name="connsiteY10033" fmla="*/ 3260700 h 6858000"/>
              <a:gd name="connsiteX10034" fmla="*/ 5857137 w 12192000"/>
              <a:gd name="connsiteY10034" fmla="*/ 3290353 h 6858000"/>
              <a:gd name="connsiteX10035" fmla="*/ 5935671 w 12192000"/>
              <a:gd name="connsiteY10035" fmla="*/ 3290353 h 6858000"/>
              <a:gd name="connsiteX10036" fmla="*/ 5903455 w 12192000"/>
              <a:gd name="connsiteY10036" fmla="*/ 3260700 h 6858000"/>
              <a:gd name="connsiteX10037" fmla="*/ 5935671 w 12192000"/>
              <a:gd name="connsiteY10037" fmla="*/ 3231048 h 6858000"/>
              <a:gd name="connsiteX10038" fmla="*/ 5967875 w 12192000"/>
              <a:gd name="connsiteY10038" fmla="*/ 3260700 h 6858000"/>
              <a:gd name="connsiteX10039" fmla="*/ 5935671 w 12192000"/>
              <a:gd name="connsiteY10039" fmla="*/ 3290353 h 6858000"/>
              <a:gd name="connsiteX10040" fmla="*/ 6014205 w 12192000"/>
              <a:gd name="connsiteY10040" fmla="*/ 3290353 h 6858000"/>
              <a:gd name="connsiteX10041" fmla="*/ 5981989 w 12192000"/>
              <a:gd name="connsiteY10041" fmla="*/ 3260700 h 6858000"/>
              <a:gd name="connsiteX10042" fmla="*/ 6014205 w 12192000"/>
              <a:gd name="connsiteY10042" fmla="*/ 3231048 h 6858000"/>
              <a:gd name="connsiteX10043" fmla="*/ 6046410 w 12192000"/>
              <a:gd name="connsiteY10043" fmla="*/ 3260700 h 6858000"/>
              <a:gd name="connsiteX10044" fmla="*/ 6014205 w 12192000"/>
              <a:gd name="connsiteY10044" fmla="*/ 3290353 h 6858000"/>
              <a:gd name="connsiteX10045" fmla="*/ 6092739 w 12192000"/>
              <a:gd name="connsiteY10045" fmla="*/ 3290353 h 6858000"/>
              <a:gd name="connsiteX10046" fmla="*/ 6060522 w 12192000"/>
              <a:gd name="connsiteY10046" fmla="*/ 3260700 h 6858000"/>
              <a:gd name="connsiteX10047" fmla="*/ 6092739 w 12192000"/>
              <a:gd name="connsiteY10047" fmla="*/ 3231048 h 6858000"/>
              <a:gd name="connsiteX10048" fmla="*/ 6124943 w 12192000"/>
              <a:gd name="connsiteY10048" fmla="*/ 3260700 h 6858000"/>
              <a:gd name="connsiteX10049" fmla="*/ 6092739 w 12192000"/>
              <a:gd name="connsiteY10049" fmla="*/ 3290353 h 6858000"/>
              <a:gd name="connsiteX10050" fmla="*/ 6171273 w 12192000"/>
              <a:gd name="connsiteY10050" fmla="*/ 3290353 h 6858000"/>
              <a:gd name="connsiteX10051" fmla="*/ 6139056 w 12192000"/>
              <a:gd name="connsiteY10051" fmla="*/ 3260700 h 6858000"/>
              <a:gd name="connsiteX10052" fmla="*/ 6171273 w 12192000"/>
              <a:gd name="connsiteY10052" fmla="*/ 3231048 h 6858000"/>
              <a:gd name="connsiteX10053" fmla="*/ 6203477 w 12192000"/>
              <a:gd name="connsiteY10053" fmla="*/ 3260700 h 6858000"/>
              <a:gd name="connsiteX10054" fmla="*/ 6171273 w 12192000"/>
              <a:gd name="connsiteY10054" fmla="*/ 3290353 h 6858000"/>
              <a:gd name="connsiteX10055" fmla="*/ 6249806 w 12192000"/>
              <a:gd name="connsiteY10055" fmla="*/ 3290353 h 6858000"/>
              <a:gd name="connsiteX10056" fmla="*/ 6217590 w 12192000"/>
              <a:gd name="connsiteY10056" fmla="*/ 3260700 h 6858000"/>
              <a:gd name="connsiteX10057" fmla="*/ 6249806 w 12192000"/>
              <a:gd name="connsiteY10057" fmla="*/ 3231048 h 6858000"/>
              <a:gd name="connsiteX10058" fmla="*/ 6282010 w 12192000"/>
              <a:gd name="connsiteY10058" fmla="*/ 3260700 h 6858000"/>
              <a:gd name="connsiteX10059" fmla="*/ 6249806 w 12192000"/>
              <a:gd name="connsiteY10059" fmla="*/ 3290353 h 6858000"/>
              <a:gd name="connsiteX10060" fmla="*/ 6328340 w 12192000"/>
              <a:gd name="connsiteY10060" fmla="*/ 3290353 h 6858000"/>
              <a:gd name="connsiteX10061" fmla="*/ 6296124 w 12192000"/>
              <a:gd name="connsiteY10061" fmla="*/ 3260700 h 6858000"/>
              <a:gd name="connsiteX10062" fmla="*/ 6328340 w 12192000"/>
              <a:gd name="connsiteY10062" fmla="*/ 3231048 h 6858000"/>
              <a:gd name="connsiteX10063" fmla="*/ 6360545 w 12192000"/>
              <a:gd name="connsiteY10063" fmla="*/ 3260700 h 6858000"/>
              <a:gd name="connsiteX10064" fmla="*/ 6328340 w 12192000"/>
              <a:gd name="connsiteY10064" fmla="*/ 3290353 h 6858000"/>
              <a:gd name="connsiteX10065" fmla="*/ 6406875 w 12192000"/>
              <a:gd name="connsiteY10065" fmla="*/ 3290353 h 6858000"/>
              <a:gd name="connsiteX10066" fmla="*/ 6374658 w 12192000"/>
              <a:gd name="connsiteY10066" fmla="*/ 3260700 h 6858000"/>
              <a:gd name="connsiteX10067" fmla="*/ 6406875 w 12192000"/>
              <a:gd name="connsiteY10067" fmla="*/ 3231048 h 6858000"/>
              <a:gd name="connsiteX10068" fmla="*/ 6439079 w 12192000"/>
              <a:gd name="connsiteY10068" fmla="*/ 3260700 h 6858000"/>
              <a:gd name="connsiteX10069" fmla="*/ 6406875 w 12192000"/>
              <a:gd name="connsiteY10069" fmla="*/ 3290353 h 6858000"/>
              <a:gd name="connsiteX10070" fmla="*/ 6485408 w 12192000"/>
              <a:gd name="connsiteY10070" fmla="*/ 3290353 h 6858000"/>
              <a:gd name="connsiteX10071" fmla="*/ 6453191 w 12192000"/>
              <a:gd name="connsiteY10071" fmla="*/ 3260700 h 6858000"/>
              <a:gd name="connsiteX10072" fmla="*/ 6485408 w 12192000"/>
              <a:gd name="connsiteY10072" fmla="*/ 3231048 h 6858000"/>
              <a:gd name="connsiteX10073" fmla="*/ 6517612 w 12192000"/>
              <a:gd name="connsiteY10073" fmla="*/ 3260700 h 6858000"/>
              <a:gd name="connsiteX10074" fmla="*/ 6485408 w 12192000"/>
              <a:gd name="connsiteY10074" fmla="*/ 3290353 h 6858000"/>
              <a:gd name="connsiteX10075" fmla="*/ 6563942 w 12192000"/>
              <a:gd name="connsiteY10075" fmla="*/ 3290353 h 6858000"/>
              <a:gd name="connsiteX10076" fmla="*/ 6531726 w 12192000"/>
              <a:gd name="connsiteY10076" fmla="*/ 3260700 h 6858000"/>
              <a:gd name="connsiteX10077" fmla="*/ 6563942 w 12192000"/>
              <a:gd name="connsiteY10077" fmla="*/ 3231048 h 6858000"/>
              <a:gd name="connsiteX10078" fmla="*/ 6596146 w 12192000"/>
              <a:gd name="connsiteY10078" fmla="*/ 3260700 h 6858000"/>
              <a:gd name="connsiteX10079" fmla="*/ 6563942 w 12192000"/>
              <a:gd name="connsiteY10079" fmla="*/ 3290353 h 6858000"/>
              <a:gd name="connsiteX10080" fmla="*/ 6642476 w 12192000"/>
              <a:gd name="connsiteY10080" fmla="*/ 3290353 h 6858000"/>
              <a:gd name="connsiteX10081" fmla="*/ 6610260 w 12192000"/>
              <a:gd name="connsiteY10081" fmla="*/ 3260700 h 6858000"/>
              <a:gd name="connsiteX10082" fmla="*/ 6642476 w 12192000"/>
              <a:gd name="connsiteY10082" fmla="*/ 3231048 h 6858000"/>
              <a:gd name="connsiteX10083" fmla="*/ 6674681 w 12192000"/>
              <a:gd name="connsiteY10083" fmla="*/ 3260700 h 6858000"/>
              <a:gd name="connsiteX10084" fmla="*/ 6642476 w 12192000"/>
              <a:gd name="connsiteY10084" fmla="*/ 3290353 h 6858000"/>
              <a:gd name="connsiteX10085" fmla="*/ 6721010 w 12192000"/>
              <a:gd name="connsiteY10085" fmla="*/ 3290353 h 6858000"/>
              <a:gd name="connsiteX10086" fmla="*/ 6688793 w 12192000"/>
              <a:gd name="connsiteY10086" fmla="*/ 3260700 h 6858000"/>
              <a:gd name="connsiteX10087" fmla="*/ 6721010 w 12192000"/>
              <a:gd name="connsiteY10087" fmla="*/ 3231048 h 6858000"/>
              <a:gd name="connsiteX10088" fmla="*/ 6753214 w 12192000"/>
              <a:gd name="connsiteY10088" fmla="*/ 3260700 h 6858000"/>
              <a:gd name="connsiteX10089" fmla="*/ 6721010 w 12192000"/>
              <a:gd name="connsiteY10089" fmla="*/ 3290353 h 6858000"/>
              <a:gd name="connsiteX10090" fmla="*/ 6799544 w 12192000"/>
              <a:gd name="connsiteY10090" fmla="*/ 3290353 h 6858000"/>
              <a:gd name="connsiteX10091" fmla="*/ 6767327 w 12192000"/>
              <a:gd name="connsiteY10091" fmla="*/ 3260700 h 6858000"/>
              <a:gd name="connsiteX10092" fmla="*/ 6799544 w 12192000"/>
              <a:gd name="connsiteY10092" fmla="*/ 3231048 h 6858000"/>
              <a:gd name="connsiteX10093" fmla="*/ 6831748 w 12192000"/>
              <a:gd name="connsiteY10093" fmla="*/ 3260700 h 6858000"/>
              <a:gd name="connsiteX10094" fmla="*/ 6799544 w 12192000"/>
              <a:gd name="connsiteY10094" fmla="*/ 3290353 h 6858000"/>
              <a:gd name="connsiteX10095" fmla="*/ 6878077 w 12192000"/>
              <a:gd name="connsiteY10095" fmla="*/ 3290353 h 6858000"/>
              <a:gd name="connsiteX10096" fmla="*/ 6845861 w 12192000"/>
              <a:gd name="connsiteY10096" fmla="*/ 3260700 h 6858000"/>
              <a:gd name="connsiteX10097" fmla="*/ 6878077 w 12192000"/>
              <a:gd name="connsiteY10097" fmla="*/ 3231048 h 6858000"/>
              <a:gd name="connsiteX10098" fmla="*/ 6910281 w 12192000"/>
              <a:gd name="connsiteY10098" fmla="*/ 3260700 h 6858000"/>
              <a:gd name="connsiteX10099" fmla="*/ 6878077 w 12192000"/>
              <a:gd name="connsiteY10099" fmla="*/ 3290353 h 6858000"/>
              <a:gd name="connsiteX10100" fmla="*/ 7113703 w 12192000"/>
              <a:gd name="connsiteY10100" fmla="*/ 3290353 h 6858000"/>
              <a:gd name="connsiteX10101" fmla="*/ 7081487 w 12192000"/>
              <a:gd name="connsiteY10101" fmla="*/ 3260700 h 6858000"/>
              <a:gd name="connsiteX10102" fmla="*/ 7113703 w 12192000"/>
              <a:gd name="connsiteY10102" fmla="*/ 3231048 h 6858000"/>
              <a:gd name="connsiteX10103" fmla="*/ 7145907 w 12192000"/>
              <a:gd name="connsiteY10103" fmla="*/ 3260700 h 6858000"/>
              <a:gd name="connsiteX10104" fmla="*/ 7113703 w 12192000"/>
              <a:gd name="connsiteY10104" fmla="*/ 3290353 h 6858000"/>
              <a:gd name="connsiteX10105" fmla="*/ 7192237 w 12192000"/>
              <a:gd name="connsiteY10105" fmla="*/ 3290353 h 6858000"/>
              <a:gd name="connsiteX10106" fmla="*/ 7160021 w 12192000"/>
              <a:gd name="connsiteY10106" fmla="*/ 3260700 h 6858000"/>
              <a:gd name="connsiteX10107" fmla="*/ 7192237 w 12192000"/>
              <a:gd name="connsiteY10107" fmla="*/ 3231048 h 6858000"/>
              <a:gd name="connsiteX10108" fmla="*/ 7224441 w 12192000"/>
              <a:gd name="connsiteY10108" fmla="*/ 3260700 h 6858000"/>
              <a:gd name="connsiteX10109" fmla="*/ 7192237 w 12192000"/>
              <a:gd name="connsiteY10109" fmla="*/ 3290353 h 6858000"/>
              <a:gd name="connsiteX10110" fmla="*/ 7270771 w 12192000"/>
              <a:gd name="connsiteY10110" fmla="*/ 3290353 h 6858000"/>
              <a:gd name="connsiteX10111" fmla="*/ 7238555 w 12192000"/>
              <a:gd name="connsiteY10111" fmla="*/ 3260700 h 6858000"/>
              <a:gd name="connsiteX10112" fmla="*/ 7270771 w 12192000"/>
              <a:gd name="connsiteY10112" fmla="*/ 3231048 h 6858000"/>
              <a:gd name="connsiteX10113" fmla="*/ 7302976 w 12192000"/>
              <a:gd name="connsiteY10113" fmla="*/ 3260700 h 6858000"/>
              <a:gd name="connsiteX10114" fmla="*/ 7270771 w 12192000"/>
              <a:gd name="connsiteY10114" fmla="*/ 3290353 h 6858000"/>
              <a:gd name="connsiteX10115" fmla="*/ 7349305 w 12192000"/>
              <a:gd name="connsiteY10115" fmla="*/ 3290353 h 6858000"/>
              <a:gd name="connsiteX10116" fmla="*/ 7317088 w 12192000"/>
              <a:gd name="connsiteY10116" fmla="*/ 3260700 h 6858000"/>
              <a:gd name="connsiteX10117" fmla="*/ 7349305 w 12192000"/>
              <a:gd name="connsiteY10117" fmla="*/ 3231048 h 6858000"/>
              <a:gd name="connsiteX10118" fmla="*/ 7381509 w 12192000"/>
              <a:gd name="connsiteY10118" fmla="*/ 3260700 h 6858000"/>
              <a:gd name="connsiteX10119" fmla="*/ 7349305 w 12192000"/>
              <a:gd name="connsiteY10119" fmla="*/ 3290353 h 6858000"/>
              <a:gd name="connsiteX10120" fmla="*/ 7506373 w 12192000"/>
              <a:gd name="connsiteY10120" fmla="*/ 3290353 h 6858000"/>
              <a:gd name="connsiteX10121" fmla="*/ 7474157 w 12192000"/>
              <a:gd name="connsiteY10121" fmla="*/ 3260700 h 6858000"/>
              <a:gd name="connsiteX10122" fmla="*/ 7506373 w 12192000"/>
              <a:gd name="connsiteY10122" fmla="*/ 3231048 h 6858000"/>
              <a:gd name="connsiteX10123" fmla="*/ 7538577 w 12192000"/>
              <a:gd name="connsiteY10123" fmla="*/ 3260700 h 6858000"/>
              <a:gd name="connsiteX10124" fmla="*/ 7506373 w 12192000"/>
              <a:gd name="connsiteY10124" fmla="*/ 3290353 h 6858000"/>
              <a:gd name="connsiteX10125" fmla="*/ 7899042 w 12192000"/>
              <a:gd name="connsiteY10125" fmla="*/ 3290353 h 6858000"/>
              <a:gd name="connsiteX10126" fmla="*/ 7866826 w 12192000"/>
              <a:gd name="connsiteY10126" fmla="*/ 3260700 h 6858000"/>
              <a:gd name="connsiteX10127" fmla="*/ 7899042 w 12192000"/>
              <a:gd name="connsiteY10127" fmla="*/ 3231048 h 6858000"/>
              <a:gd name="connsiteX10128" fmla="*/ 7931247 w 12192000"/>
              <a:gd name="connsiteY10128" fmla="*/ 3260700 h 6858000"/>
              <a:gd name="connsiteX10129" fmla="*/ 7899042 w 12192000"/>
              <a:gd name="connsiteY10129" fmla="*/ 3290353 h 6858000"/>
              <a:gd name="connsiteX10130" fmla="*/ 7977576 w 12192000"/>
              <a:gd name="connsiteY10130" fmla="*/ 3290353 h 6858000"/>
              <a:gd name="connsiteX10131" fmla="*/ 7945359 w 12192000"/>
              <a:gd name="connsiteY10131" fmla="*/ 3260700 h 6858000"/>
              <a:gd name="connsiteX10132" fmla="*/ 7977576 w 12192000"/>
              <a:gd name="connsiteY10132" fmla="*/ 3231048 h 6858000"/>
              <a:gd name="connsiteX10133" fmla="*/ 8009780 w 12192000"/>
              <a:gd name="connsiteY10133" fmla="*/ 3260700 h 6858000"/>
              <a:gd name="connsiteX10134" fmla="*/ 7977576 w 12192000"/>
              <a:gd name="connsiteY10134" fmla="*/ 3290353 h 6858000"/>
              <a:gd name="connsiteX10135" fmla="*/ 8056110 w 12192000"/>
              <a:gd name="connsiteY10135" fmla="*/ 3290353 h 6858000"/>
              <a:gd name="connsiteX10136" fmla="*/ 8023894 w 12192000"/>
              <a:gd name="connsiteY10136" fmla="*/ 3260700 h 6858000"/>
              <a:gd name="connsiteX10137" fmla="*/ 8056110 w 12192000"/>
              <a:gd name="connsiteY10137" fmla="*/ 3231048 h 6858000"/>
              <a:gd name="connsiteX10138" fmla="*/ 8088314 w 12192000"/>
              <a:gd name="connsiteY10138" fmla="*/ 3260700 h 6858000"/>
              <a:gd name="connsiteX10139" fmla="*/ 8056110 w 12192000"/>
              <a:gd name="connsiteY10139" fmla="*/ 3290353 h 6858000"/>
              <a:gd name="connsiteX10140" fmla="*/ 8134643 w 12192000"/>
              <a:gd name="connsiteY10140" fmla="*/ 3290353 h 6858000"/>
              <a:gd name="connsiteX10141" fmla="*/ 8102427 w 12192000"/>
              <a:gd name="connsiteY10141" fmla="*/ 3260700 h 6858000"/>
              <a:gd name="connsiteX10142" fmla="*/ 8134643 w 12192000"/>
              <a:gd name="connsiteY10142" fmla="*/ 3231048 h 6858000"/>
              <a:gd name="connsiteX10143" fmla="*/ 8166847 w 12192000"/>
              <a:gd name="connsiteY10143" fmla="*/ 3260700 h 6858000"/>
              <a:gd name="connsiteX10144" fmla="*/ 8134643 w 12192000"/>
              <a:gd name="connsiteY10144" fmla="*/ 3290353 h 6858000"/>
              <a:gd name="connsiteX10145" fmla="*/ 8213177 w 12192000"/>
              <a:gd name="connsiteY10145" fmla="*/ 3290353 h 6858000"/>
              <a:gd name="connsiteX10146" fmla="*/ 8180961 w 12192000"/>
              <a:gd name="connsiteY10146" fmla="*/ 3260700 h 6858000"/>
              <a:gd name="connsiteX10147" fmla="*/ 8213177 w 12192000"/>
              <a:gd name="connsiteY10147" fmla="*/ 3231048 h 6858000"/>
              <a:gd name="connsiteX10148" fmla="*/ 8245382 w 12192000"/>
              <a:gd name="connsiteY10148" fmla="*/ 3260700 h 6858000"/>
              <a:gd name="connsiteX10149" fmla="*/ 8213177 w 12192000"/>
              <a:gd name="connsiteY10149" fmla="*/ 3290353 h 6858000"/>
              <a:gd name="connsiteX10150" fmla="*/ 8291712 w 12192000"/>
              <a:gd name="connsiteY10150" fmla="*/ 3290353 h 6858000"/>
              <a:gd name="connsiteX10151" fmla="*/ 8259495 w 12192000"/>
              <a:gd name="connsiteY10151" fmla="*/ 3260700 h 6858000"/>
              <a:gd name="connsiteX10152" fmla="*/ 8291712 w 12192000"/>
              <a:gd name="connsiteY10152" fmla="*/ 3231048 h 6858000"/>
              <a:gd name="connsiteX10153" fmla="*/ 8323916 w 12192000"/>
              <a:gd name="connsiteY10153" fmla="*/ 3260700 h 6858000"/>
              <a:gd name="connsiteX10154" fmla="*/ 8291712 w 12192000"/>
              <a:gd name="connsiteY10154" fmla="*/ 3290353 h 6858000"/>
              <a:gd name="connsiteX10155" fmla="*/ 8370245 w 12192000"/>
              <a:gd name="connsiteY10155" fmla="*/ 3290353 h 6858000"/>
              <a:gd name="connsiteX10156" fmla="*/ 8338029 w 12192000"/>
              <a:gd name="connsiteY10156" fmla="*/ 3260700 h 6858000"/>
              <a:gd name="connsiteX10157" fmla="*/ 8370245 w 12192000"/>
              <a:gd name="connsiteY10157" fmla="*/ 3231048 h 6858000"/>
              <a:gd name="connsiteX10158" fmla="*/ 8402449 w 12192000"/>
              <a:gd name="connsiteY10158" fmla="*/ 3260700 h 6858000"/>
              <a:gd name="connsiteX10159" fmla="*/ 8370245 w 12192000"/>
              <a:gd name="connsiteY10159" fmla="*/ 3290353 h 6858000"/>
              <a:gd name="connsiteX10160" fmla="*/ 8448779 w 12192000"/>
              <a:gd name="connsiteY10160" fmla="*/ 3290353 h 6858000"/>
              <a:gd name="connsiteX10161" fmla="*/ 8416563 w 12192000"/>
              <a:gd name="connsiteY10161" fmla="*/ 3260700 h 6858000"/>
              <a:gd name="connsiteX10162" fmla="*/ 8448779 w 12192000"/>
              <a:gd name="connsiteY10162" fmla="*/ 3231048 h 6858000"/>
              <a:gd name="connsiteX10163" fmla="*/ 8480983 w 12192000"/>
              <a:gd name="connsiteY10163" fmla="*/ 3260700 h 6858000"/>
              <a:gd name="connsiteX10164" fmla="*/ 8448779 w 12192000"/>
              <a:gd name="connsiteY10164" fmla="*/ 3290353 h 6858000"/>
              <a:gd name="connsiteX10165" fmla="*/ 8527313 w 12192000"/>
              <a:gd name="connsiteY10165" fmla="*/ 3290353 h 6858000"/>
              <a:gd name="connsiteX10166" fmla="*/ 8495097 w 12192000"/>
              <a:gd name="connsiteY10166" fmla="*/ 3260700 h 6858000"/>
              <a:gd name="connsiteX10167" fmla="*/ 8527313 w 12192000"/>
              <a:gd name="connsiteY10167" fmla="*/ 3231048 h 6858000"/>
              <a:gd name="connsiteX10168" fmla="*/ 8559518 w 12192000"/>
              <a:gd name="connsiteY10168" fmla="*/ 3260700 h 6858000"/>
              <a:gd name="connsiteX10169" fmla="*/ 8527313 w 12192000"/>
              <a:gd name="connsiteY10169" fmla="*/ 3290353 h 6858000"/>
              <a:gd name="connsiteX10170" fmla="*/ 8605847 w 12192000"/>
              <a:gd name="connsiteY10170" fmla="*/ 3290353 h 6858000"/>
              <a:gd name="connsiteX10171" fmla="*/ 8573630 w 12192000"/>
              <a:gd name="connsiteY10171" fmla="*/ 3260700 h 6858000"/>
              <a:gd name="connsiteX10172" fmla="*/ 8605847 w 12192000"/>
              <a:gd name="connsiteY10172" fmla="*/ 3231048 h 6858000"/>
              <a:gd name="connsiteX10173" fmla="*/ 8638051 w 12192000"/>
              <a:gd name="connsiteY10173" fmla="*/ 3260700 h 6858000"/>
              <a:gd name="connsiteX10174" fmla="*/ 8605847 w 12192000"/>
              <a:gd name="connsiteY10174" fmla="*/ 3290353 h 6858000"/>
              <a:gd name="connsiteX10175" fmla="*/ 8684381 w 12192000"/>
              <a:gd name="connsiteY10175" fmla="*/ 3290353 h 6858000"/>
              <a:gd name="connsiteX10176" fmla="*/ 8652165 w 12192000"/>
              <a:gd name="connsiteY10176" fmla="*/ 3260700 h 6858000"/>
              <a:gd name="connsiteX10177" fmla="*/ 8684381 w 12192000"/>
              <a:gd name="connsiteY10177" fmla="*/ 3231048 h 6858000"/>
              <a:gd name="connsiteX10178" fmla="*/ 8716585 w 12192000"/>
              <a:gd name="connsiteY10178" fmla="*/ 3260700 h 6858000"/>
              <a:gd name="connsiteX10179" fmla="*/ 8684381 w 12192000"/>
              <a:gd name="connsiteY10179" fmla="*/ 3290353 h 6858000"/>
              <a:gd name="connsiteX10180" fmla="*/ 8762914 w 12192000"/>
              <a:gd name="connsiteY10180" fmla="*/ 3290353 h 6858000"/>
              <a:gd name="connsiteX10181" fmla="*/ 8730698 w 12192000"/>
              <a:gd name="connsiteY10181" fmla="*/ 3260700 h 6858000"/>
              <a:gd name="connsiteX10182" fmla="*/ 8762914 w 12192000"/>
              <a:gd name="connsiteY10182" fmla="*/ 3231048 h 6858000"/>
              <a:gd name="connsiteX10183" fmla="*/ 8795118 w 12192000"/>
              <a:gd name="connsiteY10183" fmla="*/ 3260700 h 6858000"/>
              <a:gd name="connsiteX10184" fmla="*/ 8762914 w 12192000"/>
              <a:gd name="connsiteY10184" fmla="*/ 3290353 h 6858000"/>
              <a:gd name="connsiteX10185" fmla="*/ 8841448 w 12192000"/>
              <a:gd name="connsiteY10185" fmla="*/ 3290353 h 6858000"/>
              <a:gd name="connsiteX10186" fmla="*/ 8809232 w 12192000"/>
              <a:gd name="connsiteY10186" fmla="*/ 3260700 h 6858000"/>
              <a:gd name="connsiteX10187" fmla="*/ 8841448 w 12192000"/>
              <a:gd name="connsiteY10187" fmla="*/ 3231048 h 6858000"/>
              <a:gd name="connsiteX10188" fmla="*/ 8873653 w 12192000"/>
              <a:gd name="connsiteY10188" fmla="*/ 3260700 h 6858000"/>
              <a:gd name="connsiteX10189" fmla="*/ 8841448 w 12192000"/>
              <a:gd name="connsiteY10189" fmla="*/ 3290353 h 6858000"/>
              <a:gd name="connsiteX10190" fmla="*/ 8919983 w 12192000"/>
              <a:gd name="connsiteY10190" fmla="*/ 3290353 h 6858000"/>
              <a:gd name="connsiteX10191" fmla="*/ 8887766 w 12192000"/>
              <a:gd name="connsiteY10191" fmla="*/ 3260700 h 6858000"/>
              <a:gd name="connsiteX10192" fmla="*/ 8919983 w 12192000"/>
              <a:gd name="connsiteY10192" fmla="*/ 3231048 h 6858000"/>
              <a:gd name="connsiteX10193" fmla="*/ 8952187 w 12192000"/>
              <a:gd name="connsiteY10193" fmla="*/ 3260700 h 6858000"/>
              <a:gd name="connsiteX10194" fmla="*/ 8919983 w 12192000"/>
              <a:gd name="connsiteY10194" fmla="*/ 3290353 h 6858000"/>
              <a:gd name="connsiteX10195" fmla="*/ 8998516 w 12192000"/>
              <a:gd name="connsiteY10195" fmla="*/ 3290353 h 6858000"/>
              <a:gd name="connsiteX10196" fmla="*/ 8966300 w 12192000"/>
              <a:gd name="connsiteY10196" fmla="*/ 3260700 h 6858000"/>
              <a:gd name="connsiteX10197" fmla="*/ 8998516 w 12192000"/>
              <a:gd name="connsiteY10197" fmla="*/ 3231048 h 6858000"/>
              <a:gd name="connsiteX10198" fmla="*/ 9030720 w 12192000"/>
              <a:gd name="connsiteY10198" fmla="*/ 3260700 h 6858000"/>
              <a:gd name="connsiteX10199" fmla="*/ 8998516 w 12192000"/>
              <a:gd name="connsiteY10199" fmla="*/ 3290353 h 6858000"/>
              <a:gd name="connsiteX10200" fmla="*/ 9077050 w 12192000"/>
              <a:gd name="connsiteY10200" fmla="*/ 3290353 h 6858000"/>
              <a:gd name="connsiteX10201" fmla="*/ 9044834 w 12192000"/>
              <a:gd name="connsiteY10201" fmla="*/ 3260700 h 6858000"/>
              <a:gd name="connsiteX10202" fmla="*/ 9077050 w 12192000"/>
              <a:gd name="connsiteY10202" fmla="*/ 3231048 h 6858000"/>
              <a:gd name="connsiteX10203" fmla="*/ 9109254 w 12192000"/>
              <a:gd name="connsiteY10203" fmla="*/ 3260700 h 6858000"/>
              <a:gd name="connsiteX10204" fmla="*/ 9077050 w 12192000"/>
              <a:gd name="connsiteY10204" fmla="*/ 3290353 h 6858000"/>
              <a:gd name="connsiteX10205" fmla="*/ 9155583 w 12192000"/>
              <a:gd name="connsiteY10205" fmla="*/ 3290353 h 6858000"/>
              <a:gd name="connsiteX10206" fmla="*/ 9123367 w 12192000"/>
              <a:gd name="connsiteY10206" fmla="*/ 3260700 h 6858000"/>
              <a:gd name="connsiteX10207" fmla="*/ 9155583 w 12192000"/>
              <a:gd name="connsiteY10207" fmla="*/ 3231048 h 6858000"/>
              <a:gd name="connsiteX10208" fmla="*/ 9187788 w 12192000"/>
              <a:gd name="connsiteY10208" fmla="*/ 3260700 h 6858000"/>
              <a:gd name="connsiteX10209" fmla="*/ 9155583 w 12192000"/>
              <a:gd name="connsiteY10209" fmla="*/ 3290353 h 6858000"/>
              <a:gd name="connsiteX10210" fmla="*/ 9234118 w 12192000"/>
              <a:gd name="connsiteY10210" fmla="*/ 3290353 h 6858000"/>
              <a:gd name="connsiteX10211" fmla="*/ 9201901 w 12192000"/>
              <a:gd name="connsiteY10211" fmla="*/ 3260700 h 6858000"/>
              <a:gd name="connsiteX10212" fmla="*/ 9234118 w 12192000"/>
              <a:gd name="connsiteY10212" fmla="*/ 3231048 h 6858000"/>
              <a:gd name="connsiteX10213" fmla="*/ 9266322 w 12192000"/>
              <a:gd name="connsiteY10213" fmla="*/ 3260700 h 6858000"/>
              <a:gd name="connsiteX10214" fmla="*/ 9234118 w 12192000"/>
              <a:gd name="connsiteY10214" fmla="*/ 3290353 h 6858000"/>
              <a:gd name="connsiteX10215" fmla="*/ 9391185 w 12192000"/>
              <a:gd name="connsiteY10215" fmla="*/ 3290353 h 6858000"/>
              <a:gd name="connsiteX10216" fmla="*/ 9358969 w 12192000"/>
              <a:gd name="connsiteY10216" fmla="*/ 3260700 h 6858000"/>
              <a:gd name="connsiteX10217" fmla="*/ 9391185 w 12192000"/>
              <a:gd name="connsiteY10217" fmla="*/ 3231048 h 6858000"/>
              <a:gd name="connsiteX10218" fmla="*/ 9423389 w 12192000"/>
              <a:gd name="connsiteY10218" fmla="*/ 3260700 h 6858000"/>
              <a:gd name="connsiteX10219" fmla="*/ 9391185 w 12192000"/>
              <a:gd name="connsiteY10219" fmla="*/ 3290353 h 6858000"/>
              <a:gd name="connsiteX10220" fmla="*/ 1459238 w 12192000"/>
              <a:gd name="connsiteY10220" fmla="*/ 3218087 h 6858000"/>
              <a:gd name="connsiteX10221" fmla="*/ 1427027 w 12192000"/>
              <a:gd name="connsiteY10221" fmla="*/ 3188435 h 6858000"/>
              <a:gd name="connsiteX10222" fmla="*/ 1459238 w 12192000"/>
              <a:gd name="connsiteY10222" fmla="*/ 3158783 h 6858000"/>
              <a:gd name="connsiteX10223" fmla="*/ 1491448 w 12192000"/>
              <a:gd name="connsiteY10223" fmla="*/ 3188435 h 6858000"/>
              <a:gd name="connsiteX10224" fmla="*/ 1459238 w 12192000"/>
              <a:gd name="connsiteY10224" fmla="*/ 3218087 h 6858000"/>
              <a:gd name="connsiteX10225" fmla="*/ 2951379 w 12192000"/>
              <a:gd name="connsiteY10225" fmla="*/ 3218087 h 6858000"/>
              <a:gd name="connsiteX10226" fmla="*/ 2919168 w 12192000"/>
              <a:gd name="connsiteY10226" fmla="*/ 3188435 h 6858000"/>
              <a:gd name="connsiteX10227" fmla="*/ 2951379 w 12192000"/>
              <a:gd name="connsiteY10227" fmla="*/ 3158783 h 6858000"/>
              <a:gd name="connsiteX10228" fmla="*/ 2983589 w 12192000"/>
              <a:gd name="connsiteY10228" fmla="*/ 3188435 h 6858000"/>
              <a:gd name="connsiteX10229" fmla="*/ 2951379 w 12192000"/>
              <a:gd name="connsiteY10229" fmla="*/ 3218087 h 6858000"/>
              <a:gd name="connsiteX10230" fmla="*/ 3029912 w 12192000"/>
              <a:gd name="connsiteY10230" fmla="*/ 3218087 h 6858000"/>
              <a:gd name="connsiteX10231" fmla="*/ 2997701 w 12192000"/>
              <a:gd name="connsiteY10231" fmla="*/ 3188435 h 6858000"/>
              <a:gd name="connsiteX10232" fmla="*/ 3029912 w 12192000"/>
              <a:gd name="connsiteY10232" fmla="*/ 3158783 h 6858000"/>
              <a:gd name="connsiteX10233" fmla="*/ 3062122 w 12192000"/>
              <a:gd name="connsiteY10233" fmla="*/ 3188435 h 6858000"/>
              <a:gd name="connsiteX10234" fmla="*/ 3029912 w 12192000"/>
              <a:gd name="connsiteY10234" fmla="*/ 3218087 h 6858000"/>
              <a:gd name="connsiteX10235" fmla="*/ 3108446 w 12192000"/>
              <a:gd name="connsiteY10235" fmla="*/ 3218087 h 6858000"/>
              <a:gd name="connsiteX10236" fmla="*/ 3076236 w 12192000"/>
              <a:gd name="connsiteY10236" fmla="*/ 3188435 h 6858000"/>
              <a:gd name="connsiteX10237" fmla="*/ 3108446 w 12192000"/>
              <a:gd name="connsiteY10237" fmla="*/ 3158783 h 6858000"/>
              <a:gd name="connsiteX10238" fmla="*/ 3140656 w 12192000"/>
              <a:gd name="connsiteY10238" fmla="*/ 3188435 h 6858000"/>
              <a:gd name="connsiteX10239" fmla="*/ 3108446 w 12192000"/>
              <a:gd name="connsiteY10239" fmla="*/ 3218087 h 6858000"/>
              <a:gd name="connsiteX10240" fmla="*/ 3422581 w 12192000"/>
              <a:gd name="connsiteY10240" fmla="*/ 3218087 h 6858000"/>
              <a:gd name="connsiteX10241" fmla="*/ 3390371 w 12192000"/>
              <a:gd name="connsiteY10241" fmla="*/ 3188435 h 6858000"/>
              <a:gd name="connsiteX10242" fmla="*/ 3422581 w 12192000"/>
              <a:gd name="connsiteY10242" fmla="*/ 3158783 h 6858000"/>
              <a:gd name="connsiteX10243" fmla="*/ 3454791 w 12192000"/>
              <a:gd name="connsiteY10243" fmla="*/ 3188435 h 6858000"/>
              <a:gd name="connsiteX10244" fmla="*/ 3422581 w 12192000"/>
              <a:gd name="connsiteY10244" fmla="*/ 3218087 h 6858000"/>
              <a:gd name="connsiteX10245" fmla="*/ 3579650 w 12192000"/>
              <a:gd name="connsiteY10245" fmla="*/ 3218087 h 6858000"/>
              <a:gd name="connsiteX10246" fmla="*/ 3547439 w 12192000"/>
              <a:gd name="connsiteY10246" fmla="*/ 3188435 h 6858000"/>
              <a:gd name="connsiteX10247" fmla="*/ 3579650 w 12192000"/>
              <a:gd name="connsiteY10247" fmla="*/ 3158783 h 6858000"/>
              <a:gd name="connsiteX10248" fmla="*/ 3611860 w 12192000"/>
              <a:gd name="connsiteY10248" fmla="*/ 3188435 h 6858000"/>
              <a:gd name="connsiteX10249" fmla="*/ 3579650 w 12192000"/>
              <a:gd name="connsiteY10249" fmla="*/ 3218087 h 6858000"/>
              <a:gd name="connsiteX10250" fmla="*/ 3658183 w 12192000"/>
              <a:gd name="connsiteY10250" fmla="*/ 3218087 h 6858000"/>
              <a:gd name="connsiteX10251" fmla="*/ 3625972 w 12192000"/>
              <a:gd name="connsiteY10251" fmla="*/ 3188435 h 6858000"/>
              <a:gd name="connsiteX10252" fmla="*/ 3658183 w 12192000"/>
              <a:gd name="connsiteY10252" fmla="*/ 3158783 h 6858000"/>
              <a:gd name="connsiteX10253" fmla="*/ 3690393 w 12192000"/>
              <a:gd name="connsiteY10253" fmla="*/ 3188435 h 6858000"/>
              <a:gd name="connsiteX10254" fmla="*/ 3658183 w 12192000"/>
              <a:gd name="connsiteY10254" fmla="*/ 3218087 h 6858000"/>
              <a:gd name="connsiteX10255" fmla="*/ 3736717 w 12192000"/>
              <a:gd name="connsiteY10255" fmla="*/ 3218087 h 6858000"/>
              <a:gd name="connsiteX10256" fmla="*/ 3704507 w 12192000"/>
              <a:gd name="connsiteY10256" fmla="*/ 3188435 h 6858000"/>
              <a:gd name="connsiteX10257" fmla="*/ 3736717 w 12192000"/>
              <a:gd name="connsiteY10257" fmla="*/ 3158783 h 6858000"/>
              <a:gd name="connsiteX10258" fmla="*/ 3768927 w 12192000"/>
              <a:gd name="connsiteY10258" fmla="*/ 3188435 h 6858000"/>
              <a:gd name="connsiteX10259" fmla="*/ 3736717 w 12192000"/>
              <a:gd name="connsiteY10259" fmla="*/ 3218087 h 6858000"/>
              <a:gd name="connsiteX10260" fmla="*/ 5464468 w 12192000"/>
              <a:gd name="connsiteY10260" fmla="*/ 3218087 h 6858000"/>
              <a:gd name="connsiteX10261" fmla="*/ 5432251 w 12192000"/>
              <a:gd name="connsiteY10261" fmla="*/ 3188435 h 6858000"/>
              <a:gd name="connsiteX10262" fmla="*/ 5464468 w 12192000"/>
              <a:gd name="connsiteY10262" fmla="*/ 3158783 h 6858000"/>
              <a:gd name="connsiteX10263" fmla="*/ 5496672 w 12192000"/>
              <a:gd name="connsiteY10263" fmla="*/ 3188435 h 6858000"/>
              <a:gd name="connsiteX10264" fmla="*/ 5464468 w 12192000"/>
              <a:gd name="connsiteY10264" fmla="*/ 3218087 h 6858000"/>
              <a:gd name="connsiteX10265" fmla="*/ 5543002 w 12192000"/>
              <a:gd name="connsiteY10265" fmla="*/ 3218087 h 6858000"/>
              <a:gd name="connsiteX10266" fmla="*/ 5510785 w 12192000"/>
              <a:gd name="connsiteY10266" fmla="*/ 3188435 h 6858000"/>
              <a:gd name="connsiteX10267" fmla="*/ 5543002 w 12192000"/>
              <a:gd name="connsiteY10267" fmla="*/ 3158783 h 6858000"/>
              <a:gd name="connsiteX10268" fmla="*/ 5575206 w 12192000"/>
              <a:gd name="connsiteY10268" fmla="*/ 3188435 h 6858000"/>
              <a:gd name="connsiteX10269" fmla="*/ 5543002 w 12192000"/>
              <a:gd name="connsiteY10269" fmla="*/ 3218087 h 6858000"/>
              <a:gd name="connsiteX10270" fmla="*/ 5621536 w 12192000"/>
              <a:gd name="connsiteY10270" fmla="*/ 3218087 h 6858000"/>
              <a:gd name="connsiteX10271" fmla="*/ 5589320 w 12192000"/>
              <a:gd name="connsiteY10271" fmla="*/ 3188435 h 6858000"/>
              <a:gd name="connsiteX10272" fmla="*/ 5621536 w 12192000"/>
              <a:gd name="connsiteY10272" fmla="*/ 3158783 h 6858000"/>
              <a:gd name="connsiteX10273" fmla="*/ 5653740 w 12192000"/>
              <a:gd name="connsiteY10273" fmla="*/ 3188435 h 6858000"/>
              <a:gd name="connsiteX10274" fmla="*/ 5621536 w 12192000"/>
              <a:gd name="connsiteY10274" fmla="*/ 3218087 h 6858000"/>
              <a:gd name="connsiteX10275" fmla="*/ 5700069 w 12192000"/>
              <a:gd name="connsiteY10275" fmla="*/ 3218087 h 6858000"/>
              <a:gd name="connsiteX10276" fmla="*/ 5667853 w 12192000"/>
              <a:gd name="connsiteY10276" fmla="*/ 3188435 h 6858000"/>
              <a:gd name="connsiteX10277" fmla="*/ 5700069 w 12192000"/>
              <a:gd name="connsiteY10277" fmla="*/ 3158783 h 6858000"/>
              <a:gd name="connsiteX10278" fmla="*/ 5732274 w 12192000"/>
              <a:gd name="connsiteY10278" fmla="*/ 3188435 h 6858000"/>
              <a:gd name="connsiteX10279" fmla="*/ 5700069 w 12192000"/>
              <a:gd name="connsiteY10279" fmla="*/ 3218087 h 6858000"/>
              <a:gd name="connsiteX10280" fmla="*/ 5778604 w 12192000"/>
              <a:gd name="connsiteY10280" fmla="*/ 3218087 h 6858000"/>
              <a:gd name="connsiteX10281" fmla="*/ 5746387 w 12192000"/>
              <a:gd name="connsiteY10281" fmla="*/ 3188435 h 6858000"/>
              <a:gd name="connsiteX10282" fmla="*/ 5778604 w 12192000"/>
              <a:gd name="connsiteY10282" fmla="*/ 3158783 h 6858000"/>
              <a:gd name="connsiteX10283" fmla="*/ 5810808 w 12192000"/>
              <a:gd name="connsiteY10283" fmla="*/ 3188435 h 6858000"/>
              <a:gd name="connsiteX10284" fmla="*/ 5778604 w 12192000"/>
              <a:gd name="connsiteY10284" fmla="*/ 3218087 h 6858000"/>
              <a:gd name="connsiteX10285" fmla="*/ 5857137 w 12192000"/>
              <a:gd name="connsiteY10285" fmla="*/ 3218087 h 6858000"/>
              <a:gd name="connsiteX10286" fmla="*/ 5824920 w 12192000"/>
              <a:gd name="connsiteY10286" fmla="*/ 3188435 h 6858000"/>
              <a:gd name="connsiteX10287" fmla="*/ 5857137 w 12192000"/>
              <a:gd name="connsiteY10287" fmla="*/ 3158783 h 6858000"/>
              <a:gd name="connsiteX10288" fmla="*/ 5889341 w 12192000"/>
              <a:gd name="connsiteY10288" fmla="*/ 3188435 h 6858000"/>
              <a:gd name="connsiteX10289" fmla="*/ 5857137 w 12192000"/>
              <a:gd name="connsiteY10289" fmla="*/ 3218087 h 6858000"/>
              <a:gd name="connsiteX10290" fmla="*/ 5935671 w 12192000"/>
              <a:gd name="connsiteY10290" fmla="*/ 3218087 h 6858000"/>
              <a:gd name="connsiteX10291" fmla="*/ 5903455 w 12192000"/>
              <a:gd name="connsiteY10291" fmla="*/ 3188435 h 6858000"/>
              <a:gd name="connsiteX10292" fmla="*/ 5935671 w 12192000"/>
              <a:gd name="connsiteY10292" fmla="*/ 3158783 h 6858000"/>
              <a:gd name="connsiteX10293" fmla="*/ 5967875 w 12192000"/>
              <a:gd name="connsiteY10293" fmla="*/ 3188435 h 6858000"/>
              <a:gd name="connsiteX10294" fmla="*/ 5935671 w 12192000"/>
              <a:gd name="connsiteY10294" fmla="*/ 3218087 h 6858000"/>
              <a:gd name="connsiteX10295" fmla="*/ 6014205 w 12192000"/>
              <a:gd name="connsiteY10295" fmla="*/ 3218087 h 6858000"/>
              <a:gd name="connsiteX10296" fmla="*/ 5981989 w 12192000"/>
              <a:gd name="connsiteY10296" fmla="*/ 3188435 h 6858000"/>
              <a:gd name="connsiteX10297" fmla="*/ 6014205 w 12192000"/>
              <a:gd name="connsiteY10297" fmla="*/ 3158783 h 6858000"/>
              <a:gd name="connsiteX10298" fmla="*/ 6046410 w 12192000"/>
              <a:gd name="connsiteY10298" fmla="*/ 3188435 h 6858000"/>
              <a:gd name="connsiteX10299" fmla="*/ 6014205 w 12192000"/>
              <a:gd name="connsiteY10299" fmla="*/ 3218087 h 6858000"/>
              <a:gd name="connsiteX10300" fmla="*/ 6092739 w 12192000"/>
              <a:gd name="connsiteY10300" fmla="*/ 3218087 h 6858000"/>
              <a:gd name="connsiteX10301" fmla="*/ 6060522 w 12192000"/>
              <a:gd name="connsiteY10301" fmla="*/ 3188435 h 6858000"/>
              <a:gd name="connsiteX10302" fmla="*/ 6092739 w 12192000"/>
              <a:gd name="connsiteY10302" fmla="*/ 3158783 h 6858000"/>
              <a:gd name="connsiteX10303" fmla="*/ 6124943 w 12192000"/>
              <a:gd name="connsiteY10303" fmla="*/ 3188435 h 6858000"/>
              <a:gd name="connsiteX10304" fmla="*/ 6092739 w 12192000"/>
              <a:gd name="connsiteY10304" fmla="*/ 3218087 h 6858000"/>
              <a:gd name="connsiteX10305" fmla="*/ 6171273 w 12192000"/>
              <a:gd name="connsiteY10305" fmla="*/ 3218087 h 6858000"/>
              <a:gd name="connsiteX10306" fmla="*/ 6139056 w 12192000"/>
              <a:gd name="connsiteY10306" fmla="*/ 3188435 h 6858000"/>
              <a:gd name="connsiteX10307" fmla="*/ 6171273 w 12192000"/>
              <a:gd name="connsiteY10307" fmla="*/ 3158783 h 6858000"/>
              <a:gd name="connsiteX10308" fmla="*/ 6203477 w 12192000"/>
              <a:gd name="connsiteY10308" fmla="*/ 3188435 h 6858000"/>
              <a:gd name="connsiteX10309" fmla="*/ 6171273 w 12192000"/>
              <a:gd name="connsiteY10309" fmla="*/ 3218087 h 6858000"/>
              <a:gd name="connsiteX10310" fmla="*/ 6249806 w 12192000"/>
              <a:gd name="connsiteY10310" fmla="*/ 3218087 h 6858000"/>
              <a:gd name="connsiteX10311" fmla="*/ 6217590 w 12192000"/>
              <a:gd name="connsiteY10311" fmla="*/ 3188435 h 6858000"/>
              <a:gd name="connsiteX10312" fmla="*/ 6249806 w 12192000"/>
              <a:gd name="connsiteY10312" fmla="*/ 3158783 h 6858000"/>
              <a:gd name="connsiteX10313" fmla="*/ 6282010 w 12192000"/>
              <a:gd name="connsiteY10313" fmla="*/ 3188435 h 6858000"/>
              <a:gd name="connsiteX10314" fmla="*/ 6249806 w 12192000"/>
              <a:gd name="connsiteY10314" fmla="*/ 3218087 h 6858000"/>
              <a:gd name="connsiteX10315" fmla="*/ 6328340 w 12192000"/>
              <a:gd name="connsiteY10315" fmla="*/ 3218087 h 6858000"/>
              <a:gd name="connsiteX10316" fmla="*/ 6296124 w 12192000"/>
              <a:gd name="connsiteY10316" fmla="*/ 3188435 h 6858000"/>
              <a:gd name="connsiteX10317" fmla="*/ 6328340 w 12192000"/>
              <a:gd name="connsiteY10317" fmla="*/ 3158783 h 6858000"/>
              <a:gd name="connsiteX10318" fmla="*/ 6360545 w 12192000"/>
              <a:gd name="connsiteY10318" fmla="*/ 3188435 h 6858000"/>
              <a:gd name="connsiteX10319" fmla="*/ 6328340 w 12192000"/>
              <a:gd name="connsiteY10319" fmla="*/ 3218087 h 6858000"/>
              <a:gd name="connsiteX10320" fmla="*/ 6406875 w 12192000"/>
              <a:gd name="connsiteY10320" fmla="*/ 3218087 h 6858000"/>
              <a:gd name="connsiteX10321" fmla="*/ 6374658 w 12192000"/>
              <a:gd name="connsiteY10321" fmla="*/ 3188435 h 6858000"/>
              <a:gd name="connsiteX10322" fmla="*/ 6406875 w 12192000"/>
              <a:gd name="connsiteY10322" fmla="*/ 3158783 h 6858000"/>
              <a:gd name="connsiteX10323" fmla="*/ 6439079 w 12192000"/>
              <a:gd name="connsiteY10323" fmla="*/ 3188435 h 6858000"/>
              <a:gd name="connsiteX10324" fmla="*/ 6406875 w 12192000"/>
              <a:gd name="connsiteY10324" fmla="*/ 3218087 h 6858000"/>
              <a:gd name="connsiteX10325" fmla="*/ 6485408 w 12192000"/>
              <a:gd name="connsiteY10325" fmla="*/ 3218087 h 6858000"/>
              <a:gd name="connsiteX10326" fmla="*/ 6453191 w 12192000"/>
              <a:gd name="connsiteY10326" fmla="*/ 3188435 h 6858000"/>
              <a:gd name="connsiteX10327" fmla="*/ 6485408 w 12192000"/>
              <a:gd name="connsiteY10327" fmla="*/ 3158783 h 6858000"/>
              <a:gd name="connsiteX10328" fmla="*/ 6517612 w 12192000"/>
              <a:gd name="connsiteY10328" fmla="*/ 3188435 h 6858000"/>
              <a:gd name="connsiteX10329" fmla="*/ 6485408 w 12192000"/>
              <a:gd name="connsiteY10329" fmla="*/ 3218087 h 6858000"/>
              <a:gd name="connsiteX10330" fmla="*/ 6563942 w 12192000"/>
              <a:gd name="connsiteY10330" fmla="*/ 3218087 h 6858000"/>
              <a:gd name="connsiteX10331" fmla="*/ 6531726 w 12192000"/>
              <a:gd name="connsiteY10331" fmla="*/ 3188435 h 6858000"/>
              <a:gd name="connsiteX10332" fmla="*/ 6563942 w 12192000"/>
              <a:gd name="connsiteY10332" fmla="*/ 3158783 h 6858000"/>
              <a:gd name="connsiteX10333" fmla="*/ 6596146 w 12192000"/>
              <a:gd name="connsiteY10333" fmla="*/ 3188435 h 6858000"/>
              <a:gd name="connsiteX10334" fmla="*/ 6563942 w 12192000"/>
              <a:gd name="connsiteY10334" fmla="*/ 3218087 h 6858000"/>
              <a:gd name="connsiteX10335" fmla="*/ 6642476 w 12192000"/>
              <a:gd name="connsiteY10335" fmla="*/ 3218087 h 6858000"/>
              <a:gd name="connsiteX10336" fmla="*/ 6610260 w 12192000"/>
              <a:gd name="connsiteY10336" fmla="*/ 3188435 h 6858000"/>
              <a:gd name="connsiteX10337" fmla="*/ 6642476 w 12192000"/>
              <a:gd name="connsiteY10337" fmla="*/ 3158783 h 6858000"/>
              <a:gd name="connsiteX10338" fmla="*/ 6674681 w 12192000"/>
              <a:gd name="connsiteY10338" fmla="*/ 3188435 h 6858000"/>
              <a:gd name="connsiteX10339" fmla="*/ 6642476 w 12192000"/>
              <a:gd name="connsiteY10339" fmla="*/ 3218087 h 6858000"/>
              <a:gd name="connsiteX10340" fmla="*/ 6721010 w 12192000"/>
              <a:gd name="connsiteY10340" fmla="*/ 3218087 h 6858000"/>
              <a:gd name="connsiteX10341" fmla="*/ 6688793 w 12192000"/>
              <a:gd name="connsiteY10341" fmla="*/ 3188435 h 6858000"/>
              <a:gd name="connsiteX10342" fmla="*/ 6721010 w 12192000"/>
              <a:gd name="connsiteY10342" fmla="*/ 3158783 h 6858000"/>
              <a:gd name="connsiteX10343" fmla="*/ 6753214 w 12192000"/>
              <a:gd name="connsiteY10343" fmla="*/ 3188435 h 6858000"/>
              <a:gd name="connsiteX10344" fmla="*/ 6721010 w 12192000"/>
              <a:gd name="connsiteY10344" fmla="*/ 3218087 h 6858000"/>
              <a:gd name="connsiteX10345" fmla="*/ 6799544 w 12192000"/>
              <a:gd name="connsiteY10345" fmla="*/ 3218087 h 6858000"/>
              <a:gd name="connsiteX10346" fmla="*/ 6767327 w 12192000"/>
              <a:gd name="connsiteY10346" fmla="*/ 3188435 h 6858000"/>
              <a:gd name="connsiteX10347" fmla="*/ 6799544 w 12192000"/>
              <a:gd name="connsiteY10347" fmla="*/ 3158783 h 6858000"/>
              <a:gd name="connsiteX10348" fmla="*/ 6831748 w 12192000"/>
              <a:gd name="connsiteY10348" fmla="*/ 3188435 h 6858000"/>
              <a:gd name="connsiteX10349" fmla="*/ 6799544 w 12192000"/>
              <a:gd name="connsiteY10349" fmla="*/ 3218087 h 6858000"/>
              <a:gd name="connsiteX10350" fmla="*/ 6878077 w 12192000"/>
              <a:gd name="connsiteY10350" fmla="*/ 3218087 h 6858000"/>
              <a:gd name="connsiteX10351" fmla="*/ 6845861 w 12192000"/>
              <a:gd name="connsiteY10351" fmla="*/ 3188435 h 6858000"/>
              <a:gd name="connsiteX10352" fmla="*/ 6878077 w 12192000"/>
              <a:gd name="connsiteY10352" fmla="*/ 3158783 h 6858000"/>
              <a:gd name="connsiteX10353" fmla="*/ 6910281 w 12192000"/>
              <a:gd name="connsiteY10353" fmla="*/ 3188435 h 6858000"/>
              <a:gd name="connsiteX10354" fmla="*/ 6878077 w 12192000"/>
              <a:gd name="connsiteY10354" fmla="*/ 3218087 h 6858000"/>
              <a:gd name="connsiteX10355" fmla="*/ 6956611 w 12192000"/>
              <a:gd name="connsiteY10355" fmla="*/ 3218087 h 6858000"/>
              <a:gd name="connsiteX10356" fmla="*/ 6924395 w 12192000"/>
              <a:gd name="connsiteY10356" fmla="*/ 3188435 h 6858000"/>
              <a:gd name="connsiteX10357" fmla="*/ 6956611 w 12192000"/>
              <a:gd name="connsiteY10357" fmla="*/ 3158783 h 6858000"/>
              <a:gd name="connsiteX10358" fmla="*/ 6988816 w 12192000"/>
              <a:gd name="connsiteY10358" fmla="*/ 3188435 h 6858000"/>
              <a:gd name="connsiteX10359" fmla="*/ 6956611 w 12192000"/>
              <a:gd name="connsiteY10359" fmla="*/ 3218087 h 6858000"/>
              <a:gd name="connsiteX10360" fmla="*/ 7113703 w 12192000"/>
              <a:gd name="connsiteY10360" fmla="*/ 3218087 h 6858000"/>
              <a:gd name="connsiteX10361" fmla="*/ 7081487 w 12192000"/>
              <a:gd name="connsiteY10361" fmla="*/ 3188435 h 6858000"/>
              <a:gd name="connsiteX10362" fmla="*/ 7113703 w 12192000"/>
              <a:gd name="connsiteY10362" fmla="*/ 3158783 h 6858000"/>
              <a:gd name="connsiteX10363" fmla="*/ 7145907 w 12192000"/>
              <a:gd name="connsiteY10363" fmla="*/ 3188435 h 6858000"/>
              <a:gd name="connsiteX10364" fmla="*/ 7113703 w 12192000"/>
              <a:gd name="connsiteY10364" fmla="*/ 3218087 h 6858000"/>
              <a:gd name="connsiteX10365" fmla="*/ 7192237 w 12192000"/>
              <a:gd name="connsiteY10365" fmla="*/ 3218087 h 6858000"/>
              <a:gd name="connsiteX10366" fmla="*/ 7160021 w 12192000"/>
              <a:gd name="connsiteY10366" fmla="*/ 3188435 h 6858000"/>
              <a:gd name="connsiteX10367" fmla="*/ 7192237 w 12192000"/>
              <a:gd name="connsiteY10367" fmla="*/ 3158783 h 6858000"/>
              <a:gd name="connsiteX10368" fmla="*/ 7224441 w 12192000"/>
              <a:gd name="connsiteY10368" fmla="*/ 3188435 h 6858000"/>
              <a:gd name="connsiteX10369" fmla="*/ 7192237 w 12192000"/>
              <a:gd name="connsiteY10369" fmla="*/ 3218087 h 6858000"/>
              <a:gd name="connsiteX10370" fmla="*/ 7270771 w 12192000"/>
              <a:gd name="connsiteY10370" fmla="*/ 3218087 h 6858000"/>
              <a:gd name="connsiteX10371" fmla="*/ 7238555 w 12192000"/>
              <a:gd name="connsiteY10371" fmla="*/ 3188435 h 6858000"/>
              <a:gd name="connsiteX10372" fmla="*/ 7270771 w 12192000"/>
              <a:gd name="connsiteY10372" fmla="*/ 3158783 h 6858000"/>
              <a:gd name="connsiteX10373" fmla="*/ 7302976 w 12192000"/>
              <a:gd name="connsiteY10373" fmla="*/ 3188435 h 6858000"/>
              <a:gd name="connsiteX10374" fmla="*/ 7270771 w 12192000"/>
              <a:gd name="connsiteY10374" fmla="*/ 3218087 h 6858000"/>
              <a:gd name="connsiteX10375" fmla="*/ 7349305 w 12192000"/>
              <a:gd name="connsiteY10375" fmla="*/ 3218087 h 6858000"/>
              <a:gd name="connsiteX10376" fmla="*/ 7317088 w 12192000"/>
              <a:gd name="connsiteY10376" fmla="*/ 3188435 h 6858000"/>
              <a:gd name="connsiteX10377" fmla="*/ 7349305 w 12192000"/>
              <a:gd name="connsiteY10377" fmla="*/ 3158783 h 6858000"/>
              <a:gd name="connsiteX10378" fmla="*/ 7381509 w 12192000"/>
              <a:gd name="connsiteY10378" fmla="*/ 3188435 h 6858000"/>
              <a:gd name="connsiteX10379" fmla="*/ 7349305 w 12192000"/>
              <a:gd name="connsiteY10379" fmla="*/ 3218087 h 6858000"/>
              <a:gd name="connsiteX10380" fmla="*/ 7427839 w 12192000"/>
              <a:gd name="connsiteY10380" fmla="*/ 3218087 h 6858000"/>
              <a:gd name="connsiteX10381" fmla="*/ 7395623 w 12192000"/>
              <a:gd name="connsiteY10381" fmla="*/ 3188435 h 6858000"/>
              <a:gd name="connsiteX10382" fmla="*/ 7427839 w 12192000"/>
              <a:gd name="connsiteY10382" fmla="*/ 3158783 h 6858000"/>
              <a:gd name="connsiteX10383" fmla="*/ 7460043 w 12192000"/>
              <a:gd name="connsiteY10383" fmla="*/ 3188435 h 6858000"/>
              <a:gd name="connsiteX10384" fmla="*/ 7427839 w 12192000"/>
              <a:gd name="connsiteY10384" fmla="*/ 3218087 h 6858000"/>
              <a:gd name="connsiteX10385" fmla="*/ 7506373 w 12192000"/>
              <a:gd name="connsiteY10385" fmla="*/ 3218087 h 6858000"/>
              <a:gd name="connsiteX10386" fmla="*/ 7474157 w 12192000"/>
              <a:gd name="connsiteY10386" fmla="*/ 3188435 h 6858000"/>
              <a:gd name="connsiteX10387" fmla="*/ 7506373 w 12192000"/>
              <a:gd name="connsiteY10387" fmla="*/ 3158783 h 6858000"/>
              <a:gd name="connsiteX10388" fmla="*/ 7538577 w 12192000"/>
              <a:gd name="connsiteY10388" fmla="*/ 3188435 h 6858000"/>
              <a:gd name="connsiteX10389" fmla="*/ 7506373 w 12192000"/>
              <a:gd name="connsiteY10389" fmla="*/ 3218087 h 6858000"/>
              <a:gd name="connsiteX10390" fmla="*/ 7584906 w 12192000"/>
              <a:gd name="connsiteY10390" fmla="*/ 3218087 h 6858000"/>
              <a:gd name="connsiteX10391" fmla="*/ 7552690 w 12192000"/>
              <a:gd name="connsiteY10391" fmla="*/ 3188435 h 6858000"/>
              <a:gd name="connsiteX10392" fmla="*/ 7584906 w 12192000"/>
              <a:gd name="connsiteY10392" fmla="*/ 3158783 h 6858000"/>
              <a:gd name="connsiteX10393" fmla="*/ 7617111 w 12192000"/>
              <a:gd name="connsiteY10393" fmla="*/ 3188435 h 6858000"/>
              <a:gd name="connsiteX10394" fmla="*/ 7584906 w 12192000"/>
              <a:gd name="connsiteY10394" fmla="*/ 3218087 h 6858000"/>
              <a:gd name="connsiteX10395" fmla="*/ 7977576 w 12192000"/>
              <a:gd name="connsiteY10395" fmla="*/ 3218087 h 6858000"/>
              <a:gd name="connsiteX10396" fmla="*/ 7945359 w 12192000"/>
              <a:gd name="connsiteY10396" fmla="*/ 3188435 h 6858000"/>
              <a:gd name="connsiteX10397" fmla="*/ 7977576 w 12192000"/>
              <a:gd name="connsiteY10397" fmla="*/ 3158783 h 6858000"/>
              <a:gd name="connsiteX10398" fmla="*/ 8009780 w 12192000"/>
              <a:gd name="connsiteY10398" fmla="*/ 3188435 h 6858000"/>
              <a:gd name="connsiteX10399" fmla="*/ 7977576 w 12192000"/>
              <a:gd name="connsiteY10399" fmla="*/ 3218087 h 6858000"/>
              <a:gd name="connsiteX10400" fmla="*/ 8056110 w 12192000"/>
              <a:gd name="connsiteY10400" fmla="*/ 3218087 h 6858000"/>
              <a:gd name="connsiteX10401" fmla="*/ 8023894 w 12192000"/>
              <a:gd name="connsiteY10401" fmla="*/ 3188435 h 6858000"/>
              <a:gd name="connsiteX10402" fmla="*/ 8056110 w 12192000"/>
              <a:gd name="connsiteY10402" fmla="*/ 3158783 h 6858000"/>
              <a:gd name="connsiteX10403" fmla="*/ 8088314 w 12192000"/>
              <a:gd name="connsiteY10403" fmla="*/ 3188435 h 6858000"/>
              <a:gd name="connsiteX10404" fmla="*/ 8056110 w 12192000"/>
              <a:gd name="connsiteY10404" fmla="*/ 3218087 h 6858000"/>
              <a:gd name="connsiteX10405" fmla="*/ 8134643 w 12192000"/>
              <a:gd name="connsiteY10405" fmla="*/ 3218087 h 6858000"/>
              <a:gd name="connsiteX10406" fmla="*/ 8102427 w 12192000"/>
              <a:gd name="connsiteY10406" fmla="*/ 3188435 h 6858000"/>
              <a:gd name="connsiteX10407" fmla="*/ 8134643 w 12192000"/>
              <a:gd name="connsiteY10407" fmla="*/ 3158783 h 6858000"/>
              <a:gd name="connsiteX10408" fmla="*/ 8166847 w 12192000"/>
              <a:gd name="connsiteY10408" fmla="*/ 3188435 h 6858000"/>
              <a:gd name="connsiteX10409" fmla="*/ 8134643 w 12192000"/>
              <a:gd name="connsiteY10409" fmla="*/ 3218087 h 6858000"/>
              <a:gd name="connsiteX10410" fmla="*/ 8213177 w 12192000"/>
              <a:gd name="connsiteY10410" fmla="*/ 3218087 h 6858000"/>
              <a:gd name="connsiteX10411" fmla="*/ 8180961 w 12192000"/>
              <a:gd name="connsiteY10411" fmla="*/ 3188435 h 6858000"/>
              <a:gd name="connsiteX10412" fmla="*/ 8213177 w 12192000"/>
              <a:gd name="connsiteY10412" fmla="*/ 3158783 h 6858000"/>
              <a:gd name="connsiteX10413" fmla="*/ 8245382 w 12192000"/>
              <a:gd name="connsiteY10413" fmla="*/ 3188435 h 6858000"/>
              <a:gd name="connsiteX10414" fmla="*/ 8213177 w 12192000"/>
              <a:gd name="connsiteY10414" fmla="*/ 3218087 h 6858000"/>
              <a:gd name="connsiteX10415" fmla="*/ 8291712 w 12192000"/>
              <a:gd name="connsiteY10415" fmla="*/ 3218087 h 6858000"/>
              <a:gd name="connsiteX10416" fmla="*/ 8259495 w 12192000"/>
              <a:gd name="connsiteY10416" fmla="*/ 3188435 h 6858000"/>
              <a:gd name="connsiteX10417" fmla="*/ 8291712 w 12192000"/>
              <a:gd name="connsiteY10417" fmla="*/ 3158783 h 6858000"/>
              <a:gd name="connsiteX10418" fmla="*/ 8323916 w 12192000"/>
              <a:gd name="connsiteY10418" fmla="*/ 3188435 h 6858000"/>
              <a:gd name="connsiteX10419" fmla="*/ 8291712 w 12192000"/>
              <a:gd name="connsiteY10419" fmla="*/ 3218087 h 6858000"/>
              <a:gd name="connsiteX10420" fmla="*/ 8370245 w 12192000"/>
              <a:gd name="connsiteY10420" fmla="*/ 3218087 h 6858000"/>
              <a:gd name="connsiteX10421" fmla="*/ 8338029 w 12192000"/>
              <a:gd name="connsiteY10421" fmla="*/ 3188435 h 6858000"/>
              <a:gd name="connsiteX10422" fmla="*/ 8370245 w 12192000"/>
              <a:gd name="connsiteY10422" fmla="*/ 3158783 h 6858000"/>
              <a:gd name="connsiteX10423" fmla="*/ 8402449 w 12192000"/>
              <a:gd name="connsiteY10423" fmla="*/ 3188435 h 6858000"/>
              <a:gd name="connsiteX10424" fmla="*/ 8370245 w 12192000"/>
              <a:gd name="connsiteY10424" fmla="*/ 3218087 h 6858000"/>
              <a:gd name="connsiteX10425" fmla="*/ 8684381 w 12192000"/>
              <a:gd name="connsiteY10425" fmla="*/ 3218087 h 6858000"/>
              <a:gd name="connsiteX10426" fmla="*/ 8652165 w 12192000"/>
              <a:gd name="connsiteY10426" fmla="*/ 3188435 h 6858000"/>
              <a:gd name="connsiteX10427" fmla="*/ 8684381 w 12192000"/>
              <a:gd name="connsiteY10427" fmla="*/ 3158783 h 6858000"/>
              <a:gd name="connsiteX10428" fmla="*/ 8716585 w 12192000"/>
              <a:gd name="connsiteY10428" fmla="*/ 3188435 h 6858000"/>
              <a:gd name="connsiteX10429" fmla="*/ 8684381 w 12192000"/>
              <a:gd name="connsiteY10429" fmla="*/ 3218087 h 6858000"/>
              <a:gd name="connsiteX10430" fmla="*/ 8762914 w 12192000"/>
              <a:gd name="connsiteY10430" fmla="*/ 3218087 h 6858000"/>
              <a:gd name="connsiteX10431" fmla="*/ 8730698 w 12192000"/>
              <a:gd name="connsiteY10431" fmla="*/ 3188435 h 6858000"/>
              <a:gd name="connsiteX10432" fmla="*/ 8762914 w 12192000"/>
              <a:gd name="connsiteY10432" fmla="*/ 3158783 h 6858000"/>
              <a:gd name="connsiteX10433" fmla="*/ 8795118 w 12192000"/>
              <a:gd name="connsiteY10433" fmla="*/ 3188435 h 6858000"/>
              <a:gd name="connsiteX10434" fmla="*/ 8762914 w 12192000"/>
              <a:gd name="connsiteY10434" fmla="*/ 3218087 h 6858000"/>
              <a:gd name="connsiteX10435" fmla="*/ 8841448 w 12192000"/>
              <a:gd name="connsiteY10435" fmla="*/ 3218087 h 6858000"/>
              <a:gd name="connsiteX10436" fmla="*/ 8809232 w 12192000"/>
              <a:gd name="connsiteY10436" fmla="*/ 3188435 h 6858000"/>
              <a:gd name="connsiteX10437" fmla="*/ 8841448 w 12192000"/>
              <a:gd name="connsiteY10437" fmla="*/ 3158783 h 6858000"/>
              <a:gd name="connsiteX10438" fmla="*/ 8873653 w 12192000"/>
              <a:gd name="connsiteY10438" fmla="*/ 3188435 h 6858000"/>
              <a:gd name="connsiteX10439" fmla="*/ 8841448 w 12192000"/>
              <a:gd name="connsiteY10439" fmla="*/ 3218087 h 6858000"/>
              <a:gd name="connsiteX10440" fmla="*/ 8919983 w 12192000"/>
              <a:gd name="connsiteY10440" fmla="*/ 3218087 h 6858000"/>
              <a:gd name="connsiteX10441" fmla="*/ 8887766 w 12192000"/>
              <a:gd name="connsiteY10441" fmla="*/ 3188435 h 6858000"/>
              <a:gd name="connsiteX10442" fmla="*/ 8919983 w 12192000"/>
              <a:gd name="connsiteY10442" fmla="*/ 3158783 h 6858000"/>
              <a:gd name="connsiteX10443" fmla="*/ 8952187 w 12192000"/>
              <a:gd name="connsiteY10443" fmla="*/ 3188435 h 6858000"/>
              <a:gd name="connsiteX10444" fmla="*/ 8919983 w 12192000"/>
              <a:gd name="connsiteY10444" fmla="*/ 3218087 h 6858000"/>
              <a:gd name="connsiteX10445" fmla="*/ 2951379 w 12192000"/>
              <a:gd name="connsiteY10445" fmla="*/ 3145822 h 6858000"/>
              <a:gd name="connsiteX10446" fmla="*/ 2919168 w 12192000"/>
              <a:gd name="connsiteY10446" fmla="*/ 3116170 h 6858000"/>
              <a:gd name="connsiteX10447" fmla="*/ 2951379 w 12192000"/>
              <a:gd name="connsiteY10447" fmla="*/ 3086518 h 6858000"/>
              <a:gd name="connsiteX10448" fmla="*/ 2983589 w 12192000"/>
              <a:gd name="connsiteY10448" fmla="*/ 3116170 h 6858000"/>
              <a:gd name="connsiteX10449" fmla="*/ 2951379 w 12192000"/>
              <a:gd name="connsiteY10449" fmla="*/ 3145822 h 6858000"/>
              <a:gd name="connsiteX10450" fmla="*/ 3029912 w 12192000"/>
              <a:gd name="connsiteY10450" fmla="*/ 3145822 h 6858000"/>
              <a:gd name="connsiteX10451" fmla="*/ 2997701 w 12192000"/>
              <a:gd name="connsiteY10451" fmla="*/ 3116170 h 6858000"/>
              <a:gd name="connsiteX10452" fmla="*/ 3029912 w 12192000"/>
              <a:gd name="connsiteY10452" fmla="*/ 3086518 h 6858000"/>
              <a:gd name="connsiteX10453" fmla="*/ 3062122 w 12192000"/>
              <a:gd name="connsiteY10453" fmla="*/ 3116170 h 6858000"/>
              <a:gd name="connsiteX10454" fmla="*/ 3029912 w 12192000"/>
              <a:gd name="connsiteY10454" fmla="*/ 3145822 h 6858000"/>
              <a:gd name="connsiteX10455" fmla="*/ 3108446 w 12192000"/>
              <a:gd name="connsiteY10455" fmla="*/ 3145822 h 6858000"/>
              <a:gd name="connsiteX10456" fmla="*/ 3076236 w 12192000"/>
              <a:gd name="connsiteY10456" fmla="*/ 3116170 h 6858000"/>
              <a:gd name="connsiteX10457" fmla="*/ 3108446 w 12192000"/>
              <a:gd name="connsiteY10457" fmla="*/ 3086518 h 6858000"/>
              <a:gd name="connsiteX10458" fmla="*/ 3140656 w 12192000"/>
              <a:gd name="connsiteY10458" fmla="*/ 3116170 h 6858000"/>
              <a:gd name="connsiteX10459" fmla="*/ 3108446 w 12192000"/>
              <a:gd name="connsiteY10459" fmla="*/ 3145822 h 6858000"/>
              <a:gd name="connsiteX10460" fmla="*/ 3344048 w 12192000"/>
              <a:gd name="connsiteY10460" fmla="*/ 3145822 h 6858000"/>
              <a:gd name="connsiteX10461" fmla="*/ 3311837 w 12192000"/>
              <a:gd name="connsiteY10461" fmla="*/ 3116170 h 6858000"/>
              <a:gd name="connsiteX10462" fmla="*/ 3344048 w 12192000"/>
              <a:gd name="connsiteY10462" fmla="*/ 3086518 h 6858000"/>
              <a:gd name="connsiteX10463" fmla="*/ 3376258 w 12192000"/>
              <a:gd name="connsiteY10463" fmla="*/ 3116170 h 6858000"/>
              <a:gd name="connsiteX10464" fmla="*/ 3344048 w 12192000"/>
              <a:gd name="connsiteY10464" fmla="*/ 3145822 h 6858000"/>
              <a:gd name="connsiteX10465" fmla="*/ 3893785 w 12192000"/>
              <a:gd name="connsiteY10465" fmla="*/ 3145822 h 6858000"/>
              <a:gd name="connsiteX10466" fmla="*/ 3861574 w 12192000"/>
              <a:gd name="connsiteY10466" fmla="*/ 3116170 h 6858000"/>
              <a:gd name="connsiteX10467" fmla="*/ 3893785 w 12192000"/>
              <a:gd name="connsiteY10467" fmla="*/ 3086518 h 6858000"/>
              <a:gd name="connsiteX10468" fmla="*/ 3925995 w 12192000"/>
              <a:gd name="connsiteY10468" fmla="*/ 3116170 h 6858000"/>
              <a:gd name="connsiteX10469" fmla="*/ 3893785 w 12192000"/>
              <a:gd name="connsiteY10469" fmla="*/ 3145822 h 6858000"/>
              <a:gd name="connsiteX10470" fmla="*/ 4050852 w 12192000"/>
              <a:gd name="connsiteY10470" fmla="*/ 3145822 h 6858000"/>
              <a:gd name="connsiteX10471" fmla="*/ 4018642 w 12192000"/>
              <a:gd name="connsiteY10471" fmla="*/ 3116170 h 6858000"/>
              <a:gd name="connsiteX10472" fmla="*/ 4050852 w 12192000"/>
              <a:gd name="connsiteY10472" fmla="*/ 3086518 h 6858000"/>
              <a:gd name="connsiteX10473" fmla="*/ 4083062 w 12192000"/>
              <a:gd name="connsiteY10473" fmla="*/ 3116170 h 6858000"/>
              <a:gd name="connsiteX10474" fmla="*/ 4050852 w 12192000"/>
              <a:gd name="connsiteY10474" fmla="*/ 3145822 h 6858000"/>
              <a:gd name="connsiteX10475" fmla="*/ 5464468 w 12192000"/>
              <a:gd name="connsiteY10475" fmla="*/ 3145822 h 6858000"/>
              <a:gd name="connsiteX10476" fmla="*/ 5432251 w 12192000"/>
              <a:gd name="connsiteY10476" fmla="*/ 3116170 h 6858000"/>
              <a:gd name="connsiteX10477" fmla="*/ 5464468 w 12192000"/>
              <a:gd name="connsiteY10477" fmla="*/ 3086518 h 6858000"/>
              <a:gd name="connsiteX10478" fmla="*/ 5496672 w 12192000"/>
              <a:gd name="connsiteY10478" fmla="*/ 3116170 h 6858000"/>
              <a:gd name="connsiteX10479" fmla="*/ 5464468 w 12192000"/>
              <a:gd name="connsiteY10479" fmla="*/ 3145822 h 6858000"/>
              <a:gd name="connsiteX10480" fmla="*/ 5543002 w 12192000"/>
              <a:gd name="connsiteY10480" fmla="*/ 3145822 h 6858000"/>
              <a:gd name="connsiteX10481" fmla="*/ 5510785 w 12192000"/>
              <a:gd name="connsiteY10481" fmla="*/ 3116170 h 6858000"/>
              <a:gd name="connsiteX10482" fmla="*/ 5543002 w 12192000"/>
              <a:gd name="connsiteY10482" fmla="*/ 3086518 h 6858000"/>
              <a:gd name="connsiteX10483" fmla="*/ 5575206 w 12192000"/>
              <a:gd name="connsiteY10483" fmla="*/ 3116170 h 6858000"/>
              <a:gd name="connsiteX10484" fmla="*/ 5543002 w 12192000"/>
              <a:gd name="connsiteY10484" fmla="*/ 3145822 h 6858000"/>
              <a:gd name="connsiteX10485" fmla="*/ 5621536 w 12192000"/>
              <a:gd name="connsiteY10485" fmla="*/ 3145822 h 6858000"/>
              <a:gd name="connsiteX10486" fmla="*/ 5589320 w 12192000"/>
              <a:gd name="connsiteY10486" fmla="*/ 3116170 h 6858000"/>
              <a:gd name="connsiteX10487" fmla="*/ 5621536 w 12192000"/>
              <a:gd name="connsiteY10487" fmla="*/ 3086518 h 6858000"/>
              <a:gd name="connsiteX10488" fmla="*/ 5653740 w 12192000"/>
              <a:gd name="connsiteY10488" fmla="*/ 3116170 h 6858000"/>
              <a:gd name="connsiteX10489" fmla="*/ 5621536 w 12192000"/>
              <a:gd name="connsiteY10489" fmla="*/ 3145822 h 6858000"/>
              <a:gd name="connsiteX10490" fmla="*/ 5700069 w 12192000"/>
              <a:gd name="connsiteY10490" fmla="*/ 3145822 h 6858000"/>
              <a:gd name="connsiteX10491" fmla="*/ 5667853 w 12192000"/>
              <a:gd name="connsiteY10491" fmla="*/ 3116170 h 6858000"/>
              <a:gd name="connsiteX10492" fmla="*/ 5700069 w 12192000"/>
              <a:gd name="connsiteY10492" fmla="*/ 3086518 h 6858000"/>
              <a:gd name="connsiteX10493" fmla="*/ 5732274 w 12192000"/>
              <a:gd name="connsiteY10493" fmla="*/ 3116170 h 6858000"/>
              <a:gd name="connsiteX10494" fmla="*/ 5700069 w 12192000"/>
              <a:gd name="connsiteY10494" fmla="*/ 3145822 h 6858000"/>
              <a:gd name="connsiteX10495" fmla="*/ 5778604 w 12192000"/>
              <a:gd name="connsiteY10495" fmla="*/ 3145822 h 6858000"/>
              <a:gd name="connsiteX10496" fmla="*/ 5746387 w 12192000"/>
              <a:gd name="connsiteY10496" fmla="*/ 3116170 h 6858000"/>
              <a:gd name="connsiteX10497" fmla="*/ 5778604 w 12192000"/>
              <a:gd name="connsiteY10497" fmla="*/ 3086518 h 6858000"/>
              <a:gd name="connsiteX10498" fmla="*/ 5810808 w 12192000"/>
              <a:gd name="connsiteY10498" fmla="*/ 3116170 h 6858000"/>
              <a:gd name="connsiteX10499" fmla="*/ 5778604 w 12192000"/>
              <a:gd name="connsiteY10499" fmla="*/ 3145822 h 6858000"/>
              <a:gd name="connsiteX10500" fmla="*/ 5857137 w 12192000"/>
              <a:gd name="connsiteY10500" fmla="*/ 3145822 h 6858000"/>
              <a:gd name="connsiteX10501" fmla="*/ 5824920 w 12192000"/>
              <a:gd name="connsiteY10501" fmla="*/ 3116170 h 6858000"/>
              <a:gd name="connsiteX10502" fmla="*/ 5857137 w 12192000"/>
              <a:gd name="connsiteY10502" fmla="*/ 3086518 h 6858000"/>
              <a:gd name="connsiteX10503" fmla="*/ 5889341 w 12192000"/>
              <a:gd name="connsiteY10503" fmla="*/ 3116170 h 6858000"/>
              <a:gd name="connsiteX10504" fmla="*/ 5857137 w 12192000"/>
              <a:gd name="connsiteY10504" fmla="*/ 3145822 h 6858000"/>
              <a:gd name="connsiteX10505" fmla="*/ 5935671 w 12192000"/>
              <a:gd name="connsiteY10505" fmla="*/ 3145822 h 6858000"/>
              <a:gd name="connsiteX10506" fmla="*/ 5903455 w 12192000"/>
              <a:gd name="connsiteY10506" fmla="*/ 3116170 h 6858000"/>
              <a:gd name="connsiteX10507" fmla="*/ 5935671 w 12192000"/>
              <a:gd name="connsiteY10507" fmla="*/ 3086518 h 6858000"/>
              <a:gd name="connsiteX10508" fmla="*/ 5967875 w 12192000"/>
              <a:gd name="connsiteY10508" fmla="*/ 3116170 h 6858000"/>
              <a:gd name="connsiteX10509" fmla="*/ 5935671 w 12192000"/>
              <a:gd name="connsiteY10509" fmla="*/ 3145822 h 6858000"/>
              <a:gd name="connsiteX10510" fmla="*/ 6014205 w 12192000"/>
              <a:gd name="connsiteY10510" fmla="*/ 3145822 h 6858000"/>
              <a:gd name="connsiteX10511" fmla="*/ 5981989 w 12192000"/>
              <a:gd name="connsiteY10511" fmla="*/ 3116170 h 6858000"/>
              <a:gd name="connsiteX10512" fmla="*/ 6014205 w 12192000"/>
              <a:gd name="connsiteY10512" fmla="*/ 3086518 h 6858000"/>
              <a:gd name="connsiteX10513" fmla="*/ 6046410 w 12192000"/>
              <a:gd name="connsiteY10513" fmla="*/ 3116170 h 6858000"/>
              <a:gd name="connsiteX10514" fmla="*/ 6014205 w 12192000"/>
              <a:gd name="connsiteY10514" fmla="*/ 3145822 h 6858000"/>
              <a:gd name="connsiteX10515" fmla="*/ 6092739 w 12192000"/>
              <a:gd name="connsiteY10515" fmla="*/ 3145822 h 6858000"/>
              <a:gd name="connsiteX10516" fmla="*/ 6060522 w 12192000"/>
              <a:gd name="connsiteY10516" fmla="*/ 3116170 h 6858000"/>
              <a:gd name="connsiteX10517" fmla="*/ 6092739 w 12192000"/>
              <a:gd name="connsiteY10517" fmla="*/ 3086518 h 6858000"/>
              <a:gd name="connsiteX10518" fmla="*/ 6124943 w 12192000"/>
              <a:gd name="connsiteY10518" fmla="*/ 3116170 h 6858000"/>
              <a:gd name="connsiteX10519" fmla="*/ 6092739 w 12192000"/>
              <a:gd name="connsiteY10519" fmla="*/ 3145822 h 6858000"/>
              <a:gd name="connsiteX10520" fmla="*/ 6171273 w 12192000"/>
              <a:gd name="connsiteY10520" fmla="*/ 3145822 h 6858000"/>
              <a:gd name="connsiteX10521" fmla="*/ 6139056 w 12192000"/>
              <a:gd name="connsiteY10521" fmla="*/ 3116170 h 6858000"/>
              <a:gd name="connsiteX10522" fmla="*/ 6171273 w 12192000"/>
              <a:gd name="connsiteY10522" fmla="*/ 3086518 h 6858000"/>
              <a:gd name="connsiteX10523" fmla="*/ 6203477 w 12192000"/>
              <a:gd name="connsiteY10523" fmla="*/ 3116170 h 6858000"/>
              <a:gd name="connsiteX10524" fmla="*/ 6171273 w 12192000"/>
              <a:gd name="connsiteY10524" fmla="*/ 3145822 h 6858000"/>
              <a:gd name="connsiteX10525" fmla="*/ 6249806 w 12192000"/>
              <a:gd name="connsiteY10525" fmla="*/ 3145822 h 6858000"/>
              <a:gd name="connsiteX10526" fmla="*/ 6217590 w 12192000"/>
              <a:gd name="connsiteY10526" fmla="*/ 3116170 h 6858000"/>
              <a:gd name="connsiteX10527" fmla="*/ 6249806 w 12192000"/>
              <a:gd name="connsiteY10527" fmla="*/ 3086518 h 6858000"/>
              <a:gd name="connsiteX10528" fmla="*/ 6282010 w 12192000"/>
              <a:gd name="connsiteY10528" fmla="*/ 3116170 h 6858000"/>
              <a:gd name="connsiteX10529" fmla="*/ 6249806 w 12192000"/>
              <a:gd name="connsiteY10529" fmla="*/ 3145822 h 6858000"/>
              <a:gd name="connsiteX10530" fmla="*/ 6328340 w 12192000"/>
              <a:gd name="connsiteY10530" fmla="*/ 3145822 h 6858000"/>
              <a:gd name="connsiteX10531" fmla="*/ 6296124 w 12192000"/>
              <a:gd name="connsiteY10531" fmla="*/ 3116170 h 6858000"/>
              <a:gd name="connsiteX10532" fmla="*/ 6328340 w 12192000"/>
              <a:gd name="connsiteY10532" fmla="*/ 3086518 h 6858000"/>
              <a:gd name="connsiteX10533" fmla="*/ 6360545 w 12192000"/>
              <a:gd name="connsiteY10533" fmla="*/ 3116170 h 6858000"/>
              <a:gd name="connsiteX10534" fmla="*/ 6328340 w 12192000"/>
              <a:gd name="connsiteY10534" fmla="*/ 3145822 h 6858000"/>
              <a:gd name="connsiteX10535" fmla="*/ 6406875 w 12192000"/>
              <a:gd name="connsiteY10535" fmla="*/ 3145822 h 6858000"/>
              <a:gd name="connsiteX10536" fmla="*/ 6374658 w 12192000"/>
              <a:gd name="connsiteY10536" fmla="*/ 3116170 h 6858000"/>
              <a:gd name="connsiteX10537" fmla="*/ 6406875 w 12192000"/>
              <a:gd name="connsiteY10537" fmla="*/ 3086518 h 6858000"/>
              <a:gd name="connsiteX10538" fmla="*/ 6439079 w 12192000"/>
              <a:gd name="connsiteY10538" fmla="*/ 3116170 h 6858000"/>
              <a:gd name="connsiteX10539" fmla="*/ 6406875 w 12192000"/>
              <a:gd name="connsiteY10539" fmla="*/ 3145822 h 6858000"/>
              <a:gd name="connsiteX10540" fmla="*/ 6485408 w 12192000"/>
              <a:gd name="connsiteY10540" fmla="*/ 3145822 h 6858000"/>
              <a:gd name="connsiteX10541" fmla="*/ 6453191 w 12192000"/>
              <a:gd name="connsiteY10541" fmla="*/ 3116170 h 6858000"/>
              <a:gd name="connsiteX10542" fmla="*/ 6485408 w 12192000"/>
              <a:gd name="connsiteY10542" fmla="*/ 3086518 h 6858000"/>
              <a:gd name="connsiteX10543" fmla="*/ 6517612 w 12192000"/>
              <a:gd name="connsiteY10543" fmla="*/ 3116170 h 6858000"/>
              <a:gd name="connsiteX10544" fmla="*/ 6485408 w 12192000"/>
              <a:gd name="connsiteY10544" fmla="*/ 3145822 h 6858000"/>
              <a:gd name="connsiteX10545" fmla="*/ 6563942 w 12192000"/>
              <a:gd name="connsiteY10545" fmla="*/ 3145822 h 6858000"/>
              <a:gd name="connsiteX10546" fmla="*/ 6531726 w 12192000"/>
              <a:gd name="connsiteY10546" fmla="*/ 3116170 h 6858000"/>
              <a:gd name="connsiteX10547" fmla="*/ 6563942 w 12192000"/>
              <a:gd name="connsiteY10547" fmla="*/ 3086518 h 6858000"/>
              <a:gd name="connsiteX10548" fmla="*/ 6596146 w 12192000"/>
              <a:gd name="connsiteY10548" fmla="*/ 3116170 h 6858000"/>
              <a:gd name="connsiteX10549" fmla="*/ 6563942 w 12192000"/>
              <a:gd name="connsiteY10549" fmla="*/ 3145822 h 6858000"/>
              <a:gd name="connsiteX10550" fmla="*/ 6642476 w 12192000"/>
              <a:gd name="connsiteY10550" fmla="*/ 3145822 h 6858000"/>
              <a:gd name="connsiteX10551" fmla="*/ 6610260 w 12192000"/>
              <a:gd name="connsiteY10551" fmla="*/ 3116170 h 6858000"/>
              <a:gd name="connsiteX10552" fmla="*/ 6642476 w 12192000"/>
              <a:gd name="connsiteY10552" fmla="*/ 3086518 h 6858000"/>
              <a:gd name="connsiteX10553" fmla="*/ 6674681 w 12192000"/>
              <a:gd name="connsiteY10553" fmla="*/ 3116170 h 6858000"/>
              <a:gd name="connsiteX10554" fmla="*/ 6642476 w 12192000"/>
              <a:gd name="connsiteY10554" fmla="*/ 3145822 h 6858000"/>
              <a:gd name="connsiteX10555" fmla="*/ 6721010 w 12192000"/>
              <a:gd name="connsiteY10555" fmla="*/ 3145822 h 6858000"/>
              <a:gd name="connsiteX10556" fmla="*/ 6688793 w 12192000"/>
              <a:gd name="connsiteY10556" fmla="*/ 3116170 h 6858000"/>
              <a:gd name="connsiteX10557" fmla="*/ 6721010 w 12192000"/>
              <a:gd name="connsiteY10557" fmla="*/ 3086518 h 6858000"/>
              <a:gd name="connsiteX10558" fmla="*/ 6753214 w 12192000"/>
              <a:gd name="connsiteY10558" fmla="*/ 3116170 h 6858000"/>
              <a:gd name="connsiteX10559" fmla="*/ 6721010 w 12192000"/>
              <a:gd name="connsiteY10559" fmla="*/ 3145822 h 6858000"/>
              <a:gd name="connsiteX10560" fmla="*/ 6799544 w 12192000"/>
              <a:gd name="connsiteY10560" fmla="*/ 3145822 h 6858000"/>
              <a:gd name="connsiteX10561" fmla="*/ 6767327 w 12192000"/>
              <a:gd name="connsiteY10561" fmla="*/ 3116170 h 6858000"/>
              <a:gd name="connsiteX10562" fmla="*/ 6799544 w 12192000"/>
              <a:gd name="connsiteY10562" fmla="*/ 3086518 h 6858000"/>
              <a:gd name="connsiteX10563" fmla="*/ 6831748 w 12192000"/>
              <a:gd name="connsiteY10563" fmla="*/ 3116170 h 6858000"/>
              <a:gd name="connsiteX10564" fmla="*/ 6799544 w 12192000"/>
              <a:gd name="connsiteY10564" fmla="*/ 3145822 h 6858000"/>
              <a:gd name="connsiteX10565" fmla="*/ 6878077 w 12192000"/>
              <a:gd name="connsiteY10565" fmla="*/ 3145822 h 6858000"/>
              <a:gd name="connsiteX10566" fmla="*/ 6845861 w 12192000"/>
              <a:gd name="connsiteY10566" fmla="*/ 3116170 h 6858000"/>
              <a:gd name="connsiteX10567" fmla="*/ 6878077 w 12192000"/>
              <a:gd name="connsiteY10567" fmla="*/ 3086518 h 6858000"/>
              <a:gd name="connsiteX10568" fmla="*/ 6910281 w 12192000"/>
              <a:gd name="connsiteY10568" fmla="*/ 3116170 h 6858000"/>
              <a:gd name="connsiteX10569" fmla="*/ 6878077 w 12192000"/>
              <a:gd name="connsiteY10569" fmla="*/ 3145822 h 6858000"/>
              <a:gd name="connsiteX10570" fmla="*/ 6956611 w 12192000"/>
              <a:gd name="connsiteY10570" fmla="*/ 3145822 h 6858000"/>
              <a:gd name="connsiteX10571" fmla="*/ 6924395 w 12192000"/>
              <a:gd name="connsiteY10571" fmla="*/ 3116170 h 6858000"/>
              <a:gd name="connsiteX10572" fmla="*/ 6956611 w 12192000"/>
              <a:gd name="connsiteY10572" fmla="*/ 3086518 h 6858000"/>
              <a:gd name="connsiteX10573" fmla="*/ 6988816 w 12192000"/>
              <a:gd name="connsiteY10573" fmla="*/ 3116170 h 6858000"/>
              <a:gd name="connsiteX10574" fmla="*/ 6956611 w 12192000"/>
              <a:gd name="connsiteY10574" fmla="*/ 3145822 h 6858000"/>
              <a:gd name="connsiteX10575" fmla="*/ 7192237 w 12192000"/>
              <a:gd name="connsiteY10575" fmla="*/ 3145822 h 6858000"/>
              <a:gd name="connsiteX10576" fmla="*/ 7160021 w 12192000"/>
              <a:gd name="connsiteY10576" fmla="*/ 3116170 h 6858000"/>
              <a:gd name="connsiteX10577" fmla="*/ 7192237 w 12192000"/>
              <a:gd name="connsiteY10577" fmla="*/ 3086518 h 6858000"/>
              <a:gd name="connsiteX10578" fmla="*/ 7224441 w 12192000"/>
              <a:gd name="connsiteY10578" fmla="*/ 3116170 h 6858000"/>
              <a:gd name="connsiteX10579" fmla="*/ 7192237 w 12192000"/>
              <a:gd name="connsiteY10579" fmla="*/ 3145822 h 6858000"/>
              <a:gd name="connsiteX10580" fmla="*/ 7270771 w 12192000"/>
              <a:gd name="connsiteY10580" fmla="*/ 3145822 h 6858000"/>
              <a:gd name="connsiteX10581" fmla="*/ 7238555 w 12192000"/>
              <a:gd name="connsiteY10581" fmla="*/ 3116170 h 6858000"/>
              <a:gd name="connsiteX10582" fmla="*/ 7270771 w 12192000"/>
              <a:gd name="connsiteY10582" fmla="*/ 3086518 h 6858000"/>
              <a:gd name="connsiteX10583" fmla="*/ 7302976 w 12192000"/>
              <a:gd name="connsiteY10583" fmla="*/ 3116170 h 6858000"/>
              <a:gd name="connsiteX10584" fmla="*/ 7270771 w 12192000"/>
              <a:gd name="connsiteY10584" fmla="*/ 3145822 h 6858000"/>
              <a:gd name="connsiteX10585" fmla="*/ 7349305 w 12192000"/>
              <a:gd name="connsiteY10585" fmla="*/ 3145822 h 6858000"/>
              <a:gd name="connsiteX10586" fmla="*/ 7317088 w 12192000"/>
              <a:gd name="connsiteY10586" fmla="*/ 3116170 h 6858000"/>
              <a:gd name="connsiteX10587" fmla="*/ 7349305 w 12192000"/>
              <a:gd name="connsiteY10587" fmla="*/ 3086518 h 6858000"/>
              <a:gd name="connsiteX10588" fmla="*/ 7381509 w 12192000"/>
              <a:gd name="connsiteY10588" fmla="*/ 3116170 h 6858000"/>
              <a:gd name="connsiteX10589" fmla="*/ 7349305 w 12192000"/>
              <a:gd name="connsiteY10589" fmla="*/ 3145822 h 6858000"/>
              <a:gd name="connsiteX10590" fmla="*/ 7427839 w 12192000"/>
              <a:gd name="connsiteY10590" fmla="*/ 3145822 h 6858000"/>
              <a:gd name="connsiteX10591" fmla="*/ 7395623 w 12192000"/>
              <a:gd name="connsiteY10591" fmla="*/ 3116170 h 6858000"/>
              <a:gd name="connsiteX10592" fmla="*/ 7427839 w 12192000"/>
              <a:gd name="connsiteY10592" fmla="*/ 3086518 h 6858000"/>
              <a:gd name="connsiteX10593" fmla="*/ 7460043 w 12192000"/>
              <a:gd name="connsiteY10593" fmla="*/ 3116170 h 6858000"/>
              <a:gd name="connsiteX10594" fmla="*/ 7427839 w 12192000"/>
              <a:gd name="connsiteY10594" fmla="*/ 3145822 h 6858000"/>
              <a:gd name="connsiteX10595" fmla="*/ 7506373 w 12192000"/>
              <a:gd name="connsiteY10595" fmla="*/ 3145822 h 6858000"/>
              <a:gd name="connsiteX10596" fmla="*/ 7474157 w 12192000"/>
              <a:gd name="connsiteY10596" fmla="*/ 3116170 h 6858000"/>
              <a:gd name="connsiteX10597" fmla="*/ 7506373 w 12192000"/>
              <a:gd name="connsiteY10597" fmla="*/ 3086518 h 6858000"/>
              <a:gd name="connsiteX10598" fmla="*/ 7538577 w 12192000"/>
              <a:gd name="connsiteY10598" fmla="*/ 3116170 h 6858000"/>
              <a:gd name="connsiteX10599" fmla="*/ 7506373 w 12192000"/>
              <a:gd name="connsiteY10599" fmla="*/ 3145822 h 6858000"/>
              <a:gd name="connsiteX10600" fmla="*/ 8056110 w 12192000"/>
              <a:gd name="connsiteY10600" fmla="*/ 3145822 h 6858000"/>
              <a:gd name="connsiteX10601" fmla="*/ 8023894 w 12192000"/>
              <a:gd name="connsiteY10601" fmla="*/ 3116170 h 6858000"/>
              <a:gd name="connsiteX10602" fmla="*/ 8056110 w 12192000"/>
              <a:gd name="connsiteY10602" fmla="*/ 3086518 h 6858000"/>
              <a:gd name="connsiteX10603" fmla="*/ 8088314 w 12192000"/>
              <a:gd name="connsiteY10603" fmla="*/ 3116170 h 6858000"/>
              <a:gd name="connsiteX10604" fmla="*/ 8056110 w 12192000"/>
              <a:gd name="connsiteY10604" fmla="*/ 3145822 h 6858000"/>
              <a:gd name="connsiteX10605" fmla="*/ 8134643 w 12192000"/>
              <a:gd name="connsiteY10605" fmla="*/ 3145822 h 6858000"/>
              <a:gd name="connsiteX10606" fmla="*/ 8102427 w 12192000"/>
              <a:gd name="connsiteY10606" fmla="*/ 3116170 h 6858000"/>
              <a:gd name="connsiteX10607" fmla="*/ 8134643 w 12192000"/>
              <a:gd name="connsiteY10607" fmla="*/ 3086518 h 6858000"/>
              <a:gd name="connsiteX10608" fmla="*/ 8166847 w 12192000"/>
              <a:gd name="connsiteY10608" fmla="*/ 3116170 h 6858000"/>
              <a:gd name="connsiteX10609" fmla="*/ 8134643 w 12192000"/>
              <a:gd name="connsiteY10609" fmla="*/ 3145822 h 6858000"/>
              <a:gd name="connsiteX10610" fmla="*/ 8213177 w 12192000"/>
              <a:gd name="connsiteY10610" fmla="*/ 3145822 h 6858000"/>
              <a:gd name="connsiteX10611" fmla="*/ 8180961 w 12192000"/>
              <a:gd name="connsiteY10611" fmla="*/ 3116170 h 6858000"/>
              <a:gd name="connsiteX10612" fmla="*/ 8213177 w 12192000"/>
              <a:gd name="connsiteY10612" fmla="*/ 3086518 h 6858000"/>
              <a:gd name="connsiteX10613" fmla="*/ 8245382 w 12192000"/>
              <a:gd name="connsiteY10613" fmla="*/ 3116170 h 6858000"/>
              <a:gd name="connsiteX10614" fmla="*/ 8213177 w 12192000"/>
              <a:gd name="connsiteY10614" fmla="*/ 3145822 h 6858000"/>
              <a:gd name="connsiteX10615" fmla="*/ 8291712 w 12192000"/>
              <a:gd name="connsiteY10615" fmla="*/ 3145822 h 6858000"/>
              <a:gd name="connsiteX10616" fmla="*/ 8259495 w 12192000"/>
              <a:gd name="connsiteY10616" fmla="*/ 3116170 h 6858000"/>
              <a:gd name="connsiteX10617" fmla="*/ 8291712 w 12192000"/>
              <a:gd name="connsiteY10617" fmla="*/ 3086518 h 6858000"/>
              <a:gd name="connsiteX10618" fmla="*/ 8323916 w 12192000"/>
              <a:gd name="connsiteY10618" fmla="*/ 3116170 h 6858000"/>
              <a:gd name="connsiteX10619" fmla="*/ 8291712 w 12192000"/>
              <a:gd name="connsiteY10619" fmla="*/ 3145822 h 6858000"/>
              <a:gd name="connsiteX10620" fmla="*/ 8684381 w 12192000"/>
              <a:gd name="connsiteY10620" fmla="*/ 3145822 h 6858000"/>
              <a:gd name="connsiteX10621" fmla="*/ 8652165 w 12192000"/>
              <a:gd name="connsiteY10621" fmla="*/ 3116170 h 6858000"/>
              <a:gd name="connsiteX10622" fmla="*/ 8684381 w 12192000"/>
              <a:gd name="connsiteY10622" fmla="*/ 3086518 h 6858000"/>
              <a:gd name="connsiteX10623" fmla="*/ 8716585 w 12192000"/>
              <a:gd name="connsiteY10623" fmla="*/ 3116170 h 6858000"/>
              <a:gd name="connsiteX10624" fmla="*/ 8684381 w 12192000"/>
              <a:gd name="connsiteY10624" fmla="*/ 3145822 h 6858000"/>
              <a:gd name="connsiteX10625" fmla="*/ 8762914 w 12192000"/>
              <a:gd name="connsiteY10625" fmla="*/ 3145822 h 6858000"/>
              <a:gd name="connsiteX10626" fmla="*/ 8730698 w 12192000"/>
              <a:gd name="connsiteY10626" fmla="*/ 3116170 h 6858000"/>
              <a:gd name="connsiteX10627" fmla="*/ 8762914 w 12192000"/>
              <a:gd name="connsiteY10627" fmla="*/ 3086518 h 6858000"/>
              <a:gd name="connsiteX10628" fmla="*/ 8795118 w 12192000"/>
              <a:gd name="connsiteY10628" fmla="*/ 3116170 h 6858000"/>
              <a:gd name="connsiteX10629" fmla="*/ 8762914 w 12192000"/>
              <a:gd name="connsiteY10629" fmla="*/ 3145822 h 6858000"/>
              <a:gd name="connsiteX10630" fmla="*/ 8841448 w 12192000"/>
              <a:gd name="connsiteY10630" fmla="*/ 3145822 h 6858000"/>
              <a:gd name="connsiteX10631" fmla="*/ 8809232 w 12192000"/>
              <a:gd name="connsiteY10631" fmla="*/ 3116170 h 6858000"/>
              <a:gd name="connsiteX10632" fmla="*/ 8841448 w 12192000"/>
              <a:gd name="connsiteY10632" fmla="*/ 3086518 h 6858000"/>
              <a:gd name="connsiteX10633" fmla="*/ 8873653 w 12192000"/>
              <a:gd name="connsiteY10633" fmla="*/ 3116170 h 6858000"/>
              <a:gd name="connsiteX10634" fmla="*/ 8841448 w 12192000"/>
              <a:gd name="connsiteY10634" fmla="*/ 3145822 h 6858000"/>
              <a:gd name="connsiteX10635" fmla="*/ 8919983 w 12192000"/>
              <a:gd name="connsiteY10635" fmla="*/ 3145822 h 6858000"/>
              <a:gd name="connsiteX10636" fmla="*/ 8887766 w 12192000"/>
              <a:gd name="connsiteY10636" fmla="*/ 3116170 h 6858000"/>
              <a:gd name="connsiteX10637" fmla="*/ 8919983 w 12192000"/>
              <a:gd name="connsiteY10637" fmla="*/ 3086518 h 6858000"/>
              <a:gd name="connsiteX10638" fmla="*/ 8952187 w 12192000"/>
              <a:gd name="connsiteY10638" fmla="*/ 3116170 h 6858000"/>
              <a:gd name="connsiteX10639" fmla="*/ 8919983 w 12192000"/>
              <a:gd name="connsiteY10639" fmla="*/ 3145822 h 6858000"/>
              <a:gd name="connsiteX10640" fmla="*/ 9155583 w 12192000"/>
              <a:gd name="connsiteY10640" fmla="*/ 3145822 h 6858000"/>
              <a:gd name="connsiteX10641" fmla="*/ 9123367 w 12192000"/>
              <a:gd name="connsiteY10641" fmla="*/ 3116170 h 6858000"/>
              <a:gd name="connsiteX10642" fmla="*/ 9155583 w 12192000"/>
              <a:gd name="connsiteY10642" fmla="*/ 3086518 h 6858000"/>
              <a:gd name="connsiteX10643" fmla="*/ 9187788 w 12192000"/>
              <a:gd name="connsiteY10643" fmla="*/ 3116170 h 6858000"/>
              <a:gd name="connsiteX10644" fmla="*/ 9155583 w 12192000"/>
              <a:gd name="connsiteY10644" fmla="*/ 3145822 h 6858000"/>
              <a:gd name="connsiteX10645" fmla="*/ 3108446 w 12192000"/>
              <a:gd name="connsiteY10645" fmla="*/ 3073556 h 6858000"/>
              <a:gd name="connsiteX10646" fmla="*/ 3076236 w 12192000"/>
              <a:gd name="connsiteY10646" fmla="*/ 3043904 h 6858000"/>
              <a:gd name="connsiteX10647" fmla="*/ 3108446 w 12192000"/>
              <a:gd name="connsiteY10647" fmla="*/ 3014252 h 6858000"/>
              <a:gd name="connsiteX10648" fmla="*/ 3140656 w 12192000"/>
              <a:gd name="connsiteY10648" fmla="*/ 3043904 h 6858000"/>
              <a:gd name="connsiteX10649" fmla="*/ 3108446 w 12192000"/>
              <a:gd name="connsiteY10649" fmla="*/ 3073556 h 6858000"/>
              <a:gd name="connsiteX10650" fmla="*/ 3186979 w 12192000"/>
              <a:gd name="connsiteY10650" fmla="*/ 3073556 h 6858000"/>
              <a:gd name="connsiteX10651" fmla="*/ 3154769 w 12192000"/>
              <a:gd name="connsiteY10651" fmla="*/ 3043904 h 6858000"/>
              <a:gd name="connsiteX10652" fmla="*/ 3186979 w 12192000"/>
              <a:gd name="connsiteY10652" fmla="*/ 3014252 h 6858000"/>
              <a:gd name="connsiteX10653" fmla="*/ 3219190 w 12192000"/>
              <a:gd name="connsiteY10653" fmla="*/ 3043904 h 6858000"/>
              <a:gd name="connsiteX10654" fmla="*/ 3186979 w 12192000"/>
              <a:gd name="connsiteY10654" fmla="*/ 3073556 h 6858000"/>
              <a:gd name="connsiteX10655" fmla="*/ 3265514 w 12192000"/>
              <a:gd name="connsiteY10655" fmla="*/ 3073556 h 6858000"/>
              <a:gd name="connsiteX10656" fmla="*/ 3233303 w 12192000"/>
              <a:gd name="connsiteY10656" fmla="*/ 3043904 h 6858000"/>
              <a:gd name="connsiteX10657" fmla="*/ 3265514 w 12192000"/>
              <a:gd name="connsiteY10657" fmla="*/ 3014252 h 6858000"/>
              <a:gd name="connsiteX10658" fmla="*/ 3297724 w 12192000"/>
              <a:gd name="connsiteY10658" fmla="*/ 3043904 h 6858000"/>
              <a:gd name="connsiteX10659" fmla="*/ 3265514 w 12192000"/>
              <a:gd name="connsiteY10659" fmla="*/ 3073556 h 6858000"/>
              <a:gd name="connsiteX10660" fmla="*/ 3344048 w 12192000"/>
              <a:gd name="connsiteY10660" fmla="*/ 3073556 h 6858000"/>
              <a:gd name="connsiteX10661" fmla="*/ 3311837 w 12192000"/>
              <a:gd name="connsiteY10661" fmla="*/ 3043904 h 6858000"/>
              <a:gd name="connsiteX10662" fmla="*/ 3344048 w 12192000"/>
              <a:gd name="connsiteY10662" fmla="*/ 3014252 h 6858000"/>
              <a:gd name="connsiteX10663" fmla="*/ 3376258 w 12192000"/>
              <a:gd name="connsiteY10663" fmla="*/ 3043904 h 6858000"/>
              <a:gd name="connsiteX10664" fmla="*/ 3344048 w 12192000"/>
              <a:gd name="connsiteY10664" fmla="*/ 3073556 h 6858000"/>
              <a:gd name="connsiteX10665" fmla="*/ 5543002 w 12192000"/>
              <a:gd name="connsiteY10665" fmla="*/ 3073556 h 6858000"/>
              <a:gd name="connsiteX10666" fmla="*/ 5510785 w 12192000"/>
              <a:gd name="connsiteY10666" fmla="*/ 3043904 h 6858000"/>
              <a:gd name="connsiteX10667" fmla="*/ 5543002 w 12192000"/>
              <a:gd name="connsiteY10667" fmla="*/ 3014252 h 6858000"/>
              <a:gd name="connsiteX10668" fmla="*/ 5575206 w 12192000"/>
              <a:gd name="connsiteY10668" fmla="*/ 3043904 h 6858000"/>
              <a:gd name="connsiteX10669" fmla="*/ 5543002 w 12192000"/>
              <a:gd name="connsiteY10669" fmla="*/ 3073556 h 6858000"/>
              <a:gd name="connsiteX10670" fmla="*/ 5621536 w 12192000"/>
              <a:gd name="connsiteY10670" fmla="*/ 3073556 h 6858000"/>
              <a:gd name="connsiteX10671" fmla="*/ 5589320 w 12192000"/>
              <a:gd name="connsiteY10671" fmla="*/ 3043904 h 6858000"/>
              <a:gd name="connsiteX10672" fmla="*/ 5621536 w 12192000"/>
              <a:gd name="connsiteY10672" fmla="*/ 3014252 h 6858000"/>
              <a:gd name="connsiteX10673" fmla="*/ 5653740 w 12192000"/>
              <a:gd name="connsiteY10673" fmla="*/ 3043904 h 6858000"/>
              <a:gd name="connsiteX10674" fmla="*/ 5621536 w 12192000"/>
              <a:gd name="connsiteY10674" fmla="*/ 3073556 h 6858000"/>
              <a:gd name="connsiteX10675" fmla="*/ 5700069 w 12192000"/>
              <a:gd name="connsiteY10675" fmla="*/ 3073556 h 6858000"/>
              <a:gd name="connsiteX10676" fmla="*/ 5667853 w 12192000"/>
              <a:gd name="connsiteY10676" fmla="*/ 3043904 h 6858000"/>
              <a:gd name="connsiteX10677" fmla="*/ 5700069 w 12192000"/>
              <a:gd name="connsiteY10677" fmla="*/ 3014252 h 6858000"/>
              <a:gd name="connsiteX10678" fmla="*/ 5732274 w 12192000"/>
              <a:gd name="connsiteY10678" fmla="*/ 3043904 h 6858000"/>
              <a:gd name="connsiteX10679" fmla="*/ 5700069 w 12192000"/>
              <a:gd name="connsiteY10679" fmla="*/ 3073556 h 6858000"/>
              <a:gd name="connsiteX10680" fmla="*/ 5778604 w 12192000"/>
              <a:gd name="connsiteY10680" fmla="*/ 3073556 h 6858000"/>
              <a:gd name="connsiteX10681" fmla="*/ 5746387 w 12192000"/>
              <a:gd name="connsiteY10681" fmla="*/ 3043904 h 6858000"/>
              <a:gd name="connsiteX10682" fmla="*/ 5778604 w 12192000"/>
              <a:gd name="connsiteY10682" fmla="*/ 3014252 h 6858000"/>
              <a:gd name="connsiteX10683" fmla="*/ 5810808 w 12192000"/>
              <a:gd name="connsiteY10683" fmla="*/ 3043904 h 6858000"/>
              <a:gd name="connsiteX10684" fmla="*/ 5778604 w 12192000"/>
              <a:gd name="connsiteY10684" fmla="*/ 3073556 h 6858000"/>
              <a:gd name="connsiteX10685" fmla="*/ 5857137 w 12192000"/>
              <a:gd name="connsiteY10685" fmla="*/ 3073556 h 6858000"/>
              <a:gd name="connsiteX10686" fmla="*/ 5824920 w 12192000"/>
              <a:gd name="connsiteY10686" fmla="*/ 3043904 h 6858000"/>
              <a:gd name="connsiteX10687" fmla="*/ 5857137 w 12192000"/>
              <a:gd name="connsiteY10687" fmla="*/ 3014252 h 6858000"/>
              <a:gd name="connsiteX10688" fmla="*/ 5889341 w 12192000"/>
              <a:gd name="connsiteY10688" fmla="*/ 3043904 h 6858000"/>
              <a:gd name="connsiteX10689" fmla="*/ 5857137 w 12192000"/>
              <a:gd name="connsiteY10689" fmla="*/ 3073556 h 6858000"/>
              <a:gd name="connsiteX10690" fmla="*/ 5935671 w 12192000"/>
              <a:gd name="connsiteY10690" fmla="*/ 3073556 h 6858000"/>
              <a:gd name="connsiteX10691" fmla="*/ 5903455 w 12192000"/>
              <a:gd name="connsiteY10691" fmla="*/ 3043904 h 6858000"/>
              <a:gd name="connsiteX10692" fmla="*/ 5935671 w 12192000"/>
              <a:gd name="connsiteY10692" fmla="*/ 3014252 h 6858000"/>
              <a:gd name="connsiteX10693" fmla="*/ 5967875 w 12192000"/>
              <a:gd name="connsiteY10693" fmla="*/ 3043904 h 6858000"/>
              <a:gd name="connsiteX10694" fmla="*/ 5935671 w 12192000"/>
              <a:gd name="connsiteY10694" fmla="*/ 3073556 h 6858000"/>
              <a:gd name="connsiteX10695" fmla="*/ 6014205 w 12192000"/>
              <a:gd name="connsiteY10695" fmla="*/ 3073556 h 6858000"/>
              <a:gd name="connsiteX10696" fmla="*/ 5981989 w 12192000"/>
              <a:gd name="connsiteY10696" fmla="*/ 3043904 h 6858000"/>
              <a:gd name="connsiteX10697" fmla="*/ 6014205 w 12192000"/>
              <a:gd name="connsiteY10697" fmla="*/ 3014252 h 6858000"/>
              <a:gd name="connsiteX10698" fmla="*/ 6046410 w 12192000"/>
              <a:gd name="connsiteY10698" fmla="*/ 3043904 h 6858000"/>
              <a:gd name="connsiteX10699" fmla="*/ 6014205 w 12192000"/>
              <a:gd name="connsiteY10699" fmla="*/ 3073556 h 6858000"/>
              <a:gd name="connsiteX10700" fmla="*/ 6092739 w 12192000"/>
              <a:gd name="connsiteY10700" fmla="*/ 3073556 h 6858000"/>
              <a:gd name="connsiteX10701" fmla="*/ 6060522 w 12192000"/>
              <a:gd name="connsiteY10701" fmla="*/ 3043904 h 6858000"/>
              <a:gd name="connsiteX10702" fmla="*/ 6092739 w 12192000"/>
              <a:gd name="connsiteY10702" fmla="*/ 3014252 h 6858000"/>
              <a:gd name="connsiteX10703" fmla="*/ 6124943 w 12192000"/>
              <a:gd name="connsiteY10703" fmla="*/ 3043904 h 6858000"/>
              <a:gd name="connsiteX10704" fmla="*/ 6092739 w 12192000"/>
              <a:gd name="connsiteY10704" fmla="*/ 3073556 h 6858000"/>
              <a:gd name="connsiteX10705" fmla="*/ 6171273 w 12192000"/>
              <a:gd name="connsiteY10705" fmla="*/ 3073556 h 6858000"/>
              <a:gd name="connsiteX10706" fmla="*/ 6139056 w 12192000"/>
              <a:gd name="connsiteY10706" fmla="*/ 3043904 h 6858000"/>
              <a:gd name="connsiteX10707" fmla="*/ 6171273 w 12192000"/>
              <a:gd name="connsiteY10707" fmla="*/ 3014252 h 6858000"/>
              <a:gd name="connsiteX10708" fmla="*/ 6203477 w 12192000"/>
              <a:gd name="connsiteY10708" fmla="*/ 3043904 h 6858000"/>
              <a:gd name="connsiteX10709" fmla="*/ 6171273 w 12192000"/>
              <a:gd name="connsiteY10709" fmla="*/ 3073556 h 6858000"/>
              <a:gd name="connsiteX10710" fmla="*/ 6249806 w 12192000"/>
              <a:gd name="connsiteY10710" fmla="*/ 3073556 h 6858000"/>
              <a:gd name="connsiteX10711" fmla="*/ 6217590 w 12192000"/>
              <a:gd name="connsiteY10711" fmla="*/ 3043904 h 6858000"/>
              <a:gd name="connsiteX10712" fmla="*/ 6249806 w 12192000"/>
              <a:gd name="connsiteY10712" fmla="*/ 3014252 h 6858000"/>
              <a:gd name="connsiteX10713" fmla="*/ 6282010 w 12192000"/>
              <a:gd name="connsiteY10713" fmla="*/ 3043904 h 6858000"/>
              <a:gd name="connsiteX10714" fmla="*/ 6249806 w 12192000"/>
              <a:gd name="connsiteY10714" fmla="*/ 3073556 h 6858000"/>
              <a:gd name="connsiteX10715" fmla="*/ 6328340 w 12192000"/>
              <a:gd name="connsiteY10715" fmla="*/ 3073556 h 6858000"/>
              <a:gd name="connsiteX10716" fmla="*/ 6296124 w 12192000"/>
              <a:gd name="connsiteY10716" fmla="*/ 3043904 h 6858000"/>
              <a:gd name="connsiteX10717" fmla="*/ 6328340 w 12192000"/>
              <a:gd name="connsiteY10717" fmla="*/ 3014252 h 6858000"/>
              <a:gd name="connsiteX10718" fmla="*/ 6360545 w 12192000"/>
              <a:gd name="connsiteY10718" fmla="*/ 3043904 h 6858000"/>
              <a:gd name="connsiteX10719" fmla="*/ 6328340 w 12192000"/>
              <a:gd name="connsiteY10719" fmla="*/ 3073556 h 6858000"/>
              <a:gd name="connsiteX10720" fmla="*/ 6406875 w 12192000"/>
              <a:gd name="connsiteY10720" fmla="*/ 3073556 h 6858000"/>
              <a:gd name="connsiteX10721" fmla="*/ 6374658 w 12192000"/>
              <a:gd name="connsiteY10721" fmla="*/ 3043904 h 6858000"/>
              <a:gd name="connsiteX10722" fmla="*/ 6406875 w 12192000"/>
              <a:gd name="connsiteY10722" fmla="*/ 3014252 h 6858000"/>
              <a:gd name="connsiteX10723" fmla="*/ 6439079 w 12192000"/>
              <a:gd name="connsiteY10723" fmla="*/ 3043904 h 6858000"/>
              <a:gd name="connsiteX10724" fmla="*/ 6406875 w 12192000"/>
              <a:gd name="connsiteY10724" fmla="*/ 3073556 h 6858000"/>
              <a:gd name="connsiteX10725" fmla="*/ 6485408 w 12192000"/>
              <a:gd name="connsiteY10725" fmla="*/ 3073556 h 6858000"/>
              <a:gd name="connsiteX10726" fmla="*/ 6453191 w 12192000"/>
              <a:gd name="connsiteY10726" fmla="*/ 3043904 h 6858000"/>
              <a:gd name="connsiteX10727" fmla="*/ 6485408 w 12192000"/>
              <a:gd name="connsiteY10727" fmla="*/ 3014252 h 6858000"/>
              <a:gd name="connsiteX10728" fmla="*/ 6517612 w 12192000"/>
              <a:gd name="connsiteY10728" fmla="*/ 3043904 h 6858000"/>
              <a:gd name="connsiteX10729" fmla="*/ 6485408 w 12192000"/>
              <a:gd name="connsiteY10729" fmla="*/ 3073556 h 6858000"/>
              <a:gd name="connsiteX10730" fmla="*/ 6563942 w 12192000"/>
              <a:gd name="connsiteY10730" fmla="*/ 3073556 h 6858000"/>
              <a:gd name="connsiteX10731" fmla="*/ 6531726 w 12192000"/>
              <a:gd name="connsiteY10731" fmla="*/ 3043904 h 6858000"/>
              <a:gd name="connsiteX10732" fmla="*/ 6563942 w 12192000"/>
              <a:gd name="connsiteY10732" fmla="*/ 3014252 h 6858000"/>
              <a:gd name="connsiteX10733" fmla="*/ 6596146 w 12192000"/>
              <a:gd name="connsiteY10733" fmla="*/ 3043904 h 6858000"/>
              <a:gd name="connsiteX10734" fmla="*/ 6563942 w 12192000"/>
              <a:gd name="connsiteY10734" fmla="*/ 3073556 h 6858000"/>
              <a:gd name="connsiteX10735" fmla="*/ 6642476 w 12192000"/>
              <a:gd name="connsiteY10735" fmla="*/ 3073556 h 6858000"/>
              <a:gd name="connsiteX10736" fmla="*/ 6610260 w 12192000"/>
              <a:gd name="connsiteY10736" fmla="*/ 3043904 h 6858000"/>
              <a:gd name="connsiteX10737" fmla="*/ 6642476 w 12192000"/>
              <a:gd name="connsiteY10737" fmla="*/ 3014252 h 6858000"/>
              <a:gd name="connsiteX10738" fmla="*/ 6674681 w 12192000"/>
              <a:gd name="connsiteY10738" fmla="*/ 3043904 h 6858000"/>
              <a:gd name="connsiteX10739" fmla="*/ 6642476 w 12192000"/>
              <a:gd name="connsiteY10739" fmla="*/ 3073556 h 6858000"/>
              <a:gd name="connsiteX10740" fmla="*/ 6721010 w 12192000"/>
              <a:gd name="connsiteY10740" fmla="*/ 3073556 h 6858000"/>
              <a:gd name="connsiteX10741" fmla="*/ 6688793 w 12192000"/>
              <a:gd name="connsiteY10741" fmla="*/ 3043904 h 6858000"/>
              <a:gd name="connsiteX10742" fmla="*/ 6721010 w 12192000"/>
              <a:gd name="connsiteY10742" fmla="*/ 3014252 h 6858000"/>
              <a:gd name="connsiteX10743" fmla="*/ 6753214 w 12192000"/>
              <a:gd name="connsiteY10743" fmla="*/ 3043904 h 6858000"/>
              <a:gd name="connsiteX10744" fmla="*/ 6721010 w 12192000"/>
              <a:gd name="connsiteY10744" fmla="*/ 3073556 h 6858000"/>
              <a:gd name="connsiteX10745" fmla="*/ 6799544 w 12192000"/>
              <a:gd name="connsiteY10745" fmla="*/ 3073556 h 6858000"/>
              <a:gd name="connsiteX10746" fmla="*/ 6767327 w 12192000"/>
              <a:gd name="connsiteY10746" fmla="*/ 3043904 h 6858000"/>
              <a:gd name="connsiteX10747" fmla="*/ 6799544 w 12192000"/>
              <a:gd name="connsiteY10747" fmla="*/ 3014252 h 6858000"/>
              <a:gd name="connsiteX10748" fmla="*/ 6831748 w 12192000"/>
              <a:gd name="connsiteY10748" fmla="*/ 3043904 h 6858000"/>
              <a:gd name="connsiteX10749" fmla="*/ 6799544 w 12192000"/>
              <a:gd name="connsiteY10749" fmla="*/ 3073556 h 6858000"/>
              <a:gd name="connsiteX10750" fmla="*/ 6878077 w 12192000"/>
              <a:gd name="connsiteY10750" fmla="*/ 3073556 h 6858000"/>
              <a:gd name="connsiteX10751" fmla="*/ 6845861 w 12192000"/>
              <a:gd name="connsiteY10751" fmla="*/ 3043904 h 6858000"/>
              <a:gd name="connsiteX10752" fmla="*/ 6878077 w 12192000"/>
              <a:gd name="connsiteY10752" fmla="*/ 3014252 h 6858000"/>
              <a:gd name="connsiteX10753" fmla="*/ 6910281 w 12192000"/>
              <a:gd name="connsiteY10753" fmla="*/ 3043904 h 6858000"/>
              <a:gd name="connsiteX10754" fmla="*/ 6878077 w 12192000"/>
              <a:gd name="connsiteY10754" fmla="*/ 3073556 h 6858000"/>
              <a:gd name="connsiteX10755" fmla="*/ 6956611 w 12192000"/>
              <a:gd name="connsiteY10755" fmla="*/ 3073556 h 6858000"/>
              <a:gd name="connsiteX10756" fmla="*/ 6924395 w 12192000"/>
              <a:gd name="connsiteY10756" fmla="*/ 3043904 h 6858000"/>
              <a:gd name="connsiteX10757" fmla="*/ 6956611 w 12192000"/>
              <a:gd name="connsiteY10757" fmla="*/ 3014252 h 6858000"/>
              <a:gd name="connsiteX10758" fmla="*/ 6988816 w 12192000"/>
              <a:gd name="connsiteY10758" fmla="*/ 3043904 h 6858000"/>
              <a:gd name="connsiteX10759" fmla="*/ 6956611 w 12192000"/>
              <a:gd name="connsiteY10759" fmla="*/ 3073556 h 6858000"/>
              <a:gd name="connsiteX10760" fmla="*/ 7035146 w 12192000"/>
              <a:gd name="connsiteY10760" fmla="*/ 3073556 h 6858000"/>
              <a:gd name="connsiteX10761" fmla="*/ 7002929 w 12192000"/>
              <a:gd name="connsiteY10761" fmla="*/ 3043904 h 6858000"/>
              <a:gd name="connsiteX10762" fmla="*/ 7035146 w 12192000"/>
              <a:gd name="connsiteY10762" fmla="*/ 3014252 h 6858000"/>
              <a:gd name="connsiteX10763" fmla="*/ 7067350 w 12192000"/>
              <a:gd name="connsiteY10763" fmla="*/ 3043904 h 6858000"/>
              <a:gd name="connsiteX10764" fmla="*/ 7035146 w 12192000"/>
              <a:gd name="connsiteY10764" fmla="*/ 3073556 h 6858000"/>
              <a:gd name="connsiteX10765" fmla="*/ 7270771 w 12192000"/>
              <a:gd name="connsiteY10765" fmla="*/ 3073556 h 6858000"/>
              <a:gd name="connsiteX10766" fmla="*/ 7238555 w 12192000"/>
              <a:gd name="connsiteY10766" fmla="*/ 3043904 h 6858000"/>
              <a:gd name="connsiteX10767" fmla="*/ 7270771 w 12192000"/>
              <a:gd name="connsiteY10767" fmla="*/ 3014252 h 6858000"/>
              <a:gd name="connsiteX10768" fmla="*/ 7302976 w 12192000"/>
              <a:gd name="connsiteY10768" fmla="*/ 3043904 h 6858000"/>
              <a:gd name="connsiteX10769" fmla="*/ 7270771 w 12192000"/>
              <a:gd name="connsiteY10769" fmla="*/ 3073556 h 6858000"/>
              <a:gd name="connsiteX10770" fmla="*/ 7349305 w 12192000"/>
              <a:gd name="connsiteY10770" fmla="*/ 3073556 h 6858000"/>
              <a:gd name="connsiteX10771" fmla="*/ 7317088 w 12192000"/>
              <a:gd name="connsiteY10771" fmla="*/ 3043904 h 6858000"/>
              <a:gd name="connsiteX10772" fmla="*/ 7349305 w 12192000"/>
              <a:gd name="connsiteY10772" fmla="*/ 3014252 h 6858000"/>
              <a:gd name="connsiteX10773" fmla="*/ 7381509 w 12192000"/>
              <a:gd name="connsiteY10773" fmla="*/ 3043904 h 6858000"/>
              <a:gd name="connsiteX10774" fmla="*/ 7349305 w 12192000"/>
              <a:gd name="connsiteY10774" fmla="*/ 3073556 h 6858000"/>
              <a:gd name="connsiteX10775" fmla="*/ 7427839 w 12192000"/>
              <a:gd name="connsiteY10775" fmla="*/ 3073556 h 6858000"/>
              <a:gd name="connsiteX10776" fmla="*/ 7395623 w 12192000"/>
              <a:gd name="connsiteY10776" fmla="*/ 3043904 h 6858000"/>
              <a:gd name="connsiteX10777" fmla="*/ 7427839 w 12192000"/>
              <a:gd name="connsiteY10777" fmla="*/ 3014252 h 6858000"/>
              <a:gd name="connsiteX10778" fmla="*/ 7460043 w 12192000"/>
              <a:gd name="connsiteY10778" fmla="*/ 3043904 h 6858000"/>
              <a:gd name="connsiteX10779" fmla="*/ 7427839 w 12192000"/>
              <a:gd name="connsiteY10779" fmla="*/ 3073556 h 6858000"/>
              <a:gd name="connsiteX10780" fmla="*/ 8134643 w 12192000"/>
              <a:gd name="connsiteY10780" fmla="*/ 3073556 h 6858000"/>
              <a:gd name="connsiteX10781" fmla="*/ 8102427 w 12192000"/>
              <a:gd name="connsiteY10781" fmla="*/ 3043904 h 6858000"/>
              <a:gd name="connsiteX10782" fmla="*/ 8134643 w 12192000"/>
              <a:gd name="connsiteY10782" fmla="*/ 3014252 h 6858000"/>
              <a:gd name="connsiteX10783" fmla="*/ 8166847 w 12192000"/>
              <a:gd name="connsiteY10783" fmla="*/ 3043904 h 6858000"/>
              <a:gd name="connsiteX10784" fmla="*/ 8134643 w 12192000"/>
              <a:gd name="connsiteY10784" fmla="*/ 3073556 h 6858000"/>
              <a:gd name="connsiteX10785" fmla="*/ 8213177 w 12192000"/>
              <a:gd name="connsiteY10785" fmla="*/ 3073556 h 6858000"/>
              <a:gd name="connsiteX10786" fmla="*/ 8180961 w 12192000"/>
              <a:gd name="connsiteY10786" fmla="*/ 3043904 h 6858000"/>
              <a:gd name="connsiteX10787" fmla="*/ 8213177 w 12192000"/>
              <a:gd name="connsiteY10787" fmla="*/ 3014252 h 6858000"/>
              <a:gd name="connsiteX10788" fmla="*/ 8245382 w 12192000"/>
              <a:gd name="connsiteY10788" fmla="*/ 3043904 h 6858000"/>
              <a:gd name="connsiteX10789" fmla="*/ 8213177 w 12192000"/>
              <a:gd name="connsiteY10789" fmla="*/ 3073556 h 6858000"/>
              <a:gd name="connsiteX10790" fmla="*/ 8841448 w 12192000"/>
              <a:gd name="connsiteY10790" fmla="*/ 3073556 h 6858000"/>
              <a:gd name="connsiteX10791" fmla="*/ 8809232 w 12192000"/>
              <a:gd name="connsiteY10791" fmla="*/ 3043904 h 6858000"/>
              <a:gd name="connsiteX10792" fmla="*/ 8841448 w 12192000"/>
              <a:gd name="connsiteY10792" fmla="*/ 3014252 h 6858000"/>
              <a:gd name="connsiteX10793" fmla="*/ 8873653 w 12192000"/>
              <a:gd name="connsiteY10793" fmla="*/ 3043904 h 6858000"/>
              <a:gd name="connsiteX10794" fmla="*/ 8841448 w 12192000"/>
              <a:gd name="connsiteY10794" fmla="*/ 3073556 h 6858000"/>
              <a:gd name="connsiteX10795" fmla="*/ 8919983 w 12192000"/>
              <a:gd name="connsiteY10795" fmla="*/ 3073556 h 6858000"/>
              <a:gd name="connsiteX10796" fmla="*/ 8887766 w 12192000"/>
              <a:gd name="connsiteY10796" fmla="*/ 3043904 h 6858000"/>
              <a:gd name="connsiteX10797" fmla="*/ 8919983 w 12192000"/>
              <a:gd name="connsiteY10797" fmla="*/ 3014252 h 6858000"/>
              <a:gd name="connsiteX10798" fmla="*/ 8952187 w 12192000"/>
              <a:gd name="connsiteY10798" fmla="*/ 3043904 h 6858000"/>
              <a:gd name="connsiteX10799" fmla="*/ 8919983 w 12192000"/>
              <a:gd name="connsiteY10799" fmla="*/ 3073556 h 6858000"/>
              <a:gd name="connsiteX10800" fmla="*/ 8998516 w 12192000"/>
              <a:gd name="connsiteY10800" fmla="*/ 3073556 h 6858000"/>
              <a:gd name="connsiteX10801" fmla="*/ 8966300 w 12192000"/>
              <a:gd name="connsiteY10801" fmla="*/ 3043904 h 6858000"/>
              <a:gd name="connsiteX10802" fmla="*/ 8998516 w 12192000"/>
              <a:gd name="connsiteY10802" fmla="*/ 3014252 h 6858000"/>
              <a:gd name="connsiteX10803" fmla="*/ 9030720 w 12192000"/>
              <a:gd name="connsiteY10803" fmla="*/ 3043904 h 6858000"/>
              <a:gd name="connsiteX10804" fmla="*/ 8998516 w 12192000"/>
              <a:gd name="connsiteY10804" fmla="*/ 3073556 h 6858000"/>
              <a:gd name="connsiteX10805" fmla="*/ 9469719 w 12192000"/>
              <a:gd name="connsiteY10805" fmla="*/ 3073556 h 6858000"/>
              <a:gd name="connsiteX10806" fmla="*/ 9437503 w 12192000"/>
              <a:gd name="connsiteY10806" fmla="*/ 3043904 h 6858000"/>
              <a:gd name="connsiteX10807" fmla="*/ 9469719 w 12192000"/>
              <a:gd name="connsiteY10807" fmla="*/ 3014252 h 6858000"/>
              <a:gd name="connsiteX10808" fmla="*/ 9501924 w 12192000"/>
              <a:gd name="connsiteY10808" fmla="*/ 3043904 h 6858000"/>
              <a:gd name="connsiteX10809" fmla="*/ 9469719 w 12192000"/>
              <a:gd name="connsiteY10809" fmla="*/ 3073556 h 6858000"/>
              <a:gd name="connsiteX10810" fmla="*/ 3344048 w 12192000"/>
              <a:gd name="connsiteY10810" fmla="*/ 3001291 h 6858000"/>
              <a:gd name="connsiteX10811" fmla="*/ 3311837 w 12192000"/>
              <a:gd name="connsiteY10811" fmla="*/ 2971638 h 6858000"/>
              <a:gd name="connsiteX10812" fmla="*/ 3344048 w 12192000"/>
              <a:gd name="connsiteY10812" fmla="*/ 2941986 h 6858000"/>
              <a:gd name="connsiteX10813" fmla="*/ 3376258 w 12192000"/>
              <a:gd name="connsiteY10813" fmla="*/ 2971638 h 6858000"/>
              <a:gd name="connsiteX10814" fmla="*/ 3344048 w 12192000"/>
              <a:gd name="connsiteY10814" fmla="*/ 3001291 h 6858000"/>
              <a:gd name="connsiteX10815" fmla="*/ 3422581 w 12192000"/>
              <a:gd name="connsiteY10815" fmla="*/ 3001291 h 6858000"/>
              <a:gd name="connsiteX10816" fmla="*/ 3390371 w 12192000"/>
              <a:gd name="connsiteY10816" fmla="*/ 2971638 h 6858000"/>
              <a:gd name="connsiteX10817" fmla="*/ 3422581 w 12192000"/>
              <a:gd name="connsiteY10817" fmla="*/ 2941986 h 6858000"/>
              <a:gd name="connsiteX10818" fmla="*/ 3454791 w 12192000"/>
              <a:gd name="connsiteY10818" fmla="*/ 2971638 h 6858000"/>
              <a:gd name="connsiteX10819" fmla="*/ 3422581 w 12192000"/>
              <a:gd name="connsiteY10819" fmla="*/ 3001291 h 6858000"/>
              <a:gd name="connsiteX10820" fmla="*/ 3501115 w 12192000"/>
              <a:gd name="connsiteY10820" fmla="*/ 3001291 h 6858000"/>
              <a:gd name="connsiteX10821" fmla="*/ 3468905 w 12192000"/>
              <a:gd name="connsiteY10821" fmla="*/ 2971638 h 6858000"/>
              <a:gd name="connsiteX10822" fmla="*/ 3501115 w 12192000"/>
              <a:gd name="connsiteY10822" fmla="*/ 2941986 h 6858000"/>
              <a:gd name="connsiteX10823" fmla="*/ 3533326 w 12192000"/>
              <a:gd name="connsiteY10823" fmla="*/ 2971638 h 6858000"/>
              <a:gd name="connsiteX10824" fmla="*/ 3501115 w 12192000"/>
              <a:gd name="connsiteY10824" fmla="*/ 3001291 h 6858000"/>
              <a:gd name="connsiteX10825" fmla="*/ 5464468 w 12192000"/>
              <a:gd name="connsiteY10825" fmla="*/ 3001291 h 6858000"/>
              <a:gd name="connsiteX10826" fmla="*/ 5432251 w 12192000"/>
              <a:gd name="connsiteY10826" fmla="*/ 2971638 h 6858000"/>
              <a:gd name="connsiteX10827" fmla="*/ 5464468 w 12192000"/>
              <a:gd name="connsiteY10827" fmla="*/ 2941986 h 6858000"/>
              <a:gd name="connsiteX10828" fmla="*/ 5496672 w 12192000"/>
              <a:gd name="connsiteY10828" fmla="*/ 2971638 h 6858000"/>
              <a:gd name="connsiteX10829" fmla="*/ 5464468 w 12192000"/>
              <a:gd name="connsiteY10829" fmla="*/ 3001291 h 6858000"/>
              <a:gd name="connsiteX10830" fmla="*/ 5543002 w 12192000"/>
              <a:gd name="connsiteY10830" fmla="*/ 3001291 h 6858000"/>
              <a:gd name="connsiteX10831" fmla="*/ 5510785 w 12192000"/>
              <a:gd name="connsiteY10831" fmla="*/ 2971638 h 6858000"/>
              <a:gd name="connsiteX10832" fmla="*/ 5543002 w 12192000"/>
              <a:gd name="connsiteY10832" fmla="*/ 2941986 h 6858000"/>
              <a:gd name="connsiteX10833" fmla="*/ 5575206 w 12192000"/>
              <a:gd name="connsiteY10833" fmla="*/ 2971638 h 6858000"/>
              <a:gd name="connsiteX10834" fmla="*/ 5543002 w 12192000"/>
              <a:gd name="connsiteY10834" fmla="*/ 3001291 h 6858000"/>
              <a:gd name="connsiteX10835" fmla="*/ 5621536 w 12192000"/>
              <a:gd name="connsiteY10835" fmla="*/ 3001291 h 6858000"/>
              <a:gd name="connsiteX10836" fmla="*/ 5589320 w 12192000"/>
              <a:gd name="connsiteY10836" fmla="*/ 2971638 h 6858000"/>
              <a:gd name="connsiteX10837" fmla="*/ 5621536 w 12192000"/>
              <a:gd name="connsiteY10837" fmla="*/ 2941986 h 6858000"/>
              <a:gd name="connsiteX10838" fmla="*/ 5653740 w 12192000"/>
              <a:gd name="connsiteY10838" fmla="*/ 2971638 h 6858000"/>
              <a:gd name="connsiteX10839" fmla="*/ 5621536 w 12192000"/>
              <a:gd name="connsiteY10839" fmla="*/ 3001291 h 6858000"/>
              <a:gd name="connsiteX10840" fmla="*/ 5700069 w 12192000"/>
              <a:gd name="connsiteY10840" fmla="*/ 3001291 h 6858000"/>
              <a:gd name="connsiteX10841" fmla="*/ 5667853 w 12192000"/>
              <a:gd name="connsiteY10841" fmla="*/ 2971638 h 6858000"/>
              <a:gd name="connsiteX10842" fmla="*/ 5700069 w 12192000"/>
              <a:gd name="connsiteY10842" fmla="*/ 2941986 h 6858000"/>
              <a:gd name="connsiteX10843" fmla="*/ 5732274 w 12192000"/>
              <a:gd name="connsiteY10843" fmla="*/ 2971638 h 6858000"/>
              <a:gd name="connsiteX10844" fmla="*/ 5700069 w 12192000"/>
              <a:gd name="connsiteY10844" fmla="*/ 3001291 h 6858000"/>
              <a:gd name="connsiteX10845" fmla="*/ 5778604 w 12192000"/>
              <a:gd name="connsiteY10845" fmla="*/ 3001291 h 6858000"/>
              <a:gd name="connsiteX10846" fmla="*/ 5746387 w 12192000"/>
              <a:gd name="connsiteY10846" fmla="*/ 2971638 h 6858000"/>
              <a:gd name="connsiteX10847" fmla="*/ 5778604 w 12192000"/>
              <a:gd name="connsiteY10847" fmla="*/ 2941986 h 6858000"/>
              <a:gd name="connsiteX10848" fmla="*/ 5810808 w 12192000"/>
              <a:gd name="connsiteY10848" fmla="*/ 2971638 h 6858000"/>
              <a:gd name="connsiteX10849" fmla="*/ 5778604 w 12192000"/>
              <a:gd name="connsiteY10849" fmla="*/ 3001291 h 6858000"/>
              <a:gd name="connsiteX10850" fmla="*/ 5857137 w 12192000"/>
              <a:gd name="connsiteY10850" fmla="*/ 3001291 h 6858000"/>
              <a:gd name="connsiteX10851" fmla="*/ 5824920 w 12192000"/>
              <a:gd name="connsiteY10851" fmla="*/ 2971638 h 6858000"/>
              <a:gd name="connsiteX10852" fmla="*/ 5857137 w 12192000"/>
              <a:gd name="connsiteY10852" fmla="*/ 2941986 h 6858000"/>
              <a:gd name="connsiteX10853" fmla="*/ 5889341 w 12192000"/>
              <a:gd name="connsiteY10853" fmla="*/ 2971638 h 6858000"/>
              <a:gd name="connsiteX10854" fmla="*/ 5857137 w 12192000"/>
              <a:gd name="connsiteY10854" fmla="*/ 3001291 h 6858000"/>
              <a:gd name="connsiteX10855" fmla="*/ 5935671 w 12192000"/>
              <a:gd name="connsiteY10855" fmla="*/ 3001291 h 6858000"/>
              <a:gd name="connsiteX10856" fmla="*/ 5903455 w 12192000"/>
              <a:gd name="connsiteY10856" fmla="*/ 2971638 h 6858000"/>
              <a:gd name="connsiteX10857" fmla="*/ 5935671 w 12192000"/>
              <a:gd name="connsiteY10857" fmla="*/ 2941986 h 6858000"/>
              <a:gd name="connsiteX10858" fmla="*/ 5967875 w 12192000"/>
              <a:gd name="connsiteY10858" fmla="*/ 2971638 h 6858000"/>
              <a:gd name="connsiteX10859" fmla="*/ 5935671 w 12192000"/>
              <a:gd name="connsiteY10859" fmla="*/ 3001291 h 6858000"/>
              <a:gd name="connsiteX10860" fmla="*/ 6014205 w 12192000"/>
              <a:gd name="connsiteY10860" fmla="*/ 3001291 h 6858000"/>
              <a:gd name="connsiteX10861" fmla="*/ 5981989 w 12192000"/>
              <a:gd name="connsiteY10861" fmla="*/ 2971638 h 6858000"/>
              <a:gd name="connsiteX10862" fmla="*/ 6014205 w 12192000"/>
              <a:gd name="connsiteY10862" fmla="*/ 2941986 h 6858000"/>
              <a:gd name="connsiteX10863" fmla="*/ 6046410 w 12192000"/>
              <a:gd name="connsiteY10863" fmla="*/ 2971638 h 6858000"/>
              <a:gd name="connsiteX10864" fmla="*/ 6014205 w 12192000"/>
              <a:gd name="connsiteY10864" fmla="*/ 3001291 h 6858000"/>
              <a:gd name="connsiteX10865" fmla="*/ 6092739 w 12192000"/>
              <a:gd name="connsiteY10865" fmla="*/ 3001291 h 6858000"/>
              <a:gd name="connsiteX10866" fmla="*/ 6060522 w 12192000"/>
              <a:gd name="connsiteY10866" fmla="*/ 2971638 h 6858000"/>
              <a:gd name="connsiteX10867" fmla="*/ 6092739 w 12192000"/>
              <a:gd name="connsiteY10867" fmla="*/ 2941986 h 6858000"/>
              <a:gd name="connsiteX10868" fmla="*/ 6124943 w 12192000"/>
              <a:gd name="connsiteY10868" fmla="*/ 2971638 h 6858000"/>
              <a:gd name="connsiteX10869" fmla="*/ 6092739 w 12192000"/>
              <a:gd name="connsiteY10869" fmla="*/ 3001291 h 6858000"/>
              <a:gd name="connsiteX10870" fmla="*/ 6171273 w 12192000"/>
              <a:gd name="connsiteY10870" fmla="*/ 3001291 h 6858000"/>
              <a:gd name="connsiteX10871" fmla="*/ 6139056 w 12192000"/>
              <a:gd name="connsiteY10871" fmla="*/ 2971638 h 6858000"/>
              <a:gd name="connsiteX10872" fmla="*/ 6171273 w 12192000"/>
              <a:gd name="connsiteY10872" fmla="*/ 2941986 h 6858000"/>
              <a:gd name="connsiteX10873" fmla="*/ 6203477 w 12192000"/>
              <a:gd name="connsiteY10873" fmla="*/ 2971638 h 6858000"/>
              <a:gd name="connsiteX10874" fmla="*/ 6171273 w 12192000"/>
              <a:gd name="connsiteY10874" fmla="*/ 3001291 h 6858000"/>
              <a:gd name="connsiteX10875" fmla="*/ 6249806 w 12192000"/>
              <a:gd name="connsiteY10875" fmla="*/ 3001291 h 6858000"/>
              <a:gd name="connsiteX10876" fmla="*/ 6217590 w 12192000"/>
              <a:gd name="connsiteY10876" fmla="*/ 2971638 h 6858000"/>
              <a:gd name="connsiteX10877" fmla="*/ 6249806 w 12192000"/>
              <a:gd name="connsiteY10877" fmla="*/ 2941986 h 6858000"/>
              <a:gd name="connsiteX10878" fmla="*/ 6282010 w 12192000"/>
              <a:gd name="connsiteY10878" fmla="*/ 2971638 h 6858000"/>
              <a:gd name="connsiteX10879" fmla="*/ 6249806 w 12192000"/>
              <a:gd name="connsiteY10879" fmla="*/ 3001291 h 6858000"/>
              <a:gd name="connsiteX10880" fmla="*/ 6328340 w 12192000"/>
              <a:gd name="connsiteY10880" fmla="*/ 3001291 h 6858000"/>
              <a:gd name="connsiteX10881" fmla="*/ 6296124 w 12192000"/>
              <a:gd name="connsiteY10881" fmla="*/ 2971638 h 6858000"/>
              <a:gd name="connsiteX10882" fmla="*/ 6328340 w 12192000"/>
              <a:gd name="connsiteY10882" fmla="*/ 2941986 h 6858000"/>
              <a:gd name="connsiteX10883" fmla="*/ 6360545 w 12192000"/>
              <a:gd name="connsiteY10883" fmla="*/ 2971638 h 6858000"/>
              <a:gd name="connsiteX10884" fmla="*/ 6328340 w 12192000"/>
              <a:gd name="connsiteY10884" fmla="*/ 3001291 h 6858000"/>
              <a:gd name="connsiteX10885" fmla="*/ 6406875 w 12192000"/>
              <a:gd name="connsiteY10885" fmla="*/ 3001291 h 6858000"/>
              <a:gd name="connsiteX10886" fmla="*/ 6374658 w 12192000"/>
              <a:gd name="connsiteY10886" fmla="*/ 2971638 h 6858000"/>
              <a:gd name="connsiteX10887" fmla="*/ 6406875 w 12192000"/>
              <a:gd name="connsiteY10887" fmla="*/ 2941986 h 6858000"/>
              <a:gd name="connsiteX10888" fmla="*/ 6439079 w 12192000"/>
              <a:gd name="connsiteY10888" fmla="*/ 2971638 h 6858000"/>
              <a:gd name="connsiteX10889" fmla="*/ 6406875 w 12192000"/>
              <a:gd name="connsiteY10889" fmla="*/ 3001291 h 6858000"/>
              <a:gd name="connsiteX10890" fmla="*/ 6485408 w 12192000"/>
              <a:gd name="connsiteY10890" fmla="*/ 3001291 h 6858000"/>
              <a:gd name="connsiteX10891" fmla="*/ 6453191 w 12192000"/>
              <a:gd name="connsiteY10891" fmla="*/ 2971638 h 6858000"/>
              <a:gd name="connsiteX10892" fmla="*/ 6485408 w 12192000"/>
              <a:gd name="connsiteY10892" fmla="*/ 2941986 h 6858000"/>
              <a:gd name="connsiteX10893" fmla="*/ 6517612 w 12192000"/>
              <a:gd name="connsiteY10893" fmla="*/ 2971638 h 6858000"/>
              <a:gd name="connsiteX10894" fmla="*/ 6485408 w 12192000"/>
              <a:gd name="connsiteY10894" fmla="*/ 3001291 h 6858000"/>
              <a:gd name="connsiteX10895" fmla="*/ 6563942 w 12192000"/>
              <a:gd name="connsiteY10895" fmla="*/ 3001291 h 6858000"/>
              <a:gd name="connsiteX10896" fmla="*/ 6531726 w 12192000"/>
              <a:gd name="connsiteY10896" fmla="*/ 2971638 h 6858000"/>
              <a:gd name="connsiteX10897" fmla="*/ 6563942 w 12192000"/>
              <a:gd name="connsiteY10897" fmla="*/ 2941986 h 6858000"/>
              <a:gd name="connsiteX10898" fmla="*/ 6596146 w 12192000"/>
              <a:gd name="connsiteY10898" fmla="*/ 2971638 h 6858000"/>
              <a:gd name="connsiteX10899" fmla="*/ 6563942 w 12192000"/>
              <a:gd name="connsiteY10899" fmla="*/ 3001291 h 6858000"/>
              <a:gd name="connsiteX10900" fmla="*/ 6642476 w 12192000"/>
              <a:gd name="connsiteY10900" fmla="*/ 3001291 h 6858000"/>
              <a:gd name="connsiteX10901" fmla="*/ 6610260 w 12192000"/>
              <a:gd name="connsiteY10901" fmla="*/ 2971638 h 6858000"/>
              <a:gd name="connsiteX10902" fmla="*/ 6642476 w 12192000"/>
              <a:gd name="connsiteY10902" fmla="*/ 2941986 h 6858000"/>
              <a:gd name="connsiteX10903" fmla="*/ 6674681 w 12192000"/>
              <a:gd name="connsiteY10903" fmla="*/ 2971638 h 6858000"/>
              <a:gd name="connsiteX10904" fmla="*/ 6642476 w 12192000"/>
              <a:gd name="connsiteY10904" fmla="*/ 3001291 h 6858000"/>
              <a:gd name="connsiteX10905" fmla="*/ 6721010 w 12192000"/>
              <a:gd name="connsiteY10905" fmla="*/ 3001291 h 6858000"/>
              <a:gd name="connsiteX10906" fmla="*/ 6688793 w 12192000"/>
              <a:gd name="connsiteY10906" fmla="*/ 2971638 h 6858000"/>
              <a:gd name="connsiteX10907" fmla="*/ 6721010 w 12192000"/>
              <a:gd name="connsiteY10907" fmla="*/ 2941986 h 6858000"/>
              <a:gd name="connsiteX10908" fmla="*/ 6753214 w 12192000"/>
              <a:gd name="connsiteY10908" fmla="*/ 2971638 h 6858000"/>
              <a:gd name="connsiteX10909" fmla="*/ 6721010 w 12192000"/>
              <a:gd name="connsiteY10909" fmla="*/ 3001291 h 6858000"/>
              <a:gd name="connsiteX10910" fmla="*/ 6799544 w 12192000"/>
              <a:gd name="connsiteY10910" fmla="*/ 3001291 h 6858000"/>
              <a:gd name="connsiteX10911" fmla="*/ 6767327 w 12192000"/>
              <a:gd name="connsiteY10911" fmla="*/ 2971638 h 6858000"/>
              <a:gd name="connsiteX10912" fmla="*/ 6799544 w 12192000"/>
              <a:gd name="connsiteY10912" fmla="*/ 2941986 h 6858000"/>
              <a:gd name="connsiteX10913" fmla="*/ 6831748 w 12192000"/>
              <a:gd name="connsiteY10913" fmla="*/ 2971638 h 6858000"/>
              <a:gd name="connsiteX10914" fmla="*/ 6799544 w 12192000"/>
              <a:gd name="connsiteY10914" fmla="*/ 3001291 h 6858000"/>
              <a:gd name="connsiteX10915" fmla="*/ 6878077 w 12192000"/>
              <a:gd name="connsiteY10915" fmla="*/ 3001291 h 6858000"/>
              <a:gd name="connsiteX10916" fmla="*/ 6845861 w 12192000"/>
              <a:gd name="connsiteY10916" fmla="*/ 2971638 h 6858000"/>
              <a:gd name="connsiteX10917" fmla="*/ 6878077 w 12192000"/>
              <a:gd name="connsiteY10917" fmla="*/ 2941986 h 6858000"/>
              <a:gd name="connsiteX10918" fmla="*/ 6910281 w 12192000"/>
              <a:gd name="connsiteY10918" fmla="*/ 2971638 h 6858000"/>
              <a:gd name="connsiteX10919" fmla="*/ 6878077 w 12192000"/>
              <a:gd name="connsiteY10919" fmla="*/ 3001291 h 6858000"/>
              <a:gd name="connsiteX10920" fmla="*/ 6956611 w 12192000"/>
              <a:gd name="connsiteY10920" fmla="*/ 3001291 h 6858000"/>
              <a:gd name="connsiteX10921" fmla="*/ 6924395 w 12192000"/>
              <a:gd name="connsiteY10921" fmla="*/ 2971638 h 6858000"/>
              <a:gd name="connsiteX10922" fmla="*/ 6956611 w 12192000"/>
              <a:gd name="connsiteY10922" fmla="*/ 2941986 h 6858000"/>
              <a:gd name="connsiteX10923" fmla="*/ 6988816 w 12192000"/>
              <a:gd name="connsiteY10923" fmla="*/ 2971638 h 6858000"/>
              <a:gd name="connsiteX10924" fmla="*/ 6956611 w 12192000"/>
              <a:gd name="connsiteY10924" fmla="*/ 3001291 h 6858000"/>
              <a:gd name="connsiteX10925" fmla="*/ 7035146 w 12192000"/>
              <a:gd name="connsiteY10925" fmla="*/ 3001291 h 6858000"/>
              <a:gd name="connsiteX10926" fmla="*/ 7002929 w 12192000"/>
              <a:gd name="connsiteY10926" fmla="*/ 2971638 h 6858000"/>
              <a:gd name="connsiteX10927" fmla="*/ 7035146 w 12192000"/>
              <a:gd name="connsiteY10927" fmla="*/ 2941986 h 6858000"/>
              <a:gd name="connsiteX10928" fmla="*/ 7067350 w 12192000"/>
              <a:gd name="connsiteY10928" fmla="*/ 2971638 h 6858000"/>
              <a:gd name="connsiteX10929" fmla="*/ 7035146 w 12192000"/>
              <a:gd name="connsiteY10929" fmla="*/ 3001291 h 6858000"/>
              <a:gd name="connsiteX10930" fmla="*/ 7192237 w 12192000"/>
              <a:gd name="connsiteY10930" fmla="*/ 3001291 h 6858000"/>
              <a:gd name="connsiteX10931" fmla="*/ 7160021 w 12192000"/>
              <a:gd name="connsiteY10931" fmla="*/ 2971638 h 6858000"/>
              <a:gd name="connsiteX10932" fmla="*/ 7192237 w 12192000"/>
              <a:gd name="connsiteY10932" fmla="*/ 2941986 h 6858000"/>
              <a:gd name="connsiteX10933" fmla="*/ 7224441 w 12192000"/>
              <a:gd name="connsiteY10933" fmla="*/ 2971638 h 6858000"/>
              <a:gd name="connsiteX10934" fmla="*/ 7192237 w 12192000"/>
              <a:gd name="connsiteY10934" fmla="*/ 3001291 h 6858000"/>
              <a:gd name="connsiteX10935" fmla="*/ 8134643 w 12192000"/>
              <a:gd name="connsiteY10935" fmla="*/ 3001291 h 6858000"/>
              <a:gd name="connsiteX10936" fmla="*/ 8102427 w 12192000"/>
              <a:gd name="connsiteY10936" fmla="*/ 2971638 h 6858000"/>
              <a:gd name="connsiteX10937" fmla="*/ 8134643 w 12192000"/>
              <a:gd name="connsiteY10937" fmla="*/ 2941986 h 6858000"/>
              <a:gd name="connsiteX10938" fmla="*/ 8166847 w 12192000"/>
              <a:gd name="connsiteY10938" fmla="*/ 2971638 h 6858000"/>
              <a:gd name="connsiteX10939" fmla="*/ 8134643 w 12192000"/>
              <a:gd name="connsiteY10939" fmla="*/ 3001291 h 6858000"/>
              <a:gd name="connsiteX10940" fmla="*/ 8213177 w 12192000"/>
              <a:gd name="connsiteY10940" fmla="*/ 3001291 h 6858000"/>
              <a:gd name="connsiteX10941" fmla="*/ 8180961 w 12192000"/>
              <a:gd name="connsiteY10941" fmla="*/ 2971638 h 6858000"/>
              <a:gd name="connsiteX10942" fmla="*/ 8213177 w 12192000"/>
              <a:gd name="connsiteY10942" fmla="*/ 2941986 h 6858000"/>
              <a:gd name="connsiteX10943" fmla="*/ 8245382 w 12192000"/>
              <a:gd name="connsiteY10943" fmla="*/ 2971638 h 6858000"/>
              <a:gd name="connsiteX10944" fmla="*/ 8213177 w 12192000"/>
              <a:gd name="connsiteY10944" fmla="*/ 3001291 h 6858000"/>
              <a:gd name="connsiteX10945" fmla="*/ 8919983 w 12192000"/>
              <a:gd name="connsiteY10945" fmla="*/ 3001291 h 6858000"/>
              <a:gd name="connsiteX10946" fmla="*/ 8887766 w 12192000"/>
              <a:gd name="connsiteY10946" fmla="*/ 2971638 h 6858000"/>
              <a:gd name="connsiteX10947" fmla="*/ 8919983 w 12192000"/>
              <a:gd name="connsiteY10947" fmla="*/ 2941986 h 6858000"/>
              <a:gd name="connsiteX10948" fmla="*/ 8952187 w 12192000"/>
              <a:gd name="connsiteY10948" fmla="*/ 2971638 h 6858000"/>
              <a:gd name="connsiteX10949" fmla="*/ 8919983 w 12192000"/>
              <a:gd name="connsiteY10949" fmla="*/ 3001291 h 6858000"/>
              <a:gd name="connsiteX10950" fmla="*/ 8998516 w 12192000"/>
              <a:gd name="connsiteY10950" fmla="*/ 3001291 h 6858000"/>
              <a:gd name="connsiteX10951" fmla="*/ 8966300 w 12192000"/>
              <a:gd name="connsiteY10951" fmla="*/ 2971638 h 6858000"/>
              <a:gd name="connsiteX10952" fmla="*/ 8998516 w 12192000"/>
              <a:gd name="connsiteY10952" fmla="*/ 2941986 h 6858000"/>
              <a:gd name="connsiteX10953" fmla="*/ 9030720 w 12192000"/>
              <a:gd name="connsiteY10953" fmla="*/ 2971638 h 6858000"/>
              <a:gd name="connsiteX10954" fmla="*/ 8998516 w 12192000"/>
              <a:gd name="connsiteY10954" fmla="*/ 3001291 h 6858000"/>
              <a:gd name="connsiteX10955" fmla="*/ 9077050 w 12192000"/>
              <a:gd name="connsiteY10955" fmla="*/ 3001291 h 6858000"/>
              <a:gd name="connsiteX10956" fmla="*/ 9044834 w 12192000"/>
              <a:gd name="connsiteY10956" fmla="*/ 2971638 h 6858000"/>
              <a:gd name="connsiteX10957" fmla="*/ 9077050 w 12192000"/>
              <a:gd name="connsiteY10957" fmla="*/ 2941986 h 6858000"/>
              <a:gd name="connsiteX10958" fmla="*/ 9109254 w 12192000"/>
              <a:gd name="connsiteY10958" fmla="*/ 2971638 h 6858000"/>
              <a:gd name="connsiteX10959" fmla="*/ 9077050 w 12192000"/>
              <a:gd name="connsiteY10959" fmla="*/ 3001291 h 6858000"/>
              <a:gd name="connsiteX10960" fmla="*/ 9469719 w 12192000"/>
              <a:gd name="connsiteY10960" fmla="*/ 3001291 h 6858000"/>
              <a:gd name="connsiteX10961" fmla="*/ 9437503 w 12192000"/>
              <a:gd name="connsiteY10961" fmla="*/ 2971638 h 6858000"/>
              <a:gd name="connsiteX10962" fmla="*/ 9469719 w 12192000"/>
              <a:gd name="connsiteY10962" fmla="*/ 2941986 h 6858000"/>
              <a:gd name="connsiteX10963" fmla="*/ 9501924 w 12192000"/>
              <a:gd name="connsiteY10963" fmla="*/ 2971638 h 6858000"/>
              <a:gd name="connsiteX10964" fmla="*/ 9469719 w 12192000"/>
              <a:gd name="connsiteY10964" fmla="*/ 3001291 h 6858000"/>
              <a:gd name="connsiteX10965" fmla="*/ 3501115 w 12192000"/>
              <a:gd name="connsiteY10965" fmla="*/ 2929026 h 6858000"/>
              <a:gd name="connsiteX10966" fmla="*/ 3468905 w 12192000"/>
              <a:gd name="connsiteY10966" fmla="*/ 2899374 h 6858000"/>
              <a:gd name="connsiteX10967" fmla="*/ 3501115 w 12192000"/>
              <a:gd name="connsiteY10967" fmla="*/ 2869722 h 6858000"/>
              <a:gd name="connsiteX10968" fmla="*/ 3533326 w 12192000"/>
              <a:gd name="connsiteY10968" fmla="*/ 2899374 h 6858000"/>
              <a:gd name="connsiteX10969" fmla="*/ 3501115 w 12192000"/>
              <a:gd name="connsiteY10969" fmla="*/ 2929026 h 6858000"/>
              <a:gd name="connsiteX10970" fmla="*/ 3815250 w 12192000"/>
              <a:gd name="connsiteY10970" fmla="*/ 2929026 h 6858000"/>
              <a:gd name="connsiteX10971" fmla="*/ 3783040 w 12192000"/>
              <a:gd name="connsiteY10971" fmla="*/ 2899374 h 6858000"/>
              <a:gd name="connsiteX10972" fmla="*/ 3815250 w 12192000"/>
              <a:gd name="connsiteY10972" fmla="*/ 2869722 h 6858000"/>
              <a:gd name="connsiteX10973" fmla="*/ 3847461 w 12192000"/>
              <a:gd name="connsiteY10973" fmla="*/ 2899374 h 6858000"/>
              <a:gd name="connsiteX10974" fmla="*/ 3815250 w 12192000"/>
              <a:gd name="connsiteY10974" fmla="*/ 2929026 h 6858000"/>
              <a:gd name="connsiteX10975" fmla="*/ 5543002 w 12192000"/>
              <a:gd name="connsiteY10975" fmla="*/ 2929026 h 6858000"/>
              <a:gd name="connsiteX10976" fmla="*/ 5510785 w 12192000"/>
              <a:gd name="connsiteY10976" fmla="*/ 2899374 h 6858000"/>
              <a:gd name="connsiteX10977" fmla="*/ 5543002 w 12192000"/>
              <a:gd name="connsiteY10977" fmla="*/ 2869722 h 6858000"/>
              <a:gd name="connsiteX10978" fmla="*/ 5575206 w 12192000"/>
              <a:gd name="connsiteY10978" fmla="*/ 2899374 h 6858000"/>
              <a:gd name="connsiteX10979" fmla="*/ 5543002 w 12192000"/>
              <a:gd name="connsiteY10979" fmla="*/ 2929026 h 6858000"/>
              <a:gd name="connsiteX10980" fmla="*/ 5621536 w 12192000"/>
              <a:gd name="connsiteY10980" fmla="*/ 2929026 h 6858000"/>
              <a:gd name="connsiteX10981" fmla="*/ 5589320 w 12192000"/>
              <a:gd name="connsiteY10981" fmla="*/ 2899374 h 6858000"/>
              <a:gd name="connsiteX10982" fmla="*/ 5621536 w 12192000"/>
              <a:gd name="connsiteY10982" fmla="*/ 2869722 h 6858000"/>
              <a:gd name="connsiteX10983" fmla="*/ 5653740 w 12192000"/>
              <a:gd name="connsiteY10983" fmla="*/ 2899374 h 6858000"/>
              <a:gd name="connsiteX10984" fmla="*/ 5621536 w 12192000"/>
              <a:gd name="connsiteY10984" fmla="*/ 2929026 h 6858000"/>
              <a:gd name="connsiteX10985" fmla="*/ 5700069 w 12192000"/>
              <a:gd name="connsiteY10985" fmla="*/ 2929026 h 6858000"/>
              <a:gd name="connsiteX10986" fmla="*/ 5667853 w 12192000"/>
              <a:gd name="connsiteY10986" fmla="*/ 2899374 h 6858000"/>
              <a:gd name="connsiteX10987" fmla="*/ 5700069 w 12192000"/>
              <a:gd name="connsiteY10987" fmla="*/ 2869722 h 6858000"/>
              <a:gd name="connsiteX10988" fmla="*/ 5732274 w 12192000"/>
              <a:gd name="connsiteY10988" fmla="*/ 2899374 h 6858000"/>
              <a:gd name="connsiteX10989" fmla="*/ 5700069 w 12192000"/>
              <a:gd name="connsiteY10989" fmla="*/ 2929026 h 6858000"/>
              <a:gd name="connsiteX10990" fmla="*/ 5778604 w 12192000"/>
              <a:gd name="connsiteY10990" fmla="*/ 2929026 h 6858000"/>
              <a:gd name="connsiteX10991" fmla="*/ 5746387 w 12192000"/>
              <a:gd name="connsiteY10991" fmla="*/ 2899374 h 6858000"/>
              <a:gd name="connsiteX10992" fmla="*/ 5778604 w 12192000"/>
              <a:gd name="connsiteY10992" fmla="*/ 2869722 h 6858000"/>
              <a:gd name="connsiteX10993" fmla="*/ 5810808 w 12192000"/>
              <a:gd name="connsiteY10993" fmla="*/ 2899374 h 6858000"/>
              <a:gd name="connsiteX10994" fmla="*/ 5778604 w 12192000"/>
              <a:gd name="connsiteY10994" fmla="*/ 2929026 h 6858000"/>
              <a:gd name="connsiteX10995" fmla="*/ 5857137 w 12192000"/>
              <a:gd name="connsiteY10995" fmla="*/ 2929026 h 6858000"/>
              <a:gd name="connsiteX10996" fmla="*/ 5824920 w 12192000"/>
              <a:gd name="connsiteY10996" fmla="*/ 2899374 h 6858000"/>
              <a:gd name="connsiteX10997" fmla="*/ 5857137 w 12192000"/>
              <a:gd name="connsiteY10997" fmla="*/ 2869722 h 6858000"/>
              <a:gd name="connsiteX10998" fmla="*/ 5889341 w 12192000"/>
              <a:gd name="connsiteY10998" fmla="*/ 2899374 h 6858000"/>
              <a:gd name="connsiteX10999" fmla="*/ 5857137 w 12192000"/>
              <a:gd name="connsiteY10999" fmla="*/ 2929026 h 6858000"/>
              <a:gd name="connsiteX11000" fmla="*/ 5935671 w 12192000"/>
              <a:gd name="connsiteY11000" fmla="*/ 2929026 h 6858000"/>
              <a:gd name="connsiteX11001" fmla="*/ 5903455 w 12192000"/>
              <a:gd name="connsiteY11001" fmla="*/ 2899374 h 6858000"/>
              <a:gd name="connsiteX11002" fmla="*/ 5935671 w 12192000"/>
              <a:gd name="connsiteY11002" fmla="*/ 2869722 h 6858000"/>
              <a:gd name="connsiteX11003" fmla="*/ 5967875 w 12192000"/>
              <a:gd name="connsiteY11003" fmla="*/ 2899374 h 6858000"/>
              <a:gd name="connsiteX11004" fmla="*/ 5935671 w 12192000"/>
              <a:gd name="connsiteY11004" fmla="*/ 2929026 h 6858000"/>
              <a:gd name="connsiteX11005" fmla="*/ 6014205 w 12192000"/>
              <a:gd name="connsiteY11005" fmla="*/ 2929026 h 6858000"/>
              <a:gd name="connsiteX11006" fmla="*/ 5981989 w 12192000"/>
              <a:gd name="connsiteY11006" fmla="*/ 2899374 h 6858000"/>
              <a:gd name="connsiteX11007" fmla="*/ 6014205 w 12192000"/>
              <a:gd name="connsiteY11007" fmla="*/ 2869722 h 6858000"/>
              <a:gd name="connsiteX11008" fmla="*/ 6046410 w 12192000"/>
              <a:gd name="connsiteY11008" fmla="*/ 2899374 h 6858000"/>
              <a:gd name="connsiteX11009" fmla="*/ 6014205 w 12192000"/>
              <a:gd name="connsiteY11009" fmla="*/ 2929026 h 6858000"/>
              <a:gd name="connsiteX11010" fmla="*/ 6092739 w 12192000"/>
              <a:gd name="connsiteY11010" fmla="*/ 2929026 h 6858000"/>
              <a:gd name="connsiteX11011" fmla="*/ 6060522 w 12192000"/>
              <a:gd name="connsiteY11011" fmla="*/ 2899374 h 6858000"/>
              <a:gd name="connsiteX11012" fmla="*/ 6092739 w 12192000"/>
              <a:gd name="connsiteY11012" fmla="*/ 2869722 h 6858000"/>
              <a:gd name="connsiteX11013" fmla="*/ 6124943 w 12192000"/>
              <a:gd name="connsiteY11013" fmla="*/ 2899374 h 6858000"/>
              <a:gd name="connsiteX11014" fmla="*/ 6092739 w 12192000"/>
              <a:gd name="connsiteY11014" fmla="*/ 2929026 h 6858000"/>
              <a:gd name="connsiteX11015" fmla="*/ 6171273 w 12192000"/>
              <a:gd name="connsiteY11015" fmla="*/ 2929026 h 6858000"/>
              <a:gd name="connsiteX11016" fmla="*/ 6139056 w 12192000"/>
              <a:gd name="connsiteY11016" fmla="*/ 2899374 h 6858000"/>
              <a:gd name="connsiteX11017" fmla="*/ 6171273 w 12192000"/>
              <a:gd name="connsiteY11017" fmla="*/ 2869722 h 6858000"/>
              <a:gd name="connsiteX11018" fmla="*/ 6203477 w 12192000"/>
              <a:gd name="connsiteY11018" fmla="*/ 2899374 h 6858000"/>
              <a:gd name="connsiteX11019" fmla="*/ 6171273 w 12192000"/>
              <a:gd name="connsiteY11019" fmla="*/ 2929026 h 6858000"/>
              <a:gd name="connsiteX11020" fmla="*/ 6249806 w 12192000"/>
              <a:gd name="connsiteY11020" fmla="*/ 2929026 h 6858000"/>
              <a:gd name="connsiteX11021" fmla="*/ 6217590 w 12192000"/>
              <a:gd name="connsiteY11021" fmla="*/ 2899374 h 6858000"/>
              <a:gd name="connsiteX11022" fmla="*/ 6249806 w 12192000"/>
              <a:gd name="connsiteY11022" fmla="*/ 2869722 h 6858000"/>
              <a:gd name="connsiteX11023" fmla="*/ 6282010 w 12192000"/>
              <a:gd name="connsiteY11023" fmla="*/ 2899374 h 6858000"/>
              <a:gd name="connsiteX11024" fmla="*/ 6249806 w 12192000"/>
              <a:gd name="connsiteY11024" fmla="*/ 2929026 h 6858000"/>
              <a:gd name="connsiteX11025" fmla="*/ 6328340 w 12192000"/>
              <a:gd name="connsiteY11025" fmla="*/ 2929026 h 6858000"/>
              <a:gd name="connsiteX11026" fmla="*/ 6296124 w 12192000"/>
              <a:gd name="connsiteY11026" fmla="*/ 2899374 h 6858000"/>
              <a:gd name="connsiteX11027" fmla="*/ 6328340 w 12192000"/>
              <a:gd name="connsiteY11027" fmla="*/ 2869722 h 6858000"/>
              <a:gd name="connsiteX11028" fmla="*/ 6360545 w 12192000"/>
              <a:gd name="connsiteY11028" fmla="*/ 2899374 h 6858000"/>
              <a:gd name="connsiteX11029" fmla="*/ 6328340 w 12192000"/>
              <a:gd name="connsiteY11029" fmla="*/ 2929026 h 6858000"/>
              <a:gd name="connsiteX11030" fmla="*/ 6406875 w 12192000"/>
              <a:gd name="connsiteY11030" fmla="*/ 2929026 h 6858000"/>
              <a:gd name="connsiteX11031" fmla="*/ 6374658 w 12192000"/>
              <a:gd name="connsiteY11031" fmla="*/ 2899374 h 6858000"/>
              <a:gd name="connsiteX11032" fmla="*/ 6406875 w 12192000"/>
              <a:gd name="connsiteY11032" fmla="*/ 2869722 h 6858000"/>
              <a:gd name="connsiteX11033" fmla="*/ 6439079 w 12192000"/>
              <a:gd name="connsiteY11033" fmla="*/ 2899374 h 6858000"/>
              <a:gd name="connsiteX11034" fmla="*/ 6406875 w 12192000"/>
              <a:gd name="connsiteY11034" fmla="*/ 2929026 h 6858000"/>
              <a:gd name="connsiteX11035" fmla="*/ 6485408 w 12192000"/>
              <a:gd name="connsiteY11035" fmla="*/ 2929026 h 6858000"/>
              <a:gd name="connsiteX11036" fmla="*/ 6453191 w 12192000"/>
              <a:gd name="connsiteY11036" fmla="*/ 2899374 h 6858000"/>
              <a:gd name="connsiteX11037" fmla="*/ 6485408 w 12192000"/>
              <a:gd name="connsiteY11037" fmla="*/ 2869722 h 6858000"/>
              <a:gd name="connsiteX11038" fmla="*/ 6517612 w 12192000"/>
              <a:gd name="connsiteY11038" fmla="*/ 2899374 h 6858000"/>
              <a:gd name="connsiteX11039" fmla="*/ 6485408 w 12192000"/>
              <a:gd name="connsiteY11039" fmla="*/ 2929026 h 6858000"/>
              <a:gd name="connsiteX11040" fmla="*/ 6563942 w 12192000"/>
              <a:gd name="connsiteY11040" fmla="*/ 2929026 h 6858000"/>
              <a:gd name="connsiteX11041" fmla="*/ 6531726 w 12192000"/>
              <a:gd name="connsiteY11041" fmla="*/ 2899374 h 6858000"/>
              <a:gd name="connsiteX11042" fmla="*/ 6563942 w 12192000"/>
              <a:gd name="connsiteY11042" fmla="*/ 2869722 h 6858000"/>
              <a:gd name="connsiteX11043" fmla="*/ 6596146 w 12192000"/>
              <a:gd name="connsiteY11043" fmla="*/ 2899374 h 6858000"/>
              <a:gd name="connsiteX11044" fmla="*/ 6563942 w 12192000"/>
              <a:gd name="connsiteY11044" fmla="*/ 2929026 h 6858000"/>
              <a:gd name="connsiteX11045" fmla="*/ 6642476 w 12192000"/>
              <a:gd name="connsiteY11045" fmla="*/ 2929026 h 6858000"/>
              <a:gd name="connsiteX11046" fmla="*/ 6610260 w 12192000"/>
              <a:gd name="connsiteY11046" fmla="*/ 2899374 h 6858000"/>
              <a:gd name="connsiteX11047" fmla="*/ 6642476 w 12192000"/>
              <a:gd name="connsiteY11047" fmla="*/ 2869722 h 6858000"/>
              <a:gd name="connsiteX11048" fmla="*/ 6674681 w 12192000"/>
              <a:gd name="connsiteY11048" fmla="*/ 2899374 h 6858000"/>
              <a:gd name="connsiteX11049" fmla="*/ 6642476 w 12192000"/>
              <a:gd name="connsiteY11049" fmla="*/ 2929026 h 6858000"/>
              <a:gd name="connsiteX11050" fmla="*/ 6721010 w 12192000"/>
              <a:gd name="connsiteY11050" fmla="*/ 2929026 h 6858000"/>
              <a:gd name="connsiteX11051" fmla="*/ 6688793 w 12192000"/>
              <a:gd name="connsiteY11051" fmla="*/ 2899374 h 6858000"/>
              <a:gd name="connsiteX11052" fmla="*/ 6721010 w 12192000"/>
              <a:gd name="connsiteY11052" fmla="*/ 2869722 h 6858000"/>
              <a:gd name="connsiteX11053" fmla="*/ 6753214 w 12192000"/>
              <a:gd name="connsiteY11053" fmla="*/ 2899374 h 6858000"/>
              <a:gd name="connsiteX11054" fmla="*/ 6721010 w 12192000"/>
              <a:gd name="connsiteY11054" fmla="*/ 2929026 h 6858000"/>
              <a:gd name="connsiteX11055" fmla="*/ 6799544 w 12192000"/>
              <a:gd name="connsiteY11055" fmla="*/ 2929026 h 6858000"/>
              <a:gd name="connsiteX11056" fmla="*/ 6767327 w 12192000"/>
              <a:gd name="connsiteY11056" fmla="*/ 2899374 h 6858000"/>
              <a:gd name="connsiteX11057" fmla="*/ 6799544 w 12192000"/>
              <a:gd name="connsiteY11057" fmla="*/ 2869722 h 6858000"/>
              <a:gd name="connsiteX11058" fmla="*/ 6831748 w 12192000"/>
              <a:gd name="connsiteY11058" fmla="*/ 2899374 h 6858000"/>
              <a:gd name="connsiteX11059" fmla="*/ 6799544 w 12192000"/>
              <a:gd name="connsiteY11059" fmla="*/ 2929026 h 6858000"/>
              <a:gd name="connsiteX11060" fmla="*/ 6878077 w 12192000"/>
              <a:gd name="connsiteY11060" fmla="*/ 2929026 h 6858000"/>
              <a:gd name="connsiteX11061" fmla="*/ 6845861 w 12192000"/>
              <a:gd name="connsiteY11061" fmla="*/ 2899374 h 6858000"/>
              <a:gd name="connsiteX11062" fmla="*/ 6878077 w 12192000"/>
              <a:gd name="connsiteY11062" fmla="*/ 2869722 h 6858000"/>
              <a:gd name="connsiteX11063" fmla="*/ 6910281 w 12192000"/>
              <a:gd name="connsiteY11063" fmla="*/ 2899374 h 6858000"/>
              <a:gd name="connsiteX11064" fmla="*/ 6878077 w 12192000"/>
              <a:gd name="connsiteY11064" fmla="*/ 2929026 h 6858000"/>
              <a:gd name="connsiteX11065" fmla="*/ 6956611 w 12192000"/>
              <a:gd name="connsiteY11065" fmla="*/ 2929026 h 6858000"/>
              <a:gd name="connsiteX11066" fmla="*/ 6924395 w 12192000"/>
              <a:gd name="connsiteY11066" fmla="*/ 2899374 h 6858000"/>
              <a:gd name="connsiteX11067" fmla="*/ 6956611 w 12192000"/>
              <a:gd name="connsiteY11067" fmla="*/ 2869722 h 6858000"/>
              <a:gd name="connsiteX11068" fmla="*/ 6988816 w 12192000"/>
              <a:gd name="connsiteY11068" fmla="*/ 2899374 h 6858000"/>
              <a:gd name="connsiteX11069" fmla="*/ 6956611 w 12192000"/>
              <a:gd name="connsiteY11069" fmla="*/ 2929026 h 6858000"/>
              <a:gd name="connsiteX11070" fmla="*/ 7035146 w 12192000"/>
              <a:gd name="connsiteY11070" fmla="*/ 2929026 h 6858000"/>
              <a:gd name="connsiteX11071" fmla="*/ 7002929 w 12192000"/>
              <a:gd name="connsiteY11071" fmla="*/ 2899374 h 6858000"/>
              <a:gd name="connsiteX11072" fmla="*/ 7035146 w 12192000"/>
              <a:gd name="connsiteY11072" fmla="*/ 2869722 h 6858000"/>
              <a:gd name="connsiteX11073" fmla="*/ 7067350 w 12192000"/>
              <a:gd name="connsiteY11073" fmla="*/ 2899374 h 6858000"/>
              <a:gd name="connsiteX11074" fmla="*/ 7035146 w 12192000"/>
              <a:gd name="connsiteY11074" fmla="*/ 2929026 h 6858000"/>
              <a:gd name="connsiteX11075" fmla="*/ 7113703 w 12192000"/>
              <a:gd name="connsiteY11075" fmla="*/ 2929026 h 6858000"/>
              <a:gd name="connsiteX11076" fmla="*/ 7081487 w 12192000"/>
              <a:gd name="connsiteY11076" fmla="*/ 2899374 h 6858000"/>
              <a:gd name="connsiteX11077" fmla="*/ 7113703 w 12192000"/>
              <a:gd name="connsiteY11077" fmla="*/ 2869722 h 6858000"/>
              <a:gd name="connsiteX11078" fmla="*/ 7145907 w 12192000"/>
              <a:gd name="connsiteY11078" fmla="*/ 2899374 h 6858000"/>
              <a:gd name="connsiteX11079" fmla="*/ 7113703 w 12192000"/>
              <a:gd name="connsiteY11079" fmla="*/ 2929026 h 6858000"/>
              <a:gd name="connsiteX11080" fmla="*/ 7427839 w 12192000"/>
              <a:gd name="connsiteY11080" fmla="*/ 2929026 h 6858000"/>
              <a:gd name="connsiteX11081" fmla="*/ 7395623 w 12192000"/>
              <a:gd name="connsiteY11081" fmla="*/ 2899374 h 6858000"/>
              <a:gd name="connsiteX11082" fmla="*/ 7427839 w 12192000"/>
              <a:gd name="connsiteY11082" fmla="*/ 2869722 h 6858000"/>
              <a:gd name="connsiteX11083" fmla="*/ 7460043 w 12192000"/>
              <a:gd name="connsiteY11083" fmla="*/ 2899374 h 6858000"/>
              <a:gd name="connsiteX11084" fmla="*/ 7427839 w 12192000"/>
              <a:gd name="connsiteY11084" fmla="*/ 2929026 h 6858000"/>
              <a:gd name="connsiteX11085" fmla="*/ 8213177 w 12192000"/>
              <a:gd name="connsiteY11085" fmla="*/ 2929026 h 6858000"/>
              <a:gd name="connsiteX11086" fmla="*/ 8180961 w 12192000"/>
              <a:gd name="connsiteY11086" fmla="*/ 2899374 h 6858000"/>
              <a:gd name="connsiteX11087" fmla="*/ 8213177 w 12192000"/>
              <a:gd name="connsiteY11087" fmla="*/ 2869722 h 6858000"/>
              <a:gd name="connsiteX11088" fmla="*/ 8245382 w 12192000"/>
              <a:gd name="connsiteY11088" fmla="*/ 2899374 h 6858000"/>
              <a:gd name="connsiteX11089" fmla="*/ 8213177 w 12192000"/>
              <a:gd name="connsiteY11089" fmla="*/ 2929026 h 6858000"/>
              <a:gd name="connsiteX11090" fmla="*/ 8841448 w 12192000"/>
              <a:gd name="connsiteY11090" fmla="*/ 2929026 h 6858000"/>
              <a:gd name="connsiteX11091" fmla="*/ 8809232 w 12192000"/>
              <a:gd name="connsiteY11091" fmla="*/ 2899374 h 6858000"/>
              <a:gd name="connsiteX11092" fmla="*/ 8841448 w 12192000"/>
              <a:gd name="connsiteY11092" fmla="*/ 2869722 h 6858000"/>
              <a:gd name="connsiteX11093" fmla="*/ 8873653 w 12192000"/>
              <a:gd name="connsiteY11093" fmla="*/ 2899374 h 6858000"/>
              <a:gd name="connsiteX11094" fmla="*/ 8841448 w 12192000"/>
              <a:gd name="connsiteY11094" fmla="*/ 2929026 h 6858000"/>
              <a:gd name="connsiteX11095" fmla="*/ 8998516 w 12192000"/>
              <a:gd name="connsiteY11095" fmla="*/ 2929026 h 6858000"/>
              <a:gd name="connsiteX11096" fmla="*/ 8966300 w 12192000"/>
              <a:gd name="connsiteY11096" fmla="*/ 2899374 h 6858000"/>
              <a:gd name="connsiteX11097" fmla="*/ 8998516 w 12192000"/>
              <a:gd name="connsiteY11097" fmla="*/ 2869722 h 6858000"/>
              <a:gd name="connsiteX11098" fmla="*/ 9030720 w 12192000"/>
              <a:gd name="connsiteY11098" fmla="*/ 2899374 h 6858000"/>
              <a:gd name="connsiteX11099" fmla="*/ 8998516 w 12192000"/>
              <a:gd name="connsiteY11099" fmla="*/ 2929026 h 6858000"/>
              <a:gd name="connsiteX11100" fmla="*/ 9077050 w 12192000"/>
              <a:gd name="connsiteY11100" fmla="*/ 2929026 h 6858000"/>
              <a:gd name="connsiteX11101" fmla="*/ 9044834 w 12192000"/>
              <a:gd name="connsiteY11101" fmla="*/ 2899374 h 6858000"/>
              <a:gd name="connsiteX11102" fmla="*/ 9077050 w 12192000"/>
              <a:gd name="connsiteY11102" fmla="*/ 2869722 h 6858000"/>
              <a:gd name="connsiteX11103" fmla="*/ 9109254 w 12192000"/>
              <a:gd name="connsiteY11103" fmla="*/ 2899374 h 6858000"/>
              <a:gd name="connsiteX11104" fmla="*/ 9077050 w 12192000"/>
              <a:gd name="connsiteY11104" fmla="*/ 2929026 h 6858000"/>
              <a:gd name="connsiteX11105" fmla="*/ 9548254 w 12192000"/>
              <a:gd name="connsiteY11105" fmla="*/ 2929026 h 6858000"/>
              <a:gd name="connsiteX11106" fmla="*/ 9516037 w 12192000"/>
              <a:gd name="connsiteY11106" fmla="*/ 2899374 h 6858000"/>
              <a:gd name="connsiteX11107" fmla="*/ 9548254 w 12192000"/>
              <a:gd name="connsiteY11107" fmla="*/ 2869722 h 6858000"/>
              <a:gd name="connsiteX11108" fmla="*/ 9580458 w 12192000"/>
              <a:gd name="connsiteY11108" fmla="*/ 2899374 h 6858000"/>
              <a:gd name="connsiteX11109" fmla="*/ 9548254 w 12192000"/>
              <a:gd name="connsiteY11109" fmla="*/ 2929026 h 6858000"/>
              <a:gd name="connsiteX11110" fmla="*/ 3579650 w 12192000"/>
              <a:gd name="connsiteY11110" fmla="*/ 2856760 h 6858000"/>
              <a:gd name="connsiteX11111" fmla="*/ 3547439 w 12192000"/>
              <a:gd name="connsiteY11111" fmla="*/ 2827108 h 6858000"/>
              <a:gd name="connsiteX11112" fmla="*/ 3579650 w 12192000"/>
              <a:gd name="connsiteY11112" fmla="*/ 2797456 h 6858000"/>
              <a:gd name="connsiteX11113" fmla="*/ 3611860 w 12192000"/>
              <a:gd name="connsiteY11113" fmla="*/ 2827108 h 6858000"/>
              <a:gd name="connsiteX11114" fmla="*/ 3579650 w 12192000"/>
              <a:gd name="connsiteY11114" fmla="*/ 2856760 h 6858000"/>
              <a:gd name="connsiteX11115" fmla="*/ 3658183 w 12192000"/>
              <a:gd name="connsiteY11115" fmla="*/ 2856760 h 6858000"/>
              <a:gd name="connsiteX11116" fmla="*/ 3625972 w 12192000"/>
              <a:gd name="connsiteY11116" fmla="*/ 2827108 h 6858000"/>
              <a:gd name="connsiteX11117" fmla="*/ 3658183 w 12192000"/>
              <a:gd name="connsiteY11117" fmla="*/ 2797456 h 6858000"/>
              <a:gd name="connsiteX11118" fmla="*/ 3690393 w 12192000"/>
              <a:gd name="connsiteY11118" fmla="*/ 2827108 h 6858000"/>
              <a:gd name="connsiteX11119" fmla="*/ 3658183 w 12192000"/>
              <a:gd name="connsiteY11119" fmla="*/ 2856760 h 6858000"/>
              <a:gd name="connsiteX11120" fmla="*/ 3736717 w 12192000"/>
              <a:gd name="connsiteY11120" fmla="*/ 2856760 h 6858000"/>
              <a:gd name="connsiteX11121" fmla="*/ 3704507 w 12192000"/>
              <a:gd name="connsiteY11121" fmla="*/ 2827108 h 6858000"/>
              <a:gd name="connsiteX11122" fmla="*/ 3736717 w 12192000"/>
              <a:gd name="connsiteY11122" fmla="*/ 2797456 h 6858000"/>
              <a:gd name="connsiteX11123" fmla="*/ 3768927 w 12192000"/>
              <a:gd name="connsiteY11123" fmla="*/ 2827108 h 6858000"/>
              <a:gd name="connsiteX11124" fmla="*/ 3736717 w 12192000"/>
              <a:gd name="connsiteY11124" fmla="*/ 2856760 h 6858000"/>
              <a:gd name="connsiteX11125" fmla="*/ 3815250 w 12192000"/>
              <a:gd name="connsiteY11125" fmla="*/ 2856760 h 6858000"/>
              <a:gd name="connsiteX11126" fmla="*/ 3783040 w 12192000"/>
              <a:gd name="connsiteY11126" fmla="*/ 2827108 h 6858000"/>
              <a:gd name="connsiteX11127" fmla="*/ 3815250 w 12192000"/>
              <a:gd name="connsiteY11127" fmla="*/ 2797456 h 6858000"/>
              <a:gd name="connsiteX11128" fmla="*/ 3847461 w 12192000"/>
              <a:gd name="connsiteY11128" fmla="*/ 2827108 h 6858000"/>
              <a:gd name="connsiteX11129" fmla="*/ 3815250 w 12192000"/>
              <a:gd name="connsiteY11129" fmla="*/ 2856760 h 6858000"/>
              <a:gd name="connsiteX11130" fmla="*/ 3893785 w 12192000"/>
              <a:gd name="connsiteY11130" fmla="*/ 2856760 h 6858000"/>
              <a:gd name="connsiteX11131" fmla="*/ 3861574 w 12192000"/>
              <a:gd name="connsiteY11131" fmla="*/ 2827108 h 6858000"/>
              <a:gd name="connsiteX11132" fmla="*/ 3893785 w 12192000"/>
              <a:gd name="connsiteY11132" fmla="*/ 2797456 h 6858000"/>
              <a:gd name="connsiteX11133" fmla="*/ 3925995 w 12192000"/>
              <a:gd name="connsiteY11133" fmla="*/ 2827108 h 6858000"/>
              <a:gd name="connsiteX11134" fmla="*/ 3893785 w 12192000"/>
              <a:gd name="connsiteY11134" fmla="*/ 2856760 h 6858000"/>
              <a:gd name="connsiteX11135" fmla="*/ 3972319 w 12192000"/>
              <a:gd name="connsiteY11135" fmla="*/ 2856760 h 6858000"/>
              <a:gd name="connsiteX11136" fmla="*/ 3940108 w 12192000"/>
              <a:gd name="connsiteY11136" fmla="*/ 2827108 h 6858000"/>
              <a:gd name="connsiteX11137" fmla="*/ 3972319 w 12192000"/>
              <a:gd name="connsiteY11137" fmla="*/ 2797456 h 6858000"/>
              <a:gd name="connsiteX11138" fmla="*/ 4004529 w 12192000"/>
              <a:gd name="connsiteY11138" fmla="*/ 2827108 h 6858000"/>
              <a:gd name="connsiteX11139" fmla="*/ 3972319 w 12192000"/>
              <a:gd name="connsiteY11139" fmla="*/ 2856760 h 6858000"/>
              <a:gd name="connsiteX11140" fmla="*/ 4050852 w 12192000"/>
              <a:gd name="connsiteY11140" fmla="*/ 2856760 h 6858000"/>
              <a:gd name="connsiteX11141" fmla="*/ 4018642 w 12192000"/>
              <a:gd name="connsiteY11141" fmla="*/ 2827108 h 6858000"/>
              <a:gd name="connsiteX11142" fmla="*/ 4050852 w 12192000"/>
              <a:gd name="connsiteY11142" fmla="*/ 2797456 h 6858000"/>
              <a:gd name="connsiteX11143" fmla="*/ 4083062 w 12192000"/>
              <a:gd name="connsiteY11143" fmla="*/ 2827108 h 6858000"/>
              <a:gd name="connsiteX11144" fmla="*/ 4050852 w 12192000"/>
              <a:gd name="connsiteY11144" fmla="*/ 2856760 h 6858000"/>
              <a:gd name="connsiteX11145" fmla="*/ 4129386 w 12192000"/>
              <a:gd name="connsiteY11145" fmla="*/ 2856760 h 6858000"/>
              <a:gd name="connsiteX11146" fmla="*/ 4097176 w 12192000"/>
              <a:gd name="connsiteY11146" fmla="*/ 2827108 h 6858000"/>
              <a:gd name="connsiteX11147" fmla="*/ 4129386 w 12192000"/>
              <a:gd name="connsiteY11147" fmla="*/ 2797456 h 6858000"/>
              <a:gd name="connsiteX11148" fmla="*/ 4161597 w 12192000"/>
              <a:gd name="connsiteY11148" fmla="*/ 2827108 h 6858000"/>
              <a:gd name="connsiteX11149" fmla="*/ 4129386 w 12192000"/>
              <a:gd name="connsiteY11149" fmla="*/ 2856760 h 6858000"/>
              <a:gd name="connsiteX11150" fmla="*/ 5621536 w 12192000"/>
              <a:gd name="connsiteY11150" fmla="*/ 2856760 h 6858000"/>
              <a:gd name="connsiteX11151" fmla="*/ 5589320 w 12192000"/>
              <a:gd name="connsiteY11151" fmla="*/ 2827108 h 6858000"/>
              <a:gd name="connsiteX11152" fmla="*/ 5621536 w 12192000"/>
              <a:gd name="connsiteY11152" fmla="*/ 2797456 h 6858000"/>
              <a:gd name="connsiteX11153" fmla="*/ 5653740 w 12192000"/>
              <a:gd name="connsiteY11153" fmla="*/ 2827108 h 6858000"/>
              <a:gd name="connsiteX11154" fmla="*/ 5621536 w 12192000"/>
              <a:gd name="connsiteY11154" fmla="*/ 2856760 h 6858000"/>
              <a:gd name="connsiteX11155" fmla="*/ 5700069 w 12192000"/>
              <a:gd name="connsiteY11155" fmla="*/ 2856760 h 6858000"/>
              <a:gd name="connsiteX11156" fmla="*/ 5667853 w 12192000"/>
              <a:gd name="connsiteY11156" fmla="*/ 2827108 h 6858000"/>
              <a:gd name="connsiteX11157" fmla="*/ 5700069 w 12192000"/>
              <a:gd name="connsiteY11157" fmla="*/ 2797456 h 6858000"/>
              <a:gd name="connsiteX11158" fmla="*/ 5732274 w 12192000"/>
              <a:gd name="connsiteY11158" fmla="*/ 2827108 h 6858000"/>
              <a:gd name="connsiteX11159" fmla="*/ 5700069 w 12192000"/>
              <a:gd name="connsiteY11159" fmla="*/ 2856760 h 6858000"/>
              <a:gd name="connsiteX11160" fmla="*/ 5778604 w 12192000"/>
              <a:gd name="connsiteY11160" fmla="*/ 2856760 h 6858000"/>
              <a:gd name="connsiteX11161" fmla="*/ 5746387 w 12192000"/>
              <a:gd name="connsiteY11161" fmla="*/ 2827108 h 6858000"/>
              <a:gd name="connsiteX11162" fmla="*/ 5778604 w 12192000"/>
              <a:gd name="connsiteY11162" fmla="*/ 2797456 h 6858000"/>
              <a:gd name="connsiteX11163" fmla="*/ 5810808 w 12192000"/>
              <a:gd name="connsiteY11163" fmla="*/ 2827108 h 6858000"/>
              <a:gd name="connsiteX11164" fmla="*/ 5778604 w 12192000"/>
              <a:gd name="connsiteY11164" fmla="*/ 2856760 h 6858000"/>
              <a:gd name="connsiteX11165" fmla="*/ 5857137 w 12192000"/>
              <a:gd name="connsiteY11165" fmla="*/ 2856760 h 6858000"/>
              <a:gd name="connsiteX11166" fmla="*/ 5824920 w 12192000"/>
              <a:gd name="connsiteY11166" fmla="*/ 2827108 h 6858000"/>
              <a:gd name="connsiteX11167" fmla="*/ 5857137 w 12192000"/>
              <a:gd name="connsiteY11167" fmla="*/ 2797456 h 6858000"/>
              <a:gd name="connsiteX11168" fmla="*/ 5889341 w 12192000"/>
              <a:gd name="connsiteY11168" fmla="*/ 2827108 h 6858000"/>
              <a:gd name="connsiteX11169" fmla="*/ 5857137 w 12192000"/>
              <a:gd name="connsiteY11169" fmla="*/ 2856760 h 6858000"/>
              <a:gd name="connsiteX11170" fmla="*/ 5935671 w 12192000"/>
              <a:gd name="connsiteY11170" fmla="*/ 2856760 h 6858000"/>
              <a:gd name="connsiteX11171" fmla="*/ 5903455 w 12192000"/>
              <a:gd name="connsiteY11171" fmla="*/ 2827108 h 6858000"/>
              <a:gd name="connsiteX11172" fmla="*/ 5935671 w 12192000"/>
              <a:gd name="connsiteY11172" fmla="*/ 2797456 h 6858000"/>
              <a:gd name="connsiteX11173" fmla="*/ 5967875 w 12192000"/>
              <a:gd name="connsiteY11173" fmla="*/ 2827108 h 6858000"/>
              <a:gd name="connsiteX11174" fmla="*/ 5935671 w 12192000"/>
              <a:gd name="connsiteY11174" fmla="*/ 2856760 h 6858000"/>
              <a:gd name="connsiteX11175" fmla="*/ 6014205 w 12192000"/>
              <a:gd name="connsiteY11175" fmla="*/ 2856760 h 6858000"/>
              <a:gd name="connsiteX11176" fmla="*/ 5981989 w 12192000"/>
              <a:gd name="connsiteY11176" fmla="*/ 2827108 h 6858000"/>
              <a:gd name="connsiteX11177" fmla="*/ 6014205 w 12192000"/>
              <a:gd name="connsiteY11177" fmla="*/ 2797456 h 6858000"/>
              <a:gd name="connsiteX11178" fmla="*/ 6046410 w 12192000"/>
              <a:gd name="connsiteY11178" fmla="*/ 2827108 h 6858000"/>
              <a:gd name="connsiteX11179" fmla="*/ 6014205 w 12192000"/>
              <a:gd name="connsiteY11179" fmla="*/ 2856760 h 6858000"/>
              <a:gd name="connsiteX11180" fmla="*/ 6092739 w 12192000"/>
              <a:gd name="connsiteY11180" fmla="*/ 2856760 h 6858000"/>
              <a:gd name="connsiteX11181" fmla="*/ 6060522 w 12192000"/>
              <a:gd name="connsiteY11181" fmla="*/ 2827108 h 6858000"/>
              <a:gd name="connsiteX11182" fmla="*/ 6092739 w 12192000"/>
              <a:gd name="connsiteY11182" fmla="*/ 2797456 h 6858000"/>
              <a:gd name="connsiteX11183" fmla="*/ 6124943 w 12192000"/>
              <a:gd name="connsiteY11183" fmla="*/ 2827108 h 6858000"/>
              <a:gd name="connsiteX11184" fmla="*/ 6092739 w 12192000"/>
              <a:gd name="connsiteY11184" fmla="*/ 2856760 h 6858000"/>
              <a:gd name="connsiteX11185" fmla="*/ 6171273 w 12192000"/>
              <a:gd name="connsiteY11185" fmla="*/ 2856760 h 6858000"/>
              <a:gd name="connsiteX11186" fmla="*/ 6139056 w 12192000"/>
              <a:gd name="connsiteY11186" fmla="*/ 2827108 h 6858000"/>
              <a:gd name="connsiteX11187" fmla="*/ 6171273 w 12192000"/>
              <a:gd name="connsiteY11187" fmla="*/ 2797456 h 6858000"/>
              <a:gd name="connsiteX11188" fmla="*/ 6203477 w 12192000"/>
              <a:gd name="connsiteY11188" fmla="*/ 2827108 h 6858000"/>
              <a:gd name="connsiteX11189" fmla="*/ 6171273 w 12192000"/>
              <a:gd name="connsiteY11189" fmla="*/ 2856760 h 6858000"/>
              <a:gd name="connsiteX11190" fmla="*/ 6249806 w 12192000"/>
              <a:gd name="connsiteY11190" fmla="*/ 2856760 h 6858000"/>
              <a:gd name="connsiteX11191" fmla="*/ 6217590 w 12192000"/>
              <a:gd name="connsiteY11191" fmla="*/ 2827108 h 6858000"/>
              <a:gd name="connsiteX11192" fmla="*/ 6249806 w 12192000"/>
              <a:gd name="connsiteY11192" fmla="*/ 2797456 h 6858000"/>
              <a:gd name="connsiteX11193" fmla="*/ 6282010 w 12192000"/>
              <a:gd name="connsiteY11193" fmla="*/ 2827108 h 6858000"/>
              <a:gd name="connsiteX11194" fmla="*/ 6249806 w 12192000"/>
              <a:gd name="connsiteY11194" fmla="*/ 2856760 h 6858000"/>
              <a:gd name="connsiteX11195" fmla="*/ 6328340 w 12192000"/>
              <a:gd name="connsiteY11195" fmla="*/ 2856760 h 6858000"/>
              <a:gd name="connsiteX11196" fmla="*/ 6296124 w 12192000"/>
              <a:gd name="connsiteY11196" fmla="*/ 2827108 h 6858000"/>
              <a:gd name="connsiteX11197" fmla="*/ 6328340 w 12192000"/>
              <a:gd name="connsiteY11197" fmla="*/ 2797456 h 6858000"/>
              <a:gd name="connsiteX11198" fmla="*/ 6360545 w 12192000"/>
              <a:gd name="connsiteY11198" fmla="*/ 2827108 h 6858000"/>
              <a:gd name="connsiteX11199" fmla="*/ 6328340 w 12192000"/>
              <a:gd name="connsiteY11199" fmla="*/ 2856760 h 6858000"/>
              <a:gd name="connsiteX11200" fmla="*/ 6406875 w 12192000"/>
              <a:gd name="connsiteY11200" fmla="*/ 2856760 h 6858000"/>
              <a:gd name="connsiteX11201" fmla="*/ 6374658 w 12192000"/>
              <a:gd name="connsiteY11201" fmla="*/ 2827108 h 6858000"/>
              <a:gd name="connsiteX11202" fmla="*/ 6406875 w 12192000"/>
              <a:gd name="connsiteY11202" fmla="*/ 2797456 h 6858000"/>
              <a:gd name="connsiteX11203" fmla="*/ 6439079 w 12192000"/>
              <a:gd name="connsiteY11203" fmla="*/ 2827108 h 6858000"/>
              <a:gd name="connsiteX11204" fmla="*/ 6406875 w 12192000"/>
              <a:gd name="connsiteY11204" fmla="*/ 2856760 h 6858000"/>
              <a:gd name="connsiteX11205" fmla="*/ 6485408 w 12192000"/>
              <a:gd name="connsiteY11205" fmla="*/ 2856760 h 6858000"/>
              <a:gd name="connsiteX11206" fmla="*/ 6453191 w 12192000"/>
              <a:gd name="connsiteY11206" fmla="*/ 2827108 h 6858000"/>
              <a:gd name="connsiteX11207" fmla="*/ 6485408 w 12192000"/>
              <a:gd name="connsiteY11207" fmla="*/ 2797456 h 6858000"/>
              <a:gd name="connsiteX11208" fmla="*/ 6517612 w 12192000"/>
              <a:gd name="connsiteY11208" fmla="*/ 2827108 h 6858000"/>
              <a:gd name="connsiteX11209" fmla="*/ 6485408 w 12192000"/>
              <a:gd name="connsiteY11209" fmla="*/ 2856760 h 6858000"/>
              <a:gd name="connsiteX11210" fmla="*/ 6563942 w 12192000"/>
              <a:gd name="connsiteY11210" fmla="*/ 2856760 h 6858000"/>
              <a:gd name="connsiteX11211" fmla="*/ 6531726 w 12192000"/>
              <a:gd name="connsiteY11211" fmla="*/ 2827108 h 6858000"/>
              <a:gd name="connsiteX11212" fmla="*/ 6563942 w 12192000"/>
              <a:gd name="connsiteY11212" fmla="*/ 2797456 h 6858000"/>
              <a:gd name="connsiteX11213" fmla="*/ 6596146 w 12192000"/>
              <a:gd name="connsiteY11213" fmla="*/ 2827108 h 6858000"/>
              <a:gd name="connsiteX11214" fmla="*/ 6563942 w 12192000"/>
              <a:gd name="connsiteY11214" fmla="*/ 2856760 h 6858000"/>
              <a:gd name="connsiteX11215" fmla="*/ 6642476 w 12192000"/>
              <a:gd name="connsiteY11215" fmla="*/ 2856760 h 6858000"/>
              <a:gd name="connsiteX11216" fmla="*/ 6610260 w 12192000"/>
              <a:gd name="connsiteY11216" fmla="*/ 2827108 h 6858000"/>
              <a:gd name="connsiteX11217" fmla="*/ 6642476 w 12192000"/>
              <a:gd name="connsiteY11217" fmla="*/ 2797456 h 6858000"/>
              <a:gd name="connsiteX11218" fmla="*/ 6674681 w 12192000"/>
              <a:gd name="connsiteY11218" fmla="*/ 2827108 h 6858000"/>
              <a:gd name="connsiteX11219" fmla="*/ 6642476 w 12192000"/>
              <a:gd name="connsiteY11219" fmla="*/ 2856760 h 6858000"/>
              <a:gd name="connsiteX11220" fmla="*/ 6721010 w 12192000"/>
              <a:gd name="connsiteY11220" fmla="*/ 2856760 h 6858000"/>
              <a:gd name="connsiteX11221" fmla="*/ 6688793 w 12192000"/>
              <a:gd name="connsiteY11221" fmla="*/ 2827108 h 6858000"/>
              <a:gd name="connsiteX11222" fmla="*/ 6721010 w 12192000"/>
              <a:gd name="connsiteY11222" fmla="*/ 2797456 h 6858000"/>
              <a:gd name="connsiteX11223" fmla="*/ 6753214 w 12192000"/>
              <a:gd name="connsiteY11223" fmla="*/ 2827108 h 6858000"/>
              <a:gd name="connsiteX11224" fmla="*/ 6721010 w 12192000"/>
              <a:gd name="connsiteY11224" fmla="*/ 2856760 h 6858000"/>
              <a:gd name="connsiteX11225" fmla="*/ 6799544 w 12192000"/>
              <a:gd name="connsiteY11225" fmla="*/ 2856760 h 6858000"/>
              <a:gd name="connsiteX11226" fmla="*/ 6767327 w 12192000"/>
              <a:gd name="connsiteY11226" fmla="*/ 2827108 h 6858000"/>
              <a:gd name="connsiteX11227" fmla="*/ 6799544 w 12192000"/>
              <a:gd name="connsiteY11227" fmla="*/ 2797456 h 6858000"/>
              <a:gd name="connsiteX11228" fmla="*/ 6831748 w 12192000"/>
              <a:gd name="connsiteY11228" fmla="*/ 2827108 h 6858000"/>
              <a:gd name="connsiteX11229" fmla="*/ 6799544 w 12192000"/>
              <a:gd name="connsiteY11229" fmla="*/ 2856760 h 6858000"/>
              <a:gd name="connsiteX11230" fmla="*/ 6878077 w 12192000"/>
              <a:gd name="connsiteY11230" fmla="*/ 2856760 h 6858000"/>
              <a:gd name="connsiteX11231" fmla="*/ 6845861 w 12192000"/>
              <a:gd name="connsiteY11231" fmla="*/ 2827108 h 6858000"/>
              <a:gd name="connsiteX11232" fmla="*/ 6878077 w 12192000"/>
              <a:gd name="connsiteY11232" fmla="*/ 2797456 h 6858000"/>
              <a:gd name="connsiteX11233" fmla="*/ 6910281 w 12192000"/>
              <a:gd name="connsiteY11233" fmla="*/ 2827108 h 6858000"/>
              <a:gd name="connsiteX11234" fmla="*/ 6878077 w 12192000"/>
              <a:gd name="connsiteY11234" fmla="*/ 2856760 h 6858000"/>
              <a:gd name="connsiteX11235" fmla="*/ 6956611 w 12192000"/>
              <a:gd name="connsiteY11235" fmla="*/ 2856760 h 6858000"/>
              <a:gd name="connsiteX11236" fmla="*/ 6924395 w 12192000"/>
              <a:gd name="connsiteY11236" fmla="*/ 2827108 h 6858000"/>
              <a:gd name="connsiteX11237" fmla="*/ 6956611 w 12192000"/>
              <a:gd name="connsiteY11237" fmla="*/ 2797456 h 6858000"/>
              <a:gd name="connsiteX11238" fmla="*/ 6988816 w 12192000"/>
              <a:gd name="connsiteY11238" fmla="*/ 2827108 h 6858000"/>
              <a:gd name="connsiteX11239" fmla="*/ 6956611 w 12192000"/>
              <a:gd name="connsiteY11239" fmla="*/ 2856760 h 6858000"/>
              <a:gd name="connsiteX11240" fmla="*/ 7035146 w 12192000"/>
              <a:gd name="connsiteY11240" fmla="*/ 2856760 h 6858000"/>
              <a:gd name="connsiteX11241" fmla="*/ 7002929 w 12192000"/>
              <a:gd name="connsiteY11241" fmla="*/ 2827108 h 6858000"/>
              <a:gd name="connsiteX11242" fmla="*/ 7035146 w 12192000"/>
              <a:gd name="connsiteY11242" fmla="*/ 2797456 h 6858000"/>
              <a:gd name="connsiteX11243" fmla="*/ 7067350 w 12192000"/>
              <a:gd name="connsiteY11243" fmla="*/ 2827108 h 6858000"/>
              <a:gd name="connsiteX11244" fmla="*/ 7035146 w 12192000"/>
              <a:gd name="connsiteY11244" fmla="*/ 2856760 h 6858000"/>
              <a:gd name="connsiteX11245" fmla="*/ 7113703 w 12192000"/>
              <a:gd name="connsiteY11245" fmla="*/ 2856760 h 6858000"/>
              <a:gd name="connsiteX11246" fmla="*/ 7081487 w 12192000"/>
              <a:gd name="connsiteY11246" fmla="*/ 2827108 h 6858000"/>
              <a:gd name="connsiteX11247" fmla="*/ 7113703 w 12192000"/>
              <a:gd name="connsiteY11247" fmla="*/ 2797456 h 6858000"/>
              <a:gd name="connsiteX11248" fmla="*/ 7145907 w 12192000"/>
              <a:gd name="connsiteY11248" fmla="*/ 2827108 h 6858000"/>
              <a:gd name="connsiteX11249" fmla="*/ 7113703 w 12192000"/>
              <a:gd name="connsiteY11249" fmla="*/ 2856760 h 6858000"/>
              <a:gd name="connsiteX11250" fmla="*/ 7192237 w 12192000"/>
              <a:gd name="connsiteY11250" fmla="*/ 2856760 h 6858000"/>
              <a:gd name="connsiteX11251" fmla="*/ 7160021 w 12192000"/>
              <a:gd name="connsiteY11251" fmla="*/ 2827108 h 6858000"/>
              <a:gd name="connsiteX11252" fmla="*/ 7192237 w 12192000"/>
              <a:gd name="connsiteY11252" fmla="*/ 2797456 h 6858000"/>
              <a:gd name="connsiteX11253" fmla="*/ 7224441 w 12192000"/>
              <a:gd name="connsiteY11253" fmla="*/ 2827108 h 6858000"/>
              <a:gd name="connsiteX11254" fmla="*/ 7192237 w 12192000"/>
              <a:gd name="connsiteY11254" fmla="*/ 2856760 h 6858000"/>
              <a:gd name="connsiteX11255" fmla="*/ 7270771 w 12192000"/>
              <a:gd name="connsiteY11255" fmla="*/ 2856760 h 6858000"/>
              <a:gd name="connsiteX11256" fmla="*/ 7238555 w 12192000"/>
              <a:gd name="connsiteY11256" fmla="*/ 2827108 h 6858000"/>
              <a:gd name="connsiteX11257" fmla="*/ 7270771 w 12192000"/>
              <a:gd name="connsiteY11257" fmla="*/ 2797456 h 6858000"/>
              <a:gd name="connsiteX11258" fmla="*/ 7302976 w 12192000"/>
              <a:gd name="connsiteY11258" fmla="*/ 2827108 h 6858000"/>
              <a:gd name="connsiteX11259" fmla="*/ 7270771 w 12192000"/>
              <a:gd name="connsiteY11259" fmla="*/ 2856760 h 6858000"/>
              <a:gd name="connsiteX11260" fmla="*/ 7349305 w 12192000"/>
              <a:gd name="connsiteY11260" fmla="*/ 2856760 h 6858000"/>
              <a:gd name="connsiteX11261" fmla="*/ 7317088 w 12192000"/>
              <a:gd name="connsiteY11261" fmla="*/ 2827108 h 6858000"/>
              <a:gd name="connsiteX11262" fmla="*/ 7349305 w 12192000"/>
              <a:gd name="connsiteY11262" fmla="*/ 2797456 h 6858000"/>
              <a:gd name="connsiteX11263" fmla="*/ 7381509 w 12192000"/>
              <a:gd name="connsiteY11263" fmla="*/ 2827108 h 6858000"/>
              <a:gd name="connsiteX11264" fmla="*/ 7349305 w 12192000"/>
              <a:gd name="connsiteY11264" fmla="*/ 2856760 h 6858000"/>
              <a:gd name="connsiteX11265" fmla="*/ 8291712 w 12192000"/>
              <a:gd name="connsiteY11265" fmla="*/ 2856760 h 6858000"/>
              <a:gd name="connsiteX11266" fmla="*/ 8259495 w 12192000"/>
              <a:gd name="connsiteY11266" fmla="*/ 2827108 h 6858000"/>
              <a:gd name="connsiteX11267" fmla="*/ 8291712 w 12192000"/>
              <a:gd name="connsiteY11267" fmla="*/ 2797456 h 6858000"/>
              <a:gd name="connsiteX11268" fmla="*/ 8323916 w 12192000"/>
              <a:gd name="connsiteY11268" fmla="*/ 2827108 h 6858000"/>
              <a:gd name="connsiteX11269" fmla="*/ 8291712 w 12192000"/>
              <a:gd name="connsiteY11269" fmla="*/ 2856760 h 6858000"/>
              <a:gd name="connsiteX11270" fmla="*/ 8841448 w 12192000"/>
              <a:gd name="connsiteY11270" fmla="*/ 2856760 h 6858000"/>
              <a:gd name="connsiteX11271" fmla="*/ 8809232 w 12192000"/>
              <a:gd name="connsiteY11271" fmla="*/ 2827108 h 6858000"/>
              <a:gd name="connsiteX11272" fmla="*/ 8841448 w 12192000"/>
              <a:gd name="connsiteY11272" fmla="*/ 2797456 h 6858000"/>
              <a:gd name="connsiteX11273" fmla="*/ 8873653 w 12192000"/>
              <a:gd name="connsiteY11273" fmla="*/ 2827108 h 6858000"/>
              <a:gd name="connsiteX11274" fmla="*/ 8841448 w 12192000"/>
              <a:gd name="connsiteY11274" fmla="*/ 2856760 h 6858000"/>
              <a:gd name="connsiteX11275" fmla="*/ 9548254 w 12192000"/>
              <a:gd name="connsiteY11275" fmla="*/ 2856760 h 6858000"/>
              <a:gd name="connsiteX11276" fmla="*/ 9516037 w 12192000"/>
              <a:gd name="connsiteY11276" fmla="*/ 2827108 h 6858000"/>
              <a:gd name="connsiteX11277" fmla="*/ 9548254 w 12192000"/>
              <a:gd name="connsiteY11277" fmla="*/ 2797456 h 6858000"/>
              <a:gd name="connsiteX11278" fmla="*/ 9580458 w 12192000"/>
              <a:gd name="connsiteY11278" fmla="*/ 2827108 h 6858000"/>
              <a:gd name="connsiteX11279" fmla="*/ 9548254 w 12192000"/>
              <a:gd name="connsiteY11279" fmla="*/ 2856760 h 6858000"/>
              <a:gd name="connsiteX11280" fmla="*/ 9626787 w 12192000"/>
              <a:gd name="connsiteY11280" fmla="*/ 2856760 h 6858000"/>
              <a:gd name="connsiteX11281" fmla="*/ 9594571 w 12192000"/>
              <a:gd name="connsiteY11281" fmla="*/ 2827108 h 6858000"/>
              <a:gd name="connsiteX11282" fmla="*/ 9626787 w 12192000"/>
              <a:gd name="connsiteY11282" fmla="*/ 2797456 h 6858000"/>
              <a:gd name="connsiteX11283" fmla="*/ 9658991 w 12192000"/>
              <a:gd name="connsiteY11283" fmla="*/ 2827108 h 6858000"/>
              <a:gd name="connsiteX11284" fmla="*/ 9626787 w 12192000"/>
              <a:gd name="connsiteY11284" fmla="*/ 2856760 h 6858000"/>
              <a:gd name="connsiteX11285" fmla="*/ 3736717 w 12192000"/>
              <a:gd name="connsiteY11285" fmla="*/ 2784494 h 6858000"/>
              <a:gd name="connsiteX11286" fmla="*/ 3704507 w 12192000"/>
              <a:gd name="connsiteY11286" fmla="*/ 2754842 h 6858000"/>
              <a:gd name="connsiteX11287" fmla="*/ 3736717 w 12192000"/>
              <a:gd name="connsiteY11287" fmla="*/ 2725190 h 6858000"/>
              <a:gd name="connsiteX11288" fmla="*/ 3768927 w 12192000"/>
              <a:gd name="connsiteY11288" fmla="*/ 2754842 h 6858000"/>
              <a:gd name="connsiteX11289" fmla="*/ 3736717 w 12192000"/>
              <a:gd name="connsiteY11289" fmla="*/ 2784494 h 6858000"/>
              <a:gd name="connsiteX11290" fmla="*/ 3815250 w 12192000"/>
              <a:gd name="connsiteY11290" fmla="*/ 2784494 h 6858000"/>
              <a:gd name="connsiteX11291" fmla="*/ 3783040 w 12192000"/>
              <a:gd name="connsiteY11291" fmla="*/ 2754842 h 6858000"/>
              <a:gd name="connsiteX11292" fmla="*/ 3815250 w 12192000"/>
              <a:gd name="connsiteY11292" fmla="*/ 2725190 h 6858000"/>
              <a:gd name="connsiteX11293" fmla="*/ 3847461 w 12192000"/>
              <a:gd name="connsiteY11293" fmla="*/ 2754842 h 6858000"/>
              <a:gd name="connsiteX11294" fmla="*/ 3815250 w 12192000"/>
              <a:gd name="connsiteY11294" fmla="*/ 2784494 h 6858000"/>
              <a:gd name="connsiteX11295" fmla="*/ 3893785 w 12192000"/>
              <a:gd name="connsiteY11295" fmla="*/ 2784494 h 6858000"/>
              <a:gd name="connsiteX11296" fmla="*/ 3861574 w 12192000"/>
              <a:gd name="connsiteY11296" fmla="*/ 2754842 h 6858000"/>
              <a:gd name="connsiteX11297" fmla="*/ 3893785 w 12192000"/>
              <a:gd name="connsiteY11297" fmla="*/ 2725190 h 6858000"/>
              <a:gd name="connsiteX11298" fmla="*/ 3925995 w 12192000"/>
              <a:gd name="connsiteY11298" fmla="*/ 2754842 h 6858000"/>
              <a:gd name="connsiteX11299" fmla="*/ 3893785 w 12192000"/>
              <a:gd name="connsiteY11299" fmla="*/ 2784494 h 6858000"/>
              <a:gd name="connsiteX11300" fmla="*/ 3972319 w 12192000"/>
              <a:gd name="connsiteY11300" fmla="*/ 2784494 h 6858000"/>
              <a:gd name="connsiteX11301" fmla="*/ 3940108 w 12192000"/>
              <a:gd name="connsiteY11301" fmla="*/ 2754842 h 6858000"/>
              <a:gd name="connsiteX11302" fmla="*/ 3972319 w 12192000"/>
              <a:gd name="connsiteY11302" fmla="*/ 2725190 h 6858000"/>
              <a:gd name="connsiteX11303" fmla="*/ 4004529 w 12192000"/>
              <a:gd name="connsiteY11303" fmla="*/ 2754842 h 6858000"/>
              <a:gd name="connsiteX11304" fmla="*/ 3972319 w 12192000"/>
              <a:gd name="connsiteY11304" fmla="*/ 2784494 h 6858000"/>
              <a:gd name="connsiteX11305" fmla="*/ 4050852 w 12192000"/>
              <a:gd name="connsiteY11305" fmla="*/ 2784494 h 6858000"/>
              <a:gd name="connsiteX11306" fmla="*/ 4018642 w 12192000"/>
              <a:gd name="connsiteY11306" fmla="*/ 2754842 h 6858000"/>
              <a:gd name="connsiteX11307" fmla="*/ 4050852 w 12192000"/>
              <a:gd name="connsiteY11307" fmla="*/ 2725190 h 6858000"/>
              <a:gd name="connsiteX11308" fmla="*/ 4083062 w 12192000"/>
              <a:gd name="connsiteY11308" fmla="*/ 2754842 h 6858000"/>
              <a:gd name="connsiteX11309" fmla="*/ 4050852 w 12192000"/>
              <a:gd name="connsiteY11309" fmla="*/ 2784494 h 6858000"/>
              <a:gd name="connsiteX11310" fmla="*/ 4129386 w 12192000"/>
              <a:gd name="connsiteY11310" fmla="*/ 2784494 h 6858000"/>
              <a:gd name="connsiteX11311" fmla="*/ 4097176 w 12192000"/>
              <a:gd name="connsiteY11311" fmla="*/ 2754842 h 6858000"/>
              <a:gd name="connsiteX11312" fmla="*/ 4129386 w 12192000"/>
              <a:gd name="connsiteY11312" fmla="*/ 2725190 h 6858000"/>
              <a:gd name="connsiteX11313" fmla="*/ 4161597 w 12192000"/>
              <a:gd name="connsiteY11313" fmla="*/ 2754842 h 6858000"/>
              <a:gd name="connsiteX11314" fmla="*/ 4129386 w 12192000"/>
              <a:gd name="connsiteY11314" fmla="*/ 2784494 h 6858000"/>
              <a:gd name="connsiteX11315" fmla="*/ 4207926 w 12192000"/>
              <a:gd name="connsiteY11315" fmla="*/ 2784494 h 6858000"/>
              <a:gd name="connsiteX11316" fmla="*/ 4175715 w 12192000"/>
              <a:gd name="connsiteY11316" fmla="*/ 2754842 h 6858000"/>
              <a:gd name="connsiteX11317" fmla="*/ 4207926 w 12192000"/>
              <a:gd name="connsiteY11317" fmla="*/ 2725190 h 6858000"/>
              <a:gd name="connsiteX11318" fmla="*/ 4240136 w 12192000"/>
              <a:gd name="connsiteY11318" fmla="*/ 2754842 h 6858000"/>
              <a:gd name="connsiteX11319" fmla="*/ 4207926 w 12192000"/>
              <a:gd name="connsiteY11319" fmla="*/ 2784494 h 6858000"/>
              <a:gd name="connsiteX11320" fmla="*/ 5700069 w 12192000"/>
              <a:gd name="connsiteY11320" fmla="*/ 2784494 h 6858000"/>
              <a:gd name="connsiteX11321" fmla="*/ 5667853 w 12192000"/>
              <a:gd name="connsiteY11321" fmla="*/ 2754842 h 6858000"/>
              <a:gd name="connsiteX11322" fmla="*/ 5700069 w 12192000"/>
              <a:gd name="connsiteY11322" fmla="*/ 2725190 h 6858000"/>
              <a:gd name="connsiteX11323" fmla="*/ 5732274 w 12192000"/>
              <a:gd name="connsiteY11323" fmla="*/ 2754842 h 6858000"/>
              <a:gd name="connsiteX11324" fmla="*/ 5700069 w 12192000"/>
              <a:gd name="connsiteY11324" fmla="*/ 2784494 h 6858000"/>
              <a:gd name="connsiteX11325" fmla="*/ 5778604 w 12192000"/>
              <a:gd name="connsiteY11325" fmla="*/ 2784494 h 6858000"/>
              <a:gd name="connsiteX11326" fmla="*/ 5746387 w 12192000"/>
              <a:gd name="connsiteY11326" fmla="*/ 2754842 h 6858000"/>
              <a:gd name="connsiteX11327" fmla="*/ 5778604 w 12192000"/>
              <a:gd name="connsiteY11327" fmla="*/ 2725190 h 6858000"/>
              <a:gd name="connsiteX11328" fmla="*/ 5810808 w 12192000"/>
              <a:gd name="connsiteY11328" fmla="*/ 2754842 h 6858000"/>
              <a:gd name="connsiteX11329" fmla="*/ 5778604 w 12192000"/>
              <a:gd name="connsiteY11329" fmla="*/ 2784494 h 6858000"/>
              <a:gd name="connsiteX11330" fmla="*/ 5857137 w 12192000"/>
              <a:gd name="connsiteY11330" fmla="*/ 2784494 h 6858000"/>
              <a:gd name="connsiteX11331" fmla="*/ 5824920 w 12192000"/>
              <a:gd name="connsiteY11331" fmla="*/ 2754842 h 6858000"/>
              <a:gd name="connsiteX11332" fmla="*/ 5857137 w 12192000"/>
              <a:gd name="connsiteY11332" fmla="*/ 2725190 h 6858000"/>
              <a:gd name="connsiteX11333" fmla="*/ 5889341 w 12192000"/>
              <a:gd name="connsiteY11333" fmla="*/ 2754842 h 6858000"/>
              <a:gd name="connsiteX11334" fmla="*/ 5857137 w 12192000"/>
              <a:gd name="connsiteY11334" fmla="*/ 2784494 h 6858000"/>
              <a:gd name="connsiteX11335" fmla="*/ 6092739 w 12192000"/>
              <a:gd name="connsiteY11335" fmla="*/ 2784494 h 6858000"/>
              <a:gd name="connsiteX11336" fmla="*/ 6060522 w 12192000"/>
              <a:gd name="connsiteY11336" fmla="*/ 2754842 h 6858000"/>
              <a:gd name="connsiteX11337" fmla="*/ 6092739 w 12192000"/>
              <a:gd name="connsiteY11337" fmla="*/ 2725190 h 6858000"/>
              <a:gd name="connsiteX11338" fmla="*/ 6124943 w 12192000"/>
              <a:gd name="connsiteY11338" fmla="*/ 2754842 h 6858000"/>
              <a:gd name="connsiteX11339" fmla="*/ 6092739 w 12192000"/>
              <a:gd name="connsiteY11339" fmla="*/ 2784494 h 6858000"/>
              <a:gd name="connsiteX11340" fmla="*/ 6171273 w 12192000"/>
              <a:gd name="connsiteY11340" fmla="*/ 2784494 h 6858000"/>
              <a:gd name="connsiteX11341" fmla="*/ 6139056 w 12192000"/>
              <a:gd name="connsiteY11341" fmla="*/ 2754842 h 6858000"/>
              <a:gd name="connsiteX11342" fmla="*/ 6171273 w 12192000"/>
              <a:gd name="connsiteY11342" fmla="*/ 2725190 h 6858000"/>
              <a:gd name="connsiteX11343" fmla="*/ 6203477 w 12192000"/>
              <a:gd name="connsiteY11343" fmla="*/ 2754842 h 6858000"/>
              <a:gd name="connsiteX11344" fmla="*/ 6171273 w 12192000"/>
              <a:gd name="connsiteY11344" fmla="*/ 2784494 h 6858000"/>
              <a:gd name="connsiteX11345" fmla="*/ 6249806 w 12192000"/>
              <a:gd name="connsiteY11345" fmla="*/ 2784494 h 6858000"/>
              <a:gd name="connsiteX11346" fmla="*/ 6217590 w 12192000"/>
              <a:gd name="connsiteY11346" fmla="*/ 2754842 h 6858000"/>
              <a:gd name="connsiteX11347" fmla="*/ 6249806 w 12192000"/>
              <a:gd name="connsiteY11347" fmla="*/ 2725190 h 6858000"/>
              <a:gd name="connsiteX11348" fmla="*/ 6282010 w 12192000"/>
              <a:gd name="connsiteY11348" fmla="*/ 2754842 h 6858000"/>
              <a:gd name="connsiteX11349" fmla="*/ 6249806 w 12192000"/>
              <a:gd name="connsiteY11349" fmla="*/ 2784494 h 6858000"/>
              <a:gd name="connsiteX11350" fmla="*/ 6328340 w 12192000"/>
              <a:gd name="connsiteY11350" fmla="*/ 2784494 h 6858000"/>
              <a:gd name="connsiteX11351" fmla="*/ 6296124 w 12192000"/>
              <a:gd name="connsiteY11351" fmla="*/ 2754842 h 6858000"/>
              <a:gd name="connsiteX11352" fmla="*/ 6328340 w 12192000"/>
              <a:gd name="connsiteY11352" fmla="*/ 2725190 h 6858000"/>
              <a:gd name="connsiteX11353" fmla="*/ 6360545 w 12192000"/>
              <a:gd name="connsiteY11353" fmla="*/ 2754842 h 6858000"/>
              <a:gd name="connsiteX11354" fmla="*/ 6328340 w 12192000"/>
              <a:gd name="connsiteY11354" fmla="*/ 2784494 h 6858000"/>
              <a:gd name="connsiteX11355" fmla="*/ 6406875 w 12192000"/>
              <a:gd name="connsiteY11355" fmla="*/ 2784494 h 6858000"/>
              <a:gd name="connsiteX11356" fmla="*/ 6374658 w 12192000"/>
              <a:gd name="connsiteY11356" fmla="*/ 2754842 h 6858000"/>
              <a:gd name="connsiteX11357" fmla="*/ 6406875 w 12192000"/>
              <a:gd name="connsiteY11357" fmla="*/ 2725190 h 6858000"/>
              <a:gd name="connsiteX11358" fmla="*/ 6439079 w 12192000"/>
              <a:gd name="connsiteY11358" fmla="*/ 2754842 h 6858000"/>
              <a:gd name="connsiteX11359" fmla="*/ 6406875 w 12192000"/>
              <a:gd name="connsiteY11359" fmla="*/ 2784494 h 6858000"/>
              <a:gd name="connsiteX11360" fmla="*/ 6485408 w 12192000"/>
              <a:gd name="connsiteY11360" fmla="*/ 2784494 h 6858000"/>
              <a:gd name="connsiteX11361" fmla="*/ 6453191 w 12192000"/>
              <a:gd name="connsiteY11361" fmla="*/ 2754842 h 6858000"/>
              <a:gd name="connsiteX11362" fmla="*/ 6485408 w 12192000"/>
              <a:gd name="connsiteY11362" fmla="*/ 2725190 h 6858000"/>
              <a:gd name="connsiteX11363" fmla="*/ 6517612 w 12192000"/>
              <a:gd name="connsiteY11363" fmla="*/ 2754842 h 6858000"/>
              <a:gd name="connsiteX11364" fmla="*/ 6485408 w 12192000"/>
              <a:gd name="connsiteY11364" fmla="*/ 2784494 h 6858000"/>
              <a:gd name="connsiteX11365" fmla="*/ 6563942 w 12192000"/>
              <a:gd name="connsiteY11365" fmla="*/ 2784494 h 6858000"/>
              <a:gd name="connsiteX11366" fmla="*/ 6531726 w 12192000"/>
              <a:gd name="connsiteY11366" fmla="*/ 2754842 h 6858000"/>
              <a:gd name="connsiteX11367" fmla="*/ 6563942 w 12192000"/>
              <a:gd name="connsiteY11367" fmla="*/ 2725190 h 6858000"/>
              <a:gd name="connsiteX11368" fmla="*/ 6596146 w 12192000"/>
              <a:gd name="connsiteY11368" fmla="*/ 2754842 h 6858000"/>
              <a:gd name="connsiteX11369" fmla="*/ 6563942 w 12192000"/>
              <a:gd name="connsiteY11369" fmla="*/ 2784494 h 6858000"/>
              <a:gd name="connsiteX11370" fmla="*/ 6642476 w 12192000"/>
              <a:gd name="connsiteY11370" fmla="*/ 2784494 h 6858000"/>
              <a:gd name="connsiteX11371" fmla="*/ 6610260 w 12192000"/>
              <a:gd name="connsiteY11371" fmla="*/ 2754842 h 6858000"/>
              <a:gd name="connsiteX11372" fmla="*/ 6642476 w 12192000"/>
              <a:gd name="connsiteY11372" fmla="*/ 2725190 h 6858000"/>
              <a:gd name="connsiteX11373" fmla="*/ 6674681 w 12192000"/>
              <a:gd name="connsiteY11373" fmla="*/ 2754842 h 6858000"/>
              <a:gd name="connsiteX11374" fmla="*/ 6642476 w 12192000"/>
              <a:gd name="connsiteY11374" fmla="*/ 2784494 h 6858000"/>
              <a:gd name="connsiteX11375" fmla="*/ 6721010 w 12192000"/>
              <a:gd name="connsiteY11375" fmla="*/ 2784494 h 6858000"/>
              <a:gd name="connsiteX11376" fmla="*/ 6688793 w 12192000"/>
              <a:gd name="connsiteY11376" fmla="*/ 2754842 h 6858000"/>
              <a:gd name="connsiteX11377" fmla="*/ 6721010 w 12192000"/>
              <a:gd name="connsiteY11377" fmla="*/ 2725190 h 6858000"/>
              <a:gd name="connsiteX11378" fmla="*/ 6753214 w 12192000"/>
              <a:gd name="connsiteY11378" fmla="*/ 2754842 h 6858000"/>
              <a:gd name="connsiteX11379" fmla="*/ 6721010 w 12192000"/>
              <a:gd name="connsiteY11379" fmla="*/ 2784494 h 6858000"/>
              <a:gd name="connsiteX11380" fmla="*/ 6799544 w 12192000"/>
              <a:gd name="connsiteY11380" fmla="*/ 2784494 h 6858000"/>
              <a:gd name="connsiteX11381" fmla="*/ 6767327 w 12192000"/>
              <a:gd name="connsiteY11381" fmla="*/ 2754842 h 6858000"/>
              <a:gd name="connsiteX11382" fmla="*/ 6799544 w 12192000"/>
              <a:gd name="connsiteY11382" fmla="*/ 2725190 h 6858000"/>
              <a:gd name="connsiteX11383" fmla="*/ 6831748 w 12192000"/>
              <a:gd name="connsiteY11383" fmla="*/ 2754842 h 6858000"/>
              <a:gd name="connsiteX11384" fmla="*/ 6799544 w 12192000"/>
              <a:gd name="connsiteY11384" fmla="*/ 2784494 h 6858000"/>
              <a:gd name="connsiteX11385" fmla="*/ 6878077 w 12192000"/>
              <a:gd name="connsiteY11385" fmla="*/ 2784494 h 6858000"/>
              <a:gd name="connsiteX11386" fmla="*/ 6845861 w 12192000"/>
              <a:gd name="connsiteY11386" fmla="*/ 2754842 h 6858000"/>
              <a:gd name="connsiteX11387" fmla="*/ 6878077 w 12192000"/>
              <a:gd name="connsiteY11387" fmla="*/ 2725190 h 6858000"/>
              <a:gd name="connsiteX11388" fmla="*/ 6910281 w 12192000"/>
              <a:gd name="connsiteY11388" fmla="*/ 2754842 h 6858000"/>
              <a:gd name="connsiteX11389" fmla="*/ 6878077 w 12192000"/>
              <a:gd name="connsiteY11389" fmla="*/ 2784494 h 6858000"/>
              <a:gd name="connsiteX11390" fmla="*/ 6956611 w 12192000"/>
              <a:gd name="connsiteY11390" fmla="*/ 2784494 h 6858000"/>
              <a:gd name="connsiteX11391" fmla="*/ 6924395 w 12192000"/>
              <a:gd name="connsiteY11391" fmla="*/ 2754842 h 6858000"/>
              <a:gd name="connsiteX11392" fmla="*/ 6956611 w 12192000"/>
              <a:gd name="connsiteY11392" fmla="*/ 2725190 h 6858000"/>
              <a:gd name="connsiteX11393" fmla="*/ 6988816 w 12192000"/>
              <a:gd name="connsiteY11393" fmla="*/ 2754842 h 6858000"/>
              <a:gd name="connsiteX11394" fmla="*/ 6956611 w 12192000"/>
              <a:gd name="connsiteY11394" fmla="*/ 2784494 h 6858000"/>
              <a:gd name="connsiteX11395" fmla="*/ 7035146 w 12192000"/>
              <a:gd name="connsiteY11395" fmla="*/ 2784494 h 6858000"/>
              <a:gd name="connsiteX11396" fmla="*/ 7002929 w 12192000"/>
              <a:gd name="connsiteY11396" fmla="*/ 2754842 h 6858000"/>
              <a:gd name="connsiteX11397" fmla="*/ 7035146 w 12192000"/>
              <a:gd name="connsiteY11397" fmla="*/ 2725190 h 6858000"/>
              <a:gd name="connsiteX11398" fmla="*/ 7067350 w 12192000"/>
              <a:gd name="connsiteY11398" fmla="*/ 2754842 h 6858000"/>
              <a:gd name="connsiteX11399" fmla="*/ 7035146 w 12192000"/>
              <a:gd name="connsiteY11399" fmla="*/ 2784494 h 6858000"/>
              <a:gd name="connsiteX11400" fmla="*/ 7113703 w 12192000"/>
              <a:gd name="connsiteY11400" fmla="*/ 2784494 h 6858000"/>
              <a:gd name="connsiteX11401" fmla="*/ 7081487 w 12192000"/>
              <a:gd name="connsiteY11401" fmla="*/ 2754842 h 6858000"/>
              <a:gd name="connsiteX11402" fmla="*/ 7113703 w 12192000"/>
              <a:gd name="connsiteY11402" fmla="*/ 2725190 h 6858000"/>
              <a:gd name="connsiteX11403" fmla="*/ 7145907 w 12192000"/>
              <a:gd name="connsiteY11403" fmla="*/ 2754842 h 6858000"/>
              <a:gd name="connsiteX11404" fmla="*/ 7113703 w 12192000"/>
              <a:gd name="connsiteY11404" fmla="*/ 2784494 h 6858000"/>
              <a:gd name="connsiteX11405" fmla="*/ 7192237 w 12192000"/>
              <a:gd name="connsiteY11405" fmla="*/ 2784494 h 6858000"/>
              <a:gd name="connsiteX11406" fmla="*/ 7160021 w 12192000"/>
              <a:gd name="connsiteY11406" fmla="*/ 2754842 h 6858000"/>
              <a:gd name="connsiteX11407" fmla="*/ 7192237 w 12192000"/>
              <a:gd name="connsiteY11407" fmla="*/ 2725190 h 6858000"/>
              <a:gd name="connsiteX11408" fmla="*/ 7224441 w 12192000"/>
              <a:gd name="connsiteY11408" fmla="*/ 2754842 h 6858000"/>
              <a:gd name="connsiteX11409" fmla="*/ 7192237 w 12192000"/>
              <a:gd name="connsiteY11409" fmla="*/ 2784494 h 6858000"/>
              <a:gd name="connsiteX11410" fmla="*/ 7270771 w 12192000"/>
              <a:gd name="connsiteY11410" fmla="*/ 2784494 h 6858000"/>
              <a:gd name="connsiteX11411" fmla="*/ 7238555 w 12192000"/>
              <a:gd name="connsiteY11411" fmla="*/ 2754842 h 6858000"/>
              <a:gd name="connsiteX11412" fmla="*/ 7270771 w 12192000"/>
              <a:gd name="connsiteY11412" fmla="*/ 2725190 h 6858000"/>
              <a:gd name="connsiteX11413" fmla="*/ 7302976 w 12192000"/>
              <a:gd name="connsiteY11413" fmla="*/ 2754842 h 6858000"/>
              <a:gd name="connsiteX11414" fmla="*/ 7270771 w 12192000"/>
              <a:gd name="connsiteY11414" fmla="*/ 2784494 h 6858000"/>
              <a:gd name="connsiteX11415" fmla="*/ 8919983 w 12192000"/>
              <a:gd name="connsiteY11415" fmla="*/ 2784494 h 6858000"/>
              <a:gd name="connsiteX11416" fmla="*/ 8887766 w 12192000"/>
              <a:gd name="connsiteY11416" fmla="*/ 2754842 h 6858000"/>
              <a:gd name="connsiteX11417" fmla="*/ 8919983 w 12192000"/>
              <a:gd name="connsiteY11417" fmla="*/ 2725190 h 6858000"/>
              <a:gd name="connsiteX11418" fmla="*/ 8952187 w 12192000"/>
              <a:gd name="connsiteY11418" fmla="*/ 2754842 h 6858000"/>
              <a:gd name="connsiteX11419" fmla="*/ 8919983 w 12192000"/>
              <a:gd name="connsiteY11419" fmla="*/ 2784494 h 6858000"/>
              <a:gd name="connsiteX11420" fmla="*/ 9391185 w 12192000"/>
              <a:gd name="connsiteY11420" fmla="*/ 2784494 h 6858000"/>
              <a:gd name="connsiteX11421" fmla="*/ 9358969 w 12192000"/>
              <a:gd name="connsiteY11421" fmla="*/ 2754842 h 6858000"/>
              <a:gd name="connsiteX11422" fmla="*/ 9391185 w 12192000"/>
              <a:gd name="connsiteY11422" fmla="*/ 2725190 h 6858000"/>
              <a:gd name="connsiteX11423" fmla="*/ 9423389 w 12192000"/>
              <a:gd name="connsiteY11423" fmla="*/ 2754842 h 6858000"/>
              <a:gd name="connsiteX11424" fmla="*/ 9391185 w 12192000"/>
              <a:gd name="connsiteY11424" fmla="*/ 2784494 h 6858000"/>
              <a:gd name="connsiteX11425" fmla="*/ 3736717 w 12192000"/>
              <a:gd name="connsiteY11425" fmla="*/ 2712229 h 6858000"/>
              <a:gd name="connsiteX11426" fmla="*/ 3704507 w 12192000"/>
              <a:gd name="connsiteY11426" fmla="*/ 2682576 h 6858000"/>
              <a:gd name="connsiteX11427" fmla="*/ 3736717 w 12192000"/>
              <a:gd name="connsiteY11427" fmla="*/ 2652924 h 6858000"/>
              <a:gd name="connsiteX11428" fmla="*/ 3768927 w 12192000"/>
              <a:gd name="connsiteY11428" fmla="*/ 2682576 h 6858000"/>
              <a:gd name="connsiteX11429" fmla="*/ 3736717 w 12192000"/>
              <a:gd name="connsiteY11429" fmla="*/ 2712229 h 6858000"/>
              <a:gd name="connsiteX11430" fmla="*/ 3815250 w 12192000"/>
              <a:gd name="connsiteY11430" fmla="*/ 2712229 h 6858000"/>
              <a:gd name="connsiteX11431" fmla="*/ 3783040 w 12192000"/>
              <a:gd name="connsiteY11431" fmla="*/ 2682576 h 6858000"/>
              <a:gd name="connsiteX11432" fmla="*/ 3815250 w 12192000"/>
              <a:gd name="connsiteY11432" fmla="*/ 2652924 h 6858000"/>
              <a:gd name="connsiteX11433" fmla="*/ 3847461 w 12192000"/>
              <a:gd name="connsiteY11433" fmla="*/ 2682576 h 6858000"/>
              <a:gd name="connsiteX11434" fmla="*/ 3815250 w 12192000"/>
              <a:gd name="connsiteY11434" fmla="*/ 2712229 h 6858000"/>
              <a:gd name="connsiteX11435" fmla="*/ 3893785 w 12192000"/>
              <a:gd name="connsiteY11435" fmla="*/ 2712229 h 6858000"/>
              <a:gd name="connsiteX11436" fmla="*/ 3861574 w 12192000"/>
              <a:gd name="connsiteY11436" fmla="*/ 2682576 h 6858000"/>
              <a:gd name="connsiteX11437" fmla="*/ 3893785 w 12192000"/>
              <a:gd name="connsiteY11437" fmla="*/ 2652924 h 6858000"/>
              <a:gd name="connsiteX11438" fmla="*/ 3925995 w 12192000"/>
              <a:gd name="connsiteY11438" fmla="*/ 2682576 h 6858000"/>
              <a:gd name="connsiteX11439" fmla="*/ 3893785 w 12192000"/>
              <a:gd name="connsiteY11439" fmla="*/ 2712229 h 6858000"/>
              <a:gd name="connsiteX11440" fmla="*/ 3972319 w 12192000"/>
              <a:gd name="connsiteY11440" fmla="*/ 2712229 h 6858000"/>
              <a:gd name="connsiteX11441" fmla="*/ 3940108 w 12192000"/>
              <a:gd name="connsiteY11441" fmla="*/ 2682576 h 6858000"/>
              <a:gd name="connsiteX11442" fmla="*/ 3972319 w 12192000"/>
              <a:gd name="connsiteY11442" fmla="*/ 2652924 h 6858000"/>
              <a:gd name="connsiteX11443" fmla="*/ 4004529 w 12192000"/>
              <a:gd name="connsiteY11443" fmla="*/ 2682576 h 6858000"/>
              <a:gd name="connsiteX11444" fmla="*/ 3972319 w 12192000"/>
              <a:gd name="connsiteY11444" fmla="*/ 2712229 h 6858000"/>
              <a:gd name="connsiteX11445" fmla="*/ 4050852 w 12192000"/>
              <a:gd name="connsiteY11445" fmla="*/ 2712229 h 6858000"/>
              <a:gd name="connsiteX11446" fmla="*/ 4018642 w 12192000"/>
              <a:gd name="connsiteY11446" fmla="*/ 2682576 h 6858000"/>
              <a:gd name="connsiteX11447" fmla="*/ 4050852 w 12192000"/>
              <a:gd name="connsiteY11447" fmla="*/ 2652924 h 6858000"/>
              <a:gd name="connsiteX11448" fmla="*/ 4083062 w 12192000"/>
              <a:gd name="connsiteY11448" fmla="*/ 2682576 h 6858000"/>
              <a:gd name="connsiteX11449" fmla="*/ 4050852 w 12192000"/>
              <a:gd name="connsiteY11449" fmla="*/ 2712229 h 6858000"/>
              <a:gd name="connsiteX11450" fmla="*/ 4129386 w 12192000"/>
              <a:gd name="connsiteY11450" fmla="*/ 2712229 h 6858000"/>
              <a:gd name="connsiteX11451" fmla="*/ 4097176 w 12192000"/>
              <a:gd name="connsiteY11451" fmla="*/ 2682576 h 6858000"/>
              <a:gd name="connsiteX11452" fmla="*/ 4129386 w 12192000"/>
              <a:gd name="connsiteY11452" fmla="*/ 2652924 h 6858000"/>
              <a:gd name="connsiteX11453" fmla="*/ 4161597 w 12192000"/>
              <a:gd name="connsiteY11453" fmla="*/ 2682576 h 6858000"/>
              <a:gd name="connsiteX11454" fmla="*/ 4129386 w 12192000"/>
              <a:gd name="connsiteY11454" fmla="*/ 2712229 h 6858000"/>
              <a:gd name="connsiteX11455" fmla="*/ 4207926 w 12192000"/>
              <a:gd name="connsiteY11455" fmla="*/ 2712229 h 6858000"/>
              <a:gd name="connsiteX11456" fmla="*/ 4175715 w 12192000"/>
              <a:gd name="connsiteY11456" fmla="*/ 2682576 h 6858000"/>
              <a:gd name="connsiteX11457" fmla="*/ 4207926 w 12192000"/>
              <a:gd name="connsiteY11457" fmla="*/ 2652924 h 6858000"/>
              <a:gd name="connsiteX11458" fmla="*/ 4240136 w 12192000"/>
              <a:gd name="connsiteY11458" fmla="*/ 2682576 h 6858000"/>
              <a:gd name="connsiteX11459" fmla="*/ 4207926 w 12192000"/>
              <a:gd name="connsiteY11459" fmla="*/ 2712229 h 6858000"/>
              <a:gd name="connsiteX11460" fmla="*/ 4286460 w 12192000"/>
              <a:gd name="connsiteY11460" fmla="*/ 2712229 h 6858000"/>
              <a:gd name="connsiteX11461" fmla="*/ 4254250 w 12192000"/>
              <a:gd name="connsiteY11461" fmla="*/ 2682576 h 6858000"/>
              <a:gd name="connsiteX11462" fmla="*/ 4286460 w 12192000"/>
              <a:gd name="connsiteY11462" fmla="*/ 2652924 h 6858000"/>
              <a:gd name="connsiteX11463" fmla="*/ 4318670 w 12192000"/>
              <a:gd name="connsiteY11463" fmla="*/ 2682576 h 6858000"/>
              <a:gd name="connsiteX11464" fmla="*/ 4286460 w 12192000"/>
              <a:gd name="connsiteY11464" fmla="*/ 2712229 h 6858000"/>
              <a:gd name="connsiteX11465" fmla="*/ 4364994 w 12192000"/>
              <a:gd name="connsiteY11465" fmla="*/ 2712229 h 6858000"/>
              <a:gd name="connsiteX11466" fmla="*/ 4332784 w 12192000"/>
              <a:gd name="connsiteY11466" fmla="*/ 2682576 h 6858000"/>
              <a:gd name="connsiteX11467" fmla="*/ 4364994 w 12192000"/>
              <a:gd name="connsiteY11467" fmla="*/ 2652924 h 6858000"/>
              <a:gd name="connsiteX11468" fmla="*/ 4397204 w 12192000"/>
              <a:gd name="connsiteY11468" fmla="*/ 2682576 h 6858000"/>
              <a:gd name="connsiteX11469" fmla="*/ 4364994 w 12192000"/>
              <a:gd name="connsiteY11469" fmla="*/ 2712229 h 6858000"/>
              <a:gd name="connsiteX11470" fmla="*/ 4443527 w 12192000"/>
              <a:gd name="connsiteY11470" fmla="*/ 2712229 h 6858000"/>
              <a:gd name="connsiteX11471" fmla="*/ 4411317 w 12192000"/>
              <a:gd name="connsiteY11471" fmla="*/ 2682576 h 6858000"/>
              <a:gd name="connsiteX11472" fmla="*/ 4443527 w 12192000"/>
              <a:gd name="connsiteY11472" fmla="*/ 2652924 h 6858000"/>
              <a:gd name="connsiteX11473" fmla="*/ 4475738 w 12192000"/>
              <a:gd name="connsiteY11473" fmla="*/ 2682576 h 6858000"/>
              <a:gd name="connsiteX11474" fmla="*/ 4443527 w 12192000"/>
              <a:gd name="connsiteY11474" fmla="*/ 2712229 h 6858000"/>
              <a:gd name="connsiteX11475" fmla="*/ 6249806 w 12192000"/>
              <a:gd name="connsiteY11475" fmla="*/ 2712229 h 6858000"/>
              <a:gd name="connsiteX11476" fmla="*/ 6217590 w 12192000"/>
              <a:gd name="connsiteY11476" fmla="*/ 2682576 h 6858000"/>
              <a:gd name="connsiteX11477" fmla="*/ 6249806 w 12192000"/>
              <a:gd name="connsiteY11477" fmla="*/ 2652924 h 6858000"/>
              <a:gd name="connsiteX11478" fmla="*/ 6282010 w 12192000"/>
              <a:gd name="connsiteY11478" fmla="*/ 2682576 h 6858000"/>
              <a:gd name="connsiteX11479" fmla="*/ 6249806 w 12192000"/>
              <a:gd name="connsiteY11479" fmla="*/ 2712229 h 6858000"/>
              <a:gd name="connsiteX11480" fmla="*/ 6328340 w 12192000"/>
              <a:gd name="connsiteY11480" fmla="*/ 2712229 h 6858000"/>
              <a:gd name="connsiteX11481" fmla="*/ 6296124 w 12192000"/>
              <a:gd name="connsiteY11481" fmla="*/ 2682576 h 6858000"/>
              <a:gd name="connsiteX11482" fmla="*/ 6328340 w 12192000"/>
              <a:gd name="connsiteY11482" fmla="*/ 2652924 h 6858000"/>
              <a:gd name="connsiteX11483" fmla="*/ 6360545 w 12192000"/>
              <a:gd name="connsiteY11483" fmla="*/ 2682576 h 6858000"/>
              <a:gd name="connsiteX11484" fmla="*/ 6328340 w 12192000"/>
              <a:gd name="connsiteY11484" fmla="*/ 2712229 h 6858000"/>
              <a:gd name="connsiteX11485" fmla="*/ 6406875 w 12192000"/>
              <a:gd name="connsiteY11485" fmla="*/ 2712229 h 6858000"/>
              <a:gd name="connsiteX11486" fmla="*/ 6374658 w 12192000"/>
              <a:gd name="connsiteY11486" fmla="*/ 2682576 h 6858000"/>
              <a:gd name="connsiteX11487" fmla="*/ 6406875 w 12192000"/>
              <a:gd name="connsiteY11487" fmla="*/ 2652924 h 6858000"/>
              <a:gd name="connsiteX11488" fmla="*/ 6439079 w 12192000"/>
              <a:gd name="connsiteY11488" fmla="*/ 2682576 h 6858000"/>
              <a:gd name="connsiteX11489" fmla="*/ 6406875 w 12192000"/>
              <a:gd name="connsiteY11489" fmla="*/ 2712229 h 6858000"/>
              <a:gd name="connsiteX11490" fmla="*/ 6485408 w 12192000"/>
              <a:gd name="connsiteY11490" fmla="*/ 2712229 h 6858000"/>
              <a:gd name="connsiteX11491" fmla="*/ 6453191 w 12192000"/>
              <a:gd name="connsiteY11491" fmla="*/ 2682576 h 6858000"/>
              <a:gd name="connsiteX11492" fmla="*/ 6485408 w 12192000"/>
              <a:gd name="connsiteY11492" fmla="*/ 2652924 h 6858000"/>
              <a:gd name="connsiteX11493" fmla="*/ 6517612 w 12192000"/>
              <a:gd name="connsiteY11493" fmla="*/ 2682576 h 6858000"/>
              <a:gd name="connsiteX11494" fmla="*/ 6485408 w 12192000"/>
              <a:gd name="connsiteY11494" fmla="*/ 2712229 h 6858000"/>
              <a:gd name="connsiteX11495" fmla="*/ 6563942 w 12192000"/>
              <a:gd name="connsiteY11495" fmla="*/ 2712229 h 6858000"/>
              <a:gd name="connsiteX11496" fmla="*/ 6531726 w 12192000"/>
              <a:gd name="connsiteY11496" fmla="*/ 2682576 h 6858000"/>
              <a:gd name="connsiteX11497" fmla="*/ 6563942 w 12192000"/>
              <a:gd name="connsiteY11497" fmla="*/ 2652924 h 6858000"/>
              <a:gd name="connsiteX11498" fmla="*/ 6596146 w 12192000"/>
              <a:gd name="connsiteY11498" fmla="*/ 2682576 h 6858000"/>
              <a:gd name="connsiteX11499" fmla="*/ 6563942 w 12192000"/>
              <a:gd name="connsiteY11499" fmla="*/ 2712229 h 6858000"/>
              <a:gd name="connsiteX11500" fmla="*/ 6642476 w 12192000"/>
              <a:gd name="connsiteY11500" fmla="*/ 2712229 h 6858000"/>
              <a:gd name="connsiteX11501" fmla="*/ 6610260 w 12192000"/>
              <a:gd name="connsiteY11501" fmla="*/ 2682576 h 6858000"/>
              <a:gd name="connsiteX11502" fmla="*/ 6642476 w 12192000"/>
              <a:gd name="connsiteY11502" fmla="*/ 2652924 h 6858000"/>
              <a:gd name="connsiteX11503" fmla="*/ 6674681 w 12192000"/>
              <a:gd name="connsiteY11503" fmla="*/ 2682576 h 6858000"/>
              <a:gd name="connsiteX11504" fmla="*/ 6642476 w 12192000"/>
              <a:gd name="connsiteY11504" fmla="*/ 2712229 h 6858000"/>
              <a:gd name="connsiteX11505" fmla="*/ 6721010 w 12192000"/>
              <a:gd name="connsiteY11505" fmla="*/ 2712229 h 6858000"/>
              <a:gd name="connsiteX11506" fmla="*/ 6688793 w 12192000"/>
              <a:gd name="connsiteY11506" fmla="*/ 2682576 h 6858000"/>
              <a:gd name="connsiteX11507" fmla="*/ 6721010 w 12192000"/>
              <a:gd name="connsiteY11507" fmla="*/ 2652924 h 6858000"/>
              <a:gd name="connsiteX11508" fmla="*/ 6753214 w 12192000"/>
              <a:gd name="connsiteY11508" fmla="*/ 2682576 h 6858000"/>
              <a:gd name="connsiteX11509" fmla="*/ 6721010 w 12192000"/>
              <a:gd name="connsiteY11509" fmla="*/ 2712229 h 6858000"/>
              <a:gd name="connsiteX11510" fmla="*/ 6799544 w 12192000"/>
              <a:gd name="connsiteY11510" fmla="*/ 2712229 h 6858000"/>
              <a:gd name="connsiteX11511" fmla="*/ 6767327 w 12192000"/>
              <a:gd name="connsiteY11511" fmla="*/ 2682576 h 6858000"/>
              <a:gd name="connsiteX11512" fmla="*/ 6799544 w 12192000"/>
              <a:gd name="connsiteY11512" fmla="*/ 2652924 h 6858000"/>
              <a:gd name="connsiteX11513" fmla="*/ 6831748 w 12192000"/>
              <a:gd name="connsiteY11513" fmla="*/ 2682576 h 6858000"/>
              <a:gd name="connsiteX11514" fmla="*/ 6799544 w 12192000"/>
              <a:gd name="connsiteY11514" fmla="*/ 2712229 h 6858000"/>
              <a:gd name="connsiteX11515" fmla="*/ 6878077 w 12192000"/>
              <a:gd name="connsiteY11515" fmla="*/ 2712229 h 6858000"/>
              <a:gd name="connsiteX11516" fmla="*/ 6845861 w 12192000"/>
              <a:gd name="connsiteY11516" fmla="*/ 2682576 h 6858000"/>
              <a:gd name="connsiteX11517" fmla="*/ 6878077 w 12192000"/>
              <a:gd name="connsiteY11517" fmla="*/ 2652924 h 6858000"/>
              <a:gd name="connsiteX11518" fmla="*/ 6910281 w 12192000"/>
              <a:gd name="connsiteY11518" fmla="*/ 2682576 h 6858000"/>
              <a:gd name="connsiteX11519" fmla="*/ 6878077 w 12192000"/>
              <a:gd name="connsiteY11519" fmla="*/ 2712229 h 6858000"/>
              <a:gd name="connsiteX11520" fmla="*/ 6956611 w 12192000"/>
              <a:gd name="connsiteY11520" fmla="*/ 2712229 h 6858000"/>
              <a:gd name="connsiteX11521" fmla="*/ 6924395 w 12192000"/>
              <a:gd name="connsiteY11521" fmla="*/ 2682576 h 6858000"/>
              <a:gd name="connsiteX11522" fmla="*/ 6956611 w 12192000"/>
              <a:gd name="connsiteY11522" fmla="*/ 2652924 h 6858000"/>
              <a:gd name="connsiteX11523" fmla="*/ 6988816 w 12192000"/>
              <a:gd name="connsiteY11523" fmla="*/ 2682576 h 6858000"/>
              <a:gd name="connsiteX11524" fmla="*/ 6956611 w 12192000"/>
              <a:gd name="connsiteY11524" fmla="*/ 2712229 h 6858000"/>
              <a:gd name="connsiteX11525" fmla="*/ 7035146 w 12192000"/>
              <a:gd name="connsiteY11525" fmla="*/ 2712229 h 6858000"/>
              <a:gd name="connsiteX11526" fmla="*/ 7002929 w 12192000"/>
              <a:gd name="connsiteY11526" fmla="*/ 2682576 h 6858000"/>
              <a:gd name="connsiteX11527" fmla="*/ 7035146 w 12192000"/>
              <a:gd name="connsiteY11527" fmla="*/ 2652924 h 6858000"/>
              <a:gd name="connsiteX11528" fmla="*/ 7067350 w 12192000"/>
              <a:gd name="connsiteY11528" fmla="*/ 2682576 h 6858000"/>
              <a:gd name="connsiteX11529" fmla="*/ 7035146 w 12192000"/>
              <a:gd name="connsiteY11529" fmla="*/ 2712229 h 6858000"/>
              <a:gd name="connsiteX11530" fmla="*/ 7113703 w 12192000"/>
              <a:gd name="connsiteY11530" fmla="*/ 2712229 h 6858000"/>
              <a:gd name="connsiteX11531" fmla="*/ 7081487 w 12192000"/>
              <a:gd name="connsiteY11531" fmla="*/ 2682576 h 6858000"/>
              <a:gd name="connsiteX11532" fmla="*/ 7113703 w 12192000"/>
              <a:gd name="connsiteY11532" fmla="*/ 2652924 h 6858000"/>
              <a:gd name="connsiteX11533" fmla="*/ 7145907 w 12192000"/>
              <a:gd name="connsiteY11533" fmla="*/ 2682576 h 6858000"/>
              <a:gd name="connsiteX11534" fmla="*/ 7113703 w 12192000"/>
              <a:gd name="connsiteY11534" fmla="*/ 2712229 h 6858000"/>
              <a:gd name="connsiteX11535" fmla="*/ 7192237 w 12192000"/>
              <a:gd name="connsiteY11535" fmla="*/ 2712229 h 6858000"/>
              <a:gd name="connsiteX11536" fmla="*/ 7160021 w 12192000"/>
              <a:gd name="connsiteY11536" fmla="*/ 2682576 h 6858000"/>
              <a:gd name="connsiteX11537" fmla="*/ 7192237 w 12192000"/>
              <a:gd name="connsiteY11537" fmla="*/ 2652924 h 6858000"/>
              <a:gd name="connsiteX11538" fmla="*/ 7224441 w 12192000"/>
              <a:gd name="connsiteY11538" fmla="*/ 2682576 h 6858000"/>
              <a:gd name="connsiteX11539" fmla="*/ 7192237 w 12192000"/>
              <a:gd name="connsiteY11539" fmla="*/ 2712229 h 6858000"/>
              <a:gd name="connsiteX11540" fmla="*/ 8762914 w 12192000"/>
              <a:gd name="connsiteY11540" fmla="*/ 2712229 h 6858000"/>
              <a:gd name="connsiteX11541" fmla="*/ 8730698 w 12192000"/>
              <a:gd name="connsiteY11541" fmla="*/ 2682576 h 6858000"/>
              <a:gd name="connsiteX11542" fmla="*/ 8762914 w 12192000"/>
              <a:gd name="connsiteY11542" fmla="*/ 2652924 h 6858000"/>
              <a:gd name="connsiteX11543" fmla="*/ 8795118 w 12192000"/>
              <a:gd name="connsiteY11543" fmla="*/ 2682576 h 6858000"/>
              <a:gd name="connsiteX11544" fmla="*/ 8762914 w 12192000"/>
              <a:gd name="connsiteY11544" fmla="*/ 2712229 h 6858000"/>
              <a:gd name="connsiteX11545" fmla="*/ 8919983 w 12192000"/>
              <a:gd name="connsiteY11545" fmla="*/ 2712229 h 6858000"/>
              <a:gd name="connsiteX11546" fmla="*/ 8887766 w 12192000"/>
              <a:gd name="connsiteY11546" fmla="*/ 2682576 h 6858000"/>
              <a:gd name="connsiteX11547" fmla="*/ 8919983 w 12192000"/>
              <a:gd name="connsiteY11547" fmla="*/ 2652924 h 6858000"/>
              <a:gd name="connsiteX11548" fmla="*/ 8952187 w 12192000"/>
              <a:gd name="connsiteY11548" fmla="*/ 2682576 h 6858000"/>
              <a:gd name="connsiteX11549" fmla="*/ 8919983 w 12192000"/>
              <a:gd name="connsiteY11549" fmla="*/ 2712229 h 6858000"/>
              <a:gd name="connsiteX11550" fmla="*/ 9312652 w 12192000"/>
              <a:gd name="connsiteY11550" fmla="*/ 2712229 h 6858000"/>
              <a:gd name="connsiteX11551" fmla="*/ 9280436 w 12192000"/>
              <a:gd name="connsiteY11551" fmla="*/ 2682576 h 6858000"/>
              <a:gd name="connsiteX11552" fmla="*/ 9312652 w 12192000"/>
              <a:gd name="connsiteY11552" fmla="*/ 2652924 h 6858000"/>
              <a:gd name="connsiteX11553" fmla="*/ 9344856 w 12192000"/>
              <a:gd name="connsiteY11553" fmla="*/ 2682576 h 6858000"/>
              <a:gd name="connsiteX11554" fmla="*/ 9312652 w 12192000"/>
              <a:gd name="connsiteY11554" fmla="*/ 2712229 h 6858000"/>
              <a:gd name="connsiteX11555" fmla="*/ 3265514 w 12192000"/>
              <a:gd name="connsiteY11555" fmla="*/ 2639964 h 6858000"/>
              <a:gd name="connsiteX11556" fmla="*/ 3233303 w 12192000"/>
              <a:gd name="connsiteY11556" fmla="*/ 2610312 h 6858000"/>
              <a:gd name="connsiteX11557" fmla="*/ 3265514 w 12192000"/>
              <a:gd name="connsiteY11557" fmla="*/ 2580660 h 6858000"/>
              <a:gd name="connsiteX11558" fmla="*/ 3297724 w 12192000"/>
              <a:gd name="connsiteY11558" fmla="*/ 2610312 h 6858000"/>
              <a:gd name="connsiteX11559" fmla="*/ 3265514 w 12192000"/>
              <a:gd name="connsiteY11559" fmla="*/ 2639964 h 6858000"/>
              <a:gd name="connsiteX11560" fmla="*/ 3658183 w 12192000"/>
              <a:gd name="connsiteY11560" fmla="*/ 2639964 h 6858000"/>
              <a:gd name="connsiteX11561" fmla="*/ 3625972 w 12192000"/>
              <a:gd name="connsiteY11561" fmla="*/ 2610312 h 6858000"/>
              <a:gd name="connsiteX11562" fmla="*/ 3658183 w 12192000"/>
              <a:gd name="connsiteY11562" fmla="*/ 2580660 h 6858000"/>
              <a:gd name="connsiteX11563" fmla="*/ 3690393 w 12192000"/>
              <a:gd name="connsiteY11563" fmla="*/ 2610312 h 6858000"/>
              <a:gd name="connsiteX11564" fmla="*/ 3658183 w 12192000"/>
              <a:gd name="connsiteY11564" fmla="*/ 2639964 h 6858000"/>
              <a:gd name="connsiteX11565" fmla="*/ 3736717 w 12192000"/>
              <a:gd name="connsiteY11565" fmla="*/ 2639964 h 6858000"/>
              <a:gd name="connsiteX11566" fmla="*/ 3704507 w 12192000"/>
              <a:gd name="connsiteY11566" fmla="*/ 2610312 h 6858000"/>
              <a:gd name="connsiteX11567" fmla="*/ 3736717 w 12192000"/>
              <a:gd name="connsiteY11567" fmla="*/ 2580660 h 6858000"/>
              <a:gd name="connsiteX11568" fmla="*/ 3768927 w 12192000"/>
              <a:gd name="connsiteY11568" fmla="*/ 2610312 h 6858000"/>
              <a:gd name="connsiteX11569" fmla="*/ 3736717 w 12192000"/>
              <a:gd name="connsiteY11569" fmla="*/ 2639964 h 6858000"/>
              <a:gd name="connsiteX11570" fmla="*/ 3815250 w 12192000"/>
              <a:gd name="connsiteY11570" fmla="*/ 2639964 h 6858000"/>
              <a:gd name="connsiteX11571" fmla="*/ 3783040 w 12192000"/>
              <a:gd name="connsiteY11571" fmla="*/ 2610312 h 6858000"/>
              <a:gd name="connsiteX11572" fmla="*/ 3815250 w 12192000"/>
              <a:gd name="connsiteY11572" fmla="*/ 2580660 h 6858000"/>
              <a:gd name="connsiteX11573" fmla="*/ 3847461 w 12192000"/>
              <a:gd name="connsiteY11573" fmla="*/ 2610312 h 6858000"/>
              <a:gd name="connsiteX11574" fmla="*/ 3815250 w 12192000"/>
              <a:gd name="connsiteY11574" fmla="*/ 2639964 h 6858000"/>
              <a:gd name="connsiteX11575" fmla="*/ 3893785 w 12192000"/>
              <a:gd name="connsiteY11575" fmla="*/ 2639964 h 6858000"/>
              <a:gd name="connsiteX11576" fmla="*/ 3861574 w 12192000"/>
              <a:gd name="connsiteY11576" fmla="*/ 2610312 h 6858000"/>
              <a:gd name="connsiteX11577" fmla="*/ 3893785 w 12192000"/>
              <a:gd name="connsiteY11577" fmla="*/ 2580660 h 6858000"/>
              <a:gd name="connsiteX11578" fmla="*/ 3925995 w 12192000"/>
              <a:gd name="connsiteY11578" fmla="*/ 2610312 h 6858000"/>
              <a:gd name="connsiteX11579" fmla="*/ 3893785 w 12192000"/>
              <a:gd name="connsiteY11579" fmla="*/ 2639964 h 6858000"/>
              <a:gd name="connsiteX11580" fmla="*/ 3972319 w 12192000"/>
              <a:gd name="connsiteY11580" fmla="*/ 2639964 h 6858000"/>
              <a:gd name="connsiteX11581" fmla="*/ 3940108 w 12192000"/>
              <a:gd name="connsiteY11581" fmla="*/ 2610312 h 6858000"/>
              <a:gd name="connsiteX11582" fmla="*/ 3972319 w 12192000"/>
              <a:gd name="connsiteY11582" fmla="*/ 2580660 h 6858000"/>
              <a:gd name="connsiteX11583" fmla="*/ 4004529 w 12192000"/>
              <a:gd name="connsiteY11583" fmla="*/ 2610312 h 6858000"/>
              <a:gd name="connsiteX11584" fmla="*/ 3972319 w 12192000"/>
              <a:gd name="connsiteY11584" fmla="*/ 2639964 h 6858000"/>
              <a:gd name="connsiteX11585" fmla="*/ 4050852 w 12192000"/>
              <a:gd name="connsiteY11585" fmla="*/ 2639964 h 6858000"/>
              <a:gd name="connsiteX11586" fmla="*/ 4018642 w 12192000"/>
              <a:gd name="connsiteY11586" fmla="*/ 2610312 h 6858000"/>
              <a:gd name="connsiteX11587" fmla="*/ 4050852 w 12192000"/>
              <a:gd name="connsiteY11587" fmla="*/ 2580660 h 6858000"/>
              <a:gd name="connsiteX11588" fmla="*/ 4083062 w 12192000"/>
              <a:gd name="connsiteY11588" fmla="*/ 2610312 h 6858000"/>
              <a:gd name="connsiteX11589" fmla="*/ 4050852 w 12192000"/>
              <a:gd name="connsiteY11589" fmla="*/ 2639964 h 6858000"/>
              <a:gd name="connsiteX11590" fmla="*/ 4129386 w 12192000"/>
              <a:gd name="connsiteY11590" fmla="*/ 2639964 h 6858000"/>
              <a:gd name="connsiteX11591" fmla="*/ 4097176 w 12192000"/>
              <a:gd name="connsiteY11591" fmla="*/ 2610312 h 6858000"/>
              <a:gd name="connsiteX11592" fmla="*/ 4129386 w 12192000"/>
              <a:gd name="connsiteY11592" fmla="*/ 2580660 h 6858000"/>
              <a:gd name="connsiteX11593" fmla="*/ 4161597 w 12192000"/>
              <a:gd name="connsiteY11593" fmla="*/ 2610312 h 6858000"/>
              <a:gd name="connsiteX11594" fmla="*/ 4129386 w 12192000"/>
              <a:gd name="connsiteY11594" fmla="*/ 2639964 h 6858000"/>
              <a:gd name="connsiteX11595" fmla="*/ 4207926 w 12192000"/>
              <a:gd name="connsiteY11595" fmla="*/ 2639964 h 6858000"/>
              <a:gd name="connsiteX11596" fmla="*/ 4175715 w 12192000"/>
              <a:gd name="connsiteY11596" fmla="*/ 2610312 h 6858000"/>
              <a:gd name="connsiteX11597" fmla="*/ 4207926 w 12192000"/>
              <a:gd name="connsiteY11597" fmla="*/ 2580660 h 6858000"/>
              <a:gd name="connsiteX11598" fmla="*/ 4240136 w 12192000"/>
              <a:gd name="connsiteY11598" fmla="*/ 2610312 h 6858000"/>
              <a:gd name="connsiteX11599" fmla="*/ 4207926 w 12192000"/>
              <a:gd name="connsiteY11599" fmla="*/ 2639964 h 6858000"/>
              <a:gd name="connsiteX11600" fmla="*/ 4286460 w 12192000"/>
              <a:gd name="connsiteY11600" fmla="*/ 2639964 h 6858000"/>
              <a:gd name="connsiteX11601" fmla="*/ 4254250 w 12192000"/>
              <a:gd name="connsiteY11601" fmla="*/ 2610312 h 6858000"/>
              <a:gd name="connsiteX11602" fmla="*/ 4286460 w 12192000"/>
              <a:gd name="connsiteY11602" fmla="*/ 2580660 h 6858000"/>
              <a:gd name="connsiteX11603" fmla="*/ 4318670 w 12192000"/>
              <a:gd name="connsiteY11603" fmla="*/ 2610312 h 6858000"/>
              <a:gd name="connsiteX11604" fmla="*/ 4286460 w 12192000"/>
              <a:gd name="connsiteY11604" fmla="*/ 2639964 h 6858000"/>
              <a:gd name="connsiteX11605" fmla="*/ 4364994 w 12192000"/>
              <a:gd name="connsiteY11605" fmla="*/ 2639964 h 6858000"/>
              <a:gd name="connsiteX11606" fmla="*/ 4332784 w 12192000"/>
              <a:gd name="connsiteY11606" fmla="*/ 2610312 h 6858000"/>
              <a:gd name="connsiteX11607" fmla="*/ 4364994 w 12192000"/>
              <a:gd name="connsiteY11607" fmla="*/ 2580660 h 6858000"/>
              <a:gd name="connsiteX11608" fmla="*/ 4397204 w 12192000"/>
              <a:gd name="connsiteY11608" fmla="*/ 2610312 h 6858000"/>
              <a:gd name="connsiteX11609" fmla="*/ 4364994 w 12192000"/>
              <a:gd name="connsiteY11609" fmla="*/ 2639964 h 6858000"/>
              <a:gd name="connsiteX11610" fmla="*/ 4443527 w 12192000"/>
              <a:gd name="connsiteY11610" fmla="*/ 2639964 h 6858000"/>
              <a:gd name="connsiteX11611" fmla="*/ 4411317 w 12192000"/>
              <a:gd name="connsiteY11611" fmla="*/ 2610312 h 6858000"/>
              <a:gd name="connsiteX11612" fmla="*/ 4443527 w 12192000"/>
              <a:gd name="connsiteY11612" fmla="*/ 2580660 h 6858000"/>
              <a:gd name="connsiteX11613" fmla="*/ 4475738 w 12192000"/>
              <a:gd name="connsiteY11613" fmla="*/ 2610312 h 6858000"/>
              <a:gd name="connsiteX11614" fmla="*/ 4443527 w 12192000"/>
              <a:gd name="connsiteY11614" fmla="*/ 2639964 h 6858000"/>
              <a:gd name="connsiteX11615" fmla="*/ 6249806 w 12192000"/>
              <a:gd name="connsiteY11615" fmla="*/ 2639964 h 6858000"/>
              <a:gd name="connsiteX11616" fmla="*/ 6217590 w 12192000"/>
              <a:gd name="connsiteY11616" fmla="*/ 2610312 h 6858000"/>
              <a:gd name="connsiteX11617" fmla="*/ 6249806 w 12192000"/>
              <a:gd name="connsiteY11617" fmla="*/ 2580660 h 6858000"/>
              <a:gd name="connsiteX11618" fmla="*/ 6282010 w 12192000"/>
              <a:gd name="connsiteY11618" fmla="*/ 2610312 h 6858000"/>
              <a:gd name="connsiteX11619" fmla="*/ 6249806 w 12192000"/>
              <a:gd name="connsiteY11619" fmla="*/ 2639964 h 6858000"/>
              <a:gd name="connsiteX11620" fmla="*/ 6328340 w 12192000"/>
              <a:gd name="connsiteY11620" fmla="*/ 2639964 h 6858000"/>
              <a:gd name="connsiteX11621" fmla="*/ 6296124 w 12192000"/>
              <a:gd name="connsiteY11621" fmla="*/ 2610312 h 6858000"/>
              <a:gd name="connsiteX11622" fmla="*/ 6328340 w 12192000"/>
              <a:gd name="connsiteY11622" fmla="*/ 2580660 h 6858000"/>
              <a:gd name="connsiteX11623" fmla="*/ 6360545 w 12192000"/>
              <a:gd name="connsiteY11623" fmla="*/ 2610312 h 6858000"/>
              <a:gd name="connsiteX11624" fmla="*/ 6328340 w 12192000"/>
              <a:gd name="connsiteY11624" fmla="*/ 2639964 h 6858000"/>
              <a:gd name="connsiteX11625" fmla="*/ 6406875 w 12192000"/>
              <a:gd name="connsiteY11625" fmla="*/ 2639964 h 6858000"/>
              <a:gd name="connsiteX11626" fmla="*/ 6374658 w 12192000"/>
              <a:gd name="connsiteY11626" fmla="*/ 2610312 h 6858000"/>
              <a:gd name="connsiteX11627" fmla="*/ 6406875 w 12192000"/>
              <a:gd name="connsiteY11627" fmla="*/ 2580660 h 6858000"/>
              <a:gd name="connsiteX11628" fmla="*/ 6439079 w 12192000"/>
              <a:gd name="connsiteY11628" fmla="*/ 2610312 h 6858000"/>
              <a:gd name="connsiteX11629" fmla="*/ 6406875 w 12192000"/>
              <a:gd name="connsiteY11629" fmla="*/ 2639964 h 6858000"/>
              <a:gd name="connsiteX11630" fmla="*/ 6485408 w 12192000"/>
              <a:gd name="connsiteY11630" fmla="*/ 2639964 h 6858000"/>
              <a:gd name="connsiteX11631" fmla="*/ 6453191 w 12192000"/>
              <a:gd name="connsiteY11631" fmla="*/ 2610312 h 6858000"/>
              <a:gd name="connsiteX11632" fmla="*/ 6485408 w 12192000"/>
              <a:gd name="connsiteY11632" fmla="*/ 2580660 h 6858000"/>
              <a:gd name="connsiteX11633" fmla="*/ 6517612 w 12192000"/>
              <a:gd name="connsiteY11633" fmla="*/ 2610312 h 6858000"/>
              <a:gd name="connsiteX11634" fmla="*/ 6485408 w 12192000"/>
              <a:gd name="connsiteY11634" fmla="*/ 2639964 h 6858000"/>
              <a:gd name="connsiteX11635" fmla="*/ 6563942 w 12192000"/>
              <a:gd name="connsiteY11635" fmla="*/ 2639964 h 6858000"/>
              <a:gd name="connsiteX11636" fmla="*/ 6531726 w 12192000"/>
              <a:gd name="connsiteY11636" fmla="*/ 2610312 h 6858000"/>
              <a:gd name="connsiteX11637" fmla="*/ 6563942 w 12192000"/>
              <a:gd name="connsiteY11637" fmla="*/ 2580660 h 6858000"/>
              <a:gd name="connsiteX11638" fmla="*/ 6596146 w 12192000"/>
              <a:gd name="connsiteY11638" fmla="*/ 2610312 h 6858000"/>
              <a:gd name="connsiteX11639" fmla="*/ 6563942 w 12192000"/>
              <a:gd name="connsiteY11639" fmla="*/ 2639964 h 6858000"/>
              <a:gd name="connsiteX11640" fmla="*/ 6642476 w 12192000"/>
              <a:gd name="connsiteY11640" fmla="*/ 2639964 h 6858000"/>
              <a:gd name="connsiteX11641" fmla="*/ 6610260 w 12192000"/>
              <a:gd name="connsiteY11641" fmla="*/ 2610312 h 6858000"/>
              <a:gd name="connsiteX11642" fmla="*/ 6642476 w 12192000"/>
              <a:gd name="connsiteY11642" fmla="*/ 2580660 h 6858000"/>
              <a:gd name="connsiteX11643" fmla="*/ 6674681 w 12192000"/>
              <a:gd name="connsiteY11643" fmla="*/ 2610312 h 6858000"/>
              <a:gd name="connsiteX11644" fmla="*/ 6642476 w 12192000"/>
              <a:gd name="connsiteY11644" fmla="*/ 2639964 h 6858000"/>
              <a:gd name="connsiteX11645" fmla="*/ 6721010 w 12192000"/>
              <a:gd name="connsiteY11645" fmla="*/ 2639964 h 6858000"/>
              <a:gd name="connsiteX11646" fmla="*/ 6688793 w 12192000"/>
              <a:gd name="connsiteY11646" fmla="*/ 2610312 h 6858000"/>
              <a:gd name="connsiteX11647" fmla="*/ 6721010 w 12192000"/>
              <a:gd name="connsiteY11647" fmla="*/ 2580660 h 6858000"/>
              <a:gd name="connsiteX11648" fmla="*/ 6753214 w 12192000"/>
              <a:gd name="connsiteY11648" fmla="*/ 2610312 h 6858000"/>
              <a:gd name="connsiteX11649" fmla="*/ 6721010 w 12192000"/>
              <a:gd name="connsiteY11649" fmla="*/ 2639964 h 6858000"/>
              <a:gd name="connsiteX11650" fmla="*/ 6799544 w 12192000"/>
              <a:gd name="connsiteY11650" fmla="*/ 2639964 h 6858000"/>
              <a:gd name="connsiteX11651" fmla="*/ 6767327 w 12192000"/>
              <a:gd name="connsiteY11651" fmla="*/ 2610312 h 6858000"/>
              <a:gd name="connsiteX11652" fmla="*/ 6799544 w 12192000"/>
              <a:gd name="connsiteY11652" fmla="*/ 2580660 h 6858000"/>
              <a:gd name="connsiteX11653" fmla="*/ 6831748 w 12192000"/>
              <a:gd name="connsiteY11653" fmla="*/ 2610312 h 6858000"/>
              <a:gd name="connsiteX11654" fmla="*/ 6799544 w 12192000"/>
              <a:gd name="connsiteY11654" fmla="*/ 2639964 h 6858000"/>
              <a:gd name="connsiteX11655" fmla="*/ 6956611 w 12192000"/>
              <a:gd name="connsiteY11655" fmla="*/ 2639964 h 6858000"/>
              <a:gd name="connsiteX11656" fmla="*/ 6924395 w 12192000"/>
              <a:gd name="connsiteY11656" fmla="*/ 2610312 h 6858000"/>
              <a:gd name="connsiteX11657" fmla="*/ 6956611 w 12192000"/>
              <a:gd name="connsiteY11657" fmla="*/ 2580660 h 6858000"/>
              <a:gd name="connsiteX11658" fmla="*/ 6988816 w 12192000"/>
              <a:gd name="connsiteY11658" fmla="*/ 2610312 h 6858000"/>
              <a:gd name="connsiteX11659" fmla="*/ 6956611 w 12192000"/>
              <a:gd name="connsiteY11659" fmla="*/ 2639964 h 6858000"/>
              <a:gd name="connsiteX11660" fmla="*/ 7035146 w 12192000"/>
              <a:gd name="connsiteY11660" fmla="*/ 2639964 h 6858000"/>
              <a:gd name="connsiteX11661" fmla="*/ 7002929 w 12192000"/>
              <a:gd name="connsiteY11661" fmla="*/ 2610312 h 6858000"/>
              <a:gd name="connsiteX11662" fmla="*/ 7035146 w 12192000"/>
              <a:gd name="connsiteY11662" fmla="*/ 2580660 h 6858000"/>
              <a:gd name="connsiteX11663" fmla="*/ 7067350 w 12192000"/>
              <a:gd name="connsiteY11663" fmla="*/ 2610312 h 6858000"/>
              <a:gd name="connsiteX11664" fmla="*/ 7035146 w 12192000"/>
              <a:gd name="connsiteY11664" fmla="*/ 2639964 h 6858000"/>
              <a:gd name="connsiteX11665" fmla="*/ 7113703 w 12192000"/>
              <a:gd name="connsiteY11665" fmla="*/ 2639964 h 6858000"/>
              <a:gd name="connsiteX11666" fmla="*/ 7081487 w 12192000"/>
              <a:gd name="connsiteY11666" fmla="*/ 2610312 h 6858000"/>
              <a:gd name="connsiteX11667" fmla="*/ 7113703 w 12192000"/>
              <a:gd name="connsiteY11667" fmla="*/ 2580660 h 6858000"/>
              <a:gd name="connsiteX11668" fmla="*/ 7145907 w 12192000"/>
              <a:gd name="connsiteY11668" fmla="*/ 2610312 h 6858000"/>
              <a:gd name="connsiteX11669" fmla="*/ 7113703 w 12192000"/>
              <a:gd name="connsiteY11669" fmla="*/ 2639964 h 6858000"/>
              <a:gd name="connsiteX11670" fmla="*/ 8841448 w 12192000"/>
              <a:gd name="connsiteY11670" fmla="*/ 2639964 h 6858000"/>
              <a:gd name="connsiteX11671" fmla="*/ 8809232 w 12192000"/>
              <a:gd name="connsiteY11671" fmla="*/ 2610312 h 6858000"/>
              <a:gd name="connsiteX11672" fmla="*/ 8841448 w 12192000"/>
              <a:gd name="connsiteY11672" fmla="*/ 2580660 h 6858000"/>
              <a:gd name="connsiteX11673" fmla="*/ 8873653 w 12192000"/>
              <a:gd name="connsiteY11673" fmla="*/ 2610312 h 6858000"/>
              <a:gd name="connsiteX11674" fmla="*/ 8841448 w 12192000"/>
              <a:gd name="connsiteY11674" fmla="*/ 2639964 h 6858000"/>
              <a:gd name="connsiteX11675" fmla="*/ 8919983 w 12192000"/>
              <a:gd name="connsiteY11675" fmla="*/ 2639964 h 6858000"/>
              <a:gd name="connsiteX11676" fmla="*/ 8887766 w 12192000"/>
              <a:gd name="connsiteY11676" fmla="*/ 2610312 h 6858000"/>
              <a:gd name="connsiteX11677" fmla="*/ 8919983 w 12192000"/>
              <a:gd name="connsiteY11677" fmla="*/ 2580660 h 6858000"/>
              <a:gd name="connsiteX11678" fmla="*/ 8952187 w 12192000"/>
              <a:gd name="connsiteY11678" fmla="*/ 2610312 h 6858000"/>
              <a:gd name="connsiteX11679" fmla="*/ 8919983 w 12192000"/>
              <a:gd name="connsiteY11679" fmla="*/ 2639964 h 6858000"/>
              <a:gd name="connsiteX11680" fmla="*/ 9155583 w 12192000"/>
              <a:gd name="connsiteY11680" fmla="*/ 2639964 h 6858000"/>
              <a:gd name="connsiteX11681" fmla="*/ 9123367 w 12192000"/>
              <a:gd name="connsiteY11681" fmla="*/ 2610312 h 6858000"/>
              <a:gd name="connsiteX11682" fmla="*/ 9155583 w 12192000"/>
              <a:gd name="connsiteY11682" fmla="*/ 2580660 h 6858000"/>
              <a:gd name="connsiteX11683" fmla="*/ 9187788 w 12192000"/>
              <a:gd name="connsiteY11683" fmla="*/ 2610312 h 6858000"/>
              <a:gd name="connsiteX11684" fmla="*/ 9155583 w 12192000"/>
              <a:gd name="connsiteY11684" fmla="*/ 2639964 h 6858000"/>
              <a:gd name="connsiteX11685" fmla="*/ 9234118 w 12192000"/>
              <a:gd name="connsiteY11685" fmla="*/ 2639964 h 6858000"/>
              <a:gd name="connsiteX11686" fmla="*/ 9201901 w 12192000"/>
              <a:gd name="connsiteY11686" fmla="*/ 2610312 h 6858000"/>
              <a:gd name="connsiteX11687" fmla="*/ 9234118 w 12192000"/>
              <a:gd name="connsiteY11687" fmla="*/ 2580660 h 6858000"/>
              <a:gd name="connsiteX11688" fmla="*/ 9266322 w 12192000"/>
              <a:gd name="connsiteY11688" fmla="*/ 2610312 h 6858000"/>
              <a:gd name="connsiteX11689" fmla="*/ 9234118 w 12192000"/>
              <a:gd name="connsiteY11689" fmla="*/ 2639964 h 6858000"/>
              <a:gd name="connsiteX11690" fmla="*/ 9312652 w 12192000"/>
              <a:gd name="connsiteY11690" fmla="*/ 2639964 h 6858000"/>
              <a:gd name="connsiteX11691" fmla="*/ 9280436 w 12192000"/>
              <a:gd name="connsiteY11691" fmla="*/ 2610312 h 6858000"/>
              <a:gd name="connsiteX11692" fmla="*/ 9312652 w 12192000"/>
              <a:gd name="connsiteY11692" fmla="*/ 2580660 h 6858000"/>
              <a:gd name="connsiteX11693" fmla="*/ 9344856 w 12192000"/>
              <a:gd name="connsiteY11693" fmla="*/ 2610312 h 6858000"/>
              <a:gd name="connsiteX11694" fmla="*/ 9312652 w 12192000"/>
              <a:gd name="connsiteY11694" fmla="*/ 2639964 h 6858000"/>
              <a:gd name="connsiteX11695" fmla="*/ 9548254 w 12192000"/>
              <a:gd name="connsiteY11695" fmla="*/ 2639964 h 6858000"/>
              <a:gd name="connsiteX11696" fmla="*/ 9516037 w 12192000"/>
              <a:gd name="connsiteY11696" fmla="*/ 2610312 h 6858000"/>
              <a:gd name="connsiteX11697" fmla="*/ 9548254 w 12192000"/>
              <a:gd name="connsiteY11697" fmla="*/ 2580660 h 6858000"/>
              <a:gd name="connsiteX11698" fmla="*/ 9580458 w 12192000"/>
              <a:gd name="connsiteY11698" fmla="*/ 2610312 h 6858000"/>
              <a:gd name="connsiteX11699" fmla="*/ 9548254 w 12192000"/>
              <a:gd name="connsiteY11699" fmla="*/ 2639964 h 6858000"/>
              <a:gd name="connsiteX11700" fmla="*/ 9705321 w 12192000"/>
              <a:gd name="connsiteY11700" fmla="*/ 2639964 h 6858000"/>
              <a:gd name="connsiteX11701" fmla="*/ 9673105 w 12192000"/>
              <a:gd name="connsiteY11701" fmla="*/ 2610312 h 6858000"/>
              <a:gd name="connsiteX11702" fmla="*/ 9705321 w 12192000"/>
              <a:gd name="connsiteY11702" fmla="*/ 2580660 h 6858000"/>
              <a:gd name="connsiteX11703" fmla="*/ 9737525 w 12192000"/>
              <a:gd name="connsiteY11703" fmla="*/ 2610312 h 6858000"/>
              <a:gd name="connsiteX11704" fmla="*/ 9705321 w 12192000"/>
              <a:gd name="connsiteY11704" fmla="*/ 2639964 h 6858000"/>
              <a:gd name="connsiteX11705" fmla="*/ 3658183 w 12192000"/>
              <a:gd name="connsiteY11705" fmla="*/ 2567698 h 6858000"/>
              <a:gd name="connsiteX11706" fmla="*/ 3625972 w 12192000"/>
              <a:gd name="connsiteY11706" fmla="*/ 2538046 h 6858000"/>
              <a:gd name="connsiteX11707" fmla="*/ 3658183 w 12192000"/>
              <a:gd name="connsiteY11707" fmla="*/ 2508394 h 6858000"/>
              <a:gd name="connsiteX11708" fmla="*/ 3690393 w 12192000"/>
              <a:gd name="connsiteY11708" fmla="*/ 2538046 h 6858000"/>
              <a:gd name="connsiteX11709" fmla="*/ 3658183 w 12192000"/>
              <a:gd name="connsiteY11709" fmla="*/ 2567698 h 6858000"/>
              <a:gd name="connsiteX11710" fmla="*/ 3736717 w 12192000"/>
              <a:gd name="connsiteY11710" fmla="*/ 2567698 h 6858000"/>
              <a:gd name="connsiteX11711" fmla="*/ 3704507 w 12192000"/>
              <a:gd name="connsiteY11711" fmla="*/ 2538046 h 6858000"/>
              <a:gd name="connsiteX11712" fmla="*/ 3736717 w 12192000"/>
              <a:gd name="connsiteY11712" fmla="*/ 2508394 h 6858000"/>
              <a:gd name="connsiteX11713" fmla="*/ 3768927 w 12192000"/>
              <a:gd name="connsiteY11713" fmla="*/ 2538046 h 6858000"/>
              <a:gd name="connsiteX11714" fmla="*/ 3736717 w 12192000"/>
              <a:gd name="connsiteY11714" fmla="*/ 2567698 h 6858000"/>
              <a:gd name="connsiteX11715" fmla="*/ 3815250 w 12192000"/>
              <a:gd name="connsiteY11715" fmla="*/ 2567698 h 6858000"/>
              <a:gd name="connsiteX11716" fmla="*/ 3783040 w 12192000"/>
              <a:gd name="connsiteY11716" fmla="*/ 2538046 h 6858000"/>
              <a:gd name="connsiteX11717" fmla="*/ 3815250 w 12192000"/>
              <a:gd name="connsiteY11717" fmla="*/ 2508394 h 6858000"/>
              <a:gd name="connsiteX11718" fmla="*/ 3847461 w 12192000"/>
              <a:gd name="connsiteY11718" fmla="*/ 2538046 h 6858000"/>
              <a:gd name="connsiteX11719" fmla="*/ 3815250 w 12192000"/>
              <a:gd name="connsiteY11719" fmla="*/ 2567698 h 6858000"/>
              <a:gd name="connsiteX11720" fmla="*/ 3893785 w 12192000"/>
              <a:gd name="connsiteY11720" fmla="*/ 2567698 h 6858000"/>
              <a:gd name="connsiteX11721" fmla="*/ 3861574 w 12192000"/>
              <a:gd name="connsiteY11721" fmla="*/ 2538046 h 6858000"/>
              <a:gd name="connsiteX11722" fmla="*/ 3893785 w 12192000"/>
              <a:gd name="connsiteY11722" fmla="*/ 2508394 h 6858000"/>
              <a:gd name="connsiteX11723" fmla="*/ 3925995 w 12192000"/>
              <a:gd name="connsiteY11723" fmla="*/ 2538046 h 6858000"/>
              <a:gd name="connsiteX11724" fmla="*/ 3893785 w 12192000"/>
              <a:gd name="connsiteY11724" fmla="*/ 2567698 h 6858000"/>
              <a:gd name="connsiteX11725" fmla="*/ 3972319 w 12192000"/>
              <a:gd name="connsiteY11725" fmla="*/ 2567698 h 6858000"/>
              <a:gd name="connsiteX11726" fmla="*/ 3940108 w 12192000"/>
              <a:gd name="connsiteY11726" fmla="*/ 2538046 h 6858000"/>
              <a:gd name="connsiteX11727" fmla="*/ 3972319 w 12192000"/>
              <a:gd name="connsiteY11727" fmla="*/ 2508394 h 6858000"/>
              <a:gd name="connsiteX11728" fmla="*/ 4004529 w 12192000"/>
              <a:gd name="connsiteY11728" fmla="*/ 2538046 h 6858000"/>
              <a:gd name="connsiteX11729" fmla="*/ 3972319 w 12192000"/>
              <a:gd name="connsiteY11729" fmla="*/ 2567698 h 6858000"/>
              <a:gd name="connsiteX11730" fmla="*/ 4050852 w 12192000"/>
              <a:gd name="connsiteY11730" fmla="*/ 2567698 h 6858000"/>
              <a:gd name="connsiteX11731" fmla="*/ 4018642 w 12192000"/>
              <a:gd name="connsiteY11731" fmla="*/ 2538046 h 6858000"/>
              <a:gd name="connsiteX11732" fmla="*/ 4050852 w 12192000"/>
              <a:gd name="connsiteY11732" fmla="*/ 2508394 h 6858000"/>
              <a:gd name="connsiteX11733" fmla="*/ 4083062 w 12192000"/>
              <a:gd name="connsiteY11733" fmla="*/ 2538046 h 6858000"/>
              <a:gd name="connsiteX11734" fmla="*/ 4050852 w 12192000"/>
              <a:gd name="connsiteY11734" fmla="*/ 2567698 h 6858000"/>
              <a:gd name="connsiteX11735" fmla="*/ 4129386 w 12192000"/>
              <a:gd name="connsiteY11735" fmla="*/ 2567698 h 6858000"/>
              <a:gd name="connsiteX11736" fmla="*/ 4097176 w 12192000"/>
              <a:gd name="connsiteY11736" fmla="*/ 2538046 h 6858000"/>
              <a:gd name="connsiteX11737" fmla="*/ 4129386 w 12192000"/>
              <a:gd name="connsiteY11737" fmla="*/ 2508394 h 6858000"/>
              <a:gd name="connsiteX11738" fmla="*/ 4161597 w 12192000"/>
              <a:gd name="connsiteY11738" fmla="*/ 2538046 h 6858000"/>
              <a:gd name="connsiteX11739" fmla="*/ 4129386 w 12192000"/>
              <a:gd name="connsiteY11739" fmla="*/ 2567698 h 6858000"/>
              <a:gd name="connsiteX11740" fmla="*/ 4207926 w 12192000"/>
              <a:gd name="connsiteY11740" fmla="*/ 2567698 h 6858000"/>
              <a:gd name="connsiteX11741" fmla="*/ 4175715 w 12192000"/>
              <a:gd name="connsiteY11741" fmla="*/ 2538046 h 6858000"/>
              <a:gd name="connsiteX11742" fmla="*/ 4207926 w 12192000"/>
              <a:gd name="connsiteY11742" fmla="*/ 2508394 h 6858000"/>
              <a:gd name="connsiteX11743" fmla="*/ 4240136 w 12192000"/>
              <a:gd name="connsiteY11743" fmla="*/ 2538046 h 6858000"/>
              <a:gd name="connsiteX11744" fmla="*/ 4207926 w 12192000"/>
              <a:gd name="connsiteY11744" fmla="*/ 2567698 h 6858000"/>
              <a:gd name="connsiteX11745" fmla="*/ 4286460 w 12192000"/>
              <a:gd name="connsiteY11745" fmla="*/ 2567698 h 6858000"/>
              <a:gd name="connsiteX11746" fmla="*/ 4254250 w 12192000"/>
              <a:gd name="connsiteY11746" fmla="*/ 2538046 h 6858000"/>
              <a:gd name="connsiteX11747" fmla="*/ 4286460 w 12192000"/>
              <a:gd name="connsiteY11747" fmla="*/ 2508394 h 6858000"/>
              <a:gd name="connsiteX11748" fmla="*/ 4318670 w 12192000"/>
              <a:gd name="connsiteY11748" fmla="*/ 2538046 h 6858000"/>
              <a:gd name="connsiteX11749" fmla="*/ 4286460 w 12192000"/>
              <a:gd name="connsiteY11749" fmla="*/ 2567698 h 6858000"/>
              <a:gd name="connsiteX11750" fmla="*/ 4364994 w 12192000"/>
              <a:gd name="connsiteY11750" fmla="*/ 2567698 h 6858000"/>
              <a:gd name="connsiteX11751" fmla="*/ 4332784 w 12192000"/>
              <a:gd name="connsiteY11751" fmla="*/ 2538046 h 6858000"/>
              <a:gd name="connsiteX11752" fmla="*/ 4364994 w 12192000"/>
              <a:gd name="connsiteY11752" fmla="*/ 2508394 h 6858000"/>
              <a:gd name="connsiteX11753" fmla="*/ 4397204 w 12192000"/>
              <a:gd name="connsiteY11753" fmla="*/ 2538046 h 6858000"/>
              <a:gd name="connsiteX11754" fmla="*/ 4364994 w 12192000"/>
              <a:gd name="connsiteY11754" fmla="*/ 2567698 h 6858000"/>
              <a:gd name="connsiteX11755" fmla="*/ 4443527 w 12192000"/>
              <a:gd name="connsiteY11755" fmla="*/ 2567698 h 6858000"/>
              <a:gd name="connsiteX11756" fmla="*/ 4411317 w 12192000"/>
              <a:gd name="connsiteY11756" fmla="*/ 2538046 h 6858000"/>
              <a:gd name="connsiteX11757" fmla="*/ 4443527 w 12192000"/>
              <a:gd name="connsiteY11757" fmla="*/ 2508394 h 6858000"/>
              <a:gd name="connsiteX11758" fmla="*/ 4475738 w 12192000"/>
              <a:gd name="connsiteY11758" fmla="*/ 2538046 h 6858000"/>
              <a:gd name="connsiteX11759" fmla="*/ 4443527 w 12192000"/>
              <a:gd name="connsiteY11759" fmla="*/ 2567698 h 6858000"/>
              <a:gd name="connsiteX11760" fmla="*/ 4522062 w 12192000"/>
              <a:gd name="connsiteY11760" fmla="*/ 2567698 h 6858000"/>
              <a:gd name="connsiteX11761" fmla="*/ 4489851 w 12192000"/>
              <a:gd name="connsiteY11761" fmla="*/ 2538046 h 6858000"/>
              <a:gd name="connsiteX11762" fmla="*/ 4522062 w 12192000"/>
              <a:gd name="connsiteY11762" fmla="*/ 2508394 h 6858000"/>
              <a:gd name="connsiteX11763" fmla="*/ 4554272 w 12192000"/>
              <a:gd name="connsiteY11763" fmla="*/ 2538046 h 6858000"/>
              <a:gd name="connsiteX11764" fmla="*/ 4522062 w 12192000"/>
              <a:gd name="connsiteY11764" fmla="*/ 2567698 h 6858000"/>
              <a:gd name="connsiteX11765" fmla="*/ 4600596 w 12192000"/>
              <a:gd name="connsiteY11765" fmla="*/ 2567698 h 6858000"/>
              <a:gd name="connsiteX11766" fmla="*/ 4568386 w 12192000"/>
              <a:gd name="connsiteY11766" fmla="*/ 2538046 h 6858000"/>
              <a:gd name="connsiteX11767" fmla="*/ 4600596 w 12192000"/>
              <a:gd name="connsiteY11767" fmla="*/ 2508394 h 6858000"/>
              <a:gd name="connsiteX11768" fmla="*/ 4632806 w 12192000"/>
              <a:gd name="connsiteY11768" fmla="*/ 2538046 h 6858000"/>
              <a:gd name="connsiteX11769" fmla="*/ 4600596 w 12192000"/>
              <a:gd name="connsiteY11769" fmla="*/ 2567698 h 6858000"/>
              <a:gd name="connsiteX11770" fmla="*/ 6249806 w 12192000"/>
              <a:gd name="connsiteY11770" fmla="*/ 2567698 h 6858000"/>
              <a:gd name="connsiteX11771" fmla="*/ 6217590 w 12192000"/>
              <a:gd name="connsiteY11771" fmla="*/ 2538046 h 6858000"/>
              <a:gd name="connsiteX11772" fmla="*/ 6249806 w 12192000"/>
              <a:gd name="connsiteY11772" fmla="*/ 2508394 h 6858000"/>
              <a:gd name="connsiteX11773" fmla="*/ 6282010 w 12192000"/>
              <a:gd name="connsiteY11773" fmla="*/ 2538046 h 6858000"/>
              <a:gd name="connsiteX11774" fmla="*/ 6249806 w 12192000"/>
              <a:gd name="connsiteY11774" fmla="*/ 2567698 h 6858000"/>
              <a:gd name="connsiteX11775" fmla="*/ 6328340 w 12192000"/>
              <a:gd name="connsiteY11775" fmla="*/ 2567698 h 6858000"/>
              <a:gd name="connsiteX11776" fmla="*/ 6296124 w 12192000"/>
              <a:gd name="connsiteY11776" fmla="*/ 2538046 h 6858000"/>
              <a:gd name="connsiteX11777" fmla="*/ 6328340 w 12192000"/>
              <a:gd name="connsiteY11777" fmla="*/ 2508394 h 6858000"/>
              <a:gd name="connsiteX11778" fmla="*/ 6360545 w 12192000"/>
              <a:gd name="connsiteY11778" fmla="*/ 2538046 h 6858000"/>
              <a:gd name="connsiteX11779" fmla="*/ 6328340 w 12192000"/>
              <a:gd name="connsiteY11779" fmla="*/ 2567698 h 6858000"/>
              <a:gd name="connsiteX11780" fmla="*/ 6406875 w 12192000"/>
              <a:gd name="connsiteY11780" fmla="*/ 2567698 h 6858000"/>
              <a:gd name="connsiteX11781" fmla="*/ 6374658 w 12192000"/>
              <a:gd name="connsiteY11781" fmla="*/ 2538046 h 6858000"/>
              <a:gd name="connsiteX11782" fmla="*/ 6406875 w 12192000"/>
              <a:gd name="connsiteY11782" fmla="*/ 2508394 h 6858000"/>
              <a:gd name="connsiteX11783" fmla="*/ 6439079 w 12192000"/>
              <a:gd name="connsiteY11783" fmla="*/ 2538046 h 6858000"/>
              <a:gd name="connsiteX11784" fmla="*/ 6406875 w 12192000"/>
              <a:gd name="connsiteY11784" fmla="*/ 2567698 h 6858000"/>
              <a:gd name="connsiteX11785" fmla="*/ 6485408 w 12192000"/>
              <a:gd name="connsiteY11785" fmla="*/ 2567698 h 6858000"/>
              <a:gd name="connsiteX11786" fmla="*/ 6453191 w 12192000"/>
              <a:gd name="connsiteY11786" fmla="*/ 2538046 h 6858000"/>
              <a:gd name="connsiteX11787" fmla="*/ 6485408 w 12192000"/>
              <a:gd name="connsiteY11787" fmla="*/ 2508394 h 6858000"/>
              <a:gd name="connsiteX11788" fmla="*/ 6517612 w 12192000"/>
              <a:gd name="connsiteY11788" fmla="*/ 2538046 h 6858000"/>
              <a:gd name="connsiteX11789" fmla="*/ 6485408 w 12192000"/>
              <a:gd name="connsiteY11789" fmla="*/ 2567698 h 6858000"/>
              <a:gd name="connsiteX11790" fmla="*/ 6563942 w 12192000"/>
              <a:gd name="connsiteY11790" fmla="*/ 2567698 h 6858000"/>
              <a:gd name="connsiteX11791" fmla="*/ 6531726 w 12192000"/>
              <a:gd name="connsiteY11791" fmla="*/ 2538046 h 6858000"/>
              <a:gd name="connsiteX11792" fmla="*/ 6563942 w 12192000"/>
              <a:gd name="connsiteY11792" fmla="*/ 2508394 h 6858000"/>
              <a:gd name="connsiteX11793" fmla="*/ 6596146 w 12192000"/>
              <a:gd name="connsiteY11793" fmla="*/ 2538046 h 6858000"/>
              <a:gd name="connsiteX11794" fmla="*/ 6563942 w 12192000"/>
              <a:gd name="connsiteY11794" fmla="*/ 2567698 h 6858000"/>
              <a:gd name="connsiteX11795" fmla="*/ 6642476 w 12192000"/>
              <a:gd name="connsiteY11795" fmla="*/ 2567698 h 6858000"/>
              <a:gd name="connsiteX11796" fmla="*/ 6610260 w 12192000"/>
              <a:gd name="connsiteY11796" fmla="*/ 2538046 h 6858000"/>
              <a:gd name="connsiteX11797" fmla="*/ 6642476 w 12192000"/>
              <a:gd name="connsiteY11797" fmla="*/ 2508394 h 6858000"/>
              <a:gd name="connsiteX11798" fmla="*/ 6674681 w 12192000"/>
              <a:gd name="connsiteY11798" fmla="*/ 2538046 h 6858000"/>
              <a:gd name="connsiteX11799" fmla="*/ 6642476 w 12192000"/>
              <a:gd name="connsiteY11799" fmla="*/ 2567698 h 6858000"/>
              <a:gd name="connsiteX11800" fmla="*/ 6721010 w 12192000"/>
              <a:gd name="connsiteY11800" fmla="*/ 2567698 h 6858000"/>
              <a:gd name="connsiteX11801" fmla="*/ 6688793 w 12192000"/>
              <a:gd name="connsiteY11801" fmla="*/ 2538046 h 6858000"/>
              <a:gd name="connsiteX11802" fmla="*/ 6721010 w 12192000"/>
              <a:gd name="connsiteY11802" fmla="*/ 2508394 h 6858000"/>
              <a:gd name="connsiteX11803" fmla="*/ 6753214 w 12192000"/>
              <a:gd name="connsiteY11803" fmla="*/ 2538046 h 6858000"/>
              <a:gd name="connsiteX11804" fmla="*/ 6721010 w 12192000"/>
              <a:gd name="connsiteY11804" fmla="*/ 2567698 h 6858000"/>
              <a:gd name="connsiteX11805" fmla="*/ 6799544 w 12192000"/>
              <a:gd name="connsiteY11805" fmla="*/ 2567698 h 6858000"/>
              <a:gd name="connsiteX11806" fmla="*/ 6767327 w 12192000"/>
              <a:gd name="connsiteY11806" fmla="*/ 2538046 h 6858000"/>
              <a:gd name="connsiteX11807" fmla="*/ 6799544 w 12192000"/>
              <a:gd name="connsiteY11807" fmla="*/ 2508394 h 6858000"/>
              <a:gd name="connsiteX11808" fmla="*/ 6831748 w 12192000"/>
              <a:gd name="connsiteY11808" fmla="*/ 2538046 h 6858000"/>
              <a:gd name="connsiteX11809" fmla="*/ 6799544 w 12192000"/>
              <a:gd name="connsiteY11809" fmla="*/ 2567698 h 6858000"/>
              <a:gd name="connsiteX11810" fmla="*/ 6956611 w 12192000"/>
              <a:gd name="connsiteY11810" fmla="*/ 2567698 h 6858000"/>
              <a:gd name="connsiteX11811" fmla="*/ 6924395 w 12192000"/>
              <a:gd name="connsiteY11811" fmla="*/ 2538046 h 6858000"/>
              <a:gd name="connsiteX11812" fmla="*/ 6956611 w 12192000"/>
              <a:gd name="connsiteY11812" fmla="*/ 2508394 h 6858000"/>
              <a:gd name="connsiteX11813" fmla="*/ 6988816 w 12192000"/>
              <a:gd name="connsiteY11813" fmla="*/ 2538046 h 6858000"/>
              <a:gd name="connsiteX11814" fmla="*/ 6956611 w 12192000"/>
              <a:gd name="connsiteY11814" fmla="*/ 2567698 h 6858000"/>
              <a:gd name="connsiteX11815" fmla="*/ 7035146 w 12192000"/>
              <a:gd name="connsiteY11815" fmla="*/ 2567698 h 6858000"/>
              <a:gd name="connsiteX11816" fmla="*/ 7002929 w 12192000"/>
              <a:gd name="connsiteY11816" fmla="*/ 2538046 h 6858000"/>
              <a:gd name="connsiteX11817" fmla="*/ 7035146 w 12192000"/>
              <a:gd name="connsiteY11817" fmla="*/ 2508394 h 6858000"/>
              <a:gd name="connsiteX11818" fmla="*/ 7067350 w 12192000"/>
              <a:gd name="connsiteY11818" fmla="*/ 2538046 h 6858000"/>
              <a:gd name="connsiteX11819" fmla="*/ 7035146 w 12192000"/>
              <a:gd name="connsiteY11819" fmla="*/ 2567698 h 6858000"/>
              <a:gd name="connsiteX11820" fmla="*/ 8919983 w 12192000"/>
              <a:gd name="connsiteY11820" fmla="*/ 2567698 h 6858000"/>
              <a:gd name="connsiteX11821" fmla="*/ 8887766 w 12192000"/>
              <a:gd name="connsiteY11821" fmla="*/ 2538046 h 6858000"/>
              <a:gd name="connsiteX11822" fmla="*/ 8919983 w 12192000"/>
              <a:gd name="connsiteY11822" fmla="*/ 2508394 h 6858000"/>
              <a:gd name="connsiteX11823" fmla="*/ 8952187 w 12192000"/>
              <a:gd name="connsiteY11823" fmla="*/ 2538046 h 6858000"/>
              <a:gd name="connsiteX11824" fmla="*/ 8919983 w 12192000"/>
              <a:gd name="connsiteY11824" fmla="*/ 2567698 h 6858000"/>
              <a:gd name="connsiteX11825" fmla="*/ 8998516 w 12192000"/>
              <a:gd name="connsiteY11825" fmla="*/ 2567698 h 6858000"/>
              <a:gd name="connsiteX11826" fmla="*/ 8966300 w 12192000"/>
              <a:gd name="connsiteY11826" fmla="*/ 2538046 h 6858000"/>
              <a:gd name="connsiteX11827" fmla="*/ 8998516 w 12192000"/>
              <a:gd name="connsiteY11827" fmla="*/ 2508394 h 6858000"/>
              <a:gd name="connsiteX11828" fmla="*/ 9030720 w 12192000"/>
              <a:gd name="connsiteY11828" fmla="*/ 2538046 h 6858000"/>
              <a:gd name="connsiteX11829" fmla="*/ 8998516 w 12192000"/>
              <a:gd name="connsiteY11829" fmla="*/ 2567698 h 6858000"/>
              <a:gd name="connsiteX11830" fmla="*/ 9155583 w 12192000"/>
              <a:gd name="connsiteY11830" fmla="*/ 2567698 h 6858000"/>
              <a:gd name="connsiteX11831" fmla="*/ 9123367 w 12192000"/>
              <a:gd name="connsiteY11831" fmla="*/ 2538046 h 6858000"/>
              <a:gd name="connsiteX11832" fmla="*/ 9155583 w 12192000"/>
              <a:gd name="connsiteY11832" fmla="*/ 2508394 h 6858000"/>
              <a:gd name="connsiteX11833" fmla="*/ 9187788 w 12192000"/>
              <a:gd name="connsiteY11833" fmla="*/ 2538046 h 6858000"/>
              <a:gd name="connsiteX11834" fmla="*/ 9155583 w 12192000"/>
              <a:gd name="connsiteY11834" fmla="*/ 2567698 h 6858000"/>
              <a:gd name="connsiteX11835" fmla="*/ 9234118 w 12192000"/>
              <a:gd name="connsiteY11835" fmla="*/ 2567698 h 6858000"/>
              <a:gd name="connsiteX11836" fmla="*/ 9201901 w 12192000"/>
              <a:gd name="connsiteY11836" fmla="*/ 2538046 h 6858000"/>
              <a:gd name="connsiteX11837" fmla="*/ 9234118 w 12192000"/>
              <a:gd name="connsiteY11837" fmla="*/ 2508394 h 6858000"/>
              <a:gd name="connsiteX11838" fmla="*/ 9266322 w 12192000"/>
              <a:gd name="connsiteY11838" fmla="*/ 2538046 h 6858000"/>
              <a:gd name="connsiteX11839" fmla="*/ 9234118 w 12192000"/>
              <a:gd name="connsiteY11839" fmla="*/ 2567698 h 6858000"/>
              <a:gd name="connsiteX11840" fmla="*/ 9312652 w 12192000"/>
              <a:gd name="connsiteY11840" fmla="*/ 2567698 h 6858000"/>
              <a:gd name="connsiteX11841" fmla="*/ 9280436 w 12192000"/>
              <a:gd name="connsiteY11841" fmla="*/ 2538046 h 6858000"/>
              <a:gd name="connsiteX11842" fmla="*/ 9312652 w 12192000"/>
              <a:gd name="connsiteY11842" fmla="*/ 2508394 h 6858000"/>
              <a:gd name="connsiteX11843" fmla="*/ 9344856 w 12192000"/>
              <a:gd name="connsiteY11843" fmla="*/ 2538046 h 6858000"/>
              <a:gd name="connsiteX11844" fmla="*/ 9312652 w 12192000"/>
              <a:gd name="connsiteY11844" fmla="*/ 2567698 h 6858000"/>
              <a:gd name="connsiteX11845" fmla="*/ 9469719 w 12192000"/>
              <a:gd name="connsiteY11845" fmla="*/ 2567698 h 6858000"/>
              <a:gd name="connsiteX11846" fmla="*/ 9437503 w 12192000"/>
              <a:gd name="connsiteY11846" fmla="*/ 2538046 h 6858000"/>
              <a:gd name="connsiteX11847" fmla="*/ 9469719 w 12192000"/>
              <a:gd name="connsiteY11847" fmla="*/ 2508394 h 6858000"/>
              <a:gd name="connsiteX11848" fmla="*/ 9501924 w 12192000"/>
              <a:gd name="connsiteY11848" fmla="*/ 2538046 h 6858000"/>
              <a:gd name="connsiteX11849" fmla="*/ 9469719 w 12192000"/>
              <a:gd name="connsiteY11849" fmla="*/ 2567698 h 6858000"/>
              <a:gd name="connsiteX11850" fmla="*/ 9783854 w 12192000"/>
              <a:gd name="connsiteY11850" fmla="*/ 2567698 h 6858000"/>
              <a:gd name="connsiteX11851" fmla="*/ 9751638 w 12192000"/>
              <a:gd name="connsiteY11851" fmla="*/ 2538046 h 6858000"/>
              <a:gd name="connsiteX11852" fmla="*/ 9783854 w 12192000"/>
              <a:gd name="connsiteY11852" fmla="*/ 2508394 h 6858000"/>
              <a:gd name="connsiteX11853" fmla="*/ 9816059 w 12192000"/>
              <a:gd name="connsiteY11853" fmla="*/ 2538046 h 6858000"/>
              <a:gd name="connsiteX11854" fmla="*/ 9783854 w 12192000"/>
              <a:gd name="connsiteY11854" fmla="*/ 2567698 h 6858000"/>
              <a:gd name="connsiteX11855" fmla="*/ 9862389 w 12192000"/>
              <a:gd name="connsiteY11855" fmla="*/ 2567698 h 6858000"/>
              <a:gd name="connsiteX11856" fmla="*/ 9830172 w 12192000"/>
              <a:gd name="connsiteY11856" fmla="*/ 2538046 h 6858000"/>
              <a:gd name="connsiteX11857" fmla="*/ 9862389 w 12192000"/>
              <a:gd name="connsiteY11857" fmla="*/ 2508394 h 6858000"/>
              <a:gd name="connsiteX11858" fmla="*/ 9894593 w 12192000"/>
              <a:gd name="connsiteY11858" fmla="*/ 2538046 h 6858000"/>
              <a:gd name="connsiteX11859" fmla="*/ 9862389 w 12192000"/>
              <a:gd name="connsiteY11859" fmla="*/ 2567698 h 6858000"/>
              <a:gd name="connsiteX11860" fmla="*/ 9940923 w 12192000"/>
              <a:gd name="connsiteY11860" fmla="*/ 2567698 h 6858000"/>
              <a:gd name="connsiteX11861" fmla="*/ 9908707 w 12192000"/>
              <a:gd name="connsiteY11861" fmla="*/ 2538046 h 6858000"/>
              <a:gd name="connsiteX11862" fmla="*/ 9940923 w 12192000"/>
              <a:gd name="connsiteY11862" fmla="*/ 2508394 h 6858000"/>
              <a:gd name="connsiteX11863" fmla="*/ 9973127 w 12192000"/>
              <a:gd name="connsiteY11863" fmla="*/ 2538046 h 6858000"/>
              <a:gd name="connsiteX11864" fmla="*/ 9940923 w 12192000"/>
              <a:gd name="connsiteY11864" fmla="*/ 2567698 h 6858000"/>
              <a:gd name="connsiteX11865" fmla="*/ 3658183 w 12192000"/>
              <a:gd name="connsiteY11865" fmla="*/ 2495432 h 6858000"/>
              <a:gd name="connsiteX11866" fmla="*/ 3625972 w 12192000"/>
              <a:gd name="connsiteY11866" fmla="*/ 2465780 h 6858000"/>
              <a:gd name="connsiteX11867" fmla="*/ 3658183 w 12192000"/>
              <a:gd name="connsiteY11867" fmla="*/ 2436128 h 6858000"/>
              <a:gd name="connsiteX11868" fmla="*/ 3690393 w 12192000"/>
              <a:gd name="connsiteY11868" fmla="*/ 2465780 h 6858000"/>
              <a:gd name="connsiteX11869" fmla="*/ 3658183 w 12192000"/>
              <a:gd name="connsiteY11869" fmla="*/ 2495432 h 6858000"/>
              <a:gd name="connsiteX11870" fmla="*/ 3736717 w 12192000"/>
              <a:gd name="connsiteY11870" fmla="*/ 2495432 h 6858000"/>
              <a:gd name="connsiteX11871" fmla="*/ 3704507 w 12192000"/>
              <a:gd name="connsiteY11871" fmla="*/ 2465780 h 6858000"/>
              <a:gd name="connsiteX11872" fmla="*/ 3736717 w 12192000"/>
              <a:gd name="connsiteY11872" fmla="*/ 2436128 h 6858000"/>
              <a:gd name="connsiteX11873" fmla="*/ 3768927 w 12192000"/>
              <a:gd name="connsiteY11873" fmla="*/ 2465780 h 6858000"/>
              <a:gd name="connsiteX11874" fmla="*/ 3736717 w 12192000"/>
              <a:gd name="connsiteY11874" fmla="*/ 2495432 h 6858000"/>
              <a:gd name="connsiteX11875" fmla="*/ 3815250 w 12192000"/>
              <a:gd name="connsiteY11875" fmla="*/ 2495432 h 6858000"/>
              <a:gd name="connsiteX11876" fmla="*/ 3783040 w 12192000"/>
              <a:gd name="connsiteY11876" fmla="*/ 2465780 h 6858000"/>
              <a:gd name="connsiteX11877" fmla="*/ 3815250 w 12192000"/>
              <a:gd name="connsiteY11877" fmla="*/ 2436128 h 6858000"/>
              <a:gd name="connsiteX11878" fmla="*/ 3847461 w 12192000"/>
              <a:gd name="connsiteY11878" fmla="*/ 2465780 h 6858000"/>
              <a:gd name="connsiteX11879" fmla="*/ 3815250 w 12192000"/>
              <a:gd name="connsiteY11879" fmla="*/ 2495432 h 6858000"/>
              <a:gd name="connsiteX11880" fmla="*/ 3893785 w 12192000"/>
              <a:gd name="connsiteY11880" fmla="*/ 2495432 h 6858000"/>
              <a:gd name="connsiteX11881" fmla="*/ 3861574 w 12192000"/>
              <a:gd name="connsiteY11881" fmla="*/ 2465780 h 6858000"/>
              <a:gd name="connsiteX11882" fmla="*/ 3893785 w 12192000"/>
              <a:gd name="connsiteY11882" fmla="*/ 2436128 h 6858000"/>
              <a:gd name="connsiteX11883" fmla="*/ 3925995 w 12192000"/>
              <a:gd name="connsiteY11883" fmla="*/ 2465780 h 6858000"/>
              <a:gd name="connsiteX11884" fmla="*/ 3893785 w 12192000"/>
              <a:gd name="connsiteY11884" fmla="*/ 2495432 h 6858000"/>
              <a:gd name="connsiteX11885" fmla="*/ 3972319 w 12192000"/>
              <a:gd name="connsiteY11885" fmla="*/ 2495432 h 6858000"/>
              <a:gd name="connsiteX11886" fmla="*/ 3940108 w 12192000"/>
              <a:gd name="connsiteY11886" fmla="*/ 2465780 h 6858000"/>
              <a:gd name="connsiteX11887" fmla="*/ 3972319 w 12192000"/>
              <a:gd name="connsiteY11887" fmla="*/ 2436128 h 6858000"/>
              <a:gd name="connsiteX11888" fmla="*/ 4004529 w 12192000"/>
              <a:gd name="connsiteY11888" fmla="*/ 2465780 h 6858000"/>
              <a:gd name="connsiteX11889" fmla="*/ 3972319 w 12192000"/>
              <a:gd name="connsiteY11889" fmla="*/ 2495432 h 6858000"/>
              <a:gd name="connsiteX11890" fmla="*/ 4050852 w 12192000"/>
              <a:gd name="connsiteY11890" fmla="*/ 2495432 h 6858000"/>
              <a:gd name="connsiteX11891" fmla="*/ 4018642 w 12192000"/>
              <a:gd name="connsiteY11891" fmla="*/ 2465780 h 6858000"/>
              <a:gd name="connsiteX11892" fmla="*/ 4050852 w 12192000"/>
              <a:gd name="connsiteY11892" fmla="*/ 2436128 h 6858000"/>
              <a:gd name="connsiteX11893" fmla="*/ 4083062 w 12192000"/>
              <a:gd name="connsiteY11893" fmla="*/ 2465780 h 6858000"/>
              <a:gd name="connsiteX11894" fmla="*/ 4050852 w 12192000"/>
              <a:gd name="connsiteY11894" fmla="*/ 2495432 h 6858000"/>
              <a:gd name="connsiteX11895" fmla="*/ 4129386 w 12192000"/>
              <a:gd name="connsiteY11895" fmla="*/ 2495432 h 6858000"/>
              <a:gd name="connsiteX11896" fmla="*/ 4097176 w 12192000"/>
              <a:gd name="connsiteY11896" fmla="*/ 2465780 h 6858000"/>
              <a:gd name="connsiteX11897" fmla="*/ 4129386 w 12192000"/>
              <a:gd name="connsiteY11897" fmla="*/ 2436128 h 6858000"/>
              <a:gd name="connsiteX11898" fmla="*/ 4161597 w 12192000"/>
              <a:gd name="connsiteY11898" fmla="*/ 2465780 h 6858000"/>
              <a:gd name="connsiteX11899" fmla="*/ 4129386 w 12192000"/>
              <a:gd name="connsiteY11899" fmla="*/ 2495432 h 6858000"/>
              <a:gd name="connsiteX11900" fmla="*/ 4207926 w 12192000"/>
              <a:gd name="connsiteY11900" fmla="*/ 2495432 h 6858000"/>
              <a:gd name="connsiteX11901" fmla="*/ 4175715 w 12192000"/>
              <a:gd name="connsiteY11901" fmla="*/ 2465780 h 6858000"/>
              <a:gd name="connsiteX11902" fmla="*/ 4207926 w 12192000"/>
              <a:gd name="connsiteY11902" fmla="*/ 2436128 h 6858000"/>
              <a:gd name="connsiteX11903" fmla="*/ 4240136 w 12192000"/>
              <a:gd name="connsiteY11903" fmla="*/ 2465780 h 6858000"/>
              <a:gd name="connsiteX11904" fmla="*/ 4207926 w 12192000"/>
              <a:gd name="connsiteY11904" fmla="*/ 2495432 h 6858000"/>
              <a:gd name="connsiteX11905" fmla="*/ 4286460 w 12192000"/>
              <a:gd name="connsiteY11905" fmla="*/ 2495432 h 6858000"/>
              <a:gd name="connsiteX11906" fmla="*/ 4254250 w 12192000"/>
              <a:gd name="connsiteY11906" fmla="*/ 2465780 h 6858000"/>
              <a:gd name="connsiteX11907" fmla="*/ 4286460 w 12192000"/>
              <a:gd name="connsiteY11907" fmla="*/ 2436128 h 6858000"/>
              <a:gd name="connsiteX11908" fmla="*/ 4318670 w 12192000"/>
              <a:gd name="connsiteY11908" fmla="*/ 2465780 h 6858000"/>
              <a:gd name="connsiteX11909" fmla="*/ 4286460 w 12192000"/>
              <a:gd name="connsiteY11909" fmla="*/ 2495432 h 6858000"/>
              <a:gd name="connsiteX11910" fmla="*/ 4364994 w 12192000"/>
              <a:gd name="connsiteY11910" fmla="*/ 2495432 h 6858000"/>
              <a:gd name="connsiteX11911" fmla="*/ 4332784 w 12192000"/>
              <a:gd name="connsiteY11911" fmla="*/ 2465780 h 6858000"/>
              <a:gd name="connsiteX11912" fmla="*/ 4364994 w 12192000"/>
              <a:gd name="connsiteY11912" fmla="*/ 2436128 h 6858000"/>
              <a:gd name="connsiteX11913" fmla="*/ 4397204 w 12192000"/>
              <a:gd name="connsiteY11913" fmla="*/ 2465780 h 6858000"/>
              <a:gd name="connsiteX11914" fmla="*/ 4364994 w 12192000"/>
              <a:gd name="connsiteY11914" fmla="*/ 2495432 h 6858000"/>
              <a:gd name="connsiteX11915" fmla="*/ 4443527 w 12192000"/>
              <a:gd name="connsiteY11915" fmla="*/ 2495432 h 6858000"/>
              <a:gd name="connsiteX11916" fmla="*/ 4411317 w 12192000"/>
              <a:gd name="connsiteY11916" fmla="*/ 2465780 h 6858000"/>
              <a:gd name="connsiteX11917" fmla="*/ 4443527 w 12192000"/>
              <a:gd name="connsiteY11917" fmla="*/ 2436128 h 6858000"/>
              <a:gd name="connsiteX11918" fmla="*/ 4475738 w 12192000"/>
              <a:gd name="connsiteY11918" fmla="*/ 2465780 h 6858000"/>
              <a:gd name="connsiteX11919" fmla="*/ 4443527 w 12192000"/>
              <a:gd name="connsiteY11919" fmla="*/ 2495432 h 6858000"/>
              <a:gd name="connsiteX11920" fmla="*/ 4522062 w 12192000"/>
              <a:gd name="connsiteY11920" fmla="*/ 2495432 h 6858000"/>
              <a:gd name="connsiteX11921" fmla="*/ 4489851 w 12192000"/>
              <a:gd name="connsiteY11921" fmla="*/ 2465780 h 6858000"/>
              <a:gd name="connsiteX11922" fmla="*/ 4522062 w 12192000"/>
              <a:gd name="connsiteY11922" fmla="*/ 2436128 h 6858000"/>
              <a:gd name="connsiteX11923" fmla="*/ 4554272 w 12192000"/>
              <a:gd name="connsiteY11923" fmla="*/ 2465780 h 6858000"/>
              <a:gd name="connsiteX11924" fmla="*/ 4522062 w 12192000"/>
              <a:gd name="connsiteY11924" fmla="*/ 2495432 h 6858000"/>
              <a:gd name="connsiteX11925" fmla="*/ 4600596 w 12192000"/>
              <a:gd name="connsiteY11925" fmla="*/ 2495432 h 6858000"/>
              <a:gd name="connsiteX11926" fmla="*/ 4568386 w 12192000"/>
              <a:gd name="connsiteY11926" fmla="*/ 2465780 h 6858000"/>
              <a:gd name="connsiteX11927" fmla="*/ 4600596 w 12192000"/>
              <a:gd name="connsiteY11927" fmla="*/ 2436128 h 6858000"/>
              <a:gd name="connsiteX11928" fmla="*/ 4632806 w 12192000"/>
              <a:gd name="connsiteY11928" fmla="*/ 2465780 h 6858000"/>
              <a:gd name="connsiteX11929" fmla="*/ 4600596 w 12192000"/>
              <a:gd name="connsiteY11929" fmla="*/ 2495432 h 6858000"/>
              <a:gd name="connsiteX11930" fmla="*/ 4679129 w 12192000"/>
              <a:gd name="connsiteY11930" fmla="*/ 2495432 h 6858000"/>
              <a:gd name="connsiteX11931" fmla="*/ 4646919 w 12192000"/>
              <a:gd name="connsiteY11931" fmla="*/ 2465780 h 6858000"/>
              <a:gd name="connsiteX11932" fmla="*/ 4679129 w 12192000"/>
              <a:gd name="connsiteY11932" fmla="*/ 2436128 h 6858000"/>
              <a:gd name="connsiteX11933" fmla="*/ 4711339 w 12192000"/>
              <a:gd name="connsiteY11933" fmla="*/ 2465780 h 6858000"/>
              <a:gd name="connsiteX11934" fmla="*/ 4679129 w 12192000"/>
              <a:gd name="connsiteY11934" fmla="*/ 2495432 h 6858000"/>
              <a:gd name="connsiteX11935" fmla="*/ 4757663 w 12192000"/>
              <a:gd name="connsiteY11935" fmla="*/ 2495432 h 6858000"/>
              <a:gd name="connsiteX11936" fmla="*/ 4725453 w 12192000"/>
              <a:gd name="connsiteY11936" fmla="*/ 2465780 h 6858000"/>
              <a:gd name="connsiteX11937" fmla="*/ 4757663 w 12192000"/>
              <a:gd name="connsiteY11937" fmla="*/ 2436128 h 6858000"/>
              <a:gd name="connsiteX11938" fmla="*/ 4789874 w 12192000"/>
              <a:gd name="connsiteY11938" fmla="*/ 2465780 h 6858000"/>
              <a:gd name="connsiteX11939" fmla="*/ 4757663 w 12192000"/>
              <a:gd name="connsiteY11939" fmla="*/ 2495432 h 6858000"/>
              <a:gd name="connsiteX11940" fmla="*/ 4836197 w 12192000"/>
              <a:gd name="connsiteY11940" fmla="*/ 2495432 h 6858000"/>
              <a:gd name="connsiteX11941" fmla="*/ 4803986 w 12192000"/>
              <a:gd name="connsiteY11941" fmla="*/ 2465780 h 6858000"/>
              <a:gd name="connsiteX11942" fmla="*/ 4836197 w 12192000"/>
              <a:gd name="connsiteY11942" fmla="*/ 2436128 h 6858000"/>
              <a:gd name="connsiteX11943" fmla="*/ 4868407 w 12192000"/>
              <a:gd name="connsiteY11943" fmla="*/ 2465780 h 6858000"/>
              <a:gd name="connsiteX11944" fmla="*/ 4836197 w 12192000"/>
              <a:gd name="connsiteY11944" fmla="*/ 2495432 h 6858000"/>
              <a:gd name="connsiteX11945" fmla="*/ 6328340 w 12192000"/>
              <a:gd name="connsiteY11945" fmla="*/ 2495432 h 6858000"/>
              <a:gd name="connsiteX11946" fmla="*/ 6296124 w 12192000"/>
              <a:gd name="connsiteY11946" fmla="*/ 2465780 h 6858000"/>
              <a:gd name="connsiteX11947" fmla="*/ 6328340 w 12192000"/>
              <a:gd name="connsiteY11947" fmla="*/ 2436128 h 6858000"/>
              <a:gd name="connsiteX11948" fmla="*/ 6360545 w 12192000"/>
              <a:gd name="connsiteY11948" fmla="*/ 2465780 h 6858000"/>
              <a:gd name="connsiteX11949" fmla="*/ 6328340 w 12192000"/>
              <a:gd name="connsiteY11949" fmla="*/ 2495432 h 6858000"/>
              <a:gd name="connsiteX11950" fmla="*/ 6406875 w 12192000"/>
              <a:gd name="connsiteY11950" fmla="*/ 2495432 h 6858000"/>
              <a:gd name="connsiteX11951" fmla="*/ 6374658 w 12192000"/>
              <a:gd name="connsiteY11951" fmla="*/ 2465780 h 6858000"/>
              <a:gd name="connsiteX11952" fmla="*/ 6406875 w 12192000"/>
              <a:gd name="connsiteY11952" fmla="*/ 2436128 h 6858000"/>
              <a:gd name="connsiteX11953" fmla="*/ 6439079 w 12192000"/>
              <a:gd name="connsiteY11953" fmla="*/ 2465780 h 6858000"/>
              <a:gd name="connsiteX11954" fmla="*/ 6406875 w 12192000"/>
              <a:gd name="connsiteY11954" fmla="*/ 2495432 h 6858000"/>
              <a:gd name="connsiteX11955" fmla="*/ 6485408 w 12192000"/>
              <a:gd name="connsiteY11955" fmla="*/ 2495432 h 6858000"/>
              <a:gd name="connsiteX11956" fmla="*/ 6453191 w 12192000"/>
              <a:gd name="connsiteY11956" fmla="*/ 2465780 h 6858000"/>
              <a:gd name="connsiteX11957" fmla="*/ 6485408 w 12192000"/>
              <a:gd name="connsiteY11957" fmla="*/ 2436128 h 6858000"/>
              <a:gd name="connsiteX11958" fmla="*/ 6517612 w 12192000"/>
              <a:gd name="connsiteY11958" fmla="*/ 2465780 h 6858000"/>
              <a:gd name="connsiteX11959" fmla="*/ 6485408 w 12192000"/>
              <a:gd name="connsiteY11959" fmla="*/ 2495432 h 6858000"/>
              <a:gd name="connsiteX11960" fmla="*/ 6563942 w 12192000"/>
              <a:gd name="connsiteY11960" fmla="*/ 2495432 h 6858000"/>
              <a:gd name="connsiteX11961" fmla="*/ 6531726 w 12192000"/>
              <a:gd name="connsiteY11961" fmla="*/ 2465780 h 6858000"/>
              <a:gd name="connsiteX11962" fmla="*/ 6563942 w 12192000"/>
              <a:gd name="connsiteY11962" fmla="*/ 2436128 h 6858000"/>
              <a:gd name="connsiteX11963" fmla="*/ 6596146 w 12192000"/>
              <a:gd name="connsiteY11963" fmla="*/ 2465780 h 6858000"/>
              <a:gd name="connsiteX11964" fmla="*/ 6563942 w 12192000"/>
              <a:gd name="connsiteY11964" fmla="*/ 2495432 h 6858000"/>
              <a:gd name="connsiteX11965" fmla="*/ 6642476 w 12192000"/>
              <a:gd name="connsiteY11965" fmla="*/ 2495432 h 6858000"/>
              <a:gd name="connsiteX11966" fmla="*/ 6610260 w 12192000"/>
              <a:gd name="connsiteY11966" fmla="*/ 2465780 h 6858000"/>
              <a:gd name="connsiteX11967" fmla="*/ 6642476 w 12192000"/>
              <a:gd name="connsiteY11967" fmla="*/ 2436128 h 6858000"/>
              <a:gd name="connsiteX11968" fmla="*/ 6674681 w 12192000"/>
              <a:gd name="connsiteY11968" fmla="*/ 2465780 h 6858000"/>
              <a:gd name="connsiteX11969" fmla="*/ 6642476 w 12192000"/>
              <a:gd name="connsiteY11969" fmla="*/ 2495432 h 6858000"/>
              <a:gd name="connsiteX11970" fmla="*/ 6721010 w 12192000"/>
              <a:gd name="connsiteY11970" fmla="*/ 2495432 h 6858000"/>
              <a:gd name="connsiteX11971" fmla="*/ 6688793 w 12192000"/>
              <a:gd name="connsiteY11971" fmla="*/ 2465780 h 6858000"/>
              <a:gd name="connsiteX11972" fmla="*/ 6721010 w 12192000"/>
              <a:gd name="connsiteY11972" fmla="*/ 2436128 h 6858000"/>
              <a:gd name="connsiteX11973" fmla="*/ 6753214 w 12192000"/>
              <a:gd name="connsiteY11973" fmla="*/ 2465780 h 6858000"/>
              <a:gd name="connsiteX11974" fmla="*/ 6721010 w 12192000"/>
              <a:gd name="connsiteY11974" fmla="*/ 2495432 h 6858000"/>
              <a:gd name="connsiteX11975" fmla="*/ 6878077 w 12192000"/>
              <a:gd name="connsiteY11975" fmla="*/ 2495432 h 6858000"/>
              <a:gd name="connsiteX11976" fmla="*/ 6845861 w 12192000"/>
              <a:gd name="connsiteY11976" fmla="*/ 2465780 h 6858000"/>
              <a:gd name="connsiteX11977" fmla="*/ 6878077 w 12192000"/>
              <a:gd name="connsiteY11977" fmla="*/ 2436128 h 6858000"/>
              <a:gd name="connsiteX11978" fmla="*/ 6910281 w 12192000"/>
              <a:gd name="connsiteY11978" fmla="*/ 2465780 h 6858000"/>
              <a:gd name="connsiteX11979" fmla="*/ 6878077 w 12192000"/>
              <a:gd name="connsiteY11979" fmla="*/ 2495432 h 6858000"/>
              <a:gd name="connsiteX11980" fmla="*/ 6956611 w 12192000"/>
              <a:gd name="connsiteY11980" fmla="*/ 2495432 h 6858000"/>
              <a:gd name="connsiteX11981" fmla="*/ 6924395 w 12192000"/>
              <a:gd name="connsiteY11981" fmla="*/ 2465780 h 6858000"/>
              <a:gd name="connsiteX11982" fmla="*/ 6956611 w 12192000"/>
              <a:gd name="connsiteY11982" fmla="*/ 2436128 h 6858000"/>
              <a:gd name="connsiteX11983" fmla="*/ 6988816 w 12192000"/>
              <a:gd name="connsiteY11983" fmla="*/ 2465780 h 6858000"/>
              <a:gd name="connsiteX11984" fmla="*/ 6956611 w 12192000"/>
              <a:gd name="connsiteY11984" fmla="*/ 2495432 h 6858000"/>
              <a:gd name="connsiteX11985" fmla="*/ 7035146 w 12192000"/>
              <a:gd name="connsiteY11985" fmla="*/ 2495432 h 6858000"/>
              <a:gd name="connsiteX11986" fmla="*/ 7002929 w 12192000"/>
              <a:gd name="connsiteY11986" fmla="*/ 2465780 h 6858000"/>
              <a:gd name="connsiteX11987" fmla="*/ 7035146 w 12192000"/>
              <a:gd name="connsiteY11987" fmla="*/ 2436128 h 6858000"/>
              <a:gd name="connsiteX11988" fmla="*/ 7067350 w 12192000"/>
              <a:gd name="connsiteY11988" fmla="*/ 2465780 h 6858000"/>
              <a:gd name="connsiteX11989" fmla="*/ 7035146 w 12192000"/>
              <a:gd name="connsiteY11989" fmla="*/ 2495432 h 6858000"/>
              <a:gd name="connsiteX11990" fmla="*/ 8998516 w 12192000"/>
              <a:gd name="connsiteY11990" fmla="*/ 2495432 h 6858000"/>
              <a:gd name="connsiteX11991" fmla="*/ 8966300 w 12192000"/>
              <a:gd name="connsiteY11991" fmla="*/ 2465780 h 6858000"/>
              <a:gd name="connsiteX11992" fmla="*/ 8998516 w 12192000"/>
              <a:gd name="connsiteY11992" fmla="*/ 2436128 h 6858000"/>
              <a:gd name="connsiteX11993" fmla="*/ 9030720 w 12192000"/>
              <a:gd name="connsiteY11993" fmla="*/ 2465780 h 6858000"/>
              <a:gd name="connsiteX11994" fmla="*/ 8998516 w 12192000"/>
              <a:gd name="connsiteY11994" fmla="*/ 2495432 h 6858000"/>
              <a:gd name="connsiteX11995" fmla="*/ 9469719 w 12192000"/>
              <a:gd name="connsiteY11995" fmla="*/ 2495432 h 6858000"/>
              <a:gd name="connsiteX11996" fmla="*/ 9437503 w 12192000"/>
              <a:gd name="connsiteY11996" fmla="*/ 2465780 h 6858000"/>
              <a:gd name="connsiteX11997" fmla="*/ 9469719 w 12192000"/>
              <a:gd name="connsiteY11997" fmla="*/ 2436128 h 6858000"/>
              <a:gd name="connsiteX11998" fmla="*/ 9501924 w 12192000"/>
              <a:gd name="connsiteY11998" fmla="*/ 2465780 h 6858000"/>
              <a:gd name="connsiteX11999" fmla="*/ 9469719 w 12192000"/>
              <a:gd name="connsiteY11999" fmla="*/ 2495432 h 6858000"/>
              <a:gd name="connsiteX12000" fmla="*/ 9862389 w 12192000"/>
              <a:gd name="connsiteY12000" fmla="*/ 2495432 h 6858000"/>
              <a:gd name="connsiteX12001" fmla="*/ 9830172 w 12192000"/>
              <a:gd name="connsiteY12001" fmla="*/ 2465780 h 6858000"/>
              <a:gd name="connsiteX12002" fmla="*/ 9862389 w 12192000"/>
              <a:gd name="connsiteY12002" fmla="*/ 2436128 h 6858000"/>
              <a:gd name="connsiteX12003" fmla="*/ 9894593 w 12192000"/>
              <a:gd name="connsiteY12003" fmla="*/ 2465780 h 6858000"/>
              <a:gd name="connsiteX12004" fmla="*/ 9862389 w 12192000"/>
              <a:gd name="connsiteY12004" fmla="*/ 2495432 h 6858000"/>
              <a:gd name="connsiteX12005" fmla="*/ 9940923 w 12192000"/>
              <a:gd name="connsiteY12005" fmla="*/ 2495432 h 6858000"/>
              <a:gd name="connsiteX12006" fmla="*/ 9908707 w 12192000"/>
              <a:gd name="connsiteY12006" fmla="*/ 2465780 h 6858000"/>
              <a:gd name="connsiteX12007" fmla="*/ 9940923 w 12192000"/>
              <a:gd name="connsiteY12007" fmla="*/ 2436128 h 6858000"/>
              <a:gd name="connsiteX12008" fmla="*/ 9973127 w 12192000"/>
              <a:gd name="connsiteY12008" fmla="*/ 2465780 h 6858000"/>
              <a:gd name="connsiteX12009" fmla="*/ 9940923 w 12192000"/>
              <a:gd name="connsiteY12009" fmla="*/ 2495432 h 6858000"/>
              <a:gd name="connsiteX12010" fmla="*/ 10019456 w 12192000"/>
              <a:gd name="connsiteY12010" fmla="*/ 2495432 h 6858000"/>
              <a:gd name="connsiteX12011" fmla="*/ 9987240 w 12192000"/>
              <a:gd name="connsiteY12011" fmla="*/ 2465780 h 6858000"/>
              <a:gd name="connsiteX12012" fmla="*/ 10019456 w 12192000"/>
              <a:gd name="connsiteY12012" fmla="*/ 2436128 h 6858000"/>
              <a:gd name="connsiteX12013" fmla="*/ 10051660 w 12192000"/>
              <a:gd name="connsiteY12013" fmla="*/ 2465780 h 6858000"/>
              <a:gd name="connsiteX12014" fmla="*/ 10019456 w 12192000"/>
              <a:gd name="connsiteY12014" fmla="*/ 2495432 h 6858000"/>
              <a:gd name="connsiteX12015" fmla="*/ 10097990 w 12192000"/>
              <a:gd name="connsiteY12015" fmla="*/ 2495432 h 6858000"/>
              <a:gd name="connsiteX12016" fmla="*/ 10065774 w 12192000"/>
              <a:gd name="connsiteY12016" fmla="*/ 2465780 h 6858000"/>
              <a:gd name="connsiteX12017" fmla="*/ 10097990 w 12192000"/>
              <a:gd name="connsiteY12017" fmla="*/ 2436128 h 6858000"/>
              <a:gd name="connsiteX12018" fmla="*/ 10130195 w 12192000"/>
              <a:gd name="connsiteY12018" fmla="*/ 2465780 h 6858000"/>
              <a:gd name="connsiteX12019" fmla="*/ 10097990 w 12192000"/>
              <a:gd name="connsiteY12019" fmla="*/ 2495432 h 6858000"/>
              <a:gd name="connsiteX12020" fmla="*/ 10333592 w 12192000"/>
              <a:gd name="connsiteY12020" fmla="*/ 2495432 h 6858000"/>
              <a:gd name="connsiteX12021" fmla="*/ 10301376 w 12192000"/>
              <a:gd name="connsiteY12021" fmla="*/ 2465780 h 6858000"/>
              <a:gd name="connsiteX12022" fmla="*/ 10333592 w 12192000"/>
              <a:gd name="connsiteY12022" fmla="*/ 2436128 h 6858000"/>
              <a:gd name="connsiteX12023" fmla="*/ 10365796 w 12192000"/>
              <a:gd name="connsiteY12023" fmla="*/ 2465780 h 6858000"/>
              <a:gd name="connsiteX12024" fmla="*/ 10333592 w 12192000"/>
              <a:gd name="connsiteY12024" fmla="*/ 2495432 h 6858000"/>
              <a:gd name="connsiteX12025" fmla="*/ 3658183 w 12192000"/>
              <a:gd name="connsiteY12025" fmla="*/ 2423168 h 6858000"/>
              <a:gd name="connsiteX12026" fmla="*/ 3625972 w 12192000"/>
              <a:gd name="connsiteY12026" fmla="*/ 2393515 h 6858000"/>
              <a:gd name="connsiteX12027" fmla="*/ 3658183 w 12192000"/>
              <a:gd name="connsiteY12027" fmla="*/ 2363863 h 6858000"/>
              <a:gd name="connsiteX12028" fmla="*/ 3690393 w 12192000"/>
              <a:gd name="connsiteY12028" fmla="*/ 2393515 h 6858000"/>
              <a:gd name="connsiteX12029" fmla="*/ 3658183 w 12192000"/>
              <a:gd name="connsiteY12029" fmla="*/ 2423168 h 6858000"/>
              <a:gd name="connsiteX12030" fmla="*/ 3736717 w 12192000"/>
              <a:gd name="connsiteY12030" fmla="*/ 2423168 h 6858000"/>
              <a:gd name="connsiteX12031" fmla="*/ 3704507 w 12192000"/>
              <a:gd name="connsiteY12031" fmla="*/ 2393515 h 6858000"/>
              <a:gd name="connsiteX12032" fmla="*/ 3736717 w 12192000"/>
              <a:gd name="connsiteY12032" fmla="*/ 2363863 h 6858000"/>
              <a:gd name="connsiteX12033" fmla="*/ 3768927 w 12192000"/>
              <a:gd name="connsiteY12033" fmla="*/ 2393515 h 6858000"/>
              <a:gd name="connsiteX12034" fmla="*/ 3736717 w 12192000"/>
              <a:gd name="connsiteY12034" fmla="*/ 2423168 h 6858000"/>
              <a:gd name="connsiteX12035" fmla="*/ 3815250 w 12192000"/>
              <a:gd name="connsiteY12035" fmla="*/ 2423168 h 6858000"/>
              <a:gd name="connsiteX12036" fmla="*/ 3783040 w 12192000"/>
              <a:gd name="connsiteY12036" fmla="*/ 2393515 h 6858000"/>
              <a:gd name="connsiteX12037" fmla="*/ 3815250 w 12192000"/>
              <a:gd name="connsiteY12037" fmla="*/ 2363863 h 6858000"/>
              <a:gd name="connsiteX12038" fmla="*/ 3847461 w 12192000"/>
              <a:gd name="connsiteY12038" fmla="*/ 2393515 h 6858000"/>
              <a:gd name="connsiteX12039" fmla="*/ 3815250 w 12192000"/>
              <a:gd name="connsiteY12039" fmla="*/ 2423168 h 6858000"/>
              <a:gd name="connsiteX12040" fmla="*/ 3893785 w 12192000"/>
              <a:gd name="connsiteY12040" fmla="*/ 2423168 h 6858000"/>
              <a:gd name="connsiteX12041" fmla="*/ 3861574 w 12192000"/>
              <a:gd name="connsiteY12041" fmla="*/ 2393515 h 6858000"/>
              <a:gd name="connsiteX12042" fmla="*/ 3893785 w 12192000"/>
              <a:gd name="connsiteY12042" fmla="*/ 2363863 h 6858000"/>
              <a:gd name="connsiteX12043" fmla="*/ 3925995 w 12192000"/>
              <a:gd name="connsiteY12043" fmla="*/ 2393515 h 6858000"/>
              <a:gd name="connsiteX12044" fmla="*/ 3893785 w 12192000"/>
              <a:gd name="connsiteY12044" fmla="*/ 2423168 h 6858000"/>
              <a:gd name="connsiteX12045" fmla="*/ 3972319 w 12192000"/>
              <a:gd name="connsiteY12045" fmla="*/ 2423168 h 6858000"/>
              <a:gd name="connsiteX12046" fmla="*/ 3940108 w 12192000"/>
              <a:gd name="connsiteY12046" fmla="*/ 2393515 h 6858000"/>
              <a:gd name="connsiteX12047" fmla="*/ 3972319 w 12192000"/>
              <a:gd name="connsiteY12047" fmla="*/ 2363863 h 6858000"/>
              <a:gd name="connsiteX12048" fmla="*/ 4004529 w 12192000"/>
              <a:gd name="connsiteY12048" fmla="*/ 2393515 h 6858000"/>
              <a:gd name="connsiteX12049" fmla="*/ 3972319 w 12192000"/>
              <a:gd name="connsiteY12049" fmla="*/ 2423168 h 6858000"/>
              <a:gd name="connsiteX12050" fmla="*/ 4050852 w 12192000"/>
              <a:gd name="connsiteY12050" fmla="*/ 2423168 h 6858000"/>
              <a:gd name="connsiteX12051" fmla="*/ 4018642 w 12192000"/>
              <a:gd name="connsiteY12051" fmla="*/ 2393515 h 6858000"/>
              <a:gd name="connsiteX12052" fmla="*/ 4050852 w 12192000"/>
              <a:gd name="connsiteY12052" fmla="*/ 2363863 h 6858000"/>
              <a:gd name="connsiteX12053" fmla="*/ 4083062 w 12192000"/>
              <a:gd name="connsiteY12053" fmla="*/ 2393515 h 6858000"/>
              <a:gd name="connsiteX12054" fmla="*/ 4050852 w 12192000"/>
              <a:gd name="connsiteY12054" fmla="*/ 2423168 h 6858000"/>
              <a:gd name="connsiteX12055" fmla="*/ 4129386 w 12192000"/>
              <a:gd name="connsiteY12055" fmla="*/ 2423168 h 6858000"/>
              <a:gd name="connsiteX12056" fmla="*/ 4097176 w 12192000"/>
              <a:gd name="connsiteY12056" fmla="*/ 2393515 h 6858000"/>
              <a:gd name="connsiteX12057" fmla="*/ 4129386 w 12192000"/>
              <a:gd name="connsiteY12057" fmla="*/ 2363863 h 6858000"/>
              <a:gd name="connsiteX12058" fmla="*/ 4161597 w 12192000"/>
              <a:gd name="connsiteY12058" fmla="*/ 2393515 h 6858000"/>
              <a:gd name="connsiteX12059" fmla="*/ 4129386 w 12192000"/>
              <a:gd name="connsiteY12059" fmla="*/ 2423168 h 6858000"/>
              <a:gd name="connsiteX12060" fmla="*/ 4207926 w 12192000"/>
              <a:gd name="connsiteY12060" fmla="*/ 2423168 h 6858000"/>
              <a:gd name="connsiteX12061" fmla="*/ 4175715 w 12192000"/>
              <a:gd name="connsiteY12061" fmla="*/ 2393515 h 6858000"/>
              <a:gd name="connsiteX12062" fmla="*/ 4207926 w 12192000"/>
              <a:gd name="connsiteY12062" fmla="*/ 2363863 h 6858000"/>
              <a:gd name="connsiteX12063" fmla="*/ 4240136 w 12192000"/>
              <a:gd name="connsiteY12063" fmla="*/ 2393515 h 6858000"/>
              <a:gd name="connsiteX12064" fmla="*/ 4207926 w 12192000"/>
              <a:gd name="connsiteY12064" fmla="*/ 2423168 h 6858000"/>
              <a:gd name="connsiteX12065" fmla="*/ 4286460 w 12192000"/>
              <a:gd name="connsiteY12065" fmla="*/ 2423168 h 6858000"/>
              <a:gd name="connsiteX12066" fmla="*/ 4254250 w 12192000"/>
              <a:gd name="connsiteY12066" fmla="*/ 2393515 h 6858000"/>
              <a:gd name="connsiteX12067" fmla="*/ 4286460 w 12192000"/>
              <a:gd name="connsiteY12067" fmla="*/ 2363863 h 6858000"/>
              <a:gd name="connsiteX12068" fmla="*/ 4318670 w 12192000"/>
              <a:gd name="connsiteY12068" fmla="*/ 2393515 h 6858000"/>
              <a:gd name="connsiteX12069" fmla="*/ 4286460 w 12192000"/>
              <a:gd name="connsiteY12069" fmla="*/ 2423168 h 6858000"/>
              <a:gd name="connsiteX12070" fmla="*/ 4364994 w 12192000"/>
              <a:gd name="connsiteY12070" fmla="*/ 2423168 h 6858000"/>
              <a:gd name="connsiteX12071" fmla="*/ 4332784 w 12192000"/>
              <a:gd name="connsiteY12071" fmla="*/ 2393515 h 6858000"/>
              <a:gd name="connsiteX12072" fmla="*/ 4364994 w 12192000"/>
              <a:gd name="connsiteY12072" fmla="*/ 2363863 h 6858000"/>
              <a:gd name="connsiteX12073" fmla="*/ 4397204 w 12192000"/>
              <a:gd name="connsiteY12073" fmla="*/ 2393515 h 6858000"/>
              <a:gd name="connsiteX12074" fmla="*/ 4364994 w 12192000"/>
              <a:gd name="connsiteY12074" fmla="*/ 2423168 h 6858000"/>
              <a:gd name="connsiteX12075" fmla="*/ 4443527 w 12192000"/>
              <a:gd name="connsiteY12075" fmla="*/ 2423168 h 6858000"/>
              <a:gd name="connsiteX12076" fmla="*/ 4411317 w 12192000"/>
              <a:gd name="connsiteY12076" fmla="*/ 2393515 h 6858000"/>
              <a:gd name="connsiteX12077" fmla="*/ 4443527 w 12192000"/>
              <a:gd name="connsiteY12077" fmla="*/ 2363863 h 6858000"/>
              <a:gd name="connsiteX12078" fmla="*/ 4475738 w 12192000"/>
              <a:gd name="connsiteY12078" fmla="*/ 2393515 h 6858000"/>
              <a:gd name="connsiteX12079" fmla="*/ 4443527 w 12192000"/>
              <a:gd name="connsiteY12079" fmla="*/ 2423168 h 6858000"/>
              <a:gd name="connsiteX12080" fmla="*/ 4522062 w 12192000"/>
              <a:gd name="connsiteY12080" fmla="*/ 2423168 h 6858000"/>
              <a:gd name="connsiteX12081" fmla="*/ 4489851 w 12192000"/>
              <a:gd name="connsiteY12081" fmla="*/ 2393515 h 6858000"/>
              <a:gd name="connsiteX12082" fmla="*/ 4522062 w 12192000"/>
              <a:gd name="connsiteY12082" fmla="*/ 2363863 h 6858000"/>
              <a:gd name="connsiteX12083" fmla="*/ 4554272 w 12192000"/>
              <a:gd name="connsiteY12083" fmla="*/ 2393515 h 6858000"/>
              <a:gd name="connsiteX12084" fmla="*/ 4522062 w 12192000"/>
              <a:gd name="connsiteY12084" fmla="*/ 2423168 h 6858000"/>
              <a:gd name="connsiteX12085" fmla="*/ 4600596 w 12192000"/>
              <a:gd name="connsiteY12085" fmla="*/ 2423168 h 6858000"/>
              <a:gd name="connsiteX12086" fmla="*/ 4568386 w 12192000"/>
              <a:gd name="connsiteY12086" fmla="*/ 2393515 h 6858000"/>
              <a:gd name="connsiteX12087" fmla="*/ 4600596 w 12192000"/>
              <a:gd name="connsiteY12087" fmla="*/ 2363863 h 6858000"/>
              <a:gd name="connsiteX12088" fmla="*/ 4632806 w 12192000"/>
              <a:gd name="connsiteY12088" fmla="*/ 2393515 h 6858000"/>
              <a:gd name="connsiteX12089" fmla="*/ 4600596 w 12192000"/>
              <a:gd name="connsiteY12089" fmla="*/ 2423168 h 6858000"/>
              <a:gd name="connsiteX12090" fmla="*/ 4679129 w 12192000"/>
              <a:gd name="connsiteY12090" fmla="*/ 2423168 h 6858000"/>
              <a:gd name="connsiteX12091" fmla="*/ 4646919 w 12192000"/>
              <a:gd name="connsiteY12091" fmla="*/ 2393515 h 6858000"/>
              <a:gd name="connsiteX12092" fmla="*/ 4679129 w 12192000"/>
              <a:gd name="connsiteY12092" fmla="*/ 2363863 h 6858000"/>
              <a:gd name="connsiteX12093" fmla="*/ 4711339 w 12192000"/>
              <a:gd name="connsiteY12093" fmla="*/ 2393515 h 6858000"/>
              <a:gd name="connsiteX12094" fmla="*/ 4679129 w 12192000"/>
              <a:gd name="connsiteY12094" fmla="*/ 2423168 h 6858000"/>
              <a:gd name="connsiteX12095" fmla="*/ 4757663 w 12192000"/>
              <a:gd name="connsiteY12095" fmla="*/ 2423168 h 6858000"/>
              <a:gd name="connsiteX12096" fmla="*/ 4725453 w 12192000"/>
              <a:gd name="connsiteY12096" fmla="*/ 2393515 h 6858000"/>
              <a:gd name="connsiteX12097" fmla="*/ 4757663 w 12192000"/>
              <a:gd name="connsiteY12097" fmla="*/ 2363863 h 6858000"/>
              <a:gd name="connsiteX12098" fmla="*/ 4789874 w 12192000"/>
              <a:gd name="connsiteY12098" fmla="*/ 2393515 h 6858000"/>
              <a:gd name="connsiteX12099" fmla="*/ 4757663 w 12192000"/>
              <a:gd name="connsiteY12099" fmla="*/ 2423168 h 6858000"/>
              <a:gd name="connsiteX12100" fmla="*/ 4836197 w 12192000"/>
              <a:gd name="connsiteY12100" fmla="*/ 2423168 h 6858000"/>
              <a:gd name="connsiteX12101" fmla="*/ 4803986 w 12192000"/>
              <a:gd name="connsiteY12101" fmla="*/ 2393515 h 6858000"/>
              <a:gd name="connsiteX12102" fmla="*/ 4836197 w 12192000"/>
              <a:gd name="connsiteY12102" fmla="*/ 2363863 h 6858000"/>
              <a:gd name="connsiteX12103" fmla="*/ 4868407 w 12192000"/>
              <a:gd name="connsiteY12103" fmla="*/ 2393515 h 6858000"/>
              <a:gd name="connsiteX12104" fmla="*/ 4836197 w 12192000"/>
              <a:gd name="connsiteY12104" fmla="*/ 2423168 h 6858000"/>
              <a:gd name="connsiteX12105" fmla="*/ 4914731 w 12192000"/>
              <a:gd name="connsiteY12105" fmla="*/ 2423168 h 6858000"/>
              <a:gd name="connsiteX12106" fmla="*/ 4882521 w 12192000"/>
              <a:gd name="connsiteY12106" fmla="*/ 2393515 h 6858000"/>
              <a:gd name="connsiteX12107" fmla="*/ 4914731 w 12192000"/>
              <a:gd name="connsiteY12107" fmla="*/ 2363863 h 6858000"/>
              <a:gd name="connsiteX12108" fmla="*/ 4946941 w 12192000"/>
              <a:gd name="connsiteY12108" fmla="*/ 2393515 h 6858000"/>
              <a:gd name="connsiteX12109" fmla="*/ 4914731 w 12192000"/>
              <a:gd name="connsiteY12109" fmla="*/ 2423168 h 6858000"/>
              <a:gd name="connsiteX12110" fmla="*/ 6328340 w 12192000"/>
              <a:gd name="connsiteY12110" fmla="*/ 2423168 h 6858000"/>
              <a:gd name="connsiteX12111" fmla="*/ 6296124 w 12192000"/>
              <a:gd name="connsiteY12111" fmla="*/ 2393515 h 6858000"/>
              <a:gd name="connsiteX12112" fmla="*/ 6328340 w 12192000"/>
              <a:gd name="connsiteY12112" fmla="*/ 2363863 h 6858000"/>
              <a:gd name="connsiteX12113" fmla="*/ 6360545 w 12192000"/>
              <a:gd name="connsiteY12113" fmla="*/ 2393515 h 6858000"/>
              <a:gd name="connsiteX12114" fmla="*/ 6328340 w 12192000"/>
              <a:gd name="connsiteY12114" fmla="*/ 2423168 h 6858000"/>
              <a:gd name="connsiteX12115" fmla="*/ 6406875 w 12192000"/>
              <a:gd name="connsiteY12115" fmla="*/ 2423168 h 6858000"/>
              <a:gd name="connsiteX12116" fmla="*/ 6374658 w 12192000"/>
              <a:gd name="connsiteY12116" fmla="*/ 2393515 h 6858000"/>
              <a:gd name="connsiteX12117" fmla="*/ 6406875 w 12192000"/>
              <a:gd name="connsiteY12117" fmla="*/ 2363863 h 6858000"/>
              <a:gd name="connsiteX12118" fmla="*/ 6439079 w 12192000"/>
              <a:gd name="connsiteY12118" fmla="*/ 2393515 h 6858000"/>
              <a:gd name="connsiteX12119" fmla="*/ 6406875 w 12192000"/>
              <a:gd name="connsiteY12119" fmla="*/ 2423168 h 6858000"/>
              <a:gd name="connsiteX12120" fmla="*/ 6485408 w 12192000"/>
              <a:gd name="connsiteY12120" fmla="*/ 2423168 h 6858000"/>
              <a:gd name="connsiteX12121" fmla="*/ 6453191 w 12192000"/>
              <a:gd name="connsiteY12121" fmla="*/ 2393515 h 6858000"/>
              <a:gd name="connsiteX12122" fmla="*/ 6485408 w 12192000"/>
              <a:gd name="connsiteY12122" fmla="*/ 2363863 h 6858000"/>
              <a:gd name="connsiteX12123" fmla="*/ 6517612 w 12192000"/>
              <a:gd name="connsiteY12123" fmla="*/ 2393515 h 6858000"/>
              <a:gd name="connsiteX12124" fmla="*/ 6485408 w 12192000"/>
              <a:gd name="connsiteY12124" fmla="*/ 2423168 h 6858000"/>
              <a:gd name="connsiteX12125" fmla="*/ 6563942 w 12192000"/>
              <a:gd name="connsiteY12125" fmla="*/ 2423168 h 6858000"/>
              <a:gd name="connsiteX12126" fmla="*/ 6531726 w 12192000"/>
              <a:gd name="connsiteY12126" fmla="*/ 2393515 h 6858000"/>
              <a:gd name="connsiteX12127" fmla="*/ 6563942 w 12192000"/>
              <a:gd name="connsiteY12127" fmla="*/ 2363863 h 6858000"/>
              <a:gd name="connsiteX12128" fmla="*/ 6596146 w 12192000"/>
              <a:gd name="connsiteY12128" fmla="*/ 2393515 h 6858000"/>
              <a:gd name="connsiteX12129" fmla="*/ 6563942 w 12192000"/>
              <a:gd name="connsiteY12129" fmla="*/ 2423168 h 6858000"/>
              <a:gd name="connsiteX12130" fmla="*/ 6642476 w 12192000"/>
              <a:gd name="connsiteY12130" fmla="*/ 2423168 h 6858000"/>
              <a:gd name="connsiteX12131" fmla="*/ 6610260 w 12192000"/>
              <a:gd name="connsiteY12131" fmla="*/ 2393515 h 6858000"/>
              <a:gd name="connsiteX12132" fmla="*/ 6642476 w 12192000"/>
              <a:gd name="connsiteY12132" fmla="*/ 2363863 h 6858000"/>
              <a:gd name="connsiteX12133" fmla="*/ 6674681 w 12192000"/>
              <a:gd name="connsiteY12133" fmla="*/ 2393515 h 6858000"/>
              <a:gd name="connsiteX12134" fmla="*/ 6642476 w 12192000"/>
              <a:gd name="connsiteY12134" fmla="*/ 2423168 h 6858000"/>
              <a:gd name="connsiteX12135" fmla="*/ 6721010 w 12192000"/>
              <a:gd name="connsiteY12135" fmla="*/ 2423168 h 6858000"/>
              <a:gd name="connsiteX12136" fmla="*/ 6688793 w 12192000"/>
              <a:gd name="connsiteY12136" fmla="*/ 2393515 h 6858000"/>
              <a:gd name="connsiteX12137" fmla="*/ 6721010 w 12192000"/>
              <a:gd name="connsiteY12137" fmla="*/ 2363863 h 6858000"/>
              <a:gd name="connsiteX12138" fmla="*/ 6753214 w 12192000"/>
              <a:gd name="connsiteY12138" fmla="*/ 2393515 h 6858000"/>
              <a:gd name="connsiteX12139" fmla="*/ 6721010 w 12192000"/>
              <a:gd name="connsiteY12139" fmla="*/ 2423168 h 6858000"/>
              <a:gd name="connsiteX12140" fmla="*/ 6878077 w 12192000"/>
              <a:gd name="connsiteY12140" fmla="*/ 2423168 h 6858000"/>
              <a:gd name="connsiteX12141" fmla="*/ 6845861 w 12192000"/>
              <a:gd name="connsiteY12141" fmla="*/ 2393515 h 6858000"/>
              <a:gd name="connsiteX12142" fmla="*/ 6878077 w 12192000"/>
              <a:gd name="connsiteY12142" fmla="*/ 2363863 h 6858000"/>
              <a:gd name="connsiteX12143" fmla="*/ 6910281 w 12192000"/>
              <a:gd name="connsiteY12143" fmla="*/ 2393515 h 6858000"/>
              <a:gd name="connsiteX12144" fmla="*/ 6878077 w 12192000"/>
              <a:gd name="connsiteY12144" fmla="*/ 2423168 h 6858000"/>
              <a:gd name="connsiteX12145" fmla="*/ 6956611 w 12192000"/>
              <a:gd name="connsiteY12145" fmla="*/ 2423168 h 6858000"/>
              <a:gd name="connsiteX12146" fmla="*/ 6924395 w 12192000"/>
              <a:gd name="connsiteY12146" fmla="*/ 2393515 h 6858000"/>
              <a:gd name="connsiteX12147" fmla="*/ 6956611 w 12192000"/>
              <a:gd name="connsiteY12147" fmla="*/ 2363863 h 6858000"/>
              <a:gd name="connsiteX12148" fmla="*/ 6988816 w 12192000"/>
              <a:gd name="connsiteY12148" fmla="*/ 2393515 h 6858000"/>
              <a:gd name="connsiteX12149" fmla="*/ 6956611 w 12192000"/>
              <a:gd name="connsiteY12149" fmla="*/ 2423168 h 6858000"/>
              <a:gd name="connsiteX12150" fmla="*/ 7035146 w 12192000"/>
              <a:gd name="connsiteY12150" fmla="*/ 2423168 h 6858000"/>
              <a:gd name="connsiteX12151" fmla="*/ 7002929 w 12192000"/>
              <a:gd name="connsiteY12151" fmla="*/ 2393515 h 6858000"/>
              <a:gd name="connsiteX12152" fmla="*/ 7035146 w 12192000"/>
              <a:gd name="connsiteY12152" fmla="*/ 2363863 h 6858000"/>
              <a:gd name="connsiteX12153" fmla="*/ 7067350 w 12192000"/>
              <a:gd name="connsiteY12153" fmla="*/ 2393515 h 6858000"/>
              <a:gd name="connsiteX12154" fmla="*/ 7035146 w 12192000"/>
              <a:gd name="connsiteY12154" fmla="*/ 2423168 h 6858000"/>
              <a:gd name="connsiteX12155" fmla="*/ 9077050 w 12192000"/>
              <a:gd name="connsiteY12155" fmla="*/ 2423168 h 6858000"/>
              <a:gd name="connsiteX12156" fmla="*/ 9044834 w 12192000"/>
              <a:gd name="connsiteY12156" fmla="*/ 2393515 h 6858000"/>
              <a:gd name="connsiteX12157" fmla="*/ 9077050 w 12192000"/>
              <a:gd name="connsiteY12157" fmla="*/ 2363863 h 6858000"/>
              <a:gd name="connsiteX12158" fmla="*/ 9109254 w 12192000"/>
              <a:gd name="connsiteY12158" fmla="*/ 2393515 h 6858000"/>
              <a:gd name="connsiteX12159" fmla="*/ 9077050 w 12192000"/>
              <a:gd name="connsiteY12159" fmla="*/ 2423168 h 6858000"/>
              <a:gd name="connsiteX12160" fmla="*/ 9155583 w 12192000"/>
              <a:gd name="connsiteY12160" fmla="*/ 2423168 h 6858000"/>
              <a:gd name="connsiteX12161" fmla="*/ 9123367 w 12192000"/>
              <a:gd name="connsiteY12161" fmla="*/ 2393515 h 6858000"/>
              <a:gd name="connsiteX12162" fmla="*/ 9155583 w 12192000"/>
              <a:gd name="connsiteY12162" fmla="*/ 2363863 h 6858000"/>
              <a:gd name="connsiteX12163" fmla="*/ 9187788 w 12192000"/>
              <a:gd name="connsiteY12163" fmla="*/ 2393515 h 6858000"/>
              <a:gd name="connsiteX12164" fmla="*/ 9155583 w 12192000"/>
              <a:gd name="connsiteY12164" fmla="*/ 2423168 h 6858000"/>
              <a:gd name="connsiteX12165" fmla="*/ 9234118 w 12192000"/>
              <a:gd name="connsiteY12165" fmla="*/ 2423168 h 6858000"/>
              <a:gd name="connsiteX12166" fmla="*/ 9201901 w 12192000"/>
              <a:gd name="connsiteY12166" fmla="*/ 2393515 h 6858000"/>
              <a:gd name="connsiteX12167" fmla="*/ 9234118 w 12192000"/>
              <a:gd name="connsiteY12167" fmla="*/ 2363863 h 6858000"/>
              <a:gd name="connsiteX12168" fmla="*/ 9266322 w 12192000"/>
              <a:gd name="connsiteY12168" fmla="*/ 2393515 h 6858000"/>
              <a:gd name="connsiteX12169" fmla="*/ 9234118 w 12192000"/>
              <a:gd name="connsiteY12169" fmla="*/ 2423168 h 6858000"/>
              <a:gd name="connsiteX12170" fmla="*/ 10019456 w 12192000"/>
              <a:gd name="connsiteY12170" fmla="*/ 2423168 h 6858000"/>
              <a:gd name="connsiteX12171" fmla="*/ 9987240 w 12192000"/>
              <a:gd name="connsiteY12171" fmla="*/ 2393515 h 6858000"/>
              <a:gd name="connsiteX12172" fmla="*/ 10019456 w 12192000"/>
              <a:gd name="connsiteY12172" fmla="*/ 2363863 h 6858000"/>
              <a:gd name="connsiteX12173" fmla="*/ 10051660 w 12192000"/>
              <a:gd name="connsiteY12173" fmla="*/ 2393515 h 6858000"/>
              <a:gd name="connsiteX12174" fmla="*/ 10019456 w 12192000"/>
              <a:gd name="connsiteY12174" fmla="*/ 2423168 h 6858000"/>
              <a:gd name="connsiteX12175" fmla="*/ 10097990 w 12192000"/>
              <a:gd name="connsiteY12175" fmla="*/ 2423168 h 6858000"/>
              <a:gd name="connsiteX12176" fmla="*/ 10065774 w 12192000"/>
              <a:gd name="connsiteY12176" fmla="*/ 2393515 h 6858000"/>
              <a:gd name="connsiteX12177" fmla="*/ 10097990 w 12192000"/>
              <a:gd name="connsiteY12177" fmla="*/ 2363863 h 6858000"/>
              <a:gd name="connsiteX12178" fmla="*/ 10130195 w 12192000"/>
              <a:gd name="connsiteY12178" fmla="*/ 2393515 h 6858000"/>
              <a:gd name="connsiteX12179" fmla="*/ 10097990 w 12192000"/>
              <a:gd name="connsiteY12179" fmla="*/ 2423168 h 6858000"/>
              <a:gd name="connsiteX12180" fmla="*/ 10176524 w 12192000"/>
              <a:gd name="connsiteY12180" fmla="*/ 2423168 h 6858000"/>
              <a:gd name="connsiteX12181" fmla="*/ 10144307 w 12192000"/>
              <a:gd name="connsiteY12181" fmla="*/ 2393515 h 6858000"/>
              <a:gd name="connsiteX12182" fmla="*/ 10176524 w 12192000"/>
              <a:gd name="connsiteY12182" fmla="*/ 2363863 h 6858000"/>
              <a:gd name="connsiteX12183" fmla="*/ 10208728 w 12192000"/>
              <a:gd name="connsiteY12183" fmla="*/ 2393515 h 6858000"/>
              <a:gd name="connsiteX12184" fmla="*/ 10176524 w 12192000"/>
              <a:gd name="connsiteY12184" fmla="*/ 2423168 h 6858000"/>
              <a:gd name="connsiteX12185" fmla="*/ 10490660 w 12192000"/>
              <a:gd name="connsiteY12185" fmla="*/ 2423168 h 6858000"/>
              <a:gd name="connsiteX12186" fmla="*/ 10458443 w 12192000"/>
              <a:gd name="connsiteY12186" fmla="*/ 2393515 h 6858000"/>
              <a:gd name="connsiteX12187" fmla="*/ 10490660 w 12192000"/>
              <a:gd name="connsiteY12187" fmla="*/ 2363863 h 6858000"/>
              <a:gd name="connsiteX12188" fmla="*/ 10522864 w 12192000"/>
              <a:gd name="connsiteY12188" fmla="*/ 2393515 h 6858000"/>
              <a:gd name="connsiteX12189" fmla="*/ 10490660 w 12192000"/>
              <a:gd name="connsiteY12189" fmla="*/ 2423168 h 6858000"/>
              <a:gd name="connsiteX12190" fmla="*/ 10569194 w 12192000"/>
              <a:gd name="connsiteY12190" fmla="*/ 2423168 h 6858000"/>
              <a:gd name="connsiteX12191" fmla="*/ 10536978 w 12192000"/>
              <a:gd name="connsiteY12191" fmla="*/ 2393515 h 6858000"/>
              <a:gd name="connsiteX12192" fmla="*/ 10569194 w 12192000"/>
              <a:gd name="connsiteY12192" fmla="*/ 2363863 h 6858000"/>
              <a:gd name="connsiteX12193" fmla="*/ 10601398 w 12192000"/>
              <a:gd name="connsiteY12193" fmla="*/ 2393515 h 6858000"/>
              <a:gd name="connsiteX12194" fmla="*/ 10569194 w 12192000"/>
              <a:gd name="connsiteY12194" fmla="*/ 2423168 h 6858000"/>
              <a:gd name="connsiteX12195" fmla="*/ 3736717 w 12192000"/>
              <a:gd name="connsiteY12195" fmla="*/ 2350902 h 6858000"/>
              <a:gd name="connsiteX12196" fmla="*/ 3704507 w 12192000"/>
              <a:gd name="connsiteY12196" fmla="*/ 2321250 h 6858000"/>
              <a:gd name="connsiteX12197" fmla="*/ 3736717 w 12192000"/>
              <a:gd name="connsiteY12197" fmla="*/ 2291598 h 6858000"/>
              <a:gd name="connsiteX12198" fmla="*/ 3768927 w 12192000"/>
              <a:gd name="connsiteY12198" fmla="*/ 2321250 h 6858000"/>
              <a:gd name="connsiteX12199" fmla="*/ 3736717 w 12192000"/>
              <a:gd name="connsiteY12199" fmla="*/ 2350902 h 6858000"/>
              <a:gd name="connsiteX12200" fmla="*/ 3815250 w 12192000"/>
              <a:gd name="connsiteY12200" fmla="*/ 2350902 h 6858000"/>
              <a:gd name="connsiteX12201" fmla="*/ 3783040 w 12192000"/>
              <a:gd name="connsiteY12201" fmla="*/ 2321250 h 6858000"/>
              <a:gd name="connsiteX12202" fmla="*/ 3815250 w 12192000"/>
              <a:gd name="connsiteY12202" fmla="*/ 2291598 h 6858000"/>
              <a:gd name="connsiteX12203" fmla="*/ 3847461 w 12192000"/>
              <a:gd name="connsiteY12203" fmla="*/ 2321250 h 6858000"/>
              <a:gd name="connsiteX12204" fmla="*/ 3815250 w 12192000"/>
              <a:gd name="connsiteY12204" fmla="*/ 2350902 h 6858000"/>
              <a:gd name="connsiteX12205" fmla="*/ 3893785 w 12192000"/>
              <a:gd name="connsiteY12205" fmla="*/ 2350902 h 6858000"/>
              <a:gd name="connsiteX12206" fmla="*/ 3861574 w 12192000"/>
              <a:gd name="connsiteY12206" fmla="*/ 2321250 h 6858000"/>
              <a:gd name="connsiteX12207" fmla="*/ 3893785 w 12192000"/>
              <a:gd name="connsiteY12207" fmla="*/ 2291598 h 6858000"/>
              <a:gd name="connsiteX12208" fmla="*/ 3925995 w 12192000"/>
              <a:gd name="connsiteY12208" fmla="*/ 2321250 h 6858000"/>
              <a:gd name="connsiteX12209" fmla="*/ 3893785 w 12192000"/>
              <a:gd name="connsiteY12209" fmla="*/ 2350902 h 6858000"/>
              <a:gd name="connsiteX12210" fmla="*/ 3972319 w 12192000"/>
              <a:gd name="connsiteY12210" fmla="*/ 2350902 h 6858000"/>
              <a:gd name="connsiteX12211" fmla="*/ 3940108 w 12192000"/>
              <a:gd name="connsiteY12211" fmla="*/ 2321250 h 6858000"/>
              <a:gd name="connsiteX12212" fmla="*/ 3972319 w 12192000"/>
              <a:gd name="connsiteY12212" fmla="*/ 2291598 h 6858000"/>
              <a:gd name="connsiteX12213" fmla="*/ 4004529 w 12192000"/>
              <a:gd name="connsiteY12213" fmla="*/ 2321250 h 6858000"/>
              <a:gd name="connsiteX12214" fmla="*/ 3972319 w 12192000"/>
              <a:gd name="connsiteY12214" fmla="*/ 2350902 h 6858000"/>
              <a:gd name="connsiteX12215" fmla="*/ 4050852 w 12192000"/>
              <a:gd name="connsiteY12215" fmla="*/ 2350902 h 6858000"/>
              <a:gd name="connsiteX12216" fmla="*/ 4018642 w 12192000"/>
              <a:gd name="connsiteY12216" fmla="*/ 2321250 h 6858000"/>
              <a:gd name="connsiteX12217" fmla="*/ 4050852 w 12192000"/>
              <a:gd name="connsiteY12217" fmla="*/ 2291598 h 6858000"/>
              <a:gd name="connsiteX12218" fmla="*/ 4083062 w 12192000"/>
              <a:gd name="connsiteY12218" fmla="*/ 2321250 h 6858000"/>
              <a:gd name="connsiteX12219" fmla="*/ 4050852 w 12192000"/>
              <a:gd name="connsiteY12219" fmla="*/ 2350902 h 6858000"/>
              <a:gd name="connsiteX12220" fmla="*/ 4129386 w 12192000"/>
              <a:gd name="connsiteY12220" fmla="*/ 2350902 h 6858000"/>
              <a:gd name="connsiteX12221" fmla="*/ 4097176 w 12192000"/>
              <a:gd name="connsiteY12221" fmla="*/ 2321250 h 6858000"/>
              <a:gd name="connsiteX12222" fmla="*/ 4129386 w 12192000"/>
              <a:gd name="connsiteY12222" fmla="*/ 2291598 h 6858000"/>
              <a:gd name="connsiteX12223" fmla="*/ 4161597 w 12192000"/>
              <a:gd name="connsiteY12223" fmla="*/ 2321250 h 6858000"/>
              <a:gd name="connsiteX12224" fmla="*/ 4129386 w 12192000"/>
              <a:gd name="connsiteY12224" fmla="*/ 2350902 h 6858000"/>
              <a:gd name="connsiteX12225" fmla="*/ 4207926 w 12192000"/>
              <a:gd name="connsiteY12225" fmla="*/ 2350902 h 6858000"/>
              <a:gd name="connsiteX12226" fmla="*/ 4175715 w 12192000"/>
              <a:gd name="connsiteY12226" fmla="*/ 2321250 h 6858000"/>
              <a:gd name="connsiteX12227" fmla="*/ 4207926 w 12192000"/>
              <a:gd name="connsiteY12227" fmla="*/ 2291598 h 6858000"/>
              <a:gd name="connsiteX12228" fmla="*/ 4240136 w 12192000"/>
              <a:gd name="connsiteY12228" fmla="*/ 2321250 h 6858000"/>
              <a:gd name="connsiteX12229" fmla="*/ 4207926 w 12192000"/>
              <a:gd name="connsiteY12229" fmla="*/ 2350902 h 6858000"/>
              <a:gd name="connsiteX12230" fmla="*/ 4286460 w 12192000"/>
              <a:gd name="connsiteY12230" fmla="*/ 2350902 h 6858000"/>
              <a:gd name="connsiteX12231" fmla="*/ 4254250 w 12192000"/>
              <a:gd name="connsiteY12231" fmla="*/ 2321250 h 6858000"/>
              <a:gd name="connsiteX12232" fmla="*/ 4286460 w 12192000"/>
              <a:gd name="connsiteY12232" fmla="*/ 2291598 h 6858000"/>
              <a:gd name="connsiteX12233" fmla="*/ 4318670 w 12192000"/>
              <a:gd name="connsiteY12233" fmla="*/ 2321250 h 6858000"/>
              <a:gd name="connsiteX12234" fmla="*/ 4286460 w 12192000"/>
              <a:gd name="connsiteY12234" fmla="*/ 2350902 h 6858000"/>
              <a:gd name="connsiteX12235" fmla="*/ 4364994 w 12192000"/>
              <a:gd name="connsiteY12235" fmla="*/ 2350902 h 6858000"/>
              <a:gd name="connsiteX12236" fmla="*/ 4332784 w 12192000"/>
              <a:gd name="connsiteY12236" fmla="*/ 2321250 h 6858000"/>
              <a:gd name="connsiteX12237" fmla="*/ 4364994 w 12192000"/>
              <a:gd name="connsiteY12237" fmla="*/ 2291598 h 6858000"/>
              <a:gd name="connsiteX12238" fmla="*/ 4397204 w 12192000"/>
              <a:gd name="connsiteY12238" fmla="*/ 2321250 h 6858000"/>
              <a:gd name="connsiteX12239" fmla="*/ 4364994 w 12192000"/>
              <a:gd name="connsiteY12239" fmla="*/ 2350902 h 6858000"/>
              <a:gd name="connsiteX12240" fmla="*/ 4443527 w 12192000"/>
              <a:gd name="connsiteY12240" fmla="*/ 2350902 h 6858000"/>
              <a:gd name="connsiteX12241" fmla="*/ 4411317 w 12192000"/>
              <a:gd name="connsiteY12241" fmla="*/ 2321250 h 6858000"/>
              <a:gd name="connsiteX12242" fmla="*/ 4443527 w 12192000"/>
              <a:gd name="connsiteY12242" fmla="*/ 2291598 h 6858000"/>
              <a:gd name="connsiteX12243" fmla="*/ 4475738 w 12192000"/>
              <a:gd name="connsiteY12243" fmla="*/ 2321250 h 6858000"/>
              <a:gd name="connsiteX12244" fmla="*/ 4443527 w 12192000"/>
              <a:gd name="connsiteY12244" fmla="*/ 2350902 h 6858000"/>
              <a:gd name="connsiteX12245" fmla="*/ 4522062 w 12192000"/>
              <a:gd name="connsiteY12245" fmla="*/ 2350902 h 6858000"/>
              <a:gd name="connsiteX12246" fmla="*/ 4489851 w 12192000"/>
              <a:gd name="connsiteY12246" fmla="*/ 2321250 h 6858000"/>
              <a:gd name="connsiteX12247" fmla="*/ 4522062 w 12192000"/>
              <a:gd name="connsiteY12247" fmla="*/ 2291598 h 6858000"/>
              <a:gd name="connsiteX12248" fmla="*/ 4554272 w 12192000"/>
              <a:gd name="connsiteY12248" fmla="*/ 2321250 h 6858000"/>
              <a:gd name="connsiteX12249" fmla="*/ 4522062 w 12192000"/>
              <a:gd name="connsiteY12249" fmla="*/ 2350902 h 6858000"/>
              <a:gd name="connsiteX12250" fmla="*/ 4600596 w 12192000"/>
              <a:gd name="connsiteY12250" fmla="*/ 2350902 h 6858000"/>
              <a:gd name="connsiteX12251" fmla="*/ 4568386 w 12192000"/>
              <a:gd name="connsiteY12251" fmla="*/ 2321250 h 6858000"/>
              <a:gd name="connsiteX12252" fmla="*/ 4600596 w 12192000"/>
              <a:gd name="connsiteY12252" fmla="*/ 2291598 h 6858000"/>
              <a:gd name="connsiteX12253" fmla="*/ 4632806 w 12192000"/>
              <a:gd name="connsiteY12253" fmla="*/ 2321250 h 6858000"/>
              <a:gd name="connsiteX12254" fmla="*/ 4600596 w 12192000"/>
              <a:gd name="connsiteY12254" fmla="*/ 2350902 h 6858000"/>
              <a:gd name="connsiteX12255" fmla="*/ 4679129 w 12192000"/>
              <a:gd name="connsiteY12255" fmla="*/ 2350902 h 6858000"/>
              <a:gd name="connsiteX12256" fmla="*/ 4646919 w 12192000"/>
              <a:gd name="connsiteY12256" fmla="*/ 2321250 h 6858000"/>
              <a:gd name="connsiteX12257" fmla="*/ 4679129 w 12192000"/>
              <a:gd name="connsiteY12257" fmla="*/ 2291598 h 6858000"/>
              <a:gd name="connsiteX12258" fmla="*/ 4711339 w 12192000"/>
              <a:gd name="connsiteY12258" fmla="*/ 2321250 h 6858000"/>
              <a:gd name="connsiteX12259" fmla="*/ 4679129 w 12192000"/>
              <a:gd name="connsiteY12259" fmla="*/ 2350902 h 6858000"/>
              <a:gd name="connsiteX12260" fmla="*/ 4757663 w 12192000"/>
              <a:gd name="connsiteY12260" fmla="*/ 2350902 h 6858000"/>
              <a:gd name="connsiteX12261" fmla="*/ 4725453 w 12192000"/>
              <a:gd name="connsiteY12261" fmla="*/ 2321250 h 6858000"/>
              <a:gd name="connsiteX12262" fmla="*/ 4757663 w 12192000"/>
              <a:gd name="connsiteY12262" fmla="*/ 2291598 h 6858000"/>
              <a:gd name="connsiteX12263" fmla="*/ 4789874 w 12192000"/>
              <a:gd name="connsiteY12263" fmla="*/ 2321250 h 6858000"/>
              <a:gd name="connsiteX12264" fmla="*/ 4757663 w 12192000"/>
              <a:gd name="connsiteY12264" fmla="*/ 2350902 h 6858000"/>
              <a:gd name="connsiteX12265" fmla="*/ 4836197 w 12192000"/>
              <a:gd name="connsiteY12265" fmla="*/ 2350902 h 6858000"/>
              <a:gd name="connsiteX12266" fmla="*/ 4803986 w 12192000"/>
              <a:gd name="connsiteY12266" fmla="*/ 2321250 h 6858000"/>
              <a:gd name="connsiteX12267" fmla="*/ 4836197 w 12192000"/>
              <a:gd name="connsiteY12267" fmla="*/ 2291598 h 6858000"/>
              <a:gd name="connsiteX12268" fmla="*/ 4868407 w 12192000"/>
              <a:gd name="connsiteY12268" fmla="*/ 2321250 h 6858000"/>
              <a:gd name="connsiteX12269" fmla="*/ 4836197 w 12192000"/>
              <a:gd name="connsiteY12269" fmla="*/ 2350902 h 6858000"/>
              <a:gd name="connsiteX12270" fmla="*/ 6328340 w 12192000"/>
              <a:gd name="connsiteY12270" fmla="*/ 2350902 h 6858000"/>
              <a:gd name="connsiteX12271" fmla="*/ 6296124 w 12192000"/>
              <a:gd name="connsiteY12271" fmla="*/ 2321250 h 6858000"/>
              <a:gd name="connsiteX12272" fmla="*/ 6328340 w 12192000"/>
              <a:gd name="connsiteY12272" fmla="*/ 2291598 h 6858000"/>
              <a:gd name="connsiteX12273" fmla="*/ 6360545 w 12192000"/>
              <a:gd name="connsiteY12273" fmla="*/ 2321250 h 6858000"/>
              <a:gd name="connsiteX12274" fmla="*/ 6328340 w 12192000"/>
              <a:gd name="connsiteY12274" fmla="*/ 2350902 h 6858000"/>
              <a:gd name="connsiteX12275" fmla="*/ 6406875 w 12192000"/>
              <a:gd name="connsiteY12275" fmla="*/ 2350902 h 6858000"/>
              <a:gd name="connsiteX12276" fmla="*/ 6374658 w 12192000"/>
              <a:gd name="connsiteY12276" fmla="*/ 2321250 h 6858000"/>
              <a:gd name="connsiteX12277" fmla="*/ 6406875 w 12192000"/>
              <a:gd name="connsiteY12277" fmla="*/ 2291598 h 6858000"/>
              <a:gd name="connsiteX12278" fmla="*/ 6439079 w 12192000"/>
              <a:gd name="connsiteY12278" fmla="*/ 2321250 h 6858000"/>
              <a:gd name="connsiteX12279" fmla="*/ 6406875 w 12192000"/>
              <a:gd name="connsiteY12279" fmla="*/ 2350902 h 6858000"/>
              <a:gd name="connsiteX12280" fmla="*/ 6485408 w 12192000"/>
              <a:gd name="connsiteY12280" fmla="*/ 2350902 h 6858000"/>
              <a:gd name="connsiteX12281" fmla="*/ 6453191 w 12192000"/>
              <a:gd name="connsiteY12281" fmla="*/ 2321250 h 6858000"/>
              <a:gd name="connsiteX12282" fmla="*/ 6485408 w 12192000"/>
              <a:gd name="connsiteY12282" fmla="*/ 2291598 h 6858000"/>
              <a:gd name="connsiteX12283" fmla="*/ 6517612 w 12192000"/>
              <a:gd name="connsiteY12283" fmla="*/ 2321250 h 6858000"/>
              <a:gd name="connsiteX12284" fmla="*/ 6485408 w 12192000"/>
              <a:gd name="connsiteY12284" fmla="*/ 2350902 h 6858000"/>
              <a:gd name="connsiteX12285" fmla="*/ 6563942 w 12192000"/>
              <a:gd name="connsiteY12285" fmla="*/ 2350902 h 6858000"/>
              <a:gd name="connsiteX12286" fmla="*/ 6531726 w 12192000"/>
              <a:gd name="connsiteY12286" fmla="*/ 2321250 h 6858000"/>
              <a:gd name="connsiteX12287" fmla="*/ 6563942 w 12192000"/>
              <a:gd name="connsiteY12287" fmla="*/ 2291598 h 6858000"/>
              <a:gd name="connsiteX12288" fmla="*/ 6596146 w 12192000"/>
              <a:gd name="connsiteY12288" fmla="*/ 2321250 h 6858000"/>
              <a:gd name="connsiteX12289" fmla="*/ 6563942 w 12192000"/>
              <a:gd name="connsiteY12289" fmla="*/ 2350902 h 6858000"/>
              <a:gd name="connsiteX12290" fmla="*/ 6642476 w 12192000"/>
              <a:gd name="connsiteY12290" fmla="*/ 2350902 h 6858000"/>
              <a:gd name="connsiteX12291" fmla="*/ 6610260 w 12192000"/>
              <a:gd name="connsiteY12291" fmla="*/ 2321250 h 6858000"/>
              <a:gd name="connsiteX12292" fmla="*/ 6642476 w 12192000"/>
              <a:gd name="connsiteY12292" fmla="*/ 2291598 h 6858000"/>
              <a:gd name="connsiteX12293" fmla="*/ 6674681 w 12192000"/>
              <a:gd name="connsiteY12293" fmla="*/ 2321250 h 6858000"/>
              <a:gd name="connsiteX12294" fmla="*/ 6642476 w 12192000"/>
              <a:gd name="connsiteY12294" fmla="*/ 2350902 h 6858000"/>
              <a:gd name="connsiteX12295" fmla="*/ 6721010 w 12192000"/>
              <a:gd name="connsiteY12295" fmla="*/ 2350902 h 6858000"/>
              <a:gd name="connsiteX12296" fmla="*/ 6688793 w 12192000"/>
              <a:gd name="connsiteY12296" fmla="*/ 2321250 h 6858000"/>
              <a:gd name="connsiteX12297" fmla="*/ 6721010 w 12192000"/>
              <a:gd name="connsiteY12297" fmla="*/ 2291598 h 6858000"/>
              <a:gd name="connsiteX12298" fmla="*/ 6753214 w 12192000"/>
              <a:gd name="connsiteY12298" fmla="*/ 2321250 h 6858000"/>
              <a:gd name="connsiteX12299" fmla="*/ 6721010 w 12192000"/>
              <a:gd name="connsiteY12299" fmla="*/ 2350902 h 6858000"/>
              <a:gd name="connsiteX12300" fmla="*/ 6799544 w 12192000"/>
              <a:gd name="connsiteY12300" fmla="*/ 2350902 h 6858000"/>
              <a:gd name="connsiteX12301" fmla="*/ 6767327 w 12192000"/>
              <a:gd name="connsiteY12301" fmla="*/ 2321250 h 6858000"/>
              <a:gd name="connsiteX12302" fmla="*/ 6799544 w 12192000"/>
              <a:gd name="connsiteY12302" fmla="*/ 2291598 h 6858000"/>
              <a:gd name="connsiteX12303" fmla="*/ 6831748 w 12192000"/>
              <a:gd name="connsiteY12303" fmla="*/ 2321250 h 6858000"/>
              <a:gd name="connsiteX12304" fmla="*/ 6799544 w 12192000"/>
              <a:gd name="connsiteY12304" fmla="*/ 2350902 h 6858000"/>
              <a:gd name="connsiteX12305" fmla="*/ 6878077 w 12192000"/>
              <a:gd name="connsiteY12305" fmla="*/ 2350902 h 6858000"/>
              <a:gd name="connsiteX12306" fmla="*/ 6845861 w 12192000"/>
              <a:gd name="connsiteY12306" fmla="*/ 2321250 h 6858000"/>
              <a:gd name="connsiteX12307" fmla="*/ 6878077 w 12192000"/>
              <a:gd name="connsiteY12307" fmla="*/ 2291598 h 6858000"/>
              <a:gd name="connsiteX12308" fmla="*/ 6910281 w 12192000"/>
              <a:gd name="connsiteY12308" fmla="*/ 2321250 h 6858000"/>
              <a:gd name="connsiteX12309" fmla="*/ 6878077 w 12192000"/>
              <a:gd name="connsiteY12309" fmla="*/ 2350902 h 6858000"/>
              <a:gd name="connsiteX12310" fmla="*/ 6956611 w 12192000"/>
              <a:gd name="connsiteY12310" fmla="*/ 2350902 h 6858000"/>
              <a:gd name="connsiteX12311" fmla="*/ 6924395 w 12192000"/>
              <a:gd name="connsiteY12311" fmla="*/ 2321250 h 6858000"/>
              <a:gd name="connsiteX12312" fmla="*/ 6956611 w 12192000"/>
              <a:gd name="connsiteY12312" fmla="*/ 2291598 h 6858000"/>
              <a:gd name="connsiteX12313" fmla="*/ 6988816 w 12192000"/>
              <a:gd name="connsiteY12313" fmla="*/ 2321250 h 6858000"/>
              <a:gd name="connsiteX12314" fmla="*/ 6956611 w 12192000"/>
              <a:gd name="connsiteY12314" fmla="*/ 2350902 h 6858000"/>
              <a:gd name="connsiteX12315" fmla="*/ 7035146 w 12192000"/>
              <a:gd name="connsiteY12315" fmla="*/ 2350902 h 6858000"/>
              <a:gd name="connsiteX12316" fmla="*/ 7002929 w 12192000"/>
              <a:gd name="connsiteY12316" fmla="*/ 2321250 h 6858000"/>
              <a:gd name="connsiteX12317" fmla="*/ 7035146 w 12192000"/>
              <a:gd name="connsiteY12317" fmla="*/ 2291598 h 6858000"/>
              <a:gd name="connsiteX12318" fmla="*/ 7067350 w 12192000"/>
              <a:gd name="connsiteY12318" fmla="*/ 2321250 h 6858000"/>
              <a:gd name="connsiteX12319" fmla="*/ 7035146 w 12192000"/>
              <a:gd name="connsiteY12319" fmla="*/ 2350902 h 6858000"/>
              <a:gd name="connsiteX12320" fmla="*/ 9391185 w 12192000"/>
              <a:gd name="connsiteY12320" fmla="*/ 2350902 h 6858000"/>
              <a:gd name="connsiteX12321" fmla="*/ 9358969 w 12192000"/>
              <a:gd name="connsiteY12321" fmla="*/ 2321250 h 6858000"/>
              <a:gd name="connsiteX12322" fmla="*/ 9391185 w 12192000"/>
              <a:gd name="connsiteY12322" fmla="*/ 2291598 h 6858000"/>
              <a:gd name="connsiteX12323" fmla="*/ 9423389 w 12192000"/>
              <a:gd name="connsiteY12323" fmla="*/ 2321250 h 6858000"/>
              <a:gd name="connsiteX12324" fmla="*/ 9391185 w 12192000"/>
              <a:gd name="connsiteY12324" fmla="*/ 2350902 h 6858000"/>
              <a:gd name="connsiteX12325" fmla="*/ 9469719 w 12192000"/>
              <a:gd name="connsiteY12325" fmla="*/ 2350902 h 6858000"/>
              <a:gd name="connsiteX12326" fmla="*/ 9437503 w 12192000"/>
              <a:gd name="connsiteY12326" fmla="*/ 2321250 h 6858000"/>
              <a:gd name="connsiteX12327" fmla="*/ 9469719 w 12192000"/>
              <a:gd name="connsiteY12327" fmla="*/ 2291598 h 6858000"/>
              <a:gd name="connsiteX12328" fmla="*/ 9501924 w 12192000"/>
              <a:gd name="connsiteY12328" fmla="*/ 2321250 h 6858000"/>
              <a:gd name="connsiteX12329" fmla="*/ 9469719 w 12192000"/>
              <a:gd name="connsiteY12329" fmla="*/ 2350902 h 6858000"/>
              <a:gd name="connsiteX12330" fmla="*/ 9548254 w 12192000"/>
              <a:gd name="connsiteY12330" fmla="*/ 2350902 h 6858000"/>
              <a:gd name="connsiteX12331" fmla="*/ 9516037 w 12192000"/>
              <a:gd name="connsiteY12331" fmla="*/ 2321250 h 6858000"/>
              <a:gd name="connsiteX12332" fmla="*/ 9548254 w 12192000"/>
              <a:gd name="connsiteY12332" fmla="*/ 2291598 h 6858000"/>
              <a:gd name="connsiteX12333" fmla="*/ 9580458 w 12192000"/>
              <a:gd name="connsiteY12333" fmla="*/ 2321250 h 6858000"/>
              <a:gd name="connsiteX12334" fmla="*/ 9548254 w 12192000"/>
              <a:gd name="connsiteY12334" fmla="*/ 2350902 h 6858000"/>
              <a:gd name="connsiteX12335" fmla="*/ 10255058 w 12192000"/>
              <a:gd name="connsiteY12335" fmla="*/ 2350902 h 6858000"/>
              <a:gd name="connsiteX12336" fmla="*/ 10222842 w 12192000"/>
              <a:gd name="connsiteY12336" fmla="*/ 2321250 h 6858000"/>
              <a:gd name="connsiteX12337" fmla="*/ 10255058 w 12192000"/>
              <a:gd name="connsiteY12337" fmla="*/ 2291598 h 6858000"/>
              <a:gd name="connsiteX12338" fmla="*/ 10287262 w 12192000"/>
              <a:gd name="connsiteY12338" fmla="*/ 2321250 h 6858000"/>
              <a:gd name="connsiteX12339" fmla="*/ 10255058 w 12192000"/>
              <a:gd name="connsiteY12339" fmla="*/ 2350902 h 6858000"/>
              <a:gd name="connsiteX12340" fmla="*/ 10647727 w 12192000"/>
              <a:gd name="connsiteY12340" fmla="*/ 2350902 h 6858000"/>
              <a:gd name="connsiteX12341" fmla="*/ 10615511 w 12192000"/>
              <a:gd name="connsiteY12341" fmla="*/ 2321250 h 6858000"/>
              <a:gd name="connsiteX12342" fmla="*/ 10647727 w 12192000"/>
              <a:gd name="connsiteY12342" fmla="*/ 2291598 h 6858000"/>
              <a:gd name="connsiteX12343" fmla="*/ 10679931 w 12192000"/>
              <a:gd name="connsiteY12343" fmla="*/ 2321250 h 6858000"/>
              <a:gd name="connsiteX12344" fmla="*/ 10647727 w 12192000"/>
              <a:gd name="connsiteY12344" fmla="*/ 2350902 h 6858000"/>
              <a:gd name="connsiteX12345" fmla="*/ 3736717 w 12192000"/>
              <a:gd name="connsiteY12345" fmla="*/ 2278636 h 6858000"/>
              <a:gd name="connsiteX12346" fmla="*/ 3704507 w 12192000"/>
              <a:gd name="connsiteY12346" fmla="*/ 2248984 h 6858000"/>
              <a:gd name="connsiteX12347" fmla="*/ 3736717 w 12192000"/>
              <a:gd name="connsiteY12347" fmla="*/ 2219332 h 6858000"/>
              <a:gd name="connsiteX12348" fmla="*/ 3768927 w 12192000"/>
              <a:gd name="connsiteY12348" fmla="*/ 2248984 h 6858000"/>
              <a:gd name="connsiteX12349" fmla="*/ 3736717 w 12192000"/>
              <a:gd name="connsiteY12349" fmla="*/ 2278636 h 6858000"/>
              <a:gd name="connsiteX12350" fmla="*/ 3815250 w 12192000"/>
              <a:gd name="connsiteY12350" fmla="*/ 2278636 h 6858000"/>
              <a:gd name="connsiteX12351" fmla="*/ 3783040 w 12192000"/>
              <a:gd name="connsiteY12351" fmla="*/ 2248984 h 6858000"/>
              <a:gd name="connsiteX12352" fmla="*/ 3815250 w 12192000"/>
              <a:gd name="connsiteY12352" fmla="*/ 2219332 h 6858000"/>
              <a:gd name="connsiteX12353" fmla="*/ 3847461 w 12192000"/>
              <a:gd name="connsiteY12353" fmla="*/ 2248984 h 6858000"/>
              <a:gd name="connsiteX12354" fmla="*/ 3815250 w 12192000"/>
              <a:gd name="connsiteY12354" fmla="*/ 2278636 h 6858000"/>
              <a:gd name="connsiteX12355" fmla="*/ 3893785 w 12192000"/>
              <a:gd name="connsiteY12355" fmla="*/ 2278636 h 6858000"/>
              <a:gd name="connsiteX12356" fmla="*/ 3861574 w 12192000"/>
              <a:gd name="connsiteY12356" fmla="*/ 2248984 h 6858000"/>
              <a:gd name="connsiteX12357" fmla="*/ 3893785 w 12192000"/>
              <a:gd name="connsiteY12357" fmla="*/ 2219332 h 6858000"/>
              <a:gd name="connsiteX12358" fmla="*/ 3925995 w 12192000"/>
              <a:gd name="connsiteY12358" fmla="*/ 2248984 h 6858000"/>
              <a:gd name="connsiteX12359" fmla="*/ 3893785 w 12192000"/>
              <a:gd name="connsiteY12359" fmla="*/ 2278636 h 6858000"/>
              <a:gd name="connsiteX12360" fmla="*/ 3972319 w 12192000"/>
              <a:gd name="connsiteY12360" fmla="*/ 2278636 h 6858000"/>
              <a:gd name="connsiteX12361" fmla="*/ 3940108 w 12192000"/>
              <a:gd name="connsiteY12361" fmla="*/ 2248984 h 6858000"/>
              <a:gd name="connsiteX12362" fmla="*/ 3972319 w 12192000"/>
              <a:gd name="connsiteY12362" fmla="*/ 2219332 h 6858000"/>
              <a:gd name="connsiteX12363" fmla="*/ 4004529 w 12192000"/>
              <a:gd name="connsiteY12363" fmla="*/ 2248984 h 6858000"/>
              <a:gd name="connsiteX12364" fmla="*/ 3972319 w 12192000"/>
              <a:gd name="connsiteY12364" fmla="*/ 2278636 h 6858000"/>
              <a:gd name="connsiteX12365" fmla="*/ 4050852 w 12192000"/>
              <a:gd name="connsiteY12365" fmla="*/ 2278636 h 6858000"/>
              <a:gd name="connsiteX12366" fmla="*/ 4018642 w 12192000"/>
              <a:gd name="connsiteY12366" fmla="*/ 2248984 h 6858000"/>
              <a:gd name="connsiteX12367" fmla="*/ 4050852 w 12192000"/>
              <a:gd name="connsiteY12367" fmla="*/ 2219332 h 6858000"/>
              <a:gd name="connsiteX12368" fmla="*/ 4083062 w 12192000"/>
              <a:gd name="connsiteY12368" fmla="*/ 2248984 h 6858000"/>
              <a:gd name="connsiteX12369" fmla="*/ 4050852 w 12192000"/>
              <a:gd name="connsiteY12369" fmla="*/ 2278636 h 6858000"/>
              <a:gd name="connsiteX12370" fmla="*/ 4129386 w 12192000"/>
              <a:gd name="connsiteY12370" fmla="*/ 2278636 h 6858000"/>
              <a:gd name="connsiteX12371" fmla="*/ 4097176 w 12192000"/>
              <a:gd name="connsiteY12371" fmla="*/ 2248984 h 6858000"/>
              <a:gd name="connsiteX12372" fmla="*/ 4129386 w 12192000"/>
              <a:gd name="connsiteY12372" fmla="*/ 2219332 h 6858000"/>
              <a:gd name="connsiteX12373" fmla="*/ 4161597 w 12192000"/>
              <a:gd name="connsiteY12373" fmla="*/ 2248984 h 6858000"/>
              <a:gd name="connsiteX12374" fmla="*/ 4129386 w 12192000"/>
              <a:gd name="connsiteY12374" fmla="*/ 2278636 h 6858000"/>
              <a:gd name="connsiteX12375" fmla="*/ 4207926 w 12192000"/>
              <a:gd name="connsiteY12375" fmla="*/ 2278636 h 6858000"/>
              <a:gd name="connsiteX12376" fmla="*/ 4175715 w 12192000"/>
              <a:gd name="connsiteY12376" fmla="*/ 2248984 h 6858000"/>
              <a:gd name="connsiteX12377" fmla="*/ 4207926 w 12192000"/>
              <a:gd name="connsiteY12377" fmla="*/ 2219332 h 6858000"/>
              <a:gd name="connsiteX12378" fmla="*/ 4240136 w 12192000"/>
              <a:gd name="connsiteY12378" fmla="*/ 2248984 h 6858000"/>
              <a:gd name="connsiteX12379" fmla="*/ 4207926 w 12192000"/>
              <a:gd name="connsiteY12379" fmla="*/ 2278636 h 6858000"/>
              <a:gd name="connsiteX12380" fmla="*/ 4286460 w 12192000"/>
              <a:gd name="connsiteY12380" fmla="*/ 2278636 h 6858000"/>
              <a:gd name="connsiteX12381" fmla="*/ 4254250 w 12192000"/>
              <a:gd name="connsiteY12381" fmla="*/ 2248984 h 6858000"/>
              <a:gd name="connsiteX12382" fmla="*/ 4286460 w 12192000"/>
              <a:gd name="connsiteY12382" fmla="*/ 2219332 h 6858000"/>
              <a:gd name="connsiteX12383" fmla="*/ 4318670 w 12192000"/>
              <a:gd name="connsiteY12383" fmla="*/ 2248984 h 6858000"/>
              <a:gd name="connsiteX12384" fmla="*/ 4286460 w 12192000"/>
              <a:gd name="connsiteY12384" fmla="*/ 2278636 h 6858000"/>
              <a:gd name="connsiteX12385" fmla="*/ 4364994 w 12192000"/>
              <a:gd name="connsiteY12385" fmla="*/ 2278636 h 6858000"/>
              <a:gd name="connsiteX12386" fmla="*/ 4332784 w 12192000"/>
              <a:gd name="connsiteY12386" fmla="*/ 2248984 h 6858000"/>
              <a:gd name="connsiteX12387" fmla="*/ 4364994 w 12192000"/>
              <a:gd name="connsiteY12387" fmla="*/ 2219332 h 6858000"/>
              <a:gd name="connsiteX12388" fmla="*/ 4397204 w 12192000"/>
              <a:gd name="connsiteY12388" fmla="*/ 2248984 h 6858000"/>
              <a:gd name="connsiteX12389" fmla="*/ 4364994 w 12192000"/>
              <a:gd name="connsiteY12389" fmla="*/ 2278636 h 6858000"/>
              <a:gd name="connsiteX12390" fmla="*/ 4443527 w 12192000"/>
              <a:gd name="connsiteY12390" fmla="*/ 2278636 h 6858000"/>
              <a:gd name="connsiteX12391" fmla="*/ 4411317 w 12192000"/>
              <a:gd name="connsiteY12391" fmla="*/ 2248984 h 6858000"/>
              <a:gd name="connsiteX12392" fmla="*/ 4443527 w 12192000"/>
              <a:gd name="connsiteY12392" fmla="*/ 2219332 h 6858000"/>
              <a:gd name="connsiteX12393" fmla="*/ 4475738 w 12192000"/>
              <a:gd name="connsiteY12393" fmla="*/ 2248984 h 6858000"/>
              <a:gd name="connsiteX12394" fmla="*/ 4443527 w 12192000"/>
              <a:gd name="connsiteY12394" fmla="*/ 2278636 h 6858000"/>
              <a:gd name="connsiteX12395" fmla="*/ 4522062 w 12192000"/>
              <a:gd name="connsiteY12395" fmla="*/ 2278636 h 6858000"/>
              <a:gd name="connsiteX12396" fmla="*/ 4489851 w 12192000"/>
              <a:gd name="connsiteY12396" fmla="*/ 2248984 h 6858000"/>
              <a:gd name="connsiteX12397" fmla="*/ 4522062 w 12192000"/>
              <a:gd name="connsiteY12397" fmla="*/ 2219332 h 6858000"/>
              <a:gd name="connsiteX12398" fmla="*/ 4554272 w 12192000"/>
              <a:gd name="connsiteY12398" fmla="*/ 2248984 h 6858000"/>
              <a:gd name="connsiteX12399" fmla="*/ 4522062 w 12192000"/>
              <a:gd name="connsiteY12399" fmla="*/ 2278636 h 6858000"/>
              <a:gd name="connsiteX12400" fmla="*/ 4600596 w 12192000"/>
              <a:gd name="connsiteY12400" fmla="*/ 2278636 h 6858000"/>
              <a:gd name="connsiteX12401" fmla="*/ 4568386 w 12192000"/>
              <a:gd name="connsiteY12401" fmla="*/ 2248984 h 6858000"/>
              <a:gd name="connsiteX12402" fmla="*/ 4600596 w 12192000"/>
              <a:gd name="connsiteY12402" fmla="*/ 2219332 h 6858000"/>
              <a:gd name="connsiteX12403" fmla="*/ 4632806 w 12192000"/>
              <a:gd name="connsiteY12403" fmla="*/ 2248984 h 6858000"/>
              <a:gd name="connsiteX12404" fmla="*/ 4600596 w 12192000"/>
              <a:gd name="connsiteY12404" fmla="*/ 2278636 h 6858000"/>
              <a:gd name="connsiteX12405" fmla="*/ 4679129 w 12192000"/>
              <a:gd name="connsiteY12405" fmla="*/ 2278636 h 6858000"/>
              <a:gd name="connsiteX12406" fmla="*/ 4646919 w 12192000"/>
              <a:gd name="connsiteY12406" fmla="*/ 2248984 h 6858000"/>
              <a:gd name="connsiteX12407" fmla="*/ 4679129 w 12192000"/>
              <a:gd name="connsiteY12407" fmla="*/ 2219332 h 6858000"/>
              <a:gd name="connsiteX12408" fmla="*/ 4711339 w 12192000"/>
              <a:gd name="connsiteY12408" fmla="*/ 2248984 h 6858000"/>
              <a:gd name="connsiteX12409" fmla="*/ 4679129 w 12192000"/>
              <a:gd name="connsiteY12409" fmla="*/ 2278636 h 6858000"/>
              <a:gd name="connsiteX12410" fmla="*/ 4757663 w 12192000"/>
              <a:gd name="connsiteY12410" fmla="*/ 2278636 h 6858000"/>
              <a:gd name="connsiteX12411" fmla="*/ 4725453 w 12192000"/>
              <a:gd name="connsiteY12411" fmla="*/ 2248984 h 6858000"/>
              <a:gd name="connsiteX12412" fmla="*/ 4757663 w 12192000"/>
              <a:gd name="connsiteY12412" fmla="*/ 2219332 h 6858000"/>
              <a:gd name="connsiteX12413" fmla="*/ 4789874 w 12192000"/>
              <a:gd name="connsiteY12413" fmla="*/ 2248984 h 6858000"/>
              <a:gd name="connsiteX12414" fmla="*/ 4757663 w 12192000"/>
              <a:gd name="connsiteY12414" fmla="*/ 2278636 h 6858000"/>
              <a:gd name="connsiteX12415" fmla="*/ 6406875 w 12192000"/>
              <a:gd name="connsiteY12415" fmla="*/ 2278636 h 6858000"/>
              <a:gd name="connsiteX12416" fmla="*/ 6374658 w 12192000"/>
              <a:gd name="connsiteY12416" fmla="*/ 2248984 h 6858000"/>
              <a:gd name="connsiteX12417" fmla="*/ 6406875 w 12192000"/>
              <a:gd name="connsiteY12417" fmla="*/ 2219332 h 6858000"/>
              <a:gd name="connsiteX12418" fmla="*/ 6439079 w 12192000"/>
              <a:gd name="connsiteY12418" fmla="*/ 2248984 h 6858000"/>
              <a:gd name="connsiteX12419" fmla="*/ 6406875 w 12192000"/>
              <a:gd name="connsiteY12419" fmla="*/ 2278636 h 6858000"/>
              <a:gd name="connsiteX12420" fmla="*/ 6485408 w 12192000"/>
              <a:gd name="connsiteY12420" fmla="*/ 2278636 h 6858000"/>
              <a:gd name="connsiteX12421" fmla="*/ 6453191 w 12192000"/>
              <a:gd name="connsiteY12421" fmla="*/ 2248984 h 6858000"/>
              <a:gd name="connsiteX12422" fmla="*/ 6485408 w 12192000"/>
              <a:gd name="connsiteY12422" fmla="*/ 2219332 h 6858000"/>
              <a:gd name="connsiteX12423" fmla="*/ 6517612 w 12192000"/>
              <a:gd name="connsiteY12423" fmla="*/ 2248984 h 6858000"/>
              <a:gd name="connsiteX12424" fmla="*/ 6485408 w 12192000"/>
              <a:gd name="connsiteY12424" fmla="*/ 2278636 h 6858000"/>
              <a:gd name="connsiteX12425" fmla="*/ 6563942 w 12192000"/>
              <a:gd name="connsiteY12425" fmla="*/ 2278636 h 6858000"/>
              <a:gd name="connsiteX12426" fmla="*/ 6531726 w 12192000"/>
              <a:gd name="connsiteY12426" fmla="*/ 2248984 h 6858000"/>
              <a:gd name="connsiteX12427" fmla="*/ 6563942 w 12192000"/>
              <a:gd name="connsiteY12427" fmla="*/ 2219332 h 6858000"/>
              <a:gd name="connsiteX12428" fmla="*/ 6596146 w 12192000"/>
              <a:gd name="connsiteY12428" fmla="*/ 2248984 h 6858000"/>
              <a:gd name="connsiteX12429" fmla="*/ 6563942 w 12192000"/>
              <a:gd name="connsiteY12429" fmla="*/ 2278636 h 6858000"/>
              <a:gd name="connsiteX12430" fmla="*/ 6642476 w 12192000"/>
              <a:gd name="connsiteY12430" fmla="*/ 2278636 h 6858000"/>
              <a:gd name="connsiteX12431" fmla="*/ 6610260 w 12192000"/>
              <a:gd name="connsiteY12431" fmla="*/ 2248984 h 6858000"/>
              <a:gd name="connsiteX12432" fmla="*/ 6642476 w 12192000"/>
              <a:gd name="connsiteY12432" fmla="*/ 2219332 h 6858000"/>
              <a:gd name="connsiteX12433" fmla="*/ 6674681 w 12192000"/>
              <a:gd name="connsiteY12433" fmla="*/ 2248984 h 6858000"/>
              <a:gd name="connsiteX12434" fmla="*/ 6642476 w 12192000"/>
              <a:gd name="connsiteY12434" fmla="*/ 2278636 h 6858000"/>
              <a:gd name="connsiteX12435" fmla="*/ 6721010 w 12192000"/>
              <a:gd name="connsiteY12435" fmla="*/ 2278636 h 6858000"/>
              <a:gd name="connsiteX12436" fmla="*/ 6688793 w 12192000"/>
              <a:gd name="connsiteY12436" fmla="*/ 2248984 h 6858000"/>
              <a:gd name="connsiteX12437" fmla="*/ 6721010 w 12192000"/>
              <a:gd name="connsiteY12437" fmla="*/ 2219332 h 6858000"/>
              <a:gd name="connsiteX12438" fmla="*/ 6753214 w 12192000"/>
              <a:gd name="connsiteY12438" fmla="*/ 2248984 h 6858000"/>
              <a:gd name="connsiteX12439" fmla="*/ 6721010 w 12192000"/>
              <a:gd name="connsiteY12439" fmla="*/ 2278636 h 6858000"/>
              <a:gd name="connsiteX12440" fmla="*/ 6799544 w 12192000"/>
              <a:gd name="connsiteY12440" fmla="*/ 2278636 h 6858000"/>
              <a:gd name="connsiteX12441" fmla="*/ 6767327 w 12192000"/>
              <a:gd name="connsiteY12441" fmla="*/ 2248984 h 6858000"/>
              <a:gd name="connsiteX12442" fmla="*/ 6799544 w 12192000"/>
              <a:gd name="connsiteY12442" fmla="*/ 2219332 h 6858000"/>
              <a:gd name="connsiteX12443" fmla="*/ 6831748 w 12192000"/>
              <a:gd name="connsiteY12443" fmla="*/ 2248984 h 6858000"/>
              <a:gd name="connsiteX12444" fmla="*/ 6799544 w 12192000"/>
              <a:gd name="connsiteY12444" fmla="*/ 2278636 h 6858000"/>
              <a:gd name="connsiteX12445" fmla="*/ 6878077 w 12192000"/>
              <a:gd name="connsiteY12445" fmla="*/ 2278636 h 6858000"/>
              <a:gd name="connsiteX12446" fmla="*/ 6845861 w 12192000"/>
              <a:gd name="connsiteY12446" fmla="*/ 2248984 h 6858000"/>
              <a:gd name="connsiteX12447" fmla="*/ 6878077 w 12192000"/>
              <a:gd name="connsiteY12447" fmla="*/ 2219332 h 6858000"/>
              <a:gd name="connsiteX12448" fmla="*/ 6910281 w 12192000"/>
              <a:gd name="connsiteY12448" fmla="*/ 2248984 h 6858000"/>
              <a:gd name="connsiteX12449" fmla="*/ 6878077 w 12192000"/>
              <a:gd name="connsiteY12449" fmla="*/ 2278636 h 6858000"/>
              <a:gd name="connsiteX12450" fmla="*/ 7035146 w 12192000"/>
              <a:gd name="connsiteY12450" fmla="*/ 2278636 h 6858000"/>
              <a:gd name="connsiteX12451" fmla="*/ 7002929 w 12192000"/>
              <a:gd name="connsiteY12451" fmla="*/ 2248984 h 6858000"/>
              <a:gd name="connsiteX12452" fmla="*/ 7035146 w 12192000"/>
              <a:gd name="connsiteY12452" fmla="*/ 2219332 h 6858000"/>
              <a:gd name="connsiteX12453" fmla="*/ 7067350 w 12192000"/>
              <a:gd name="connsiteY12453" fmla="*/ 2248984 h 6858000"/>
              <a:gd name="connsiteX12454" fmla="*/ 7035146 w 12192000"/>
              <a:gd name="connsiteY12454" fmla="*/ 2278636 h 6858000"/>
              <a:gd name="connsiteX12455" fmla="*/ 9783854 w 12192000"/>
              <a:gd name="connsiteY12455" fmla="*/ 2278636 h 6858000"/>
              <a:gd name="connsiteX12456" fmla="*/ 9751638 w 12192000"/>
              <a:gd name="connsiteY12456" fmla="*/ 2248984 h 6858000"/>
              <a:gd name="connsiteX12457" fmla="*/ 9783854 w 12192000"/>
              <a:gd name="connsiteY12457" fmla="*/ 2219332 h 6858000"/>
              <a:gd name="connsiteX12458" fmla="*/ 9816059 w 12192000"/>
              <a:gd name="connsiteY12458" fmla="*/ 2248984 h 6858000"/>
              <a:gd name="connsiteX12459" fmla="*/ 9783854 w 12192000"/>
              <a:gd name="connsiteY12459" fmla="*/ 2278636 h 6858000"/>
              <a:gd name="connsiteX12460" fmla="*/ 9862389 w 12192000"/>
              <a:gd name="connsiteY12460" fmla="*/ 2278636 h 6858000"/>
              <a:gd name="connsiteX12461" fmla="*/ 9830172 w 12192000"/>
              <a:gd name="connsiteY12461" fmla="*/ 2248984 h 6858000"/>
              <a:gd name="connsiteX12462" fmla="*/ 9862389 w 12192000"/>
              <a:gd name="connsiteY12462" fmla="*/ 2219332 h 6858000"/>
              <a:gd name="connsiteX12463" fmla="*/ 9894593 w 12192000"/>
              <a:gd name="connsiteY12463" fmla="*/ 2248984 h 6858000"/>
              <a:gd name="connsiteX12464" fmla="*/ 9862389 w 12192000"/>
              <a:gd name="connsiteY12464" fmla="*/ 2278636 h 6858000"/>
              <a:gd name="connsiteX12465" fmla="*/ 10097990 w 12192000"/>
              <a:gd name="connsiteY12465" fmla="*/ 2278636 h 6858000"/>
              <a:gd name="connsiteX12466" fmla="*/ 10065774 w 12192000"/>
              <a:gd name="connsiteY12466" fmla="*/ 2248984 h 6858000"/>
              <a:gd name="connsiteX12467" fmla="*/ 10097990 w 12192000"/>
              <a:gd name="connsiteY12467" fmla="*/ 2219332 h 6858000"/>
              <a:gd name="connsiteX12468" fmla="*/ 10130195 w 12192000"/>
              <a:gd name="connsiteY12468" fmla="*/ 2248984 h 6858000"/>
              <a:gd name="connsiteX12469" fmla="*/ 10097990 w 12192000"/>
              <a:gd name="connsiteY12469" fmla="*/ 2278636 h 6858000"/>
              <a:gd name="connsiteX12470" fmla="*/ 3815250 w 12192000"/>
              <a:gd name="connsiteY12470" fmla="*/ 2206371 h 6858000"/>
              <a:gd name="connsiteX12471" fmla="*/ 3783040 w 12192000"/>
              <a:gd name="connsiteY12471" fmla="*/ 2176719 h 6858000"/>
              <a:gd name="connsiteX12472" fmla="*/ 3815250 w 12192000"/>
              <a:gd name="connsiteY12472" fmla="*/ 2147067 h 6858000"/>
              <a:gd name="connsiteX12473" fmla="*/ 3847461 w 12192000"/>
              <a:gd name="connsiteY12473" fmla="*/ 2176719 h 6858000"/>
              <a:gd name="connsiteX12474" fmla="*/ 3815250 w 12192000"/>
              <a:gd name="connsiteY12474" fmla="*/ 2206371 h 6858000"/>
              <a:gd name="connsiteX12475" fmla="*/ 3893785 w 12192000"/>
              <a:gd name="connsiteY12475" fmla="*/ 2206371 h 6858000"/>
              <a:gd name="connsiteX12476" fmla="*/ 3861574 w 12192000"/>
              <a:gd name="connsiteY12476" fmla="*/ 2176719 h 6858000"/>
              <a:gd name="connsiteX12477" fmla="*/ 3893785 w 12192000"/>
              <a:gd name="connsiteY12477" fmla="*/ 2147067 h 6858000"/>
              <a:gd name="connsiteX12478" fmla="*/ 3925995 w 12192000"/>
              <a:gd name="connsiteY12478" fmla="*/ 2176719 h 6858000"/>
              <a:gd name="connsiteX12479" fmla="*/ 3893785 w 12192000"/>
              <a:gd name="connsiteY12479" fmla="*/ 2206371 h 6858000"/>
              <a:gd name="connsiteX12480" fmla="*/ 3972319 w 12192000"/>
              <a:gd name="connsiteY12480" fmla="*/ 2206371 h 6858000"/>
              <a:gd name="connsiteX12481" fmla="*/ 3940108 w 12192000"/>
              <a:gd name="connsiteY12481" fmla="*/ 2176719 h 6858000"/>
              <a:gd name="connsiteX12482" fmla="*/ 3972319 w 12192000"/>
              <a:gd name="connsiteY12482" fmla="*/ 2147067 h 6858000"/>
              <a:gd name="connsiteX12483" fmla="*/ 4004529 w 12192000"/>
              <a:gd name="connsiteY12483" fmla="*/ 2176719 h 6858000"/>
              <a:gd name="connsiteX12484" fmla="*/ 3972319 w 12192000"/>
              <a:gd name="connsiteY12484" fmla="*/ 2206371 h 6858000"/>
              <a:gd name="connsiteX12485" fmla="*/ 4050852 w 12192000"/>
              <a:gd name="connsiteY12485" fmla="*/ 2206371 h 6858000"/>
              <a:gd name="connsiteX12486" fmla="*/ 4018642 w 12192000"/>
              <a:gd name="connsiteY12486" fmla="*/ 2176719 h 6858000"/>
              <a:gd name="connsiteX12487" fmla="*/ 4050852 w 12192000"/>
              <a:gd name="connsiteY12487" fmla="*/ 2147067 h 6858000"/>
              <a:gd name="connsiteX12488" fmla="*/ 4083062 w 12192000"/>
              <a:gd name="connsiteY12488" fmla="*/ 2176719 h 6858000"/>
              <a:gd name="connsiteX12489" fmla="*/ 4050852 w 12192000"/>
              <a:gd name="connsiteY12489" fmla="*/ 2206371 h 6858000"/>
              <a:gd name="connsiteX12490" fmla="*/ 4129386 w 12192000"/>
              <a:gd name="connsiteY12490" fmla="*/ 2206371 h 6858000"/>
              <a:gd name="connsiteX12491" fmla="*/ 4097176 w 12192000"/>
              <a:gd name="connsiteY12491" fmla="*/ 2176719 h 6858000"/>
              <a:gd name="connsiteX12492" fmla="*/ 4129386 w 12192000"/>
              <a:gd name="connsiteY12492" fmla="*/ 2147067 h 6858000"/>
              <a:gd name="connsiteX12493" fmla="*/ 4161597 w 12192000"/>
              <a:gd name="connsiteY12493" fmla="*/ 2176719 h 6858000"/>
              <a:gd name="connsiteX12494" fmla="*/ 4129386 w 12192000"/>
              <a:gd name="connsiteY12494" fmla="*/ 2206371 h 6858000"/>
              <a:gd name="connsiteX12495" fmla="*/ 4207926 w 12192000"/>
              <a:gd name="connsiteY12495" fmla="*/ 2206371 h 6858000"/>
              <a:gd name="connsiteX12496" fmla="*/ 4175715 w 12192000"/>
              <a:gd name="connsiteY12496" fmla="*/ 2176719 h 6858000"/>
              <a:gd name="connsiteX12497" fmla="*/ 4207926 w 12192000"/>
              <a:gd name="connsiteY12497" fmla="*/ 2147067 h 6858000"/>
              <a:gd name="connsiteX12498" fmla="*/ 4240136 w 12192000"/>
              <a:gd name="connsiteY12498" fmla="*/ 2176719 h 6858000"/>
              <a:gd name="connsiteX12499" fmla="*/ 4207926 w 12192000"/>
              <a:gd name="connsiteY12499" fmla="*/ 2206371 h 6858000"/>
              <a:gd name="connsiteX12500" fmla="*/ 4286460 w 12192000"/>
              <a:gd name="connsiteY12500" fmla="*/ 2206371 h 6858000"/>
              <a:gd name="connsiteX12501" fmla="*/ 4254250 w 12192000"/>
              <a:gd name="connsiteY12501" fmla="*/ 2176719 h 6858000"/>
              <a:gd name="connsiteX12502" fmla="*/ 4286460 w 12192000"/>
              <a:gd name="connsiteY12502" fmla="*/ 2147067 h 6858000"/>
              <a:gd name="connsiteX12503" fmla="*/ 4318670 w 12192000"/>
              <a:gd name="connsiteY12503" fmla="*/ 2176719 h 6858000"/>
              <a:gd name="connsiteX12504" fmla="*/ 4286460 w 12192000"/>
              <a:gd name="connsiteY12504" fmla="*/ 2206371 h 6858000"/>
              <a:gd name="connsiteX12505" fmla="*/ 4364994 w 12192000"/>
              <a:gd name="connsiteY12505" fmla="*/ 2206371 h 6858000"/>
              <a:gd name="connsiteX12506" fmla="*/ 4332784 w 12192000"/>
              <a:gd name="connsiteY12506" fmla="*/ 2176719 h 6858000"/>
              <a:gd name="connsiteX12507" fmla="*/ 4364994 w 12192000"/>
              <a:gd name="connsiteY12507" fmla="*/ 2147067 h 6858000"/>
              <a:gd name="connsiteX12508" fmla="*/ 4397204 w 12192000"/>
              <a:gd name="connsiteY12508" fmla="*/ 2176719 h 6858000"/>
              <a:gd name="connsiteX12509" fmla="*/ 4364994 w 12192000"/>
              <a:gd name="connsiteY12509" fmla="*/ 2206371 h 6858000"/>
              <a:gd name="connsiteX12510" fmla="*/ 4443527 w 12192000"/>
              <a:gd name="connsiteY12510" fmla="*/ 2206371 h 6858000"/>
              <a:gd name="connsiteX12511" fmla="*/ 4411317 w 12192000"/>
              <a:gd name="connsiteY12511" fmla="*/ 2176719 h 6858000"/>
              <a:gd name="connsiteX12512" fmla="*/ 4443527 w 12192000"/>
              <a:gd name="connsiteY12512" fmla="*/ 2147067 h 6858000"/>
              <a:gd name="connsiteX12513" fmla="*/ 4475738 w 12192000"/>
              <a:gd name="connsiteY12513" fmla="*/ 2176719 h 6858000"/>
              <a:gd name="connsiteX12514" fmla="*/ 4443527 w 12192000"/>
              <a:gd name="connsiteY12514" fmla="*/ 2206371 h 6858000"/>
              <a:gd name="connsiteX12515" fmla="*/ 4522062 w 12192000"/>
              <a:gd name="connsiteY12515" fmla="*/ 2206371 h 6858000"/>
              <a:gd name="connsiteX12516" fmla="*/ 4489851 w 12192000"/>
              <a:gd name="connsiteY12516" fmla="*/ 2176719 h 6858000"/>
              <a:gd name="connsiteX12517" fmla="*/ 4522062 w 12192000"/>
              <a:gd name="connsiteY12517" fmla="*/ 2147067 h 6858000"/>
              <a:gd name="connsiteX12518" fmla="*/ 4554272 w 12192000"/>
              <a:gd name="connsiteY12518" fmla="*/ 2176719 h 6858000"/>
              <a:gd name="connsiteX12519" fmla="*/ 4522062 w 12192000"/>
              <a:gd name="connsiteY12519" fmla="*/ 2206371 h 6858000"/>
              <a:gd name="connsiteX12520" fmla="*/ 4600596 w 12192000"/>
              <a:gd name="connsiteY12520" fmla="*/ 2206371 h 6858000"/>
              <a:gd name="connsiteX12521" fmla="*/ 4568386 w 12192000"/>
              <a:gd name="connsiteY12521" fmla="*/ 2176719 h 6858000"/>
              <a:gd name="connsiteX12522" fmla="*/ 4600596 w 12192000"/>
              <a:gd name="connsiteY12522" fmla="*/ 2147067 h 6858000"/>
              <a:gd name="connsiteX12523" fmla="*/ 4632806 w 12192000"/>
              <a:gd name="connsiteY12523" fmla="*/ 2176719 h 6858000"/>
              <a:gd name="connsiteX12524" fmla="*/ 4600596 w 12192000"/>
              <a:gd name="connsiteY12524" fmla="*/ 2206371 h 6858000"/>
              <a:gd name="connsiteX12525" fmla="*/ 4679129 w 12192000"/>
              <a:gd name="connsiteY12525" fmla="*/ 2206371 h 6858000"/>
              <a:gd name="connsiteX12526" fmla="*/ 4646919 w 12192000"/>
              <a:gd name="connsiteY12526" fmla="*/ 2176719 h 6858000"/>
              <a:gd name="connsiteX12527" fmla="*/ 4679129 w 12192000"/>
              <a:gd name="connsiteY12527" fmla="*/ 2147067 h 6858000"/>
              <a:gd name="connsiteX12528" fmla="*/ 4711339 w 12192000"/>
              <a:gd name="connsiteY12528" fmla="*/ 2176719 h 6858000"/>
              <a:gd name="connsiteX12529" fmla="*/ 4679129 w 12192000"/>
              <a:gd name="connsiteY12529" fmla="*/ 2206371 h 6858000"/>
              <a:gd name="connsiteX12530" fmla="*/ 4757663 w 12192000"/>
              <a:gd name="connsiteY12530" fmla="*/ 2206371 h 6858000"/>
              <a:gd name="connsiteX12531" fmla="*/ 4725453 w 12192000"/>
              <a:gd name="connsiteY12531" fmla="*/ 2176719 h 6858000"/>
              <a:gd name="connsiteX12532" fmla="*/ 4757663 w 12192000"/>
              <a:gd name="connsiteY12532" fmla="*/ 2147067 h 6858000"/>
              <a:gd name="connsiteX12533" fmla="*/ 4789874 w 12192000"/>
              <a:gd name="connsiteY12533" fmla="*/ 2176719 h 6858000"/>
              <a:gd name="connsiteX12534" fmla="*/ 4757663 w 12192000"/>
              <a:gd name="connsiteY12534" fmla="*/ 2206371 h 6858000"/>
              <a:gd name="connsiteX12535" fmla="*/ 6328340 w 12192000"/>
              <a:gd name="connsiteY12535" fmla="*/ 2206371 h 6858000"/>
              <a:gd name="connsiteX12536" fmla="*/ 6296124 w 12192000"/>
              <a:gd name="connsiteY12536" fmla="*/ 2176719 h 6858000"/>
              <a:gd name="connsiteX12537" fmla="*/ 6328340 w 12192000"/>
              <a:gd name="connsiteY12537" fmla="*/ 2147067 h 6858000"/>
              <a:gd name="connsiteX12538" fmla="*/ 6360545 w 12192000"/>
              <a:gd name="connsiteY12538" fmla="*/ 2176719 h 6858000"/>
              <a:gd name="connsiteX12539" fmla="*/ 6328340 w 12192000"/>
              <a:gd name="connsiteY12539" fmla="*/ 2206371 h 6858000"/>
              <a:gd name="connsiteX12540" fmla="*/ 6406875 w 12192000"/>
              <a:gd name="connsiteY12540" fmla="*/ 2206371 h 6858000"/>
              <a:gd name="connsiteX12541" fmla="*/ 6374658 w 12192000"/>
              <a:gd name="connsiteY12541" fmla="*/ 2176719 h 6858000"/>
              <a:gd name="connsiteX12542" fmla="*/ 6406875 w 12192000"/>
              <a:gd name="connsiteY12542" fmla="*/ 2147067 h 6858000"/>
              <a:gd name="connsiteX12543" fmla="*/ 6439079 w 12192000"/>
              <a:gd name="connsiteY12543" fmla="*/ 2176719 h 6858000"/>
              <a:gd name="connsiteX12544" fmla="*/ 6406875 w 12192000"/>
              <a:gd name="connsiteY12544" fmla="*/ 2206371 h 6858000"/>
              <a:gd name="connsiteX12545" fmla="*/ 6485408 w 12192000"/>
              <a:gd name="connsiteY12545" fmla="*/ 2206371 h 6858000"/>
              <a:gd name="connsiteX12546" fmla="*/ 6453191 w 12192000"/>
              <a:gd name="connsiteY12546" fmla="*/ 2176719 h 6858000"/>
              <a:gd name="connsiteX12547" fmla="*/ 6485408 w 12192000"/>
              <a:gd name="connsiteY12547" fmla="*/ 2147067 h 6858000"/>
              <a:gd name="connsiteX12548" fmla="*/ 6517612 w 12192000"/>
              <a:gd name="connsiteY12548" fmla="*/ 2176719 h 6858000"/>
              <a:gd name="connsiteX12549" fmla="*/ 6485408 w 12192000"/>
              <a:gd name="connsiteY12549" fmla="*/ 2206371 h 6858000"/>
              <a:gd name="connsiteX12550" fmla="*/ 6563942 w 12192000"/>
              <a:gd name="connsiteY12550" fmla="*/ 2206371 h 6858000"/>
              <a:gd name="connsiteX12551" fmla="*/ 6531726 w 12192000"/>
              <a:gd name="connsiteY12551" fmla="*/ 2176719 h 6858000"/>
              <a:gd name="connsiteX12552" fmla="*/ 6563942 w 12192000"/>
              <a:gd name="connsiteY12552" fmla="*/ 2147067 h 6858000"/>
              <a:gd name="connsiteX12553" fmla="*/ 6596146 w 12192000"/>
              <a:gd name="connsiteY12553" fmla="*/ 2176719 h 6858000"/>
              <a:gd name="connsiteX12554" fmla="*/ 6563942 w 12192000"/>
              <a:gd name="connsiteY12554" fmla="*/ 2206371 h 6858000"/>
              <a:gd name="connsiteX12555" fmla="*/ 6642476 w 12192000"/>
              <a:gd name="connsiteY12555" fmla="*/ 2206371 h 6858000"/>
              <a:gd name="connsiteX12556" fmla="*/ 6610260 w 12192000"/>
              <a:gd name="connsiteY12556" fmla="*/ 2176719 h 6858000"/>
              <a:gd name="connsiteX12557" fmla="*/ 6642476 w 12192000"/>
              <a:gd name="connsiteY12557" fmla="*/ 2147067 h 6858000"/>
              <a:gd name="connsiteX12558" fmla="*/ 6674681 w 12192000"/>
              <a:gd name="connsiteY12558" fmla="*/ 2176719 h 6858000"/>
              <a:gd name="connsiteX12559" fmla="*/ 6642476 w 12192000"/>
              <a:gd name="connsiteY12559" fmla="*/ 2206371 h 6858000"/>
              <a:gd name="connsiteX12560" fmla="*/ 6721010 w 12192000"/>
              <a:gd name="connsiteY12560" fmla="*/ 2206371 h 6858000"/>
              <a:gd name="connsiteX12561" fmla="*/ 6688793 w 12192000"/>
              <a:gd name="connsiteY12561" fmla="*/ 2176719 h 6858000"/>
              <a:gd name="connsiteX12562" fmla="*/ 6721010 w 12192000"/>
              <a:gd name="connsiteY12562" fmla="*/ 2147067 h 6858000"/>
              <a:gd name="connsiteX12563" fmla="*/ 6753214 w 12192000"/>
              <a:gd name="connsiteY12563" fmla="*/ 2176719 h 6858000"/>
              <a:gd name="connsiteX12564" fmla="*/ 6721010 w 12192000"/>
              <a:gd name="connsiteY12564" fmla="*/ 2206371 h 6858000"/>
              <a:gd name="connsiteX12565" fmla="*/ 6799544 w 12192000"/>
              <a:gd name="connsiteY12565" fmla="*/ 2206371 h 6858000"/>
              <a:gd name="connsiteX12566" fmla="*/ 6767327 w 12192000"/>
              <a:gd name="connsiteY12566" fmla="*/ 2176719 h 6858000"/>
              <a:gd name="connsiteX12567" fmla="*/ 6799544 w 12192000"/>
              <a:gd name="connsiteY12567" fmla="*/ 2147067 h 6858000"/>
              <a:gd name="connsiteX12568" fmla="*/ 6831748 w 12192000"/>
              <a:gd name="connsiteY12568" fmla="*/ 2176719 h 6858000"/>
              <a:gd name="connsiteX12569" fmla="*/ 6799544 w 12192000"/>
              <a:gd name="connsiteY12569" fmla="*/ 2206371 h 6858000"/>
              <a:gd name="connsiteX12570" fmla="*/ 6878077 w 12192000"/>
              <a:gd name="connsiteY12570" fmla="*/ 2206371 h 6858000"/>
              <a:gd name="connsiteX12571" fmla="*/ 6845861 w 12192000"/>
              <a:gd name="connsiteY12571" fmla="*/ 2176719 h 6858000"/>
              <a:gd name="connsiteX12572" fmla="*/ 6878077 w 12192000"/>
              <a:gd name="connsiteY12572" fmla="*/ 2147067 h 6858000"/>
              <a:gd name="connsiteX12573" fmla="*/ 6910281 w 12192000"/>
              <a:gd name="connsiteY12573" fmla="*/ 2176719 h 6858000"/>
              <a:gd name="connsiteX12574" fmla="*/ 6878077 w 12192000"/>
              <a:gd name="connsiteY12574" fmla="*/ 2206371 h 6858000"/>
              <a:gd name="connsiteX12575" fmla="*/ 6956611 w 12192000"/>
              <a:gd name="connsiteY12575" fmla="*/ 2206371 h 6858000"/>
              <a:gd name="connsiteX12576" fmla="*/ 6924395 w 12192000"/>
              <a:gd name="connsiteY12576" fmla="*/ 2176719 h 6858000"/>
              <a:gd name="connsiteX12577" fmla="*/ 6956611 w 12192000"/>
              <a:gd name="connsiteY12577" fmla="*/ 2147067 h 6858000"/>
              <a:gd name="connsiteX12578" fmla="*/ 6988816 w 12192000"/>
              <a:gd name="connsiteY12578" fmla="*/ 2176719 h 6858000"/>
              <a:gd name="connsiteX12579" fmla="*/ 6956611 w 12192000"/>
              <a:gd name="connsiteY12579" fmla="*/ 2206371 h 6858000"/>
              <a:gd name="connsiteX12580" fmla="*/ 7035146 w 12192000"/>
              <a:gd name="connsiteY12580" fmla="*/ 2206371 h 6858000"/>
              <a:gd name="connsiteX12581" fmla="*/ 7002929 w 12192000"/>
              <a:gd name="connsiteY12581" fmla="*/ 2176719 h 6858000"/>
              <a:gd name="connsiteX12582" fmla="*/ 7035146 w 12192000"/>
              <a:gd name="connsiteY12582" fmla="*/ 2147067 h 6858000"/>
              <a:gd name="connsiteX12583" fmla="*/ 7067350 w 12192000"/>
              <a:gd name="connsiteY12583" fmla="*/ 2176719 h 6858000"/>
              <a:gd name="connsiteX12584" fmla="*/ 7035146 w 12192000"/>
              <a:gd name="connsiteY12584" fmla="*/ 2206371 h 6858000"/>
              <a:gd name="connsiteX12585" fmla="*/ 7349305 w 12192000"/>
              <a:gd name="connsiteY12585" fmla="*/ 2206371 h 6858000"/>
              <a:gd name="connsiteX12586" fmla="*/ 7317088 w 12192000"/>
              <a:gd name="connsiteY12586" fmla="*/ 2176719 h 6858000"/>
              <a:gd name="connsiteX12587" fmla="*/ 7349305 w 12192000"/>
              <a:gd name="connsiteY12587" fmla="*/ 2147067 h 6858000"/>
              <a:gd name="connsiteX12588" fmla="*/ 7381509 w 12192000"/>
              <a:gd name="connsiteY12588" fmla="*/ 2176719 h 6858000"/>
              <a:gd name="connsiteX12589" fmla="*/ 7349305 w 12192000"/>
              <a:gd name="connsiteY12589" fmla="*/ 2206371 h 6858000"/>
              <a:gd name="connsiteX12590" fmla="*/ 9626787 w 12192000"/>
              <a:gd name="connsiteY12590" fmla="*/ 2206371 h 6858000"/>
              <a:gd name="connsiteX12591" fmla="*/ 9594571 w 12192000"/>
              <a:gd name="connsiteY12591" fmla="*/ 2176719 h 6858000"/>
              <a:gd name="connsiteX12592" fmla="*/ 9626787 w 12192000"/>
              <a:gd name="connsiteY12592" fmla="*/ 2147067 h 6858000"/>
              <a:gd name="connsiteX12593" fmla="*/ 9658991 w 12192000"/>
              <a:gd name="connsiteY12593" fmla="*/ 2176719 h 6858000"/>
              <a:gd name="connsiteX12594" fmla="*/ 9626787 w 12192000"/>
              <a:gd name="connsiteY12594" fmla="*/ 2206371 h 6858000"/>
              <a:gd name="connsiteX12595" fmla="*/ 9783854 w 12192000"/>
              <a:gd name="connsiteY12595" fmla="*/ 2206371 h 6858000"/>
              <a:gd name="connsiteX12596" fmla="*/ 9751638 w 12192000"/>
              <a:gd name="connsiteY12596" fmla="*/ 2176719 h 6858000"/>
              <a:gd name="connsiteX12597" fmla="*/ 9783854 w 12192000"/>
              <a:gd name="connsiteY12597" fmla="*/ 2147067 h 6858000"/>
              <a:gd name="connsiteX12598" fmla="*/ 9816059 w 12192000"/>
              <a:gd name="connsiteY12598" fmla="*/ 2176719 h 6858000"/>
              <a:gd name="connsiteX12599" fmla="*/ 9783854 w 12192000"/>
              <a:gd name="connsiteY12599" fmla="*/ 2206371 h 6858000"/>
              <a:gd name="connsiteX12600" fmla="*/ 9862389 w 12192000"/>
              <a:gd name="connsiteY12600" fmla="*/ 2206371 h 6858000"/>
              <a:gd name="connsiteX12601" fmla="*/ 9830172 w 12192000"/>
              <a:gd name="connsiteY12601" fmla="*/ 2176719 h 6858000"/>
              <a:gd name="connsiteX12602" fmla="*/ 9862389 w 12192000"/>
              <a:gd name="connsiteY12602" fmla="*/ 2147067 h 6858000"/>
              <a:gd name="connsiteX12603" fmla="*/ 9894593 w 12192000"/>
              <a:gd name="connsiteY12603" fmla="*/ 2176719 h 6858000"/>
              <a:gd name="connsiteX12604" fmla="*/ 9862389 w 12192000"/>
              <a:gd name="connsiteY12604" fmla="*/ 2206371 h 6858000"/>
              <a:gd name="connsiteX12605" fmla="*/ 10097990 w 12192000"/>
              <a:gd name="connsiteY12605" fmla="*/ 2206371 h 6858000"/>
              <a:gd name="connsiteX12606" fmla="*/ 10065774 w 12192000"/>
              <a:gd name="connsiteY12606" fmla="*/ 2176719 h 6858000"/>
              <a:gd name="connsiteX12607" fmla="*/ 10097990 w 12192000"/>
              <a:gd name="connsiteY12607" fmla="*/ 2147067 h 6858000"/>
              <a:gd name="connsiteX12608" fmla="*/ 10130195 w 12192000"/>
              <a:gd name="connsiteY12608" fmla="*/ 2176719 h 6858000"/>
              <a:gd name="connsiteX12609" fmla="*/ 10097990 w 12192000"/>
              <a:gd name="connsiteY12609" fmla="*/ 2206371 h 6858000"/>
              <a:gd name="connsiteX12610" fmla="*/ 3893785 w 12192000"/>
              <a:gd name="connsiteY12610" fmla="*/ 2134106 h 6858000"/>
              <a:gd name="connsiteX12611" fmla="*/ 3861574 w 12192000"/>
              <a:gd name="connsiteY12611" fmla="*/ 2104453 h 6858000"/>
              <a:gd name="connsiteX12612" fmla="*/ 3893785 w 12192000"/>
              <a:gd name="connsiteY12612" fmla="*/ 2074801 h 6858000"/>
              <a:gd name="connsiteX12613" fmla="*/ 3925995 w 12192000"/>
              <a:gd name="connsiteY12613" fmla="*/ 2104453 h 6858000"/>
              <a:gd name="connsiteX12614" fmla="*/ 3893785 w 12192000"/>
              <a:gd name="connsiteY12614" fmla="*/ 2134106 h 6858000"/>
              <a:gd name="connsiteX12615" fmla="*/ 3972319 w 12192000"/>
              <a:gd name="connsiteY12615" fmla="*/ 2134106 h 6858000"/>
              <a:gd name="connsiteX12616" fmla="*/ 3940108 w 12192000"/>
              <a:gd name="connsiteY12616" fmla="*/ 2104453 h 6858000"/>
              <a:gd name="connsiteX12617" fmla="*/ 3972319 w 12192000"/>
              <a:gd name="connsiteY12617" fmla="*/ 2074801 h 6858000"/>
              <a:gd name="connsiteX12618" fmla="*/ 4004529 w 12192000"/>
              <a:gd name="connsiteY12618" fmla="*/ 2104453 h 6858000"/>
              <a:gd name="connsiteX12619" fmla="*/ 3972319 w 12192000"/>
              <a:gd name="connsiteY12619" fmla="*/ 2134106 h 6858000"/>
              <a:gd name="connsiteX12620" fmla="*/ 4050852 w 12192000"/>
              <a:gd name="connsiteY12620" fmla="*/ 2134106 h 6858000"/>
              <a:gd name="connsiteX12621" fmla="*/ 4018642 w 12192000"/>
              <a:gd name="connsiteY12621" fmla="*/ 2104453 h 6858000"/>
              <a:gd name="connsiteX12622" fmla="*/ 4050852 w 12192000"/>
              <a:gd name="connsiteY12622" fmla="*/ 2074801 h 6858000"/>
              <a:gd name="connsiteX12623" fmla="*/ 4083062 w 12192000"/>
              <a:gd name="connsiteY12623" fmla="*/ 2104453 h 6858000"/>
              <a:gd name="connsiteX12624" fmla="*/ 4050852 w 12192000"/>
              <a:gd name="connsiteY12624" fmla="*/ 2134106 h 6858000"/>
              <a:gd name="connsiteX12625" fmla="*/ 4129386 w 12192000"/>
              <a:gd name="connsiteY12625" fmla="*/ 2134106 h 6858000"/>
              <a:gd name="connsiteX12626" fmla="*/ 4097176 w 12192000"/>
              <a:gd name="connsiteY12626" fmla="*/ 2104453 h 6858000"/>
              <a:gd name="connsiteX12627" fmla="*/ 4129386 w 12192000"/>
              <a:gd name="connsiteY12627" fmla="*/ 2074801 h 6858000"/>
              <a:gd name="connsiteX12628" fmla="*/ 4161597 w 12192000"/>
              <a:gd name="connsiteY12628" fmla="*/ 2104453 h 6858000"/>
              <a:gd name="connsiteX12629" fmla="*/ 4129386 w 12192000"/>
              <a:gd name="connsiteY12629" fmla="*/ 2134106 h 6858000"/>
              <a:gd name="connsiteX12630" fmla="*/ 4207926 w 12192000"/>
              <a:gd name="connsiteY12630" fmla="*/ 2134106 h 6858000"/>
              <a:gd name="connsiteX12631" fmla="*/ 4175715 w 12192000"/>
              <a:gd name="connsiteY12631" fmla="*/ 2104453 h 6858000"/>
              <a:gd name="connsiteX12632" fmla="*/ 4207926 w 12192000"/>
              <a:gd name="connsiteY12632" fmla="*/ 2074801 h 6858000"/>
              <a:gd name="connsiteX12633" fmla="*/ 4240136 w 12192000"/>
              <a:gd name="connsiteY12633" fmla="*/ 2104453 h 6858000"/>
              <a:gd name="connsiteX12634" fmla="*/ 4207926 w 12192000"/>
              <a:gd name="connsiteY12634" fmla="*/ 2134106 h 6858000"/>
              <a:gd name="connsiteX12635" fmla="*/ 4286460 w 12192000"/>
              <a:gd name="connsiteY12635" fmla="*/ 2134106 h 6858000"/>
              <a:gd name="connsiteX12636" fmla="*/ 4254250 w 12192000"/>
              <a:gd name="connsiteY12636" fmla="*/ 2104453 h 6858000"/>
              <a:gd name="connsiteX12637" fmla="*/ 4286460 w 12192000"/>
              <a:gd name="connsiteY12637" fmla="*/ 2074801 h 6858000"/>
              <a:gd name="connsiteX12638" fmla="*/ 4318670 w 12192000"/>
              <a:gd name="connsiteY12638" fmla="*/ 2104453 h 6858000"/>
              <a:gd name="connsiteX12639" fmla="*/ 4286460 w 12192000"/>
              <a:gd name="connsiteY12639" fmla="*/ 2134106 h 6858000"/>
              <a:gd name="connsiteX12640" fmla="*/ 4364994 w 12192000"/>
              <a:gd name="connsiteY12640" fmla="*/ 2134106 h 6858000"/>
              <a:gd name="connsiteX12641" fmla="*/ 4332784 w 12192000"/>
              <a:gd name="connsiteY12641" fmla="*/ 2104453 h 6858000"/>
              <a:gd name="connsiteX12642" fmla="*/ 4364994 w 12192000"/>
              <a:gd name="connsiteY12642" fmla="*/ 2074801 h 6858000"/>
              <a:gd name="connsiteX12643" fmla="*/ 4397204 w 12192000"/>
              <a:gd name="connsiteY12643" fmla="*/ 2104453 h 6858000"/>
              <a:gd name="connsiteX12644" fmla="*/ 4364994 w 12192000"/>
              <a:gd name="connsiteY12644" fmla="*/ 2134106 h 6858000"/>
              <a:gd name="connsiteX12645" fmla="*/ 4443527 w 12192000"/>
              <a:gd name="connsiteY12645" fmla="*/ 2134106 h 6858000"/>
              <a:gd name="connsiteX12646" fmla="*/ 4411317 w 12192000"/>
              <a:gd name="connsiteY12646" fmla="*/ 2104453 h 6858000"/>
              <a:gd name="connsiteX12647" fmla="*/ 4443527 w 12192000"/>
              <a:gd name="connsiteY12647" fmla="*/ 2074801 h 6858000"/>
              <a:gd name="connsiteX12648" fmla="*/ 4475738 w 12192000"/>
              <a:gd name="connsiteY12648" fmla="*/ 2104453 h 6858000"/>
              <a:gd name="connsiteX12649" fmla="*/ 4443527 w 12192000"/>
              <a:gd name="connsiteY12649" fmla="*/ 2134106 h 6858000"/>
              <a:gd name="connsiteX12650" fmla="*/ 4522062 w 12192000"/>
              <a:gd name="connsiteY12650" fmla="*/ 2134106 h 6858000"/>
              <a:gd name="connsiteX12651" fmla="*/ 4489851 w 12192000"/>
              <a:gd name="connsiteY12651" fmla="*/ 2104453 h 6858000"/>
              <a:gd name="connsiteX12652" fmla="*/ 4522062 w 12192000"/>
              <a:gd name="connsiteY12652" fmla="*/ 2074801 h 6858000"/>
              <a:gd name="connsiteX12653" fmla="*/ 4554272 w 12192000"/>
              <a:gd name="connsiteY12653" fmla="*/ 2104453 h 6858000"/>
              <a:gd name="connsiteX12654" fmla="*/ 4522062 w 12192000"/>
              <a:gd name="connsiteY12654" fmla="*/ 2134106 h 6858000"/>
              <a:gd name="connsiteX12655" fmla="*/ 4600596 w 12192000"/>
              <a:gd name="connsiteY12655" fmla="*/ 2134106 h 6858000"/>
              <a:gd name="connsiteX12656" fmla="*/ 4568386 w 12192000"/>
              <a:gd name="connsiteY12656" fmla="*/ 2104453 h 6858000"/>
              <a:gd name="connsiteX12657" fmla="*/ 4600596 w 12192000"/>
              <a:gd name="connsiteY12657" fmla="*/ 2074801 h 6858000"/>
              <a:gd name="connsiteX12658" fmla="*/ 4632806 w 12192000"/>
              <a:gd name="connsiteY12658" fmla="*/ 2104453 h 6858000"/>
              <a:gd name="connsiteX12659" fmla="*/ 4600596 w 12192000"/>
              <a:gd name="connsiteY12659" fmla="*/ 2134106 h 6858000"/>
              <a:gd name="connsiteX12660" fmla="*/ 4679129 w 12192000"/>
              <a:gd name="connsiteY12660" fmla="*/ 2134106 h 6858000"/>
              <a:gd name="connsiteX12661" fmla="*/ 4646919 w 12192000"/>
              <a:gd name="connsiteY12661" fmla="*/ 2104453 h 6858000"/>
              <a:gd name="connsiteX12662" fmla="*/ 4679129 w 12192000"/>
              <a:gd name="connsiteY12662" fmla="*/ 2074801 h 6858000"/>
              <a:gd name="connsiteX12663" fmla="*/ 4711339 w 12192000"/>
              <a:gd name="connsiteY12663" fmla="*/ 2104453 h 6858000"/>
              <a:gd name="connsiteX12664" fmla="*/ 4679129 w 12192000"/>
              <a:gd name="connsiteY12664" fmla="*/ 2134106 h 6858000"/>
              <a:gd name="connsiteX12665" fmla="*/ 4757663 w 12192000"/>
              <a:gd name="connsiteY12665" fmla="*/ 2134106 h 6858000"/>
              <a:gd name="connsiteX12666" fmla="*/ 4725453 w 12192000"/>
              <a:gd name="connsiteY12666" fmla="*/ 2104453 h 6858000"/>
              <a:gd name="connsiteX12667" fmla="*/ 4757663 w 12192000"/>
              <a:gd name="connsiteY12667" fmla="*/ 2074801 h 6858000"/>
              <a:gd name="connsiteX12668" fmla="*/ 4789874 w 12192000"/>
              <a:gd name="connsiteY12668" fmla="*/ 2104453 h 6858000"/>
              <a:gd name="connsiteX12669" fmla="*/ 4757663 w 12192000"/>
              <a:gd name="connsiteY12669" fmla="*/ 2134106 h 6858000"/>
              <a:gd name="connsiteX12670" fmla="*/ 6328340 w 12192000"/>
              <a:gd name="connsiteY12670" fmla="*/ 2134106 h 6858000"/>
              <a:gd name="connsiteX12671" fmla="*/ 6296124 w 12192000"/>
              <a:gd name="connsiteY12671" fmla="*/ 2104453 h 6858000"/>
              <a:gd name="connsiteX12672" fmla="*/ 6328340 w 12192000"/>
              <a:gd name="connsiteY12672" fmla="*/ 2074801 h 6858000"/>
              <a:gd name="connsiteX12673" fmla="*/ 6360545 w 12192000"/>
              <a:gd name="connsiteY12673" fmla="*/ 2104453 h 6858000"/>
              <a:gd name="connsiteX12674" fmla="*/ 6328340 w 12192000"/>
              <a:gd name="connsiteY12674" fmla="*/ 2134106 h 6858000"/>
              <a:gd name="connsiteX12675" fmla="*/ 6406875 w 12192000"/>
              <a:gd name="connsiteY12675" fmla="*/ 2134106 h 6858000"/>
              <a:gd name="connsiteX12676" fmla="*/ 6374658 w 12192000"/>
              <a:gd name="connsiteY12676" fmla="*/ 2104453 h 6858000"/>
              <a:gd name="connsiteX12677" fmla="*/ 6406875 w 12192000"/>
              <a:gd name="connsiteY12677" fmla="*/ 2074801 h 6858000"/>
              <a:gd name="connsiteX12678" fmla="*/ 6439079 w 12192000"/>
              <a:gd name="connsiteY12678" fmla="*/ 2104453 h 6858000"/>
              <a:gd name="connsiteX12679" fmla="*/ 6406875 w 12192000"/>
              <a:gd name="connsiteY12679" fmla="*/ 2134106 h 6858000"/>
              <a:gd name="connsiteX12680" fmla="*/ 6485408 w 12192000"/>
              <a:gd name="connsiteY12680" fmla="*/ 2134106 h 6858000"/>
              <a:gd name="connsiteX12681" fmla="*/ 6453191 w 12192000"/>
              <a:gd name="connsiteY12681" fmla="*/ 2104453 h 6858000"/>
              <a:gd name="connsiteX12682" fmla="*/ 6485408 w 12192000"/>
              <a:gd name="connsiteY12682" fmla="*/ 2074801 h 6858000"/>
              <a:gd name="connsiteX12683" fmla="*/ 6517612 w 12192000"/>
              <a:gd name="connsiteY12683" fmla="*/ 2104453 h 6858000"/>
              <a:gd name="connsiteX12684" fmla="*/ 6485408 w 12192000"/>
              <a:gd name="connsiteY12684" fmla="*/ 2134106 h 6858000"/>
              <a:gd name="connsiteX12685" fmla="*/ 6563942 w 12192000"/>
              <a:gd name="connsiteY12685" fmla="*/ 2134106 h 6858000"/>
              <a:gd name="connsiteX12686" fmla="*/ 6531726 w 12192000"/>
              <a:gd name="connsiteY12686" fmla="*/ 2104453 h 6858000"/>
              <a:gd name="connsiteX12687" fmla="*/ 6563942 w 12192000"/>
              <a:gd name="connsiteY12687" fmla="*/ 2074801 h 6858000"/>
              <a:gd name="connsiteX12688" fmla="*/ 6596146 w 12192000"/>
              <a:gd name="connsiteY12688" fmla="*/ 2104453 h 6858000"/>
              <a:gd name="connsiteX12689" fmla="*/ 6563942 w 12192000"/>
              <a:gd name="connsiteY12689" fmla="*/ 2134106 h 6858000"/>
              <a:gd name="connsiteX12690" fmla="*/ 6642476 w 12192000"/>
              <a:gd name="connsiteY12690" fmla="*/ 2134106 h 6858000"/>
              <a:gd name="connsiteX12691" fmla="*/ 6610260 w 12192000"/>
              <a:gd name="connsiteY12691" fmla="*/ 2104453 h 6858000"/>
              <a:gd name="connsiteX12692" fmla="*/ 6642476 w 12192000"/>
              <a:gd name="connsiteY12692" fmla="*/ 2074801 h 6858000"/>
              <a:gd name="connsiteX12693" fmla="*/ 6674681 w 12192000"/>
              <a:gd name="connsiteY12693" fmla="*/ 2104453 h 6858000"/>
              <a:gd name="connsiteX12694" fmla="*/ 6642476 w 12192000"/>
              <a:gd name="connsiteY12694" fmla="*/ 2134106 h 6858000"/>
              <a:gd name="connsiteX12695" fmla="*/ 6721010 w 12192000"/>
              <a:gd name="connsiteY12695" fmla="*/ 2134106 h 6858000"/>
              <a:gd name="connsiteX12696" fmla="*/ 6688793 w 12192000"/>
              <a:gd name="connsiteY12696" fmla="*/ 2104453 h 6858000"/>
              <a:gd name="connsiteX12697" fmla="*/ 6721010 w 12192000"/>
              <a:gd name="connsiteY12697" fmla="*/ 2074801 h 6858000"/>
              <a:gd name="connsiteX12698" fmla="*/ 6753214 w 12192000"/>
              <a:gd name="connsiteY12698" fmla="*/ 2104453 h 6858000"/>
              <a:gd name="connsiteX12699" fmla="*/ 6721010 w 12192000"/>
              <a:gd name="connsiteY12699" fmla="*/ 2134106 h 6858000"/>
              <a:gd name="connsiteX12700" fmla="*/ 6799544 w 12192000"/>
              <a:gd name="connsiteY12700" fmla="*/ 2134106 h 6858000"/>
              <a:gd name="connsiteX12701" fmla="*/ 6767327 w 12192000"/>
              <a:gd name="connsiteY12701" fmla="*/ 2104453 h 6858000"/>
              <a:gd name="connsiteX12702" fmla="*/ 6799544 w 12192000"/>
              <a:gd name="connsiteY12702" fmla="*/ 2074801 h 6858000"/>
              <a:gd name="connsiteX12703" fmla="*/ 6831748 w 12192000"/>
              <a:gd name="connsiteY12703" fmla="*/ 2104453 h 6858000"/>
              <a:gd name="connsiteX12704" fmla="*/ 6799544 w 12192000"/>
              <a:gd name="connsiteY12704" fmla="*/ 2134106 h 6858000"/>
              <a:gd name="connsiteX12705" fmla="*/ 6878077 w 12192000"/>
              <a:gd name="connsiteY12705" fmla="*/ 2134106 h 6858000"/>
              <a:gd name="connsiteX12706" fmla="*/ 6845861 w 12192000"/>
              <a:gd name="connsiteY12706" fmla="*/ 2104453 h 6858000"/>
              <a:gd name="connsiteX12707" fmla="*/ 6878077 w 12192000"/>
              <a:gd name="connsiteY12707" fmla="*/ 2074801 h 6858000"/>
              <a:gd name="connsiteX12708" fmla="*/ 6910281 w 12192000"/>
              <a:gd name="connsiteY12708" fmla="*/ 2104453 h 6858000"/>
              <a:gd name="connsiteX12709" fmla="*/ 6878077 w 12192000"/>
              <a:gd name="connsiteY12709" fmla="*/ 2134106 h 6858000"/>
              <a:gd name="connsiteX12710" fmla="*/ 6956611 w 12192000"/>
              <a:gd name="connsiteY12710" fmla="*/ 2134106 h 6858000"/>
              <a:gd name="connsiteX12711" fmla="*/ 6924395 w 12192000"/>
              <a:gd name="connsiteY12711" fmla="*/ 2104453 h 6858000"/>
              <a:gd name="connsiteX12712" fmla="*/ 6956611 w 12192000"/>
              <a:gd name="connsiteY12712" fmla="*/ 2074801 h 6858000"/>
              <a:gd name="connsiteX12713" fmla="*/ 6988816 w 12192000"/>
              <a:gd name="connsiteY12713" fmla="*/ 2104453 h 6858000"/>
              <a:gd name="connsiteX12714" fmla="*/ 6956611 w 12192000"/>
              <a:gd name="connsiteY12714" fmla="*/ 2134106 h 6858000"/>
              <a:gd name="connsiteX12715" fmla="*/ 7270771 w 12192000"/>
              <a:gd name="connsiteY12715" fmla="*/ 2134106 h 6858000"/>
              <a:gd name="connsiteX12716" fmla="*/ 7238555 w 12192000"/>
              <a:gd name="connsiteY12716" fmla="*/ 2104453 h 6858000"/>
              <a:gd name="connsiteX12717" fmla="*/ 7270771 w 12192000"/>
              <a:gd name="connsiteY12717" fmla="*/ 2074801 h 6858000"/>
              <a:gd name="connsiteX12718" fmla="*/ 7302976 w 12192000"/>
              <a:gd name="connsiteY12718" fmla="*/ 2104453 h 6858000"/>
              <a:gd name="connsiteX12719" fmla="*/ 7270771 w 12192000"/>
              <a:gd name="connsiteY12719" fmla="*/ 2134106 h 6858000"/>
              <a:gd name="connsiteX12720" fmla="*/ 7349305 w 12192000"/>
              <a:gd name="connsiteY12720" fmla="*/ 2134106 h 6858000"/>
              <a:gd name="connsiteX12721" fmla="*/ 7317088 w 12192000"/>
              <a:gd name="connsiteY12721" fmla="*/ 2104453 h 6858000"/>
              <a:gd name="connsiteX12722" fmla="*/ 7349305 w 12192000"/>
              <a:gd name="connsiteY12722" fmla="*/ 2074801 h 6858000"/>
              <a:gd name="connsiteX12723" fmla="*/ 7381509 w 12192000"/>
              <a:gd name="connsiteY12723" fmla="*/ 2104453 h 6858000"/>
              <a:gd name="connsiteX12724" fmla="*/ 7349305 w 12192000"/>
              <a:gd name="connsiteY12724" fmla="*/ 2134106 h 6858000"/>
              <a:gd name="connsiteX12725" fmla="*/ 9548254 w 12192000"/>
              <a:gd name="connsiteY12725" fmla="*/ 2134106 h 6858000"/>
              <a:gd name="connsiteX12726" fmla="*/ 9516037 w 12192000"/>
              <a:gd name="connsiteY12726" fmla="*/ 2104453 h 6858000"/>
              <a:gd name="connsiteX12727" fmla="*/ 9548254 w 12192000"/>
              <a:gd name="connsiteY12727" fmla="*/ 2074801 h 6858000"/>
              <a:gd name="connsiteX12728" fmla="*/ 9580458 w 12192000"/>
              <a:gd name="connsiteY12728" fmla="*/ 2104453 h 6858000"/>
              <a:gd name="connsiteX12729" fmla="*/ 9548254 w 12192000"/>
              <a:gd name="connsiteY12729" fmla="*/ 2134106 h 6858000"/>
              <a:gd name="connsiteX12730" fmla="*/ 9626787 w 12192000"/>
              <a:gd name="connsiteY12730" fmla="*/ 2134106 h 6858000"/>
              <a:gd name="connsiteX12731" fmla="*/ 9594571 w 12192000"/>
              <a:gd name="connsiteY12731" fmla="*/ 2104453 h 6858000"/>
              <a:gd name="connsiteX12732" fmla="*/ 9626787 w 12192000"/>
              <a:gd name="connsiteY12732" fmla="*/ 2074801 h 6858000"/>
              <a:gd name="connsiteX12733" fmla="*/ 9658991 w 12192000"/>
              <a:gd name="connsiteY12733" fmla="*/ 2104453 h 6858000"/>
              <a:gd name="connsiteX12734" fmla="*/ 9626787 w 12192000"/>
              <a:gd name="connsiteY12734" fmla="*/ 2134106 h 6858000"/>
              <a:gd name="connsiteX12735" fmla="*/ 9705321 w 12192000"/>
              <a:gd name="connsiteY12735" fmla="*/ 2134106 h 6858000"/>
              <a:gd name="connsiteX12736" fmla="*/ 9673105 w 12192000"/>
              <a:gd name="connsiteY12736" fmla="*/ 2104453 h 6858000"/>
              <a:gd name="connsiteX12737" fmla="*/ 9705321 w 12192000"/>
              <a:gd name="connsiteY12737" fmla="*/ 2074801 h 6858000"/>
              <a:gd name="connsiteX12738" fmla="*/ 9737525 w 12192000"/>
              <a:gd name="connsiteY12738" fmla="*/ 2104453 h 6858000"/>
              <a:gd name="connsiteX12739" fmla="*/ 9705321 w 12192000"/>
              <a:gd name="connsiteY12739" fmla="*/ 2134106 h 6858000"/>
              <a:gd name="connsiteX12740" fmla="*/ 9783854 w 12192000"/>
              <a:gd name="connsiteY12740" fmla="*/ 2134106 h 6858000"/>
              <a:gd name="connsiteX12741" fmla="*/ 9751638 w 12192000"/>
              <a:gd name="connsiteY12741" fmla="*/ 2104453 h 6858000"/>
              <a:gd name="connsiteX12742" fmla="*/ 9783854 w 12192000"/>
              <a:gd name="connsiteY12742" fmla="*/ 2074801 h 6858000"/>
              <a:gd name="connsiteX12743" fmla="*/ 9816059 w 12192000"/>
              <a:gd name="connsiteY12743" fmla="*/ 2104453 h 6858000"/>
              <a:gd name="connsiteX12744" fmla="*/ 9783854 w 12192000"/>
              <a:gd name="connsiteY12744" fmla="*/ 2134106 h 6858000"/>
              <a:gd name="connsiteX12745" fmla="*/ 9862389 w 12192000"/>
              <a:gd name="connsiteY12745" fmla="*/ 2134106 h 6858000"/>
              <a:gd name="connsiteX12746" fmla="*/ 9830172 w 12192000"/>
              <a:gd name="connsiteY12746" fmla="*/ 2104453 h 6858000"/>
              <a:gd name="connsiteX12747" fmla="*/ 9862389 w 12192000"/>
              <a:gd name="connsiteY12747" fmla="*/ 2074801 h 6858000"/>
              <a:gd name="connsiteX12748" fmla="*/ 9894593 w 12192000"/>
              <a:gd name="connsiteY12748" fmla="*/ 2104453 h 6858000"/>
              <a:gd name="connsiteX12749" fmla="*/ 9862389 w 12192000"/>
              <a:gd name="connsiteY12749" fmla="*/ 2134106 h 6858000"/>
              <a:gd name="connsiteX12750" fmla="*/ 9940923 w 12192000"/>
              <a:gd name="connsiteY12750" fmla="*/ 2134106 h 6858000"/>
              <a:gd name="connsiteX12751" fmla="*/ 9908707 w 12192000"/>
              <a:gd name="connsiteY12751" fmla="*/ 2104453 h 6858000"/>
              <a:gd name="connsiteX12752" fmla="*/ 9940923 w 12192000"/>
              <a:gd name="connsiteY12752" fmla="*/ 2074801 h 6858000"/>
              <a:gd name="connsiteX12753" fmla="*/ 9973127 w 12192000"/>
              <a:gd name="connsiteY12753" fmla="*/ 2104453 h 6858000"/>
              <a:gd name="connsiteX12754" fmla="*/ 9940923 w 12192000"/>
              <a:gd name="connsiteY12754" fmla="*/ 2134106 h 6858000"/>
              <a:gd name="connsiteX12755" fmla="*/ 10097990 w 12192000"/>
              <a:gd name="connsiteY12755" fmla="*/ 2134106 h 6858000"/>
              <a:gd name="connsiteX12756" fmla="*/ 10065774 w 12192000"/>
              <a:gd name="connsiteY12756" fmla="*/ 2104453 h 6858000"/>
              <a:gd name="connsiteX12757" fmla="*/ 10097990 w 12192000"/>
              <a:gd name="connsiteY12757" fmla="*/ 2074801 h 6858000"/>
              <a:gd name="connsiteX12758" fmla="*/ 10130195 w 12192000"/>
              <a:gd name="connsiteY12758" fmla="*/ 2104453 h 6858000"/>
              <a:gd name="connsiteX12759" fmla="*/ 10097990 w 12192000"/>
              <a:gd name="connsiteY12759" fmla="*/ 2134106 h 6858000"/>
              <a:gd name="connsiteX12760" fmla="*/ 10804795 w 12192000"/>
              <a:gd name="connsiteY12760" fmla="*/ 2134106 h 6858000"/>
              <a:gd name="connsiteX12761" fmla="*/ 10772578 w 12192000"/>
              <a:gd name="connsiteY12761" fmla="*/ 2104453 h 6858000"/>
              <a:gd name="connsiteX12762" fmla="*/ 10804795 w 12192000"/>
              <a:gd name="connsiteY12762" fmla="*/ 2074801 h 6858000"/>
              <a:gd name="connsiteX12763" fmla="*/ 10836999 w 12192000"/>
              <a:gd name="connsiteY12763" fmla="*/ 2104453 h 6858000"/>
              <a:gd name="connsiteX12764" fmla="*/ 10804795 w 12192000"/>
              <a:gd name="connsiteY12764" fmla="*/ 2134106 h 6858000"/>
              <a:gd name="connsiteX12765" fmla="*/ 11118931 w 12192000"/>
              <a:gd name="connsiteY12765" fmla="*/ 2134106 h 6858000"/>
              <a:gd name="connsiteX12766" fmla="*/ 11086714 w 12192000"/>
              <a:gd name="connsiteY12766" fmla="*/ 2104453 h 6858000"/>
              <a:gd name="connsiteX12767" fmla="*/ 11118931 w 12192000"/>
              <a:gd name="connsiteY12767" fmla="*/ 2074801 h 6858000"/>
              <a:gd name="connsiteX12768" fmla="*/ 11151135 w 12192000"/>
              <a:gd name="connsiteY12768" fmla="*/ 2104453 h 6858000"/>
              <a:gd name="connsiteX12769" fmla="*/ 11118931 w 12192000"/>
              <a:gd name="connsiteY12769" fmla="*/ 2134106 h 6858000"/>
              <a:gd name="connsiteX12770" fmla="*/ 3972319 w 12192000"/>
              <a:gd name="connsiteY12770" fmla="*/ 2061840 h 6858000"/>
              <a:gd name="connsiteX12771" fmla="*/ 3940108 w 12192000"/>
              <a:gd name="connsiteY12771" fmla="*/ 2032188 h 6858000"/>
              <a:gd name="connsiteX12772" fmla="*/ 3972319 w 12192000"/>
              <a:gd name="connsiteY12772" fmla="*/ 2002536 h 6858000"/>
              <a:gd name="connsiteX12773" fmla="*/ 4004529 w 12192000"/>
              <a:gd name="connsiteY12773" fmla="*/ 2032188 h 6858000"/>
              <a:gd name="connsiteX12774" fmla="*/ 3972319 w 12192000"/>
              <a:gd name="connsiteY12774" fmla="*/ 2061840 h 6858000"/>
              <a:gd name="connsiteX12775" fmla="*/ 4050852 w 12192000"/>
              <a:gd name="connsiteY12775" fmla="*/ 2061840 h 6858000"/>
              <a:gd name="connsiteX12776" fmla="*/ 4018642 w 12192000"/>
              <a:gd name="connsiteY12776" fmla="*/ 2032188 h 6858000"/>
              <a:gd name="connsiteX12777" fmla="*/ 4050852 w 12192000"/>
              <a:gd name="connsiteY12777" fmla="*/ 2002536 h 6858000"/>
              <a:gd name="connsiteX12778" fmla="*/ 4083062 w 12192000"/>
              <a:gd name="connsiteY12778" fmla="*/ 2032188 h 6858000"/>
              <a:gd name="connsiteX12779" fmla="*/ 4050852 w 12192000"/>
              <a:gd name="connsiteY12779" fmla="*/ 2061840 h 6858000"/>
              <a:gd name="connsiteX12780" fmla="*/ 4129386 w 12192000"/>
              <a:gd name="connsiteY12780" fmla="*/ 2061840 h 6858000"/>
              <a:gd name="connsiteX12781" fmla="*/ 4097176 w 12192000"/>
              <a:gd name="connsiteY12781" fmla="*/ 2032188 h 6858000"/>
              <a:gd name="connsiteX12782" fmla="*/ 4129386 w 12192000"/>
              <a:gd name="connsiteY12782" fmla="*/ 2002536 h 6858000"/>
              <a:gd name="connsiteX12783" fmla="*/ 4161597 w 12192000"/>
              <a:gd name="connsiteY12783" fmla="*/ 2032188 h 6858000"/>
              <a:gd name="connsiteX12784" fmla="*/ 4129386 w 12192000"/>
              <a:gd name="connsiteY12784" fmla="*/ 2061840 h 6858000"/>
              <a:gd name="connsiteX12785" fmla="*/ 4207926 w 12192000"/>
              <a:gd name="connsiteY12785" fmla="*/ 2061840 h 6858000"/>
              <a:gd name="connsiteX12786" fmla="*/ 4175715 w 12192000"/>
              <a:gd name="connsiteY12786" fmla="*/ 2032188 h 6858000"/>
              <a:gd name="connsiteX12787" fmla="*/ 4207926 w 12192000"/>
              <a:gd name="connsiteY12787" fmla="*/ 2002536 h 6858000"/>
              <a:gd name="connsiteX12788" fmla="*/ 4240136 w 12192000"/>
              <a:gd name="connsiteY12788" fmla="*/ 2032188 h 6858000"/>
              <a:gd name="connsiteX12789" fmla="*/ 4207926 w 12192000"/>
              <a:gd name="connsiteY12789" fmla="*/ 2061840 h 6858000"/>
              <a:gd name="connsiteX12790" fmla="*/ 4286460 w 12192000"/>
              <a:gd name="connsiteY12790" fmla="*/ 2061840 h 6858000"/>
              <a:gd name="connsiteX12791" fmla="*/ 4254250 w 12192000"/>
              <a:gd name="connsiteY12791" fmla="*/ 2032188 h 6858000"/>
              <a:gd name="connsiteX12792" fmla="*/ 4286460 w 12192000"/>
              <a:gd name="connsiteY12792" fmla="*/ 2002536 h 6858000"/>
              <a:gd name="connsiteX12793" fmla="*/ 4318670 w 12192000"/>
              <a:gd name="connsiteY12793" fmla="*/ 2032188 h 6858000"/>
              <a:gd name="connsiteX12794" fmla="*/ 4286460 w 12192000"/>
              <a:gd name="connsiteY12794" fmla="*/ 2061840 h 6858000"/>
              <a:gd name="connsiteX12795" fmla="*/ 4364994 w 12192000"/>
              <a:gd name="connsiteY12795" fmla="*/ 2061840 h 6858000"/>
              <a:gd name="connsiteX12796" fmla="*/ 4332784 w 12192000"/>
              <a:gd name="connsiteY12796" fmla="*/ 2032188 h 6858000"/>
              <a:gd name="connsiteX12797" fmla="*/ 4364994 w 12192000"/>
              <a:gd name="connsiteY12797" fmla="*/ 2002536 h 6858000"/>
              <a:gd name="connsiteX12798" fmla="*/ 4397204 w 12192000"/>
              <a:gd name="connsiteY12798" fmla="*/ 2032188 h 6858000"/>
              <a:gd name="connsiteX12799" fmla="*/ 4364994 w 12192000"/>
              <a:gd name="connsiteY12799" fmla="*/ 2061840 h 6858000"/>
              <a:gd name="connsiteX12800" fmla="*/ 4443527 w 12192000"/>
              <a:gd name="connsiteY12800" fmla="*/ 2061840 h 6858000"/>
              <a:gd name="connsiteX12801" fmla="*/ 4411317 w 12192000"/>
              <a:gd name="connsiteY12801" fmla="*/ 2032188 h 6858000"/>
              <a:gd name="connsiteX12802" fmla="*/ 4443527 w 12192000"/>
              <a:gd name="connsiteY12802" fmla="*/ 2002536 h 6858000"/>
              <a:gd name="connsiteX12803" fmla="*/ 4475738 w 12192000"/>
              <a:gd name="connsiteY12803" fmla="*/ 2032188 h 6858000"/>
              <a:gd name="connsiteX12804" fmla="*/ 4443527 w 12192000"/>
              <a:gd name="connsiteY12804" fmla="*/ 2061840 h 6858000"/>
              <a:gd name="connsiteX12805" fmla="*/ 4522062 w 12192000"/>
              <a:gd name="connsiteY12805" fmla="*/ 2061840 h 6858000"/>
              <a:gd name="connsiteX12806" fmla="*/ 4489851 w 12192000"/>
              <a:gd name="connsiteY12806" fmla="*/ 2032188 h 6858000"/>
              <a:gd name="connsiteX12807" fmla="*/ 4522062 w 12192000"/>
              <a:gd name="connsiteY12807" fmla="*/ 2002536 h 6858000"/>
              <a:gd name="connsiteX12808" fmla="*/ 4554272 w 12192000"/>
              <a:gd name="connsiteY12808" fmla="*/ 2032188 h 6858000"/>
              <a:gd name="connsiteX12809" fmla="*/ 4522062 w 12192000"/>
              <a:gd name="connsiteY12809" fmla="*/ 2061840 h 6858000"/>
              <a:gd name="connsiteX12810" fmla="*/ 4600596 w 12192000"/>
              <a:gd name="connsiteY12810" fmla="*/ 2061840 h 6858000"/>
              <a:gd name="connsiteX12811" fmla="*/ 4568386 w 12192000"/>
              <a:gd name="connsiteY12811" fmla="*/ 2032188 h 6858000"/>
              <a:gd name="connsiteX12812" fmla="*/ 4600596 w 12192000"/>
              <a:gd name="connsiteY12812" fmla="*/ 2002536 h 6858000"/>
              <a:gd name="connsiteX12813" fmla="*/ 4632806 w 12192000"/>
              <a:gd name="connsiteY12813" fmla="*/ 2032188 h 6858000"/>
              <a:gd name="connsiteX12814" fmla="*/ 4600596 w 12192000"/>
              <a:gd name="connsiteY12814" fmla="*/ 2061840 h 6858000"/>
              <a:gd name="connsiteX12815" fmla="*/ 4679129 w 12192000"/>
              <a:gd name="connsiteY12815" fmla="*/ 2061840 h 6858000"/>
              <a:gd name="connsiteX12816" fmla="*/ 4646919 w 12192000"/>
              <a:gd name="connsiteY12816" fmla="*/ 2032188 h 6858000"/>
              <a:gd name="connsiteX12817" fmla="*/ 4679129 w 12192000"/>
              <a:gd name="connsiteY12817" fmla="*/ 2002536 h 6858000"/>
              <a:gd name="connsiteX12818" fmla="*/ 4711339 w 12192000"/>
              <a:gd name="connsiteY12818" fmla="*/ 2032188 h 6858000"/>
              <a:gd name="connsiteX12819" fmla="*/ 4679129 w 12192000"/>
              <a:gd name="connsiteY12819" fmla="*/ 2061840 h 6858000"/>
              <a:gd name="connsiteX12820" fmla="*/ 4757663 w 12192000"/>
              <a:gd name="connsiteY12820" fmla="*/ 2061840 h 6858000"/>
              <a:gd name="connsiteX12821" fmla="*/ 4725453 w 12192000"/>
              <a:gd name="connsiteY12821" fmla="*/ 2032188 h 6858000"/>
              <a:gd name="connsiteX12822" fmla="*/ 4757663 w 12192000"/>
              <a:gd name="connsiteY12822" fmla="*/ 2002536 h 6858000"/>
              <a:gd name="connsiteX12823" fmla="*/ 4789874 w 12192000"/>
              <a:gd name="connsiteY12823" fmla="*/ 2032188 h 6858000"/>
              <a:gd name="connsiteX12824" fmla="*/ 4757663 w 12192000"/>
              <a:gd name="connsiteY12824" fmla="*/ 2061840 h 6858000"/>
              <a:gd name="connsiteX12825" fmla="*/ 6328340 w 12192000"/>
              <a:gd name="connsiteY12825" fmla="*/ 2061840 h 6858000"/>
              <a:gd name="connsiteX12826" fmla="*/ 6296124 w 12192000"/>
              <a:gd name="connsiteY12826" fmla="*/ 2032188 h 6858000"/>
              <a:gd name="connsiteX12827" fmla="*/ 6328340 w 12192000"/>
              <a:gd name="connsiteY12827" fmla="*/ 2002536 h 6858000"/>
              <a:gd name="connsiteX12828" fmla="*/ 6360545 w 12192000"/>
              <a:gd name="connsiteY12828" fmla="*/ 2032188 h 6858000"/>
              <a:gd name="connsiteX12829" fmla="*/ 6328340 w 12192000"/>
              <a:gd name="connsiteY12829" fmla="*/ 2061840 h 6858000"/>
              <a:gd name="connsiteX12830" fmla="*/ 6406875 w 12192000"/>
              <a:gd name="connsiteY12830" fmla="*/ 2061840 h 6858000"/>
              <a:gd name="connsiteX12831" fmla="*/ 6374658 w 12192000"/>
              <a:gd name="connsiteY12831" fmla="*/ 2032188 h 6858000"/>
              <a:gd name="connsiteX12832" fmla="*/ 6406875 w 12192000"/>
              <a:gd name="connsiteY12832" fmla="*/ 2002536 h 6858000"/>
              <a:gd name="connsiteX12833" fmla="*/ 6439079 w 12192000"/>
              <a:gd name="connsiteY12833" fmla="*/ 2032188 h 6858000"/>
              <a:gd name="connsiteX12834" fmla="*/ 6406875 w 12192000"/>
              <a:gd name="connsiteY12834" fmla="*/ 2061840 h 6858000"/>
              <a:gd name="connsiteX12835" fmla="*/ 6485408 w 12192000"/>
              <a:gd name="connsiteY12835" fmla="*/ 2061840 h 6858000"/>
              <a:gd name="connsiteX12836" fmla="*/ 6453191 w 12192000"/>
              <a:gd name="connsiteY12836" fmla="*/ 2032188 h 6858000"/>
              <a:gd name="connsiteX12837" fmla="*/ 6485408 w 12192000"/>
              <a:gd name="connsiteY12837" fmla="*/ 2002536 h 6858000"/>
              <a:gd name="connsiteX12838" fmla="*/ 6517612 w 12192000"/>
              <a:gd name="connsiteY12838" fmla="*/ 2032188 h 6858000"/>
              <a:gd name="connsiteX12839" fmla="*/ 6485408 w 12192000"/>
              <a:gd name="connsiteY12839" fmla="*/ 2061840 h 6858000"/>
              <a:gd name="connsiteX12840" fmla="*/ 6563942 w 12192000"/>
              <a:gd name="connsiteY12840" fmla="*/ 2061840 h 6858000"/>
              <a:gd name="connsiteX12841" fmla="*/ 6531726 w 12192000"/>
              <a:gd name="connsiteY12841" fmla="*/ 2032188 h 6858000"/>
              <a:gd name="connsiteX12842" fmla="*/ 6563942 w 12192000"/>
              <a:gd name="connsiteY12842" fmla="*/ 2002536 h 6858000"/>
              <a:gd name="connsiteX12843" fmla="*/ 6596146 w 12192000"/>
              <a:gd name="connsiteY12843" fmla="*/ 2032188 h 6858000"/>
              <a:gd name="connsiteX12844" fmla="*/ 6563942 w 12192000"/>
              <a:gd name="connsiteY12844" fmla="*/ 2061840 h 6858000"/>
              <a:gd name="connsiteX12845" fmla="*/ 6642476 w 12192000"/>
              <a:gd name="connsiteY12845" fmla="*/ 2061840 h 6858000"/>
              <a:gd name="connsiteX12846" fmla="*/ 6610260 w 12192000"/>
              <a:gd name="connsiteY12846" fmla="*/ 2032188 h 6858000"/>
              <a:gd name="connsiteX12847" fmla="*/ 6642476 w 12192000"/>
              <a:gd name="connsiteY12847" fmla="*/ 2002536 h 6858000"/>
              <a:gd name="connsiteX12848" fmla="*/ 6674681 w 12192000"/>
              <a:gd name="connsiteY12848" fmla="*/ 2032188 h 6858000"/>
              <a:gd name="connsiteX12849" fmla="*/ 6642476 w 12192000"/>
              <a:gd name="connsiteY12849" fmla="*/ 2061840 h 6858000"/>
              <a:gd name="connsiteX12850" fmla="*/ 6721010 w 12192000"/>
              <a:gd name="connsiteY12850" fmla="*/ 2061840 h 6858000"/>
              <a:gd name="connsiteX12851" fmla="*/ 6688793 w 12192000"/>
              <a:gd name="connsiteY12851" fmla="*/ 2032188 h 6858000"/>
              <a:gd name="connsiteX12852" fmla="*/ 6721010 w 12192000"/>
              <a:gd name="connsiteY12852" fmla="*/ 2002536 h 6858000"/>
              <a:gd name="connsiteX12853" fmla="*/ 6753214 w 12192000"/>
              <a:gd name="connsiteY12853" fmla="*/ 2032188 h 6858000"/>
              <a:gd name="connsiteX12854" fmla="*/ 6721010 w 12192000"/>
              <a:gd name="connsiteY12854" fmla="*/ 2061840 h 6858000"/>
              <a:gd name="connsiteX12855" fmla="*/ 6799544 w 12192000"/>
              <a:gd name="connsiteY12855" fmla="*/ 2061840 h 6858000"/>
              <a:gd name="connsiteX12856" fmla="*/ 6767327 w 12192000"/>
              <a:gd name="connsiteY12856" fmla="*/ 2032188 h 6858000"/>
              <a:gd name="connsiteX12857" fmla="*/ 6799544 w 12192000"/>
              <a:gd name="connsiteY12857" fmla="*/ 2002536 h 6858000"/>
              <a:gd name="connsiteX12858" fmla="*/ 6831748 w 12192000"/>
              <a:gd name="connsiteY12858" fmla="*/ 2032188 h 6858000"/>
              <a:gd name="connsiteX12859" fmla="*/ 6799544 w 12192000"/>
              <a:gd name="connsiteY12859" fmla="*/ 2061840 h 6858000"/>
              <a:gd name="connsiteX12860" fmla="*/ 6878077 w 12192000"/>
              <a:gd name="connsiteY12860" fmla="*/ 2061840 h 6858000"/>
              <a:gd name="connsiteX12861" fmla="*/ 6845861 w 12192000"/>
              <a:gd name="connsiteY12861" fmla="*/ 2032188 h 6858000"/>
              <a:gd name="connsiteX12862" fmla="*/ 6878077 w 12192000"/>
              <a:gd name="connsiteY12862" fmla="*/ 2002536 h 6858000"/>
              <a:gd name="connsiteX12863" fmla="*/ 6910281 w 12192000"/>
              <a:gd name="connsiteY12863" fmla="*/ 2032188 h 6858000"/>
              <a:gd name="connsiteX12864" fmla="*/ 6878077 w 12192000"/>
              <a:gd name="connsiteY12864" fmla="*/ 2061840 h 6858000"/>
              <a:gd name="connsiteX12865" fmla="*/ 7270771 w 12192000"/>
              <a:gd name="connsiteY12865" fmla="*/ 2061840 h 6858000"/>
              <a:gd name="connsiteX12866" fmla="*/ 7238555 w 12192000"/>
              <a:gd name="connsiteY12866" fmla="*/ 2032188 h 6858000"/>
              <a:gd name="connsiteX12867" fmla="*/ 7270771 w 12192000"/>
              <a:gd name="connsiteY12867" fmla="*/ 2002536 h 6858000"/>
              <a:gd name="connsiteX12868" fmla="*/ 7302976 w 12192000"/>
              <a:gd name="connsiteY12868" fmla="*/ 2032188 h 6858000"/>
              <a:gd name="connsiteX12869" fmla="*/ 7270771 w 12192000"/>
              <a:gd name="connsiteY12869" fmla="*/ 2061840 h 6858000"/>
              <a:gd name="connsiteX12870" fmla="*/ 9469719 w 12192000"/>
              <a:gd name="connsiteY12870" fmla="*/ 2061840 h 6858000"/>
              <a:gd name="connsiteX12871" fmla="*/ 9437503 w 12192000"/>
              <a:gd name="connsiteY12871" fmla="*/ 2032188 h 6858000"/>
              <a:gd name="connsiteX12872" fmla="*/ 9469719 w 12192000"/>
              <a:gd name="connsiteY12872" fmla="*/ 2002536 h 6858000"/>
              <a:gd name="connsiteX12873" fmla="*/ 9501924 w 12192000"/>
              <a:gd name="connsiteY12873" fmla="*/ 2032188 h 6858000"/>
              <a:gd name="connsiteX12874" fmla="*/ 9469719 w 12192000"/>
              <a:gd name="connsiteY12874" fmla="*/ 2061840 h 6858000"/>
              <a:gd name="connsiteX12875" fmla="*/ 9548254 w 12192000"/>
              <a:gd name="connsiteY12875" fmla="*/ 2061840 h 6858000"/>
              <a:gd name="connsiteX12876" fmla="*/ 9516037 w 12192000"/>
              <a:gd name="connsiteY12876" fmla="*/ 2032188 h 6858000"/>
              <a:gd name="connsiteX12877" fmla="*/ 9548254 w 12192000"/>
              <a:gd name="connsiteY12877" fmla="*/ 2002536 h 6858000"/>
              <a:gd name="connsiteX12878" fmla="*/ 9580458 w 12192000"/>
              <a:gd name="connsiteY12878" fmla="*/ 2032188 h 6858000"/>
              <a:gd name="connsiteX12879" fmla="*/ 9548254 w 12192000"/>
              <a:gd name="connsiteY12879" fmla="*/ 2061840 h 6858000"/>
              <a:gd name="connsiteX12880" fmla="*/ 9626787 w 12192000"/>
              <a:gd name="connsiteY12880" fmla="*/ 2061840 h 6858000"/>
              <a:gd name="connsiteX12881" fmla="*/ 9594571 w 12192000"/>
              <a:gd name="connsiteY12881" fmla="*/ 2032188 h 6858000"/>
              <a:gd name="connsiteX12882" fmla="*/ 9626787 w 12192000"/>
              <a:gd name="connsiteY12882" fmla="*/ 2002536 h 6858000"/>
              <a:gd name="connsiteX12883" fmla="*/ 9658991 w 12192000"/>
              <a:gd name="connsiteY12883" fmla="*/ 2032188 h 6858000"/>
              <a:gd name="connsiteX12884" fmla="*/ 9626787 w 12192000"/>
              <a:gd name="connsiteY12884" fmla="*/ 2061840 h 6858000"/>
              <a:gd name="connsiteX12885" fmla="*/ 9705321 w 12192000"/>
              <a:gd name="connsiteY12885" fmla="*/ 2061840 h 6858000"/>
              <a:gd name="connsiteX12886" fmla="*/ 9673105 w 12192000"/>
              <a:gd name="connsiteY12886" fmla="*/ 2032188 h 6858000"/>
              <a:gd name="connsiteX12887" fmla="*/ 9705321 w 12192000"/>
              <a:gd name="connsiteY12887" fmla="*/ 2002536 h 6858000"/>
              <a:gd name="connsiteX12888" fmla="*/ 9737525 w 12192000"/>
              <a:gd name="connsiteY12888" fmla="*/ 2032188 h 6858000"/>
              <a:gd name="connsiteX12889" fmla="*/ 9705321 w 12192000"/>
              <a:gd name="connsiteY12889" fmla="*/ 2061840 h 6858000"/>
              <a:gd name="connsiteX12890" fmla="*/ 9783854 w 12192000"/>
              <a:gd name="connsiteY12890" fmla="*/ 2061840 h 6858000"/>
              <a:gd name="connsiteX12891" fmla="*/ 9751638 w 12192000"/>
              <a:gd name="connsiteY12891" fmla="*/ 2032188 h 6858000"/>
              <a:gd name="connsiteX12892" fmla="*/ 9783854 w 12192000"/>
              <a:gd name="connsiteY12892" fmla="*/ 2002536 h 6858000"/>
              <a:gd name="connsiteX12893" fmla="*/ 9816059 w 12192000"/>
              <a:gd name="connsiteY12893" fmla="*/ 2032188 h 6858000"/>
              <a:gd name="connsiteX12894" fmla="*/ 9783854 w 12192000"/>
              <a:gd name="connsiteY12894" fmla="*/ 2061840 h 6858000"/>
              <a:gd name="connsiteX12895" fmla="*/ 9862389 w 12192000"/>
              <a:gd name="connsiteY12895" fmla="*/ 2061840 h 6858000"/>
              <a:gd name="connsiteX12896" fmla="*/ 9830172 w 12192000"/>
              <a:gd name="connsiteY12896" fmla="*/ 2032188 h 6858000"/>
              <a:gd name="connsiteX12897" fmla="*/ 9862389 w 12192000"/>
              <a:gd name="connsiteY12897" fmla="*/ 2002536 h 6858000"/>
              <a:gd name="connsiteX12898" fmla="*/ 9894593 w 12192000"/>
              <a:gd name="connsiteY12898" fmla="*/ 2032188 h 6858000"/>
              <a:gd name="connsiteX12899" fmla="*/ 9862389 w 12192000"/>
              <a:gd name="connsiteY12899" fmla="*/ 2061840 h 6858000"/>
              <a:gd name="connsiteX12900" fmla="*/ 9940923 w 12192000"/>
              <a:gd name="connsiteY12900" fmla="*/ 2061840 h 6858000"/>
              <a:gd name="connsiteX12901" fmla="*/ 9908707 w 12192000"/>
              <a:gd name="connsiteY12901" fmla="*/ 2032188 h 6858000"/>
              <a:gd name="connsiteX12902" fmla="*/ 9940923 w 12192000"/>
              <a:gd name="connsiteY12902" fmla="*/ 2002536 h 6858000"/>
              <a:gd name="connsiteX12903" fmla="*/ 9973127 w 12192000"/>
              <a:gd name="connsiteY12903" fmla="*/ 2032188 h 6858000"/>
              <a:gd name="connsiteX12904" fmla="*/ 9940923 w 12192000"/>
              <a:gd name="connsiteY12904" fmla="*/ 2061840 h 6858000"/>
              <a:gd name="connsiteX12905" fmla="*/ 10019456 w 12192000"/>
              <a:gd name="connsiteY12905" fmla="*/ 2061840 h 6858000"/>
              <a:gd name="connsiteX12906" fmla="*/ 9987240 w 12192000"/>
              <a:gd name="connsiteY12906" fmla="*/ 2032188 h 6858000"/>
              <a:gd name="connsiteX12907" fmla="*/ 10019456 w 12192000"/>
              <a:gd name="connsiteY12907" fmla="*/ 2002536 h 6858000"/>
              <a:gd name="connsiteX12908" fmla="*/ 10051660 w 12192000"/>
              <a:gd name="connsiteY12908" fmla="*/ 2032188 h 6858000"/>
              <a:gd name="connsiteX12909" fmla="*/ 10019456 w 12192000"/>
              <a:gd name="connsiteY12909" fmla="*/ 2061840 h 6858000"/>
              <a:gd name="connsiteX12910" fmla="*/ 10097990 w 12192000"/>
              <a:gd name="connsiteY12910" fmla="*/ 2061840 h 6858000"/>
              <a:gd name="connsiteX12911" fmla="*/ 10065774 w 12192000"/>
              <a:gd name="connsiteY12911" fmla="*/ 2032188 h 6858000"/>
              <a:gd name="connsiteX12912" fmla="*/ 10097990 w 12192000"/>
              <a:gd name="connsiteY12912" fmla="*/ 2002536 h 6858000"/>
              <a:gd name="connsiteX12913" fmla="*/ 10130195 w 12192000"/>
              <a:gd name="connsiteY12913" fmla="*/ 2032188 h 6858000"/>
              <a:gd name="connsiteX12914" fmla="*/ 10097990 w 12192000"/>
              <a:gd name="connsiteY12914" fmla="*/ 2061840 h 6858000"/>
              <a:gd name="connsiteX12915" fmla="*/ 10176524 w 12192000"/>
              <a:gd name="connsiteY12915" fmla="*/ 2061840 h 6858000"/>
              <a:gd name="connsiteX12916" fmla="*/ 10144307 w 12192000"/>
              <a:gd name="connsiteY12916" fmla="*/ 2032188 h 6858000"/>
              <a:gd name="connsiteX12917" fmla="*/ 10176524 w 12192000"/>
              <a:gd name="connsiteY12917" fmla="*/ 2002536 h 6858000"/>
              <a:gd name="connsiteX12918" fmla="*/ 10208728 w 12192000"/>
              <a:gd name="connsiteY12918" fmla="*/ 2032188 h 6858000"/>
              <a:gd name="connsiteX12919" fmla="*/ 10176524 w 12192000"/>
              <a:gd name="connsiteY12919" fmla="*/ 2061840 h 6858000"/>
              <a:gd name="connsiteX12920" fmla="*/ 3972319 w 12192000"/>
              <a:gd name="connsiteY12920" fmla="*/ 1989574 h 6858000"/>
              <a:gd name="connsiteX12921" fmla="*/ 3940108 w 12192000"/>
              <a:gd name="connsiteY12921" fmla="*/ 1959922 h 6858000"/>
              <a:gd name="connsiteX12922" fmla="*/ 3972319 w 12192000"/>
              <a:gd name="connsiteY12922" fmla="*/ 1930270 h 6858000"/>
              <a:gd name="connsiteX12923" fmla="*/ 4004529 w 12192000"/>
              <a:gd name="connsiteY12923" fmla="*/ 1959922 h 6858000"/>
              <a:gd name="connsiteX12924" fmla="*/ 3972319 w 12192000"/>
              <a:gd name="connsiteY12924" fmla="*/ 1989574 h 6858000"/>
              <a:gd name="connsiteX12925" fmla="*/ 4050852 w 12192000"/>
              <a:gd name="connsiteY12925" fmla="*/ 1989574 h 6858000"/>
              <a:gd name="connsiteX12926" fmla="*/ 4018642 w 12192000"/>
              <a:gd name="connsiteY12926" fmla="*/ 1959922 h 6858000"/>
              <a:gd name="connsiteX12927" fmla="*/ 4050852 w 12192000"/>
              <a:gd name="connsiteY12927" fmla="*/ 1930270 h 6858000"/>
              <a:gd name="connsiteX12928" fmla="*/ 4083062 w 12192000"/>
              <a:gd name="connsiteY12928" fmla="*/ 1959922 h 6858000"/>
              <a:gd name="connsiteX12929" fmla="*/ 4050852 w 12192000"/>
              <a:gd name="connsiteY12929" fmla="*/ 1989574 h 6858000"/>
              <a:gd name="connsiteX12930" fmla="*/ 4129386 w 12192000"/>
              <a:gd name="connsiteY12930" fmla="*/ 1989574 h 6858000"/>
              <a:gd name="connsiteX12931" fmla="*/ 4097176 w 12192000"/>
              <a:gd name="connsiteY12931" fmla="*/ 1959922 h 6858000"/>
              <a:gd name="connsiteX12932" fmla="*/ 4129386 w 12192000"/>
              <a:gd name="connsiteY12932" fmla="*/ 1930270 h 6858000"/>
              <a:gd name="connsiteX12933" fmla="*/ 4161597 w 12192000"/>
              <a:gd name="connsiteY12933" fmla="*/ 1959922 h 6858000"/>
              <a:gd name="connsiteX12934" fmla="*/ 4129386 w 12192000"/>
              <a:gd name="connsiteY12934" fmla="*/ 1989574 h 6858000"/>
              <a:gd name="connsiteX12935" fmla="*/ 4207926 w 12192000"/>
              <a:gd name="connsiteY12935" fmla="*/ 1989574 h 6858000"/>
              <a:gd name="connsiteX12936" fmla="*/ 4175715 w 12192000"/>
              <a:gd name="connsiteY12936" fmla="*/ 1959922 h 6858000"/>
              <a:gd name="connsiteX12937" fmla="*/ 4207926 w 12192000"/>
              <a:gd name="connsiteY12937" fmla="*/ 1930270 h 6858000"/>
              <a:gd name="connsiteX12938" fmla="*/ 4240136 w 12192000"/>
              <a:gd name="connsiteY12938" fmla="*/ 1959922 h 6858000"/>
              <a:gd name="connsiteX12939" fmla="*/ 4207926 w 12192000"/>
              <a:gd name="connsiteY12939" fmla="*/ 1989574 h 6858000"/>
              <a:gd name="connsiteX12940" fmla="*/ 4286460 w 12192000"/>
              <a:gd name="connsiteY12940" fmla="*/ 1989574 h 6858000"/>
              <a:gd name="connsiteX12941" fmla="*/ 4254250 w 12192000"/>
              <a:gd name="connsiteY12941" fmla="*/ 1959922 h 6858000"/>
              <a:gd name="connsiteX12942" fmla="*/ 4286460 w 12192000"/>
              <a:gd name="connsiteY12942" fmla="*/ 1930270 h 6858000"/>
              <a:gd name="connsiteX12943" fmla="*/ 4318670 w 12192000"/>
              <a:gd name="connsiteY12943" fmla="*/ 1959922 h 6858000"/>
              <a:gd name="connsiteX12944" fmla="*/ 4286460 w 12192000"/>
              <a:gd name="connsiteY12944" fmla="*/ 1989574 h 6858000"/>
              <a:gd name="connsiteX12945" fmla="*/ 4364994 w 12192000"/>
              <a:gd name="connsiteY12945" fmla="*/ 1989574 h 6858000"/>
              <a:gd name="connsiteX12946" fmla="*/ 4332784 w 12192000"/>
              <a:gd name="connsiteY12946" fmla="*/ 1959922 h 6858000"/>
              <a:gd name="connsiteX12947" fmla="*/ 4364994 w 12192000"/>
              <a:gd name="connsiteY12947" fmla="*/ 1930270 h 6858000"/>
              <a:gd name="connsiteX12948" fmla="*/ 4397204 w 12192000"/>
              <a:gd name="connsiteY12948" fmla="*/ 1959922 h 6858000"/>
              <a:gd name="connsiteX12949" fmla="*/ 4364994 w 12192000"/>
              <a:gd name="connsiteY12949" fmla="*/ 1989574 h 6858000"/>
              <a:gd name="connsiteX12950" fmla="*/ 4443527 w 12192000"/>
              <a:gd name="connsiteY12950" fmla="*/ 1989574 h 6858000"/>
              <a:gd name="connsiteX12951" fmla="*/ 4411317 w 12192000"/>
              <a:gd name="connsiteY12951" fmla="*/ 1959922 h 6858000"/>
              <a:gd name="connsiteX12952" fmla="*/ 4443527 w 12192000"/>
              <a:gd name="connsiteY12952" fmla="*/ 1930270 h 6858000"/>
              <a:gd name="connsiteX12953" fmla="*/ 4475738 w 12192000"/>
              <a:gd name="connsiteY12953" fmla="*/ 1959922 h 6858000"/>
              <a:gd name="connsiteX12954" fmla="*/ 4443527 w 12192000"/>
              <a:gd name="connsiteY12954" fmla="*/ 1989574 h 6858000"/>
              <a:gd name="connsiteX12955" fmla="*/ 4522062 w 12192000"/>
              <a:gd name="connsiteY12955" fmla="*/ 1989574 h 6858000"/>
              <a:gd name="connsiteX12956" fmla="*/ 4489851 w 12192000"/>
              <a:gd name="connsiteY12956" fmla="*/ 1959922 h 6858000"/>
              <a:gd name="connsiteX12957" fmla="*/ 4522062 w 12192000"/>
              <a:gd name="connsiteY12957" fmla="*/ 1930270 h 6858000"/>
              <a:gd name="connsiteX12958" fmla="*/ 4554272 w 12192000"/>
              <a:gd name="connsiteY12958" fmla="*/ 1959922 h 6858000"/>
              <a:gd name="connsiteX12959" fmla="*/ 4522062 w 12192000"/>
              <a:gd name="connsiteY12959" fmla="*/ 1989574 h 6858000"/>
              <a:gd name="connsiteX12960" fmla="*/ 4600596 w 12192000"/>
              <a:gd name="connsiteY12960" fmla="*/ 1989574 h 6858000"/>
              <a:gd name="connsiteX12961" fmla="*/ 4568386 w 12192000"/>
              <a:gd name="connsiteY12961" fmla="*/ 1959922 h 6858000"/>
              <a:gd name="connsiteX12962" fmla="*/ 4600596 w 12192000"/>
              <a:gd name="connsiteY12962" fmla="*/ 1930270 h 6858000"/>
              <a:gd name="connsiteX12963" fmla="*/ 4632806 w 12192000"/>
              <a:gd name="connsiteY12963" fmla="*/ 1959922 h 6858000"/>
              <a:gd name="connsiteX12964" fmla="*/ 4600596 w 12192000"/>
              <a:gd name="connsiteY12964" fmla="*/ 1989574 h 6858000"/>
              <a:gd name="connsiteX12965" fmla="*/ 6406875 w 12192000"/>
              <a:gd name="connsiteY12965" fmla="*/ 1989574 h 6858000"/>
              <a:gd name="connsiteX12966" fmla="*/ 6374658 w 12192000"/>
              <a:gd name="connsiteY12966" fmla="*/ 1959922 h 6858000"/>
              <a:gd name="connsiteX12967" fmla="*/ 6406875 w 12192000"/>
              <a:gd name="connsiteY12967" fmla="*/ 1930270 h 6858000"/>
              <a:gd name="connsiteX12968" fmla="*/ 6439079 w 12192000"/>
              <a:gd name="connsiteY12968" fmla="*/ 1959922 h 6858000"/>
              <a:gd name="connsiteX12969" fmla="*/ 6406875 w 12192000"/>
              <a:gd name="connsiteY12969" fmla="*/ 1989574 h 6858000"/>
              <a:gd name="connsiteX12970" fmla="*/ 6485408 w 12192000"/>
              <a:gd name="connsiteY12970" fmla="*/ 1989574 h 6858000"/>
              <a:gd name="connsiteX12971" fmla="*/ 6453191 w 12192000"/>
              <a:gd name="connsiteY12971" fmla="*/ 1959922 h 6858000"/>
              <a:gd name="connsiteX12972" fmla="*/ 6485408 w 12192000"/>
              <a:gd name="connsiteY12972" fmla="*/ 1930270 h 6858000"/>
              <a:gd name="connsiteX12973" fmla="*/ 6517612 w 12192000"/>
              <a:gd name="connsiteY12973" fmla="*/ 1959922 h 6858000"/>
              <a:gd name="connsiteX12974" fmla="*/ 6485408 w 12192000"/>
              <a:gd name="connsiteY12974" fmla="*/ 1989574 h 6858000"/>
              <a:gd name="connsiteX12975" fmla="*/ 6563942 w 12192000"/>
              <a:gd name="connsiteY12975" fmla="*/ 1989574 h 6858000"/>
              <a:gd name="connsiteX12976" fmla="*/ 6531726 w 12192000"/>
              <a:gd name="connsiteY12976" fmla="*/ 1959922 h 6858000"/>
              <a:gd name="connsiteX12977" fmla="*/ 6563942 w 12192000"/>
              <a:gd name="connsiteY12977" fmla="*/ 1930270 h 6858000"/>
              <a:gd name="connsiteX12978" fmla="*/ 6596146 w 12192000"/>
              <a:gd name="connsiteY12978" fmla="*/ 1959922 h 6858000"/>
              <a:gd name="connsiteX12979" fmla="*/ 6563942 w 12192000"/>
              <a:gd name="connsiteY12979" fmla="*/ 1989574 h 6858000"/>
              <a:gd name="connsiteX12980" fmla="*/ 6642476 w 12192000"/>
              <a:gd name="connsiteY12980" fmla="*/ 1989574 h 6858000"/>
              <a:gd name="connsiteX12981" fmla="*/ 6610260 w 12192000"/>
              <a:gd name="connsiteY12981" fmla="*/ 1959922 h 6858000"/>
              <a:gd name="connsiteX12982" fmla="*/ 6642476 w 12192000"/>
              <a:gd name="connsiteY12982" fmla="*/ 1930270 h 6858000"/>
              <a:gd name="connsiteX12983" fmla="*/ 6674681 w 12192000"/>
              <a:gd name="connsiteY12983" fmla="*/ 1959922 h 6858000"/>
              <a:gd name="connsiteX12984" fmla="*/ 6642476 w 12192000"/>
              <a:gd name="connsiteY12984" fmla="*/ 1989574 h 6858000"/>
              <a:gd name="connsiteX12985" fmla="*/ 6721010 w 12192000"/>
              <a:gd name="connsiteY12985" fmla="*/ 1989574 h 6858000"/>
              <a:gd name="connsiteX12986" fmla="*/ 6688793 w 12192000"/>
              <a:gd name="connsiteY12986" fmla="*/ 1959922 h 6858000"/>
              <a:gd name="connsiteX12987" fmla="*/ 6721010 w 12192000"/>
              <a:gd name="connsiteY12987" fmla="*/ 1930270 h 6858000"/>
              <a:gd name="connsiteX12988" fmla="*/ 6753214 w 12192000"/>
              <a:gd name="connsiteY12988" fmla="*/ 1959922 h 6858000"/>
              <a:gd name="connsiteX12989" fmla="*/ 6721010 w 12192000"/>
              <a:gd name="connsiteY12989" fmla="*/ 1989574 h 6858000"/>
              <a:gd name="connsiteX12990" fmla="*/ 6799544 w 12192000"/>
              <a:gd name="connsiteY12990" fmla="*/ 1989574 h 6858000"/>
              <a:gd name="connsiteX12991" fmla="*/ 6767327 w 12192000"/>
              <a:gd name="connsiteY12991" fmla="*/ 1959922 h 6858000"/>
              <a:gd name="connsiteX12992" fmla="*/ 6799544 w 12192000"/>
              <a:gd name="connsiteY12992" fmla="*/ 1930270 h 6858000"/>
              <a:gd name="connsiteX12993" fmla="*/ 6831748 w 12192000"/>
              <a:gd name="connsiteY12993" fmla="*/ 1959922 h 6858000"/>
              <a:gd name="connsiteX12994" fmla="*/ 6799544 w 12192000"/>
              <a:gd name="connsiteY12994" fmla="*/ 1989574 h 6858000"/>
              <a:gd name="connsiteX12995" fmla="*/ 6878077 w 12192000"/>
              <a:gd name="connsiteY12995" fmla="*/ 1989574 h 6858000"/>
              <a:gd name="connsiteX12996" fmla="*/ 6845861 w 12192000"/>
              <a:gd name="connsiteY12996" fmla="*/ 1959922 h 6858000"/>
              <a:gd name="connsiteX12997" fmla="*/ 6878077 w 12192000"/>
              <a:gd name="connsiteY12997" fmla="*/ 1930270 h 6858000"/>
              <a:gd name="connsiteX12998" fmla="*/ 6910281 w 12192000"/>
              <a:gd name="connsiteY12998" fmla="*/ 1959922 h 6858000"/>
              <a:gd name="connsiteX12999" fmla="*/ 6878077 w 12192000"/>
              <a:gd name="connsiteY12999" fmla="*/ 1989574 h 6858000"/>
              <a:gd name="connsiteX13000" fmla="*/ 7192237 w 12192000"/>
              <a:gd name="connsiteY13000" fmla="*/ 1989574 h 6858000"/>
              <a:gd name="connsiteX13001" fmla="*/ 7160021 w 12192000"/>
              <a:gd name="connsiteY13001" fmla="*/ 1959922 h 6858000"/>
              <a:gd name="connsiteX13002" fmla="*/ 7192237 w 12192000"/>
              <a:gd name="connsiteY13002" fmla="*/ 1930270 h 6858000"/>
              <a:gd name="connsiteX13003" fmla="*/ 7224441 w 12192000"/>
              <a:gd name="connsiteY13003" fmla="*/ 1959922 h 6858000"/>
              <a:gd name="connsiteX13004" fmla="*/ 7192237 w 12192000"/>
              <a:gd name="connsiteY13004" fmla="*/ 1989574 h 6858000"/>
              <a:gd name="connsiteX13005" fmla="*/ 7270771 w 12192000"/>
              <a:gd name="connsiteY13005" fmla="*/ 1989574 h 6858000"/>
              <a:gd name="connsiteX13006" fmla="*/ 7238555 w 12192000"/>
              <a:gd name="connsiteY13006" fmla="*/ 1959922 h 6858000"/>
              <a:gd name="connsiteX13007" fmla="*/ 7270771 w 12192000"/>
              <a:gd name="connsiteY13007" fmla="*/ 1930270 h 6858000"/>
              <a:gd name="connsiteX13008" fmla="*/ 7302976 w 12192000"/>
              <a:gd name="connsiteY13008" fmla="*/ 1959922 h 6858000"/>
              <a:gd name="connsiteX13009" fmla="*/ 7270771 w 12192000"/>
              <a:gd name="connsiteY13009" fmla="*/ 1989574 h 6858000"/>
              <a:gd name="connsiteX13010" fmla="*/ 9312652 w 12192000"/>
              <a:gd name="connsiteY13010" fmla="*/ 1989574 h 6858000"/>
              <a:gd name="connsiteX13011" fmla="*/ 9280436 w 12192000"/>
              <a:gd name="connsiteY13011" fmla="*/ 1959922 h 6858000"/>
              <a:gd name="connsiteX13012" fmla="*/ 9312652 w 12192000"/>
              <a:gd name="connsiteY13012" fmla="*/ 1930270 h 6858000"/>
              <a:gd name="connsiteX13013" fmla="*/ 9344856 w 12192000"/>
              <a:gd name="connsiteY13013" fmla="*/ 1959922 h 6858000"/>
              <a:gd name="connsiteX13014" fmla="*/ 9312652 w 12192000"/>
              <a:gd name="connsiteY13014" fmla="*/ 1989574 h 6858000"/>
              <a:gd name="connsiteX13015" fmla="*/ 9391185 w 12192000"/>
              <a:gd name="connsiteY13015" fmla="*/ 1989574 h 6858000"/>
              <a:gd name="connsiteX13016" fmla="*/ 9358969 w 12192000"/>
              <a:gd name="connsiteY13016" fmla="*/ 1959922 h 6858000"/>
              <a:gd name="connsiteX13017" fmla="*/ 9391185 w 12192000"/>
              <a:gd name="connsiteY13017" fmla="*/ 1930270 h 6858000"/>
              <a:gd name="connsiteX13018" fmla="*/ 9423389 w 12192000"/>
              <a:gd name="connsiteY13018" fmla="*/ 1959922 h 6858000"/>
              <a:gd name="connsiteX13019" fmla="*/ 9391185 w 12192000"/>
              <a:gd name="connsiteY13019" fmla="*/ 1989574 h 6858000"/>
              <a:gd name="connsiteX13020" fmla="*/ 9469719 w 12192000"/>
              <a:gd name="connsiteY13020" fmla="*/ 1989574 h 6858000"/>
              <a:gd name="connsiteX13021" fmla="*/ 9437503 w 12192000"/>
              <a:gd name="connsiteY13021" fmla="*/ 1959922 h 6858000"/>
              <a:gd name="connsiteX13022" fmla="*/ 9469719 w 12192000"/>
              <a:gd name="connsiteY13022" fmla="*/ 1930270 h 6858000"/>
              <a:gd name="connsiteX13023" fmla="*/ 9501924 w 12192000"/>
              <a:gd name="connsiteY13023" fmla="*/ 1959922 h 6858000"/>
              <a:gd name="connsiteX13024" fmla="*/ 9469719 w 12192000"/>
              <a:gd name="connsiteY13024" fmla="*/ 1989574 h 6858000"/>
              <a:gd name="connsiteX13025" fmla="*/ 9548254 w 12192000"/>
              <a:gd name="connsiteY13025" fmla="*/ 1989574 h 6858000"/>
              <a:gd name="connsiteX13026" fmla="*/ 9516037 w 12192000"/>
              <a:gd name="connsiteY13026" fmla="*/ 1959922 h 6858000"/>
              <a:gd name="connsiteX13027" fmla="*/ 9548254 w 12192000"/>
              <a:gd name="connsiteY13027" fmla="*/ 1930270 h 6858000"/>
              <a:gd name="connsiteX13028" fmla="*/ 9580458 w 12192000"/>
              <a:gd name="connsiteY13028" fmla="*/ 1959922 h 6858000"/>
              <a:gd name="connsiteX13029" fmla="*/ 9548254 w 12192000"/>
              <a:gd name="connsiteY13029" fmla="*/ 1989574 h 6858000"/>
              <a:gd name="connsiteX13030" fmla="*/ 9626787 w 12192000"/>
              <a:gd name="connsiteY13030" fmla="*/ 1989574 h 6858000"/>
              <a:gd name="connsiteX13031" fmla="*/ 9594571 w 12192000"/>
              <a:gd name="connsiteY13031" fmla="*/ 1959922 h 6858000"/>
              <a:gd name="connsiteX13032" fmla="*/ 9626787 w 12192000"/>
              <a:gd name="connsiteY13032" fmla="*/ 1930270 h 6858000"/>
              <a:gd name="connsiteX13033" fmla="*/ 9658991 w 12192000"/>
              <a:gd name="connsiteY13033" fmla="*/ 1959922 h 6858000"/>
              <a:gd name="connsiteX13034" fmla="*/ 9626787 w 12192000"/>
              <a:gd name="connsiteY13034" fmla="*/ 1989574 h 6858000"/>
              <a:gd name="connsiteX13035" fmla="*/ 9705321 w 12192000"/>
              <a:gd name="connsiteY13035" fmla="*/ 1989574 h 6858000"/>
              <a:gd name="connsiteX13036" fmla="*/ 9673105 w 12192000"/>
              <a:gd name="connsiteY13036" fmla="*/ 1959922 h 6858000"/>
              <a:gd name="connsiteX13037" fmla="*/ 9705321 w 12192000"/>
              <a:gd name="connsiteY13037" fmla="*/ 1930270 h 6858000"/>
              <a:gd name="connsiteX13038" fmla="*/ 9737525 w 12192000"/>
              <a:gd name="connsiteY13038" fmla="*/ 1959922 h 6858000"/>
              <a:gd name="connsiteX13039" fmla="*/ 9705321 w 12192000"/>
              <a:gd name="connsiteY13039" fmla="*/ 1989574 h 6858000"/>
              <a:gd name="connsiteX13040" fmla="*/ 9783854 w 12192000"/>
              <a:gd name="connsiteY13040" fmla="*/ 1989574 h 6858000"/>
              <a:gd name="connsiteX13041" fmla="*/ 9751638 w 12192000"/>
              <a:gd name="connsiteY13041" fmla="*/ 1959922 h 6858000"/>
              <a:gd name="connsiteX13042" fmla="*/ 9783854 w 12192000"/>
              <a:gd name="connsiteY13042" fmla="*/ 1930270 h 6858000"/>
              <a:gd name="connsiteX13043" fmla="*/ 9816059 w 12192000"/>
              <a:gd name="connsiteY13043" fmla="*/ 1959922 h 6858000"/>
              <a:gd name="connsiteX13044" fmla="*/ 9783854 w 12192000"/>
              <a:gd name="connsiteY13044" fmla="*/ 1989574 h 6858000"/>
              <a:gd name="connsiteX13045" fmla="*/ 9862389 w 12192000"/>
              <a:gd name="connsiteY13045" fmla="*/ 1989574 h 6858000"/>
              <a:gd name="connsiteX13046" fmla="*/ 9830172 w 12192000"/>
              <a:gd name="connsiteY13046" fmla="*/ 1959922 h 6858000"/>
              <a:gd name="connsiteX13047" fmla="*/ 9862389 w 12192000"/>
              <a:gd name="connsiteY13047" fmla="*/ 1930270 h 6858000"/>
              <a:gd name="connsiteX13048" fmla="*/ 9894593 w 12192000"/>
              <a:gd name="connsiteY13048" fmla="*/ 1959922 h 6858000"/>
              <a:gd name="connsiteX13049" fmla="*/ 9862389 w 12192000"/>
              <a:gd name="connsiteY13049" fmla="*/ 1989574 h 6858000"/>
              <a:gd name="connsiteX13050" fmla="*/ 9940923 w 12192000"/>
              <a:gd name="connsiteY13050" fmla="*/ 1989574 h 6858000"/>
              <a:gd name="connsiteX13051" fmla="*/ 9908707 w 12192000"/>
              <a:gd name="connsiteY13051" fmla="*/ 1959922 h 6858000"/>
              <a:gd name="connsiteX13052" fmla="*/ 9940923 w 12192000"/>
              <a:gd name="connsiteY13052" fmla="*/ 1930270 h 6858000"/>
              <a:gd name="connsiteX13053" fmla="*/ 9973127 w 12192000"/>
              <a:gd name="connsiteY13053" fmla="*/ 1959922 h 6858000"/>
              <a:gd name="connsiteX13054" fmla="*/ 9940923 w 12192000"/>
              <a:gd name="connsiteY13054" fmla="*/ 1989574 h 6858000"/>
              <a:gd name="connsiteX13055" fmla="*/ 10019456 w 12192000"/>
              <a:gd name="connsiteY13055" fmla="*/ 1989574 h 6858000"/>
              <a:gd name="connsiteX13056" fmla="*/ 9987240 w 12192000"/>
              <a:gd name="connsiteY13056" fmla="*/ 1959922 h 6858000"/>
              <a:gd name="connsiteX13057" fmla="*/ 10019456 w 12192000"/>
              <a:gd name="connsiteY13057" fmla="*/ 1930270 h 6858000"/>
              <a:gd name="connsiteX13058" fmla="*/ 10051660 w 12192000"/>
              <a:gd name="connsiteY13058" fmla="*/ 1959922 h 6858000"/>
              <a:gd name="connsiteX13059" fmla="*/ 10019456 w 12192000"/>
              <a:gd name="connsiteY13059" fmla="*/ 1989574 h 6858000"/>
              <a:gd name="connsiteX13060" fmla="*/ 10097990 w 12192000"/>
              <a:gd name="connsiteY13060" fmla="*/ 1989574 h 6858000"/>
              <a:gd name="connsiteX13061" fmla="*/ 10065774 w 12192000"/>
              <a:gd name="connsiteY13061" fmla="*/ 1959922 h 6858000"/>
              <a:gd name="connsiteX13062" fmla="*/ 10097990 w 12192000"/>
              <a:gd name="connsiteY13062" fmla="*/ 1930270 h 6858000"/>
              <a:gd name="connsiteX13063" fmla="*/ 10130195 w 12192000"/>
              <a:gd name="connsiteY13063" fmla="*/ 1959922 h 6858000"/>
              <a:gd name="connsiteX13064" fmla="*/ 10097990 w 12192000"/>
              <a:gd name="connsiteY13064" fmla="*/ 1989574 h 6858000"/>
              <a:gd name="connsiteX13065" fmla="*/ 10176524 w 12192000"/>
              <a:gd name="connsiteY13065" fmla="*/ 1989574 h 6858000"/>
              <a:gd name="connsiteX13066" fmla="*/ 10144307 w 12192000"/>
              <a:gd name="connsiteY13066" fmla="*/ 1959922 h 6858000"/>
              <a:gd name="connsiteX13067" fmla="*/ 10176524 w 12192000"/>
              <a:gd name="connsiteY13067" fmla="*/ 1930270 h 6858000"/>
              <a:gd name="connsiteX13068" fmla="*/ 10208728 w 12192000"/>
              <a:gd name="connsiteY13068" fmla="*/ 1959922 h 6858000"/>
              <a:gd name="connsiteX13069" fmla="*/ 10176524 w 12192000"/>
              <a:gd name="connsiteY13069" fmla="*/ 1989574 h 6858000"/>
              <a:gd name="connsiteX13070" fmla="*/ 10726261 w 12192000"/>
              <a:gd name="connsiteY13070" fmla="*/ 1989574 h 6858000"/>
              <a:gd name="connsiteX13071" fmla="*/ 10694045 w 12192000"/>
              <a:gd name="connsiteY13071" fmla="*/ 1959922 h 6858000"/>
              <a:gd name="connsiteX13072" fmla="*/ 10726261 w 12192000"/>
              <a:gd name="connsiteY13072" fmla="*/ 1930270 h 6858000"/>
              <a:gd name="connsiteX13073" fmla="*/ 10758466 w 12192000"/>
              <a:gd name="connsiteY13073" fmla="*/ 1959922 h 6858000"/>
              <a:gd name="connsiteX13074" fmla="*/ 10726261 w 12192000"/>
              <a:gd name="connsiteY13074" fmla="*/ 1989574 h 6858000"/>
              <a:gd name="connsiteX13075" fmla="*/ 3972319 w 12192000"/>
              <a:gd name="connsiteY13075" fmla="*/ 1917309 h 6858000"/>
              <a:gd name="connsiteX13076" fmla="*/ 3940108 w 12192000"/>
              <a:gd name="connsiteY13076" fmla="*/ 1887657 h 6858000"/>
              <a:gd name="connsiteX13077" fmla="*/ 3972319 w 12192000"/>
              <a:gd name="connsiteY13077" fmla="*/ 1858005 h 6858000"/>
              <a:gd name="connsiteX13078" fmla="*/ 4004529 w 12192000"/>
              <a:gd name="connsiteY13078" fmla="*/ 1887657 h 6858000"/>
              <a:gd name="connsiteX13079" fmla="*/ 3972319 w 12192000"/>
              <a:gd name="connsiteY13079" fmla="*/ 1917309 h 6858000"/>
              <a:gd name="connsiteX13080" fmla="*/ 4050852 w 12192000"/>
              <a:gd name="connsiteY13080" fmla="*/ 1917309 h 6858000"/>
              <a:gd name="connsiteX13081" fmla="*/ 4018642 w 12192000"/>
              <a:gd name="connsiteY13081" fmla="*/ 1887657 h 6858000"/>
              <a:gd name="connsiteX13082" fmla="*/ 4050852 w 12192000"/>
              <a:gd name="connsiteY13082" fmla="*/ 1858005 h 6858000"/>
              <a:gd name="connsiteX13083" fmla="*/ 4083062 w 12192000"/>
              <a:gd name="connsiteY13083" fmla="*/ 1887657 h 6858000"/>
              <a:gd name="connsiteX13084" fmla="*/ 4050852 w 12192000"/>
              <a:gd name="connsiteY13084" fmla="*/ 1917309 h 6858000"/>
              <a:gd name="connsiteX13085" fmla="*/ 4129386 w 12192000"/>
              <a:gd name="connsiteY13085" fmla="*/ 1917309 h 6858000"/>
              <a:gd name="connsiteX13086" fmla="*/ 4097176 w 12192000"/>
              <a:gd name="connsiteY13086" fmla="*/ 1887657 h 6858000"/>
              <a:gd name="connsiteX13087" fmla="*/ 4129386 w 12192000"/>
              <a:gd name="connsiteY13087" fmla="*/ 1858005 h 6858000"/>
              <a:gd name="connsiteX13088" fmla="*/ 4161597 w 12192000"/>
              <a:gd name="connsiteY13088" fmla="*/ 1887657 h 6858000"/>
              <a:gd name="connsiteX13089" fmla="*/ 4129386 w 12192000"/>
              <a:gd name="connsiteY13089" fmla="*/ 1917309 h 6858000"/>
              <a:gd name="connsiteX13090" fmla="*/ 4207926 w 12192000"/>
              <a:gd name="connsiteY13090" fmla="*/ 1917309 h 6858000"/>
              <a:gd name="connsiteX13091" fmla="*/ 4175715 w 12192000"/>
              <a:gd name="connsiteY13091" fmla="*/ 1887657 h 6858000"/>
              <a:gd name="connsiteX13092" fmla="*/ 4207926 w 12192000"/>
              <a:gd name="connsiteY13092" fmla="*/ 1858005 h 6858000"/>
              <a:gd name="connsiteX13093" fmla="*/ 4240136 w 12192000"/>
              <a:gd name="connsiteY13093" fmla="*/ 1887657 h 6858000"/>
              <a:gd name="connsiteX13094" fmla="*/ 4207926 w 12192000"/>
              <a:gd name="connsiteY13094" fmla="*/ 1917309 h 6858000"/>
              <a:gd name="connsiteX13095" fmla="*/ 4286460 w 12192000"/>
              <a:gd name="connsiteY13095" fmla="*/ 1917309 h 6858000"/>
              <a:gd name="connsiteX13096" fmla="*/ 4254250 w 12192000"/>
              <a:gd name="connsiteY13096" fmla="*/ 1887657 h 6858000"/>
              <a:gd name="connsiteX13097" fmla="*/ 4286460 w 12192000"/>
              <a:gd name="connsiteY13097" fmla="*/ 1858005 h 6858000"/>
              <a:gd name="connsiteX13098" fmla="*/ 4318670 w 12192000"/>
              <a:gd name="connsiteY13098" fmla="*/ 1887657 h 6858000"/>
              <a:gd name="connsiteX13099" fmla="*/ 4286460 w 12192000"/>
              <a:gd name="connsiteY13099" fmla="*/ 1917309 h 6858000"/>
              <a:gd name="connsiteX13100" fmla="*/ 4364994 w 12192000"/>
              <a:gd name="connsiteY13100" fmla="*/ 1917309 h 6858000"/>
              <a:gd name="connsiteX13101" fmla="*/ 4332784 w 12192000"/>
              <a:gd name="connsiteY13101" fmla="*/ 1887657 h 6858000"/>
              <a:gd name="connsiteX13102" fmla="*/ 4364994 w 12192000"/>
              <a:gd name="connsiteY13102" fmla="*/ 1858005 h 6858000"/>
              <a:gd name="connsiteX13103" fmla="*/ 4397204 w 12192000"/>
              <a:gd name="connsiteY13103" fmla="*/ 1887657 h 6858000"/>
              <a:gd name="connsiteX13104" fmla="*/ 4364994 w 12192000"/>
              <a:gd name="connsiteY13104" fmla="*/ 1917309 h 6858000"/>
              <a:gd name="connsiteX13105" fmla="*/ 4443527 w 12192000"/>
              <a:gd name="connsiteY13105" fmla="*/ 1917309 h 6858000"/>
              <a:gd name="connsiteX13106" fmla="*/ 4411317 w 12192000"/>
              <a:gd name="connsiteY13106" fmla="*/ 1887657 h 6858000"/>
              <a:gd name="connsiteX13107" fmla="*/ 4443527 w 12192000"/>
              <a:gd name="connsiteY13107" fmla="*/ 1858005 h 6858000"/>
              <a:gd name="connsiteX13108" fmla="*/ 4475738 w 12192000"/>
              <a:gd name="connsiteY13108" fmla="*/ 1887657 h 6858000"/>
              <a:gd name="connsiteX13109" fmla="*/ 4443527 w 12192000"/>
              <a:gd name="connsiteY13109" fmla="*/ 1917309 h 6858000"/>
              <a:gd name="connsiteX13110" fmla="*/ 4522062 w 12192000"/>
              <a:gd name="connsiteY13110" fmla="*/ 1917309 h 6858000"/>
              <a:gd name="connsiteX13111" fmla="*/ 4489851 w 12192000"/>
              <a:gd name="connsiteY13111" fmla="*/ 1887657 h 6858000"/>
              <a:gd name="connsiteX13112" fmla="*/ 4522062 w 12192000"/>
              <a:gd name="connsiteY13112" fmla="*/ 1858005 h 6858000"/>
              <a:gd name="connsiteX13113" fmla="*/ 4554272 w 12192000"/>
              <a:gd name="connsiteY13113" fmla="*/ 1887657 h 6858000"/>
              <a:gd name="connsiteX13114" fmla="*/ 4522062 w 12192000"/>
              <a:gd name="connsiteY13114" fmla="*/ 1917309 h 6858000"/>
              <a:gd name="connsiteX13115" fmla="*/ 6406875 w 12192000"/>
              <a:gd name="connsiteY13115" fmla="*/ 1917309 h 6858000"/>
              <a:gd name="connsiteX13116" fmla="*/ 6374658 w 12192000"/>
              <a:gd name="connsiteY13116" fmla="*/ 1887657 h 6858000"/>
              <a:gd name="connsiteX13117" fmla="*/ 6406875 w 12192000"/>
              <a:gd name="connsiteY13117" fmla="*/ 1858005 h 6858000"/>
              <a:gd name="connsiteX13118" fmla="*/ 6439079 w 12192000"/>
              <a:gd name="connsiteY13118" fmla="*/ 1887657 h 6858000"/>
              <a:gd name="connsiteX13119" fmla="*/ 6406875 w 12192000"/>
              <a:gd name="connsiteY13119" fmla="*/ 1917309 h 6858000"/>
              <a:gd name="connsiteX13120" fmla="*/ 6485408 w 12192000"/>
              <a:gd name="connsiteY13120" fmla="*/ 1917309 h 6858000"/>
              <a:gd name="connsiteX13121" fmla="*/ 6453191 w 12192000"/>
              <a:gd name="connsiteY13121" fmla="*/ 1887657 h 6858000"/>
              <a:gd name="connsiteX13122" fmla="*/ 6485408 w 12192000"/>
              <a:gd name="connsiteY13122" fmla="*/ 1858005 h 6858000"/>
              <a:gd name="connsiteX13123" fmla="*/ 6517612 w 12192000"/>
              <a:gd name="connsiteY13123" fmla="*/ 1887657 h 6858000"/>
              <a:gd name="connsiteX13124" fmla="*/ 6485408 w 12192000"/>
              <a:gd name="connsiteY13124" fmla="*/ 1917309 h 6858000"/>
              <a:gd name="connsiteX13125" fmla="*/ 6563942 w 12192000"/>
              <a:gd name="connsiteY13125" fmla="*/ 1917309 h 6858000"/>
              <a:gd name="connsiteX13126" fmla="*/ 6531726 w 12192000"/>
              <a:gd name="connsiteY13126" fmla="*/ 1887657 h 6858000"/>
              <a:gd name="connsiteX13127" fmla="*/ 6563942 w 12192000"/>
              <a:gd name="connsiteY13127" fmla="*/ 1858005 h 6858000"/>
              <a:gd name="connsiteX13128" fmla="*/ 6596146 w 12192000"/>
              <a:gd name="connsiteY13128" fmla="*/ 1887657 h 6858000"/>
              <a:gd name="connsiteX13129" fmla="*/ 6563942 w 12192000"/>
              <a:gd name="connsiteY13129" fmla="*/ 1917309 h 6858000"/>
              <a:gd name="connsiteX13130" fmla="*/ 6642476 w 12192000"/>
              <a:gd name="connsiteY13130" fmla="*/ 1917309 h 6858000"/>
              <a:gd name="connsiteX13131" fmla="*/ 6610260 w 12192000"/>
              <a:gd name="connsiteY13131" fmla="*/ 1887657 h 6858000"/>
              <a:gd name="connsiteX13132" fmla="*/ 6642476 w 12192000"/>
              <a:gd name="connsiteY13132" fmla="*/ 1858005 h 6858000"/>
              <a:gd name="connsiteX13133" fmla="*/ 6674681 w 12192000"/>
              <a:gd name="connsiteY13133" fmla="*/ 1887657 h 6858000"/>
              <a:gd name="connsiteX13134" fmla="*/ 6642476 w 12192000"/>
              <a:gd name="connsiteY13134" fmla="*/ 1917309 h 6858000"/>
              <a:gd name="connsiteX13135" fmla="*/ 6721010 w 12192000"/>
              <a:gd name="connsiteY13135" fmla="*/ 1917309 h 6858000"/>
              <a:gd name="connsiteX13136" fmla="*/ 6688793 w 12192000"/>
              <a:gd name="connsiteY13136" fmla="*/ 1887657 h 6858000"/>
              <a:gd name="connsiteX13137" fmla="*/ 6721010 w 12192000"/>
              <a:gd name="connsiteY13137" fmla="*/ 1858005 h 6858000"/>
              <a:gd name="connsiteX13138" fmla="*/ 6753214 w 12192000"/>
              <a:gd name="connsiteY13138" fmla="*/ 1887657 h 6858000"/>
              <a:gd name="connsiteX13139" fmla="*/ 6721010 w 12192000"/>
              <a:gd name="connsiteY13139" fmla="*/ 1917309 h 6858000"/>
              <a:gd name="connsiteX13140" fmla="*/ 6799544 w 12192000"/>
              <a:gd name="connsiteY13140" fmla="*/ 1917309 h 6858000"/>
              <a:gd name="connsiteX13141" fmla="*/ 6767327 w 12192000"/>
              <a:gd name="connsiteY13141" fmla="*/ 1887657 h 6858000"/>
              <a:gd name="connsiteX13142" fmla="*/ 6799544 w 12192000"/>
              <a:gd name="connsiteY13142" fmla="*/ 1858005 h 6858000"/>
              <a:gd name="connsiteX13143" fmla="*/ 6831748 w 12192000"/>
              <a:gd name="connsiteY13143" fmla="*/ 1887657 h 6858000"/>
              <a:gd name="connsiteX13144" fmla="*/ 6799544 w 12192000"/>
              <a:gd name="connsiteY13144" fmla="*/ 1917309 h 6858000"/>
              <a:gd name="connsiteX13145" fmla="*/ 9234118 w 12192000"/>
              <a:gd name="connsiteY13145" fmla="*/ 1917309 h 6858000"/>
              <a:gd name="connsiteX13146" fmla="*/ 9201901 w 12192000"/>
              <a:gd name="connsiteY13146" fmla="*/ 1887657 h 6858000"/>
              <a:gd name="connsiteX13147" fmla="*/ 9234118 w 12192000"/>
              <a:gd name="connsiteY13147" fmla="*/ 1858005 h 6858000"/>
              <a:gd name="connsiteX13148" fmla="*/ 9266322 w 12192000"/>
              <a:gd name="connsiteY13148" fmla="*/ 1887657 h 6858000"/>
              <a:gd name="connsiteX13149" fmla="*/ 9234118 w 12192000"/>
              <a:gd name="connsiteY13149" fmla="*/ 1917309 h 6858000"/>
              <a:gd name="connsiteX13150" fmla="*/ 9312652 w 12192000"/>
              <a:gd name="connsiteY13150" fmla="*/ 1917309 h 6858000"/>
              <a:gd name="connsiteX13151" fmla="*/ 9280436 w 12192000"/>
              <a:gd name="connsiteY13151" fmla="*/ 1887657 h 6858000"/>
              <a:gd name="connsiteX13152" fmla="*/ 9312652 w 12192000"/>
              <a:gd name="connsiteY13152" fmla="*/ 1858005 h 6858000"/>
              <a:gd name="connsiteX13153" fmla="*/ 9344856 w 12192000"/>
              <a:gd name="connsiteY13153" fmla="*/ 1887657 h 6858000"/>
              <a:gd name="connsiteX13154" fmla="*/ 9312652 w 12192000"/>
              <a:gd name="connsiteY13154" fmla="*/ 1917309 h 6858000"/>
              <a:gd name="connsiteX13155" fmla="*/ 9391185 w 12192000"/>
              <a:gd name="connsiteY13155" fmla="*/ 1917309 h 6858000"/>
              <a:gd name="connsiteX13156" fmla="*/ 9358969 w 12192000"/>
              <a:gd name="connsiteY13156" fmla="*/ 1887657 h 6858000"/>
              <a:gd name="connsiteX13157" fmla="*/ 9391185 w 12192000"/>
              <a:gd name="connsiteY13157" fmla="*/ 1858005 h 6858000"/>
              <a:gd name="connsiteX13158" fmla="*/ 9423389 w 12192000"/>
              <a:gd name="connsiteY13158" fmla="*/ 1887657 h 6858000"/>
              <a:gd name="connsiteX13159" fmla="*/ 9391185 w 12192000"/>
              <a:gd name="connsiteY13159" fmla="*/ 1917309 h 6858000"/>
              <a:gd name="connsiteX13160" fmla="*/ 9469719 w 12192000"/>
              <a:gd name="connsiteY13160" fmla="*/ 1917309 h 6858000"/>
              <a:gd name="connsiteX13161" fmla="*/ 9437503 w 12192000"/>
              <a:gd name="connsiteY13161" fmla="*/ 1887657 h 6858000"/>
              <a:gd name="connsiteX13162" fmla="*/ 9469719 w 12192000"/>
              <a:gd name="connsiteY13162" fmla="*/ 1858005 h 6858000"/>
              <a:gd name="connsiteX13163" fmla="*/ 9501924 w 12192000"/>
              <a:gd name="connsiteY13163" fmla="*/ 1887657 h 6858000"/>
              <a:gd name="connsiteX13164" fmla="*/ 9469719 w 12192000"/>
              <a:gd name="connsiteY13164" fmla="*/ 1917309 h 6858000"/>
              <a:gd name="connsiteX13165" fmla="*/ 9548254 w 12192000"/>
              <a:gd name="connsiteY13165" fmla="*/ 1917309 h 6858000"/>
              <a:gd name="connsiteX13166" fmla="*/ 9516037 w 12192000"/>
              <a:gd name="connsiteY13166" fmla="*/ 1887657 h 6858000"/>
              <a:gd name="connsiteX13167" fmla="*/ 9548254 w 12192000"/>
              <a:gd name="connsiteY13167" fmla="*/ 1858005 h 6858000"/>
              <a:gd name="connsiteX13168" fmla="*/ 9580458 w 12192000"/>
              <a:gd name="connsiteY13168" fmla="*/ 1887657 h 6858000"/>
              <a:gd name="connsiteX13169" fmla="*/ 9548254 w 12192000"/>
              <a:gd name="connsiteY13169" fmla="*/ 1917309 h 6858000"/>
              <a:gd name="connsiteX13170" fmla="*/ 9626787 w 12192000"/>
              <a:gd name="connsiteY13170" fmla="*/ 1917309 h 6858000"/>
              <a:gd name="connsiteX13171" fmla="*/ 9594571 w 12192000"/>
              <a:gd name="connsiteY13171" fmla="*/ 1887657 h 6858000"/>
              <a:gd name="connsiteX13172" fmla="*/ 9626787 w 12192000"/>
              <a:gd name="connsiteY13172" fmla="*/ 1858005 h 6858000"/>
              <a:gd name="connsiteX13173" fmla="*/ 9658991 w 12192000"/>
              <a:gd name="connsiteY13173" fmla="*/ 1887657 h 6858000"/>
              <a:gd name="connsiteX13174" fmla="*/ 9626787 w 12192000"/>
              <a:gd name="connsiteY13174" fmla="*/ 1917309 h 6858000"/>
              <a:gd name="connsiteX13175" fmla="*/ 9705321 w 12192000"/>
              <a:gd name="connsiteY13175" fmla="*/ 1917309 h 6858000"/>
              <a:gd name="connsiteX13176" fmla="*/ 9673105 w 12192000"/>
              <a:gd name="connsiteY13176" fmla="*/ 1887657 h 6858000"/>
              <a:gd name="connsiteX13177" fmla="*/ 9705321 w 12192000"/>
              <a:gd name="connsiteY13177" fmla="*/ 1858005 h 6858000"/>
              <a:gd name="connsiteX13178" fmla="*/ 9737525 w 12192000"/>
              <a:gd name="connsiteY13178" fmla="*/ 1887657 h 6858000"/>
              <a:gd name="connsiteX13179" fmla="*/ 9705321 w 12192000"/>
              <a:gd name="connsiteY13179" fmla="*/ 1917309 h 6858000"/>
              <a:gd name="connsiteX13180" fmla="*/ 9783854 w 12192000"/>
              <a:gd name="connsiteY13180" fmla="*/ 1917309 h 6858000"/>
              <a:gd name="connsiteX13181" fmla="*/ 9751638 w 12192000"/>
              <a:gd name="connsiteY13181" fmla="*/ 1887657 h 6858000"/>
              <a:gd name="connsiteX13182" fmla="*/ 9783854 w 12192000"/>
              <a:gd name="connsiteY13182" fmla="*/ 1858005 h 6858000"/>
              <a:gd name="connsiteX13183" fmla="*/ 9816059 w 12192000"/>
              <a:gd name="connsiteY13183" fmla="*/ 1887657 h 6858000"/>
              <a:gd name="connsiteX13184" fmla="*/ 9783854 w 12192000"/>
              <a:gd name="connsiteY13184" fmla="*/ 1917309 h 6858000"/>
              <a:gd name="connsiteX13185" fmla="*/ 9862389 w 12192000"/>
              <a:gd name="connsiteY13185" fmla="*/ 1917309 h 6858000"/>
              <a:gd name="connsiteX13186" fmla="*/ 9830172 w 12192000"/>
              <a:gd name="connsiteY13186" fmla="*/ 1887657 h 6858000"/>
              <a:gd name="connsiteX13187" fmla="*/ 9862389 w 12192000"/>
              <a:gd name="connsiteY13187" fmla="*/ 1858005 h 6858000"/>
              <a:gd name="connsiteX13188" fmla="*/ 9894593 w 12192000"/>
              <a:gd name="connsiteY13188" fmla="*/ 1887657 h 6858000"/>
              <a:gd name="connsiteX13189" fmla="*/ 9862389 w 12192000"/>
              <a:gd name="connsiteY13189" fmla="*/ 1917309 h 6858000"/>
              <a:gd name="connsiteX13190" fmla="*/ 9940923 w 12192000"/>
              <a:gd name="connsiteY13190" fmla="*/ 1917309 h 6858000"/>
              <a:gd name="connsiteX13191" fmla="*/ 9908707 w 12192000"/>
              <a:gd name="connsiteY13191" fmla="*/ 1887657 h 6858000"/>
              <a:gd name="connsiteX13192" fmla="*/ 9940923 w 12192000"/>
              <a:gd name="connsiteY13192" fmla="*/ 1858005 h 6858000"/>
              <a:gd name="connsiteX13193" fmla="*/ 9973127 w 12192000"/>
              <a:gd name="connsiteY13193" fmla="*/ 1887657 h 6858000"/>
              <a:gd name="connsiteX13194" fmla="*/ 9940923 w 12192000"/>
              <a:gd name="connsiteY13194" fmla="*/ 1917309 h 6858000"/>
              <a:gd name="connsiteX13195" fmla="*/ 10019456 w 12192000"/>
              <a:gd name="connsiteY13195" fmla="*/ 1917309 h 6858000"/>
              <a:gd name="connsiteX13196" fmla="*/ 9987240 w 12192000"/>
              <a:gd name="connsiteY13196" fmla="*/ 1887657 h 6858000"/>
              <a:gd name="connsiteX13197" fmla="*/ 10019456 w 12192000"/>
              <a:gd name="connsiteY13197" fmla="*/ 1858005 h 6858000"/>
              <a:gd name="connsiteX13198" fmla="*/ 10051660 w 12192000"/>
              <a:gd name="connsiteY13198" fmla="*/ 1887657 h 6858000"/>
              <a:gd name="connsiteX13199" fmla="*/ 10019456 w 12192000"/>
              <a:gd name="connsiteY13199" fmla="*/ 1917309 h 6858000"/>
              <a:gd name="connsiteX13200" fmla="*/ 10097990 w 12192000"/>
              <a:gd name="connsiteY13200" fmla="*/ 1917309 h 6858000"/>
              <a:gd name="connsiteX13201" fmla="*/ 10065774 w 12192000"/>
              <a:gd name="connsiteY13201" fmla="*/ 1887657 h 6858000"/>
              <a:gd name="connsiteX13202" fmla="*/ 10097990 w 12192000"/>
              <a:gd name="connsiteY13202" fmla="*/ 1858005 h 6858000"/>
              <a:gd name="connsiteX13203" fmla="*/ 10130195 w 12192000"/>
              <a:gd name="connsiteY13203" fmla="*/ 1887657 h 6858000"/>
              <a:gd name="connsiteX13204" fmla="*/ 10097990 w 12192000"/>
              <a:gd name="connsiteY13204" fmla="*/ 1917309 h 6858000"/>
              <a:gd name="connsiteX13205" fmla="*/ 10176524 w 12192000"/>
              <a:gd name="connsiteY13205" fmla="*/ 1917309 h 6858000"/>
              <a:gd name="connsiteX13206" fmla="*/ 10144307 w 12192000"/>
              <a:gd name="connsiteY13206" fmla="*/ 1887657 h 6858000"/>
              <a:gd name="connsiteX13207" fmla="*/ 10176524 w 12192000"/>
              <a:gd name="connsiteY13207" fmla="*/ 1858005 h 6858000"/>
              <a:gd name="connsiteX13208" fmla="*/ 10208728 w 12192000"/>
              <a:gd name="connsiteY13208" fmla="*/ 1887657 h 6858000"/>
              <a:gd name="connsiteX13209" fmla="*/ 10176524 w 12192000"/>
              <a:gd name="connsiteY13209" fmla="*/ 1917309 h 6858000"/>
              <a:gd name="connsiteX13210" fmla="*/ 10255058 w 12192000"/>
              <a:gd name="connsiteY13210" fmla="*/ 1917309 h 6858000"/>
              <a:gd name="connsiteX13211" fmla="*/ 10222842 w 12192000"/>
              <a:gd name="connsiteY13211" fmla="*/ 1887657 h 6858000"/>
              <a:gd name="connsiteX13212" fmla="*/ 10255058 w 12192000"/>
              <a:gd name="connsiteY13212" fmla="*/ 1858005 h 6858000"/>
              <a:gd name="connsiteX13213" fmla="*/ 10287262 w 12192000"/>
              <a:gd name="connsiteY13213" fmla="*/ 1887657 h 6858000"/>
              <a:gd name="connsiteX13214" fmla="*/ 10255058 w 12192000"/>
              <a:gd name="connsiteY13214" fmla="*/ 1917309 h 6858000"/>
              <a:gd name="connsiteX13215" fmla="*/ 3972319 w 12192000"/>
              <a:gd name="connsiteY13215" fmla="*/ 1845044 h 6858000"/>
              <a:gd name="connsiteX13216" fmla="*/ 3940108 w 12192000"/>
              <a:gd name="connsiteY13216" fmla="*/ 1815391 h 6858000"/>
              <a:gd name="connsiteX13217" fmla="*/ 3972319 w 12192000"/>
              <a:gd name="connsiteY13217" fmla="*/ 1785739 h 6858000"/>
              <a:gd name="connsiteX13218" fmla="*/ 4004529 w 12192000"/>
              <a:gd name="connsiteY13218" fmla="*/ 1815391 h 6858000"/>
              <a:gd name="connsiteX13219" fmla="*/ 3972319 w 12192000"/>
              <a:gd name="connsiteY13219" fmla="*/ 1845044 h 6858000"/>
              <a:gd name="connsiteX13220" fmla="*/ 4050852 w 12192000"/>
              <a:gd name="connsiteY13220" fmla="*/ 1845044 h 6858000"/>
              <a:gd name="connsiteX13221" fmla="*/ 4018642 w 12192000"/>
              <a:gd name="connsiteY13221" fmla="*/ 1815391 h 6858000"/>
              <a:gd name="connsiteX13222" fmla="*/ 4050852 w 12192000"/>
              <a:gd name="connsiteY13222" fmla="*/ 1785739 h 6858000"/>
              <a:gd name="connsiteX13223" fmla="*/ 4083062 w 12192000"/>
              <a:gd name="connsiteY13223" fmla="*/ 1815391 h 6858000"/>
              <a:gd name="connsiteX13224" fmla="*/ 4050852 w 12192000"/>
              <a:gd name="connsiteY13224" fmla="*/ 1845044 h 6858000"/>
              <a:gd name="connsiteX13225" fmla="*/ 4129386 w 12192000"/>
              <a:gd name="connsiteY13225" fmla="*/ 1845044 h 6858000"/>
              <a:gd name="connsiteX13226" fmla="*/ 4097176 w 12192000"/>
              <a:gd name="connsiteY13226" fmla="*/ 1815391 h 6858000"/>
              <a:gd name="connsiteX13227" fmla="*/ 4129386 w 12192000"/>
              <a:gd name="connsiteY13227" fmla="*/ 1785739 h 6858000"/>
              <a:gd name="connsiteX13228" fmla="*/ 4161597 w 12192000"/>
              <a:gd name="connsiteY13228" fmla="*/ 1815391 h 6858000"/>
              <a:gd name="connsiteX13229" fmla="*/ 4129386 w 12192000"/>
              <a:gd name="connsiteY13229" fmla="*/ 1845044 h 6858000"/>
              <a:gd name="connsiteX13230" fmla="*/ 4207926 w 12192000"/>
              <a:gd name="connsiteY13230" fmla="*/ 1845044 h 6858000"/>
              <a:gd name="connsiteX13231" fmla="*/ 4175715 w 12192000"/>
              <a:gd name="connsiteY13231" fmla="*/ 1815391 h 6858000"/>
              <a:gd name="connsiteX13232" fmla="*/ 4207926 w 12192000"/>
              <a:gd name="connsiteY13232" fmla="*/ 1785739 h 6858000"/>
              <a:gd name="connsiteX13233" fmla="*/ 4240136 w 12192000"/>
              <a:gd name="connsiteY13233" fmla="*/ 1815391 h 6858000"/>
              <a:gd name="connsiteX13234" fmla="*/ 4207926 w 12192000"/>
              <a:gd name="connsiteY13234" fmla="*/ 1845044 h 6858000"/>
              <a:gd name="connsiteX13235" fmla="*/ 4286460 w 12192000"/>
              <a:gd name="connsiteY13235" fmla="*/ 1845044 h 6858000"/>
              <a:gd name="connsiteX13236" fmla="*/ 4254250 w 12192000"/>
              <a:gd name="connsiteY13236" fmla="*/ 1815391 h 6858000"/>
              <a:gd name="connsiteX13237" fmla="*/ 4286460 w 12192000"/>
              <a:gd name="connsiteY13237" fmla="*/ 1785739 h 6858000"/>
              <a:gd name="connsiteX13238" fmla="*/ 4318670 w 12192000"/>
              <a:gd name="connsiteY13238" fmla="*/ 1815391 h 6858000"/>
              <a:gd name="connsiteX13239" fmla="*/ 4286460 w 12192000"/>
              <a:gd name="connsiteY13239" fmla="*/ 1845044 h 6858000"/>
              <a:gd name="connsiteX13240" fmla="*/ 4364994 w 12192000"/>
              <a:gd name="connsiteY13240" fmla="*/ 1845044 h 6858000"/>
              <a:gd name="connsiteX13241" fmla="*/ 4332784 w 12192000"/>
              <a:gd name="connsiteY13241" fmla="*/ 1815391 h 6858000"/>
              <a:gd name="connsiteX13242" fmla="*/ 4364994 w 12192000"/>
              <a:gd name="connsiteY13242" fmla="*/ 1785739 h 6858000"/>
              <a:gd name="connsiteX13243" fmla="*/ 4397204 w 12192000"/>
              <a:gd name="connsiteY13243" fmla="*/ 1815391 h 6858000"/>
              <a:gd name="connsiteX13244" fmla="*/ 4364994 w 12192000"/>
              <a:gd name="connsiteY13244" fmla="*/ 1845044 h 6858000"/>
              <a:gd name="connsiteX13245" fmla="*/ 4443527 w 12192000"/>
              <a:gd name="connsiteY13245" fmla="*/ 1845044 h 6858000"/>
              <a:gd name="connsiteX13246" fmla="*/ 4411317 w 12192000"/>
              <a:gd name="connsiteY13246" fmla="*/ 1815391 h 6858000"/>
              <a:gd name="connsiteX13247" fmla="*/ 4443527 w 12192000"/>
              <a:gd name="connsiteY13247" fmla="*/ 1785739 h 6858000"/>
              <a:gd name="connsiteX13248" fmla="*/ 4475738 w 12192000"/>
              <a:gd name="connsiteY13248" fmla="*/ 1815391 h 6858000"/>
              <a:gd name="connsiteX13249" fmla="*/ 4443527 w 12192000"/>
              <a:gd name="connsiteY13249" fmla="*/ 1845044 h 6858000"/>
              <a:gd name="connsiteX13250" fmla="*/ 4522062 w 12192000"/>
              <a:gd name="connsiteY13250" fmla="*/ 1845044 h 6858000"/>
              <a:gd name="connsiteX13251" fmla="*/ 4489851 w 12192000"/>
              <a:gd name="connsiteY13251" fmla="*/ 1815391 h 6858000"/>
              <a:gd name="connsiteX13252" fmla="*/ 4522062 w 12192000"/>
              <a:gd name="connsiteY13252" fmla="*/ 1785739 h 6858000"/>
              <a:gd name="connsiteX13253" fmla="*/ 4554272 w 12192000"/>
              <a:gd name="connsiteY13253" fmla="*/ 1815391 h 6858000"/>
              <a:gd name="connsiteX13254" fmla="*/ 4522062 w 12192000"/>
              <a:gd name="connsiteY13254" fmla="*/ 1845044 h 6858000"/>
              <a:gd name="connsiteX13255" fmla="*/ 6406875 w 12192000"/>
              <a:gd name="connsiteY13255" fmla="*/ 1845044 h 6858000"/>
              <a:gd name="connsiteX13256" fmla="*/ 6374658 w 12192000"/>
              <a:gd name="connsiteY13256" fmla="*/ 1815391 h 6858000"/>
              <a:gd name="connsiteX13257" fmla="*/ 6406875 w 12192000"/>
              <a:gd name="connsiteY13257" fmla="*/ 1785739 h 6858000"/>
              <a:gd name="connsiteX13258" fmla="*/ 6439079 w 12192000"/>
              <a:gd name="connsiteY13258" fmla="*/ 1815391 h 6858000"/>
              <a:gd name="connsiteX13259" fmla="*/ 6406875 w 12192000"/>
              <a:gd name="connsiteY13259" fmla="*/ 1845044 h 6858000"/>
              <a:gd name="connsiteX13260" fmla="*/ 6485408 w 12192000"/>
              <a:gd name="connsiteY13260" fmla="*/ 1845044 h 6858000"/>
              <a:gd name="connsiteX13261" fmla="*/ 6453191 w 12192000"/>
              <a:gd name="connsiteY13261" fmla="*/ 1815391 h 6858000"/>
              <a:gd name="connsiteX13262" fmla="*/ 6485408 w 12192000"/>
              <a:gd name="connsiteY13262" fmla="*/ 1785739 h 6858000"/>
              <a:gd name="connsiteX13263" fmla="*/ 6517612 w 12192000"/>
              <a:gd name="connsiteY13263" fmla="*/ 1815391 h 6858000"/>
              <a:gd name="connsiteX13264" fmla="*/ 6485408 w 12192000"/>
              <a:gd name="connsiteY13264" fmla="*/ 1845044 h 6858000"/>
              <a:gd name="connsiteX13265" fmla="*/ 6563942 w 12192000"/>
              <a:gd name="connsiteY13265" fmla="*/ 1845044 h 6858000"/>
              <a:gd name="connsiteX13266" fmla="*/ 6531726 w 12192000"/>
              <a:gd name="connsiteY13266" fmla="*/ 1815391 h 6858000"/>
              <a:gd name="connsiteX13267" fmla="*/ 6563942 w 12192000"/>
              <a:gd name="connsiteY13267" fmla="*/ 1785739 h 6858000"/>
              <a:gd name="connsiteX13268" fmla="*/ 6596146 w 12192000"/>
              <a:gd name="connsiteY13268" fmla="*/ 1815391 h 6858000"/>
              <a:gd name="connsiteX13269" fmla="*/ 6563942 w 12192000"/>
              <a:gd name="connsiteY13269" fmla="*/ 1845044 h 6858000"/>
              <a:gd name="connsiteX13270" fmla="*/ 6642476 w 12192000"/>
              <a:gd name="connsiteY13270" fmla="*/ 1845044 h 6858000"/>
              <a:gd name="connsiteX13271" fmla="*/ 6610260 w 12192000"/>
              <a:gd name="connsiteY13271" fmla="*/ 1815391 h 6858000"/>
              <a:gd name="connsiteX13272" fmla="*/ 6642476 w 12192000"/>
              <a:gd name="connsiteY13272" fmla="*/ 1785739 h 6858000"/>
              <a:gd name="connsiteX13273" fmla="*/ 6674681 w 12192000"/>
              <a:gd name="connsiteY13273" fmla="*/ 1815391 h 6858000"/>
              <a:gd name="connsiteX13274" fmla="*/ 6642476 w 12192000"/>
              <a:gd name="connsiteY13274" fmla="*/ 1845044 h 6858000"/>
              <a:gd name="connsiteX13275" fmla="*/ 6721010 w 12192000"/>
              <a:gd name="connsiteY13275" fmla="*/ 1845044 h 6858000"/>
              <a:gd name="connsiteX13276" fmla="*/ 6688793 w 12192000"/>
              <a:gd name="connsiteY13276" fmla="*/ 1815391 h 6858000"/>
              <a:gd name="connsiteX13277" fmla="*/ 6721010 w 12192000"/>
              <a:gd name="connsiteY13277" fmla="*/ 1785739 h 6858000"/>
              <a:gd name="connsiteX13278" fmla="*/ 6753214 w 12192000"/>
              <a:gd name="connsiteY13278" fmla="*/ 1815391 h 6858000"/>
              <a:gd name="connsiteX13279" fmla="*/ 6721010 w 12192000"/>
              <a:gd name="connsiteY13279" fmla="*/ 1845044 h 6858000"/>
              <a:gd name="connsiteX13280" fmla="*/ 6799544 w 12192000"/>
              <a:gd name="connsiteY13280" fmla="*/ 1845044 h 6858000"/>
              <a:gd name="connsiteX13281" fmla="*/ 6767327 w 12192000"/>
              <a:gd name="connsiteY13281" fmla="*/ 1815391 h 6858000"/>
              <a:gd name="connsiteX13282" fmla="*/ 6799544 w 12192000"/>
              <a:gd name="connsiteY13282" fmla="*/ 1785739 h 6858000"/>
              <a:gd name="connsiteX13283" fmla="*/ 6831748 w 12192000"/>
              <a:gd name="connsiteY13283" fmla="*/ 1815391 h 6858000"/>
              <a:gd name="connsiteX13284" fmla="*/ 6799544 w 12192000"/>
              <a:gd name="connsiteY13284" fmla="*/ 1845044 h 6858000"/>
              <a:gd name="connsiteX13285" fmla="*/ 9234118 w 12192000"/>
              <a:gd name="connsiteY13285" fmla="*/ 1845044 h 6858000"/>
              <a:gd name="connsiteX13286" fmla="*/ 9201901 w 12192000"/>
              <a:gd name="connsiteY13286" fmla="*/ 1815391 h 6858000"/>
              <a:gd name="connsiteX13287" fmla="*/ 9234118 w 12192000"/>
              <a:gd name="connsiteY13287" fmla="*/ 1785739 h 6858000"/>
              <a:gd name="connsiteX13288" fmla="*/ 9266322 w 12192000"/>
              <a:gd name="connsiteY13288" fmla="*/ 1815391 h 6858000"/>
              <a:gd name="connsiteX13289" fmla="*/ 9234118 w 12192000"/>
              <a:gd name="connsiteY13289" fmla="*/ 1845044 h 6858000"/>
              <a:gd name="connsiteX13290" fmla="*/ 9312652 w 12192000"/>
              <a:gd name="connsiteY13290" fmla="*/ 1845044 h 6858000"/>
              <a:gd name="connsiteX13291" fmla="*/ 9280436 w 12192000"/>
              <a:gd name="connsiteY13291" fmla="*/ 1815391 h 6858000"/>
              <a:gd name="connsiteX13292" fmla="*/ 9312652 w 12192000"/>
              <a:gd name="connsiteY13292" fmla="*/ 1785739 h 6858000"/>
              <a:gd name="connsiteX13293" fmla="*/ 9344856 w 12192000"/>
              <a:gd name="connsiteY13293" fmla="*/ 1815391 h 6858000"/>
              <a:gd name="connsiteX13294" fmla="*/ 9312652 w 12192000"/>
              <a:gd name="connsiteY13294" fmla="*/ 1845044 h 6858000"/>
              <a:gd name="connsiteX13295" fmla="*/ 9391185 w 12192000"/>
              <a:gd name="connsiteY13295" fmla="*/ 1845044 h 6858000"/>
              <a:gd name="connsiteX13296" fmla="*/ 9358969 w 12192000"/>
              <a:gd name="connsiteY13296" fmla="*/ 1815391 h 6858000"/>
              <a:gd name="connsiteX13297" fmla="*/ 9391185 w 12192000"/>
              <a:gd name="connsiteY13297" fmla="*/ 1785739 h 6858000"/>
              <a:gd name="connsiteX13298" fmla="*/ 9423389 w 12192000"/>
              <a:gd name="connsiteY13298" fmla="*/ 1815391 h 6858000"/>
              <a:gd name="connsiteX13299" fmla="*/ 9391185 w 12192000"/>
              <a:gd name="connsiteY13299" fmla="*/ 1845044 h 6858000"/>
              <a:gd name="connsiteX13300" fmla="*/ 9469719 w 12192000"/>
              <a:gd name="connsiteY13300" fmla="*/ 1845044 h 6858000"/>
              <a:gd name="connsiteX13301" fmla="*/ 9437503 w 12192000"/>
              <a:gd name="connsiteY13301" fmla="*/ 1815391 h 6858000"/>
              <a:gd name="connsiteX13302" fmla="*/ 9469719 w 12192000"/>
              <a:gd name="connsiteY13302" fmla="*/ 1785739 h 6858000"/>
              <a:gd name="connsiteX13303" fmla="*/ 9501924 w 12192000"/>
              <a:gd name="connsiteY13303" fmla="*/ 1815391 h 6858000"/>
              <a:gd name="connsiteX13304" fmla="*/ 9469719 w 12192000"/>
              <a:gd name="connsiteY13304" fmla="*/ 1845044 h 6858000"/>
              <a:gd name="connsiteX13305" fmla="*/ 9548254 w 12192000"/>
              <a:gd name="connsiteY13305" fmla="*/ 1845044 h 6858000"/>
              <a:gd name="connsiteX13306" fmla="*/ 9516037 w 12192000"/>
              <a:gd name="connsiteY13306" fmla="*/ 1815391 h 6858000"/>
              <a:gd name="connsiteX13307" fmla="*/ 9548254 w 12192000"/>
              <a:gd name="connsiteY13307" fmla="*/ 1785739 h 6858000"/>
              <a:gd name="connsiteX13308" fmla="*/ 9580458 w 12192000"/>
              <a:gd name="connsiteY13308" fmla="*/ 1815391 h 6858000"/>
              <a:gd name="connsiteX13309" fmla="*/ 9548254 w 12192000"/>
              <a:gd name="connsiteY13309" fmla="*/ 1845044 h 6858000"/>
              <a:gd name="connsiteX13310" fmla="*/ 9626787 w 12192000"/>
              <a:gd name="connsiteY13310" fmla="*/ 1845044 h 6858000"/>
              <a:gd name="connsiteX13311" fmla="*/ 9594571 w 12192000"/>
              <a:gd name="connsiteY13311" fmla="*/ 1815391 h 6858000"/>
              <a:gd name="connsiteX13312" fmla="*/ 9626787 w 12192000"/>
              <a:gd name="connsiteY13312" fmla="*/ 1785739 h 6858000"/>
              <a:gd name="connsiteX13313" fmla="*/ 9658991 w 12192000"/>
              <a:gd name="connsiteY13313" fmla="*/ 1815391 h 6858000"/>
              <a:gd name="connsiteX13314" fmla="*/ 9626787 w 12192000"/>
              <a:gd name="connsiteY13314" fmla="*/ 1845044 h 6858000"/>
              <a:gd name="connsiteX13315" fmla="*/ 9705321 w 12192000"/>
              <a:gd name="connsiteY13315" fmla="*/ 1845044 h 6858000"/>
              <a:gd name="connsiteX13316" fmla="*/ 9673105 w 12192000"/>
              <a:gd name="connsiteY13316" fmla="*/ 1815391 h 6858000"/>
              <a:gd name="connsiteX13317" fmla="*/ 9705321 w 12192000"/>
              <a:gd name="connsiteY13317" fmla="*/ 1785739 h 6858000"/>
              <a:gd name="connsiteX13318" fmla="*/ 9737525 w 12192000"/>
              <a:gd name="connsiteY13318" fmla="*/ 1815391 h 6858000"/>
              <a:gd name="connsiteX13319" fmla="*/ 9705321 w 12192000"/>
              <a:gd name="connsiteY13319" fmla="*/ 1845044 h 6858000"/>
              <a:gd name="connsiteX13320" fmla="*/ 9783854 w 12192000"/>
              <a:gd name="connsiteY13320" fmla="*/ 1845044 h 6858000"/>
              <a:gd name="connsiteX13321" fmla="*/ 9751638 w 12192000"/>
              <a:gd name="connsiteY13321" fmla="*/ 1815391 h 6858000"/>
              <a:gd name="connsiteX13322" fmla="*/ 9783854 w 12192000"/>
              <a:gd name="connsiteY13322" fmla="*/ 1785739 h 6858000"/>
              <a:gd name="connsiteX13323" fmla="*/ 9816059 w 12192000"/>
              <a:gd name="connsiteY13323" fmla="*/ 1815391 h 6858000"/>
              <a:gd name="connsiteX13324" fmla="*/ 9783854 w 12192000"/>
              <a:gd name="connsiteY13324" fmla="*/ 1845044 h 6858000"/>
              <a:gd name="connsiteX13325" fmla="*/ 9862389 w 12192000"/>
              <a:gd name="connsiteY13325" fmla="*/ 1845044 h 6858000"/>
              <a:gd name="connsiteX13326" fmla="*/ 9830172 w 12192000"/>
              <a:gd name="connsiteY13326" fmla="*/ 1815391 h 6858000"/>
              <a:gd name="connsiteX13327" fmla="*/ 9862389 w 12192000"/>
              <a:gd name="connsiteY13327" fmla="*/ 1785739 h 6858000"/>
              <a:gd name="connsiteX13328" fmla="*/ 9894593 w 12192000"/>
              <a:gd name="connsiteY13328" fmla="*/ 1815391 h 6858000"/>
              <a:gd name="connsiteX13329" fmla="*/ 9862389 w 12192000"/>
              <a:gd name="connsiteY13329" fmla="*/ 1845044 h 6858000"/>
              <a:gd name="connsiteX13330" fmla="*/ 9940923 w 12192000"/>
              <a:gd name="connsiteY13330" fmla="*/ 1845044 h 6858000"/>
              <a:gd name="connsiteX13331" fmla="*/ 9908707 w 12192000"/>
              <a:gd name="connsiteY13331" fmla="*/ 1815391 h 6858000"/>
              <a:gd name="connsiteX13332" fmla="*/ 9940923 w 12192000"/>
              <a:gd name="connsiteY13332" fmla="*/ 1785739 h 6858000"/>
              <a:gd name="connsiteX13333" fmla="*/ 9973127 w 12192000"/>
              <a:gd name="connsiteY13333" fmla="*/ 1815391 h 6858000"/>
              <a:gd name="connsiteX13334" fmla="*/ 9940923 w 12192000"/>
              <a:gd name="connsiteY13334" fmla="*/ 1845044 h 6858000"/>
              <a:gd name="connsiteX13335" fmla="*/ 10019456 w 12192000"/>
              <a:gd name="connsiteY13335" fmla="*/ 1845044 h 6858000"/>
              <a:gd name="connsiteX13336" fmla="*/ 9987240 w 12192000"/>
              <a:gd name="connsiteY13336" fmla="*/ 1815391 h 6858000"/>
              <a:gd name="connsiteX13337" fmla="*/ 10019456 w 12192000"/>
              <a:gd name="connsiteY13337" fmla="*/ 1785739 h 6858000"/>
              <a:gd name="connsiteX13338" fmla="*/ 10051660 w 12192000"/>
              <a:gd name="connsiteY13338" fmla="*/ 1815391 h 6858000"/>
              <a:gd name="connsiteX13339" fmla="*/ 10019456 w 12192000"/>
              <a:gd name="connsiteY13339" fmla="*/ 1845044 h 6858000"/>
              <a:gd name="connsiteX13340" fmla="*/ 10097990 w 12192000"/>
              <a:gd name="connsiteY13340" fmla="*/ 1845044 h 6858000"/>
              <a:gd name="connsiteX13341" fmla="*/ 10065774 w 12192000"/>
              <a:gd name="connsiteY13341" fmla="*/ 1815391 h 6858000"/>
              <a:gd name="connsiteX13342" fmla="*/ 10097990 w 12192000"/>
              <a:gd name="connsiteY13342" fmla="*/ 1785739 h 6858000"/>
              <a:gd name="connsiteX13343" fmla="*/ 10130195 w 12192000"/>
              <a:gd name="connsiteY13343" fmla="*/ 1815391 h 6858000"/>
              <a:gd name="connsiteX13344" fmla="*/ 10097990 w 12192000"/>
              <a:gd name="connsiteY13344" fmla="*/ 1845044 h 6858000"/>
              <a:gd name="connsiteX13345" fmla="*/ 10176524 w 12192000"/>
              <a:gd name="connsiteY13345" fmla="*/ 1845044 h 6858000"/>
              <a:gd name="connsiteX13346" fmla="*/ 10144307 w 12192000"/>
              <a:gd name="connsiteY13346" fmla="*/ 1815391 h 6858000"/>
              <a:gd name="connsiteX13347" fmla="*/ 10176524 w 12192000"/>
              <a:gd name="connsiteY13347" fmla="*/ 1785739 h 6858000"/>
              <a:gd name="connsiteX13348" fmla="*/ 10208728 w 12192000"/>
              <a:gd name="connsiteY13348" fmla="*/ 1815391 h 6858000"/>
              <a:gd name="connsiteX13349" fmla="*/ 10176524 w 12192000"/>
              <a:gd name="connsiteY13349" fmla="*/ 1845044 h 6858000"/>
              <a:gd name="connsiteX13350" fmla="*/ 10255058 w 12192000"/>
              <a:gd name="connsiteY13350" fmla="*/ 1845044 h 6858000"/>
              <a:gd name="connsiteX13351" fmla="*/ 10222842 w 12192000"/>
              <a:gd name="connsiteY13351" fmla="*/ 1815391 h 6858000"/>
              <a:gd name="connsiteX13352" fmla="*/ 10255058 w 12192000"/>
              <a:gd name="connsiteY13352" fmla="*/ 1785739 h 6858000"/>
              <a:gd name="connsiteX13353" fmla="*/ 10287262 w 12192000"/>
              <a:gd name="connsiteY13353" fmla="*/ 1815391 h 6858000"/>
              <a:gd name="connsiteX13354" fmla="*/ 10255058 w 12192000"/>
              <a:gd name="connsiteY13354" fmla="*/ 1845044 h 6858000"/>
              <a:gd name="connsiteX13355" fmla="*/ 10333592 w 12192000"/>
              <a:gd name="connsiteY13355" fmla="*/ 1845044 h 6858000"/>
              <a:gd name="connsiteX13356" fmla="*/ 10301376 w 12192000"/>
              <a:gd name="connsiteY13356" fmla="*/ 1815391 h 6858000"/>
              <a:gd name="connsiteX13357" fmla="*/ 10333592 w 12192000"/>
              <a:gd name="connsiteY13357" fmla="*/ 1785739 h 6858000"/>
              <a:gd name="connsiteX13358" fmla="*/ 10365796 w 12192000"/>
              <a:gd name="connsiteY13358" fmla="*/ 1815391 h 6858000"/>
              <a:gd name="connsiteX13359" fmla="*/ 10333592 w 12192000"/>
              <a:gd name="connsiteY13359" fmla="*/ 1845044 h 6858000"/>
              <a:gd name="connsiteX13360" fmla="*/ 3972319 w 12192000"/>
              <a:gd name="connsiteY13360" fmla="*/ 1772778 h 6858000"/>
              <a:gd name="connsiteX13361" fmla="*/ 3940108 w 12192000"/>
              <a:gd name="connsiteY13361" fmla="*/ 1743126 h 6858000"/>
              <a:gd name="connsiteX13362" fmla="*/ 3972319 w 12192000"/>
              <a:gd name="connsiteY13362" fmla="*/ 1713474 h 6858000"/>
              <a:gd name="connsiteX13363" fmla="*/ 4004529 w 12192000"/>
              <a:gd name="connsiteY13363" fmla="*/ 1743126 h 6858000"/>
              <a:gd name="connsiteX13364" fmla="*/ 3972319 w 12192000"/>
              <a:gd name="connsiteY13364" fmla="*/ 1772778 h 6858000"/>
              <a:gd name="connsiteX13365" fmla="*/ 4050852 w 12192000"/>
              <a:gd name="connsiteY13365" fmla="*/ 1772778 h 6858000"/>
              <a:gd name="connsiteX13366" fmla="*/ 4018642 w 12192000"/>
              <a:gd name="connsiteY13366" fmla="*/ 1743126 h 6858000"/>
              <a:gd name="connsiteX13367" fmla="*/ 4050852 w 12192000"/>
              <a:gd name="connsiteY13367" fmla="*/ 1713474 h 6858000"/>
              <a:gd name="connsiteX13368" fmla="*/ 4083062 w 12192000"/>
              <a:gd name="connsiteY13368" fmla="*/ 1743126 h 6858000"/>
              <a:gd name="connsiteX13369" fmla="*/ 4050852 w 12192000"/>
              <a:gd name="connsiteY13369" fmla="*/ 1772778 h 6858000"/>
              <a:gd name="connsiteX13370" fmla="*/ 4129386 w 12192000"/>
              <a:gd name="connsiteY13370" fmla="*/ 1772778 h 6858000"/>
              <a:gd name="connsiteX13371" fmla="*/ 4097176 w 12192000"/>
              <a:gd name="connsiteY13371" fmla="*/ 1743126 h 6858000"/>
              <a:gd name="connsiteX13372" fmla="*/ 4129386 w 12192000"/>
              <a:gd name="connsiteY13372" fmla="*/ 1713474 h 6858000"/>
              <a:gd name="connsiteX13373" fmla="*/ 4161597 w 12192000"/>
              <a:gd name="connsiteY13373" fmla="*/ 1743126 h 6858000"/>
              <a:gd name="connsiteX13374" fmla="*/ 4129386 w 12192000"/>
              <a:gd name="connsiteY13374" fmla="*/ 1772778 h 6858000"/>
              <a:gd name="connsiteX13375" fmla="*/ 4207926 w 12192000"/>
              <a:gd name="connsiteY13375" fmla="*/ 1772778 h 6858000"/>
              <a:gd name="connsiteX13376" fmla="*/ 4175715 w 12192000"/>
              <a:gd name="connsiteY13376" fmla="*/ 1743126 h 6858000"/>
              <a:gd name="connsiteX13377" fmla="*/ 4207926 w 12192000"/>
              <a:gd name="connsiteY13377" fmla="*/ 1713474 h 6858000"/>
              <a:gd name="connsiteX13378" fmla="*/ 4240136 w 12192000"/>
              <a:gd name="connsiteY13378" fmla="*/ 1743126 h 6858000"/>
              <a:gd name="connsiteX13379" fmla="*/ 4207926 w 12192000"/>
              <a:gd name="connsiteY13379" fmla="*/ 1772778 h 6858000"/>
              <a:gd name="connsiteX13380" fmla="*/ 4286460 w 12192000"/>
              <a:gd name="connsiteY13380" fmla="*/ 1772778 h 6858000"/>
              <a:gd name="connsiteX13381" fmla="*/ 4254250 w 12192000"/>
              <a:gd name="connsiteY13381" fmla="*/ 1743126 h 6858000"/>
              <a:gd name="connsiteX13382" fmla="*/ 4286460 w 12192000"/>
              <a:gd name="connsiteY13382" fmla="*/ 1713474 h 6858000"/>
              <a:gd name="connsiteX13383" fmla="*/ 4318670 w 12192000"/>
              <a:gd name="connsiteY13383" fmla="*/ 1743126 h 6858000"/>
              <a:gd name="connsiteX13384" fmla="*/ 4286460 w 12192000"/>
              <a:gd name="connsiteY13384" fmla="*/ 1772778 h 6858000"/>
              <a:gd name="connsiteX13385" fmla="*/ 4364994 w 12192000"/>
              <a:gd name="connsiteY13385" fmla="*/ 1772778 h 6858000"/>
              <a:gd name="connsiteX13386" fmla="*/ 4332784 w 12192000"/>
              <a:gd name="connsiteY13386" fmla="*/ 1743126 h 6858000"/>
              <a:gd name="connsiteX13387" fmla="*/ 4364994 w 12192000"/>
              <a:gd name="connsiteY13387" fmla="*/ 1713474 h 6858000"/>
              <a:gd name="connsiteX13388" fmla="*/ 4397204 w 12192000"/>
              <a:gd name="connsiteY13388" fmla="*/ 1743126 h 6858000"/>
              <a:gd name="connsiteX13389" fmla="*/ 4364994 w 12192000"/>
              <a:gd name="connsiteY13389" fmla="*/ 1772778 h 6858000"/>
              <a:gd name="connsiteX13390" fmla="*/ 4443527 w 12192000"/>
              <a:gd name="connsiteY13390" fmla="*/ 1772778 h 6858000"/>
              <a:gd name="connsiteX13391" fmla="*/ 4411317 w 12192000"/>
              <a:gd name="connsiteY13391" fmla="*/ 1743126 h 6858000"/>
              <a:gd name="connsiteX13392" fmla="*/ 4443527 w 12192000"/>
              <a:gd name="connsiteY13392" fmla="*/ 1713474 h 6858000"/>
              <a:gd name="connsiteX13393" fmla="*/ 4475738 w 12192000"/>
              <a:gd name="connsiteY13393" fmla="*/ 1743126 h 6858000"/>
              <a:gd name="connsiteX13394" fmla="*/ 4443527 w 12192000"/>
              <a:gd name="connsiteY13394" fmla="*/ 1772778 h 6858000"/>
              <a:gd name="connsiteX13395" fmla="*/ 6485408 w 12192000"/>
              <a:gd name="connsiteY13395" fmla="*/ 1772778 h 6858000"/>
              <a:gd name="connsiteX13396" fmla="*/ 6453191 w 12192000"/>
              <a:gd name="connsiteY13396" fmla="*/ 1743126 h 6858000"/>
              <a:gd name="connsiteX13397" fmla="*/ 6485408 w 12192000"/>
              <a:gd name="connsiteY13397" fmla="*/ 1713474 h 6858000"/>
              <a:gd name="connsiteX13398" fmla="*/ 6517612 w 12192000"/>
              <a:gd name="connsiteY13398" fmla="*/ 1743126 h 6858000"/>
              <a:gd name="connsiteX13399" fmla="*/ 6485408 w 12192000"/>
              <a:gd name="connsiteY13399" fmla="*/ 1772778 h 6858000"/>
              <a:gd name="connsiteX13400" fmla="*/ 6563942 w 12192000"/>
              <a:gd name="connsiteY13400" fmla="*/ 1772778 h 6858000"/>
              <a:gd name="connsiteX13401" fmla="*/ 6531726 w 12192000"/>
              <a:gd name="connsiteY13401" fmla="*/ 1743126 h 6858000"/>
              <a:gd name="connsiteX13402" fmla="*/ 6563942 w 12192000"/>
              <a:gd name="connsiteY13402" fmla="*/ 1713474 h 6858000"/>
              <a:gd name="connsiteX13403" fmla="*/ 6596146 w 12192000"/>
              <a:gd name="connsiteY13403" fmla="*/ 1743126 h 6858000"/>
              <a:gd name="connsiteX13404" fmla="*/ 6563942 w 12192000"/>
              <a:gd name="connsiteY13404" fmla="*/ 1772778 h 6858000"/>
              <a:gd name="connsiteX13405" fmla="*/ 6642476 w 12192000"/>
              <a:gd name="connsiteY13405" fmla="*/ 1772778 h 6858000"/>
              <a:gd name="connsiteX13406" fmla="*/ 6610260 w 12192000"/>
              <a:gd name="connsiteY13406" fmla="*/ 1743126 h 6858000"/>
              <a:gd name="connsiteX13407" fmla="*/ 6642476 w 12192000"/>
              <a:gd name="connsiteY13407" fmla="*/ 1713474 h 6858000"/>
              <a:gd name="connsiteX13408" fmla="*/ 6674681 w 12192000"/>
              <a:gd name="connsiteY13408" fmla="*/ 1743126 h 6858000"/>
              <a:gd name="connsiteX13409" fmla="*/ 6642476 w 12192000"/>
              <a:gd name="connsiteY13409" fmla="*/ 1772778 h 6858000"/>
              <a:gd name="connsiteX13410" fmla="*/ 6721010 w 12192000"/>
              <a:gd name="connsiteY13410" fmla="*/ 1772778 h 6858000"/>
              <a:gd name="connsiteX13411" fmla="*/ 6688793 w 12192000"/>
              <a:gd name="connsiteY13411" fmla="*/ 1743126 h 6858000"/>
              <a:gd name="connsiteX13412" fmla="*/ 6721010 w 12192000"/>
              <a:gd name="connsiteY13412" fmla="*/ 1713474 h 6858000"/>
              <a:gd name="connsiteX13413" fmla="*/ 6753214 w 12192000"/>
              <a:gd name="connsiteY13413" fmla="*/ 1743126 h 6858000"/>
              <a:gd name="connsiteX13414" fmla="*/ 6721010 w 12192000"/>
              <a:gd name="connsiteY13414" fmla="*/ 1772778 h 6858000"/>
              <a:gd name="connsiteX13415" fmla="*/ 9234118 w 12192000"/>
              <a:gd name="connsiteY13415" fmla="*/ 1772778 h 6858000"/>
              <a:gd name="connsiteX13416" fmla="*/ 9201901 w 12192000"/>
              <a:gd name="connsiteY13416" fmla="*/ 1743126 h 6858000"/>
              <a:gd name="connsiteX13417" fmla="*/ 9234118 w 12192000"/>
              <a:gd name="connsiteY13417" fmla="*/ 1713474 h 6858000"/>
              <a:gd name="connsiteX13418" fmla="*/ 9266322 w 12192000"/>
              <a:gd name="connsiteY13418" fmla="*/ 1743126 h 6858000"/>
              <a:gd name="connsiteX13419" fmla="*/ 9234118 w 12192000"/>
              <a:gd name="connsiteY13419" fmla="*/ 1772778 h 6858000"/>
              <a:gd name="connsiteX13420" fmla="*/ 9312652 w 12192000"/>
              <a:gd name="connsiteY13420" fmla="*/ 1772778 h 6858000"/>
              <a:gd name="connsiteX13421" fmla="*/ 9280436 w 12192000"/>
              <a:gd name="connsiteY13421" fmla="*/ 1743126 h 6858000"/>
              <a:gd name="connsiteX13422" fmla="*/ 9312652 w 12192000"/>
              <a:gd name="connsiteY13422" fmla="*/ 1713474 h 6858000"/>
              <a:gd name="connsiteX13423" fmla="*/ 9344856 w 12192000"/>
              <a:gd name="connsiteY13423" fmla="*/ 1743126 h 6858000"/>
              <a:gd name="connsiteX13424" fmla="*/ 9312652 w 12192000"/>
              <a:gd name="connsiteY13424" fmla="*/ 1772778 h 6858000"/>
              <a:gd name="connsiteX13425" fmla="*/ 9391185 w 12192000"/>
              <a:gd name="connsiteY13425" fmla="*/ 1772778 h 6858000"/>
              <a:gd name="connsiteX13426" fmla="*/ 9358969 w 12192000"/>
              <a:gd name="connsiteY13426" fmla="*/ 1743126 h 6858000"/>
              <a:gd name="connsiteX13427" fmla="*/ 9391185 w 12192000"/>
              <a:gd name="connsiteY13427" fmla="*/ 1713474 h 6858000"/>
              <a:gd name="connsiteX13428" fmla="*/ 9423389 w 12192000"/>
              <a:gd name="connsiteY13428" fmla="*/ 1743126 h 6858000"/>
              <a:gd name="connsiteX13429" fmla="*/ 9391185 w 12192000"/>
              <a:gd name="connsiteY13429" fmla="*/ 1772778 h 6858000"/>
              <a:gd name="connsiteX13430" fmla="*/ 9469719 w 12192000"/>
              <a:gd name="connsiteY13430" fmla="*/ 1772778 h 6858000"/>
              <a:gd name="connsiteX13431" fmla="*/ 9437503 w 12192000"/>
              <a:gd name="connsiteY13431" fmla="*/ 1743126 h 6858000"/>
              <a:gd name="connsiteX13432" fmla="*/ 9469719 w 12192000"/>
              <a:gd name="connsiteY13432" fmla="*/ 1713474 h 6858000"/>
              <a:gd name="connsiteX13433" fmla="*/ 9501924 w 12192000"/>
              <a:gd name="connsiteY13433" fmla="*/ 1743126 h 6858000"/>
              <a:gd name="connsiteX13434" fmla="*/ 9469719 w 12192000"/>
              <a:gd name="connsiteY13434" fmla="*/ 1772778 h 6858000"/>
              <a:gd name="connsiteX13435" fmla="*/ 9548254 w 12192000"/>
              <a:gd name="connsiteY13435" fmla="*/ 1772778 h 6858000"/>
              <a:gd name="connsiteX13436" fmla="*/ 9516037 w 12192000"/>
              <a:gd name="connsiteY13436" fmla="*/ 1743126 h 6858000"/>
              <a:gd name="connsiteX13437" fmla="*/ 9548254 w 12192000"/>
              <a:gd name="connsiteY13437" fmla="*/ 1713474 h 6858000"/>
              <a:gd name="connsiteX13438" fmla="*/ 9580458 w 12192000"/>
              <a:gd name="connsiteY13438" fmla="*/ 1743126 h 6858000"/>
              <a:gd name="connsiteX13439" fmla="*/ 9548254 w 12192000"/>
              <a:gd name="connsiteY13439" fmla="*/ 1772778 h 6858000"/>
              <a:gd name="connsiteX13440" fmla="*/ 9626787 w 12192000"/>
              <a:gd name="connsiteY13440" fmla="*/ 1772778 h 6858000"/>
              <a:gd name="connsiteX13441" fmla="*/ 9594571 w 12192000"/>
              <a:gd name="connsiteY13441" fmla="*/ 1743126 h 6858000"/>
              <a:gd name="connsiteX13442" fmla="*/ 9626787 w 12192000"/>
              <a:gd name="connsiteY13442" fmla="*/ 1713474 h 6858000"/>
              <a:gd name="connsiteX13443" fmla="*/ 9658991 w 12192000"/>
              <a:gd name="connsiteY13443" fmla="*/ 1743126 h 6858000"/>
              <a:gd name="connsiteX13444" fmla="*/ 9626787 w 12192000"/>
              <a:gd name="connsiteY13444" fmla="*/ 1772778 h 6858000"/>
              <a:gd name="connsiteX13445" fmla="*/ 9705321 w 12192000"/>
              <a:gd name="connsiteY13445" fmla="*/ 1772778 h 6858000"/>
              <a:gd name="connsiteX13446" fmla="*/ 9673105 w 12192000"/>
              <a:gd name="connsiteY13446" fmla="*/ 1743126 h 6858000"/>
              <a:gd name="connsiteX13447" fmla="*/ 9705321 w 12192000"/>
              <a:gd name="connsiteY13447" fmla="*/ 1713474 h 6858000"/>
              <a:gd name="connsiteX13448" fmla="*/ 9737525 w 12192000"/>
              <a:gd name="connsiteY13448" fmla="*/ 1743126 h 6858000"/>
              <a:gd name="connsiteX13449" fmla="*/ 9705321 w 12192000"/>
              <a:gd name="connsiteY13449" fmla="*/ 1772778 h 6858000"/>
              <a:gd name="connsiteX13450" fmla="*/ 9783854 w 12192000"/>
              <a:gd name="connsiteY13450" fmla="*/ 1772778 h 6858000"/>
              <a:gd name="connsiteX13451" fmla="*/ 9751638 w 12192000"/>
              <a:gd name="connsiteY13451" fmla="*/ 1743126 h 6858000"/>
              <a:gd name="connsiteX13452" fmla="*/ 9783854 w 12192000"/>
              <a:gd name="connsiteY13452" fmla="*/ 1713474 h 6858000"/>
              <a:gd name="connsiteX13453" fmla="*/ 9816059 w 12192000"/>
              <a:gd name="connsiteY13453" fmla="*/ 1743126 h 6858000"/>
              <a:gd name="connsiteX13454" fmla="*/ 9783854 w 12192000"/>
              <a:gd name="connsiteY13454" fmla="*/ 1772778 h 6858000"/>
              <a:gd name="connsiteX13455" fmla="*/ 9862389 w 12192000"/>
              <a:gd name="connsiteY13455" fmla="*/ 1772778 h 6858000"/>
              <a:gd name="connsiteX13456" fmla="*/ 9830172 w 12192000"/>
              <a:gd name="connsiteY13456" fmla="*/ 1743126 h 6858000"/>
              <a:gd name="connsiteX13457" fmla="*/ 9862389 w 12192000"/>
              <a:gd name="connsiteY13457" fmla="*/ 1713474 h 6858000"/>
              <a:gd name="connsiteX13458" fmla="*/ 9894593 w 12192000"/>
              <a:gd name="connsiteY13458" fmla="*/ 1743126 h 6858000"/>
              <a:gd name="connsiteX13459" fmla="*/ 9862389 w 12192000"/>
              <a:gd name="connsiteY13459" fmla="*/ 1772778 h 6858000"/>
              <a:gd name="connsiteX13460" fmla="*/ 9940923 w 12192000"/>
              <a:gd name="connsiteY13460" fmla="*/ 1772778 h 6858000"/>
              <a:gd name="connsiteX13461" fmla="*/ 9908707 w 12192000"/>
              <a:gd name="connsiteY13461" fmla="*/ 1743126 h 6858000"/>
              <a:gd name="connsiteX13462" fmla="*/ 9940923 w 12192000"/>
              <a:gd name="connsiteY13462" fmla="*/ 1713474 h 6858000"/>
              <a:gd name="connsiteX13463" fmla="*/ 9973127 w 12192000"/>
              <a:gd name="connsiteY13463" fmla="*/ 1743126 h 6858000"/>
              <a:gd name="connsiteX13464" fmla="*/ 9940923 w 12192000"/>
              <a:gd name="connsiteY13464" fmla="*/ 1772778 h 6858000"/>
              <a:gd name="connsiteX13465" fmla="*/ 10019456 w 12192000"/>
              <a:gd name="connsiteY13465" fmla="*/ 1772778 h 6858000"/>
              <a:gd name="connsiteX13466" fmla="*/ 9987240 w 12192000"/>
              <a:gd name="connsiteY13466" fmla="*/ 1743126 h 6858000"/>
              <a:gd name="connsiteX13467" fmla="*/ 10019456 w 12192000"/>
              <a:gd name="connsiteY13467" fmla="*/ 1713474 h 6858000"/>
              <a:gd name="connsiteX13468" fmla="*/ 10051660 w 12192000"/>
              <a:gd name="connsiteY13468" fmla="*/ 1743126 h 6858000"/>
              <a:gd name="connsiteX13469" fmla="*/ 10019456 w 12192000"/>
              <a:gd name="connsiteY13469" fmla="*/ 1772778 h 6858000"/>
              <a:gd name="connsiteX13470" fmla="*/ 10097990 w 12192000"/>
              <a:gd name="connsiteY13470" fmla="*/ 1772778 h 6858000"/>
              <a:gd name="connsiteX13471" fmla="*/ 10065774 w 12192000"/>
              <a:gd name="connsiteY13471" fmla="*/ 1743126 h 6858000"/>
              <a:gd name="connsiteX13472" fmla="*/ 10097990 w 12192000"/>
              <a:gd name="connsiteY13472" fmla="*/ 1713474 h 6858000"/>
              <a:gd name="connsiteX13473" fmla="*/ 10130195 w 12192000"/>
              <a:gd name="connsiteY13473" fmla="*/ 1743126 h 6858000"/>
              <a:gd name="connsiteX13474" fmla="*/ 10097990 w 12192000"/>
              <a:gd name="connsiteY13474" fmla="*/ 1772778 h 6858000"/>
              <a:gd name="connsiteX13475" fmla="*/ 10176524 w 12192000"/>
              <a:gd name="connsiteY13475" fmla="*/ 1772778 h 6858000"/>
              <a:gd name="connsiteX13476" fmla="*/ 10144307 w 12192000"/>
              <a:gd name="connsiteY13476" fmla="*/ 1743126 h 6858000"/>
              <a:gd name="connsiteX13477" fmla="*/ 10176524 w 12192000"/>
              <a:gd name="connsiteY13477" fmla="*/ 1713474 h 6858000"/>
              <a:gd name="connsiteX13478" fmla="*/ 10208728 w 12192000"/>
              <a:gd name="connsiteY13478" fmla="*/ 1743126 h 6858000"/>
              <a:gd name="connsiteX13479" fmla="*/ 10176524 w 12192000"/>
              <a:gd name="connsiteY13479" fmla="*/ 1772778 h 6858000"/>
              <a:gd name="connsiteX13480" fmla="*/ 10255058 w 12192000"/>
              <a:gd name="connsiteY13480" fmla="*/ 1772778 h 6858000"/>
              <a:gd name="connsiteX13481" fmla="*/ 10222842 w 12192000"/>
              <a:gd name="connsiteY13481" fmla="*/ 1743126 h 6858000"/>
              <a:gd name="connsiteX13482" fmla="*/ 10255058 w 12192000"/>
              <a:gd name="connsiteY13482" fmla="*/ 1713474 h 6858000"/>
              <a:gd name="connsiteX13483" fmla="*/ 10287262 w 12192000"/>
              <a:gd name="connsiteY13483" fmla="*/ 1743126 h 6858000"/>
              <a:gd name="connsiteX13484" fmla="*/ 10255058 w 12192000"/>
              <a:gd name="connsiteY13484" fmla="*/ 1772778 h 6858000"/>
              <a:gd name="connsiteX13485" fmla="*/ 10333592 w 12192000"/>
              <a:gd name="connsiteY13485" fmla="*/ 1772778 h 6858000"/>
              <a:gd name="connsiteX13486" fmla="*/ 10301376 w 12192000"/>
              <a:gd name="connsiteY13486" fmla="*/ 1743126 h 6858000"/>
              <a:gd name="connsiteX13487" fmla="*/ 10333592 w 12192000"/>
              <a:gd name="connsiteY13487" fmla="*/ 1713474 h 6858000"/>
              <a:gd name="connsiteX13488" fmla="*/ 10365796 w 12192000"/>
              <a:gd name="connsiteY13488" fmla="*/ 1743126 h 6858000"/>
              <a:gd name="connsiteX13489" fmla="*/ 10333592 w 12192000"/>
              <a:gd name="connsiteY13489" fmla="*/ 1772778 h 6858000"/>
              <a:gd name="connsiteX13490" fmla="*/ 3972319 w 12192000"/>
              <a:gd name="connsiteY13490" fmla="*/ 1700513 h 6858000"/>
              <a:gd name="connsiteX13491" fmla="*/ 3940108 w 12192000"/>
              <a:gd name="connsiteY13491" fmla="*/ 1670861 h 6858000"/>
              <a:gd name="connsiteX13492" fmla="*/ 3972319 w 12192000"/>
              <a:gd name="connsiteY13492" fmla="*/ 1641209 h 6858000"/>
              <a:gd name="connsiteX13493" fmla="*/ 4004529 w 12192000"/>
              <a:gd name="connsiteY13493" fmla="*/ 1670861 h 6858000"/>
              <a:gd name="connsiteX13494" fmla="*/ 3972319 w 12192000"/>
              <a:gd name="connsiteY13494" fmla="*/ 1700513 h 6858000"/>
              <a:gd name="connsiteX13495" fmla="*/ 4050852 w 12192000"/>
              <a:gd name="connsiteY13495" fmla="*/ 1700513 h 6858000"/>
              <a:gd name="connsiteX13496" fmla="*/ 4018642 w 12192000"/>
              <a:gd name="connsiteY13496" fmla="*/ 1670861 h 6858000"/>
              <a:gd name="connsiteX13497" fmla="*/ 4050852 w 12192000"/>
              <a:gd name="connsiteY13497" fmla="*/ 1641209 h 6858000"/>
              <a:gd name="connsiteX13498" fmla="*/ 4083062 w 12192000"/>
              <a:gd name="connsiteY13498" fmla="*/ 1670861 h 6858000"/>
              <a:gd name="connsiteX13499" fmla="*/ 4050852 w 12192000"/>
              <a:gd name="connsiteY13499" fmla="*/ 1700513 h 6858000"/>
              <a:gd name="connsiteX13500" fmla="*/ 4129386 w 12192000"/>
              <a:gd name="connsiteY13500" fmla="*/ 1700513 h 6858000"/>
              <a:gd name="connsiteX13501" fmla="*/ 4097176 w 12192000"/>
              <a:gd name="connsiteY13501" fmla="*/ 1670861 h 6858000"/>
              <a:gd name="connsiteX13502" fmla="*/ 4129386 w 12192000"/>
              <a:gd name="connsiteY13502" fmla="*/ 1641209 h 6858000"/>
              <a:gd name="connsiteX13503" fmla="*/ 4161597 w 12192000"/>
              <a:gd name="connsiteY13503" fmla="*/ 1670861 h 6858000"/>
              <a:gd name="connsiteX13504" fmla="*/ 4129386 w 12192000"/>
              <a:gd name="connsiteY13504" fmla="*/ 1700513 h 6858000"/>
              <a:gd name="connsiteX13505" fmla="*/ 4207926 w 12192000"/>
              <a:gd name="connsiteY13505" fmla="*/ 1700513 h 6858000"/>
              <a:gd name="connsiteX13506" fmla="*/ 4175715 w 12192000"/>
              <a:gd name="connsiteY13506" fmla="*/ 1670861 h 6858000"/>
              <a:gd name="connsiteX13507" fmla="*/ 4207926 w 12192000"/>
              <a:gd name="connsiteY13507" fmla="*/ 1641209 h 6858000"/>
              <a:gd name="connsiteX13508" fmla="*/ 4240136 w 12192000"/>
              <a:gd name="connsiteY13508" fmla="*/ 1670861 h 6858000"/>
              <a:gd name="connsiteX13509" fmla="*/ 4207926 w 12192000"/>
              <a:gd name="connsiteY13509" fmla="*/ 1700513 h 6858000"/>
              <a:gd name="connsiteX13510" fmla="*/ 4286460 w 12192000"/>
              <a:gd name="connsiteY13510" fmla="*/ 1700513 h 6858000"/>
              <a:gd name="connsiteX13511" fmla="*/ 4254250 w 12192000"/>
              <a:gd name="connsiteY13511" fmla="*/ 1670861 h 6858000"/>
              <a:gd name="connsiteX13512" fmla="*/ 4286460 w 12192000"/>
              <a:gd name="connsiteY13512" fmla="*/ 1641209 h 6858000"/>
              <a:gd name="connsiteX13513" fmla="*/ 4318670 w 12192000"/>
              <a:gd name="connsiteY13513" fmla="*/ 1670861 h 6858000"/>
              <a:gd name="connsiteX13514" fmla="*/ 4286460 w 12192000"/>
              <a:gd name="connsiteY13514" fmla="*/ 1700513 h 6858000"/>
              <a:gd name="connsiteX13515" fmla="*/ 4364994 w 12192000"/>
              <a:gd name="connsiteY13515" fmla="*/ 1700513 h 6858000"/>
              <a:gd name="connsiteX13516" fmla="*/ 4332784 w 12192000"/>
              <a:gd name="connsiteY13516" fmla="*/ 1670861 h 6858000"/>
              <a:gd name="connsiteX13517" fmla="*/ 4364994 w 12192000"/>
              <a:gd name="connsiteY13517" fmla="*/ 1641209 h 6858000"/>
              <a:gd name="connsiteX13518" fmla="*/ 4397204 w 12192000"/>
              <a:gd name="connsiteY13518" fmla="*/ 1670861 h 6858000"/>
              <a:gd name="connsiteX13519" fmla="*/ 4364994 w 12192000"/>
              <a:gd name="connsiteY13519" fmla="*/ 1700513 h 6858000"/>
              <a:gd name="connsiteX13520" fmla="*/ 4443527 w 12192000"/>
              <a:gd name="connsiteY13520" fmla="*/ 1700513 h 6858000"/>
              <a:gd name="connsiteX13521" fmla="*/ 4411317 w 12192000"/>
              <a:gd name="connsiteY13521" fmla="*/ 1670861 h 6858000"/>
              <a:gd name="connsiteX13522" fmla="*/ 4443527 w 12192000"/>
              <a:gd name="connsiteY13522" fmla="*/ 1641209 h 6858000"/>
              <a:gd name="connsiteX13523" fmla="*/ 4475738 w 12192000"/>
              <a:gd name="connsiteY13523" fmla="*/ 1670861 h 6858000"/>
              <a:gd name="connsiteX13524" fmla="*/ 4443527 w 12192000"/>
              <a:gd name="connsiteY13524" fmla="*/ 1700513 h 6858000"/>
              <a:gd name="connsiteX13525" fmla="*/ 6485408 w 12192000"/>
              <a:gd name="connsiteY13525" fmla="*/ 1700513 h 6858000"/>
              <a:gd name="connsiteX13526" fmla="*/ 6453191 w 12192000"/>
              <a:gd name="connsiteY13526" fmla="*/ 1670861 h 6858000"/>
              <a:gd name="connsiteX13527" fmla="*/ 6485408 w 12192000"/>
              <a:gd name="connsiteY13527" fmla="*/ 1641209 h 6858000"/>
              <a:gd name="connsiteX13528" fmla="*/ 6517612 w 12192000"/>
              <a:gd name="connsiteY13528" fmla="*/ 1670861 h 6858000"/>
              <a:gd name="connsiteX13529" fmla="*/ 6485408 w 12192000"/>
              <a:gd name="connsiteY13529" fmla="*/ 1700513 h 6858000"/>
              <a:gd name="connsiteX13530" fmla="*/ 6563942 w 12192000"/>
              <a:gd name="connsiteY13530" fmla="*/ 1700513 h 6858000"/>
              <a:gd name="connsiteX13531" fmla="*/ 6531726 w 12192000"/>
              <a:gd name="connsiteY13531" fmla="*/ 1670861 h 6858000"/>
              <a:gd name="connsiteX13532" fmla="*/ 6563942 w 12192000"/>
              <a:gd name="connsiteY13532" fmla="*/ 1641209 h 6858000"/>
              <a:gd name="connsiteX13533" fmla="*/ 6596146 w 12192000"/>
              <a:gd name="connsiteY13533" fmla="*/ 1670861 h 6858000"/>
              <a:gd name="connsiteX13534" fmla="*/ 6563942 w 12192000"/>
              <a:gd name="connsiteY13534" fmla="*/ 1700513 h 6858000"/>
              <a:gd name="connsiteX13535" fmla="*/ 6642476 w 12192000"/>
              <a:gd name="connsiteY13535" fmla="*/ 1700513 h 6858000"/>
              <a:gd name="connsiteX13536" fmla="*/ 6610260 w 12192000"/>
              <a:gd name="connsiteY13536" fmla="*/ 1670861 h 6858000"/>
              <a:gd name="connsiteX13537" fmla="*/ 6642476 w 12192000"/>
              <a:gd name="connsiteY13537" fmla="*/ 1641209 h 6858000"/>
              <a:gd name="connsiteX13538" fmla="*/ 6674681 w 12192000"/>
              <a:gd name="connsiteY13538" fmla="*/ 1670861 h 6858000"/>
              <a:gd name="connsiteX13539" fmla="*/ 6642476 w 12192000"/>
              <a:gd name="connsiteY13539" fmla="*/ 1700513 h 6858000"/>
              <a:gd name="connsiteX13540" fmla="*/ 9234118 w 12192000"/>
              <a:gd name="connsiteY13540" fmla="*/ 1700513 h 6858000"/>
              <a:gd name="connsiteX13541" fmla="*/ 9201901 w 12192000"/>
              <a:gd name="connsiteY13541" fmla="*/ 1670861 h 6858000"/>
              <a:gd name="connsiteX13542" fmla="*/ 9234118 w 12192000"/>
              <a:gd name="connsiteY13542" fmla="*/ 1641209 h 6858000"/>
              <a:gd name="connsiteX13543" fmla="*/ 9266322 w 12192000"/>
              <a:gd name="connsiteY13543" fmla="*/ 1670861 h 6858000"/>
              <a:gd name="connsiteX13544" fmla="*/ 9234118 w 12192000"/>
              <a:gd name="connsiteY13544" fmla="*/ 1700513 h 6858000"/>
              <a:gd name="connsiteX13545" fmla="*/ 9312652 w 12192000"/>
              <a:gd name="connsiteY13545" fmla="*/ 1700513 h 6858000"/>
              <a:gd name="connsiteX13546" fmla="*/ 9280436 w 12192000"/>
              <a:gd name="connsiteY13546" fmla="*/ 1670861 h 6858000"/>
              <a:gd name="connsiteX13547" fmla="*/ 9312652 w 12192000"/>
              <a:gd name="connsiteY13547" fmla="*/ 1641209 h 6858000"/>
              <a:gd name="connsiteX13548" fmla="*/ 9344856 w 12192000"/>
              <a:gd name="connsiteY13548" fmla="*/ 1670861 h 6858000"/>
              <a:gd name="connsiteX13549" fmla="*/ 9312652 w 12192000"/>
              <a:gd name="connsiteY13549" fmla="*/ 1700513 h 6858000"/>
              <a:gd name="connsiteX13550" fmla="*/ 9391185 w 12192000"/>
              <a:gd name="connsiteY13550" fmla="*/ 1700513 h 6858000"/>
              <a:gd name="connsiteX13551" fmla="*/ 9358969 w 12192000"/>
              <a:gd name="connsiteY13551" fmla="*/ 1670861 h 6858000"/>
              <a:gd name="connsiteX13552" fmla="*/ 9391185 w 12192000"/>
              <a:gd name="connsiteY13552" fmla="*/ 1641209 h 6858000"/>
              <a:gd name="connsiteX13553" fmla="*/ 9423389 w 12192000"/>
              <a:gd name="connsiteY13553" fmla="*/ 1670861 h 6858000"/>
              <a:gd name="connsiteX13554" fmla="*/ 9391185 w 12192000"/>
              <a:gd name="connsiteY13554" fmla="*/ 1700513 h 6858000"/>
              <a:gd name="connsiteX13555" fmla="*/ 9469719 w 12192000"/>
              <a:gd name="connsiteY13555" fmla="*/ 1700513 h 6858000"/>
              <a:gd name="connsiteX13556" fmla="*/ 9437503 w 12192000"/>
              <a:gd name="connsiteY13556" fmla="*/ 1670861 h 6858000"/>
              <a:gd name="connsiteX13557" fmla="*/ 9469719 w 12192000"/>
              <a:gd name="connsiteY13557" fmla="*/ 1641209 h 6858000"/>
              <a:gd name="connsiteX13558" fmla="*/ 9501924 w 12192000"/>
              <a:gd name="connsiteY13558" fmla="*/ 1670861 h 6858000"/>
              <a:gd name="connsiteX13559" fmla="*/ 9469719 w 12192000"/>
              <a:gd name="connsiteY13559" fmla="*/ 1700513 h 6858000"/>
              <a:gd name="connsiteX13560" fmla="*/ 9548254 w 12192000"/>
              <a:gd name="connsiteY13560" fmla="*/ 1700513 h 6858000"/>
              <a:gd name="connsiteX13561" fmla="*/ 9516037 w 12192000"/>
              <a:gd name="connsiteY13561" fmla="*/ 1670861 h 6858000"/>
              <a:gd name="connsiteX13562" fmla="*/ 9548254 w 12192000"/>
              <a:gd name="connsiteY13562" fmla="*/ 1641209 h 6858000"/>
              <a:gd name="connsiteX13563" fmla="*/ 9580458 w 12192000"/>
              <a:gd name="connsiteY13563" fmla="*/ 1670861 h 6858000"/>
              <a:gd name="connsiteX13564" fmla="*/ 9548254 w 12192000"/>
              <a:gd name="connsiteY13564" fmla="*/ 1700513 h 6858000"/>
              <a:gd name="connsiteX13565" fmla="*/ 9626787 w 12192000"/>
              <a:gd name="connsiteY13565" fmla="*/ 1700513 h 6858000"/>
              <a:gd name="connsiteX13566" fmla="*/ 9594571 w 12192000"/>
              <a:gd name="connsiteY13566" fmla="*/ 1670861 h 6858000"/>
              <a:gd name="connsiteX13567" fmla="*/ 9626787 w 12192000"/>
              <a:gd name="connsiteY13567" fmla="*/ 1641209 h 6858000"/>
              <a:gd name="connsiteX13568" fmla="*/ 9658991 w 12192000"/>
              <a:gd name="connsiteY13568" fmla="*/ 1670861 h 6858000"/>
              <a:gd name="connsiteX13569" fmla="*/ 9626787 w 12192000"/>
              <a:gd name="connsiteY13569" fmla="*/ 1700513 h 6858000"/>
              <a:gd name="connsiteX13570" fmla="*/ 9705321 w 12192000"/>
              <a:gd name="connsiteY13570" fmla="*/ 1700513 h 6858000"/>
              <a:gd name="connsiteX13571" fmla="*/ 9673105 w 12192000"/>
              <a:gd name="connsiteY13571" fmla="*/ 1670861 h 6858000"/>
              <a:gd name="connsiteX13572" fmla="*/ 9705321 w 12192000"/>
              <a:gd name="connsiteY13572" fmla="*/ 1641209 h 6858000"/>
              <a:gd name="connsiteX13573" fmla="*/ 9737525 w 12192000"/>
              <a:gd name="connsiteY13573" fmla="*/ 1670861 h 6858000"/>
              <a:gd name="connsiteX13574" fmla="*/ 9705321 w 12192000"/>
              <a:gd name="connsiteY13574" fmla="*/ 1700513 h 6858000"/>
              <a:gd name="connsiteX13575" fmla="*/ 9783854 w 12192000"/>
              <a:gd name="connsiteY13575" fmla="*/ 1700513 h 6858000"/>
              <a:gd name="connsiteX13576" fmla="*/ 9751638 w 12192000"/>
              <a:gd name="connsiteY13576" fmla="*/ 1670861 h 6858000"/>
              <a:gd name="connsiteX13577" fmla="*/ 9783854 w 12192000"/>
              <a:gd name="connsiteY13577" fmla="*/ 1641209 h 6858000"/>
              <a:gd name="connsiteX13578" fmla="*/ 9816059 w 12192000"/>
              <a:gd name="connsiteY13578" fmla="*/ 1670861 h 6858000"/>
              <a:gd name="connsiteX13579" fmla="*/ 9783854 w 12192000"/>
              <a:gd name="connsiteY13579" fmla="*/ 1700513 h 6858000"/>
              <a:gd name="connsiteX13580" fmla="*/ 9862389 w 12192000"/>
              <a:gd name="connsiteY13580" fmla="*/ 1700513 h 6858000"/>
              <a:gd name="connsiteX13581" fmla="*/ 9830172 w 12192000"/>
              <a:gd name="connsiteY13581" fmla="*/ 1670861 h 6858000"/>
              <a:gd name="connsiteX13582" fmla="*/ 9862389 w 12192000"/>
              <a:gd name="connsiteY13582" fmla="*/ 1641209 h 6858000"/>
              <a:gd name="connsiteX13583" fmla="*/ 9894593 w 12192000"/>
              <a:gd name="connsiteY13583" fmla="*/ 1670861 h 6858000"/>
              <a:gd name="connsiteX13584" fmla="*/ 9862389 w 12192000"/>
              <a:gd name="connsiteY13584" fmla="*/ 1700513 h 6858000"/>
              <a:gd name="connsiteX13585" fmla="*/ 9940923 w 12192000"/>
              <a:gd name="connsiteY13585" fmla="*/ 1700513 h 6858000"/>
              <a:gd name="connsiteX13586" fmla="*/ 9908707 w 12192000"/>
              <a:gd name="connsiteY13586" fmla="*/ 1670861 h 6858000"/>
              <a:gd name="connsiteX13587" fmla="*/ 9940923 w 12192000"/>
              <a:gd name="connsiteY13587" fmla="*/ 1641209 h 6858000"/>
              <a:gd name="connsiteX13588" fmla="*/ 9973127 w 12192000"/>
              <a:gd name="connsiteY13588" fmla="*/ 1670861 h 6858000"/>
              <a:gd name="connsiteX13589" fmla="*/ 9940923 w 12192000"/>
              <a:gd name="connsiteY13589" fmla="*/ 1700513 h 6858000"/>
              <a:gd name="connsiteX13590" fmla="*/ 10019456 w 12192000"/>
              <a:gd name="connsiteY13590" fmla="*/ 1700513 h 6858000"/>
              <a:gd name="connsiteX13591" fmla="*/ 9987240 w 12192000"/>
              <a:gd name="connsiteY13591" fmla="*/ 1670861 h 6858000"/>
              <a:gd name="connsiteX13592" fmla="*/ 10019456 w 12192000"/>
              <a:gd name="connsiteY13592" fmla="*/ 1641209 h 6858000"/>
              <a:gd name="connsiteX13593" fmla="*/ 10051660 w 12192000"/>
              <a:gd name="connsiteY13593" fmla="*/ 1670861 h 6858000"/>
              <a:gd name="connsiteX13594" fmla="*/ 10019456 w 12192000"/>
              <a:gd name="connsiteY13594" fmla="*/ 1700513 h 6858000"/>
              <a:gd name="connsiteX13595" fmla="*/ 10097990 w 12192000"/>
              <a:gd name="connsiteY13595" fmla="*/ 1700513 h 6858000"/>
              <a:gd name="connsiteX13596" fmla="*/ 10065774 w 12192000"/>
              <a:gd name="connsiteY13596" fmla="*/ 1670861 h 6858000"/>
              <a:gd name="connsiteX13597" fmla="*/ 10097990 w 12192000"/>
              <a:gd name="connsiteY13597" fmla="*/ 1641209 h 6858000"/>
              <a:gd name="connsiteX13598" fmla="*/ 10130195 w 12192000"/>
              <a:gd name="connsiteY13598" fmla="*/ 1670861 h 6858000"/>
              <a:gd name="connsiteX13599" fmla="*/ 10097990 w 12192000"/>
              <a:gd name="connsiteY13599" fmla="*/ 1700513 h 6858000"/>
              <a:gd name="connsiteX13600" fmla="*/ 10176524 w 12192000"/>
              <a:gd name="connsiteY13600" fmla="*/ 1700513 h 6858000"/>
              <a:gd name="connsiteX13601" fmla="*/ 10144307 w 12192000"/>
              <a:gd name="connsiteY13601" fmla="*/ 1670861 h 6858000"/>
              <a:gd name="connsiteX13602" fmla="*/ 10176524 w 12192000"/>
              <a:gd name="connsiteY13602" fmla="*/ 1641209 h 6858000"/>
              <a:gd name="connsiteX13603" fmla="*/ 10208728 w 12192000"/>
              <a:gd name="connsiteY13603" fmla="*/ 1670861 h 6858000"/>
              <a:gd name="connsiteX13604" fmla="*/ 10176524 w 12192000"/>
              <a:gd name="connsiteY13604" fmla="*/ 1700513 h 6858000"/>
              <a:gd name="connsiteX13605" fmla="*/ 10255058 w 12192000"/>
              <a:gd name="connsiteY13605" fmla="*/ 1700513 h 6858000"/>
              <a:gd name="connsiteX13606" fmla="*/ 10222842 w 12192000"/>
              <a:gd name="connsiteY13606" fmla="*/ 1670861 h 6858000"/>
              <a:gd name="connsiteX13607" fmla="*/ 10255058 w 12192000"/>
              <a:gd name="connsiteY13607" fmla="*/ 1641209 h 6858000"/>
              <a:gd name="connsiteX13608" fmla="*/ 10287262 w 12192000"/>
              <a:gd name="connsiteY13608" fmla="*/ 1670861 h 6858000"/>
              <a:gd name="connsiteX13609" fmla="*/ 10255058 w 12192000"/>
              <a:gd name="connsiteY13609" fmla="*/ 1700513 h 6858000"/>
              <a:gd name="connsiteX13610" fmla="*/ 3972319 w 12192000"/>
              <a:gd name="connsiteY13610" fmla="*/ 1628247 h 6858000"/>
              <a:gd name="connsiteX13611" fmla="*/ 3940108 w 12192000"/>
              <a:gd name="connsiteY13611" fmla="*/ 1598595 h 6858000"/>
              <a:gd name="connsiteX13612" fmla="*/ 3972319 w 12192000"/>
              <a:gd name="connsiteY13612" fmla="*/ 1568943 h 6858000"/>
              <a:gd name="connsiteX13613" fmla="*/ 4004529 w 12192000"/>
              <a:gd name="connsiteY13613" fmla="*/ 1598595 h 6858000"/>
              <a:gd name="connsiteX13614" fmla="*/ 3972319 w 12192000"/>
              <a:gd name="connsiteY13614" fmla="*/ 1628247 h 6858000"/>
              <a:gd name="connsiteX13615" fmla="*/ 4050852 w 12192000"/>
              <a:gd name="connsiteY13615" fmla="*/ 1628247 h 6858000"/>
              <a:gd name="connsiteX13616" fmla="*/ 4018642 w 12192000"/>
              <a:gd name="connsiteY13616" fmla="*/ 1598595 h 6858000"/>
              <a:gd name="connsiteX13617" fmla="*/ 4050852 w 12192000"/>
              <a:gd name="connsiteY13617" fmla="*/ 1568943 h 6858000"/>
              <a:gd name="connsiteX13618" fmla="*/ 4083062 w 12192000"/>
              <a:gd name="connsiteY13618" fmla="*/ 1598595 h 6858000"/>
              <a:gd name="connsiteX13619" fmla="*/ 4050852 w 12192000"/>
              <a:gd name="connsiteY13619" fmla="*/ 1628247 h 6858000"/>
              <a:gd name="connsiteX13620" fmla="*/ 4129386 w 12192000"/>
              <a:gd name="connsiteY13620" fmla="*/ 1628247 h 6858000"/>
              <a:gd name="connsiteX13621" fmla="*/ 4097176 w 12192000"/>
              <a:gd name="connsiteY13621" fmla="*/ 1598595 h 6858000"/>
              <a:gd name="connsiteX13622" fmla="*/ 4129386 w 12192000"/>
              <a:gd name="connsiteY13622" fmla="*/ 1568943 h 6858000"/>
              <a:gd name="connsiteX13623" fmla="*/ 4161597 w 12192000"/>
              <a:gd name="connsiteY13623" fmla="*/ 1598595 h 6858000"/>
              <a:gd name="connsiteX13624" fmla="*/ 4129386 w 12192000"/>
              <a:gd name="connsiteY13624" fmla="*/ 1628247 h 6858000"/>
              <a:gd name="connsiteX13625" fmla="*/ 4207926 w 12192000"/>
              <a:gd name="connsiteY13625" fmla="*/ 1628247 h 6858000"/>
              <a:gd name="connsiteX13626" fmla="*/ 4175715 w 12192000"/>
              <a:gd name="connsiteY13626" fmla="*/ 1598595 h 6858000"/>
              <a:gd name="connsiteX13627" fmla="*/ 4207926 w 12192000"/>
              <a:gd name="connsiteY13627" fmla="*/ 1568943 h 6858000"/>
              <a:gd name="connsiteX13628" fmla="*/ 4240136 w 12192000"/>
              <a:gd name="connsiteY13628" fmla="*/ 1598595 h 6858000"/>
              <a:gd name="connsiteX13629" fmla="*/ 4207926 w 12192000"/>
              <a:gd name="connsiteY13629" fmla="*/ 1628247 h 6858000"/>
              <a:gd name="connsiteX13630" fmla="*/ 4286460 w 12192000"/>
              <a:gd name="connsiteY13630" fmla="*/ 1628247 h 6858000"/>
              <a:gd name="connsiteX13631" fmla="*/ 4254250 w 12192000"/>
              <a:gd name="connsiteY13631" fmla="*/ 1598595 h 6858000"/>
              <a:gd name="connsiteX13632" fmla="*/ 4286460 w 12192000"/>
              <a:gd name="connsiteY13632" fmla="*/ 1568943 h 6858000"/>
              <a:gd name="connsiteX13633" fmla="*/ 4318670 w 12192000"/>
              <a:gd name="connsiteY13633" fmla="*/ 1598595 h 6858000"/>
              <a:gd name="connsiteX13634" fmla="*/ 4286460 w 12192000"/>
              <a:gd name="connsiteY13634" fmla="*/ 1628247 h 6858000"/>
              <a:gd name="connsiteX13635" fmla="*/ 9234118 w 12192000"/>
              <a:gd name="connsiteY13635" fmla="*/ 1628247 h 6858000"/>
              <a:gd name="connsiteX13636" fmla="*/ 9201901 w 12192000"/>
              <a:gd name="connsiteY13636" fmla="*/ 1598595 h 6858000"/>
              <a:gd name="connsiteX13637" fmla="*/ 9234118 w 12192000"/>
              <a:gd name="connsiteY13637" fmla="*/ 1568943 h 6858000"/>
              <a:gd name="connsiteX13638" fmla="*/ 9266322 w 12192000"/>
              <a:gd name="connsiteY13638" fmla="*/ 1598595 h 6858000"/>
              <a:gd name="connsiteX13639" fmla="*/ 9234118 w 12192000"/>
              <a:gd name="connsiteY13639" fmla="*/ 1628247 h 6858000"/>
              <a:gd name="connsiteX13640" fmla="*/ 9312652 w 12192000"/>
              <a:gd name="connsiteY13640" fmla="*/ 1628247 h 6858000"/>
              <a:gd name="connsiteX13641" fmla="*/ 9280436 w 12192000"/>
              <a:gd name="connsiteY13641" fmla="*/ 1598595 h 6858000"/>
              <a:gd name="connsiteX13642" fmla="*/ 9312652 w 12192000"/>
              <a:gd name="connsiteY13642" fmla="*/ 1568943 h 6858000"/>
              <a:gd name="connsiteX13643" fmla="*/ 9344856 w 12192000"/>
              <a:gd name="connsiteY13643" fmla="*/ 1598595 h 6858000"/>
              <a:gd name="connsiteX13644" fmla="*/ 9312652 w 12192000"/>
              <a:gd name="connsiteY13644" fmla="*/ 1628247 h 6858000"/>
              <a:gd name="connsiteX13645" fmla="*/ 9391185 w 12192000"/>
              <a:gd name="connsiteY13645" fmla="*/ 1628247 h 6858000"/>
              <a:gd name="connsiteX13646" fmla="*/ 9358969 w 12192000"/>
              <a:gd name="connsiteY13646" fmla="*/ 1598595 h 6858000"/>
              <a:gd name="connsiteX13647" fmla="*/ 9391185 w 12192000"/>
              <a:gd name="connsiteY13647" fmla="*/ 1568943 h 6858000"/>
              <a:gd name="connsiteX13648" fmla="*/ 9423389 w 12192000"/>
              <a:gd name="connsiteY13648" fmla="*/ 1598595 h 6858000"/>
              <a:gd name="connsiteX13649" fmla="*/ 9391185 w 12192000"/>
              <a:gd name="connsiteY13649" fmla="*/ 1628247 h 6858000"/>
              <a:gd name="connsiteX13650" fmla="*/ 9783854 w 12192000"/>
              <a:gd name="connsiteY13650" fmla="*/ 1628247 h 6858000"/>
              <a:gd name="connsiteX13651" fmla="*/ 9751638 w 12192000"/>
              <a:gd name="connsiteY13651" fmla="*/ 1598595 h 6858000"/>
              <a:gd name="connsiteX13652" fmla="*/ 9783854 w 12192000"/>
              <a:gd name="connsiteY13652" fmla="*/ 1568943 h 6858000"/>
              <a:gd name="connsiteX13653" fmla="*/ 9816059 w 12192000"/>
              <a:gd name="connsiteY13653" fmla="*/ 1598595 h 6858000"/>
              <a:gd name="connsiteX13654" fmla="*/ 9783854 w 12192000"/>
              <a:gd name="connsiteY13654" fmla="*/ 1628247 h 6858000"/>
              <a:gd name="connsiteX13655" fmla="*/ 9862389 w 12192000"/>
              <a:gd name="connsiteY13655" fmla="*/ 1628247 h 6858000"/>
              <a:gd name="connsiteX13656" fmla="*/ 9830172 w 12192000"/>
              <a:gd name="connsiteY13656" fmla="*/ 1598595 h 6858000"/>
              <a:gd name="connsiteX13657" fmla="*/ 9862389 w 12192000"/>
              <a:gd name="connsiteY13657" fmla="*/ 1568943 h 6858000"/>
              <a:gd name="connsiteX13658" fmla="*/ 9894593 w 12192000"/>
              <a:gd name="connsiteY13658" fmla="*/ 1598595 h 6858000"/>
              <a:gd name="connsiteX13659" fmla="*/ 9862389 w 12192000"/>
              <a:gd name="connsiteY13659" fmla="*/ 1628247 h 6858000"/>
              <a:gd name="connsiteX13660" fmla="*/ 9940923 w 12192000"/>
              <a:gd name="connsiteY13660" fmla="*/ 1628247 h 6858000"/>
              <a:gd name="connsiteX13661" fmla="*/ 9908707 w 12192000"/>
              <a:gd name="connsiteY13661" fmla="*/ 1598595 h 6858000"/>
              <a:gd name="connsiteX13662" fmla="*/ 9940923 w 12192000"/>
              <a:gd name="connsiteY13662" fmla="*/ 1568943 h 6858000"/>
              <a:gd name="connsiteX13663" fmla="*/ 9973127 w 12192000"/>
              <a:gd name="connsiteY13663" fmla="*/ 1598595 h 6858000"/>
              <a:gd name="connsiteX13664" fmla="*/ 9940923 w 12192000"/>
              <a:gd name="connsiteY13664" fmla="*/ 1628247 h 6858000"/>
              <a:gd name="connsiteX13665" fmla="*/ 10019456 w 12192000"/>
              <a:gd name="connsiteY13665" fmla="*/ 1628247 h 6858000"/>
              <a:gd name="connsiteX13666" fmla="*/ 9987240 w 12192000"/>
              <a:gd name="connsiteY13666" fmla="*/ 1598595 h 6858000"/>
              <a:gd name="connsiteX13667" fmla="*/ 10019456 w 12192000"/>
              <a:gd name="connsiteY13667" fmla="*/ 1568943 h 6858000"/>
              <a:gd name="connsiteX13668" fmla="*/ 10051660 w 12192000"/>
              <a:gd name="connsiteY13668" fmla="*/ 1598595 h 6858000"/>
              <a:gd name="connsiteX13669" fmla="*/ 10019456 w 12192000"/>
              <a:gd name="connsiteY13669" fmla="*/ 1628247 h 6858000"/>
              <a:gd name="connsiteX13670" fmla="*/ 10097990 w 12192000"/>
              <a:gd name="connsiteY13670" fmla="*/ 1628247 h 6858000"/>
              <a:gd name="connsiteX13671" fmla="*/ 10065774 w 12192000"/>
              <a:gd name="connsiteY13671" fmla="*/ 1598595 h 6858000"/>
              <a:gd name="connsiteX13672" fmla="*/ 10097990 w 12192000"/>
              <a:gd name="connsiteY13672" fmla="*/ 1568943 h 6858000"/>
              <a:gd name="connsiteX13673" fmla="*/ 10130195 w 12192000"/>
              <a:gd name="connsiteY13673" fmla="*/ 1598595 h 6858000"/>
              <a:gd name="connsiteX13674" fmla="*/ 10097990 w 12192000"/>
              <a:gd name="connsiteY13674" fmla="*/ 1628247 h 6858000"/>
              <a:gd name="connsiteX13675" fmla="*/ 10176524 w 12192000"/>
              <a:gd name="connsiteY13675" fmla="*/ 1628247 h 6858000"/>
              <a:gd name="connsiteX13676" fmla="*/ 10144307 w 12192000"/>
              <a:gd name="connsiteY13676" fmla="*/ 1598595 h 6858000"/>
              <a:gd name="connsiteX13677" fmla="*/ 10176524 w 12192000"/>
              <a:gd name="connsiteY13677" fmla="*/ 1568943 h 6858000"/>
              <a:gd name="connsiteX13678" fmla="*/ 10208728 w 12192000"/>
              <a:gd name="connsiteY13678" fmla="*/ 1598595 h 6858000"/>
              <a:gd name="connsiteX13679" fmla="*/ 10176524 w 12192000"/>
              <a:gd name="connsiteY13679" fmla="*/ 1628247 h 6858000"/>
              <a:gd name="connsiteX13680" fmla="*/ 10255058 w 12192000"/>
              <a:gd name="connsiteY13680" fmla="*/ 1628247 h 6858000"/>
              <a:gd name="connsiteX13681" fmla="*/ 10222842 w 12192000"/>
              <a:gd name="connsiteY13681" fmla="*/ 1598595 h 6858000"/>
              <a:gd name="connsiteX13682" fmla="*/ 10255058 w 12192000"/>
              <a:gd name="connsiteY13682" fmla="*/ 1568943 h 6858000"/>
              <a:gd name="connsiteX13683" fmla="*/ 10287262 w 12192000"/>
              <a:gd name="connsiteY13683" fmla="*/ 1598595 h 6858000"/>
              <a:gd name="connsiteX13684" fmla="*/ 10255058 w 12192000"/>
              <a:gd name="connsiteY13684" fmla="*/ 1628247 h 6858000"/>
              <a:gd name="connsiteX13685" fmla="*/ 3893785 w 12192000"/>
              <a:gd name="connsiteY13685" fmla="*/ 1555982 h 6858000"/>
              <a:gd name="connsiteX13686" fmla="*/ 3861574 w 12192000"/>
              <a:gd name="connsiteY13686" fmla="*/ 1526329 h 6858000"/>
              <a:gd name="connsiteX13687" fmla="*/ 3893785 w 12192000"/>
              <a:gd name="connsiteY13687" fmla="*/ 1496677 h 6858000"/>
              <a:gd name="connsiteX13688" fmla="*/ 3925995 w 12192000"/>
              <a:gd name="connsiteY13688" fmla="*/ 1526329 h 6858000"/>
              <a:gd name="connsiteX13689" fmla="*/ 3893785 w 12192000"/>
              <a:gd name="connsiteY13689" fmla="*/ 1555982 h 6858000"/>
              <a:gd name="connsiteX13690" fmla="*/ 3972319 w 12192000"/>
              <a:gd name="connsiteY13690" fmla="*/ 1555982 h 6858000"/>
              <a:gd name="connsiteX13691" fmla="*/ 3940108 w 12192000"/>
              <a:gd name="connsiteY13691" fmla="*/ 1526329 h 6858000"/>
              <a:gd name="connsiteX13692" fmla="*/ 3972319 w 12192000"/>
              <a:gd name="connsiteY13692" fmla="*/ 1496677 h 6858000"/>
              <a:gd name="connsiteX13693" fmla="*/ 4004529 w 12192000"/>
              <a:gd name="connsiteY13693" fmla="*/ 1526329 h 6858000"/>
              <a:gd name="connsiteX13694" fmla="*/ 3972319 w 12192000"/>
              <a:gd name="connsiteY13694" fmla="*/ 1555982 h 6858000"/>
              <a:gd name="connsiteX13695" fmla="*/ 4050852 w 12192000"/>
              <a:gd name="connsiteY13695" fmla="*/ 1555982 h 6858000"/>
              <a:gd name="connsiteX13696" fmla="*/ 4018642 w 12192000"/>
              <a:gd name="connsiteY13696" fmla="*/ 1526329 h 6858000"/>
              <a:gd name="connsiteX13697" fmla="*/ 4050852 w 12192000"/>
              <a:gd name="connsiteY13697" fmla="*/ 1496677 h 6858000"/>
              <a:gd name="connsiteX13698" fmla="*/ 4083062 w 12192000"/>
              <a:gd name="connsiteY13698" fmla="*/ 1526329 h 6858000"/>
              <a:gd name="connsiteX13699" fmla="*/ 4050852 w 12192000"/>
              <a:gd name="connsiteY13699" fmla="*/ 1555982 h 6858000"/>
              <a:gd name="connsiteX13700" fmla="*/ 4129386 w 12192000"/>
              <a:gd name="connsiteY13700" fmla="*/ 1555982 h 6858000"/>
              <a:gd name="connsiteX13701" fmla="*/ 4097176 w 12192000"/>
              <a:gd name="connsiteY13701" fmla="*/ 1526329 h 6858000"/>
              <a:gd name="connsiteX13702" fmla="*/ 4129386 w 12192000"/>
              <a:gd name="connsiteY13702" fmla="*/ 1496677 h 6858000"/>
              <a:gd name="connsiteX13703" fmla="*/ 4161597 w 12192000"/>
              <a:gd name="connsiteY13703" fmla="*/ 1526329 h 6858000"/>
              <a:gd name="connsiteX13704" fmla="*/ 4129386 w 12192000"/>
              <a:gd name="connsiteY13704" fmla="*/ 1555982 h 6858000"/>
              <a:gd name="connsiteX13705" fmla="*/ 4207926 w 12192000"/>
              <a:gd name="connsiteY13705" fmla="*/ 1555982 h 6858000"/>
              <a:gd name="connsiteX13706" fmla="*/ 4175715 w 12192000"/>
              <a:gd name="connsiteY13706" fmla="*/ 1526329 h 6858000"/>
              <a:gd name="connsiteX13707" fmla="*/ 4207926 w 12192000"/>
              <a:gd name="connsiteY13707" fmla="*/ 1496677 h 6858000"/>
              <a:gd name="connsiteX13708" fmla="*/ 4240136 w 12192000"/>
              <a:gd name="connsiteY13708" fmla="*/ 1526329 h 6858000"/>
              <a:gd name="connsiteX13709" fmla="*/ 4207926 w 12192000"/>
              <a:gd name="connsiteY13709" fmla="*/ 1555982 h 6858000"/>
              <a:gd name="connsiteX13710" fmla="*/ 4286460 w 12192000"/>
              <a:gd name="connsiteY13710" fmla="*/ 1555982 h 6858000"/>
              <a:gd name="connsiteX13711" fmla="*/ 4254250 w 12192000"/>
              <a:gd name="connsiteY13711" fmla="*/ 1526329 h 6858000"/>
              <a:gd name="connsiteX13712" fmla="*/ 4286460 w 12192000"/>
              <a:gd name="connsiteY13712" fmla="*/ 1496677 h 6858000"/>
              <a:gd name="connsiteX13713" fmla="*/ 4318670 w 12192000"/>
              <a:gd name="connsiteY13713" fmla="*/ 1526329 h 6858000"/>
              <a:gd name="connsiteX13714" fmla="*/ 4286460 w 12192000"/>
              <a:gd name="connsiteY13714" fmla="*/ 1555982 h 6858000"/>
              <a:gd name="connsiteX13715" fmla="*/ 9862389 w 12192000"/>
              <a:gd name="connsiteY13715" fmla="*/ 1555982 h 6858000"/>
              <a:gd name="connsiteX13716" fmla="*/ 9830172 w 12192000"/>
              <a:gd name="connsiteY13716" fmla="*/ 1526329 h 6858000"/>
              <a:gd name="connsiteX13717" fmla="*/ 9862389 w 12192000"/>
              <a:gd name="connsiteY13717" fmla="*/ 1496677 h 6858000"/>
              <a:gd name="connsiteX13718" fmla="*/ 9894593 w 12192000"/>
              <a:gd name="connsiteY13718" fmla="*/ 1526329 h 6858000"/>
              <a:gd name="connsiteX13719" fmla="*/ 9862389 w 12192000"/>
              <a:gd name="connsiteY13719" fmla="*/ 1555982 h 6858000"/>
              <a:gd name="connsiteX13720" fmla="*/ 9940923 w 12192000"/>
              <a:gd name="connsiteY13720" fmla="*/ 1555982 h 6858000"/>
              <a:gd name="connsiteX13721" fmla="*/ 9908707 w 12192000"/>
              <a:gd name="connsiteY13721" fmla="*/ 1526329 h 6858000"/>
              <a:gd name="connsiteX13722" fmla="*/ 9940923 w 12192000"/>
              <a:gd name="connsiteY13722" fmla="*/ 1496677 h 6858000"/>
              <a:gd name="connsiteX13723" fmla="*/ 9973127 w 12192000"/>
              <a:gd name="connsiteY13723" fmla="*/ 1526329 h 6858000"/>
              <a:gd name="connsiteX13724" fmla="*/ 9940923 w 12192000"/>
              <a:gd name="connsiteY13724" fmla="*/ 1555982 h 6858000"/>
              <a:gd name="connsiteX13725" fmla="*/ 10019456 w 12192000"/>
              <a:gd name="connsiteY13725" fmla="*/ 1555982 h 6858000"/>
              <a:gd name="connsiteX13726" fmla="*/ 9987240 w 12192000"/>
              <a:gd name="connsiteY13726" fmla="*/ 1526329 h 6858000"/>
              <a:gd name="connsiteX13727" fmla="*/ 10019456 w 12192000"/>
              <a:gd name="connsiteY13727" fmla="*/ 1496677 h 6858000"/>
              <a:gd name="connsiteX13728" fmla="*/ 10051660 w 12192000"/>
              <a:gd name="connsiteY13728" fmla="*/ 1526329 h 6858000"/>
              <a:gd name="connsiteX13729" fmla="*/ 10019456 w 12192000"/>
              <a:gd name="connsiteY13729" fmla="*/ 1555982 h 6858000"/>
              <a:gd name="connsiteX13730" fmla="*/ 10097990 w 12192000"/>
              <a:gd name="connsiteY13730" fmla="*/ 1555982 h 6858000"/>
              <a:gd name="connsiteX13731" fmla="*/ 10065774 w 12192000"/>
              <a:gd name="connsiteY13731" fmla="*/ 1526329 h 6858000"/>
              <a:gd name="connsiteX13732" fmla="*/ 10097990 w 12192000"/>
              <a:gd name="connsiteY13732" fmla="*/ 1496677 h 6858000"/>
              <a:gd name="connsiteX13733" fmla="*/ 10130195 w 12192000"/>
              <a:gd name="connsiteY13733" fmla="*/ 1526329 h 6858000"/>
              <a:gd name="connsiteX13734" fmla="*/ 10097990 w 12192000"/>
              <a:gd name="connsiteY13734" fmla="*/ 1555982 h 6858000"/>
              <a:gd name="connsiteX13735" fmla="*/ 10176524 w 12192000"/>
              <a:gd name="connsiteY13735" fmla="*/ 1555982 h 6858000"/>
              <a:gd name="connsiteX13736" fmla="*/ 10144307 w 12192000"/>
              <a:gd name="connsiteY13736" fmla="*/ 1526329 h 6858000"/>
              <a:gd name="connsiteX13737" fmla="*/ 10176524 w 12192000"/>
              <a:gd name="connsiteY13737" fmla="*/ 1496677 h 6858000"/>
              <a:gd name="connsiteX13738" fmla="*/ 10208728 w 12192000"/>
              <a:gd name="connsiteY13738" fmla="*/ 1526329 h 6858000"/>
              <a:gd name="connsiteX13739" fmla="*/ 10176524 w 12192000"/>
              <a:gd name="connsiteY13739" fmla="*/ 1555982 h 6858000"/>
              <a:gd name="connsiteX13740" fmla="*/ 3972319 w 12192000"/>
              <a:gd name="connsiteY13740" fmla="*/ 1483717 h 6858000"/>
              <a:gd name="connsiteX13741" fmla="*/ 3940108 w 12192000"/>
              <a:gd name="connsiteY13741" fmla="*/ 1454065 h 6858000"/>
              <a:gd name="connsiteX13742" fmla="*/ 3972319 w 12192000"/>
              <a:gd name="connsiteY13742" fmla="*/ 1424413 h 6858000"/>
              <a:gd name="connsiteX13743" fmla="*/ 4004529 w 12192000"/>
              <a:gd name="connsiteY13743" fmla="*/ 1454065 h 6858000"/>
              <a:gd name="connsiteX13744" fmla="*/ 3972319 w 12192000"/>
              <a:gd name="connsiteY13744" fmla="*/ 1483717 h 6858000"/>
              <a:gd name="connsiteX13745" fmla="*/ 4050852 w 12192000"/>
              <a:gd name="connsiteY13745" fmla="*/ 1483717 h 6858000"/>
              <a:gd name="connsiteX13746" fmla="*/ 4018642 w 12192000"/>
              <a:gd name="connsiteY13746" fmla="*/ 1454065 h 6858000"/>
              <a:gd name="connsiteX13747" fmla="*/ 4050852 w 12192000"/>
              <a:gd name="connsiteY13747" fmla="*/ 1424413 h 6858000"/>
              <a:gd name="connsiteX13748" fmla="*/ 4083062 w 12192000"/>
              <a:gd name="connsiteY13748" fmla="*/ 1454065 h 6858000"/>
              <a:gd name="connsiteX13749" fmla="*/ 4050852 w 12192000"/>
              <a:gd name="connsiteY13749" fmla="*/ 1483717 h 6858000"/>
              <a:gd name="connsiteX13750" fmla="*/ 4129386 w 12192000"/>
              <a:gd name="connsiteY13750" fmla="*/ 1483717 h 6858000"/>
              <a:gd name="connsiteX13751" fmla="*/ 4097176 w 12192000"/>
              <a:gd name="connsiteY13751" fmla="*/ 1454065 h 6858000"/>
              <a:gd name="connsiteX13752" fmla="*/ 4129386 w 12192000"/>
              <a:gd name="connsiteY13752" fmla="*/ 1424413 h 6858000"/>
              <a:gd name="connsiteX13753" fmla="*/ 4161597 w 12192000"/>
              <a:gd name="connsiteY13753" fmla="*/ 1454065 h 6858000"/>
              <a:gd name="connsiteX13754" fmla="*/ 4129386 w 12192000"/>
              <a:gd name="connsiteY13754" fmla="*/ 1483717 h 6858000"/>
              <a:gd name="connsiteX13755" fmla="*/ 4207926 w 12192000"/>
              <a:gd name="connsiteY13755" fmla="*/ 1483717 h 6858000"/>
              <a:gd name="connsiteX13756" fmla="*/ 4175715 w 12192000"/>
              <a:gd name="connsiteY13756" fmla="*/ 1454065 h 6858000"/>
              <a:gd name="connsiteX13757" fmla="*/ 4207926 w 12192000"/>
              <a:gd name="connsiteY13757" fmla="*/ 1424413 h 6858000"/>
              <a:gd name="connsiteX13758" fmla="*/ 4240136 w 12192000"/>
              <a:gd name="connsiteY13758" fmla="*/ 1454065 h 6858000"/>
              <a:gd name="connsiteX13759" fmla="*/ 4207926 w 12192000"/>
              <a:gd name="connsiteY13759" fmla="*/ 1483717 h 6858000"/>
              <a:gd name="connsiteX13760" fmla="*/ 9940923 w 12192000"/>
              <a:gd name="connsiteY13760" fmla="*/ 1483717 h 6858000"/>
              <a:gd name="connsiteX13761" fmla="*/ 9908707 w 12192000"/>
              <a:gd name="connsiteY13761" fmla="*/ 1454065 h 6858000"/>
              <a:gd name="connsiteX13762" fmla="*/ 9940923 w 12192000"/>
              <a:gd name="connsiteY13762" fmla="*/ 1424413 h 6858000"/>
              <a:gd name="connsiteX13763" fmla="*/ 9973127 w 12192000"/>
              <a:gd name="connsiteY13763" fmla="*/ 1454065 h 6858000"/>
              <a:gd name="connsiteX13764" fmla="*/ 9940923 w 12192000"/>
              <a:gd name="connsiteY13764" fmla="*/ 1483717 h 6858000"/>
              <a:gd name="connsiteX13765" fmla="*/ 10019456 w 12192000"/>
              <a:gd name="connsiteY13765" fmla="*/ 1483717 h 6858000"/>
              <a:gd name="connsiteX13766" fmla="*/ 9987240 w 12192000"/>
              <a:gd name="connsiteY13766" fmla="*/ 1454065 h 6858000"/>
              <a:gd name="connsiteX13767" fmla="*/ 10019456 w 12192000"/>
              <a:gd name="connsiteY13767" fmla="*/ 1424413 h 6858000"/>
              <a:gd name="connsiteX13768" fmla="*/ 10051660 w 12192000"/>
              <a:gd name="connsiteY13768" fmla="*/ 1454065 h 6858000"/>
              <a:gd name="connsiteX13769" fmla="*/ 10019456 w 12192000"/>
              <a:gd name="connsiteY13769" fmla="*/ 1483717 h 6858000"/>
              <a:gd name="connsiteX13770" fmla="*/ 10097990 w 12192000"/>
              <a:gd name="connsiteY13770" fmla="*/ 1483717 h 6858000"/>
              <a:gd name="connsiteX13771" fmla="*/ 10065774 w 12192000"/>
              <a:gd name="connsiteY13771" fmla="*/ 1454065 h 6858000"/>
              <a:gd name="connsiteX13772" fmla="*/ 10097990 w 12192000"/>
              <a:gd name="connsiteY13772" fmla="*/ 1424413 h 6858000"/>
              <a:gd name="connsiteX13773" fmla="*/ 10130195 w 12192000"/>
              <a:gd name="connsiteY13773" fmla="*/ 1454065 h 6858000"/>
              <a:gd name="connsiteX13774" fmla="*/ 10097990 w 12192000"/>
              <a:gd name="connsiteY13774" fmla="*/ 1483717 h 6858000"/>
              <a:gd name="connsiteX13775" fmla="*/ 10176524 w 12192000"/>
              <a:gd name="connsiteY13775" fmla="*/ 1483717 h 6858000"/>
              <a:gd name="connsiteX13776" fmla="*/ 10144307 w 12192000"/>
              <a:gd name="connsiteY13776" fmla="*/ 1454065 h 6858000"/>
              <a:gd name="connsiteX13777" fmla="*/ 10176524 w 12192000"/>
              <a:gd name="connsiteY13777" fmla="*/ 1424413 h 6858000"/>
              <a:gd name="connsiteX13778" fmla="*/ 10208728 w 12192000"/>
              <a:gd name="connsiteY13778" fmla="*/ 1454065 h 6858000"/>
              <a:gd name="connsiteX13779" fmla="*/ 10176524 w 12192000"/>
              <a:gd name="connsiteY13779" fmla="*/ 1483717 h 6858000"/>
              <a:gd name="connsiteX13780" fmla="*/ 3972319 w 12192000"/>
              <a:gd name="connsiteY13780" fmla="*/ 1411451 h 6858000"/>
              <a:gd name="connsiteX13781" fmla="*/ 3940108 w 12192000"/>
              <a:gd name="connsiteY13781" fmla="*/ 1381799 h 6858000"/>
              <a:gd name="connsiteX13782" fmla="*/ 3972319 w 12192000"/>
              <a:gd name="connsiteY13782" fmla="*/ 1352147 h 6858000"/>
              <a:gd name="connsiteX13783" fmla="*/ 4004529 w 12192000"/>
              <a:gd name="connsiteY13783" fmla="*/ 1381799 h 6858000"/>
              <a:gd name="connsiteX13784" fmla="*/ 3972319 w 12192000"/>
              <a:gd name="connsiteY13784" fmla="*/ 1411451 h 6858000"/>
              <a:gd name="connsiteX13785" fmla="*/ 4050852 w 12192000"/>
              <a:gd name="connsiteY13785" fmla="*/ 1411451 h 6858000"/>
              <a:gd name="connsiteX13786" fmla="*/ 4018642 w 12192000"/>
              <a:gd name="connsiteY13786" fmla="*/ 1381799 h 6858000"/>
              <a:gd name="connsiteX13787" fmla="*/ 4050852 w 12192000"/>
              <a:gd name="connsiteY13787" fmla="*/ 1352147 h 6858000"/>
              <a:gd name="connsiteX13788" fmla="*/ 4083062 w 12192000"/>
              <a:gd name="connsiteY13788" fmla="*/ 1381799 h 6858000"/>
              <a:gd name="connsiteX13789" fmla="*/ 4050852 w 12192000"/>
              <a:gd name="connsiteY13789" fmla="*/ 1411451 h 6858000"/>
              <a:gd name="connsiteX13790" fmla="*/ 4129386 w 12192000"/>
              <a:gd name="connsiteY13790" fmla="*/ 1411451 h 6858000"/>
              <a:gd name="connsiteX13791" fmla="*/ 4097176 w 12192000"/>
              <a:gd name="connsiteY13791" fmla="*/ 1381799 h 6858000"/>
              <a:gd name="connsiteX13792" fmla="*/ 4129386 w 12192000"/>
              <a:gd name="connsiteY13792" fmla="*/ 1352147 h 6858000"/>
              <a:gd name="connsiteX13793" fmla="*/ 4161597 w 12192000"/>
              <a:gd name="connsiteY13793" fmla="*/ 1381799 h 6858000"/>
              <a:gd name="connsiteX13794" fmla="*/ 4129386 w 12192000"/>
              <a:gd name="connsiteY13794" fmla="*/ 1411451 h 6858000"/>
              <a:gd name="connsiteX13795" fmla="*/ 9940923 w 12192000"/>
              <a:gd name="connsiteY13795" fmla="*/ 1411451 h 6858000"/>
              <a:gd name="connsiteX13796" fmla="*/ 9908707 w 12192000"/>
              <a:gd name="connsiteY13796" fmla="*/ 1381799 h 6858000"/>
              <a:gd name="connsiteX13797" fmla="*/ 9940923 w 12192000"/>
              <a:gd name="connsiteY13797" fmla="*/ 1352147 h 6858000"/>
              <a:gd name="connsiteX13798" fmla="*/ 9973127 w 12192000"/>
              <a:gd name="connsiteY13798" fmla="*/ 1381799 h 6858000"/>
              <a:gd name="connsiteX13799" fmla="*/ 9940923 w 12192000"/>
              <a:gd name="connsiteY13799" fmla="*/ 1411451 h 6858000"/>
              <a:gd name="connsiteX13800" fmla="*/ 10019456 w 12192000"/>
              <a:gd name="connsiteY13800" fmla="*/ 1411451 h 6858000"/>
              <a:gd name="connsiteX13801" fmla="*/ 9987240 w 12192000"/>
              <a:gd name="connsiteY13801" fmla="*/ 1381799 h 6858000"/>
              <a:gd name="connsiteX13802" fmla="*/ 10019456 w 12192000"/>
              <a:gd name="connsiteY13802" fmla="*/ 1352147 h 6858000"/>
              <a:gd name="connsiteX13803" fmla="*/ 10051660 w 12192000"/>
              <a:gd name="connsiteY13803" fmla="*/ 1381799 h 6858000"/>
              <a:gd name="connsiteX13804" fmla="*/ 10019456 w 12192000"/>
              <a:gd name="connsiteY13804" fmla="*/ 1411451 h 6858000"/>
              <a:gd name="connsiteX13805" fmla="*/ 10097990 w 12192000"/>
              <a:gd name="connsiteY13805" fmla="*/ 1411451 h 6858000"/>
              <a:gd name="connsiteX13806" fmla="*/ 10065774 w 12192000"/>
              <a:gd name="connsiteY13806" fmla="*/ 1381799 h 6858000"/>
              <a:gd name="connsiteX13807" fmla="*/ 10097990 w 12192000"/>
              <a:gd name="connsiteY13807" fmla="*/ 1352147 h 6858000"/>
              <a:gd name="connsiteX13808" fmla="*/ 10130195 w 12192000"/>
              <a:gd name="connsiteY13808" fmla="*/ 1381799 h 6858000"/>
              <a:gd name="connsiteX13809" fmla="*/ 10097990 w 12192000"/>
              <a:gd name="connsiteY13809" fmla="*/ 1411451 h 6858000"/>
              <a:gd name="connsiteX13810" fmla="*/ 10883329 w 12192000"/>
              <a:gd name="connsiteY13810" fmla="*/ 1411451 h 6858000"/>
              <a:gd name="connsiteX13811" fmla="*/ 10851113 w 12192000"/>
              <a:gd name="connsiteY13811" fmla="*/ 1381799 h 6858000"/>
              <a:gd name="connsiteX13812" fmla="*/ 10883329 w 12192000"/>
              <a:gd name="connsiteY13812" fmla="*/ 1352147 h 6858000"/>
              <a:gd name="connsiteX13813" fmla="*/ 10915533 w 12192000"/>
              <a:gd name="connsiteY13813" fmla="*/ 1381799 h 6858000"/>
              <a:gd name="connsiteX13814" fmla="*/ 10883329 w 12192000"/>
              <a:gd name="connsiteY13814" fmla="*/ 1411451 h 6858000"/>
              <a:gd name="connsiteX13815" fmla="*/ 3972319 w 12192000"/>
              <a:gd name="connsiteY13815" fmla="*/ 1339185 h 6858000"/>
              <a:gd name="connsiteX13816" fmla="*/ 3940108 w 12192000"/>
              <a:gd name="connsiteY13816" fmla="*/ 1309533 h 6858000"/>
              <a:gd name="connsiteX13817" fmla="*/ 3972319 w 12192000"/>
              <a:gd name="connsiteY13817" fmla="*/ 1279881 h 6858000"/>
              <a:gd name="connsiteX13818" fmla="*/ 4004529 w 12192000"/>
              <a:gd name="connsiteY13818" fmla="*/ 1309533 h 6858000"/>
              <a:gd name="connsiteX13819" fmla="*/ 3972319 w 12192000"/>
              <a:gd name="connsiteY13819" fmla="*/ 1339185 h 6858000"/>
              <a:gd name="connsiteX13820" fmla="*/ 4050852 w 12192000"/>
              <a:gd name="connsiteY13820" fmla="*/ 1339185 h 6858000"/>
              <a:gd name="connsiteX13821" fmla="*/ 4018642 w 12192000"/>
              <a:gd name="connsiteY13821" fmla="*/ 1309533 h 6858000"/>
              <a:gd name="connsiteX13822" fmla="*/ 4050852 w 12192000"/>
              <a:gd name="connsiteY13822" fmla="*/ 1279881 h 6858000"/>
              <a:gd name="connsiteX13823" fmla="*/ 4083062 w 12192000"/>
              <a:gd name="connsiteY13823" fmla="*/ 1309533 h 6858000"/>
              <a:gd name="connsiteX13824" fmla="*/ 4050852 w 12192000"/>
              <a:gd name="connsiteY13824" fmla="*/ 1339185 h 6858000"/>
              <a:gd name="connsiteX13825" fmla="*/ 4129386 w 12192000"/>
              <a:gd name="connsiteY13825" fmla="*/ 1339185 h 6858000"/>
              <a:gd name="connsiteX13826" fmla="*/ 4097176 w 12192000"/>
              <a:gd name="connsiteY13826" fmla="*/ 1309533 h 6858000"/>
              <a:gd name="connsiteX13827" fmla="*/ 4129386 w 12192000"/>
              <a:gd name="connsiteY13827" fmla="*/ 1279881 h 6858000"/>
              <a:gd name="connsiteX13828" fmla="*/ 4161597 w 12192000"/>
              <a:gd name="connsiteY13828" fmla="*/ 1309533 h 6858000"/>
              <a:gd name="connsiteX13829" fmla="*/ 4129386 w 12192000"/>
              <a:gd name="connsiteY13829" fmla="*/ 1339185 h 6858000"/>
              <a:gd name="connsiteX13830" fmla="*/ 10883329 w 12192000"/>
              <a:gd name="connsiteY13830" fmla="*/ 1339185 h 6858000"/>
              <a:gd name="connsiteX13831" fmla="*/ 10851113 w 12192000"/>
              <a:gd name="connsiteY13831" fmla="*/ 1309533 h 6858000"/>
              <a:gd name="connsiteX13832" fmla="*/ 10883329 w 12192000"/>
              <a:gd name="connsiteY13832" fmla="*/ 1279881 h 6858000"/>
              <a:gd name="connsiteX13833" fmla="*/ 10915533 w 12192000"/>
              <a:gd name="connsiteY13833" fmla="*/ 1309533 h 6858000"/>
              <a:gd name="connsiteX13834" fmla="*/ 10883329 w 12192000"/>
              <a:gd name="connsiteY13834" fmla="*/ 1339185 h 6858000"/>
              <a:gd name="connsiteX13835" fmla="*/ 3972319 w 12192000"/>
              <a:gd name="connsiteY13835" fmla="*/ 1266921 h 6858000"/>
              <a:gd name="connsiteX13836" fmla="*/ 3940108 w 12192000"/>
              <a:gd name="connsiteY13836" fmla="*/ 1237268 h 6858000"/>
              <a:gd name="connsiteX13837" fmla="*/ 3972319 w 12192000"/>
              <a:gd name="connsiteY13837" fmla="*/ 1207616 h 6858000"/>
              <a:gd name="connsiteX13838" fmla="*/ 4004529 w 12192000"/>
              <a:gd name="connsiteY13838" fmla="*/ 1237268 h 6858000"/>
              <a:gd name="connsiteX13839" fmla="*/ 3972319 w 12192000"/>
              <a:gd name="connsiteY13839" fmla="*/ 1266921 h 6858000"/>
              <a:gd name="connsiteX13840" fmla="*/ 4050852 w 12192000"/>
              <a:gd name="connsiteY13840" fmla="*/ 1266921 h 6858000"/>
              <a:gd name="connsiteX13841" fmla="*/ 4018642 w 12192000"/>
              <a:gd name="connsiteY13841" fmla="*/ 1237268 h 6858000"/>
              <a:gd name="connsiteX13842" fmla="*/ 4050852 w 12192000"/>
              <a:gd name="connsiteY13842" fmla="*/ 1207616 h 6858000"/>
              <a:gd name="connsiteX13843" fmla="*/ 4083062 w 12192000"/>
              <a:gd name="connsiteY13843" fmla="*/ 1237268 h 6858000"/>
              <a:gd name="connsiteX13844" fmla="*/ 4050852 w 12192000"/>
              <a:gd name="connsiteY13844" fmla="*/ 1266921 h 6858000"/>
              <a:gd name="connsiteX13845" fmla="*/ 10019456 w 12192000"/>
              <a:gd name="connsiteY13845" fmla="*/ 1266921 h 6858000"/>
              <a:gd name="connsiteX13846" fmla="*/ 9987240 w 12192000"/>
              <a:gd name="connsiteY13846" fmla="*/ 1237268 h 6858000"/>
              <a:gd name="connsiteX13847" fmla="*/ 10019456 w 12192000"/>
              <a:gd name="connsiteY13847" fmla="*/ 1207616 h 6858000"/>
              <a:gd name="connsiteX13848" fmla="*/ 10051660 w 12192000"/>
              <a:gd name="connsiteY13848" fmla="*/ 1237268 h 6858000"/>
              <a:gd name="connsiteX13849" fmla="*/ 10019456 w 12192000"/>
              <a:gd name="connsiteY13849" fmla="*/ 1266921 h 6858000"/>
              <a:gd name="connsiteX13850" fmla="*/ 10883329 w 12192000"/>
              <a:gd name="connsiteY13850" fmla="*/ 1266921 h 6858000"/>
              <a:gd name="connsiteX13851" fmla="*/ 10851113 w 12192000"/>
              <a:gd name="connsiteY13851" fmla="*/ 1237268 h 6858000"/>
              <a:gd name="connsiteX13852" fmla="*/ 10883329 w 12192000"/>
              <a:gd name="connsiteY13852" fmla="*/ 1207616 h 6858000"/>
              <a:gd name="connsiteX13853" fmla="*/ 10915533 w 12192000"/>
              <a:gd name="connsiteY13853" fmla="*/ 1237268 h 6858000"/>
              <a:gd name="connsiteX13854" fmla="*/ 10883329 w 12192000"/>
              <a:gd name="connsiteY13854" fmla="*/ 1266921 h 6858000"/>
              <a:gd name="connsiteX13855" fmla="*/ 3972319 w 12192000"/>
              <a:gd name="connsiteY13855" fmla="*/ 1194655 h 6858000"/>
              <a:gd name="connsiteX13856" fmla="*/ 3940108 w 12192000"/>
              <a:gd name="connsiteY13856" fmla="*/ 1165003 h 6858000"/>
              <a:gd name="connsiteX13857" fmla="*/ 3972319 w 12192000"/>
              <a:gd name="connsiteY13857" fmla="*/ 1135351 h 6858000"/>
              <a:gd name="connsiteX13858" fmla="*/ 4004529 w 12192000"/>
              <a:gd name="connsiteY13858" fmla="*/ 1165003 h 6858000"/>
              <a:gd name="connsiteX13859" fmla="*/ 3972319 w 12192000"/>
              <a:gd name="connsiteY13859" fmla="*/ 1194655 h 6858000"/>
              <a:gd name="connsiteX13860" fmla="*/ 4050852 w 12192000"/>
              <a:gd name="connsiteY13860" fmla="*/ 1194655 h 6858000"/>
              <a:gd name="connsiteX13861" fmla="*/ 4018642 w 12192000"/>
              <a:gd name="connsiteY13861" fmla="*/ 1165003 h 6858000"/>
              <a:gd name="connsiteX13862" fmla="*/ 4050852 w 12192000"/>
              <a:gd name="connsiteY13862" fmla="*/ 1135351 h 6858000"/>
              <a:gd name="connsiteX13863" fmla="*/ 4083062 w 12192000"/>
              <a:gd name="connsiteY13863" fmla="*/ 1165003 h 6858000"/>
              <a:gd name="connsiteX13864" fmla="*/ 4050852 w 12192000"/>
              <a:gd name="connsiteY13864" fmla="*/ 1194655 h 6858000"/>
              <a:gd name="connsiteX13865" fmla="*/ 4129386 w 12192000"/>
              <a:gd name="connsiteY13865" fmla="*/ 1194655 h 6858000"/>
              <a:gd name="connsiteX13866" fmla="*/ 4097176 w 12192000"/>
              <a:gd name="connsiteY13866" fmla="*/ 1165003 h 6858000"/>
              <a:gd name="connsiteX13867" fmla="*/ 4129386 w 12192000"/>
              <a:gd name="connsiteY13867" fmla="*/ 1135351 h 6858000"/>
              <a:gd name="connsiteX13868" fmla="*/ 4161597 w 12192000"/>
              <a:gd name="connsiteY13868" fmla="*/ 1165003 h 6858000"/>
              <a:gd name="connsiteX13869" fmla="*/ 4129386 w 12192000"/>
              <a:gd name="connsiteY13869" fmla="*/ 1194655 h 6858000"/>
              <a:gd name="connsiteX13870" fmla="*/ 10019456 w 12192000"/>
              <a:gd name="connsiteY13870" fmla="*/ 1194655 h 6858000"/>
              <a:gd name="connsiteX13871" fmla="*/ 9987240 w 12192000"/>
              <a:gd name="connsiteY13871" fmla="*/ 1165003 h 6858000"/>
              <a:gd name="connsiteX13872" fmla="*/ 10019456 w 12192000"/>
              <a:gd name="connsiteY13872" fmla="*/ 1135351 h 6858000"/>
              <a:gd name="connsiteX13873" fmla="*/ 10051660 w 12192000"/>
              <a:gd name="connsiteY13873" fmla="*/ 1165003 h 6858000"/>
              <a:gd name="connsiteX13874" fmla="*/ 10019456 w 12192000"/>
              <a:gd name="connsiteY13874" fmla="*/ 1194655 h 6858000"/>
              <a:gd name="connsiteX13875" fmla="*/ 10804795 w 12192000"/>
              <a:gd name="connsiteY13875" fmla="*/ 1194655 h 6858000"/>
              <a:gd name="connsiteX13876" fmla="*/ 10772578 w 12192000"/>
              <a:gd name="connsiteY13876" fmla="*/ 1165003 h 6858000"/>
              <a:gd name="connsiteX13877" fmla="*/ 10804795 w 12192000"/>
              <a:gd name="connsiteY13877" fmla="*/ 1135351 h 6858000"/>
              <a:gd name="connsiteX13878" fmla="*/ 10836999 w 12192000"/>
              <a:gd name="connsiteY13878" fmla="*/ 1165003 h 6858000"/>
              <a:gd name="connsiteX13879" fmla="*/ 10804795 w 12192000"/>
              <a:gd name="connsiteY13879" fmla="*/ 1194655 h 6858000"/>
              <a:gd name="connsiteX13880" fmla="*/ 3972319 w 12192000"/>
              <a:gd name="connsiteY13880" fmla="*/ 1122389 h 6858000"/>
              <a:gd name="connsiteX13881" fmla="*/ 3940108 w 12192000"/>
              <a:gd name="connsiteY13881" fmla="*/ 1092737 h 6858000"/>
              <a:gd name="connsiteX13882" fmla="*/ 3972319 w 12192000"/>
              <a:gd name="connsiteY13882" fmla="*/ 1063085 h 6858000"/>
              <a:gd name="connsiteX13883" fmla="*/ 4004529 w 12192000"/>
              <a:gd name="connsiteY13883" fmla="*/ 1092737 h 6858000"/>
              <a:gd name="connsiteX13884" fmla="*/ 3972319 w 12192000"/>
              <a:gd name="connsiteY13884" fmla="*/ 1122389 h 6858000"/>
              <a:gd name="connsiteX13885" fmla="*/ 4050852 w 12192000"/>
              <a:gd name="connsiteY13885" fmla="*/ 1122389 h 6858000"/>
              <a:gd name="connsiteX13886" fmla="*/ 4018642 w 12192000"/>
              <a:gd name="connsiteY13886" fmla="*/ 1092737 h 6858000"/>
              <a:gd name="connsiteX13887" fmla="*/ 4050852 w 12192000"/>
              <a:gd name="connsiteY13887" fmla="*/ 1063085 h 6858000"/>
              <a:gd name="connsiteX13888" fmla="*/ 4083062 w 12192000"/>
              <a:gd name="connsiteY13888" fmla="*/ 1092737 h 6858000"/>
              <a:gd name="connsiteX13889" fmla="*/ 4050852 w 12192000"/>
              <a:gd name="connsiteY13889" fmla="*/ 1122389 h 6858000"/>
              <a:gd name="connsiteX13890" fmla="*/ 10726261 w 12192000"/>
              <a:gd name="connsiteY13890" fmla="*/ 1122389 h 6858000"/>
              <a:gd name="connsiteX13891" fmla="*/ 10694045 w 12192000"/>
              <a:gd name="connsiteY13891" fmla="*/ 1092737 h 6858000"/>
              <a:gd name="connsiteX13892" fmla="*/ 10726261 w 12192000"/>
              <a:gd name="connsiteY13892" fmla="*/ 1063085 h 6858000"/>
              <a:gd name="connsiteX13893" fmla="*/ 10758466 w 12192000"/>
              <a:gd name="connsiteY13893" fmla="*/ 1092737 h 6858000"/>
              <a:gd name="connsiteX13894" fmla="*/ 10726261 w 12192000"/>
              <a:gd name="connsiteY13894" fmla="*/ 1122389 h 6858000"/>
              <a:gd name="connsiteX13895" fmla="*/ 3972319 w 12192000"/>
              <a:gd name="connsiteY13895" fmla="*/ 1050123 h 6858000"/>
              <a:gd name="connsiteX13896" fmla="*/ 3940108 w 12192000"/>
              <a:gd name="connsiteY13896" fmla="*/ 1020471 h 6858000"/>
              <a:gd name="connsiteX13897" fmla="*/ 3972319 w 12192000"/>
              <a:gd name="connsiteY13897" fmla="*/ 990819 h 6858000"/>
              <a:gd name="connsiteX13898" fmla="*/ 4004529 w 12192000"/>
              <a:gd name="connsiteY13898" fmla="*/ 1020471 h 6858000"/>
              <a:gd name="connsiteX13899" fmla="*/ 3972319 w 12192000"/>
              <a:gd name="connsiteY13899" fmla="*/ 1050123 h 6858000"/>
              <a:gd name="connsiteX13900" fmla="*/ 4050852 w 12192000"/>
              <a:gd name="connsiteY13900" fmla="*/ 1050123 h 6858000"/>
              <a:gd name="connsiteX13901" fmla="*/ 4018642 w 12192000"/>
              <a:gd name="connsiteY13901" fmla="*/ 1020471 h 6858000"/>
              <a:gd name="connsiteX13902" fmla="*/ 4050852 w 12192000"/>
              <a:gd name="connsiteY13902" fmla="*/ 990819 h 6858000"/>
              <a:gd name="connsiteX13903" fmla="*/ 4083062 w 12192000"/>
              <a:gd name="connsiteY13903" fmla="*/ 1020471 h 6858000"/>
              <a:gd name="connsiteX13904" fmla="*/ 4050852 w 12192000"/>
              <a:gd name="connsiteY13904" fmla="*/ 1050123 h 6858000"/>
              <a:gd name="connsiteX13905" fmla="*/ 4364994 w 12192000"/>
              <a:gd name="connsiteY13905" fmla="*/ 1050123 h 6858000"/>
              <a:gd name="connsiteX13906" fmla="*/ 4332784 w 12192000"/>
              <a:gd name="connsiteY13906" fmla="*/ 1020471 h 6858000"/>
              <a:gd name="connsiteX13907" fmla="*/ 4364994 w 12192000"/>
              <a:gd name="connsiteY13907" fmla="*/ 990819 h 6858000"/>
              <a:gd name="connsiteX13908" fmla="*/ 4397204 w 12192000"/>
              <a:gd name="connsiteY13908" fmla="*/ 1020471 h 6858000"/>
              <a:gd name="connsiteX13909" fmla="*/ 4364994 w 12192000"/>
              <a:gd name="connsiteY13909" fmla="*/ 1050123 h 6858000"/>
              <a:gd name="connsiteX13910" fmla="*/ 10569194 w 12192000"/>
              <a:gd name="connsiteY13910" fmla="*/ 1050123 h 6858000"/>
              <a:gd name="connsiteX13911" fmla="*/ 10536978 w 12192000"/>
              <a:gd name="connsiteY13911" fmla="*/ 1020471 h 6858000"/>
              <a:gd name="connsiteX13912" fmla="*/ 10569194 w 12192000"/>
              <a:gd name="connsiteY13912" fmla="*/ 990819 h 6858000"/>
              <a:gd name="connsiteX13913" fmla="*/ 10601398 w 12192000"/>
              <a:gd name="connsiteY13913" fmla="*/ 1020471 h 6858000"/>
              <a:gd name="connsiteX13914" fmla="*/ 10569194 w 12192000"/>
              <a:gd name="connsiteY13914" fmla="*/ 1050123 h 6858000"/>
              <a:gd name="connsiteX13915" fmla="*/ 10647727 w 12192000"/>
              <a:gd name="connsiteY13915" fmla="*/ 1050123 h 6858000"/>
              <a:gd name="connsiteX13916" fmla="*/ 10615511 w 12192000"/>
              <a:gd name="connsiteY13916" fmla="*/ 1020471 h 6858000"/>
              <a:gd name="connsiteX13917" fmla="*/ 10647727 w 12192000"/>
              <a:gd name="connsiteY13917" fmla="*/ 990819 h 6858000"/>
              <a:gd name="connsiteX13918" fmla="*/ 10679931 w 12192000"/>
              <a:gd name="connsiteY13918" fmla="*/ 1020471 h 6858000"/>
              <a:gd name="connsiteX13919" fmla="*/ 10647727 w 12192000"/>
              <a:gd name="connsiteY13919" fmla="*/ 1050123 h 6858000"/>
              <a:gd name="connsiteX13920" fmla="*/ 4050852 w 12192000"/>
              <a:gd name="connsiteY13920" fmla="*/ 977859 h 6858000"/>
              <a:gd name="connsiteX13921" fmla="*/ 4018642 w 12192000"/>
              <a:gd name="connsiteY13921" fmla="*/ 948206 h 6858000"/>
              <a:gd name="connsiteX13922" fmla="*/ 4050852 w 12192000"/>
              <a:gd name="connsiteY13922" fmla="*/ 918554 h 6858000"/>
              <a:gd name="connsiteX13923" fmla="*/ 4083062 w 12192000"/>
              <a:gd name="connsiteY13923" fmla="*/ 948206 h 6858000"/>
              <a:gd name="connsiteX13924" fmla="*/ 4050852 w 12192000"/>
              <a:gd name="connsiteY13924" fmla="*/ 977859 h 6858000"/>
              <a:gd name="connsiteX13925" fmla="*/ 4129386 w 12192000"/>
              <a:gd name="connsiteY13925" fmla="*/ 977859 h 6858000"/>
              <a:gd name="connsiteX13926" fmla="*/ 4097176 w 12192000"/>
              <a:gd name="connsiteY13926" fmla="*/ 948206 h 6858000"/>
              <a:gd name="connsiteX13927" fmla="*/ 4129386 w 12192000"/>
              <a:gd name="connsiteY13927" fmla="*/ 918554 h 6858000"/>
              <a:gd name="connsiteX13928" fmla="*/ 4161597 w 12192000"/>
              <a:gd name="connsiteY13928" fmla="*/ 948206 h 6858000"/>
              <a:gd name="connsiteX13929" fmla="*/ 4129386 w 12192000"/>
              <a:gd name="connsiteY13929" fmla="*/ 977859 h 6858000"/>
              <a:gd name="connsiteX13930" fmla="*/ 10569194 w 12192000"/>
              <a:gd name="connsiteY13930" fmla="*/ 977859 h 6858000"/>
              <a:gd name="connsiteX13931" fmla="*/ 10536978 w 12192000"/>
              <a:gd name="connsiteY13931" fmla="*/ 948206 h 6858000"/>
              <a:gd name="connsiteX13932" fmla="*/ 10569194 w 12192000"/>
              <a:gd name="connsiteY13932" fmla="*/ 918554 h 6858000"/>
              <a:gd name="connsiteX13933" fmla="*/ 10601398 w 12192000"/>
              <a:gd name="connsiteY13933" fmla="*/ 948206 h 6858000"/>
              <a:gd name="connsiteX13934" fmla="*/ 10569194 w 12192000"/>
              <a:gd name="connsiteY13934" fmla="*/ 977859 h 6858000"/>
              <a:gd name="connsiteX13935" fmla="*/ 4129386 w 12192000"/>
              <a:gd name="connsiteY13935" fmla="*/ 905593 h 6858000"/>
              <a:gd name="connsiteX13936" fmla="*/ 4097176 w 12192000"/>
              <a:gd name="connsiteY13936" fmla="*/ 875941 h 6858000"/>
              <a:gd name="connsiteX13937" fmla="*/ 4129386 w 12192000"/>
              <a:gd name="connsiteY13937" fmla="*/ 846289 h 6858000"/>
              <a:gd name="connsiteX13938" fmla="*/ 4161597 w 12192000"/>
              <a:gd name="connsiteY13938" fmla="*/ 875941 h 6858000"/>
              <a:gd name="connsiteX13939" fmla="*/ 4129386 w 12192000"/>
              <a:gd name="connsiteY13939" fmla="*/ 905593 h 6858000"/>
              <a:gd name="connsiteX13940" fmla="*/ 4207926 w 12192000"/>
              <a:gd name="connsiteY13940" fmla="*/ 905593 h 6858000"/>
              <a:gd name="connsiteX13941" fmla="*/ 4175715 w 12192000"/>
              <a:gd name="connsiteY13941" fmla="*/ 875941 h 6858000"/>
              <a:gd name="connsiteX13942" fmla="*/ 4207926 w 12192000"/>
              <a:gd name="connsiteY13942" fmla="*/ 846289 h 6858000"/>
              <a:gd name="connsiteX13943" fmla="*/ 4240136 w 12192000"/>
              <a:gd name="connsiteY13943" fmla="*/ 875941 h 6858000"/>
              <a:gd name="connsiteX13944" fmla="*/ 4207926 w 12192000"/>
              <a:gd name="connsiteY13944" fmla="*/ 905593 h 6858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 ang="0">
                <a:pos x="connsiteX678" y="connsiteY678"/>
              </a:cxn>
              <a:cxn ang="0">
                <a:pos x="connsiteX679" y="connsiteY679"/>
              </a:cxn>
              <a:cxn ang="0">
                <a:pos x="connsiteX680" y="connsiteY680"/>
              </a:cxn>
              <a:cxn ang="0">
                <a:pos x="connsiteX681" y="connsiteY681"/>
              </a:cxn>
              <a:cxn ang="0">
                <a:pos x="connsiteX682" y="connsiteY682"/>
              </a:cxn>
              <a:cxn ang="0">
                <a:pos x="connsiteX683" y="connsiteY683"/>
              </a:cxn>
              <a:cxn ang="0">
                <a:pos x="connsiteX684" y="connsiteY684"/>
              </a:cxn>
              <a:cxn ang="0">
                <a:pos x="connsiteX685" y="connsiteY685"/>
              </a:cxn>
              <a:cxn ang="0">
                <a:pos x="connsiteX686" y="connsiteY686"/>
              </a:cxn>
              <a:cxn ang="0">
                <a:pos x="connsiteX687" y="connsiteY687"/>
              </a:cxn>
              <a:cxn ang="0">
                <a:pos x="connsiteX688" y="connsiteY688"/>
              </a:cxn>
              <a:cxn ang="0">
                <a:pos x="connsiteX689" y="connsiteY689"/>
              </a:cxn>
              <a:cxn ang="0">
                <a:pos x="connsiteX690" y="connsiteY690"/>
              </a:cxn>
              <a:cxn ang="0">
                <a:pos x="connsiteX691" y="connsiteY691"/>
              </a:cxn>
              <a:cxn ang="0">
                <a:pos x="connsiteX692" y="connsiteY692"/>
              </a:cxn>
              <a:cxn ang="0">
                <a:pos x="connsiteX693" y="connsiteY693"/>
              </a:cxn>
              <a:cxn ang="0">
                <a:pos x="connsiteX694" y="connsiteY694"/>
              </a:cxn>
              <a:cxn ang="0">
                <a:pos x="connsiteX695" y="connsiteY695"/>
              </a:cxn>
              <a:cxn ang="0">
                <a:pos x="connsiteX696" y="connsiteY696"/>
              </a:cxn>
              <a:cxn ang="0">
                <a:pos x="connsiteX697" y="connsiteY697"/>
              </a:cxn>
              <a:cxn ang="0">
                <a:pos x="connsiteX698" y="connsiteY698"/>
              </a:cxn>
              <a:cxn ang="0">
                <a:pos x="connsiteX699" y="connsiteY699"/>
              </a:cxn>
              <a:cxn ang="0">
                <a:pos x="connsiteX700" y="connsiteY700"/>
              </a:cxn>
              <a:cxn ang="0">
                <a:pos x="connsiteX701" y="connsiteY701"/>
              </a:cxn>
              <a:cxn ang="0">
                <a:pos x="connsiteX702" y="connsiteY702"/>
              </a:cxn>
              <a:cxn ang="0">
                <a:pos x="connsiteX703" y="connsiteY703"/>
              </a:cxn>
              <a:cxn ang="0">
                <a:pos x="connsiteX704" y="connsiteY704"/>
              </a:cxn>
              <a:cxn ang="0">
                <a:pos x="connsiteX705" y="connsiteY705"/>
              </a:cxn>
              <a:cxn ang="0">
                <a:pos x="connsiteX706" y="connsiteY706"/>
              </a:cxn>
              <a:cxn ang="0">
                <a:pos x="connsiteX707" y="connsiteY707"/>
              </a:cxn>
              <a:cxn ang="0">
                <a:pos x="connsiteX708" y="connsiteY708"/>
              </a:cxn>
              <a:cxn ang="0">
                <a:pos x="connsiteX709" y="connsiteY709"/>
              </a:cxn>
              <a:cxn ang="0">
                <a:pos x="connsiteX710" y="connsiteY710"/>
              </a:cxn>
              <a:cxn ang="0">
                <a:pos x="connsiteX711" y="connsiteY711"/>
              </a:cxn>
              <a:cxn ang="0">
                <a:pos x="connsiteX712" y="connsiteY712"/>
              </a:cxn>
              <a:cxn ang="0">
                <a:pos x="connsiteX713" y="connsiteY713"/>
              </a:cxn>
              <a:cxn ang="0">
                <a:pos x="connsiteX714" y="connsiteY714"/>
              </a:cxn>
              <a:cxn ang="0">
                <a:pos x="connsiteX715" y="connsiteY715"/>
              </a:cxn>
              <a:cxn ang="0">
                <a:pos x="connsiteX716" y="connsiteY716"/>
              </a:cxn>
              <a:cxn ang="0">
                <a:pos x="connsiteX717" y="connsiteY717"/>
              </a:cxn>
              <a:cxn ang="0">
                <a:pos x="connsiteX718" y="connsiteY718"/>
              </a:cxn>
              <a:cxn ang="0">
                <a:pos x="connsiteX719" y="connsiteY719"/>
              </a:cxn>
              <a:cxn ang="0">
                <a:pos x="connsiteX720" y="connsiteY720"/>
              </a:cxn>
              <a:cxn ang="0">
                <a:pos x="connsiteX721" y="connsiteY721"/>
              </a:cxn>
              <a:cxn ang="0">
                <a:pos x="connsiteX722" y="connsiteY722"/>
              </a:cxn>
              <a:cxn ang="0">
                <a:pos x="connsiteX723" y="connsiteY723"/>
              </a:cxn>
              <a:cxn ang="0">
                <a:pos x="connsiteX724" y="connsiteY724"/>
              </a:cxn>
              <a:cxn ang="0">
                <a:pos x="connsiteX725" y="connsiteY725"/>
              </a:cxn>
              <a:cxn ang="0">
                <a:pos x="connsiteX726" y="connsiteY726"/>
              </a:cxn>
              <a:cxn ang="0">
                <a:pos x="connsiteX727" y="connsiteY727"/>
              </a:cxn>
              <a:cxn ang="0">
                <a:pos x="connsiteX728" y="connsiteY728"/>
              </a:cxn>
              <a:cxn ang="0">
                <a:pos x="connsiteX729" y="connsiteY729"/>
              </a:cxn>
              <a:cxn ang="0">
                <a:pos x="connsiteX730" y="connsiteY730"/>
              </a:cxn>
              <a:cxn ang="0">
                <a:pos x="connsiteX731" y="connsiteY731"/>
              </a:cxn>
              <a:cxn ang="0">
                <a:pos x="connsiteX732" y="connsiteY732"/>
              </a:cxn>
              <a:cxn ang="0">
                <a:pos x="connsiteX733" y="connsiteY733"/>
              </a:cxn>
              <a:cxn ang="0">
                <a:pos x="connsiteX734" y="connsiteY734"/>
              </a:cxn>
              <a:cxn ang="0">
                <a:pos x="connsiteX735" y="connsiteY735"/>
              </a:cxn>
              <a:cxn ang="0">
                <a:pos x="connsiteX736" y="connsiteY736"/>
              </a:cxn>
              <a:cxn ang="0">
                <a:pos x="connsiteX737" y="connsiteY737"/>
              </a:cxn>
              <a:cxn ang="0">
                <a:pos x="connsiteX738" y="connsiteY738"/>
              </a:cxn>
              <a:cxn ang="0">
                <a:pos x="connsiteX739" y="connsiteY739"/>
              </a:cxn>
              <a:cxn ang="0">
                <a:pos x="connsiteX740" y="connsiteY740"/>
              </a:cxn>
              <a:cxn ang="0">
                <a:pos x="connsiteX741" y="connsiteY741"/>
              </a:cxn>
              <a:cxn ang="0">
                <a:pos x="connsiteX742" y="connsiteY742"/>
              </a:cxn>
              <a:cxn ang="0">
                <a:pos x="connsiteX743" y="connsiteY743"/>
              </a:cxn>
              <a:cxn ang="0">
                <a:pos x="connsiteX744" y="connsiteY744"/>
              </a:cxn>
              <a:cxn ang="0">
                <a:pos x="connsiteX745" y="connsiteY745"/>
              </a:cxn>
              <a:cxn ang="0">
                <a:pos x="connsiteX746" y="connsiteY746"/>
              </a:cxn>
              <a:cxn ang="0">
                <a:pos x="connsiteX747" y="connsiteY747"/>
              </a:cxn>
              <a:cxn ang="0">
                <a:pos x="connsiteX748" y="connsiteY748"/>
              </a:cxn>
              <a:cxn ang="0">
                <a:pos x="connsiteX749" y="connsiteY749"/>
              </a:cxn>
              <a:cxn ang="0">
                <a:pos x="connsiteX750" y="connsiteY750"/>
              </a:cxn>
              <a:cxn ang="0">
                <a:pos x="connsiteX751" y="connsiteY751"/>
              </a:cxn>
              <a:cxn ang="0">
                <a:pos x="connsiteX752" y="connsiteY752"/>
              </a:cxn>
              <a:cxn ang="0">
                <a:pos x="connsiteX753" y="connsiteY753"/>
              </a:cxn>
              <a:cxn ang="0">
                <a:pos x="connsiteX754" y="connsiteY754"/>
              </a:cxn>
              <a:cxn ang="0">
                <a:pos x="connsiteX755" y="connsiteY755"/>
              </a:cxn>
              <a:cxn ang="0">
                <a:pos x="connsiteX756" y="connsiteY756"/>
              </a:cxn>
              <a:cxn ang="0">
                <a:pos x="connsiteX757" y="connsiteY757"/>
              </a:cxn>
              <a:cxn ang="0">
                <a:pos x="connsiteX758" y="connsiteY758"/>
              </a:cxn>
              <a:cxn ang="0">
                <a:pos x="connsiteX759" y="connsiteY759"/>
              </a:cxn>
              <a:cxn ang="0">
                <a:pos x="connsiteX760" y="connsiteY760"/>
              </a:cxn>
              <a:cxn ang="0">
                <a:pos x="connsiteX761" y="connsiteY761"/>
              </a:cxn>
              <a:cxn ang="0">
                <a:pos x="connsiteX762" y="connsiteY762"/>
              </a:cxn>
              <a:cxn ang="0">
                <a:pos x="connsiteX763" y="connsiteY763"/>
              </a:cxn>
              <a:cxn ang="0">
                <a:pos x="connsiteX764" y="connsiteY764"/>
              </a:cxn>
              <a:cxn ang="0">
                <a:pos x="connsiteX765" y="connsiteY765"/>
              </a:cxn>
              <a:cxn ang="0">
                <a:pos x="connsiteX766" y="connsiteY766"/>
              </a:cxn>
              <a:cxn ang="0">
                <a:pos x="connsiteX767" y="connsiteY767"/>
              </a:cxn>
              <a:cxn ang="0">
                <a:pos x="connsiteX768" y="connsiteY768"/>
              </a:cxn>
              <a:cxn ang="0">
                <a:pos x="connsiteX769" y="connsiteY769"/>
              </a:cxn>
              <a:cxn ang="0">
                <a:pos x="connsiteX770" y="connsiteY770"/>
              </a:cxn>
              <a:cxn ang="0">
                <a:pos x="connsiteX771" y="connsiteY771"/>
              </a:cxn>
              <a:cxn ang="0">
                <a:pos x="connsiteX772" y="connsiteY772"/>
              </a:cxn>
              <a:cxn ang="0">
                <a:pos x="connsiteX773" y="connsiteY773"/>
              </a:cxn>
              <a:cxn ang="0">
                <a:pos x="connsiteX774" y="connsiteY774"/>
              </a:cxn>
              <a:cxn ang="0">
                <a:pos x="connsiteX775" y="connsiteY775"/>
              </a:cxn>
              <a:cxn ang="0">
                <a:pos x="connsiteX776" y="connsiteY776"/>
              </a:cxn>
              <a:cxn ang="0">
                <a:pos x="connsiteX777" y="connsiteY777"/>
              </a:cxn>
              <a:cxn ang="0">
                <a:pos x="connsiteX778" y="connsiteY778"/>
              </a:cxn>
              <a:cxn ang="0">
                <a:pos x="connsiteX779" y="connsiteY779"/>
              </a:cxn>
              <a:cxn ang="0">
                <a:pos x="connsiteX780" y="connsiteY780"/>
              </a:cxn>
              <a:cxn ang="0">
                <a:pos x="connsiteX781" y="connsiteY781"/>
              </a:cxn>
              <a:cxn ang="0">
                <a:pos x="connsiteX782" y="connsiteY782"/>
              </a:cxn>
              <a:cxn ang="0">
                <a:pos x="connsiteX783" y="connsiteY783"/>
              </a:cxn>
              <a:cxn ang="0">
                <a:pos x="connsiteX784" y="connsiteY784"/>
              </a:cxn>
              <a:cxn ang="0">
                <a:pos x="connsiteX785" y="connsiteY785"/>
              </a:cxn>
              <a:cxn ang="0">
                <a:pos x="connsiteX786" y="connsiteY786"/>
              </a:cxn>
              <a:cxn ang="0">
                <a:pos x="connsiteX787" y="connsiteY787"/>
              </a:cxn>
              <a:cxn ang="0">
                <a:pos x="connsiteX788" y="connsiteY788"/>
              </a:cxn>
              <a:cxn ang="0">
                <a:pos x="connsiteX789" y="connsiteY789"/>
              </a:cxn>
              <a:cxn ang="0">
                <a:pos x="connsiteX790" y="connsiteY790"/>
              </a:cxn>
              <a:cxn ang="0">
                <a:pos x="connsiteX791" y="connsiteY791"/>
              </a:cxn>
              <a:cxn ang="0">
                <a:pos x="connsiteX792" y="connsiteY792"/>
              </a:cxn>
              <a:cxn ang="0">
                <a:pos x="connsiteX793" y="connsiteY793"/>
              </a:cxn>
              <a:cxn ang="0">
                <a:pos x="connsiteX794" y="connsiteY794"/>
              </a:cxn>
              <a:cxn ang="0">
                <a:pos x="connsiteX795" y="connsiteY795"/>
              </a:cxn>
              <a:cxn ang="0">
                <a:pos x="connsiteX796" y="connsiteY796"/>
              </a:cxn>
              <a:cxn ang="0">
                <a:pos x="connsiteX797" y="connsiteY797"/>
              </a:cxn>
              <a:cxn ang="0">
                <a:pos x="connsiteX798" y="connsiteY798"/>
              </a:cxn>
              <a:cxn ang="0">
                <a:pos x="connsiteX799" y="connsiteY799"/>
              </a:cxn>
              <a:cxn ang="0">
                <a:pos x="connsiteX800" y="connsiteY800"/>
              </a:cxn>
              <a:cxn ang="0">
                <a:pos x="connsiteX801" y="connsiteY801"/>
              </a:cxn>
              <a:cxn ang="0">
                <a:pos x="connsiteX802" y="connsiteY802"/>
              </a:cxn>
              <a:cxn ang="0">
                <a:pos x="connsiteX803" y="connsiteY803"/>
              </a:cxn>
              <a:cxn ang="0">
                <a:pos x="connsiteX804" y="connsiteY804"/>
              </a:cxn>
              <a:cxn ang="0">
                <a:pos x="connsiteX805" y="connsiteY805"/>
              </a:cxn>
              <a:cxn ang="0">
                <a:pos x="connsiteX806" y="connsiteY806"/>
              </a:cxn>
              <a:cxn ang="0">
                <a:pos x="connsiteX807" y="connsiteY807"/>
              </a:cxn>
              <a:cxn ang="0">
                <a:pos x="connsiteX808" y="connsiteY808"/>
              </a:cxn>
              <a:cxn ang="0">
                <a:pos x="connsiteX809" y="connsiteY809"/>
              </a:cxn>
              <a:cxn ang="0">
                <a:pos x="connsiteX810" y="connsiteY810"/>
              </a:cxn>
              <a:cxn ang="0">
                <a:pos x="connsiteX811" y="connsiteY811"/>
              </a:cxn>
              <a:cxn ang="0">
                <a:pos x="connsiteX812" y="connsiteY812"/>
              </a:cxn>
              <a:cxn ang="0">
                <a:pos x="connsiteX813" y="connsiteY813"/>
              </a:cxn>
              <a:cxn ang="0">
                <a:pos x="connsiteX814" y="connsiteY814"/>
              </a:cxn>
              <a:cxn ang="0">
                <a:pos x="connsiteX815" y="connsiteY815"/>
              </a:cxn>
              <a:cxn ang="0">
                <a:pos x="connsiteX816" y="connsiteY816"/>
              </a:cxn>
              <a:cxn ang="0">
                <a:pos x="connsiteX817" y="connsiteY817"/>
              </a:cxn>
              <a:cxn ang="0">
                <a:pos x="connsiteX818" y="connsiteY818"/>
              </a:cxn>
              <a:cxn ang="0">
                <a:pos x="connsiteX819" y="connsiteY819"/>
              </a:cxn>
              <a:cxn ang="0">
                <a:pos x="connsiteX820" y="connsiteY820"/>
              </a:cxn>
              <a:cxn ang="0">
                <a:pos x="connsiteX821" y="connsiteY821"/>
              </a:cxn>
              <a:cxn ang="0">
                <a:pos x="connsiteX822" y="connsiteY822"/>
              </a:cxn>
              <a:cxn ang="0">
                <a:pos x="connsiteX823" y="connsiteY823"/>
              </a:cxn>
              <a:cxn ang="0">
                <a:pos x="connsiteX824" y="connsiteY824"/>
              </a:cxn>
              <a:cxn ang="0">
                <a:pos x="connsiteX825" y="connsiteY825"/>
              </a:cxn>
              <a:cxn ang="0">
                <a:pos x="connsiteX826" y="connsiteY826"/>
              </a:cxn>
              <a:cxn ang="0">
                <a:pos x="connsiteX827" y="connsiteY827"/>
              </a:cxn>
              <a:cxn ang="0">
                <a:pos x="connsiteX828" y="connsiteY828"/>
              </a:cxn>
              <a:cxn ang="0">
                <a:pos x="connsiteX829" y="connsiteY829"/>
              </a:cxn>
              <a:cxn ang="0">
                <a:pos x="connsiteX830" y="connsiteY830"/>
              </a:cxn>
              <a:cxn ang="0">
                <a:pos x="connsiteX831" y="connsiteY831"/>
              </a:cxn>
              <a:cxn ang="0">
                <a:pos x="connsiteX832" y="connsiteY832"/>
              </a:cxn>
              <a:cxn ang="0">
                <a:pos x="connsiteX833" y="connsiteY833"/>
              </a:cxn>
              <a:cxn ang="0">
                <a:pos x="connsiteX834" y="connsiteY834"/>
              </a:cxn>
              <a:cxn ang="0">
                <a:pos x="connsiteX835" y="connsiteY835"/>
              </a:cxn>
              <a:cxn ang="0">
                <a:pos x="connsiteX836" y="connsiteY836"/>
              </a:cxn>
              <a:cxn ang="0">
                <a:pos x="connsiteX837" y="connsiteY837"/>
              </a:cxn>
              <a:cxn ang="0">
                <a:pos x="connsiteX838" y="connsiteY838"/>
              </a:cxn>
              <a:cxn ang="0">
                <a:pos x="connsiteX839" y="connsiteY839"/>
              </a:cxn>
              <a:cxn ang="0">
                <a:pos x="connsiteX840" y="connsiteY840"/>
              </a:cxn>
              <a:cxn ang="0">
                <a:pos x="connsiteX841" y="connsiteY841"/>
              </a:cxn>
              <a:cxn ang="0">
                <a:pos x="connsiteX842" y="connsiteY842"/>
              </a:cxn>
              <a:cxn ang="0">
                <a:pos x="connsiteX843" y="connsiteY843"/>
              </a:cxn>
              <a:cxn ang="0">
                <a:pos x="connsiteX844" y="connsiteY844"/>
              </a:cxn>
              <a:cxn ang="0">
                <a:pos x="connsiteX845" y="connsiteY845"/>
              </a:cxn>
              <a:cxn ang="0">
                <a:pos x="connsiteX846" y="connsiteY846"/>
              </a:cxn>
              <a:cxn ang="0">
                <a:pos x="connsiteX847" y="connsiteY847"/>
              </a:cxn>
              <a:cxn ang="0">
                <a:pos x="connsiteX848" y="connsiteY848"/>
              </a:cxn>
              <a:cxn ang="0">
                <a:pos x="connsiteX849" y="connsiteY849"/>
              </a:cxn>
              <a:cxn ang="0">
                <a:pos x="connsiteX850" y="connsiteY850"/>
              </a:cxn>
              <a:cxn ang="0">
                <a:pos x="connsiteX851" y="connsiteY851"/>
              </a:cxn>
              <a:cxn ang="0">
                <a:pos x="connsiteX852" y="connsiteY852"/>
              </a:cxn>
              <a:cxn ang="0">
                <a:pos x="connsiteX853" y="connsiteY853"/>
              </a:cxn>
              <a:cxn ang="0">
                <a:pos x="connsiteX854" y="connsiteY854"/>
              </a:cxn>
              <a:cxn ang="0">
                <a:pos x="connsiteX855" y="connsiteY855"/>
              </a:cxn>
              <a:cxn ang="0">
                <a:pos x="connsiteX856" y="connsiteY856"/>
              </a:cxn>
              <a:cxn ang="0">
                <a:pos x="connsiteX857" y="connsiteY857"/>
              </a:cxn>
              <a:cxn ang="0">
                <a:pos x="connsiteX858" y="connsiteY858"/>
              </a:cxn>
              <a:cxn ang="0">
                <a:pos x="connsiteX859" y="connsiteY859"/>
              </a:cxn>
              <a:cxn ang="0">
                <a:pos x="connsiteX860" y="connsiteY860"/>
              </a:cxn>
              <a:cxn ang="0">
                <a:pos x="connsiteX861" y="connsiteY861"/>
              </a:cxn>
              <a:cxn ang="0">
                <a:pos x="connsiteX862" y="connsiteY862"/>
              </a:cxn>
              <a:cxn ang="0">
                <a:pos x="connsiteX863" y="connsiteY863"/>
              </a:cxn>
              <a:cxn ang="0">
                <a:pos x="connsiteX864" y="connsiteY864"/>
              </a:cxn>
              <a:cxn ang="0">
                <a:pos x="connsiteX865" y="connsiteY865"/>
              </a:cxn>
              <a:cxn ang="0">
                <a:pos x="connsiteX866" y="connsiteY866"/>
              </a:cxn>
              <a:cxn ang="0">
                <a:pos x="connsiteX867" y="connsiteY867"/>
              </a:cxn>
              <a:cxn ang="0">
                <a:pos x="connsiteX868" y="connsiteY868"/>
              </a:cxn>
              <a:cxn ang="0">
                <a:pos x="connsiteX869" y="connsiteY869"/>
              </a:cxn>
              <a:cxn ang="0">
                <a:pos x="connsiteX870" y="connsiteY870"/>
              </a:cxn>
              <a:cxn ang="0">
                <a:pos x="connsiteX871" y="connsiteY871"/>
              </a:cxn>
              <a:cxn ang="0">
                <a:pos x="connsiteX872" y="connsiteY872"/>
              </a:cxn>
              <a:cxn ang="0">
                <a:pos x="connsiteX873" y="connsiteY873"/>
              </a:cxn>
              <a:cxn ang="0">
                <a:pos x="connsiteX874" y="connsiteY874"/>
              </a:cxn>
              <a:cxn ang="0">
                <a:pos x="connsiteX875" y="connsiteY875"/>
              </a:cxn>
              <a:cxn ang="0">
                <a:pos x="connsiteX876" y="connsiteY876"/>
              </a:cxn>
              <a:cxn ang="0">
                <a:pos x="connsiteX877" y="connsiteY877"/>
              </a:cxn>
              <a:cxn ang="0">
                <a:pos x="connsiteX878" y="connsiteY878"/>
              </a:cxn>
              <a:cxn ang="0">
                <a:pos x="connsiteX879" y="connsiteY879"/>
              </a:cxn>
              <a:cxn ang="0">
                <a:pos x="connsiteX880" y="connsiteY880"/>
              </a:cxn>
              <a:cxn ang="0">
                <a:pos x="connsiteX881" y="connsiteY881"/>
              </a:cxn>
              <a:cxn ang="0">
                <a:pos x="connsiteX882" y="connsiteY882"/>
              </a:cxn>
              <a:cxn ang="0">
                <a:pos x="connsiteX883" y="connsiteY883"/>
              </a:cxn>
              <a:cxn ang="0">
                <a:pos x="connsiteX884" y="connsiteY884"/>
              </a:cxn>
              <a:cxn ang="0">
                <a:pos x="connsiteX885" y="connsiteY885"/>
              </a:cxn>
              <a:cxn ang="0">
                <a:pos x="connsiteX886" y="connsiteY886"/>
              </a:cxn>
              <a:cxn ang="0">
                <a:pos x="connsiteX887" y="connsiteY887"/>
              </a:cxn>
              <a:cxn ang="0">
                <a:pos x="connsiteX888" y="connsiteY888"/>
              </a:cxn>
              <a:cxn ang="0">
                <a:pos x="connsiteX889" y="connsiteY889"/>
              </a:cxn>
              <a:cxn ang="0">
                <a:pos x="connsiteX890" y="connsiteY890"/>
              </a:cxn>
              <a:cxn ang="0">
                <a:pos x="connsiteX891" y="connsiteY891"/>
              </a:cxn>
              <a:cxn ang="0">
                <a:pos x="connsiteX892" y="connsiteY892"/>
              </a:cxn>
              <a:cxn ang="0">
                <a:pos x="connsiteX893" y="connsiteY893"/>
              </a:cxn>
              <a:cxn ang="0">
                <a:pos x="connsiteX894" y="connsiteY894"/>
              </a:cxn>
              <a:cxn ang="0">
                <a:pos x="connsiteX895" y="connsiteY895"/>
              </a:cxn>
              <a:cxn ang="0">
                <a:pos x="connsiteX896" y="connsiteY896"/>
              </a:cxn>
              <a:cxn ang="0">
                <a:pos x="connsiteX897" y="connsiteY897"/>
              </a:cxn>
              <a:cxn ang="0">
                <a:pos x="connsiteX898" y="connsiteY898"/>
              </a:cxn>
              <a:cxn ang="0">
                <a:pos x="connsiteX899" y="connsiteY899"/>
              </a:cxn>
              <a:cxn ang="0">
                <a:pos x="connsiteX900" y="connsiteY900"/>
              </a:cxn>
              <a:cxn ang="0">
                <a:pos x="connsiteX901" y="connsiteY901"/>
              </a:cxn>
              <a:cxn ang="0">
                <a:pos x="connsiteX902" y="connsiteY902"/>
              </a:cxn>
              <a:cxn ang="0">
                <a:pos x="connsiteX903" y="connsiteY903"/>
              </a:cxn>
              <a:cxn ang="0">
                <a:pos x="connsiteX904" y="connsiteY904"/>
              </a:cxn>
              <a:cxn ang="0">
                <a:pos x="connsiteX905" y="connsiteY905"/>
              </a:cxn>
              <a:cxn ang="0">
                <a:pos x="connsiteX906" y="connsiteY906"/>
              </a:cxn>
              <a:cxn ang="0">
                <a:pos x="connsiteX907" y="connsiteY907"/>
              </a:cxn>
              <a:cxn ang="0">
                <a:pos x="connsiteX908" y="connsiteY908"/>
              </a:cxn>
              <a:cxn ang="0">
                <a:pos x="connsiteX909" y="connsiteY909"/>
              </a:cxn>
              <a:cxn ang="0">
                <a:pos x="connsiteX910" y="connsiteY910"/>
              </a:cxn>
              <a:cxn ang="0">
                <a:pos x="connsiteX911" y="connsiteY911"/>
              </a:cxn>
              <a:cxn ang="0">
                <a:pos x="connsiteX912" y="connsiteY912"/>
              </a:cxn>
              <a:cxn ang="0">
                <a:pos x="connsiteX913" y="connsiteY913"/>
              </a:cxn>
              <a:cxn ang="0">
                <a:pos x="connsiteX914" y="connsiteY914"/>
              </a:cxn>
              <a:cxn ang="0">
                <a:pos x="connsiteX915" y="connsiteY915"/>
              </a:cxn>
              <a:cxn ang="0">
                <a:pos x="connsiteX916" y="connsiteY916"/>
              </a:cxn>
              <a:cxn ang="0">
                <a:pos x="connsiteX917" y="connsiteY917"/>
              </a:cxn>
              <a:cxn ang="0">
                <a:pos x="connsiteX918" y="connsiteY918"/>
              </a:cxn>
              <a:cxn ang="0">
                <a:pos x="connsiteX919" y="connsiteY919"/>
              </a:cxn>
              <a:cxn ang="0">
                <a:pos x="connsiteX920" y="connsiteY920"/>
              </a:cxn>
              <a:cxn ang="0">
                <a:pos x="connsiteX921" y="connsiteY921"/>
              </a:cxn>
              <a:cxn ang="0">
                <a:pos x="connsiteX922" y="connsiteY922"/>
              </a:cxn>
              <a:cxn ang="0">
                <a:pos x="connsiteX923" y="connsiteY923"/>
              </a:cxn>
              <a:cxn ang="0">
                <a:pos x="connsiteX924" y="connsiteY924"/>
              </a:cxn>
              <a:cxn ang="0">
                <a:pos x="connsiteX925" y="connsiteY925"/>
              </a:cxn>
              <a:cxn ang="0">
                <a:pos x="connsiteX926" y="connsiteY926"/>
              </a:cxn>
              <a:cxn ang="0">
                <a:pos x="connsiteX927" y="connsiteY927"/>
              </a:cxn>
              <a:cxn ang="0">
                <a:pos x="connsiteX928" y="connsiteY928"/>
              </a:cxn>
              <a:cxn ang="0">
                <a:pos x="connsiteX929" y="connsiteY929"/>
              </a:cxn>
              <a:cxn ang="0">
                <a:pos x="connsiteX930" y="connsiteY930"/>
              </a:cxn>
              <a:cxn ang="0">
                <a:pos x="connsiteX931" y="connsiteY931"/>
              </a:cxn>
              <a:cxn ang="0">
                <a:pos x="connsiteX932" y="connsiteY932"/>
              </a:cxn>
              <a:cxn ang="0">
                <a:pos x="connsiteX933" y="connsiteY933"/>
              </a:cxn>
              <a:cxn ang="0">
                <a:pos x="connsiteX934" y="connsiteY934"/>
              </a:cxn>
              <a:cxn ang="0">
                <a:pos x="connsiteX935" y="connsiteY935"/>
              </a:cxn>
              <a:cxn ang="0">
                <a:pos x="connsiteX936" y="connsiteY936"/>
              </a:cxn>
              <a:cxn ang="0">
                <a:pos x="connsiteX937" y="connsiteY937"/>
              </a:cxn>
              <a:cxn ang="0">
                <a:pos x="connsiteX938" y="connsiteY938"/>
              </a:cxn>
              <a:cxn ang="0">
                <a:pos x="connsiteX939" y="connsiteY939"/>
              </a:cxn>
              <a:cxn ang="0">
                <a:pos x="connsiteX940" y="connsiteY940"/>
              </a:cxn>
              <a:cxn ang="0">
                <a:pos x="connsiteX941" y="connsiteY941"/>
              </a:cxn>
              <a:cxn ang="0">
                <a:pos x="connsiteX942" y="connsiteY942"/>
              </a:cxn>
              <a:cxn ang="0">
                <a:pos x="connsiteX943" y="connsiteY943"/>
              </a:cxn>
              <a:cxn ang="0">
                <a:pos x="connsiteX944" y="connsiteY944"/>
              </a:cxn>
              <a:cxn ang="0">
                <a:pos x="connsiteX945" y="connsiteY945"/>
              </a:cxn>
              <a:cxn ang="0">
                <a:pos x="connsiteX946" y="connsiteY946"/>
              </a:cxn>
              <a:cxn ang="0">
                <a:pos x="connsiteX947" y="connsiteY947"/>
              </a:cxn>
              <a:cxn ang="0">
                <a:pos x="connsiteX948" y="connsiteY948"/>
              </a:cxn>
              <a:cxn ang="0">
                <a:pos x="connsiteX949" y="connsiteY949"/>
              </a:cxn>
              <a:cxn ang="0">
                <a:pos x="connsiteX950" y="connsiteY950"/>
              </a:cxn>
              <a:cxn ang="0">
                <a:pos x="connsiteX951" y="connsiteY951"/>
              </a:cxn>
              <a:cxn ang="0">
                <a:pos x="connsiteX952" y="connsiteY952"/>
              </a:cxn>
              <a:cxn ang="0">
                <a:pos x="connsiteX953" y="connsiteY953"/>
              </a:cxn>
              <a:cxn ang="0">
                <a:pos x="connsiteX954" y="connsiteY954"/>
              </a:cxn>
              <a:cxn ang="0">
                <a:pos x="connsiteX955" y="connsiteY955"/>
              </a:cxn>
              <a:cxn ang="0">
                <a:pos x="connsiteX956" y="connsiteY956"/>
              </a:cxn>
              <a:cxn ang="0">
                <a:pos x="connsiteX957" y="connsiteY957"/>
              </a:cxn>
              <a:cxn ang="0">
                <a:pos x="connsiteX958" y="connsiteY958"/>
              </a:cxn>
              <a:cxn ang="0">
                <a:pos x="connsiteX959" y="connsiteY959"/>
              </a:cxn>
              <a:cxn ang="0">
                <a:pos x="connsiteX960" y="connsiteY960"/>
              </a:cxn>
              <a:cxn ang="0">
                <a:pos x="connsiteX961" y="connsiteY961"/>
              </a:cxn>
              <a:cxn ang="0">
                <a:pos x="connsiteX962" y="connsiteY962"/>
              </a:cxn>
              <a:cxn ang="0">
                <a:pos x="connsiteX963" y="connsiteY963"/>
              </a:cxn>
              <a:cxn ang="0">
                <a:pos x="connsiteX964" y="connsiteY964"/>
              </a:cxn>
              <a:cxn ang="0">
                <a:pos x="connsiteX965" y="connsiteY965"/>
              </a:cxn>
              <a:cxn ang="0">
                <a:pos x="connsiteX966" y="connsiteY966"/>
              </a:cxn>
              <a:cxn ang="0">
                <a:pos x="connsiteX967" y="connsiteY967"/>
              </a:cxn>
              <a:cxn ang="0">
                <a:pos x="connsiteX968" y="connsiteY968"/>
              </a:cxn>
              <a:cxn ang="0">
                <a:pos x="connsiteX969" y="connsiteY969"/>
              </a:cxn>
              <a:cxn ang="0">
                <a:pos x="connsiteX970" y="connsiteY970"/>
              </a:cxn>
              <a:cxn ang="0">
                <a:pos x="connsiteX971" y="connsiteY971"/>
              </a:cxn>
              <a:cxn ang="0">
                <a:pos x="connsiteX972" y="connsiteY972"/>
              </a:cxn>
              <a:cxn ang="0">
                <a:pos x="connsiteX973" y="connsiteY973"/>
              </a:cxn>
              <a:cxn ang="0">
                <a:pos x="connsiteX974" y="connsiteY974"/>
              </a:cxn>
              <a:cxn ang="0">
                <a:pos x="connsiteX975" y="connsiteY975"/>
              </a:cxn>
              <a:cxn ang="0">
                <a:pos x="connsiteX976" y="connsiteY976"/>
              </a:cxn>
              <a:cxn ang="0">
                <a:pos x="connsiteX977" y="connsiteY977"/>
              </a:cxn>
              <a:cxn ang="0">
                <a:pos x="connsiteX978" y="connsiteY978"/>
              </a:cxn>
              <a:cxn ang="0">
                <a:pos x="connsiteX979" y="connsiteY979"/>
              </a:cxn>
              <a:cxn ang="0">
                <a:pos x="connsiteX980" y="connsiteY980"/>
              </a:cxn>
              <a:cxn ang="0">
                <a:pos x="connsiteX981" y="connsiteY981"/>
              </a:cxn>
              <a:cxn ang="0">
                <a:pos x="connsiteX982" y="connsiteY982"/>
              </a:cxn>
              <a:cxn ang="0">
                <a:pos x="connsiteX983" y="connsiteY983"/>
              </a:cxn>
              <a:cxn ang="0">
                <a:pos x="connsiteX984" y="connsiteY984"/>
              </a:cxn>
              <a:cxn ang="0">
                <a:pos x="connsiteX985" y="connsiteY985"/>
              </a:cxn>
              <a:cxn ang="0">
                <a:pos x="connsiteX986" y="connsiteY986"/>
              </a:cxn>
              <a:cxn ang="0">
                <a:pos x="connsiteX987" y="connsiteY987"/>
              </a:cxn>
              <a:cxn ang="0">
                <a:pos x="connsiteX988" y="connsiteY988"/>
              </a:cxn>
              <a:cxn ang="0">
                <a:pos x="connsiteX989" y="connsiteY989"/>
              </a:cxn>
              <a:cxn ang="0">
                <a:pos x="connsiteX990" y="connsiteY990"/>
              </a:cxn>
              <a:cxn ang="0">
                <a:pos x="connsiteX991" y="connsiteY991"/>
              </a:cxn>
              <a:cxn ang="0">
                <a:pos x="connsiteX992" y="connsiteY992"/>
              </a:cxn>
              <a:cxn ang="0">
                <a:pos x="connsiteX993" y="connsiteY993"/>
              </a:cxn>
              <a:cxn ang="0">
                <a:pos x="connsiteX994" y="connsiteY994"/>
              </a:cxn>
              <a:cxn ang="0">
                <a:pos x="connsiteX995" y="connsiteY995"/>
              </a:cxn>
              <a:cxn ang="0">
                <a:pos x="connsiteX996" y="connsiteY996"/>
              </a:cxn>
              <a:cxn ang="0">
                <a:pos x="connsiteX997" y="connsiteY997"/>
              </a:cxn>
              <a:cxn ang="0">
                <a:pos x="connsiteX998" y="connsiteY998"/>
              </a:cxn>
              <a:cxn ang="0">
                <a:pos x="connsiteX999" y="connsiteY999"/>
              </a:cxn>
              <a:cxn ang="0">
                <a:pos x="connsiteX1000" y="connsiteY1000"/>
              </a:cxn>
              <a:cxn ang="0">
                <a:pos x="connsiteX1001" y="connsiteY1001"/>
              </a:cxn>
              <a:cxn ang="0">
                <a:pos x="connsiteX1002" y="connsiteY1002"/>
              </a:cxn>
              <a:cxn ang="0">
                <a:pos x="connsiteX1003" y="connsiteY1003"/>
              </a:cxn>
              <a:cxn ang="0">
                <a:pos x="connsiteX1004" y="connsiteY1004"/>
              </a:cxn>
              <a:cxn ang="0">
                <a:pos x="connsiteX1005" y="connsiteY1005"/>
              </a:cxn>
              <a:cxn ang="0">
                <a:pos x="connsiteX1006" y="connsiteY1006"/>
              </a:cxn>
              <a:cxn ang="0">
                <a:pos x="connsiteX1007" y="connsiteY1007"/>
              </a:cxn>
              <a:cxn ang="0">
                <a:pos x="connsiteX1008" y="connsiteY1008"/>
              </a:cxn>
              <a:cxn ang="0">
                <a:pos x="connsiteX1009" y="connsiteY1009"/>
              </a:cxn>
              <a:cxn ang="0">
                <a:pos x="connsiteX1010" y="connsiteY1010"/>
              </a:cxn>
              <a:cxn ang="0">
                <a:pos x="connsiteX1011" y="connsiteY1011"/>
              </a:cxn>
              <a:cxn ang="0">
                <a:pos x="connsiteX1012" y="connsiteY1012"/>
              </a:cxn>
              <a:cxn ang="0">
                <a:pos x="connsiteX1013" y="connsiteY1013"/>
              </a:cxn>
              <a:cxn ang="0">
                <a:pos x="connsiteX1014" y="connsiteY1014"/>
              </a:cxn>
              <a:cxn ang="0">
                <a:pos x="connsiteX1015" y="connsiteY1015"/>
              </a:cxn>
              <a:cxn ang="0">
                <a:pos x="connsiteX1016" y="connsiteY1016"/>
              </a:cxn>
              <a:cxn ang="0">
                <a:pos x="connsiteX1017" y="connsiteY1017"/>
              </a:cxn>
              <a:cxn ang="0">
                <a:pos x="connsiteX1018" y="connsiteY1018"/>
              </a:cxn>
              <a:cxn ang="0">
                <a:pos x="connsiteX1019" y="connsiteY1019"/>
              </a:cxn>
              <a:cxn ang="0">
                <a:pos x="connsiteX1020" y="connsiteY1020"/>
              </a:cxn>
              <a:cxn ang="0">
                <a:pos x="connsiteX1021" y="connsiteY1021"/>
              </a:cxn>
              <a:cxn ang="0">
                <a:pos x="connsiteX1022" y="connsiteY1022"/>
              </a:cxn>
              <a:cxn ang="0">
                <a:pos x="connsiteX1023" y="connsiteY1023"/>
              </a:cxn>
              <a:cxn ang="0">
                <a:pos x="connsiteX1024" y="connsiteY1024"/>
              </a:cxn>
              <a:cxn ang="0">
                <a:pos x="connsiteX1025" y="connsiteY1025"/>
              </a:cxn>
              <a:cxn ang="0">
                <a:pos x="connsiteX1026" y="connsiteY1026"/>
              </a:cxn>
              <a:cxn ang="0">
                <a:pos x="connsiteX1027" y="connsiteY1027"/>
              </a:cxn>
              <a:cxn ang="0">
                <a:pos x="connsiteX1028" y="connsiteY1028"/>
              </a:cxn>
              <a:cxn ang="0">
                <a:pos x="connsiteX1029" y="connsiteY1029"/>
              </a:cxn>
              <a:cxn ang="0">
                <a:pos x="connsiteX1030" y="connsiteY1030"/>
              </a:cxn>
              <a:cxn ang="0">
                <a:pos x="connsiteX1031" y="connsiteY1031"/>
              </a:cxn>
              <a:cxn ang="0">
                <a:pos x="connsiteX1032" y="connsiteY1032"/>
              </a:cxn>
              <a:cxn ang="0">
                <a:pos x="connsiteX1033" y="connsiteY1033"/>
              </a:cxn>
              <a:cxn ang="0">
                <a:pos x="connsiteX1034" y="connsiteY1034"/>
              </a:cxn>
              <a:cxn ang="0">
                <a:pos x="connsiteX1035" y="connsiteY1035"/>
              </a:cxn>
              <a:cxn ang="0">
                <a:pos x="connsiteX1036" y="connsiteY1036"/>
              </a:cxn>
              <a:cxn ang="0">
                <a:pos x="connsiteX1037" y="connsiteY1037"/>
              </a:cxn>
              <a:cxn ang="0">
                <a:pos x="connsiteX1038" y="connsiteY1038"/>
              </a:cxn>
              <a:cxn ang="0">
                <a:pos x="connsiteX1039" y="connsiteY1039"/>
              </a:cxn>
              <a:cxn ang="0">
                <a:pos x="connsiteX1040" y="connsiteY1040"/>
              </a:cxn>
              <a:cxn ang="0">
                <a:pos x="connsiteX1041" y="connsiteY1041"/>
              </a:cxn>
              <a:cxn ang="0">
                <a:pos x="connsiteX1042" y="connsiteY1042"/>
              </a:cxn>
              <a:cxn ang="0">
                <a:pos x="connsiteX1043" y="connsiteY1043"/>
              </a:cxn>
              <a:cxn ang="0">
                <a:pos x="connsiteX1044" y="connsiteY1044"/>
              </a:cxn>
              <a:cxn ang="0">
                <a:pos x="connsiteX1045" y="connsiteY1045"/>
              </a:cxn>
              <a:cxn ang="0">
                <a:pos x="connsiteX1046" y="connsiteY1046"/>
              </a:cxn>
              <a:cxn ang="0">
                <a:pos x="connsiteX1047" y="connsiteY1047"/>
              </a:cxn>
              <a:cxn ang="0">
                <a:pos x="connsiteX1048" y="connsiteY1048"/>
              </a:cxn>
              <a:cxn ang="0">
                <a:pos x="connsiteX1049" y="connsiteY1049"/>
              </a:cxn>
              <a:cxn ang="0">
                <a:pos x="connsiteX1050" y="connsiteY1050"/>
              </a:cxn>
              <a:cxn ang="0">
                <a:pos x="connsiteX1051" y="connsiteY1051"/>
              </a:cxn>
              <a:cxn ang="0">
                <a:pos x="connsiteX1052" y="connsiteY1052"/>
              </a:cxn>
              <a:cxn ang="0">
                <a:pos x="connsiteX1053" y="connsiteY1053"/>
              </a:cxn>
              <a:cxn ang="0">
                <a:pos x="connsiteX1054" y="connsiteY1054"/>
              </a:cxn>
              <a:cxn ang="0">
                <a:pos x="connsiteX1055" y="connsiteY1055"/>
              </a:cxn>
              <a:cxn ang="0">
                <a:pos x="connsiteX1056" y="connsiteY1056"/>
              </a:cxn>
              <a:cxn ang="0">
                <a:pos x="connsiteX1057" y="connsiteY1057"/>
              </a:cxn>
              <a:cxn ang="0">
                <a:pos x="connsiteX1058" y="connsiteY1058"/>
              </a:cxn>
              <a:cxn ang="0">
                <a:pos x="connsiteX1059" y="connsiteY1059"/>
              </a:cxn>
              <a:cxn ang="0">
                <a:pos x="connsiteX1060" y="connsiteY1060"/>
              </a:cxn>
              <a:cxn ang="0">
                <a:pos x="connsiteX1061" y="connsiteY1061"/>
              </a:cxn>
              <a:cxn ang="0">
                <a:pos x="connsiteX1062" y="connsiteY1062"/>
              </a:cxn>
              <a:cxn ang="0">
                <a:pos x="connsiteX1063" y="connsiteY1063"/>
              </a:cxn>
              <a:cxn ang="0">
                <a:pos x="connsiteX1064" y="connsiteY1064"/>
              </a:cxn>
              <a:cxn ang="0">
                <a:pos x="connsiteX1065" y="connsiteY1065"/>
              </a:cxn>
              <a:cxn ang="0">
                <a:pos x="connsiteX1066" y="connsiteY1066"/>
              </a:cxn>
              <a:cxn ang="0">
                <a:pos x="connsiteX1067" y="connsiteY1067"/>
              </a:cxn>
              <a:cxn ang="0">
                <a:pos x="connsiteX1068" y="connsiteY1068"/>
              </a:cxn>
              <a:cxn ang="0">
                <a:pos x="connsiteX1069" y="connsiteY1069"/>
              </a:cxn>
              <a:cxn ang="0">
                <a:pos x="connsiteX1070" y="connsiteY1070"/>
              </a:cxn>
              <a:cxn ang="0">
                <a:pos x="connsiteX1071" y="connsiteY1071"/>
              </a:cxn>
              <a:cxn ang="0">
                <a:pos x="connsiteX1072" y="connsiteY1072"/>
              </a:cxn>
              <a:cxn ang="0">
                <a:pos x="connsiteX1073" y="connsiteY1073"/>
              </a:cxn>
              <a:cxn ang="0">
                <a:pos x="connsiteX1074" y="connsiteY1074"/>
              </a:cxn>
              <a:cxn ang="0">
                <a:pos x="connsiteX1075" y="connsiteY1075"/>
              </a:cxn>
              <a:cxn ang="0">
                <a:pos x="connsiteX1076" y="connsiteY1076"/>
              </a:cxn>
              <a:cxn ang="0">
                <a:pos x="connsiteX1077" y="connsiteY1077"/>
              </a:cxn>
              <a:cxn ang="0">
                <a:pos x="connsiteX1078" y="connsiteY1078"/>
              </a:cxn>
              <a:cxn ang="0">
                <a:pos x="connsiteX1079" y="connsiteY1079"/>
              </a:cxn>
              <a:cxn ang="0">
                <a:pos x="connsiteX1080" y="connsiteY1080"/>
              </a:cxn>
              <a:cxn ang="0">
                <a:pos x="connsiteX1081" y="connsiteY1081"/>
              </a:cxn>
              <a:cxn ang="0">
                <a:pos x="connsiteX1082" y="connsiteY1082"/>
              </a:cxn>
              <a:cxn ang="0">
                <a:pos x="connsiteX1083" y="connsiteY1083"/>
              </a:cxn>
              <a:cxn ang="0">
                <a:pos x="connsiteX1084" y="connsiteY1084"/>
              </a:cxn>
              <a:cxn ang="0">
                <a:pos x="connsiteX1085" y="connsiteY1085"/>
              </a:cxn>
              <a:cxn ang="0">
                <a:pos x="connsiteX1086" y="connsiteY1086"/>
              </a:cxn>
              <a:cxn ang="0">
                <a:pos x="connsiteX1087" y="connsiteY1087"/>
              </a:cxn>
              <a:cxn ang="0">
                <a:pos x="connsiteX1088" y="connsiteY1088"/>
              </a:cxn>
              <a:cxn ang="0">
                <a:pos x="connsiteX1089" y="connsiteY1089"/>
              </a:cxn>
              <a:cxn ang="0">
                <a:pos x="connsiteX1090" y="connsiteY1090"/>
              </a:cxn>
              <a:cxn ang="0">
                <a:pos x="connsiteX1091" y="connsiteY1091"/>
              </a:cxn>
              <a:cxn ang="0">
                <a:pos x="connsiteX1092" y="connsiteY1092"/>
              </a:cxn>
              <a:cxn ang="0">
                <a:pos x="connsiteX1093" y="connsiteY1093"/>
              </a:cxn>
              <a:cxn ang="0">
                <a:pos x="connsiteX1094" y="connsiteY1094"/>
              </a:cxn>
              <a:cxn ang="0">
                <a:pos x="connsiteX1095" y="connsiteY1095"/>
              </a:cxn>
              <a:cxn ang="0">
                <a:pos x="connsiteX1096" y="connsiteY1096"/>
              </a:cxn>
              <a:cxn ang="0">
                <a:pos x="connsiteX1097" y="connsiteY1097"/>
              </a:cxn>
              <a:cxn ang="0">
                <a:pos x="connsiteX1098" y="connsiteY1098"/>
              </a:cxn>
              <a:cxn ang="0">
                <a:pos x="connsiteX1099" y="connsiteY1099"/>
              </a:cxn>
              <a:cxn ang="0">
                <a:pos x="connsiteX1100" y="connsiteY1100"/>
              </a:cxn>
              <a:cxn ang="0">
                <a:pos x="connsiteX1101" y="connsiteY1101"/>
              </a:cxn>
              <a:cxn ang="0">
                <a:pos x="connsiteX1102" y="connsiteY1102"/>
              </a:cxn>
              <a:cxn ang="0">
                <a:pos x="connsiteX1103" y="connsiteY1103"/>
              </a:cxn>
              <a:cxn ang="0">
                <a:pos x="connsiteX1104" y="connsiteY1104"/>
              </a:cxn>
              <a:cxn ang="0">
                <a:pos x="connsiteX1105" y="connsiteY1105"/>
              </a:cxn>
              <a:cxn ang="0">
                <a:pos x="connsiteX1106" y="connsiteY1106"/>
              </a:cxn>
              <a:cxn ang="0">
                <a:pos x="connsiteX1107" y="connsiteY1107"/>
              </a:cxn>
              <a:cxn ang="0">
                <a:pos x="connsiteX1108" y="connsiteY1108"/>
              </a:cxn>
              <a:cxn ang="0">
                <a:pos x="connsiteX1109" y="connsiteY1109"/>
              </a:cxn>
              <a:cxn ang="0">
                <a:pos x="connsiteX1110" y="connsiteY1110"/>
              </a:cxn>
              <a:cxn ang="0">
                <a:pos x="connsiteX1111" y="connsiteY1111"/>
              </a:cxn>
              <a:cxn ang="0">
                <a:pos x="connsiteX1112" y="connsiteY1112"/>
              </a:cxn>
              <a:cxn ang="0">
                <a:pos x="connsiteX1113" y="connsiteY1113"/>
              </a:cxn>
              <a:cxn ang="0">
                <a:pos x="connsiteX1114" y="connsiteY1114"/>
              </a:cxn>
              <a:cxn ang="0">
                <a:pos x="connsiteX1115" y="connsiteY1115"/>
              </a:cxn>
              <a:cxn ang="0">
                <a:pos x="connsiteX1116" y="connsiteY1116"/>
              </a:cxn>
              <a:cxn ang="0">
                <a:pos x="connsiteX1117" y="connsiteY1117"/>
              </a:cxn>
              <a:cxn ang="0">
                <a:pos x="connsiteX1118" y="connsiteY1118"/>
              </a:cxn>
              <a:cxn ang="0">
                <a:pos x="connsiteX1119" y="connsiteY1119"/>
              </a:cxn>
              <a:cxn ang="0">
                <a:pos x="connsiteX1120" y="connsiteY1120"/>
              </a:cxn>
              <a:cxn ang="0">
                <a:pos x="connsiteX1121" y="connsiteY1121"/>
              </a:cxn>
              <a:cxn ang="0">
                <a:pos x="connsiteX1122" y="connsiteY1122"/>
              </a:cxn>
              <a:cxn ang="0">
                <a:pos x="connsiteX1123" y="connsiteY1123"/>
              </a:cxn>
              <a:cxn ang="0">
                <a:pos x="connsiteX1124" y="connsiteY1124"/>
              </a:cxn>
              <a:cxn ang="0">
                <a:pos x="connsiteX1125" y="connsiteY1125"/>
              </a:cxn>
              <a:cxn ang="0">
                <a:pos x="connsiteX1126" y="connsiteY1126"/>
              </a:cxn>
              <a:cxn ang="0">
                <a:pos x="connsiteX1127" y="connsiteY1127"/>
              </a:cxn>
              <a:cxn ang="0">
                <a:pos x="connsiteX1128" y="connsiteY1128"/>
              </a:cxn>
              <a:cxn ang="0">
                <a:pos x="connsiteX1129" y="connsiteY1129"/>
              </a:cxn>
              <a:cxn ang="0">
                <a:pos x="connsiteX1130" y="connsiteY1130"/>
              </a:cxn>
              <a:cxn ang="0">
                <a:pos x="connsiteX1131" y="connsiteY1131"/>
              </a:cxn>
              <a:cxn ang="0">
                <a:pos x="connsiteX1132" y="connsiteY1132"/>
              </a:cxn>
              <a:cxn ang="0">
                <a:pos x="connsiteX1133" y="connsiteY1133"/>
              </a:cxn>
              <a:cxn ang="0">
                <a:pos x="connsiteX1134" y="connsiteY1134"/>
              </a:cxn>
              <a:cxn ang="0">
                <a:pos x="connsiteX1135" y="connsiteY1135"/>
              </a:cxn>
              <a:cxn ang="0">
                <a:pos x="connsiteX1136" y="connsiteY1136"/>
              </a:cxn>
              <a:cxn ang="0">
                <a:pos x="connsiteX1137" y="connsiteY1137"/>
              </a:cxn>
              <a:cxn ang="0">
                <a:pos x="connsiteX1138" y="connsiteY1138"/>
              </a:cxn>
              <a:cxn ang="0">
                <a:pos x="connsiteX1139" y="connsiteY1139"/>
              </a:cxn>
              <a:cxn ang="0">
                <a:pos x="connsiteX1140" y="connsiteY1140"/>
              </a:cxn>
              <a:cxn ang="0">
                <a:pos x="connsiteX1141" y="connsiteY1141"/>
              </a:cxn>
              <a:cxn ang="0">
                <a:pos x="connsiteX1142" y="connsiteY1142"/>
              </a:cxn>
              <a:cxn ang="0">
                <a:pos x="connsiteX1143" y="connsiteY1143"/>
              </a:cxn>
              <a:cxn ang="0">
                <a:pos x="connsiteX1144" y="connsiteY1144"/>
              </a:cxn>
              <a:cxn ang="0">
                <a:pos x="connsiteX1145" y="connsiteY1145"/>
              </a:cxn>
              <a:cxn ang="0">
                <a:pos x="connsiteX1146" y="connsiteY1146"/>
              </a:cxn>
              <a:cxn ang="0">
                <a:pos x="connsiteX1147" y="connsiteY1147"/>
              </a:cxn>
              <a:cxn ang="0">
                <a:pos x="connsiteX1148" y="connsiteY1148"/>
              </a:cxn>
              <a:cxn ang="0">
                <a:pos x="connsiteX1149" y="connsiteY1149"/>
              </a:cxn>
              <a:cxn ang="0">
                <a:pos x="connsiteX1150" y="connsiteY1150"/>
              </a:cxn>
              <a:cxn ang="0">
                <a:pos x="connsiteX1151" y="connsiteY1151"/>
              </a:cxn>
              <a:cxn ang="0">
                <a:pos x="connsiteX1152" y="connsiteY1152"/>
              </a:cxn>
              <a:cxn ang="0">
                <a:pos x="connsiteX1153" y="connsiteY1153"/>
              </a:cxn>
              <a:cxn ang="0">
                <a:pos x="connsiteX1154" y="connsiteY1154"/>
              </a:cxn>
              <a:cxn ang="0">
                <a:pos x="connsiteX1155" y="connsiteY1155"/>
              </a:cxn>
              <a:cxn ang="0">
                <a:pos x="connsiteX1156" y="connsiteY1156"/>
              </a:cxn>
              <a:cxn ang="0">
                <a:pos x="connsiteX1157" y="connsiteY1157"/>
              </a:cxn>
              <a:cxn ang="0">
                <a:pos x="connsiteX1158" y="connsiteY1158"/>
              </a:cxn>
              <a:cxn ang="0">
                <a:pos x="connsiteX1159" y="connsiteY1159"/>
              </a:cxn>
              <a:cxn ang="0">
                <a:pos x="connsiteX1160" y="connsiteY1160"/>
              </a:cxn>
              <a:cxn ang="0">
                <a:pos x="connsiteX1161" y="connsiteY1161"/>
              </a:cxn>
              <a:cxn ang="0">
                <a:pos x="connsiteX1162" y="connsiteY1162"/>
              </a:cxn>
              <a:cxn ang="0">
                <a:pos x="connsiteX1163" y="connsiteY1163"/>
              </a:cxn>
              <a:cxn ang="0">
                <a:pos x="connsiteX1164" y="connsiteY1164"/>
              </a:cxn>
              <a:cxn ang="0">
                <a:pos x="connsiteX1165" y="connsiteY1165"/>
              </a:cxn>
              <a:cxn ang="0">
                <a:pos x="connsiteX1166" y="connsiteY1166"/>
              </a:cxn>
              <a:cxn ang="0">
                <a:pos x="connsiteX1167" y="connsiteY1167"/>
              </a:cxn>
              <a:cxn ang="0">
                <a:pos x="connsiteX1168" y="connsiteY1168"/>
              </a:cxn>
              <a:cxn ang="0">
                <a:pos x="connsiteX1169" y="connsiteY1169"/>
              </a:cxn>
              <a:cxn ang="0">
                <a:pos x="connsiteX1170" y="connsiteY1170"/>
              </a:cxn>
              <a:cxn ang="0">
                <a:pos x="connsiteX1171" y="connsiteY1171"/>
              </a:cxn>
              <a:cxn ang="0">
                <a:pos x="connsiteX1172" y="connsiteY1172"/>
              </a:cxn>
              <a:cxn ang="0">
                <a:pos x="connsiteX1173" y="connsiteY1173"/>
              </a:cxn>
              <a:cxn ang="0">
                <a:pos x="connsiteX1174" y="connsiteY1174"/>
              </a:cxn>
              <a:cxn ang="0">
                <a:pos x="connsiteX1175" y="connsiteY1175"/>
              </a:cxn>
              <a:cxn ang="0">
                <a:pos x="connsiteX1176" y="connsiteY1176"/>
              </a:cxn>
              <a:cxn ang="0">
                <a:pos x="connsiteX1177" y="connsiteY1177"/>
              </a:cxn>
              <a:cxn ang="0">
                <a:pos x="connsiteX1178" y="connsiteY1178"/>
              </a:cxn>
              <a:cxn ang="0">
                <a:pos x="connsiteX1179" y="connsiteY1179"/>
              </a:cxn>
              <a:cxn ang="0">
                <a:pos x="connsiteX1180" y="connsiteY1180"/>
              </a:cxn>
              <a:cxn ang="0">
                <a:pos x="connsiteX1181" y="connsiteY1181"/>
              </a:cxn>
              <a:cxn ang="0">
                <a:pos x="connsiteX1182" y="connsiteY1182"/>
              </a:cxn>
              <a:cxn ang="0">
                <a:pos x="connsiteX1183" y="connsiteY1183"/>
              </a:cxn>
              <a:cxn ang="0">
                <a:pos x="connsiteX1184" y="connsiteY1184"/>
              </a:cxn>
              <a:cxn ang="0">
                <a:pos x="connsiteX1185" y="connsiteY1185"/>
              </a:cxn>
              <a:cxn ang="0">
                <a:pos x="connsiteX1186" y="connsiteY1186"/>
              </a:cxn>
              <a:cxn ang="0">
                <a:pos x="connsiteX1187" y="connsiteY1187"/>
              </a:cxn>
              <a:cxn ang="0">
                <a:pos x="connsiteX1188" y="connsiteY1188"/>
              </a:cxn>
              <a:cxn ang="0">
                <a:pos x="connsiteX1189" y="connsiteY1189"/>
              </a:cxn>
              <a:cxn ang="0">
                <a:pos x="connsiteX1190" y="connsiteY1190"/>
              </a:cxn>
              <a:cxn ang="0">
                <a:pos x="connsiteX1191" y="connsiteY1191"/>
              </a:cxn>
              <a:cxn ang="0">
                <a:pos x="connsiteX1192" y="connsiteY1192"/>
              </a:cxn>
              <a:cxn ang="0">
                <a:pos x="connsiteX1193" y="connsiteY1193"/>
              </a:cxn>
              <a:cxn ang="0">
                <a:pos x="connsiteX1194" y="connsiteY1194"/>
              </a:cxn>
              <a:cxn ang="0">
                <a:pos x="connsiteX1195" y="connsiteY1195"/>
              </a:cxn>
              <a:cxn ang="0">
                <a:pos x="connsiteX1196" y="connsiteY1196"/>
              </a:cxn>
              <a:cxn ang="0">
                <a:pos x="connsiteX1197" y="connsiteY1197"/>
              </a:cxn>
              <a:cxn ang="0">
                <a:pos x="connsiteX1198" y="connsiteY1198"/>
              </a:cxn>
              <a:cxn ang="0">
                <a:pos x="connsiteX1199" y="connsiteY1199"/>
              </a:cxn>
              <a:cxn ang="0">
                <a:pos x="connsiteX1200" y="connsiteY1200"/>
              </a:cxn>
              <a:cxn ang="0">
                <a:pos x="connsiteX1201" y="connsiteY1201"/>
              </a:cxn>
              <a:cxn ang="0">
                <a:pos x="connsiteX1202" y="connsiteY1202"/>
              </a:cxn>
              <a:cxn ang="0">
                <a:pos x="connsiteX1203" y="connsiteY1203"/>
              </a:cxn>
              <a:cxn ang="0">
                <a:pos x="connsiteX1204" y="connsiteY1204"/>
              </a:cxn>
              <a:cxn ang="0">
                <a:pos x="connsiteX1205" y="connsiteY1205"/>
              </a:cxn>
              <a:cxn ang="0">
                <a:pos x="connsiteX1206" y="connsiteY1206"/>
              </a:cxn>
              <a:cxn ang="0">
                <a:pos x="connsiteX1207" y="connsiteY1207"/>
              </a:cxn>
              <a:cxn ang="0">
                <a:pos x="connsiteX1208" y="connsiteY1208"/>
              </a:cxn>
              <a:cxn ang="0">
                <a:pos x="connsiteX1209" y="connsiteY1209"/>
              </a:cxn>
              <a:cxn ang="0">
                <a:pos x="connsiteX1210" y="connsiteY1210"/>
              </a:cxn>
              <a:cxn ang="0">
                <a:pos x="connsiteX1211" y="connsiteY1211"/>
              </a:cxn>
              <a:cxn ang="0">
                <a:pos x="connsiteX1212" y="connsiteY1212"/>
              </a:cxn>
              <a:cxn ang="0">
                <a:pos x="connsiteX1213" y="connsiteY1213"/>
              </a:cxn>
              <a:cxn ang="0">
                <a:pos x="connsiteX1214" y="connsiteY1214"/>
              </a:cxn>
              <a:cxn ang="0">
                <a:pos x="connsiteX1215" y="connsiteY1215"/>
              </a:cxn>
              <a:cxn ang="0">
                <a:pos x="connsiteX1216" y="connsiteY1216"/>
              </a:cxn>
              <a:cxn ang="0">
                <a:pos x="connsiteX1217" y="connsiteY1217"/>
              </a:cxn>
              <a:cxn ang="0">
                <a:pos x="connsiteX1218" y="connsiteY1218"/>
              </a:cxn>
              <a:cxn ang="0">
                <a:pos x="connsiteX1219" y="connsiteY1219"/>
              </a:cxn>
              <a:cxn ang="0">
                <a:pos x="connsiteX1220" y="connsiteY1220"/>
              </a:cxn>
              <a:cxn ang="0">
                <a:pos x="connsiteX1221" y="connsiteY1221"/>
              </a:cxn>
              <a:cxn ang="0">
                <a:pos x="connsiteX1222" y="connsiteY1222"/>
              </a:cxn>
              <a:cxn ang="0">
                <a:pos x="connsiteX1223" y="connsiteY1223"/>
              </a:cxn>
              <a:cxn ang="0">
                <a:pos x="connsiteX1224" y="connsiteY1224"/>
              </a:cxn>
              <a:cxn ang="0">
                <a:pos x="connsiteX1225" y="connsiteY1225"/>
              </a:cxn>
              <a:cxn ang="0">
                <a:pos x="connsiteX1226" y="connsiteY1226"/>
              </a:cxn>
              <a:cxn ang="0">
                <a:pos x="connsiteX1227" y="connsiteY1227"/>
              </a:cxn>
              <a:cxn ang="0">
                <a:pos x="connsiteX1228" y="connsiteY1228"/>
              </a:cxn>
              <a:cxn ang="0">
                <a:pos x="connsiteX1229" y="connsiteY1229"/>
              </a:cxn>
              <a:cxn ang="0">
                <a:pos x="connsiteX1230" y="connsiteY1230"/>
              </a:cxn>
              <a:cxn ang="0">
                <a:pos x="connsiteX1231" y="connsiteY1231"/>
              </a:cxn>
              <a:cxn ang="0">
                <a:pos x="connsiteX1232" y="connsiteY1232"/>
              </a:cxn>
              <a:cxn ang="0">
                <a:pos x="connsiteX1233" y="connsiteY1233"/>
              </a:cxn>
              <a:cxn ang="0">
                <a:pos x="connsiteX1234" y="connsiteY1234"/>
              </a:cxn>
              <a:cxn ang="0">
                <a:pos x="connsiteX1235" y="connsiteY1235"/>
              </a:cxn>
              <a:cxn ang="0">
                <a:pos x="connsiteX1236" y="connsiteY1236"/>
              </a:cxn>
              <a:cxn ang="0">
                <a:pos x="connsiteX1237" y="connsiteY1237"/>
              </a:cxn>
              <a:cxn ang="0">
                <a:pos x="connsiteX1238" y="connsiteY1238"/>
              </a:cxn>
              <a:cxn ang="0">
                <a:pos x="connsiteX1239" y="connsiteY1239"/>
              </a:cxn>
              <a:cxn ang="0">
                <a:pos x="connsiteX1240" y="connsiteY1240"/>
              </a:cxn>
              <a:cxn ang="0">
                <a:pos x="connsiteX1241" y="connsiteY1241"/>
              </a:cxn>
              <a:cxn ang="0">
                <a:pos x="connsiteX1242" y="connsiteY1242"/>
              </a:cxn>
              <a:cxn ang="0">
                <a:pos x="connsiteX1243" y="connsiteY1243"/>
              </a:cxn>
              <a:cxn ang="0">
                <a:pos x="connsiteX1244" y="connsiteY1244"/>
              </a:cxn>
              <a:cxn ang="0">
                <a:pos x="connsiteX1245" y="connsiteY1245"/>
              </a:cxn>
              <a:cxn ang="0">
                <a:pos x="connsiteX1246" y="connsiteY1246"/>
              </a:cxn>
              <a:cxn ang="0">
                <a:pos x="connsiteX1247" y="connsiteY1247"/>
              </a:cxn>
              <a:cxn ang="0">
                <a:pos x="connsiteX1248" y="connsiteY1248"/>
              </a:cxn>
              <a:cxn ang="0">
                <a:pos x="connsiteX1249" y="connsiteY1249"/>
              </a:cxn>
              <a:cxn ang="0">
                <a:pos x="connsiteX1250" y="connsiteY1250"/>
              </a:cxn>
              <a:cxn ang="0">
                <a:pos x="connsiteX1251" y="connsiteY1251"/>
              </a:cxn>
              <a:cxn ang="0">
                <a:pos x="connsiteX1252" y="connsiteY1252"/>
              </a:cxn>
              <a:cxn ang="0">
                <a:pos x="connsiteX1253" y="connsiteY1253"/>
              </a:cxn>
              <a:cxn ang="0">
                <a:pos x="connsiteX1254" y="connsiteY1254"/>
              </a:cxn>
              <a:cxn ang="0">
                <a:pos x="connsiteX1255" y="connsiteY1255"/>
              </a:cxn>
              <a:cxn ang="0">
                <a:pos x="connsiteX1256" y="connsiteY1256"/>
              </a:cxn>
              <a:cxn ang="0">
                <a:pos x="connsiteX1257" y="connsiteY1257"/>
              </a:cxn>
              <a:cxn ang="0">
                <a:pos x="connsiteX1258" y="connsiteY1258"/>
              </a:cxn>
              <a:cxn ang="0">
                <a:pos x="connsiteX1259" y="connsiteY1259"/>
              </a:cxn>
              <a:cxn ang="0">
                <a:pos x="connsiteX1260" y="connsiteY1260"/>
              </a:cxn>
              <a:cxn ang="0">
                <a:pos x="connsiteX1261" y="connsiteY1261"/>
              </a:cxn>
              <a:cxn ang="0">
                <a:pos x="connsiteX1262" y="connsiteY1262"/>
              </a:cxn>
              <a:cxn ang="0">
                <a:pos x="connsiteX1263" y="connsiteY1263"/>
              </a:cxn>
              <a:cxn ang="0">
                <a:pos x="connsiteX1264" y="connsiteY1264"/>
              </a:cxn>
              <a:cxn ang="0">
                <a:pos x="connsiteX1265" y="connsiteY1265"/>
              </a:cxn>
              <a:cxn ang="0">
                <a:pos x="connsiteX1266" y="connsiteY1266"/>
              </a:cxn>
              <a:cxn ang="0">
                <a:pos x="connsiteX1267" y="connsiteY1267"/>
              </a:cxn>
              <a:cxn ang="0">
                <a:pos x="connsiteX1268" y="connsiteY1268"/>
              </a:cxn>
              <a:cxn ang="0">
                <a:pos x="connsiteX1269" y="connsiteY1269"/>
              </a:cxn>
              <a:cxn ang="0">
                <a:pos x="connsiteX1270" y="connsiteY1270"/>
              </a:cxn>
              <a:cxn ang="0">
                <a:pos x="connsiteX1271" y="connsiteY1271"/>
              </a:cxn>
              <a:cxn ang="0">
                <a:pos x="connsiteX1272" y="connsiteY1272"/>
              </a:cxn>
              <a:cxn ang="0">
                <a:pos x="connsiteX1273" y="connsiteY1273"/>
              </a:cxn>
              <a:cxn ang="0">
                <a:pos x="connsiteX1274" y="connsiteY1274"/>
              </a:cxn>
              <a:cxn ang="0">
                <a:pos x="connsiteX1275" y="connsiteY1275"/>
              </a:cxn>
              <a:cxn ang="0">
                <a:pos x="connsiteX1276" y="connsiteY1276"/>
              </a:cxn>
              <a:cxn ang="0">
                <a:pos x="connsiteX1277" y="connsiteY1277"/>
              </a:cxn>
              <a:cxn ang="0">
                <a:pos x="connsiteX1278" y="connsiteY1278"/>
              </a:cxn>
              <a:cxn ang="0">
                <a:pos x="connsiteX1279" y="connsiteY1279"/>
              </a:cxn>
              <a:cxn ang="0">
                <a:pos x="connsiteX1280" y="connsiteY1280"/>
              </a:cxn>
              <a:cxn ang="0">
                <a:pos x="connsiteX1281" y="connsiteY1281"/>
              </a:cxn>
              <a:cxn ang="0">
                <a:pos x="connsiteX1282" y="connsiteY1282"/>
              </a:cxn>
              <a:cxn ang="0">
                <a:pos x="connsiteX1283" y="connsiteY1283"/>
              </a:cxn>
              <a:cxn ang="0">
                <a:pos x="connsiteX1284" y="connsiteY1284"/>
              </a:cxn>
              <a:cxn ang="0">
                <a:pos x="connsiteX1285" y="connsiteY1285"/>
              </a:cxn>
              <a:cxn ang="0">
                <a:pos x="connsiteX1286" y="connsiteY1286"/>
              </a:cxn>
              <a:cxn ang="0">
                <a:pos x="connsiteX1287" y="connsiteY1287"/>
              </a:cxn>
              <a:cxn ang="0">
                <a:pos x="connsiteX1288" y="connsiteY1288"/>
              </a:cxn>
              <a:cxn ang="0">
                <a:pos x="connsiteX1289" y="connsiteY1289"/>
              </a:cxn>
              <a:cxn ang="0">
                <a:pos x="connsiteX1290" y="connsiteY1290"/>
              </a:cxn>
              <a:cxn ang="0">
                <a:pos x="connsiteX1291" y="connsiteY1291"/>
              </a:cxn>
              <a:cxn ang="0">
                <a:pos x="connsiteX1292" y="connsiteY1292"/>
              </a:cxn>
              <a:cxn ang="0">
                <a:pos x="connsiteX1293" y="connsiteY1293"/>
              </a:cxn>
              <a:cxn ang="0">
                <a:pos x="connsiteX1294" y="connsiteY1294"/>
              </a:cxn>
              <a:cxn ang="0">
                <a:pos x="connsiteX1295" y="connsiteY1295"/>
              </a:cxn>
              <a:cxn ang="0">
                <a:pos x="connsiteX1296" y="connsiteY1296"/>
              </a:cxn>
              <a:cxn ang="0">
                <a:pos x="connsiteX1297" y="connsiteY1297"/>
              </a:cxn>
              <a:cxn ang="0">
                <a:pos x="connsiteX1298" y="connsiteY1298"/>
              </a:cxn>
              <a:cxn ang="0">
                <a:pos x="connsiteX1299" y="connsiteY1299"/>
              </a:cxn>
              <a:cxn ang="0">
                <a:pos x="connsiteX1300" y="connsiteY1300"/>
              </a:cxn>
              <a:cxn ang="0">
                <a:pos x="connsiteX1301" y="connsiteY1301"/>
              </a:cxn>
              <a:cxn ang="0">
                <a:pos x="connsiteX1302" y="connsiteY1302"/>
              </a:cxn>
              <a:cxn ang="0">
                <a:pos x="connsiteX1303" y="connsiteY1303"/>
              </a:cxn>
              <a:cxn ang="0">
                <a:pos x="connsiteX1304" y="connsiteY1304"/>
              </a:cxn>
              <a:cxn ang="0">
                <a:pos x="connsiteX1305" y="connsiteY1305"/>
              </a:cxn>
              <a:cxn ang="0">
                <a:pos x="connsiteX1306" y="connsiteY1306"/>
              </a:cxn>
              <a:cxn ang="0">
                <a:pos x="connsiteX1307" y="connsiteY1307"/>
              </a:cxn>
              <a:cxn ang="0">
                <a:pos x="connsiteX1308" y="connsiteY1308"/>
              </a:cxn>
              <a:cxn ang="0">
                <a:pos x="connsiteX1309" y="connsiteY1309"/>
              </a:cxn>
              <a:cxn ang="0">
                <a:pos x="connsiteX1310" y="connsiteY1310"/>
              </a:cxn>
              <a:cxn ang="0">
                <a:pos x="connsiteX1311" y="connsiteY1311"/>
              </a:cxn>
              <a:cxn ang="0">
                <a:pos x="connsiteX1312" y="connsiteY1312"/>
              </a:cxn>
              <a:cxn ang="0">
                <a:pos x="connsiteX1313" y="connsiteY1313"/>
              </a:cxn>
              <a:cxn ang="0">
                <a:pos x="connsiteX1314" y="connsiteY1314"/>
              </a:cxn>
              <a:cxn ang="0">
                <a:pos x="connsiteX1315" y="connsiteY1315"/>
              </a:cxn>
              <a:cxn ang="0">
                <a:pos x="connsiteX1316" y="connsiteY1316"/>
              </a:cxn>
              <a:cxn ang="0">
                <a:pos x="connsiteX1317" y="connsiteY1317"/>
              </a:cxn>
              <a:cxn ang="0">
                <a:pos x="connsiteX1318" y="connsiteY1318"/>
              </a:cxn>
              <a:cxn ang="0">
                <a:pos x="connsiteX1319" y="connsiteY1319"/>
              </a:cxn>
              <a:cxn ang="0">
                <a:pos x="connsiteX1320" y="connsiteY1320"/>
              </a:cxn>
              <a:cxn ang="0">
                <a:pos x="connsiteX1321" y="connsiteY1321"/>
              </a:cxn>
              <a:cxn ang="0">
                <a:pos x="connsiteX1322" y="connsiteY1322"/>
              </a:cxn>
              <a:cxn ang="0">
                <a:pos x="connsiteX1323" y="connsiteY1323"/>
              </a:cxn>
              <a:cxn ang="0">
                <a:pos x="connsiteX1324" y="connsiteY1324"/>
              </a:cxn>
              <a:cxn ang="0">
                <a:pos x="connsiteX1325" y="connsiteY1325"/>
              </a:cxn>
              <a:cxn ang="0">
                <a:pos x="connsiteX1326" y="connsiteY1326"/>
              </a:cxn>
              <a:cxn ang="0">
                <a:pos x="connsiteX1327" y="connsiteY1327"/>
              </a:cxn>
              <a:cxn ang="0">
                <a:pos x="connsiteX1328" y="connsiteY1328"/>
              </a:cxn>
              <a:cxn ang="0">
                <a:pos x="connsiteX1329" y="connsiteY1329"/>
              </a:cxn>
              <a:cxn ang="0">
                <a:pos x="connsiteX1330" y="connsiteY1330"/>
              </a:cxn>
              <a:cxn ang="0">
                <a:pos x="connsiteX1331" y="connsiteY1331"/>
              </a:cxn>
              <a:cxn ang="0">
                <a:pos x="connsiteX1332" y="connsiteY1332"/>
              </a:cxn>
              <a:cxn ang="0">
                <a:pos x="connsiteX1333" y="connsiteY1333"/>
              </a:cxn>
              <a:cxn ang="0">
                <a:pos x="connsiteX1334" y="connsiteY1334"/>
              </a:cxn>
              <a:cxn ang="0">
                <a:pos x="connsiteX1335" y="connsiteY1335"/>
              </a:cxn>
              <a:cxn ang="0">
                <a:pos x="connsiteX1336" y="connsiteY1336"/>
              </a:cxn>
              <a:cxn ang="0">
                <a:pos x="connsiteX1337" y="connsiteY1337"/>
              </a:cxn>
              <a:cxn ang="0">
                <a:pos x="connsiteX1338" y="connsiteY1338"/>
              </a:cxn>
              <a:cxn ang="0">
                <a:pos x="connsiteX1339" y="connsiteY1339"/>
              </a:cxn>
              <a:cxn ang="0">
                <a:pos x="connsiteX1340" y="connsiteY1340"/>
              </a:cxn>
              <a:cxn ang="0">
                <a:pos x="connsiteX1341" y="connsiteY1341"/>
              </a:cxn>
              <a:cxn ang="0">
                <a:pos x="connsiteX1342" y="connsiteY1342"/>
              </a:cxn>
              <a:cxn ang="0">
                <a:pos x="connsiteX1343" y="connsiteY1343"/>
              </a:cxn>
              <a:cxn ang="0">
                <a:pos x="connsiteX1344" y="connsiteY1344"/>
              </a:cxn>
              <a:cxn ang="0">
                <a:pos x="connsiteX1345" y="connsiteY1345"/>
              </a:cxn>
              <a:cxn ang="0">
                <a:pos x="connsiteX1346" y="connsiteY1346"/>
              </a:cxn>
              <a:cxn ang="0">
                <a:pos x="connsiteX1347" y="connsiteY1347"/>
              </a:cxn>
              <a:cxn ang="0">
                <a:pos x="connsiteX1348" y="connsiteY1348"/>
              </a:cxn>
              <a:cxn ang="0">
                <a:pos x="connsiteX1349" y="connsiteY1349"/>
              </a:cxn>
              <a:cxn ang="0">
                <a:pos x="connsiteX1350" y="connsiteY1350"/>
              </a:cxn>
              <a:cxn ang="0">
                <a:pos x="connsiteX1351" y="connsiteY1351"/>
              </a:cxn>
              <a:cxn ang="0">
                <a:pos x="connsiteX1352" y="connsiteY1352"/>
              </a:cxn>
              <a:cxn ang="0">
                <a:pos x="connsiteX1353" y="connsiteY1353"/>
              </a:cxn>
              <a:cxn ang="0">
                <a:pos x="connsiteX1354" y="connsiteY1354"/>
              </a:cxn>
              <a:cxn ang="0">
                <a:pos x="connsiteX1355" y="connsiteY1355"/>
              </a:cxn>
              <a:cxn ang="0">
                <a:pos x="connsiteX1356" y="connsiteY1356"/>
              </a:cxn>
              <a:cxn ang="0">
                <a:pos x="connsiteX1357" y="connsiteY1357"/>
              </a:cxn>
              <a:cxn ang="0">
                <a:pos x="connsiteX1358" y="connsiteY1358"/>
              </a:cxn>
              <a:cxn ang="0">
                <a:pos x="connsiteX1359" y="connsiteY1359"/>
              </a:cxn>
              <a:cxn ang="0">
                <a:pos x="connsiteX1360" y="connsiteY1360"/>
              </a:cxn>
              <a:cxn ang="0">
                <a:pos x="connsiteX1361" y="connsiteY1361"/>
              </a:cxn>
              <a:cxn ang="0">
                <a:pos x="connsiteX1362" y="connsiteY1362"/>
              </a:cxn>
              <a:cxn ang="0">
                <a:pos x="connsiteX1363" y="connsiteY1363"/>
              </a:cxn>
              <a:cxn ang="0">
                <a:pos x="connsiteX1364" y="connsiteY1364"/>
              </a:cxn>
              <a:cxn ang="0">
                <a:pos x="connsiteX1365" y="connsiteY1365"/>
              </a:cxn>
              <a:cxn ang="0">
                <a:pos x="connsiteX1366" y="connsiteY1366"/>
              </a:cxn>
              <a:cxn ang="0">
                <a:pos x="connsiteX1367" y="connsiteY1367"/>
              </a:cxn>
              <a:cxn ang="0">
                <a:pos x="connsiteX1368" y="connsiteY1368"/>
              </a:cxn>
              <a:cxn ang="0">
                <a:pos x="connsiteX1369" y="connsiteY1369"/>
              </a:cxn>
              <a:cxn ang="0">
                <a:pos x="connsiteX1370" y="connsiteY1370"/>
              </a:cxn>
              <a:cxn ang="0">
                <a:pos x="connsiteX1371" y="connsiteY1371"/>
              </a:cxn>
              <a:cxn ang="0">
                <a:pos x="connsiteX1372" y="connsiteY1372"/>
              </a:cxn>
              <a:cxn ang="0">
                <a:pos x="connsiteX1373" y="connsiteY1373"/>
              </a:cxn>
              <a:cxn ang="0">
                <a:pos x="connsiteX1374" y="connsiteY1374"/>
              </a:cxn>
              <a:cxn ang="0">
                <a:pos x="connsiteX1375" y="connsiteY1375"/>
              </a:cxn>
              <a:cxn ang="0">
                <a:pos x="connsiteX1376" y="connsiteY1376"/>
              </a:cxn>
              <a:cxn ang="0">
                <a:pos x="connsiteX1377" y="connsiteY1377"/>
              </a:cxn>
              <a:cxn ang="0">
                <a:pos x="connsiteX1378" y="connsiteY1378"/>
              </a:cxn>
              <a:cxn ang="0">
                <a:pos x="connsiteX1379" y="connsiteY1379"/>
              </a:cxn>
              <a:cxn ang="0">
                <a:pos x="connsiteX1380" y="connsiteY1380"/>
              </a:cxn>
              <a:cxn ang="0">
                <a:pos x="connsiteX1381" y="connsiteY1381"/>
              </a:cxn>
              <a:cxn ang="0">
                <a:pos x="connsiteX1382" y="connsiteY1382"/>
              </a:cxn>
              <a:cxn ang="0">
                <a:pos x="connsiteX1383" y="connsiteY1383"/>
              </a:cxn>
              <a:cxn ang="0">
                <a:pos x="connsiteX1384" y="connsiteY1384"/>
              </a:cxn>
              <a:cxn ang="0">
                <a:pos x="connsiteX1385" y="connsiteY1385"/>
              </a:cxn>
              <a:cxn ang="0">
                <a:pos x="connsiteX1386" y="connsiteY1386"/>
              </a:cxn>
              <a:cxn ang="0">
                <a:pos x="connsiteX1387" y="connsiteY1387"/>
              </a:cxn>
              <a:cxn ang="0">
                <a:pos x="connsiteX1388" y="connsiteY1388"/>
              </a:cxn>
              <a:cxn ang="0">
                <a:pos x="connsiteX1389" y="connsiteY1389"/>
              </a:cxn>
              <a:cxn ang="0">
                <a:pos x="connsiteX1390" y="connsiteY1390"/>
              </a:cxn>
              <a:cxn ang="0">
                <a:pos x="connsiteX1391" y="connsiteY1391"/>
              </a:cxn>
              <a:cxn ang="0">
                <a:pos x="connsiteX1392" y="connsiteY1392"/>
              </a:cxn>
              <a:cxn ang="0">
                <a:pos x="connsiteX1393" y="connsiteY1393"/>
              </a:cxn>
              <a:cxn ang="0">
                <a:pos x="connsiteX1394" y="connsiteY1394"/>
              </a:cxn>
              <a:cxn ang="0">
                <a:pos x="connsiteX1395" y="connsiteY1395"/>
              </a:cxn>
              <a:cxn ang="0">
                <a:pos x="connsiteX1396" y="connsiteY1396"/>
              </a:cxn>
              <a:cxn ang="0">
                <a:pos x="connsiteX1397" y="connsiteY1397"/>
              </a:cxn>
              <a:cxn ang="0">
                <a:pos x="connsiteX1398" y="connsiteY1398"/>
              </a:cxn>
              <a:cxn ang="0">
                <a:pos x="connsiteX1399" y="connsiteY1399"/>
              </a:cxn>
              <a:cxn ang="0">
                <a:pos x="connsiteX1400" y="connsiteY1400"/>
              </a:cxn>
              <a:cxn ang="0">
                <a:pos x="connsiteX1401" y="connsiteY1401"/>
              </a:cxn>
              <a:cxn ang="0">
                <a:pos x="connsiteX1402" y="connsiteY1402"/>
              </a:cxn>
              <a:cxn ang="0">
                <a:pos x="connsiteX1403" y="connsiteY1403"/>
              </a:cxn>
              <a:cxn ang="0">
                <a:pos x="connsiteX1404" y="connsiteY1404"/>
              </a:cxn>
              <a:cxn ang="0">
                <a:pos x="connsiteX1405" y="connsiteY1405"/>
              </a:cxn>
              <a:cxn ang="0">
                <a:pos x="connsiteX1406" y="connsiteY1406"/>
              </a:cxn>
              <a:cxn ang="0">
                <a:pos x="connsiteX1407" y="connsiteY1407"/>
              </a:cxn>
              <a:cxn ang="0">
                <a:pos x="connsiteX1408" y="connsiteY1408"/>
              </a:cxn>
              <a:cxn ang="0">
                <a:pos x="connsiteX1409" y="connsiteY1409"/>
              </a:cxn>
              <a:cxn ang="0">
                <a:pos x="connsiteX1410" y="connsiteY1410"/>
              </a:cxn>
              <a:cxn ang="0">
                <a:pos x="connsiteX1411" y="connsiteY1411"/>
              </a:cxn>
              <a:cxn ang="0">
                <a:pos x="connsiteX1412" y="connsiteY1412"/>
              </a:cxn>
              <a:cxn ang="0">
                <a:pos x="connsiteX1413" y="connsiteY1413"/>
              </a:cxn>
              <a:cxn ang="0">
                <a:pos x="connsiteX1414" y="connsiteY1414"/>
              </a:cxn>
              <a:cxn ang="0">
                <a:pos x="connsiteX1415" y="connsiteY1415"/>
              </a:cxn>
              <a:cxn ang="0">
                <a:pos x="connsiteX1416" y="connsiteY1416"/>
              </a:cxn>
              <a:cxn ang="0">
                <a:pos x="connsiteX1417" y="connsiteY1417"/>
              </a:cxn>
              <a:cxn ang="0">
                <a:pos x="connsiteX1418" y="connsiteY1418"/>
              </a:cxn>
              <a:cxn ang="0">
                <a:pos x="connsiteX1419" y="connsiteY1419"/>
              </a:cxn>
              <a:cxn ang="0">
                <a:pos x="connsiteX1420" y="connsiteY1420"/>
              </a:cxn>
              <a:cxn ang="0">
                <a:pos x="connsiteX1421" y="connsiteY1421"/>
              </a:cxn>
              <a:cxn ang="0">
                <a:pos x="connsiteX1422" y="connsiteY1422"/>
              </a:cxn>
              <a:cxn ang="0">
                <a:pos x="connsiteX1423" y="connsiteY1423"/>
              </a:cxn>
              <a:cxn ang="0">
                <a:pos x="connsiteX1424" y="connsiteY1424"/>
              </a:cxn>
              <a:cxn ang="0">
                <a:pos x="connsiteX1425" y="connsiteY1425"/>
              </a:cxn>
              <a:cxn ang="0">
                <a:pos x="connsiteX1426" y="connsiteY1426"/>
              </a:cxn>
              <a:cxn ang="0">
                <a:pos x="connsiteX1427" y="connsiteY1427"/>
              </a:cxn>
              <a:cxn ang="0">
                <a:pos x="connsiteX1428" y="connsiteY1428"/>
              </a:cxn>
              <a:cxn ang="0">
                <a:pos x="connsiteX1429" y="connsiteY1429"/>
              </a:cxn>
              <a:cxn ang="0">
                <a:pos x="connsiteX1430" y="connsiteY1430"/>
              </a:cxn>
              <a:cxn ang="0">
                <a:pos x="connsiteX1431" y="connsiteY1431"/>
              </a:cxn>
              <a:cxn ang="0">
                <a:pos x="connsiteX1432" y="connsiteY1432"/>
              </a:cxn>
              <a:cxn ang="0">
                <a:pos x="connsiteX1433" y="connsiteY1433"/>
              </a:cxn>
              <a:cxn ang="0">
                <a:pos x="connsiteX1434" y="connsiteY1434"/>
              </a:cxn>
              <a:cxn ang="0">
                <a:pos x="connsiteX1435" y="connsiteY1435"/>
              </a:cxn>
              <a:cxn ang="0">
                <a:pos x="connsiteX1436" y="connsiteY1436"/>
              </a:cxn>
              <a:cxn ang="0">
                <a:pos x="connsiteX1437" y="connsiteY1437"/>
              </a:cxn>
              <a:cxn ang="0">
                <a:pos x="connsiteX1438" y="connsiteY1438"/>
              </a:cxn>
              <a:cxn ang="0">
                <a:pos x="connsiteX1439" y="connsiteY1439"/>
              </a:cxn>
              <a:cxn ang="0">
                <a:pos x="connsiteX1440" y="connsiteY1440"/>
              </a:cxn>
              <a:cxn ang="0">
                <a:pos x="connsiteX1441" y="connsiteY1441"/>
              </a:cxn>
              <a:cxn ang="0">
                <a:pos x="connsiteX1442" y="connsiteY1442"/>
              </a:cxn>
              <a:cxn ang="0">
                <a:pos x="connsiteX1443" y="connsiteY1443"/>
              </a:cxn>
              <a:cxn ang="0">
                <a:pos x="connsiteX1444" y="connsiteY1444"/>
              </a:cxn>
              <a:cxn ang="0">
                <a:pos x="connsiteX1445" y="connsiteY1445"/>
              </a:cxn>
              <a:cxn ang="0">
                <a:pos x="connsiteX1446" y="connsiteY1446"/>
              </a:cxn>
              <a:cxn ang="0">
                <a:pos x="connsiteX1447" y="connsiteY1447"/>
              </a:cxn>
              <a:cxn ang="0">
                <a:pos x="connsiteX1448" y="connsiteY1448"/>
              </a:cxn>
              <a:cxn ang="0">
                <a:pos x="connsiteX1449" y="connsiteY1449"/>
              </a:cxn>
              <a:cxn ang="0">
                <a:pos x="connsiteX1450" y="connsiteY1450"/>
              </a:cxn>
              <a:cxn ang="0">
                <a:pos x="connsiteX1451" y="connsiteY1451"/>
              </a:cxn>
              <a:cxn ang="0">
                <a:pos x="connsiteX1452" y="connsiteY1452"/>
              </a:cxn>
              <a:cxn ang="0">
                <a:pos x="connsiteX1453" y="connsiteY1453"/>
              </a:cxn>
              <a:cxn ang="0">
                <a:pos x="connsiteX1454" y="connsiteY1454"/>
              </a:cxn>
              <a:cxn ang="0">
                <a:pos x="connsiteX1455" y="connsiteY1455"/>
              </a:cxn>
              <a:cxn ang="0">
                <a:pos x="connsiteX1456" y="connsiteY1456"/>
              </a:cxn>
              <a:cxn ang="0">
                <a:pos x="connsiteX1457" y="connsiteY1457"/>
              </a:cxn>
              <a:cxn ang="0">
                <a:pos x="connsiteX1458" y="connsiteY1458"/>
              </a:cxn>
              <a:cxn ang="0">
                <a:pos x="connsiteX1459" y="connsiteY1459"/>
              </a:cxn>
              <a:cxn ang="0">
                <a:pos x="connsiteX1460" y="connsiteY1460"/>
              </a:cxn>
              <a:cxn ang="0">
                <a:pos x="connsiteX1461" y="connsiteY1461"/>
              </a:cxn>
              <a:cxn ang="0">
                <a:pos x="connsiteX1462" y="connsiteY1462"/>
              </a:cxn>
              <a:cxn ang="0">
                <a:pos x="connsiteX1463" y="connsiteY1463"/>
              </a:cxn>
              <a:cxn ang="0">
                <a:pos x="connsiteX1464" y="connsiteY1464"/>
              </a:cxn>
              <a:cxn ang="0">
                <a:pos x="connsiteX1465" y="connsiteY1465"/>
              </a:cxn>
              <a:cxn ang="0">
                <a:pos x="connsiteX1466" y="connsiteY1466"/>
              </a:cxn>
              <a:cxn ang="0">
                <a:pos x="connsiteX1467" y="connsiteY1467"/>
              </a:cxn>
              <a:cxn ang="0">
                <a:pos x="connsiteX1468" y="connsiteY1468"/>
              </a:cxn>
              <a:cxn ang="0">
                <a:pos x="connsiteX1469" y="connsiteY1469"/>
              </a:cxn>
              <a:cxn ang="0">
                <a:pos x="connsiteX1470" y="connsiteY1470"/>
              </a:cxn>
              <a:cxn ang="0">
                <a:pos x="connsiteX1471" y="connsiteY1471"/>
              </a:cxn>
              <a:cxn ang="0">
                <a:pos x="connsiteX1472" y="connsiteY1472"/>
              </a:cxn>
              <a:cxn ang="0">
                <a:pos x="connsiteX1473" y="connsiteY1473"/>
              </a:cxn>
              <a:cxn ang="0">
                <a:pos x="connsiteX1474" y="connsiteY1474"/>
              </a:cxn>
              <a:cxn ang="0">
                <a:pos x="connsiteX1475" y="connsiteY1475"/>
              </a:cxn>
              <a:cxn ang="0">
                <a:pos x="connsiteX1476" y="connsiteY1476"/>
              </a:cxn>
              <a:cxn ang="0">
                <a:pos x="connsiteX1477" y="connsiteY1477"/>
              </a:cxn>
              <a:cxn ang="0">
                <a:pos x="connsiteX1478" y="connsiteY1478"/>
              </a:cxn>
              <a:cxn ang="0">
                <a:pos x="connsiteX1479" y="connsiteY1479"/>
              </a:cxn>
              <a:cxn ang="0">
                <a:pos x="connsiteX1480" y="connsiteY1480"/>
              </a:cxn>
              <a:cxn ang="0">
                <a:pos x="connsiteX1481" y="connsiteY1481"/>
              </a:cxn>
              <a:cxn ang="0">
                <a:pos x="connsiteX1482" y="connsiteY1482"/>
              </a:cxn>
              <a:cxn ang="0">
                <a:pos x="connsiteX1483" y="connsiteY1483"/>
              </a:cxn>
              <a:cxn ang="0">
                <a:pos x="connsiteX1484" y="connsiteY1484"/>
              </a:cxn>
              <a:cxn ang="0">
                <a:pos x="connsiteX1485" y="connsiteY1485"/>
              </a:cxn>
              <a:cxn ang="0">
                <a:pos x="connsiteX1486" y="connsiteY1486"/>
              </a:cxn>
              <a:cxn ang="0">
                <a:pos x="connsiteX1487" y="connsiteY1487"/>
              </a:cxn>
              <a:cxn ang="0">
                <a:pos x="connsiteX1488" y="connsiteY1488"/>
              </a:cxn>
              <a:cxn ang="0">
                <a:pos x="connsiteX1489" y="connsiteY1489"/>
              </a:cxn>
              <a:cxn ang="0">
                <a:pos x="connsiteX1490" y="connsiteY1490"/>
              </a:cxn>
              <a:cxn ang="0">
                <a:pos x="connsiteX1491" y="connsiteY1491"/>
              </a:cxn>
              <a:cxn ang="0">
                <a:pos x="connsiteX1492" y="connsiteY1492"/>
              </a:cxn>
              <a:cxn ang="0">
                <a:pos x="connsiteX1493" y="connsiteY1493"/>
              </a:cxn>
              <a:cxn ang="0">
                <a:pos x="connsiteX1494" y="connsiteY1494"/>
              </a:cxn>
              <a:cxn ang="0">
                <a:pos x="connsiteX1495" y="connsiteY1495"/>
              </a:cxn>
              <a:cxn ang="0">
                <a:pos x="connsiteX1496" y="connsiteY1496"/>
              </a:cxn>
              <a:cxn ang="0">
                <a:pos x="connsiteX1497" y="connsiteY1497"/>
              </a:cxn>
              <a:cxn ang="0">
                <a:pos x="connsiteX1498" y="connsiteY1498"/>
              </a:cxn>
              <a:cxn ang="0">
                <a:pos x="connsiteX1499" y="connsiteY1499"/>
              </a:cxn>
              <a:cxn ang="0">
                <a:pos x="connsiteX1500" y="connsiteY1500"/>
              </a:cxn>
              <a:cxn ang="0">
                <a:pos x="connsiteX1501" y="connsiteY1501"/>
              </a:cxn>
              <a:cxn ang="0">
                <a:pos x="connsiteX1502" y="connsiteY1502"/>
              </a:cxn>
              <a:cxn ang="0">
                <a:pos x="connsiteX1503" y="connsiteY1503"/>
              </a:cxn>
              <a:cxn ang="0">
                <a:pos x="connsiteX1504" y="connsiteY1504"/>
              </a:cxn>
              <a:cxn ang="0">
                <a:pos x="connsiteX1505" y="connsiteY1505"/>
              </a:cxn>
              <a:cxn ang="0">
                <a:pos x="connsiteX1506" y="connsiteY1506"/>
              </a:cxn>
              <a:cxn ang="0">
                <a:pos x="connsiteX1507" y="connsiteY1507"/>
              </a:cxn>
              <a:cxn ang="0">
                <a:pos x="connsiteX1508" y="connsiteY1508"/>
              </a:cxn>
              <a:cxn ang="0">
                <a:pos x="connsiteX1509" y="connsiteY1509"/>
              </a:cxn>
              <a:cxn ang="0">
                <a:pos x="connsiteX1510" y="connsiteY1510"/>
              </a:cxn>
              <a:cxn ang="0">
                <a:pos x="connsiteX1511" y="connsiteY1511"/>
              </a:cxn>
              <a:cxn ang="0">
                <a:pos x="connsiteX1512" y="connsiteY1512"/>
              </a:cxn>
              <a:cxn ang="0">
                <a:pos x="connsiteX1513" y="connsiteY1513"/>
              </a:cxn>
              <a:cxn ang="0">
                <a:pos x="connsiteX1514" y="connsiteY1514"/>
              </a:cxn>
              <a:cxn ang="0">
                <a:pos x="connsiteX1515" y="connsiteY1515"/>
              </a:cxn>
              <a:cxn ang="0">
                <a:pos x="connsiteX1516" y="connsiteY1516"/>
              </a:cxn>
              <a:cxn ang="0">
                <a:pos x="connsiteX1517" y="connsiteY1517"/>
              </a:cxn>
              <a:cxn ang="0">
                <a:pos x="connsiteX1518" y="connsiteY1518"/>
              </a:cxn>
              <a:cxn ang="0">
                <a:pos x="connsiteX1519" y="connsiteY1519"/>
              </a:cxn>
              <a:cxn ang="0">
                <a:pos x="connsiteX1520" y="connsiteY1520"/>
              </a:cxn>
              <a:cxn ang="0">
                <a:pos x="connsiteX1521" y="connsiteY1521"/>
              </a:cxn>
              <a:cxn ang="0">
                <a:pos x="connsiteX1522" y="connsiteY1522"/>
              </a:cxn>
              <a:cxn ang="0">
                <a:pos x="connsiteX1523" y="connsiteY1523"/>
              </a:cxn>
              <a:cxn ang="0">
                <a:pos x="connsiteX1524" y="connsiteY1524"/>
              </a:cxn>
              <a:cxn ang="0">
                <a:pos x="connsiteX1525" y="connsiteY1525"/>
              </a:cxn>
              <a:cxn ang="0">
                <a:pos x="connsiteX1526" y="connsiteY1526"/>
              </a:cxn>
              <a:cxn ang="0">
                <a:pos x="connsiteX1527" y="connsiteY1527"/>
              </a:cxn>
              <a:cxn ang="0">
                <a:pos x="connsiteX1528" y="connsiteY1528"/>
              </a:cxn>
              <a:cxn ang="0">
                <a:pos x="connsiteX1529" y="connsiteY1529"/>
              </a:cxn>
              <a:cxn ang="0">
                <a:pos x="connsiteX1530" y="connsiteY1530"/>
              </a:cxn>
              <a:cxn ang="0">
                <a:pos x="connsiteX1531" y="connsiteY1531"/>
              </a:cxn>
              <a:cxn ang="0">
                <a:pos x="connsiteX1532" y="connsiteY1532"/>
              </a:cxn>
              <a:cxn ang="0">
                <a:pos x="connsiteX1533" y="connsiteY1533"/>
              </a:cxn>
              <a:cxn ang="0">
                <a:pos x="connsiteX1534" y="connsiteY1534"/>
              </a:cxn>
              <a:cxn ang="0">
                <a:pos x="connsiteX1535" y="connsiteY1535"/>
              </a:cxn>
              <a:cxn ang="0">
                <a:pos x="connsiteX1536" y="connsiteY1536"/>
              </a:cxn>
              <a:cxn ang="0">
                <a:pos x="connsiteX1537" y="connsiteY1537"/>
              </a:cxn>
              <a:cxn ang="0">
                <a:pos x="connsiteX1538" y="connsiteY1538"/>
              </a:cxn>
              <a:cxn ang="0">
                <a:pos x="connsiteX1539" y="connsiteY1539"/>
              </a:cxn>
              <a:cxn ang="0">
                <a:pos x="connsiteX1540" y="connsiteY1540"/>
              </a:cxn>
              <a:cxn ang="0">
                <a:pos x="connsiteX1541" y="connsiteY1541"/>
              </a:cxn>
              <a:cxn ang="0">
                <a:pos x="connsiteX1542" y="connsiteY1542"/>
              </a:cxn>
              <a:cxn ang="0">
                <a:pos x="connsiteX1543" y="connsiteY1543"/>
              </a:cxn>
              <a:cxn ang="0">
                <a:pos x="connsiteX1544" y="connsiteY1544"/>
              </a:cxn>
              <a:cxn ang="0">
                <a:pos x="connsiteX1545" y="connsiteY1545"/>
              </a:cxn>
              <a:cxn ang="0">
                <a:pos x="connsiteX1546" y="connsiteY1546"/>
              </a:cxn>
              <a:cxn ang="0">
                <a:pos x="connsiteX1547" y="connsiteY1547"/>
              </a:cxn>
              <a:cxn ang="0">
                <a:pos x="connsiteX1548" y="connsiteY1548"/>
              </a:cxn>
              <a:cxn ang="0">
                <a:pos x="connsiteX1549" y="connsiteY1549"/>
              </a:cxn>
              <a:cxn ang="0">
                <a:pos x="connsiteX1550" y="connsiteY1550"/>
              </a:cxn>
              <a:cxn ang="0">
                <a:pos x="connsiteX1551" y="connsiteY1551"/>
              </a:cxn>
              <a:cxn ang="0">
                <a:pos x="connsiteX1552" y="connsiteY1552"/>
              </a:cxn>
              <a:cxn ang="0">
                <a:pos x="connsiteX1553" y="connsiteY1553"/>
              </a:cxn>
              <a:cxn ang="0">
                <a:pos x="connsiteX1554" y="connsiteY1554"/>
              </a:cxn>
              <a:cxn ang="0">
                <a:pos x="connsiteX1555" y="connsiteY1555"/>
              </a:cxn>
              <a:cxn ang="0">
                <a:pos x="connsiteX1556" y="connsiteY1556"/>
              </a:cxn>
              <a:cxn ang="0">
                <a:pos x="connsiteX1557" y="connsiteY1557"/>
              </a:cxn>
              <a:cxn ang="0">
                <a:pos x="connsiteX1558" y="connsiteY1558"/>
              </a:cxn>
              <a:cxn ang="0">
                <a:pos x="connsiteX1559" y="connsiteY1559"/>
              </a:cxn>
              <a:cxn ang="0">
                <a:pos x="connsiteX1560" y="connsiteY1560"/>
              </a:cxn>
              <a:cxn ang="0">
                <a:pos x="connsiteX1561" y="connsiteY1561"/>
              </a:cxn>
              <a:cxn ang="0">
                <a:pos x="connsiteX1562" y="connsiteY1562"/>
              </a:cxn>
              <a:cxn ang="0">
                <a:pos x="connsiteX1563" y="connsiteY1563"/>
              </a:cxn>
              <a:cxn ang="0">
                <a:pos x="connsiteX1564" y="connsiteY1564"/>
              </a:cxn>
              <a:cxn ang="0">
                <a:pos x="connsiteX1565" y="connsiteY1565"/>
              </a:cxn>
              <a:cxn ang="0">
                <a:pos x="connsiteX1566" y="connsiteY1566"/>
              </a:cxn>
              <a:cxn ang="0">
                <a:pos x="connsiteX1567" y="connsiteY1567"/>
              </a:cxn>
              <a:cxn ang="0">
                <a:pos x="connsiteX1568" y="connsiteY1568"/>
              </a:cxn>
              <a:cxn ang="0">
                <a:pos x="connsiteX1569" y="connsiteY1569"/>
              </a:cxn>
              <a:cxn ang="0">
                <a:pos x="connsiteX1570" y="connsiteY1570"/>
              </a:cxn>
              <a:cxn ang="0">
                <a:pos x="connsiteX1571" y="connsiteY1571"/>
              </a:cxn>
              <a:cxn ang="0">
                <a:pos x="connsiteX1572" y="connsiteY1572"/>
              </a:cxn>
              <a:cxn ang="0">
                <a:pos x="connsiteX1573" y="connsiteY1573"/>
              </a:cxn>
              <a:cxn ang="0">
                <a:pos x="connsiteX1574" y="connsiteY1574"/>
              </a:cxn>
              <a:cxn ang="0">
                <a:pos x="connsiteX1575" y="connsiteY1575"/>
              </a:cxn>
              <a:cxn ang="0">
                <a:pos x="connsiteX1576" y="connsiteY1576"/>
              </a:cxn>
              <a:cxn ang="0">
                <a:pos x="connsiteX1577" y="connsiteY1577"/>
              </a:cxn>
              <a:cxn ang="0">
                <a:pos x="connsiteX1578" y="connsiteY1578"/>
              </a:cxn>
              <a:cxn ang="0">
                <a:pos x="connsiteX1579" y="connsiteY1579"/>
              </a:cxn>
              <a:cxn ang="0">
                <a:pos x="connsiteX1580" y="connsiteY1580"/>
              </a:cxn>
              <a:cxn ang="0">
                <a:pos x="connsiteX1581" y="connsiteY1581"/>
              </a:cxn>
              <a:cxn ang="0">
                <a:pos x="connsiteX1582" y="connsiteY1582"/>
              </a:cxn>
              <a:cxn ang="0">
                <a:pos x="connsiteX1583" y="connsiteY1583"/>
              </a:cxn>
              <a:cxn ang="0">
                <a:pos x="connsiteX1584" y="connsiteY1584"/>
              </a:cxn>
              <a:cxn ang="0">
                <a:pos x="connsiteX1585" y="connsiteY1585"/>
              </a:cxn>
              <a:cxn ang="0">
                <a:pos x="connsiteX1586" y="connsiteY1586"/>
              </a:cxn>
              <a:cxn ang="0">
                <a:pos x="connsiteX1587" y="connsiteY1587"/>
              </a:cxn>
              <a:cxn ang="0">
                <a:pos x="connsiteX1588" y="connsiteY1588"/>
              </a:cxn>
              <a:cxn ang="0">
                <a:pos x="connsiteX1589" y="connsiteY1589"/>
              </a:cxn>
              <a:cxn ang="0">
                <a:pos x="connsiteX1590" y="connsiteY1590"/>
              </a:cxn>
              <a:cxn ang="0">
                <a:pos x="connsiteX1591" y="connsiteY1591"/>
              </a:cxn>
              <a:cxn ang="0">
                <a:pos x="connsiteX1592" y="connsiteY1592"/>
              </a:cxn>
              <a:cxn ang="0">
                <a:pos x="connsiteX1593" y="connsiteY1593"/>
              </a:cxn>
              <a:cxn ang="0">
                <a:pos x="connsiteX1594" y="connsiteY1594"/>
              </a:cxn>
              <a:cxn ang="0">
                <a:pos x="connsiteX1595" y="connsiteY1595"/>
              </a:cxn>
              <a:cxn ang="0">
                <a:pos x="connsiteX1596" y="connsiteY1596"/>
              </a:cxn>
              <a:cxn ang="0">
                <a:pos x="connsiteX1597" y="connsiteY1597"/>
              </a:cxn>
              <a:cxn ang="0">
                <a:pos x="connsiteX1598" y="connsiteY1598"/>
              </a:cxn>
              <a:cxn ang="0">
                <a:pos x="connsiteX1599" y="connsiteY1599"/>
              </a:cxn>
              <a:cxn ang="0">
                <a:pos x="connsiteX1600" y="connsiteY1600"/>
              </a:cxn>
              <a:cxn ang="0">
                <a:pos x="connsiteX1601" y="connsiteY1601"/>
              </a:cxn>
              <a:cxn ang="0">
                <a:pos x="connsiteX1602" y="connsiteY1602"/>
              </a:cxn>
              <a:cxn ang="0">
                <a:pos x="connsiteX1603" y="connsiteY1603"/>
              </a:cxn>
              <a:cxn ang="0">
                <a:pos x="connsiteX1604" y="connsiteY1604"/>
              </a:cxn>
              <a:cxn ang="0">
                <a:pos x="connsiteX1605" y="connsiteY1605"/>
              </a:cxn>
              <a:cxn ang="0">
                <a:pos x="connsiteX1606" y="connsiteY1606"/>
              </a:cxn>
              <a:cxn ang="0">
                <a:pos x="connsiteX1607" y="connsiteY1607"/>
              </a:cxn>
              <a:cxn ang="0">
                <a:pos x="connsiteX1608" y="connsiteY1608"/>
              </a:cxn>
              <a:cxn ang="0">
                <a:pos x="connsiteX1609" y="connsiteY1609"/>
              </a:cxn>
              <a:cxn ang="0">
                <a:pos x="connsiteX1610" y="connsiteY1610"/>
              </a:cxn>
              <a:cxn ang="0">
                <a:pos x="connsiteX1611" y="connsiteY1611"/>
              </a:cxn>
              <a:cxn ang="0">
                <a:pos x="connsiteX1612" y="connsiteY1612"/>
              </a:cxn>
              <a:cxn ang="0">
                <a:pos x="connsiteX1613" y="connsiteY1613"/>
              </a:cxn>
              <a:cxn ang="0">
                <a:pos x="connsiteX1614" y="connsiteY1614"/>
              </a:cxn>
              <a:cxn ang="0">
                <a:pos x="connsiteX1615" y="connsiteY1615"/>
              </a:cxn>
              <a:cxn ang="0">
                <a:pos x="connsiteX1616" y="connsiteY1616"/>
              </a:cxn>
              <a:cxn ang="0">
                <a:pos x="connsiteX1617" y="connsiteY1617"/>
              </a:cxn>
              <a:cxn ang="0">
                <a:pos x="connsiteX1618" y="connsiteY1618"/>
              </a:cxn>
              <a:cxn ang="0">
                <a:pos x="connsiteX1619" y="connsiteY1619"/>
              </a:cxn>
              <a:cxn ang="0">
                <a:pos x="connsiteX1620" y="connsiteY1620"/>
              </a:cxn>
              <a:cxn ang="0">
                <a:pos x="connsiteX1621" y="connsiteY1621"/>
              </a:cxn>
              <a:cxn ang="0">
                <a:pos x="connsiteX1622" y="connsiteY1622"/>
              </a:cxn>
              <a:cxn ang="0">
                <a:pos x="connsiteX1623" y="connsiteY1623"/>
              </a:cxn>
              <a:cxn ang="0">
                <a:pos x="connsiteX1624" y="connsiteY1624"/>
              </a:cxn>
              <a:cxn ang="0">
                <a:pos x="connsiteX1625" y="connsiteY1625"/>
              </a:cxn>
              <a:cxn ang="0">
                <a:pos x="connsiteX1626" y="connsiteY1626"/>
              </a:cxn>
              <a:cxn ang="0">
                <a:pos x="connsiteX1627" y="connsiteY1627"/>
              </a:cxn>
              <a:cxn ang="0">
                <a:pos x="connsiteX1628" y="connsiteY1628"/>
              </a:cxn>
              <a:cxn ang="0">
                <a:pos x="connsiteX1629" y="connsiteY1629"/>
              </a:cxn>
              <a:cxn ang="0">
                <a:pos x="connsiteX1630" y="connsiteY1630"/>
              </a:cxn>
              <a:cxn ang="0">
                <a:pos x="connsiteX1631" y="connsiteY1631"/>
              </a:cxn>
              <a:cxn ang="0">
                <a:pos x="connsiteX1632" y="connsiteY1632"/>
              </a:cxn>
              <a:cxn ang="0">
                <a:pos x="connsiteX1633" y="connsiteY1633"/>
              </a:cxn>
              <a:cxn ang="0">
                <a:pos x="connsiteX1634" y="connsiteY1634"/>
              </a:cxn>
              <a:cxn ang="0">
                <a:pos x="connsiteX1635" y="connsiteY1635"/>
              </a:cxn>
              <a:cxn ang="0">
                <a:pos x="connsiteX1636" y="connsiteY1636"/>
              </a:cxn>
              <a:cxn ang="0">
                <a:pos x="connsiteX1637" y="connsiteY1637"/>
              </a:cxn>
              <a:cxn ang="0">
                <a:pos x="connsiteX1638" y="connsiteY1638"/>
              </a:cxn>
              <a:cxn ang="0">
                <a:pos x="connsiteX1639" y="connsiteY1639"/>
              </a:cxn>
              <a:cxn ang="0">
                <a:pos x="connsiteX1640" y="connsiteY1640"/>
              </a:cxn>
              <a:cxn ang="0">
                <a:pos x="connsiteX1641" y="connsiteY1641"/>
              </a:cxn>
              <a:cxn ang="0">
                <a:pos x="connsiteX1642" y="connsiteY1642"/>
              </a:cxn>
              <a:cxn ang="0">
                <a:pos x="connsiteX1643" y="connsiteY1643"/>
              </a:cxn>
              <a:cxn ang="0">
                <a:pos x="connsiteX1644" y="connsiteY1644"/>
              </a:cxn>
              <a:cxn ang="0">
                <a:pos x="connsiteX1645" y="connsiteY1645"/>
              </a:cxn>
              <a:cxn ang="0">
                <a:pos x="connsiteX1646" y="connsiteY1646"/>
              </a:cxn>
              <a:cxn ang="0">
                <a:pos x="connsiteX1647" y="connsiteY1647"/>
              </a:cxn>
              <a:cxn ang="0">
                <a:pos x="connsiteX1648" y="connsiteY1648"/>
              </a:cxn>
              <a:cxn ang="0">
                <a:pos x="connsiteX1649" y="connsiteY1649"/>
              </a:cxn>
              <a:cxn ang="0">
                <a:pos x="connsiteX1650" y="connsiteY1650"/>
              </a:cxn>
              <a:cxn ang="0">
                <a:pos x="connsiteX1651" y="connsiteY1651"/>
              </a:cxn>
              <a:cxn ang="0">
                <a:pos x="connsiteX1652" y="connsiteY1652"/>
              </a:cxn>
              <a:cxn ang="0">
                <a:pos x="connsiteX1653" y="connsiteY1653"/>
              </a:cxn>
              <a:cxn ang="0">
                <a:pos x="connsiteX1654" y="connsiteY1654"/>
              </a:cxn>
              <a:cxn ang="0">
                <a:pos x="connsiteX1655" y="connsiteY1655"/>
              </a:cxn>
              <a:cxn ang="0">
                <a:pos x="connsiteX1656" y="connsiteY1656"/>
              </a:cxn>
              <a:cxn ang="0">
                <a:pos x="connsiteX1657" y="connsiteY1657"/>
              </a:cxn>
              <a:cxn ang="0">
                <a:pos x="connsiteX1658" y="connsiteY1658"/>
              </a:cxn>
              <a:cxn ang="0">
                <a:pos x="connsiteX1659" y="connsiteY1659"/>
              </a:cxn>
              <a:cxn ang="0">
                <a:pos x="connsiteX1660" y="connsiteY1660"/>
              </a:cxn>
              <a:cxn ang="0">
                <a:pos x="connsiteX1661" y="connsiteY1661"/>
              </a:cxn>
              <a:cxn ang="0">
                <a:pos x="connsiteX1662" y="connsiteY1662"/>
              </a:cxn>
              <a:cxn ang="0">
                <a:pos x="connsiteX1663" y="connsiteY1663"/>
              </a:cxn>
              <a:cxn ang="0">
                <a:pos x="connsiteX1664" y="connsiteY1664"/>
              </a:cxn>
              <a:cxn ang="0">
                <a:pos x="connsiteX1665" y="connsiteY1665"/>
              </a:cxn>
              <a:cxn ang="0">
                <a:pos x="connsiteX1666" y="connsiteY1666"/>
              </a:cxn>
              <a:cxn ang="0">
                <a:pos x="connsiteX1667" y="connsiteY1667"/>
              </a:cxn>
              <a:cxn ang="0">
                <a:pos x="connsiteX1668" y="connsiteY1668"/>
              </a:cxn>
              <a:cxn ang="0">
                <a:pos x="connsiteX1669" y="connsiteY1669"/>
              </a:cxn>
              <a:cxn ang="0">
                <a:pos x="connsiteX1670" y="connsiteY1670"/>
              </a:cxn>
              <a:cxn ang="0">
                <a:pos x="connsiteX1671" y="connsiteY1671"/>
              </a:cxn>
              <a:cxn ang="0">
                <a:pos x="connsiteX1672" y="connsiteY1672"/>
              </a:cxn>
              <a:cxn ang="0">
                <a:pos x="connsiteX1673" y="connsiteY1673"/>
              </a:cxn>
              <a:cxn ang="0">
                <a:pos x="connsiteX1674" y="connsiteY1674"/>
              </a:cxn>
              <a:cxn ang="0">
                <a:pos x="connsiteX1675" y="connsiteY1675"/>
              </a:cxn>
              <a:cxn ang="0">
                <a:pos x="connsiteX1676" y="connsiteY1676"/>
              </a:cxn>
              <a:cxn ang="0">
                <a:pos x="connsiteX1677" y="connsiteY1677"/>
              </a:cxn>
              <a:cxn ang="0">
                <a:pos x="connsiteX1678" y="connsiteY1678"/>
              </a:cxn>
              <a:cxn ang="0">
                <a:pos x="connsiteX1679" y="connsiteY1679"/>
              </a:cxn>
              <a:cxn ang="0">
                <a:pos x="connsiteX1680" y="connsiteY1680"/>
              </a:cxn>
              <a:cxn ang="0">
                <a:pos x="connsiteX1681" y="connsiteY1681"/>
              </a:cxn>
              <a:cxn ang="0">
                <a:pos x="connsiteX1682" y="connsiteY1682"/>
              </a:cxn>
              <a:cxn ang="0">
                <a:pos x="connsiteX1683" y="connsiteY1683"/>
              </a:cxn>
              <a:cxn ang="0">
                <a:pos x="connsiteX1684" y="connsiteY1684"/>
              </a:cxn>
              <a:cxn ang="0">
                <a:pos x="connsiteX1685" y="connsiteY1685"/>
              </a:cxn>
              <a:cxn ang="0">
                <a:pos x="connsiteX1686" y="connsiteY1686"/>
              </a:cxn>
              <a:cxn ang="0">
                <a:pos x="connsiteX1687" y="connsiteY1687"/>
              </a:cxn>
              <a:cxn ang="0">
                <a:pos x="connsiteX1688" y="connsiteY1688"/>
              </a:cxn>
              <a:cxn ang="0">
                <a:pos x="connsiteX1689" y="connsiteY1689"/>
              </a:cxn>
              <a:cxn ang="0">
                <a:pos x="connsiteX1690" y="connsiteY1690"/>
              </a:cxn>
              <a:cxn ang="0">
                <a:pos x="connsiteX1691" y="connsiteY1691"/>
              </a:cxn>
              <a:cxn ang="0">
                <a:pos x="connsiteX1692" y="connsiteY1692"/>
              </a:cxn>
              <a:cxn ang="0">
                <a:pos x="connsiteX1693" y="connsiteY1693"/>
              </a:cxn>
              <a:cxn ang="0">
                <a:pos x="connsiteX1694" y="connsiteY1694"/>
              </a:cxn>
              <a:cxn ang="0">
                <a:pos x="connsiteX1695" y="connsiteY1695"/>
              </a:cxn>
              <a:cxn ang="0">
                <a:pos x="connsiteX1696" y="connsiteY1696"/>
              </a:cxn>
              <a:cxn ang="0">
                <a:pos x="connsiteX1697" y="connsiteY1697"/>
              </a:cxn>
              <a:cxn ang="0">
                <a:pos x="connsiteX1698" y="connsiteY1698"/>
              </a:cxn>
              <a:cxn ang="0">
                <a:pos x="connsiteX1699" y="connsiteY1699"/>
              </a:cxn>
              <a:cxn ang="0">
                <a:pos x="connsiteX1700" y="connsiteY1700"/>
              </a:cxn>
              <a:cxn ang="0">
                <a:pos x="connsiteX1701" y="connsiteY1701"/>
              </a:cxn>
              <a:cxn ang="0">
                <a:pos x="connsiteX1702" y="connsiteY1702"/>
              </a:cxn>
              <a:cxn ang="0">
                <a:pos x="connsiteX1703" y="connsiteY1703"/>
              </a:cxn>
              <a:cxn ang="0">
                <a:pos x="connsiteX1704" y="connsiteY1704"/>
              </a:cxn>
              <a:cxn ang="0">
                <a:pos x="connsiteX1705" y="connsiteY1705"/>
              </a:cxn>
              <a:cxn ang="0">
                <a:pos x="connsiteX1706" y="connsiteY1706"/>
              </a:cxn>
              <a:cxn ang="0">
                <a:pos x="connsiteX1707" y="connsiteY1707"/>
              </a:cxn>
              <a:cxn ang="0">
                <a:pos x="connsiteX1708" y="connsiteY1708"/>
              </a:cxn>
              <a:cxn ang="0">
                <a:pos x="connsiteX1709" y="connsiteY1709"/>
              </a:cxn>
              <a:cxn ang="0">
                <a:pos x="connsiteX1710" y="connsiteY1710"/>
              </a:cxn>
              <a:cxn ang="0">
                <a:pos x="connsiteX1711" y="connsiteY1711"/>
              </a:cxn>
              <a:cxn ang="0">
                <a:pos x="connsiteX1712" y="connsiteY1712"/>
              </a:cxn>
              <a:cxn ang="0">
                <a:pos x="connsiteX1713" y="connsiteY1713"/>
              </a:cxn>
              <a:cxn ang="0">
                <a:pos x="connsiteX1714" y="connsiteY1714"/>
              </a:cxn>
              <a:cxn ang="0">
                <a:pos x="connsiteX1715" y="connsiteY1715"/>
              </a:cxn>
              <a:cxn ang="0">
                <a:pos x="connsiteX1716" y="connsiteY1716"/>
              </a:cxn>
              <a:cxn ang="0">
                <a:pos x="connsiteX1717" y="connsiteY1717"/>
              </a:cxn>
              <a:cxn ang="0">
                <a:pos x="connsiteX1718" y="connsiteY1718"/>
              </a:cxn>
              <a:cxn ang="0">
                <a:pos x="connsiteX1719" y="connsiteY1719"/>
              </a:cxn>
              <a:cxn ang="0">
                <a:pos x="connsiteX1720" y="connsiteY1720"/>
              </a:cxn>
              <a:cxn ang="0">
                <a:pos x="connsiteX1721" y="connsiteY1721"/>
              </a:cxn>
              <a:cxn ang="0">
                <a:pos x="connsiteX1722" y="connsiteY1722"/>
              </a:cxn>
              <a:cxn ang="0">
                <a:pos x="connsiteX1723" y="connsiteY1723"/>
              </a:cxn>
              <a:cxn ang="0">
                <a:pos x="connsiteX1724" y="connsiteY1724"/>
              </a:cxn>
              <a:cxn ang="0">
                <a:pos x="connsiteX1725" y="connsiteY1725"/>
              </a:cxn>
              <a:cxn ang="0">
                <a:pos x="connsiteX1726" y="connsiteY1726"/>
              </a:cxn>
              <a:cxn ang="0">
                <a:pos x="connsiteX1727" y="connsiteY1727"/>
              </a:cxn>
              <a:cxn ang="0">
                <a:pos x="connsiteX1728" y="connsiteY1728"/>
              </a:cxn>
              <a:cxn ang="0">
                <a:pos x="connsiteX1729" y="connsiteY1729"/>
              </a:cxn>
              <a:cxn ang="0">
                <a:pos x="connsiteX1730" y="connsiteY1730"/>
              </a:cxn>
              <a:cxn ang="0">
                <a:pos x="connsiteX1731" y="connsiteY1731"/>
              </a:cxn>
              <a:cxn ang="0">
                <a:pos x="connsiteX1732" y="connsiteY1732"/>
              </a:cxn>
              <a:cxn ang="0">
                <a:pos x="connsiteX1733" y="connsiteY1733"/>
              </a:cxn>
              <a:cxn ang="0">
                <a:pos x="connsiteX1734" y="connsiteY1734"/>
              </a:cxn>
              <a:cxn ang="0">
                <a:pos x="connsiteX1735" y="connsiteY1735"/>
              </a:cxn>
              <a:cxn ang="0">
                <a:pos x="connsiteX1736" y="connsiteY1736"/>
              </a:cxn>
              <a:cxn ang="0">
                <a:pos x="connsiteX1737" y="connsiteY1737"/>
              </a:cxn>
              <a:cxn ang="0">
                <a:pos x="connsiteX1738" y="connsiteY1738"/>
              </a:cxn>
              <a:cxn ang="0">
                <a:pos x="connsiteX1739" y="connsiteY1739"/>
              </a:cxn>
              <a:cxn ang="0">
                <a:pos x="connsiteX1740" y="connsiteY1740"/>
              </a:cxn>
              <a:cxn ang="0">
                <a:pos x="connsiteX1741" y="connsiteY1741"/>
              </a:cxn>
              <a:cxn ang="0">
                <a:pos x="connsiteX1742" y="connsiteY1742"/>
              </a:cxn>
              <a:cxn ang="0">
                <a:pos x="connsiteX1743" y="connsiteY1743"/>
              </a:cxn>
              <a:cxn ang="0">
                <a:pos x="connsiteX1744" y="connsiteY1744"/>
              </a:cxn>
              <a:cxn ang="0">
                <a:pos x="connsiteX1745" y="connsiteY1745"/>
              </a:cxn>
              <a:cxn ang="0">
                <a:pos x="connsiteX1746" y="connsiteY1746"/>
              </a:cxn>
              <a:cxn ang="0">
                <a:pos x="connsiteX1747" y="connsiteY1747"/>
              </a:cxn>
              <a:cxn ang="0">
                <a:pos x="connsiteX1748" y="connsiteY1748"/>
              </a:cxn>
              <a:cxn ang="0">
                <a:pos x="connsiteX1749" y="connsiteY1749"/>
              </a:cxn>
              <a:cxn ang="0">
                <a:pos x="connsiteX1750" y="connsiteY1750"/>
              </a:cxn>
              <a:cxn ang="0">
                <a:pos x="connsiteX1751" y="connsiteY1751"/>
              </a:cxn>
              <a:cxn ang="0">
                <a:pos x="connsiteX1752" y="connsiteY1752"/>
              </a:cxn>
              <a:cxn ang="0">
                <a:pos x="connsiteX1753" y="connsiteY1753"/>
              </a:cxn>
              <a:cxn ang="0">
                <a:pos x="connsiteX1754" y="connsiteY1754"/>
              </a:cxn>
              <a:cxn ang="0">
                <a:pos x="connsiteX1755" y="connsiteY1755"/>
              </a:cxn>
              <a:cxn ang="0">
                <a:pos x="connsiteX1756" y="connsiteY1756"/>
              </a:cxn>
              <a:cxn ang="0">
                <a:pos x="connsiteX1757" y="connsiteY1757"/>
              </a:cxn>
              <a:cxn ang="0">
                <a:pos x="connsiteX1758" y="connsiteY1758"/>
              </a:cxn>
              <a:cxn ang="0">
                <a:pos x="connsiteX1759" y="connsiteY1759"/>
              </a:cxn>
              <a:cxn ang="0">
                <a:pos x="connsiteX1760" y="connsiteY1760"/>
              </a:cxn>
              <a:cxn ang="0">
                <a:pos x="connsiteX1761" y="connsiteY1761"/>
              </a:cxn>
              <a:cxn ang="0">
                <a:pos x="connsiteX1762" y="connsiteY1762"/>
              </a:cxn>
              <a:cxn ang="0">
                <a:pos x="connsiteX1763" y="connsiteY1763"/>
              </a:cxn>
              <a:cxn ang="0">
                <a:pos x="connsiteX1764" y="connsiteY1764"/>
              </a:cxn>
              <a:cxn ang="0">
                <a:pos x="connsiteX1765" y="connsiteY1765"/>
              </a:cxn>
              <a:cxn ang="0">
                <a:pos x="connsiteX1766" y="connsiteY1766"/>
              </a:cxn>
              <a:cxn ang="0">
                <a:pos x="connsiteX1767" y="connsiteY1767"/>
              </a:cxn>
              <a:cxn ang="0">
                <a:pos x="connsiteX1768" y="connsiteY1768"/>
              </a:cxn>
              <a:cxn ang="0">
                <a:pos x="connsiteX1769" y="connsiteY1769"/>
              </a:cxn>
              <a:cxn ang="0">
                <a:pos x="connsiteX1770" y="connsiteY1770"/>
              </a:cxn>
              <a:cxn ang="0">
                <a:pos x="connsiteX1771" y="connsiteY1771"/>
              </a:cxn>
              <a:cxn ang="0">
                <a:pos x="connsiteX1772" y="connsiteY1772"/>
              </a:cxn>
              <a:cxn ang="0">
                <a:pos x="connsiteX1773" y="connsiteY1773"/>
              </a:cxn>
              <a:cxn ang="0">
                <a:pos x="connsiteX1774" y="connsiteY1774"/>
              </a:cxn>
              <a:cxn ang="0">
                <a:pos x="connsiteX1775" y="connsiteY1775"/>
              </a:cxn>
              <a:cxn ang="0">
                <a:pos x="connsiteX1776" y="connsiteY1776"/>
              </a:cxn>
              <a:cxn ang="0">
                <a:pos x="connsiteX1777" y="connsiteY1777"/>
              </a:cxn>
              <a:cxn ang="0">
                <a:pos x="connsiteX1778" y="connsiteY1778"/>
              </a:cxn>
              <a:cxn ang="0">
                <a:pos x="connsiteX1779" y="connsiteY1779"/>
              </a:cxn>
              <a:cxn ang="0">
                <a:pos x="connsiteX1780" y="connsiteY1780"/>
              </a:cxn>
              <a:cxn ang="0">
                <a:pos x="connsiteX1781" y="connsiteY1781"/>
              </a:cxn>
              <a:cxn ang="0">
                <a:pos x="connsiteX1782" y="connsiteY1782"/>
              </a:cxn>
              <a:cxn ang="0">
                <a:pos x="connsiteX1783" y="connsiteY1783"/>
              </a:cxn>
              <a:cxn ang="0">
                <a:pos x="connsiteX1784" y="connsiteY1784"/>
              </a:cxn>
              <a:cxn ang="0">
                <a:pos x="connsiteX1785" y="connsiteY1785"/>
              </a:cxn>
              <a:cxn ang="0">
                <a:pos x="connsiteX1786" y="connsiteY1786"/>
              </a:cxn>
              <a:cxn ang="0">
                <a:pos x="connsiteX1787" y="connsiteY1787"/>
              </a:cxn>
              <a:cxn ang="0">
                <a:pos x="connsiteX1788" y="connsiteY1788"/>
              </a:cxn>
              <a:cxn ang="0">
                <a:pos x="connsiteX1789" y="connsiteY1789"/>
              </a:cxn>
              <a:cxn ang="0">
                <a:pos x="connsiteX1790" y="connsiteY1790"/>
              </a:cxn>
              <a:cxn ang="0">
                <a:pos x="connsiteX1791" y="connsiteY1791"/>
              </a:cxn>
              <a:cxn ang="0">
                <a:pos x="connsiteX1792" y="connsiteY1792"/>
              </a:cxn>
              <a:cxn ang="0">
                <a:pos x="connsiteX1793" y="connsiteY1793"/>
              </a:cxn>
              <a:cxn ang="0">
                <a:pos x="connsiteX1794" y="connsiteY1794"/>
              </a:cxn>
              <a:cxn ang="0">
                <a:pos x="connsiteX1795" y="connsiteY1795"/>
              </a:cxn>
              <a:cxn ang="0">
                <a:pos x="connsiteX1796" y="connsiteY1796"/>
              </a:cxn>
              <a:cxn ang="0">
                <a:pos x="connsiteX1797" y="connsiteY1797"/>
              </a:cxn>
              <a:cxn ang="0">
                <a:pos x="connsiteX1798" y="connsiteY1798"/>
              </a:cxn>
              <a:cxn ang="0">
                <a:pos x="connsiteX1799" y="connsiteY1799"/>
              </a:cxn>
              <a:cxn ang="0">
                <a:pos x="connsiteX1800" y="connsiteY1800"/>
              </a:cxn>
              <a:cxn ang="0">
                <a:pos x="connsiteX1801" y="connsiteY1801"/>
              </a:cxn>
              <a:cxn ang="0">
                <a:pos x="connsiteX1802" y="connsiteY1802"/>
              </a:cxn>
              <a:cxn ang="0">
                <a:pos x="connsiteX1803" y="connsiteY1803"/>
              </a:cxn>
              <a:cxn ang="0">
                <a:pos x="connsiteX1804" y="connsiteY1804"/>
              </a:cxn>
              <a:cxn ang="0">
                <a:pos x="connsiteX1805" y="connsiteY1805"/>
              </a:cxn>
              <a:cxn ang="0">
                <a:pos x="connsiteX1806" y="connsiteY1806"/>
              </a:cxn>
              <a:cxn ang="0">
                <a:pos x="connsiteX1807" y="connsiteY1807"/>
              </a:cxn>
              <a:cxn ang="0">
                <a:pos x="connsiteX1808" y="connsiteY1808"/>
              </a:cxn>
              <a:cxn ang="0">
                <a:pos x="connsiteX1809" y="connsiteY1809"/>
              </a:cxn>
              <a:cxn ang="0">
                <a:pos x="connsiteX1810" y="connsiteY1810"/>
              </a:cxn>
              <a:cxn ang="0">
                <a:pos x="connsiteX1811" y="connsiteY1811"/>
              </a:cxn>
              <a:cxn ang="0">
                <a:pos x="connsiteX1812" y="connsiteY1812"/>
              </a:cxn>
              <a:cxn ang="0">
                <a:pos x="connsiteX1813" y="connsiteY1813"/>
              </a:cxn>
              <a:cxn ang="0">
                <a:pos x="connsiteX1814" y="connsiteY1814"/>
              </a:cxn>
              <a:cxn ang="0">
                <a:pos x="connsiteX1815" y="connsiteY1815"/>
              </a:cxn>
              <a:cxn ang="0">
                <a:pos x="connsiteX1816" y="connsiteY1816"/>
              </a:cxn>
              <a:cxn ang="0">
                <a:pos x="connsiteX1817" y="connsiteY1817"/>
              </a:cxn>
              <a:cxn ang="0">
                <a:pos x="connsiteX1818" y="connsiteY1818"/>
              </a:cxn>
              <a:cxn ang="0">
                <a:pos x="connsiteX1819" y="connsiteY1819"/>
              </a:cxn>
              <a:cxn ang="0">
                <a:pos x="connsiteX1820" y="connsiteY1820"/>
              </a:cxn>
              <a:cxn ang="0">
                <a:pos x="connsiteX1821" y="connsiteY1821"/>
              </a:cxn>
              <a:cxn ang="0">
                <a:pos x="connsiteX1822" y="connsiteY1822"/>
              </a:cxn>
              <a:cxn ang="0">
                <a:pos x="connsiteX1823" y="connsiteY1823"/>
              </a:cxn>
              <a:cxn ang="0">
                <a:pos x="connsiteX1824" y="connsiteY1824"/>
              </a:cxn>
              <a:cxn ang="0">
                <a:pos x="connsiteX1825" y="connsiteY1825"/>
              </a:cxn>
              <a:cxn ang="0">
                <a:pos x="connsiteX1826" y="connsiteY1826"/>
              </a:cxn>
              <a:cxn ang="0">
                <a:pos x="connsiteX1827" y="connsiteY1827"/>
              </a:cxn>
              <a:cxn ang="0">
                <a:pos x="connsiteX1828" y="connsiteY1828"/>
              </a:cxn>
              <a:cxn ang="0">
                <a:pos x="connsiteX1829" y="connsiteY1829"/>
              </a:cxn>
              <a:cxn ang="0">
                <a:pos x="connsiteX1830" y="connsiteY1830"/>
              </a:cxn>
              <a:cxn ang="0">
                <a:pos x="connsiteX1831" y="connsiteY1831"/>
              </a:cxn>
              <a:cxn ang="0">
                <a:pos x="connsiteX1832" y="connsiteY1832"/>
              </a:cxn>
              <a:cxn ang="0">
                <a:pos x="connsiteX1833" y="connsiteY1833"/>
              </a:cxn>
              <a:cxn ang="0">
                <a:pos x="connsiteX1834" y="connsiteY1834"/>
              </a:cxn>
              <a:cxn ang="0">
                <a:pos x="connsiteX1835" y="connsiteY1835"/>
              </a:cxn>
              <a:cxn ang="0">
                <a:pos x="connsiteX1836" y="connsiteY1836"/>
              </a:cxn>
              <a:cxn ang="0">
                <a:pos x="connsiteX1837" y="connsiteY1837"/>
              </a:cxn>
              <a:cxn ang="0">
                <a:pos x="connsiteX1838" y="connsiteY1838"/>
              </a:cxn>
              <a:cxn ang="0">
                <a:pos x="connsiteX1839" y="connsiteY1839"/>
              </a:cxn>
              <a:cxn ang="0">
                <a:pos x="connsiteX1840" y="connsiteY1840"/>
              </a:cxn>
              <a:cxn ang="0">
                <a:pos x="connsiteX1841" y="connsiteY1841"/>
              </a:cxn>
              <a:cxn ang="0">
                <a:pos x="connsiteX1842" y="connsiteY1842"/>
              </a:cxn>
              <a:cxn ang="0">
                <a:pos x="connsiteX1843" y="connsiteY1843"/>
              </a:cxn>
              <a:cxn ang="0">
                <a:pos x="connsiteX1844" y="connsiteY1844"/>
              </a:cxn>
              <a:cxn ang="0">
                <a:pos x="connsiteX1845" y="connsiteY1845"/>
              </a:cxn>
              <a:cxn ang="0">
                <a:pos x="connsiteX1846" y="connsiteY1846"/>
              </a:cxn>
              <a:cxn ang="0">
                <a:pos x="connsiteX1847" y="connsiteY1847"/>
              </a:cxn>
              <a:cxn ang="0">
                <a:pos x="connsiteX1848" y="connsiteY1848"/>
              </a:cxn>
              <a:cxn ang="0">
                <a:pos x="connsiteX1849" y="connsiteY1849"/>
              </a:cxn>
              <a:cxn ang="0">
                <a:pos x="connsiteX1850" y="connsiteY1850"/>
              </a:cxn>
              <a:cxn ang="0">
                <a:pos x="connsiteX1851" y="connsiteY1851"/>
              </a:cxn>
              <a:cxn ang="0">
                <a:pos x="connsiteX1852" y="connsiteY1852"/>
              </a:cxn>
              <a:cxn ang="0">
                <a:pos x="connsiteX1853" y="connsiteY1853"/>
              </a:cxn>
              <a:cxn ang="0">
                <a:pos x="connsiteX1854" y="connsiteY1854"/>
              </a:cxn>
              <a:cxn ang="0">
                <a:pos x="connsiteX1855" y="connsiteY1855"/>
              </a:cxn>
              <a:cxn ang="0">
                <a:pos x="connsiteX1856" y="connsiteY1856"/>
              </a:cxn>
              <a:cxn ang="0">
                <a:pos x="connsiteX1857" y="connsiteY1857"/>
              </a:cxn>
              <a:cxn ang="0">
                <a:pos x="connsiteX1858" y="connsiteY1858"/>
              </a:cxn>
              <a:cxn ang="0">
                <a:pos x="connsiteX1859" y="connsiteY1859"/>
              </a:cxn>
              <a:cxn ang="0">
                <a:pos x="connsiteX1860" y="connsiteY1860"/>
              </a:cxn>
              <a:cxn ang="0">
                <a:pos x="connsiteX1861" y="connsiteY1861"/>
              </a:cxn>
              <a:cxn ang="0">
                <a:pos x="connsiteX1862" y="connsiteY1862"/>
              </a:cxn>
              <a:cxn ang="0">
                <a:pos x="connsiteX1863" y="connsiteY1863"/>
              </a:cxn>
              <a:cxn ang="0">
                <a:pos x="connsiteX1864" y="connsiteY1864"/>
              </a:cxn>
              <a:cxn ang="0">
                <a:pos x="connsiteX1865" y="connsiteY1865"/>
              </a:cxn>
              <a:cxn ang="0">
                <a:pos x="connsiteX1866" y="connsiteY1866"/>
              </a:cxn>
              <a:cxn ang="0">
                <a:pos x="connsiteX1867" y="connsiteY1867"/>
              </a:cxn>
              <a:cxn ang="0">
                <a:pos x="connsiteX1868" y="connsiteY1868"/>
              </a:cxn>
              <a:cxn ang="0">
                <a:pos x="connsiteX1869" y="connsiteY1869"/>
              </a:cxn>
              <a:cxn ang="0">
                <a:pos x="connsiteX1870" y="connsiteY1870"/>
              </a:cxn>
              <a:cxn ang="0">
                <a:pos x="connsiteX1871" y="connsiteY1871"/>
              </a:cxn>
              <a:cxn ang="0">
                <a:pos x="connsiteX1872" y="connsiteY1872"/>
              </a:cxn>
              <a:cxn ang="0">
                <a:pos x="connsiteX1873" y="connsiteY1873"/>
              </a:cxn>
              <a:cxn ang="0">
                <a:pos x="connsiteX1874" y="connsiteY1874"/>
              </a:cxn>
              <a:cxn ang="0">
                <a:pos x="connsiteX1875" y="connsiteY1875"/>
              </a:cxn>
              <a:cxn ang="0">
                <a:pos x="connsiteX1876" y="connsiteY1876"/>
              </a:cxn>
              <a:cxn ang="0">
                <a:pos x="connsiteX1877" y="connsiteY1877"/>
              </a:cxn>
              <a:cxn ang="0">
                <a:pos x="connsiteX1878" y="connsiteY1878"/>
              </a:cxn>
              <a:cxn ang="0">
                <a:pos x="connsiteX1879" y="connsiteY1879"/>
              </a:cxn>
              <a:cxn ang="0">
                <a:pos x="connsiteX1880" y="connsiteY1880"/>
              </a:cxn>
              <a:cxn ang="0">
                <a:pos x="connsiteX1881" y="connsiteY1881"/>
              </a:cxn>
              <a:cxn ang="0">
                <a:pos x="connsiteX1882" y="connsiteY1882"/>
              </a:cxn>
              <a:cxn ang="0">
                <a:pos x="connsiteX1883" y="connsiteY1883"/>
              </a:cxn>
              <a:cxn ang="0">
                <a:pos x="connsiteX1884" y="connsiteY1884"/>
              </a:cxn>
              <a:cxn ang="0">
                <a:pos x="connsiteX1885" y="connsiteY1885"/>
              </a:cxn>
              <a:cxn ang="0">
                <a:pos x="connsiteX1886" y="connsiteY1886"/>
              </a:cxn>
              <a:cxn ang="0">
                <a:pos x="connsiteX1887" y="connsiteY1887"/>
              </a:cxn>
              <a:cxn ang="0">
                <a:pos x="connsiteX1888" y="connsiteY1888"/>
              </a:cxn>
              <a:cxn ang="0">
                <a:pos x="connsiteX1889" y="connsiteY1889"/>
              </a:cxn>
              <a:cxn ang="0">
                <a:pos x="connsiteX1890" y="connsiteY1890"/>
              </a:cxn>
              <a:cxn ang="0">
                <a:pos x="connsiteX1891" y="connsiteY1891"/>
              </a:cxn>
              <a:cxn ang="0">
                <a:pos x="connsiteX1892" y="connsiteY1892"/>
              </a:cxn>
              <a:cxn ang="0">
                <a:pos x="connsiteX1893" y="connsiteY1893"/>
              </a:cxn>
              <a:cxn ang="0">
                <a:pos x="connsiteX1894" y="connsiteY1894"/>
              </a:cxn>
              <a:cxn ang="0">
                <a:pos x="connsiteX1895" y="connsiteY1895"/>
              </a:cxn>
              <a:cxn ang="0">
                <a:pos x="connsiteX1896" y="connsiteY1896"/>
              </a:cxn>
              <a:cxn ang="0">
                <a:pos x="connsiteX1897" y="connsiteY1897"/>
              </a:cxn>
              <a:cxn ang="0">
                <a:pos x="connsiteX1898" y="connsiteY1898"/>
              </a:cxn>
              <a:cxn ang="0">
                <a:pos x="connsiteX1899" y="connsiteY1899"/>
              </a:cxn>
              <a:cxn ang="0">
                <a:pos x="connsiteX1900" y="connsiteY1900"/>
              </a:cxn>
              <a:cxn ang="0">
                <a:pos x="connsiteX1901" y="connsiteY1901"/>
              </a:cxn>
              <a:cxn ang="0">
                <a:pos x="connsiteX1902" y="connsiteY1902"/>
              </a:cxn>
              <a:cxn ang="0">
                <a:pos x="connsiteX1903" y="connsiteY1903"/>
              </a:cxn>
              <a:cxn ang="0">
                <a:pos x="connsiteX1904" y="connsiteY1904"/>
              </a:cxn>
              <a:cxn ang="0">
                <a:pos x="connsiteX1905" y="connsiteY1905"/>
              </a:cxn>
              <a:cxn ang="0">
                <a:pos x="connsiteX1906" y="connsiteY1906"/>
              </a:cxn>
              <a:cxn ang="0">
                <a:pos x="connsiteX1907" y="connsiteY1907"/>
              </a:cxn>
              <a:cxn ang="0">
                <a:pos x="connsiteX1908" y="connsiteY1908"/>
              </a:cxn>
              <a:cxn ang="0">
                <a:pos x="connsiteX1909" y="connsiteY1909"/>
              </a:cxn>
              <a:cxn ang="0">
                <a:pos x="connsiteX1910" y="connsiteY1910"/>
              </a:cxn>
              <a:cxn ang="0">
                <a:pos x="connsiteX1911" y="connsiteY1911"/>
              </a:cxn>
              <a:cxn ang="0">
                <a:pos x="connsiteX1912" y="connsiteY1912"/>
              </a:cxn>
              <a:cxn ang="0">
                <a:pos x="connsiteX1913" y="connsiteY1913"/>
              </a:cxn>
              <a:cxn ang="0">
                <a:pos x="connsiteX1914" y="connsiteY1914"/>
              </a:cxn>
              <a:cxn ang="0">
                <a:pos x="connsiteX1915" y="connsiteY1915"/>
              </a:cxn>
              <a:cxn ang="0">
                <a:pos x="connsiteX1916" y="connsiteY1916"/>
              </a:cxn>
              <a:cxn ang="0">
                <a:pos x="connsiteX1917" y="connsiteY1917"/>
              </a:cxn>
              <a:cxn ang="0">
                <a:pos x="connsiteX1918" y="connsiteY1918"/>
              </a:cxn>
              <a:cxn ang="0">
                <a:pos x="connsiteX1919" y="connsiteY1919"/>
              </a:cxn>
              <a:cxn ang="0">
                <a:pos x="connsiteX1920" y="connsiteY1920"/>
              </a:cxn>
              <a:cxn ang="0">
                <a:pos x="connsiteX1921" y="connsiteY1921"/>
              </a:cxn>
              <a:cxn ang="0">
                <a:pos x="connsiteX1922" y="connsiteY1922"/>
              </a:cxn>
              <a:cxn ang="0">
                <a:pos x="connsiteX1923" y="connsiteY1923"/>
              </a:cxn>
              <a:cxn ang="0">
                <a:pos x="connsiteX1924" y="connsiteY1924"/>
              </a:cxn>
              <a:cxn ang="0">
                <a:pos x="connsiteX1925" y="connsiteY1925"/>
              </a:cxn>
              <a:cxn ang="0">
                <a:pos x="connsiteX1926" y="connsiteY1926"/>
              </a:cxn>
              <a:cxn ang="0">
                <a:pos x="connsiteX1927" y="connsiteY1927"/>
              </a:cxn>
              <a:cxn ang="0">
                <a:pos x="connsiteX1928" y="connsiteY1928"/>
              </a:cxn>
              <a:cxn ang="0">
                <a:pos x="connsiteX1929" y="connsiteY1929"/>
              </a:cxn>
              <a:cxn ang="0">
                <a:pos x="connsiteX1930" y="connsiteY1930"/>
              </a:cxn>
              <a:cxn ang="0">
                <a:pos x="connsiteX1931" y="connsiteY1931"/>
              </a:cxn>
              <a:cxn ang="0">
                <a:pos x="connsiteX1932" y="connsiteY1932"/>
              </a:cxn>
              <a:cxn ang="0">
                <a:pos x="connsiteX1933" y="connsiteY1933"/>
              </a:cxn>
              <a:cxn ang="0">
                <a:pos x="connsiteX1934" y="connsiteY1934"/>
              </a:cxn>
              <a:cxn ang="0">
                <a:pos x="connsiteX1935" y="connsiteY1935"/>
              </a:cxn>
              <a:cxn ang="0">
                <a:pos x="connsiteX1936" y="connsiteY1936"/>
              </a:cxn>
              <a:cxn ang="0">
                <a:pos x="connsiteX1937" y="connsiteY1937"/>
              </a:cxn>
              <a:cxn ang="0">
                <a:pos x="connsiteX1938" y="connsiteY1938"/>
              </a:cxn>
              <a:cxn ang="0">
                <a:pos x="connsiteX1939" y="connsiteY1939"/>
              </a:cxn>
              <a:cxn ang="0">
                <a:pos x="connsiteX1940" y="connsiteY1940"/>
              </a:cxn>
              <a:cxn ang="0">
                <a:pos x="connsiteX1941" y="connsiteY1941"/>
              </a:cxn>
              <a:cxn ang="0">
                <a:pos x="connsiteX1942" y="connsiteY1942"/>
              </a:cxn>
              <a:cxn ang="0">
                <a:pos x="connsiteX1943" y="connsiteY1943"/>
              </a:cxn>
              <a:cxn ang="0">
                <a:pos x="connsiteX1944" y="connsiteY1944"/>
              </a:cxn>
              <a:cxn ang="0">
                <a:pos x="connsiteX1945" y="connsiteY1945"/>
              </a:cxn>
              <a:cxn ang="0">
                <a:pos x="connsiteX1946" y="connsiteY1946"/>
              </a:cxn>
              <a:cxn ang="0">
                <a:pos x="connsiteX1947" y="connsiteY1947"/>
              </a:cxn>
              <a:cxn ang="0">
                <a:pos x="connsiteX1948" y="connsiteY1948"/>
              </a:cxn>
              <a:cxn ang="0">
                <a:pos x="connsiteX1949" y="connsiteY1949"/>
              </a:cxn>
              <a:cxn ang="0">
                <a:pos x="connsiteX1950" y="connsiteY1950"/>
              </a:cxn>
              <a:cxn ang="0">
                <a:pos x="connsiteX1951" y="connsiteY1951"/>
              </a:cxn>
              <a:cxn ang="0">
                <a:pos x="connsiteX1952" y="connsiteY1952"/>
              </a:cxn>
              <a:cxn ang="0">
                <a:pos x="connsiteX1953" y="connsiteY1953"/>
              </a:cxn>
              <a:cxn ang="0">
                <a:pos x="connsiteX1954" y="connsiteY1954"/>
              </a:cxn>
              <a:cxn ang="0">
                <a:pos x="connsiteX1955" y="connsiteY1955"/>
              </a:cxn>
              <a:cxn ang="0">
                <a:pos x="connsiteX1956" y="connsiteY1956"/>
              </a:cxn>
              <a:cxn ang="0">
                <a:pos x="connsiteX1957" y="connsiteY1957"/>
              </a:cxn>
              <a:cxn ang="0">
                <a:pos x="connsiteX1958" y="connsiteY1958"/>
              </a:cxn>
              <a:cxn ang="0">
                <a:pos x="connsiteX1959" y="connsiteY1959"/>
              </a:cxn>
              <a:cxn ang="0">
                <a:pos x="connsiteX1960" y="connsiteY1960"/>
              </a:cxn>
              <a:cxn ang="0">
                <a:pos x="connsiteX1961" y="connsiteY1961"/>
              </a:cxn>
              <a:cxn ang="0">
                <a:pos x="connsiteX1962" y="connsiteY1962"/>
              </a:cxn>
              <a:cxn ang="0">
                <a:pos x="connsiteX1963" y="connsiteY1963"/>
              </a:cxn>
              <a:cxn ang="0">
                <a:pos x="connsiteX1964" y="connsiteY1964"/>
              </a:cxn>
              <a:cxn ang="0">
                <a:pos x="connsiteX1965" y="connsiteY1965"/>
              </a:cxn>
              <a:cxn ang="0">
                <a:pos x="connsiteX1966" y="connsiteY1966"/>
              </a:cxn>
              <a:cxn ang="0">
                <a:pos x="connsiteX1967" y="connsiteY1967"/>
              </a:cxn>
              <a:cxn ang="0">
                <a:pos x="connsiteX1968" y="connsiteY1968"/>
              </a:cxn>
              <a:cxn ang="0">
                <a:pos x="connsiteX1969" y="connsiteY1969"/>
              </a:cxn>
              <a:cxn ang="0">
                <a:pos x="connsiteX1970" y="connsiteY1970"/>
              </a:cxn>
              <a:cxn ang="0">
                <a:pos x="connsiteX1971" y="connsiteY1971"/>
              </a:cxn>
              <a:cxn ang="0">
                <a:pos x="connsiteX1972" y="connsiteY1972"/>
              </a:cxn>
              <a:cxn ang="0">
                <a:pos x="connsiteX1973" y="connsiteY1973"/>
              </a:cxn>
              <a:cxn ang="0">
                <a:pos x="connsiteX1974" y="connsiteY1974"/>
              </a:cxn>
              <a:cxn ang="0">
                <a:pos x="connsiteX1975" y="connsiteY1975"/>
              </a:cxn>
              <a:cxn ang="0">
                <a:pos x="connsiteX1976" y="connsiteY1976"/>
              </a:cxn>
              <a:cxn ang="0">
                <a:pos x="connsiteX1977" y="connsiteY1977"/>
              </a:cxn>
              <a:cxn ang="0">
                <a:pos x="connsiteX1978" y="connsiteY1978"/>
              </a:cxn>
              <a:cxn ang="0">
                <a:pos x="connsiteX1979" y="connsiteY1979"/>
              </a:cxn>
              <a:cxn ang="0">
                <a:pos x="connsiteX1980" y="connsiteY1980"/>
              </a:cxn>
              <a:cxn ang="0">
                <a:pos x="connsiteX1981" y="connsiteY1981"/>
              </a:cxn>
              <a:cxn ang="0">
                <a:pos x="connsiteX1982" y="connsiteY1982"/>
              </a:cxn>
              <a:cxn ang="0">
                <a:pos x="connsiteX1983" y="connsiteY1983"/>
              </a:cxn>
              <a:cxn ang="0">
                <a:pos x="connsiteX1984" y="connsiteY1984"/>
              </a:cxn>
              <a:cxn ang="0">
                <a:pos x="connsiteX1985" y="connsiteY1985"/>
              </a:cxn>
              <a:cxn ang="0">
                <a:pos x="connsiteX1986" y="connsiteY1986"/>
              </a:cxn>
              <a:cxn ang="0">
                <a:pos x="connsiteX1987" y="connsiteY1987"/>
              </a:cxn>
              <a:cxn ang="0">
                <a:pos x="connsiteX1988" y="connsiteY1988"/>
              </a:cxn>
              <a:cxn ang="0">
                <a:pos x="connsiteX1989" y="connsiteY1989"/>
              </a:cxn>
              <a:cxn ang="0">
                <a:pos x="connsiteX1990" y="connsiteY1990"/>
              </a:cxn>
              <a:cxn ang="0">
                <a:pos x="connsiteX1991" y="connsiteY1991"/>
              </a:cxn>
              <a:cxn ang="0">
                <a:pos x="connsiteX1992" y="connsiteY1992"/>
              </a:cxn>
              <a:cxn ang="0">
                <a:pos x="connsiteX1993" y="connsiteY1993"/>
              </a:cxn>
              <a:cxn ang="0">
                <a:pos x="connsiteX1994" y="connsiteY1994"/>
              </a:cxn>
              <a:cxn ang="0">
                <a:pos x="connsiteX1995" y="connsiteY1995"/>
              </a:cxn>
              <a:cxn ang="0">
                <a:pos x="connsiteX1996" y="connsiteY1996"/>
              </a:cxn>
              <a:cxn ang="0">
                <a:pos x="connsiteX1997" y="connsiteY1997"/>
              </a:cxn>
              <a:cxn ang="0">
                <a:pos x="connsiteX1998" y="connsiteY1998"/>
              </a:cxn>
              <a:cxn ang="0">
                <a:pos x="connsiteX1999" y="connsiteY1999"/>
              </a:cxn>
              <a:cxn ang="0">
                <a:pos x="connsiteX2000" y="connsiteY2000"/>
              </a:cxn>
              <a:cxn ang="0">
                <a:pos x="connsiteX2001" y="connsiteY2001"/>
              </a:cxn>
              <a:cxn ang="0">
                <a:pos x="connsiteX2002" y="connsiteY2002"/>
              </a:cxn>
              <a:cxn ang="0">
                <a:pos x="connsiteX2003" y="connsiteY2003"/>
              </a:cxn>
              <a:cxn ang="0">
                <a:pos x="connsiteX2004" y="connsiteY2004"/>
              </a:cxn>
              <a:cxn ang="0">
                <a:pos x="connsiteX2005" y="connsiteY2005"/>
              </a:cxn>
              <a:cxn ang="0">
                <a:pos x="connsiteX2006" y="connsiteY2006"/>
              </a:cxn>
              <a:cxn ang="0">
                <a:pos x="connsiteX2007" y="connsiteY2007"/>
              </a:cxn>
              <a:cxn ang="0">
                <a:pos x="connsiteX2008" y="connsiteY2008"/>
              </a:cxn>
              <a:cxn ang="0">
                <a:pos x="connsiteX2009" y="connsiteY2009"/>
              </a:cxn>
              <a:cxn ang="0">
                <a:pos x="connsiteX2010" y="connsiteY2010"/>
              </a:cxn>
              <a:cxn ang="0">
                <a:pos x="connsiteX2011" y="connsiteY2011"/>
              </a:cxn>
              <a:cxn ang="0">
                <a:pos x="connsiteX2012" y="connsiteY2012"/>
              </a:cxn>
              <a:cxn ang="0">
                <a:pos x="connsiteX2013" y="connsiteY2013"/>
              </a:cxn>
              <a:cxn ang="0">
                <a:pos x="connsiteX2014" y="connsiteY2014"/>
              </a:cxn>
              <a:cxn ang="0">
                <a:pos x="connsiteX2015" y="connsiteY2015"/>
              </a:cxn>
              <a:cxn ang="0">
                <a:pos x="connsiteX2016" y="connsiteY2016"/>
              </a:cxn>
              <a:cxn ang="0">
                <a:pos x="connsiteX2017" y="connsiteY2017"/>
              </a:cxn>
              <a:cxn ang="0">
                <a:pos x="connsiteX2018" y="connsiteY2018"/>
              </a:cxn>
              <a:cxn ang="0">
                <a:pos x="connsiteX2019" y="connsiteY2019"/>
              </a:cxn>
              <a:cxn ang="0">
                <a:pos x="connsiteX2020" y="connsiteY2020"/>
              </a:cxn>
              <a:cxn ang="0">
                <a:pos x="connsiteX2021" y="connsiteY2021"/>
              </a:cxn>
              <a:cxn ang="0">
                <a:pos x="connsiteX2022" y="connsiteY2022"/>
              </a:cxn>
              <a:cxn ang="0">
                <a:pos x="connsiteX2023" y="connsiteY2023"/>
              </a:cxn>
              <a:cxn ang="0">
                <a:pos x="connsiteX2024" y="connsiteY2024"/>
              </a:cxn>
              <a:cxn ang="0">
                <a:pos x="connsiteX2025" y="connsiteY2025"/>
              </a:cxn>
              <a:cxn ang="0">
                <a:pos x="connsiteX2026" y="connsiteY2026"/>
              </a:cxn>
              <a:cxn ang="0">
                <a:pos x="connsiteX2027" y="connsiteY2027"/>
              </a:cxn>
              <a:cxn ang="0">
                <a:pos x="connsiteX2028" y="connsiteY2028"/>
              </a:cxn>
              <a:cxn ang="0">
                <a:pos x="connsiteX2029" y="connsiteY2029"/>
              </a:cxn>
              <a:cxn ang="0">
                <a:pos x="connsiteX2030" y="connsiteY2030"/>
              </a:cxn>
              <a:cxn ang="0">
                <a:pos x="connsiteX2031" y="connsiteY2031"/>
              </a:cxn>
              <a:cxn ang="0">
                <a:pos x="connsiteX2032" y="connsiteY2032"/>
              </a:cxn>
              <a:cxn ang="0">
                <a:pos x="connsiteX2033" y="connsiteY2033"/>
              </a:cxn>
              <a:cxn ang="0">
                <a:pos x="connsiteX2034" y="connsiteY2034"/>
              </a:cxn>
              <a:cxn ang="0">
                <a:pos x="connsiteX2035" y="connsiteY2035"/>
              </a:cxn>
              <a:cxn ang="0">
                <a:pos x="connsiteX2036" y="connsiteY2036"/>
              </a:cxn>
              <a:cxn ang="0">
                <a:pos x="connsiteX2037" y="connsiteY2037"/>
              </a:cxn>
              <a:cxn ang="0">
                <a:pos x="connsiteX2038" y="connsiteY2038"/>
              </a:cxn>
              <a:cxn ang="0">
                <a:pos x="connsiteX2039" y="connsiteY2039"/>
              </a:cxn>
              <a:cxn ang="0">
                <a:pos x="connsiteX2040" y="connsiteY2040"/>
              </a:cxn>
              <a:cxn ang="0">
                <a:pos x="connsiteX2041" y="connsiteY2041"/>
              </a:cxn>
              <a:cxn ang="0">
                <a:pos x="connsiteX2042" y="connsiteY2042"/>
              </a:cxn>
              <a:cxn ang="0">
                <a:pos x="connsiteX2043" y="connsiteY2043"/>
              </a:cxn>
              <a:cxn ang="0">
                <a:pos x="connsiteX2044" y="connsiteY2044"/>
              </a:cxn>
              <a:cxn ang="0">
                <a:pos x="connsiteX2045" y="connsiteY2045"/>
              </a:cxn>
              <a:cxn ang="0">
                <a:pos x="connsiteX2046" y="connsiteY2046"/>
              </a:cxn>
              <a:cxn ang="0">
                <a:pos x="connsiteX2047" y="connsiteY2047"/>
              </a:cxn>
              <a:cxn ang="0">
                <a:pos x="connsiteX2048" y="connsiteY2048"/>
              </a:cxn>
              <a:cxn ang="0">
                <a:pos x="connsiteX2049" y="connsiteY2049"/>
              </a:cxn>
              <a:cxn ang="0">
                <a:pos x="connsiteX2050" y="connsiteY2050"/>
              </a:cxn>
              <a:cxn ang="0">
                <a:pos x="connsiteX2051" y="connsiteY2051"/>
              </a:cxn>
              <a:cxn ang="0">
                <a:pos x="connsiteX2052" y="connsiteY2052"/>
              </a:cxn>
              <a:cxn ang="0">
                <a:pos x="connsiteX2053" y="connsiteY2053"/>
              </a:cxn>
              <a:cxn ang="0">
                <a:pos x="connsiteX2054" y="connsiteY2054"/>
              </a:cxn>
              <a:cxn ang="0">
                <a:pos x="connsiteX2055" y="connsiteY2055"/>
              </a:cxn>
              <a:cxn ang="0">
                <a:pos x="connsiteX2056" y="connsiteY2056"/>
              </a:cxn>
              <a:cxn ang="0">
                <a:pos x="connsiteX2057" y="connsiteY2057"/>
              </a:cxn>
              <a:cxn ang="0">
                <a:pos x="connsiteX2058" y="connsiteY2058"/>
              </a:cxn>
              <a:cxn ang="0">
                <a:pos x="connsiteX2059" y="connsiteY2059"/>
              </a:cxn>
              <a:cxn ang="0">
                <a:pos x="connsiteX2060" y="connsiteY2060"/>
              </a:cxn>
              <a:cxn ang="0">
                <a:pos x="connsiteX2061" y="connsiteY2061"/>
              </a:cxn>
              <a:cxn ang="0">
                <a:pos x="connsiteX2062" y="connsiteY2062"/>
              </a:cxn>
              <a:cxn ang="0">
                <a:pos x="connsiteX2063" y="connsiteY2063"/>
              </a:cxn>
              <a:cxn ang="0">
                <a:pos x="connsiteX2064" y="connsiteY2064"/>
              </a:cxn>
              <a:cxn ang="0">
                <a:pos x="connsiteX2065" y="connsiteY2065"/>
              </a:cxn>
              <a:cxn ang="0">
                <a:pos x="connsiteX2066" y="connsiteY2066"/>
              </a:cxn>
              <a:cxn ang="0">
                <a:pos x="connsiteX2067" y="connsiteY2067"/>
              </a:cxn>
              <a:cxn ang="0">
                <a:pos x="connsiteX2068" y="connsiteY2068"/>
              </a:cxn>
              <a:cxn ang="0">
                <a:pos x="connsiteX2069" y="connsiteY2069"/>
              </a:cxn>
              <a:cxn ang="0">
                <a:pos x="connsiteX2070" y="connsiteY2070"/>
              </a:cxn>
              <a:cxn ang="0">
                <a:pos x="connsiteX2071" y="connsiteY2071"/>
              </a:cxn>
              <a:cxn ang="0">
                <a:pos x="connsiteX2072" y="connsiteY2072"/>
              </a:cxn>
              <a:cxn ang="0">
                <a:pos x="connsiteX2073" y="connsiteY2073"/>
              </a:cxn>
              <a:cxn ang="0">
                <a:pos x="connsiteX2074" y="connsiteY2074"/>
              </a:cxn>
              <a:cxn ang="0">
                <a:pos x="connsiteX2075" y="connsiteY2075"/>
              </a:cxn>
              <a:cxn ang="0">
                <a:pos x="connsiteX2076" y="connsiteY2076"/>
              </a:cxn>
              <a:cxn ang="0">
                <a:pos x="connsiteX2077" y="connsiteY2077"/>
              </a:cxn>
              <a:cxn ang="0">
                <a:pos x="connsiteX2078" y="connsiteY2078"/>
              </a:cxn>
              <a:cxn ang="0">
                <a:pos x="connsiteX2079" y="connsiteY2079"/>
              </a:cxn>
              <a:cxn ang="0">
                <a:pos x="connsiteX2080" y="connsiteY2080"/>
              </a:cxn>
              <a:cxn ang="0">
                <a:pos x="connsiteX2081" y="connsiteY2081"/>
              </a:cxn>
              <a:cxn ang="0">
                <a:pos x="connsiteX2082" y="connsiteY2082"/>
              </a:cxn>
              <a:cxn ang="0">
                <a:pos x="connsiteX2083" y="connsiteY2083"/>
              </a:cxn>
              <a:cxn ang="0">
                <a:pos x="connsiteX2084" y="connsiteY2084"/>
              </a:cxn>
              <a:cxn ang="0">
                <a:pos x="connsiteX2085" y="connsiteY2085"/>
              </a:cxn>
              <a:cxn ang="0">
                <a:pos x="connsiteX2086" y="connsiteY2086"/>
              </a:cxn>
              <a:cxn ang="0">
                <a:pos x="connsiteX2087" y="connsiteY2087"/>
              </a:cxn>
              <a:cxn ang="0">
                <a:pos x="connsiteX2088" y="connsiteY2088"/>
              </a:cxn>
              <a:cxn ang="0">
                <a:pos x="connsiteX2089" y="connsiteY2089"/>
              </a:cxn>
              <a:cxn ang="0">
                <a:pos x="connsiteX2090" y="connsiteY2090"/>
              </a:cxn>
              <a:cxn ang="0">
                <a:pos x="connsiteX2091" y="connsiteY2091"/>
              </a:cxn>
              <a:cxn ang="0">
                <a:pos x="connsiteX2092" y="connsiteY2092"/>
              </a:cxn>
              <a:cxn ang="0">
                <a:pos x="connsiteX2093" y="connsiteY2093"/>
              </a:cxn>
              <a:cxn ang="0">
                <a:pos x="connsiteX2094" y="connsiteY2094"/>
              </a:cxn>
              <a:cxn ang="0">
                <a:pos x="connsiteX2095" y="connsiteY2095"/>
              </a:cxn>
              <a:cxn ang="0">
                <a:pos x="connsiteX2096" y="connsiteY2096"/>
              </a:cxn>
              <a:cxn ang="0">
                <a:pos x="connsiteX2097" y="connsiteY2097"/>
              </a:cxn>
              <a:cxn ang="0">
                <a:pos x="connsiteX2098" y="connsiteY2098"/>
              </a:cxn>
              <a:cxn ang="0">
                <a:pos x="connsiteX2099" y="connsiteY2099"/>
              </a:cxn>
              <a:cxn ang="0">
                <a:pos x="connsiteX2100" y="connsiteY2100"/>
              </a:cxn>
              <a:cxn ang="0">
                <a:pos x="connsiteX2101" y="connsiteY2101"/>
              </a:cxn>
              <a:cxn ang="0">
                <a:pos x="connsiteX2102" y="connsiteY2102"/>
              </a:cxn>
              <a:cxn ang="0">
                <a:pos x="connsiteX2103" y="connsiteY2103"/>
              </a:cxn>
              <a:cxn ang="0">
                <a:pos x="connsiteX2104" y="connsiteY2104"/>
              </a:cxn>
              <a:cxn ang="0">
                <a:pos x="connsiteX2105" y="connsiteY2105"/>
              </a:cxn>
              <a:cxn ang="0">
                <a:pos x="connsiteX2106" y="connsiteY2106"/>
              </a:cxn>
              <a:cxn ang="0">
                <a:pos x="connsiteX2107" y="connsiteY2107"/>
              </a:cxn>
              <a:cxn ang="0">
                <a:pos x="connsiteX2108" y="connsiteY2108"/>
              </a:cxn>
              <a:cxn ang="0">
                <a:pos x="connsiteX2109" y="connsiteY2109"/>
              </a:cxn>
              <a:cxn ang="0">
                <a:pos x="connsiteX2110" y="connsiteY2110"/>
              </a:cxn>
              <a:cxn ang="0">
                <a:pos x="connsiteX2111" y="connsiteY2111"/>
              </a:cxn>
              <a:cxn ang="0">
                <a:pos x="connsiteX2112" y="connsiteY2112"/>
              </a:cxn>
              <a:cxn ang="0">
                <a:pos x="connsiteX2113" y="connsiteY2113"/>
              </a:cxn>
              <a:cxn ang="0">
                <a:pos x="connsiteX2114" y="connsiteY2114"/>
              </a:cxn>
              <a:cxn ang="0">
                <a:pos x="connsiteX2115" y="connsiteY2115"/>
              </a:cxn>
              <a:cxn ang="0">
                <a:pos x="connsiteX2116" y="connsiteY2116"/>
              </a:cxn>
              <a:cxn ang="0">
                <a:pos x="connsiteX2117" y="connsiteY2117"/>
              </a:cxn>
              <a:cxn ang="0">
                <a:pos x="connsiteX2118" y="connsiteY2118"/>
              </a:cxn>
              <a:cxn ang="0">
                <a:pos x="connsiteX2119" y="connsiteY2119"/>
              </a:cxn>
              <a:cxn ang="0">
                <a:pos x="connsiteX2120" y="connsiteY2120"/>
              </a:cxn>
              <a:cxn ang="0">
                <a:pos x="connsiteX2121" y="connsiteY2121"/>
              </a:cxn>
              <a:cxn ang="0">
                <a:pos x="connsiteX2122" y="connsiteY2122"/>
              </a:cxn>
              <a:cxn ang="0">
                <a:pos x="connsiteX2123" y="connsiteY2123"/>
              </a:cxn>
              <a:cxn ang="0">
                <a:pos x="connsiteX2124" y="connsiteY2124"/>
              </a:cxn>
              <a:cxn ang="0">
                <a:pos x="connsiteX2125" y="connsiteY2125"/>
              </a:cxn>
              <a:cxn ang="0">
                <a:pos x="connsiteX2126" y="connsiteY2126"/>
              </a:cxn>
              <a:cxn ang="0">
                <a:pos x="connsiteX2127" y="connsiteY2127"/>
              </a:cxn>
              <a:cxn ang="0">
                <a:pos x="connsiteX2128" y="connsiteY2128"/>
              </a:cxn>
              <a:cxn ang="0">
                <a:pos x="connsiteX2129" y="connsiteY2129"/>
              </a:cxn>
              <a:cxn ang="0">
                <a:pos x="connsiteX2130" y="connsiteY2130"/>
              </a:cxn>
              <a:cxn ang="0">
                <a:pos x="connsiteX2131" y="connsiteY2131"/>
              </a:cxn>
              <a:cxn ang="0">
                <a:pos x="connsiteX2132" y="connsiteY2132"/>
              </a:cxn>
              <a:cxn ang="0">
                <a:pos x="connsiteX2133" y="connsiteY2133"/>
              </a:cxn>
              <a:cxn ang="0">
                <a:pos x="connsiteX2134" y="connsiteY2134"/>
              </a:cxn>
              <a:cxn ang="0">
                <a:pos x="connsiteX2135" y="connsiteY2135"/>
              </a:cxn>
              <a:cxn ang="0">
                <a:pos x="connsiteX2136" y="connsiteY2136"/>
              </a:cxn>
              <a:cxn ang="0">
                <a:pos x="connsiteX2137" y="connsiteY2137"/>
              </a:cxn>
              <a:cxn ang="0">
                <a:pos x="connsiteX2138" y="connsiteY2138"/>
              </a:cxn>
              <a:cxn ang="0">
                <a:pos x="connsiteX2139" y="connsiteY2139"/>
              </a:cxn>
              <a:cxn ang="0">
                <a:pos x="connsiteX2140" y="connsiteY2140"/>
              </a:cxn>
              <a:cxn ang="0">
                <a:pos x="connsiteX2141" y="connsiteY2141"/>
              </a:cxn>
              <a:cxn ang="0">
                <a:pos x="connsiteX2142" y="connsiteY2142"/>
              </a:cxn>
              <a:cxn ang="0">
                <a:pos x="connsiteX2143" y="connsiteY2143"/>
              </a:cxn>
              <a:cxn ang="0">
                <a:pos x="connsiteX2144" y="connsiteY2144"/>
              </a:cxn>
              <a:cxn ang="0">
                <a:pos x="connsiteX2145" y="connsiteY2145"/>
              </a:cxn>
              <a:cxn ang="0">
                <a:pos x="connsiteX2146" y="connsiteY2146"/>
              </a:cxn>
              <a:cxn ang="0">
                <a:pos x="connsiteX2147" y="connsiteY2147"/>
              </a:cxn>
              <a:cxn ang="0">
                <a:pos x="connsiteX2148" y="connsiteY2148"/>
              </a:cxn>
              <a:cxn ang="0">
                <a:pos x="connsiteX2149" y="connsiteY2149"/>
              </a:cxn>
              <a:cxn ang="0">
                <a:pos x="connsiteX2150" y="connsiteY2150"/>
              </a:cxn>
              <a:cxn ang="0">
                <a:pos x="connsiteX2151" y="connsiteY2151"/>
              </a:cxn>
              <a:cxn ang="0">
                <a:pos x="connsiteX2152" y="connsiteY2152"/>
              </a:cxn>
              <a:cxn ang="0">
                <a:pos x="connsiteX2153" y="connsiteY2153"/>
              </a:cxn>
              <a:cxn ang="0">
                <a:pos x="connsiteX2154" y="connsiteY2154"/>
              </a:cxn>
              <a:cxn ang="0">
                <a:pos x="connsiteX2155" y="connsiteY2155"/>
              </a:cxn>
              <a:cxn ang="0">
                <a:pos x="connsiteX2156" y="connsiteY2156"/>
              </a:cxn>
              <a:cxn ang="0">
                <a:pos x="connsiteX2157" y="connsiteY2157"/>
              </a:cxn>
              <a:cxn ang="0">
                <a:pos x="connsiteX2158" y="connsiteY2158"/>
              </a:cxn>
              <a:cxn ang="0">
                <a:pos x="connsiteX2159" y="connsiteY2159"/>
              </a:cxn>
              <a:cxn ang="0">
                <a:pos x="connsiteX2160" y="connsiteY2160"/>
              </a:cxn>
              <a:cxn ang="0">
                <a:pos x="connsiteX2161" y="connsiteY2161"/>
              </a:cxn>
              <a:cxn ang="0">
                <a:pos x="connsiteX2162" y="connsiteY2162"/>
              </a:cxn>
              <a:cxn ang="0">
                <a:pos x="connsiteX2163" y="connsiteY2163"/>
              </a:cxn>
              <a:cxn ang="0">
                <a:pos x="connsiteX2164" y="connsiteY2164"/>
              </a:cxn>
              <a:cxn ang="0">
                <a:pos x="connsiteX2165" y="connsiteY2165"/>
              </a:cxn>
              <a:cxn ang="0">
                <a:pos x="connsiteX2166" y="connsiteY2166"/>
              </a:cxn>
              <a:cxn ang="0">
                <a:pos x="connsiteX2167" y="connsiteY2167"/>
              </a:cxn>
              <a:cxn ang="0">
                <a:pos x="connsiteX2168" y="connsiteY2168"/>
              </a:cxn>
              <a:cxn ang="0">
                <a:pos x="connsiteX2169" y="connsiteY2169"/>
              </a:cxn>
              <a:cxn ang="0">
                <a:pos x="connsiteX2170" y="connsiteY2170"/>
              </a:cxn>
              <a:cxn ang="0">
                <a:pos x="connsiteX2171" y="connsiteY2171"/>
              </a:cxn>
              <a:cxn ang="0">
                <a:pos x="connsiteX2172" y="connsiteY2172"/>
              </a:cxn>
              <a:cxn ang="0">
                <a:pos x="connsiteX2173" y="connsiteY2173"/>
              </a:cxn>
              <a:cxn ang="0">
                <a:pos x="connsiteX2174" y="connsiteY2174"/>
              </a:cxn>
              <a:cxn ang="0">
                <a:pos x="connsiteX2175" y="connsiteY2175"/>
              </a:cxn>
              <a:cxn ang="0">
                <a:pos x="connsiteX2176" y="connsiteY2176"/>
              </a:cxn>
              <a:cxn ang="0">
                <a:pos x="connsiteX2177" y="connsiteY2177"/>
              </a:cxn>
              <a:cxn ang="0">
                <a:pos x="connsiteX2178" y="connsiteY2178"/>
              </a:cxn>
              <a:cxn ang="0">
                <a:pos x="connsiteX2179" y="connsiteY2179"/>
              </a:cxn>
              <a:cxn ang="0">
                <a:pos x="connsiteX2180" y="connsiteY2180"/>
              </a:cxn>
              <a:cxn ang="0">
                <a:pos x="connsiteX2181" y="connsiteY2181"/>
              </a:cxn>
              <a:cxn ang="0">
                <a:pos x="connsiteX2182" y="connsiteY2182"/>
              </a:cxn>
              <a:cxn ang="0">
                <a:pos x="connsiteX2183" y="connsiteY2183"/>
              </a:cxn>
              <a:cxn ang="0">
                <a:pos x="connsiteX2184" y="connsiteY2184"/>
              </a:cxn>
              <a:cxn ang="0">
                <a:pos x="connsiteX2185" y="connsiteY2185"/>
              </a:cxn>
              <a:cxn ang="0">
                <a:pos x="connsiteX2186" y="connsiteY2186"/>
              </a:cxn>
              <a:cxn ang="0">
                <a:pos x="connsiteX2187" y="connsiteY2187"/>
              </a:cxn>
              <a:cxn ang="0">
                <a:pos x="connsiteX2188" y="connsiteY2188"/>
              </a:cxn>
              <a:cxn ang="0">
                <a:pos x="connsiteX2189" y="connsiteY2189"/>
              </a:cxn>
              <a:cxn ang="0">
                <a:pos x="connsiteX2190" y="connsiteY2190"/>
              </a:cxn>
              <a:cxn ang="0">
                <a:pos x="connsiteX2191" y="connsiteY2191"/>
              </a:cxn>
              <a:cxn ang="0">
                <a:pos x="connsiteX2192" y="connsiteY2192"/>
              </a:cxn>
              <a:cxn ang="0">
                <a:pos x="connsiteX2193" y="connsiteY2193"/>
              </a:cxn>
              <a:cxn ang="0">
                <a:pos x="connsiteX2194" y="connsiteY2194"/>
              </a:cxn>
              <a:cxn ang="0">
                <a:pos x="connsiteX2195" y="connsiteY2195"/>
              </a:cxn>
              <a:cxn ang="0">
                <a:pos x="connsiteX2196" y="connsiteY2196"/>
              </a:cxn>
              <a:cxn ang="0">
                <a:pos x="connsiteX2197" y="connsiteY2197"/>
              </a:cxn>
              <a:cxn ang="0">
                <a:pos x="connsiteX2198" y="connsiteY2198"/>
              </a:cxn>
              <a:cxn ang="0">
                <a:pos x="connsiteX2199" y="connsiteY2199"/>
              </a:cxn>
              <a:cxn ang="0">
                <a:pos x="connsiteX2200" y="connsiteY2200"/>
              </a:cxn>
              <a:cxn ang="0">
                <a:pos x="connsiteX2201" y="connsiteY2201"/>
              </a:cxn>
              <a:cxn ang="0">
                <a:pos x="connsiteX2202" y="connsiteY2202"/>
              </a:cxn>
              <a:cxn ang="0">
                <a:pos x="connsiteX2203" y="connsiteY2203"/>
              </a:cxn>
              <a:cxn ang="0">
                <a:pos x="connsiteX2204" y="connsiteY2204"/>
              </a:cxn>
              <a:cxn ang="0">
                <a:pos x="connsiteX2205" y="connsiteY2205"/>
              </a:cxn>
              <a:cxn ang="0">
                <a:pos x="connsiteX2206" y="connsiteY2206"/>
              </a:cxn>
              <a:cxn ang="0">
                <a:pos x="connsiteX2207" y="connsiteY2207"/>
              </a:cxn>
              <a:cxn ang="0">
                <a:pos x="connsiteX2208" y="connsiteY2208"/>
              </a:cxn>
              <a:cxn ang="0">
                <a:pos x="connsiteX2209" y="connsiteY2209"/>
              </a:cxn>
              <a:cxn ang="0">
                <a:pos x="connsiteX2210" y="connsiteY2210"/>
              </a:cxn>
              <a:cxn ang="0">
                <a:pos x="connsiteX2211" y="connsiteY2211"/>
              </a:cxn>
              <a:cxn ang="0">
                <a:pos x="connsiteX2212" y="connsiteY2212"/>
              </a:cxn>
              <a:cxn ang="0">
                <a:pos x="connsiteX2213" y="connsiteY2213"/>
              </a:cxn>
              <a:cxn ang="0">
                <a:pos x="connsiteX2214" y="connsiteY2214"/>
              </a:cxn>
              <a:cxn ang="0">
                <a:pos x="connsiteX2215" y="connsiteY2215"/>
              </a:cxn>
              <a:cxn ang="0">
                <a:pos x="connsiteX2216" y="connsiteY2216"/>
              </a:cxn>
              <a:cxn ang="0">
                <a:pos x="connsiteX2217" y="connsiteY2217"/>
              </a:cxn>
              <a:cxn ang="0">
                <a:pos x="connsiteX2218" y="connsiteY2218"/>
              </a:cxn>
              <a:cxn ang="0">
                <a:pos x="connsiteX2219" y="connsiteY2219"/>
              </a:cxn>
              <a:cxn ang="0">
                <a:pos x="connsiteX2220" y="connsiteY2220"/>
              </a:cxn>
              <a:cxn ang="0">
                <a:pos x="connsiteX2221" y="connsiteY2221"/>
              </a:cxn>
              <a:cxn ang="0">
                <a:pos x="connsiteX2222" y="connsiteY2222"/>
              </a:cxn>
              <a:cxn ang="0">
                <a:pos x="connsiteX2223" y="connsiteY2223"/>
              </a:cxn>
              <a:cxn ang="0">
                <a:pos x="connsiteX2224" y="connsiteY2224"/>
              </a:cxn>
              <a:cxn ang="0">
                <a:pos x="connsiteX2225" y="connsiteY2225"/>
              </a:cxn>
              <a:cxn ang="0">
                <a:pos x="connsiteX2226" y="connsiteY2226"/>
              </a:cxn>
              <a:cxn ang="0">
                <a:pos x="connsiteX2227" y="connsiteY2227"/>
              </a:cxn>
              <a:cxn ang="0">
                <a:pos x="connsiteX2228" y="connsiteY2228"/>
              </a:cxn>
              <a:cxn ang="0">
                <a:pos x="connsiteX2229" y="connsiteY2229"/>
              </a:cxn>
              <a:cxn ang="0">
                <a:pos x="connsiteX2230" y="connsiteY2230"/>
              </a:cxn>
              <a:cxn ang="0">
                <a:pos x="connsiteX2231" y="connsiteY2231"/>
              </a:cxn>
              <a:cxn ang="0">
                <a:pos x="connsiteX2232" y="connsiteY2232"/>
              </a:cxn>
              <a:cxn ang="0">
                <a:pos x="connsiteX2233" y="connsiteY2233"/>
              </a:cxn>
              <a:cxn ang="0">
                <a:pos x="connsiteX2234" y="connsiteY2234"/>
              </a:cxn>
              <a:cxn ang="0">
                <a:pos x="connsiteX2235" y="connsiteY2235"/>
              </a:cxn>
              <a:cxn ang="0">
                <a:pos x="connsiteX2236" y="connsiteY2236"/>
              </a:cxn>
              <a:cxn ang="0">
                <a:pos x="connsiteX2237" y="connsiteY2237"/>
              </a:cxn>
              <a:cxn ang="0">
                <a:pos x="connsiteX2238" y="connsiteY2238"/>
              </a:cxn>
              <a:cxn ang="0">
                <a:pos x="connsiteX2239" y="connsiteY2239"/>
              </a:cxn>
              <a:cxn ang="0">
                <a:pos x="connsiteX2240" y="connsiteY2240"/>
              </a:cxn>
              <a:cxn ang="0">
                <a:pos x="connsiteX2241" y="connsiteY2241"/>
              </a:cxn>
              <a:cxn ang="0">
                <a:pos x="connsiteX2242" y="connsiteY2242"/>
              </a:cxn>
              <a:cxn ang="0">
                <a:pos x="connsiteX2243" y="connsiteY2243"/>
              </a:cxn>
              <a:cxn ang="0">
                <a:pos x="connsiteX2244" y="connsiteY2244"/>
              </a:cxn>
              <a:cxn ang="0">
                <a:pos x="connsiteX2245" y="connsiteY2245"/>
              </a:cxn>
              <a:cxn ang="0">
                <a:pos x="connsiteX2246" y="connsiteY2246"/>
              </a:cxn>
              <a:cxn ang="0">
                <a:pos x="connsiteX2247" y="connsiteY2247"/>
              </a:cxn>
              <a:cxn ang="0">
                <a:pos x="connsiteX2248" y="connsiteY2248"/>
              </a:cxn>
              <a:cxn ang="0">
                <a:pos x="connsiteX2249" y="connsiteY2249"/>
              </a:cxn>
              <a:cxn ang="0">
                <a:pos x="connsiteX2250" y="connsiteY2250"/>
              </a:cxn>
              <a:cxn ang="0">
                <a:pos x="connsiteX2251" y="connsiteY2251"/>
              </a:cxn>
              <a:cxn ang="0">
                <a:pos x="connsiteX2252" y="connsiteY2252"/>
              </a:cxn>
              <a:cxn ang="0">
                <a:pos x="connsiteX2253" y="connsiteY2253"/>
              </a:cxn>
              <a:cxn ang="0">
                <a:pos x="connsiteX2254" y="connsiteY2254"/>
              </a:cxn>
              <a:cxn ang="0">
                <a:pos x="connsiteX2255" y="connsiteY2255"/>
              </a:cxn>
              <a:cxn ang="0">
                <a:pos x="connsiteX2256" y="connsiteY2256"/>
              </a:cxn>
              <a:cxn ang="0">
                <a:pos x="connsiteX2257" y="connsiteY2257"/>
              </a:cxn>
              <a:cxn ang="0">
                <a:pos x="connsiteX2258" y="connsiteY2258"/>
              </a:cxn>
              <a:cxn ang="0">
                <a:pos x="connsiteX2259" y="connsiteY2259"/>
              </a:cxn>
              <a:cxn ang="0">
                <a:pos x="connsiteX2260" y="connsiteY2260"/>
              </a:cxn>
              <a:cxn ang="0">
                <a:pos x="connsiteX2261" y="connsiteY2261"/>
              </a:cxn>
              <a:cxn ang="0">
                <a:pos x="connsiteX2262" y="connsiteY2262"/>
              </a:cxn>
              <a:cxn ang="0">
                <a:pos x="connsiteX2263" y="connsiteY2263"/>
              </a:cxn>
              <a:cxn ang="0">
                <a:pos x="connsiteX2264" y="connsiteY2264"/>
              </a:cxn>
              <a:cxn ang="0">
                <a:pos x="connsiteX2265" y="connsiteY2265"/>
              </a:cxn>
              <a:cxn ang="0">
                <a:pos x="connsiteX2266" y="connsiteY2266"/>
              </a:cxn>
              <a:cxn ang="0">
                <a:pos x="connsiteX2267" y="connsiteY2267"/>
              </a:cxn>
              <a:cxn ang="0">
                <a:pos x="connsiteX2268" y="connsiteY2268"/>
              </a:cxn>
              <a:cxn ang="0">
                <a:pos x="connsiteX2269" y="connsiteY2269"/>
              </a:cxn>
              <a:cxn ang="0">
                <a:pos x="connsiteX2270" y="connsiteY2270"/>
              </a:cxn>
              <a:cxn ang="0">
                <a:pos x="connsiteX2271" y="connsiteY2271"/>
              </a:cxn>
              <a:cxn ang="0">
                <a:pos x="connsiteX2272" y="connsiteY2272"/>
              </a:cxn>
              <a:cxn ang="0">
                <a:pos x="connsiteX2273" y="connsiteY2273"/>
              </a:cxn>
              <a:cxn ang="0">
                <a:pos x="connsiteX2274" y="connsiteY2274"/>
              </a:cxn>
              <a:cxn ang="0">
                <a:pos x="connsiteX2275" y="connsiteY2275"/>
              </a:cxn>
              <a:cxn ang="0">
                <a:pos x="connsiteX2276" y="connsiteY2276"/>
              </a:cxn>
              <a:cxn ang="0">
                <a:pos x="connsiteX2277" y="connsiteY2277"/>
              </a:cxn>
              <a:cxn ang="0">
                <a:pos x="connsiteX2278" y="connsiteY2278"/>
              </a:cxn>
              <a:cxn ang="0">
                <a:pos x="connsiteX2279" y="connsiteY2279"/>
              </a:cxn>
              <a:cxn ang="0">
                <a:pos x="connsiteX2280" y="connsiteY2280"/>
              </a:cxn>
              <a:cxn ang="0">
                <a:pos x="connsiteX2281" y="connsiteY2281"/>
              </a:cxn>
              <a:cxn ang="0">
                <a:pos x="connsiteX2282" y="connsiteY2282"/>
              </a:cxn>
              <a:cxn ang="0">
                <a:pos x="connsiteX2283" y="connsiteY2283"/>
              </a:cxn>
              <a:cxn ang="0">
                <a:pos x="connsiteX2284" y="connsiteY2284"/>
              </a:cxn>
              <a:cxn ang="0">
                <a:pos x="connsiteX2285" y="connsiteY2285"/>
              </a:cxn>
              <a:cxn ang="0">
                <a:pos x="connsiteX2286" y="connsiteY2286"/>
              </a:cxn>
              <a:cxn ang="0">
                <a:pos x="connsiteX2287" y="connsiteY2287"/>
              </a:cxn>
              <a:cxn ang="0">
                <a:pos x="connsiteX2288" y="connsiteY2288"/>
              </a:cxn>
              <a:cxn ang="0">
                <a:pos x="connsiteX2289" y="connsiteY2289"/>
              </a:cxn>
              <a:cxn ang="0">
                <a:pos x="connsiteX2290" y="connsiteY2290"/>
              </a:cxn>
              <a:cxn ang="0">
                <a:pos x="connsiteX2291" y="connsiteY2291"/>
              </a:cxn>
              <a:cxn ang="0">
                <a:pos x="connsiteX2292" y="connsiteY2292"/>
              </a:cxn>
              <a:cxn ang="0">
                <a:pos x="connsiteX2293" y="connsiteY2293"/>
              </a:cxn>
              <a:cxn ang="0">
                <a:pos x="connsiteX2294" y="connsiteY2294"/>
              </a:cxn>
              <a:cxn ang="0">
                <a:pos x="connsiteX2295" y="connsiteY2295"/>
              </a:cxn>
              <a:cxn ang="0">
                <a:pos x="connsiteX2296" y="connsiteY2296"/>
              </a:cxn>
              <a:cxn ang="0">
                <a:pos x="connsiteX2297" y="connsiteY2297"/>
              </a:cxn>
              <a:cxn ang="0">
                <a:pos x="connsiteX2298" y="connsiteY2298"/>
              </a:cxn>
              <a:cxn ang="0">
                <a:pos x="connsiteX2299" y="connsiteY2299"/>
              </a:cxn>
              <a:cxn ang="0">
                <a:pos x="connsiteX2300" y="connsiteY2300"/>
              </a:cxn>
              <a:cxn ang="0">
                <a:pos x="connsiteX2301" y="connsiteY2301"/>
              </a:cxn>
              <a:cxn ang="0">
                <a:pos x="connsiteX2302" y="connsiteY2302"/>
              </a:cxn>
              <a:cxn ang="0">
                <a:pos x="connsiteX2303" y="connsiteY2303"/>
              </a:cxn>
              <a:cxn ang="0">
                <a:pos x="connsiteX2304" y="connsiteY2304"/>
              </a:cxn>
              <a:cxn ang="0">
                <a:pos x="connsiteX2305" y="connsiteY2305"/>
              </a:cxn>
              <a:cxn ang="0">
                <a:pos x="connsiteX2306" y="connsiteY2306"/>
              </a:cxn>
              <a:cxn ang="0">
                <a:pos x="connsiteX2307" y="connsiteY2307"/>
              </a:cxn>
              <a:cxn ang="0">
                <a:pos x="connsiteX2308" y="connsiteY2308"/>
              </a:cxn>
              <a:cxn ang="0">
                <a:pos x="connsiteX2309" y="connsiteY2309"/>
              </a:cxn>
              <a:cxn ang="0">
                <a:pos x="connsiteX2310" y="connsiteY2310"/>
              </a:cxn>
              <a:cxn ang="0">
                <a:pos x="connsiteX2311" y="connsiteY2311"/>
              </a:cxn>
              <a:cxn ang="0">
                <a:pos x="connsiteX2312" y="connsiteY2312"/>
              </a:cxn>
              <a:cxn ang="0">
                <a:pos x="connsiteX2313" y="connsiteY2313"/>
              </a:cxn>
              <a:cxn ang="0">
                <a:pos x="connsiteX2314" y="connsiteY2314"/>
              </a:cxn>
              <a:cxn ang="0">
                <a:pos x="connsiteX2315" y="connsiteY2315"/>
              </a:cxn>
              <a:cxn ang="0">
                <a:pos x="connsiteX2316" y="connsiteY2316"/>
              </a:cxn>
              <a:cxn ang="0">
                <a:pos x="connsiteX2317" y="connsiteY2317"/>
              </a:cxn>
              <a:cxn ang="0">
                <a:pos x="connsiteX2318" y="connsiteY2318"/>
              </a:cxn>
              <a:cxn ang="0">
                <a:pos x="connsiteX2319" y="connsiteY2319"/>
              </a:cxn>
              <a:cxn ang="0">
                <a:pos x="connsiteX2320" y="connsiteY2320"/>
              </a:cxn>
              <a:cxn ang="0">
                <a:pos x="connsiteX2321" y="connsiteY2321"/>
              </a:cxn>
              <a:cxn ang="0">
                <a:pos x="connsiteX2322" y="connsiteY2322"/>
              </a:cxn>
              <a:cxn ang="0">
                <a:pos x="connsiteX2323" y="connsiteY2323"/>
              </a:cxn>
              <a:cxn ang="0">
                <a:pos x="connsiteX2324" y="connsiteY2324"/>
              </a:cxn>
              <a:cxn ang="0">
                <a:pos x="connsiteX2325" y="connsiteY2325"/>
              </a:cxn>
              <a:cxn ang="0">
                <a:pos x="connsiteX2326" y="connsiteY2326"/>
              </a:cxn>
              <a:cxn ang="0">
                <a:pos x="connsiteX2327" y="connsiteY2327"/>
              </a:cxn>
              <a:cxn ang="0">
                <a:pos x="connsiteX2328" y="connsiteY2328"/>
              </a:cxn>
              <a:cxn ang="0">
                <a:pos x="connsiteX2329" y="connsiteY2329"/>
              </a:cxn>
              <a:cxn ang="0">
                <a:pos x="connsiteX2330" y="connsiteY2330"/>
              </a:cxn>
              <a:cxn ang="0">
                <a:pos x="connsiteX2331" y="connsiteY2331"/>
              </a:cxn>
              <a:cxn ang="0">
                <a:pos x="connsiteX2332" y="connsiteY2332"/>
              </a:cxn>
              <a:cxn ang="0">
                <a:pos x="connsiteX2333" y="connsiteY2333"/>
              </a:cxn>
              <a:cxn ang="0">
                <a:pos x="connsiteX2334" y="connsiteY2334"/>
              </a:cxn>
              <a:cxn ang="0">
                <a:pos x="connsiteX2335" y="connsiteY2335"/>
              </a:cxn>
              <a:cxn ang="0">
                <a:pos x="connsiteX2336" y="connsiteY2336"/>
              </a:cxn>
              <a:cxn ang="0">
                <a:pos x="connsiteX2337" y="connsiteY2337"/>
              </a:cxn>
              <a:cxn ang="0">
                <a:pos x="connsiteX2338" y="connsiteY2338"/>
              </a:cxn>
              <a:cxn ang="0">
                <a:pos x="connsiteX2339" y="connsiteY2339"/>
              </a:cxn>
              <a:cxn ang="0">
                <a:pos x="connsiteX2340" y="connsiteY2340"/>
              </a:cxn>
              <a:cxn ang="0">
                <a:pos x="connsiteX2341" y="connsiteY2341"/>
              </a:cxn>
              <a:cxn ang="0">
                <a:pos x="connsiteX2342" y="connsiteY2342"/>
              </a:cxn>
              <a:cxn ang="0">
                <a:pos x="connsiteX2343" y="connsiteY2343"/>
              </a:cxn>
              <a:cxn ang="0">
                <a:pos x="connsiteX2344" y="connsiteY2344"/>
              </a:cxn>
              <a:cxn ang="0">
                <a:pos x="connsiteX2345" y="connsiteY2345"/>
              </a:cxn>
              <a:cxn ang="0">
                <a:pos x="connsiteX2346" y="connsiteY2346"/>
              </a:cxn>
              <a:cxn ang="0">
                <a:pos x="connsiteX2347" y="connsiteY2347"/>
              </a:cxn>
              <a:cxn ang="0">
                <a:pos x="connsiteX2348" y="connsiteY2348"/>
              </a:cxn>
              <a:cxn ang="0">
                <a:pos x="connsiteX2349" y="connsiteY2349"/>
              </a:cxn>
              <a:cxn ang="0">
                <a:pos x="connsiteX2350" y="connsiteY2350"/>
              </a:cxn>
              <a:cxn ang="0">
                <a:pos x="connsiteX2351" y="connsiteY2351"/>
              </a:cxn>
              <a:cxn ang="0">
                <a:pos x="connsiteX2352" y="connsiteY2352"/>
              </a:cxn>
              <a:cxn ang="0">
                <a:pos x="connsiteX2353" y="connsiteY2353"/>
              </a:cxn>
              <a:cxn ang="0">
                <a:pos x="connsiteX2354" y="connsiteY2354"/>
              </a:cxn>
              <a:cxn ang="0">
                <a:pos x="connsiteX2355" y="connsiteY2355"/>
              </a:cxn>
              <a:cxn ang="0">
                <a:pos x="connsiteX2356" y="connsiteY2356"/>
              </a:cxn>
              <a:cxn ang="0">
                <a:pos x="connsiteX2357" y="connsiteY2357"/>
              </a:cxn>
              <a:cxn ang="0">
                <a:pos x="connsiteX2358" y="connsiteY2358"/>
              </a:cxn>
              <a:cxn ang="0">
                <a:pos x="connsiteX2359" y="connsiteY2359"/>
              </a:cxn>
              <a:cxn ang="0">
                <a:pos x="connsiteX2360" y="connsiteY2360"/>
              </a:cxn>
              <a:cxn ang="0">
                <a:pos x="connsiteX2361" y="connsiteY2361"/>
              </a:cxn>
              <a:cxn ang="0">
                <a:pos x="connsiteX2362" y="connsiteY2362"/>
              </a:cxn>
              <a:cxn ang="0">
                <a:pos x="connsiteX2363" y="connsiteY2363"/>
              </a:cxn>
              <a:cxn ang="0">
                <a:pos x="connsiteX2364" y="connsiteY2364"/>
              </a:cxn>
              <a:cxn ang="0">
                <a:pos x="connsiteX2365" y="connsiteY2365"/>
              </a:cxn>
              <a:cxn ang="0">
                <a:pos x="connsiteX2366" y="connsiteY2366"/>
              </a:cxn>
              <a:cxn ang="0">
                <a:pos x="connsiteX2367" y="connsiteY2367"/>
              </a:cxn>
              <a:cxn ang="0">
                <a:pos x="connsiteX2368" y="connsiteY2368"/>
              </a:cxn>
              <a:cxn ang="0">
                <a:pos x="connsiteX2369" y="connsiteY2369"/>
              </a:cxn>
              <a:cxn ang="0">
                <a:pos x="connsiteX2370" y="connsiteY2370"/>
              </a:cxn>
              <a:cxn ang="0">
                <a:pos x="connsiteX2371" y="connsiteY2371"/>
              </a:cxn>
              <a:cxn ang="0">
                <a:pos x="connsiteX2372" y="connsiteY2372"/>
              </a:cxn>
              <a:cxn ang="0">
                <a:pos x="connsiteX2373" y="connsiteY2373"/>
              </a:cxn>
              <a:cxn ang="0">
                <a:pos x="connsiteX2374" y="connsiteY2374"/>
              </a:cxn>
              <a:cxn ang="0">
                <a:pos x="connsiteX2375" y="connsiteY2375"/>
              </a:cxn>
              <a:cxn ang="0">
                <a:pos x="connsiteX2376" y="connsiteY2376"/>
              </a:cxn>
              <a:cxn ang="0">
                <a:pos x="connsiteX2377" y="connsiteY2377"/>
              </a:cxn>
              <a:cxn ang="0">
                <a:pos x="connsiteX2378" y="connsiteY2378"/>
              </a:cxn>
              <a:cxn ang="0">
                <a:pos x="connsiteX2379" y="connsiteY2379"/>
              </a:cxn>
              <a:cxn ang="0">
                <a:pos x="connsiteX2380" y="connsiteY2380"/>
              </a:cxn>
              <a:cxn ang="0">
                <a:pos x="connsiteX2381" y="connsiteY2381"/>
              </a:cxn>
              <a:cxn ang="0">
                <a:pos x="connsiteX2382" y="connsiteY2382"/>
              </a:cxn>
              <a:cxn ang="0">
                <a:pos x="connsiteX2383" y="connsiteY2383"/>
              </a:cxn>
              <a:cxn ang="0">
                <a:pos x="connsiteX2384" y="connsiteY2384"/>
              </a:cxn>
              <a:cxn ang="0">
                <a:pos x="connsiteX2385" y="connsiteY2385"/>
              </a:cxn>
              <a:cxn ang="0">
                <a:pos x="connsiteX2386" y="connsiteY2386"/>
              </a:cxn>
              <a:cxn ang="0">
                <a:pos x="connsiteX2387" y="connsiteY2387"/>
              </a:cxn>
              <a:cxn ang="0">
                <a:pos x="connsiteX2388" y="connsiteY2388"/>
              </a:cxn>
              <a:cxn ang="0">
                <a:pos x="connsiteX2389" y="connsiteY2389"/>
              </a:cxn>
              <a:cxn ang="0">
                <a:pos x="connsiteX2390" y="connsiteY2390"/>
              </a:cxn>
              <a:cxn ang="0">
                <a:pos x="connsiteX2391" y="connsiteY2391"/>
              </a:cxn>
              <a:cxn ang="0">
                <a:pos x="connsiteX2392" y="connsiteY2392"/>
              </a:cxn>
              <a:cxn ang="0">
                <a:pos x="connsiteX2393" y="connsiteY2393"/>
              </a:cxn>
              <a:cxn ang="0">
                <a:pos x="connsiteX2394" y="connsiteY2394"/>
              </a:cxn>
              <a:cxn ang="0">
                <a:pos x="connsiteX2395" y="connsiteY2395"/>
              </a:cxn>
              <a:cxn ang="0">
                <a:pos x="connsiteX2396" y="connsiteY2396"/>
              </a:cxn>
              <a:cxn ang="0">
                <a:pos x="connsiteX2397" y="connsiteY2397"/>
              </a:cxn>
              <a:cxn ang="0">
                <a:pos x="connsiteX2398" y="connsiteY2398"/>
              </a:cxn>
              <a:cxn ang="0">
                <a:pos x="connsiteX2399" y="connsiteY2399"/>
              </a:cxn>
              <a:cxn ang="0">
                <a:pos x="connsiteX2400" y="connsiteY2400"/>
              </a:cxn>
              <a:cxn ang="0">
                <a:pos x="connsiteX2401" y="connsiteY2401"/>
              </a:cxn>
              <a:cxn ang="0">
                <a:pos x="connsiteX2402" y="connsiteY2402"/>
              </a:cxn>
              <a:cxn ang="0">
                <a:pos x="connsiteX2403" y="connsiteY2403"/>
              </a:cxn>
              <a:cxn ang="0">
                <a:pos x="connsiteX2404" y="connsiteY2404"/>
              </a:cxn>
              <a:cxn ang="0">
                <a:pos x="connsiteX2405" y="connsiteY2405"/>
              </a:cxn>
              <a:cxn ang="0">
                <a:pos x="connsiteX2406" y="connsiteY2406"/>
              </a:cxn>
              <a:cxn ang="0">
                <a:pos x="connsiteX2407" y="connsiteY2407"/>
              </a:cxn>
              <a:cxn ang="0">
                <a:pos x="connsiteX2408" y="connsiteY2408"/>
              </a:cxn>
              <a:cxn ang="0">
                <a:pos x="connsiteX2409" y="connsiteY2409"/>
              </a:cxn>
              <a:cxn ang="0">
                <a:pos x="connsiteX2410" y="connsiteY2410"/>
              </a:cxn>
              <a:cxn ang="0">
                <a:pos x="connsiteX2411" y="connsiteY2411"/>
              </a:cxn>
              <a:cxn ang="0">
                <a:pos x="connsiteX2412" y="connsiteY2412"/>
              </a:cxn>
              <a:cxn ang="0">
                <a:pos x="connsiteX2413" y="connsiteY2413"/>
              </a:cxn>
              <a:cxn ang="0">
                <a:pos x="connsiteX2414" y="connsiteY2414"/>
              </a:cxn>
              <a:cxn ang="0">
                <a:pos x="connsiteX2415" y="connsiteY2415"/>
              </a:cxn>
              <a:cxn ang="0">
                <a:pos x="connsiteX2416" y="connsiteY2416"/>
              </a:cxn>
              <a:cxn ang="0">
                <a:pos x="connsiteX2417" y="connsiteY2417"/>
              </a:cxn>
              <a:cxn ang="0">
                <a:pos x="connsiteX2418" y="connsiteY2418"/>
              </a:cxn>
              <a:cxn ang="0">
                <a:pos x="connsiteX2419" y="connsiteY2419"/>
              </a:cxn>
              <a:cxn ang="0">
                <a:pos x="connsiteX2420" y="connsiteY2420"/>
              </a:cxn>
              <a:cxn ang="0">
                <a:pos x="connsiteX2421" y="connsiteY2421"/>
              </a:cxn>
              <a:cxn ang="0">
                <a:pos x="connsiteX2422" y="connsiteY2422"/>
              </a:cxn>
              <a:cxn ang="0">
                <a:pos x="connsiteX2423" y="connsiteY2423"/>
              </a:cxn>
              <a:cxn ang="0">
                <a:pos x="connsiteX2424" y="connsiteY2424"/>
              </a:cxn>
              <a:cxn ang="0">
                <a:pos x="connsiteX2425" y="connsiteY2425"/>
              </a:cxn>
              <a:cxn ang="0">
                <a:pos x="connsiteX2426" y="connsiteY2426"/>
              </a:cxn>
              <a:cxn ang="0">
                <a:pos x="connsiteX2427" y="connsiteY2427"/>
              </a:cxn>
              <a:cxn ang="0">
                <a:pos x="connsiteX2428" y="connsiteY2428"/>
              </a:cxn>
              <a:cxn ang="0">
                <a:pos x="connsiteX2429" y="connsiteY2429"/>
              </a:cxn>
              <a:cxn ang="0">
                <a:pos x="connsiteX2430" y="connsiteY2430"/>
              </a:cxn>
              <a:cxn ang="0">
                <a:pos x="connsiteX2431" y="connsiteY2431"/>
              </a:cxn>
              <a:cxn ang="0">
                <a:pos x="connsiteX2432" y="connsiteY2432"/>
              </a:cxn>
              <a:cxn ang="0">
                <a:pos x="connsiteX2433" y="connsiteY2433"/>
              </a:cxn>
              <a:cxn ang="0">
                <a:pos x="connsiteX2434" y="connsiteY2434"/>
              </a:cxn>
              <a:cxn ang="0">
                <a:pos x="connsiteX2435" y="connsiteY2435"/>
              </a:cxn>
              <a:cxn ang="0">
                <a:pos x="connsiteX2436" y="connsiteY2436"/>
              </a:cxn>
              <a:cxn ang="0">
                <a:pos x="connsiteX2437" y="connsiteY2437"/>
              </a:cxn>
              <a:cxn ang="0">
                <a:pos x="connsiteX2438" y="connsiteY2438"/>
              </a:cxn>
              <a:cxn ang="0">
                <a:pos x="connsiteX2439" y="connsiteY2439"/>
              </a:cxn>
              <a:cxn ang="0">
                <a:pos x="connsiteX2440" y="connsiteY2440"/>
              </a:cxn>
              <a:cxn ang="0">
                <a:pos x="connsiteX2441" y="connsiteY2441"/>
              </a:cxn>
              <a:cxn ang="0">
                <a:pos x="connsiteX2442" y="connsiteY2442"/>
              </a:cxn>
              <a:cxn ang="0">
                <a:pos x="connsiteX2443" y="connsiteY2443"/>
              </a:cxn>
              <a:cxn ang="0">
                <a:pos x="connsiteX2444" y="connsiteY2444"/>
              </a:cxn>
              <a:cxn ang="0">
                <a:pos x="connsiteX2445" y="connsiteY2445"/>
              </a:cxn>
              <a:cxn ang="0">
                <a:pos x="connsiteX2446" y="connsiteY2446"/>
              </a:cxn>
              <a:cxn ang="0">
                <a:pos x="connsiteX2447" y="connsiteY2447"/>
              </a:cxn>
              <a:cxn ang="0">
                <a:pos x="connsiteX2448" y="connsiteY2448"/>
              </a:cxn>
              <a:cxn ang="0">
                <a:pos x="connsiteX2449" y="connsiteY2449"/>
              </a:cxn>
              <a:cxn ang="0">
                <a:pos x="connsiteX2450" y="connsiteY2450"/>
              </a:cxn>
              <a:cxn ang="0">
                <a:pos x="connsiteX2451" y="connsiteY2451"/>
              </a:cxn>
              <a:cxn ang="0">
                <a:pos x="connsiteX2452" y="connsiteY2452"/>
              </a:cxn>
              <a:cxn ang="0">
                <a:pos x="connsiteX2453" y="connsiteY2453"/>
              </a:cxn>
              <a:cxn ang="0">
                <a:pos x="connsiteX2454" y="connsiteY2454"/>
              </a:cxn>
              <a:cxn ang="0">
                <a:pos x="connsiteX2455" y="connsiteY2455"/>
              </a:cxn>
              <a:cxn ang="0">
                <a:pos x="connsiteX2456" y="connsiteY2456"/>
              </a:cxn>
              <a:cxn ang="0">
                <a:pos x="connsiteX2457" y="connsiteY2457"/>
              </a:cxn>
              <a:cxn ang="0">
                <a:pos x="connsiteX2458" y="connsiteY2458"/>
              </a:cxn>
              <a:cxn ang="0">
                <a:pos x="connsiteX2459" y="connsiteY2459"/>
              </a:cxn>
              <a:cxn ang="0">
                <a:pos x="connsiteX2460" y="connsiteY2460"/>
              </a:cxn>
              <a:cxn ang="0">
                <a:pos x="connsiteX2461" y="connsiteY2461"/>
              </a:cxn>
              <a:cxn ang="0">
                <a:pos x="connsiteX2462" y="connsiteY2462"/>
              </a:cxn>
              <a:cxn ang="0">
                <a:pos x="connsiteX2463" y="connsiteY2463"/>
              </a:cxn>
              <a:cxn ang="0">
                <a:pos x="connsiteX2464" y="connsiteY2464"/>
              </a:cxn>
              <a:cxn ang="0">
                <a:pos x="connsiteX2465" y="connsiteY2465"/>
              </a:cxn>
              <a:cxn ang="0">
                <a:pos x="connsiteX2466" y="connsiteY2466"/>
              </a:cxn>
              <a:cxn ang="0">
                <a:pos x="connsiteX2467" y="connsiteY2467"/>
              </a:cxn>
              <a:cxn ang="0">
                <a:pos x="connsiteX2468" y="connsiteY2468"/>
              </a:cxn>
              <a:cxn ang="0">
                <a:pos x="connsiteX2469" y="connsiteY2469"/>
              </a:cxn>
              <a:cxn ang="0">
                <a:pos x="connsiteX2470" y="connsiteY2470"/>
              </a:cxn>
              <a:cxn ang="0">
                <a:pos x="connsiteX2471" y="connsiteY2471"/>
              </a:cxn>
              <a:cxn ang="0">
                <a:pos x="connsiteX2472" y="connsiteY2472"/>
              </a:cxn>
              <a:cxn ang="0">
                <a:pos x="connsiteX2473" y="connsiteY2473"/>
              </a:cxn>
              <a:cxn ang="0">
                <a:pos x="connsiteX2474" y="connsiteY2474"/>
              </a:cxn>
              <a:cxn ang="0">
                <a:pos x="connsiteX2475" y="connsiteY2475"/>
              </a:cxn>
              <a:cxn ang="0">
                <a:pos x="connsiteX2476" y="connsiteY2476"/>
              </a:cxn>
              <a:cxn ang="0">
                <a:pos x="connsiteX2477" y="connsiteY2477"/>
              </a:cxn>
              <a:cxn ang="0">
                <a:pos x="connsiteX2478" y="connsiteY2478"/>
              </a:cxn>
              <a:cxn ang="0">
                <a:pos x="connsiteX2479" y="connsiteY2479"/>
              </a:cxn>
              <a:cxn ang="0">
                <a:pos x="connsiteX2480" y="connsiteY2480"/>
              </a:cxn>
              <a:cxn ang="0">
                <a:pos x="connsiteX2481" y="connsiteY2481"/>
              </a:cxn>
              <a:cxn ang="0">
                <a:pos x="connsiteX2482" y="connsiteY2482"/>
              </a:cxn>
              <a:cxn ang="0">
                <a:pos x="connsiteX2483" y="connsiteY2483"/>
              </a:cxn>
              <a:cxn ang="0">
                <a:pos x="connsiteX2484" y="connsiteY2484"/>
              </a:cxn>
              <a:cxn ang="0">
                <a:pos x="connsiteX2485" y="connsiteY2485"/>
              </a:cxn>
              <a:cxn ang="0">
                <a:pos x="connsiteX2486" y="connsiteY2486"/>
              </a:cxn>
              <a:cxn ang="0">
                <a:pos x="connsiteX2487" y="connsiteY2487"/>
              </a:cxn>
              <a:cxn ang="0">
                <a:pos x="connsiteX2488" y="connsiteY2488"/>
              </a:cxn>
              <a:cxn ang="0">
                <a:pos x="connsiteX2489" y="connsiteY2489"/>
              </a:cxn>
              <a:cxn ang="0">
                <a:pos x="connsiteX2490" y="connsiteY2490"/>
              </a:cxn>
              <a:cxn ang="0">
                <a:pos x="connsiteX2491" y="connsiteY2491"/>
              </a:cxn>
              <a:cxn ang="0">
                <a:pos x="connsiteX2492" y="connsiteY2492"/>
              </a:cxn>
              <a:cxn ang="0">
                <a:pos x="connsiteX2493" y="connsiteY2493"/>
              </a:cxn>
              <a:cxn ang="0">
                <a:pos x="connsiteX2494" y="connsiteY2494"/>
              </a:cxn>
              <a:cxn ang="0">
                <a:pos x="connsiteX2495" y="connsiteY2495"/>
              </a:cxn>
              <a:cxn ang="0">
                <a:pos x="connsiteX2496" y="connsiteY2496"/>
              </a:cxn>
              <a:cxn ang="0">
                <a:pos x="connsiteX2497" y="connsiteY2497"/>
              </a:cxn>
              <a:cxn ang="0">
                <a:pos x="connsiteX2498" y="connsiteY2498"/>
              </a:cxn>
              <a:cxn ang="0">
                <a:pos x="connsiteX2499" y="connsiteY2499"/>
              </a:cxn>
              <a:cxn ang="0">
                <a:pos x="connsiteX2500" y="connsiteY2500"/>
              </a:cxn>
              <a:cxn ang="0">
                <a:pos x="connsiteX2501" y="connsiteY2501"/>
              </a:cxn>
              <a:cxn ang="0">
                <a:pos x="connsiteX2502" y="connsiteY2502"/>
              </a:cxn>
              <a:cxn ang="0">
                <a:pos x="connsiteX2503" y="connsiteY2503"/>
              </a:cxn>
              <a:cxn ang="0">
                <a:pos x="connsiteX2504" y="connsiteY2504"/>
              </a:cxn>
              <a:cxn ang="0">
                <a:pos x="connsiteX2505" y="connsiteY2505"/>
              </a:cxn>
              <a:cxn ang="0">
                <a:pos x="connsiteX2506" y="connsiteY2506"/>
              </a:cxn>
              <a:cxn ang="0">
                <a:pos x="connsiteX2507" y="connsiteY2507"/>
              </a:cxn>
              <a:cxn ang="0">
                <a:pos x="connsiteX2508" y="connsiteY2508"/>
              </a:cxn>
              <a:cxn ang="0">
                <a:pos x="connsiteX2509" y="connsiteY2509"/>
              </a:cxn>
              <a:cxn ang="0">
                <a:pos x="connsiteX2510" y="connsiteY2510"/>
              </a:cxn>
              <a:cxn ang="0">
                <a:pos x="connsiteX2511" y="connsiteY2511"/>
              </a:cxn>
              <a:cxn ang="0">
                <a:pos x="connsiteX2512" y="connsiteY2512"/>
              </a:cxn>
              <a:cxn ang="0">
                <a:pos x="connsiteX2513" y="connsiteY2513"/>
              </a:cxn>
              <a:cxn ang="0">
                <a:pos x="connsiteX2514" y="connsiteY2514"/>
              </a:cxn>
              <a:cxn ang="0">
                <a:pos x="connsiteX2515" y="connsiteY2515"/>
              </a:cxn>
              <a:cxn ang="0">
                <a:pos x="connsiteX2516" y="connsiteY2516"/>
              </a:cxn>
              <a:cxn ang="0">
                <a:pos x="connsiteX2517" y="connsiteY2517"/>
              </a:cxn>
              <a:cxn ang="0">
                <a:pos x="connsiteX2518" y="connsiteY2518"/>
              </a:cxn>
              <a:cxn ang="0">
                <a:pos x="connsiteX2519" y="connsiteY2519"/>
              </a:cxn>
              <a:cxn ang="0">
                <a:pos x="connsiteX2520" y="connsiteY2520"/>
              </a:cxn>
              <a:cxn ang="0">
                <a:pos x="connsiteX2521" y="connsiteY2521"/>
              </a:cxn>
              <a:cxn ang="0">
                <a:pos x="connsiteX2522" y="connsiteY2522"/>
              </a:cxn>
              <a:cxn ang="0">
                <a:pos x="connsiteX2523" y="connsiteY2523"/>
              </a:cxn>
              <a:cxn ang="0">
                <a:pos x="connsiteX2524" y="connsiteY2524"/>
              </a:cxn>
              <a:cxn ang="0">
                <a:pos x="connsiteX2525" y="connsiteY2525"/>
              </a:cxn>
              <a:cxn ang="0">
                <a:pos x="connsiteX2526" y="connsiteY2526"/>
              </a:cxn>
              <a:cxn ang="0">
                <a:pos x="connsiteX2527" y="connsiteY2527"/>
              </a:cxn>
              <a:cxn ang="0">
                <a:pos x="connsiteX2528" y="connsiteY2528"/>
              </a:cxn>
              <a:cxn ang="0">
                <a:pos x="connsiteX2529" y="connsiteY2529"/>
              </a:cxn>
              <a:cxn ang="0">
                <a:pos x="connsiteX2530" y="connsiteY2530"/>
              </a:cxn>
              <a:cxn ang="0">
                <a:pos x="connsiteX2531" y="connsiteY2531"/>
              </a:cxn>
              <a:cxn ang="0">
                <a:pos x="connsiteX2532" y="connsiteY2532"/>
              </a:cxn>
              <a:cxn ang="0">
                <a:pos x="connsiteX2533" y="connsiteY2533"/>
              </a:cxn>
              <a:cxn ang="0">
                <a:pos x="connsiteX2534" y="connsiteY2534"/>
              </a:cxn>
              <a:cxn ang="0">
                <a:pos x="connsiteX2535" y="connsiteY2535"/>
              </a:cxn>
              <a:cxn ang="0">
                <a:pos x="connsiteX2536" y="connsiteY2536"/>
              </a:cxn>
              <a:cxn ang="0">
                <a:pos x="connsiteX2537" y="connsiteY2537"/>
              </a:cxn>
              <a:cxn ang="0">
                <a:pos x="connsiteX2538" y="connsiteY2538"/>
              </a:cxn>
              <a:cxn ang="0">
                <a:pos x="connsiteX2539" y="connsiteY2539"/>
              </a:cxn>
              <a:cxn ang="0">
                <a:pos x="connsiteX2540" y="connsiteY2540"/>
              </a:cxn>
              <a:cxn ang="0">
                <a:pos x="connsiteX2541" y="connsiteY2541"/>
              </a:cxn>
              <a:cxn ang="0">
                <a:pos x="connsiteX2542" y="connsiteY2542"/>
              </a:cxn>
              <a:cxn ang="0">
                <a:pos x="connsiteX2543" y="connsiteY2543"/>
              </a:cxn>
              <a:cxn ang="0">
                <a:pos x="connsiteX2544" y="connsiteY2544"/>
              </a:cxn>
              <a:cxn ang="0">
                <a:pos x="connsiteX2545" y="connsiteY2545"/>
              </a:cxn>
              <a:cxn ang="0">
                <a:pos x="connsiteX2546" y="connsiteY2546"/>
              </a:cxn>
              <a:cxn ang="0">
                <a:pos x="connsiteX2547" y="connsiteY2547"/>
              </a:cxn>
              <a:cxn ang="0">
                <a:pos x="connsiteX2548" y="connsiteY2548"/>
              </a:cxn>
              <a:cxn ang="0">
                <a:pos x="connsiteX2549" y="connsiteY2549"/>
              </a:cxn>
              <a:cxn ang="0">
                <a:pos x="connsiteX2550" y="connsiteY2550"/>
              </a:cxn>
              <a:cxn ang="0">
                <a:pos x="connsiteX2551" y="connsiteY2551"/>
              </a:cxn>
              <a:cxn ang="0">
                <a:pos x="connsiteX2552" y="connsiteY2552"/>
              </a:cxn>
              <a:cxn ang="0">
                <a:pos x="connsiteX2553" y="connsiteY2553"/>
              </a:cxn>
              <a:cxn ang="0">
                <a:pos x="connsiteX2554" y="connsiteY2554"/>
              </a:cxn>
              <a:cxn ang="0">
                <a:pos x="connsiteX2555" y="connsiteY2555"/>
              </a:cxn>
              <a:cxn ang="0">
                <a:pos x="connsiteX2556" y="connsiteY2556"/>
              </a:cxn>
              <a:cxn ang="0">
                <a:pos x="connsiteX2557" y="connsiteY2557"/>
              </a:cxn>
              <a:cxn ang="0">
                <a:pos x="connsiteX2558" y="connsiteY2558"/>
              </a:cxn>
              <a:cxn ang="0">
                <a:pos x="connsiteX2559" y="connsiteY2559"/>
              </a:cxn>
              <a:cxn ang="0">
                <a:pos x="connsiteX2560" y="connsiteY2560"/>
              </a:cxn>
              <a:cxn ang="0">
                <a:pos x="connsiteX2561" y="connsiteY2561"/>
              </a:cxn>
              <a:cxn ang="0">
                <a:pos x="connsiteX2562" y="connsiteY2562"/>
              </a:cxn>
              <a:cxn ang="0">
                <a:pos x="connsiteX2563" y="connsiteY2563"/>
              </a:cxn>
              <a:cxn ang="0">
                <a:pos x="connsiteX2564" y="connsiteY2564"/>
              </a:cxn>
              <a:cxn ang="0">
                <a:pos x="connsiteX2565" y="connsiteY2565"/>
              </a:cxn>
              <a:cxn ang="0">
                <a:pos x="connsiteX2566" y="connsiteY2566"/>
              </a:cxn>
              <a:cxn ang="0">
                <a:pos x="connsiteX2567" y="connsiteY2567"/>
              </a:cxn>
              <a:cxn ang="0">
                <a:pos x="connsiteX2568" y="connsiteY2568"/>
              </a:cxn>
              <a:cxn ang="0">
                <a:pos x="connsiteX2569" y="connsiteY2569"/>
              </a:cxn>
              <a:cxn ang="0">
                <a:pos x="connsiteX2570" y="connsiteY2570"/>
              </a:cxn>
              <a:cxn ang="0">
                <a:pos x="connsiteX2571" y="connsiteY2571"/>
              </a:cxn>
              <a:cxn ang="0">
                <a:pos x="connsiteX2572" y="connsiteY2572"/>
              </a:cxn>
              <a:cxn ang="0">
                <a:pos x="connsiteX2573" y="connsiteY2573"/>
              </a:cxn>
              <a:cxn ang="0">
                <a:pos x="connsiteX2574" y="connsiteY2574"/>
              </a:cxn>
              <a:cxn ang="0">
                <a:pos x="connsiteX2575" y="connsiteY2575"/>
              </a:cxn>
              <a:cxn ang="0">
                <a:pos x="connsiteX2576" y="connsiteY2576"/>
              </a:cxn>
              <a:cxn ang="0">
                <a:pos x="connsiteX2577" y="connsiteY2577"/>
              </a:cxn>
              <a:cxn ang="0">
                <a:pos x="connsiteX2578" y="connsiteY2578"/>
              </a:cxn>
              <a:cxn ang="0">
                <a:pos x="connsiteX2579" y="connsiteY2579"/>
              </a:cxn>
              <a:cxn ang="0">
                <a:pos x="connsiteX2580" y="connsiteY2580"/>
              </a:cxn>
              <a:cxn ang="0">
                <a:pos x="connsiteX2581" y="connsiteY2581"/>
              </a:cxn>
              <a:cxn ang="0">
                <a:pos x="connsiteX2582" y="connsiteY2582"/>
              </a:cxn>
              <a:cxn ang="0">
                <a:pos x="connsiteX2583" y="connsiteY2583"/>
              </a:cxn>
              <a:cxn ang="0">
                <a:pos x="connsiteX2584" y="connsiteY2584"/>
              </a:cxn>
              <a:cxn ang="0">
                <a:pos x="connsiteX2585" y="connsiteY2585"/>
              </a:cxn>
              <a:cxn ang="0">
                <a:pos x="connsiteX2586" y="connsiteY2586"/>
              </a:cxn>
              <a:cxn ang="0">
                <a:pos x="connsiteX2587" y="connsiteY2587"/>
              </a:cxn>
              <a:cxn ang="0">
                <a:pos x="connsiteX2588" y="connsiteY2588"/>
              </a:cxn>
              <a:cxn ang="0">
                <a:pos x="connsiteX2589" y="connsiteY2589"/>
              </a:cxn>
              <a:cxn ang="0">
                <a:pos x="connsiteX2590" y="connsiteY2590"/>
              </a:cxn>
              <a:cxn ang="0">
                <a:pos x="connsiteX2591" y="connsiteY2591"/>
              </a:cxn>
              <a:cxn ang="0">
                <a:pos x="connsiteX2592" y="connsiteY2592"/>
              </a:cxn>
              <a:cxn ang="0">
                <a:pos x="connsiteX2593" y="connsiteY2593"/>
              </a:cxn>
              <a:cxn ang="0">
                <a:pos x="connsiteX2594" y="connsiteY2594"/>
              </a:cxn>
              <a:cxn ang="0">
                <a:pos x="connsiteX2595" y="connsiteY2595"/>
              </a:cxn>
              <a:cxn ang="0">
                <a:pos x="connsiteX2596" y="connsiteY2596"/>
              </a:cxn>
              <a:cxn ang="0">
                <a:pos x="connsiteX2597" y="connsiteY2597"/>
              </a:cxn>
              <a:cxn ang="0">
                <a:pos x="connsiteX2598" y="connsiteY2598"/>
              </a:cxn>
              <a:cxn ang="0">
                <a:pos x="connsiteX2599" y="connsiteY2599"/>
              </a:cxn>
              <a:cxn ang="0">
                <a:pos x="connsiteX2600" y="connsiteY2600"/>
              </a:cxn>
              <a:cxn ang="0">
                <a:pos x="connsiteX2601" y="connsiteY2601"/>
              </a:cxn>
              <a:cxn ang="0">
                <a:pos x="connsiteX2602" y="connsiteY2602"/>
              </a:cxn>
              <a:cxn ang="0">
                <a:pos x="connsiteX2603" y="connsiteY2603"/>
              </a:cxn>
              <a:cxn ang="0">
                <a:pos x="connsiteX2604" y="connsiteY2604"/>
              </a:cxn>
              <a:cxn ang="0">
                <a:pos x="connsiteX2605" y="connsiteY2605"/>
              </a:cxn>
              <a:cxn ang="0">
                <a:pos x="connsiteX2606" y="connsiteY2606"/>
              </a:cxn>
              <a:cxn ang="0">
                <a:pos x="connsiteX2607" y="connsiteY2607"/>
              </a:cxn>
              <a:cxn ang="0">
                <a:pos x="connsiteX2608" y="connsiteY2608"/>
              </a:cxn>
              <a:cxn ang="0">
                <a:pos x="connsiteX2609" y="connsiteY2609"/>
              </a:cxn>
              <a:cxn ang="0">
                <a:pos x="connsiteX2610" y="connsiteY2610"/>
              </a:cxn>
              <a:cxn ang="0">
                <a:pos x="connsiteX2611" y="connsiteY2611"/>
              </a:cxn>
              <a:cxn ang="0">
                <a:pos x="connsiteX2612" y="connsiteY2612"/>
              </a:cxn>
              <a:cxn ang="0">
                <a:pos x="connsiteX2613" y="connsiteY2613"/>
              </a:cxn>
              <a:cxn ang="0">
                <a:pos x="connsiteX2614" y="connsiteY2614"/>
              </a:cxn>
              <a:cxn ang="0">
                <a:pos x="connsiteX2615" y="connsiteY2615"/>
              </a:cxn>
              <a:cxn ang="0">
                <a:pos x="connsiteX2616" y="connsiteY2616"/>
              </a:cxn>
              <a:cxn ang="0">
                <a:pos x="connsiteX2617" y="connsiteY2617"/>
              </a:cxn>
              <a:cxn ang="0">
                <a:pos x="connsiteX2618" y="connsiteY2618"/>
              </a:cxn>
              <a:cxn ang="0">
                <a:pos x="connsiteX2619" y="connsiteY2619"/>
              </a:cxn>
              <a:cxn ang="0">
                <a:pos x="connsiteX2620" y="connsiteY2620"/>
              </a:cxn>
              <a:cxn ang="0">
                <a:pos x="connsiteX2621" y="connsiteY2621"/>
              </a:cxn>
              <a:cxn ang="0">
                <a:pos x="connsiteX2622" y="connsiteY2622"/>
              </a:cxn>
              <a:cxn ang="0">
                <a:pos x="connsiteX2623" y="connsiteY2623"/>
              </a:cxn>
              <a:cxn ang="0">
                <a:pos x="connsiteX2624" y="connsiteY2624"/>
              </a:cxn>
              <a:cxn ang="0">
                <a:pos x="connsiteX2625" y="connsiteY2625"/>
              </a:cxn>
              <a:cxn ang="0">
                <a:pos x="connsiteX2626" y="connsiteY2626"/>
              </a:cxn>
              <a:cxn ang="0">
                <a:pos x="connsiteX2627" y="connsiteY2627"/>
              </a:cxn>
              <a:cxn ang="0">
                <a:pos x="connsiteX2628" y="connsiteY2628"/>
              </a:cxn>
              <a:cxn ang="0">
                <a:pos x="connsiteX2629" y="connsiteY2629"/>
              </a:cxn>
              <a:cxn ang="0">
                <a:pos x="connsiteX2630" y="connsiteY2630"/>
              </a:cxn>
              <a:cxn ang="0">
                <a:pos x="connsiteX2631" y="connsiteY2631"/>
              </a:cxn>
              <a:cxn ang="0">
                <a:pos x="connsiteX2632" y="connsiteY2632"/>
              </a:cxn>
              <a:cxn ang="0">
                <a:pos x="connsiteX2633" y="connsiteY2633"/>
              </a:cxn>
              <a:cxn ang="0">
                <a:pos x="connsiteX2634" y="connsiteY2634"/>
              </a:cxn>
              <a:cxn ang="0">
                <a:pos x="connsiteX2635" y="connsiteY2635"/>
              </a:cxn>
              <a:cxn ang="0">
                <a:pos x="connsiteX2636" y="connsiteY2636"/>
              </a:cxn>
              <a:cxn ang="0">
                <a:pos x="connsiteX2637" y="connsiteY2637"/>
              </a:cxn>
              <a:cxn ang="0">
                <a:pos x="connsiteX2638" y="connsiteY2638"/>
              </a:cxn>
              <a:cxn ang="0">
                <a:pos x="connsiteX2639" y="connsiteY2639"/>
              </a:cxn>
              <a:cxn ang="0">
                <a:pos x="connsiteX2640" y="connsiteY2640"/>
              </a:cxn>
              <a:cxn ang="0">
                <a:pos x="connsiteX2641" y="connsiteY2641"/>
              </a:cxn>
              <a:cxn ang="0">
                <a:pos x="connsiteX2642" y="connsiteY2642"/>
              </a:cxn>
              <a:cxn ang="0">
                <a:pos x="connsiteX2643" y="connsiteY2643"/>
              </a:cxn>
              <a:cxn ang="0">
                <a:pos x="connsiteX2644" y="connsiteY2644"/>
              </a:cxn>
              <a:cxn ang="0">
                <a:pos x="connsiteX2645" y="connsiteY2645"/>
              </a:cxn>
              <a:cxn ang="0">
                <a:pos x="connsiteX2646" y="connsiteY2646"/>
              </a:cxn>
              <a:cxn ang="0">
                <a:pos x="connsiteX2647" y="connsiteY2647"/>
              </a:cxn>
              <a:cxn ang="0">
                <a:pos x="connsiteX2648" y="connsiteY2648"/>
              </a:cxn>
              <a:cxn ang="0">
                <a:pos x="connsiteX2649" y="connsiteY2649"/>
              </a:cxn>
              <a:cxn ang="0">
                <a:pos x="connsiteX2650" y="connsiteY2650"/>
              </a:cxn>
              <a:cxn ang="0">
                <a:pos x="connsiteX2651" y="connsiteY2651"/>
              </a:cxn>
              <a:cxn ang="0">
                <a:pos x="connsiteX2652" y="connsiteY2652"/>
              </a:cxn>
              <a:cxn ang="0">
                <a:pos x="connsiteX2653" y="connsiteY2653"/>
              </a:cxn>
              <a:cxn ang="0">
                <a:pos x="connsiteX2654" y="connsiteY2654"/>
              </a:cxn>
              <a:cxn ang="0">
                <a:pos x="connsiteX2655" y="connsiteY2655"/>
              </a:cxn>
              <a:cxn ang="0">
                <a:pos x="connsiteX2656" y="connsiteY2656"/>
              </a:cxn>
              <a:cxn ang="0">
                <a:pos x="connsiteX2657" y="connsiteY2657"/>
              </a:cxn>
              <a:cxn ang="0">
                <a:pos x="connsiteX2658" y="connsiteY2658"/>
              </a:cxn>
              <a:cxn ang="0">
                <a:pos x="connsiteX2659" y="connsiteY2659"/>
              </a:cxn>
              <a:cxn ang="0">
                <a:pos x="connsiteX2660" y="connsiteY2660"/>
              </a:cxn>
              <a:cxn ang="0">
                <a:pos x="connsiteX2661" y="connsiteY2661"/>
              </a:cxn>
              <a:cxn ang="0">
                <a:pos x="connsiteX2662" y="connsiteY2662"/>
              </a:cxn>
              <a:cxn ang="0">
                <a:pos x="connsiteX2663" y="connsiteY2663"/>
              </a:cxn>
              <a:cxn ang="0">
                <a:pos x="connsiteX2664" y="connsiteY2664"/>
              </a:cxn>
              <a:cxn ang="0">
                <a:pos x="connsiteX2665" y="connsiteY2665"/>
              </a:cxn>
              <a:cxn ang="0">
                <a:pos x="connsiteX2666" y="connsiteY2666"/>
              </a:cxn>
              <a:cxn ang="0">
                <a:pos x="connsiteX2667" y="connsiteY2667"/>
              </a:cxn>
              <a:cxn ang="0">
                <a:pos x="connsiteX2668" y="connsiteY2668"/>
              </a:cxn>
              <a:cxn ang="0">
                <a:pos x="connsiteX2669" y="connsiteY2669"/>
              </a:cxn>
              <a:cxn ang="0">
                <a:pos x="connsiteX2670" y="connsiteY2670"/>
              </a:cxn>
              <a:cxn ang="0">
                <a:pos x="connsiteX2671" y="connsiteY2671"/>
              </a:cxn>
              <a:cxn ang="0">
                <a:pos x="connsiteX2672" y="connsiteY2672"/>
              </a:cxn>
              <a:cxn ang="0">
                <a:pos x="connsiteX2673" y="connsiteY2673"/>
              </a:cxn>
              <a:cxn ang="0">
                <a:pos x="connsiteX2674" y="connsiteY2674"/>
              </a:cxn>
              <a:cxn ang="0">
                <a:pos x="connsiteX2675" y="connsiteY2675"/>
              </a:cxn>
              <a:cxn ang="0">
                <a:pos x="connsiteX2676" y="connsiteY2676"/>
              </a:cxn>
              <a:cxn ang="0">
                <a:pos x="connsiteX2677" y="connsiteY2677"/>
              </a:cxn>
              <a:cxn ang="0">
                <a:pos x="connsiteX2678" y="connsiteY2678"/>
              </a:cxn>
              <a:cxn ang="0">
                <a:pos x="connsiteX2679" y="connsiteY2679"/>
              </a:cxn>
              <a:cxn ang="0">
                <a:pos x="connsiteX2680" y="connsiteY2680"/>
              </a:cxn>
              <a:cxn ang="0">
                <a:pos x="connsiteX2681" y="connsiteY2681"/>
              </a:cxn>
              <a:cxn ang="0">
                <a:pos x="connsiteX2682" y="connsiteY2682"/>
              </a:cxn>
              <a:cxn ang="0">
                <a:pos x="connsiteX2683" y="connsiteY2683"/>
              </a:cxn>
              <a:cxn ang="0">
                <a:pos x="connsiteX2684" y="connsiteY2684"/>
              </a:cxn>
              <a:cxn ang="0">
                <a:pos x="connsiteX2685" y="connsiteY2685"/>
              </a:cxn>
              <a:cxn ang="0">
                <a:pos x="connsiteX2686" y="connsiteY2686"/>
              </a:cxn>
              <a:cxn ang="0">
                <a:pos x="connsiteX2687" y="connsiteY2687"/>
              </a:cxn>
              <a:cxn ang="0">
                <a:pos x="connsiteX2688" y="connsiteY2688"/>
              </a:cxn>
              <a:cxn ang="0">
                <a:pos x="connsiteX2689" y="connsiteY2689"/>
              </a:cxn>
              <a:cxn ang="0">
                <a:pos x="connsiteX2690" y="connsiteY2690"/>
              </a:cxn>
              <a:cxn ang="0">
                <a:pos x="connsiteX2691" y="connsiteY2691"/>
              </a:cxn>
              <a:cxn ang="0">
                <a:pos x="connsiteX2692" y="connsiteY2692"/>
              </a:cxn>
              <a:cxn ang="0">
                <a:pos x="connsiteX2693" y="connsiteY2693"/>
              </a:cxn>
              <a:cxn ang="0">
                <a:pos x="connsiteX2694" y="connsiteY2694"/>
              </a:cxn>
              <a:cxn ang="0">
                <a:pos x="connsiteX2695" y="connsiteY2695"/>
              </a:cxn>
              <a:cxn ang="0">
                <a:pos x="connsiteX2696" y="connsiteY2696"/>
              </a:cxn>
              <a:cxn ang="0">
                <a:pos x="connsiteX2697" y="connsiteY2697"/>
              </a:cxn>
              <a:cxn ang="0">
                <a:pos x="connsiteX2698" y="connsiteY2698"/>
              </a:cxn>
              <a:cxn ang="0">
                <a:pos x="connsiteX2699" y="connsiteY2699"/>
              </a:cxn>
              <a:cxn ang="0">
                <a:pos x="connsiteX2700" y="connsiteY2700"/>
              </a:cxn>
              <a:cxn ang="0">
                <a:pos x="connsiteX2701" y="connsiteY2701"/>
              </a:cxn>
              <a:cxn ang="0">
                <a:pos x="connsiteX2702" y="connsiteY2702"/>
              </a:cxn>
              <a:cxn ang="0">
                <a:pos x="connsiteX2703" y="connsiteY2703"/>
              </a:cxn>
              <a:cxn ang="0">
                <a:pos x="connsiteX2704" y="connsiteY2704"/>
              </a:cxn>
              <a:cxn ang="0">
                <a:pos x="connsiteX2705" y="connsiteY2705"/>
              </a:cxn>
              <a:cxn ang="0">
                <a:pos x="connsiteX2706" y="connsiteY2706"/>
              </a:cxn>
              <a:cxn ang="0">
                <a:pos x="connsiteX2707" y="connsiteY2707"/>
              </a:cxn>
              <a:cxn ang="0">
                <a:pos x="connsiteX2708" y="connsiteY2708"/>
              </a:cxn>
              <a:cxn ang="0">
                <a:pos x="connsiteX2709" y="connsiteY2709"/>
              </a:cxn>
              <a:cxn ang="0">
                <a:pos x="connsiteX2710" y="connsiteY2710"/>
              </a:cxn>
              <a:cxn ang="0">
                <a:pos x="connsiteX2711" y="connsiteY2711"/>
              </a:cxn>
              <a:cxn ang="0">
                <a:pos x="connsiteX2712" y="connsiteY2712"/>
              </a:cxn>
              <a:cxn ang="0">
                <a:pos x="connsiteX2713" y="connsiteY2713"/>
              </a:cxn>
              <a:cxn ang="0">
                <a:pos x="connsiteX2714" y="connsiteY2714"/>
              </a:cxn>
              <a:cxn ang="0">
                <a:pos x="connsiteX2715" y="connsiteY2715"/>
              </a:cxn>
              <a:cxn ang="0">
                <a:pos x="connsiteX2716" y="connsiteY2716"/>
              </a:cxn>
              <a:cxn ang="0">
                <a:pos x="connsiteX2717" y="connsiteY2717"/>
              </a:cxn>
              <a:cxn ang="0">
                <a:pos x="connsiteX2718" y="connsiteY2718"/>
              </a:cxn>
              <a:cxn ang="0">
                <a:pos x="connsiteX2719" y="connsiteY2719"/>
              </a:cxn>
              <a:cxn ang="0">
                <a:pos x="connsiteX2720" y="connsiteY2720"/>
              </a:cxn>
              <a:cxn ang="0">
                <a:pos x="connsiteX2721" y="connsiteY2721"/>
              </a:cxn>
              <a:cxn ang="0">
                <a:pos x="connsiteX2722" y="connsiteY2722"/>
              </a:cxn>
              <a:cxn ang="0">
                <a:pos x="connsiteX2723" y="connsiteY2723"/>
              </a:cxn>
              <a:cxn ang="0">
                <a:pos x="connsiteX2724" y="connsiteY2724"/>
              </a:cxn>
              <a:cxn ang="0">
                <a:pos x="connsiteX2725" y="connsiteY2725"/>
              </a:cxn>
              <a:cxn ang="0">
                <a:pos x="connsiteX2726" y="connsiteY2726"/>
              </a:cxn>
              <a:cxn ang="0">
                <a:pos x="connsiteX2727" y="connsiteY2727"/>
              </a:cxn>
              <a:cxn ang="0">
                <a:pos x="connsiteX2728" y="connsiteY2728"/>
              </a:cxn>
              <a:cxn ang="0">
                <a:pos x="connsiteX2729" y="connsiteY2729"/>
              </a:cxn>
              <a:cxn ang="0">
                <a:pos x="connsiteX2730" y="connsiteY2730"/>
              </a:cxn>
              <a:cxn ang="0">
                <a:pos x="connsiteX2731" y="connsiteY2731"/>
              </a:cxn>
              <a:cxn ang="0">
                <a:pos x="connsiteX2732" y="connsiteY2732"/>
              </a:cxn>
              <a:cxn ang="0">
                <a:pos x="connsiteX2733" y="connsiteY2733"/>
              </a:cxn>
              <a:cxn ang="0">
                <a:pos x="connsiteX2734" y="connsiteY2734"/>
              </a:cxn>
              <a:cxn ang="0">
                <a:pos x="connsiteX2735" y="connsiteY2735"/>
              </a:cxn>
              <a:cxn ang="0">
                <a:pos x="connsiteX2736" y="connsiteY2736"/>
              </a:cxn>
              <a:cxn ang="0">
                <a:pos x="connsiteX2737" y="connsiteY2737"/>
              </a:cxn>
              <a:cxn ang="0">
                <a:pos x="connsiteX2738" y="connsiteY2738"/>
              </a:cxn>
              <a:cxn ang="0">
                <a:pos x="connsiteX2739" y="connsiteY2739"/>
              </a:cxn>
              <a:cxn ang="0">
                <a:pos x="connsiteX2740" y="connsiteY2740"/>
              </a:cxn>
              <a:cxn ang="0">
                <a:pos x="connsiteX2741" y="connsiteY2741"/>
              </a:cxn>
              <a:cxn ang="0">
                <a:pos x="connsiteX2742" y="connsiteY2742"/>
              </a:cxn>
              <a:cxn ang="0">
                <a:pos x="connsiteX2743" y="connsiteY2743"/>
              </a:cxn>
              <a:cxn ang="0">
                <a:pos x="connsiteX2744" y="connsiteY2744"/>
              </a:cxn>
              <a:cxn ang="0">
                <a:pos x="connsiteX2745" y="connsiteY2745"/>
              </a:cxn>
              <a:cxn ang="0">
                <a:pos x="connsiteX2746" y="connsiteY2746"/>
              </a:cxn>
              <a:cxn ang="0">
                <a:pos x="connsiteX2747" y="connsiteY2747"/>
              </a:cxn>
              <a:cxn ang="0">
                <a:pos x="connsiteX2748" y="connsiteY2748"/>
              </a:cxn>
              <a:cxn ang="0">
                <a:pos x="connsiteX2749" y="connsiteY2749"/>
              </a:cxn>
              <a:cxn ang="0">
                <a:pos x="connsiteX2750" y="connsiteY2750"/>
              </a:cxn>
              <a:cxn ang="0">
                <a:pos x="connsiteX2751" y="connsiteY2751"/>
              </a:cxn>
              <a:cxn ang="0">
                <a:pos x="connsiteX2752" y="connsiteY2752"/>
              </a:cxn>
              <a:cxn ang="0">
                <a:pos x="connsiteX2753" y="connsiteY2753"/>
              </a:cxn>
              <a:cxn ang="0">
                <a:pos x="connsiteX2754" y="connsiteY2754"/>
              </a:cxn>
              <a:cxn ang="0">
                <a:pos x="connsiteX2755" y="connsiteY2755"/>
              </a:cxn>
              <a:cxn ang="0">
                <a:pos x="connsiteX2756" y="connsiteY2756"/>
              </a:cxn>
              <a:cxn ang="0">
                <a:pos x="connsiteX2757" y="connsiteY2757"/>
              </a:cxn>
              <a:cxn ang="0">
                <a:pos x="connsiteX2758" y="connsiteY2758"/>
              </a:cxn>
              <a:cxn ang="0">
                <a:pos x="connsiteX2759" y="connsiteY2759"/>
              </a:cxn>
              <a:cxn ang="0">
                <a:pos x="connsiteX2760" y="connsiteY2760"/>
              </a:cxn>
              <a:cxn ang="0">
                <a:pos x="connsiteX2761" y="connsiteY2761"/>
              </a:cxn>
              <a:cxn ang="0">
                <a:pos x="connsiteX2762" y="connsiteY2762"/>
              </a:cxn>
              <a:cxn ang="0">
                <a:pos x="connsiteX2763" y="connsiteY2763"/>
              </a:cxn>
              <a:cxn ang="0">
                <a:pos x="connsiteX2764" y="connsiteY2764"/>
              </a:cxn>
              <a:cxn ang="0">
                <a:pos x="connsiteX2765" y="connsiteY2765"/>
              </a:cxn>
              <a:cxn ang="0">
                <a:pos x="connsiteX2766" y="connsiteY2766"/>
              </a:cxn>
              <a:cxn ang="0">
                <a:pos x="connsiteX2767" y="connsiteY2767"/>
              </a:cxn>
              <a:cxn ang="0">
                <a:pos x="connsiteX2768" y="connsiteY2768"/>
              </a:cxn>
              <a:cxn ang="0">
                <a:pos x="connsiteX2769" y="connsiteY2769"/>
              </a:cxn>
              <a:cxn ang="0">
                <a:pos x="connsiteX2770" y="connsiteY2770"/>
              </a:cxn>
              <a:cxn ang="0">
                <a:pos x="connsiteX2771" y="connsiteY2771"/>
              </a:cxn>
              <a:cxn ang="0">
                <a:pos x="connsiteX2772" y="connsiteY2772"/>
              </a:cxn>
              <a:cxn ang="0">
                <a:pos x="connsiteX2773" y="connsiteY2773"/>
              </a:cxn>
              <a:cxn ang="0">
                <a:pos x="connsiteX2774" y="connsiteY2774"/>
              </a:cxn>
              <a:cxn ang="0">
                <a:pos x="connsiteX2775" y="connsiteY2775"/>
              </a:cxn>
              <a:cxn ang="0">
                <a:pos x="connsiteX2776" y="connsiteY2776"/>
              </a:cxn>
              <a:cxn ang="0">
                <a:pos x="connsiteX2777" y="connsiteY2777"/>
              </a:cxn>
              <a:cxn ang="0">
                <a:pos x="connsiteX2778" y="connsiteY2778"/>
              </a:cxn>
              <a:cxn ang="0">
                <a:pos x="connsiteX2779" y="connsiteY2779"/>
              </a:cxn>
              <a:cxn ang="0">
                <a:pos x="connsiteX2780" y="connsiteY2780"/>
              </a:cxn>
              <a:cxn ang="0">
                <a:pos x="connsiteX2781" y="connsiteY2781"/>
              </a:cxn>
              <a:cxn ang="0">
                <a:pos x="connsiteX2782" y="connsiteY2782"/>
              </a:cxn>
              <a:cxn ang="0">
                <a:pos x="connsiteX2783" y="connsiteY2783"/>
              </a:cxn>
              <a:cxn ang="0">
                <a:pos x="connsiteX2784" y="connsiteY2784"/>
              </a:cxn>
              <a:cxn ang="0">
                <a:pos x="connsiteX2785" y="connsiteY2785"/>
              </a:cxn>
              <a:cxn ang="0">
                <a:pos x="connsiteX2786" y="connsiteY2786"/>
              </a:cxn>
              <a:cxn ang="0">
                <a:pos x="connsiteX2787" y="connsiteY2787"/>
              </a:cxn>
              <a:cxn ang="0">
                <a:pos x="connsiteX2788" y="connsiteY2788"/>
              </a:cxn>
              <a:cxn ang="0">
                <a:pos x="connsiteX2789" y="connsiteY2789"/>
              </a:cxn>
              <a:cxn ang="0">
                <a:pos x="connsiteX2790" y="connsiteY2790"/>
              </a:cxn>
              <a:cxn ang="0">
                <a:pos x="connsiteX2791" y="connsiteY2791"/>
              </a:cxn>
              <a:cxn ang="0">
                <a:pos x="connsiteX2792" y="connsiteY2792"/>
              </a:cxn>
              <a:cxn ang="0">
                <a:pos x="connsiteX2793" y="connsiteY2793"/>
              </a:cxn>
              <a:cxn ang="0">
                <a:pos x="connsiteX2794" y="connsiteY2794"/>
              </a:cxn>
              <a:cxn ang="0">
                <a:pos x="connsiteX2795" y="connsiteY2795"/>
              </a:cxn>
              <a:cxn ang="0">
                <a:pos x="connsiteX2796" y="connsiteY2796"/>
              </a:cxn>
              <a:cxn ang="0">
                <a:pos x="connsiteX2797" y="connsiteY2797"/>
              </a:cxn>
              <a:cxn ang="0">
                <a:pos x="connsiteX2798" y="connsiteY2798"/>
              </a:cxn>
              <a:cxn ang="0">
                <a:pos x="connsiteX2799" y="connsiteY2799"/>
              </a:cxn>
              <a:cxn ang="0">
                <a:pos x="connsiteX2800" y="connsiteY2800"/>
              </a:cxn>
              <a:cxn ang="0">
                <a:pos x="connsiteX2801" y="connsiteY2801"/>
              </a:cxn>
              <a:cxn ang="0">
                <a:pos x="connsiteX2802" y="connsiteY2802"/>
              </a:cxn>
              <a:cxn ang="0">
                <a:pos x="connsiteX2803" y="connsiteY2803"/>
              </a:cxn>
              <a:cxn ang="0">
                <a:pos x="connsiteX2804" y="connsiteY2804"/>
              </a:cxn>
              <a:cxn ang="0">
                <a:pos x="connsiteX2805" y="connsiteY2805"/>
              </a:cxn>
              <a:cxn ang="0">
                <a:pos x="connsiteX2806" y="connsiteY2806"/>
              </a:cxn>
              <a:cxn ang="0">
                <a:pos x="connsiteX2807" y="connsiteY2807"/>
              </a:cxn>
              <a:cxn ang="0">
                <a:pos x="connsiteX2808" y="connsiteY2808"/>
              </a:cxn>
              <a:cxn ang="0">
                <a:pos x="connsiteX2809" y="connsiteY2809"/>
              </a:cxn>
              <a:cxn ang="0">
                <a:pos x="connsiteX2810" y="connsiteY2810"/>
              </a:cxn>
              <a:cxn ang="0">
                <a:pos x="connsiteX2811" y="connsiteY2811"/>
              </a:cxn>
              <a:cxn ang="0">
                <a:pos x="connsiteX2812" y="connsiteY2812"/>
              </a:cxn>
              <a:cxn ang="0">
                <a:pos x="connsiteX2813" y="connsiteY2813"/>
              </a:cxn>
              <a:cxn ang="0">
                <a:pos x="connsiteX2814" y="connsiteY2814"/>
              </a:cxn>
              <a:cxn ang="0">
                <a:pos x="connsiteX2815" y="connsiteY2815"/>
              </a:cxn>
              <a:cxn ang="0">
                <a:pos x="connsiteX2816" y="connsiteY2816"/>
              </a:cxn>
              <a:cxn ang="0">
                <a:pos x="connsiteX2817" y="connsiteY2817"/>
              </a:cxn>
              <a:cxn ang="0">
                <a:pos x="connsiteX2818" y="connsiteY2818"/>
              </a:cxn>
              <a:cxn ang="0">
                <a:pos x="connsiteX2819" y="connsiteY2819"/>
              </a:cxn>
              <a:cxn ang="0">
                <a:pos x="connsiteX2820" y="connsiteY2820"/>
              </a:cxn>
              <a:cxn ang="0">
                <a:pos x="connsiteX2821" y="connsiteY2821"/>
              </a:cxn>
              <a:cxn ang="0">
                <a:pos x="connsiteX2822" y="connsiteY2822"/>
              </a:cxn>
              <a:cxn ang="0">
                <a:pos x="connsiteX2823" y="connsiteY2823"/>
              </a:cxn>
              <a:cxn ang="0">
                <a:pos x="connsiteX2824" y="connsiteY2824"/>
              </a:cxn>
              <a:cxn ang="0">
                <a:pos x="connsiteX2825" y="connsiteY2825"/>
              </a:cxn>
              <a:cxn ang="0">
                <a:pos x="connsiteX2826" y="connsiteY2826"/>
              </a:cxn>
              <a:cxn ang="0">
                <a:pos x="connsiteX2827" y="connsiteY2827"/>
              </a:cxn>
              <a:cxn ang="0">
                <a:pos x="connsiteX2828" y="connsiteY2828"/>
              </a:cxn>
              <a:cxn ang="0">
                <a:pos x="connsiteX2829" y="connsiteY2829"/>
              </a:cxn>
              <a:cxn ang="0">
                <a:pos x="connsiteX2830" y="connsiteY2830"/>
              </a:cxn>
              <a:cxn ang="0">
                <a:pos x="connsiteX2831" y="connsiteY2831"/>
              </a:cxn>
              <a:cxn ang="0">
                <a:pos x="connsiteX2832" y="connsiteY2832"/>
              </a:cxn>
              <a:cxn ang="0">
                <a:pos x="connsiteX2833" y="connsiteY2833"/>
              </a:cxn>
              <a:cxn ang="0">
                <a:pos x="connsiteX2834" y="connsiteY2834"/>
              </a:cxn>
              <a:cxn ang="0">
                <a:pos x="connsiteX2835" y="connsiteY2835"/>
              </a:cxn>
              <a:cxn ang="0">
                <a:pos x="connsiteX2836" y="connsiteY2836"/>
              </a:cxn>
              <a:cxn ang="0">
                <a:pos x="connsiteX2837" y="connsiteY2837"/>
              </a:cxn>
              <a:cxn ang="0">
                <a:pos x="connsiteX2838" y="connsiteY2838"/>
              </a:cxn>
              <a:cxn ang="0">
                <a:pos x="connsiteX2839" y="connsiteY2839"/>
              </a:cxn>
              <a:cxn ang="0">
                <a:pos x="connsiteX2840" y="connsiteY2840"/>
              </a:cxn>
              <a:cxn ang="0">
                <a:pos x="connsiteX2841" y="connsiteY2841"/>
              </a:cxn>
              <a:cxn ang="0">
                <a:pos x="connsiteX2842" y="connsiteY2842"/>
              </a:cxn>
              <a:cxn ang="0">
                <a:pos x="connsiteX2843" y="connsiteY2843"/>
              </a:cxn>
              <a:cxn ang="0">
                <a:pos x="connsiteX2844" y="connsiteY2844"/>
              </a:cxn>
              <a:cxn ang="0">
                <a:pos x="connsiteX2845" y="connsiteY2845"/>
              </a:cxn>
              <a:cxn ang="0">
                <a:pos x="connsiteX2846" y="connsiteY2846"/>
              </a:cxn>
              <a:cxn ang="0">
                <a:pos x="connsiteX2847" y="connsiteY2847"/>
              </a:cxn>
              <a:cxn ang="0">
                <a:pos x="connsiteX2848" y="connsiteY2848"/>
              </a:cxn>
              <a:cxn ang="0">
                <a:pos x="connsiteX2849" y="connsiteY2849"/>
              </a:cxn>
              <a:cxn ang="0">
                <a:pos x="connsiteX2850" y="connsiteY2850"/>
              </a:cxn>
              <a:cxn ang="0">
                <a:pos x="connsiteX2851" y="connsiteY2851"/>
              </a:cxn>
              <a:cxn ang="0">
                <a:pos x="connsiteX2852" y="connsiteY2852"/>
              </a:cxn>
              <a:cxn ang="0">
                <a:pos x="connsiteX2853" y="connsiteY2853"/>
              </a:cxn>
              <a:cxn ang="0">
                <a:pos x="connsiteX2854" y="connsiteY2854"/>
              </a:cxn>
              <a:cxn ang="0">
                <a:pos x="connsiteX2855" y="connsiteY2855"/>
              </a:cxn>
              <a:cxn ang="0">
                <a:pos x="connsiteX2856" y="connsiteY2856"/>
              </a:cxn>
              <a:cxn ang="0">
                <a:pos x="connsiteX2857" y="connsiteY2857"/>
              </a:cxn>
              <a:cxn ang="0">
                <a:pos x="connsiteX2858" y="connsiteY2858"/>
              </a:cxn>
              <a:cxn ang="0">
                <a:pos x="connsiteX2859" y="connsiteY2859"/>
              </a:cxn>
              <a:cxn ang="0">
                <a:pos x="connsiteX2860" y="connsiteY2860"/>
              </a:cxn>
              <a:cxn ang="0">
                <a:pos x="connsiteX2861" y="connsiteY2861"/>
              </a:cxn>
              <a:cxn ang="0">
                <a:pos x="connsiteX2862" y="connsiteY2862"/>
              </a:cxn>
              <a:cxn ang="0">
                <a:pos x="connsiteX2863" y="connsiteY2863"/>
              </a:cxn>
              <a:cxn ang="0">
                <a:pos x="connsiteX2864" y="connsiteY2864"/>
              </a:cxn>
              <a:cxn ang="0">
                <a:pos x="connsiteX2865" y="connsiteY2865"/>
              </a:cxn>
              <a:cxn ang="0">
                <a:pos x="connsiteX2866" y="connsiteY2866"/>
              </a:cxn>
              <a:cxn ang="0">
                <a:pos x="connsiteX2867" y="connsiteY2867"/>
              </a:cxn>
              <a:cxn ang="0">
                <a:pos x="connsiteX2868" y="connsiteY2868"/>
              </a:cxn>
              <a:cxn ang="0">
                <a:pos x="connsiteX2869" y="connsiteY2869"/>
              </a:cxn>
              <a:cxn ang="0">
                <a:pos x="connsiteX2870" y="connsiteY2870"/>
              </a:cxn>
              <a:cxn ang="0">
                <a:pos x="connsiteX2871" y="connsiteY2871"/>
              </a:cxn>
              <a:cxn ang="0">
                <a:pos x="connsiteX2872" y="connsiteY2872"/>
              </a:cxn>
              <a:cxn ang="0">
                <a:pos x="connsiteX2873" y="connsiteY2873"/>
              </a:cxn>
              <a:cxn ang="0">
                <a:pos x="connsiteX2874" y="connsiteY2874"/>
              </a:cxn>
              <a:cxn ang="0">
                <a:pos x="connsiteX2875" y="connsiteY2875"/>
              </a:cxn>
              <a:cxn ang="0">
                <a:pos x="connsiteX2876" y="connsiteY2876"/>
              </a:cxn>
              <a:cxn ang="0">
                <a:pos x="connsiteX2877" y="connsiteY2877"/>
              </a:cxn>
              <a:cxn ang="0">
                <a:pos x="connsiteX2878" y="connsiteY2878"/>
              </a:cxn>
              <a:cxn ang="0">
                <a:pos x="connsiteX2879" y="connsiteY2879"/>
              </a:cxn>
              <a:cxn ang="0">
                <a:pos x="connsiteX2880" y="connsiteY2880"/>
              </a:cxn>
              <a:cxn ang="0">
                <a:pos x="connsiteX2881" y="connsiteY2881"/>
              </a:cxn>
              <a:cxn ang="0">
                <a:pos x="connsiteX2882" y="connsiteY2882"/>
              </a:cxn>
              <a:cxn ang="0">
                <a:pos x="connsiteX2883" y="connsiteY2883"/>
              </a:cxn>
              <a:cxn ang="0">
                <a:pos x="connsiteX2884" y="connsiteY2884"/>
              </a:cxn>
              <a:cxn ang="0">
                <a:pos x="connsiteX2885" y="connsiteY2885"/>
              </a:cxn>
              <a:cxn ang="0">
                <a:pos x="connsiteX2886" y="connsiteY2886"/>
              </a:cxn>
              <a:cxn ang="0">
                <a:pos x="connsiteX2887" y="connsiteY2887"/>
              </a:cxn>
              <a:cxn ang="0">
                <a:pos x="connsiteX2888" y="connsiteY2888"/>
              </a:cxn>
              <a:cxn ang="0">
                <a:pos x="connsiteX2889" y="connsiteY2889"/>
              </a:cxn>
              <a:cxn ang="0">
                <a:pos x="connsiteX2890" y="connsiteY2890"/>
              </a:cxn>
              <a:cxn ang="0">
                <a:pos x="connsiteX2891" y="connsiteY2891"/>
              </a:cxn>
              <a:cxn ang="0">
                <a:pos x="connsiteX2892" y="connsiteY2892"/>
              </a:cxn>
              <a:cxn ang="0">
                <a:pos x="connsiteX2893" y="connsiteY2893"/>
              </a:cxn>
              <a:cxn ang="0">
                <a:pos x="connsiteX2894" y="connsiteY2894"/>
              </a:cxn>
              <a:cxn ang="0">
                <a:pos x="connsiteX2895" y="connsiteY2895"/>
              </a:cxn>
              <a:cxn ang="0">
                <a:pos x="connsiteX2896" y="connsiteY2896"/>
              </a:cxn>
              <a:cxn ang="0">
                <a:pos x="connsiteX2897" y="connsiteY2897"/>
              </a:cxn>
              <a:cxn ang="0">
                <a:pos x="connsiteX2898" y="connsiteY2898"/>
              </a:cxn>
              <a:cxn ang="0">
                <a:pos x="connsiteX2899" y="connsiteY2899"/>
              </a:cxn>
              <a:cxn ang="0">
                <a:pos x="connsiteX2900" y="connsiteY2900"/>
              </a:cxn>
              <a:cxn ang="0">
                <a:pos x="connsiteX2901" y="connsiteY2901"/>
              </a:cxn>
              <a:cxn ang="0">
                <a:pos x="connsiteX2902" y="connsiteY2902"/>
              </a:cxn>
              <a:cxn ang="0">
                <a:pos x="connsiteX2903" y="connsiteY2903"/>
              </a:cxn>
              <a:cxn ang="0">
                <a:pos x="connsiteX2904" y="connsiteY2904"/>
              </a:cxn>
              <a:cxn ang="0">
                <a:pos x="connsiteX2905" y="connsiteY2905"/>
              </a:cxn>
              <a:cxn ang="0">
                <a:pos x="connsiteX2906" y="connsiteY2906"/>
              </a:cxn>
              <a:cxn ang="0">
                <a:pos x="connsiteX2907" y="connsiteY2907"/>
              </a:cxn>
              <a:cxn ang="0">
                <a:pos x="connsiteX2908" y="connsiteY2908"/>
              </a:cxn>
              <a:cxn ang="0">
                <a:pos x="connsiteX2909" y="connsiteY2909"/>
              </a:cxn>
              <a:cxn ang="0">
                <a:pos x="connsiteX2910" y="connsiteY2910"/>
              </a:cxn>
              <a:cxn ang="0">
                <a:pos x="connsiteX2911" y="connsiteY2911"/>
              </a:cxn>
              <a:cxn ang="0">
                <a:pos x="connsiteX2912" y="connsiteY2912"/>
              </a:cxn>
              <a:cxn ang="0">
                <a:pos x="connsiteX2913" y="connsiteY2913"/>
              </a:cxn>
              <a:cxn ang="0">
                <a:pos x="connsiteX2914" y="connsiteY2914"/>
              </a:cxn>
              <a:cxn ang="0">
                <a:pos x="connsiteX2915" y="connsiteY2915"/>
              </a:cxn>
              <a:cxn ang="0">
                <a:pos x="connsiteX2916" y="connsiteY2916"/>
              </a:cxn>
              <a:cxn ang="0">
                <a:pos x="connsiteX2917" y="connsiteY2917"/>
              </a:cxn>
              <a:cxn ang="0">
                <a:pos x="connsiteX2918" y="connsiteY2918"/>
              </a:cxn>
              <a:cxn ang="0">
                <a:pos x="connsiteX2919" y="connsiteY2919"/>
              </a:cxn>
              <a:cxn ang="0">
                <a:pos x="connsiteX2920" y="connsiteY2920"/>
              </a:cxn>
              <a:cxn ang="0">
                <a:pos x="connsiteX2921" y="connsiteY2921"/>
              </a:cxn>
              <a:cxn ang="0">
                <a:pos x="connsiteX2922" y="connsiteY2922"/>
              </a:cxn>
              <a:cxn ang="0">
                <a:pos x="connsiteX2923" y="connsiteY2923"/>
              </a:cxn>
              <a:cxn ang="0">
                <a:pos x="connsiteX2924" y="connsiteY2924"/>
              </a:cxn>
              <a:cxn ang="0">
                <a:pos x="connsiteX2925" y="connsiteY2925"/>
              </a:cxn>
              <a:cxn ang="0">
                <a:pos x="connsiteX2926" y="connsiteY2926"/>
              </a:cxn>
              <a:cxn ang="0">
                <a:pos x="connsiteX2927" y="connsiteY2927"/>
              </a:cxn>
              <a:cxn ang="0">
                <a:pos x="connsiteX2928" y="connsiteY2928"/>
              </a:cxn>
              <a:cxn ang="0">
                <a:pos x="connsiteX2929" y="connsiteY2929"/>
              </a:cxn>
              <a:cxn ang="0">
                <a:pos x="connsiteX2930" y="connsiteY2930"/>
              </a:cxn>
              <a:cxn ang="0">
                <a:pos x="connsiteX2931" y="connsiteY2931"/>
              </a:cxn>
              <a:cxn ang="0">
                <a:pos x="connsiteX2932" y="connsiteY2932"/>
              </a:cxn>
              <a:cxn ang="0">
                <a:pos x="connsiteX2933" y="connsiteY2933"/>
              </a:cxn>
              <a:cxn ang="0">
                <a:pos x="connsiteX2934" y="connsiteY2934"/>
              </a:cxn>
              <a:cxn ang="0">
                <a:pos x="connsiteX2935" y="connsiteY2935"/>
              </a:cxn>
              <a:cxn ang="0">
                <a:pos x="connsiteX2936" y="connsiteY2936"/>
              </a:cxn>
              <a:cxn ang="0">
                <a:pos x="connsiteX2937" y="connsiteY2937"/>
              </a:cxn>
              <a:cxn ang="0">
                <a:pos x="connsiteX2938" y="connsiteY2938"/>
              </a:cxn>
              <a:cxn ang="0">
                <a:pos x="connsiteX2939" y="connsiteY2939"/>
              </a:cxn>
              <a:cxn ang="0">
                <a:pos x="connsiteX2940" y="connsiteY2940"/>
              </a:cxn>
              <a:cxn ang="0">
                <a:pos x="connsiteX2941" y="connsiteY2941"/>
              </a:cxn>
              <a:cxn ang="0">
                <a:pos x="connsiteX2942" y="connsiteY2942"/>
              </a:cxn>
              <a:cxn ang="0">
                <a:pos x="connsiteX2943" y="connsiteY2943"/>
              </a:cxn>
              <a:cxn ang="0">
                <a:pos x="connsiteX2944" y="connsiteY2944"/>
              </a:cxn>
              <a:cxn ang="0">
                <a:pos x="connsiteX2945" y="connsiteY2945"/>
              </a:cxn>
              <a:cxn ang="0">
                <a:pos x="connsiteX2946" y="connsiteY2946"/>
              </a:cxn>
              <a:cxn ang="0">
                <a:pos x="connsiteX2947" y="connsiteY2947"/>
              </a:cxn>
              <a:cxn ang="0">
                <a:pos x="connsiteX2948" y="connsiteY2948"/>
              </a:cxn>
              <a:cxn ang="0">
                <a:pos x="connsiteX2949" y="connsiteY2949"/>
              </a:cxn>
              <a:cxn ang="0">
                <a:pos x="connsiteX2950" y="connsiteY2950"/>
              </a:cxn>
              <a:cxn ang="0">
                <a:pos x="connsiteX2951" y="connsiteY2951"/>
              </a:cxn>
              <a:cxn ang="0">
                <a:pos x="connsiteX2952" y="connsiteY2952"/>
              </a:cxn>
              <a:cxn ang="0">
                <a:pos x="connsiteX2953" y="connsiteY2953"/>
              </a:cxn>
              <a:cxn ang="0">
                <a:pos x="connsiteX2954" y="connsiteY2954"/>
              </a:cxn>
              <a:cxn ang="0">
                <a:pos x="connsiteX2955" y="connsiteY2955"/>
              </a:cxn>
              <a:cxn ang="0">
                <a:pos x="connsiteX2956" y="connsiteY2956"/>
              </a:cxn>
              <a:cxn ang="0">
                <a:pos x="connsiteX2957" y="connsiteY2957"/>
              </a:cxn>
              <a:cxn ang="0">
                <a:pos x="connsiteX2958" y="connsiteY2958"/>
              </a:cxn>
              <a:cxn ang="0">
                <a:pos x="connsiteX2959" y="connsiteY2959"/>
              </a:cxn>
              <a:cxn ang="0">
                <a:pos x="connsiteX2960" y="connsiteY2960"/>
              </a:cxn>
              <a:cxn ang="0">
                <a:pos x="connsiteX2961" y="connsiteY2961"/>
              </a:cxn>
              <a:cxn ang="0">
                <a:pos x="connsiteX2962" y="connsiteY2962"/>
              </a:cxn>
              <a:cxn ang="0">
                <a:pos x="connsiteX2963" y="connsiteY2963"/>
              </a:cxn>
              <a:cxn ang="0">
                <a:pos x="connsiteX2964" y="connsiteY2964"/>
              </a:cxn>
              <a:cxn ang="0">
                <a:pos x="connsiteX2965" y="connsiteY2965"/>
              </a:cxn>
              <a:cxn ang="0">
                <a:pos x="connsiteX2966" y="connsiteY2966"/>
              </a:cxn>
              <a:cxn ang="0">
                <a:pos x="connsiteX2967" y="connsiteY2967"/>
              </a:cxn>
              <a:cxn ang="0">
                <a:pos x="connsiteX2968" y="connsiteY2968"/>
              </a:cxn>
              <a:cxn ang="0">
                <a:pos x="connsiteX2969" y="connsiteY2969"/>
              </a:cxn>
              <a:cxn ang="0">
                <a:pos x="connsiteX2970" y="connsiteY2970"/>
              </a:cxn>
              <a:cxn ang="0">
                <a:pos x="connsiteX2971" y="connsiteY2971"/>
              </a:cxn>
              <a:cxn ang="0">
                <a:pos x="connsiteX2972" y="connsiteY2972"/>
              </a:cxn>
              <a:cxn ang="0">
                <a:pos x="connsiteX2973" y="connsiteY2973"/>
              </a:cxn>
              <a:cxn ang="0">
                <a:pos x="connsiteX2974" y="connsiteY2974"/>
              </a:cxn>
              <a:cxn ang="0">
                <a:pos x="connsiteX2975" y="connsiteY2975"/>
              </a:cxn>
              <a:cxn ang="0">
                <a:pos x="connsiteX2976" y="connsiteY2976"/>
              </a:cxn>
              <a:cxn ang="0">
                <a:pos x="connsiteX2977" y="connsiteY2977"/>
              </a:cxn>
              <a:cxn ang="0">
                <a:pos x="connsiteX2978" y="connsiteY2978"/>
              </a:cxn>
              <a:cxn ang="0">
                <a:pos x="connsiteX2979" y="connsiteY2979"/>
              </a:cxn>
              <a:cxn ang="0">
                <a:pos x="connsiteX2980" y="connsiteY2980"/>
              </a:cxn>
              <a:cxn ang="0">
                <a:pos x="connsiteX2981" y="connsiteY2981"/>
              </a:cxn>
              <a:cxn ang="0">
                <a:pos x="connsiteX2982" y="connsiteY2982"/>
              </a:cxn>
              <a:cxn ang="0">
                <a:pos x="connsiteX2983" y="connsiteY2983"/>
              </a:cxn>
              <a:cxn ang="0">
                <a:pos x="connsiteX2984" y="connsiteY2984"/>
              </a:cxn>
              <a:cxn ang="0">
                <a:pos x="connsiteX2985" y="connsiteY2985"/>
              </a:cxn>
              <a:cxn ang="0">
                <a:pos x="connsiteX2986" y="connsiteY2986"/>
              </a:cxn>
              <a:cxn ang="0">
                <a:pos x="connsiteX2987" y="connsiteY2987"/>
              </a:cxn>
              <a:cxn ang="0">
                <a:pos x="connsiteX2988" y="connsiteY2988"/>
              </a:cxn>
              <a:cxn ang="0">
                <a:pos x="connsiteX2989" y="connsiteY2989"/>
              </a:cxn>
              <a:cxn ang="0">
                <a:pos x="connsiteX2990" y="connsiteY2990"/>
              </a:cxn>
              <a:cxn ang="0">
                <a:pos x="connsiteX2991" y="connsiteY2991"/>
              </a:cxn>
              <a:cxn ang="0">
                <a:pos x="connsiteX2992" y="connsiteY2992"/>
              </a:cxn>
              <a:cxn ang="0">
                <a:pos x="connsiteX2993" y="connsiteY2993"/>
              </a:cxn>
              <a:cxn ang="0">
                <a:pos x="connsiteX2994" y="connsiteY2994"/>
              </a:cxn>
              <a:cxn ang="0">
                <a:pos x="connsiteX2995" y="connsiteY2995"/>
              </a:cxn>
              <a:cxn ang="0">
                <a:pos x="connsiteX2996" y="connsiteY2996"/>
              </a:cxn>
              <a:cxn ang="0">
                <a:pos x="connsiteX2997" y="connsiteY2997"/>
              </a:cxn>
              <a:cxn ang="0">
                <a:pos x="connsiteX2998" y="connsiteY2998"/>
              </a:cxn>
              <a:cxn ang="0">
                <a:pos x="connsiteX2999" y="connsiteY2999"/>
              </a:cxn>
              <a:cxn ang="0">
                <a:pos x="connsiteX3000" y="connsiteY3000"/>
              </a:cxn>
              <a:cxn ang="0">
                <a:pos x="connsiteX3001" y="connsiteY3001"/>
              </a:cxn>
              <a:cxn ang="0">
                <a:pos x="connsiteX3002" y="connsiteY3002"/>
              </a:cxn>
              <a:cxn ang="0">
                <a:pos x="connsiteX3003" y="connsiteY3003"/>
              </a:cxn>
              <a:cxn ang="0">
                <a:pos x="connsiteX3004" y="connsiteY3004"/>
              </a:cxn>
              <a:cxn ang="0">
                <a:pos x="connsiteX3005" y="connsiteY3005"/>
              </a:cxn>
              <a:cxn ang="0">
                <a:pos x="connsiteX3006" y="connsiteY3006"/>
              </a:cxn>
              <a:cxn ang="0">
                <a:pos x="connsiteX3007" y="connsiteY3007"/>
              </a:cxn>
              <a:cxn ang="0">
                <a:pos x="connsiteX3008" y="connsiteY3008"/>
              </a:cxn>
              <a:cxn ang="0">
                <a:pos x="connsiteX3009" y="connsiteY3009"/>
              </a:cxn>
              <a:cxn ang="0">
                <a:pos x="connsiteX3010" y="connsiteY3010"/>
              </a:cxn>
              <a:cxn ang="0">
                <a:pos x="connsiteX3011" y="connsiteY3011"/>
              </a:cxn>
              <a:cxn ang="0">
                <a:pos x="connsiteX3012" y="connsiteY3012"/>
              </a:cxn>
              <a:cxn ang="0">
                <a:pos x="connsiteX3013" y="connsiteY3013"/>
              </a:cxn>
              <a:cxn ang="0">
                <a:pos x="connsiteX3014" y="connsiteY3014"/>
              </a:cxn>
              <a:cxn ang="0">
                <a:pos x="connsiteX3015" y="connsiteY3015"/>
              </a:cxn>
              <a:cxn ang="0">
                <a:pos x="connsiteX3016" y="connsiteY3016"/>
              </a:cxn>
              <a:cxn ang="0">
                <a:pos x="connsiteX3017" y="connsiteY3017"/>
              </a:cxn>
              <a:cxn ang="0">
                <a:pos x="connsiteX3018" y="connsiteY3018"/>
              </a:cxn>
              <a:cxn ang="0">
                <a:pos x="connsiteX3019" y="connsiteY3019"/>
              </a:cxn>
              <a:cxn ang="0">
                <a:pos x="connsiteX3020" y="connsiteY3020"/>
              </a:cxn>
              <a:cxn ang="0">
                <a:pos x="connsiteX3021" y="connsiteY3021"/>
              </a:cxn>
              <a:cxn ang="0">
                <a:pos x="connsiteX3022" y="connsiteY3022"/>
              </a:cxn>
              <a:cxn ang="0">
                <a:pos x="connsiteX3023" y="connsiteY3023"/>
              </a:cxn>
              <a:cxn ang="0">
                <a:pos x="connsiteX3024" y="connsiteY3024"/>
              </a:cxn>
              <a:cxn ang="0">
                <a:pos x="connsiteX3025" y="connsiteY3025"/>
              </a:cxn>
              <a:cxn ang="0">
                <a:pos x="connsiteX3026" y="connsiteY3026"/>
              </a:cxn>
              <a:cxn ang="0">
                <a:pos x="connsiteX3027" y="connsiteY3027"/>
              </a:cxn>
              <a:cxn ang="0">
                <a:pos x="connsiteX3028" y="connsiteY3028"/>
              </a:cxn>
              <a:cxn ang="0">
                <a:pos x="connsiteX3029" y="connsiteY3029"/>
              </a:cxn>
              <a:cxn ang="0">
                <a:pos x="connsiteX3030" y="connsiteY3030"/>
              </a:cxn>
              <a:cxn ang="0">
                <a:pos x="connsiteX3031" y="connsiteY3031"/>
              </a:cxn>
              <a:cxn ang="0">
                <a:pos x="connsiteX3032" y="connsiteY3032"/>
              </a:cxn>
              <a:cxn ang="0">
                <a:pos x="connsiteX3033" y="connsiteY3033"/>
              </a:cxn>
              <a:cxn ang="0">
                <a:pos x="connsiteX3034" y="connsiteY3034"/>
              </a:cxn>
              <a:cxn ang="0">
                <a:pos x="connsiteX3035" y="connsiteY3035"/>
              </a:cxn>
              <a:cxn ang="0">
                <a:pos x="connsiteX3036" y="connsiteY3036"/>
              </a:cxn>
              <a:cxn ang="0">
                <a:pos x="connsiteX3037" y="connsiteY3037"/>
              </a:cxn>
              <a:cxn ang="0">
                <a:pos x="connsiteX3038" y="connsiteY3038"/>
              </a:cxn>
              <a:cxn ang="0">
                <a:pos x="connsiteX3039" y="connsiteY3039"/>
              </a:cxn>
              <a:cxn ang="0">
                <a:pos x="connsiteX3040" y="connsiteY3040"/>
              </a:cxn>
              <a:cxn ang="0">
                <a:pos x="connsiteX3041" y="connsiteY3041"/>
              </a:cxn>
              <a:cxn ang="0">
                <a:pos x="connsiteX3042" y="connsiteY3042"/>
              </a:cxn>
              <a:cxn ang="0">
                <a:pos x="connsiteX3043" y="connsiteY3043"/>
              </a:cxn>
              <a:cxn ang="0">
                <a:pos x="connsiteX3044" y="connsiteY3044"/>
              </a:cxn>
              <a:cxn ang="0">
                <a:pos x="connsiteX3045" y="connsiteY3045"/>
              </a:cxn>
              <a:cxn ang="0">
                <a:pos x="connsiteX3046" y="connsiteY3046"/>
              </a:cxn>
              <a:cxn ang="0">
                <a:pos x="connsiteX3047" y="connsiteY3047"/>
              </a:cxn>
              <a:cxn ang="0">
                <a:pos x="connsiteX3048" y="connsiteY3048"/>
              </a:cxn>
              <a:cxn ang="0">
                <a:pos x="connsiteX3049" y="connsiteY3049"/>
              </a:cxn>
              <a:cxn ang="0">
                <a:pos x="connsiteX3050" y="connsiteY3050"/>
              </a:cxn>
              <a:cxn ang="0">
                <a:pos x="connsiteX3051" y="connsiteY3051"/>
              </a:cxn>
              <a:cxn ang="0">
                <a:pos x="connsiteX3052" y="connsiteY3052"/>
              </a:cxn>
              <a:cxn ang="0">
                <a:pos x="connsiteX3053" y="connsiteY3053"/>
              </a:cxn>
              <a:cxn ang="0">
                <a:pos x="connsiteX3054" y="connsiteY3054"/>
              </a:cxn>
              <a:cxn ang="0">
                <a:pos x="connsiteX3055" y="connsiteY3055"/>
              </a:cxn>
              <a:cxn ang="0">
                <a:pos x="connsiteX3056" y="connsiteY3056"/>
              </a:cxn>
              <a:cxn ang="0">
                <a:pos x="connsiteX3057" y="connsiteY3057"/>
              </a:cxn>
              <a:cxn ang="0">
                <a:pos x="connsiteX3058" y="connsiteY3058"/>
              </a:cxn>
              <a:cxn ang="0">
                <a:pos x="connsiteX3059" y="connsiteY3059"/>
              </a:cxn>
              <a:cxn ang="0">
                <a:pos x="connsiteX3060" y="connsiteY3060"/>
              </a:cxn>
              <a:cxn ang="0">
                <a:pos x="connsiteX3061" y="connsiteY3061"/>
              </a:cxn>
              <a:cxn ang="0">
                <a:pos x="connsiteX3062" y="connsiteY3062"/>
              </a:cxn>
              <a:cxn ang="0">
                <a:pos x="connsiteX3063" y="connsiteY3063"/>
              </a:cxn>
              <a:cxn ang="0">
                <a:pos x="connsiteX3064" y="connsiteY3064"/>
              </a:cxn>
              <a:cxn ang="0">
                <a:pos x="connsiteX3065" y="connsiteY3065"/>
              </a:cxn>
              <a:cxn ang="0">
                <a:pos x="connsiteX3066" y="connsiteY3066"/>
              </a:cxn>
              <a:cxn ang="0">
                <a:pos x="connsiteX3067" y="connsiteY3067"/>
              </a:cxn>
              <a:cxn ang="0">
                <a:pos x="connsiteX3068" y="connsiteY3068"/>
              </a:cxn>
              <a:cxn ang="0">
                <a:pos x="connsiteX3069" y="connsiteY3069"/>
              </a:cxn>
              <a:cxn ang="0">
                <a:pos x="connsiteX3070" y="connsiteY3070"/>
              </a:cxn>
              <a:cxn ang="0">
                <a:pos x="connsiteX3071" y="connsiteY3071"/>
              </a:cxn>
              <a:cxn ang="0">
                <a:pos x="connsiteX3072" y="connsiteY3072"/>
              </a:cxn>
              <a:cxn ang="0">
                <a:pos x="connsiteX3073" y="connsiteY3073"/>
              </a:cxn>
              <a:cxn ang="0">
                <a:pos x="connsiteX3074" y="connsiteY3074"/>
              </a:cxn>
              <a:cxn ang="0">
                <a:pos x="connsiteX3075" y="connsiteY3075"/>
              </a:cxn>
              <a:cxn ang="0">
                <a:pos x="connsiteX3076" y="connsiteY3076"/>
              </a:cxn>
              <a:cxn ang="0">
                <a:pos x="connsiteX3077" y="connsiteY3077"/>
              </a:cxn>
              <a:cxn ang="0">
                <a:pos x="connsiteX3078" y="connsiteY3078"/>
              </a:cxn>
              <a:cxn ang="0">
                <a:pos x="connsiteX3079" y="connsiteY3079"/>
              </a:cxn>
              <a:cxn ang="0">
                <a:pos x="connsiteX3080" y="connsiteY3080"/>
              </a:cxn>
              <a:cxn ang="0">
                <a:pos x="connsiteX3081" y="connsiteY3081"/>
              </a:cxn>
              <a:cxn ang="0">
                <a:pos x="connsiteX3082" y="connsiteY3082"/>
              </a:cxn>
              <a:cxn ang="0">
                <a:pos x="connsiteX3083" y="connsiteY3083"/>
              </a:cxn>
              <a:cxn ang="0">
                <a:pos x="connsiteX3084" y="connsiteY3084"/>
              </a:cxn>
              <a:cxn ang="0">
                <a:pos x="connsiteX3085" y="connsiteY3085"/>
              </a:cxn>
              <a:cxn ang="0">
                <a:pos x="connsiteX3086" y="connsiteY3086"/>
              </a:cxn>
              <a:cxn ang="0">
                <a:pos x="connsiteX3087" y="connsiteY3087"/>
              </a:cxn>
              <a:cxn ang="0">
                <a:pos x="connsiteX3088" y="connsiteY3088"/>
              </a:cxn>
              <a:cxn ang="0">
                <a:pos x="connsiteX3089" y="connsiteY3089"/>
              </a:cxn>
              <a:cxn ang="0">
                <a:pos x="connsiteX3090" y="connsiteY3090"/>
              </a:cxn>
              <a:cxn ang="0">
                <a:pos x="connsiteX3091" y="connsiteY3091"/>
              </a:cxn>
              <a:cxn ang="0">
                <a:pos x="connsiteX3092" y="connsiteY3092"/>
              </a:cxn>
              <a:cxn ang="0">
                <a:pos x="connsiteX3093" y="connsiteY3093"/>
              </a:cxn>
              <a:cxn ang="0">
                <a:pos x="connsiteX3094" y="connsiteY3094"/>
              </a:cxn>
              <a:cxn ang="0">
                <a:pos x="connsiteX3095" y="connsiteY3095"/>
              </a:cxn>
              <a:cxn ang="0">
                <a:pos x="connsiteX3096" y="connsiteY3096"/>
              </a:cxn>
              <a:cxn ang="0">
                <a:pos x="connsiteX3097" y="connsiteY3097"/>
              </a:cxn>
              <a:cxn ang="0">
                <a:pos x="connsiteX3098" y="connsiteY3098"/>
              </a:cxn>
              <a:cxn ang="0">
                <a:pos x="connsiteX3099" y="connsiteY3099"/>
              </a:cxn>
              <a:cxn ang="0">
                <a:pos x="connsiteX3100" y="connsiteY3100"/>
              </a:cxn>
              <a:cxn ang="0">
                <a:pos x="connsiteX3101" y="connsiteY3101"/>
              </a:cxn>
              <a:cxn ang="0">
                <a:pos x="connsiteX3102" y="connsiteY3102"/>
              </a:cxn>
              <a:cxn ang="0">
                <a:pos x="connsiteX3103" y="connsiteY3103"/>
              </a:cxn>
              <a:cxn ang="0">
                <a:pos x="connsiteX3104" y="connsiteY3104"/>
              </a:cxn>
              <a:cxn ang="0">
                <a:pos x="connsiteX3105" y="connsiteY3105"/>
              </a:cxn>
              <a:cxn ang="0">
                <a:pos x="connsiteX3106" y="connsiteY3106"/>
              </a:cxn>
              <a:cxn ang="0">
                <a:pos x="connsiteX3107" y="connsiteY3107"/>
              </a:cxn>
              <a:cxn ang="0">
                <a:pos x="connsiteX3108" y="connsiteY3108"/>
              </a:cxn>
              <a:cxn ang="0">
                <a:pos x="connsiteX3109" y="connsiteY3109"/>
              </a:cxn>
              <a:cxn ang="0">
                <a:pos x="connsiteX3110" y="connsiteY3110"/>
              </a:cxn>
              <a:cxn ang="0">
                <a:pos x="connsiteX3111" y="connsiteY3111"/>
              </a:cxn>
              <a:cxn ang="0">
                <a:pos x="connsiteX3112" y="connsiteY3112"/>
              </a:cxn>
              <a:cxn ang="0">
                <a:pos x="connsiteX3113" y="connsiteY3113"/>
              </a:cxn>
              <a:cxn ang="0">
                <a:pos x="connsiteX3114" y="connsiteY3114"/>
              </a:cxn>
              <a:cxn ang="0">
                <a:pos x="connsiteX3115" y="connsiteY3115"/>
              </a:cxn>
              <a:cxn ang="0">
                <a:pos x="connsiteX3116" y="connsiteY3116"/>
              </a:cxn>
              <a:cxn ang="0">
                <a:pos x="connsiteX3117" y="connsiteY3117"/>
              </a:cxn>
              <a:cxn ang="0">
                <a:pos x="connsiteX3118" y="connsiteY3118"/>
              </a:cxn>
              <a:cxn ang="0">
                <a:pos x="connsiteX3119" y="connsiteY3119"/>
              </a:cxn>
              <a:cxn ang="0">
                <a:pos x="connsiteX3120" y="connsiteY3120"/>
              </a:cxn>
              <a:cxn ang="0">
                <a:pos x="connsiteX3121" y="connsiteY3121"/>
              </a:cxn>
              <a:cxn ang="0">
                <a:pos x="connsiteX3122" y="connsiteY3122"/>
              </a:cxn>
              <a:cxn ang="0">
                <a:pos x="connsiteX3123" y="connsiteY3123"/>
              </a:cxn>
              <a:cxn ang="0">
                <a:pos x="connsiteX3124" y="connsiteY3124"/>
              </a:cxn>
              <a:cxn ang="0">
                <a:pos x="connsiteX3125" y="connsiteY3125"/>
              </a:cxn>
              <a:cxn ang="0">
                <a:pos x="connsiteX3126" y="connsiteY3126"/>
              </a:cxn>
              <a:cxn ang="0">
                <a:pos x="connsiteX3127" y="connsiteY3127"/>
              </a:cxn>
              <a:cxn ang="0">
                <a:pos x="connsiteX3128" y="connsiteY3128"/>
              </a:cxn>
              <a:cxn ang="0">
                <a:pos x="connsiteX3129" y="connsiteY3129"/>
              </a:cxn>
              <a:cxn ang="0">
                <a:pos x="connsiteX3130" y="connsiteY3130"/>
              </a:cxn>
              <a:cxn ang="0">
                <a:pos x="connsiteX3131" y="connsiteY3131"/>
              </a:cxn>
              <a:cxn ang="0">
                <a:pos x="connsiteX3132" y="connsiteY3132"/>
              </a:cxn>
              <a:cxn ang="0">
                <a:pos x="connsiteX3133" y="connsiteY3133"/>
              </a:cxn>
              <a:cxn ang="0">
                <a:pos x="connsiteX3134" y="connsiteY3134"/>
              </a:cxn>
              <a:cxn ang="0">
                <a:pos x="connsiteX3135" y="connsiteY3135"/>
              </a:cxn>
              <a:cxn ang="0">
                <a:pos x="connsiteX3136" y="connsiteY3136"/>
              </a:cxn>
              <a:cxn ang="0">
                <a:pos x="connsiteX3137" y="connsiteY3137"/>
              </a:cxn>
              <a:cxn ang="0">
                <a:pos x="connsiteX3138" y="connsiteY3138"/>
              </a:cxn>
              <a:cxn ang="0">
                <a:pos x="connsiteX3139" y="connsiteY3139"/>
              </a:cxn>
              <a:cxn ang="0">
                <a:pos x="connsiteX3140" y="connsiteY3140"/>
              </a:cxn>
              <a:cxn ang="0">
                <a:pos x="connsiteX3141" y="connsiteY3141"/>
              </a:cxn>
              <a:cxn ang="0">
                <a:pos x="connsiteX3142" y="connsiteY3142"/>
              </a:cxn>
              <a:cxn ang="0">
                <a:pos x="connsiteX3143" y="connsiteY3143"/>
              </a:cxn>
              <a:cxn ang="0">
                <a:pos x="connsiteX3144" y="connsiteY3144"/>
              </a:cxn>
              <a:cxn ang="0">
                <a:pos x="connsiteX3145" y="connsiteY3145"/>
              </a:cxn>
              <a:cxn ang="0">
                <a:pos x="connsiteX3146" y="connsiteY3146"/>
              </a:cxn>
              <a:cxn ang="0">
                <a:pos x="connsiteX3147" y="connsiteY3147"/>
              </a:cxn>
              <a:cxn ang="0">
                <a:pos x="connsiteX3148" y="connsiteY3148"/>
              </a:cxn>
              <a:cxn ang="0">
                <a:pos x="connsiteX3149" y="connsiteY3149"/>
              </a:cxn>
              <a:cxn ang="0">
                <a:pos x="connsiteX3150" y="connsiteY3150"/>
              </a:cxn>
              <a:cxn ang="0">
                <a:pos x="connsiteX3151" y="connsiteY3151"/>
              </a:cxn>
              <a:cxn ang="0">
                <a:pos x="connsiteX3152" y="connsiteY3152"/>
              </a:cxn>
              <a:cxn ang="0">
                <a:pos x="connsiteX3153" y="connsiteY3153"/>
              </a:cxn>
              <a:cxn ang="0">
                <a:pos x="connsiteX3154" y="connsiteY3154"/>
              </a:cxn>
              <a:cxn ang="0">
                <a:pos x="connsiteX3155" y="connsiteY3155"/>
              </a:cxn>
              <a:cxn ang="0">
                <a:pos x="connsiteX3156" y="connsiteY3156"/>
              </a:cxn>
              <a:cxn ang="0">
                <a:pos x="connsiteX3157" y="connsiteY3157"/>
              </a:cxn>
              <a:cxn ang="0">
                <a:pos x="connsiteX3158" y="connsiteY3158"/>
              </a:cxn>
              <a:cxn ang="0">
                <a:pos x="connsiteX3159" y="connsiteY3159"/>
              </a:cxn>
              <a:cxn ang="0">
                <a:pos x="connsiteX3160" y="connsiteY3160"/>
              </a:cxn>
              <a:cxn ang="0">
                <a:pos x="connsiteX3161" y="connsiteY3161"/>
              </a:cxn>
              <a:cxn ang="0">
                <a:pos x="connsiteX3162" y="connsiteY3162"/>
              </a:cxn>
              <a:cxn ang="0">
                <a:pos x="connsiteX3163" y="connsiteY3163"/>
              </a:cxn>
              <a:cxn ang="0">
                <a:pos x="connsiteX3164" y="connsiteY3164"/>
              </a:cxn>
              <a:cxn ang="0">
                <a:pos x="connsiteX3165" y="connsiteY3165"/>
              </a:cxn>
              <a:cxn ang="0">
                <a:pos x="connsiteX3166" y="connsiteY3166"/>
              </a:cxn>
              <a:cxn ang="0">
                <a:pos x="connsiteX3167" y="connsiteY3167"/>
              </a:cxn>
              <a:cxn ang="0">
                <a:pos x="connsiteX3168" y="connsiteY3168"/>
              </a:cxn>
              <a:cxn ang="0">
                <a:pos x="connsiteX3169" y="connsiteY3169"/>
              </a:cxn>
              <a:cxn ang="0">
                <a:pos x="connsiteX3170" y="connsiteY3170"/>
              </a:cxn>
              <a:cxn ang="0">
                <a:pos x="connsiteX3171" y="connsiteY3171"/>
              </a:cxn>
              <a:cxn ang="0">
                <a:pos x="connsiteX3172" y="connsiteY3172"/>
              </a:cxn>
              <a:cxn ang="0">
                <a:pos x="connsiteX3173" y="connsiteY3173"/>
              </a:cxn>
              <a:cxn ang="0">
                <a:pos x="connsiteX3174" y="connsiteY3174"/>
              </a:cxn>
              <a:cxn ang="0">
                <a:pos x="connsiteX3175" y="connsiteY3175"/>
              </a:cxn>
              <a:cxn ang="0">
                <a:pos x="connsiteX3176" y="connsiteY3176"/>
              </a:cxn>
              <a:cxn ang="0">
                <a:pos x="connsiteX3177" y="connsiteY3177"/>
              </a:cxn>
              <a:cxn ang="0">
                <a:pos x="connsiteX3178" y="connsiteY3178"/>
              </a:cxn>
              <a:cxn ang="0">
                <a:pos x="connsiteX3179" y="connsiteY3179"/>
              </a:cxn>
              <a:cxn ang="0">
                <a:pos x="connsiteX3180" y="connsiteY3180"/>
              </a:cxn>
              <a:cxn ang="0">
                <a:pos x="connsiteX3181" y="connsiteY3181"/>
              </a:cxn>
              <a:cxn ang="0">
                <a:pos x="connsiteX3182" y="connsiteY3182"/>
              </a:cxn>
              <a:cxn ang="0">
                <a:pos x="connsiteX3183" y="connsiteY3183"/>
              </a:cxn>
              <a:cxn ang="0">
                <a:pos x="connsiteX3184" y="connsiteY3184"/>
              </a:cxn>
              <a:cxn ang="0">
                <a:pos x="connsiteX3185" y="connsiteY3185"/>
              </a:cxn>
              <a:cxn ang="0">
                <a:pos x="connsiteX3186" y="connsiteY3186"/>
              </a:cxn>
              <a:cxn ang="0">
                <a:pos x="connsiteX3187" y="connsiteY3187"/>
              </a:cxn>
              <a:cxn ang="0">
                <a:pos x="connsiteX3188" y="connsiteY3188"/>
              </a:cxn>
              <a:cxn ang="0">
                <a:pos x="connsiteX3189" y="connsiteY3189"/>
              </a:cxn>
              <a:cxn ang="0">
                <a:pos x="connsiteX3190" y="connsiteY3190"/>
              </a:cxn>
              <a:cxn ang="0">
                <a:pos x="connsiteX3191" y="connsiteY3191"/>
              </a:cxn>
              <a:cxn ang="0">
                <a:pos x="connsiteX3192" y="connsiteY3192"/>
              </a:cxn>
              <a:cxn ang="0">
                <a:pos x="connsiteX3193" y="connsiteY3193"/>
              </a:cxn>
              <a:cxn ang="0">
                <a:pos x="connsiteX3194" y="connsiteY3194"/>
              </a:cxn>
              <a:cxn ang="0">
                <a:pos x="connsiteX3195" y="connsiteY3195"/>
              </a:cxn>
              <a:cxn ang="0">
                <a:pos x="connsiteX3196" y="connsiteY3196"/>
              </a:cxn>
              <a:cxn ang="0">
                <a:pos x="connsiteX3197" y="connsiteY3197"/>
              </a:cxn>
              <a:cxn ang="0">
                <a:pos x="connsiteX3198" y="connsiteY3198"/>
              </a:cxn>
              <a:cxn ang="0">
                <a:pos x="connsiteX3199" y="connsiteY3199"/>
              </a:cxn>
              <a:cxn ang="0">
                <a:pos x="connsiteX3200" y="connsiteY3200"/>
              </a:cxn>
              <a:cxn ang="0">
                <a:pos x="connsiteX3201" y="connsiteY3201"/>
              </a:cxn>
              <a:cxn ang="0">
                <a:pos x="connsiteX3202" y="connsiteY3202"/>
              </a:cxn>
              <a:cxn ang="0">
                <a:pos x="connsiteX3203" y="connsiteY3203"/>
              </a:cxn>
              <a:cxn ang="0">
                <a:pos x="connsiteX3204" y="connsiteY3204"/>
              </a:cxn>
              <a:cxn ang="0">
                <a:pos x="connsiteX3205" y="connsiteY3205"/>
              </a:cxn>
              <a:cxn ang="0">
                <a:pos x="connsiteX3206" y="connsiteY3206"/>
              </a:cxn>
              <a:cxn ang="0">
                <a:pos x="connsiteX3207" y="connsiteY3207"/>
              </a:cxn>
              <a:cxn ang="0">
                <a:pos x="connsiteX3208" y="connsiteY3208"/>
              </a:cxn>
              <a:cxn ang="0">
                <a:pos x="connsiteX3209" y="connsiteY3209"/>
              </a:cxn>
              <a:cxn ang="0">
                <a:pos x="connsiteX3210" y="connsiteY3210"/>
              </a:cxn>
              <a:cxn ang="0">
                <a:pos x="connsiteX3211" y="connsiteY3211"/>
              </a:cxn>
              <a:cxn ang="0">
                <a:pos x="connsiteX3212" y="connsiteY3212"/>
              </a:cxn>
              <a:cxn ang="0">
                <a:pos x="connsiteX3213" y="connsiteY3213"/>
              </a:cxn>
              <a:cxn ang="0">
                <a:pos x="connsiteX3214" y="connsiteY3214"/>
              </a:cxn>
              <a:cxn ang="0">
                <a:pos x="connsiteX3215" y="connsiteY3215"/>
              </a:cxn>
              <a:cxn ang="0">
                <a:pos x="connsiteX3216" y="connsiteY3216"/>
              </a:cxn>
              <a:cxn ang="0">
                <a:pos x="connsiteX3217" y="connsiteY3217"/>
              </a:cxn>
              <a:cxn ang="0">
                <a:pos x="connsiteX3218" y="connsiteY3218"/>
              </a:cxn>
              <a:cxn ang="0">
                <a:pos x="connsiteX3219" y="connsiteY3219"/>
              </a:cxn>
              <a:cxn ang="0">
                <a:pos x="connsiteX3220" y="connsiteY3220"/>
              </a:cxn>
              <a:cxn ang="0">
                <a:pos x="connsiteX3221" y="connsiteY3221"/>
              </a:cxn>
              <a:cxn ang="0">
                <a:pos x="connsiteX3222" y="connsiteY3222"/>
              </a:cxn>
              <a:cxn ang="0">
                <a:pos x="connsiteX3223" y="connsiteY3223"/>
              </a:cxn>
              <a:cxn ang="0">
                <a:pos x="connsiteX3224" y="connsiteY3224"/>
              </a:cxn>
              <a:cxn ang="0">
                <a:pos x="connsiteX3225" y="connsiteY3225"/>
              </a:cxn>
              <a:cxn ang="0">
                <a:pos x="connsiteX3226" y="connsiteY3226"/>
              </a:cxn>
              <a:cxn ang="0">
                <a:pos x="connsiteX3227" y="connsiteY3227"/>
              </a:cxn>
              <a:cxn ang="0">
                <a:pos x="connsiteX3228" y="connsiteY3228"/>
              </a:cxn>
              <a:cxn ang="0">
                <a:pos x="connsiteX3229" y="connsiteY3229"/>
              </a:cxn>
              <a:cxn ang="0">
                <a:pos x="connsiteX3230" y="connsiteY3230"/>
              </a:cxn>
              <a:cxn ang="0">
                <a:pos x="connsiteX3231" y="connsiteY3231"/>
              </a:cxn>
              <a:cxn ang="0">
                <a:pos x="connsiteX3232" y="connsiteY3232"/>
              </a:cxn>
              <a:cxn ang="0">
                <a:pos x="connsiteX3233" y="connsiteY3233"/>
              </a:cxn>
              <a:cxn ang="0">
                <a:pos x="connsiteX3234" y="connsiteY3234"/>
              </a:cxn>
              <a:cxn ang="0">
                <a:pos x="connsiteX3235" y="connsiteY3235"/>
              </a:cxn>
              <a:cxn ang="0">
                <a:pos x="connsiteX3236" y="connsiteY3236"/>
              </a:cxn>
              <a:cxn ang="0">
                <a:pos x="connsiteX3237" y="connsiteY3237"/>
              </a:cxn>
              <a:cxn ang="0">
                <a:pos x="connsiteX3238" y="connsiteY3238"/>
              </a:cxn>
              <a:cxn ang="0">
                <a:pos x="connsiteX3239" y="connsiteY3239"/>
              </a:cxn>
              <a:cxn ang="0">
                <a:pos x="connsiteX3240" y="connsiteY3240"/>
              </a:cxn>
              <a:cxn ang="0">
                <a:pos x="connsiteX3241" y="connsiteY3241"/>
              </a:cxn>
              <a:cxn ang="0">
                <a:pos x="connsiteX3242" y="connsiteY3242"/>
              </a:cxn>
              <a:cxn ang="0">
                <a:pos x="connsiteX3243" y="connsiteY3243"/>
              </a:cxn>
              <a:cxn ang="0">
                <a:pos x="connsiteX3244" y="connsiteY3244"/>
              </a:cxn>
              <a:cxn ang="0">
                <a:pos x="connsiteX3245" y="connsiteY3245"/>
              </a:cxn>
              <a:cxn ang="0">
                <a:pos x="connsiteX3246" y="connsiteY3246"/>
              </a:cxn>
              <a:cxn ang="0">
                <a:pos x="connsiteX3247" y="connsiteY3247"/>
              </a:cxn>
              <a:cxn ang="0">
                <a:pos x="connsiteX3248" y="connsiteY3248"/>
              </a:cxn>
              <a:cxn ang="0">
                <a:pos x="connsiteX3249" y="connsiteY3249"/>
              </a:cxn>
              <a:cxn ang="0">
                <a:pos x="connsiteX3250" y="connsiteY3250"/>
              </a:cxn>
              <a:cxn ang="0">
                <a:pos x="connsiteX3251" y="connsiteY3251"/>
              </a:cxn>
              <a:cxn ang="0">
                <a:pos x="connsiteX3252" y="connsiteY3252"/>
              </a:cxn>
              <a:cxn ang="0">
                <a:pos x="connsiteX3253" y="connsiteY3253"/>
              </a:cxn>
              <a:cxn ang="0">
                <a:pos x="connsiteX3254" y="connsiteY3254"/>
              </a:cxn>
              <a:cxn ang="0">
                <a:pos x="connsiteX3255" y="connsiteY3255"/>
              </a:cxn>
              <a:cxn ang="0">
                <a:pos x="connsiteX3256" y="connsiteY3256"/>
              </a:cxn>
              <a:cxn ang="0">
                <a:pos x="connsiteX3257" y="connsiteY3257"/>
              </a:cxn>
              <a:cxn ang="0">
                <a:pos x="connsiteX3258" y="connsiteY3258"/>
              </a:cxn>
              <a:cxn ang="0">
                <a:pos x="connsiteX3259" y="connsiteY3259"/>
              </a:cxn>
              <a:cxn ang="0">
                <a:pos x="connsiteX3260" y="connsiteY3260"/>
              </a:cxn>
              <a:cxn ang="0">
                <a:pos x="connsiteX3261" y="connsiteY3261"/>
              </a:cxn>
              <a:cxn ang="0">
                <a:pos x="connsiteX3262" y="connsiteY3262"/>
              </a:cxn>
              <a:cxn ang="0">
                <a:pos x="connsiteX3263" y="connsiteY3263"/>
              </a:cxn>
              <a:cxn ang="0">
                <a:pos x="connsiteX3264" y="connsiteY3264"/>
              </a:cxn>
              <a:cxn ang="0">
                <a:pos x="connsiteX3265" y="connsiteY3265"/>
              </a:cxn>
              <a:cxn ang="0">
                <a:pos x="connsiteX3266" y="connsiteY3266"/>
              </a:cxn>
              <a:cxn ang="0">
                <a:pos x="connsiteX3267" y="connsiteY3267"/>
              </a:cxn>
              <a:cxn ang="0">
                <a:pos x="connsiteX3268" y="connsiteY3268"/>
              </a:cxn>
              <a:cxn ang="0">
                <a:pos x="connsiteX3269" y="connsiteY3269"/>
              </a:cxn>
              <a:cxn ang="0">
                <a:pos x="connsiteX3270" y="connsiteY3270"/>
              </a:cxn>
              <a:cxn ang="0">
                <a:pos x="connsiteX3271" y="connsiteY3271"/>
              </a:cxn>
              <a:cxn ang="0">
                <a:pos x="connsiteX3272" y="connsiteY3272"/>
              </a:cxn>
              <a:cxn ang="0">
                <a:pos x="connsiteX3273" y="connsiteY3273"/>
              </a:cxn>
              <a:cxn ang="0">
                <a:pos x="connsiteX3274" y="connsiteY3274"/>
              </a:cxn>
              <a:cxn ang="0">
                <a:pos x="connsiteX3275" y="connsiteY3275"/>
              </a:cxn>
              <a:cxn ang="0">
                <a:pos x="connsiteX3276" y="connsiteY3276"/>
              </a:cxn>
              <a:cxn ang="0">
                <a:pos x="connsiteX3277" y="connsiteY3277"/>
              </a:cxn>
              <a:cxn ang="0">
                <a:pos x="connsiteX3278" y="connsiteY3278"/>
              </a:cxn>
              <a:cxn ang="0">
                <a:pos x="connsiteX3279" y="connsiteY3279"/>
              </a:cxn>
              <a:cxn ang="0">
                <a:pos x="connsiteX3280" y="connsiteY3280"/>
              </a:cxn>
              <a:cxn ang="0">
                <a:pos x="connsiteX3281" y="connsiteY3281"/>
              </a:cxn>
              <a:cxn ang="0">
                <a:pos x="connsiteX3282" y="connsiteY3282"/>
              </a:cxn>
              <a:cxn ang="0">
                <a:pos x="connsiteX3283" y="connsiteY3283"/>
              </a:cxn>
              <a:cxn ang="0">
                <a:pos x="connsiteX3284" y="connsiteY3284"/>
              </a:cxn>
              <a:cxn ang="0">
                <a:pos x="connsiteX3285" y="connsiteY3285"/>
              </a:cxn>
              <a:cxn ang="0">
                <a:pos x="connsiteX3286" y="connsiteY3286"/>
              </a:cxn>
              <a:cxn ang="0">
                <a:pos x="connsiteX3287" y="connsiteY3287"/>
              </a:cxn>
              <a:cxn ang="0">
                <a:pos x="connsiteX3288" y="connsiteY3288"/>
              </a:cxn>
              <a:cxn ang="0">
                <a:pos x="connsiteX3289" y="connsiteY3289"/>
              </a:cxn>
              <a:cxn ang="0">
                <a:pos x="connsiteX3290" y="connsiteY3290"/>
              </a:cxn>
              <a:cxn ang="0">
                <a:pos x="connsiteX3291" y="connsiteY3291"/>
              </a:cxn>
              <a:cxn ang="0">
                <a:pos x="connsiteX3292" y="connsiteY3292"/>
              </a:cxn>
              <a:cxn ang="0">
                <a:pos x="connsiteX3293" y="connsiteY3293"/>
              </a:cxn>
              <a:cxn ang="0">
                <a:pos x="connsiteX3294" y="connsiteY3294"/>
              </a:cxn>
              <a:cxn ang="0">
                <a:pos x="connsiteX3295" y="connsiteY3295"/>
              </a:cxn>
              <a:cxn ang="0">
                <a:pos x="connsiteX3296" y="connsiteY3296"/>
              </a:cxn>
              <a:cxn ang="0">
                <a:pos x="connsiteX3297" y="connsiteY3297"/>
              </a:cxn>
              <a:cxn ang="0">
                <a:pos x="connsiteX3298" y="connsiteY3298"/>
              </a:cxn>
              <a:cxn ang="0">
                <a:pos x="connsiteX3299" y="connsiteY3299"/>
              </a:cxn>
              <a:cxn ang="0">
                <a:pos x="connsiteX3300" y="connsiteY3300"/>
              </a:cxn>
              <a:cxn ang="0">
                <a:pos x="connsiteX3301" y="connsiteY3301"/>
              </a:cxn>
              <a:cxn ang="0">
                <a:pos x="connsiteX3302" y="connsiteY3302"/>
              </a:cxn>
              <a:cxn ang="0">
                <a:pos x="connsiteX3303" y="connsiteY3303"/>
              </a:cxn>
              <a:cxn ang="0">
                <a:pos x="connsiteX3304" y="connsiteY3304"/>
              </a:cxn>
              <a:cxn ang="0">
                <a:pos x="connsiteX3305" y="connsiteY3305"/>
              </a:cxn>
              <a:cxn ang="0">
                <a:pos x="connsiteX3306" y="connsiteY3306"/>
              </a:cxn>
              <a:cxn ang="0">
                <a:pos x="connsiteX3307" y="connsiteY3307"/>
              </a:cxn>
              <a:cxn ang="0">
                <a:pos x="connsiteX3308" y="connsiteY3308"/>
              </a:cxn>
              <a:cxn ang="0">
                <a:pos x="connsiteX3309" y="connsiteY3309"/>
              </a:cxn>
              <a:cxn ang="0">
                <a:pos x="connsiteX3310" y="connsiteY3310"/>
              </a:cxn>
              <a:cxn ang="0">
                <a:pos x="connsiteX3311" y="connsiteY3311"/>
              </a:cxn>
              <a:cxn ang="0">
                <a:pos x="connsiteX3312" y="connsiteY3312"/>
              </a:cxn>
              <a:cxn ang="0">
                <a:pos x="connsiteX3313" y="connsiteY3313"/>
              </a:cxn>
              <a:cxn ang="0">
                <a:pos x="connsiteX3314" y="connsiteY3314"/>
              </a:cxn>
              <a:cxn ang="0">
                <a:pos x="connsiteX3315" y="connsiteY3315"/>
              </a:cxn>
              <a:cxn ang="0">
                <a:pos x="connsiteX3316" y="connsiteY3316"/>
              </a:cxn>
              <a:cxn ang="0">
                <a:pos x="connsiteX3317" y="connsiteY3317"/>
              </a:cxn>
              <a:cxn ang="0">
                <a:pos x="connsiteX3318" y="connsiteY3318"/>
              </a:cxn>
              <a:cxn ang="0">
                <a:pos x="connsiteX3319" y="connsiteY3319"/>
              </a:cxn>
              <a:cxn ang="0">
                <a:pos x="connsiteX3320" y="connsiteY3320"/>
              </a:cxn>
              <a:cxn ang="0">
                <a:pos x="connsiteX3321" y="connsiteY3321"/>
              </a:cxn>
              <a:cxn ang="0">
                <a:pos x="connsiteX3322" y="connsiteY3322"/>
              </a:cxn>
              <a:cxn ang="0">
                <a:pos x="connsiteX3323" y="connsiteY3323"/>
              </a:cxn>
              <a:cxn ang="0">
                <a:pos x="connsiteX3324" y="connsiteY3324"/>
              </a:cxn>
              <a:cxn ang="0">
                <a:pos x="connsiteX3325" y="connsiteY3325"/>
              </a:cxn>
              <a:cxn ang="0">
                <a:pos x="connsiteX3326" y="connsiteY3326"/>
              </a:cxn>
              <a:cxn ang="0">
                <a:pos x="connsiteX3327" y="connsiteY3327"/>
              </a:cxn>
              <a:cxn ang="0">
                <a:pos x="connsiteX3328" y="connsiteY3328"/>
              </a:cxn>
              <a:cxn ang="0">
                <a:pos x="connsiteX3329" y="connsiteY3329"/>
              </a:cxn>
              <a:cxn ang="0">
                <a:pos x="connsiteX3330" y="connsiteY3330"/>
              </a:cxn>
              <a:cxn ang="0">
                <a:pos x="connsiteX3331" y="connsiteY3331"/>
              </a:cxn>
              <a:cxn ang="0">
                <a:pos x="connsiteX3332" y="connsiteY3332"/>
              </a:cxn>
              <a:cxn ang="0">
                <a:pos x="connsiteX3333" y="connsiteY3333"/>
              </a:cxn>
              <a:cxn ang="0">
                <a:pos x="connsiteX3334" y="connsiteY3334"/>
              </a:cxn>
              <a:cxn ang="0">
                <a:pos x="connsiteX3335" y="connsiteY3335"/>
              </a:cxn>
              <a:cxn ang="0">
                <a:pos x="connsiteX3336" y="connsiteY3336"/>
              </a:cxn>
              <a:cxn ang="0">
                <a:pos x="connsiteX3337" y="connsiteY3337"/>
              </a:cxn>
              <a:cxn ang="0">
                <a:pos x="connsiteX3338" y="connsiteY3338"/>
              </a:cxn>
              <a:cxn ang="0">
                <a:pos x="connsiteX3339" y="connsiteY3339"/>
              </a:cxn>
              <a:cxn ang="0">
                <a:pos x="connsiteX3340" y="connsiteY3340"/>
              </a:cxn>
              <a:cxn ang="0">
                <a:pos x="connsiteX3341" y="connsiteY3341"/>
              </a:cxn>
              <a:cxn ang="0">
                <a:pos x="connsiteX3342" y="connsiteY3342"/>
              </a:cxn>
              <a:cxn ang="0">
                <a:pos x="connsiteX3343" y="connsiteY3343"/>
              </a:cxn>
              <a:cxn ang="0">
                <a:pos x="connsiteX3344" y="connsiteY3344"/>
              </a:cxn>
              <a:cxn ang="0">
                <a:pos x="connsiteX3345" y="connsiteY3345"/>
              </a:cxn>
              <a:cxn ang="0">
                <a:pos x="connsiteX3346" y="connsiteY3346"/>
              </a:cxn>
              <a:cxn ang="0">
                <a:pos x="connsiteX3347" y="connsiteY3347"/>
              </a:cxn>
              <a:cxn ang="0">
                <a:pos x="connsiteX3348" y="connsiteY3348"/>
              </a:cxn>
              <a:cxn ang="0">
                <a:pos x="connsiteX3349" y="connsiteY3349"/>
              </a:cxn>
              <a:cxn ang="0">
                <a:pos x="connsiteX3350" y="connsiteY3350"/>
              </a:cxn>
              <a:cxn ang="0">
                <a:pos x="connsiteX3351" y="connsiteY3351"/>
              </a:cxn>
              <a:cxn ang="0">
                <a:pos x="connsiteX3352" y="connsiteY3352"/>
              </a:cxn>
              <a:cxn ang="0">
                <a:pos x="connsiteX3353" y="connsiteY3353"/>
              </a:cxn>
              <a:cxn ang="0">
                <a:pos x="connsiteX3354" y="connsiteY3354"/>
              </a:cxn>
              <a:cxn ang="0">
                <a:pos x="connsiteX3355" y="connsiteY3355"/>
              </a:cxn>
              <a:cxn ang="0">
                <a:pos x="connsiteX3356" y="connsiteY3356"/>
              </a:cxn>
              <a:cxn ang="0">
                <a:pos x="connsiteX3357" y="connsiteY3357"/>
              </a:cxn>
              <a:cxn ang="0">
                <a:pos x="connsiteX3358" y="connsiteY3358"/>
              </a:cxn>
              <a:cxn ang="0">
                <a:pos x="connsiteX3359" y="connsiteY3359"/>
              </a:cxn>
              <a:cxn ang="0">
                <a:pos x="connsiteX3360" y="connsiteY3360"/>
              </a:cxn>
              <a:cxn ang="0">
                <a:pos x="connsiteX3361" y="connsiteY3361"/>
              </a:cxn>
              <a:cxn ang="0">
                <a:pos x="connsiteX3362" y="connsiteY3362"/>
              </a:cxn>
              <a:cxn ang="0">
                <a:pos x="connsiteX3363" y="connsiteY3363"/>
              </a:cxn>
              <a:cxn ang="0">
                <a:pos x="connsiteX3364" y="connsiteY3364"/>
              </a:cxn>
              <a:cxn ang="0">
                <a:pos x="connsiteX3365" y="connsiteY3365"/>
              </a:cxn>
              <a:cxn ang="0">
                <a:pos x="connsiteX3366" y="connsiteY3366"/>
              </a:cxn>
              <a:cxn ang="0">
                <a:pos x="connsiteX3367" y="connsiteY3367"/>
              </a:cxn>
              <a:cxn ang="0">
                <a:pos x="connsiteX3368" y="connsiteY3368"/>
              </a:cxn>
              <a:cxn ang="0">
                <a:pos x="connsiteX3369" y="connsiteY3369"/>
              </a:cxn>
              <a:cxn ang="0">
                <a:pos x="connsiteX3370" y="connsiteY3370"/>
              </a:cxn>
              <a:cxn ang="0">
                <a:pos x="connsiteX3371" y="connsiteY3371"/>
              </a:cxn>
              <a:cxn ang="0">
                <a:pos x="connsiteX3372" y="connsiteY3372"/>
              </a:cxn>
              <a:cxn ang="0">
                <a:pos x="connsiteX3373" y="connsiteY3373"/>
              </a:cxn>
              <a:cxn ang="0">
                <a:pos x="connsiteX3374" y="connsiteY3374"/>
              </a:cxn>
              <a:cxn ang="0">
                <a:pos x="connsiteX3375" y="connsiteY3375"/>
              </a:cxn>
              <a:cxn ang="0">
                <a:pos x="connsiteX3376" y="connsiteY3376"/>
              </a:cxn>
              <a:cxn ang="0">
                <a:pos x="connsiteX3377" y="connsiteY3377"/>
              </a:cxn>
              <a:cxn ang="0">
                <a:pos x="connsiteX3378" y="connsiteY3378"/>
              </a:cxn>
              <a:cxn ang="0">
                <a:pos x="connsiteX3379" y="connsiteY3379"/>
              </a:cxn>
              <a:cxn ang="0">
                <a:pos x="connsiteX3380" y="connsiteY3380"/>
              </a:cxn>
              <a:cxn ang="0">
                <a:pos x="connsiteX3381" y="connsiteY3381"/>
              </a:cxn>
              <a:cxn ang="0">
                <a:pos x="connsiteX3382" y="connsiteY3382"/>
              </a:cxn>
              <a:cxn ang="0">
                <a:pos x="connsiteX3383" y="connsiteY3383"/>
              </a:cxn>
              <a:cxn ang="0">
                <a:pos x="connsiteX3384" y="connsiteY3384"/>
              </a:cxn>
              <a:cxn ang="0">
                <a:pos x="connsiteX3385" y="connsiteY3385"/>
              </a:cxn>
              <a:cxn ang="0">
                <a:pos x="connsiteX3386" y="connsiteY3386"/>
              </a:cxn>
              <a:cxn ang="0">
                <a:pos x="connsiteX3387" y="connsiteY3387"/>
              </a:cxn>
              <a:cxn ang="0">
                <a:pos x="connsiteX3388" y="connsiteY3388"/>
              </a:cxn>
              <a:cxn ang="0">
                <a:pos x="connsiteX3389" y="connsiteY3389"/>
              </a:cxn>
              <a:cxn ang="0">
                <a:pos x="connsiteX3390" y="connsiteY3390"/>
              </a:cxn>
              <a:cxn ang="0">
                <a:pos x="connsiteX3391" y="connsiteY3391"/>
              </a:cxn>
              <a:cxn ang="0">
                <a:pos x="connsiteX3392" y="connsiteY3392"/>
              </a:cxn>
              <a:cxn ang="0">
                <a:pos x="connsiteX3393" y="connsiteY3393"/>
              </a:cxn>
              <a:cxn ang="0">
                <a:pos x="connsiteX3394" y="connsiteY3394"/>
              </a:cxn>
              <a:cxn ang="0">
                <a:pos x="connsiteX3395" y="connsiteY3395"/>
              </a:cxn>
              <a:cxn ang="0">
                <a:pos x="connsiteX3396" y="connsiteY3396"/>
              </a:cxn>
              <a:cxn ang="0">
                <a:pos x="connsiteX3397" y="connsiteY3397"/>
              </a:cxn>
              <a:cxn ang="0">
                <a:pos x="connsiteX3398" y="connsiteY3398"/>
              </a:cxn>
              <a:cxn ang="0">
                <a:pos x="connsiteX3399" y="connsiteY3399"/>
              </a:cxn>
              <a:cxn ang="0">
                <a:pos x="connsiteX3400" y="connsiteY3400"/>
              </a:cxn>
              <a:cxn ang="0">
                <a:pos x="connsiteX3401" y="connsiteY3401"/>
              </a:cxn>
              <a:cxn ang="0">
                <a:pos x="connsiteX3402" y="connsiteY3402"/>
              </a:cxn>
              <a:cxn ang="0">
                <a:pos x="connsiteX3403" y="connsiteY3403"/>
              </a:cxn>
              <a:cxn ang="0">
                <a:pos x="connsiteX3404" y="connsiteY3404"/>
              </a:cxn>
              <a:cxn ang="0">
                <a:pos x="connsiteX3405" y="connsiteY3405"/>
              </a:cxn>
              <a:cxn ang="0">
                <a:pos x="connsiteX3406" y="connsiteY3406"/>
              </a:cxn>
              <a:cxn ang="0">
                <a:pos x="connsiteX3407" y="connsiteY3407"/>
              </a:cxn>
              <a:cxn ang="0">
                <a:pos x="connsiteX3408" y="connsiteY3408"/>
              </a:cxn>
              <a:cxn ang="0">
                <a:pos x="connsiteX3409" y="connsiteY3409"/>
              </a:cxn>
              <a:cxn ang="0">
                <a:pos x="connsiteX3410" y="connsiteY3410"/>
              </a:cxn>
              <a:cxn ang="0">
                <a:pos x="connsiteX3411" y="connsiteY3411"/>
              </a:cxn>
              <a:cxn ang="0">
                <a:pos x="connsiteX3412" y="connsiteY3412"/>
              </a:cxn>
              <a:cxn ang="0">
                <a:pos x="connsiteX3413" y="connsiteY3413"/>
              </a:cxn>
              <a:cxn ang="0">
                <a:pos x="connsiteX3414" y="connsiteY3414"/>
              </a:cxn>
              <a:cxn ang="0">
                <a:pos x="connsiteX3415" y="connsiteY3415"/>
              </a:cxn>
              <a:cxn ang="0">
                <a:pos x="connsiteX3416" y="connsiteY3416"/>
              </a:cxn>
              <a:cxn ang="0">
                <a:pos x="connsiteX3417" y="connsiteY3417"/>
              </a:cxn>
              <a:cxn ang="0">
                <a:pos x="connsiteX3418" y="connsiteY3418"/>
              </a:cxn>
              <a:cxn ang="0">
                <a:pos x="connsiteX3419" y="connsiteY3419"/>
              </a:cxn>
              <a:cxn ang="0">
                <a:pos x="connsiteX3420" y="connsiteY3420"/>
              </a:cxn>
              <a:cxn ang="0">
                <a:pos x="connsiteX3421" y="connsiteY3421"/>
              </a:cxn>
              <a:cxn ang="0">
                <a:pos x="connsiteX3422" y="connsiteY3422"/>
              </a:cxn>
              <a:cxn ang="0">
                <a:pos x="connsiteX3423" y="connsiteY3423"/>
              </a:cxn>
              <a:cxn ang="0">
                <a:pos x="connsiteX3424" y="connsiteY3424"/>
              </a:cxn>
              <a:cxn ang="0">
                <a:pos x="connsiteX3425" y="connsiteY3425"/>
              </a:cxn>
              <a:cxn ang="0">
                <a:pos x="connsiteX3426" y="connsiteY3426"/>
              </a:cxn>
              <a:cxn ang="0">
                <a:pos x="connsiteX3427" y="connsiteY3427"/>
              </a:cxn>
              <a:cxn ang="0">
                <a:pos x="connsiteX3428" y="connsiteY3428"/>
              </a:cxn>
              <a:cxn ang="0">
                <a:pos x="connsiteX3429" y="connsiteY3429"/>
              </a:cxn>
              <a:cxn ang="0">
                <a:pos x="connsiteX3430" y="connsiteY3430"/>
              </a:cxn>
              <a:cxn ang="0">
                <a:pos x="connsiteX3431" y="connsiteY3431"/>
              </a:cxn>
              <a:cxn ang="0">
                <a:pos x="connsiteX3432" y="connsiteY3432"/>
              </a:cxn>
              <a:cxn ang="0">
                <a:pos x="connsiteX3433" y="connsiteY3433"/>
              </a:cxn>
              <a:cxn ang="0">
                <a:pos x="connsiteX3434" y="connsiteY3434"/>
              </a:cxn>
              <a:cxn ang="0">
                <a:pos x="connsiteX3435" y="connsiteY3435"/>
              </a:cxn>
              <a:cxn ang="0">
                <a:pos x="connsiteX3436" y="connsiteY3436"/>
              </a:cxn>
              <a:cxn ang="0">
                <a:pos x="connsiteX3437" y="connsiteY3437"/>
              </a:cxn>
              <a:cxn ang="0">
                <a:pos x="connsiteX3438" y="connsiteY3438"/>
              </a:cxn>
              <a:cxn ang="0">
                <a:pos x="connsiteX3439" y="connsiteY3439"/>
              </a:cxn>
              <a:cxn ang="0">
                <a:pos x="connsiteX3440" y="connsiteY3440"/>
              </a:cxn>
              <a:cxn ang="0">
                <a:pos x="connsiteX3441" y="connsiteY3441"/>
              </a:cxn>
              <a:cxn ang="0">
                <a:pos x="connsiteX3442" y="connsiteY3442"/>
              </a:cxn>
              <a:cxn ang="0">
                <a:pos x="connsiteX3443" y="connsiteY3443"/>
              </a:cxn>
              <a:cxn ang="0">
                <a:pos x="connsiteX3444" y="connsiteY3444"/>
              </a:cxn>
              <a:cxn ang="0">
                <a:pos x="connsiteX3445" y="connsiteY3445"/>
              </a:cxn>
              <a:cxn ang="0">
                <a:pos x="connsiteX3446" y="connsiteY3446"/>
              </a:cxn>
              <a:cxn ang="0">
                <a:pos x="connsiteX3447" y="connsiteY3447"/>
              </a:cxn>
              <a:cxn ang="0">
                <a:pos x="connsiteX3448" y="connsiteY3448"/>
              </a:cxn>
              <a:cxn ang="0">
                <a:pos x="connsiteX3449" y="connsiteY3449"/>
              </a:cxn>
              <a:cxn ang="0">
                <a:pos x="connsiteX3450" y="connsiteY3450"/>
              </a:cxn>
              <a:cxn ang="0">
                <a:pos x="connsiteX3451" y="connsiteY3451"/>
              </a:cxn>
              <a:cxn ang="0">
                <a:pos x="connsiteX3452" y="connsiteY3452"/>
              </a:cxn>
              <a:cxn ang="0">
                <a:pos x="connsiteX3453" y="connsiteY3453"/>
              </a:cxn>
              <a:cxn ang="0">
                <a:pos x="connsiteX3454" y="connsiteY3454"/>
              </a:cxn>
              <a:cxn ang="0">
                <a:pos x="connsiteX3455" y="connsiteY3455"/>
              </a:cxn>
              <a:cxn ang="0">
                <a:pos x="connsiteX3456" y="connsiteY3456"/>
              </a:cxn>
              <a:cxn ang="0">
                <a:pos x="connsiteX3457" y="connsiteY3457"/>
              </a:cxn>
              <a:cxn ang="0">
                <a:pos x="connsiteX3458" y="connsiteY3458"/>
              </a:cxn>
              <a:cxn ang="0">
                <a:pos x="connsiteX3459" y="connsiteY3459"/>
              </a:cxn>
              <a:cxn ang="0">
                <a:pos x="connsiteX3460" y="connsiteY3460"/>
              </a:cxn>
              <a:cxn ang="0">
                <a:pos x="connsiteX3461" y="connsiteY3461"/>
              </a:cxn>
              <a:cxn ang="0">
                <a:pos x="connsiteX3462" y="connsiteY3462"/>
              </a:cxn>
              <a:cxn ang="0">
                <a:pos x="connsiteX3463" y="connsiteY3463"/>
              </a:cxn>
              <a:cxn ang="0">
                <a:pos x="connsiteX3464" y="connsiteY3464"/>
              </a:cxn>
              <a:cxn ang="0">
                <a:pos x="connsiteX3465" y="connsiteY3465"/>
              </a:cxn>
              <a:cxn ang="0">
                <a:pos x="connsiteX3466" y="connsiteY3466"/>
              </a:cxn>
              <a:cxn ang="0">
                <a:pos x="connsiteX3467" y="connsiteY3467"/>
              </a:cxn>
              <a:cxn ang="0">
                <a:pos x="connsiteX3468" y="connsiteY3468"/>
              </a:cxn>
              <a:cxn ang="0">
                <a:pos x="connsiteX3469" y="connsiteY3469"/>
              </a:cxn>
              <a:cxn ang="0">
                <a:pos x="connsiteX3470" y="connsiteY3470"/>
              </a:cxn>
              <a:cxn ang="0">
                <a:pos x="connsiteX3471" y="connsiteY3471"/>
              </a:cxn>
              <a:cxn ang="0">
                <a:pos x="connsiteX3472" y="connsiteY3472"/>
              </a:cxn>
              <a:cxn ang="0">
                <a:pos x="connsiteX3473" y="connsiteY3473"/>
              </a:cxn>
              <a:cxn ang="0">
                <a:pos x="connsiteX3474" y="connsiteY3474"/>
              </a:cxn>
              <a:cxn ang="0">
                <a:pos x="connsiteX3475" y="connsiteY3475"/>
              </a:cxn>
              <a:cxn ang="0">
                <a:pos x="connsiteX3476" y="connsiteY3476"/>
              </a:cxn>
              <a:cxn ang="0">
                <a:pos x="connsiteX3477" y="connsiteY3477"/>
              </a:cxn>
              <a:cxn ang="0">
                <a:pos x="connsiteX3478" y="connsiteY3478"/>
              </a:cxn>
              <a:cxn ang="0">
                <a:pos x="connsiteX3479" y="connsiteY3479"/>
              </a:cxn>
              <a:cxn ang="0">
                <a:pos x="connsiteX3480" y="connsiteY3480"/>
              </a:cxn>
              <a:cxn ang="0">
                <a:pos x="connsiteX3481" y="connsiteY3481"/>
              </a:cxn>
              <a:cxn ang="0">
                <a:pos x="connsiteX3482" y="connsiteY3482"/>
              </a:cxn>
              <a:cxn ang="0">
                <a:pos x="connsiteX3483" y="connsiteY3483"/>
              </a:cxn>
              <a:cxn ang="0">
                <a:pos x="connsiteX3484" y="connsiteY3484"/>
              </a:cxn>
              <a:cxn ang="0">
                <a:pos x="connsiteX3485" y="connsiteY3485"/>
              </a:cxn>
              <a:cxn ang="0">
                <a:pos x="connsiteX3486" y="connsiteY3486"/>
              </a:cxn>
              <a:cxn ang="0">
                <a:pos x="connsiteX3487" y="connsiteY3487"/>
              </a:cxn>
              <a:cxn ang="0">
                <a:pos x="connsiteX3488" y="connsiteY3488"/>
              </a:cxn>
              <a:cxn ang="0">
                <a:pos x="connsiteX3489" y="connsiteY3489"/>
              </a:cxn>
              <a:cxn ang="0">
                <a:pos x="connsiteX3490" y="connsiteY3490"/>
              </a:cxn>
              <a:cxn ang="0">
                <a:pos x="connsiteX3491" y="connsiteY3491"/>
              </a:cxn>
              <a:cxn ang="0">
                <a:pos x="connsiteX3492" y="connsiteY3492"/>
              </a:cxn>
              <a:cxn ang="0">
                <a:pos x="connsiteX3493" y="connsiteY3493"/>
              </a:cxn>
              <a:cxn ang="0">
                <a:pos x="connsiteX3494" y="connsiteY3494"/>
              </a:cxn>
              <a:cxn ang="0">
                <a:pos x="connsiteX3495" y="connsiteY3495"/>
              </a:cxn>
              <a:cxn ang="0">
                <a:pos x="connsiteX3496" y="connsiteY3496"/>
              </a:cxn>
              <a:cxn ang="0">
                <a:pos x="connsiteX3497" y="connsiteY3497"/>
              </a:cxn>
              <a:cxn ang="0">
                <a:pos x="connsiteX3498" y="connsiteY3498"/>
              </a:cxn>
              <a:cxn ang="0">
                <a:pos x="connsiteX3499" y="connsiteY3499"/>
              </a:cxn>
              <a:cxn ang="0">
                <a:pos x="connsiteX3500" y="connsiteY3500"/>
              </a:cxn>
              <a:cxn ang="0">
                <a:pos x="connsiteX3501" y="connsiteY3501"/>
              </a:cxn>
              <a:cxn ang="0">
                <a:pos x="connsiteX3502" y="connsiteY3502"/>
              </a:cxn>
              <a:cxn ang="0">
                <a:pos x="connsiteX3503" y="connsiteY3503"/>
              </a:cxn>
              <a:cxn ang="0">
                <a:pos x="connsiteX3504" y="connsiteY3504"/>
              </a:cxn>
              <a:cxn ang="0">
                <a:pos x="connsiteX3505" y="connsiteY3505"/>
              </a:cxn>
              <a:cxn ang="0">
                <a:pos x="connsiteX3506" y="connsiteY3506"/>
              </a:cxn>
              <a:cxn ang="0">
                <a:pos x="connsiteX3507" y="connsiteY3507"/>
              </a:cxn>
              <a:cxn ang="0">
                <a:pos x="connsiteX3508" y="connsiteY3508"/>
              </a:cxn>
              <a:cxn ang="0">
                <a:pos x="connsiteX3509" y="connsiteY3509"/>
              </a:cxn>
              <a:cxn ang="0">
                <a:pos x="connsiteX3510" y="connsiteY3510"/>
              </a:cxn>
              <a:cxn ang="0">
                <a:pos x="connsiteX3511" y="connsiteY3511"/>
              </a:cxn>
              <a:cxn ang="0">
                <a:pos x="connsiteX3512" y="connsiteY3512"/>
              </a:cxn>
              <a:cxn ang="0">
                <a:pos x="connsiteX3513" y="connsiteY3513"/>
              </a:cxn>
              <a:cxn ang="0">
                <a:pos x="connsiteX3514" y="connsiteY3514"/>
              </a:cxn>
              <a:cxn ang="0">
                <a:pos x="connsiteX3515" y="connsiteY3515"/>
              </a:cxn>
              <a:cxn ang="0">
                <a:pos x="connsiteX3516" y="connsiteY3516"/>
              </a:cxn>
              <a:cxn ang="0">
                <a:pos x="connsiteX3517" y="connsiteY3517"/>
              </a:cxn>
              <a:cxn ang="0">
                <a:pos x="connsiteX3518" y="connsiteY3518"/>
              </a:cxn>
              <a:cxn ang="0">
                <a:pos x="connsiteX3519" y="connsiteY3519"/>
              </a:cxn>
              <a:cxn ang="0">
                <a:pos x="connsiteX3520" y="connsiteY3520"/>
              </a:cxn>
              <a:cxn ang="0">
                <a:pos x="connsiteX3521" y="connsiteY3521"/>
              </a:cxn>
              <a:cxn ang="0">
                <a:pos x="connsiteX3522" y="connsiteY3522"/>
              </a:cxn>
              <a:cxn ang="0">
                <a:pos x="connsiteX3523" y="connsiteY3523"/>
              </a:cxn>
              <a:cxn ang="0">
                <a:pos x="connsiteX3524" y="connsiteY3524"/>
              </a:cxn>
              <a:cxn ang="0">
                <a:pos x="connsiteX3525" y="connsiteY3525"/>
              </a:cxn>
              <a:cxn ang="0">
                <a:pos x="connsiteX3526" y="connsiteY3526"/>
              </a:cxn>
              <a:cxn ang="0">
                <a:pos x="connsiteX3527" y="connsiteY3527"/>
              </a:cxn>
              <a:cxn ang="0">
                <a:pos x="connsiteX3528" y="connsiteY3528"/>
              </a:cxn>
              <a:cxn ang="0">
                <a:pos x="connsiteX3529" y="connsiteY3529"/>
              </a:cxn>
              <a:cxn ang="0">
                <a:pos x="connsiteX3530" y="connsiteY3530"/>
              </a:cxn>
              <a:cxn ang="0">
                <a:pos x="connsiteX3531" y="connsiteY3531"/>
              </a:cxn>
              <a:cxn ang="0">
                <a:pos x="connsiteX3532" y="connsiteY3532"/>
              </a:cxn>
              <a:cxn ang="0">
                <a:pos x="connsiteX3533" y="connsiteY3533"/>
              </a:cxn>
              <a:cxn ang="0">
                <a:pos x="connsiteX3534" y="connsiteY3534"/>
              </a:cxn>
              <a:cxn ang="0">
                <a:pos x="connsiteX3535" y="connsiteY3535"/>
              </a:cxn>
              <a:cxn ang="0">
                <a:pos x="connsiteX3536" y="connsiteY3536"/>
              </a:cxn>
              <a:cxn ang="0">
                <a:pos x="connsiteX3537" y="connsiteY3537"/>
              </a:cxn>
              <a:cxn ang="0">
                <a:pos x="connsiteX3538" y="connsiteY3538"/>
              </a:cxn>
              <a:cxn ang="0">
                <a:pos x="connsiteX3539" y="connsiteY3539"/>
              </a:cxn>
              <a:cxn ang="0">
                <a:pos x="connsiteX3540" y="connsiteY3540"/>
              </a:cxn>
              <a:cxn ang="0">
                <a:pos x="connsiteX3541" y="connsiteY3541"/>
              </a:cxn>
              <a:cxn ang="0">
                <a:pos x="connsiteX3542" y="connsiteY3542"/>
              </a:cxn>
              <a:cxn ang="0">
                <a:pos x="connsiteX3543" y="connsiteY3543"/>
              </a:cxn>
              <a:cxn ang="0">
                <a:pos x="connsiteX3544" y="connsiteY3544"/>
              </a:cxn>
              <a:cxn ang="0">
                <a:pos x="connsiteX3545" y="connsiteY3545"/>
              </a:cxn>
              <a:cxn ang="0">
                <a:pos x="connsiteX3546" y="connsiteY3546"/>
              </a:cxn>
              <a:cxn ang="0">
                <a:pos x="connsiteX3547" y="connsiteY3547"/>
              </a:cxn>
              <a:cxn ang="0">
                <a:pos x="connsiteX3548" y="connsiteY3548"/>
              </a:cxn>
              <a:cxn ang="0">
                <a:pos x="connsiteX3549" y="connsiteY3549"/>
              </a:cxn>
              <a:cxn ang="0">
                <a:pos x="connsiteX3550" y="connsiteY3550"/>
              </a:cxn>
              <a:cxn ang="0">
                <a:pos x="connsiteX3551" y="connsiteY3551"/>
              </a:cxn>
              <a:cxn ang="0">
                <a:pos x="connsiteX3552" y="connsiteY3552"/>
              </a:cxn>
              <a:cxn ang="0">
                <a:pos x="connsiteX3553" y="connsiteY3553"/>
              </a:cxn>
              <a:cxn ang="0">
                <a:pos x="connsiteX3554" y="connsiteY3554"/>
              </a:cxn>
              <a:cxn ang="0">
                <a:pos x="connsiteX3555" y="connsiteY3555"/>
              </a:cxn>
              <a:cxn ang="0">
                <a:pos x="connsiteX3556" y="connsiteY3556"/>
              </a:cxn>
              <a:cxn ang="0">
                <a:pos x="connsiteX3557" y="connsiteY3557"/>
              </a:cxn>
              <a:cxn ang="0">
                <a:pos x="connsiteX3558" y="connsiteY3558"/>
              </a:cxn>
              <a:cxn ang="0">
                <a:pos x="connsiteX3559" y="connsiteY3559"/>
              </a:cxn>
              <a:cxn ang="0">
                <a:pos x="connsiteX3560" y="connsiteY3560"/>
              </a:cxn>
              <a:cxn ang="0">
                <a:pos x="connsiteX3561" y="connsiteY3561"/>
              </a:cxn>
              <a:cxn ang="0">
                <a:pos x="connsiteX3562" y="connsiteY3562"/>
              </a:cxn>
              <a:cxn ang="0">
                <a:pos x="connsiteX3563" y="connsiteY3563"/>
              </a:cxn>
              <a:cxn ang="0">
                <a:pos x="connsiteX3564" y="connsiteY3564"/>
              </a:cxn>
              <a:cxn ang="0">
                <a:pos x="connsiteX3565" y="connsiteY3565"/>
              </a:cxn>
              <a:cxn ang="0">
                <a:pos x="connsiteX3566" y="connsiteY3566"/>
              </a:cxn>
              <a:cxn ang="0">
                <a:pos x="connsiteX3567" y="connsiteY3567"/>
              </a:cxn>
              <a:cxn ang="0">
                <a:pos x="connsiteX3568" y="connsiteY3568"/>
              </a:cxn>
              <a:cxn ang="0">
                <a:pos x="connsiteX3569" y="connsiteY3569"/>
              </a:cxn>
              <a:cxn ang="0">
                <a:pos x="connsiteX3570" y="connsiteY3570"/>
              </a:cxn>
              <a:cxn ang="0">
                <a:pos x="connsiteX3571" y="connsiteY3571"/>
              </a:cxn>
              <a:cxn ang="0">
                <a:pos x="connsiteX3572" y="connsiteY3572"/>
              </a:cxn>
              <a:cxn ang="0">
                <a:pos x="connsiteX3573" y="connsiteY3573"/>
              </a:cxn>
              <a:cxn ang="0">
                <a:pos x="connsiteX3574" y="connsiteY3574"/>
              </a:cxn>
              <a:cxn ang="0">
                <a:pos x="connsiteX3575" y="connsiteY3575"/>
              </a:cxn>
              <a:cxn ang="0">
                <a:pos x="connsiteX3576" y="connsiteY3576"/>
              </a:cxn>
              <a:cxn ang="0">
                <a:pos x="connsiteX3577" y="connsiteY3577"/>
              </a:cxn>
              <a:cxn ang="0">
                <a:pos x="connsiteX3578" y="connsiteY3578"/>
              </a:cxn>
              <a:cxn ang="0">
                <a:pos x="connsiteX3579" y="connsiteY3579"/>
              </a:cxn>
              <a:cxn ang="0">
                <a:pos x="connsiteX3580" y="connsiteY3580"/>
              </a:cxn>
              <a:cxn ang="0">
                <a:pos x="connsiteX3581" y="connsiteY3581"/>
              </a:cxn>
              <a:cxn ang="0">
                <a:pos x="connsiteX3582" y="connsiteY3582"/>
              </a:cxn>
              <a:cxn ang="0">
                <a:pos x="connsiteX3583" y="connsiteY3583"/>
              </a:cxn>
              <a:cxn ang="0">
                <a:pos x="connsiteX3584" y="connsiteY3584"/>
              </a:cxn>
              <a:cxn ang="0">
                <a:pos x="connsiteX3585" y="connsiteY3585"/>
              </a:cxn>
              <a:cxn ang="0">
                <a:pos x="connsiteX3586" y="connsiteY3586"/>
              </a:cxn>
              <a:cxn ang="0">
                <a:pos x="connsiteX3587" y="connsiteY3587"/>
              </a:cxn>
              <a:cxn ang="0">
                <a:pos x="connsiteX3588" y="connsiteY3588"/>
              </a:cxn>
              <a:cxn ang="0">
                <a:pos x="connsiteX3589" y="connsiteY3589"/>
              </a:cxn>
              <a:cxn ang="0">
                <a:pos x="connsiteX3590" y="connsiteY3590"/>
              </a:cxn>
              <a:cxn ang="0">
                <a:pos x="connsiteX3591" y="connsiteY3591"/>
              </a:cxn>
              <a:cxn ang="0">
                <a:pos x="connsiteX3592" y="connsiteY3592"/>
              </a:cxn>
              <a:cxn ang="0">
                <a:pos x="connsiteX3593" y="connsiteY3593"/>
              </a:cxn>
              <a:cxn ang="0">
                <a:pos x="connsiteX3594" y="connsiteY3594"/>
              </a:cxn>
              <a:cxn ang="0">
                <a:pos x="connsiteX3595" y="connsiteY3595"/>
              </a:cxn>
              <a:cxn ang="0">
                <a:pos x="connsiteX3596" y="connsiteY3596"/>
              </a:cxn>
              <a:cxn ang="0">
                <a:pos x="connsiteX3597" y="connsiteY3597"/>
              </a:cxn>
              <a:cxn ang="0">
                <a:pos x="connsiteX3598" y="connsiteY3598"/>
              </a:cxn>
              <a:cxn ang="0">
                <a:pos x="connsiteX3599" y="connsiteY3599"/>
              </a:cxn>
              <a:cxn ang="0">
                <a:pos x="connsiteX3600" y="connsiteY3600"/>
              </a:cxn>
              <a:cxn ang="0">
                <a:pos x="connsiteX3601" y="connsiteY3601"/>
              </a:cxn>
              <a:cxn ang="0">
                <a:pos x="connsiteX3602" y="connsiteY3602"/>
              </a:cxn>
              <a:cxn ang="0">
                <a:pos x="connsiteX3603" y="connsiteY3603"/>
              </a:cxn>
              <a:cxn ang="0">
                <a:pos x="connsiteX3604" y="connsiteY3604"/>
              </a:cxn>
              <a:cxn ang="0">
                <a:pos x="connsiteX3605" y="connsiteY3605"/>
              </a:cxn>
              <a:cxn ang="0">
                <a:pos x="connsiteX3606" y="connsiteY3606"/>
              </a:cxn>
              <a:cxn ang="0">
                <a:pos x="connsiteX3607" y="connsiteY3607"/>
              </a:cxn>
              <a:cxn ang="0">
                <a:pos x="connsiteX3608" y="connsiteY3608"/>
              </a:cxn>
              <a:cxn ang="0">
                <a:pos x="connsiteX3609" y="connsiteY3609"/>
              </a:cxn>
              <a:cxn ang="0">
                <a:pos x="connsiteX3610" y="connsiteY3610"/>
              </a:cxn>
              <a:cxn ang="0">
                <a:pos x="connsiteX3611" y="connsiteY3611"/>
              </a:cxn>
              <a:cxn ang="0">
                <a:pos x="connsiteX3612" y="connsiteY3612"/>
              </a:cxn>
              <a:cxn ang="0">
                <a:pos x="connsiteX3613" y="connsiteY3613"/>
              </a:cxn>
              <a:cxn ang="0">
                <a:pos x="connsiteX3614" y="connsiteY3614"/>
              </a:cxn>
              <a:cxn ang="0">
                <a:pos x="connsiteX3615" y="connsiteY3615"/>
              </a:cxn>
              <a:cxn ang="0">
                <a:pos x="connsiteX3616" y="connsiteY3616"/>
              </a:cxn>
              <a:cxn ang="0">
                <a:pos x="connsiteX3617" y="connsiteY3617"/>
              </a:cxn>
              <a:cxn ang="0">
                <a:pos x="connsiteX3618" y="connsiteY3618"/>
              </a:cxn>
              <a:cxn ang="0">
                <a:pos x="connsiteX3619" y="connsiteY3619"/>
              </a:cxn>
              <a:cxn ang="0">
                <a:pos x="connsiteX3620" y="connsiteY3620"/>
              </a:cxn>
              <a:cxn ang="0">
                <a:pos x="connsiteX3621" y="connsiteY3621"/>
              </a:cxn>
              <a:cxn ang="0">
                <a:pos x="connsiteX3622" y="connsiteY3622"/>
              </a:cxn>
              <a:cxn ang="0">
                <a:pos x="connsiteX3623" y="connsiteY3623"/>
              </a:cxn>
              <a:cxn ang="0">
                <a:pos x="connsiteX3624" y="connsiteY3624"/>
              </a:cxn>
              <a:cxn ang="0">
                <a:pos x="connsiteX3625" y="connsiteY3625"/>
              </a:cxn>
              <a:cxn ang="0">
                <a:pos x="connsiteX3626" y="connsiteY3626"/>
              </a:cxn>
              <a:cxn ang="0">
                <a:pos x="connsiteX3627" y="connsiteY3627"/>
              </a:cxn>
              <a:cxn ang="0">
                <a:pos x="connsiteX3628" y="connsiteY3628"/>
              </a:cxn>
              <a:cxn ang="0">
                <a:pos x="connsiteX3629" y="connsiteY3629"/>
              </a:cxn>
              <a:cxn ang="0">
                <a:pos x="connsiteX3630" y="connsiteY3630"/>
              </a:cxn>
              <a:cxn ang="0">
                <a:pos x="connsiteX3631" y="connsiteY3631"/>
              </a:cxn>
              <a:cxn ang="0">
                <a:pos x="connsiteX3632" y="connsiteY3632"/>
              </a:cxn>
              <a:cxn ang="0">
                <a:pos x="connsiteX3633" y="connsiteY3633"/>
              </a:cxn>
              <a:cxn ang="0">
                <a:pos x="connsiteX3634" y="connsiteY3634"/>
              </a:cxn>
              <a:cxn ang="0">
                <a:pos x="connsiteX3635" y="connsiteY3635"/>
              </a:cxn>
              <a:cxn ang="0">
                <a:pos x="connsiteX3636" y="connsiteY3636"/>
              </a:cxn>
              <a:cxn ang="0">
                <a:pos x="connsiteX3637" y="connsiteY3637"/>
              </a:cxn>
              <a:cxn ang="0">
                <a:pos x="connsiteX3638" y="connsiteY3638"/>
              </a:cxn>
              <a:cxn ang="0">
                <a:pos x="connsiteX3639" y="connsiteY3639"/>
              </a:cxn>
              <a:cxn ang="0">
                <a:pos x="connsiteX3640" y="connsiteY3640"/>
              </a:cxn>
              <a:cxn ang="0">
                <a:pos x="connsiteX3641" y="connsiteY3641"/>
              </a:cxn>
              <a:cxn ang="0">
                <a:pos x="connsiteX3642" y="connsiteY3642"/>
              </a:cxn>
              <a:cxn ang="0">
                <a:pos x="connsiteX3643" y="connsiteY3643"/>
              </a:cxn>
              <a:cxn ang="0">
                <a:pos x="connsiteX3644" y="connsiteY3644"/>
              </a:cxn>
              <a:cxn ang="0">
                <a:pos x="connsiteX3645" y="connsiteY3645"/>
              </a:cxn>
              <a:cxn ang="0">
                <a:pos x="connsiteX3646" y="connsiteY3646"/>
              </a:cxn>
              <a:cxn ang="0">
                <a:pos x="connsiteX3647" y="connsiteY3647"/>
              </a:cxn>
              <a:cxn ang="0">
                <a:pos x="connsiteX3648" y="connsiteY3648"/>
              </a:cxn>
              <a:cxn ang="0">
                <a:pos x="connsiteX3649" y="connsiteY3649"/>
              </a:cxn>
              <a:cxn ang="0">
                <a:pos x="connsiteX3650" y="connsiteY3650"/>
              </a:cxn>
              <a:cxn ang="0">
                <a:pos x="connsiteX3651" y="connsiteY3651"/>
              </a:cxn>
              <a:cxn ang="0">
                <a:pos x="connsiteX3652" y="connsiteY3652"/>
              </a:cxn>
              <a:cxn ang="0">
                <a:pos x="connsiteX3653" y="connsiteY3653"/>
              </a:cxn>
              <a:cxn ang="0">
                <a:pos x="connsiteX3654" y="connsiteY3654"/>
              </a:cxn>
              <a:cxn ang="0">
                <a:pos x="connsiteX3655" y="connsiteY3655"/>
              </a:cxn>
              <a:cxn ang="0">
                <a:pos x="connsiteX3656" y="connsiteY3656"/>
              </a:cxn>
              <a:cxn ang="0">
                <a:pos x="connsiteX3657" y="connsiteY3657"/>
              </a:cxn>
              <a:cxn ang="0">
                <a:pos x="connsiteX3658" y="connsiteY3658"/>
              </a:cxn>
              <a:cxn ang="0">
                <a:pos x="connsiteX3659" y="connsiteY3659"/>
              </a:cxn>
              <a:cxn ang="0">
                <a:pos x="connsiteX3660" y="connsiteY3660"/>
              </a:cxn>
              <a:cxn ang="0">
                <a:pos x="connsiteX3661" y="connsiteY3661"/>
              </a:cxn>
              <a:cxn ang="0">
                <a:pos x="connsiteX3662" y="connsiteY3662"/>
              </a:cxn>
              <a:cxn ang="0">
                <a:pos x="connsiteX3663" y="connsiteY3663"/>
              </a:cxn>
              <a:cxn ang="0">
                <a:pos x="connsiteX3664" y="connsiteY3664"/>
              </a:cxn>
              <a:cxn ang="0">
                <a:pos x="connsiteX3665" y="connsiteY3665"/>
              </a:cxn>
              <a:cxn ang="0">
                <a:pos x="connsiteX3666" y="connsiteY3666"/>
              </a:cxn>
              <a:cxn ang="0">
                <a:pos x="connsiteX3667" y="connsiteY3667"/>
              </a:cxn>
              <a:cxn ang="0">
                <a:pos x="connsiteX3668" y="connsiteY3668"/>
              </a:cxn>
              <a:cxn ang="0">
                <a:pos x="connsiteX3669" y="connsiteY3669"/>
              </a:cxn>
              <a:cxn ang="0">
                <a:pos x="connsiteX3670" y="connsiteY3670"/>
              </a:cxn>
              <a:cxn ang="0">
                <a:pos x="connsiteX3671" y="connsiteY3671"/>
              </a:cxn>
              <a:cxn ang="0">
                <a:pos x="connsiteX3672" y="connsiteY3672"/>
              </a:cxn>
              <a:cxn ang="0">
                <a:pos x="connsiteX3673" y="connsiteY3673"/>
              </a:cxn>
              <a:cxn ang="0">
                <a:pos x="connsiteX3674" y="connsiteY3674"/>
              </a:cxn>
              <a:cxn ang="0">
                <a:pos x="connsiteX3675" y="connsiteY3675"/>
              </a:cxn>
              <a:cxn ang="0">
                <a:pos x="connsiteX3676" y="connsiteY3676"/>
              </a:cxn>
              <a:cxn ang="0">
                <a:pos x="connsiteX3677" y="connsiteY3677"/>
              </a:cxn>
              <a:cxn ang="0">
                <a:pos x="connsiteX3678" y="connsiteY3678"/>
              </a:cxn>
              <a:cxn ang="0">
                <a:pos x="connsiteX3679" y="connsiteY3679"/>
              </a:cxn>
              <a:cxn ang="0">
                <a:pos x="connsiteX3680" y="connsiteY3680"/>
              </a:cxn>
              <a:cxn ang="0">
                <a:pos x="connsiteX3681" y="connsiteY3681"/>
              </a:cxn>
              <a:cxn ang="0">
                <a:pos x="connsiteX3682" y="connsiteY3682"/>
              </a:cxn>
              <a:cxn ang="0">
                <a:pos x="connsiteX3683" y="connsiteY3683"/>
              </a:cxn>
              <a:cxn ang="0">
                <a:pos x="connsiteX3684" y="connsiteY3684"/>
              </a:cxn>
              <a:cxn ang="0">
                <a:pos x="connsiteX3685" y="connsiteY3685"/>
              </a:cxn>
              <a:cxn ang="0">
                <a:pos x="connsiteX3686" y="connsiteY3686"/>
              </a:cxn>
              <a:cxn ang="0">
                <a:pos x="connsiteX3687" y="connsiteY3687"/>
              </a:cxn>
              <a:cxn ang="0">
                <a:pos x="connsiteX3688" y="connsiteY3688"/>
              </a:cxn>
              <a:cxn ang="0">
                <a:pos x="connsiteX3689" y="connsiteY3689"/>
              </a:cxn>
              <a:cxn ang="0">
                <a:pos x="connsiteX3690" y="connsiteY3690"/>
              </a:cxn>
              <a:cxn ang="0">
                <a:pos x="connsiteX3691" y="connsiteY3691"/>
              </a:cxn>
              <a:cxn ang="0">
                <a:pos x="connsiteX3692" y="connsiteY3692"/>
              </a:cxn>
              <a:cxn ang="0">
                <a:pos x="connsiteX3693" y="connsiteY3693"/>
              </a:cxn>
              <a:cxn ang="0">
                <a:pos x="connsiteX3694" y="connsiteY3694"/>
              </a:cxn>
              <a:cxn ang="0">
                <a:pos x="connsiteX3695" y="connsiteY3695"/>
              </a:cxn>
              <a:cxn ang="0">
                <a:pos x="connsiteX3696" y="connsiteY3696"/>
              </a:cxn>
              <a:cxn ang="0">
                <a:pos x="connsiteX3697" y="connsiteY3697"/>
              </a:cxn>
              <a:cxn ang="0">
                <a:pos x="connsiteX3698" y="connsiteY3698"/>
              </a:cxn>
              <a:cxn ang="0">
                <a:pos x="connsiteX3699" y="connsiteY3699"/>
              </a:cxn>
              <a:cxn ang="0">
                <a:pos x="connsiteX3700" y="connsiteY3700"/>
              </a:cxn>
              <a:cxn ang="0">
                <a:pos x="connsiteX3701" y="connsiteY3701"/>
              </a:cxn>
              <a:cxn ang="0">
                <a:pos x="connsiteX3702" y="connsiteY3702"/>
              </a:cxn>
              <a:cxn ang="0">
                <a:pos x="connsiteX3703" y="connsiteY3703"/>
              </a:cxn>
              <a:cxn ang="0">
                <a:pos x="connsiteX3704" y="connsiteY3704"/>
              </a:cxn>
              <a:cxn ang="0">
                <a:pos x="connsiteX3705" y="connsiteY3705"/>
              </a:cxn>
              <a:cxn ang="0">
                <a:pos x="connsiteX3706" y="connsiteY3706"/>
              </a:cxn>
              <a:cxn ang="0">
                <a:pos x="connsiteX3707" y="connsiteY3707"/>
              </a:cxn>
              <a:cxn ang="0">
                <a:pos x="connsiteX3708" y="connsiteY3708"/>
              </a:cxn>
              <a:cxn ang="0">
                <a:pos x="connsiteX3709" y="connsiteY3709"/>
              </a:cxn>
              <a:cxn ang="0">
                <a:pos x="connsiteX3710" y="connsiteY3710"/>
              </a:cxn>
              <a:cxn ang="0">
                <a:pos x="connsiteX3711" y="connsiteY3711"/>
              </a:cxn>
              <a:cxn ang="0">
                <a:pos x="connsiteX3712" y="connsiteY3712"/>
              </a:cxn>
              <a:cxn ang="0">
                <a:pos x="connsiteX3713" y="connsiteY3713"/>
              </a:cxn>
              <a:cxn ang="0">
                <a:pos x="connsiteX3714" y="connsiteY3714"/>
              </a:cxn>
              <a:cxn ang="0">
                <a:pos x="connsiteX3715" y="connsiteY3715"/>
              </a:cxn>
              <a:cxn ang="0">
                <a:pos x="connsiteX3716" y="connsiteY3716"/>
              </a:cxn>
              <a:cxn ang="0">
                <a:pos x="connsiteX3717" y="connsiteY3717"/>
              </a:cxn>
              <a:cxn ang="0">
                <a:pos x="connsiteX3718" y="connsiteY3718"/>
              </a:cxn>
              <a:cxn ang="0">
                <a:pos x="connsiteX3719" y="connsiteY3719"/>
              </a:cxn>
              <a:cxn ang="0">
                <a:pos x="connsiteX3720" y="connsiteY3720"/>
              </a:cxn>
              <a:cxn ang="0">
                <a:pos x="connsiteX3721" y="connsiteY3721"/>
              </a:cxn>
              <a:cxn ang="0">
                <a:pos x="connsiteX3722" y="connsiteY3722"/>
              </a:cxn>
              <a:cxn ang="0">
                <a:pos x="connsiteX3723" y="connsiteY3723"/>
              </a:cxn>
              <a:cxn ang="0">
                <a:pos x="connsiteX3724" y="connsiteY3724"/>
              </a:cxn>
              <a:cxn ang="0">
                <a:pos x="connsiteX3725" y="connsiteY3725"/>
              </a:cxn>
              <a:cxn ang="0">
                <a:pos x="connsiteX3726" y="connsiteY3726"/>
              </a:cxn>
              <a:cxn ang="0">
                <a:pos x="connsiteX3727" y="connsiteY3727"/>
              </a:cxn>
              <a:cxn ang="0">
                <a:pos x="connsiteX3728" y="connsiteY3728"/>
              </a:cxn>
              <a:cxn ang="0">
                <a:pos x="connsiteX3729" y="connsiteY3729"/>
              </a:cxn>
              <a:cxn ang="0">
                <a:pos x="connsiteX3730" y="connsiteY3730"/>
              </a:cxn>
              <a:cxn ang="0">
                <a:pos x="connsiteX3731" y="connsiteY3731"/>
              </a:cxn>
              <a:cxn ang="0">
                <a:pos x="connsiteX3732" y="connsiteY3732"/>
              </a:cxn>
              <a:cxn ang="0">
                <a:pos x="connsiteX3733" y="connsiteY3733"/>
              </a:cxn>
              <a:cxn ang="0">
                <a:pos x="connsiteX3734" y="connsiteY3734"/>
              </a:cxn>
              <a:cxn ang="0">
                <a:pos x="connsiteX3735" y="connsiteY3735"/>
              </a:cxn>
              <a:cxn ang="0">
                <a:pos x="connsiteX3736" y="connsiteY3736"/>
              </a:cxn>
              <a:cxn ang="0">
                <a:pos x="connsiteX3737" y="connsiteY3737"/>
              </a:cxn>
              <a:cxn ang="0">
                <a:pos x="connsiteX3738" y="connsiteY3738"/>
              </a:cxn>
              <a:cxn ang="0">
                <a:pos x="connsiteX3739" y="connsiteY3739"/>
              </a:cxn>
              <a:cxn ang="0">
                <a:pos x="connsiteX3740" y="connsiteY3740"/>
              </a:cxn>
              <a:cxn ang="0">
                <a:pos x="connsiteX3741" y="connsiteY3741"/>
              </a:cxn>
              <a:cxn ang="0">
                <a:pos x="connsiteX3742" y="connsiteY3742"/>
              </a:cxn>
              <a:cxn ang="0">
                <a:pos x="connsiteX3743" y="connsiteY3743"/>
              </a:cxn>
              <a:cxn ang="0">
                <a:pos x="connsiteX3744" y="connsiteY3744"/>
              </a:cxn>
              <a:cxn ang="0">
                <a:pos x="connsiteX3745" y="connsiteY3745"/>
              </a:cxn>
              <a:cxn ang="0">
                <a:pos x="connsiteX3746" y="connsiteY3746"/>
              </a:cxn>
              <a:cxn ang="0">
                <a:pos x="connsiteX3747" y="connsiteY3747"/>
              </a:cxn>
              <a:cxn ang="0">
                <a:pos x="connsiteX3748" y="connsiteY3748"/>
              </a:cxn>
              <a:cxn ang="0">
                <a:pos x="connsiteX3749" y="connsiteY3749"/>
              </a:cxn>
              <a:cxn ang="0">
                <a:pos x="connsiteX3750" y="connsiteY3750"/>
              </a:cxn>
              <a:cxn ang="0">
                <a:pos x="connsiteX3751" y="connsiteY3751"/>
              </a:cxn>
              <a:cxn ang="0">
                <a:pos x="connsiteX3752" y="connsiteY3752"/>
              </a:cxn>
              <a:cxn ang="0">
                <a:pos x="connsiteX3753" y="connsiteY3753"/>
              </a:cxn>
              <a:cxn ang="0">
                <a:pos x="connsiteX3754" y="connsiteY3754"/>
              </a:cxn>
              <a:cxn ang="0">
                <a:pos x="connsiteX3755" y="connsiteY3755"/>
              </a:cxn>
              <a:cxn ang="0">
                <a:pos x="connsiteX3756" y="connsiteY3756"/>
              </a:cxn>
              <a:cxn ang="0">
                <a:pos x="connsiteX3757" y="connsiteY3757"/>
              </a:cxn>
              <a:cxn ang="0">
                <a:pos x="connsiteX3758" y="connsiteY3758"/>
              </a:cxn>
              <a:cxn ang="0">
                <a:pos x="connsiteX3759" y="connsiteY3759"/>
              </a:cxn>
              <a:cxn ang="0">
                <a:pos x="connsiteX3760" y="connsiteY3760"/>
              </a:cxn>
              <a:cxn ang="0">
                <a:pos x="connsiteX3761" y="connsiteY3761"/>
              </a:cxn>
              <a:cxn ang="0">
                <a:pos x="connsiteX3762" y="connsiteY3762"/>
              </a:cxn>
              <a:cxn ang="0">
                <a:pos x="connsiteX3763" y="connsiteY3763"/>
              </a:cxn>
              <a:cxn ang="0">
                <a:pos x="connsiteX3764" y="connsiteY3764"/>
              </a:cxn>
              <a:cxn ang="0">
                <a:pos x="connsiteX3765" y="connsiteY3765"/>
              </a:cxn>
              <a:cxn ang="0">
                <a:pos x="connsiteX3766" y="connsiteY3766"/>
              </a:cxn>
              <a:cxn ang="0">
                <a:pos x="connsiteX3767" y="connsiteY3767"/>
              </a:cxn>
              <a:cxn ang="0">
                <a:pos x="connsiteX3768" y="connsiteY3768"/>
              </a:cxn>
              <a:cxn ang="0">
                <a:pos x="connsiteX3769" y="connsiteY3769"/>
              </a:cxn>
              <a:cxn ang="0">
                <a:pos x="connsiteX3770" y="connsiteY3770"/>
              </a:cxn>
              <a:cxn ang="0">
                <a:pos x="connsiteX3771" y="connsiteY3771"/>
              </a:cxn>
              <a:cxn ang="0">
                <a:pos x="connsiteX3772" y="connsiteY3772"/>
              </a:cxn>
              <a:cxn ang="0">
                <a:pos x="connsiteX3773" y="connsiteY3773"/>
              </a:cxn>
              <a:cxn ang="0">
                <a:pos x="connsiteX3774" y="connsiteY3774"/>
              </a:cxn>
              <a:cxn ang="0">
                <a:pos x="connsiteX3775" y="connsiteY3775"/>
              </a:cxn>
              <a:cxn ang="0">
                <a:pos x="connsiteX3776" y="connsiteY3776"/>
              </a:cxn>
              <a:cxn ang="0">
                <a:pos x="connsiteX3777" y="connsiteY3777"/>
              </a:cxn>
              <a:cxn ang="0">
                <a:pos x="connsiteX3778" y="connsiteY3778"/>
              </a:cxn>
              <a:cxn ang="0">
                <a:pos x="connsiteX3779" y="connsiteY3779"/>
              </a:cxn>
              <a:cxn ang="0">
                <a:pos x="connsiteX3780" y="connsiteY3780"/>
              </a:cxn>
              <a:cxn ang="0">
                <a:pos x="connsiteX3781" y="connsiteY3781"/>
              </a:cxn>
              <a:cxn ang="0">
                <a:pos x="connsiteX3782" y="connsiteY3782"/>
              </a:cxn>
              <a:cxn ang="0">
                <a:pos x="connsiteX3783" y="connsiteY3783"/>
              </a:cxn>
              <a:cxn ang="0">
                <a:pos x="connsiteX3784" y="connsiteY3784"/>
              </a:cxn>
              <a:cxn ang="0">
                <a:pos x="connsiteX3785" y="connsiteY3785"/>
              </a:cxn>
              <a:cxn ang="0">
                <a:pos x="connsiteX3786" y="connsiteY3786"/>
              </a:cxn>
              <a:cxn ang="0">
                <a:pos x="connsiteX3787" y="connsiteY3787"/>
              </a:cxn>
              <a:cxn ang="0">
                <a:pos x="connsiteX3788" y="connsiteY3788"/>
              </a:cxn>
              <a:cxn ang="0">
                <a:pos x="connsiteX3789" y="connsiteY3789"/>
              </a:cxn>
              <a:cxn ang="0">
                <a:pos x="connsiteX3790" y="connsiteY3790"/>
              </a:cxn>
              <a:cxn ang="0">
                <a:pos x="connsiteX3791" y="connsiteY3791"/>
              </a:cxn>
              <a:cxn ang="0">
                <a:pos x="connsiteX3792" y="connsiteY3792"/>
              </a:cxn>
              <a:cxn ang="0">
                <a:pos x="connsiteX3793" y="connsiteY3793"/>
              </a:cxn>
              <a:cxn ang="0">
                <a:pos x="connsiteX3794" y="connsiteY3794"/>
              </a:cxn>
              <a:cxn ang="0">
                <a:pos x="connsiteX3795" y="connsiteY3795"/>
              </a:cxn>
              <a:cxn ang="0">
                <a:pos x="connsiteX3796" y="connsiteY3796"/>
              </a:cxn>
              <a:cxn ang="0">
                <a:pos x="connsiteX3797" y="connsiteY3797"/>
              </a:cxn>
              <a:cxn ang="0">
                <a:pos x="connsiteX3798" y="connsiteY3798"/>
              </a:cxn>
              <a:cxn ang="0">
                <a:pos x="connsiteX3799" y="connsiteY3799"/>
              </a:cxn>
              <a:cxn ang="0">
                <a:pos x="connsiteX3800" y="connsiteY3800"/>
              </a:cxn>
              <a:cxn ang="0">
                <a:pos x="connsiteX3801" y="connsiteY3801"/>
              </a:cxn>
              <a:cxn ang="0">
                <a:pos x="connsiteX3802" y="connsiteY3802"/>
              </a:cxn>
              <a:cxn ang="0">
                <a:pos x="connsiteX3803" y="connsiteY3803"/>
              </a:cxn>
              <a:cxn ang="0">
                <a:pos x="connsiteX3804" y="connsiteY3804"/>
              </a:cxn>
              <a:cxn ang="0">
                <a:pos x="connsiteX3805" y="connsiteY3805"/>
              </a:cxn>
              <a:cxn ang="0">
                <a:pos x="connsiteX3806" y="connsiteY3806"/>
              </a:cxn>
              <a:cxn ang="0">
                <a:pos x="connsiteX3807" y="connsiteY3807"/>
              </a:cxn>
              <a:cxn ang="0">
                <a:pos x="connsiteX3808" y="connsiteY3808"/>
              </a:cxn>
              <a:cxn ang="0">
                <a:pos x="connsiteX3809" y="connsiteY3809"/>
              </a:cxn>
              <a:cxn ang="0">
                <a:pos x="connsiteX3810" y="connsiteY3810"/>
              </a:cxn>
              <a:cxn ang="0">
                <a:pos x="connsiteX3811" y="connsiteY3811"/>
              </a:cxn>
              <a:cxn ang="0">
                <a:pos x="connsiteX3812" y="connsiteY3812"/>
              </a:cxn>
              <a:cxn ang="0">
                <a:pos x="connsiteX3813" y="connsiteY3813"/>
              </a:cxn>
              <a:cxn ang="0">
                <a:pos x="connsiteX3814" y="connsiteY3814"/>
              </a:cxn>
              <a:cxn ang="0">
                <a:pos x="connsiteX3815" y="connsiteY3815"/>
              </a:cxn>
              <a:cxn ang="0">
                <a:pos x="connsiteX3816" y="connsiteY3816"/>
              </a:cxn>
              <a:cxn ang="0">
                <a:pos x="connsiteX3817" y="connsiteY3817"/>
              </a:cxn>
              <a:cxn ang="0">
                <a:pos x="connsiteX3818" y="connsiteY3818"/>
              </a:cxn>
              <a:cxn ang="0">
                <a:pos x="connsiteX3819" y="connsiteY3819"/>
              </a:cxn>
              <a:cxn ang="0">
                <a:pos x="connsiteX3820" y="connsiteY3820"/>
              </a:cxn>
              <a:cxn ang="0">
                <a:pos x="connsiteX3821" y="connsiteY3821"/>
              </a:cxn>
              <a:cxn ang="0">
                <a:pos x="connsiteX3822" y="connsiteY3822"/>
              </a:cxn>
              <a:cxn ang="0">
                <a:pos x="connsiteX3823" y="connsiteY3823"/>
              </a:cxn>
              <a:cxn ang="0">
                <a:pos x="connsiteX3824" y="connsiteY3824"/>
              </a:cxn>
              <a:cxn ang="0">
                <a:pos x="connsiteX3825" y="connsiteY3825"/>
              </a:cxn>
              <a:cxn ang="0">
                <a:pos x="connsiteX3826" y="connsiteY3826"/>
              </a:cxn>
              <a:cxn ang="0">
                <a:pos x="connsiteX3827" y="connsiteY3827"/>
              </a:cxn>
              <a:cxn ang="0">
                <a:pos x="connsiteX3828" y="connsiteY3828"/>
              </a:cxn>
              <a:cxn ang="0">
                <a:pos x="connsiteX3829" y="connsiteY3829"/>
              </a:cxn>
              <a:cxn ang="0">
                <a:pos x="connsiteX3830" y="connsiteY3830"/>
              </a:cxn>
              <a:cxn ang="0">
                <a:pos x="connsiteX3831" y="connsiteY3831"/>
              </a:cxn>
              <a:cxn ang="0">
                <a:pos x="connsiteX3832" y="connsiteY3832"/>
              </a:cxn>
              <a:cxn ang="0">
                <a:pos x="connsiteX3833" y="connsiteY3833"/>
              </a:cxn>
              <a:cxn ang="0">
                <a:pos x="connsiteX3834" y="connsiteY3834"/>
              </a:cxn>
              <a:cxn ang="0">
                <a:pos x="connsiteX3835" y="connsiteY3835"/>
              </a:cxn>
              <a:cxn ang="0">
                <a:pos x="connsiteX3836" y="connsiteY3836"/>
              </a:cxn>
              <a:cxn ang="0">
                <a:pos x="connsiteX3837" y="connsiteY3837"/>
              </a:cxn>
              <a:cxn ang="0">
                <a:pos x="connsiteX3838" y="connsiteY3838"/>
              </a:cxn>
              <a:cxn ang="0">
                <a:pos x="connsiteX3839" y="connsiteY3839"/>
              </a:cxn>
              <a:cxn ang="0">
                <a:pos x="connsiteX3840" y="connsiteY3840"/>
              </a:cxn>
              <a:cxn ang="0">
                <a:pos x="connsiteX3841" y="connsiteY3841"/>
              </a:cxn>
              <a:cxn ang="0">
                <a:pos x="connsiteX3842" y="connsiteY3842"/>
              </a:cxn>
              <a:cxn ang="0">
                <a:pos x="connsiteX3843" y="connsiteY3843"/>
              </a:cxn>
              <a:cxn ang="0">
                <a:pos x="connsiteX3844" y="connsiteY3844"/>
              </a:cxn>
              <a:cxn ang="0">
                <a:pos x="connsiteX3845" y="connsiteY3845"/>
              </a:cxn>
              <a:cxn ang="0">
                <a:pos x="connsiteX3846" y="connsiteY3846"/>
              </a:cxn>
              <a:cxn ang="0">
                <a:pos x="connsiteX3847" y="connsiteY3847"/>
              </a:cxn>
              <a:cxn ang="0">
                <a:pos x="connsiteX3848" y="connsiteY3848"/>
              </a:cxn>
              <a:cxn ang="0">
                <a:pos x="connsiteX3849" y="connsiteY3849"/>
              </a:cxn>
              <a:cxn ang="0">
                <a:pos x="connsiteX3850" y="connsiteY3850"/>
              </a:cxn>
              <a:cxn ang="0">
                <a:pos x="connsiteX3851" y="connsiteY3851"/>
              </a:cxn>
              <a:cxn ang="0">
                <a:pos x="connsiteX3852" y="connsiteY3852"/>
              </a:cxn>
              <a:cxn ang="0">
                <a:pos x="connsiteX3853" y="connsiteY3853"/>
              </a:cxn>
              <a:cxn ang="0">
                <a:pos x="connsiteX3854" y="connsiteY3854"/>
              </a:cxn>
              <a:cxn ang="0">
                <a:pos x="connsiteX3855" y="connsiteY3855"/>
              </a:cxn>
              <a:cxn ang="0">
                <a:pos x="connsiteX3856" y="connsiteY3856"/>
              </a:cxn>
              <a:cxn ang="0">
                <a:pos x="connsiteX3857" y="connsiteY3857"/>
              </a:cxn>
              <a:cxn ang="0">
                <a:pos x="connsiteX3858" y="connsiteY3858"/>
              </a:cxn>
              <a:cxn ang="0">
                <a:pos x="connsiteX3859" y="connsiteY3859"/>
              </a:cxn>
              <a:cxn ang="0">
                <a:pos x="connsiteX3860" y="connsiteY3860"/>
              </a:cxn>
              <a:cxn ang="0">
                <a:pos x="connsiteX3861" y="connsiteY3861"/>
              </a:cxn>
              <a:cxn ang="0">
                <a:pos x="connsiteX3862" y="connsiteY3862"/>
              </a:cxn>
              <a:cxn ang="0">
                <a:pos x="connsiteX3863" y="connsiteY3863"/>
              </a:cxn>
              <a:cxn ang="0">
                <a:pos x="connsiteX3864" y="connsiteY3864"/>
              </a:cxn>
              <a:cxn ang="0">
                <a:pos x="connsiteX3865" y="connsiteY3865"/>
              </a:cxn>
              <a:cxn ang="0">
                <a:pos x="connsiteX3866" y="connsiteY3866"/>
              </a:cxn>
              <a:cxn ang="0">
                <a:pos x="connsiteX3867" y="connsiteY3867"/>
              </a:cxn>
              <a:cxn ang="0">
                <a:pos x="connsiteX3868" y="connsiteY3868"/>
              </a:cxn>
              <a:cxn ang="0">
                <a:pos x="connsiteX3869" y="connsiteY3869"/>
              </a:cxn>
              <a:cxn ang="0">
                <a:pos x="connsiteX3870" y="connsiteY3870"/>
              </a:cxn>
              <a:cxn ang="0">
                <a:pos x="connsiteX3871" y="connsiteY3871"/>
              </a:cxn>
              <a:cxn ang="0">
                <a:pos x="connsiteX3872" y="connsiteY3872"/>
              </a:cxn>
              <a:cxn ang="0">
                <a:pos x="connsiteX3873" y="connsiteY3873"/>
              </a:cxn>
              <a:cxn ang="0">
                <a:pos x="connsiteX3874" y="connsiteY3874"/>
              </a:cxn>
              <a:cxn ang="0">
                <a:pos x="connsiteX3875" y="connsiteY3875"/>
              </a:cxn>
              <a:cxn ang="0">
                <a:pos x="connsiteX3876" y="connsiteY3876"/>
              </a:cxn>
              <a:cxn ang="0">
                <a:pos x="connsiteX3877" y="connsiteY3877"/>
              </a:cxn>
              <a:cxn ang="0">
                <a:pos x="connsiteX3878" y="connsiteY3878"/>
              </a:cxn>
              <a:cxn ang="0">
                <a:pos x="connsiteX3879" y="connsiteY3879"/>
              </a:cxn>
              <a:cxn ang="0">
                <a:pos x="connsiteX3880" y="connsiteY3880"/>
              </a:cxn>
              <a:cxn ang="0">
                <a:pos x="connsiteX3881" y="connsiteY3881"/>
              </a:cxn>
              <a:cxn ang="0">
                <a:pos x="connsiteX3882" y="connsiteY3882"/>
              </a:cxn>
              <a:cxn ang="0">
                <a:pos x="connsiteX3883" y="connsiteY3883"/>
              </a:cxn>
              <a:cxn ang="0">
                <a:pos x="connsiteX3884" y="connsiteY3884"/>
              </a:cxn>
              <a:cxn ang="0">
                <a:pos x="connsiteX3885" y="connsiteY3885"/>
              </a:cxn>
              <a:cxn ang="0">
                <a:pos x="connsiteX3886" y="connsiteY3886"/>
              </a:cxn>
              <a:cxn ang="0">
                <a:pos x="connsiteX3887" y="connsiteY3887"/>
              </a:cxn>
              <a:cxn ang="0">
                <a:pos x="connsiteX3888" y="connsiteY3888"/>
              </a:cxn>
              <a:cxn ang="0">
                <a:pos x="connsiteX3889" y="connsiteY3889"/>
              </a:cxn>
              <a:cxn ang="0">
                <a:pos x="connsiteX3890" y="connsiteY3890"/>
              </a:cxn>
              <a:cxn ang="0">
                <a:pos x="connsiteX3891" y="connsiteY3891"/>
              </a:cxn>
              <a:cxn ang="0">
                <a:pos x="connsiteX3892" y="connsiteY3892"/>
              </a:cxn>
              <a:cxn ang="0">
                <a:pos x="connsiteX3893" y="connsiteY3893"/>
              </a:cxn>
              <a:cxn ang="0">
                <a:pos x="connsiteX3894" y="connsiteY3894"/>
              </a:cxn>
              <a:cxn ang="0">
                <a:pos x="connsiteX3895" y="connsiteY3895"/>
              </a:cxn>
              <a:cxn ang="0">
                <a:pos x="connsiteX3896" y="connsiteY3896"/>
              </a:cxn>
              <a:cxn ang="0">
                <a:pos x="connsiteX3897" y="connsiteY3897"/>
              </a:cxn>
              <a:cxn ang="0">
                <a:pos x="connsiteX3898" y="connsiteY3898"/>
              </a:cxn>
              <a:cxn ang="0">
                <a:pos x="connsiteX3899" y="connsiteY3899"/>
              </a:cxn>
              <a:cxn ang="0">
                <a:pos x="connsiteX3900" y="connsiteY3900"/>
              </a:cxn>
              <a:cxn ang="0">
                <a:pos x="connsiteX3901" y="connsiteY3901"/>
              </a:cxn>
              <a:cxn ang="0">
                <a:pos x="connsiteX3902" y="connsiteY3902"/>
              </a:cxn>
              <a:cxn ang="0">
                <a:pos x="connsiteX3903" y="connsiteY3903"/>
              </a:cxn>
              <a:cxn ang="0">
                <a:pos x="connsiteX3904" y="connsiteY3904"/>
              </a:cxn>
              <a:cxn ang="0">
                <a:pos x="connsiteX3905" y="connsiteY3905"/>
              </a:cxn>
              <a:cxn ang="0">
                <a:pos x="connsiteX3906" y="connsiteY3906"/>
              </a:cxn>
              <a:cxn ang="0">
                <a:pos x="connsiteX3907" y="connsiteY3907"/>
              </a:cxn>
              <a:cxn ang="0">
                <a:pos x="connsiteX3908" y="connsiteY3908"/>
              </a:cxn>
              <a:cxn ang="0">
                <a:pos x="connsiteX3909" y="connsiteY3909"/>
              </a:cxn>
              <a:cxn ang="0">
                <a:pos x="connsiteX3910" y="connsiteY3910"/>
              </a:cxn>
              <a:cxn ang="0">
                <a:pos x="connsiteX3911" y="connsiteY3911"/>
              </a:cxn>
              <a:cxn ang="0">
                <a:pos x="connsiteX3912" y="connsiteY3912"/>
              </a:cxn>
              <a:cxn ang="0">
                <a:pos x="connsiteX3913" y="connsiteY3913"/>
              </a:cxn>
              <a:cxn ang="0">
                <a:pos x="connsiteX3914" y="connsiteY3914"/>
              </a:cxn>
              <a:cxn ang="0">
                <a:pos x="connsiteX3915" y="connsiteY3915"/>
              </a:cxn>
              <a:cxn ang="0">
                <a:pos x="connsiteX3916" y="connsiteY3916"/>
              </a:cxn>
              <a:cxn ang="0">
                <a:pos x="connsiteX3917" y="connsiteY3917"/>
              </a:cxn>
              <a:cxn ang="0">
                <a:pos x="connsiteX3918" y="connsiteY3918"/>
              </a:cxn>
              <a:cxn ang="0">
                <a:pos x="connsiteX3919" y="connsiteY3919"/>
              </a:cxn>
              <a:cxn ang="0">
                <a:pos x="connsiteX3920" y="connsiteY3920"/>
              </a:cxn>
              <a:cxn ang="0">
                <a:pos x="connsiteX3921" y="connsiteY3921"/>
              </a:cxn>
              <a:cxn ang="0">
                <a:pos x="connsiteX3922" y="connsiteY3922"/>
              </a:cxn>
              <a:cxn ang="0">
                <a:pos x="connsiteX3923" y="connsiteY3923"/>
              </a:cxn>
              <a:cxn ang="0">
                <a:pos x="connsiteX3924" y="connsiteY3924"/>
              </a:cxn>
              <a:cxn ang="0">
                <a:pos x="connsiteX3925" y="connsiteY3925"/>
              </a:cxn>
              <a:cxn ang="0">
                <a:pos x="connsiteX3926" y="connsiteY3926"/>
              </a:cxn>
              <a:cxn ang="0">
                <a:pos x="connsiteX3927" y="connsiteY3927"/>
              </a:cxn>
              <a:cxn ang="0">
                <a:pos x="connsiteX3928" y="connsiteY3928"/>
              </a:cxn>
              <a:cxn ang="0">
                <a:pos x="connsiteX3929" y="connsiteY3929"/>
              </a:cxn>
              <a:cxn ang="0">
                <a:pos x="connsiteX3930" y="connsiteY3930"/>
              </a:cxn>
              <a:cxn ang="0">
                <a:pos x="connsiteX3931" y="connsiteY3931"/>
              </a:cxn>
              <a:cxn ang="0">
                <a:pos x="connsiteX3932" y="connsiteY3932"/>
              </a:cxn>
              <a:cxn ang="0">
                <a:pos x="connsiteX3933" y="connsiteY3933"/>
              </a:cxn>
              <a:cxn ang="0">
                <a:pos x="connsiteX3934" y="connsiteY3934"/>
              </a:cxn>
              <a:cxn ang="0">
                <a:pos x="connsiteX3935" y="connsiteY3935"/>
              </a:cxn>
              <a:cxn ang="0">
                <a:pos x="connsiteX3936" y="connsiteY3936"/>
              </a:cxn>
              <a:cxn ang="0">
                <a:pos x="connsiteX3937" y="connsiteY3937"/>
              </a:cxn>
              <a:cxn ang="0">
                <a:pos x="connsiteX3938" y="connsiteY3938"/>
              </a:cxn>
              <a:cxn ang="0">
                <a:pos x="connsiteX3939" y="connsiteY3939"/>
              </a:cxn>
              <a:cxn ang="0">
                <a:pos x="connsiteX3940" y="connsiteY3940"/>
              </a:cxn>
              <a:cxn ang="0">
                <a:pos x="connsiteX3941" y="connsiteY3941"/>
              </a:cxn>
              <a:cxn ang="0">
                <a:pos x="connsiteX3942" y="connsiteY3942"/>
              </a:cxn>
              <a:cxn ang="0">
                <a:pos x="connsiteX3943" y="connsiteY3943"/>
              </a:cxn>
              <a:cxn ang="0">
                <a:pos x="connsiteX3944" y="connsiteY3944"/>
              </a:cxn>
              <a:cxn ang="0">
                <a:pos x="connsiteX3945" y="connsiteY3945"/>
              </a:cxn>
              <a:cxn ang="0">
                <a:pos x="connsiteX3946" y="connsiteY3946"/>
              </a:cxn>
              <a:cxn ang="0">
                <a:pos x="connsiteX3947" y="connsiteY3947"/>
              </a:cxn>
              <a:cxn ang="0">
                <a:pos x="connsiteX3948" y="connsiteY3948"/>
              </a:cxn>
              <a:cxn ang="0">
                <a:pos x="connsiteX3949" y="connsiteY3949"/>
              </a:cxn>
              <a:cxn ang="0">
                <a:pos x="connsiteX3950" y="connsiteY3950"/>
              </a:cxn>
              <a:cxn ang="0">
                <a:pos x="connsiteX3951" y="connsiteY3951"/>
              </a:cxn>
              <a:cxn ang="0">
                <a:pos x="connsiteX3952" y="connsiteY3952"/>
              </a:cxn>
              <a:cxn ang="0">
                <a:pos x="connsiteX3953" y="connsiteY3953"/>
              </a:cxn>
              <a:cxn ang="0">
                <a:pos x="connsiteX3954" y="connsiteY3954"/>
              </a:cxn>
              <a:cxn ang="0">
                <a:pos x="connsiteX3955" y="connsiteY3955"/>
              </a:cxn>
              <a:cxn ang="0">
                <a:pos x="connsiteX3956" y="connsiteY3956"/>
              </a:cxn>
              <a:cxn ang="0">
                <a:pos x="connsiteX3957" y="connsiteY3957"/>
              </a:cxn>
              <a:cxn ang="0">
                <a:pos x="connsiteX3958" y="connsiteY3958"/>
              </a:cxn>
              <a:cxn ang="0">
                <a:pos x="connsiteX3959" y="connsiteY3959"/>
              </a:cxn>
              <a:cxn ang="0">
                <a:pos x="connsiteX3960" y="connsiteY3960"/>
              </a:cxn>
              <a:cxn ang="0">
                <a:pos x="connsiteX3961" y="connsiteY3961"/>
              </a:cxn>
              <a:cxn ang="0">
                <a:pos x="connsiteX3962" y="connsiteY3962"/>
              </a:cxn>
              <a:cxn ang="0">
                <a:pos x="connsiteX3963" y="connsiteY3963"/>
              </a:cxn>
              <a:cxn ang="0">
                <a:pos x="connsiteX3964" y="connsiteY3964"/>
              </a:cxn>
              <a:cxn ang="0">
                <a:pos x="connsiteX3965" y="connsiteY3965"/>
              </a:cxn>
              <a:cxn ang="0">
                <a:pos x="connsiteX3966" y="connsiteY3966"/>
              </a:cxn>
              <a:cxn ang="0">
                <a:pos x="connsiteX3967" y="connsiteY3967"/>
              </a:cxn>
              <a:cxn ang="0">
                <a:pos x="connsiteX3968" y="connsiteY3968"/>
              </a:cxn>
              <a:cxn ang="0">
                <a:pos x="connsiteX3969" y="connsiteY3969"/>
              </a:cxn>
              <a:cxn ang="0">
                <a:pos x="connsiteX3970" y="connsiteY3970"/>
              </a:cxn>
              <a:cxn ang="0">
                <a:pos x="connsiteX3971" y="connsiteY3971"/>
              </a:cxn>
              <a:cxn ang="0">
                <a:pos x="connsiteX3972" y="connsiteY3972"/>
              </a:cxn>
              <a:cxn ang="0">
                <a:pos x="connsiteX3973" y="connsiteY3973"/>
              </a:cxn>
              <a:cxn ang="0">
                <a:pos x="connsiteX3974" y="connsiteY3974"/>
              </a:cxn>
              <a:cxn ang="0">
                <a:pos x="connsiteX3975" y="connsiteY3975"/>
              </a:cxn>
              <a:cxn ang="0">
                <a:pos x="connsiteX3976" y="connsiteY3976"/>
              </a:cxn>
              <a:cxn ang="0">
                <a:pos x="connsiteX3977" y="connsiteY3977"/>
              </a:cxn>
              <a:cxn ang="0">
                <a:pos x="connsiteX3978" y="connsiteY3978"/>
              </a:cxn>
              <a:cxn ang="0">
                <a:pos x="connsiteX3979" y="connsiteY3979"/>
              </a:cxn>
              <a:cxn ang="0">
                <a:pos x="connsiteX3980" y="connsiteY3980"/>
              </a:cxn>
              <a:cxn ang="0">
                <a:pos x="connsiteX3981" y="connsiteY3981"/>
              </a:cxn>
              <a:cxn ang="0">
                <a:pos x="connsiteX3982" y="connsiteY3982"/>
              </a:cxn>
              <a:cxn ang="0">
                <a:pos x="connsiteX3983" y="connsiteY3983"/>
              </a:cxn>
              <a:cxn ang="0">
                <a:pos x="connsiteX3984" y="connsiteY3984"/>
              </a:cxn>
              <a:cxn ang="0">
                <a:pos x="connsiteX3985" y="connsiteY3985"/>
              </a:cxn>
              <a:cxn ang="0">
                <a:pos x="connsiteX3986" y="connsiteY3986"/>
              </a:cxn>
              <a:cxn ang="0">
                <a:pos x="connsiteX3987" y="connsiteY3987"/>
              </a:cxn>
              <a:cxn ang="0">
                <a:pos x="connsiteX3988" y="connsiteY3988"/>
              </a:cxn>
              <a:cxn ang="0">
                <a:pos x="connsiteX3989" y="connsiteY3989"/>
              </a:cxn>
              <a:cxn ang="0">
                <a:pos x="connsiteX3990" y="connsiteY3990"/>
              </a:cxn>
              <a:cxn ang="0">
                <a:pos x="connsiteX3991" y="connsiteY3991"/>
              </a:cxn>
              <a:cxn ang="0">
                <a:pos x="connsiteX3992" y="connsiteY3992"/>
              </a:cxn>
              <a:cxn ang="0">
                <a:pos x="connsiteX3993" y="connsiteY3993"/>
              </a:cxn>
              <a:cxn ang="0">
                <a:pos x="connsiteX3994" y="connsiteY3994"/>
              </a:cxn>
              <a:cxn ang="0">
                <a:pos x="connsiteX3995" y="connsiteY3995"/>
              </a:cxn>
              <a:cxn ang="0">
                <a:pos x="connsiteX3996" y="connsiteY3996"/>
              </a:cxn>
              <a:cxn ang="0">
                <a:pos x="connsiteX3997" y="connsiteY3997"/>
              </a:cxn>
              <a:cxn ang="0">
                <a:pos x="connsiteX3998" y="connsiteY3998"/>
              </a:cxn>
              <a:cxn ang="0">
                <a:pos x="connsiteX3999" y="connsiteY3999"/>
              </a:cxn>
              <a:cxn ang="0">
                <a:pos x="connsiteX4000" y="connsiteY4000"/>
              </a:cxn>
              <a:cxn ang="0">
                <a:pos x="connsiteX4001" y="connsiteY4001"/>
              </a:cxn>
              <a:cxn ang="0">
                <a:pos x="connsiteX4002" y="connsiteY4002"/>
              </a:cxn>
              <a:cxn ang="0">
                <a:pos x="connsiteX4003" y="connsiteY4003"/>
              </a:cxn>
              <a:cxn ang="0">
                <a:pos x="connsiteX4004" y="connsiteY4004"/>
              </a:cxn>
              <a:cxn ang="0">
                <a:pos x="connsiteX4005" y="connsiteY4005"/>
              </a:cxn>
              <a:cxn ang="0">
                <a:pos x="connsiteX4006" y="connsiteY4006"/>
              </a:cxn>
              <a:cxn ang="0">
                <a:pos x="connsiteX4007" y="connsiteY4007"/>
              </a:cxn>
              <a:cxn ang="0">
                <a:pos x="connsiteX4008" y="connsiteY4008"/>
              </a:cxn>
              <a:cxn ang="0">
                <a:pos x="connsiteX4009" y="connsiteY4009"/>
              </a:cxn>
              <a:cxn ang="0">
                <a:pos x="connsiteX4010" y="connsiteY4010"/>
              </a:cxn>
              <a:cxn ang="0">
                <a:pos x="connsiteX4011" y="connsiteY4011"/>
              </a:cxn>
              <a:cxn ang="0">
                <a:pos x="connsiteX4012" y="connsiteY4012"/>
              </a:cxn>
              <a:cxn ang="0">
                <a:pos x="connsiteX4013" y="connsiteY4013"/>
              </a:cxn>
              <a:cxn ang="0">
                <a:pos x="connsiteX4014" y="connsiteY4014"/>
              </a:cxn>
              <a:cxn ang="0">
                <a:pos x="connsiteX4015" y="connsiteY4015"/>
              </a:cxn>
              <a:cxn ang="0">
                <a:pos x="connsiteX4016" y="connsiteY4016"/>
              </a:cxn>
              <a:cxn ang="0">
                <a:pos x="connsiteX4017" y="connsiteY4017"/>
              </a:cxn>
              <a:cxn ang="0">
                <a:pos x="connsiteX4018" y="connsiteY4018"/>
              </a:cxn>
              <a:cxn ang="0">
                <a:pos x="connsiteX4019" y="connsiteY4019"/>
              </a:cxn>
              <a:cxn ang="0">
                <a:pos x="connsiteX4020" y="connsiteY4020"/>
              </a:cxn>
              <a:cxn ang="0">
                <a:pos x="connsiteX4021" y="connsiteY4021"/>
              </a:cxn>
              <a:cxn ang="0">
                <a:pos x="connsiteX4022" y="connsiteY4022"/>
              </a:cxn>
              <a:cxn ang="0">
                <a:pos x="connsiteX4023" y="connsiteY4023"/>
              </a:cxn>
              <a:cxn ang="0">
                <a:pos x="connsiteX4024" y="connsiteY4024"/>
              </a:cxn>
              <a:cxn ang="0">
                <a:pos x="connsiteX4025" y="connsiteY4025"/>
              </a:cxn>
              <a:cxn ang="0">
                <a:pos x="connsiteX4026" y="connsiteY4026"/>
              </a:cxn>
              <a:cxn ang="0">
                <a:pos x="connsiteX4027" y="connsiteY4027"/>
              </a:cxn>
              <a:cxn ang="0">
                <a:pos x="connsiteX4028" y="connsiteY4028"/>
              </a:cxn>
              <a:cxn ang="0">
                <a:pos x="connsiteX4029" y="connsiteY4029"/>
              </a:cxn>
              <a:cxn ang="0">
                <a:pos x="connsiteX4030" y="connsiteY4030"/>
              </a:cxn>
              <a:cxn ang="0">
                <a:pos x="connsiteX4031" y="connsiteY4031"/>
              </a:cxn>
              <a:cxn ang="0">
                <a:pos x="connsiteX4032" y="connsiteY4032"/>
              </a:cxn>
              <a:cxn ang="0">
                <a:pos x="connsiteX4033" y="connsiteY4033"/>
              </a:cxn>
              <a:cxn ang="0">
                <a:pos x="connsiteX4034" y="connsiteY4034"/>
              </a:cxn>
              <a:cxn ang="0">
                <a:pos x="connsiteX4035" y="connsiteY4035"/>
              </a:cxn>
              <a:cxn ang="0">
                <a:pos x="connsiteX4036" y="connsiteY4036"/>
              </a:cxn>
              <a:cxn ang="0">
                <a:pos x="connsiteX4037" y="connsiteY4037"/>
              </a:cxn>
              <a:cxn ang="0">
                <a:pos x="connsiteX4038" y="connsiteY4038"/>
              </a:cxn>
              <a:cxn ang="0">
                <a:pos x="connsiteX4039" y="connsiteY4039"/>
              </a:cxn>
              <a:cxn ang="0">
                <a:pos x="connsiteX4040" y="connsiteY4040"/>
              </a:cxn>
              <a:cxn ang="0">
                <a:pos x="connsiteX4041" y="connsiteY4041"/>
              </a:cxn>
              <a:cxn ang="0">
                <a:pos x="connsiteX4042" y="connsiteY4042"/>
              </a:cxn>
              <a:cxn ang="0">
                <a:pos x="connsiteX4043" y="connsiteY4043"/>
              </a:cxn>
              <a:cxn ang="0">
                <a:pos x="connsiteX4044" y="connsiteY4044"/>
              </a:cxn>
              <a:cxn ang="0">
                <a:pos x="connsiteX4045" y="connsiteY4045"/>
              </a:cxn>
              <a:cxn ang="0">
                <a:pos x="connsiteX4046" y="connsiteY4046"/>
              </a:cxn>
              <a:cxn ang="0">
                <a:pos x="connsiteX4047" y="connsiteY4047"/>
              </a:cxn>
              <a:cxn ang="0">
                <a:pos x="connsiteX4048" y="connsiteY4048"/>
              </a:cxn>
              <a:cxn ang="0">
                <a:pos x="connsiteX4049" y="connsiteY4049"/>
              </a:cxn>
              <a:cxn ang="0">
                <a:pos x="connsiteX4050" y="connsiteY4050"/>
              </a:cxn>
              <a:cxn ang="0">
                <a:pos x="connsiteX4051" y="connsiteY4051"/>
              </a:cxn>
              <a:cxn ang="0">
                <a:pos x="connsiteX4052" y="connsiteY4052"/>
              </a:cxn>
              <a:cxn ang="0">
                <a:pos x="connsiteX4053" y="connsiteY4053"/>
              </a:cxn>
              <a:cxn ang="0">
                <a:pos x="connsiteX4054" y="connsiteY4054"/>
              </a:cxn>
              <a:cxn ang="0">
                <a:pos x="connsiteX4055" y="connsiteY4055"/>
              </a:cxn>
              <a:cxn ang="0">
                <a:pos x="connsiteX4056" y="connsiteY4056"/>
              </a:cxn>
              <a:cxn ang="0">
                <a:pos x="connsiteX4057" y="connsiteY4057"/>
              </a:cxn>
              <a:cxn ang="0">
                <a:pos x="connsiteX4058" y="connsiteY4058"/>
              </a:cxn>
              <a:cxn ang="0">
                <a:pos x="connsiteX4059" y="connsiteY4059"/>
              </a:cxn>
              <a:cxn ang="0">
                <a:pos x="connsiteX4060" y="connsiteY4060"/>
              </a:cxn>
              <a:cxn ang="0">
                <a:pos x="connsiteX4061" y="connsiteY4061"/>
              </a:cxn>
              <a:cxn ang="0">
                <a:pos x="connsiteX4062" y="connsiteY4062"/>
              </a:cxn>
              <a:cxn ang="0">
                <a:pos x="connsiteX4063" y="connsiteY4063"/>
              </a:cxn>
              <a:cxn ang="0">
                <a:pos x="connsiteX4064" y="connsiteY4064"/>
              </a:cxn>
              <a:cxn ang="0">
                <a:pos x="connsiteX4065" y="connsiteY4065"/>
              </a:cxn>
              <a:cxn ang="0">
                <a:pos x="connsiteX4066" y="connsiteY4066"/>
              </a:cxn>
              <a:cxn ang="0">
                <a:pos x="connsiteX4067" y="connsiteY4067"/>
              </a:cxn>
              <a:cxn ang="0">
                <a:pos x="connsiteX4068" y="connsiteY4068"/>
              </a:cxn>
              <a:cxn ang="0">
                <a:pos x="connsiteX4069" y="connsiteY4069"/>
              </a:cxn>
              <a:cxn ang="0">
                <a:pos x="connsiteX4070" y="connsiteY4070"/>
              </a:cxn>
              <a:cxn ang="0">
                <a:pos x="connsiteX4071" y="connsiteY4071"/>
              </a:cxn>
              <a:cxn ang="0">
                <a:pos x="connsiteX4072" y="connsiteY4072"/>
              </a:cxn>
              <a:cxn ang="0">
                <a:pos x="connsiteX4073" y="connsiteY4073"/>
              </a:cxn>
              <a:cxn ang="0">
                <a:pos x="connsiteX4074" y="connsiteY4074"/>
              </a:cxn>
              <a:cxn ang="0">
                <a:pos x="connsiteX4075" y="connsiteY4075"/>
              </a:cxn>
              <a:cxn ang="0">
                <a:pos x="connsiteX4076" y="connsiteY4076"/>
              </a:cxn>
              <a:cxn ang="0">
                <a:pos x="connsiteX4077" y="connsiteY4077"/>
              </a:cxn>
              <a:cxn ang="0">
                <a:pos x="connsiteX4078" y="connsiteY4078"/>
              </a:cxn>
              <a:cxn ang="0">
                <a:pos x="connsiteX4079" y="connsiteY4079"/>
              </a:cxn>
              <a:cxn ang="0">
                <a:pos x="connsiteX4080" y="connsiteY4080"/>
              </a:cxn>
              <a:cxn ang="0">
                <a:pos x="connsiteX4081" y="connsiteY4081"/>
              </a:cxn>
              <a:cxn ang="0">
                <a:pos x="connsiteX4082" y="connsiteY4082"/>
              </a:cxn>
              <a:cxn ang="0">
                <a:pos x="connsiteX4083" y="connsiteY4083"/>
              </a:cxn>
              <a:cxn ang="0">
                <a:pos x="connsiteX4084" y="connsiteY4084"/>
              </a:cxn>
              <a:cxn ang="0">
                <a:pos x="connsiteX4085" y="connsiteY4085"/>
              </a:cxn>
              <a:cxn ang="0">
                <a:pos x="connsiteX4086" y="connsiteY4086"/>
              </a:cxn>
              <a:cxn ang="0">
                <a:pos x="connsiteX4087" y="connsiteY4087"/>
              </a:cxn>
              <a:cxn ang="0">
                <a:pos x="connsiteX4088" y="connsiteY4088"/>
              </a:cxn>
              <a:cxn ang="0">
                <a:pos x="connsiteX4089" y="connsiteY4089"/>
              </a:cxn>
              <a:cxn ang="0">
                <a:pos x="connsiteX4090" y="connsiteY4090"/>
              </a:cxn>
              <a:cxn ang="0">
                <a:pos x="connsiteX4091" y="connsiteY4091"/>
              </a:cxn>
              <a:cxn ang="0">
                <a:pos x="connsiteX4092" y="connsiteY4092"/>
              </a:cxn>
              <a:cxn ang="0">
                <a:pos x="connsiteX4093" y="connsiteY4093"/>
              </a:cxn>
              <a:cxn ang="0">
                <a:pos x="connsiteX4094" y="connsiteY4094"/>
              </a:cxn>
              <a:cxn ang="0">
                <a:pos x="connsiteX4095" y="connsiteY4095"/>
              </a:cxn>
              <a:cxn ang="0">
                <a:pos x="connsiteX4096" y="connsiteY4096"/>
              </a:cxn>
              <a:cxn ang="0">
                <a:pos x="connsiteX4097" y="connsiteY4097"/>
              </a:cxn>
              <a:cxn ang="0">
                <a:pos x="connsiteX4098" y="connsiteY4098"/>
              </a:cxn>
              <a:cxn ang="0">
                <a:pos x="connsiteX4099" y="connsiteY4099"/>
              </a:cxn>
              <a:cxn ang="0">
                <a:pos x="connsiteX4100" y="connsiteY4100"/>
              </a:cxn>
              <a:cxn ang="0">
                <a:pos x="connsiteX4101" y="connsiteY4101"/>
              </a:cxn>
              <a:cxn ang="0">
                <a:pos x="connsiteX4102" y="connsiteY4102"/>
              </a:cxn>
              <a:cxn ang="0">
                <a:pos x="connsiteX4103" y="connsiteY4103"/>
              </a:cxn>
              <a:cxn ang="0">
                <a:pos x="connsiteX4104" y="connsiteY4104"/>
              </a:cxn>
              <a:cxn ang="0">
                <a:pos x="connsiteX4105" y="connsiteY4105"/>
              </a:cxn>
              <a:cxn ang="0">
                <a:pos x="connsiteX4106" y="connsiteY4106"/>
              </a:cxn>
              <a:cxn ang="0">
                <a:pos x="connsiteX4107" y="connsiteY4107"/>
              </a:cxn>
              <a:cxn ang="0">
                <a:pos x="connsiteX4108" y="connsiteY4108"/>
              </a:cxn>
              <a:cxn ang="0">
                <a:pos x="connsiteX4109" y="connsiteY4109"/>
              </a:cxn>
              <a:cxn ang="0">
                <a:pos x="connsiteX4110" y="connsiteY4110"/>
              </a:cxn>
              <a:cxn ang="0">
                <a:pos x="connsiteX4111" y="connsiteY4111"/>
              </a:cxn>
              <a:cxn ang="0">
                <a:pos x="connsiteX4112" y="connsiteY4112"/>
              </a:cxn>
              <a:cxn ang="0">
                <a:pos x="connsiteX4113" y="connsiteY4113"/>
              </a:cxn>
              <a:cxn ang="0">
                <a:pos x="connsiteX4114" y="connsiteY4114"/>
              </a:cxn>
              <a:cxn ang="0">
                <a:pos x="connsiteX4115" y="connsiteY4115"/>
              </a:cxn>
              <a:cxn ang="0">
                <a:pos x="connsiteX4116" y="connsiteY4116"/>
              </a:cxn>
              <a:cxn ang="0">
                <a:pos x="connsiteX4117" y="connsiteY4117"/>
              </a:cxn>
              <a:cxn ang="0">
                <a:pos x="connsiteX4118" y="connsiteY4118"/>
              </a:cxn>
              <a:cxn ang="0">
                <a:pos x="connsiteX4119" y="connsiteY4119"/>
              </a:cxn>
              <a:cxn ang="0">
                <a:pos x="connsiteX4120" y="connsiteY4120"/>
              </a:cxn>
              <a:cxn ang="0">
                <a:pos x="connsiteX4121" y="connsiteY4121"/>
              </a:cxn>
              <a:cxn ang="0">
                <a:pos x="connsiteX4122" y="connsiteY4122"/>
              </a:cxn>
              <a:cxn ang="0">
                <a:pos x="connsiteX4123" y="connsiteY4123"/>
              </a:cxn>
              <a:cxn ang="0">
                <a:pos x="connsiteX4124" y="connsiteY4124"/>
              </a:cxn>
              <a:cxn ang="0">
                <a:pos x="connsiteX4125" y="connsiteY4125"/>
              </a:cxn>
              <a:cxn ang="0">
                <a:pos x="connsiteX4126" y="connsiteY4126"/>
              </a:cxn>
              <a:cxn ang="0">
                <a:pos x="connsiteX4127" y="connsiteY4127"/>
              </a:cxn>
              <a:cxn ang="0">
                <a:pos x="connsiteX4128" y="connsiteY4128"/>
              </a:cxn>
              <a:cxn ang="0">
                <a:pos x="connsiteX4129" y="connsiteY4129"/>
              </a:cxn>
              <a:cxn ang="0">
                <a:pos x="connsiteX4130" y="connsiteY4130"/>
              </a:cxn>
              <a:cxn ang="0">
                <a:pos x="connsiteX4131" y="connsiteY4131"/>
              </a:cxn>
              <a:cxn ang="0">
                <a:pos x="connsiteX4132" y="connsiteY4132"/>
              </a:cxn>
              <a:cxn ang="0">
                <a:pos x="connsiteX4133" y="connsiteY4133"/>
              </a:cxn>
              <a:cxn ang="0">
                <a:pos x="connsiteX4134" y="connsiteY4134"/>
              </a:cxn>
              <a:cxn ang="0">
                <a:pos x="connsiteX4135" y="connsiteY4135"/>
              </a:cxn>
              <a:cxn ang="0">
                <a:pos x="connsiteX4136" y="connsiteY4136"/>
              </a:cxn>
              <a:cxn ang="0">
                <a:pos x="connsiteX4137" y="connsiteY4137"/>
              </a:cxn>
              <a:cxn ang="0">
                <a:pos x="connsiteX4138" y="connsiteY4138"/>
              </a:cxn>
              <a:cxn ang="0">
                <a:pos x="connsiteX4139" y="connsiteY4139"/>
              </a:cxn>
              <a:cxn ang="0">
                <a:pos x="connsiteX4140" y="connsiteY4140"/>
              </a:cxn>
              <a:cxn ang="0">
                <a:pos x="connsiteX4141" y="connsiteY4141"/>
              </a:cxn>
              <a:cxn ang="0">
                <a:pos x="connsiteX4142" y="connsiteY4142"/>
              </a:cxn>
              <a:cxn ang="0">
                <a:pos x="connsiteX4143" y="connsiteY4143"/>
              </a:cxn>
              <a:cxn ang="0">
                <a:pos x="connsiteX4144" y="connsiteY4144"/>
              </a:cxn>
              <a:cxn ang="0">
                <a:pos x="connsiteX4145" y="connsiteY4145"/>
              </a:cxn>
              <a:cxn ang="0">
                <a:pos x="connsiteX4146" y="connsiteY4146"/>
              </a:cxn>
              <a:cxn ang="0">
                <a:pos x="connsiteX4147" y="connsiteY4147"/>
              </a:cxn>
              <a:cxn ang="0">
                <a:pos x="connsiteX4148" y="connsiteY4148"/>
              </a:cxn>
              <a:cxn ang="0">
                <a:pos x="connsiteX4149" y="connsiteY4149"/>
              </a:cxn>
              <a:cxn ang="0">
                <a:pos x="connsiteX4150" y="connsiteY4150"/>
              </a:cxn>
              <a:cxn ang="0">
                <a:pos x="connsiteX4151" y="connsiteY4151"/>
              </a:cxn>
              <a:cxn ang="0">
                <a:pos x="connsiteX4152" y="connsiteY4152"/>
              </a:cxn>
              <a:cxn ang="0">
                <a:pos x="connsiteX4153" y="connsiteY4153"/>
              </a:cxn>
              <a:cxn ang="0">
                <a:pos x="connsiteX4154" y="connsiteY4154"/>
              </a:cxn>
              <a:cxn ang="0">
                <a:pos x="connsiteX4155" y="connsiteY4155"/>
              </a:cxn>
              <a:cxn ang="0">
                <a:pos x="connsiteX4156" y="connsiteY4156"/>
              </a:cxn>
              <a:cxn ang="0">
                <a:pos x="connsiteX4157" y="connsiteY4157"/>
              </a:cxn>
              <a:cxn ang="0">
                <a:pos x="connsiteX4158" y="connsiteY4158"/>
              </a:cxn>
              <a:cxn ang="0">
                <a:pos x="connsiteX4159" y="connsiteY4159"/>
              </a:cxn>
              <a:cxn ang="0">
                <a:pos x="connsiteX4160" y="connsiteY4160"/>
              </a:cxn>
              <a:cxn ang="0">
                <a:pos x="connsiteX4161" y="connsiteY4161"/>
              </a:cxn>
              <a:cxn ang="0">
                <a:pos x="connsiteX4162" y="connsiteY4162"/>
              </a:cxn>
              <a:cxn ang="0">
                <a:pos x="connsiteX4163" y="connsiteY4163"/>
              </a:cxn>
              <a:cxn ang="0">
                <a:pos x="connsiteX4164" y="connsiteY4164"/>
              </a:cxn>
              <a:cxn ang="0">
                <a:pos x="connsiteX4165" y="connsiteY4165"/>
              </a:cxn>
              <a:cxn ang="0">
                <a:pos x="connsiteX4166" y="connsiteY4166"/>
              </a:cxn>
              <a:cxn ang="0">
                <a:pos x="connsiteX4167" y="connsiteY4167"/>
              </a:cxn>
              <a:cxn ang="0">
                <a:pos x="connsiteX4168" y="connsiteY4168"/>
              </a:cxn>
              <a:cxn ang="0">
                <a:pos x="connsiteX4169" y="connsiteY4169"/>
              </a:cxn>
              <a:cxn ang="0">
                <a:pos x="connsiteX4170" y="connsiteY4170"/>
              </a:cxn>
              <a:cxn ang="0">
                <a:pos x="connsiteX4171" y="connsiteY4171"/>
              </a:cxn>
              <a:cxn ang="0">
                <a:pos x="connsiteX4172" y="connsiteY4172"/>
              </a:cxn>
              <a:cxn ang="0">
                <a:pos x="connsiteX4173" y="connsiteY4173"/>
              </a:cxn>
              <a:cxn ang="0">
                <a:pos x="connsiteX4174" y="connsiteY4174"/>
              </a:cxn>
              <a:cxn ang="0">
                <a:pos x="connsiteX4175" y="connsiteY4175"/>
              </a:cxn>
              <a:cxn ang="0">
                <a:pos x="connsiteX4176" y="connsiteY4176"/>
              </a:cxn>
              <a:cxn ang="0">
                <a:pos x="connsiteX4177" y="connsiteY4177"/>
              </a:cxn>
              <a:cxn ang="0">
                <a:pos x="connsiteX4178" y="connsiteY4178"/>
              </a:cxn>
              <a:cxn ang="0">
                <a:pos x="connsiteX4179" y="connsiteY4179"/>
              </a:cxn>
              <a:cxn ang="0">
                <a:pos x="connsiteX4180" y="connsiteY4180"/>
              </a:cxn>
              <a:cxn ang="0">
                <a:pos x="connsiteX4181" y="connsiteY4181"/>
              </a:cxn>
              <a:cxn ang="0">
                <a:pos x="connsiteX4182" y="connsiteY4182"/>
              </a:cxn>
              <a:cxn ang="0">
                <a:pos x="connsiteX4183" y="connsiteY4183"/>
              </a:cxn>
              <a:cxn ang="0">
                <a:pos x="connsiteX4184" y="connsiteY4184"/>
              </a:cxn>
              <a:cxn ang="0">
                <a:pos x="connsiteX4185" y="connsiteY4185"/>
              </a:cxn>
              <a:cxn ang="0">
                <a:pos x="connsiteX4186" y="connsiteY4186"/>
              </a:cxn>
              <a:cxn ang="0">
                <a:pos x="connsiteX4187" y="connsiteY4187"/>
              </a:cxn>
              <a:cxn ang="0">
                <a:pos x="connsiteX4188" y="connsiteY4188"/>
              </a:cxn>
              <a:cxn ang="0">
                <a:pos x="connsiteX4189" y="connsiteY4189"/>
              </a:cxn>
              <a:cxn ang="0">
                <a:pos x="connsiteX4190" y="connsiteY4190"/>
              </a:cxn>
              <a:cxn ang="0">
                <a:pos x="connsiteX4191" y="connsiteY4191"/>
              </a:cxn>
              <a:cxn ang="0">
                <a:pos x="connsiteX4192" y="connsiteY4192"/>
              </a:cxn>
              <a:cxn ang="0">
                <a:pos x="connsiteX4193" y="connsiteY4193"/>
              </a:cxn>
              <a:cxn ang="0">
                <a:pos x="connsiteX4194" y="connsiteY4194"/>
              </a:cxn>
              <a:cxn ang="0">
                <a:pos x="connsiteX4195" y="connsiteY4195"/>
              </a:cxn>
              <a:cxn ang="0">
                <a:pos x="connsiteX4196" y="connsiteY4196"/>
              </a:cxn>
              <a:cxn ang="0">
                <a:pos x="connsiteX4197" y="connsiteY4197"/>
              </a:cxn>
              <a:cxn ang="0">
                <a:pos x="connsiteX4198" y="connsiteY4198"/>
              </a:cxn>
              <a:cxn ang="0">
                <a:pos x="connsiteX4199" y="connsiteY4199"/>
              </a:cxn>
              <a:cxn ang="0">
                <a:pos x="connsiteX4200" y="connsiteY4200"/>
              </a:cxn>
              <a:cxn ang="0">
                <a:pos x="connsiteX4201" y="connsiteY4201"/>
              </a:cxn>
              <a:cxn ang="0">
                <a:pos x="connsiteX4202" y="connsiteY4202"/>
              </a:cxn>
              <a:cxn ang="0">
                <a:pos x="connsiteX4203" y="connsiteY4203"/>
              </a:cxn>
              <a:cxn ang="0">
                <a:pos x="connsiteX4204" y="connsiteY4204"/>
              </a:cxn>
              <a:cxn ang="0">
                <a:pos x="connsiteX4205" y="connsiteY4205"/>
              </a:cxn>
              <a:cxn ang="0">
                <a:pos x="connsiteX4206" y="connsiteY4206"/>
              </a:cxn>
              <a:cxn ang="0">
                <a:pos x="connsiteX4207" y="connsiteY4207"/>
              </a:cxn>
              <a:cxn ang="0">
                <a:pos x="connsiteX4208" y="connsiteY4208"/>
              </a:cxn>
              <a:cxn ang="0">
                <a:pos x="connsiteX4209" y="connsiteY4209"/>
              </a:cxn>
              <a:cxn ang="0">
                <a:pos x="connsiteX4210" y="connsiteY4210"/>
              </a:cxn>
              <a:cxn ang="0">
                <a:pos x="connsiteX4211" y="connsiteY4211"/>
              </a:cxn>
              <a:cxn ang="0">
                <a:pos x="connsiteX4212" y="connsiteY4212"/>
              </a:cxn>
              <a:cxn ang="0">
                <a:pos x="connsiteX4213" y="connsiteY4213"/>
              </a:cxn>
              <a:cxn ang="0">
                <a:pos x="connsiteX4214" y="connsiteY4214"/>
              </a:cxn>
              <a:cxn ang="0">
                <a:pos x="connsiteX4215" y="connsiteY4215"/>
              </a:cxn>
              <a:cxn ang="0">
                <a:pos x="connsiteX4216" y="connsiteY4216"/>
              </a:cxn>
              <a:cxn ang="0">
                <a:pos x="connsiteX4217" y="connsiteY4217"/>
              </a:cxn>
              <a:cxn ang="0">
                <a:pos x="connsiteX4218" y="connsiteY4218"/>
              </a:cxn>
              <a:cxn ang="0">
                <a:pos x="connsiteX4219" y="connsiteY4219"/>
              </a:cxn>
              <a:cxn ang="0">
                <a:pos x="connsiteX4220" y="connsiteY4220"/>
              </a:cxn>
              <a:cxn ang="0">
                <a:pos x="connsiteX4221" y="connsiteY4221"/>
              </a:cxn>
              <a:cxn ang="0">
                <a:pos x="connsiteX4222" y="connsiteY4222"/>
              </a:cxn>
              <a:cxn ang="0">
                <a:pos x="connsiteX4223" y="connsiteY4223"/>
              </a:cxn>
              <a:cxn ang="0">
                <a:pos x="connsiteX4224" y="connsiteY4224"/>
              </a:cxn>
              <a:cxn ang="0">
                <a:pos x="connsiteX4225" y="connsiteY4225"/>
              </a:cxn>
              <a:cxn ang="0">
                <a:pos x="connsiteX4226" y="connsiteY4226"/>
              </a:cxn>
              <a:cxn ang="0">
                <a:pos x="connsiteX4227" y="connsiteY4227"/>
              </a:cxn>
              <a:cxn ang="0">
                <a:pos x="connsiteX4228" y="connsiteY4228"/>
              </a:cxn>
              <a:cxn ang="0">
                <a:pos x="connsiteX4229" y="connsiteY4229"/>
              </a:cxn>
              <a:cxn ang="0">
                <a:pos x="connsiteX4230" y="connsiteY4230"/>
              </a:cxn>
              <a:cxn ang="0">
                <a:pos x="connsiteX4231" y="connsiteY4231"/>
              </a:cxn>
              <a:cxn ang="0">
                <a:pos x="connsiteX4232" y="connsiteY4232"/>
              </a:cxn>
              <a:cxn ang="0">
                <a:pos x="connsiteX4233" y="connsiteY4233"/>
              </a:cxn>
              <a:cxn ang="0">
                <a:pos x="connsiteX4234" y="connsiteY4234"/>
              </a:cxn>
              <a:cxn ang="0">
                <a:pos x="connsiteX4235" y="connsiteY4235"/>
              </a:cxn>
              <a:cxn ang="0">
                <a:pos x="connsiteX4236" y="connsiteY4236"/>
              </a:cxn>
              <a:cxn ang="0">
                <a:pos x="connsiteX4237" y="connsiteY4237"/>
              </a:cxn>
              <a:cxn ang="0">
                <a:pos x="connsiteX4238" y="connsiteY4238"/>
              </a:cxn>
              <a:cxn ang="0">
                <a:pos x="connsiteX4239" y="connsiteY4239"/>
              </a:cxn>
              <a:cxn ang="0">
                <a:pos x="connsiteX4240" y="connsiteY4240"/>
              </a:cxn>
              <a:cxn ang="0">
                <a:pos x="connsiteX4241" y="connsiteY4241"/>
              </a:cxn>
              <a:cxn ang="0">
                <a:pos x="connsiteX4242" y="connsiteY4242"/>
              </a:cxn>
              <a:cxn ang="0">
                <a:pos x="connsiteX4243" y="connsiteY4243"/>
              </a:cxn>
              <a:cxn ang="0">
                <a:pos x="connsiteX4244" y="connsiteY4244"/>
              </a:cxn>
              <a:cxn ang="0">
                <a:pos x="connsiteX4245" y="connsiteY4245"/>
              </a:cxn>
              <a:cxn ang="0">
                <a:pos x="connsiteX4246" y="connsiteY4246"/>
              </a:cxn>
              <a:cxn ang="0">
                <a:pos x="connsiteX4247" y="connsiteY4247"/>
              </a:cxn>
              <a:cxn ang="0">
                <a:pos x="connsiteX4248" y="connsiteY4248"/>
              </a:cxn>
              <a:cxn ang="0">
                <a:pos x="connsiteX4249" y="connsiteY4249"/>
              </a:cxn>
              <a:cxn ang="0">
                <a:pos x="connsiteX4250" y="connsiteY4250"/>
              </a:cxn>
              <a:cxn ang="0">
                <a:pos x="connsiteX4251" y="connsiteY4251"/>
              </a:cxn>
              <a:cxn ang="0">
                <a:pos x="connsiteX4252" y="connsiteY4252"/>
              </a:cxn>
              <a:cxn ang="0">
                <a:pos x="connsiteX4253" y="connsiteY4253"/>
              </a:cxn>
              <a:cxn ang="0">
                <a:pos x="connsiteX4254" y="connsiteY4254"/>
              </a:cxn>
              <a:cxn ang="0">
                <a:pos x="connsiteX4255" y="connsiteY4255"/>
              </a:cxn>
              <a:cxn ang="0">
                <a:pos x="connsiteX4256" y="connsiteY4256"/>
              </a:cxn>
              <a:cxn ang="0">
                <a:pos x="connsiteX4257" y="connsiteY4257"/>
              </a:cxn>
              <a:cxn ang="0">
                <a:pos x="connsiteX4258" y="connsiteY4258"/>
              </a:cxn>
              <a:cxn ang="0">
                <a:pos x="connsiteX4259" y="connsiteY4259"/>
              </a:cxn>
              <a:cxn ang="0">
                <a:pos x="connsiteX4260" y="connsiteY4260"/>
              </a:cxn>
              <a:cxn ang="0">
                <a:pos x="connsiteX4261" y="connsiteY4261"/>
              </a:cxn>
              <a:cxn ang="0">
                <a:pos x="connsiteX4262" y="connsiteY4262"/>
              </a:cxn>
              <a:cxn ang="0">
                <a:pos x="connsiteX4263" y="connsiteY4263"/>
              </a:cxn>
              <a:cxn ang="0">
                <a:pos x="connsiteX4264" y="connsiteY4264"/>
              </a:cxn>
              <a:cxn ang="0">
                <a:pos x="connsiteX4265" y="connsiteY4265"/>
              </a:cxn>
              <a:cxn ang="0">
                <a:pos x="connsiteX4266" y="connsiteY4266"/>
              </a:cxn>
              <a:cxn ang="0">
                <a:pos x="connsiteX4267" y="connsiteY4267"/>
              </a:cxn>
              <a:cxn ang="0">
                <a:pos x="connsiteX4268" y="connsiteY4268"/>
              </a:cxn>
              <a:cxn ang="0">
                <a:pos x="connsiteX4269" y="connsiteY4269"/>
              </a:cxn>
              <a:cxn ang="0">
                <a:pos x="connsiteX4270" y="connsiteY4270"/>
              </a:cxn>
              <a:cxn ang="0">
                <a:pos x="connsiteX4271" y="connsiteY4271"/>
              </a:cxn>
              <a:cxn ang="0">
                <a:pos x="connsiteX4272" y="connsiteY4272"/>
              </a:cxn>
              <a:cxn ang="0">
                <a:pos x="connsiteX4273" y="connsiteY4273"/>
              </a:cxn>
              <a:cxn ang="0">
                <a:pos x="connsiteX4274" y="connsiteY4274"/>
              </a:cxn>
              <a:cxn ang="0">
                <a:pos x="connsiteX4275" y="connsiteY4275"/>
              </a:cxn>
              <a:cxn ang="0">
                <a:pos x="connsiteX4276" y="connsiteY4276"/>
              </a:cxn>
              <a:cxn ang="0">
                <a:pos x="connsiteX4277" y="connsiteY4277"/>
              </a:cxn>
              <a:cxn ang="0">
                <a:pos x="connsiteX4278" y="connsiteY4278"/>
              </a:cxn>
              <a:cxn ang="0">
                <a:pos x="connsiteX4279" y="connsiteY4279"/>
              </a:cxn>
              <a:cxn ang="0">
                <a:pos x="connsiteX4280" y="connsiteY4280"/>
              </a:cxn>
              <a:cxn ang="0">
                <a:pos x="connsiteX4281" y="connsiteY4281"/>
              </a:cxn>
              <a:cxn ang="0">
                <a:pos x="connsiteX4282" y="connsiteY4282"/>
              </a:cxn>
              <a:cxn ang="0">
                <a:pos x="connsiteX4283" y="connsiteY4283"/>
              </a:cxn>
              <a:cxn ang="0">
                <a:pos x="connsiteX4284" y="connsiteY4284"/>
              </a:cxn>
              <a:cxn ang="0">
                <a:pos x="connsiteX4285" y="connsiteY4285"/>
              </a:cxn>
              <a:cxn ang="0">
                <a:pos x="connsiteX4286" y="connsiteY4286"/>
              </a:cxn>
              <a:cxn ang="0">
                <a:pos x="connsiteX4287" y="connsiteY4287"/>
              </a:cxn>
              <a:cxn ang="0">
                <a:pos x="connsiteX4288" y="connsiteY4288"/>
              </a:cxn>
              <a:cxn ang="0">
                <a:pos x="connsiteX4289" y="connsiteY4289"/>
              </a:cxn>
              <a:cxn ang="0">
                <a:pos x="connsiteX4290" y="connsiteY4290"/>
              </a:cxn>
              <a:cxn ang="0">
                <a:pos x="connsiteX4291" y="connsiteY4291"/>
              </a:cxn>
              <a:cxn ang="0">
                <a:pos x="connsiteX4292" y="connsiteY4292"/>
              </a:cxn>
              <a:cxn ang="0">
                <a:pos x="connsiteX4293" y="connsiteY4293"/>
              </a:cxn>
              <a:cxn ang="0">
                <a:pos x="connsiteX4294" y="connsiteY4294"/>
              </a:cxn>
              <a:cxn ang="0">
                <a:pos x="connsiteX4295" y="connsiteY4295"/>
              </a:cxn>
              <a:cxn ang="0">
                <a:pos x="connsiteX4296" y="connsiteY4296"/>
              </a:cxn>
              <a:cxn ang="0">
                <a:pos x="connsiteX4297" y="connsiteY4297"/>
              </a:cxn>
              <a:cxn ang="0">
                <a:pos x="connsiteX4298" y="connsiteY4298"/>
              </a:cxn>
              <a:cxn ang="0">
                <a:pos x="connsiteX4299" y="connsiteY4299"/>
              </a:cxn>
              <a:cxn ang="0">
                <a:pos x="connsiteX4300" y="connsiteY4300"/>
              </a:cxn>
              <a:cxn ang="0">
                <a:pos x="connsiteX4301" y="connsiteY4301"/>
              </a:cxn>
              <a:cxn ang="0">
                <a:pos x="connsiteX4302" y="connsiteY4302"/>
              </a:cxn>
              <a:cxn ang="0">
                <a:pos x="connsiteX4303" y="connsiteY4303"/>
              </a:cxn>
              <a:cxn ang="0">
                <a:pos x="connsiteX4304" y="connsiteY4304"/>
              </a:cxn>
              <a:cxn ang="0">
                <a:pos x="connsiteX4305" y="connsiteY4305"/>
              </a:cxn>
              <a:cxn ang="0">
                <a:pos x="connsiteX4306" y="connsiteY4306"/>
              </a:cxn>
              <a:cxn ang="0">
                <a:pos x="connsiteX4307" y="connsiteY4307"/>
              </a:cxn>
              <a:cxn ang="0">
                <a:pos x="connsiteX4308" y="connsiteY4308"/>
              </a:cxn>
              <a:cxn ang="0">
                <a:pos x="connsiteX4309" y="connsiteY4309"/>
              </a:cxn>
              <a:cxn ang="0">
                <a:pos x="connsiteX4310" y="connsiteY4310"/>
              </a:cxn>
              <a:cxn ang="0">
                <a:pos x="connsiteX4311" y="connsiteY4311"/>
              </a:cxn>
              <a:cxn ang="0">
                <a:pos x="connsiteX4312" y="connsiteY4312"/>
              </a:cxn>
              <a:cxn ang="0">
                <a:pos x="connsiteX4313" y="connsiteY4313"/>
              </a:cxn>
              <a:cxn ang="0">
                <a:pos x="connsiteX4314" y="connsiteY4314"/>
              </a:cxn>
              <a:cxn ang="0">
                <a:pos x="connsiteX4315" y="connsiteY4315"/>
              </a:cxn>
              <a:cxn ang="0">
                <a:pos x="connsiteX4316" y="connsiteY4316"/>
              </a:cxn>
              <a:cxn ang="0">
                <a:pos x="connsiteX4317" y="connsiteY4317"/>
              </a:cxn>
              <a:cxn ang="0">
                <a:pos x="connsiteX4318" y="connsiteY4318"/>
              </a:cxn>
              <a:cxn ang="0">
                <a:pos x="connsiteX4319" y="connsiteY4319"/>
              </a:cxn>
              <a:cxn ang="0">
                <a:pos x="connsiteX4320" y="connsiteY4320"/>
              </a:cxn>
              <a:cxn ang="0">
                <a:pos x="connsiteX4321" y="connsiteY4321"/>
              </a:cxn>
              <a:cxn ang="0">
                <a:pos x="connsiteX4322" y="connsiteY4322"/>
              </a:cxn>
              <a:cxn ang="0">
                <a:pos x="connsiteX4323" y="connsiteY4323"/>
              </a:cxn>
              <a:cxn ang="0">
                <a:pos x="connsiteX4324" y="connsiteY4324"/>
              </a:cxn>
              <a:cxn ang="0">
                <a:pos x="connsiteX4325" y="connsiteY4325"/>
              </a:cxn>
              <a:cxn ang="0">
                <a:pos x="connsiteX4326" y="connsiteY4326"/>
              </a:cxn>
              <a:cxn ang="0">
                <a:pos x="connsiteX4327" y="connsiteY4327"/>
              </a:cxn>
              <a:cxn ang="0">
                <a:pos x="connsiteX4328" y="connsiteY4328"/>
              </a:cxn>
              <a:cxn ang="0">
                <a:pos x="connsiteX4329" y="connsiteY4329"/>
              </a:cxn>
              <a:cxn ang="0">
                <a:pos x="connsiteX4330" y="connsiteY4330"/>
              </a:cxn>
              <a:cxn ang="0">
                <a:pos x="connsiteX4331" y="connsiteY4331"/>
              </a:cxn>
              <a:cxn ang="0">
                <a:pos x="connsiteX4332" y="connsiteY4332"/>
              </a:cxn>
              <a:cxn ang="0">
                <a:pos x="connsiteX4333" y="connsiteY4333"/>
              </a:cxn>
              <a:cxn ang="0">
                <a:pos x="connsiteX4334" y="connsiteY4334"/>
              </a:cxn>
              <a:cxn ang="0">
                <a:pos x="connsiteX4335" y="connsiteY4335"/>
              </a:cxn>
              <a:cxn ang="0">
                <a:pos x="connsiteX4336" y="connsiteY4336"/>
              </a:cxn>
              <a:cxn ang="0">
                <a:pos x="connsiteX4337" y="connsiteY4337"/>
              </a:cxn>
              <a:cxn ang="0">
                <a:pos x="connsiteX4338" y="connsiteY4338"/>
              </a:cxn>
              <a:cxn ang="0">
                <a:pos x="connsiteX4339" y="connsiteY4339"/>
              </a:cxn>
              <a:cxn ang="0">
                <a:pos x="connsiteX4340" y="connsiteY4340"/>
              </a:cxn>
              <a:cxn ang="0">
                <a:pos x="connsiteX4341" y="connsiteY4341"/>
              </a:cxn>
              <a:cxn ang="0">
                <a:pos x="connsiteX4342" y="connsiteY4342"/>
              </a:cxn>
              <a:cxn ang="0">
                <a:pos x="connsiteX4343" y="connsiteY4343"/>
              </a:cxn>
              <a:cxn ang="0">
                <a:pos x="connsiteX4344" y="connsiteY4344"/>
              </a:cxn>
              <a:cxn ang="0">
                <a:pos x="connsiteX4345" y="connsiteY4345"/>
              </a:cxn>
              <a:cxn ang="0">
                <a:pos x="connsiteX4346" y="connsiteY4346"/>
              </a:cxn>
              <a:cxn ang="0">
                <a:pos x="connsiteX4347" y="connsiteY4347"/>
              </a:cxn>
              <a:cxn ang="0">
                <a:pos x="connsiteX4348" y="connsiteY4348"/>
              </a:cxn>
              <a:cxn ang="0">
                <a:pos x="connsiteX4349" y="connsiteY4349"/>
              </a:cxn>
              <a:cxn ang="0">
                <a:pos x="connsiteX4350" y="connsiteY4350"/>
              </a:cxn>
              <a:cxn ang="0">
                <a:pos x="connsiteX4351" y="connsiteY4351"/>
              </a:cxn>
              <a:cxn ang="0">
                <a:pos x="connsiteX4352" y="connsiteY4352"/>
              </a:cxn>
              <a:cxn ang="0">
                <a:pos x="connsiteX4353" y="connsiteY4353"/>
              </a:cxn>
              <a:cxn ang="0">
                <a:pos x="connsiteX4354" y="connsiteY4354"/>
              </a:cxn>
              <a:cxn ang="0">
                <a:pos x="connsiteX4355" y="connsiteY4355"/>
              </a:cxn>
              <a:cxn ang="0">
                <a:pos x="connsiteX4356" y="connsiteY4356"/>
              </a:cxn>
              <a:cxn ang="0">
                <a:pos x="connsiteX4357" y="connsiteY4357"/>
              </a:cxn>
              <a:cxn ang="0">
                <a:pos x="connsiteX4358" y="connsiteY4358"/>
              </a:cxn>
              <a:cxn ang="0">
                <a:pos x="connsiteX4359" y="connsiteY4359"/>
              </a:cxn>
              <a:cxn ang="0">
                <a:pos x="connsiteX4360" y="connsiteY4360"/>
              </a:cxn>
              <a:cxn ang="0">
                <a:pos x="connsiteX4361" y="connsiteY4361"/>
              </a:cxn>
              <a:cxn ang="0">
                <a:pos x="connsiteX4362" y="connsiteY4362"/>
              </a:cxn>
              <a:cxn ang="0">
                <a:pos x="connsiteX4363" y="connsiteY4363"/>
              </a:cxn>
              <a:cxn ang="0">
                <a:pos x="connsiteX4364" y="connsiteY4364"/>
              </a:cxn>
              <a:cxn ang="0">
                <a:pos x="connsiteX4365" y="connsiteY4365"/>
              </a:cxn>
              <a:cxn ang="0">
                <a:pos x="connsiteX4366" y="connsiteY4366"/>
              </a:cxn>
              <a:cxn ang="0">
                <a:pos x="connsiteX4367" y="connsiteY4367"/>
              </a:cxn>
              <a:cxn ang="0">
                <a:pos x="connsiteX4368" y="connsiteY4368"/>
              </a:cxn>
              <a:cxn ang="0">
                <a:pos x="connsiteX4369" y="connsiteY4369"/>
              </a:cxn>
              <a:cxn ang="0">
                <a:pos x="connsiteX4370" y="connsiteY4370"/>
              </a:cxn>
              <a:cxn ang="0">
                <a:pos x="connsiteX4371" y="connsiteY4371"/>
              </a:cxn>
              <a:cxn ang="0">
                <a:pos x="connsiteX4372" y="connsiteY4372"/>
              </a:cxn>
              <a:cxn ang="0">
                <a:pos x="connsiteX4373" y="connsiteY4373"/>
              </a:cxn>
              <a:cxn ang="0">
                <a:pos x="connsiteX4374" y="connsiteY4374"/>
              </a:cxn>
              <a:cxn ang="0">
                <a:pos x="connsiteX4375" y="connsiteY4375"/>
              </a:cxn>
              <a:cxn ang="0">
                <a:pos x="connsiteX4376" y="connsiteY4376"/>
              </a:cxn>
              <a:cxn ang="0">
                <a:pos x="connsiteX4377" y="connsiteY4377"/>
              </a:cxn>
              <a:cxn ang="0">
                <a:pos x="connsiteX4378" y="connsiteY4378"/>
              </a:cxn>
              <a:cxn ang="0">
                <a:pos x="connsiteX4379" y="connsiteY4379"/>
              </a:cxn>
              <a:cxn ang="0">
                <a:pos x="connsiteX4380" y="connsiteY4380"/>
              </a:cxn>
              <a:cxn ang="0">
                <a:pos x="connsiteX4381" y="connsiteY4381"/>
              </a:cxn>
              <a:cxn ang="0">
                <a:pos x="connsiteX4382" y="connsiteY4382"/>
              </a:cxn>
              <a:cxn ang="0">
                <a:pos x="connsiteX4383" y="connsiteY4383"/>
              </a:cxn>
              <a:cxn ang="0">
                <a:pos x="connsiteX4384" y="connsiteY4384"/>
              </a:cxn>
              <a:cxn ang="0">
                <a:pos x="connsiteX4385" y="connsiteY4385"/>
              </a:cxn>
              <a:cxn ang="0">
                <a:pos x="connsiteX4386" y="connsiteY4386"/>
              </a:cxn>
              <a:cxn ang="0">
                <a:pos x="connsiteX4387" y="connsiteY4387"/>
              </a:cxn>
              <a:cxn ang="0">
                <a:pos x="connsiteX4388" y="connsiteY4388"/>
              </a:cxn>
              <a:cxn ang="0">
                <a:pos x="connsiteX4389" y="connsiteY4389"/>
              </a:cxn>
              <a:cxn ang="0">
                <a:pos x="connsiteX4390" y="connsiteY4390"/>
              </a:cxn>
              <a:cxn ang="0">
                <a:pos x="connsiteX4391" y="connsiteY4391"/>
              </a:cxn>
              <a:cxn ang="0">
                <a:pos x="connsiteX4392" y="connsiteY4392"/>
              </a:cxn>
              <a:cxn ang="0">
                <a:pos x="connsiteX4393" y="connsiteY4393"/>
              </a:cxn>
              <a:cxn ang="0">
                <a:pos x="connsiteX4394" y="connsiteY4394"/>
              </a:cxn>
              <a:cxn ang="0">
                <a:pos x="connsiteX4395" y="connsiteY4395"/>
              </a:cxn>
              <a:cxn ang="0">
                <a:pos x="connsiteX4396" y="connsiteY4396"/>
              </a:cxn>
              <a:cxn ang="0">
                <a:pos x="connsiteX4397" y="connsiteY4397"/>
              </a:cxn>
              <a:cxn ang="0">
                <a:pos x="connsiteX4398" y="connsiteY4398"/>
              </a:cxn>
              <a:cxn ang="0">
                <a:pos x="connsiteX4399" y="connsiteY4399"/>
              </a:cxn>
              <a:cxn ang="0">
                <a:pos x="connsiteX4400" y="connsiteY4400"/>
              </a:cxn>
              <a:cxn ang="0">
                <a:pos x="connsiteX4401" y="connsiteY4401"/>
              </a:cxn>
              <a:cxn ang="0">
                <a:pos x="connsiteX4402" y="connsiteY4402"/>
              </a:cxn>
              <a:cxn ang="0">
                <a:pos x="connsiteX4403" y="connsiteY4403"/>
              </a:cxn>
              <a:cxn ang="0">
                <a:pos x="connsiteX4404" y="connsiteY4404"/>
              </a:cxn>
              <a:cxn ang="0">
                <a:pos x="connsiteX4405" y="connsiteY4405"/>
              </a:cxn>
              <a:cxn ang="0">
                <a:pos x="connsiteX4406" y="connsiteY4406"/>
              </a:cxn>
              <a:cxn ang="0">
                <a:pos x="connsiteX4407" y="connsiteY4407"/>
              </a:cxn>
              <a:cxn ang="0">
                <a:pos x="connsiteX4408" y="connsiteY4408"/>
              </a:cxn>
              <a:cxn ang="0">
                <a:pos x="connsiteX4409" y="connsiteY4409"/>
              </a:cxn>
              <a:cxn ang="0">
                <a:pos x="connsiteX4410" y="connsiteY4410"/>
              </a:cxn>
              <a:cxn ang="0">
                <a:pos x="connsiteX4411" y="connsiteY4411"/>
              </a:cxn>
              <a:cxn ang="0">
                <a:pos x="connsiteX4412" y="connsiteY4412"/>
              </a:cxn>
              <a:cxn ang="0">
                <a:pos x="connsiteX4413" y="connsiteY4413"/>
              </a:cxn>
              <a:cxn ang="0">
                <a:pos x="connsiteX4414" y="connsiteY4414"/>
              </a:cxn>
              <a:cxn ang="0">
                <a:pos x="connsiteX4415" y="connsiteY4415"/>
              </a:cxn>
              <a:cxn ang="0">
                <a:pos x="connsiteX4416" y="connsiteY4416"/>
              </a:cxn>
              <a:cxn ang="0">
                <a:pos x="connsiteX4417" y="connsiteY4417"/>
              </a:cxn>
              <a:cxn ang="0">
                <a:pos x="connsiteX4418" y="connsiteY4418"/>
              </a:cxn>
              <a:cxn ang="0">
                <a:pos x="connsiteX4419" y="connsiteY4419"/>
              </a:cxn>
              <a:cxn ang="0">
                <a:pos x="connsiteX4420" y="connsiteY4420"/>
              </a:cxn>
              <a:cxn ang="0">
                <a:pos x="connsiteX4421" y="connsiteY4421"/>
              </a:cxn>
              <a:cxn ang="0">
                <a:pos x="connsiteX4422" y="connsiteY4422"/>
              </a:cxn>
              <a:cxn ang="0">
                <a:pos x="connsiteX4423" y="connsiteY4423"/>
              </a:cxn>
              <a:cxn ang="0">
                <a:pos x="connsiteX4424" y="connsiteY4424"/>
              </a:cxn>
              <a:cxn ang="0">
                <a:pos x="connsiteX4425" y="connsiteY4425"/>
              </a:cxn>
              <a:cxn ang="0">
                <a:pos x="connsiteX4426" y="connsiteY4426"/>
              </a:cxn>
              <a:cxn ang="0">
                <a:pos x="connsiteX4427" y="connsiteY4427"/>
              </a:cxn>
              <a:cxn ang="0">
                <a:pos x="connsiteX4428" y="connsiteY4428"/>
              </a:cxn>
              <a:cxn ang="0">
                <a:pos x="connsiteX4429" y="connsiteY4429"/>
              </a:cxn>
              <a:cxn ang="0">
                <a:pos x="connsiteX4430" y="connsiteY4430"/>
              </a:cxn>
              <a:cxn ang="0">
                <a:pos x="connsiteX4431" y="connsiteY4431"/>
              </a:cxn>
              <a:cxn ang="0">
                <a:pos x="connsiteX4432" y="connsiteY4432"/>
              </a:cxn>
              <a:cxn ang="0">
                <a:pos x="connsiteX4433" y="connsiteY4433"/>
              </a:cxn>
              <a:cxn ang="0">
                <a:pos x="connsiteX4434" y="connsiteY4434"/>
              </a:cxn>
              <a:cxn ang="0">
                <a:pos x="connsiteX4435" y="connsiteY4435"/>
              </a:cxn>
              <a:cxn ang="0">
                <a:pos x="connsiteX4436" y="connsiteY4436"/>
              </a:cxn>
              <a:cxn ang="0">
                <a:pos x="connsiteX4437" y="connsiteY4437"/>
              </a:cxn>
              <a:cxn ang="0">
                <a:pos x="connsiteX4438" y="connsiteY4438"/>
              </a:cxn>
              <a:cxn ang="0">
                <a:pos x="connsiteX4439" y="connsiteY4439"/>
              </a:cxn>
              <a:cxn ang="0">
                <a:pos x="connsiteX4440" y="connsiteY4440"/>
              </a:cxn>
              <a:cxn ang="0">
                <a:pos x="connsiteX4441" y="connsiteY4441"/>
              </a:cxn>
              <a:cxn ang="0">
                <a:pos x="connsiteX4442" y="connsiteY4442"/>
              </a:cxn>
              <a:cxn ang="0">
                <a:pos x="connsiteX4443" y="connsiteY4443"/>
              </a:cxn>
              <a:cxn ang="0">
                <a:pos x="connsiteX4444" y="connsiteY4444"/>
              </a:cxn>
              <a:cxn ang="0">
                <a:pos x="connsiteX4445" y="connsiteY4445"/>
              </a:cxn>
              <a:cxn ang="0">
                <a:pos x="connsiteX4446" y="connsiteY4446"/>
              </a:cxn>
              <a:cxn ang="0">
                <a:pos x="connsiteX4447" y="connsiteY4447"/>
              </a:cxn>
              <a:cxn ang="0">
                <a:pos x="connsiteX4448" y="connsiteY4448"/>
              </a:cxn>
              <a:cxn ang="0">
                <a:pos x="connsiteX4449" y="connsiteY4449"/>
              </a:cxn>
              <a:cxn ang="0">
                <a:pos x="connsiteX4450" y="connsiteY4450"/>
              </a:cxn>
              <a:cxn ang="0">
                <a:pos x="connsiteX4451" y="connsiteY4451"/>
              </a:cxn>
              <a:cxn ang="0">
                <a:pos x="connsiteX4452" y="connsiteY4452"/>
              </a:cxn>
              <a:cxn ang="0">
                <a:pos x="connsiteX4453" y="connsiteY4453"/>
              </a:cxn>
              <a:cxn ang="0">
                <a:pos x="connsiteX4454" y="connsiteY4454"/>
              </a:cxn>
              <a:cxn ang="0">
                <a:pos x="connsiteX4455" y="connsiteY4455"/>
              </a:cxn>
              <a:cxn ang="0">
                <a:pos x="connsiteX4456" y="connsiteY4456"/>
              </a:cxn>
              <a:cxn ang="0">
                <a:pos x="connsiteX4457" y="connsiteY4457"/>
              </a:cxn>
              <a:cxn ang="0">
                <a:pos x="connsiteX4458" y="connsiteY4458"/>
              </a:cxn>
              <a:cxn ang="0">
                <a:pos x="connsiteX4459" y="connsiteY4459"/>
              </a:cxn>
              <a:cxn ang="0">
                <a:pos x="connsiteX4460" y="connsiteY4460"/>
              </a:cxn>
              <a:cxn ang="0">
                <a:pos x="connsiteX4461" y="connsiteY4461"/>
              </a:cxn>
              <a:cxn ang="0">
                <a:pos x="connsiteX4462" y="connsiteY4462"/>
              </a:cxn>
              <a:cxn ang="0">
                <a:pos x="connsiteX4463" y="connsiteY4463"/>
              </a:cxn>
              <a:cxn ang="0">
                <a:pos x="connsiteX4464" y="connsiteY4464"/>
              </a:cxn>
              <a:cxn ang="0">
                <a:pos x="connsiteX4465" y="connsiteY4465"/>
              </a:cxn>
              <a:cxn ang="0">
                <a:pos x="connsiteX4466" y="connsiteY4466"/>
              </a:cxn>
              <a:cxn ang="0">
                <a:pos x="connsiteX4467" y="connsiteY4467"/>
              </a:cxn>
              <a:cxn ang="0">
                <a:pos x="connsiteX4468" y="connsiteY4468"/>
              </a:cxn>
              <a:cxn ang="0">
                <a:pos x="connsiteX4469" y="connsiteY4469"/>
              </a:cxn>
              <a:cxn ang="0">
                <a:pos x="connsiteX4470" y="connsiteY4470"/>
              </a:cxn>
              <a:cxn ang="0">
                <a:pos x="connsiteX4471" y="connsiteY4471"/>
              </a:cxn>
              <a:cxn ang="0">
                <a:pos x="connsiteX4472" y="connsiteY4472"/>
              </a:cxn>
              <a:cxn ang="0">
                <a:pos x="connsiteX4473" y="connsiteY4473"/>
              </a:cxn>
              <a:cxn ang="0">
                <a:pos x="connsiteX4474" y="connsiteY4474"/>
              </a:cxn>
              <a:cxn ang="0">
                <a:pos x="connsiteX4475" y="connsiteY4475"/>
              </a:cxn>
              <a:cxn ang="0">
                <a:pos x="connsiteX4476" y="connsiteY4476"/>
              </a:cxn>
              <a:cxn ang="0">
                <a:pos x="connsiteX4477" y="connsiteY4477"/>
              </a:cxn>
              <a:cxn ang="0">
                <a:pos x="connsiteX4478" y="connsiteY4478"/>
              </a:cxn>
              <a:cxn ang="0">
                <a:pos x="connsiteX4479" y="connsiteY4479"/>
              </a:cxn>
              <a:cxn ang="0">
                <a:pos x="connsiteX4480" y="connsiteY4480"/>
              </a:cxn>
              <a:cxn ang="0">
                <a:pos x="connsiteX4481" y="connsiteY4481"/>
              </a:cxn>
              <a:cxn ang="0">
                <a:pos x="connsiteX4482" y="connsiteY4482"/>
              </a:cxn>
              <a:cxn ang="0">
                <a:pos x="connsiteX4483" y="connsiteY4483"/>
              </a:cxn>
              <a:cxn ang="0">
                <a:pos x="connsiteX4484" y="connsiteY4484"/>
              </a:cxn>
              <a:cxn ang="0">
                <a:pos x="connsiteX4485" y="connsiteY4485"/>
              </a:cxn>
              <a:cxn ang="0">
                <a:pos x="connsiteX4486" y="connsiteY4486"/>
              </a:cxn>
              <a:cxn ang="0">
                <a:pos x="connsiteX4487" y="connsiteY4487"/>
              </a:cxn>
              <a:cxn ang="0">
                <a:pos x="connsiteX4488" y="connsiteY4488"/>
              </a:cxn>
              <a:cxn ang="0">
                <a:pos x="connsiteX4489" y="connsiteY4489"/>
              </a:cxn>
              <a:cxn ang="0">
                <a:pos x="connsiteX4490" y="connsiteY4490"/>
              </a:cxn>
              <a:cxn ang="0">
                <a:pos x="connsiteX4491" y="connsiteY4491"/>
              </a:cxn>
              <a:cxn ang="0">
                <a:pos x="connsiteX4492" y="connsiteY4492"/>
              </a:cxn>
              <a:cxn ang="0">
                <a:pos x="connsiteX4493" y="connsiteY4493"/>
              </a:cxn>
              <a:cxn ang="0">
                <a:pos x="connsiteX4494" y="connsiteY4494"/>
              </a:cxn>
              <a:cxn ang="0">
                <a:pos x="connsiteX4495" y="connsiteY4495"/>
              </a:cxn>
              <a:cxn ang="0">
                <a:pos x="connsiteX4496" y="connsiteY4496"/>
              </a:cxn>
              <a:cxn ang="0">
                <a:pos x="connsiteX4497" y="connsiteY4497"/>
              </a:cxn>
              <a:cxn ang="0">
                <a:pos x="connsiteX4498" y="connsiteY4498"/>
              </a:cxn>
              <a:cxn ang="0">
                <a:pos x="connsiteX4499" y="connsiteY4499"/>
              </a:cxn>
              <a:cxn ang="0">
                <a:pos x="connsiteX4500" y="connsiteY4500"/>
              </a:cxn>
              <a:cxn ang="0">
                <a:pos x="connsiteX4501" y="connsiteY4501"/>
              </a:cxn>
              <a:cxn ang="0">
                <a:pos x="connsiteX4502" y="connsiteY4502"/>
              </a:cxn>
              <a:cxn ang="0">
                <a:pos x="connsiteX4503" y="connsiteY4503"/>
              </a:cxn>
              <a:cxn ang="0">
                <a:pos x="connsiteX4504" y="connsiteY4504"/>
              </a:cxn>
              <a:cxn ang="0">
                <a:pos x="connsiteX4505" y="connsiteY4505"/>
              </a:cxn>
              <a:cxn ang="0">
                <a:pos x="connsiteX4506" y="connsiteY4506"/>
              </a:cxn>
              <a:cxn ang="0">
                <a:pos x="connsiteX4507" y="connsiteY4507"/>
              </a:cxn>
              <a:cxn ang="0">
                <a:pos x="connsiteX4508" y="connsiteY4508"/>
              </a:cxn>
              <a:cxn ang="0">
                <a:pos x="connsiteX4509" y="connsiteY4509"/>
              </a:cxn>
              <a:cxn ang="0">
                <a:pos x="connsiteX4510" y="connsiteY4510"/>
              </a:cxn>
              <a:cxn ang="0">
                <a:pos x="connsiteX4511" y="connsiteY4511"/>
              </a:cxn>
              <a:cxn ang="0">
                <a:pos x="connsiteX4512" y="connsiteY4512"/>
              </a:cxn>
              <a:cxn ang="0">
                <a:pos x="connsiteX4513" y="connsiteY4513"/>
              </a:cxn>
              <a:cxn ang="0">
                <a:pos x="connsiteX4514" y="connsiteY4514"/>
              </a:cxn>
              <a:cxn ang="0">
                <a:pos x="connsiteX4515" y="connsiteY4515"/>
              </a:cxn>
              <a:cxn ang="0">
                <a:pos x="connsiteX4516" y="connsiteY4516"/>
              </a:cxn>
              <a:cxn ang="0">
                <a:pos x="connsiteX4517" y="connsiteY4517"/>
              </a:cxn>
              <a:cxn ang="0">
                <a:pos x="connsiteX4518" y="connsiteY4518"/>
              </a:cxn>
              <a:cxn ang="0">
                <a:pos x="connsiteX4519" y="connsiteY4519"/>
              </a:cxn>
              <a:cxn ang="0">
                <a:pos x="connsiteX4520" y="connsiteY4520"/>
              </a:cxn>
              <a:cxn ang="0">
                <a:pos x="connsiteX4521" y="connsiteY4521"/>
              </a:cxn>
              <a:cxn ang="0">
                <a:pos x="connsiteX4522" y="connsiteY4522"/>
              </a:cxn>
              <a:cxn ang="0">
                <a:pos x="connsiteX4523" y="connsiteY4523"/>
              </a:cxn>
              <a:cxn ang="0">
                <a:pos x="connsiteX4524" y="connsiteY4524"/>
              </a:cxn>
              <a:cxn ang="0">
                <a:pos x="connsiteX4525" y="connsiteY4525"/>
              </a:cxn>
              <a:cxn ang="0">
                <a:pos x="connsiteX4526" y="connsiteY4526"/>
              </a:cxn>
              <a:cxn ang="0">
                <a:pos x="connsiteX4527" y="connsiteY4527"/>
              </a:cxn>
              <a:cxn ang="0">
                <a:pos x="connsiteX4528" y="connsiteY4528"/>
              </a:cxn>
              <a:cxn ang="0">
                <a:pos x="connsiteX4529" y="connsiteY4529"/>
              </a:cxn>
              <a:cxn ang="0">
                <a:pos x="connsiteX4530" y="connsiteY4530"/>
              </a:cxn>
              <a:cxn ang="0">
                <a:pos x="connsiteX4531" y="connsiteY4531"/>
              </a:cxn>
              <a:cxn ang="0">
                <a:pos x="connsiteX4532" y="connsiteY4532"/>
              </a:cxn>
              <a:cxn ang="0">
                <a:pos x="connsiteX4533" y="connsiteY4533"/>
              </a:cxn>
              <a:cxn ang="0">
                <a:pos x="connsiteX4534" y="connsiteY4534"/>
              </a:cxn>
              <a:cxn ang="0">
                <a:pos x="connsiteX4535" y="connsiteY4535"/>
              </a:cxn>
              <a:cxn ang="0">
                <a:pos x="connsiteX4536" y="connsiteY4536"/>
              </a:cxn>
              <a:cxn ang="0">
                <a:pos x="connsiteX4537" y="connsiteY4537"/>
              </a:cxn>
              <a:cxn ang="0">
                <a:pos x="connsiteX4538" y="connsiteY4538"/>
              </a:cxn>
              <a:cxn ang="0">
                <a:pos x="connsiteX4539" y="connsiteY4539"/>
              </a:cxn>
              <a:cxn ang="0">
                <a:pos x="connsiteX4540" y="connsiteY4540"/>
              </a:cxn>
              <a:cxn ang="0">
                <a:pos x="connsiteX4541" y="connsiteY4541"/>
              </a:cxn>
              <a:cxn ang="0">
                <a:pos x="connsiteX4542" y="connsiteY4542"/>
              </a:cxn>
              <a:cxn ang="0">
                <a:pos x="connsiteX4543" y="connsiteY4543"/>
              </a:cxn>
              <a:cxn ang="0">
                <a:pos x="connsiteX4544" y="connsiteY4544"/>
              </a:cxn>
              <a:cxn ang="0">
                <a:pos x="connsiteX4545" y="connsiteY4545"/>
              </a:cxn>
              <a:cxn ang="0">
                <a:pos x="connsiteX4546" y="connsiteY4546"/>
              </a:cxn>
              <a:cxn ang="0">
                <a:pos x="connsiteX4547" y="connsiteY4547"/>
              </a:cxn>
              <a:cxn ang="0">
                <a:pos x="connsiteX4548" y="connsiteY4548"/>
              </a:cxn>
              <a:cxn ang="0">
                <a:pos x="connsiteX4549" y="connsiteY4549"/>
              </a:cxn>
              <a:cxn ang="0">
                <a:pos x="connsiteX4550" y="connsiteY4550"/>
              </a:cxn>
              <a:cxn ang="0">
                <a:pos x="connsiteX4551" y="connsiteY4551"/>
              </a:cxn>
              <a:cxn ang="0">
                <a:pos x="connsiteX4552" y="connsiteY4552"/>
              </a:cxn>
              <a:cxn ang="0">
                <a:pos x="connsiteX4553" y="connsiteY4553"/>
              </a:cxn>
              <a:cxn ang="0">
                <a:pos x="connsiteX4554" y="connsiteY4554"/>
              </a:cxn>
              <a:cxn ang="0">
                <a:pos x="connsiteX4555" y="connsiteY4555"/>
              </a:cxn>
              <a:cxn ang="0">
                <a:pos x="connsiteX4556" y="connsiteY4556"/>
              </a:cxn>
              <a:cxn ang="0">
                <a:pos x="connsiteX4557" y="connsiteY4557"/>
              </a:cxn>
              <a:cxn ang="0">
                <a:pos x="connsiteX4558" y="connsiteY4558"/>
              </a:cxn>
              <a:cxn ang="0">
                <a:pos x="connsiteX4559" y="connsiteY4559"/>
              </a:cxn>
              <a:cxn ang="0">
                <a:pos x="connsiteX4560" y="connsiteY4560"/>
              </a:cxn>
              <a:cxn ang="0">
                <a:pos x="connsiteX4561" y="connsiteY4561"/>
              </a:cxn>
              <a:cxn ang="0">
                <a:pos x="connsiteX4562" y="connsiteY4562"/>
              </a:cxn>
              <a:cxn ang="0">
                <a:pos x="connsiteX4563" y="connsiteY4563"/>
              </a:cxn>
              <a:cxn ang="0">
                <a:pos x="connsiteX4564" y="connsiteY4564"/>
              </a:cxn>
              <a:cxn ang="0">
                <a:pos x="connsiteX4565" y="connsiteY4565"/>
              </a:cxn>
              <a:cxn ang="0">
                <a:pos x="connsiteX4566" y="connsiteY4566"/>
              </a:cxn>
              <a:cxn ang="0">
                <a:pos x="connsiteX4567" y="connsiteY4567"/>
              </a:cxn>
              <a:cxn ang="0">
                <a:pos x="connsiteX4568" y="connsiteY4568"/>
              </a:cxn>
              <a:cxn ang="0">
                <a:pos x="connsiteX4569" y="connsiteY4569"/>
              </a:cxn>
              <a:cxn ang="0">
                <a:pos x="connsiteX4570" y="connsiteY4570"/>
              </a:cxn>
              <a:cxn ang="0">
                <a:pos x="connsiteX4571" y="connsiteY4571"/>
              </a:cxn>
              <a:cxn ang="0">
                <a:pos x="connsiteX4572" y="connsiteY4572"/>
              </a:cxn>
              <a:cxn ang="0">
                <a:pos x="connsiteX4573" y="connsiteY4573"/>
              </a:cxn>
              <a:cxn ang="0">
                <a:pos x="connsiteX4574" y="connsiteY4574"/>
              </a:cxn>
              <a:cxn ang="0">
                <a:pos x="connsiteX4575" y="connsiteY4575"/>
              </a:cxn>
              <a:cxn ang="0">
                <a:pos x="connsiteX4576" y="connsiteY4576"/>
              </a:cxn>
              <a:cxn ang="0">
                <a:pos x="connsiteX4577" y="connsiteY4577"/>
              </a:cxn>
              <a:cxn ang="0">
                <a:pos x="connsiteX4578" y="connsiteY4578"/>
              </a:cxn>
              <a:cxn ang="0">
                <a:pos x="connsiteX4579" y="connsiteY4579"/>
              </a:cxn>
              <a:cxn ang="0">
                <a:pos x="connsiteX4580" y="connsiteY4580"/>
              </a:cxn>
              <a:cxn ang="0">
                <a:pos x="connsiteX4581" y="connsiteY4581"/>
              </a:cxn>
              <a:cxn ang="0">
                <a:pos x="connsiteX4582" y="connsiteY4582"/>
              </a:cxn>
              <a:cxn ang="0">
                <a:pos x="connsiteX4583" y="connsiteY4583"/>
              </a:cxn>
              <a:cxn ang="0">
                <a:pos x="connsiteX4584" y="connsiteY4584"/>
              </a:cxn>
              <a:cxn ang="0">
                <a:pos x="connsiteX4585" y="connsiteY4585"/>
              </a:cxn>
              <a:cxn ang="0">
                <a:pos x="connsiteX4586" y="connsiteY4586"/>
              </a:cxn>
              <a:cxn ang="0">
                <a:pos x="connsiteX4587" y="connsiteY4587"/>
              </a:cxn>
              <a:cxn ang="0">
                <a:pos x="connsiteX4588" y="connsiteY4588"/>
              </a:cxn>
              <a:cxn ang="0">
                <a:pos x="connsiteX4589" y="connsiteY4589"/>
              </a:cxn>
              <a:cxn ang="0">
                <a:pos x="connsiteX4590" y="connsiteY4590"/>
              </a:cxn>
              <a:cxn ang="0">
                <a:pos x="connsiteX4591" y="connsiteY4591"/>
              </a:cxn>
              <a:cxn ang="0">
                <a:pos x="connsiteX4592" y="connsiteY4592"/>
              </a:cxn>
              <a:cxn ang="0">
                <a:pos x="connsiteX4593" y="connsiteY4593"/>
              </a:cxn>
              <a:cxn ang="0">
                <a:pos x="connsiteX4594" y="connsiteY4594"/>
              </a:cxn>
              <a:cxn ang="0">
                <a:pos x="connsiteX4595" y="connsiteY4595"/>
              </a:cxn>
              <a:cxn ang="0">
                <a:pos x="connsiteX4596" y="connsiteY4596"/>
              </a:cxn>
              <a:cxn ang="0">
                <a:pos x="connsiteX4597" y="connsiteY4597"/>
              </a:cxn>
              <a:cxn ang="0">
                <a:pos x="connsiteX4598" y="connsiteY4598"/>
              </a:cxn>
              <a:cxn ang="0">
                <a:pos x="connsiteX4599" y="connsiteY4599"/>
              </a:cxn>
              <a:cxn ang="0">
                <a:pos x="connsiteX4600" y="connsiteY4600"/>
              </a:cxn>
              <a:cxn ang="0">
                <a:pos x="connsiteX4601" y="connsiteY4601"/>
              </a:cxn>
              <a:cxn ang="0">
                <a:pos x="connsiteX4602" y="connsiteY4602"/>
              </a:cxn>
              <a:cxn ang="0">
                <a:pos x="connsiteX4603" y="connsiteY4603"/>
              </a:cxn>
              <a:cxn ang="0">
                <a:pos x="connsiteX4604" y="connsiteY4604"/>
              </a:cxn>
              <a:cxn ang="0">
                <a:pos x="connsiteX4605" y="connsiteY4605"/>
              </a:cxn>
              <a:cxn ang="0">
                <a:pos x="connsiteX4606" y="connsiteY4606"/>
              </a:cxn>
              <a:cxn ang="0">
                <a:pos x="connsiteX4607" y="connsiteY4607"/>
              </a:cxn>
              <a:cxn ang="0">
                <a:pos x="connsiteX4608" y="connsiteY4608"/>
              </a:cxn>
              <a:cxn ang="0">
                <a:pos x="connsiteX4609" y="connsiteY4609"/>
              </a:cxn>
              <a:cxn ang="0">
                <a:pos x="connsiteX4610" y="connsiteY4610"/>
              </a:cxn>
              <a:cxn ang="0">
                <a:pos x="connsiteX4611" y="connsiteY4611"/>
              </a:cxn>
              <a:cxn ang="0">
                <a:pos x="connsiteX4612" y="connsiteY4612"/>
              </a:cxn>
              <a:cxn ang="0">
                <a:pos x="connsiteX4613" y="connsiteY4613"/>
              </a:cxn>
              <a:cxn ang="0">
                <a:pos x="connsiteX4614" y="connsiteY4614"/>
              </a:cxn>
              <a:cxn ang="0">
                <a:pos x="connsiteX4615" y="connsiteY4615"/>
              </a:cxn>
              <a:cxn ang="0">
                <a:pos x="connsiteX4616" y="connsiteY4616"/>
              </a:cxn>
              <a:cxn ang="0">
                <a:pos x="connsiteX4617" y="connsiteY4617"/>
              </a:cxn>
              <a:cxn ang="0">
                <a:pos x="connsiteX4618" y="connsiteY4618"/>
              </a:cxn>
              <a:cxn ang="0">
                <a:pos x="connsiteX4619" y="connsiteY4619"/>
              </a:cxn>
              <a:cxn ang="0">
                <a:pos x="connsiteX4620" y="connsiteY4620"/>
              </a:cxn>
              <a:cxn ang="0">
                <a:pos x="connsiteX4621" y="connsiteY4621"/>
              </a:cxn>
              <a:cxn ang="0">
                <a:pos x="connsiteX4622" y="connsiteY4622"/>
              </a:cxn>
              <a:cxn ang="0">
                <a:pos x="connsiteX4623" y="connsiteY4623"/>
              </a:cxn>
              <a:cxn ang="0">
                <a:pos x="connsiteX4624" y="connsiteY4624"/>
              </a:cxn>
              <a:cxn ang="0">
                <a:pos x="connsiteX4625" y="connsiteY4625"/>
              </a:cxn>
              <a:cxn ang="0">
                <a:pos x="connsiteX4626" y="connsiteY4626"/>
              </a:cxn>
              <a:cxn ang="0">
                <a:pos x="connsiteX4627" y="connsiteY4627"/>
              </a:cxn>
              <a:cxn ang="0">
                <a:pos x="connsiteX4628" y="connsiteY4628"/>
              </a:cxn>
              <a:cxn ang="0">
                <a:pos x="connsiteX4629" y="connsiteY4629"/>
              </a:cxn>
              <a:cxn ang="0">
                <a:pos x="connsiteX4630" y="connsiteY4630"/>
              </a:cxn>
              <a:cxn ang="0">
                <a:pos x="connsiteX4631" y="connsiteY4631"/>
              </a:cxn>
              <a:cxn ang="0">
                <a:pos x="connsiteX4632" y="connsiteY4632"/>
              </a:cxn>
              <a:cxn ang="0">
                <a:pos x="connsiteX4633" y="connsiteY4633"/>
              </a:cxn>
              <a:cxn ang="0">
                <a:pos x="connsiteX4634" y="connsiteY4634"/>
              </a:cxn>
              <a:cxn ang="0">
                <a:pos x="connsiteX4635" y="connsiteY4635"/>
              </a:cxn>
              <a:cxn ang="0">
                <a:pos x="connsiteX4636" y="connsiteY4636"/>
              </a:cxn>
              <a:cxn ang="0">
                <a:pos x="connsiteX4637" y="connsiteY4637"/>
              </a:cxn>
              <a:cxn ang="0">
                <a:pos x="connsiteX4638" y="connsiteY4638"/>
              </a:cxn>
              <a:cxn ang="0">
                <a:pos x="connsiteX4639" y="connsiteY4639"/>
              </a:cxn>
              <a:cxn ang="0">
                <a:pos x="connsiteX4640" y="connsiteY4640"/>
              </a:cxn>
              <a:cxn ang="0">
                <a:pos x="connsiteX4641" y="connsiteY4641"/>
              </a:cxn>
              <a:cxn ang="0">
                <a:pos x="connsiteX4642" y="connsiteY4642"/>
              </a:cxn>
              <a:cxn ang="0">
                <a:pos x="connsiteX4643" y="connsiteY4643"/>
              </a:cxn>
              <a:cxn ang="0">
                <a:pos x="connsiteX4644" y="connsiteY4644"/>
              </a:cxn>
              <a:cxn ang="0">
                <a:pos x="connsiteX4645" y="connsiteY4645"/>
              </a:cxn>
              <a:cxn ang="0">
                <a:pos x="connsiteX4646" y="connsiteY4646"/>
              </a:cxn>
              <a:cxn ang="0">
                <a:pos x="connsiteX4647" y="connsiteY4647"/>
              </a:cxn>
              <a:cxn ang="0">
                <a:pos x="connsiteX4648" y="connsiteY4648"/>
              </a:cxn>
              <a:cxn ang="0">
                <a:pos x="connsiteX4649" y="connsiteY4649"/>
              </a:cxn>
              <a:cxn ang="0">
                <a:pos x="connsiteX4650" y="connsiteY4650"/>
              </a:cxn>
              <a:cxn ang="0">
                <a:pos x="connsiteX4651" y="connsiteY4651"/>
              </a:cxn>
              <a:cxn ang="0">
                <a:pos x="connsiteX4652" y="connsiteY4652"/>
              </a:cxn>
              <a:cxn ang="0">
                <a:pos x="connsiteX4653" y="connsiteY4653"/>
              </a:cxn>
              <a:cxn ang="0">
                <a:pos x="connsiteX4654" y="connsiteY4654"/>
              </a:cxn>
              <a:cxn ang="0">
                <a:pos x="connsiteX4655" y="connsiteY4655"/>
              </a:cxn>
              <a:cxn ang="0">
                <a:pos x="connsiteX4656" y="connsiteY4656"/>
              </a:cxn>
              <a:cxn ang="0">
                <a:pos x="connsiteX4657" y="connsiteY4657"/>
              </a:cxn>
              <a:cxn ang="0">
                <a:pos x="connsiteX4658" y="connsiteY4658"/>
              </a:cxn>
              <a:cxn ang="0">
                <a:pos x="connsiteX4659" y="connsiteY4659"/>
              </a:cxn>
              <a:cxn ang="0">
                <a:pos x="connsiteX4660" y="connsiteY4660"/>
              </a:cxn>
              <a:cxn ang="0">
                <a:pos x="connsiteX4661" y="connsiteY4661"/>
              </a:cxn>
              <a:cxn ang="0">
                <a:pos x="connsiteX4662" y="connsiteY4662"/>
              </a:cxn>
              <a:cxn ang="0">
                <a:pos x="connsiteX4663" y="connsiteY4663"/>
              </a:cxn>
              <a:cxn ang="0">
                <a:pos x="connsiteX4664" y="connsiteY4664"/>
              </a:cxn>
              <a:cxn ang="0">
                <a:pos x="connsiteX4665" y="connsiteY4665"/>
              </a:cxn>
              <a:cxn ang="0">
                <a:pos x="connsiteX4666" y="connsiteY4666"/>
              </a:cxn>
              <a:cxn ang="0">
                <a:pos x="connsiteX4667" y="connsiteY4667"/>
              </a:cxn>
              <a:cxn ang="0">
                <a:pos x="connsiteX4668" y="connsiteY4668"/>
              </a:cxn>
              <a:cxn ang="0">
                <a:pos x="connsiteX4669" y="connsiteY4669"/>
              </a:cxn>
              <a:cxn ang="0">
                <a:pos x="connsiteX4670" y="connsiteY4670"/>
              </a:cxn>
              <a:cxn ang="0">
                <a:pos x="connsiteX4671" y="connsiteY4671"/>
              </a:cxn>
              <a:cxn ang="0">
                <a:pos x="connsiteX4672" y="connsiteY4672"/>
              </a:cxn>
              <a:cxn ang="0">
                <a:pos x="connsiteX4673" y="connsiteY4673"/>
              </a:cxn>
              <a:cxn ang="0">
                <a:pos x="connsiteX4674" y="connsiteY4674"/>
              </a:cxn>
              <a:cxn ang="0">
                <a:pos x="connsiteX4675" y="connsiteY4675"/>
              </a:cxn>
              <a:cxn ang="0">
                <a:pos x="connsiteX4676" y="connsiteY4676"/>
              </a:cxn>
              <a:cxn ang="0">
                <a:pos x="connsiteX4677" y="connsiteY4677"/>
              </a:cxn>
              <a:cxn ang="0">
                <a:pos x="connsiteX4678" y="connsiteY4678"/>
              </a:cxn>
              <a:cxn ang="0">
                <a:pos x="connsiteX4679" y="connsiteY4679"/>
              </a:cxn>
              <a:cxn ang="0">
                <a:pos x="connsiteX4680" y="connsiteY4680"/>
              </a:cxn>
              <a:cxn ang="0">
                <a:pos x="connsiteX4681" y="connsiteY4681"/>
              </a:cxn>
              <a:cxn ang="0">
                <a:pos x="connsiteX4682" y="connsiteY4682"/>
              </a:cxn>
              <a:cxn ang="0">
                <a:pos x="connsiteX4683" y="connsiteY4683"/>
              </a:cxn>
              <a:cxn ang="0">
                <a:pos x="connsiteX4684" y="connsiteY4684"/>
              </a:cxn>
              <a:cxn ang="0">
                <a:pos x="connsiteX4685" y="connsiteY4685"/>
              </a:cxn>
              <a:cxn ang="0">
                <a:pos x="connsiteX4686" y="connsiteY4686"/>
              </a:cxn>
              <a:cxn ang="0">
                <a:pos x="connsiteX4687" y="connsiteY4687"/>
              </a:cxn>
              <a:cxn ang="0">
                <a:pos x="connsiteX4688" y="connsiteY4688"/>
              </a:cxn>
              <a:cxn ang="0">
                <a:pos x="connsiteX4689" y="connsiteY4689"/>
              </a:cxn>
              <a:cxn ang="0">
                <a:pos x="connsiteX4690" y="connsiteY4690"/>
              </a:cxn>
              <a:cxn ang="0">
                <a:pos x="connsiteX4691" y="connsiteY4691"/>
              </a:cxn>
              <a:cxn ang="0">
                <a:pos x="connsiteX4692" y="connsiteY4692"/>
              </a:cxn>
              <a:cxn ang="0">
                <a:pos x="connsiteX4693" y="connsiteY4693"/>
              </a:cxn>
              <a:cxn ang="0">
                <a:pos x="connsiteX4694" y="connsiteY4694"/>
              </a:cxn>
              <a:cxn ang="0">
                <a:pos x="connsiteX4695" y="connsiteY4695"/>
              </a:cxn>
              <a:cxn ang="0">
                <a:pos x="connsiteX4696" y="connsiteY4696"/>
              </a:cxn>
              <a:cxn ang="0">
                <a:pos x="connsiteX4697" y="connsiteY4697"/>
              </a:cxn>
              <a:cxn ang="0">
                <a:pos x="connsiteX4698" y="connsiteY4698"/>
              </a:cxn>
              <a:cxn ang="0">
                <a:pos x="connsiteX4699" y="connsiteY4699"/>
              </a:cxn>
              <a:cxn ang="0">
                <a:pos x="connsiteX4700" y="connsiteY4700"/>
              </a:cxn>
              <a:cxn ang="0">
                <a:pos x="connsiteX4701" y="connsiteY4701"/>
              </a:cxn>
              <a:cxn ang="0">
                <a:pos x="connsiteX4702" y="connsiteY4702"/>
              </a:cxn>
              <a:cxn ang="0">
                <a:pos x="connsiteX4703" y="connsiteY4703"/>
              </a:cxn>
              <a:cxn ang="0">
                <a:pos x="connsiteX4704" y="connsiteY4704"/>
              </a:cxn>
              <a:cxn ang="0">
                <a:pos x="connsiteX4705" y="connsiteY4705"/>
              </a:cxn>
              <a:cxn ang="0">
                <a:pos x="connsiteX4706" y="connsiteY4706"/>
              </a:cxn>
              <a:cxn ang="0">
                <a:pos x="connsiteX4707" y="connsiteY4707"/>
              </a:cxn>
              <a:cxn ang="0">
                <a:pos x="connsiteX4708" y="connsiteY4708"/>
              </a:cxn>
              <a:cxn ang="0">
                <a:pos x="connsiteX4709" y="connsiteY4709"/>
              </a:cxn>
              <a:cxn ang="0">
                <a:pos x="connsiteX4710" y="connsiteY4710"/>
              </a:cxn>
              <a:cxn ang="0">
                <a:pos x="connsiteX4711" y="connsiteY4711"/>
              </a:cxn>
              <a:cxn ang="0">
                <a:pos x="connsiteX4712" y="connsiteY4712"/>
              </a:cxn>
              <a:cxn ang="0">
                <a:pos x="connsiteX4713" y="connsiteY4713"/>
              </a:cxn>
              <a:cxn ang="0">
                <a:pos x="connsiteX4714" y="connsiteY4714"/>
              </a:cxn>
              <a:cxn ang="0">
                <a:pos x="connsiteX4715" y="connsiteY4715"/>
              </a:cxn>
              <a:cxn ang="0">
                <a:pos x="connsiteX4716" y="connsiteY4716"/>
              </a:cxn>
              <a:cxn ang="0">
                <a:pos x="connsiteX4717" y="connsiteY4717"/>
              </a:cxn>
              <a:cxn ang="0">
                <a:pos x="connsiteX4718" y="connsiteY4718"/>
              </a:cxn>
              <a:cxn ang="0">
                <a:pos x="connsiteX4719" y="connsiteY4719"/>
              </a:cxn>
              <a:cxn ang="0">
                <a:pos x="connsiteX4720" y="connsiteY4720"/>
              </a:cxn>
              <a:cxn ang="0">
                <a:pos x="connsiteX4721" y="connsiteY4721"/>
              </a:cxn>
              <a:cxn ang="0">
                <a:pos x="connsiteX4722" y="connsiteY4722"/>
              </a:cxn>
              <a:cxn ang="0">
                <a:pos x="connsiteX4723" y="connsiteY4723"/>
              </a:cxn>
              <a:cxn ang="0">
                <a:pos x="connsiteX4724" y="connsiteY4724"/>
              </a:cxn>
              <a:cxn ang="0">
                <a:pos x="connsiteX4725" y="connsiteY4725"/>
              </a:cxn>
              <a:cxn ang="0">
                <a:pos x="connsiteX4726" y="connsiteY4726"/>
              </a:cxn>
              <a:cxn ang="0">
                <a:pos x="connsiteX4727" y="connsiteY4727"/>
              </a:cxn>
              <a:cxn ang="0">
                <a:pos x="connsiteX4728" y="connsiteY4728"/>
              </a:cxn>
              <a:cxn ang="0">
                <a:pos x="connsiteX4729" y="connsiteY4729"/>
              </a:cxn>
              <a:cxn ang="0">
                <a:pos x="connsiteX4730" y="connsiteY4730"/>
              </a:cxn>
              <a:cxn ang="0">
                <a:pos x="connsiteX4731" y="connsiteY4731"/>
              </a:cxn>
              <a:cxn ang="0">
                <a:pos x="connsiteX4732" y="connsiteY4732"/>
              </a:cxn>
              <a:cxn ang="0">
                <a:pos x="connsiteX4733" y="connsiteY4733"/>
              </a:cxn>
              <a:cxn ang="0">
                <a:pos x="connsiteX4734" y="connsiteY4734"/>
              </a:cxn>
              <a:cxn ang="0">
                <a:pos x="connsiteX4735" y="connsiteY4735"/>
              </a:cxn>
              <a:cxn ang="0">
                <a:pos x="connsiteX4736" y="connsiteY4736"/>
              </a:cxn>
              <a:cxn ang="0">
                <a:pos x="connsiteX4737" y="connsiteY4737"/>
              </a:cxn>
              <a:cxn ang="0">
                <a:pos x="connsiteX4738" y="connsiteY4738"/>
              </a:cxn>
              <a:cxn ang="0">
                <a:pos x="connsiteX4739" y="connsiteY4739"/>
              </a:cxn>
              <a:cxn ang="0">
                <a:pos x="connsiteX4740" y="connsiteY4740"/>
              </a:cxn>
              <a:cxn ang="0">
                <a:pos x="connsiteX4741" y="connsiteY4741"/>
              </a:cxn>
              <a:cxn ang="0">
                <a:pos x="connsiteX4742" y="connsiteY4742"/>
              </a:cxn>
              <a:cxn ang="0">
                <a:pos x="connsiteX4743" y="connsiteY4743"/>
              </a:cxn>
              <a:cxn ang="0">
                <a:pos x="connsiteX4744" y="connsiteY4744"/>
              </a:cxn>
              <a:cxn ang="0">
                <a:pos x="connsiteX4745" y="connsiteY4745"/>
              </a:cxn>
              <a:cxn ang="0">
                <a:pos x="connsiteX4746" y="connsiteY4746"/>
              </a:cxn>
              <a:cxn ang="0">
                <a:pos x="connsiteX4747" y="connsiteY4747"/>
              </a:cxn>
              <a:cxn ang="0">
                <a:pos x="connsiteX4748" y="connsiteY4748"/>
              </a:cxn>
              <a:cxn ang="0">
                <a:pos x="connsiteX4749" y="connsiteY4749"/>
              </a:cxn>
              <a:cxn ang="0">
                <a:pos x="connsiteX4750" y="connsiteY4750"/>
              </a:cxn>
              <a:cxn ang="0">
                <a:pos x="connsiteX4751" y="connsiteY4751"/>
              </a:cxn>
              <a:cxn ang="0">
                <a:pos x="connsiteX4752" y="connsiteY4752"/>
              </a:cxn>
              <a:cxn ang="0">
                <a:pos x="connsiteX4753" y="connsiteY4753"/>
              </a:cxn>
              <a:cxn ang="0">
                <a:pos x="connsiteX4754" y="connsiteY4754"/>
              </a:cxn>
              <a:cxn ang="0">
                <a:pos x="connsiteX4755" y="connsiteY4755"/>
              </a:cxn>
              <a:cxn ang="0">
                <a:pos x="connsiteX4756" y="connsiteY4756"/>
              </a:cxn>
              <a:cxn ang="0">
                <a:pos x="connsiteX4757" y="connsiteY4757"/>
              </a:cxn>
              <a:cxn ang="0">
                <a:pos x="connsiteX4758" y="connsiteY4758"/>
              </a:cxn>
              <a:cxn ang="0">
                <a:pos x="connsiteX4759" y="connsiteY4759"/>
              </a:cxn>
              <a:cxn ang="0">
                <a:pos x="connsiteX4760" y="connsiteY4760"/>
              </a:cxn>
              <a:cxn ang="0">
                <a:pos x="connsiteX4761" y="connsiteY4761"/>
              </a:cxn>
              <a:cxn ang="0">
                <a:pos x="connsiteX4762" y="connsiteY4762"/>
              </a:cxn>
              <a:cxn ang="0">
                <a:pos x="connsiteX4763" y="connsiteY4763"/>
              </a:cxn>
              <a:cxn ang="0">
                <a:pos x="connsiteX4764" y="connsiteY4764"/>
              </a:cxn>
              <a:cxn ang="0">
                <a:pos x="connsiteX4765" y="connsiteY4765"/>
              </a:cxn>
              <a:cxn ang="0">
                <a:pos x="connsiteX4766" y="connsiteY4766"/>
              </a:cxn>
              <a:cxn ang="0">
                <a:pos x="connsiteX4767" y="connsiteY4767"/>
              </a:cxn>
              <a:cxn ang="0">
                <a:pos x="connsiteX4768" y="connsiteY4768"/>
              </a:cxn>
              <a:cxn ang="0">
                <a:pos x="connsiteX4769" y="connsiteY4769"/>
              </a:cxn>
              <a:cxn ang="0">
                <a:pos x="connsiteX4770" y="connsiteY4770"/>
              </a:cxn>
              <a:cxn ang="0">
                <a:pos x="connsiteX4771" y="connsiteY4771"/>
              </a:cxn>
              <a:cxn ang="0">
                <a:pos x="connsiteX4772" y="connsiteY4772"/>
              </a:cxn>
              <a:cxn ang="0">
                <a:pos x="connsiteX4773" y="connsiteY4773"/>
              </a:cxn>
              <a:cxn ang="0">
                <a:pos x="connsiteX4774" y="connsiteY4774"/>
              </a:cxn>
              <a:cxn ang="0">
                <a:pos x="connsiteX4775" y="connsiteY4775"/>
              </a:cxn>
              <a:cxn ang="0">
                <a:pos x="connsiteX4776" y="connsiteY4776"/>
              </a:cxn>
              <a:cxn ang="0">
                <a:pos x="connsiteX4777" y="connsiteY4777"/>
              </a:cxn>
              <a:cxn ang="0">
                <a:pos x="connsiteX4778" y="connsiteY4778"/>
              </a:cxn>
              <a:cxn ang="0">
                <a:pos x="connsiteX4779" y="connsiteY4779"/>
              </a:cxn>
              <a:cxn ang="0">
                <a:pos x="connsiteX4780" y="connsiteY4780"/>
              </a:cxn>
              <a:cxn ang="0">
                <a:pos x="connsiteX4781" y="connsiteY4781"/>
              </a:cxn>
              <a:cxn ang="0">
                <a:pos x="connsiteX4782" y="connsiteY4782"/>
              </a:cxn>
              <a:cxn ang="0">
                <a:pos x="connsiteX4783" y="connsiteY4783"/>
              </a:cxn>
              <a:cxn ang="0">
                <a:pos x="connsiteX4784" y="connsiteY4784"/>
              </a:cxn>
              <a:cxn ang="0">
                <a:pos x="connsiteX4785" y="connsiteY4785"/>
              </a:cxn>
              <a:cxn ang="0">
                <a:pos x="connsiteX4786" y="connsiteY4786"/>
              </a:cxn>
              <a:cxn ang="0">
                <a:pos x="connsiteX4787" y="connsiteY4787"/>
              </a:cxn>
              <a:cxn ang="0">
                <a:pos x="connsiteX4788" y="connsiteY4788"/>
              </a:cxn>
              <a:cxn ang="0">
                <a:pos x="connsiteX4789" y="connsiteY4789"/>
              </a:cxn>
              <a:cxn ang="0">
                <a:pos x="connsiteX4790" y="connsiteY4790"/>
              </a:cxn>
              <a:cxn ang="0">
                <a:pos x="connsiteX4791" y="connsiteY4791"/>
              </a:cxn>
              <a:cxn ang="0">
                <a:pos x="connsiteX4792" y="connsiteY4792"/>
              </a:cxn>
              <a:cxn ang="0">
                <a:pos x="connsiteX4793" y="connsiteY4793"/>
              </a:cxn>
              <a:cxn ang="0">
                <a:pos x="connsiteX4794" y="connsiteY4794"/>
              </a:cxn>
              <a:cxn ang="0">
                <a:pos x="connsiteX4795" y="connsiteY4795"/>
              </a:cxn>
              <a:cxn ang="0">
                <a:pos x="connsiteX4796" y="connsiteY4796"/>
              </a:cxn>
              <a:cxn ang="0">
                <a:pos x="connsiteX4797" y="connsiteY4797"/>
              </a:cxn>
              <a:cxn ang="0">
                <a:pos x="connsiteX4798" y="connsiteY4798"/>
              </a:cxn>
              <a:cxn ang="0">
                <a:pos x="connsiteX4799" y="connsiteY4799"/>
              </a:cxn>
              <a:cxn ang="0">
                <a:pos x="connsiteX4800" y="connsiteY4800"/>
              </a:cxn>
              <a:cxn ang="0">
                <a:pos x="connsiteX4801" y="connsiteY4801"/>
              </a:cxn>
              <a:cxn ang="0">
                <a:pos x="connsiteX4802" y="connsiteY4802"/>
              </a:cxn>
              <a:cxn ang="0">
                <a:pos x="connsiteX4803" y="connsiteY4803"/>
              </a:cxn>
              <a:cxn ang="0">
                <a:pos x="connsiteX4804" y="connsiteY4804"/>
              </a:cxn>
              <a:cxn ang="0">
                <a:pos x="connsiteX4805" y="connsiteY4805"/>
              </a:cxn>
              <a:cxn ang="0">
                <a:pos x="connsiteX4806" y="connsiteY4806"/>
              </a:cxn>
              <a:cxn ang="0">
                <a:pos x="connsiteX4807" y="connsiteY4807"/>
              </a:cxn>
              <a:cxn ang="0">
                <a:pos x="connsiteX4808" y="connsiteY4808"/>
              </a:cxn>
              <a:cxn ang="0">
                <a:pos x="connsiteX4809" y="connsiteY4809"/>
              </a:cxn>
              <a:cxn ang="0">
                <a:pos x="connsiteX4810" y="connsiteY4810"/>
              </a:cxn>
              <a:cxn ang="0">
                <a:pos x="connsiteX4811" y="connsiteY4811"/>
              </a:cxn>
              <a:cxn ang="0">
                <a:pos x="connsiteX4812" y="connsiteY4812"/>
              </a:cxn>
              <a:cxn ang="0">
                <a:pos x="connsiteX4813" y="connsiteY4813"/>
              </a:cxn>
              <a:cxn ang="0">
                <a:pos x="connsiteX4814" y="connsiteY4814"/>
              </a:cxn>
              <a:cxn ang="0">
                <a:pos x="connsiteX4815" y="connsiteY4815"/>
              </a:cxn>
              <a:cxn ang="0">
                <a:pos x="connsiteX4816" y="connsiteY4816"/>
              </a:cxn>
              <a:cxn ang="0">
                <a:pos x="connsiteX4817" y="connsiteY4817"/>
              </a:cxn>
              <a:cxn ang="0">
                <a:pos x="connsiteX4818" y="connsiteY4818"/>
              </a:cxn>
              <a:cxn ang="0">
                <a:pos x="connsiteX4819" y="connsiteY4819"/>
              </a:cxn>
              <a:cxn ang="0">
                <a:pos x="connsiteX4820" y="connsiteY4820"/>
              </a:cxn>
              <a:cxn ang="0">
                <a:pos x="connsiteX4821" y="connsiteY4821"/>
              </a:cxn>
              <a:cxn ang="0">
                <a:pos x="connsiteX4822" y="connsiteY4822"/>
              </a:cxn>
              <a:cxn ang="0">
                <a:pos x="connsiteX4823" y="connsiteY4823"/>
              </a:cxn>
              <a:cxn ang="0">
                <a:pos x="connsiteX4824" y="connsiteY4824"/>
              </a:cxn>
              <a:cxn ang="0">
                <a:pos x="connsiteX4825" y="connsiteY4825"/>
              </a:cxn>
              <a:cxn ang="0">
                <a:pos x="connsiteX4826" y="connsiteY4826"/>
              </a:cxn>
              <a:cxn ang="0">
                <a:pos x="connsiteX4827" y="connsiteY4827"/>
              </a:cxn>
              <a:cxn ang="0">
                <a:pos x="connsiteX4828" y="connsiteY4828"/>
              </a:cxn>
              <a:cxn ang="0">
                <a:pos x="connsiteX4829" y="connsiteY4829"/>
              </a:cxn>
              <a:cxn ang="0">
                <a:pos x="connsiteX4830" y="connsiteY4830"/>
              </a:cxn>
              <a:cxn ang="0">
                <a:pos x="connsiteX4831" y="connsiteY4831"/>
              </a:cxn>
              <a:cxn ang="0">
                <a:pos x="connsiteX4832" y="connsiteY4832"/>
              </a:cxn>
              <a:cxn ang="0">
                <a:pos x="connsiteX4833" y="connsiteY4833"/>
              </a:cxn>
              <a:cxn ang="0">
                <a:pos x="connsiteX4834" y="connsiteY4834"/>
              </a:cxn>
              <a:cxn ang="0">
                <a:pos x="connsiteX4835" y="connsiteY4835"/>
              </a:cxn>
              <a:cxn ang="0">
                <a:pos x="connsiteX4836" y="connsiteY4836"/>
              </a:cxn>
              <a:cxn ang="0">
                <a:pos x="connsiteX4837" y="connsiteY4837"/>
              </a:cxn>
              <a:cxn ang="0">
                <a:pos x="connsiteX4838" y="connsiteY4838"/>
              </a:cxn>
              <a:cxn ang="0">
                <a:pos x="connsiteX4839" y="connsiteY4839"/>
              </a:cxn>
              <a:cxn ang="0">
                <a:pos x="connsiteX4840" y="connsiteY4840"/>
              </a:cxn>
              <a:cxn ang="0">
                <a:pos x="connsiteX4841" y="connsiteY4841"/>
              </a:cxn>
              <a:cxn ang="0">
                <a:pos x="connsiteX4842" y="connsiteY4842"/>
              </a:cxn>
              <a:cxn ang="0">
                <a:pos x="connsiteX4843" y="connsiteY4843"/>
              </a:cxn>
              <a:cxn ang="0">
                <a:pos x="connsiteX4844" y="connsiteY4844"/>
              </a:cxn>
              <a:cxn ang="0">
                <a:pos x="connsiteX4845" y="connsiteY4845"/>
              </a:cxn>
              <a:cxn ang="0">
                <a:pos x="connsiteX4846" y="connsiteY4846"/>
              </a:cxn>
              <a:cxn ang="0">
                <a:pos x="connsiteX4847" y="connsiteY4847"/>
              </a:cxn>
              <a:cxn ang="0">
                <a:pos x="connsiteX4848" y="connsiteY4848"/>
              </a:cxn>
              <a:cxn ang="0">
                <a:pos x="connsiteX4849" y="connsiteY4849"/>
              </a:cxn>
              <a:cxn ang="0">
                <a:pos x="connsiteX4850" y="connsiteY4850"/>
              </a:cxn>
              <a:cxn ang="0">
                <a:pos x="connsiteX4851" y="connsiteY4851"/>
              </a:cxn>
              <a:cxn ang="0">
                <a:pos x="connsiteX4852" y="connsiteY4852"/>
              </a:cxn>
              <a:cxn ang="0">
                <a:pos x="connsiteX4853" y="connsiteY4853"/>
              </a:cxn>
              <a:cxn ang="0">
                <a:pos x="connsiteX4854" y="connsiteY4854"/>
              </a:cxn>
              <a:cxn ang="0">
                <a:pos x="connsiteX4855" y="connsiteY4855"/>
              </a:cxn>
              <a:cxn ang="0">
                <a:pos x="connsiteX4856" y="connsiteY4856"/>
              </a:cxn>
              <a:cxn ang="0">
                <a:pos x="connsiteX4857" y="connsiteY4857"/>
              </a:cxn>
              <a:cxn ang="0">
                <a:pos x="connsiteX4858" y="connsiteY4858"/>
              </a:cxn>
              <a:cxn ang="0">
                <a:pos x="connsiteX4859" y="connsiteY4859"/>
              </a:cxn>
              <a:cxn ang="0">
                <a:pos x="connsiteX4860" y="connsiteY4860"/>
              </a:cxn>
              <a:cxn ang="0">
                <a:pos x="connsiteX4861" y="connsiteY4861"/>
              </a:cxn>
              <a:cxn ang="0">
                <a:pos x="connsiteX4862" y="connsiteY4862"/>
              </a:cxn>
              <a:cxn ang="0">
                <a:pos x="connsiteX4863" y="connsiteY4863"/>
              </a:cxn>
              <a:cxn ang="0">
                <a:pos x="connsiteX4864" y="connsiteY4864"/>
              </a:cxn>
              <a:cxn ang="0">
                <a:pos x="connsiteX4865" y="connsiteY4865"/>
              </a:cxn>
              <a:cxn ang="0">
                <a:pos x="connsiteX4866" y="connsiteY4866"/>
              </a:cxn>
              <a:cxn ang="0">
                <a:pos x="connsiteX4867" y="connsiteY4867"/>
              </a:cxn>
              <a:cxn ang="0">
                <a:pos x="connsiteX4868" y="connsiteY4868"/>
              </a:cxn>
              <a:cxn ang="0">
                <a:pos x="connsiteX4869" y="connsiteY4869"/>
              </a:cxn>
              <a:cxn ang="0">
                <a:pos x="connsiteX4870" y="connsiteY4870"/>
              </a:cxn>
              <a:cxn ang="0">
                <a:pos x="connsiteX4871" y="connsiteY4871"/>
              </a:cxn>
              <a:cxn ang="0">
                <a:pos x="connsiteX4872" y="connsiteY4872"/>
              </a:cxn>
              <a:cxn ang="0">
                <a:pos x="connsiteX4873" y="connsiteY4873"/>
              </a:cxn>
              <a:cxn ang="0">
                <a:pos x="connsiteX4874" y="connsiteY4874"/>
              </a:cxn>
              <a:cxn ang="0">
                <a:pos x="connsiteX4875" y="connsiteY4875"/>
              </a:cxn>
              <a:cxn ang="0">
                <a:pos x="connsiteX4876" y="connsiteY4876"/>
              </a:cxn>
              <a:cxn ang="0">
                <a:pos x="connsiteX4877" y="connsiteY4877"/>
              </a:cxn>
              <a:cxn ang="0">
                <a:pos x="connsiteX4878" y="connsiteY4878"/>
              </a:cxn>
              <a:cxn ang="0">
                <a:pos x="connsiteX4879" y="connsiteY4879"/>
              </a:cxn>
              <a:cxn ang="0">
                <a:pos x="connsiteX4880" y="connsiteY4880"/>
              </a:cxn>
              <a:cxn ang="0">
                <a:pos x="connsiteX4881" y="connsiteY4881"/>
              </a:cxn>
              <a:cxn ang="0">
                <a:pos x="connsiteX4882" y="connsiteY4882"/>
              </a:cxn>
              <a:cxn ang="0">
                <a:pos x="connsiteX4883" y="connsiteY4883"/>
              </a:cxn>
              <a:cxn ang="0">
                <a:pos x="connsiteX4884" y="connsiteY4884"/>
              </a:cxn>
              <a:cxn ang="0">
                <a:pos x="connsiteX4885" y="connsiteY4885"/>
              </a:cxn>
              <a:cxn ang="0">
                <a:pos x="connsiteX4886" y="connsiteY4886"/>
              </a:cxn>
              <a:cxn ang="0">
                <a:pos x="connsiteX4887" y="connsiteY4887"/>
              </a:cxn>
              <a:cxn ang="0">
                <a:pos x="connsiteX4888" y="connsiteY4888"/>
              </a:cxn>
              <a:cxn ang="0">
                <a:pos x="connsiteX4889" y="connsiteY4889"/>
              </a:cxn>
              <a:cxn ang="0">
                <a:pos x="connsiteX4890" y="connsiteY4890"/>
              </a:cxn>
              <a:cxn ang="0">
                <a:pos x="connsiteX4891" y="connsiteY4891"/>
              </a:cxn>
              <a:cxn ang="0">
                <a:pos x="connsiteX4892" y="connsiteY4892"/>
              </a:cxn>
              <a:cxn ang="0">
                <a:pos x="connsiteX4893" y="connsiteY4893"/>
              </a:cxn>
              <a:cxn ang="0">
                <a:pos x="connsiteX4894" y="connsiteY4894"/>
              </a:cxn>
              <a:cxn ang="0">
                <a:pos x="connsiteX4895" y="connsiteY4895"/>
              </a:cxn>
              <a:cxn ang="0">
                <a:pos x="connsiteX4896" y="connsiteY4896"/>
              </a:cxn>
              <a:cxn ang="0">
                <a:pos x="connsiteX4897" y="connsiteY4897"/>
              </a:cxn>
              <a:cxn ang="0">
                <a:pos x="connsiteX4898" y="connsiteY4898"/>
              </a:cxn>
              <a:cxn ang="0">
                <a:pos x="connsiteX4899" y="connsiteY4899"/>
              </a:cxn>
              <a:cxn ang="0">
                <a:pos x="connsiteX4900" y="connsiteY4900"/>
              </a:cxn>
              <a:cxn ang="0">
                <a:pos x="connsiteX4901" y="connsiteY4901"/>
              </a:cxn>
              <a:cxn ang="0">
                <a:pos x="connsiteX4902" y="connsiteY4902"/>
              </a:cxn>
              <a:cxn ang="0">
                <a:pos x="connsiteX4903" y="connsiteY4903"/>
              </a:cxn>
              <a:cxn ang="0">
                <a:pos x="connsiteX4904" y="connsiteY4904"/>
              </a:cxn>
              <a:cxn ang="0">
                <a:pos x="connsiteX4905" y="connsiteY4905"/>
              </a:cxn>
              <a:cxn ang="0">
                <a:pos x="connsiteX4906" y="connsiteY4906"/>
              </a:cxn>
              <a:cxn ang="0">
                <a:pos x="connsiteX4907" y="connsiteY4907"/>
              </a:cxn>
              <a:cxn ang="0">
                <a:pos x="connsiteX4908" y="connsiteY4908"/>
              </a:cxn>
              <a:cxn ang="0">
                <a:pos x="connsiteX4909" y="connsiteY4909"/>
              </a:cxn>
              <a:cxn ang="0">
                <a:pos x="connsiteX4910" y="connsiteY4910"/>
              </a:cxn>
              <a:cxn ang="0">
                <a:pos x="connsiteX4911" y="connsiteY4911"/>
              </a:cxn>
              <a:cxn ang="0">
                <a:pos x="connsiteX4912" y="connsiteY4912"/>
              </a:cxn>
              <a:cxn ang="0">
                <a:pos x="connsiteX4913" y="connsiteY4913"/>
              </a:cxn>
              <a:cxn ang="0">
                <a:pos x="connsiteX4914" y="connsiteY4914"/>
              </a:cxn>
              <a:cxn ang="0">
                <a:pos x="connsiteX4915" y="connsiteY4915"/>
              </a:cxn>
              <a:cxn ang="0">
                <a:pos x="connsiteX4916" y="connsiteY4916"/>
              </a:cxn>
              <a:cxn ang="0">
                <a:pos x="connsiteX4917" y="connsiteY4917"/>
              </a:cxn>
              <a:cxn ang="0">
                <a:pos x="connsiteX4918" y="connsiteY4918"/>
              </a:cxn>
              <a:cxn ang="0">
                <a:pos x="connsiteX4919" y="connsiteY4919"/>
              </a:cxn>
              <a:cxn ang="0">
                <a:pos x="connsiteX4920" y="connsiteY4920"/>
              </a:cxn>
              <a:cxn ang="0">
                <a:pos x="connsiteX4921" y="connsiteY4921"/>
              </a:cxn>
              <a:cxn ang="0">
                <a:pos x="connsiteX4922" y="connsiteY4922"/>
              </a:cxn>
              <a:cxn ang="0">
                <a:pos x="connsiteX4923" y="connsiteY4923"/>
              </a:cxn>
              <a:cxn ang="0">
                <a:pos x="connsiteX4924" y="connsiteY4924"/>
              </a:cxn>
              <a:cxn ang="0">
                <a:pos x="connsiteX4925" y="connsiteY4925"/>
              </a:cxn>
              <a:cxn ang="0">
                <a:pos x="connsiteX4926" y="connsiteY4926"/>
              </a:cxn>
              <a:cxn ang="0">
                <a:pos x="connsiteX4927" y="connsiteY4927"/>
              </a:cxn>
              <a:cxn ang="0">
                <a:pos x="connsiteX4928" y="connsiteY4928"/>
              </a:cxn>
              <a:cxn ang="0">
                <a:pos x="connsiteX4929" y="connsiteY4929"/>
              </a:cxn>
              <a:cxn ang="0">
                <a:pos x="connsiteX4930" y="connsiteY4930"/>
              </a:cxn>
              <a:cxn ang="0">
                <a:pos x="connsiteX4931" y="connsiteY4931"/>
              </a:cxn>
              <a:cxn ang="0">
                <a:pos x="connsiteX4932" y="connsiteY4932"/>
              </a:cxn>
              <a:cxn ang="0">
                <a:pos x="connsiteX4933" y="connsiteY4933"/>
              </a:cxn>
              <a:cxn ang="0">
                <a:pos x="connsiteX4934" y="connsiteY4934"/>
              </a:cxn>
              <a:cxn ang="0">
                <a:pos x="connsiteX4935" y="connsiteY4935"/>
              </a:cxn>
              <a:cxn ang="0">
                <a:pos x="connsiteX4936" y="connsiteY4936"/>
              </a:cxn>
              <a:cxn ang="0">
                <a:pos x="connsiteX4937" y="connsiteY4937"/>
              </a:cxn>
              <a:cxn ang="0">
                <a:pos x="connsiteX4938" y="connsiteY4938"/>
              </a:cxn>
              <a:cxn ang="0">
                <a:pos x="connsiteX4939" y="connsiteY4939"/>
              </a:cxn>
              <a:cxn ang="0">
                <a:pos x="connsiteX4940" y="connsiteY4940"/>
              </a:cxn>
              <a:cxn ang="0">
                <a:pos x="connsiteX4941" y="connsiteY4941"/>
              </a:cxn>
              <a:cxn ang="0">
                <a:pos x="connsiteX4942" y="connsiteY4942"/>
              </a:cxn>
              <a:cxn ang="0">
                <a:pos x="connsiteX4943" y="connsiteY4943"/>
              </a:cxn>
              <a:cxn ang="0">
                <a:pos x="connsiteX4944" y="connsiteY4944"/>
              </a:cxn>
              <a:cxn ang="0">
                <a:pos x="connsiteX4945" y="connsiteY4945"/>
              </a:cxn>
              <a:cxn ang="0">
                <a:pos x="connsiteX4946" y="connsiteY4946"/>
              </a:cxn>
              <a:cxn ang="0">
                <a:pos x="connsiteX4947" y="connsiteY4947"/>
              </a:cxn>
              <a:cxn ang="0">
                <a:pos x="connsiteX4948" y="connsiteY4948"/>
              </a:cxn>
              <a:cxn ang="0">
                <a:pos x="connsiteX4949" y="connsiteY4949"/>
              </a:cxn>
              <a:cxn ang="0">
                <a:pos x="connsiteX4950" y="connsiteY4950"/>
              </a:cxn>
              <a:cxn ang="0">
                <a:pos x="connsiteX4951" y="connsiteY4951"/>
              </a:cxn>
              <a:cxn ang="0">
                <a:pos x="connsiteX4952" y="connsiteY4952"/>
              </a:cxn>
              <a:cxn ang="0">
                <a:pos x="connsiteX4953" y="connsiteY4953"/>
              </a:cxn>
              <a:cxn ang="0">
                <a:pos x="connsiteX4954" y="connsiteY4954"/>
              </a:cxn>
              <a:cxn ang="0">
                <a:pos x="connsiteX4955" y="connsiteY4955"/>
              </a:cxn>
              <a:cxn ang="0">
                <a:pos x="connsiteX4956" y="connsiteY4956"/>
              </a:cxn>
              <a:cxn ang="0">
                <a:pos x="connsiteX4957" y="connsiteY4957"/>
              </a:cxn>
              <a:cxn ang="0">
                <a:pos x="connsiteX4958" y="connsiteY4958"/>
              </a:cxn>
              <a:cxn ang="0">
                <a:pos x="connsiteX4959" y="connsiteY4959"/>
              </a:cxn>
              <a:cxn ang="0">
                <a:pos x="connsiteX4960" y="connsiteY4960"/>
              </a:cxn>
              <a:cxn ang="0">
                <a:pos x="connsiteX4961" y="connsiteY4961"/>
              </a:cxn>
              <a:cxn ang="0">
                <a:pos x="connsiteX4962" y="connsiteY4962"/>
              </a:cxn>
              <a:cxn ang="0">
                <a:pos x="connsiteX4963" y="connsiteY4963"/>
              </a:cxn>
              <a:cxn ang="0">
                <a:pos x="connsiteX4964" y="connsiteY4964"/>
              </a:cxn>
              <a:cxn ang="0">
                <a:pos x="connsiteX4965" y="connsiteY4965"/>
              </a:cxn>
              <a:cxn ang="0">
                <a:pos x="connsiteX4966" y="connsiteY4966"/>
              </a:cxn>
              <a:cxn ang="0">
                <a:pos x="connsiteX4967" y="connsiteY4967"/>
              </a:cxn>
              <a:cxn ang="0">
                <a:pos x="connsiteX4968" y="connsiteY4968"/>
              </a:cxn>
              <a:cxn ang="0">
                <a:pos x="connsiteX4969" y="connsiteY4969"/>
              </a:cxn>
              <a:cxn ang="0">
                <a:pos x="connsiteX4970" y="connsiteY4970"/>
              </a:cxn>
              <a:cxn ang="0">
                <a:pos x="connsiteX4971" y="connsiteY4971"/>
              </a:cxn>
              <a:cxn ang="0">
                <a:pos x="connsiteX4972" y="connsiteY4972"/>
              </a:cxn>
              <a:cxn ang="0">
                <a:pos x="connsiteX4973" y="connsiteY4973"/>
              </a:cxn>
              <a:cxn ang="0">
                <a:pos x="connsiteX4974" y="connsiteY4974"/>
              </a:cxn>
              <a:cxn ang="0">
                <a:pos x="connsiteX4975" y="connsiteY4975"/>
              </a:cxn>
              <a:cxn ang="0">
                <a:pos x="connsiteX4976" y="connsiteY4976"/>
              </a:cxn>
              <a:cxn ang="0">
                <a:pos x="connsiteX4977" y="connsiteY4977"/>
              </a:cxn>
              <a:cxn ang="0">
                <a:pos x="connsiteX4978" y="connsiteY4978"/>
              </a:cxn>
              <a:cxn ang="0">
                <a:pos x="connsiteX4979" y="connsiteY4979"/>
              </a:cxn>
              <a:cxn ang="0">
                <a:pos x="connsiteX4980" y="connsiteY4980"/>
              </a:cxn>
              <a:cxn ang="0">
                <a:pos x="connsiteX4981" y="connsiteY4981"/>
              </a:cxn>
              <a:cxn ang="0">
                <a:pos x="connsiteX4982" y="connsiteY4982"/>
              </a:cxn>
              <a:cxn ang="0">
                <a:pos x="connsiteX4983" y="connsiteY4983"/>
              </a:cxn>
              <a:cxn ang="0">
                <a:pos x="connsiteX4984" y="connsiteY4984"/>
              </a:cxn>
              <a:cxn ang="0">
                <a:pos x="connsiteX4985" y="connsiteY4985"/>
              </a:cxn>
              <a:cxn ang="0">
                <a:pos x="connsiteX4986" y="connsiteY4986"/>
              </a:cxn>
              <a:cxn ang="0">
                <a:pos x="connsiteX4987" y="connsiteY4987"/>
              </a:cxn>
              <a:cxn ang="0">
                <a:pos x="connsiteX4988" y="connsiteY4988"/>
              </a:cxn>
              <a:cxn ang="0">
                <a:pos x="connsiteX4989" y="connsiteY4989"/>
              </a:cxn>
              <a:cxn ang="0">
                <a:pos x="connsiteX4990" y="connsiteY4990"/>
              </a:cxn>
              <a:cxn ang="0">
                <a:pos x="connsiteX4991" y="connsiteY4991"/>
              </a:cxn>
              <a:cxn ang="0">
                <a:pos x="connsiteX4992" y="connsiteY4992"/>
              </a:cxn>
              <a:cxn ang="0">
                <a:pos x="connsiteX4993" y="connsiteY4993"/>
              </a:cxn>
              <a:cxn ang="0">
                <a:pos x="connsiteX4994" y="connsiteY4994"/>
              </a:cxn>
              <a:cxn ang="0">
                <a:pos x="connsiteX4995" y="connsiteY4995"/>
              </a:cxn>
              <a:cxn ang="0">
                <a:pos x="connsiteX4996" y="connsiteY4996"/>
              </a:cxn>
              <a:cxn ang="0">
                <a:pos x="connsiteX4997" y="connsiteY4997"/>
              </a:cxn>
              <a:cxn ang="0">
                <a:pos x="connsiteX4998" y="connsiteY4998"/>
              </a:cxn>
              <a:cxn ang="0">
                <a:pos x="connsiteX4999" y="connsiteY4999"/>
              </a:cxn>
              <a:cxn ang="0">
                <a:pos x="connsiteX5000" y="connsiteY5000"/>
              </a:cxn>
              <a:cxn ang="0">
                <a:pos x="connsiteX5001" y="connsiteY5001"/>
              </a:cxn>
              <a:cxn ang="0">
                <a:pos x="connsiteX5002" y="connsiteY5002"/>
              </a:cxn>
              <a:cxn ang="0">
                <a:pos x="connsiteX5003" y="connsiteY5003"/>
              </a:cxn>
              <a:cxn ang="0">
                <a:pos x="connsiteX5004" y="connsiteY5004"/>
              </a:cxn>
              <a:cxn ang="0">
                <a:pos x="connsiteX5005" y="connsiteY5005"/>
              </a:cxn>
              <a:cxn ang="0">
                <a:pos x="connsiteX5006" y="connsiteY5006"/>
              </a:cxn>
              <a:cxn ang="0">
                <a:pos x="connsiteX5007" y="connsiteY5007"/>
              </a:cxn>
              <a:cxn ang="0">
                <a:pos x="connsiteX5008" y="connsiteY5008"/>
              </a:cxn>
              <a:cxn ang="0">
                <a:pos x="connsiteX5009" y="connsiteY5009"/>
              </a:cxn>
              <a:cxn ang="0">
                <a:pos x="connsiteX5010" y="connsiteY5010"/>
              </a:cxn>
              <a:cxn ang="0">
                <a:pos x="connsiteX5011" y="connsiteY5011"/>
              </a:cxn>
              <a:cxn ang="0">
                <a:pos x="connsiteX5012" y="connsiteY5012"/>
              </a:cxn>
              <a:cxn ang="0">
                <a:pos x="connsiteX5013" y="connsiteY5013"/>
              </a:cxn>
              <a:cxn ang="0">
                <a:pos x="connsiteX5014" y="connsiteY5014"/>
              </a:cxn>
              <a:cxn ang="0">
                <a:pos x="connsiteX5015" y="connsiteY5015"/>
              </a:cxn>
              <a:cxn ang="0">
                <a:pos x="connsiteX5016" y="connsiteY5016"/>
              </a:cxn>
              <a:cxn ang="0">
                <a:pos x="connsiteX5017" y="connsiteY5017"/>
              </a:cxn>
              <a:cxn ang="0">
                <a:pos x="connsiteX5018" y="connsiteY5018"/>
              </a:cxn>
              <a:cxn ang="0">
                <a:pos x="connsiteX5019" y="connsiteY5019"/>
              </a:cxn>
              <a:cxn ang="0">
                <a:pos x="connsiteX5020" y="connsiteY5020"/>
              </a:cxn>
              <a:cxn ang="0">
                <a:pos x="connsiteX5021" y="connsiteY5021"/>
              </a:cxn>
              <a:cxn ang="0">
                <a:pos x="connsiteX5022" y="connsiteY5022"/>
              </a:cxn>
              <a:cxn ang="0">
                <a:pos x="connsiteX5023" y="connsiteY5023"/>
              </a:cxn>
              <a:cxn ang="0">
                <a:pos x="connsiteX5024" y="connsiteY5024"/>
              </a:cxn>
              <a:cxn ang="0">
                <a:pos x="connsiteX5025" y="connsiteY5025"/>
              </a:cxn>
              <a:cxn ang="0">
                <a:pos x="connsiteX5026" y="connsiteY5026"/>
              </a:cxn>
              <a:cxn ang="0">
                <a:pos x="connsiteX5027" y="connsiteY5027"/>
              </a:cxn>
              <a:cxn ang="0">
                <a:pos x="connsiteX5028" y="connsiteY5028"/>
              </a:cxn>
              <a:cxn ang="0">
                <a:pos x="connsiteX5029" y="connsiteY5029"/>
              </a:cxn>
              <a:cxn ang="0">
                <a:pos x="connsiteX5030" y="connsiteY5030"/>
              </a:cxn>
              <a:cxn ang="0">
                <a:pos x="connsiteX5031" y="connsiteY5031"/>
              </a:cxn>
              <a:cxn ang="0">
                <a:pos x="connsiteX5032" y="connsiteY5032"/>
              </a:cxn>
              <a:cxn ang="0">
                <a:pos x="connsiteX5033" y="connsiteY5033"/>
              </a:cxn>
              <a:cxn ang="0">
                <a:pos x="connsiteX5034" y="connsiteY5034"/>
              </a:cxn>
              <a:cxn ang="0">
                <a:pos x="connsiteX5035" y="connsiteY5035"/>
              </a:cxn>
              <a:cxn ang="0">
                <a:pos x="connsiteX5036" y="connsiteY5036"/>
              </a:cxn>
              <a:cxn ang="0">
                <a:pos x="connsiteX5037" y="connsiteY5037"/>
              </a:cxn>
              <a:cxn ang="0">
                <a:pos x="connsiteX5038" y="connsiteY5038"/>
              </a:cxn>
              <a:cxn ang="0">
                <a:pos x="connsiteX5039" y="connsiteY5039"/>
              </a:cxn>
              <a:cxn ang="0">
                <a:pos x="connsiteX5040" y="connsiteY5040"/>
              </a:cxn>
              <a:cxn ang="0">
                <a:pos x="connsiteX5041" y="connsiteY5041"/>
              </a:cxn>
              <a:cxn ang="0">
                <a:pos x="connsiteX5042" y="connsiteY5042"/>
              </a:cxn>
              <a:cxn ang="0">
                <a:pos x="connsiteX5043" y="connsiteY5043"/>
              </a:cxn>
              <a:cxn ang="0">
                <a:pos x="connsiteX5044" y="connsiteY5044"/>
              </a:cxn>
              <a:cxn ang="0">
                <a:pos x="connsiteX5045" y="connsiteY5045"/>
              </a:cxn>
              <a:cxn ang="0">
                <a:pos x="connsiteX5046" y="connsiteY5046"/>
              </a:cxn>
              <a:cxn ang="0">
                <a:pos x="connsiteX5047" y="connsiteY5047"/>
              </a:cxn>
              <a:cxn ang="0">
                <a:pos x="connsiteX5048" y="connsiteY5048"/>
              </a:cxn>
              <a:cxn ang="0">
                <a:pos x="connsiteX5049" y="connsiteY5049"/>
              </a:cxn>
              <a:cxn ang="0">
                <a:pos x="connsiteX5050" y="connsiteY5050"/>
              </a:cxn>
              <a:cxn ang="0">
                <a:pos x="connsiteX5051" y="connsiteY5051"/>
              </a:cxn>
              <a:cxn ang="0">
                <a:pos x="connsiteX5052" y="connsiteY5052"/>
              </a:cxn>
              <a:cxn ang="0">
                <a:pos x="connsiteX5053" y="connsiteY5053"/>
              </a:cxn>
              <a:cxn ang="0">
                <a:pos x="connsiteX5054" y="connsiteY5054"/>
              </a:cxn>
              <a:cxn ang="0">
                <a:pos x="connsiteX5055" y="connsiteY5055"/>
              </a:cxn>
              <a:cxn ang="0">
                <a:pos x="connsiteX5056" y="connsiteY5056"/>
              </a:cxn>
              <a:cxn ang="0">
                <a:pos x="connsiteX5057" y="connsiteY5057"/>
              </a:cxn>
              <a:cxn ang="0">
                <a:pos x="connsiteX5058" y="connsiteY5058"/>
              </a:cxn>
              <a:cxn ang="0">
                <a:pos x="connsiteX5059" y="connsiteY5059"/>
              </a:cxn>
              <a:cxn ang="0">
                <a:pos x="connsiteX5060" y="connsiteY5060"/>
              </a:cxn>
              <a:cxn ang="0">
                <a:pos x="connsiteX5061" y="connsiteY5061"/>
              </a:cxn>
              <a:cxn ang="0">
                <a:pos x="connsiteX5062" y="connsiteY5062"/>
              </a:cxn>
              <a:cxn ang="0">
                <a:pos x="connsiteX5063" y="connsiteY5063"/>
              </a:cxn>
              <a:cxn ang="0">
                <a:pos x="connsiteX5064" y="connsiteY5064"/>
              </a:cxn>
              <a:cxn ang="0">
                <a:pos x="connsiteX5065" y="connsiteY5065"/>
              </a:cxn>
              <a:cxn ang="0">
                <a:pos x="connsiteX5066" y="connsiteY5066"/>
              </a:cxn>
              <a:cxn ang="0">
                <a:pos x="connsiteX5067" y="connsiteY5067"/>
              </a:cxn>
              <a:cxn ang="0">
                <a:pos x="connsiteX5068" y="connsiteY5068"/>
              </a:cxn>
              <a:cxn ang="0">
                <a:pos x="connsiteX5069" y="connsiteY5069"/>
              </a:cxn>
              <a:cxn ang="0">
                <a:pos x="connsiteX5070" y="connsiteY5070"/>
              </a:cxn>
              <a:cxn ang="0">
                <a:pos x="connsiteX5071" y="connsiteY5071"/>
              </a:cxn>
              <a:cxn ang="0">
                <a:pos x="connsiteX5072" y="connsiteY5072"/>
              </a:cxn>
              <a:cxn ang="0">
                <a:pos x="connsiteX5073" y="connsiteY5073"/>
              </a:cxn>
              <a:cxn ang="0">
                <a:pos x="connsiteX5074" y="connsiteY5074"/>
              </a:cxn>
              <a:cxn ang="0">
                <a:pos x="connsiteX5075" y="connsiteY5075"/>
              </a:cxn>
              <a:cxn ang="0">
                <a:pos x="connsiteX5076" y="connsiteY5076"/>
              </a:cxn>
              <a:cxn ang="0">
                <a:pos x="connsiteX5077" y="connsiteY5077"/>
              </a:cxn>
              <a:cxn ang="0">
                <a:pos x="connsiteX5078" y="connsiteY5078"/>
              </a:cxn>
              <a:cxn ang="0">
                <a:pos x="connsiteX5079" y="connsiteY5079"/>
              </a:cxn>
              <a:cxn ang="0">
                <a:pos x="connsiteX5080" y="connsiteY5080"/>
              </a:cxn>
              <a:cxn ang="0">
                <a:pos x="connsiteX5081" y="connsiteY5081"/>
              </a:cxn>
              <a:cxn ang="0">
                <a:pos x="connsiteX5082" y="connsiteY5082"/>
              </a:cxn>
              <a:cxn ang="0">
                <a:pos x="connsiteX5083" y="connsiteY5083"/>
              </a:cxn>
              <a:cxn ang="0">
                <a:pos x="connsiteX5084" y="connsiteY5084"/>
              </a:cxn>
              <a:cxn ang="0">
                <a:pos x="connsiteX5085" y="connsiteY5085"/>
              </a:cxn>
              <a:cxn ang="0">
                <a:pos x="connsiteX5086" y="connsiteY5086"/>
              </a:cxn>
              <a:cxn ang="0">
                <a:pos x="connsiteX5087" y="connsiteY5087"/>
              </a:cxn>
              <a:cxn ang="0">
                <a:pos x="connsiteX5088" y="connsiteY5088"/>
              </a:cxn>
              <a:cxn ang="0">
                <a:pos x="connsiteX5089" y="connsiteY5089"/>
              </a:cxn>
              <a:cxn ang="0">
                <a:pos x="connsiteX5090" y="connsiteY5090"/>
              </a:cxn>
              <a:cxn ang="0">
                <a:pos x="connsiteX5091" y="connsiteY5091"/>
              </a:cxn>
              <a:cxn ang="0">
                <a:pos x="connsiteX5092" y="connsiteY5092"/>
              </a:cxn>
              <a:cxn ang="0">
                <a:pos x="connsiteX5093" y="connsiteY5093"/>
              </a:cxn>
              <a:cxn ang="0">
                <a:pos x="connsiteX5094" y="connsiteY5094"/>
              </a:cxn>
              <a:cxn ang="0">
                <a:pos x="connsiteX5095" y="connsiteY5095"/>
              </a:cxn>
              <a:cxn ang="0">
                <a:pos x="connsiteX5096" y="connsiteY5096"/>
              </a:cxn>
              <a:cxn ang="0">
                <a:pos x="connsiteX5097" y="connsiteY5097"/>
              </a:cxn>
              <a:cxn ang="0">
                <a:pos x="connsiteX5098" y="connsiteY5098"/>
              </a:cxn>
              <a:cxn ang="0">
                <a:pos x="connsiteX5099" y="connsiteY5099"/>
              </a:cxn>
              <a:cxn ang="0">
                <a:pos x="connsiteX5100" y="connsiteY5100"/>
              </a:cxn>
              <a:cxn ang="0">
                <a:pos x="connsiteX5101" y="connsiteY5101"/>
              </a:cxn>
              <a:cxn ang="0">
                <a:pos x="connsiteX5102" y="connsiteY5102"/>
              </a:cxn>
              <a:cxn ang="0">
                <a:pos x="connsiteX5103" y="connsiteY5103"/>
              </a:cxn>
              <a:cxn ang="0">
                <a:pos x="connsiteX5104" y="connsiteY5104"/>
              </a:cxn>
              <a:cxn ang="0">
                <a:pos x="connsiteX5105" y="connsiteY5105"/>
              </a:cxn>
              <a:cxn ang="0">
                <a:pos x="connsiteX5106" y="connsiteY5106"/>
              </a:cxn>
              <a:cxn ang="0">
                <a:pos x="connsiteX5107" y="connsiteY5107"/>
              </a:cxn>
              <a:cxn ang="0">
                <a:pos x="connsiteX5108" y="connsiteY5108"/>
              </a:cxn>
              <a:cxn ang="0">
                <a:pos x="connsiteX5109" y="connsiteY5109"/>
              </a:cxn>
              <a:cxn ang="0">
                <a:pos x="connsiteX5110" y="connsiteY5110"/>
              </a:cxn>
              <a:cxn ang="0">
                <a:pos x="connsiteX5111" y="connsiteY5111"/>
              </a:cxn>
              <a:cxn ang="0">
                <a:pos x="connsiteX5112" y="connsiteY5112"/>
              </a:cxn>
              <a:cxn ang="0">
                <a:pos x="connsiteX5113" y="connsiteY5113"/>
              </a:cxn>
              <a:cxn ang="0">
                <a:pos x="connsiteX5114" y="connsiteY5114"/>
              </a:cxn>
              <a:cxn ang="0">
                <a:pos x="connsiteX5115" y="connsiteY5115"/>
              </a:cxn>
              <a:cxn ang="0">
                <a:pos x="connsiteX5116" y="connsiteY5116"/>
              </a:cxn>
              <a:cxn ang="0">
                <a:pos x="connsiteX5117" y="connsiteY5117"/>
              </a:cxn>
              <a:cxn ang="0">
                <a:pos x="connsiteX5118" y="connsiteY5118"/>
              </a:cxn>
              <a:cxn ang="0">
                <a:pos x="connsiteX5119" y="connsiteY5119"/>
              </a:cxn>
              <a:cxn ang="0">
                <a:pos x="connsiteX5120" y="connsiteY5120"/>
              </a:cxn>
              <a:cxn ang="0">
                <a:pos x="connsiteX5121" y="connsiteY5121"/>
              </a:cxn>
              <a:cxn ang="0">
                <a:pos x="connsiteX5122" y="connsiteY5122"/>
              </a:cxn>
              <a:cxn ang="0">
                <a:pos x="connsiteX5123" y="connsiteY5123"/>
              </a:cxn>
              <a:cxn ang="0">
                <a:pos x="connsiteX5124" y="connsiteY5124"/>
              </a:cxn>
              <a:cxn ang="0">
                <a:pos x="connsiteX5125" y="connsiteY5125"/>
              </a:cxn>
              <a:cxn ang="0">
                <a:pos x="connsiteX5126" y="connsiteY5126"/>
              </a:cxn>
              <a:cxn ang="0">
                <a:pos x="connsiteX5127" y="connsiteY5127"/>
              </a:cxn>
              <a:cxn ang="0">
                <a:pos x="connsiteX5128" y="connsiteY5128"/>
              </a:cxn>
              <a:cxn ang="0">
                <a:pos x="connsiteX5129" y="connsiteY5129"/>
              </a:cxn>
              <a:cxn ang="0">
                <a:pos x="connsiteX5130" y="connsiteY5130"/>
              </a:cxn>
              <a:cxn ang="0">
                <a:pos x="connsiteX5131" y="connsiteY5131"/>
              </a:cxn>
              <a:cxn ang="0">
                <a:pos x="connsiteX5132" y="connsiteY5132"/>
              </a:cxn>
              <a:cxn ang="0">
                <a:pos x="connsiteX5133" y="connsiteY5133"/>
              </a:cxn>
              <a:cxn ang="0">
                <a:pos x="connsiteX5134" y="connsiteY5134"/>
              </a:cxn>
              <a:cxn ang="0">
                <a:pos x="connsiteX5135" y="connsiteY5135"/>
              </a:cxn>
              <a:cxn ang="0">
                <a:pos x="connsiteX5136" y="connsiteY5136"/>
              </a:cxn>
              <a:cxn ang="0">
                <a:pos x="connsiteX5137" y="connsiteY5137"/>
              </a:cxn>
              <a:cxn ang="0">
                <a:pos x="connsiteX5138" y="connsiteY5138"/>
              </a:cxn>
              <a:cxn ang="0">
                <a:pos x="connsiteX5139" y="connsiteY5139"/>
              </a:cxn>
              <a:cxn ang="0">
                <a:pos x="connsiteX5140" y="connsiteY5140"/>
              </a:cxn>
              <a:cxn ang="0">
                <a:pos x="connsiteX5141" y="connsiteY5141"/>
              </a:cxn>
              <a:cxn ang="0">
                <a:pos x="connsiteX5142" y="connsiteY5142"/>
              </a:cxn>
              <a:cxn ang="0">
                <a:pos x="connsiteX5143" y="connsiteY5143"/>
              </a:cxn>
              <a:cxn ang="0">
                <a:pos x="connsiteX5144" y="connsiteY5144"/>
              </a:cxn>
              <a:cxn ang="0">
                <a:pos x="connsiteX5145" y="connsiteY5145"/>
              </a:cxn>
              <a:cxn ang="0">
                <a:pos x="connsiteX5146" y="connsiteY5146"/>
              </a:cxn>
              <a:cxn ang="0">
                <a:pos x="connsiteX5147" y="connsiteY5147"/>
              </a:cxn>
              <a:cxn ang="0">
                <a:pos x="connsiteX5148" y="connsiteY5148"/>
              </a:cxn>
              <a:cxn ang="0">
                <a:pos x="connsiteX5149" y="connsiteY5149"/>
              </a:cxn>
              <a:cxn ang="0">
                <a:pos x="connsiteX5150" y="connsiteY5150"/>
              </a:cxn>
              <a:cxn ang="0">
                <a:pos x="connsiteX5151" y="connsiteY5151"/>
              </a:cxn>
              <a:cxn ang="0">
                <a:pos x="connsiteX5152" y="connsiteY5152"/>
              </a:cxn>
              <a:cxn ang="0">
                <a:pos x="connsiteX5153" y="connsiteY5153"/>
              </a:cxn>
              <a:cxn ang="0">
                <a:pos x="connsiteX5154" y="connsiteY5154"/>
              </a:cxn>
              <a:cxn ang="0">
                <a:pos x="connsiteX5155" y="connsiteY5155"/>
              </a:cxn>
              <a:cxn ang="0">
                <a:pos x="connsiteX5156" y="connsiteY5156"/>
              </a:cxn>
              <a:cxn ang="0">
                <a:pos x="connsiteX5157" y="connsiteY5157"/>
              </a:cxn>
              <a:cxn ang="0">
                <a:pos x="connsiteX5158" y="connsiteY5158"/>
              </a:cxn>
              <a:cxn ang="0">
                <a:pos x="connsiteX5159" y="connsiteY5159"/>
              </a:cxn>
              <a:cxn ang="0">
                <a:pos x="connsiteX5160" y="connsiteY5160"/>
              </a:cxn>
              <a:cxn ang="0">
                <a:pos x="connsiteX5161" y="connsiteY5161"/>
              </a:cxn>
              <a:cxn ang="0">
                <a:pos x="connsiteX5162" y="connsiteY5162"/>
              </a:cxn>
              <a:cxn ang="0">
                <a:pos x="connsiteX5163" y="connsiteY5163"/>
              </a:cxn>
              <a:cxn ang="0">
                <a:pos x="connsiteX5164" y="connsiteY5164"/>
              </a:cxn>
              <a:cxn ang="0">
                <a:pos x="connsiteX5165" y="connsiteY5165"/>
              </a:cxn>
              <a:cxn ang="0">
                <a:pos x="connsiteX5166" y="connsiteY5166"/>
              </a:cxn>
              <a:cxn ang="0">
                <a:pos x="connsiteX5167" y="connsiteY5167"/>
              </a:cxn>
              <a:cxn ang="0">
                <a:pos x="connsiteX5168" y="connsiteY5168"/>
              </a:cxn>
              <a:cxn ang="0">
                <a:pos x="connsiteX5169" y="connsiteY5169"/>
              </a:cxn>
              <a:cxn ang="0">
                <a:pos x="connsiteX5170" y="connsiteY5170"/>
              </a:cxn>
              <a:cxn ang="0">
                <a:pos x="connsiteX5171" y="connsiteY5171"/>
              </a:cxn>
              <a:cxn ang="0">
                <a:pos x="connsiteX5172" y="connsiteY5172"/>
              </a:cxn>
              <a:cxn ang="0">
                <a:pos x="connsiteX5173" y="connsiteY5173"/>
              </a:cxn>
              <a:cxn ang="0">
                <a:pos x="connsiteX5174" y="connsiteY5174"/>
              </a:cxn>
              <a:cxn ang="0">
                <a:pos x="connsiteX5175" y="connsiteY5175"/>
              </a:cxn>
              <a:cxn ang="0">
                <a:pos x="connsiteX5176" y="connsiteY5176"/>
              </a:cxn>
              <a:cxn ang="0">
                <a:pos x="connsiteX5177" y="connsiteY5177"/>
              </a:cxn>
              <a:cxn ang="0">
                <a:pos x="connsiteX5178" y="connsiteY5178"/>
              </a:cxn>
              <a:cxn ang="0">
                <a:pos x="connsiteX5179" y="connsiteY5179"/>
              </a:cxn>
              <a:cxn ang="0">
                <a:pos x="connsiteX5180" y="connsiteY5180"/>
              </a:cxn>
              <a:cxn ang="0">
                <a:pos x="connsiteX5181" y="connsiteY5181"/>
              </a:cxn>
              <a:cxn ang="0">
                <a:pos x="connsiteX5182" y="connsiteY5182"/>
              </a:cxn>
              <a:cxn ang="0">
                <a:pos x="connsiteX5183" y="connsiteY5183"/>
              </a:cxn>
              <a:cxn ang="0">
                <a:pos x="connsiteX5184" y="connsiteY5184"/>
              </a:cxn>
              <a:cxn ang="0">
                <a:pos x="connsiteX5185" y="connsiteY5185"/>
              </a:cxn>
              <a:cxn ang="0">
                <a:pos x="connsiteX5186" y="connsiteY5186"/>
              </a:cxn>
              <a:cxn ang="0">
                <a:pos x="connsiteX5187" y="connsiteY5187"/>
              </a:cxn>
              <a:cxn ang="0">
                <a:pos x="connsiteX5188" y="connsiteY5188"/>
              </a:cxn>
              <a:cxn ang="0">
                <a:pos x="connsiteX5189" y="connsiteY5189"/>
              </a:cxn>
              <a:cxn ang="0">
                <a:pos x="connsiteX5190" y="connsiteY5190"/>
              </a:cxn>
              <a:cxn ang="0">
                <a:pos x="connsiteX5191" y="connsiteY5191"/>
              </a:cxn>
              <a:cxn ang="0">
                <a:pos x="connsiteX5192" y="connsiteY5192"/>
              </a:cxn>
              <a:cxn ang="0">
                <a:pos x="connsiteX5193" y="connsiteY5193"/>
              </a:cxn>
              <a:cxn ang="0">
                <a:pos x="connsiteX5194" y="connsiteY5194"/>
              </a:cxn>
              <a:cxn ang="0">
                <a:pos x="connsiteX5195" y="connsiteY5195"/>
              </a:cxn>
              <a:cxn ang="0">
                <a:pos x="connsiteX5196" y="connsiteY5196"/>
              </a:cxn>
              <a:cxn ang="0">
                <a:pos x="connsiteX5197" y="connsiteY5197"/>
              </a:cxn>
              <a:cxn ang="0">
                <a:pos x="connsiteX5198" y="connsiteY5198"/>
              </a:cxn>
              <a:cxn ang="0">
                <a:pos x="connsiteX5199" y="connsiteY5199"/>
              </a:cxn>
              <a:cxn ang="0">
                <a:pos x="connsiteX5200" y="connsiteY5200"/>
              </a:cxn>
              <a:cxn ang="0">
                <a:pos x="connsiteX5201" y="connsiteY5201"/>
              </a:cxn>
              <a:cxn ang="0">
                <a:pos x="connsiteX5202" y="connsiteY5202"/>
              </a:cxn>
              <a:cxn ang="0">
                <a:pos x="connsiteX5203" y="connsiteY5203"/>
              </a:cxn>
              <a:cxn ang="0">
                <a:pos x="connsiteX5204" y="connsiteY5204"/>
              </a:cxn>
              <a:cxn ang="0">
                <a:pos x="connsiteX5205" y="connsiteY5205"/>
              </a:cxn>
              <a:cxn ang="0">
                <a:pos x="connsiteX5206" y="connsiteY5206"/>
              </a:cxn>
              <a:cxn ang="0">
                <a:pos x="connsiteX5207" y="connsiteY5207"/>
              </a:cxn>
              <a:cxn ang="0">
                <a:pos x="connsiteX5208" y="connsiteY5208"/>
              </a:cxn>
              <a:cxn ang="0">
                <a:pos x="connsiteX5209" y="connsiteY5209"/>
              </a:cxn>
              <a:cxn ang="0">
                <a:pos x="connsiteX5210" y="connsiteY5210"/>
              </a:cxn>
              <a:cxn ang="0">
                <a:pos x="connsiteX5211" y="connsiteY5211"/>
              </a:cxn>
              <a:cxn ang="0">
                <a:pos x="connsiteX5212" y="connsiteY5212"/>
              </a:cxn>
              <a:cxn ang="0">
                <a:pos x="connsiteX5213" y="connsiteY5213"/>
              </a:cxn>
              <a:cxn ang="0">
                <a:pos x="connsiteX5214" y="connsiteY5214"/>
              </a:cxn>
              <a:cxn ang="0">
                <a:pos x="connsiteX5215" y="connsiteY5215"/>
              </a:cxn>
              <a:cxn ang="0">
                <a:pos x="connsiteX5216" y="connsiteY5216"/>
              </a:cxn>
              <a:cxn ang="0">
                <a:pos x="connsiteX5217" y="connsiteY5217"/>
              </a:cxn>
              <a:cxn ang="0">
                <a:pos x="connsiteX5218" y="connsiteY5218"/>
              </a:cxn>
              <a:cxn ang="0">
                <a:pos x="connsiteX5219" y="connsiteY5219"/>
              </a:cxn>
              <a:cxn ang="0">
                <a:pos x="connsiteX5220" y="connsiteY5220"/>
              </a:cxn>
              <a:cxn ang="0">
                <a:pos x="connsiteX5221" y="connsiteY5221"/>
              </a:cxn>
              <a:cxn ang="0">
                <a:pos x="connsiteX5222" y="connsiteY5222"/>
              </a:cxn>
              <a:cxn ang="0">
                <a:pos x="connsiteX5223" y="connsiteY5223"/>
              </a:cxn>
              <a:cxn ang="0">
                <a:pos x="connsiteX5224" y="connsiteY5224"/>
              </a:cxn>
              <a:cxn ang="0">
                <a:pos x="connsiteX5225" y="connsiteY5225"/>
              </a:cxn>
              <a:cxn ang="0">
                <a:pos x="connsiteX5226" y="connsiteY5226"/>
              </a:cxn>
              <a:cxn ang="0">
                <a:pos x="connsiteX5227" y="connsiteY5227"/>
              </a:cxn>
              <a:cxn ang="0">
                <a:pos x="connsiteX5228" y="connsiteY5228"/>
              </a:cxn>
              <a:cxn ang="0">
                <a:pos x="connsiteX5229" y="connsiteY5229"/>
              </a:cxn>
              <a:cxn ang="0">
                <a:pos x="connsiteX5230" y="connsiteY5230"/>
              </a:cxn>
              <a:cxn ang="0">
                <a:pos x="connsiteX5231" y="connsiteY5231"/>
              </a:cxn>
              <a:cxn ang="0">
                <a:pos x="connsiteX5232" y="connsiteY5232"/>
              </a:cxn>
              <a:cxn ang="0">
                <a:pos x="connsiteX5233" y="connsiteY5233"/>
              </a:cxn>
              <a:cxn ang="0">
                <a:pos x="connsiteX5234" y="connsiteY5234"/>
              </a:cxn>
              <a:cxn ang="0">
                <a:pos x="connsiteX5235" y="connsiteY5235"/>
              </a:cxn>
              <a:cxn ang="0">
                <a:pos x="connsiteX5236" y="connsiteY5236"/>
              </a:cxn>
              <a:cxn ang="0">
                <a:pos x="connsiteX5237" y="connsiteY5237"/>
              </a:cxn>
              <a:cxn ang="0">
                <a:pos x="connsiteX5238" y="connsiteY5238"/>
              </a:cxn>
              <a:cxn ang="0">
                <a:pos x="connsiteX5239" y="connsiteY5239"/>
              </a:cxn>
              <a:cxn ang="0">
                <a:pos x="connsiteX5240" y="connsiteY5240"/>
              </a:cxn>
              <a:cxn ang="0">
                <a:pos x="connsiteX5241" y="connsiteY5241"/>
              </a:cxn>
              <a:cxn ang="0">
                <a:pos x="connsiteX5242" y="connsiteY5242"/>
              </a:cxn>
              <a:cxn ang="0">
                <a:pos x="connsiteX5243" y="connsiteY5243"/>
              </a:cxn>
              <a:cxn ang="0">
                <a:pos x="connsiteX5244" y="connsiteY5244"/>
              </a:cxn>
              <a:cxn ang="0">
                <a:pos x="connsiteX5245" y="connsiteY5245"/>
              </a:cxn>
              <a:cxn ang="0">
                <a:pos x="connsiteX5246" y="connsiteY5246"/>
              </a:cxn>
              <a:cxn ang="0">
                <a:pos x="connsiteX5247" y="connsiteY5247"/>
              </a:cxn>
              <a:cxn ang="0">
                <a:pos x="connsiteX5248" y="connsiteY5248"/>
              </a:cxn>
              <a:cxn ang="0">
                <a:pos x="connsiteX5249" y="connsiteY5249"/>
              </a:cxn>
              <a:cxn ang="0">
                <a:pos x="connsiteX5250" y="connsiteY5250"/>
              </a:cxn>
              <a:cxn ang="0">
                <a:pos x="connsiteX5251" y="connsiteY5251"/>
              </a:cxn>
              <a:cxn ang="0">
                <a:pos x="connsiteX5252" y="connsiteY5252"/>
              </a:cxn>
              <a:cxn ang="0">
                <a:pos x="connsiteX5253" y="connsiteY5253"/>
              </a:cxn>
              <a:cxn ang="0">
                <a:pos x="connsiteX5254" y="connsiteY5254"/>
              </a:cxn>
              <a:cxn ang="0">
                <a:pos x="connsiteX5255" y="connsiteY5255"/>
              </a:cxn>
              <a:cxn ang="0">
                <a:pos x="connsiteX5256" y="connsiteY5256"/>
              </a:cxn>
              <a:cxn ang="0">
                <a:pos x="connsiteX5257" y="connsiteY5257"/>
              </a:cxn>
              <a:cxn ang="0">
                <a:pos x="connsiteX5258" y="connsiteY5258"/>
              </a:cxn>
              <a:cxn ang="0">
                <a:pos x="connsiteX5259" y="connsiteY5259"/>
              </a:cxn>
              <a:cxn ang="0">
                <a:pos x="connsiteX5260" y="connsiteY5260"/>
              </a:cxn>
              <a:cxn ang="0">
                <a:pos x="connsiteX5261" y="connsiteY5261"/>
              </a:cxn>
              <a:cxn ang="0">
                <a:pos x="connsiteX5262" y="connsiteY5262"/>
              </a:cxn>
              <a:cxn ang="0">
                <a:pos x="connsiteX5263" y="connsiteY5263"/>
              </a:cxn>
              <a:cxn ang="0">
                <a:pos x="connsiteX5264" y="connsiteY5264"/>
              </a:cxn>
              <a:cxn ang="0">
                <a:pos x="connsiteX5265" y="connsiteY5265"/>
              </a:cxn>
              <a:cxn ang="0">
                <a:pos x="connsiteX5266" y="connsiteY5266"/>
              </a:cxn>
              <a:cxn ang="0">
                <a:pos x="connsiteX5267" y="connsiteY5267"/>
              </a:cxn>
              <a:cxn ang="0">
                <a:pos x="connsiteX5268" y="connsiteY5268"/>
              </a:cxn>
              <a:cxn ang="0">
                <a:pos x="connsiteX5269" y="connsiteY5269"/>
              </a:cxn>
              <a:cxn ang="0">
                <a:pos x="connsiteX5270" y="connsiteY5270"/>
              </a:cxn>
              <a:cxn ang="0">
                <a:pos x="connsiteX5271" y="connsiteY5271"/>
              </a:cxn>
              <a:cxn ang="0">
                <a:pos x="connsiteX5272" y="connsiteY5272"/>
              </a:cxn>
              <a:cxn ang="0">
                <a:pos x="connsiteX5273" y="connsiteY5273"/>
              </a:cxn>
              <a:cxn ang="0">
                <a:pos x="connsiteX5274" y="connsiteY5274"/>
              </a:cxn>
              <a:cxn ang="0">
                <a:pos x="connsiteX5275" y="connsiteY5275"/>
              </a:cxn>
              <a:cxn ang="0">
                <a:pos x="connsiteX5276" y="connsiteY5276"/>
              </a:cxn>
              <a:cxn ang="0">
                <a:pos x="connsiteX5277" y="connsiteY5277"/>
              </a:cxn>
              <a:cxn ang="0">
                <a:pos x="connsiteX5278" y="connsiteY5278"/>
              </a:cxn>
              <a:cxn ang="0">
                <a:pos x="connsiteX5279" y="connsiteY5279"/>
              </a:cxn>
              <a:cxn ang="0">
                <a:pos x="connsiteX5280" y="connsiteY5280"/>
              </a:cxn>
              <a:cxn ang="0">
                <a:pos x="connsiteX5281" y="connsiteY5281"/>
              </a:cxn>
              <a:cxn ang="0">
                <a:pos x="connsiteX5282" y="connsiteY5282"/>
              </a:cxn>
              <a:cxn ang="0">
                <a:pos x="connsiteX5283" y="connsiteY5283"/>
              </a:cxn>
              <a:cxn ang="0">
                <a:pos x="connsiteX5284" y="connsiteY5284"/>
              </a:cxn>
              <a:cxn ang="0">
                <a:pos x="connsiteX5285" y="connsiteY5285"/>
              </a:cxn>
              <a:cxn ang="0">
                <a:pos x="connsiteX5286" y="connsiteY5286"/>
              </a:cxn>
              <a:cxn ang="0">
                <a:pos x="connsiteX5287" y="connsiteY5287"/>
              </a:cxn>
              <a:cxn ang="0">
                <a:pos x="connsiteX5288" y="connsiteY5288"/>
              </a:cxn>
              <a:cxn ang="0">
                <a:pos x="connsiteX5289" y="connsiteY5289"/>
              </a:cxn>
              <a:cxn ang="0">
                <a:pos x="connsiteX5290" y="connsiteY5290"/>
              </a:cxn>
              <a:cxn ang="0">
                <a:pos x="connsiteX5291" y="connsiteY5291"/>
              </a:cxn>
              <a:cxn ang="0">
                <a:pos x="connsiteX5292" y="connsiteY5292"/>
              </a:cxn>
              <a:cxn ang="0">
                <a:pos x="connsiteX5293" y="connsiteY5293"/>
              </a:cxn>
              <a:cxn ang="0">
                <a:pos x="connsiteX5294" y="connsiteY5294"/>
              </a:cxn>
              <a:cxn ang="0">
                <a:pos x="connsiteX5295" y="connsiteY5295"/>
              </a:cxn>
              <a:cxn ang="0">
                <a:pos x="connsiteX5296" y="connsiteY5296"/>
              </a:cxn>
              <a:cxn ang="0">
                <a:pos x="connsiteX5297" y="connsiteY5297"/>
              </a:cxn>
              <a:cxn ang="0">
                <a:pos x="connsiteX5298" y="connsiteY5298"/>
              </a:cxn>
              <a:cxn ang="0">
                <a:pos x="connsiteX5299" y="connsiteY5299"/>
              </a:cxn>
              <a:cxn ang="0">
                <a:pos x="connsiteX5300" y="connsiteY5300"/>
              </a:cxn>
              <a:cxn ang="0">
                <a:pos x="connsiteX5301" y="connsiteY5301"/>
              </a:cxn>
              <a:cxn ang="0">
                <a:pos x="connsiteX5302" y="connsiteY5302"/>
              </a:cxn>
              <a:cxn ang="0">
                <a:pos x="connsiteX5303" y="connsiteY5303"/>
              </a:cxn>
              <a:cxn ang="0">
                <a:pos x="connsiteX5304" y="connsiteY5304"/>
              </a:cxn>
              <a:cxn ang="0">
                <a:pos x="connsiteX5305" y="connsiteY5305"/>
              </a:cxn>
              <a:cxn ang="0">
                <a:pos x="connsiteX5306" y="connsiteY5306"/>
              </a:cxn>
              <a:cxn ang="0">
                <a:pos x="connsiteX5307" y="connsiteY5307"/>
              </a:cxn>
              <a:cxn ang="0">
                <a:pos x="connsiteX5308" y="connsiteY5308"/>
              </a:cxn>
              <a:cxn ang="0">
                <a:pos x="connsiteX5309" y="connsiteY5309"/>
              </a:cxn>
              <a:cxn ang="0">
                <a:pos x="connsiteX5310" y="connsiteY5310"/>
              </a:cxn>
              <a:cxn ang="0">
                <a:pos x="connsiteX5311" y="connsiteY5311"/>
              </a:cxn>
              <a:cxn ang="0">
                <a:pos x="connsiteX5312" y="connsiteY5312"/>
              </a:cxn>
              <a:cxn ang="0">
                <a:pos x="connsiteX5313" y="connsiteY5313"/>
              </a:cxn>
              <a:cxn ang="0">
                <a:pos x="connsiteX5314" y="connsiteY5314"/>
              </a:cxn>
              <a:cxn ang="0">
                <a:pos x="connsiteX5315" y="connsiteY5315"/>
              </a:cxn>
              <a:cxn ang="0">
                <a:pos x="connsiteX5316" y="connsiteY5316"/>
              </a:cxn>
              <a:cxn ang="0">
                <a:pos x="connsiteX5317" y="connsiteY5317"/>
              </a:cxn>
              <a:cxn ang="0">
                <a:pos x="connsiteX5318" y="connsiteY5318"/>
              </a:cxn>
              <a:cxn ang="0">
                <a:pos x="connsiteX5319" y="connsiteY5319"/>
              </a:cxn>
              <a:cxn ang="0">
                <a:pos x="connsiteX5320" y="connsiteY5320"/>
              </a:cxn>
              <a:cxn ang="0">
                <a:pos x="connsiteX5321" y="connsiteY5321"/>
              </a:cxn>
              <a:cxn ang="0">
                <a:pos x="connsiteX5322" y="connsiteY5322"/>
              </a:cxn>
              <a:cxn ang="0">
                <a:pos x="connsiteX5323" y="connsiteY5323"/>
              </a:cxn>
              <a:cxn ang="0">
                <a:pos x="connsiteX5324" y="connsiteY5324"/>
              </a:cxn>
              <a:cxn ang="0">
                <a:pos x="connsiteX5325" y="connsiteY5325"/>
              </a:cxn>
              <a:cxn ang="0">
                <a:pos x="connsiteX5326" y="connsiteY5326"/>
              </a:cxn>
              <a:cxn ang="0">
                <a:pos x="connsiteX5327" y="connsiteY5327"/>
              </a:cxn>
              <a:cxn ang="0">
                <a:pos x="connsiteX5328" y="connsiteY5328"/>
              </a:cxn>
              <a:cxn ang="0">
                <a:pos x="connsiteX5329" y="connsiteY5329"/>
              </a:cxn>
              <a:cxn ang="0">
                <a:pos x="connsiteX5330" y="connsiteY5330"/>
              </a:cxn>
              <a:cxn ang="0">
                <a:pos x="connsiteX5331" y="connsiteY5331"/>
              </a:cxn>
              <a:cxn ang="0">
                <a:pos x="connsiteX5332" y="connsiteY5332"/>
              </a:cxn>
              <a:cxn ang="0">
                <a:pos x="connsiteX5333" y="connsiteY5333"/>
              </a:cxn>
              <a:cxn ang="0">
                <a:pos x="connsiteX5334" y="connsiteY5334"/>
              </a:cxn>
              <a:cxn ang="0">
                <a:pos x="connsiteX5335" y="connsiteY5335"/>
              </a:cxn>
              <a:cxn ang="0">
                <a:pos x="connsiteX5336" y="connsiteY5336"/>
              </a:cxn>
              <a:cxn ang="0">
                <a:pos x="connsiteX5337" y="connsiteY5337"/>
              </a:cxn>
              <a:cxn ang="0">
                <a:pos x="connsiteX5338" y="connsiteY5338"/>
              </a:cxn>
              <a:cxn ang="0">
                <a:pos x="connsiteX5339" y="connsiteY5339"/>
              </a:cxn>
              <a:cxn ang="0">
                <a:pos x="connsiteX5340" y="connsiteY5340"/>
              </a:cxn>
              <a:cxn ang="0">
                <a:pos x="connsiteX5341" y="connsiteY5341"/>
              </a:cxn>
              <a:cxn ang="0">
                <a:pos x="connsiteX5342" y="connsiteY5342"/>
              </a:cxn>
              <a:cxn ang="0">
                <a:pos x="connsiteX5343" y="connsiteY5343"/>
              </a:cxn>
              <a:cxn ang="0">
                <a:pos x="connsiteX5344" y="connsiteY5344"/>
              </a:cxn>
              <a:cxn ang="0">
                <a:pos x="connsiteX5345" y="connsiteY5345"/>
              </a:cxn>
              <a:cxn ang="0">
                <a:pos x="connsiteX5346" y="connsiteY5346"/>
              </a:cxn>
              <a:cxn ang="0">
                <a:pos x="connsiteX5347" y="connsiteY5347"/>
              </a:cxn>
              <a:cxn ang="0">
                <a:pos x="connsiteX5348" y="connsiteY5348"/>
              </a:cxn>
              <a:cxn ang="0">
                <a:pos x="connsiteX5349" y="connsiteY5349"/>
              </a:cxn>
              <a:cxn ang="0">
                <a:pos x="connsiteX5350" y="connsiteY5350"/>
              </a:cxn>
              <a:cxn ang="0">
                <a:pos x="connsiteX5351" y="connsiteY5351"/>
              </a:cxn>
              <a:cxn ang="0">
                <a:pos x="connsiteX5352" y="connsiteY5352"/>
              </a:cxn>
              <a:cxn ang="0">
                <a:pos x="connsiteX5353" y="connsiteY5353"/>
              </a:cxn>
              <a:cxn ang="0">
                <a:pos x="connsiteX5354" y="connsiteY5354"/>
              </a:cxn>
              <a:cxn ang="0">
                <a:pos x="connsiteX5355" y="connsiteY5355"/>
              </a:cxn>
              <a:cxn ang="0">
                <a:pos x="connsiteX5356" y="connsiteY5356"/>
              </a:cxn>
              <a:cxn ang="0">
                <a:pos x="connsiteX5357" y="connsiteY5357"/>
              </a:cxn>
              <a:cxn ang="0">
                <a:pos x="connsiteX5358" y="connsiteY5358"/>
              </a:cxn>
              <a:cxn ang="0">
                <a:pos x="connsiteX5359" y="connsiteY5359"/>
              </a:cxn>
              <a:cxn ang="0">
                <a:pos x="connsiteX5360" y="connsiteY5360"/>
              </a:cxn>
              <a:cxn ang="0">
                <a:pos x="connsiteX5361" y="connsiteY5361"/>
              </a:cxn>
              <a:cxn ang="0">
                <a:pos x="connsiteX5362" y="connsiteY5362"/>
              </a:cxn>
              <a:cxn ang="0">
                <a:pos x="connsiteX5363" y="connsiteY5363"/>
              </a:cxn>
              <a:cxn ang="0">
                <a:pos x="connsiteX5364" y="connsiteY5364"/>
              </a:cxn>
              <a:cxn ang="0">
                <a:pos x="connsiteX5365" y="connsiteY5365"/>
              </a:cxn>
              <a:cxn ang="0">
                <a:pos x="connsiteX5366" y="connsiteY5366"/>
              </a:cxn>
              <a:cxn ang="0">
                <a:pos x="connsiteX5367" y="connsiteY5367"/>
              </a:cxn>
              <a:cxn ang="0">
                <a:pos x="connsiteX5368" y="connsiteY5368"/>
              </a:cxn>
              <a:cxn ang="0">
                <a:pos x="connsiteX5369" y="connsiteY5369"/>
              </a:cxn>
              <a:cxn ang="0">
                <a:pos x="connsiteX5370" y="connsiteY5370"/>
              </a:cxn>
              <a:cxn ang="0">
                <a:pos x="connsiteX5371" y="connsiteY5371"/>
              </a:cxn>
              <a:cxn ang="0">
                <a:pos x="connsiteX5372" y="connsiteY5372"/>
              </a:cxn>
              <a:cxn ang="0">
                <a:pos x="connsiteX5373" y="connsiteY5373"/>
              </a:cxn>
              <a:cxn ang="0">
                <a:pos x="connsiteX5374" y="connsiteY5374"/>
              </a:cxn>
              <a:cxn ang="0">
                <a:pos x="connsiteX5375" y="connsiteY5375"/>
              </a:cxn>
              <a:cxn ang="0">
                <a:pos x="connsiteX5376" y="connsiteY5376"/>
              </a:cxn>
              <a:cxn ang="0">
                <a:pos x="connsiteX5377" y="connsiteY5377"/>
              </a:cxn>
              <a:cxn ang="0">
                <a:pos x="connsiteX5378" y="connsiteY5378"/>
              </a:cxn>
              <a:cxn ang="0">
                <a:pos x="connsiteX5379" y="connsiteY5379"/>
              </a:cxn>
              <a:cxn ang="0">
                <a:pos x="connsiteX5380" y="connsiteY5380"/>
              </a:cxn>
              <a:cxn ang="0">
                <a:pos x="connsiteX5381" y="connsiteY5381"/>
              </a:cxn>
              <a:cxn ang="0">
                <a:pos x="connsiteX5382" y="connsiteY5382"/>
              </a:cxn>
              <a:cxn ang="0">
                <a:pos x="connsiteX5383" y="connsiteY5383"/>
              </a:cxn>
              <a:cxn ang="0">
                <a:pos x="connsiteX5384" y="connsiteY5384"/>
              </a:cxn>
              <a:cxn ang="0">
                <a:pos x="connsiteX5385" y="connsiteY5385"/>
              </a:cxn>
              <a:cxn ang="0">
                <a:pos x="connsiteX5386" y="connsiteY5386"/>
              </a:cxn>
              <a:cxn ang="0">
                <a:pos x="connsiteX5387" y="connsiteY5387"/>
              </a:cxn>
              <a:cxn ang="0">
                <a:pos x="connsiteX5388" y="connsiteY5388"/>
              </a:cxn>
              <a:cxn ang="0">
                <a:pos x="connsiteX5389" y="connsiteY5389"/>
              </a:cxn>
              <a:cxn ang="0">
                <a:pos x="connsiteX5390" y="connsiteY5390"/>
              </a:cxn>
              <a:cxn ang="0">
                <a:pos x="connsiteX5391" y="connsiteY5391"/>
              </a:cxn>
              <a:cxn ang="0">
                <a:pos x="connsiteX5392" y="connsiteY5392"/>
              </a:cxn>
              <a:cxn ang="0">
                <a:pos x="connsiteX5393" y="connsiteY5393"/>
              </a:cxn>
              <a:cxn ang="0">
                <a:pos x="connsiteX5394" y="connsiteY5394"/>
              </a:cxn>
              <a:cxn ang="0">
                <a:pos x="connsiteX5395" y="connsiteY5395"/>
              </a:cxn>
              <a:cxn ang="0">
                <a:pos x="connsiteX5396" y="connsiteY5396"/>
              </a:cxn>
              <a:cxn ang="0">
                <a:pos x="connsiteX5397" y="connsiteY5397"/>
              </a:cxn>
              <a:cxn ang="0">
                <a:pos x="connsiteX5398" y="connsiteY5398"/>
              </a:cxn>
              <a:cxn ang="0">
                <a:pos x="connsiteX5399" y="connsiteY5399"/>
              </a:cxn>
              <a:cxn ang="0">
                <a:pos x="connsiteX5400" y="connsiteY5400"/>
              </a:cxn>
              <a:cxn ang="0">
                <a:pos x="connsiteX5401" y="connsiteY5401"/>
              </a:cxn>
              <a:cxn ang="0">
                <a:pos x="connsiteX5402" y="connsiteY5402"/>
              </a:cxn>
              <a:cxn ang="0">
                <a:pos x="connsiteX5403" y="connsiteY5403"/>
              </a:cxn>
              <a:cxn ang="0">
                <a:pos x="connsiteX5404" y="connsiteY5404"/>
              </a:cxn>
              <a:cxn ang="0">
                <a:pos x="connsiteX5405" y="connsiteY5405"/>
              </a:cxn>
              <a:cxn ang="0">
                <a:pos x="connsiteX5406" y="connsiteY5406"/>
              </a:cxn>
              <a:cxn ang="0">
                <a:pos x="connsiteX5407" y="connsiteY5407"/>
              </a:cxn>
              <a:cxn ang="0">
                <a:pos x="connsiteX5408" y="connsiteY5408"/>
              </a:cxn>
              <a:cxn ang="0">
                <a:pos x="connsiteX5409" y="connsiteY5409"/>
              </a:cxn>
              <a:cxn ang="0">
                <a:pos x="connsiteX5410" y="connsiteY5410"/>
              </a:cxn>
              <a:cxn ang="0">
                <a:pos x="connsiteX5411" y="connsiteY5411"/>
              </a:cxn>
              <a:cxn ang="0">
                <a:pos x="connsiteX5412" y="connsiteY5412"/>
              </a:cxn>
              <a:cxn ang="0">
                <a:pos x="connsiteX5413" y="connsiteY5413"/>
              </a:cxn>
              <a:cxn ang="0">
                <a:pos x="connsiteX5414" y="connsiteY5414"/>
              </a:cxn>
              <a:cxn ang="0">
                <a:pos x="connsiteX5415" y="connsiteY5415"/>
              </a:cxn>
              <a:cxn ang="0">
                <a:pos x="connsiteX5416" y="connsiteY5416"/>
              </a:cxn>
              <a:cxn ang="0">
                <a:pos x="connsiteX5417" y="connsiteY5417"/>
              </a:cxn>
              <a:cxn ang="0">
                <a:pos x="connsiteX5418" y="connsiteY5418"/>
              </a:cxn>
              <a:cxn ang="0">
                <a:pos x="connsiteX5419" y="connsiteY5419"/>
              </a:cxn>
              <a:cxn ang="0">
                <a:pos x="connsiteX5420" y="connsiteY5420"/>
              </a:cxn>
              <a:cxn ang="0">
                <a:pos x="connsiteX5421" y="connsiteY5421"/>
              </a:cxn>
              <a:cxn ang="0">
                <a:pos x="connsiteX5422" y="connsiteY5422"/>
              </a:cxn>
              <a:cxn ang="0">
                <a:pos x="connsiteX5423" y="connsiteY5423"/>
              </a:cxn>
              <a:cxn ang="0">
                <a:pos x="connsiteX5424" y="connsiteY5424"/>
              </a:cxn>
              <a:cxn ang="0">
                <a:pos x="connsiteX5425" y="connsiteY5425"/>
              </a:cxn>
              <a:cxn ang="0">
                <a:pos x="connsiteX5426" y="connsiteY5426"/>
              </a:cxn>
              <a:cxn ang="0">
                <a:pos x="connsiteX5427" y="connsiteY5427"/>
              </a:cxn>
              <a:cxn ang="0">
                <a:pos x="connsiteX5428" y="connsiteY5428"/>
              </a:cxn>
              <a:cxn ang="0">
                <a:pos x="connsiteX5429" y="connsiteY5429"/>
              </a:cxn>
              <a:cxn ang="0">
                <a:pos x="connsiteX5430" y="connsiteY5430"/>
              </a:cxn>
              <a:cxn ang="0">
                <a:pos x="connsiteX5431" y="connsiteY5431"/>
              </a:cxn>
              <a:cxn ang="0">
                <a:pos x="connsiteX5432" y="connsiteY5432"/>
              </a:cxn>
              <a:cxn ang="0">
                <a:pos x="connsiteX5433" y="connsiteY5433"/>
              </a:cxn>
              <a:cxn ang="0">
                <a:pos x="connsiteX5434" y="connsiteY5434"/>
              </a:cxn>
              <a:cxn ang="0">
                <a:pos x="connsiteX5435" y="connsiteY5435"/>
              </a:cxn>
              <a:cxn ang="0">
                <a:pos x="connsiteX5436" y="connsiteY5436"/>
              </a:cxn>
              <a:cxn ang="0">
                <a:pos x="connsiteX5437" y="connsiteY5437"/>
              </a:cxn>
              <a:cxn ang="0">
                <a:pos x="connsiteX5438" y="connsiteY5438"/>
              </a:cxn>
              <a:cxn ang="0">
                <a:pos x="connsiteX5439" y="connsiteY5439"/>
              </a:cxn>
              <a:cxn ang="0">
                <a:pos x="connsiteX5440" y="connsiteY5440"/>
              </a:cxn>
              <a:cxn ang="0">
                <a:pos x="connsiteX5441" y="connsiteY5441"/>
              </a:cxn>
              <a:cxn ang="0">
                <a:pos x="connsiteX5442" y="connsiteY5442"/>
              </a:cxn>
              <a:cxn ang="0">
                <a:pos x="connsiteX5443" y="connsiteY5443"/>
              </a:cxn>
              <a:cxn ang="0">
                <a:pos x="connsiteX5444" y="connsiteY5444"/>
              </a:cxn>
              <a:cxn ang="0">
                <a:pos x="connsiteX5445" y="connsiteY5445"/>
              </a:cxn>
              <a:cxn ang="0">
                <a:pos x="connsiteX5446" y="connsiteY5446"/>
              </a:cxn>
              <a:cxn ang="0">
                <a:pos x="connsiteX5447" y="connsiteY5447"/>
              </a:cxn>
              <a:cxn ang="0">
                <a:pos x="connsiteX5448" y="connsiteY5448"/>
              </a:cxn>
              <a:cxn ang="0">
                <a:pos x="connsiteX5449" y="connsiteY5449"/>
              </a:cxn>
              <a:cxn ang="0">
                <a:pos x="connsiteX5450" y="connsiteY5450"/>
              </a:cxn>
              <a:cxn ang="0">
                <a:pos x="connsiteX5451" y="connsiteY5451"/>
              </a:cxn>
              <a:cxn ang="0">
                <a:pos x="connsiteX5452" y="connsiteY5452"/>
              </a:cxn>
              <a:cxn ang="0">
                <a:pos x="connsiteX5453" y="connsiteY5453"/>
              </a:cxn>
              <a:cxn ang="0">
                <a:pos x="connsiteX5454" y="connsiteY5454"/>
              </a:cxn>
              <a:cxn ang="0">
                <a:pos x="connsiteX5455" y="connsiteY5455"/>
              </a:cxn>
              <a:cxn ang="0">
                <a:pos x="connsiteX5456" y="connsiteY5456"/>
              </a:cxn>
              <a:cxn ang="0">
                <a:pos x="connsiteX5457" y="connsiteY5457"/>
              </a:cxn>
              <a:cxn ang="0">
                <a:pos x="connsiteX5458" y="connsiteY5458"/>
              </a:cxn>
              <a:cxn ang="0">
                <a:pos x="connsiteX5459" y="connsiteY5459"/>
              </a:cxn>
              <a:cxn ang="0">
                <a:pos x="connsiteX5460" y="connsiteY5460"/>
              </a:cxn>
              <a:cxn ang="0">
                <a:pos x="connsiteX5461" y="connsiteY5461"/>
              </a:cxn>
              <a:cxn ang="0">
                <a:pos x="connsiteX5462" y="connsiteY5462"/>
              </a:cxn>
              <a:cxn ang="0">
                <a:pos x="connsiteX5463" y="connsiteY5463"/>
              </a:cxn>
              <a:cxn ang="0">
                <a:pos x="connsiteX5464" y="connsiteY5464"/>
              </a:cxn>
              <a:cxn ang="0">
                <a:pos x="connsiteX5465" y="connsiteY5465"/>
              </a:cxn>
              <a:cxn ang="0">
                <a:pos x="connsiteX5466" y="connsiteY5466"/>
              </a:cxn>
              <a:cxn ang="0">
                <a:pos x="connsiteX5467" y="connsiteY5467"/>
              </a:cxn>
              <a:cxn ang="0">
                <a:pos x="connsiteX5468" y="connsiteY5468"/>
              </a:cxn>
              <a:cxn ang="0">
                <a:pos x="connsiteX5469" y="connsiteY5469"/>
              </a:cxn>
              <a:cxn ang="0">
                <a:pos x="connsiteX5470" y="connsiteY5470"/>
              </a:cxn>
              <a:cxn ang="0">
                <a:pos x="connsiteX5471" y="connsiteY5471"/>
              </a:cxn>
              <a:cxn ang="0">
                <a:pos x="connsiteX5472" y="connsiteY5472"/>
              </a:cxn>
              <a:cxn ang="0">
                <a:pos x="connsiteX5473" y="connsiteY5473"/>
              </a:cxn>
              <a:cxn ang="0">
                <a:pos x="connsiteX5474" y="connsiteY5474"/>
              </a:cxn>
              <a:cxn ang="0">
                <a:pos x="connsiteX5475" y="connsiteY5475"/>
              </a:cxn>
              <a:cxn ang="0">
                <a:pos x="connsiteX5476" y="connsiteY5476"/>
              </a:cxn>
              <a:cxn ang="0">
                <a:pos x="connsiteX5477" y="connsiteY5477"/>
              </a:cxn>
              <a:cxn ang="0">
                <a:pos x="connsiteX5478" y="connsiteY5478"/>
              </a:cxn>
              <a:cxn ang="0">
                <a:pos x="connsiteX5479" y="connsiteY5479"/>
              </a:cxn>
              <a:cxn ang="0">
                <a:pos x="connsiteX5480" y="connsiteY5480"/>
              </a:cxn>
              <a:cxn ang="0">
                <a:pos x="connsiteX5481" y="connsiteY5481"/>
              </a:cxn>
              <a:cxn ang="0">
                <a:pos x="connsiteX5482" y="connsiteY5482"/>
              </a:cxn>
              <a:cxn ang="0">
                <a:pos x="connsiteX5483" y="connsiteY5483"/>
              </a:cxn>
              <a:cxn ang="0">
                <a:pos x="connsiteX5484" y="connsiteY5484"/>
              </a:cxn>
              <a:cxn ang="0">
                <a:pos x="connsiteX5485" y="connsiteY5485"/>
              </a:cxn>
              <a:cxn ang="0">
                <a:pos x="connsiteX5486" y="connsiteY5486"/>
              </a:cxn>
              <a:cxn ang="0">
                <a:pos x="connsiteX5487" y="connsiteY5487"/>
              </a:cxn>
              <a:cxn ang="0">
                <a:pos x="connsiteX5488" y="connsiteY5488"/>
              </a:cxn>
              <a:cxn ang="0">
                <a:pos x="connsiteX5489" y="connsiteY5489"/>
              </a:cxn>
              <a:cxn ang="0">
                <a:pos x="connsiteX5490" y="connsiteY5490"/>
              </a:cxn>
              <a:cxn ang="0">
                <a:pos x="connsiteX5491" y="connsiteY5491"/>
              </a:cxn>
              <a:cxn ang="0">
                <a:pos x="connsiteX5492" y="connsiteY5492"/>
              </a:cxn>
              <a:cxn ang="0">
                <a:pos x="connsiteX5493" y="connsiteY5493"/>
              </a:cxn>
              <a:cxn ang="0">
                <a:pos x="connsiteX5494" y="connsiteY5494"/>
              </a:cxn>
              <a:cxn ang="0">
                <a:pos x="connsiteX5495" y="connsiteY5495"/>
              </a:cxn>
              <a:cxn ang="0">
                <a:pos x="connsiteX5496" y="connsiteY5496"/>
              </a:cxn>
              <a:cxn ang="0">
                <a:pos x="connsiteX5497" y="connsiteY5497"/>
              </a:cxn>
              <a:cxn ang="0">
                <a:pos x="connsiteX5498" y="connsiteY5498"/>
              </a:cxn>
              <a:cxn ang="0">
                <a:pos x="connsiteX5499" y="connsiteY5499"/>
              </a:cxn>
              <a:cxn ang="0">
                <a:pos x="connsiteX5500" y="connsiteY5500"/>
              </a:cxn>
              <a:cxn ang="0">
                <a:pos x="connsiteX5501" y="connsiteY5501"/>
              </a:cxn>
              <a:cxn ang="0">
                <a:pos x="connsiteX5502" y="connsiteY5502"/>
              </a:cxn>
              <a:cxn ang="0">
                <a:pos x="connsiteX5503" y="connsiteY5503"/>
              </a:cxn>
              <a:cxn ang="0">
                <a:pos x="connsiteX5504" y="connsiteY5504"/>
              </a:cxn>
              <a:cxn ang="0">
                <a:pos x="connsiteX5505" y="connsiteY5505"/>
              </a:cxn>
              <a:cxn ang="0">
                <a:pos x="connsiteX5506" y="connsiteY5506"/>
              </a:cxn>
              <a:cxn ang="0">
                <a:pos x="connsiteX5507" y="connsiteY5507"/>
              </a:cxn>
              <a:cxn ang="0">
                <a:pos x="connsiteX5508" y="connsiteY5508"/>
              </a:cxn>
              <a:cxn ang="0">
                <a:pos x="connsiteX5509" y="connsiteY5509"/>
              </a:cxn>
              <a:cxn ang="0">
                <a:pos x="connsiteX5510" y="connsiteY5510"/>
              </a:cxn>
              <a:cxn ang="0">
                <a:pos x="connsiteX5511" y="connsiteY5511"/>
              </a:cxn>
              <a:cxn ang="0">
                <a:pos x="connsiteX5512" y="connsiteY5512"/>
              </a:cxn>
              <a:cxn ang="0">
                <a:pos x="connsiteX5513" y="connsiteY5513"/>
              </a:cxn>
              <a:cxn ang="0">
                <a:pos x="connsiteX5514" y="connsiteY5514"/>
              </a:cxn>
              <a:cxn ang="0">
                <a:pos x="connsiteX5515" y="connsiteY5515"/>
              </a:cxn>
              <a:cxn ang="0">
                <a:pos x="connsiteX5516" y="connsiteY5516"/>
              </a:cxn>
              <a:cxn ang="0">
                <a:pos x="connsiteX5517" y="connsiteY5517"/>
              </a:cxn>
              <a:cxn ang="0">
                <a:pos x="connsiteX5518" y="connsiteY5518"/>
              </a:cxn>
              <a:cxn ang="0">
                <a:pos x="connsiteX5519" y="connsiteY5519"/>
              </a:cxn>
              <a:cxn ang="0">
                <a:pos x="connsiteX5520" y="connsiteY5520"/>
              </a:cxn>
              <a:cxn ang="0">
                <a:pos x="connsiteX5521" y="connsiteY5521"/>
              </a:cxn>
              <a:cxn ang="0">
                <a:pos x="connsiteX5522" y="connsiteY5522"/>
              </a:cxn>
              <a:cxn ang="0">
                <a:pos x="connsiteX5523" y="connsiteY5523"/>
              </a:cxn>
              <a:cxn ang="0">
                <a:pos x="connsiteX5524" y="connsiteY5524"/>
              </a:cxn>
              <a:cxn ang="0">
                <a:pos x="connsiteX5525" y="connsiteY5525"/>
              </a:cxn>
              <a:cxn ang="0">
                <a:pos x="connsiteX5526" y="connsiteY5526"/>
              </a:cxn>
              <a:cxn ang="0">
                <a:pos x="connsiteX5527" y="connsiteY5527"/>
              </a:cxn>
              <a:cxn ang="0">
                <a:pos x="connsiteX5528" y="connsiteY5528"/>
              </a:cxn>
              <a:cxn ang="0">
                <a:pos x="connsiteX5529" y="connsiteY5529"/>
              </a:cxn>
              <a:cxn ang="0">
                <a:pos x="connsiteX5530" y="connsiteY5530"/>
              </a:cxn>
              <a:cxn ang="0">
                <a:pos x="connsiteX5531" y="connsiteY5531"/>
              </a:cxn>
              <a:cxn ang="0">
                <a:pos x="connsiteX5532" y="connsiteY5532"/>
              </a:cxn>
              <a:cxn ang="0">
                <a:pos x="connsiteX5533" y="connsiteY5533"/>
              </a:cxn>
              <a:cxn ang="0">
                <a:pos x="connsiteX5534" y="connsiteY5534"/>
              </a:cxn>
              <a:cxn ang="0">
                <a:pos x="connsiteX5535" y="connsiteY5535"/>
              </a:cxn>
              <a:cxn ang="0">
                <a:pos x="connsiteX5536" y="connsiteY5536"/>
              </a:cxn>
              <a:cxn ang="0">
                <a:pos x="connsiteX5537" y="connsiteY5537"/>
              </a:cxn>
              <a:cxn ang="0">
                <a:pos x="connsiteX5538" y="connsiteY5538"/>
              </a:cxn>
              <a:cxn ang="0">
                <a:pos x="connsiteX5539" y="connsiteY5539"/>
              </a:cxn>
              <a:cxn ang="0">
                <a:pos x="connsiteX5540" y="connsiteY5540"/>
              </a:cxn>
              <a:cxn ang="0">
                <a:pos x="connsiteX5541" y="connsiteY5541"/>
              </a:cxn>
              <a:cxn ang="0">
                <a:pos x="connsiteX5542" y="connsiteY5542"/>
              </a:cxn>
              <a:cxn ang="0">
                <a:pos x="connsiteX5543" y="connsiteY5543"/>
              </a:cxn>
              <a:cxn ang="0">
                <a:pos x="connsiteX5544" y="connsiteY5544"/>
              </a:cxn>
              <a:cxn ang="0">
                <a:pos x="connsiteX5545" y="connsiteY5545"/>
              </a:cxn>
              <a:cxn ang="0">
                <a:pos x="connsiteX5546" y="connsiteY5546"/>
              </a:cxn>
              <a:cxn ang="0">
                <a:pos x="connsiteX5547" y="connsiteY5547"/>
              </a:cxn>
              <a:cxn ang="0">
                <a:pos x="connsiteX5548" y="connsiteY5548"/>
              </a:cxn>
              <a:cxn ang="0">
                <a:pos x="connsiteX5549" y="connsiteY5549"/>
              </a:cxn>
              <a:cxn ang="0">
                <a:pos x="connsiteX5550" y="connsiteY5550"/>
              </a:cxn>
              <a:cxn ang="0">
                <a:pos x="connsiteX5551" y="connsiteY5551"/>
              </a:cxn>
              <a:cxn ang="0">
                <a:pos x="connsiteX5552" y="connsiteY5552"/>
              </a:cxn>
              <a:cxn ang="0">
                <a:pos x="connsiteX5553" y="connsiteY5553"/>
              </a:cxn>
              <a:cxn ang="0">
                <a:pos x="connsiteX5554" y="connsiteY5554"/>
              </a:cxn>
              <a:cxn ang="0">
                <a:pos x="connsiteX5555" y="connsiteY5555"/>
              </a:cxn>
              <a:cxn ang="0">
                <a:pos x="connsiteX5556" y="connsiteY5556"/>
              </a:cxn>
              <a:cxn ang="0">
                <a:pos x="connsiteX5557" y="connsiteY5557"/>
              </a:cxn>
              <a:cxn ang="0">
                <a:pos x="connsiteX5558" y="connsiteY5558"/>
              </a:cxn>
              <a:cxn ang="0">
                <a:pos x="connsiteX5559" y="connsiteY5559"/>
              </a:cxn>
              <a:cxn ang="0">
                <a:pos x="connsiteX5560" y="connsiteY5560"/>
              </a:cxn>
              <a:cxn ang="0">
                <a:pos x="connsiteX5561" y="connsiteY5561"/>
              </a:cxn>
              <a:cxn ang="0">
                <a:pos x="connsiteX5562" y="connsiteY5562"/>
              </a:cxn>
              <a:cxn ang="0">
                <a:pos x="connsiteX5563" y="connsiteY5563"/>
              </a:cxn>
              <a:cxn ang="0">
                <a:pos x="connsiteX5564" y="connsiteY5564"/>
              </a:cxn>
              <a:cxn ang="0">
                <a:pos x="connsiteX5565" y="connsiteY5565"/>
              </a:cxn>
              <a:cxn ang="0">
                <a:pos x="connsiteX5566" y="connsiteY5566"/>
              </a:cxn>
              <a:cxn ang="0">
                <a:pos x="connsiteX5567" y="connsiteY5567"/>
              </a:cxn>
              <a:cxn ang="0">
                <a:pos x="connsiteX5568" y="connsiteY5568"/>
              </a:cxn>
              <a:cxn ang="0">
                <a:pos x="connsiteX5569" y="connsiteY5569"/>
              </a:cxn>
              <a:cxn ang="0">
                <a:pos x="connsiteX5570" y="connsiteY5570"/>
              </a:cxn>
              <a:cxn ang="0">
                <a:pos x="connsiteX5571" y="connsiteY5571"/>
              </a:cxn>
              <a:cxn ang="0">
                <a:pos x="connsiteX5572" y="connsiteY5572"/>
              </a:cxn>
              <a:cxn ang="0">
                <a:pos x="connsiteX5573" y="connsiteY5573"/>
              </a:cxn>
              <a:cxn ang="0">
                <a:pos x="connsiteX5574" y="connsiteY5574"/>
              </a:cxn>
              <a:cxn ang="0">
                <a:pos x="connsiteX5575" y="connsiteY5575"/>
              </a:cxn>
              <a:cxn ang="0">
                <a:pos x="connsiteX5576" y="connsiteY5576"/>
              </a:cxn>
              <a:cxn ang="0">
                <a:pos x="connsiteX5577" y="connsiteY5577"/>
              </a:cxn>
              <a:cxn ang="0">
                <a:pos x="connsiteX5578" y="connsiteY5578"/>
              </a:cxn>
              <a:cxn ang="0">
                <a:pos x="connsiteX5579" y="connsiteY5579"/>
              </a:cxn>
              <a:cxn ang="0">
                <a:pos x="connsiteX5580" y="connsiteY5580"/>
              </a:cxn>
              <a:cxn ang="0">
                <a:pos x="connsiteX5581" y="connsiteY5581"/>
              </a:cxn>
              <a:cxn ang="0">
                <a:pos x="connsiteX5582" y="connsiteY5582"/>
              </a:cxn>
              <a:cxn ang="0">
                <a:pos x="connsiteX5583" y="connsiteY5583"/>
              </a:cxn>
              <a:cxn ang="0">
                <a:pos x="connsiteX5584" y="connsiteY5584"/>
              </a:cxn>
              <a:cxn ang="0">
                <a:pos x="connsiteX5585" y="connsiteY5585"/>
              </a:cxn>
              <a:cxn ang="0">
                <a:pos x="connsiteX5586" y="connsiteY5586"/>
              </a:cxn>
              <a:cxn ang="0">
                <a:pos x="connsiteX5587" y="connsiteY5587"/>
              </a:cxn>
              <a:cxn ang="0">
                <a:pos x="connsiteX5588" y="connsiteY5588"/>
              </a:cxn>
              <a:cxn ang="0">
                <a:pos x="connsiteX5589" y="connsiteY5589"/>
              </a:cxn>
              <a:cxn ang="0">
                <a:pos x="connsiteX5590" y="connsiteY5590"/>
              </a:cxn>
              <a:cxn ang="0">
                <a:pos x="connsiteX5591" y="connsiteY5591"/>
              </a:cxn>
              <a:cxn ang="0">
                <a:pos x="connsiteX5592" y="connsiteY5592"/>
              </a:cxn>
              <a:cxn ang="0">
                <a:pos x="connsiteX5593" y="connsiteY5593"/>
              </a:cxn>
              <a:cxn ang="0">
                <a:pos x="connsiteX5594" y="connsiteY5594"/>
              </a:cxn>
              <a:cxn ang="0">
                <a:pos x="connsiteX5595" y="connsiteY5595"/>
              </a:cxn>
              <a:cxn ang="0">
                <a:pos x="connsiteX5596" y="connsiteY5596"/>
              </a:cxn>
              <a:cxn ang="0">
                <a:pos x="connsiteX5597" y="connsiteY5597"/>
              </a:cxn>
              <a:cxn ang="0">
                <a:pos x="connsiteX5598" y="connsiteY5598"/>
              </a:cxn>
              <a:cxn ang="0">
                <a:pos x="connsiteX5599" y="connsiteY5599"/>
              </a:cxn>
              <a:cxn ang="0">
                <a:pos x="connsiteX5600" y="connsiteY5600"/>
              </a:cxn>
              <a:cxn ang="0">
                <a:pos x="connsiteX5601" y="connsiteY5601"/>
              </a:cxn>
              <a:cxn ang="0">
                <a:pos x="connsiteX5602" y="connsiteY5602"/>
              </a:cxn>
              <a:cxn ang="0">
                <a:pos x="connsiteX5603" y="connsiteY5603"/>
              </a:cxn>
              <a:cxn ang="0">
                <a:pos x="connsiteX5604" y="connsiteY5604"/>
              </a:cxn>
              <a:cxn ang="0">
                <a:pos x="connsiteX5605" y="connsiteY5605"/>
              </a:cxn>
              <a:cxn ang="0">
                <a:pos x="connsiteX5606" y="connsiteY5606"/>
              </a:cxn>
              <a:cxn ang="0">
                <a:pos x="connsiteX5607" y="connsiteY5607"/>
              </a:cxn>
              <a:cxn ang="0">
                <a:pos x="connsiteX5608" y="connsiteY5608"/>
              </a:cxn>
              <a:cxn ang="0">
                <a:pos x="connsiteX5609" y="connsiteY5609"/>
              </a:cxn>
              <a:cxn ang="0">
                <a:pos x="connsiteX5610" y="connsiteY5610"/>
              </a:cxn>
              <a:cxn ang="0">
                <a:pos x="connsiteX5611" y="connsiteY5611"/>
              </a:cxn>
              <a:cxn ang="0">
                <a:pos x="connsiteX5612" y="connsiteY5612"/>
              </a:cxn>
              <a:cxn ang="0">
                <a:pos x="connsiteX5613" y="connsiteY5613"/>
              </a:cxn>
              <a:cxn ang="0">
                <a:pos x="connsiteX5614" y="connsiteY5614"/>
              </a:cxn>
              <a:cxn ang="0">
                <a:pos x="connsiteX5615" y="connsiteY5615"/>
              </a:cxn>
              <a:cxn ang="0">
                <a:pos x="connsiteX5616" y="connsiteY5616"/>
              </a:cxn>
              <a:cxn ang="0">
                <a:pos x="connsiteX5617" y="connsiteY5617"/>
              </a:cxn>
              <a:cxn ang="0">
                <a:pos x="connsiteX5618" y="connsiteY5618"/>
              </a:cxn>
              <a:cxn ang="0">
                <a:pos x="connsiteX5619" y="connsiteY5619"/>
              </a:cxn>
              <a:cxn ang="0">
                <a:pos x="connsiteX5620" y="connsiteY5620"/>
              </a:cxn>
              <a:cxn ang="0">
                <a:pos x="connsiteX5621" y="connsiteY5621"/>
              </a:cxn>
              <a:cxn ang="0">
                <a:pos x="connsiteX5622" y="connsiteY5622"/>
              </a:cxn>
              <a:cxn ang="0">
                <a:pos x="connsiteX5623" y="connsiteY5623"/>
              </a:cxn>
              <a:cxn ang="0">
                <a:pos x="connsiteX5624" y="connsiteY5624"/>
              </a:cxn>
              <a:cxn ang="0">
                <a:pos x="connsiteX5625" y="connsiteY5625"/>
              </a:cxn>
              <a:cxn ang="0">
                <a:pos x="connsiteX5626" y="connsiteY5626"/>
              </a:cxn>
              <a:cxn ang="0">
                <a:pos x="connsiteX5627" y="connsiteY5627"/>
              </a:cxn>
              <a:cxn ang="0">
                <a:pos x="connsiteX5628" y="connsiteY5628"/>
              </a:cxn>
              <a:cxn ang="0">
                <a:pos x="connsiteX5629" y="connsiteY5629"/>
              </a:cxn>
              <a:cxn ang="0">
                <a:pos x="connsiteX5630" y="connsiteY5630"/>
              </a:cxn>
              <a:cxn ang="0">
                <a:pos x="connsiteX5631" y="connsiteY5631"/>
              </a:cxn>
              <a:cxn ang="0">
                <a:pos x="connsiteX5632" y="connsiteY5632"/>
              </a:cxn>
              <a:cxn ang="0">
                <a:pos x="connsiteX5633" y="connsiteY5633"/>
              </a:cxn>
              <a:cxn ang="0">
                <a:pos x="connsiteX5634" y="connsiteY5634"/>
              </a:cxn>
              <a:cxn ang="0">
                <a:pos x="connsiteX5635" y="connsiteY5635"/>
              </a:cxn>
              <a:cxn ang="0">
                <a:pos x="connsiteX5636" y="connsiteY5636"/>
              </a:cxn>
              <a:cxn ang="0">
                <a:pos x="connsiteX5637" y="connsiteY5637"/>
              </a:cxn>
              <a:cxn ang="0">
                <a:pos x="connsiteX5638" y="connsiteY5638"/>
              </a:cxn>
              <a:cxn ang="0">
                <a:pos x="connsiteX5639" y="connsiteY5639"/>
              </a:cxn>
              <a:cxn ang="0">
                <a:pos x="connsiteX5640" y="connsiteY5640"/>
              </a:cxn>
              <a:cxn ang="0">
                <a:pos x="connsiteX5641" y="connsiteY5641"/>
              </a:cxn>
              <a:cxn ang="0">
                <a:pos x="connsiteX5642" y="connsiteY5642"/>
              </a:cxn>
              <a:cxn ang="0">
                <a:pos x="connsiteX5643" y="connsiteY5643"/>
              </a:cxn>
              <a:cxn ang="0">
                <a:pos x="connsiteX5644" y="connsiteY5644"/>
              </a:cxn>
              <a:cxn ang="0">
                <a:pos x="connsiteX5645" y="connsiteY5645"/>
              </a:cxn>
              <a:cxn ang="0">
                <a:pos x="connsiteX5646" y="connsiteY5646"/>
              </a:cxn>
              <a:cxn ang="0">
                <a:pos x="connsiteX5647" y="connsiteY5647"/>
              </a:cxn>
              <a:cxn ang="0">
                <a:pos x="connsiteX5648" y="connsiteY5648"/>
              </a:cxn>
              <a:cxn ang="0">
                <a:pos x="connsiteX5649" y="connsiteY5649"/>
              </a:cxn>
              <a:cxn ang="0">
                <a:pos x="connsiteX5650" y="connsiteY5650"/>
              </a:cxn>
              <a:cxn ang="0">
                <a:pos x="connsiteX5651" y="connsiteY5651"/>
              </a:cxn>
              <a:cxn ang="0">
                <a:pos x="connsiteX5652" y="connsiteY5652"/>
              </a:cxn>
              <a:cxn ang="0">
                <a:pos x="connsiteX5653" y="connsiteY5653"/>
              </a:cxn>
              <a:cxn ang="0">
                <a:pos x="connsiteX5654" y="connsiteY5654"/>
              </a:cxn>
              <a:cxn ang="0">
                <a:pos x="connsiteX5655" y="connsiteY5655"/>
              </a:cxn>
              <a:cxn ang="0">
                <a:pos x="connsiteX5656" y="connsiteY5656"/>
              </a:cxn>
              <a:cxn ang="0">
                <a:pos x="connsiteX5657" y="connsiteY5657"/>
              </a:cxn>
              <a:cxn ang="0">
                <a:pos x="connsiteX5658" y="connsiteY5658"/>
              </a:cxn>
              <a:cxn ang="0">
                <a:pos x="connsiteX5659" y="connsiteY5659"/>
              </a:cxn>
              <a:cxn ang="0">
                <a:pos x="connsiteX5660" y="connsiteY5660"/>
              </a:cxn>
              <a:cxn ang="0">
                <a:pos x="connsiteX5661" y="connsiteY5661"/>
              </a:cxn>
              <a:cxn ang="0">
                <a:pos x="connsiteX5662" y="connsiteY5662"/>
              </a:cxn>
              <a:cxn ang="0">
                <a:pos x="connsiteX5663" y="connsiteY5663"/>
              </a:cxn>
              <a:cxn ang="0">
                <a:pos x="connsiteX5664" y="connsiteY5664"/>
              </a:cxn>
              <a:cxn ang="0">
                <a:pos x="connsiteX5665" y="connsiteY5665"/>
              </a:cxn>
              <a:cxn ang="0">
                <a:pos x="connsiteX5666" y="connsiteY5666"/>
              </a:cxn>
              <a:cxn ang="0">
                <a:pos x="connsiteX5667" y="connsiteY5667"/>
              </a:cxn>
              <a:cxn ang="0">
                <a:pos x="connsiteX5668" y="connsiteY5668"/>
              </a:cxn>
              <a:cxn ang="0">
                <a:pos x="connsiteX5669" y="connsiteY5669"/>
              </a:cxn>
              <a:cxn ang="0">
                <a:pos x="connsiteX5670" y="connsiteY5670"/>
              </a:cxn>
              <a:cxn ang="0">
                <a:pos x="connsiteX5671" y="connsiteY5671"/>
              </a:cxn>
              <a:cxn ang="0">
                <a:pos x="connsiteX5672" y="connsiteY5672"/>
              </a:cxn>
              <a:cxn ang="0">
                <a:pos x="connsiteX5673" y="connsiteY5673"/>
              </a:cxn>
              <a:cxn ang="0">
                <a:pos x="connsiteX5674" y="connsiteY5674"/>
              </a:cxn>
              <a:cxn ang="0">
                <a:pos x="connsiteX5675" y="connsiteY5675"/>
              </a:cxn>
              <a:cxn ang="0">
                <a:pos x="connsiteX5676" y="connsiteY5676"/>
              </a:cxn>
              <a:cxn ang="0">
                <a:pos x="connsiteX5677" y="connsiteY5677"/>
              </a:cxn>
              <a:cxn ang="0">
                <a:pos x="connsiteX5678" y="connsiteY5678"/>
              </a:cxn>
              <a:cxn ang="0">
                <a:pos x="connsiteX5679" y="connsiteY5679"/>
              </a:cxn>
              <a:cxn ang="0">
                <a:pos x="connsiteX5680" y="connsiteY5680"/>
              </a:cxn>
              <a:cxn ang="0">
                <a:pos x="connsiteX5681" y="connsiteY5681"/>
              </a:cxn>
              <a:cxn ang="0">
                <a:pos x="connsiteX5682" y="connsiteY5682"/>
              </a:cxn>
              <a:cxn ang="0">
                <a:pos x="connsiteX5683" y="connsiteY5683"/>
              </a:cxn>
              <a:cxn ang="0">
                <a:pos x="connsiteX5684" y="connsiteY5684"/>
              </a:cxn>
              <a:cxn ang="0">
                <a:pos x="connsiteX5685" y="connsiteY5685"/>
              </a:cxn>
              <a:cxn ang="0">
                <a:pos x="connsiteX5686" y="connsiteY5686"/>
              </a:cxn>
              <a:cxn ang="0">
                <a:pos x="connsiteX5687" y="connsiteY5687"/>
              </a:cxn>
              <a:cxn ang="0">
                <a:pos x="connsiteX5688" y="connsiteY5688"/>
              </a:cxn>
              <a:cxn ang="0">
                <a:pos x="connsiteX5689" y="connsiteY5689"/>
              </a:cxn>
              <a:cxn ang="0">
                <a:pos x="connsiteX5690" y="connsiteY5690"/>
              </a:cxn>
              <a:cxn ang="0">
                <a:pos x="connsiteX5691" y="connsiteY5691"/>
              </a:cxn>
              <a:cxn ang="0">
                <a:pos x="connsiteX5692" y="connsiteY5692"/>
              </a:cxn>
              <a:cxn ang="0">
                <a:pos x="connsiteX5693" y="connsiteY5693"/>
              </a:cxn>
              <a:cxn ang="0">
                <a:pos x="connsiteX5694" y="connsiteY5694"/>
              </a:cxn>
              <a:cxn ang="0">
                <a:pos x="connsiteX5695" y="connsiteY5695"/>
              </a:cxn>
              <a:cxn ang="0">
                <a:pos x="connsiteX5696" y="connsiteY5696"/>
              </a:cxn>
              <a:cxn ang="0">
                <a:pos x="connsiteX5697" y="connsiteY5697"/>
              </a:cxn>
              <a:cxn ang="0">
                <a:pos x="connsiteX5698" y="connsiteY5698"/>
              </a:cxn>
              <a:cxn ang="0">
                <a:pos x="connsiteX5699" y="connsiteY5699"/>
              </a:cxn>
              <a:cxn ang="0">
                <a:pos x="connsiteX5700" y="connsiteY5700"/>
              </a:cxn>
              <a:cxn ang="0">
                <a:pos x="connsiteX5701" y="connsiteY5701"/>
              </a:cxn>
              <a:cxn ang="0">
                <a:pos x="connsiteX5702" y="connsiteY5702"/>
              </a:cxn>
              <a:cxn ang="0">
                <a:pos x="connsiteX5703" y="connsiteY5703"/>
              </a:cxn>
              <a:cxn ang="0">
                <a:pos x="connsiteX5704" y="connsiteY5704"/>
              </a:cxn>
              <a:cxn ang="0">
                <a:pos x="connsiteX5705" y="connsiteY5705"/>
              </a:cxn>
              <a:cxn ang="0">
                <a:pos x="connsiteX5706" y="connsiteY5706"/>
              </a:cxn>
              <a:cxn ang="0">
                <a:pos x="connsiteX5707" y="connsiteY5707"/>
              </a:cxn>
              <a:cxn ang="0">
                <a:pos x="connsiteX5708" y="connsiteY5708"/>
              </a:cxn>
              <a:cxn ang="0">
                <a:pos x="connsiteX5709" y="connsiteY5709"/>
              </a:cxn>
              <a:cxn ang="0">
                <a:pos x="connsiteX5710" y="connsiteY5710"/>
              </a:cxn>
              <a:cxn ang="0">
                <a:pos x="connsiteX5711" y="connsiteY5711"/>
              </a:cxn>
              <a:cxn ang="0">
                <a:pos x="connsiteX5712" y="connsiteY5712"/>
              </a:cxn>
              <a:cxn ang="0">
                <a:pos x="connsiteX5713" y="connsiteY5713"/>
              </a:cxn>
              <a:cxn ang="0">
                <a:pos x="connsiteX5714" y="connsiteY5714"/>
              </a:cxn>
              <a:cxn ang="0">
                <a:pos x="connsiteX5715" y="connsiteY5715"/>
              </a:cxn>
              <a:cxn ang="0">
                <a:pos x="connsiteX5716" y="connsiteY5716"/>
              </a:cxn>
              <a:cxn ang="0">
                <a:pos x="connsiteX5717" y="connsiteY5717"/>
              </a:cxn>
              <a:cxn ang="0">
                <a:pos x="connsiteX5718" y="connsiteY5718"/>
              </a:cxn>
              <a:cxn ang="0">
                <a:pos x="connsiteX5719" y="connsiteY5719"/>
              </a:cxn>
              <a:cxn ang="0">
                <a:pos x="connsiteX5720" y="connsiteY5720"/>
              </a:cxn>
              <a:cxn ang="0">
                <a:pos x="connsiteX5721" y="connsiteY5721"/>
              </a:cxn>
              <a:cxn ang="0">
                <a:pos x="connsiteX5722" y="connsiteY5722"/>
              </a:cxn>
              <a:cxn ang="0">
                <a:pos x="connsiteX5723" y="connsiteY5723"/>
              </a:cxn>
              <a:cxn ang="0">
                <a:pos x="connsiteX5724" y="connsiteY5724"/>
              </a:cxn>
              <a:cxn ang="0">
                <a:pos x="connsiteX5725" y="connsiteY5725"/>
              </a:cxn>
              <a:cxn ang="0">
                <a:pos x="connsiteX5726" y="connsiteY5726"/>
              </a:cxn>
              <a:cxn ang="0">
                <a:pos x="connsiteX5727" y="connsiteY5727"/>
              </a:cxn>
              <a:cxn ang="0">
                <a:pos x="connsiteX5728" y="connsiteY5728"/>
              </a:cxn>
              <a:cxn ang="0">
                <a:pos x="connsiteX5729" y="connsiteY5729"/>
              </a:cxn>
              <a:cxn ang="0">
                <a:pos x="connsiteX5730" y="connsiteY5730"/>
              </a:cxn>
              <a:cxn ang="0">
                <a:pos x="connsiteX5731" y="connsiteY5731"/>
              </a:cxn>
              <a:cxn ang="0">
                <a:pos x="connsiteX5732" y="connsiteY5732"/>
              </a:cxn>
              <a:cxn ang="0">
                <a:pos x="connsiteX5733" y="connsiteY5733"/>
              </a:cxn>
              <a:cxn ang="0">
                <a:pos x="connsiteX5734" y="connsiteY5734"/>
              </a:cxn>
              <a:cxn ang="0">
                <a:pos x="connsiteX5735" y="connsiteY5735"/>
              </a:cxn>
              <a:cxn ang="0">
                <a:pos x="connsiteX5736" y="connsiteY5736"/>
              </a:cxn>
              <a:cxn ang="0">
                <a:pos x="connsiteX5737" y="connsiteY5737"/>
              </a:cxn>
              <a:cxn ang="0">
                <a:pos x="connsiteX5738" y="connsiteY5738"/>
              </a:cxn>
              <a:cxn ang="0">
                <a:pos x="connsiteX5739" y="connsiteY5739"/>
              </a:cxn>
              <a:cxn ang="0">
                <a:pos x="connsiteX5740" y="connsiteY5740"/>
              </a:cxn>
              <a:cxn ang="0">
                <a:pos x="connsiteX5741" y="connsiteY5741"/>
              </a:cxn>
              <a:cxn ang="0">
                <a:pos x="connsiteX5742" y="connsiteY5742"/>
              </a:cxn>
              <a:cxn ang="0">
                <a:pos x="connsiteX5743" y="connsiteY5743"/>
              </a:cxn>
              <a:cxn ang="0">
                <a:pos x="connsiteX5744" y="connsiteY5744"/>
              </a:cxn>
              <a:cxn ang="0">
                <a:pos x="connsiteX5745" y="connsiteY5745"/>
              </a:cxn>
              <a:cxn ang="0">
                <a:pos x="connsiteX5746" y="connsiteY5746"/>
              </a:cxn>
              <a:cxn ang="0">
                <a:pos x="connsiteX5747" y="connsiteY5747"/>
              </a:cxn>
              <a:cxn ang="0">
                <a:pos x="connsiteX5748" y="connsiteY5748"/>
              </a:cxn>
              <a:cxn ang="0">
                <a:pos x="connsiteX5749" y="connsiteY5749"/>
              </a:cxn>
              <a:cxn ang="0">
                <a:pos x="connsiteX5750" y="connsiteY5750"/>
              </a:cxn>
              <a:cxn ang="0">
                <a:pos x="connsiteX5751" y="connsiteY5751"/>
              </a:cxn>
              <a:cxn ang="0">
                <a:pos x="connsiteX5752" y="connsiteY5752"/>
              </a:cxn>
              <a:cxn ang="0">
                <a:pos x="connsiteX5753" y="connsiteY5753"/>
              </a:cxn>
              <a:cxn ang="0">
                <a:pos x="connsiteX5754" y="connsiteY5754"/>
              </a:cxn>
              <a:cxn ang="0">
                <a:pos x="connsiteX5755" y="connsiteY5755"/>
              </a:cxn>
              <a:cxn ang="0">
                <a:pos x="connsiteX5756" y="connsiteY5756"/>
              </a:cxn>
              <a:cxn ang="0">
                <a:pos x="connsiteX5757" y="connsiteY5757"/>
              </a:cxn>
              <a:cxn ang="0">
                <a:pos x="connsiteX5758" y="connsiteY5758"/>
              </a:cxn>
              <a:cxn ang="0">
                <a:pos x="connsiteX5759" y="connsiteY5759"/>
              </a:cxn>
              <a:cxn ang="0">
                <a:pos x="connsiteX5760" y="connsiteY5760"/>
              </a:cxn>
              <a:cxn ang="0">
                <a:pos x="connsiteX5761" y="connsiteY5761"/>
              </a:cxn>
              <a:cxn ang="0">
                <a:pos x="connsiteX5762" y="connsiteY5762"/>
              </a:cxn>
              <a:cxn ang="0">
                <a:pos x="connsiteX5763" y="connsiteY5763"/>
              </a:cxn>
              <a:cxn ang="0">
                <a:pos x="connsiteX5764" y="connsiteY5764"/>
              </a:cxn>
              <a:cxn ang="0">
                <a:pos x="connsiteX5765" y="connsiteY5765"/>
              </a:cxn>
              <a:cxn ang="0">
                <a:pos x="connsiteX5766" y="connsiteY5766"/>
              </a:cxn>
              <a:cxn ang="0">
                <a:pos x="connsiteX5767" y="connsiteY5767"/>
              </a:cxn>
              <a:cxn ang="0">
                <a:pos x="connsiteX5768" y="connsiteY5768"/>
              </a:cxn>
              <a:cxn ang="0">
                <a:pos x="connsiteX5769" y="connsiteY5769"/>
              </a:cxn>
              <a:cxn ang="0">
                <a:pos x="connsiteX5770" y="connsiteY5770"/>
              </a:cxn>
              <a:cxn ang="0">
                <a:pos x="connsiteX5771" y="connsiteY5771"/>
              </a:cxn>
              <a:cxn ang="0">
                <a:pos x="connsiteX5772" y="connsiteY5772"/>
              </a:cxn>
              <a:cxn ang="0">
                <a:pos x="connsiteX5773" y="connsiteY5773"/>
              </a:cxn>
              <a:cxn ang="0">
                <a:pos x="connsiteX5774" y="connsiteY5774"/>
              </a:cxn>
              <a:cxn ang="0">
                <a:pos x="connsiteX5775" y="connsiteY5775"/>
              </a:cxn>
              <a:cxn ang="0">
                <a:pos x="connsiteX5776" y="connsiteY5776"/>
              </a:cxn>
              <a:cxn ang="0">
                <a:pos x="connsiteX5777" y="connsiteY5777"/>
              </a:cxn>
              <a:cxn ang="0">
                <a:pos x="connsiteX5778" y="connsiteY5778"/>
              </a:cxn>
              <a:cxn ang="0">
                <a:pos x="connsiteX5779" y="connsiteY5779"/>
              </a:cxn>
              <a:cxn ang="0">
                <a:pos x="connsiteX5780" y="connsiteY5780"/>
              </a:cxn>
              <a:cxn ang="0">
                <a:pos x="connsiteX5781" y="connsiteY5781"/>
              </a:cxn>
              <a:cxn ang="0">
                <a:pos x="connsiteX5782" y="connsiteY5782"/>
              </a:cxn>
              <a:cxn ang="0">
                <a:pos x="connsiteX5783" y="connsiteY5783"/>
              </a:cxn>
              <a:cxn ang="0">
                <a:pos x="connsiteX5784" y="connsiteY5784"/>
              </a:cxn>
              <a:cxn ang="0">
                <a:pos x="connsiteX5785" y="connsiteY5785"/>
              </a:cxn>
              <a:cxn ang="0">
                <a:pos x="connsiteX5786" y="connsiteY5786"/>
              </a:cxn>
              <a:cxn ang="0">
                <a:pos x="connsiteX5787" y="connsiteY5787"/>
              </a:cxn>
              <a:cxn ang="0">
                <a:pos x="connsiteX5788" y="connsiteY5788"/>
              </a:cxn>
              <a:cxn ang="0">
                <a:pos x="connsiteX5789" y="connsiteY5789"/>
              </a:cxn>
              <a:cxn ang="0">
                <a:pos x="connsiteX5790" y="connsiteY5790"/>
              </a:cxn>
              <a:cxn ang="0">
                <a:pos x="connsiteX5791" y="connsiteY5791"/>
              </a:cxn>
              <a:cxn ang="0">
                <a:pos x="connsiteX5792" y="connsiteY5792"/>
              </a:cxn>
              <a:cxn ang="0">
                <a:pos x="connsiteX5793" y="connsiteY5793"/>
              </a:cxn>
              <a:cxn ang="0">
                <a:pos x="connsiteX5794" y="connsiteY5794"/>
              </a:cxn>
              <a:cxn ang="0">
                <a:pos x="connsiteX5795" y="connsiteY5795"/>
              </a:cxn>
              <a:cxn ang="0">
                <a:pos x="connsiteX5796" y="connsiteY5796"/>
              </a:cxn>
              <a:cxn ang="0">
                <a:pos x="connsiteX5797" y="connsiteY5797"/>
              </a:cxn>
              <a:cxn ang="0">
                <a:pos x="connsiteX5798" y="connsiteY5798"/>
              </a:cxn>
              <a:cxn ang="0">
                <a:pos x="connsiteX5799" y="connsiteY5799"/>
              </a:cxn>
              <a:cxn ang="0">
                <a:pos x="connsiteX5800" y="connsiteY5800"/>
              </a:cxn>
              <a:cxn ang="0">
                <a:pos x="connsiteX5801" y="connsiteY5801"/>
              </a:cxn>
              <a:cxn ang="0">
                <a:pos x="connsiteX5802" y="connsiteY5802"/>
              </a:cxn>
              <a:cxn ang="0">
                <a:pos x="connsiteX5803" y="connsiteY5803"/>
              </a:cxn>
              <a:cxn ang="0">
                <a:pos x="connsiteX5804" y="connsiteY5804"/>
              </a:cxn>
              <a:cxn ang="0">
                <a:pos x="connsiteX5805" y="connsiteY5805"/>
              </a:cxn>
              <a:cxn ang="0">
                <a:pos x="connsiteX5806" y="connsiteY5806"/>
              </a:cxn>
              <a:cxn ang="0">
                <a:pos x="connsiteX5807" y="connsiteY5807"/>
              </a:cxn>
              <a:cxn ang="0">
                <a:pos x="connsiteX5808" y="connsiteY5808"/>
              </a:cxn>
              <a:cxn ang="0">
                <a:pos x="connsiteX5809" y="connsiteY5809"/>
              </a:cxn>
              <a:cxn ang="0">
                <a:pos x="connsiteX5810" y="connsiteY5810"/>
              </a:cxn>
              <a:cxn ang="0">
                <a:pos x="connsiteX5811" y="connsiteY5811"/>
              </a:cxn>
              <a:cxn ang="0">
                <a:pos x="connsiteX5812" y="connsiteY5812"/>
              </a:cxn>
              <a:cxn ang="0">
                <a:pos x="connsiteX5813" y="connsiteY5813"/>
              </a:cxn>
              <a:cxn ang="0">
                <a:pos x="connsiteX5814" y="connsiteY5814"/>
              </a:cxn>
              <a:cxn ang="0">
                <a:pos x="connsiteX5815" y="connsiteY5815"/>
              </a:cxn>
              <a:cxn ang="0">
                <a:pos x="connsiteX5816" y="connsiteY5816"/>
              </a:cxn>
              <a:cxn ang="0">
                <a:pos x="connsiteX5817" y="connsiteY5817"/>
              </a:cxn>
              <a:cxn ang="0">
                <a:pos x="connsiteX5818" y="connsiteY5818"/>
              </a:cxn>
              <a:cxn ang="0">
                <a:pos x="connsiteX5819" y="connsiteY5819"/>
              </a:cxn>
              <a:cxn ang="0">
                <a:pos x="connsiteX5820" y="connsiteY5820"/>
              </a:cxn>
              <a:cxn ang="0">
                <a:pos x="connsiteX5821" y="connsiteY5821"/>
              </a:cxn>
              <a:cxn ang="0">
                <a:pos x="connsiteX5822" y="connsiteY5822"/>
              </a:cxn>
              <a:cxn ang="0">
                <a:pos x="connsiteX5823" y="connsiteY5823"/>
              </a:cxn>
              <a:cxn ang="0">
                <a:pos x="connsiteX5824" y="connsiteY5824"/>
              </a:cxn>
              <a:cxn ang="0">
                <a:pos x="connsiteX5825" y="connsiteY5825"/>
              </a:cxn>
              <a:cxn ang="0">
                <a:pos x="connsiteX5826" y="connsiteY5826"/>
              </a:cxn>
              <a:cxn ang="0">
                <a:pos x="connsiteX5827" y="connsiteY5827"/>
              </a:cxn>
              <a:cxn ang="0">
                <a:pos x="connsiteX5828" y="connsiteY5828"/>
              </a:cxn>
              <a:cxn ang="0">
                <a:pos x="connsiteX5829" y="connsiteY5829"/>
              </a:cxn>
              <a:cxn ang="0">
                <a:pos x="connsiteX5830" y="connsiteY5830"/>
              </a:cxn>
              <a:cxn ang="0">
                <a:pos x="connsiteX5831" y="connsiteY5831"/>
              </a:cxn>
              <a:cxn ang="0">
                <a:pos x="connsiteX5832" y="connsiteY5832"/>
              </a:cxn>
              <a:cxn ang="0">
                <a:pos x="connsiteX5833" y="connsiteY5833"/>
              </a:cxn>
              <a:cxn ang="0">
                <a:pos x="connsiteX5834" y="connsiteY5834"/>
              </a:cxn>
              <a:cxn ang="0">
                <a:pos x="connsiteX5835" y="connsiteY5835"/>
              </a:cxn>
              <a:cxn ang="0">
                <a:pos x="connsiteX5836" y="connsiteY5836"/>
              </a:cxn>
              <a:cxn ang="0">
                <a:pos x="connsiteX5837" y="connsiteY5837"/>
              </a:cxn>
              <a:cxn ang="0">
                <a:pos x="connsiteX5838" y="connsiteY5838"/>
              </a:cxn>
              <a:cxn ang="0">
                <a:pos x="connsiteX5839" y="connsiteY5839"/>
              </a:cxn>
              <a:cxn ang="0">
                <a:pos x="connsiteX5840" y="connsiteY5840"/>
              </a:cxn>
              <a:cxn ang="0">
                <a:pos x="connsiteX5841" y="connsiteY5841"/>
              </a:cxn>
              <a:cxn ang="0">
                <a:pos x="connsiteX5842" y="connsiteY5842"/>
              </a:cxn>
              <a:cxn ang="0">
                <a:pos x="connsiteX5843" y="connsiteY5843"/>
              </a:cxn>
              <a:cxn ang="0">
                <a:pos x="connsiteX5844" y="connsiteY5844"/>
              </a:cxn>
              <a:cxn ang="0">
                <a:pos x="connsiteX5845" y="connsiteY5845"/>
              </a:cxn>
              <a:cxn ang="0">
                <a:pos x="connsiteX5846" y="connsiteY5846"/>
              </a:cxn>
              <a:cxn ang="0">
                <a:pos x="connsiteX5847" y="connsiteY5847"/>
              </a:cxn>
              <a:cxn ang="0">
                <a:pos x="connsiteX5848" y="connsiteY5848"/>
              </a:cxn>
              <a:cxn ang="0">
                <a:pos x="connsiteX5849" y="connsiteY5849"/>
              </a:cxn>
              <a:cxn ang="0">
                <a:pos x="connsiteX5850" y="connsiteY5850"/>
              </a:cxn>
              <a:cxn ang="0">
                <a:pos x="connsiteX5851" y="connsiteY5851"/>
              </a:cxn>
              <a:cxn ang="0">
                <a:pos x="connsiteX5852" y="connsiteY5852"/>
              </a:cxn>
              <a:cxn ang="0">
                <a:pos x="connsiteX5853" y="connsiteY5853"/>
              </a:cxn>
              <a:cxn ang="0">
                <a:pos x="connsiteX5854" y="connsiteY5854"/>
              </a:cxn>
              <a:cxn ang="0">
                <a:pos x="connsiteX5855" y="connsiteY5855"/>
              </a:cxn>
              <a:cxn ang="0">
                <a:pos x="connsiteX5856" y="connsiteY5856"/>
              </a:cxn>
              <a:cxn ang="0">
                <a:pos x="connsiteX5857" y="connsiteY5857"/>
              </a:cxn>
              <a:cxn ang="0">
                <a:pos x="connsiteX5858" y="connsiteY5858"/>
              </a:cxn>
              <a:cxn ang="0">
                <a:pos x="connsiteX5859" y="connsiteY5859"/>
              </a:cxn>
              <a:cxn ang="0">
                <a:pos x="connsiteX5860" y="connsiteY5860"/>
              </a:cxn>
              <a:cxn ang="0">
                <a:pos x="connsiteX5861" y="connsiteY5861"/>
              </a:cxn>
              <a:cxn ang="0">
                <a:pos x="connsiteX5862" y="connsiteY5862"/>
              </a:cxn>
              <a:cxn ang="0">
                <a:pos x="connsiteX5863" y="connsiteY5863"/>
              </a:cxn>
              <a:cxn ang="0">
                <a:pos x="connsiteX5864" y="connsiteY5864"/>
              </a:cxn>
              <a:cxn ang="0">
                <a:pos x="connsiteX5865" y="connsiteY5865"/>
              </a:cxn>
              <a:cxn ang="0">
                <a:pos x="connsiteX5866" y="connsiteY5866"/>
              </a:cxn>
              <a:cxn ang="0">
                <a:pos x="connsiteX5867" y="connsiteY5867"/>
              </a:cxn>
              <a:cxn ang="0">
                <a:pos x="connsiteX5868" y="connsiteY5868"/>
              </a:cxn>
              <a:cxn ang="0">
                <a:pos x="connsiteX5869" y="connsiteY5869"/>
              </a:cxn>
              <a:cxn ang="0">
                <a:pos x="connsiteX5870" y="connsiteY5870"/>
              </a:cxn>
              <a:cxn ang="0">
                <a:pos x="connsiteX5871" y="connsiteY5871"/>
              </a:cxn>
              <a:cxn ang="0">
                <a:pos x="connsiteX5872" y="connsiteY5872"/>
              </a:cxn>
              <a:cxn ang="0">
                <a:pos x="connsiteX5873" y="connsiteY5873"/>
              </a:cxn>
              <a:cxn ang="0">
                <a:pos x="connsiteX5874" y="connsiteY5874"/>
              </a:cxn>
              <a:cxn ang="0">
                <a:pos x="connsiteX5875" y="connsiteY5875"/>
              </a:cxn>
              <a:cxn ang="0">
                <a:pos x="connsiteX5876" y="connsiteY5876"/>
              </a:cxn>
              <a:cxn ang="0">
                <a:pos x="connsiteX5877" y="connsiteY5877"/>
              </a:cxn>
              <a:cxn ang="0">
                <a:pos x="connsiteX5878" y="connsiteY5878"/>
              </a:cxn>
              <a:cxn ang="0">
                <a:pos x="connsiteX5879" y="connsiteY5879"/>
              </a:cxn>
              <a:cxn ang="0">
                <a:pos x="connsiteX5880" y="connsiteY5880"/>
              </a:cxn>
              <a:cxn ang="0">
                <a:pos x="connsiteX5881" y="connsiteY5881"/>
              </a:cxn>
              <a:cxn ang="0">
                <a:pos x="connsiteX5882" y="connsiteY5882"/>
              </a:cxn>
              <a:cxn ang="0">
                <a:pos x="connsiteX5883" y="connsiteY5883"/>
              </a:cxn>
              <a:cxn ang="0">
                <a:pos x="connsiteX5884" y="connsiteY5884"/>
              </a:cxn>
              <a:cxn ang="0">
                <a:pos x="connsiteX5885" y="connsiteY5885"/>
              </a:cxn>
              <a:cxn ang="0">
                <a:pos x="connsiteX5886" y="connsiteY5886"/>
              </a:cxn>
              <a:cxn ang="0">
                <a:pos x="connsiteX5887" y="connsiteY5887"/>
              </a:cxn>
              <a:cxn ang="0">
                <a:pos x="connsiteX5888" y="connsiteY5888"/>
              </a:cxn>
              <a:cxn ang="0">
                <a:pos x="connsiteX5889" y="connsiteY5889"/>
              </a:cxn>
              <a:cxn ang="0">
                <a:pos x="connsiteX5890" y="connsiteY5890"/>
              </a:cxn>
              <a:cxn ang="0">
                <a:pos x="connsiteX5891" y="connsiteY5891"/>
              </a:cxn>
              <a:cxn ang="0">
                <a:pos x="connsiteX5892" y="connsiteY5892"/>
              </a:cxn>
              <a:cxn ang="0">
                <a:pos x="connsiteX5893" y="connsiteY5893"/>
              </a:cxn>
              <a:cxn ang="0">
                <a:pos x="connsiteX5894" y="connsiteY5894"/>
              </a:cxn>
              <a:cxn ang="0">
                <a:pos x="connsiteX5895" y="connsiteY5895"/>
              </a:cxn>
              <a:cxn ang="0">
                <a:pos x="connsiteX5896" y="connsiteY5896"/>
              </a:cxn>
              <a:cxn ang="0">
                <a:pos x="connsiteX5897" y="connsiteY5897"/>
              </a:cxn>
              <a:cxn ang="0">
                <a:pos x="connsiteX5898" y="connsiteY5898"/>
              </a:cxn>
              <a:cxn ang="0">
                <a:pos x="connsiteX5899" y="connsiteY5899"/>
              </a:cxn>
              <a:cxn ang="0">
                <a:pos x="connsiteX5900" y="connsiteY5900"/>
              </a:cxn>
              <a:cxn ang="0">
                <a:pos x="connsiteX5901" y="connsiteY5901"/>
              </a:cxn>
              <a:cxn ang="0">
                <a:pos x="connsiteX5902" y="connsiteY5902"/>
              </a:cxn>
              <a:cxn ang="0">
                <a:pos x="connsiteX5903" y="connsiteY5903"/>
              </a:cxn>
              <a:cxn ang="0">
                <a:pos x="connsiteX5904" y="connsiteY5904"/>
              </a:cxn>
              <a:cxn ang="0">
                <a:pos x="connsiteX5905" y="connsiteY5905"/>
              </a:cxn>
              <a:cxn ang="0">
                <a:pos x="connsiteX5906" y="connsiteY5906"/>
              </a:cxn>
              <a:cxn ang="0">
                <a:pos x="connsiteX5907" y="connsiteY5907"/>
              </a:cxn>
              <a:cxn ang="0">
                <a:pos x="connsiteX5908" y="connsiteY5908"/>
              </a:cxn>
              <a:cxn ang="0">
                <a:pos x="connsiteX5909" y="connsiteY5909"/>
              </a:cxn>
              <a:cxn ang="0">
                <a:pos x="connsiteX5910" y="connsiteY5910"/>
              </a:cxn>
              <a:cxn ang="0">
                <a:pos x="connsiteX5911" y="connsiteY5911"/>
              </a:cxn>
              <a:cxn ang="0">
                <a:pos x="connsiteX5912" y="connsiteY5912"/>
              </a:cxn>
              <a:cxn ang="0">
                <a:pos x="connsiteX5913" y="connsiteY5913"/>
              </a:cxn>
              <a:cxn ang="0">
                <a:pos x="connsiteX5914" y="connsiteY5914"/>
              </a:cxn>
              <a:cxn ang="0">
                <a:pos x="connsiteX5915" y="connsiteY5915"/>
              </a:cxn>
              <a:cxn ang="0">
                <a:pos x="connsiteX5916" y="connsiteY5916"/>
              </a:cxn>
              <a:cxn ang="0">
                <a:pos x="connsiteX5917" y="connsiteY5917"/>
              </a:cxn>
              <a:cxn ang="0">
                <a:pos x="connsiteX5918" y="connsiteY5918"/>
              </a:cxn>
              <a:cxn ang="0">
                <a:pos x="connsiteX5919" y="connsiteY5919"/>
              </a:cxn>
              <a:cxn ang="0">
                <a:pos x="connsiteX5920" y="connsiteY5920"/>
              </a:cxn>
              <a:cxn ang="0">
                <a:pos x="connsiteX5921" y="connsiteY5921"/>
              </a:cxn>
              <a:cxn ang="0">
                <a:pos x="connsiteX5922" y="connsiteY5922"/>
              </a:cxn>
              <a:cxn ang="0">
                <a:pos x="connsiteX5923" y="connsiteY5923"/>
              </a:cxn>
              <a:cxn ang="0">
                <a:pos x="connsiteX5924" y="connsiteY5924"/>
              </a:cxn>
              <a:cxn ang="0">
                <a:pos x="connsiteX5925" y="connsiteY5925"/>
              </a:cxn>
              <a:cxn ang="0">
                <a:pos x="connsiteX5926" y="connsiteY5926"/>
              </a:cxn>
              <a:cxn ang="0">
                <a:pos x="connsiteX5927" y="connsiteY5927"/>
              </a:cxn>
              <a:cxn ang="0">
                <a:pos x="connsiteX5928" y="connsiteY5928"/>
              </a:cxn>
              <a:cxn ang="0">
                <a:pos x="connsiteX5929" y="connsiteY5929"/>
              </a:cxn>
              <a:cxn ang="0">
                <a:pos x="connsiteX5930" y="connsiteY5930"/>
              </a:cxn>
              <a:cxn ang="0">
                <a:pos x="connsiteX5931" y="connsiteY5931"/>
              </a:cxn>
              <a:cxn ang="0">
                <a:pos x="connsiteX5932" y="connsiteY5932"/>
              </a:cxn>
              <a:cxn ang="0">
                <a:pos x="connsiteX5933" y="connsiteY5933"/>
              </a:cxn>
              <a:cxn ang="0">
                <a:pos x="connsiteX5934" y="connsiteY5934"/>
              </a:cxn>
              <a:cxn ang="0">
                <a:pos x="connsiteX5935" y="connsiteY5935"/>
              </a:cxn>
              <a:cxn ang="0">
                <a:pos x="connsiteX5936" y="connsiteY5936"/>
              </a:cxn>
              <a:cxn ang="0">
                <a:pos x="connsiteX5937" y="connsiteY5937"/>
              </a:cxn>
              <a:cxn ang="0">
                <a:pos x="connsiteX5938" y="connsiteY5938"/>
              </a:cxn>
              <a:cxn ang="0">
                <a:pos x="connsiteX5939" y="connsiteY5939"/>
              </a:cxn>
              <a:cxn ang="0">
                <a:pos x="connsiteX5940" y="connsiteY5940"/>
              </a:cxn>
              <a:cxn ang="0">
                <a:pos x="connsiteX5941" y="connsiteY5941"/>
              </a:cxn>
              <a:cxn ang="0">
                <a:pos x="connsiteX5942" y="connsiteY5942"/>
              </a:cxn>
              <a:cxn ang="0">
                <a:pos x="connsiteX5943" y="connsiteY5943"/>
              </a:cxn>
              <a:cxn ang="0">
                <a:pos x="connsiteX5944" y="connsiteY5944"/>
              </a:cxn>
              <a:cxn ang="0">
                <a:pos x="connsiteX5945" y="connsiteY5945"/>
              </a:cxn>
              <a:cxn ang="0">
                <a:pos x="connsiteX5946" y="connsiteY5946"/>
              </a:cxn>
              <a:cxn ang="0">
                <a:pos x="connsiteX5947" y="connsiteY5947"/>
              </a:cxn>
              <a:cxn ang="0">
                <a:pos x="connsiteX5948" y="connsiteY5948"/>
              </a:cxn>
              <a:cxn ang="0">
                <a:pos x="connsiteX5949" y="connsiteY5949"/>
              </a:cxn>
              <a:cxn ang="0">
                <a:pos x="connsiteX5950" y="connsiteY5950"/>
              </a:cxn>
              <a:cxn ang="0">
                <a:pos x="connsiteX5951" y="connsiteY5951"/>
              </a:cxn>
              <a:cxn ang="0">
                <a:pos x="connsiteX5952" y="connsiteY5952"/>
              </a:cxn>
              <a:cxn ang="0">
                <a:pos x="connsiteX5953" y="connsiteY5953"/>
              </a:cxn>
              <a:cxn ang="0">
                <a:pos x="connsiteX5954" y="connsiteY5954"/>
              </a:cxn>
              <a:cxn ang="0">
                <a:pos x="connsiteX5955" y="connsiteY5955"/>
              </a:cxn>
              <a:cxn ang="0">
                <a:pos x="connsiteX5956" y="connsiteY5956"/>
              </a:cxn>
              <a:cxn ang="0">
                <a:pos x="connsiteX5957" y="connsiteY5957"/>
              </a:cxn>
              <a:cxn ang="0">
                <a:pos x="connsiteX5958" y="connsiteY5958"/>
              </a:cxn>
              <a:cxn ang="0">
                <a:pos x="connsiteX5959" y="connsiteY5959"/>
              </a:cxn>
              <a:cxn ang="0">
                <a:pos x="connsiteX5960" y="connsiteY5960"/>
              </a:cxn>
              <a:cxn ang="0">
                <a:pos x="connsiteX5961" y="connsiteY5961"/>
              </a:cxn>
              <a:cxn ang="0">
                <a:pos x="connsiteX5962" y="connsiteY5962"/>
              </a:cxn>
              <a:cxn ang="0">
                <a:pos x="connsiteX5963" y="connsiteY5963"/>
              </a:cxn>
              <a:cxn ang="0">
                <a:pos x="connsiteX5964" y="connsiteY5964"/>
              </a:cxn>
              <a:cxn ang="0">
                <a:pos x="connsiteX5965" y="connsiteY5965"/>
              </a:cxn>
              <a:cxn ang="0">
                <a:pos x="connsiteX5966" y="connsiteY5966"/>
              </a:cxn>
              <a:cxn ang="0">
                <a:pos x="connsiteX5967" y="connsiteY5967"/>
              </a:cxn>
              <a:cxn ang="0">
                <a:pos x="connsiteX5968" y="connsiteY5968"/>
              </a:cxn>
              <a:cxn ang="0">
                <a:pos x="connsiteX5969" y="connsiteY5969"/>
              </a:cxn>
              <a:cxn ang="0">
                <a:pos x="connsiteX5970" y="connsiteY5970"/>
              </a:cxn>
              <a:cxn ang="0">
                <a:pos x="connsiteX5971" y="connsiteY5971"/>
              </a:cxn>
              <a:cxn ang="0">
                <a:pos x="connsiteX5972" y="connsiteY5972"/>
              </a:cxn>
              <a:cxn ang="0">
                <a:pos x="connsiteX5973" y="connsiteY5973"/>
              </a:cxn>
              <a:cxn ang="0">
                <a:pos x="connsiteX5974" y="connsiteY5974"/>
              </a:cxn>
              <a:cxn ang="0">
                <a:pos x="connsiteX5975" y="connsiteY5975"/>
              </a:cxn>
              <a:cxn ang="0">
                <a:pos x="connsiteX5976" y="connsiteY5976"/>
              </a:cxn>
              <a:cxn ang="0">
                <a:pos x="connsiteX5977" y="connsiteY5977"/>
              </a:cxn>
              <a:cxn ang="0">
                <a:pos x="connsiteX5978" y="connsiteY5978"/>
              </a:cxn>
              <a:cxn ang="0">
                <a:pos x="connsiteX5979" y="connsiteY5979"/>
              </a:cxn>
              <a:cxn ang="0">
                <a:pos x="connsiteX5980" y="connsiteY5980"/>
              </a:cxn>
              <a:cxn ang="0">
                <a:pos x="connsiteX5981" y="connsiteY5981"/>
              </a:cxn>
              <a:cxn ang="0">
                <a:pos x="connsiteX5982" y="connsiteY5982"/>
              </a:cxn>
              <a:cxn ang="0">
                <a:pos x="connsiteX5983" y="connsiteY5983"/>
              </a:cxn>
              <a:cxn ang="0">
                <a:pos x="connsiteX5984" y="connsiteY5984"/>
              </a:cxn>
              <a:cxn ang="0">
                <a:pos x="connsiteX5985" y="connsiteY5985"/>
              </a:cxn>
              <a:cxn ang="0">
                <a:pos x="connsiteX5986" y="connsiteY5986"/>
              </a:cxn>
              <a:cxn ang="0">
                <a:pos x="connsiteX5987" y="connsiteY5987"/>
              </a:cxn>
              <a:cxn ang="0">
                <a:pos x="connsiteX5988" y="connsiteY5988"/>
              </a:cxn>
              <a:cxn ang="0">
                <a:pos x="connsiteX5989" y="connsiteY5989"/>
              </a:cxn>
              <a:cxn ang="0">
                <a:pos x="connsiteX5990" y="connsiteY5990"/>
              </a:cxn>
              <a:cxn ang="0">
                <a:pos x="connsiteX5991" y="connsiteY5991"/>
              </a:cxn>
              <a:cxn ang="0">
                <a:pos x="connsiteX5992" y="connsiteY5992"/>
              </a:cxn>
              <a:cxn ang="0">
                <a:pos x="connsiteX5993" y="connsiteY5993"/>
              </a:cxn>
              <a:cxn ang="0">
                <a:pos x="connsiteX5994" y="connsiteY5994"/>
              </a:cxn>
              <a:cxn ang="0">
                <a:pos x="connsiteX5995" y="connsiteY5995"/>
              </a:cxn>
              <a:cxn ang="0">
                <a:pos x="connsiteX5996" y="connsiteY5996"/>
              </a:cxn>
              <a:cxn ang="0">
                <a:pos x="connsiteX5997" y="connsiteY5997"/>
              </a:cxn>
              <a:cxn ang="0">
                <a:pos x="connsiteX5998" y="connsiteY5998"/>
              </a:cxn>
              <a:cxn ang="0">
                <a:pos x="connsiteX5999" y="connsiteY5999"/>
              </a:cxn>
              <a:cxn ang="0">
                <a:pos x="connsiteX6000" y="connsiteY6000"/>
              </a:cxn>
              <a:cxn ang="0">
                <a:pos x="connsiteX6001" y="connsiteY6001"/>
              </a:cxn>
              <a:cxn ang="0">
                <a:pos x="connsiteX6002" y="connsiteY6002"/>
              </a:cxn>
              <a:cxn ang="0">
                <a:pos x="connsiteX6003" y="connsiteY6003"/>
              </a:cxn>
              <a:cxn ang="0">
                <a:pos x="connsiteX6004" y="connsiteY6004"/>
              </a:cxn>
              <a:cxn ang="0">
                <a:pos x="connsiteX6005" y="connsiteY6005"/>
              </a:cxn>
              <a:cxn ang="0">
                <a:pos x="connsiteX6006" y="connsiteY6006"/>
              </a:cxn>
              <a:cxn ang="0">
                <a:pos x="connsiteX6007" y="connsiteY6007"/>
              </a:cxn>
              <a:cxn ang="0">
                <a:pos x="connsiteX6008" y="connsiteY6008"/>
              </a:cxn>
              <a:cxn ang="0">
                <a:pos x="connsiteX6009" y="connsiteY6009"/>
              </a:cxn>
              <a:cxn ang="0">
                <a:pos x="connsiteX6010" y="connsiteY6010"/>
              </a:cxn>
              <a:cxn ang="0">
                <a:pos x="connsiteX6011" y="connsiteY6011"/>
              </a:cxn>
              <a:cxn ang="0">
                <a:pos x="connsiteX6012" y="connsiteY6012"/>
              </a:cxn>
              <a:cxn ang="0">
                <a:pos x="connsiteX6013" y="connsiteY6013"/>
              </a:cxn>
              <a:cxn ang="0">
                <a:pos x="connsiteX6014" y="connsiteY6014"/>
              </a:cxn>
              <a:cxn ang="0">
                <a:pos x="connsiteX6015" y="connsiteY6015"/>
              </a:cxn>
              <a:cxn ang="0">
                <a:pos x="connsiteX6016" y="connsiteY6016"/>
              </a:cxn>
              <a:cxn ang="0">
                <a:pos x="connsiteX6017" y="connsiteY6017"/>
              </a:cxn>
              <a:cxn ang="0">
                <a:pos x="connsiteX6018" y="connsiteY6018"/>
              </a:cxn>
              <a:cxn ang="0">
                <a:pos x="connsiteX6019" y="connsiteY6019"/>
              </a:cxn>
              <a:cxn ang="0">
                <a:pos x="connsiteX6020" y="connsiteY6020"/>
              </a:cxn>
              <a:cxn ang="0">
                <a:pos x="connsiteX6021" y="connsiteY6021"/>
              </a:cxn>
              <a:cxn ang="0">
                <a:pos x="connsiteX6022" y="connsiteY6022"/>
              </a:cxn>
              <a:cxn ang="0">
                <a:pos x="connsiteX6023" y="connsiteY6023"/>
              </a:cxn>
              <a:cxn ang="0">
                <a:pos x="connsiteX6024" y="connsiteY6024"/>
              </a:cxn>
              <a:cxn ang="0">
                <a:pos x="connsiteX6025" y="connsiteY6025"/>
              </a:cxn>
              <a:cxn ang="0">
                <a:pos x="connsiteX6026" y="connsiteY6026"/>
              </a:cxn>
              <a:cxn ang="0">
                <a:pos x="connsiteX6027" y="connsiteY6027"/>
              </a:cxn>
              <a:cxn ang="0">
                <a:pos x="connsiteX6028" y="connsiteY6028"/>
              </a:cxn>
              <a:cxn ang="0">
                <a:pos x="connsiteX6029" y="connsiteY6029"/>
              </a:cxn>
              <a:cxn ang="0">
                <a:pos x="connsiteX6030" y="connsiteY6030"/>
              </a:cxn>
              <a:cxn ang="0">
                <a:pos x="connsiteX6031" y="connsiteY6031"/>
              </a:cxn>
              <a:cxn ang="0">
                <a:pos x="connsiteX6032" y="connsiteY6032"/>
              </a:cxn>
              <a:cxn ang="0">
                <a:pos x="connsiteX6033" y="connsiteY6033"/>
              </a:cxn>
              <a:cxn ang="0">
                <a:pos x="connsiteX6034" y="connsiteY6034"/>
              </a:cxn>
              <a:cxn ang="0">
                <a:pos x="connsiteX6035" y="connsiteY6035"/>
              </a:cxn>
              <a:cxn ang="0">
                <a:pos x="connsiteX6036" y="connsiteY6036"/>
              </a:cxn>
              <a:cxn ang="0">
                <a:pos x="connsiteX6037" y="connsiteY6037"/>
              </a:cxn>
              <a:cxn ang="0">
                <a:pos x="connsiteX6038" y="connsiteY6038"/>
              </a:cxn>
              <a:cxn ang="0">
                <a:pos x="connsiteX6039" y="connsiteY6039"/>
              </a:cxn>
              <a:cxn ang="0">
                <a:pos x="connsiteX6040" y="connsiteY6040"/>
              </a:cxn>
              <a:cxn ang="0">
                <a:pos x="connsiteX6041" y="connsiteY6041"/>
              </a:cxn>
              <a:cxn ang="0">
                <a:pos x="connsiteX6042" y="connsiteY6042"/>
              </a:cxn>
              <a:cxn ang="0">
                <a:pos x="connsiteX6043" y="connsiteY6043"/>
              </a:cxn>
              <a:cxn ang="0">
                <a:pos x="connsiteX6044" y="connsiteY6044"/>
              </a:cxn>
              <a:cxn ang="0">
                <a:pos x="connsiteX6045" y="connsiteY6045"/>
              </a:cxn>
              <a:cxn ang="0">
                <a:pos x="connsiteX6046" y="connsiteY6046"/>
              </a:cxn>
              <a:cxn ang="0">
                <a:pos x="connsiteX6047" y="connsiteY6047"/>
              </a:cxn>
              <a:cxn ang="0">
                <a:pos x="connsiteX6048" y="connsiteY6048"/>
              </a:cxn>
              <a:cxn ang="0">
                <a:pos x="connsiteX6049" y="connsiteY6049"/>
              </a:cxn>
              <a:cxn ang="0">
                <a:pos x="connsiteX6050" y="connsiteY6050"/>
              </a:cxn>
              <a:cxn ang="0">
                <a:pos x="connsiteX6051" y="connsiteY6051"/>
              </a:cxn>
              <a:cxn ang="0">
                <a:pos x="connsiteX6052" y="connsiteY6052"/>
              </a:cxn>
              <a:cxn ang="0">
                <a:pos x="connsiteX6053" y="connsiteY6053"/>
              </a:cxn>
              <a:cxn ang="0">
                <a:pos x="connsiteX6054" y="connsiteY6054"/>
              </a:cxn>
              <a:cxn ang="0">
                <a:pos x="connsiteX6055" y="connsiteY6055"/>
              </a:cxn>
              <a:cxn ang="0">
                <a:pos x="connsiteX6056" y="connsiteY6056"/>
              </a:cxn>
              <a:cxn ang="0">
                <a:pos x="connsiteX6057" y="connsiteY6057"/>
              </a:cxn>
              <a:cxn ang="0">
                <a:pos x="connsiteX6058" y="connsiteY6058"/>
              </a:cxn>
              <a:cxn ang="0">
                <a:pos x="connsiteX6059" y="connsiteY6059"/>
              </a:cxn>
              <a:cxn ang="0">
                <a:pos x="connsiteX6060" y="connsiteY6060"/>
              </a:cxn>
              <a:cxn ang="0">
                <a:pos x="connsiteX6061" y="connsiteY6061"/>
              </a:cxn>
              <a:cxn ang="0">
                <a:pos x="connsiteX6062" y="connsiteY6062"/>
              </a:cxn>
              <a:cxn ang="0">
                <a:pos x="connsiteX6063" y="connsiteY6063"/>
              </a:cxn>
              <a:cxn ang="0">
                <a:pos x="connsiteX6064" y="connsiteY6064"/>
              </a:cxn>
              <a:cxn ang="0">
                <a:pos x="connsiteX6065" y="connsiteY6065"/>
              </a:cxn>
              <a:cxn ang="0">
                <a:pos x="connsiteX6066" y="connsiteY6066"/>
              </a:cxn>
              <a:cxn ang="0">
                <a:pos x="connsiteX6067" y="connsiteY6067"/>
              </a:cxn>
              <a:cxn ang="0">
                <a:pos x="connsiteX6068" y="connsiteY6068"/>
              </a:cxn>
              <a:cxn ang="0">
                <a:pos x="connsiteX6069" y="connsiteY6069"/>
              </a:cxn>
              <a:cxn ang="0">
                <a:pos x="connsiteX6070" y="connsiteY6070"/>
              </a:cxn>
              <a:cxn ang="0">
                <a:pos x="connsiteX6071" y="connsiteY6071"/>
              </a:cxn>
              <a:cxn ang="0">
                <a:pos x="connsiteX6072" y="connsiteY6072"/>
              </a:cxn>
              <a:cxn ang="0">
                <a:pos x="connsiteX6073" y="connsiteY6073"/>
              </a:cxn>
              <a:cxn ang="0">
                <a:pos x="connsiteX6074" y="connsiteY6074"/>
              </a:cxn>
              <a:cxn ang="0">
                <a:pos x="connsiteX6075" y="connsiteY6075"/>
              </a:cxn>
              <a:cxn ang="0">
                <a:pos x="connsiteX6076" y="connsiteY6076"/>
              </a:cxn>
              <a:cxn ang="0">
                <a:pos x="connsiteX6077" y="connsiteY6077"/>
              </a:cxn>
              <a:cxn ang="0">
                <a:pos x="connsiteX6078" y="connsiteY6078"/>
              </a:cxn>
              <a:cxn ang="0">
                <a:pos x="connsiteX6079" y="connsiteY6079"/>
              </a:cxn>
              <a:cxn ang="0">
                <a:pos x="connsiteX6080" y="connsiteY6080"/>
              </a:cxn>
              <a:cxn ang="0">
                <a:pos x="connsiteX6081" y="connsiteY6081"/>
              </a:cxn>
              <a:cxn ang="0">
                <a:pos x="connsiteX6082" y="connsiteY6082"/>
              </a:cxn>
              <a:cxn ang="0">
                <a:pos x="connsiteX6083" y="connsiteY6083"/>
              </a:cxn>
              <a:cxn ang="0">
                <a:pos x="connsiteX6084" y="connsiteY6084"/>
              </a:cxn>
              <a:cxn ang="0">
                <a:pos x="connsiteX6085" y="connsiteY6085"/>
              </a:cxn>
              <a:cxn ang="0">
                <a:pos x="connsiteX6086" y="connsiteY6086"/>
              </a:cxn>
              <a:cxn ang="0">
                <a:pos x="connsiteX6087" y="connsiteY6087"/>
              </a:cxn>
              <a:cxn ang="0">
                <a:pos x="connsiteX6088" y="connsiteY6088"/>
              </a:cxn>
              <a:cxn ang="0">
                <a:pos x="connsiteX6089" y="connsiteY6089"/>
              </a:cxn>
              <a:cxn ang="0">
                <a:pos x="connsiteX6090" y="connsiteY6090"/>
              </a:cxn>
              <a:cxn ang="0">
                <a:pos x="connsiteX6091" y="connsiteY6091"/>
              </a:cxn>
              <a:cxn ang="0">
                <a:pos x="connsiteX6092" y="connsiteY6092"/>
              </a:cxn>
              <a:cxn ang="0">
                <a:pos x="connsiteX6093" y="connsiteY6093"/>
              </a:cxn>
              <a:cxn ang="0">
                <a:pos x="connsiteX6094" y="connsiteY6094"/>
              </a:cxn>
              <a:cxn ang="0">
                <a:pos x="connsiteX6095" y="connsiteY6095"/>
              </a:cxn>
              <a:cxn ang="0">
                <a:pos x="connsiteX6096" y="connsiteY6096"/>
              </a:cxn>
              <a:cxn ang="0">
                <a:pos x="connsiteX6097" y="connsiteY6097"/>
              </a:cxn>
              <a:cxn ang="0">
                <a:pos x="connsiteX6098" y="connsiteY6098"/>
              </a:cxn>
              <a:cxn ang="0">
                <a:pos x="connsiteX6099" y="connsiteY6099"/>
              </a:cxn>
              <a:cxn ang="0">
                <a:pos x="connsiteX6100" y="connsiteY6100"/>
              </a:cxn>
              <a:cxn ang="0">
                <a:pos x="connsiteX6101" y="connsiteY6101"/>
              </a:cxn>
              <a:cxn ang="0">
                <a:pos x="connsiteX6102" y="connsiteY6102"/>
              </a:cxn>
              <a:cxn ang="0">
                <a:pos x="connsiteX6103" y="connsiteY6103"/>
              </a:cxn>
              <a:cxn ang="0">
                <a:pos x="connsiteX6104" y="connsiteY6104"/>
              </a:cxn>
              <a:cxn ang="0">
                <a:pos x="connsiteX6105" y="connsiteY6105"/>
              </a:cxn>
              <a:cxn ang="0">
                <a:pos x="connsiteX6106" y="connsiteY6106"/>
              </a:cxn>
              <a:cxn ang="0">
                <a:pos x="connsiteX6107" y="connsiteY6107"/>
              </a:cxn>
              <a:cxn ang="0">
                <a:pos x="connsiteX6108" y="connsiteY6108"/>
              </a:cxn>
              <a:cxn ang="0">
                <a:pos x="connsiteX6109" y="connsiteY6109"/>
              </a:cxn>
              <a:cxn ang="0">
                <a:pos x="connsiteX6110" y="connsiteY6110"/>
              </a:cxn>
              <a:cxn ang="0">
                <a:pos x="connsiteX6111" y="connsiteY6111"/>
              </a:cxn>
              <a:cxn ang="0">
                <a:pos x="connsiteX6112" y="connsiteY6112"/>
              </a:cxn>
              <a:cxn ang="0">
                <a:pos x="connsiteX6113" y="connsiteY6113"/>
              </a:cxn>
              <a:cxn ang="0">
                <a:pos x="connsiteX6114" y="connsiteY6114"/>
              </a:cxn>
              <a:cxn ang="0">
                <a:pos x="connsiteX6115" y="connsiteY6115"/>
              </a:cxn>
              <a:cxn ang="0">
                <a:pos x="connsiteX6116" y="connsiteY6116"/>
              </a:cxn>
              <a:cxn ang="0">
                <a:pos x="connsiteX6117" y="connsiteY6117"/>
              </a:cxn>
              <a:cxn ang="0">
                <a:pos x="connsiteX6118" y="connsiteY6118"/>
              </a:cxn>
              <a:cxn ang="0">
                <a:pos x="connsiteX6119" y="connsiteY6119"/>
              </a:cxn>
              <a:cxn ang="0">
                <a:pos x="connsiteX6120" y="connsiteY6120"/>
              </a:cxn>
              <a:cxn ang="0">
                <a:pos x="connsiteX6121" y="connsiteY6121"/>
              </a:cxn>
              <a:cxn ang="0">
                <a:pos x="connsiteX6122" y="connsiteY6122"/>
              </a:cxn>
              <a:cxn ang="0">
                <a:pos x="connsiteX6123" y="connsiteY6123"/>
              </a:cxn>
              <a:cxn ang="0">
                <a:pos x="connsiteX6124" y="connsiteY6124"/>
              </a:cxn>
              <a:cxn ang="0">
                <a:pos x="connsiteX6125" y="connsiteY6125"/>
              </a:cxn>
              <a:cxn ang="0">
                <a:pos x="connsiteX6126" y="connsiteY6126"/>
              </a:cxn>
              <a:cxn ang="0">
                <a:pos x="connsiteX6127" y="connsiteY6127"/>
              </a:cxn>
              <a:cxn ang="0">
                <a:pos x="connsiteX6128" y="connsiteY6128"/>
              </a:cxn>
              <a:cxn ang="0">
                <a:pos x="connsiteX6129" y="connsiteY6129"/>
              </a:cxn>
              <a:cxn ang="0">
                <a:pos x="connsiteX6130" y="connsiteY6130"/>
              </a:cxn>
              <a:cxn ang="0">
                <a:pos x="connsiteX6131" y="connsiteY6131"/>
              </a:cxn>
              <a:cxn ang="0">
                <a:pos x="connsiteX6132" y="connsiteY6132"/>
              </a:cxn>
              <a:cxn ang="0">
                <a:pos x="connsiteX6133" y="connsiteY6133"/>
              </a:cxn>
              <a:cxn ang="0">
                <a:pos x="connsiteX6134" y="connsiteY6134"/>
              </a:cxn>
              <a:cxn ang="0">
                <a:pos x="connsiteX6135" y="connsiteY6135"/>
              </a:cxn>
              <a:cxn ang="0">
                <a:pos x="connsiteX6136" y="connsiteY6136"/>
              </a:cxn>
              <a:cxn ang="0">
                <a:pos x="connsiteX6137" y="connsiteY6137"/>
              </a:cxn>
              <a:cxn ang="0">
                <a:pos x="connsiteX6138" y="connsiteY6138"/>
              </a:cxn>
              <a:cxn ang="0">
                <a:pos x="connsiteX6139" y="connsiteY6139"/>
              </a:cxn>
              <a:cxn ang="0">
                <a:pos x="connsiteX6140" y="connsiteY6140"/>
              </a:cxn>
              <a:cxn ang="0">
                <a:pos x="connsiteX6141" y="connsiteY6141"/>
              </a:cxn>
              <a:cxn ang="0">
                <a:pos x="connsiteX6142" y="connsiteY6142"/>
              </a:cxn>
              <a:cxn ang="0">
                <a:pos x="connsiteX6143" y="connsiteY6143"/>
              </a:cxn>
              <a:cxn ang="0">
                <a:pos x="connsiteX6144" y="connsiteY6144"/>
              </a:cxn>
              <a:cxn ang="0">
                <a:pos x="connsiteX6145" y="connsiteY6145"/>
              </a:cxn>
              <a:cxn ang="0">
                <a:pos x="connsiteX6146" y="connsiteY6146"/>
              </a:cxn>
              <a:cxn ang="0">
                <a:pos x="connsiteX6147" y="connsiteY6147"/>
              </a:cxn>
              <a:cxn ang="0">
                <a:pos x="connsiteX6148" y="connsiteY6148"/>
              </a:cxn>
              <a:cxn ang="0">
                <a:pos x="connsiteX6149" y="connsiteY6149"/>
              </a:cxn>
              <a:cxn ang="0">
                <a:pos x="connsiteX6150" y="connsiteY6150"/>
              </a:cxn>
              <a:cxn ang="0">
                <a:pos x="connsiteX6151" y="connsiteY6151"/>
              </a:cxn>
              <a:cxn ang="0">
                <a:pos x="connsiteX6152" y="connsiteY6152"/>
              </a:cxn>
              <a:cxn ang="0">
                <a:pos x="connsiteX6153" y="connsiteY6153"/>
              </a:cxn>
              <a:cxn ang="0">
                <a:pos x="connsiteX6154" y="connsiteY6154"/>
              </a:cxn>
              <a:cxn ang="0">
                <a:pos x="connsiteX6155" y="connsiteY6155"/>
              </a:cxn>
              <a:cxn ang="0">
                <a:pos x="connsiteX6156" y="connsiteY6156"/>
              </a:cxn>
              <a:cxn ang="0">
                <a:pos x="connsiteX6157" y="connsiteY6157"/>
              </a:cxn>
              <a:cxn ang="0">
                <a:pos x="connsiteX6158" y="connsiteY6158"/>
              </a:cxn>
              <a:cxn ang="0">
                <a:pos x="connsiteX6159" y="connsiteY6159"/>
              </a:cxn>
              <a:cxn ang="0">
                <a:pos x="connsiteX6160" y="connsiteY6160"/>
              </a:cxn>
              <a:cxn ang="0">
                <a:pos x="connsiteX6161" y="connsiteY6161"/>
              </a:cxn>
              <a:cxn ang="0">
                <a:pos x="connsiteX6162" y="connsiteY6162"/>
              </a:cxn>
              <a:cxn ang="0">
                <a:pos x="connsiteX6163" y="connsiteY6163"/>
              </a:cxn>
              <a:cxn ang="0">
                <a:pos x="connsiteX6164" y="connsiteY6164"/>
              </a:cxn>
              <a:cxn ang="0">
                <a:pos x="connsiteX6165" y="connsiteY6165"/>
              </a:cxn>
              <a:cxn ang="0">
                <a:pos x="connsiteX6166" y="connsiteY6166"/>
              </a:cxn>
              <a:cxn ang="0">
                <a:pos x="connsiteX6167" y="connsiteY6167"/>
              </a:cxn>
              <a:cxn ang="0">
                <a:pos x="connsiteX6168" y="connsiteY6168"/>
              </a:cxn>
              <a:cxn ang="0">
                <a:pos x="connsiteX6169" y="connsiteY6169"/>
              </a:cxn>
              <a:cxn ang="0">
                <a:pos x="connsiteX6170" y="connsiteY6170"/>
              </a:cxn>
              <a:cxn ang="0">
                <a:pos x="connsiteX6171" y="connsiteY6171"/>
              </a:cxn>
              <a:cxn ang="0">
                <a:pos x="connsiteX6172" y="connsiteY6172"/>
              </a:cxn>
              <a:cxn ang="0">
                <a:pos x="connsiteX6173" y="connsiteY6173"/>
              </a:cxn>
              <a:cxn ang="0">
                <a:pos x="connsiteX6174" y="connsiteY6174"/>
              </a:cxn>
              <a:cxn ang="0">
                <a:pos x="connsiteX6175" y="connsiteY6175"/>
              </a:cxn>
              <a:cxn ang="0">
                <a:pos x="connsiteX6176" y="connsiteY6176"/>
              </a:cxn>
              <a:cxn ang="0">
                <a:pos x="connsiteX6177" y="connsiteY6177"/>
              </a:cxn>
              <a:cxn ang="0">
                <a:pos x="connsiteX6178" y="connsiteY6178"/>
              </a:cxn>
              <a:cxn ang="0">
                <a:pos x="connsiteX6179" y="connsiteY6179"/>
              </a:cxn>
              <a:cxn ang="0">
                <a:pos x="connsiteX6180" y="connsiteY6180"/>
              </a:cxn>
              <a:cxn ang="0">
                <a:pos x="connsiteX6181" y="connsiteY6181"/>
              </a:cxn>
              <a:cxn ang="0">
                <a:pos x="connsiteX6182" y="connsiteY6182"/>
              </a:cxn>
              <a:cxn ang="0">
                <a:pos x="connsiteX6183" y="connsiteY6183"/>
              </a:cxn>
              <a:cxn ang="0">
                <a:pos x="connsiteX6184" y="connsiteY6184"/>
              </a:cxn>
              <a:cxn ang="0">
                <a:pos x="connsiteX6185" y="connsiteY6185"/>
              </a:cxn>
              <a:cxn ang="0">
                <a:pos x="connsiteX6186" y="connsiteY6186"/>
              </a:cxn>
              <a:cxn ang="0">
                <a:pos x="connsiteX6187" y="connsiteY6187"/>
              </a:cxn>
              <a:cxn ang="0">
                <a:pos x="connsiteX6188" y="connsiteY6188"/>
              </a:cxn>
              <a:cxn ang="0">
                <a:pos x="connsiteX6189" y="connsiteY6189"/>
              </a:cxn>
              <a:cxn ang="0">
                <a:pos x="connsiteX6190" y="connsiteY6190"/>
              </a:cxn>
              <a:cxn ang="0">
                <a:pos x="connsiteX6191" y="connsiteY6191"/>
              </a:cxn>
              <a:cxn ang="0">
                <a:pos x="connsiteX6192" y="connsiteY6192"/>
              </a:cxn>
              <a:cxn ang="0">
                <a:pos x="connsiteX6193" y="connsiteY6193"/>
              </a:cxn>
              <a:cxn ang="0">
                <a:pos x="connsiteX6194" y="connsiteY6194"/>
              </a:cxn>
              <a:cxn ang="0">
                <a:pos x="connsiteX6195" y="connsiteY6195"/>
              </a:cxn>
              <a:cxn ang="0">
                <a:pos x="connsiteX6196" y="connsiteY6196"/>
              </a:cxn>
              <a:cxn ang="0">
                <a:pos x="connsiteX6197" y="connsiteY6197"/>
              </a:cxn>
              <a:cxn ang="0">
                <a:pos x="connsiteX6198" y="connsiteY6198"/>
              </a:cxn>
              <a:cxn ang="0">
                <a:pos x="connsiteX6199" y="connsiteY6199"/>
              </a:cxn>
              <a:cxn ang="0">
                <a:pos x="connsiteX6200" y="connsiteY6200"/>
              </a:cxn>
              <a:cxn ang="0">
                <a:pos x="connsiteX6201" y="connsiteY6201"/>
              </a:cxn>
              <a:cxn ang="0">
                <a:pos x="connsiteX6202" y="connsiteY6202"/>
              </a:cxn>
              <a:cxn ang="0">
                <a:pos x="connsiteX6203" y="connsiteY6203"/>
              </a:cxn>
              <a:cxn ang="0">
                <a:pos x="connsiteX6204" y="connsiteY6204"/>
              </a:cxn>
              <a:cxn ang="0">
                <a:pos x="connsiteX6205" y="connsiteY6205"/>
              </a:cxn>
              <a:cxn ang="0">
                <a:pos x="connsiteX6206" y="connsiteY6206"/>
              </a:cxn>
              <a:cxn ang="0">
                <a:pos x="connsiteX6207" y="connsiteY6207"/>
              </a:cxn>
              <a:cxn ang="0">
                <a:pos x="connsiteX6208" y="connsiteY6208"/>
              </a:cxn>
              <a:cxn ang="0">
                <a:pos x="connsiteX6209" y="connsiteY6209"/>
              </a:cxn>
              <a:cxn ang="0">
                <a:pos x="connsiteX6210" y="connsiteY6210"/>
              </a:cxn>
              <a:cxn ang="0">
                <a:pos x="connsiteX6211" y="connsiteY6211"/>
              </a:cxn>
              <a:cxn ang="0">
                <a:pos x="connsiteX6212" y="connsiteY6212"/>
              </a:cxn>
              <a:cxn ang="0">
                <a:pos x="connsiteX6213" y="connsiteY6213"/>
              </a:cxn>
              <a:cxn ang="0">
                <a:pos x="connsiteX6214" y="connsiteY6214"/>
              </a:cxn>
              <a:cxn ang="0">
                <a:pos x="connsiteX6215" y="connsiteY6215"/>
              </a:cxn>
              <a:cxn ang="0">
                <a:pos x="connsiteX6216" y="connsiteY6216"/>
              </a:cxn>
              <a:cxn ang="0">
                <a:pos x="connsiteX6217" y="connsiteY6217"/>
              </a:cxn>
              <a:cxn ang="0">
                <a:pos x="connsiteX6218" y="connsiteY6218"/>
              </a:cxn>
              <a:cxn ang="0">
                <a:pos x="connsiteX6219" y="connsiteY6219"/>
              </a:cxn>
              <a:cxn ang="0">
                <a:pos x="connsiteX6220" y="connsiteY6220"/>
              </a:cxn>
              <a:cxn ang="0">
                <a:pos x="connsiteX6221" y="connsiteY6221"/>
              </a:cxn>
              <a:cxn ang="0">
                <a:pos x="connsiteX6222" y="connsiteY6222"/>
              </a:cxn>
              <a:cxn ang="0">
                <a:pos x="connsiteX6223" y="connsiteY6223"/>
              </a:cxn>
              <a:cxn ang="0">
                <a:pos x="connsiteX6224" y="connsiteY6224"/>
              </a:cxn>
              <a:cxn ang="0">
                <a:pos x="connsiteX6225" y="connsiteY6225"/>
              </a:cxn>
              <a:cxn ang="0">
                <a:pos x="connsiteX6226" y="connsiteY6226"/>
              </a:cxn>
              <a:cxn ang="0">
                <a:pos x="connsiteX6227" y="connsiteY6227"/>
              </a:cxn>
              <a:cxn ang="0">
                <a:pos x="connsiteX6228" y="connsiteY6228"/>
              </a:cxn>
              <a:cxn ang="0">
                <a:pos x="connsiteX6229" y="connsiteY6229"/>
              </a:cxn>
              <a:cxn ang="0">
                <a:pos x="connsiteX6230" y="connsiteY6230"/>
              </a:cxn>
              <a:cxn ang="0">
                <a:pos x="connsiteX6231" y="connsiteY6231"/>
              </a:cxn>
              <a:cxn ang="0">
                <a:pos x="connsiteX6232" y="connsiteY6232"/>
              </a:cxn>
              <a:cxn ang="0">
                <a:pos x="connsiteX6233" y="connsiteY6233"/>
              </a:cxn>
              <a:cxn ang="0">
                <a:pos x="connsiteX6234" y="connsiteY6234"/>
              </a:cxn>
              <a:cxn ang="0">
                <a:pos x="connsiteX6235" y="connsiteY6235"/>
              </a:cxn>
              <a:cxn ang="0">
                <a:pos x="connsiteX6236" y="connsiteY6236"/>
              </a:cxn>
              <a:cxn ang="0">
                <a:pos x="connsiteX6237" y="connsiteY6237"/>
              </a:cxn>
              <a:cxn ang="0">
                <a:pos x="connsiteX6238" y="connsiteY6238"/>
              </a:cxn>
              <a:cxn ang="0">
                <a:pos x="connsiteX6239" y="connsiteY6239"/>
              </a:cxn>
              <a:cxn ang="0">
                <a:pos x="connsiteX6240" y="connsiteY6240"/>
              </a:cxn>
              <a:cxn ang="0">
                <a:pos x="connsiteX6241" y="connsiteY6241"/>
              </a:cxn>
              <a:cxn ang="0">
                <a:pos x="connsiteX6242" y="connsiteY6242"/>
              </a:cxn>
              <a:cxn ang="0">
                <a:pos x="connsiteX6243" y="connsiteY6243"/>
              </a:cxn>
              <a:cxn ang="0">
                <a:pos x="connsiteX6244" y="connsiteY6244"/>
              </a:cxn>
              <a:cxn ang="0">
                <a:pos x="connsiteX6245" y="connsiteY6245"/>
              </a:cxn>
              <a:cxn ang="0">
                <a:pos x="connsiteX6246" y="connsiteY6246"/>
              </a:cxn>
              <a:cxn ang="0">
                <a:pos x="connsiteX6247" y="connsiteY6247"/>
              </a:cxn>
              <a:cxn ang="0">
                <a:pos x="connsiteX6248" y="connsiteY6248"/>
              </a:cxn>
              <a:cxn ang="0">
                <a:pos x="connsiteX6249" y="connsiteY6249"/>
              </a:cxn>
              <a:cxn ang="0">
                <a:pos x="connsiteX6250" y="connsiteY6250"/>
              </a:cxn>
              <a:cxn ang="0">
                <a:pos x="connsiteX6251" y="connsiteY6251"/>
              </a:cxn>
              <a:cxn ang="0">
                <a:pos x="connsiteX6252" y="connsiteY6252"/>
              </a:cxn>
              <a:cxn ang="0">
                <a:pos x="connsiteX6253" y="connsiteY6253"/>
              </a:cxn>
              <a:cxn ang="0">
                <a:pos x="connsiteX6254" y="connsiteY6254"/>
              </a:cxn>
              <a:cxn ang="0">
                <a:pos x="connsiteX6255" y="connsiteY6255"/>
              </a:cxn>
              <a:cxn ang="0">
                <a:pos x="connsiteX6256" y="connsiteY6256"/>
              </a:cxn>
              <a:cxn ang="0">
                <a:pos x="connsiteX6257" y="connsiteY6257"/>
              </a:cxn>
              <a:cxn ang="0">
                <a:pos x="connsiteX6258" y="connsiteY6258"/>
              </a:cxn>
              <a:cxn ang="0">
                <a:pos x="connsiteX6259" y="connsiteY6259"/>
              </a:cxn>
              <a:cxn ang="0">
                <a:pos x="connsiteX6260" y="connsiteY6260"/>
              </a:cxn>
              <a:cxn ang="0">
                <a:pos x="connsiteX6261" y="connsiteY6261"/>
              </a:cxn>
              <a:cxn ang="0">
                <a:pos x="connsiteX6262" y="connsiteY6262"/>
              </a:cxn>
              <a:cxn ang="0">
                <a:pos x="connsiteX6263" y="connsiteY6263"/>
              </a:cxn>
              <a:cxn ang="0">
                <a:pos x="connsiteX6264" y="connsiteY6264"/>
              </a:cxn>
              <a:cxn ang="0">
                <a:pos x="connsiteX6265" y="connsiteY6265"/>
              </a:cxn>
              <a:cxn ang="0">
                <a:pos x="connsiteX6266" y="connsiteY6266"/>
              </a:cxn>
              <a:cxn ang="0">
                <a:pos x="connsiteX6267" y="connsiteY6267"/>
              </a:cxn>
              <a:cxn ang="0">
                <a:pos x="connsiteX6268" y="connsiteY6268"/>
              </a:cxn>
              <a:cxn ang="0">
                <a:pos x="connsiteX6269" y="connsiteY6269"/>
              </a:cxn>
              <a:cxn ang="0">
                <a:pos x="connsiteX6270" y="connsiteY6270"/>
              </a:cxn>
              <a:cxn ang="0">
                <a:pos x="connsiteX6271" y="connsiteY6271"/>
              </a:cxn>
              <a:cxn ang="0">
                <a:pos x="connsiteX6272" y="connsiteY6272"/>
              </a:cxn>
              <a:cxn ang="0">
                <a:pos x="connsiteX6273" y="connsiteY6273"/>
              </a:cxn>
              <a:cxn ang="0">
                <a:pos x="connsiteX6274" y="connsiteY6274"/>
              </a:cxn>
              <a:cxn ang="0">
                <a:pos x="connsiteX6275" y="connsiteY6275"/>
              </a:cxn>
              <a:cxn ang="0">
                <a:pos x="connsiteX6276" y="connsiteY6276"/>
              </a:cxn>
              <a:cxn ang="0">
                <a:pos x="connsiteX6277" y="connsiteY6277"/>
              </a:cxn>
              <a:cxn ang="0">
                <a:pos x="connsiteX6278" y="connsiteY6278"/>
              </a:cxn>
              <a:cxn ang="0">
                <a:pos x="connsiteX6279" y="connsiteY6279"/>
              </a:cxn>
              <a:cxn ang="0">
                <a:pos x="connsiteX6280" y="connsiteY6280"/>
              </a:cxn>
              <a:cxn ang="0">
                <a:pos x="connsiteX6281" y="connsiteY6281"/>
              </a:cxn>
              <a:cxn ang="0">
                <a:pos x="connsiteX6282" y="connsiteY6282"/>
              </a:cxn>
              <a:cxn ang="0">
                <a:pos x="connsiteX6283" y="connsiteY6283"/>
              </a:cxn>
              <a:cxn ang="0">
                <a:pos x="connsiteX6284" y="connsiteY6284"/>
              </a:cxn>
              <a:cxn ang="0">
                <a:pos x="connsiteX6285" y="connsiteY6285"/>
              </a:cxn>
              <a:cxn ang="0">
                <a:pos x="connsiteX6286" y="connsiteY6286"/>
              </a:cxn>
              <a:cxn ang="0">
                <a:pos x="connsiteX6287" y="connsiteY6287"/>
              </a:cxn>
              <a:cxn ang="0">
                <a:pos x="connsiteX6288" y="connsiteY6288"/>
              </a:cxn>
              <a:cxn ang="0">
                <a:pos x="connsiteX6289" y="connsiteY6289"/>
              </a:cxn>
              <a:cxn ang="0">
                <a:pos x="connsiteX6290" y="connsiteY6290"/>
              </a:cxn>
              <a:cxn ang="0">
                <a:pos x="connsiteX6291" y="connsiteY6291"/>
              </a:cxn>
              <a:cxn ang="0">
                <a:pos x="connsiteX6292" y="connsiteY6292"/>
              </a:cxn>
              <a:cxn ang="0">
                <a:pos x="connsiteX6293" y="connsiteY6293"/>
              </a:cxn>
              <a:cxn ang="0">
                <a:pos x="connsiteX6294" y="connsiteY6294"/>
              </a:cxn>
              <a:cxn ang="0">
                <a:pos x="connsiteX6295" y="connsiteY6295"/>
              </a:cxn>
              <a:cxn ang="0">
                <a:pos x="connsiteX6296" y="connsiteY6296"/>
              </a:cxn>
              <a:cxn ang="0">
                <a:pos x="connsiteX6297" y="connsiteY6297"/>
              </a:cxn>
              <a:cxn ang="0">
                <a:pos x="connsiteX6298" y="connsiteY6298"/>
              </a:cxn>
              <a:cxn ang="0">
                <a:pos x="connsiteX6299" y="connsiteY6299"/>
              </a:cxn>
              <a:cxn ang="0">
                <a:pos x="connsiteX6300" y="connsiteY6300"/>
              </a:cxn>
              <a:cxn ang="0">
                <a:pos x="connsiteX6301" y="connsiteY6301"/>
              </a:cxn>
              <a:cxn ang="0">
                <a:pos x="connsiteX6302" y="connsiteY6302"/>
              </a:cxn>
              <a:cxn ang="0">
                <a:pos x="connsiteX6303" y="connsiteY6303"/>
              </a:cxn>
              <a:cxn ang="0">
                <a:pos x="connsiteX6304" y="connsiteY6304"/>
              </a:cxn>
              <a:cxn ang="0">
                <a:pos x="connsiteX6305" y="connsiteY6305"/>
              </a:cxn>
              <a:cxn ang="0">
                <a:pos x="connsiteX6306" y="connsiteY6306"/>
              </a:cxn>
              <a:cxn ang="0">
                <a:pos x="connsiteX6307" y="connsiteY6307"/>
              </a:cxn>
              <a:cxn ang="0">
                <a:pos x="connsiteX6308" y="connsiteY6308"/>
              </a:cxn>
              <a:cxn ang="0">
                <a:pos x="connsiteX6309" y="connsiteY6309"/>
              </a:cxn>
              <a:cxn ang="0">
                <a:pos x="connsiteX6310" y="connsiteY6310"/>
              </a:cxn>
              <a:cxn ang="0">
                <a:pos x="connsiteX6311" y="connsiteY6311"/>
              </a:cxn>
              <a:cxn ang="0">
                <a:pos x="connsiteX6312" y="connsiteY6312"/>
              </a:cxn>
              <a:cxn ang="0">
                <a:pos x="connsiteX6313" y="connsiteY6313"/>
              </a:cxn>
              <a:cxn ang="0">
                <a:pos x="connsiteX6314" y="connsiteY6314"/>
              </a:cxn>
              <a:cxn ang="0">
                <a:pos x="connsiteX6315" y="connsiteY6315"/>
              </a:cxn>
              <a:cxn ang="0">
                <a:pos x="connsiteX6316" y="connsiteY6316"/>
              </a:cxn>
              <a:cxn ang="0">
                <a:pos x="connsiteX6317" y="connsiteY6317"/>
              </a:cxn>
              <a:cxn ang="0">
                <a:pos x="connsiteX6318" y="connsiteY6318"/>
              </a:cxn>
              <a:cxn ang="0">
                <a:pos x="connsiteX6319" y="connsiteY6319"/>
              </a:cxn>
              <a:cxn ang="0">
                <a:pos x="connsiteX6320" y="connsiteY6320"/>
              </a:cxn>
              <a:cxn ang="0">
                <a:pos x="connsiteX6321" y="connsiteY6321"/>
              </a:cxn>
              <a:cxn ang="0">
                <a:pos x="connsiteX6322" y="connsiteY6322"/>
              </a:cxn>
              <a:cxn ang="0">
                <a:pos x="connsiteX6323" y="connsiteY6323"/>
              </a:cxn>
              <a:cxn ang="0">
                <a:pos x="connsiteX6324" y="connsiteY6324"/>
              </a:cxn>
              <a:cxn ang="0">
                <a:pos x="connsiteX6325" y="connsiteY6325"/>
              </a:cxn>
              <a:cxn ang="0">
                <a:pos x="connsiteX6326" y="connsiteY6326"/>
              </a:cxn>
              <a:cxn ang="0">
                <a:pos x="connsiteX6327" y="connsiteY6327"/>
              </a:cxn>
              <a:cxn ang="0">
                <a:pos x="connsiteX6328" y="connsiteY6328"/>
              </a:cxn>
              <a:cxn ang="0">
                <a:pos x="connsiteX6329" y="connsiteY6329"/>
              </a:cxn>
              <a:cxn ang="0">
                <a:pos x="connsiteX6330" y="connsiteY6330"/>
              </a:cxn>
              <a:cxn ang="0">
                <a:pos x="connsiteX6331" y="connsiteY6331"/>
              </a:cxn>
              <a:cxn ang="0">
                <a:pos x="connsiteX6332" y="connsiteY6332"/>
              </a:cxn>
              <a:cxn ang="0">
                <a:pos x="connsiteX6333" y="connsiteY6333"/>
              </a:cxn>
              <a:cxn ang="0">
                <a:pos x="connsiteX6334" y="connsiteY6334"/>
              </a:cxn>
              <a:cxn ang="0">
                <a:pos x="connsiteX6335" y="connsiteY6335"/>
              </a:cxn>
              <a:cxn ang="0">
                <a:pos x="connsiteX6336" y="connsiteY6336"/>
              </a:cxn>
              <a:cxn ang="0">
                <a:pos x="connsiteX6337" y="connsiteY6337"/>
              </a:cxn>
              <a:cxn ang="0">
                <a:pos x="connsiteX6338" y="connsiteY6338"/>
              </a:cxn>
              <a:cxn ang="0">
                <a:pos x="connsiteX6339" y="connsiteY6339"/>
              </a:cxn>
              <a:cxn ang="0">
                <a:pos x="connsiteX6340" y="connsiteY6340"/>
              </a:cxn>
              <a:cxn ang="0">
                <a:pos x="connsiteX6341" y="connsiteY6341"/>
              </a:cxn>
              <a:cxn ang="0">
                <a:pos x="connsiteX6342" y="connsiteY6342"/>
              </a:cxn>
              <a:cxn ang="0">
                <a:pos x="connsiteX6343" y="connsiteY6343"/>
              </a:cxn>
              <a:cxn ang="0">
                <a:pos x="connsiteX6344" y="connsiteY6344"/>
              </a:cxn>
              <a:cxn ang="0">
                <a:pos x="connsiteX6345" y="connsiteY6345"/>
              </a:cxn>
              <a:cxn ang="0">
                <a:pos x="connsiteX6346" y="connsiteY6346"/>
              </a:cxn>
              <a:cxn ang="0">
                <a:pos x="connsiteX6347" y="connsiteY6347"/>
              </a:cxn>
              <a:cxn ang="0">
                <a:pos x="connsiteX6348" y="connsiteY6348"/>
              </a:cxn>
              <a:cxn ang="0">
                <a:pos x="connsiteX6349" y="connsiteY6349"/>
              </a:cxn>
              <a:cxn ang="0">
                <a:pos x="connsiteX6350" y="connsiteY6350"/>
              </a:cxn>
              <a:cxn ang="0">
                <a:pos x="connsiteX6351" y="connsiteY6351"/>
              </a:cxn>
              <a:cxn ang="0">
                <a:pos x="connsiteX6352" y="connsiteY6352"/>
              </a:cxn>
              <a:cxn ang="0">
                <a:pos x="connsiteX6353" y="connsiteY6353"/>
              </a:cxn>
              <a:cxn ang="0">
                <a:pos x="connsiteX6354" y="connsiteY6354"/>
              </a:cxn>
              <a:cxn ang="0">
                <a:pos x="connsiteX6355" y="connsiteY6355"/>
              </a:cxn>
              <a:cxn ang="0">
                <a:pos x="connsiteX6356" y="connsiteY6356"/>
              </a:cxn>
              <a:cxn ang="0">
                <a:pos x="connsiteX6357" y="connsiteY6357"/>
              </a:cxn>
              <a:cxn ang="0">
                <a:pos x="connsiteX6358" y="connsiteY6358"/>
              </a:cxn>
              <a:cxn ang="0">
                <a:pos x="connsiteX6359" y="connsiteY6359"/>
              </a:cxn>
              <a:cxn ang="0">
                <a:pos x="connsiteX6360" y="connsiteY6360"/>
              </a:cxn>
              <a:cxn ang="0">
                <a:pos x="connsiteX6361" y="connsiteY6361"/>
              </a:cxn>
              <a:cxn ang="0">
                <a:pos x="connsiteX6362" y="connsiteY6362"/>
              </a:cxn>
              <a:cxn ang="0">
                <a:pos x="connsiteX6363" y="connsiteY6363"/>
              </a:cxn>
              <a:cxn ang="0">
                <a:pos x="connsiteX6364" y="connsiteY6364"/>
              </a:cxn>
              <a:cxn ang="0">
                <a:pos x="connsiteX6365" y="connsiteY6365"/>
              </a:cxn>
              <a:cxn ang="0">
                <a:pos x="connsiteX6366" y="connsiteY6366"/>
              </a:cxn>
              <a:cxn ang="0">
                <a:pos x="connsiteX6367" y="connsiteY6367"/>
              </a:cxn>
              <a:cxn ang="0">
                <a:pos x="connsiteX6368" y="connsiteY6368"/>
              </a:cxn>
              <a:cxn ang="0">
                <a:pos x="connsiteX6369" y="connsiteY6369"/>
              </a:cxn>
              <a:cxn ang="0">
                <a:pos x="connsiteX6370" y="connsiteY6370"/>
              </a:cxn>
              <a:cxn ang="0">
                <a:pos x="connsiteX6371" y="connsiteY6371"/>
              </a:cxn>
              <a:cxn ang="0">
                <a:pos x="connsiteX6372" y="connsiteY6372"/>
              </a:cxn>
              <a:cxn ang="0">
                <a:pos x="connsiteX6373" y="connsiteY6373"/>
              </a:cxn>
              <a:cxn ang="0">
                <a:pos x="connsiteX6374" y="connsiteY6374"/>
              </a:cxn>
              <a:cxn ang="0">
                <a:pos x="connsiteX6375" y="connsiteY6375"/>
              </a:cxn>
              <a:cxn ang="0">
                <a:pos x="connsiteX6376" y="connsiteY6376"/>
              </a:cxn>
              <a:cxn ang="0">
                <a:pos x="connsiteX6377" y="connsiteY6377"/>
              </a:cxn>
              <a:cxn ang="0">
                <a:pos x="connsiteX6378" y="connsiteY6378"/>
              </a:cxn>
              <a:cxn ang="0">
                <a:pos x="connsiteX6379" y="connsiteY6379"/>
              </a:cxn>
              <a:cxn ang="0">
                <a:pos x="connsiteX6380" y="connsiteY6380"/>
              </a:cxn>
              <a:cxn ang="0">
                <a:pos x="connsiteX6381" y="connsiteY6381"/>
              </a:cxn>
              <a:cxn ang="0">
                <a:pos x="connsiteX6382" y="connsiteY6382"/>
              </a:cxn>
              <a:cxn ang="0">
                <a:pos x="connsiteX6383" y="connsiteY6383"/>
              </a:cxn>
              <a:cxn ang="0">
                <a:pos x="connsiteX6384" y="connsiteY6384"/>
              </a:cxn>
              <a:cxn ang="0">
                <a:pos x="connsiteX6385" y="connsiteY6385"/>
              </a:cxn>
              <a:cxn ang="0">
                <a:pos x="connsiteX6386" y="connsiteY6386"/>
              </a:cxn>
              <a:cxn ang="0">
                <a:pos x="connsiteX6387" y="connsiteY6387"/>
              </a:cxn>
              <a:cxn ang="0">
                <a:pos x="connsiteX6388" y="connsiteY6388"/>
              </a:cxn>
              <a:cxn ang="0">
                <a:pos x="connsiteX6389" y="connsiteY6389"/>
              </a:cxn>
              <a:cxn ang="0">
                <a:pos x="connsiteX6390" y="connsiteY6390"/>
              </a:cxn>
              <a:cxn ang="0">
                <a:pos x="connsiteX6391" y="connsiteY6391"/>
              </a:cxn>
              <a:cxn ang="0">
                <a:pos x="connsiteX6392" y="connsiteY6392"/>
              </a:cxn>
              <a:cxn ang="0">
                <a:pos x="connsiteX6393" y="connsiteY6393"/>
              </a:cxn>
              <a:cxn ang="0">
                <a:pos x="connsiteX6394" y="connsiteY6394"/>
              </a:cxn>
              <a:cxn ang="0">
                <a:pos x="connsiteX6395" y="connsiteY6395"/>
              </a:cxn>
              <a:cxn ang="0">
                <a:pos x="connsiteX6396" y="connsiteY6396"/>
              </a:cxn>
              <a:cxn ang="0">
                <a:pos x="connsiteX6397" y="connsiteY6397"/>
              </a:cxn>
              <a:cxn ang="0">
                <a:pos x="connsiteX6398" y="connsiteY6398"/>
              </a:cxn>
              <a:cxn ang="0">
                <a:pos x="connsiteX6399" y="connsiteY6399"/>
              </a:cxn>
              <a:cxn ang="0">
                <a:pos x="connsiteX6400" y="connsiteY6400"/>
              </a:cxn>
              <a:cxn ang="0">
                <a:pos x="connsiteX6401" y="connsiteY6401"/>
              </a:cxn>
              <a:cxn ang="0">
                <a:pos x="connsiteX6402" y="connsiteY6402"/>
              </a:cxn>
              <a:cxn ang="0">
                <a:pos x="connsiteX6403" y="connsiteY6403"/>
              </a:cxn>
              <a:cxn ang="0">
                <a:pos x="connsiteX6404" y="connsiteY6404"/>
              </a:cxn>
              <a:cxn ang="0">
                <a:pos x="connsiteX6405" y="connsiteY6405"/>
              </a:cxn>
              <a:cxn ang="0">
                <a:pos x="connsiteX6406" y="connsiteY6406"/>
              </a:cxn>
              <a:cxn ang="0">
                <a:pos x="connsiteX6407" y="connsiteY6407"/>
              </a:cxn>
              <a:cxn ang="0">
                <a:pos x="connsiteX6408" y="connsiteY6408"/>
              </a:cxn>
              <a:cxn ang="0">
                <a:pos x="connsiteX6409" y="connsiteY6409"/>
              </a:cxn>
              <a:cxn ang="0">
                <a:pos x="connsiteX6410" y="connsiteY6410"/>
              </a:cxn>
              <a:cxn ang="0">
                <a:pos x="connsiteX6411" y="connsiteY6411"/>
              </a:cxn>
              <a:cxn ang="0">
                <a:pos x="connsiteX6412" y="connsiteY6412"/>
              </a:cxn>
              <a:cxn ang="0">
                <a:pos x="connsiteX6413" y="connsiteY6413"/>
              </a:cxn>
              <a:cxn ang="0">
                <a:pos x="connsiteX6414" y="connsiteY6414"/>
              </a:cxn>
              <a:cxn ang="0">
                <a:pos x="connsiteX6415" y="connsiteY6415"/>
              </a:cxn>
              <a:cxn ang="0">
                <a:pos x="connsiteX6416" y="connsiteY6416"/>
              </a:cxn>
              <a:cxn ang="0">
                <a:pos x="connsiteX6417" y="connsiteY6417"/>
              </a:cxn>
              <a:cxn ang="0">
                <a:pos x="connsiteX6418" y="connsiteY6418"/>
              </a:cxn>
              <a:cxn ang="0">
                <a:pos x="connsiteX6419" y="connsiteY6419"/>
              </a:cxn>
              <a:cxn ang="0">
                <a:pos x="connsiteX6420" y="connsiteY6420"/>
              </a:cxn>
              <a:cxn ang="0">
                <a:pos x="connsiteX6421" y="connsiteY6421"/>
              </a:cxn>
              <a:cxn ang="0">
                <a:pos x="connsiteX6422" y="connsiteY6422"/>
              </a:cxn>
              <a:cxn ang="0">
                <a:pos x="connsiteX6423" y="connsiteY6423"/>
              </a:cxn>
              <a:cxn ang="0">
                <a:pos x="connsiteX6424" y="connsiteY6424"/>
              </a:cxn>
              <a:cxn ang="0">
                <a:pos x="connsiteX6425" y="connsiteY6425"/>
              </a:cxn>
              <a:cxn ang="0">
                <a:pos x="connsiteX6426" y="connsiteY6426"/>
              </a:cxn>
              <a:cxn ang="0">
                <a:pos x="connsiteX6427" y="connsiteY6427"/>
              </a:cxn>
              <a:cxn ang="0">
                <a:pos x="connsiteX6428" y="connsiteY6428"/>
              </a:cxn>
              <a:cxn ang="0">
                <a:pos x="connsiteX6429" y="connsiteY6429"/>
              </a:cxn>
              <a:cxn ang="0">
                <a:pos x="connsiteX6430" y="connsiteY6430"/>
              </a:cxn>
              <a:cxn ang="0">
                <a:pos x="connsiteX6431" y="connsiteY6431"/>
              </a:cxn>
              <a:cxn ang="0">
                <a:pos x="connsiteX6432" y="connsiteY6432"/>
              </a:cxn>
              <a:cxn ang="0">
                <a:pos x="connsiteX6433" y="connsiteY6433"/>
              </a:cxn>
              <a:cxn ang="0">
                <a:pos x="connsiteX6434" y="connsiteY6434"/>
              </a:cxn>
              <a:cxn ang="0">
                <a:pos x="connsiteX6435" y="connsiteY6435"/>
              </a:cxn>
              <a:cxn ang="0">
                <a:pos x="connsiteX6436" y="connsiteY6436"/>
              </a:cxn>
              <a:cxn ang="0">
                <a:pos x="connsiteX6437" y="connsiteY6437"/>
              </a:cxn>
              <a:cxn ang="0">
                <a:pos x="connsiteX6438" y="connsiteY6438"/>
              </a:cxn>
              <a:cxn ang="0">
                <a:pos x="connsiteX6439" y="connsiteY6439"/>
              </a:cxn>
              <a:cxn ang="0">
                <a:pos x="connsiteX6440" y="connsiteY6440"/>
              </a:cxn>
              <a:cxn ang="0">
                <a:pos x="connsiteX6441" y="connsiteY6441"/>
              </a:cxn>
              <a:cxn ang="0">
                <a:pos x="connsiteX6442" y="connsiteY6442"/>
              </a:cxn>
              <a:cxn ang="0">
                <a:pos x="connsiteX6443" y="connsiteY6443"/>
              </a:cxn>
              <a:cxn ang="0">
                <a:pos x="connsiteX6444" y="connsiteY6444"/>
              </a:cxn>
              <a:cxn ang="0">
                <a:pos x="connsiteX6445" y="connsiteY6445"/>
              </a:cxn>
              <a:cxn ang="0">
                <a:pos x="connsiteX6446" y="connsiteY6446"/>
              </a:cxn>
              <a:cxn ang="0">
                <a:pos x="connsiteX6447" y="connsiteY6447"/>
              </a:cxn>
              <a:cxn ang="0">
                <a:pos x="connsiteX6448" y="connsiteY6448"/>
              </a:cxn>
              <a:cxn ang="0">
                <a:pos x="connsiteX6449" y="connsiteY6449"/>
              </a:cxn>
              <a:cxn ang="0">
                <a:pos x="connsiteX6450" y="connsiteY6450"/>
              </a:cxn>
              <a:cxn ang="0">
                <a:pos x="connsiteX6451" y="connsiteY6451"/>
              </a:cxn>
              <a:cxn ang="0">
                <a:pos x="connsiteX6452" y="connsiteY6452"/>
              </a:cxn>
              <a:cxn ang="0">
                <a:pos x="connsiteX6453" y="connsiteY6453"/>
              </a:cxn>
              <a:cxn ang="0">
                <a:pos x="connsiteX6454" y="connsiteY6454"/>
              </a:cxn>
              <a:cxn ang="0">
                <a:pos x="connsiteX6455" y="connsiteY6455"/>
              </a:cxn>
              <a:cxn ang="0">
                <a:pos x="connsiteX6456" y="connsiteY6456"/>
              </a:cxn>
              <a:cxn ang="0">
                <a:pos x="connsiteX6457" y="connsiteY6457"/>
              </a:cxn>
              <a:cxn ang="0">
                <a:pos x="connsiteX6458" y="connsiteY6458"/>
              </a:cxn>
              <a:cxn ang="0">
                <a:pos x="connsiteX6459" y="connsiteY6459"/>
              </a:cxn>
              <a:cxn ang="0">
                <a:pos x="connsiteX6460" y="connsiteY6460"/>
              </a:cxn>
              <a:cxn ang="0">
                <a:pos x="connsiteX6461" y="connsiteY6461"/>
              </a:cxn>
              <a:cxn ang="0">
                <a:pos x="connsiteX6462" y="connsiteY6462"/>
              </a:cxn>
              <a:cxn ang="0">
                <a:pos x="connsiteX6463" y="connsiteY6463"/>
              </a:cxn>
              <a:cxn ang="0">
                <a:pos x="connsiteX6464" y="connsiteY6464"/>
              </a:cxn>
              <a:cxn ang="0">
                <a:pos x="connsiteX6465" y="connsiteY6465"/>
              </a:cxn>
              <a:cxn ang="0">
                <a:pos x="connsiteX6466" y="connsiteY6466"/>
              </a:cxn>
              <a:cxn ang="0">
                <a:pos x="connsiteX6467" y="connsiteY6467"/>
              </a:cxn>
              <a:cxn ang="0">
                <a:pos x="connsiteX6468" y="connsiteY6468"/>
              </a:cxn>
              <a:cxn ang="0">
                <a:pos x="connsiteX6469" y="connsiteY6469"/>
              </a:cxn>
              <a:cxn ang="0">
                <a:pos x="connsiteX6470" y="connsiteY6470"/>
              </a:cxn>
              <a:cxn ang="0">
                <a:pos x="connsiteX6471" y="connsiteY6471"/>
              </a:cxn>
              <a:cxn ang="0">
                <a:pos x="connsiteX6472" y="connsiteY6472"/>
              </a:cxn>
              <a:cxn ang="0">
                <a:pos x="connsiteX6473" y="connsiteY6473"/>
              </a:cxn>
              <a:cxn ang="0">
                <a:pos x="connsiteX6474" y="connsiteY6474"/>
              </a:cxn>
              <a:cxn ang="0">
                <a:pos x="connsiteX6475" y="connsiteY6475"/>
              </a:cxn>
              <a:cxn ang="0">
                <a:pos x="connsiteX6476" y="connsiteY6476"/>
              </a:cxn>
              <a:cxn ang="0">
                <a:pos x="connsiteX6477" y="connsiteY6477"/>
              </a:cxn>
              <a:cxn ang="0">
                <a:pos x="connsiteX6478" y="connsiteY6478"/>
              </a:cxn>
              <a:cxn ang="0">
                <a:pos x="connsiteX6479" y="connsiteY6479"/>
              </a:cxn>
              <a:cxn ang="0">
                <a:pos x="connsiteX6480" y="connsiteY6480"/>
              </a:cxn>
              <a:cxn ang="0">
                <a:pos x="connsiteX6481" y="connsiteY6481"/>
              </a:cxn>
              <a:cxn ang="0">
                <a:pos x="connsiteX6482" y="connsiteY6482"/>
              </a:cxn>
              <a:cxn ang="0">
                <a:pos x="connsiteX6483" y="connsiteY6483"/>
              </a:cxn>
              <a:cxn ang="0">
                <a:pos x="connsiteX6484" y="connsiteY6484"/>
              </a:cxn>
              <a:cxn ang="0">
                <a:pos x="connsiteX6485" y="connsiteY6485"/>
              </a:cxn>
              <a:cxn ang="0">
                <a:pos x="connsiteX6486" y="connsiteY6486"/>
              </a:cxn>
              <a:cxn ang="0">
                <a:pos x="connsiteX6487" y="connsiteY6487"/>
              </a:cxn>
              <a:cxn ang="0">
                <a:pos x="connsiteX6488" y="connsiteY6488"/>
              </a:cxn>
              <a:cxn ang="0">
                <a:pos x="connsiteX6489" y="connsiteY6489"/>
              </a:cxn>
              <a:cxn ang="0">
                <a:pos x="connsiteX6490" y="connsiteY6490"/>
              </a:cxn>
              <a:cxn ang="0">
                <a:pos x="connsiteX6491" y="connsiteY6491"/>
              </a:cxn>
              <a:cxn ang="0">
                <a:pos x="connsiteX6492" y="connsiteY6492"/>
              </a:cxn>
              <a:cxn ang="0">
                <a:pos x="connsiteX6493" y="connsiteY6493"/>
              </a:cxn>
              <a:cxn ang="0">
                <a:pos x="connsiteX6494" y="connsiteY6494"/>
              </a:cxn>
              <a:cxn ang="0">
                <a:pos x="connsiteX6495" y="connsiteY6495"/>
              </a:cxn>
              <a:cxn ang="0">
                <a:pos x="connsiteX6496" y="connsiteY6496"/>
              </a:cxn>
              <a:cxn ang="0">
                <a:pos x="connsiteX6497" y="connsiteY6497"/>
              </a:cxn>
              <a:cxn ang="0">
                <a:pos x="connsiteX6498" y="connsiteY6498"/>
              </a:cxn>
              <a:cxn ang="0">
                <a:pos x="connsiteX6499" y="connsiteY6499"/>
              </a:cxn>
              <a:cxn ang="0">
                <a:pos x="connsiteX6500" y="connsiteY6500"/>
              </a:cxn>
              <a:cxn ang="0">
                <a:pos x="connsiteX6501" y="connsiteY6501"/>
              </a:cxn>
              <a:cxn ang="0">
                <a:pos x="connsiteX6502" y="connsiteY6502"/>
              </a:cxn>
              <a:cxn ang="0">
                <a:pos x="connsiteX6503" y="connsiteY6503"/>
              </a:cxn>
              <a:cxn ang="0">
                <a:pos x="connsiteX6504" y="connsiteY6504"/>
              </a:cxn>
              <a:cxn ang="0">
                <a:pos x="connsiteX6505" y="connsiteY6505"/>
              </a:cxn>
              <a:cxn ang="0">
                <a:pos x="connsiteX6506" y="connsiteY6506"/>
              </a:cxn>
              <a:cxn ang="0">
                <a:pos x="connsiteX6507" y="connsiteY6507"/>
              </a:cxn>
              <a:cxn ang="0">
                <a:pos x="connsiteX6508" y="connsiteY6508"/>
              </a:cxn>
              <a:cxn ang="0">
                <a:pos x="connsiteX6509" y="connsiteY6509"/>
              </a:cxn>
              <a:cxn ang="0">
                <a:pos x="connsiteX6510" y="connsiteY6510"/>
              </a:cxn>
              <a:cxn ang="0">
                <a:pos x="connsiteX6511" y="connsiteY6511"/>
              </a:cxn>
              <a:cxn ang="0">
                <a:pos x="connsiteX6512" y="connsiteY6512"/>
              </a:cxn>
              <a:cxn ang="0">
                <a:pos x="connsiteX6513" y="connsiteY6513"/>
              </a:cxn>
              <a:cxn ang="0">
                <a:pos x="connsiteX6514" y="connsiteY6514"/>
              </a:cxn>
              <a:cxn ang="0">
                <a:pos x="connsiteX6515" y="connsiteY6515"/>
              </a:cxn>
              <a:cxn ang="0">
                <a:pos x="connsiteX6516" y="connsiteY6516"/>
              </a:cxn>
              <a:cxn ang="0">
                <a:pos x="connsiteX6517" y="connsiteY6517"/>
              </a:cxn>
              <a:cxn ang="0">
                <a:pos x="connsiteX6518" y="connsiteY6518"/>
              </a:cxn>
              <a:cxn ang="0">
                <a:pos x="connsiteX6519" y="connsiteY6519"/>
              </a:cxn>
              <a:cxn ang="0">
                <a:pos x="connsiteX6520" y="connsiteY6520"/>
              </a:cxn>
              <a:cxn ang="0">
                <a:pos x="connsiteX6521" y="connsiteY6521"/>
              </a:cxn>
              <a:cxn ang="0">
                <a:pos x="connsiteX6522" y="connsiteY6522"/>
              </a:cxn>
              <a:cxn ang="0">
                <a:pos x="connsiteX6523" y="connsiteY6523"/>
              </a:cxn>
              <a:cxn ang="0">
                <a:pos x="connsiteX6524" y="connsiteY6524"/>
              </a:cxn>
              <a:cxn ang="0">
                <a:pos x="connsiteX6525" y="connsiteY6525"/>
              </a:cxn>
              <a:cxn ang="0">
                <a:pos x="connsiteX6526" y="connsiteY6526"/>
              </a:cxn>
              <a:cxn ang="0">
                <a:pos x="connsiteX6527" y="connsiteY6527"/>
              </a:cxn>
              <a:cxn ang="0">
                <a:pos x="connsiteX6528" y="connsiteY6528"/>
              </a:cxn>
              <a:cxn ang="0">
                <a:pos x="connsiteX6529" y="connsiteY6529"/>
              </a:cxn>
              <a:cxn ang="0">
                <a:pos x="connsiteX6530" y="connsiteY6530"/>
              </a:cxn>
              <a:cxn ang="0">
                <a:pos x="connsiteX6531" y="connsiteY6531"/>
              </a:cxn>
              <a:cxn ang="0">
                <a:pos x="connsiteX6532" y="connsiteY6532"/>
              </a:cxn>
              <a:cxn ang="0">
                <a:pos x="connsiteX6533" y="connsiteY6533"/>
              </a:cxn>
              <a:cxn ang="0">
                <a:pos x="connsiteX6534" y="connsiteY6534"/>
              </a:cxn>
              <a:cxn ang="0">
                <a:pos x="connsiteX6535" y="connsiteY6535"/>
              </a:cxn>
              <a:cxn ang="0">
                <a:pos x="connsiteX6536" y="connsiteY6536"/>
              </a:cxn>
              <a:cxn ang="0">
                <a:pos x="connsiteX6537" y="connsiteY6537"/>
              </a:cxn>
              <a:cxn ang="0">
                <a:pos x="connsiteX6538" y="connsiteY6538"/>
              </a:cxn>
              <a:cxn ang="0">
                <a:pos x="connsiteX6539" y="connsiteY6539"/>
              </a:cxn>
              <a:cxn ang="0">
                <a:pos x="connsiteX6540" y="connsiteY6540"/>
              </a:cxn>
              <a:cxn ang="0">
                <a:pos x="connsiteX6541" y="connsiteY6541"/>
              </a:cxn>
              <a:cxn ang="0">
                <a:pos x="connsiteX6542" y="connsiteY6542"/>
              </a:cxn>
              <a:cxn ang="0">
                <a:pos x="connsiteX6543" y="connsiteY6543"/>
              </a:cxn>
              <a:cxn ang="0">
                <a:pos x="connsiteX6544" y="connsiteY6544"/>
              </a:cxn>
              <a:cxn ang="0">
                <a:pos x="connsiteX6545" y="connsiteY6545"/>
              </a:cxn>
              <a:cxn ang="0">
                <a:pos x="connsiteX6546" y="connsiteY6546"/>
              </a:cxn>
              <a:cxn ang="0">
                <a:pos x="connsiteX6547" y="connsiteY6547"/>
              </a:cxn>
              <a:cxn ang="0">
                <a:pos x="connsiteX6548" y="connsiteY6548"/>
              </a:cxn>
              <a:cxn ang="0">
                <a:pos x="connsiteX6549" y="connsiteY6549"/>
              </a:cxn>
              <a:cxn ang="0">
                <a:pos x="connsiteX6550" y="connsiteY6550"/>
              </a:cxn>
              <a:cxn ang="0">
                <a:pos x="connsiteX6551" y="connsiteY6551"/>
              </a:cxn>
              <a:cxn ang="0">
                <a:pos x="connsiteX6552" y="connsiteY6552"/>
              </a:cxn>
              <a:cxn ang="0">
                <a:pos x="connsiteX6553" y="connsiteY6553"/>
              </a:cxn>
              <a:cxn ang="0">
                <a:pos x="connsiteX6554" y="connsiteY6554"/>
              </a:cxn>
              <a:cxn ang="0">
                <a:pos x="connsiteX6555" y="connsiteY6555"/>
              </a:cxn>
              <a:cxn ang="0">
                <a:pos x="connsiteX6556" y="connsiteY6556"/>
              </a:cxn>
              <a:cxn ang="0">
                <a:pos x="connsiteX6557" y="connsiteY6557"/>
              </a:cxn>
              <a:cxn ang="0">
                <a:pos x="connsiteX6558" y="connsiteY6558"/>
              </a:cxn>
              <a:cxn ang="0">
                <a:pos x="connsiteX6559" y="connsiteY6559"/>
              </a:cxn>
              <a:cxn ang="0">
                <a:pos x="connsiteX6560" y="connsiteY6560"/>
              </a:cxn>
              <a:cxn ang="0">
                <a:pos x="connsiteX6561" y="connsiteY6561"/>
              </a:cxn>
              <a:cxn ang="0">
                <a:pos x="connsiteX6562" y="connsiteY6562"/>
              </a:cxn>
              <a:cxn ang="0">
                <a:pos x="connsiteX6563" y="connsiteY6563"/>
              </a:cxn>
              <a:cxn ang="0">
                <a:pos x="connsiteX6564" y="connsiteY6564"/>
              </a:cxn>
              <a:cxn ang="0">
                <a:pos x="connsiteX6565" y="connsiteY6565"/>
              </a:cxn>
              <a:cxn ang="0">
                <a:pos x="connsiteX6566" y="connsiteY6566"/>
              </a:cxn>
              <a:cxn ang="0">
                <a:pos x="connsiteX6567" y="connsiteY6567"/>
              </a:cxn>
              <a:cxn ang="0">
                <a:pos x="connsiteX6568" y="connsiteY6568"/>
              </a:cxn>
              <a:cxn ang="0">
                <a:pos x="connsiteX6569" y="connsiteY6569"/>
              </a:cxn>
              <a:cxn ang="0">
                <a:pos x="connsiteX6570" y="connsiteY6570"/>
              </a:cxn>
              <a:cxn ang="0">
                <a:pos x="connsiteX6571" y="connsiteY6571"/>
              </a:cxn>
              <a:cxn ang="0">
                <a:pos x="connsiteX6572" y="connsiteY6572"/>
              </a:cxn>
              <a:cxn ang="0">
                <a:pos x="connsiteX6573" y="connsiteY6573"/>
              </a:cxn>
              <a:cxn ang="0">
                <a:pos x="connsiteX6574" y="connsiteY6574"/>
              </a:cxn>
              <a:cxn ang="0">
                <a:pos x="connsiteX6575" y="connsiteY6575"/>
              </a:cxn>
              <a:cxn ang="0">
                <a:pos x="connsiteX6576" y="connsiteY6576"/>
              </a:cxn>
              <a:cxn ang="0">
                <a:pos x="connsiteX6577" y="connsiteY6577"/>
              </a:cxn>
              <a:cxn ang="0">
                <a:pos x="connsiteX6578" y="connsiteY6578"/>
              </a:cxn>
              <a:cxn ang="0">
                <a:pos x="connsiteX6579" y="connsiteY6579"/>
              </a:cxn>
              <a:cxn ang="0">
                <a:pos x="connsiteX6580" y="connsiteY6580"/>
              </a:cxn>
              <a:cxn ang="0">
                <a:pos x="connsiteX6581" y="connsiteY6581"/>
              </a:cxn>
              <a:cxn ang="0">
                <a:pos x="connsiteX6582" y="connsiteY6582"/>
              </a:cxn>
              <a:cxn ang="0">
                <a:pos x="connsiteX6583" y="connsiteY6583"/>
              </a:cxn>
              <a:cxn ang="0">
                <a:pos x="connsiteX6584" y="connsiteY6584"/>
              </a:cxn>
              <a:cxn ang="0">
                <a:pos x="connsiteX6585" y="connsiteY6585"/>
              </a:cxn>
              <a:cxn ang="0">
                <a:pos x="connsiteX6586" y="connsiteY6586"/>
              </a:cxn>
              <a:cxn ang="0">
                <a:pos x="connsiteX6587" y="connsiteY6587"/>
              </a:cxn>
              <a:cxn ang="0">
                <a:pos x="connsiteX6588" y="connsiteY6588"/>
              </a:cxn>
              <a:cxn ang="0">
                <a:pos x="connsiteX6589" y="connsiteY6589"/>
              </a:cxn>
              <a:cxn ang="0">
                <a:pos x="connsiteX6590" y="connsiteY6590"/>
              </a:cxn>
              <a:cxn ang="0">
                <a:pos x="connsiteX6591" y="connsiteY6591"/>
              </a:cxn>
              <a:cxn ang="0">
                <a:pos x="connsiteX6592" y="connsiteY6592"/>
              </a:cxn>
              <a:cxn ang="0">
                <a:pos x="connsiteX6593" y="connsiteY6593"/>
              </a:cxn>
              <a:cxn ang="0">
                <a:pos x="connsiteX6594" y="connsiteY6594"/>
              </a:cxn>
              <a:cxn ang="0">
                <a:pos x="connsiteX6595" y="connsiteY6595"/>
              </a:cxn>
              <a:cxn ang="0">
                <a:pos x="connsiteX6596" y="connsiteY6596"/>
              </a:cxn>
              <a:cxn ang="0">
                <a:pos x="connsiteX6597" y="connsiteY6597"/>
              </a:cxn>
              <a:cxn ang="0">
                <a:pos x="connsiteX6598" y="connsiteY6598"/>
              </a:cxn>
              <a:cxn ang="0">
                <a:pos x="connsiteX6599" y="connsiteY6599"/>
              </a:cxn>
              <a:cxn ang="0">
                <a:pos x="connsiteX6600" y="connsiteY6600"/>
              </a:cxn>
              <a:cxn ang="0">
                <a:pos x="connsiteX6601" y="connsiteY6601"/>
              </a:cxn>
              <a:cxn ang="0">
                <a:pos x="connsiteX6602" y="connsiteY6602"/>
              </a:cxn>
              <a:cxn ang="0">
                <a:pos x="connsiteX6603" y="connsiteY6603"/>
              </a:cxn>
              <a:cxn ang="0">
                <a:pos x="connsiteX6604" y="connsiteY6604"/>
              </a:cxn>
              <a:cxn ang="0">
                <a:pos x="connsiteX6605" y="connsiteY6605"/>
              </a:cxn>
              <a:cxn ang="0">
                <a:pos x="connsiteX6606" y="connsiteY6606"/>
              </a:cxn>
              <a:cxn ang="0">
                <a:pos x="connsiteX6607" y="connsiteY6607"/>
              </a:cxn>
              <a:cxn ang="0">
                <a:pos x="connsiteX6608" y="connsiteY6608"/>
              </a:cxn>
              <a:cxn ang="0">
                <a:pos x="connsiteX6609" y="connsiteY6609"/>
              </a:cxn>
              <a:cxn ang="0">
                <a:pos x="connsiteX6610" y="connsiteY6610"/>
              </a:cxn>
              <a:cxn ang="0">
                <a:pos x="connsiteX6611" y="connsiteY6611"/>
              </a:cxn>
              <a:cxn ang="0">
                <a:pos x="connsiteX6612" y="connsiteY6612"/>
              </a:cxn>
              <a:cxn ang="0">
                <a:pos x="connsiteX6613" y="connsiteY6613"/>
              </a:cxn>
              <a:cxn ang="0">
                <a:pos x="connsiteX6614" y="connsiteY6614"/>
              </a:cxn>
              <a:cxn ang="0">
                <a:pos x="connsiteX6615" y="connsiteY6615"/>
              </a:cxn>
              <a:cxn ang="0">
                <a:pos x="connsiteX6616" y="connsiteY6616"/>
              </a:cxn>
              <a:cxn ang="0">
                <a:pos x="connsiteX6617" y="connsiteY6617"/>
              </a:cxn>
              <a:cxn ang="0">
                <a:pos x="connsiteX6618" y="connsiteY6618"/>
              </a:cxn>
              <a:cxn ang="0">
                <a:pos x="connsiteX6619" y="connsiteY6619"/>
              </a:cxn>
              <a:cxn ang="0">
                <a:pos x="connsiteX6620" y="connsiteY6620"/>
              </a:cxn>
              <a:cxn ang="0">
                <a:pos x="connsiteX6621" y="connsiteY6621"/>
              </a:cxn>
              <a:cxn ang="0">
                <a:pos x="connsiteX6622" y="connsiteY6622"/>
              </a:cxn>
              <a:cxn ang="0">
                <a:pos x="connsiteX6623" y="connsiteY6623"/>
              </a:cxn>
              <a:cxn ang="0">
                <a:pos x="connsiteX6624" y="connsiteY6624"/>
              </a:cxn>
              <a:cxn ang="0">
                <a:pos x="connsiteX6625" y="connsiteY6625"/>
              </a:cxn>
              <a:cxn ang="0">
                <a:pos x="connsiteX6626" y="connsiteY6626"/>
              </a:cxn>
              <a:cxn ang="0">
                <a:pos x="connsiteX6627" y="connsiteY6627"/>
              </a:cxn>
              <a:cxn ang="0">
                <a:pos x="connsiteX6628" y="connsiteY6628"/>
              </a:cxn>
              <a:cxn ang="0">
                <a:pos x="connsiteX6629" y="connsiteY6629"/>
              </a:cxn>
              <a:cxn ang="0">
                <a:pos x="connsiteX6630" y="connsiteY6630"/>
              </a:cxn>
              <a:cxn ang="0">
                <a:pos x="connsiteX6631" y="connsiteY6631"/>
              </a:cxn>
              <a:cxn ang="0">
                <a:pos x="connsiteX6632" y="connsiteY6632"/>
              </a:cxn>
              <a:cxn ang="0">
                <a:pos x="connsiteX6633" y="connsiteY6633"/>
              </a:cxn>
              <a:cxn ang="0">
                <a:pos x="connsiteX6634" y="connsiteY6634"/>
              </a:cxn>
              <a:cxn ang="0">
                <a:pos x="connsiteX6635" y="connsiteY6635"/>
              </a:cxn>
              <a:cxn ang="0">
                <a:pos x="connsiteX6636" y="connsiteY6636"/>
              </a:cxn>
              <a:cxn ang="0">
                <a:pos x="connsiteX6637" y="connsiteY6637"/>
              </a:cxn>
              <a:cxn ang="0">
                <a:pos x="connsiteX6638" y="connsiteY6638"/>
              </a:cxn>
              <a:cxn ang="0">
                <a:pos x="connsiteX6639" y="connsiteY6639"/>
              </a:cxn>
              <a:cxn ang="0">
                <a:pos x="connsiteX6640" y="connsiteY6640"/>
              </a:cxn>
              <a:cxn ang="0">
                <a:pos x="connsiteX6641" y="connsiteY6641"/>
              </a:cxn>
              <a:cxn ang="0">
                <a:pos x="connsiteX6642" y="connsiteY6642"/>
              </a:cxn>
              <a:cxn ang="0">
                <a:pos x="connsiteX6643" y="connsiteY6643"/>
              </a:cxn>
              <a:cxn ang="0">
                <a:pos x="connsiteX6644" y="connsiteY6644"/>
              </a:cxn>
              <a:cxn ang="0">
                <a:pos x="connsiteX6645" y="connsiteY6645"/>
              </a:cxn>
              <a:cxn ang="0">
                <a:pos x="connsiteX6646" y="connsiteY6646"/>
              </a:cxn>
              <a:cxn ang="0">
                <a:pos x="connsiteX6647" y="connsiteY6647"/>
              </a:cxn>
              <a:cxn ang="0">
                <a:pos x="connsiteX6648" y="connsiteY6648"/>
              </a:cxn>
              <a:cxn ang="0">
                <a:pos x="connsiteX6649" y="connsiteY6649"/>
              </a:cxn>
              <a:cxn ang="0">
                <a:pos x="connsiteX6650" y="connsiteY6650"/>
              </a:cxn>
              <a:cxn ang="0">
                <a:pos x="connsiteX6651" y="connsiteY6651"/>
              </a:cxn>
              <a:cxn ang="0">
                <a:pos x="connsiteX6652" y="connsiteY6652"/>
              </a:cxn>
              <a:cxn ang="0">
                <a:pos x="connsiteX6653" y="connsiteY6653"/>
              </a:cxn>
              <a:cxn ang="0">
                <a:pos x="connsiteX6654" y="connsiteY6654"/>
              </a:cxn>
              <a:cxn ang="0">
                <a:pos x="connsiteX6655" y="connsiteY6655"/>
              </a:cxn>
              <a:cxn ang="0">
                <a:pos x="connsiteX6656" y="connsiteY6656"/>
              </a:cxn>
              <a:cxn ang="0">
                <a:pos x="connsiteX6657" y="connsiteY6657"/>
              </a:cxn>
              <a:cxn ang="0">
                <a:pos x="connsiteX6658" y="connsiteY6658"/>
              </a:cxn>
              <a:cxn ang="0">
                <a:pos x="connsiteX6659" y="connsiteY6659"/>
              </a:cxn>
              <a:cxn ang="0">
                <a:pos x="connsiteX6660" y="connsiteY6660"/>
              </a:cxn>
              <a:cxn ang="0">
                <a:pos x="connsiteX6661" y="connsiteY6661"/>
              </a:cxn>
              <a:cxn ang="0">
                <a:pos x="connsiteX6662" y="connsiteY6662"/>
              </a:cxn>
              <a:cxn ang="0">
                <a:pos x="connsiteX6663" y="connsiteY6663"/>
              </a:cxn>
              <a:cxn ang="0">
                <a:pos x="connsiteX6664" y="connsiteY6664"/>
              </a:cxn>
              <a:cxn ang="0">
                <a:pos x="connsiteX6665" y="connsiteY6665"/>
              </a:cxn>
              <a:cxn ang="0">
                <a:pos x="connsiteX6666" y="connsiteY6666"/>
              </a:cxn>
              <a:cxn ang="0">
                <a:pos x="connsiteX6667" y="connsiteY6667"/>
              </a:cxn>
              <a:cxn ang="0">
                <a:pos x="connsiteX6668" y="connsiteY6668"/>
              </a:cxn>
              <a:cxn ang="0">
                <a:pos x="connsiteX6669" y="connsiteY6669"/>
              </a:cxn>
              <a:cxn ang="0">
                <a:pos x="connsiteX6670" y="connsiteY6670"/>
              </a:cxn>
              <a:cxn ang="0">
                <a:pos x="connsiteX6671" y="connsiteY6671"/>
              </a:cxn>
              <a:cxn ang="0">
                <a:pos x="connsiteX6672" y="connsiteY6672"/>
              </a:cxn>
              <a:cxn ang="0">
                <a:pos x="connsiteX6673" y="connsiteY6673"/>
              </a:cxn>
              <a:cxn ang="0">
                <a:pos x="connsiteX6674" y="connsiteY6674"/>
              </a:cxn>
              <a:cxn ang="0">
                <a:pos x="connsiteX6675" y="connsiteY6675"/>
              </a:cxn>
              <a:cxn ang="0">
                <a:pos x="connsiteX6676" y="connsiteY6676"/>
              </a:cxn>
              <a:cxn ang="0">
                <a:pos x="connsiteX6677" y="connsiteY6677"/>
              </a:cxn>
              <a:cxn ang="0">
                <a:pos x="connsiteX6678" y="connsiteY6678"/>
              </a:cxn>
              <a:cxn ang="0">
                <a:pos x="connsiteX6679" y="connsiteY6679"/>
              </a:cxn>
              <a:cxn ang="0">
                <a:pos x="connsiteX6680" y="connsiteY6680"/>
              </a:cxn>
              <a:cxn ang="0">
                <a:pos x="connsiteX6681" y="connsiteY6681"/>
              </a:cxn>
              <a:cxn ang="0">
                <a:pos x="connsiteX6682" y="connsiteY6682"/>
              </a:cxn>
              <a:cxn ang="0">
                <a:pos x="connsiteX6683" y="connsiteY6683"/>
              </a:cxn>
              <a:cxn ang="0">
                <a:pos x="connsiteX6684" y="connsiteY6684"/>
              </a:cxn>
              <a:cxn ang="0">
                <a:pos x="connsiteX6685" y="connsiteY6685"/>
              </a:cxn>
              <a:cxn ang="0">
                <a:pos x="connsiteX6686" y="connsiteY6686"/>
              </a:cxn>
              <a:cxn ang="0">
                <a:pos x="connsiteX6687" y="connsiteY6687"/>
              </a:cxn>
              <a:cxn ang="0">
                <a:pos x="connsiteX6688" y="connsiteY6688"/>
              </a:cxn>
              <a:cxn ang="0">
                <a:pos x="connsiteX6689" y="connsiteY6689"/>
              </a:cxn>
              <a:cxn ang="0">
                <a:pos x="connsiteX6690" y="connsiteY6690"/>
              </a:cxn>
              <a:cxn ang="0">
                <a:pos x="connsiteX6691" y="connsiteY6691"/>
              </a:cxn>
              <a:cxn ang="0">
                <a:pos x="connsiteX6692" y="connsiteY6692"/>
              </a:cxn>
              <a:cxn ang="0">
                <a:pos x="connsiteX6693" y="connsiteY6693"/>
              </a:cxn>
              <a:cxn ang="0">
                <a:pos x="connsiteX6694" y="connsiteY6694"/>
              </a:cxn>
              <a:cxn ang="0">
                <a:pos x="connsiteX6695" y="connsiteY6695"/>
              </a:cxn>
              <a:cxn ang="0">
                <a:pos x="connsiteX6696" y="connsiteY6696"/>
              </a:cxn>
              <a:cxn ang="0">
                <a:pos x="connsiteX6697" y="connsiteY6697"/>
              </a:cxn>
              <a:cxn ang="0">
                <a:pos x="connsiteX6698" y="connsiteY6698"/>
              </a:cxn>
              <a:cxn ang="0">
                <a:pos x="connsiteX6699" y="connsiteY6699"/>
              </a:cxn>
              <a:cxn ang="0">
                <a:pos x="connsiteX6700" y="connsiteY6700"/>
              </a:cxn>
              <a:cxn ang="0">
                <a:pos x="connsiteX6701" y="connsiteY6701"/>
              </a:cxn>
              <a:cxn ang="0">
                <a:pos x="connsiteX6702" y="connsiteY6702"/>
              </a:cxn>
              <a:cxn ang="0">
                <a:pos x="connsiteX6703" y="connsiteY6703"/>
              </a:cxn>
              <a:cxn ang="0">
                <a:pos x="connsiteX6704" y="connsiteY6704"/>
              </a:cxn>
              <a:cxn ang="0">
                <a:pos x="connsiteX6705" y="connsiteY6705"/>
              </a:cxn>
              <a:cxn ang="0">
                <a:pos x="connsiteX6706" y="connsiteY6706"/>
              </a:cxn>
              <a:cxn ang="0">
                <a:pos x="connsiteX6707" y="connsiteY6707"/>
              </a:cxn>
              <a:cxn ang="0">
                <a:pos x="connsiteX6708" y="connsiteY6708"/>
              </a:cxn>
              <a:cxn ang="0">
                <a:pos x="connsiteX6709" y="connsiteY6709"/>
              </a:cxn>
              <a:cxn ang="0">
                <a:pos x="connsiteX6710" y="connsiteY6710"/>
              </a:cxn>
              <a:cxn ang="0">
                <a:pos x="connsiteX6711" y="connsiteY6711"/>
              </a:cxn>
              <a:cxn ang="0">
                <a:pos x="connsiteX6712" y="connsiteY6712"/>
              </a:cxn>
              <a:cxn ang="0">
                <a:pos x="connsiteX6713" y="connsiteY6713"/>
              </a:cxn>
              <a:cxn ang="0">
                <a:pos x="connsiteX6714" y="connsiteY6714"/>
              </a:cxn>
              <a:cxn ang="0">
                <a:pos x="connsiteX6715" y="connsiteY6715"/>
              </a:cxn>
              <a:cxn ang="0">
                <a:pos x="connsiteX6716" y="connsiteY6716"/>
              </a:cxn>
              <a:cxn ang="0">
                <a:pos x="connsiteX6717" y="connsiteY6717"/>
              </a:cxn>
              <a:cxn ang="0">
                <a:pos x="connsiteX6718" y="connsiteY6718"/>
              </a:cxn>
              <a:cxn ang="0">
                <a:pos x="connsiteX6719" y="connsiteY6719"/>
              </a:cxn>
              <a:cxn ang="0">
                <a:pos x="connsiteX6720" y="connsiteY6720"/>
              </a:cxn>
              <a:cxn ang="0">
                <a:pos x="connsiteX6721" y="connsiteY6721"/>
              </a:cxn>
              <a:cxn ang="0">
                <a:pos x="connsiteX6722" y="connsiteY6722"/>
              </a:cxn>
              <a:cxn ang="0">
                <a:pos x="connsiteX6723" y="connsiteY6723"/>
              </a:cxn>
              <a:cxn ang="0">
                <a:pos x="connsiteX6724" y="connsiteY6724"/>
              </a:cxn>
              <a:cxn ang="0">
                <a:pos x="connsiteX6725" y="connsiteY6725"/>
              </a:cxn>
              <a:cxn ang="0">
                <a:pos x="connsiteX6726" y="connsiteY6726"/>
              </a:cxn>
              <a:cxn ang="0">
                <a:pos x="connsiteX6727" y="connsiteY6727"/>
              </a:cxn>
              <a:cxn ang="0">
                <a:pos x="connsiteX6728" y="connsiteY6728"/>
              </a:cxn>
              <a:cxn ang="0">
                <a:pos x="connsiteX6729" y="connsiteY6729"/>
              </a:cxn>
              <a:cxn ang="0">
                <a:pos x="connsiteX6730" y="connsiteY6730"/>
              </a:cxn>
              <a:cxn ang="0">
                <a:pos x="connsiteX6731" y="connsiteY6731"/>
              </a:cxn>
              <a:cxn ang="0">
                <a:pos x="connsiteX6732" y="connsiteY6732"/>
              </a:cxn>
              <a:cxn ang="0">
                <a:pos x="connsiteX6733" y="connsiteY6733"/>
              </a:cxn>
              <a:cxn ang="0">
                <a:pos x="connsiteX6734" y="connsiteY6734"/>
              </a:cxn>
              <a:cxn ang="0">
                <a:pos x="connsiteX6735" y="connsiteY6735"/>
              </a:cxn>
              <a:cxn ang="0">
                <a:pos x="connsiteX6736" y="connsiteY6736"/>
              </a:cxn>
              <a:cxn ang="0">
                <a:pos x="connsiteX6737" y="connsiteY6737"/>
              </a:cxn>
              <a:cxn ang="0">
                <a:pos x="connsiteX6738" y="connsiteY6738"/>
              </a:cxn>
              <a:cxn ang="0">
                <a:pos x="connsiteX6739" y="connsiteY6739"/>
              </a:cxn>
              <a:cxn ang="0">
                <a:pos x="connsiteX6740" y="connsiteY6740"/>
              </a:cxn>
              <a:cxn ang="0">
                <a:pos x="connsiteX6741" y="connsiteY6741"/>
              </a:cxn>
              <a:cxn ang="0">
                <a:pos x="connsiteX6742" y="connsiteY6742"/>
              </a:cxn>
              <a:cxn ang="0">
                <a:pos x="connsiteX6743" y="connsiteY6743"/>
              </a:cxn>
              <a:cxn ang="0">
                <a:pos x="connsiteX6744" y="connsiteY6744"/>
              </a:cxn>
              <a:cxn ang="0">
                <a:pos x="connsiteX6745" y="connsiteY6745"/>
              </a:cxn>
              <a:cxn ang="0">
                <a:pos x="connsiteX6746" y="connsiteY6746"/>
              </a:cxn>
              <a:cxn ang="0">
                <a:pos x="connsiteX6747" y="connsiteY6747"/>
              </a:cxn>
              <a:cxn ang="0">
                <a:pos x="connsiteX6748" y="connsiteY6748"/>
              </a:cxn>
              <a:cxn ang="0">
                <a:pos x="connsiteX6749" y="connsiteY6749"/>
              </a:cxn>
              <a:cxn ang="0">
                <a:pos x="connsiteX6750" y="connsiteY6750"/>
              </a:cxn>
              <a:cxn ang="0">
                <a:pos x="connsiteX6751" y="connsiteY6751"/>
              </a:cxn>
              <a:cxn ang="0">
                <a:pos x="connsiteX6752" y="connsiteY6752"/>
              </a:cxn>
              <a:cxn ang="0">
                <a:pos x="connsiteX6753" y="connsiteY6753"/>
              </a:cxn>
              <a:cxn ang="0">
                <a:pos x="connsiteX6754" y="connsiteY6754"/>
              </a:cxn>
              <a:cxn ang="0">
                <a:pos x="connsiteX6755" y="connsiteY6755"/>
              </a:cxn>
              <a:cxn ang="0">
                <a:pos x="connsiteX6756" y="connsiteY6756"/>
              </a:cxn>
              <a:cxn ang="0">
                <a:pos x="connsiteX6757" y="connsiteY6757"/>
              </a:cxn>
              <a:cxn ang="0">
                <a:pos x="connsiteX6758" y="connsiteY6758"/>
              </a:cxn>
              <a:cxn ang="0">
                <a:pos x="connsiteX6759" y="connsiteY6759"/>
              </a:cxn>
              <a:cxn ang="0">
                <a:pos x="connsiteX6760" y="connsiteY6760"/>
              </a:cxn>
              <a:cxn ang="0">
                <a:pos x="connsiteX6761" y="connsiteY6761"/>
              </a:cxn>
              <a:cxn ang="0">
                <a:pos x="connsiteX6762" y="connsiteY6762"/>
              </a:cxn>
              <a:cxn ang="0">
                <a:pos x="connsiteX6763" y="connsiteY6763"/>
              </a:cxn>
              <a:cxn ang="0">
                <a:pos x="connsiteX6764" y="connsiteY6764"/>
              </a:cxn>
              <a:cxn ang="0">
                <a:pos x="connsiteX6765" y="connsiteY6765"/>
              </a:cxn>
              <a:cxn ang="0">
                <a:pos x="connsiteX6766" y="connsiteY6766"/>
              </a:cxn>
              <a:cxn ang="0">
                <a:pos x="connsiteX6767" y="connsiteY6767"/>
              </a:cxn>
              <a:cxn ang="0">
                <a:pos x="connsiteX6768" y="connsiteY6768"/>
              </a:cxn>
              <a:cxn ang="0">
                <a:pos x="connsiteX6769" y="connsiteY6769"/>
              </a:cxn>
              <a:cxn ang="0">
                <a:pos x="connsiteX6770" y="connsiteY6770"/>
              </a:cxn>
              <a:cxn ang="0">
                <a:pos x="connsiteX6771" y="connsiteY6771"/>
              </a:cxn>
              <a:cxn ang="0">
                <a:pos x="connsiteX6772" y="connsiteY6772"/>
              </a:cxn>
              <a:cxn ang="0">
                <a:pos x="connsiteX6773" y="connsiteY6773"/>
              </a:cxn>
              <a:cxn ang="0">
                <a:pos x="connsiteX6774" y="connsiteY6774"/>
              </a:cxn>
              <a:cxn ang="0">
                <a:pos x="connsiteX6775" y="connsiteY6775"/>
              </a:cxn>
              <a:cxn ang="0">
                <a:pos x="connsiteX6776" y="connsiteY6776"/>
              </a:cxn>
              <a:cxn ang="0">
                <a:pos x="connsiteX6777" y="connsiteY6777"/>
              </a:cxn>
              <a:cxn ang="0">
                <a:pos x="connsiteX6778" y="connsiteY6778"/>
              </a:cxn>
              <a:cxn ang="0">
                <a:pos x="connsiteX6779" y="connsiteY6779"/>
              </a:cxn>
              <a:cxn ang="0">
                <a:pos x="connsiteX6780" y="connsiteY6780"/>
              </a:cxn>
              <a:cxn ang="0">
                <a:pos x="connsiteX6781" y="connsiteY6781"/>
              </a:cxn>
              <a:cxn ang="0">
                <a:pos x="connsiteX6782" y="connsiteY6782"/>
              </a:cxn>
              <a:cxn ang="0">
                <a:pos x="connsiteX6783" y="connsiteY6783"/>
              </a:cxn>
              <a:cxn ang="0">
                <a:pos x="connsiteX6784" y="connsiteY6784"/>
              </a:cxn>
              <a:cxn ang="0">
                <a:pos x="connsiteX6785" y="connsiteY6785"/>
              </a:cxn>
              <a:cxn ang="0">
                <a:pos x="connsiteX6786" y="connsiteY6786"/>
              </a:cxn>
              <a:cxn ang="0">
                <a:pos x="connsiteX6787" y="connsiteY6787"/>
              </a:cxn>
              <a:cxn ang="0">
                <a:pos x="connsiteX6788" y="connsiteY6788"/>
              </a:cxn>
              <a:cxn ang="0">
                <a:pos x="connsiteX6789" y="connsiteY6789"/>
              </a:cxn>
              <a:cxn ang="0">
                <a:pos x="connsiteX6790" y="connsiteY6790"/>
              </a:cxn>
              <a:cxn ang="0">
                <a:pos x="connsiteX6791" y="connsiteY6791"/>
              </a:cxn>
              <a:cxn ang="0">
                <a:pos x="connsiteX6792" y="connsiteY6792"/>
              </a:cxn>
              <a:cxn ang="0">
                <a:pos x="connsiteX6793" y="connsiteY6793"/>
              </a:cxn>
              <a:cxn ang="0">
                <a:pos x="connsiteX6794" y="connsiteY6794"/>
              </a:cxn>
              <a:cxn ang="0">
                <a:pos x="connsiteX6795" y="connsiteY6795"/>
              </a:cxn>
              <a:cxn ang="0">
                <a:pos x="connsiteX6796" y="connsiteY6796"/>
              </a:cxn>
              <a:cxn ang="0">
                <a:pos x="connsiteX6797" y="connsiteY6797"/>
              </a:cxn>
              <a:cxn ang="0">
                <a:pos x="connsiteX6798" y="connsiteY6798"/>
              </a:cxn>
              <a:cxn ang="0">
                <a:pos x="connsiteX6799" y="connsiteY6799"/>
              </a:cxn>
              <a:cxn ang="0">
                <a:pos x="connsiteX6800" y="connsiteY6800"/>
              </a:cxn>
              <a:cxn ang="0">
                <a:pos x="connsiteX6801" y="connsiteY6801"/>
              </a:cxn>
              <a:cxn ang="0">
                <a:pos x="connsiteX6802" y="connsiteY6802"/>
              </a:cxn>
              <a:cxn ang="0">
                <a:pos x="connsiteX6803" y="connsiteY6803"/>
              </a:cxn>
              <a:cxn ang="0">
                <a:pos x="connsiteX6804" y="connsiteY6804"/>
              </a:cxn>
              <a:cxn ang="0">
                <a:pos x="connsiteX6805" y="connsiteY6805"/>
              </a:cxn>
              <a:cxn ang="0">
                <a:pos x="connsiteX6806" y="connsiteY6806"/>
              </a:cxn>
              <a:cxn ang="0">
                <a:pos x="connsiteX6807" y="connsiteY6807"/>
              </a:cxn>
              <a:cxn ang="0">
                <a:pos x="connsiteX6808" y="connsiteY6808"/>
              </a:cxn>
              <a:cxn ang="0">
                <a:pos x="connsiteX6809" y="connsiteY6809"/>
              </a:cxn>
              <a:cxn ang="0">
                <a:pos x="connsiteX6810" y="connsiteY6810"/>
              </a:cxn>
              <a:cxn ang="0">
                <a:pos x="connsiteX6811" y="connsiteY6811"/>
              </a:cxn>
              <a:cxn ang="0">
                <a:pos x="connsiteX6812" y="connsiteY6812"/>
              </a:cxn>
              <a:cxn ang="0">
                <a:pos x="connsiteX6813" y="connsiteY6813"/>
              </a:cxn>
              <a:cxn ang="0">
                <a:pos x="connsiteX6814" y="connsiteY6814"/>
              </a:cxn>
              <a:cxn ang="0">
                <a:pos x="connsiteX6815" y="connsiteY6815"/>
              </a:cxn>
              <a:cxn ang="0">
                <a:pos x="connsiteX6816" y="connsiteY6816"/>
              </a:cxn>
              <a:cxn ang="0">
                <a:pos x="connsiteX6817" y="connsiteY6817"/>
              </a:cxn>
              <a:cxn ang="0">
                <a:pos x="connsiteX6818" y="connsiteY6818"/>
              </a:cxn>
              <a:cxn ang="0">
                <a:pos x="connsiteX6819" y="connsiteY6819"/>
              </a:cxn>
              <a:cxn ang="0">
                <a:pos x="connsiteX6820" y="connsiteY6820"/>
              </a:cxn>
              <a:cxn ang="0">
                <a:pos x="connsiteX6821" y="connsiteY6821"/>
              </a:cxn>
              <a:cxn ang="0">
                <a:pos x="connsiteX6822" y="connsiteY6822"/>
              </a:cxn>
              <a:cxn ang="0">
                <a:pos x="connsiteX6823" y="connsiteY6823"/>
              </a:cxn>
              <a:cxn ang="0">
                <a:pos x="connsiteX6824" y="connsiteY6824"/>
              </a:cxn>
              <a:cxn ang="0">
                <a:pos x="connsiteX6825" y="connsiteY6825"/>
              </a:cxn>
              <a:cxn ang="0">
                <a:pos x="connsiteX6826" y="connsiteY6826"/>
              </a:cxn>
              <a:cxn ang="0">
                <a:pos x="connsiteX6827" y="connsiteY6827"/>
              </a:cxn>
              <a:cxn ang="0">
                <a:pos x="connsiteX6828" y="connsiteY6828"/>
              </a:cxn>
              <a:cxn ang="0">
                <a:pos x="connsiteX6829" y="connsiteY6829"/>
              </a:cxn>
              <a:cxn ang="0">
                <a:pos x="connsiteX6830" y="connsiteY6830"/>
              </a:cxn>
              <a:cxn ang="0">
                <a:pos x="connsiteX6831" y="connsiteY6831"/>
              </a:cxn>
              <a:cxn ang="0">
                <a:pos x="connsiteX6832" y="connsiteY6832"/>
              </a:cxn>
              <a:cxn ang="0">
                <a:pos x="connsiteX6833" y="connsiteY6833"/>
              </a:cxn>
              <a:cxn ang="0">
                <a:pos x="connsiteX6834" y="connsiteY6834"/>
              </a:cxn>
              <a:cxn ang="0">
                <a:pos x="connsiteX6835" y="connsiteY6835"/>
              </a:cxn>
              <a:cxn ang="0">
                <a:pos x="connsiteX6836" y="connsiteY6836"/>
              </a:cxn>
              <a:cxn ang="0">
                <a:pos x="connsiteX6837" y="connsiteY6837"/>
              </a:cxn>
              <a:cxn ang="0">
                <a:pos x="connsiteX6838" y="connsiteY6838"/>
              </a:cxn>
              <a:cxn ang="0">
                <a:pos x="connsiteX6839" y="connsiteY6839"/>
              </a:cxn>
              <a:cxn ang="0">
                <a:pos x="connsiteX6840" y="connsiteY6840"/>
              </a:cxn>
              <a:cxn ang="0">
                <a:pos x="connsiteX6841" y="connsiteY6841"/>
              </a:cxn>
              <a:cxn ang="0">
                <a:pos x="connsiteX6842" y="connsiteY6842"/>
              </a:cxn>
              <a:cxn ang="0">
                <a:pos x="connsiteX6843" y="connsiteY6843"/>
              </a:cxn>
              <a:cxn ang="0">
                <a:pos x="connsiteX6844" y="connsiteY6844"/>
              </a:cxn>
              <a:cxn ang="0">
                <a:pos x="connsiteX6845" y="connsiteY6845"/>
              </a:cxn>
              <a:cxn ang="0">
                <a:pos x="connsiteX6846" y="connsiteY6846"/>
              </a:cxn>
              <a:cxn ang="0">
                <a:pos x="connsiteX6847" y="connsiteY6847"/>
              </a:cxn>
              <a:cxn ang="0">
                <a:pos x="connsiteX6848" y="connsiteY6848"/>
              </a:cxn>
              <a:cxn ang="0">
                <a:pos x="connsiteX6849" y="connsiteY6849"/>
              </a:cxn>
              <a:cxn ang="0">
                <a:pos x="connsiteX6850" y="connsiteY6850"/>
              </a:cxn>
              <a:cxn ang="0">
                <a:pos x="connsiteX6851" y="connsiteY6851"/>
              </a:cxn>
              <a:cxn ang="0">
                <a:pos x="connsiteX6852" y="connsiteY6852"/>
              </a:cxn>
              <a:cxn ang="0">
                <a:pos x="connsiteX6853" y="connsiteY6853"/>
              </a:cxn>
              <a:cxn ang="0">
                <a:pos x="connsiteX6854" y="connsiteY6854"/>
              </a:cxn>
              <a:cxn ang="0">
                <a:pos x="connsiteX6855" y="connsiteY6855"/>
              </a:cxn>
              <a:cxn ang="0">
                <a:pos x="connsiteX6856" y="connsiteY6856"/>
              </a:cxn>
              <a:cxn ang="0">
                <a:pos x="connsiteX6857" y="connsiteY6857"/>
              </a:cxn>
              <a:cxn ang="0">
                <a:pos x="connsiteX6858" y="connsiteY6858"/>
              </a:cxn>
              <a:cxn ang="0">
                <a:pos x="connsiteX6859" y="connsiteY6859"/>
              </a:cxn>
              <a:cxn ang="0">
                <a:pos x="connsiteX6860" y="connsiteY6860"/>
              </a:cxn>
              <a:cxn ang="0">
                <a:pos x="connsiteX6861" y="connsiteY6861"/>
              </a:cxn>
              <a:cxn ang="0">
                <a:pos x="connsiteX6862" y="connsiteY6862"/>
              </a:cxn>
              <a:cxn ang="0">
                <a:pos x="connsiteX6863" y="connsiteY6863"/>
              </a:cxn>
              <a:cxn ang="0">
                <a:pos x="connsiteX6864" y="connsiteY6864"/>
              </a:cxn>
              <a:cxn ang="0">
                <a:pos x="connsiteX6865" y="connsiteY6865"/>
              </a:cxn>
              <a:cxn ang="0">
                <a:pos x="connsiteX6866" y="connsiteY6866"/>
              </a:cxn>
              <a:cxn ang="0">
                <a:pos x="connsiteX6867" y="connsiteY6867"/>
              </a:cxn>
              <a:cxn ang="0">
                <a:pos x="connsiteX6868" y="connsiteY6868"/>
              </a:cxn>
              <a:cxn ang="0">
                <a:pos x="connsiteX6869" y="connsiteY6869"/>
              </a:cxn>
              <a:cxn ang="0">
                <a:pos x="connsiteX6870" y="connsiteY6870"/>
              </a:cxn>
              <a:cxn ang="0">
                <a:pos x="connsiteX6871" y="connsiteY6871"/>
              </a:cxn>
              <a:cxn ang="0">
                <a:pos x="connsiteX6872" y="connsiteY6872"/>
              </a:cxn>
              <a:cxn ang="0">
                <a:pos x="connsiteX6873" y="connsiteY6873"/>
              </a:cxn>
              <a:cxn ang="0">
                <a:pos x="connsiteX6874" y="connsiteY6874"/>
              </a:cxn>
              <a:cxn ang="0">
                <a:pos x="connsiteX6875" y="connsiteY6875"/>
              </a:cxn>
              <a:cxn ang="0">
                <a:pos x="connsiteX6876" y="connsiteY6876"/>
              </a:cxn>
              <a:cxn ang="0">
                <a:pos x="connsiteX6877" y="connsiteY6877"/>
              </a:cxn>
              <a:cxn ang="0">
                <a:pos x="connsiteX6878" y="connsiteY6878"/>
              </a:cxn>
              <a:cxn ang="0">
                <a:pos x="connsiteX6879" y="connsiteY6879"/>
              </a:cxn>
              <a:cxn ang="0">
                <a:pos x="connsiteX6880" y="connsiteY6880"/>
              </a:cxn>
              <a:cxn ang="0">
                <a:pos x="connsiteX6881" y="connsiteY6881"/>
              </a:cxn>
              <a:cxn ang="0">
                <a:pos x="connsiteX6882" y="connsiteY6882"/>
              </a:cxn>
              <a:cxn ang="0">
                <a:pos x="connsiteX6883" y="connsiteY6883"/>
              </a:cxn>
              <a:cxn ang="0">
                <a:pos x="connsiteX6884" y="connsiteY6884"/>
              </a:cxn>
              <a:cxn ang="0">
                <a:pos x="connsiteX6885" y="connsiteY6885"/>
              </a:cxn>
              <a:cxn ang="0">
                <a:pos x="connsiteX6886" y="connsiteY6886"/>
              </a:cxn>
              <a:cxn ang="0">
                <a:pos x="connsiteX6887" y="connsiteY6887"/>
              </a:cxn>
              <a:cxn ang="0">
                <a:pos x="connsiteX6888" y="connsiteY6888"/>
              </a:cxn>
              <a:cxn ang="0">
                <a:pos x="connsiteX6889" y="connsiteY6889"/>
              </a:cxn>
              <a:cxn ang="0">
                <a:pos x="connsiteX6890" y="connsiteY6890"/>
              </a:cxn>
              <a:cxn ang="0">
                <a:pos x="connsiteX6891" y="connsiteY6891"/>
              </a:cxn>
              <a:cxn ang="0">
                <a:pos x="connsiteX6892" y="connsiteY6892"/>
              </a:cxn>
              <a:cxn ang="0">
                <a:pos x="connsiteX6893" y="connsiteY6893"/>
              </a:cxn>
              <a:cxn ang="0">
                <a:pos x="connsiteX6894" y="connsiteY6894"/>
              </a:cxn>
              <a:cxn ang="0">
                <a:pos x="connsiteX6895" y="connsiteY6895"/>
              </a:cxn>
              <a:cxn ang="0">
                <a:pos x="connsiteX6896" y="connsiteY6896"/>
              </a:cxn>
              <a:cxn ang="0">
                <a:pos x="connsiteX6897" y="connsiteY6897"/>
              </a:cxn>
              <a:cxn ang="0">
                <a:pos x="connsiteX6898" y="connsiteY6898"/>
              </a:cxn>
              <a:cxn ang="0">
                <a:pos x="connsiteX6899" y="connsiteY6899"/>
              </a:cxn>
              <a:cxn ang="0">
                <a:pos x="connsiteX6900" y="connsiteY6900"/>
              </a:cxn>
              <a:cxn ang="0">
                <a:pos x="connsiteX6901" y="connsiteY6901"/>
              </a:cxn>
              <a:cxn ang="0">
                <a:pos x="connsiteX6902" y="connsiteY6902"/>
              </a:cxn>
              <a:cxn ang="0">
                <a:pos x="connsiteX6903" y="connsiteY6903"/>
              </a:cxn>
              <a:cxn ang="0">
                <a:pos x="connsiteX6904" y="connsiteY6904"/>
              </a:cxn>
              <a:cxn ang="0">
                <a:pos x="connsiteX6905" y="connsiteY6905"/>
              </a:cxn>
              <a:cxn ang="0">
                <a:pos x="connsiteX6906" y="connsiteY6906"/>
              </a:cxn>
              <a:cxn ang="0">
                <a:pos x="connsiteX6907" y="connsiteY6907"/>
              </a:cxn>
              <a:cxn ang="0">
                <a:pos x="connsiteX6908" y="connsiteY6908"/>
              </a:cxn>
              <a:cxn ang="0">
                <a:pos x="connsiteX6909" y="connsiteY6909"/>
              </a:cxn>
              <a:cxn ang="0">
                <a:pos x="connsiteX6910" y="connsiteY6910"/>
              </a:cxn>
              <a:cxn ang="0">
                <a:pos x="connsiteX6911" y="connsiteY6911"/>
              </a:cxn>
              <a:cxn ang="0">
                <a:pos x="connsiteX6912" y="connsiteY6912"/>
              </a:cxn>
              <a:cxn ang="0">
                <a:pos x="connsiteX6913" y="connsiteY6913"/>
              </a:cxn>
              <a:cxn ang="0">
                <a:pos x="connsiteX6914" y="connsiteY6914"/>
              </a:cxn>
              <a:cxn ang="0">
                <a:pos x="connsiteX6915" y="connsiteY6915"/>
              </a:cxn>
              <a:cxn ang="0">
                <a:pos x="connsiteX6916" y="connsiteY6916"/>
              </a:cxn>
              <a:cxn ang="0">
                <a:pos x="connsiteX6917" y="connsiteY6917"/>
              </a:cxn>
              <a:cxn ang="0">
                <a:pos x="connsiteX6918" y="connsiteY6918"/>
              </a:cxn>
              <a:cxn ang="0">
                <a:pos x="connsiteX6919" y="connsiteY6919"/>
              </a:cxn>
              <a:cxn ang="0">
                <a:pos x="connsiteX6920" y="connsiteY6920"/>
              </a:cxn>
              <a:cxn ang="0">
                <a:pos x="connsiteX6921" y="connsiteY6921"/>
              </a:cxn>
              <a:cxn ang="0">
                <a:pos x="connsiteX6922" y="connsiteY6922"/>
              </a:cxn>
              <a:cxn ang="0">
                <a:pos x="connsiteX6923" y="connsiteY6923"/>
              </a:cxn>
              <a:cxn ang="0">
                <a:pos x="connsiteX6924" y="connsiteY6924"/>
              </a:cxn>
              <a:cxn ang="0">
                <a:pos x="connsiteX6925" y="connsiteY6925"/>
              </a:cxn>
              <a:cxn ang="0">
                <a:pos x="connsiteX6926" y="connsiteY6926"/>
              </a:cxn>
              <a:cxn ang="0">
                <a:pos x="connsiteX6927" y="connsiteY6927"/>
              </a:cxn>
              <a:cxn ang="0">
                <a:pos x="connsiteX6928" y="connsiteY6928"/>
              </a:cxn>
              <a:cxn ang="0">
                <a:pos x="connsiteX6929" y="connsiteY6929"/>
              </a:cxn>
              <a:cxn ang="0">
                <a:pos x="connsiteX6930" y="connsiteY6930"/>
              </a:cxn>
              <a:cxn ang="0">
                <a:pos x="connsiteX6931" y="connsiteY6931"/>
              </a:cxn>
              <a:cxn ang="0">
                <a:pos x="connsiteX6932" y="connsiteY6932"/>
              </a:cxn>
              <a:cxn ang="0">
                <a:pos x="connsiteX6933" y="connsiteY6933"/>
              </a:cxn>
              <a:cxn ang="0">
                <a:pos x="connsiteX6934" y="connsiteY6934"/>
              </a:cxn>
              <a:cxn ang="0">
                <a:pos x="connsiteX6935" y="connsiteY6935"/>
              </a:cxn>
              <a:cxn ang="0">
                <a:pos x="connsiteX6936" y="connsiteY6936"/>
              </a:cxn>
              <a:cxn ang="0">
                <a:pos x="connsiteX6937" y="connsiteY6937"/>
              </a:cxn>
              <a:cxn ang="0">
                <a:pos x="connsiteX6938" y="connsiteY6938"/>
              </a:cxn>
              <a:cxn ang="0">
                <a:pos x="connsiteX6939" y="connsiteY6939"/>
              </a:cxn>
              <a:cxn ang="0">
                <a:pos x="connsiteX6940" y="connsiteY6940"/>
              </a:cxn>
              <a:cxn ang="0">
                <a:pos x="connsiteX6941" y="connsiteY6941"/>
              </a:cxn>
              <a:cxn ang="0">
                <a:pos x="connsiteX6942" y="connsiteY6942"/>
              </a:cxn>
              <a:cxn ang="0">
                <a:pos x="connsiteX6943" y="connsiteY6943"/>
              </a:cxn>
              <a:cxn ang="0">
                <a:pos x="connsiteX6944" y="connsiteY6944"/>
              </a:cxn>
              <a:cxn ang="0">
                <a:pos x="connsiteX6945" y="connsiteY6945"/>
              </a:cxn>
              <a:cxn ang="0">
                <a:pos x="connsiteX6946" y="connsiteY6946"/>
              </a:cxn>
              <a:cxn ang="0">
                <a:pos x="connsiteX6947" y="connsiteY6947"/>
              </a:cxn>
              <a:cxn ang="0">
                <a:pos x="connsiteX6948" y="connsiteY6948"/>
              </a:cxn>
              <a:cxn ang="0">
                <a:pos x="connsiteX6949" y="connsiteY6949"/>
              </a:cxn>
              <a:cxn ang="0">
                <a:pos x="connsiteX6950" y="connsiteY6950"/>
              </a:cxn>
              <a:cxn ang="0">
                <a:pos x="connsiteX6951" y="connsiteY6951"/>
              </a:cxn>
              <a:cxn ang="0">
                <a:pos x="connsiteX6952" y="connsiteY6952"/>
              </a:cxn>
              <a:cxn ang="0">
                <a:pos x="connsiteX6953" y="connsiteY6953"/>
              </a:cxn>
              <a:cxn ang="0">
                <a:pos x="connsiteX6954" y="connsiteY6954"/>
              </a:cxn>
              <a:cxn ang="0">
                <a:pos x="connsiteX6955" y="connsiteY6955"/>
              </a:cxn>
              <a:cxn ang="0">
                <a:pos x="connsiteX6956" y="connsiteY6956"/>
              </a:cxn>
              <a:cxn ang="0">
                <a:pos x="connsiteX6957" y="connsiteY6957"/>
              </a:cxn>
              <a:cxn ang="0">
                <a:pos x="connsiteX6958" y="connsiteY6958"/>
              </a:cxn>
              <a:cxn ang="0">
                <a:pos x="connsiteX6959" y="connsiteY6959"/>
              </a:cxn>
              <a:cxn ang="0">
                <a:pos x="connsiteX6960" y="connsiteY6960"/>
              </a:cxn>
              <a:cxn ang="0">
                <a:pos x="connsiteX6961" y="connsiteY6961"/>
              </a:cxn>
              <a:cxn ang="0">
                <a:pos x="connsiteX6962" y="connsiteY6962"/>
              </a:cxn>
              <a:cxn ang="0">
                <a:pos x="connsiteX6963" y="connsiteY6963"/>
              </a:cxn>
              <a:cxn ang="0">
                <a:pos x="connsiteX6964" y="connsiteY6964"/>
              </a:cxn>
              <a:cxn ang="0">
                <a:pos x="connsiteX6965" y="connsiteY6965"/>
              </a:cxn>
              <a:cxn ang="0">
                <a:pos x="connsiteX6966" y="connsiteY6966"/>
              </a:cxn>
              <a:cxn ang="0">
                <a:pos x="connsiteX6967" y="connsiteY6967"/>
              </a:cxn>
              <a:cxn ang="0">
                <a:pos x="connsiteX6968" y="connsiteY6968"/>
              </a:cxn>
              <a:cxn ang="0">
                <a:pos x="connsiteX6969" y="connsiteY6969"/>
              </a:cxn>
              <a:cxn ang="0">
                <a:pos x="connsiteX6970" y="connsiteY6970"/>
              </a:cxn>
              <a:cxn ang="0">
                <a:pos x="connsiteX6971" y="connsiteY6971"/>
              </a:cxn>
              <a:cxn ang="0">
                <a:pos x="connsiteX6972" y="connsiteY6972"/>
              </a:cxn>
              <a:cxn ang="0">
                <a:pos x="connsiteX6973" y="connsiteY6973"/>
              </a:cxn>
              <a:cxn ang="0">
                <a:pos x="connsiteX6974" y="connsiteY6974"/>
              </a:cxn>
              <a:cxn ang="0">
                <a:pos x="connsiteX6975" y="connsiteY6975"/>
              </a:cxn>
              <a:cxn ang="0">
                <a:pos x="connsiteX6976" y="connsiteY6976"/>
              </a:cxn>
              <a:cxn ang="0">
                <a:pos x="connsiteX6977" y="connsiteY6977"/>
              </a:cxn>
              <a:cxn ang="0">
                <a:pos x="connsiteX6978" y="connsiteY6978"/>
              </a:cxn>
              <a:cxn ang="0">
                <a:pos x="connsiteX6979" y="connsiteY6979"/>
              </a:cxn>
              <a:cxn ang="0">
                <a:pos x="connsiteX6980" y="connsiteY6980"/>
              </a:cxn>
              <a:cxn ang="0">
                <a:pos x="connsiteX6981" y="connsiteY6981"/>
              </a:cxn>
              <a:cxn ang="0">
                <a:pos x="connsiteX6982" y="connsiteY6982"/>
              </a:cxn>
              <a:cxn ang="0">
                <a:pos x="connsiteX6983" y="connsiteY6983"/>
              </a:cxn>
              <a:cxn ang="0">
                <a:pos x="connsiteX6984" y="connsiteY6984"/>
              </a:cxn>
              <a:cxn ang="0">
                <a:pos x="connsiteX6985" y="connsiteY6985"/>
              </a:cxn>
              <a:cxn ang="0">
                <a:pos x="connsiteX6986" y="connsiteY6986"/>
              </a:cxn>
              <a:cxn ang="0">
                <a:pos x="connsiteX6987" y="connsiteY6987"/>
              </a:cxn>
              <a:cxn ang="0">
                <a:pos x="connsiteX6988" y="connsiteY6988"/>
              </a:cxn>
              <a:cxn ang="0">
                <a:pos x="connsiteX6989" y="connsiteY6989"/>
              </a:cxn>
              <a:cxn ang="0">
                <a:pos x="connsiteX6990" y="connsiteY6990"/>
              </a:cxn>
              <a:cxn ang="0">
                <a:pos x="connsiteX6991" y="connsiteY6991"/>
              </a:cxn>
              <a:cxn ang="0">
                <a:pos x="connsiteX6992" y="connsiteY6992"/>
              </a:cxn>
              <a:cxn ang="0">
                <a:pos x="connsiteX6993" y="connsiteY6993"/>
              </a:cxn>
              <a:cxn ang="0">
                <a:pos x="connsiteX6994" y="connsiteY6994"/>
              </a:cxn>
              <a:cxn ang="0">
                <a:pos x="connsiteX6995" y="connsiteY6995"/>
              </a:cxn>
              <a:cxn ang="0">
                <a:pos x="connsiteX6996" y="connsiteY6996"/>
              </a:cxn>
              <a:cxn ang="0">
                <a:pos x="connsiteX6997" y="connsiteY6997"/>
              </a:cxn>
              <a:cxn ang="0">
                <a:pos x="connsiteX6998" y="connsiteY6998"/>
              </a:cxn>
              <a:cxn ang="0">
                <a:pos x="connsiteX6999" y="connsiteY6999"/>
              </a:cxn>
              <a:cxn ang="0">
                <a:pos x="connsiteX7000" y="connsiteY7000"/>
              </a:cxn>
              <a:cxn ang="0">
                <a:pos x="connsiteX7001" y="connsiteY7001"/>
              </a:cxn>
              <a:cxn ang="0">
                <a:pos x="connsiteX7002" y="connsiteY7002"/>
              </a:cxn>
              <a:cxn ang="0">
                <a:pos x="connsiteX7003" y="connsiteY7003"/>
              </a:cxn>
              <a:cxn ang="0">
                <a:pos x="connsiteX7004" y="connsiteY7004"/>
              </a:cxn>
              <a:cxn ang="0">
                <a:pos x="connsiteX7005" y="connsiteY7005"/>
              </a:cxn>
              <a:cxn ang="0">
                <a:pos x="connsiteX7006" y="connsiteY7006"/>
              </a:cxn>
              <a:cxn ang="0">
                <a:pos x="connsiteX7007" y="connsiteY7007"/>
              </a:cxn>
              <a:cxn ang="0">
                <a:pos x="connsiteX7008" y="connsiteY7008"/>
              </a:cxn>
              <a:cxn ang="0">
                <a:pos x="connsiteX7009" y="connsiteY7009"/>
              </a:cxn>
              <a:cxn ang="0">
                <a:pos x="connsiteX7010" y="connsiteY7010"/>
              </a:cxn>
              <a:cxn ang="0">
                <a:pos x="connsiteX7011" y="connsiteY7011"/>
              </a:cxn>
              <a:cxn ang="0">
                <a:pos x="connsiteX7012" y="connsiteY7012"/>
              </a:cxn>
              <a:cxn ang="0">
                <a:pos x="connsiteX7013" y="connsiteY7013"/>
              </a:cxn>
              <a:cxn ang="0">
                <a:pos x="connsiteX7014" y="connsiteY7014"/>
              </a:cxn>
              <a:cxn ang="0">
                <a:pos x="connsiteX7015" y="connsiteY7015"/>
              </a:cxn>
              <a:cxn ang="0">
                <a:pos x="connsiteX7016" y="connsiteY7016"/>
              </a:cxn>
              <a:cxn ang="0">
                <a:pos x="connsiteX7017" y="connsiteY7017"/>
              </a:cxn>
              <a:cxn ang="0">
                <a:pos x="connsiteX7018" y="connsiteY7018"/>
              </a:cxn>
              <a:cxn ang="0">
                <a:pos x="connsiteX7019" y="connsiteY7019"/>
              </a:cxn>
              <a:cxn ang="0">
                <a:pos x="connsiteX7020" y="connsiteY7020"/>
              </a:cxn>
              <a:cxn ang="0">
                <a:pos x="connsiteX7021" y="connsiteY7021"/>
              </a:cxn>
              <a:cxn ang="0">
                <a:pos x="connsiteX7022" y="connsiteY7022"/>
              </a:cxn>
              <a:cxn ang="0">
                <a:pos x="connsiteX7023" y="connsiteY7023"/>
              </a:cxn>
              <a:cxn ang="0">
                <a:pos x="connsiteX7024" y="connsiteY7024"/>
              </a:cxn>
              <a:cxn ang="0">
                <a:pos x="connsiteX7025" y="connsiteY7025"/>
              </a:cxn>
              <a:cxn ang="0">
                <a:pos x="connsiteX7026" y="connsiteY7026"/>
              </a:cxn>
              <a:cxn ang="0">
                <a:pos x="connsiteX7027" y="connsiteY7027"/>
              </a:cxn>
              <a:cxn ang="0">
                <a:pos x="connsiteX7028" y="connsiteY7028"/>
              </a:cxn>
              <a:cxn ang="0">
                <a:pos x="connsiteX7029" y="connsiteY7029"/>
              </a:cxn>
              <a:cxn ang="0">
                <a:pos x="connsiteX7030" y="connsiteY7030"/>
              </a:cxn>
              <a:cxn ang="0">
                <a:pos x="connsiteX7031" y="connsiteY7031"/>
              </a:cxn>
              <a:cxn ang="0">
                <a:pos x="connsiteX7032" y="connsiteY7032"/>
              </a:cxn>
              <a:cxn ang="0">
                <a:pos x="connsiteX7033" y="connsiteY7033"/>
              </a:cxn>
              <a:cxn ang="0">
                <a:pos x="connsiteX7034" y="connsiteY7034"/>
              </a:cxn>
              <a:cxn ang="0">
                <a:pos x="connsiteX7035" y="connsiteY7035"/>
              </a:cxn>
              <a:cxn ang="0">
                <a:pos x="connsiteX7036" y="connsiteY7036"/>
              </a:cxn>
              <a:cxn ang="0">
                <a:pos x="connsiteX7037" y="connsiteY7037"/>
              </a:cxn>
              <a:cxn ang="0">
                <a:pos x="connsiteX7038" y="connsiteY7038"/>
              </a:cxn>
              <a:cxn ang="0">
                <a:pos x="connsiteX7039" y="connsiteY7039"/>
              </a:cxn>
              <a:cxn ang="0">
                <a:pos x="connsiteX7040" y="connsiteY7040"/>
              </a:cxn>
              <a:cxn ang="0">
                <a:pos x="connsiteX7041" y="connsiteY7041"/>
              </a:cxn>
              <a:cxn ang="0">
                <a:pos x="connsiteX7042" y="connsiteY7042"/>
              </a:cxn>
              <a:cxn ang="0">
                <a:pos x="connsiteX7043" y="connsiteY7043"/>
              </a:cxn>
              <a:cxn ang="0">
                <a:pos x="connsiteX7044" y="connsiteY7044"/>
              </a:cxn>
              <a:cxn ang="0">
                <a:pos x="connsiteX7045" y="connsiteY7045"/>
              </a:cxn>
              <a:cxn ang="0">
                <a:pos x="connsiteX7046" y="connsiteY7046"/>
              </a:cxn>
              <a:cxn ang="0">
                <a:pos x="connsiteX7047" y="connsiteY7047"/>
              </a:cxn>
              <a:cxn ang="0">
                <a:pos x="connsiteX7048" y="connsiteY7048"/>
              </a:cxn>
              <a:cxn ang="0">
                <a:pos x="connsiteX7049" y="connsiteY7049"/>
              </a:cxn>
              <a:cxn ang="0">
                <a:pos x="connsiteX7050" y="connsiteY7050"/>
              </a:cxn>
              <a:cxn ang="0">
                <a:pos x="connsiteX7051" y="connsiteY7051"/>
              </a:cxn>
              <a:cxn ang="0">
                <a:pos x="connsiteX7052" y="connsiteY7052"/>
              </a:cxn>
              <a:cxn ang="0">
                <a:pos x="connsiteX7053" y="connsiteY7053"/>
              </a:cxn>
              <a:cxn ang="0">
                <a:pos x="connsiteX7054" y="connsiteY7054"/>
              </a:cxn>
              <a:cxn ang="0">
                <a:pos x="connsiteX7055" y="connsiteY7055"/>
              </a:cxn>
              <a:cxn ang="0">
                <a:pos x="connsiteX7056" y="connsiteY7056"/>
              </a:cxn>
              <a:cxn ang="0">
                <a:pos x="connsiteX7057" y="connsiteY7057"/>
              </a:cxn>
              <a:cxn ang="0">
                <a:pos x="connsiteX7058" y="connsiteY7058"/>
              </a:cxn>
              <a:cxn ang="0">
                <a:pos x="connsiteX7059" y="connsiteY7059"/>
              </a:cxn>
              <a:cxn ang="0">
                <a:pos x="connsiteX7060" y="connsiteY7060"/>
              </a:cxn>
              <a:cxn ang="0">
                <a:pos x="connsiteX7061" y="connsiteY7061"/>
              </a:cxn>
              <a:cxn ang="0">
                <a:pos x="connsiteX7062" y="connsiteY7062"/>
              </a:cxn>
              <a:cxn ang="0">
                <a:pos x="connsiteX7063" y="connsiteY7063"/>
              </a:cxn>
              <a:cxn ang="0">
                <a:pos x="connsiteX7064" y="connsiteY7064"/>
              </a:cxn>
              <a:cxn ang="0">
                <a:pos x="connsiteX7065" y="connsiteY7065"/>
              </a:cxn>
              <a:cxn ang="0">
                <a:pos x="connsiteX7066" y="connsiteY7066"/>
              </a:cxn>
              <a:cxn ang="0">
                <a:pos x="connsiteX7067" y="connsiteY7067"/>
              </a:cxn>
              <a:cxn ang="0">
                <a:pos x="connsiteX7068" y="connsiteY7068"/>
              </a:cxn>
              <a:cxn ang="0">
                <a:pos x="connsiteX7069" y="connsiteY7069"/>
              </a:cxn>
              <a:cxn ang="0">
                <a:pos x="connsiteX7070" y="connsiteY7070"/>
              </a:cxn>
              <a:cxn ang="0">
                <a:pos x="connsiteX7071" y="connsiteY7071"/>
              </a:cxn>
              <a:cxn ang="0">
                <a:pos x="connsiteX7072" y="connsiteY7072"/>
              </a:cxn>
              <a:cxn ang="0">
                <a:pos x="connsiteX7073" y="connsiteY7073"/>
              </a:cxn>
              <a:cxn ang="0">
                <a:pos x="connsiteX7074" y="connsiteY7074"/>
              </a:cxn>
              <a:cxn ang="0">
                <a:pos x="connsiteX7075" y="connsiteY7075"/>
              </a:cxn>
              <a:cxn ang="0">
                <a:pos x="connsiteX7076" y="connsiteY7076"/>
              </a:cxn>
              <a:cxn ang="0">
                <a:pos x="connsiteX7077" y="connsiteY7077"/>
              </a:cxn>
              <a:cxn ang="0">
                <a:pos x="connsiteX7078" y="connsiteY7078"/>
              </a:cxn>
              <a:cxn ang="0">
                <a:pos x="connsiteX7079" y="connsiteY7079"/>
              </a:cxn>
              <a:cxn ang="0">
                <a:pos x="connsiteX7080" y="connsiteY7080"/>
              </a:cxn>
              <a:cxn ang="0">
                <a:pos x="connsiteX7081" y="connsiteY7081"/>
              </a:cxn>
              <a:cxn ang="0">
                <a:pos x="connsiteX7082" y="connsiteY7082"/>
              </a:cxn>
              <a:cxn ang="0">
                <a:pos x="connsiteX7083" y="connsiteY7083"/>
              </a:cxn>
              <a:cxn ang="0">
                <a:pos x="connsiteX7084" y="connsiteY7084"/>
              </a:cxn>
              <a:cxn ang="0">
                <a:pos x="connsiteX7085" y="connsiteY7085"/>
              </a:cxn>
              <a:cxn ang="0">
                <a:pos x="connsiteX7086" y="connsiteY7086"/>
              </a:cxn>
              <a:cxn ang="0">
                <a:pos x="connsiteX7087" y="connsiteY7087"/>
              </a:cxn>
              <a:cxn ang="0">
                <a:pos x="connsiteX7088" y="connsiteY7088"/>
              </a:cxn>
              <a:cxn ang="0">
                <a:pos x="connsiteX7089" y="connsiteY7089"/>
              </a:cxn>
              <a:cxn ang="0">
                <a:pos x="connsiteX7090" y="connsiteY7090"/>
              </a:cxn>
              <a:cxn ang="0">
                <a:pos x="connsiteX7091" y="connsiteY7091"/>
              </a:cxn>
              <a:cxn ang="0">
                <a:pos x="connsiteX7092" y="connsiteY7092"/>
              </a:cxn>
              <a:cxn ang="0">
                <a:pos x="connsiteX7093" y="connsiteY7093"/>
              </a:cxn>
              <a:cxn ang="0">
                <a:pos x="connsiteX7094" y="connsiteY7094"/>
              </a:cxn>
              <a:cxn ang="0">
                <a:pos x="connsiteX7095" y="connsiteY7095"/>
              </a:cxn>
              <a:cxn ang="0">
                <a:pos x="connsiteX7096" y="connsiteY7096"/>
              </a:cxn>
              <a:cxn ang="0">
                <a:pos x="connsiteX7097" y="connsiteY7097"/>
              </a:cxn>
              <a:cxn ang="0">
                <a:pos x="connsiteX7098" y="connsiteY7098"/>
              </a:cxn>
              <a:cxn ang="0">
                <a:pos x="connsiteX7099" y="connsiteY7099"/>
              </a:cxn>
              <a:cxn ang="0">
                <a:pos x="connsiteX7100" y="connsiteY7100"/>
              </a:cxn>
              <a:cxn ang="0">
                <a:pos x="connsiteX7101" y="connsiteY7101"/>
              </a:cxn>
              <a:cxn ang="0">
                <a:pos x="connsiteX7102" y="connsiteY7102"/>
              </a:cxn>
              <a:cxn ang="0">
                <a:pos x="connsiteX7103" y="connsiteY7103"/>
              </a:cxn>
              <a:cxn ang="0">
                <a:pos x="connsiteX7104" y="connsiteY7104"/>
              </a:cxn>
              <a:cxn ang="0">
                <a:pos x="connsiteX7105" y="connsiteY7105"/>
              </a:cxn>
              <a:cxn ang="0">
                <a:pos x="connsiteX7106" y="connsiteY7106"/>
              </a:cxn>
              <a:cxn ang="0">
                <a:pos x="connsiteX7107" y="connsiteY7107"/>
              </a:cxn>
              <a:cxn ang="0">
                <a:pos x="connsiteX7108" y="connsiteY7108"/>
              </a:cxn>
              <a:cxn ang="0">
                <a:pos x="connsiteX7109" y="connsiteY7109"/>
              </a:cxn>
              <a:cxn ang="0">
                <a:pos x="connsiteX7110" y="connsiteY7110"/>
              </a:cxn>
              <a:cxn ang="0">
                <a:pos x="connsiteX7111" y="connsiteY7111"/>
              </a:cxn>
              <a:cxn ang="0">
                <a:pos x="connsiteX7112" y="connsiteY7112"/>
              </a:cxn>
              <a:cxn ang="0">
                <a:pos x="connsiteX7113" y="connsiteY7113"/>
              </a:cxn>
              <a:cxn ang="0">
                <a:pos x="connsiteX7114" y="connsiteY7114"/>
              </a:cxn>
              <a:cxn ang="0">
                <a:pos x="connsiteX7115" y="connsiteY7115"/>
              </a:cxn>
              <a:cxn ang="0">
                <a:pos x="connsiteX7116" y="connsiteY7116"/>
              </a:cxn>
              <a:cxn ang="0">
                <a:pos x="connsiteX7117" y="connsiteY7117"/>
              </a:cxn>
              <a:cxn ang="0">
                <a:pos x="connsiteX7118" y="connsiteY7118"/>
              </a:cxn>
              <a:cxn ang="0">
                <a:pos x="connsiteX7119" y="connsiteY7119"/>
              </a:cxn>
              <a:cxn ang="0">
                <a:pos x="connsiteX7120" y="connsiteY7120"/>
              </a:cxn>
              <a:cxn ang="0">
                <a:pos x="connsiteX7121" y="connsiteY7121"/>
              </a:cxn>
              <a:cxn ang="0">
                <a:pos x="connsiteX7122" y="connsiteY7122"/>
              </a:cxn>
              <a:cxn ang="0">
                <a:pos x="connsiteX7123" y="connsiteY7123"/>
              </a:cxn>
              <a:cxn ang="0">
                <a:pos x="connsiteX7124" y="connsiteY7124"/>
              </a:cxn>
              <a:cxn ang="0">
                <a:pos x="connsiteX7125" y="connsiteY7125"/>
              </a:cxn>
              <a:cxn ang="0">
                <a:pos x="connsiteX7126" y="connsiteY7126"/>
              </a:cxn>
              <a:cxn ang="0">
                <a:pos x="connsiteX7127" y="connsiteY7127"/>
              </a:cxn>
              <a:cxn ang="0">
                <a:pos x="connsiteX7128" y="connsiteY7128"/>
              </a:cxn>
              <a:cxn ang="0">
                <a:pos x="connsiteX7129" y="connsiteY7129"/>
              </a:cxn>
              <a:cxn ang="0">
                <a:pos x="connsiteX7130" y="connsiteY7130"/>
              </a:cxn>
              <a:cxn ang="0">
                <a:pos x="connsiteX7131" y="connsiteY7131"/>
              </a:cxn>
              <a:cxn ang="0">
                <a:pos x="connsiteX7132" y="connsiteY7132"/>
              </a:cxn>
              <a:cxn ang="0">
                <a:pos x="connsiteX7133" y="connsiteY7133"/>
              </a:cxn>
              <a:cxn ang="0">
                <a:pos x="connsiteX7134" y="connsiteY7134"/>
              </a:cxn>
              <a:cxn ang="0">
                <a:pos x="connsiteX7135" y="connsiteY7135"/>
              </a:cxn>
              <a:cxn ang="0">
                <a:pos x="connsiteX7136" y="connsiteY7136"/>
              </a:cxn>
              <a:cxn ang="0">
                <a:pos x="connsiteX7137" y="connsiteY7137"/>
              </a:cxn>
              <a:cxn ang="0">
                <a:pos x="connsiteX7138" y="connsiteY7138"/>
              </a:cxn>
              <a:cxn ang="0">
                <a:pos x="connsiteX7139" y="connsiteY7139"/>
              </a:cxn>
              <a:cxn ang="0">
                <a:pos x="connsiteX7140" y="connsiteY7140"/>
              </a:cxn>
              <a:cxn ang="0">
                <a:pos x="connsiteX7141" y="connsiteY7141"/>
              </a:cxn>
              <a:cxn ang="0">
                <a:pos x="connsiteX7142" y="connsiteY7142"/>
              </a:cxn>
              <a:cxn ang="0">
                <a:pos x="connsiteX7143" y="connsiteY7143"/>
              </a:cxn>
              <a:cxn ang="0">
                <a:pos x="connsiteX7144" y="connsiteY7144"/>
              </a:cxn>
              <a:cxn ang="0">
                <a:pos x="connsiteX7145" y="connsiteY7145"/>
              </a:cxn>
              <a:cxn ang="0">
                <a:pos x="connsiteX7146" y="connsiteY7146"/>
              </a:cxn>
              <a:cxn ang="0">
                <a:pos x="connsiteX7147" y="connsiteY7147"/>
              </a:cxn>
              <a:cxn ang="0">
                <a:pos x="connsiteX7148" y="connsiteY7148"/>
              </a:cxn>
              <a:cxn ang="0">
                <a:pos x="connsiteX7149" y="connsiteY7149"/>
              </a:cxn>
              <a:cxn ang="0">
                <a:pos x="connsiteX7150" y="connsiteY7150"/>
              </a:cxn>
              <a:cxn ang="0">
                <a:pos x="connsiteX7151" y="connsiteY7151"/>
              </a:cxn>
              <a:cxn ang="0">
                <a:pos x="connsiteX7152" y="connsiteY7152"/>
              </a:cxn>
              <a:cxn ang="0">
                <a:pos x="connsiteX7153" y="connsiteY7153"/>
              </a:cxn>
              <a:cxn ang="0">
                <a:pos x="connsiteX7154" y="connsiteY7154"/>
              </a:cxn>
              <a:cxn ang="0">
                <a:pos x="connsiteX7155" y="connsiteY7155"/>
              </a:cxn>
              <a:cxn ang="0">
                <a:pos x="connsiteX7156" y="connsiteY7156"/>
              </a:cxn>
              <a:cxn ang="0">
                <a:pos x="connsiteX7157" y="connsiteY7157"/>
              </a:cxn>
              <a:cxn ang="0">
                <a:pos x="connsiteX7158" y="connsiteY7158"/>
              </a:cxn>
              <a:cxn ang="0">
                <a:pos x="connsiteX7159" y="connsiteY7159"/>
              </a:cxn>
              <a:cxn ang="0">
                <a:pos x="connsiteX7160" y="connsiteY7160"/>
              </a:cxn>
              <a:cxn ang="0">
                <a:pos x="connsiteX7161" y="connsiteY7161"/>
              </a:cxn>
              <a:cxn ang="0">
                <a:pos x="connsiteX7162" y="connsiteY7162"/>
              </a:cxn>
              <a:cxn ang="0">
                <a:pos x="connsiteX7163" y="connsiteY7163"/>
              </a:cxn>
              <a:cxn ang="0">
                <a:pos x="connsiteX7164" y="connsiteY7164"/>
              </a:cxn>
              <a:cxn ang="0">
                <a:pos x="connsiteX7165" y="connsiteY7165"/>
              </a:cxn>
              <a:cxn ang="0">
                <a:pos x="connsiteX7166" y="connsiteY7166"/>
              </a:cxn>
              <a:cxn ang="0">
                <a:pos x="connsiteX7167" y="connsiteY7167"/>
              </a:cxn>
              <a:cxn ang="0">
                <a:pos x="connsiteX7168" y="connsiteY7168"/>
              </a:cxn>
              <a:cxn ang="0">
                <a:pos x="connsiteX7169" y="connsiteY7169"/>
              </a:cxn>
              <a:cxn ang="0">
                <a:pos x="connsiteX7170" y="connsiteY7170"/>
              </a:cxn>
              <a:cxn ang="0">
                <a:pos x="connsiteX7171" y="connsiteY7171"/>
              </a:cxn>
              <a:cxn ang="0">
                <a:pos x="connsiteX7172" y="connsiteY7172"/>
              </a:cxn>
              <a:cxn ang="0">
                <a:pos x="connsiteX7173" y="connsiteY7173"/>
              </a:cxn>
              <a:cxn ang="0">
                <a:pos x="connsiteX7174" y="connsiteY7174"/>
              </a:cxn>
              <a:cxn ang="0">
                <a:pos x="connsiteX7175" y="connsiteY7175"/>
              </a:cxn>
              <a:cxn ang="0">
                <a:pos x="connsiteX7176" y="connsiteY7176"/>
              </a:cxn>
              <a:cxn ang="0">
                <a:pos x="connsiteX7177" y="connsiteY7177"/>
              </a:cxn>
              <a:cxn ang="0">
                <a:pos x="connsiteX7178" y="connsiteY7178"/>
              </a:cxn>
              <a:cxn ang="0">
                <a:pos x="connsiteX7179" y="connsiteY7179"/>
              </a:cxn>
              <a:cxn ang="0">
                <a:pos x="connsiteX7180" y="connsiteY7180"/>
              </a:cxn>
              <a:cxn ang="0">
                <a:pos x="connsiteX7181" y="connsiteY7181"/>
              </a:cxn>
              <a:cxn ang="0">
                <a:pos x="connsiteX7182" y="connsiteY7182"/>
              </a:cxn>
              <a:cxn ang="0">
                <a:pos x="connsiteX7183" y="connsiteY7183"/>
              </a:cxn>
              <a:cxn ang="0">
                <a:pos x="connsiteX7184" y="connsiteY7184"/>
              </a:cxn>
              <a:cxn ang="0">
                <a:pos x="connsiteX7185" y="connsiteY7185"/>
              </a:cxn>
              <a:cxn ang="0">
                <a:pos x="connsiteX7186" y="connsiteY7186"/>
              </a:cxn>
              <a:cxn ang="0">
                <a:pos x="connsiteX7187" y="connsiteY7187"/>
              </a:cxn>
              <a:cxn ang="0">
                <a:pos x="connsiteX7188" y="connsiteY7188"/>
              </a:cxn>
              <a:cxn ang="0">
                <a:pos x="connsiteX7189" y="connsiteY7189"/>
              </a:cxn>
              <a:cxn ang="0">
                <a:pos x="connsiteX7190" y="connsiteY7190"/>
              </a:cxn>
              <a:cxn ang="0">
                <a:pos x="connsiteX7191" y="connsiteY7191"/>
              </a:cxn>
              <a:cxn ang="0">
                <a:pos x="connsiteX7192" y="connsiteY7192"/>
              </a:cxn>
              <a:cxn ang="0">
                <a:pos x="connsiteX7193" y="connsiteY7193"/>
              </a:cxn>
              <a:cxn ang="0">
                <a:pos x="connsiteX7194" y="connsiteY7194"/>
              </a:cxn>
              <a:cxn ang="0">
                <a:pos x="connsiteX7195" y="connsiteY7195"/>
              </a:cxn>
              <a:cxn ang="0">
                <a:pos x="connsiteX7196" y="connsiteY7196"/>
              </a:cxn>
              <a:cxn ang="0">
                <a:pos x="connsiteX7197" y="connsiteY7197"/>
              </a:cxn>
              <a:cxn ang="0">
                <a:pos x="connsiteX7198" y="connsiteY7198"/>
              </a:cxn>
              <a:cxn ang="0">
                <a:pos x="connsiteX7199" y="connsiteY7199"/>
              </a:cxn>
              <a:cxn ang="0">
                <a:pos x="connsiteX7200" y="connsiteY7200"/>
              </a:cxn>
              <a:cxn ang="0">
                <a:pos x="connsiteX7201" y="connsiteY7201"/>
              </a:cxn>
              <a:cxn ang="0">
                <a:pos x="connsiteX7202" y="connsiteY7202"/>
              </a:cxn>
              <a:cxn ang="0">
                <a:pos x="connsiteX7203" y="connsiteY7203"/>
              </a:cxn>
              <a:cxn ang="0">
                <a:pos x="connsiteX7204" y="connsiteY7204"/>
              </a:cxn>
              <a:cxn ang="0">
                <a:pos x="connsiteX7205" y="connsiteY7205"/>
              </a:cxn>
              <a:cxn ang="0">
                <a:pos x="connsiteX7206" y="connsiteY7206"/>
              </a:cxn>
              <a:cxn ang="0">
                <a:pos x="connsiteX7207" y="connsiteY7207"/>
              </a:cxn>
              <a:cxn ang="0">
                <a:pos x="connsiteX7208" y="connsiteY7208"/>
              </a:cxn>
              <a:cxn ang="0">
                <a:pos x="connsiteX7209" y="connsiteY7209"/>
              </a:cxn>
              <a:cxn ang="0">
                <a:pos x="connsiteX7210" y="connsiteY7210"/>
              </a:cxn>
              <a:cxn ang="0">
                <a:pos x="connsiteX7211" y="connsiteY7211"/>
              </a:cxn>
              <a:cxn ang="0">
                <a:pos x="connsiteX7212" y="connsiteY7212"/>
              </a:cxn>
              <a:cxn ang="0">
                <a:pos x="connsiteX7213" y="connsiteY7213"/>
              </a:cxn>
              <a:cxn ang="0">
                <a:pos x="connsiteX7214" y="connsiteY7214"/>
              </a:cxn>
              <a:cxn ang="0">
                <a:pos x="connsiteX7215" y="connsiteY7215"/>
              </a:cxn>
              <a:cxn ang="0">
                <a:pos x="connsiteX7216" y="connsiteY7216"/>
              </a:cxn>
              <a:cxn ang="0">
                <a:pos x="connsiteX7217" y="connsiteY7217"/>
              </a:cxn>
              <a:cxn ang="0">
                <a:pos x="connsiteX7218" y="connsiteY7218"/>
              </a:cxn>
              <a:cxn ang="0">
                <a:pos x="connsiteX7219" y="connsiteY7219"/>
              </a:cxn>
              <a:cxn ang="0">
                <a:pos x="connsiteX7220" y="connsiteY7220"/>
              </a:cxn>
              <a:cxn ang="0">
                <a:pos x="connsiteX7221" y="connsiteY7221"/>
              </a:cxn>
              <a:cxn ang="0">
                <a:pos x="connsiteX7222" y="connsiteY7222"/>
              </a:cxn>
              <a:cxn ang="0">
                <a:pos x="connsiteX7223" y="connsiteY7223"/>
              </a:cxn>
              <a:cxn ang="0">
                <a:pos x="connsiteX7224" y="connsiteY7224"/>
              </a:cxn>
              <a:cxn ang="0">
                <a:pos x="connsiteX7225" y="connsiteY7225"/>
              </a:cxn>
              <a:cxn ang="0">
                <a:pos x="connsiteX7226" y="connsiteY7226"/>
              </a:cxn>
              <a:cxn ang="0">
                <a:pos x="connsiteX7227" y="connsiteY7227"/>
              </a:cxn>
              <a:cxn ang="0">
                <a:pos x="connsiteX7228" y="connsiteY7228"/>
              </a:cxn>
              <a:cxn ang="0">
                <a:pos x="connsiteX7229" y="connsiteY7229"/>
              </a:cxn>
              <a:cxn ang="0">
                <a:pos x="connsiteX7230" y="connsiteY7230"/>
              </a:cxn>
              <a:cxn ang="0">
                <a:pos x="connsiteX7231" y="connsiteY7231"/>
              </a:cxn>
              <a:cxn ang="0">
                <a:pos x="connsiteX7232" y="connsiteY7232"/>
              </a:cxn>
              <a:cxn ang="0">
                <a:pos x="connsiteX7233" y="connsiteY7233"/>
              </a:cxn>
              <a:cxn ang="0">
                <a:pos x="connsiteX7234" y="connsiteY7234"/>
              </a:cxn>
              <a:cxn ang="0">
                <a:pos x="connsiteX7235" y="connsiteY7235"/>
              </a:cxn>
              <a:cxn ang="0">
                <a:pos x="connsiteX7236" y="connsiteY7236"/>
              </a:cxn>
              <a:cxn ang="0">
                <a:pos x="connsiteX7237" y="connsiteY7237"/>
              </a:cxn>
              <a:cxn ang="0">
                <a:pos x="connsiteX7238" y="connsiteY7238"/>
              </a:cxn>
              <a:cxn ang="0">
                <a:pos x="connsiteX7239" y="connsiteY7239"/>
              </a:cxn>
              <a:cxn ang="0">
                <a:pos x="connsiteX7240" y="connsiteY7240"/>
              </a:cxn>
              <a:cxn ang="0">
                <a:pos x="connsiteX7241" y="connsiteY7241"/>
              </a:cxn>
              <a:cxn ang="0">
                <a:pos x="connsiteX7242" y="connsiteY7242"/>
              </a:cxn>
              <a:cxn ang="0">
                <a:pos x="connsiteX7243" y="connsiteY7243"/>
              </a:cxn>
              <a:cxn ang="0">
                <a:pos x="connsiteX7244" y="connsiteY7244"/>
              </a:cxn>
              <a:cxn ang="0">
                <a:pos x="connsiteX7245" y="connsiteY7245"/>
              </a:cxn>
              <a:cxn ang="0">
                <a:pos x="connsiteX7246" y="connsiteY7246"/>
              </a:cxn>
              <a:cxn ang="0">
                <a:pos x="connsiteX7247" y="connsiteY7247"/>
              </a:cxn>
              <a:cxn ang="0">
                <a:pos x="connsiteX7248" y="connsiteY7248"/>
              </a:cxn>
              <a:cxn ang="0">
                <a:pos x="connsiteX7249" y="connsiteY7249"/>
              </a:cxn>
              <a:cxn ang="0">
                <a:pos x="connsiteX7250" y="connsiteY7250"/>
              </a:cxn>
              <a:cxn ang="0">
                <a:pos x="connsiteX7251" y="connsiteY7251"/>
              </a:cxn>
              <a:cxn ang="0">
                <a:pos x="connsiteX7252" y="connsiteY7252"/>
              </a:cxn>
              <a:cxn ang="0">
                <a:pos x="connsiteX7253" y="connsiteY7253"/>
              </a:cxn>
              <a:cxn ang="0">
                <a:pos x="connsiteX7254" y="connsiteY7254"/>
              </a:cxn>
              <a:cxn ang="0">
                <a:pos x="connsiteX7255" y="connsiteY7255"/>
              </a:cxn>
              <a:cxn ang="0">
                <a:pos x="connsiteX7256" y="connsiteY7256"/>
              </a:cxn>
              <a:cxn ang="0">
                <a:pos x="connsiteX7257" y="connsiteY7257"/>
              </a:cxn>
              <a:cxn ang="0">
                <a:pos x="connsiteX7258" y="connsiteY7258"/>
              </a:cxn>
              <a:cxn ang="0">
                <a:pos x="connsiteX7259" y="connsiteY7259"/>
              </a:cxn>
              <a:cxn ang="0">
                <a:pos x="connsiteX7260" y="connsiteY7260"/>
              </a:cxn>
              <a:cxn ang="0">
                <a:pos x="connsiteX7261" y="connsiteY7261"/>
              </a:cxn>
              <a:cxn ang="0">
                <a:pos x="connsiteX7262" y="connsiteY7262"/>
              </a:cxn>
              <a:cxn ang="0">
                <a:pos x="connsiteX7263" y="connsiteY7263"/>
              </a:cxn>
              <a:cxn ang="0">
                <a:pos x="connsiteX7264" y="connsiteY7264"/>
              </a:cxn>
              <a:cxn ang="0">
                <a:pos x="connsiteX7265" y="connsiteY7265"/>
              </a:cxn>
              <a:cxn ang="0">
                <a:pos x="connsiteX7266" y="connsiteY7266"/>
              </a:cxn>
              <a:cxn ang="0">
                <a:pos x="connsiteX7267" y="connsiteY7267"/>
              </a:cxn>
              <a:cxn ang="0">
                <a:pos x="connsiteX7268" y="connsiteY7268"/>
              </a:cxn>
              <a:cxn ang="0">
                <a:pos x="connsiteX7269" y="connsiteY7269"/>
              </a:cxn>
              <a:cxn ang="0">
                <a:pos x="connsiteX7270" y="connsiteY7270"/>
              </a:cxn>
              <a:cxn ang="0">
                <a:pos x="connsiteX7271" y="connsiteY7271"/>
              </a:cxn>
              <a:cxn ang="0">
                <a:pos x="connsiteX7272" y="connsiteY7272"/>
              </a:cxn>
              <a:cxn ang="0">
                <a:pos x="connsiteX7273" y="connsiteY7273"/>
              </a:cxn>
              <a:cxn ang="0">
                <a:pos x="connsiteX7274" y="connsiteY7274"/>
              </a:cxn>
              <a:cxn ang="0">
                <a:pos x="connsiteX7275" y="connsiteY7275"/>
              </a:cxn>
              <a:cxn ang="0">
                <a:pos x="connsiteX7276" y="connsiteY7276"/>
              </a:cxn>
              <a:cxn ang="0">
                <a:pos x="connsiteX7277" y="connsiteY7277"/>
              </a:cxn>
              <a:cxn ang="0">
                <a:pos x="connsiteX7278" y="connsiteY7278"/>
              </a:cxn>
              <a:cxn ang="0">
                <a:pos x="connsiteX7279" y="connsiteY7279"/>
              </a:cxn>
              <a:cxn ang="0">
                <a:pos x="connsiteX7280" y="connsiteY7280"/>
              </a:cxn>
              <a:cxn ang="0">
                <a:pos x="connsiteX7281" y="connsiteY7281"/>
              </a:cxn>
              <a:cxn ang="0">
                <a:pos x="connsiteX7282" y="connsiteY7282"/>
              </a:cxn>
              <a:cxn ang="0">
                <a:pos x="connsiteX7283" y="connsiteY7283"/>
              </a:cxn>
              <a:cxn ang="0">
                <a:pos x="connsiteX7284" y="connsiteY7284"/>
              </a:cxn>
              <a:cxn ang="0">
                <a:pos x="connsiteX7285" y="connsiteY7285"/>
              </a:cxn>
              <a:cxn ang="0">
                <a:pos x="connsiteX7286" y="connsiteY7286"/>
              </a:cxn>
              <a:cxn ang="0">
                <a:pos x="connsiteX7287" y="connsiteY7287"/>
              </a:cxn>
              <a:cxn ang="0">
                <a:pos x="connsiteX7288" y="connsiteY7288"/>
              </a:cxn>
              <a:cxn ang="0">
                <a:pos x="connsiteX7289" y="connsiteY7289"/>
              </a:cxn>
              <a:cxn ang="0">
                <a:pos x="connsiteX7290" y="connsiteY7290"/>
              </a:cxn>
              <a:cxn ang="0">
                <a:pos x="connsiteX7291" y="connsiteY7291"/>
              </a:cxn>
              <a:cxn ang="0">
                <a:pos x="connsiteX7292" y="connsiteY7292"/>
              </a:cxn>
              <a:cxn ang="0">
                <a:pos x="connsiteX7293" y="connsiteY7293"/>
              </a:cxn>
              <a:cxn ang="0">
                <a:pos x="connsiteX7294" y="connsiteY7294"/>
              </a:cxn>
              <a:cxn ang="0">
                <a:pos x="connsiteX7295" y="connsiteY7295"/>
              </a:cxn>
              <a:cxn ang="0">
                <a:pos x="connsiteX7296" y="connsiteY7296"/>
              </a:cxn>
              <a:cxn ang="0">
                <a:pos x="connsiteX7297" y="connsiteY7297"/>
              </a:cxn>
              <a:cxn ang="0">
                <a:pos x="connsiteX7298" y="connsiteY7298"/>
              </a:cxn>
              <a:cxn ang="0">
                <a:pos x="connsiteX7299" y="connsiteY7299"/>
              </a:cxn>
              <a:cxn ang="0">
                <a:pos x="connsiteX7300" y="connsiteY7300"/>
              </a:cxn>
              <a:cxn ang="0">
                <a:pos x="connsiteX7301" y="connsiteY7301"/>
              </a:cxn>
              <a:cxn ang="0">
                <a:pos x="connsiteX7302" y="connsiteY7302"/>
              </a:cxn>
              <a:cxn ang="0">
                <a:pos x="connsiteX7303" y="connsiteY7303"/>
              </a:cxn>
              <a:cxn ang="0">
                <a:pos x="connsiteX7304" y="connsiteY7304"/>
              </a:cxn>
              <a:cxn ang="0">
                <a:pos x="connsiteX7305" y="connsiteY7305"/>
              </a:cxn>
              <a:cxn ang="0">
                <a:pos x="connsiteX7306" y="connsiteY7306"/>
              </a:cxn>
              <a:cxn ang="0">
                <a:pos x="connsiteX7307" y="connsiteY7307"/>
              </a:cxn>
              <a:cxn ang="0">
                <a:pos x="connsiteX7308" y="connsiteY7308"/>
              </a:cxn>
              <a:cxn ang="0">
                <a:pos x="connsiteX7309" y="connsiteY7309"/>
              </a:cxn>
              <a:cxn ang="0">
                <a:pos x="connsiteX7310" y="connsiteY7310"/>
              </a:cxn>
              <a:cxn ang="0">
                <a:pos x="connsiteX7311" y="connsiteY7311"/>
              </a:cxn>
              <a:cxn ang="0">
                <a:pos x="connsiteX7312" y="connsiteY7312"/>
              </a:cxn>
              <a:cxn ang="0">
                <a:pos x="connsiteX7313" y="connsiteY7313"/>
              </a:cxn>
              <a:cxn ang="0">
                <a:pos x="connsiteX7314" y="connsiteY7314"/>
              </a:cxn>
              <a:cxn ang="0">
                <a:pos x="connsiteX7315" y="connsiteY7315"/>
              </a:cxn>
              <a:cxn ang="0">
                <a:pos x="connsiteX7316" y="connsiteY7316"/>
              </a:cxn>
              <a:cxn ang="0">
                <a:pos x="connsiteX7317" y="connsiteY7317"/>
              </a:cxn>
              <a:cxn ang="0">
                <a:pos x="connsiteX7318" y="connsiteY7318"/>
              </a:cxn>
              <a:cxn ang="0">
                <a:pos x="connsiteX7319" y="connsiteY7319"/>
              </a:cxn>
              <a:cxn ang="0">
                <a:pos x="connsiteX7320" y="connsiteY7320"/>
              </a:cxn>
              <a:cxn ang="0">
                <a:pos x="connsiteX7321" y="connsiteY7321"/>
              </a:cxn>
              <a:cxn ang="0">
                <a:pos x="connsiteX7322" y="connsiteY7322"/>
              </a:cxn>
              <a:cxn ang="0">
                <a:pos x="connsiteX7323" y="connsiteY7323"/>
              </a:cxn>
              <a:cxn ang="0">
                <a:pos x="connsiteX7324" y="connsiteY7324"/>
              </a:cxn>
              <a:cxn ang="0">
                <a:pos x="connsiteX7325" y="connsiteY7325"/>
              </a:cxn>
              <a:cxn ang="0">
                <a:pos x="connsiteX7326" y="connsiteY7326"/>
              </a:cxn>
              <a:cxn ang="0">
                <a:pos x="connsiteX7327" y="connsiteY7327"/>
              </a:cxn>
              <a:cxn ang="0">
                <a:pos x="connsiteX7328" y="connsiteY7328"/>
              </a:cxn>
              <a:cxn ang="0">
                <a:pos x="connsiteX7329" y="connsiteY7329"/>
              </a:cxn>
              <a:cxn ang="0">
                <a:pos x="connsiteX7330" y="connsiteY7330"/>
              </a:cxn>
              <a:cxn ang="0">
                <a:pos x="connsiteX7331" y="connsiteY7331"/>
              </a:cxn>
              <a:cxn ang="0">
                <a:pos x="connsiteX7332" y="connsiteY7332"/>
              </a:cxn>
              <a:cxn ang="0">
                <a:pos x="connsiteX7333" y="connsiteY7333"/>
              </a:cxn>
              <a:cxn ang="0">
                <a:pos x="connsiteX7334" y="connsiteY7334"/>
              </a:cxn>
              <a:cxn ang="0">
                <a:pos x="connsiteX7335" y="connsiteY7335"/>
              </a:cxn>
              <a:cxn ang="0">
                <a:pos x="connsiteX7336" y="connsiteY7336"/>
              </a:cxn>
              <a:cxn ang="0">
                <a:pos x="connsiteX7337" y="connsiteY7337"/>
              </a:cxn>
              <a:cxn ang="0">
                <a:pos x="connsiteX7338" y="connsiteY7338"/>
              </a:cxn>
              <a:cxn ang="0">
                <a:pos x="connsiteX7339" y="connsiteY7339"/>
              </a:cxn>
              <a:cxn ang="0">
                <a:pos x="connsiteX7340" y="connsiteY7340"/>
              </a:cxn>
              <a:cxn ang="0">
                <a:pos x="connsiteX7341" y="connsiteY7341"/>
              </a:cxn>
              <a:cxn ang="0">
                <a:pos x="connsiteX7342" y="connsiteY7342"/>
              </a:cxn>
              <a:cxn ang="0">
                <a:pos x="connsiteX7343" y="connsiteY7343"/>
              </a:cxn>
              <a:cxn ang="0">
                <a:pos x="connsiteX7344" y="connsiteY7344"/>
              </a:cxn>
              <a:cxn ang="0">
                <a:pos x="connsiteX7345" y="connsiteY7345"/>
              </a:cxn>
              <a:cxn ang="0">
                <a:pos x="connsiteX7346" y="connsiteY7346"/>
              </a:cxn>
              <a:cxn ang="0">
                <a:pos x="connsiteX7347" y="connsiteY7347"/>
              </a:cxn>
              <a:cxn ang="0">
                <a:pos x="connsiteX7348" y="connsiteY7348"/>
              </a:cxn>
              <a:cxn ang="0">
                <a:pos x="connsiteX7349" y="connsiteY7349"/>
              </a:cxn>
              <a:cxn ang="0">
                <a:pos x="connsiteX7350" y="connsiteY7350"/>
              </a:cxn>
              <a:cxn ang="0">
                <a:pos x="connsiteX7351" y="connsiteY7351"/>
              </a:cxn>
              <a:cxn ang="0">
                <a:pos x="connsiteX7352" y="connsiteY7352"/>
              </a:cxn>
              <a:cxn ang="0">
                <a:pos x="connsiteX7353" y="connsiteY7353"/>
              </a:cxn>
              <a:cxn ang="0">
                <a:pos x="connsiteX7354" y="connsiteY7354"/>
              </a:cxn>
              <a:cxn ang="0">
                <a:pos x="connsiteX7355" y="connsiteY7355"/>
              </a:cxn>
              <a:cxn ang="0">
                <a:pos x="connsiteX7356" y="connsiteY7356"/>
              </a:cxn>
              <a:cxn ang="0">
                <a:pos x="connsiteX7357" y="connsiteY7357"/>
              </a:cxn>
              <a:cxn ang="0">
                <a:pos x="connsiteX7358" y="connsiteY7358"/>
              </a:cxn>
              <a:cxn ang="0">
                <a:pos x="connsiteX7359" y="connsiteY7359"/>
              </a:cxn>
              <a:cxn ang="0">
                <a:pos x="connsiteX7360" y="connsiteY7360"/>
              </a:cxn>
              <a:cxn ang="0">
                <a:pos x="connsiteX7361" y="connsiteY7361"/>
              </a:cxn>
              <a:cxn ang="0">
                <a:pos x="connsiteX7362" y="connsiteY7362"/>
              </a:cxn>
              <a:cxn ang="0">
                <a:pos x="connsiteX7363" y="connsiteY7363"/>
              </a:cxn>
              <a:cxn ang="0">
                <a:pos x="connsiteX7364" y="connsiteY7364"/>
              </a:cxn>
              <a:cxn ang="0">
                <a:pos x="connsiteX7365" y="connsiteY7365"/>
              </a:cxn>
              <a:cxn ang="0">
                <a:pos x="connsiteX7366" y="connsiteY7366"/>
              </a:cxn>
              <a:cxn ang="0">
                <a:pos x="connsiteX7367" y="connsiteY7367"/>
              </a:cxn>
              <a:cxn ang="0">
                <a:pos x="connsiteX7368" y="connsiteY7368"/>
              </a:cxn>
              <a:cxn ang="0">
                <a:pos x="connsiteX7369" y="connsiteY7369"/>
              </a:cxn>
              <a:cxn ang="0">
                <a:pos x="connsiteX7370" y="connsiteY7370"/>
              </a:cxn>
              <a:cxn ang="0">
                <a:pos x="connsiteX7371" y="connsiteY7371"/>
              </a:cxn>
              <a:cxn ang="0">
                <a:pos x="connsiteX7372" y="connsiteY7372"/>
              </a:cxn>
              <a:cxn ang="0">
                <a:pos x="connsiteX7373" y="connsiteY7373"/>
              </a:cxn>
              <a:cxn ang="0">
                <a:pos x="connsiteX7374" y="connsiteY7374"/>
              </a:cxn>
              <a:cxn ang="0">
                <a:pos x="connsiteX7375" y="connsiteY7375"/>
              </a:cxn>
              <a:cxn ang="0">
                <a:pos x="connsiteX7376" y="connsiteY7376"/>
              </a:cxn>
              <a:cxn ang="0">
                <a:pos x="connsiteX7377" y="connsiteY7377"/>
              </a:cxn>
              <a:cxn ang="0">
                <a:pos x="connsiteX7378" y="connsiteY7378"/>
              </a:cxn>
              <a:cxn ang="0">
                <a:pos x="connsiteX7379" y="connsiteY7379"/>
              </a:cxn>
              <a:cxn ang="0">
                <a:pos x="connsiteX7380" y="connsiteY7380"/>
              </a:cxn>
              <a:cxn ang="0">
                <a:pos x="connsiteX7381" y="connsiteY7381"/>
              </a:cxn>
              <a:cxn ang="0">
                <a:pos x="connsiteX7382" y="connsiteY7382"/>
              </a:cxn>
              <a:cxn ang="0">
                <a:pos x="connsiteX7383" y="connsiteY7383"/>
              </a:cxn>
              <a:cxn ang="0">
                <a:pos x="connsiteX7384" y="connsiteY7384"/>
              </a:cxn>
              <a:cxn ang="0">
                <a:pos x="connsiteX7385" y="connsiteY7385"/>
              </a:cxn>
              <a:cxn ang="0">
                <a:pos x="connsiteX7386" y="connsiteY7386"/>
              </a:cxn>
              <a:cxn ang="0">
                <a:pos x="connsiteX7387" y="connsiteY7387"/>
              </a:cxn>
              <a:cxn ang="0">
                <a:pos x="connsiteX7388" y="connsiteY7388"/>
              </a:cxn>
              <a:cxn ang="0">
                <a:pos x="connsiteX7389" y="connsiteY7389"/>
              </a:cxn>
              <a:cxn ang="0">
                <a:pos x="connsiteX7390" y="connsiteY7390"/>
              </a:cxn>
              <a:cxn ang="0">
                <a:pos x="connsiteX7391" y="connsiteY7391"/>
              </a:cxn>
              <a:cxn ang="0">
                <a:pos x="connsiteX7392" y="connsiteY7392"/>
              </a:cxn>
              <a:cxn ang="0">
                <a:pos x="connsiteX7393" y="connsiteY7393"/>
              </a:cxn>
              <a:cxn ang="0">
                <a:pos x="connsiteX7394" y="connsiteY7394"/>
              </a:cxn>
              <a:cxn ang="0">
                <a:pos x="connsiteX7395" y="connsiteY7395"/>
              </a:cxn>
              <a:cxn ang="0">
                <a:pos x="connsiteX7396" y="connsiteY7396"/>
              </a:cxn>
              <a:cxn ang="0">
                <a:pos x="connsiteX7397" y="connsiteY7397"/>
              </a:cxn>
              <a:cxn ang="0">
                <a:pos x="connsiteX7398" y="connsiteY7398"/>
              </a:cxn>
              <a:cxn ang="0">
                <a:pos x="connsiteX7399" y="connsiteY7399"/>
              </a:cxn>
              <a:cxn ang="0">
                <a:pos x="connsiteX7400" y="connsiteY7400"/>
              </a:cxn>
              <a:cxn ang="0">
                <a:pos x="connsiteX7401" y="connsiteY7401"/>
              </a:cxn>
              <a:cxn ang="0">
                <a:pos x="connsiteX7402" y="connsiteY7402"/>
              </a:cxn>
              <a:cxn ang="0">
                <a:pos x="connsiteX7403" y="connsiteY7403"/>
              </a:cxn>
              <a:cxn ang="0">
                <a:pos x="connsiteX7404" y="connsiteY7404"/>
              </a:cxn>
              <a:cxn ang="0">
                <a:pos x="connsiteX7405" y="connsiteY7405"/>
              </a:cxn>
              <a:cxn ang="0">
                <a:pos x="connsiteX7406" y="connsiteY7406"/>
              </a:cxn>
              <a:cxn ang="0">
                <a:pos x="connsiteX7407" y="connsiteY7407"/>
              </a:cxn>
              <a:cxn ang="0">
                <a:pos x="connsiteX7408" y="connsiteY7408"/>
              </a:cxn>
              <a:cxn ang="0">
                <a:pos x="connsiteX7409" y="connsiteY7409"/>
              </a:cxn>
              <a:cxn ang="0">
                <a:pos x="connsiteX7410" y="connsiteY7410"/>
              </a:cxn>
              <a:cxn ang="0">
                <a:pos x="connsiteX7411" y="connsiteY7411"/>
              </a:cxn>
              <a:cxn ang="0">
                <a:pos x="connsiteX7412" y="connsiteY7412"/>
              </a:cxn>
              <a:cxn ang="0">
                <a:pos x="connsiteX7413" y="connsiteY7413"/>
              </a:cxn>
              <a:cxn ang="0">
                <a:pos x="connsiteX7414" y="connsiteY7414"/>
              </a:cxn>
              <a:cxn ang="0">
                <a:pos x="connsiteX7415" y="connsiteY7415"/>
              </a:cxn>
              <a:cxn ang="0">
                <a:pos x="connsiteX7416" y="connsiteY7416"/>
              </a:cxn>
              <a:cxn ang="0">
                <a:pos x="connsiteX7417" y="connsiteY7417"/>
              </a:cxn>
              <a:cxn ang="0">
                <a:pos x="connsiteX7418" y="connsiteY7418"/>
              </a:cxn>
              <a:cxn ang="0">
                <a:pos x="connsiteX7419" y="connsiteY7419"/>
              </a:cxn>
              <a:cxn ang="0">
                <a:pos x="connsiteX7420" y="connsiteY7420"/>
              </a:cxn>
              <a:cxn ang="0">
                <a:pos x="connsiteX7421" y="connsiteY7421"/>
              </a:cxn>
              <a:cxn ang="0">
                <a:pos x="connsiteX7422" y="connsiteY7422"/>
              </a:cxn>
              <a:cxn ang="0">
                <a:pos x="connsiteX7423" y="connsiteY7423"/>
              </a:cxn>
              <a:cxn ang="0">
                <a:pos x="connsiteX7424" y="connsiteY7424"/>
              </a:cxn>
              <a:cxn ang="0">
                <a:pos x="connsiteX7425" y="connsiteY7425"/>
              </a:cxn>
              <a:cxn ang="0">
                <a:pos x="connsiteX7426" y="connsiteY7426"/>
              </a:cxn>
              <a:cxn ang="0">
                <a:pos x="connsiteX7427" y="connsiteY7427"/>
              </a:cxn>
              <a:cxn ang="0">
                <a:pos x="connsiteX7428" y="connsiteY7428"/>
              </a:cxn>
              <a:cxn ang="0">
                <a:pos x="connsiteX7429" y="connsiteY7429"/>
              </a:cxn>
              <a:cxn ang="0">
                <a:pos x="connsiteX7430" y="connsiteY7430"/>
              </a:cxn>
              <a:cxn ang="0">
                <a:pos x="connsiteX7431" y="connsiteY7431"/>
              </a:cxn>
              <a:cxn ang="0">
                <a:pos x="connsiteX7432" y="connsiteY7432"/>
              </a:cxn>
              <a:cxn ang="0">
                <a:pos x="connsiteX7433" y="connsiteY7433"/>
              </a:cxn>
              <a:cxn ang="0">
                <a:pos x="connsiteX7434" y="connsiteY7434"/>
              </a:cxn>
              <a:cxn ang="0">
                <a:pos x="connsiteX7435" y="connsiteY7435"/>
              </a:cxn>
              <a:cxn ang="0">
                <a:pos x="connsiteX7436" y="connsiteY7436"/>
              </a:cxn>
              <a:cxn ang="0">
                <a:pos x="connsiteX7437" y="connsiteY7437"/>
              </a:cxn>
              <a:cxn ang="0">
                <a:pos x="connsiteX7438" y="connsiteY7438"/>
              </a:cxn>
              <a:cxn ang="0">
                <a:pos x="connsiteX7439" y="connsiteY7439"/>
              </a:cxn>
              <a:cxn ang="0">
                <a:pos x="connsiteX7440" y="connsiteY7440"/>
              </a:cxn>
              <a:cxn ang="0">
                <a:pos x="connsiteX7441" y="connsiteY7441"/>
              </a:cxn>
              <a:cxn ang="0">
                <a:pos x="connsiteX7442" y="connsiteY7442"/>
              </a:cxn>
              <a:cxn ang="0">
                <a:pos x="connsiteX7443" y="connsiteY7443"/>
              </a:cxn>
              <a:cxn ang="0">
                <a:pos x="connsiteX7444" y="connsiteY7444"/>
              </a:cxn>
              <a:cxn ang="0">
                <a:pos x="connsiteX7445" y="connsiteY7445"/>
              </a:cxn>
              <a:cxn ang="0">
                <a:pos x="connsiteX7446" y="connsiteY7446"/>
              </a:cxn>
              <a:cxn ang="0">
                <a:pos x="connsiteX7447" y="connsiteY7447"/>
              </a:cxn>
              <a:cxn ang="0">
                <a:pos x="connsiteX7448" y="connsiteY7448"/>
              </a:cxn>
              <a:cxn ang="0">
                <a:pos x="connsiteX7449" y="connsiteY7449"/>
              </a:cxn>
              <a:cxn ang="0">
                <a:pos x="connsiteX7450" y="connsiteY7450"/>
              </a:cxn>
              <a:cxn ang="0">
                <a:pos x="connsiteX7451" y="connsiteY7451"/>
              </a:cxn>
              <a:cxn ang="0">
                <a:pos x="connsiteX7452" y="connsiteY7452"/>
              </a:cxn>
              <a:cxn ang="0">
                <a:pos x="connsiteX7453" y="connsiteY7453"/>
              </a:cxn>
              <a:cxn ang="0">
                <a:pos x="connsiteX7454" y="connsiteY7454"/>
              </a:cxn>
              <a:cxn ang="0">
                <a:pos x="connsiteX7455" y="connsiteY7455"/>
              </a:cxn>
              <a:cxn ang="0">
                <a:pos x="connsiteX7456" y="connsiteY7456"/>
              </a:cxn>
              <a:cxn ang="0">
                <a:pos x="connsiteX7457" y="connsiteY7457"/>
              </a:cxn>
              <a:cxn ang="0">
                <a:pos x="connsiteX7458" y="connsiteY7458"/>
              </a:cxn>
              <a:cxn ang="0">
                <a:pos x="connsiteX7459" y="connsiteY7459"/>
              </a:cxn>
              <a:cxn ang="0">
                <a:pos x="connsiteX7460" y="connsiteY7460"/>
              </a:cxn>
              <a:cxn ang="0">
                <a:pos x="connsiteX7461" y="connsiteY7461"/>
              </a:cxn>
              <a:cxn ang="0">
                <a:pos x="connsiteX7462" y="connsiteY7462"/>
              </a:cxn>
              <a:cxn ang="0">
                <a:pos x="connsiteX7463" y="connsiteY7463"/>
              </a:cxn>
              <a:cxn ang="0">
                <a:pos x="connsiteX7464" y="connsiteY7464"/>
              </a:cxn>
              <a:cxn ang="0">
                <a:pos x="connsiteX7465" y="connsiteY7465"/>
              </a:cxn>
              <a:cxn ang="0">
                <a:pos x="connsiteX7466" y="connsiteY7466"/>
              </a:cxn>
              <a:cxn ang="0">
                <a:pos x="connsiteX7467" y="connsiteY7467"/>
              </a:cxn>
              <a:cxn ang="0">
                <a:pos x="connsiteX7468" y="connsiteY7468"/>
              </a:cxn>
              <a:cxn ang="0">
                <a:pos x="connsiteX7469" y="connsiteY7469"/>
              </a:cxn>
              <a:cxn ang="0">
                <a:pos x="connsiteX7470" y="connsiteY7470"/>
              </a:cxn>
              <a:cxn ang="0">
                <a:pos x="connsiteX7471" y="connsiteY7471"/>
              </a:cxn>
              <a:cxn ang="0">
                <a:pos x="connsiteX7472" y="connsiteY7472"/>
              </a:cxn>
              <a:cxn ang="0">
                <a:pos x="connsiteX7473" y="connsiteY7473"/>
              </a:cxn>
              <a:cxn ang="0">
                <a:pos x="connsiteX7474" y="connsiteY7474"/>
              </a:cxn>
              <a:cxn ang="0">
                <a:pos x="connsiteX7475" y="connsiteY7475"/>
              </a:cxn>
              <a:cxn ang="0">
                <a:pos x="connsiteX7476" y="connsiteY7476"/>
              </a:cxn>
              <a:cxn ang="0">
                <a:pos x="connsiteX7477" y="connsiteY7477"/>
              </a:cxn>
              <a:cxn ang="0">
                <a:pos x="connsiteX7478" y="connsiteY7478"/>
              </a:cxn>
              <a:cxn ang="0">
                <a:pos x="connsiteX7479" y="connsiteY7479"/>
              </a:cxn>
              <a:cxn ang="0">
                <a:pos x="connsiteX7480" y="connsiteY7480"/>
              </a:cxn>
              <a:cxn ang="0">
                <a:pos x="connsiteX7481" y="connsiteY7481"/>
              </a:cxn>
              <a:cxn ang="0">
                <a:pos x="connsiteX7482" y="connsiteY7482"/>
              </a:cxn>
              <a:cxn ang="0">
                <a:pos x="connsiteX7483" y="connsiteY7483"/>
              </a:cxn>
              <a:cxn ang="0">
                <a:pos x="connsiteX7484" y="connsiteY7484"/>
              </a:cxn>
              <a:cxn ang="0">
                <a:pos x="connsiteX7485" y="connsiteY7485"/>
              </a:cxn>
              <a:cxn ang="0">
                <a:pos x="connsiteX7486" y="connsiteY7486"/>
              </a:cxn>
              <a:cxn ang="0">
                <a:pos x="connsiteX7487" y="connsiteY7487"/>
              </a:cxn>
              <a:cxn ang="0">
                <a:pos x="connsiteX7488" y="connsiteY7488"/>
              </a:cxn>
              <a:cxn ang="0">
                <a:pos x="connsiteX7489" y="connsiteY7489"/>
              </a:cxn>
              <a:cxn ang="0">
                <a:pos x="connsiteX7490" y="connsiteY7490"/>
              </a:cxn>
              <a:cxn ang="0">
                <a:pos x="connsiteX7491" y="connsiteY7491"/>
              </a:cxn>
              <a:cxn ang="0">
                <a:pos x="connsiteX7492" y="connsiteY7492"/>
              </a:cxn>
              <a:cxn ang="0">
                <a:pos x="connsiteX7493" y="connsiteY7493"/>
              </a:cxn>
              <a:cxn ang="0">
                <a:pos x="connsiteX7494" y="connsiteY7494"/>
              </a:cxn>
              <a:cxn ang="0">
                <a:pos x="connsiteX7495" y="connsiteY7495"/>
              </a:cxn>
              <a:cxn ang="0">
                <a:pos x="connsiteX7496" y="connsiteY7496"/>
              </a:cxn>
              <a:cxn ang="0">
                <a:pos x="connsiteX7497" y="connsiteY7497"/>
              </a:cxn>
              <a:cxn ang="0">
                <a:pos x="connsiteX7498" y="connsiteY7498"/>
              </a:cxn>
              <a:cxn ang="0">
                <a:pos x="connsiteX7499" y="connsiteY7499"/>
              </a:cxn>
              <a:cxn ang="0">
                <a:pos x="connsiteX7500" y="connsiteY7500"/>
              </a:cxn>
              <a:cxn ang="0">
                <a:pos x="connsiteX7501" y="connsiteY7501"/>
              </a:cxn>
              <a:cxn ang="0">
                <a:pos x="connsiteX7502" y="connsiteY7502"/>
              </a:cxn>
              <a:cxn ang="0">
                <a:pos x="connsiteX7503" y="connsiteY7503"/>
              </a:cxn>
              <a:cxn ang="0">
                <a:pos x="connsiteX7504" y="connsiteY7504"/>
              </a:cxn>
              <a:cxn ang="0">
                <a:pos x="connsiteX7505" y="connsiteY7505"/>
              </a:cxn>
              <a:cxn ang="0">
                <a:pos x="connsiteX7506" y="connsiteY7506"/>
              </a:cxn>
              <a:cxn ang="0">
                <a:pos x="connsiteX7507" y="connsiteY7507"/>
              </a:cxn>
              <a:cxn ang="0">
                <a:pos x="connsiteX7508" y="connsiteY7508"/>
              </a:cxn>
              <a:cxn ang="0">
                <a:pos x="connsiteX7509" y="connsiteY7509"/>
              </a:cxn>
              <a:cxn ang="0">
                <a:pos x="connsiteX7510" y="connsiteY7510"/>
              </a:cxn>
              <a:cxn ang="0">
                <a:pos x="connsiteX7511" y="connsiteY7511"/>
              </a:cxn>
              <a:cxn ang="0">
                <a:pos x="connsiteX7512" y="connsiteY7512"/>
              </a:cxn>
              <a:cxn ang="0">
                <a:pos x="connsiteX7513" y="connsiteY7513"/>
              </a:cxn>
              <a:cxn ang="0">
                <a:pos x="connsiteX7514" y="connsiteY7514"/>
              </a:cxn>
              <a:cxn ang="0">
                <a:pos x="connsiteX7515" y="connsiteY7515"/>
              </a:cxn>
              <a:cxn ang="0">
                <a:pos x="connsiteX7516" y="connsiteY7516"/>
              </a:cxn>
              <a:cxn ang="0">
                <a:pos x="connsiteX7517" y="connsiteY7517"/>
              </a:cxn>
              <a:cxn ang="0">
                <a:pos x="connsiteX7518" y="connsiteY7518"/>
              </a:cxn>
              <a:cxn ang="0">
                <a:pos x="connsiteX7519" y="connsiteY7519"/>
              </a:cxn>
              <a:cxn ang="0">
                <a:pos x="connsiteX7520" y="connsiteY7520"/>
              </a:cxn>
              <a:cxn ang="0">
                <a:pos x="connsiteX7521" y="connsiteY7521"/>
              </a:cxn>
              <a:cxn ang="0">
                <a:pos x="connsiteX7522" y="connsiteY7522"/>
              </a:cxn>
              <a:cxn ang="0">
                <a:pos x="connsiteX7523" y="connsiteY7523"/>
              </a:cxn>
              <a:cxn ang="0">
                <a:pos x="connsiteX7524" y="connsiteY7524"/>
              </a:cxn>
              <a:cxn ang="0">
                <a:pos x="connsiteX7525" y="connsiteY7525"/>
              </a:cxn>
              <a:cxn ang="0">
                <a:pos x="connsiteX7526" y="connsiteY7526"/>
              </a:cxn>
              <a:cxn ang="0">
                <a:pos x="connsiteX7527" y="connsiteY7527"/>
              </a:cxn>
              <a:cxn ang="0">
                <a:pos x="connsiteX7528" y="connsiteY7528"/>
              </a:cxn>
              <a:cxn ang="0">
                <a:pos x="connsiteX7529" y="connsiteY7529"/>
              </a:cxn>
              <a:cxn ang="0">
                <a:pos x="connsiteX7530" y="connsiteY7530"/>
              </a:cxn>
              <a:cxn ang="0">
                <a:pos x="connsiteX7531" y="connsiteY7531"/>
              </a:cxn>
              <a:cxn ang="0">
                <a:pos x="connsiteX7532" y="connsiteY7532"/>
              </a:cxn>
              <a:cxn ang="0">
                <a:pos x="connsiteX7533" y="connsiteY7533"/>
              </a:cxn>
              <a:cxn ang="0">
                <a:pos x="connsiteX7534" y="connsiteY7534"/>
              </a:cxn>
              <a:cxn ang="0">
                <a:pos x="connsiteX7535" y="connsiteY7535"/>
              </a:cxn>
              <a:cxn ang="0">
                <a:pos x="connsiteX7536" y="connsiteY7536"/>
              </a:cxn>
              <a:cxn ang="0">
                <a:pos x="connsiteX7537" y="connsiteY7537"/>
              </a:cxn>
              <a:cxn ang="0">
                <a:pos x="connsiteX7538" y="connsiteY7538"/>
              </a:cxn>
              <a:cxn ang="0">
                <a:pos x="connsiteX7539" y="connsiteY7539"/>
              </a:cxn>
              <a:cxn ang="0">
                <a:pos x="connsiteX7540" y="connsiteY7540"/>
              </a:cxn>
              <a:cxn ang="0">
                <a:pos x="connsiteX7541" y="connsiteY7541"/>
              </a:cxn>
              <a:cxn ang="0">
                <a:pos x="connsiteX7542" y="connsiteY7542"/>
              </a:cxn>
              <a:cxn ang="0">
                <a:pos x="connsiteX7543" y="connsiteY7543"/>
              </a:cxn>
              <a:cxn ang="0">
                <a:pos x="connsiteX7544" y="connsiteY7544"/>
              </a:cxn>
              <a:cxn ang="0">
                <a:pos x="connsiteX7545" y="connsiteY7545"/>
              </a:cxn>
              <a:cxn ang="0">
                <a:pos x="connsiteX7546" y="connsiteY7546"/>
              </a:cxn>
              <a:cxn ang="0">
                <a:pos x="connsiteX7547" y="connsiteY7547"/>
              </a:cxn>
              <a:cxn ang="0">
                <a:pos x="connsiteX7548" y="connsiteY7548"/>
              </a:cxn>
              <a:cxn ang="0">
                <a:pos x="connsiteX7549" y="connsiteY7549"/>
              </a:cxn>
              <a:cxn ang="0">
                <a:pos x="connsiteX7550" y="connsiteY7550"/>
              </a:cxn>
              <a:cxn ang="0">
                <a:pos x="connsiteX7551" y="connsiteY7551"/>
              </a:cxn>
              <a:cxn ang="0">
                <a:pos x="connsiteX7552" y="connsiteY7552"/>
              </a:cxn>
              <a:cxn ang="0">
                <a:pos x="connsiteX7553" y="connsiteY7553"/>
              </a:cxn>
              <a:cxn ang="0">
                <a:pos x="connsiteX7554" y="connsiteY7554"/>
              </a:cxn>
              <a:cxn ang="0">
                <a:pos x="connsiteX7555" y="connsiteY7555"/>
              </a:cxn>
              <a:cxn ang="0">
                <a:pos x="connsiteX7556" y="connsiteY7556"/>
              </a:cxn>
              <a:cxn ang="0">
                <a:pos x="connsiteX7557" y="connsiteY7557"/>
              </a:cxn>
              <a:cxn ang="0">
                <a:pos x="connsiteX7558" y="connsiteY7558"/>
              </a:cxn>
              <a:cxn ang="0">
                <a:pos x="connsiteX7559" y="connsiteY7559"/>
              </a:cxn>
              <a:cxn ang="0">
                <a:pos x="connsiteX7560" y="connsiteY7560"/>
              </a:cxn>
              <a:cxn ang="0">
                <a:pos x="connsiteX7561" y="connsiteY7561"/>
              </a:cxn>
              <a:cxn ang="0">
                <a:pos x="connsiteX7562" y="connsiteY7562"/>
              </a:cxn>
              <a:cxn ang="0">
                <a:pos x="connsiteX7563" y="connsiteY7563"/>
              </a:cxn>
              <a:cxn ang="0">
                <a:pos x="connsiteX7564" y="connsiteY7564"/>
              </a:cxn>
              <a:cxn ang="0">
                <a:pos x="connsiteX7565" y="connsiteY7565"/>
              </a:cxn>
              <a:cxn ang="0">
                <a:pos x="connsiteX7566" y="connsiteY7566"/>
              </a:cxn>
              <a:cxn ang="0">
                <a:pos x="connsiteX7567" y="connsiteY7567"/>
              </a:cxn>
              <a:cxn ang="0">
                <a:pos x="connsiteX7568" y="connsiteY7568"/>
              </a:cxn>
              <a:cxn ang="0">
                <a:pos x="connsiteX7569" y="connsiteY7569"/>
              </a:cxn>
              <a:cxn ang="0">
                <a:pos x="connsiteX7570" y="connsiteY7570"/>
              </a:cxn>
              <a:cxn ang="0">
                <a:pos x="connsiteX7571" y="connsiteY7571"/>
              </a:cxn>
              <a:cxn ang="0">
                <a:pos x="connsiteX7572" y="connsiteY7572"/>
              </a:cxn>
              <a:cxn ang="0">
                <a:pos x="connsiteX7573" y="connsiteY7573"/>
              </a:cxn>
              <a:cxn ang="0">
                <a:pos x="connsiteX7574" y="connsiteY7574"/>
              </a:cxn>
              <a:cxn ang="0">
                <a:pos x="connsiteX7575" y="connsiteY7575"/>
              </a:cxn>
              <a:cxn ang="0">
                <a:pos x="connsiteX7576" y="connsiteY7576"/>
              </a:cxn>
              <a:cxn ang="0">
                <a:pos x="connsiteX7577" y="connsiteY7577"/>
              </a:cxn>
              <a:cxn ang="0">
                <a:pos x="connsiteX7578" y="connsiteY7578"/>
              </a:cxn>
              <a:cxn ang="0">
                <a:pos x="connsiteX7579" y="connsiteY7579"/>
              </a:cxn>
              <a:cxn ang="0">
                <a:pos x="connsiteX7580" y="connsiteY7580"/>
              </a:cxn>
              <a:cxn ang="0">
                <a:pos x="connsiteX7581" y="connsiteY7581"/>
              </a:cxn>
              <a:cxn ang="0">
                <a:pos x="connsiteX7582" y="connsiteY7582"/>
              </a:cxn>
              <a:cxn ang="0">
                <a:pos x="connsiteX7583" y="connsiteY7583"/>
              </a:cxn>
              <a:cxn ang="0">
                <a:pos x="connsiteX7584" y="connsiteY7584"/>
              </a:cxn>
              <a:cxn ang="0">
                <a:pos x="connsiteX7585" y="connsiteY7585"/>
              </a:cxn>
              <a:cxn ang="0">
                <a:pos x="connsiteX7586" y="connsiteY7586"/>
              </a:cxn>
              <a:cxn ang="0">
                <a:pos x="connsiteX7587" y="connsiteY7587"/>
              </a:cxn>
              <a:cxn ang="0">
                <a:pos x="connsiteX7588" y="connsiteY7588"/>
              </a:cxn>
              <a:cxn ang="0">
                <a:pos x="connsiteX7589" y="connsiteY7589"/>
              </a:cxn>
              <a:cxn ang="0">
                <a:pos x="connsiteX7590" y="connsiteY7590"/>
              </a:cxn>
              <a:cxn ang="0">
                <a:pos x="connsiteX7591" y="connsiteY7591"/>
              </a:cxn>
              <a:cxn ang="0">
                <a:pos x="connsiteX7592" y="connsiteY7592"/>
              </a:cxn>
              <a:cxn ang="0">
                <a:pos x="connsiteX7593" y="connsiteY7593"/>
              </a:cxn>
              <a:cxn ang="0">
                <a:pos x="connsiteX7594" y="connsiteY7594"/>
              </a:cxn>
              <a:cxn ang="0">
                <a:pos x="connsiteX7595" y="connsiteY7595"/>
              </a:cxn>
              <a:cxn ang="0">
                <a:pos x="connsiteX7596" y="connsiteY7596"/>
              </a:cxn>
              <a:cxn ang="0">
                <a:pos x="connsiteX7597" y="connsiteY7597"/>
              </a:cxn>
              <a:cxn ang="0">
                <a:pos x="connsiteX7598" y="connsiteY7598"/>
              </a:cxn>
              <a:cxn ang="0">
                <a:pos x="connsiteX7599" y="connsiteY7599"/>
              </a:cxn>
              <a:cxn ang="0">
                <a:pos x="connsiteX7600" y="connsiteY7600"/>
              </a:cxn>
              <a:cxn ang="0">
                <a:pos x="connsiteX7601" y="connsiteY7601"/>
              </a:cxn>
              <a:cxn ang="0">
                <a:pos x="connsiteX7602" y="connsiteY7602"/>
              </a:cxn>
              <a:cxn ang="0">
                <a:pos x="connsiteX7603" y="connsiteY7603"/>
              </a:cxn>
              <a:cxn ang="0">
                <a:pos x="connsiteX7604" y="connsiteY7604"/>
              </a:cxn>
              <a:cxn ang="0">
                <a:pos x="connsiteX7605" y="connsiteY7605"/>
              </a:cxn>
              <a:cxn ang="0">
                <a:pos x="connsiteX7606" y="connsiteY7606"/>
              </a:cxn>
              <a:cxn ang="0">
                <a:pos x="connsiteX7607" y="connsiteY7607"/>
              </a:cxn>
              <a:cxn ang="0">
                <a:pos x="connsiteX7608" y="connsiteY7608"/>
              </a:cxn>
              <a:cxn ang="0">
                <a:pos x="connsiteX7609" y="connsiteY7609"/>
              </a:cxn>
              <a:cxn ang="0">
                <a:pos x="connsiteX7610" y="connsiteY7610"/>
              </a:cxn>
              <a:cxn ang="0">
                <a:pos x="connsiteX7611" y="connsiteY7611"/>
              </a:cxn>
              <a:cxn ang="0">
                <a:pos x="connsiteX7612" y="connsiteY7612"/>
              </a:cxn>
              <a:cxn ang="0">
                <a:pos x="connsiteX7613" y="connsiteY7613"/>
              </a:cxn>
              <a:cxn ang="0">
                <a:pos x="connsiteX7614" y="connsiteY7614"/>
              </a:cxn>
              <a:cxn ang="0">
                <a:pos x="connsiteX7615" y="connsiteY7615"/>
              </a:cxn>
              <a:cxn ang="0">
                <a:pos x="connsiteX7616" y="connsiteY7616"/>
              </a:cxn>
              <a:cxn ang="0">
                <a:pos x="connsiteX7617" y="connsiteY7617"/>
              </a:cxn>
              <a:cxn ang="0">
                <a:pos x="connsiteX7618" y="connsiteY7618"/>
              </a:cxn>
              <a:cxn ang="0">
                <a:pos x="connsiteX7619" y="connsiteY7619"/>
              </a:cxn>
              <a:cxn ang="0">
                <a:pos x="connsiteX7620" y="connsiteY7620"/>
              </a:cxn>
              <a:cxn ang="0">
                <a:pos x="connsiteX7621" y="connsiteY7621"/>
              </a:cxn>
              <a:cxn ang="0">
                <a:pos x="connsiteX7622" y="connsiteY7622"/>
              </a:cxn>
              <a:cxn ang="0">
                <a:pos x="connsiteX7623" y="connsiteY7623"/>
              </a:cxn>
              <a:cxn ang="0">
                <a:pos x="connsiteX7624" y="connsiteY7624"/>
              </a:cxn>
              <a:cxn ang="0">
                <a:pos x="connsiteX7625" y="connsiteY7625"/>
              </a:cxn>
              <a:cxn ang="0">
                <a:pos x="connsiteX7626" y="connsiteY7626"/>
              </a:cxn>
              <a:cxn ang="0">
                <a:pos x="connsiteX7627" y="connsiteY7627"/>
              </a:cxn>
              <a:cxn ang="0">
                <a:pos x="connsiteX7628" y="connsiteY7628"/>
              </a:cxn>
              <a:cxn ang="0">
                <a:pos x="connsiteX7629" y="connsiteY7629"/>
              </a:cxn>
              <a:cxn ang="0">
                <a:pos x="connsiteX7630" y="connsiteY7630"/>
              </a:cxn>
              <a:cxn ang="0">
                <a:pos x="connsiteX7631" y="connsiteY7631"/>
              </a:cxn>
              <a:cxn ang="0">
                <a:pos x="connsiteX7632" y="connsiteY7632"/>
              </a:cxn>
              <a:cxn ang="0">
                <a:pos x="connsiteX7633" y="connsiteY7633"/>
              </a:cxn>
              <a:cxn ang="0">
                <a:pos x="connsiteX7634" y="connsiteY7634"/>
              </a:cxn>
              <a:cxn ang="0">
                <a:pos x="connsiteX7635" y="connsiteY7635"/>
              </a:cxn>
              <a:cxn ang="0">
                <a:pos x="connsiteX7636" y="connsiteY7636"/>
              </a:cxn>
              <a:cxn ang="0">
                <a:pos x="connsiteX7637" y="connsiteY7637"/>
              </a:cxn>
              <a:cxn ang="0">
                <a:pos x="connsiteX7638" y="connsiteY7638"/>
              </a:cxn>
              <a:cxn ang="0">
                <a:pos x="connsiteX7639" y="connsiteY7639"/>
              </a:cxn>
              <a:cxn ang="0">
                <a:pos x="connsiteX7640" y="connsiteY7640"/>
              </a:cxn>
              <a:cxn ang="0">
                <a:pos x="connsiteX7641" y="connsiteY7641"/>
              </a:cxn>
              <a:cxn ang="0">
                <a:pos x="connsiteX7642" y="connsiteY7642"/>
              </a:cxn>
              <a:cxn ang="0">
                <a:pos x="connsiteX7643" y="connsiteY7643"/>
              </a:cxn>
              <a:cxn ang="0">
                <a:pos x="connsiteX7644" y="connsiteY7644"/>
              </a:cxn>
              <a:cxn ang="0">
                <a:pos x="connsiteX7645" y="connsiteY7645"/>
              </a:cxn>
              <a:cxn ang="0">
                <a:pos x="connsiteX7646" y="connsiteY7646"/>
              </a:cxn>
              <a:cxn ang="0">
                <a:pos x="connsiteX7647" y="connsiteY7647"/>
              </a:cxn>
              <a:cxn ang="0">
                <a:pos x="connsiteX7648" y="connsiteY7648"/>
              </a:cxn>
              <a:cxn ang="0">
                <a:pos x="connsiteX7649" y="connsiteY7649"/>
              </a:cxn>
              <a:cxn ang="0">
                <a:pos x="connsiteX7650" y="connsiteY7650"/>
              </a:cxn>
              <a:cxn ang="0">
                <a:pos x="connsiteX7651" y="connsiteY7651"/>
              </a:cxn>
              <a:cxn ang="0">
                <a:pos x="connsiteX7652" y="connsiteY7652"/>
              </a:cxn>
              <a:cxn ang="0">
                <a:pos x="connsiteX7653" y="connsiteY7653"/>
              </a:cxn>
              <a:cxn ang="0">
                <a:pos x="connsiteX7654" y="connsiteY7654"/>
              </a:cxn>
              <a:cxn ang="0">
                <a:pos x="connsiteX7655" y="connsiteY7655"/>
              </a:cxn>
              <a:cxn ang="0">
                <a:pos x="connsiteX7656" y="connsiteY7656"/>
              </a:cxn>
              <a:cxn ang="0">
                <a:pos x="connsiteX7657" y="connsiteY7657"/>
              </a:cxn>
              <a:cxn ang="0">
                <a:pos x="connsiteX7658" y="connsiteY7658"/>
              </a:cxn>
              <a:cxn ang="0">
                <a:pos x="connsiteX7659" y="connsiteY7659"/>
              </a:cxn>
              <a:cxn ang="0">
                <a:pos x="connsiteX7660" y="connsiteY7660"/>
              </a:cxn>
              <a:cxn ang="0">
                <a:pos x="connsiteX7661" y="connsiteY7661"/>
              </a:cxn>
              <a:cxn ang="0">
                <a:pos x="connsiteX7662" y="connsiteY7662"/>
              </a:cxn>
              <a:cxn ang="0">
                <a:pos x="connsiteX7663" y="connsiteY7663"/>
              </a:cxn>
              <a:cxn ang="0">
                <a:pos x="connsiteX7664" y="connsiteY7664"/>
              </a:cxn>
              <a:cxn ang="0">
                <a:pos x="connsiteX7665" y="connsiteY7665"/>
              </a:cxn>
              <a:cxn ang="0">
                <a:pos x="connsiteX7666" y="connsiteY7666"/>
              </a:cxn>
              <a:cxn ang="0">
                <a:pos x="connsiteX7667" y="connsiteY7667"/>
              </a:cxn>
              <a:cxn ang="0">
                <a:pos x="connsiteX7668" y="connsiteY7668"/>
              </a:cxn>
              <a:cxn ang="0">
                <a:pos x="connsiteX7669" y="connsiteY7669"/>
              </a:cxn>
              <a:cxn ang="0">
                <a:pos x="connsiteX7670" y="connsiteY7670"/>
              </a:cxn>
              <a:cxn ang="0">
                <a:pos x="connsiteX7671" y="connsiteY7671"/>
              </a:cxn>
              <a:cxn ang="0">
                <a:pos x="connsiteX7672" y="connsiteY7672"/>
              </a:cxn>
              <a:cxn ang="0">
                <a:pos x="connsiteX7673" y="connsiteY7673"/>
              </a:cxn>
              <a:cxn ang="0">
                <a:pos x="connsiteX7674" y="connsiteY7674"/>
              </a:cxn>
              <a:cxn ang="0">
                <a:pos x="connsiteX7675" y="connsiteY7675"/>
              </a:cxn>
              <a:cxn ang="0">
                <a:pos x="connsiteX7676" y="connsiteY7676"/>
              </a:cxn>
              <a:cxn ang="0">
                <a:pos x="connsiteX7677" y="connsiteY7677"/>
              </a:cxn>
              <a:cxn ang="0">
                <a:pos x="connsiteX7678" y="connsiteY7678"/>
              </a:cxn>
              <a:cxn ang="0">
                <a:pos x="connsiteX7679" y="connsiteY7679"/>
              </a:cxn>
              <a:cxn ang="0">
                <a:pos x="connsiteX7680" y="connsiteY7680"/>
              </a:cxn>
              <a:cxn ang="0">
                <a:pos x="connsiteX7681" y="connsiteY7681"/>
              </a:cxn>
              <a:cxn ang="0">
                <a:pos x="connsiteX7682" y="connsiteY7682"/>
              </a:cxn>
              <a:cxn ang="0">
                <a:pos x="connsiteX7683" y="connsiteY7683"/>
              </a:cxn>
              <a:cxn ang="0">
                <a:pos x="connsiteX7684" y="connsiteY7684"/>
              </a:cxn>
              <a:cxn ang="0">
                <a:pos x="connsiteX7685" y="connsiteY7685"/>
              </a:cxn>
              <a:cxn ang="0">
                <a:pos x="connsiteX7686" y="connsiteY7686"/>
              </a:cxn>
              <a:cxn ang="0">
                <a:pos x="connsiteX7687" y="connsiteY7687"/>
              </a:cxn>
              <a:cxn ang="0">
                <a:pos x="connsiteX7688" y="connsiteY7688"/>
              </a:cxn>
              <a:cxn ang="0">
                <a:pos x="connsiteX7689" y="connsiteY7689"/>
              </a:cxn>
              <a:cxn ang="0">
                <a:pos x="connsiteX7690" y="connsiteY7690"/>
              </a:cxn>
              <a:cxn ang="0">
                <a:pos x="connsiteX7691" y="connsiteY7691"/>
              </a:cxn>
              <a:cxn ang="0">
                <a:pos x="connsiteX7692" y="connsiteY7692"/>
              </a:cxn>
              <a:cxn ang="0">
                <a:pos x="connsiteX7693" y="connsiteY7693"/>
              </a:cxn>
              <a:cxn ang="0">
                <a:pos x="connsiteX7694" y="connsiteY7694"/>
              </a:cxn>
              <a:cxn ang="0">
                <a:pos x="connsiteX7695" y="connsiteY7695"/>
              </a:cxn>
              <a:cxn ang="0">
                <a:pos x="connsiteX7696" y="connsiteY7696"/>
              </a:cxn>
              <a:cxn ang="0">
                <a:pos x="connsiteX7697" y="connsiteY7697"/>
              </a:cxn>
              <a:cxn ang="0">
                <a:pos x="connsiteX7698" y="connsiteY7698"/>
              </a:cxn>
              <a:cxn ang="0">
                <a:pos x="connsiteX7699" y="connsiteY7699"/>
              </a:cxn>
              <a:cxn ang="0">
                <a:pos x="connsiteX7700" y="connsiteY7700"/>
              </a:cxn>
              <a:cxn ang="0">
                <a:pos x="connsiteX7701" y="connsiteY7701"/>
              </a:cxn>
              <a:cxn ang="0">
                <a:pos x="connsiteX7702" y="connsiteY7702"/>
              </a:cxn>
              <a:cxn ang="0">
                <a:pos x="connsiteX7703" y="connsiteY7703"/>
              </a:cxn>
              <a:cxn ang="0">
                <a:pos x="connsiteX7704" y="connsiteY7704"/>
              </a:cxn>
              <a:cxn ang="0">
                <a:pos x="connsiteX7705" y="connsiteY7705"/>
              </a:cxn>
              <a:cxn ang="0">
                <a:pos x="connsiteX7706" y="connsiteY7706"/>
              </a:cxn>
              <a:cxn ang="0">
                <a:pos x="connsiteX7707" y="connsiteY7707"/>
              </a:cxn>
              <a:cxn ang="0">
                <a:pos x="connsiteX7708" y="connsiteY7708"/>
              </a:cxn>
              <a:cxn ang="0">
                <a:pos x="connsiteX7709" y="connsiteY7709"/>
              </a:cxn>
              <a:cxn ang="0">
                <a:pos x="connsiteX7710" y="connsiteY7710"/>
              </a:cxn>
              <a:cxn ang="0">
                <a:pos x="connsiteX7711" y="connsiteY7711"/>
              </a:cxn>
              <a:cxn ang="0">
                <a:pos x="connsiteX7712" y="connsiteY7712"/>
              </a:cxn>
              <a:cxn ang="0">
                <a:pos x="connsiteX7713" y="connsiteY7713"/>
              </a:cxn>
              <a:cxn ang="0">
                <a:pos x="connsiteX7714" y="connsiteY7714"/>
              </a:cxn>
              <a:cxn ang="0">
                <a:pos x="connsiteX7715" y="connsiteY7715"/>
              </a:cxn>
              <a:cxn ang="0">
                <a:pos x="connsiteX7716" y="connsiteY7716"/>
              </a:cxn>
              <a:cxn ang="0">
                <a:pos x="connsiteX7717" y="connsiteY7717"/>
              </a:cxn>
              <a:cxn ang="0">
                <a:pos x="connsiteX7718" y="connsiteY7718"/>
              </a:cxn>
              <a:cxn ang="0">
                <a:pos x="connsiteX7719" y="connsiteY7719"/>
              </a:cxn>
              <a:cxn ang="0">
                <a:pos x="connsiteX7720" y="connsiteY7720"/>
              </a:cxn>
              <a:cxn ang="0">
                <a:pos x="connsiteX7721" y="connsiteY7721"/>
              </a:cxn>
              <a:cxn ang="0">
                <a:pos x="connsiteX7722" y="connsiteY7722"/>
              </a:cxn>
              <a:cxn ang="0">
                <a:pos x="connsiteX7723" y="connsiteY7723"/>
              </a:cxn>
              <a:cxn ang="0">
                <a:pos x="connsiteX7724" y="connsiteY7724"/>
              </a:cxn>
              <a:cxn ang="0">
                <a:pos x="connsiteX7725" y="connsiteY7725"/>
              </a:cxn>
              <a:cxn ang="0">
                <a:pos x="connsiteX7726" y="connsiteY7726"/>
              </a:cxn>
              <a:cxn ang="0">
                <a:pos x="connsiteX7727" y="connsiteY7727"/>
              </a:cxn>
              <a:cxn ang="0">
                <a:pos x="connsiteX7728" y="connsiteY7728"/>
              </a:cxn>
              <a:cxn ang="0">
                <a:pos x="connsiteX7729" y="connsiteY7729"/>
              </a:cxn>
              <a:cxn ang="0">
                <a:pos x="connsiteX7730" y="connsiteY7730"/>
              </a:cxn>
              <a:cxn ang="0">
                <a:pos x="connsiteX7731" y="connsiteY7731"/>
              </a:cxn>
              <a:cxn ang="0">
                <a:pos x="connsiteX7732" y="connsiteY7732"/>
              </a:cxn>
              <a:cxn ang="0">
                <a:pos x="connsiteX7733" y="connsiteY7733"/>
              </a:cxn>
              <a:cxn ang="0">
                <a:pos x="connsiteX7734" y="connsiteY7734"/>
              </a:cxn>
              <a:cxn ang="0">
                <a:pos x="connsiteX7735" y="connsiteY7735"/>
              </a:cxn>
              <a:cxn ang="0">
                <a:pos x="connsiteX7736" y="connsiteY7736"/>
              </a:cxn>
              <a:cxn ang="0">
                <a:pos x="connsiteX7737" y="connsiteY7737"/>
              </a:cxn>
              <a:cxn ang="0">
                <a:pos x="connsiteX7738" y="connsiteY7738"/>
              </a:cxn>
              <a:cxn ang="0">
                <a:pos x="connsiteX7739" y="connsiteY7739"/>
              </a:cxn>
              <a:cxn ang="0">
                <a:pos x="connsiteX7740" y="connsiteY7740"/>
              </a:cxn>
              <a:cxn ang="0">
                <a:pos x="connsiteX7741" y="connsiteY7741"/>
              </a:cxn>
              <a:cxn ang="0">
                <a:pos x="connsiteX7742" y="connsiteY7742"/>
              </a:cxn>
              <a:cxn ang="0">
                <a:pos x="connsiteX7743" y="connsiteY7743"/>
              </a:cxn>
              <a:cxn ang="0">
                <a:pos x="connsiteX7744" y="connsiteY7744"/>
              </a:cxn>
              <a:cxn ang="0">
                <a:pos x="connsiteX7745" y="connsiteY7745"/>
              </a:cxn>
              <a:cxn ang="0">
                <a:pos x="connsiteX7746" y="connsiteY7746"/>
              </a:cxn>
              <a:cxn ang="0">
                <a:pos x="connsiteX7747" y="connsiteY7747"/>
              </a:cxn>
              <a:cxn ang="0">
                <a:pos x="connsiteX7748" y="connsiteY7748"/>
              </a:cxn>
              <a:cxn ang="0">
                <a:pos x="connsiteX7749" y="connsiteY7749"/>
              </a:cxn>
              <a:cxn ang="0">
                <a:pos x="connsiteX7750" y="connsiteY7750"/>
              </a:cxn>
              <a:cxn ang="0">
                <a:pos x="connsiteX7751" y="connsiteY7751"/>
              </a:cxn>
              <a:cxn ang="0">
                <a:pos x="connsiteX7752" y="connsiteY7752"/>
              </a:cxn>
              <a:cxn ang="0">
                <a:pos x="connsiteX7753" y="connsiteY7753"/>
              </a:cxn>
              <a:cxn ang="0">
                <a:pos x="connsiteX7754" y="connsiteY7754"/>
              </a:cxn>
              <a:cxn ang="0">
                <a:pos x="connsiteX7755" y="connsiteY7755"/>
              </a:cxn>
              <a:cxn ang="0">
                <a:pos x="connsiteX7756" y="connsiteY7756"/>
              </a:cxn>
              <a:cxn ang="0">
                <a:pos x="connsiteX7757" y="connsiteY7757"/>
              </a:cxn>
              <a:cxn ang="0">
                <a:pos x="connsiteX7758" y="connsiteY7758"/>
              </a:cxn>
              <a:cxn ang="0">
                <a:pos x="connsiteX7759" y="connsiteY7759"/>
              </a:cxn>
              <a:cxn ang="0">
                <a:pos x="connsiteX7760" y="connsiteY7760"/>
              </a:cxn>
              <a:cxn ang="0">
                <a:pos x="connsiteX7761" y="connsiteY7761"/>
              </a:cxn>
              <a:cxn ang="0">
                <a:pos x="connsiteX7762" y="connsiteY7762"/>
              </a:cxn>
              <a:cxn ang="0">
                <a:pos x="connsiteX7763" y="connsiteY7763"/>
              </a:cxn>
              <a:cxn ang="0">
                <a:pos x="connsiteX7764" y="connsiteY7764"/>
              </a:cxn>
              <a:cxn ang="0">
                <a:pos x="connsiteX7765" y="connsiteY7765"/>
              </a:cxn>
              <a:cxn ang="0">
                <a:pos x="connsiteX7766" y="connsiteY7766"/>
              </a:cxn>
              <a:cxn ang="0">
                <a:pos x="connsiteX7767" y="connsiteY7767"/>
              </a:cxn>
              <a:cxn ang="0">
                <a:pos x="connsiteX7768" y="connsiteY7768"/>
              </a:cxn>
              <a:cxn ang="0">
                <a:pos x="connsiteX7769" y="connsiteY7769"/>
              </a:cxn>
              <a:cxn ang="0">
                <a:pos x="connsiteX7770" y="connsiteY7770"/>
              </a:cxn>
              <a:cxn ang="0">
                <a:pos x="connsiteX7771" y="connsiteY7771"/>
              </a:cxn>
              <a:cxn ang="0">
                <a:pos x="connsiteX7772" y="connsiteY7772"/>
              </a:cxn>
              <a:cxn ang="0">
                <a:pos x="connsiteX7773" y="connsiteY7773"/>
              </a:cxn>
              <a:cxn ang="0">
                <a:pos x="connsiteX7774" y="connsiteY7774"/>
              </a:cxn>
              <a:cxn ang="0">
                <a:pos x="connsiteX7775" y="connsiteY7775"/>
              </a:cxn>
              <a:cxn ang="0">
                <a:pos x="connsiteX7776" y="connsiteY7776"/>
              </a:cxn>
              <a:cxn ang="0">
                <a:pos x="connsiteX7777" y="connsiteY7777"/>
              </a:cxn>
              <a:cxn ang="0">
                <a:pos x="connsiteX7778" y="connsiteY7778"/>
              </a:cxn>
              <a:cxn ang="0">
                <a:pos x="connsiteX7779" y="connsiteY7779"/>
              </a:cxn>
              <a:cxn ang="0">
                <a:pos x="connsiteX7780" y="connsiteY7780"/>
              </a:cxn>
              <a:cxn ang="0">
                <a:pos x="connsiteX7781" y="connsiteY7781"/>
              </a:cxn>
              <a:cxn ang="0">
                <a:pos x="connsiteX7782" y="connsiteY7782"/>
              </a:cxn>
              <a:cxn ang="0">
                <a:pos x="connsiteX7783" y="connsiteY7783"/>
              </a:cxn>
              <a:cxn ang="0">
                <a:pos x="connsiteX7784" y="connsiteY7784"/>
              </a:cxn>
              <a:cxn ang="0">
                <a:pos x="connsiteX7785" y="connsiteY7785"/>
              </a:cxn>
              <a:cxn ang="0">
                <a:pos x="connsiteX7786" y="connsiteY7786"/>
              </a:cxn>
              <a:cxn ang="0">
                <a:pos x="connsiteX7787" y="connsiteY7787"/>
              </a:cxn>
              <a:cxn ang="0">
                <a:pos x="connsiteX7788" y="connsiteY7788"/>
              </a:cxn>
              <a:cxn ang="0">
                <a:pos x="connsiteX7789" y="connsiteY7789"/>
              </a:cxn>
              <a:cxn ang="0">
                <a:pos x="connsiteX7790" y="connsiteY7790"/>
              </a:cxn>
              <a:cxn ang="0">
                <a:pos x="connsiteX7791" y="connsiteY7791"/>
              </a:cxn>
              <a:cxn ang="0">
                <a:pos x="connsiteX7792" y="connsiteY7792"/>
              </a:cxn>
              <a:cxn ang="0">
                <a:pos x="connsiteX7793" y="connsiteY7793"/>
              </a:cxn>
              <a:cxn ang="0">
                <a:pos x="connsiteX7794" y="connsiteY7794"/>
              </a:cxn>
              <a:cxn ang="0">
                <a:pos x="connsiteX7795" y="connsiteY7795"/>
              </a:cxn>
              <a:cxn ang="0">
                <a:pos x="connsiteX7796" y="connsiteY7796"/>
              </a:cxn>
              <a:cxn ang="0">
                <a:pos x="connsiteX7797" y="connsiteY7797"/>
              </a:cxn>
              <a:cxn ang="0">
                <a:pos x="connsiteX7798" y="connsiteY7798"/>
              </a:cxn>
              <a:cxn ang="0">
                <a:pos x="connsiteX7799" y="connsiteY7799"/>
              </a:cxn>
              <a:cxn ang="0">
                <a:pos x="connsiteX7800" y="connsiteY7800"/>
              </a:cxn>
              <a:cxn ang="0">
                <a:pos x="connsiteX7801" y="connsiteY7801"/>
              </a:cxn>
              <a:cxn ang="0">
                <a:pos x="connsiteX7802" y="connsiteY7802"/>
              </a:cxn>
              <a:cxn ang="0">
                <a:pos x="connsiteX7803" y="connsiteY7803"/>
              </a:cxn>
              <a:cxn ang="0">
                <a:pos x="connsiteX7804" y="connsiteY7804"/>
              </a:cxn>
              <a:cxn ang="0">
                <a:pos x="connsiteX7805" y="connsiteY7805"/>
              </a:cxn>
              <a:cxn ang="0">
                <a:pos x="connsiteX7806" y="connsiteY7806"/>
              </a:cxn>
              <a:cxn ang="0">
                <a:pos x="connsiteX7807" y="connsiteY7807"/>
              </a:cxn>
              <a:cxn ang="0">
                <a:pos x="connsiteX7808" y="connsiteY7808"/>
              </a:cxn>
              <a:cxn ang="0">
                <a:pos x="connsiteX7809" y="connsiteY7809"/>
              </a:cxn>
              <a:cxn ang="0">
                <a:pos x="connsiteX7810" y="connsiteY7810"/>
              </a:cxn>
              <a:cxn ang="0">
                <a:pos x="connsiteX7811" y="connsiteY7811"/>
              </a:cxn>
              <a:cxn ang="0">
                <a:pos x="connsiteX7812" y="connsiteY7812"/>
              </a:cxn>
              <a:cxn ang="0">
                <a:pos x="connsiteX7813" y="connsiteY7813"/>
              </a:cxn>
              <a:cxn ang="0">
                <a:pos x="connsiteX7814" y="connsiteY7814"/>
              </a:cxn>
              <a:cxn ang="0">
                <a:pos x="connsiteX7815" y="connsiteY7815"/>
              </a:cxn>
              <a:cxn ang="0">
                <a:pos x="connsiteX7816" y="connsiteY7816"/>
              </a:cxn>
              <a:cxn ang="0">
                <a:pos x="connsiteX7817" y="connsiteY7817"/>
              </a:cxn>
              <a:cxn ang="0">
                <a:pos x="connsiteX7818" y="connsiteY7818"/>
              </a:cxn>
              <a:cxn ang="0">
                <a:pos x="connsiteX7819" y="connsiteY7819"/>
              </a:cxn>
              <a:cxn ang="0">
                <a:pos x="connsiteX7820" y="connsiteY7820"/>
              </a:cxn>
              <a:cxn ang="0">
                <a:pos x="connsiteX7821" y="connsiteY7821"/>
              </a:cxn>
              <a:cxn ang="0">
                <a:pos x="connsiteX7822" y="connsiteY7822"/>
              </a:cxn>
              <a:cxn ang="0">
                <a:pos x="connsiteX7823" y="connsiteY7823"/>
              </a:cxn>
              <a:cxn ang="0">
                <a:pos x="connsiteX7824" y="connsiteY7824"/>
              </a:cxn>
              <a:cxn ang="0">
                <a:pos x="connsiteX7825" y="connsiteY7825"/>
              </a:cxn>
              <a:cxn ang="0">
                <a:pos x="connsiteX7826" y="connsiteY7826"/>
              </a:cxn>
              <a:cxn ang="0">
                <a:pos x="connsiteX7827" y="connsiteY7827"/>
              </a:cxn>
              <a:cxn ang="0">
                <a:pos x="connsiteX7828" y="connsiteY7828"/>
              </a:cxn>
              <a:cxn ang="0">
                <a:pos x="connsiteX7829" y="connsiteY7829"/>
              </a:cxn>
              <a:cxn ang="0">
                <a:pos x="connsiteX7830" y="connsiteY7830"/>
              </a:cxn>
              <a:cxn ang="0">
                <a:pos x="connsiteX7831" y="connsiteY7831"/>
              </a:cxn>
              <a:cxn ang="0">
                <a:pos x="connsiteX7832" y="connsiteY7832"/>
              </a:cxn>
              <a:cxn ang="0">
                <a:pos x="connsiteX7833" y="connsiteY7833"/>
              </a:cxn>
              <a:cxn ang="0">
                <a:pos x="connsiteX7834" y="connsiteY7834"/>
              </a:cxn>
              <a:cxn ang="0">
                <a:pos x="connsiteX7835" y="connsiteY7835"/>
              </a:cxn>
              <a:cxn ang="0">
                <a:pos x="connsiteX7836" y="connsiteY7836"/>
              </a:cxn>
              <a:cxn ang="0">
                <a:pos x="connsiteX7837" y="connsiteY7837"/>
              </a:cxn>
              <a:cxn ang="0">
                <a:pos x="connsiteX7838" y="connsiteY7838"/>
              </a:cxn>
              <a:cxn ang="0">
                <a:pos x="connsiteX7839" y="connsiteY7839"/>
              </a:cxn>
              <a:cxn ang="0">
                <a:pos x="connsiteX7840" y="connsiteY7840"/>
              </a:cxn>
              <a:cxn ang="0">
                <a:pos x="connsiteX7841" y="connsiteY7841"/>
              </a:cxn>
              <a:cxn ang="0">
                <a:pos x="connsiteX7842" y="connsiteY7842"/>
              </a:cxn>
              <a:cxn ang="0">
                <a:pos x="connsiteX7843" y="connsiteY7843"/>
              </a:cxn>
              <a:cxn ang="0">
                <a:pos x="connsiteX7844" y="connsiteY7844"/>
              </a:cxn>
              <a:cxn ang="0">
                <a:pos x="connsiteX7845" y="connsiteY7845"/>
              </a:cxn>
              <a:cxn ang="0">
                <a:pos x="connsiteX7846" y="connsiteY7846"/>
              </a:cxn>
              <a:cxn ang="0">
                <a:pos x="connsiteX7847" y="connsiteY7847"/>
              </a:cxn>
              <a:cxn ang="0">
                <a:pos x="connsiteX7848" y="connsiteY7848"/>
              </a:cxn>
              <a:cxn ang="0">
                <a:pos x="connsiteX7849" y="connsiteY7849"/>
              </a:cxn>
              <a:cxn ang="0">
                <a:pos x="connsiteX7850" y="connsiteY7850"/>
              </a:cxn>
              <a:cxn ang="0">
                <a:pos x="connsiteX7851" y="connsiteY7851"/>
              </a:cxn>
              <a:cxn ang="0">
                <a:pos x="connsiteX7852" y="connsiteY7852"/>
              </a:cxn>
              <a:cxn ang="0">
                <a:pos x="connsiteX7853" y="connsiteY7853"/>
              </a:cxn>
              <a:cxn ang="0">
                <a:pos x="connsiteX7854" y="connsiteY7854"/>
              </a:cxn>
              <a:cxn ang="0">
                <a:pos x="connsiteX7855" y="connsiteY7855"/>
              </a:cxn>
              <a:cxn ang="0">
                <a:pos x="connsiteX7856" y="connsiteY7856"/>
              </a:cxn>
              <a:cxn ang="0">
                <a:pos x="connsiteX7857" y="connsiteY7857"/>
              </a:cxn>
              <a:cxn ang="0">
                <a:pos x="connsiteX7858" y="connsiteY7858"/>
              </a:cxn>
              <a:cxn ang="0">
                <a:pos x="connsiteX7859" y="connsiteY7859"/>
              </a:cxn>
              <a:cxn ang="0">
                <a:pos x="connsiteX7860" y="connsiteY7860"/>
              </a:cxn>
              <a:cxn ang="0">
                <a:pos x="connsiteX7861" y="connsiteY7861"/>
              </a:cxn>
              <a:cxn ang="0">
                <a:pos x="connsiteX7862" y="connsiteY7862"/>
              </a:cxn>
              <a:cxn ang="0">
                <a:pos x="connsiteX7863" y="connsiteY7863"/>
              </a:cxn>
              <a:cxn ang="0">
                <a:pos x="connsiteX7864" y="connsiteY7864"/>
              </a:cxn>
              <a:cxn ang="0">
                <a:pos x="connsiteX7865" y="connsiteY7865"/>
              </a:cxn>
              <a:cxn ang="0">
                <a:pos x="connsiteX7866" y="connsiteY7866"/>
              </a:cxn>
              <a:cxn ang="0">
                <a:pos x="connsiteX7867" y="connsiteY7867"/>
              </a:cxn>
              <a:cxn ang="0">
                <a:pos x="connsiteX7868" y="connsiteY7868"/>
              </a:cxn>
              <a:cxn ang="0">
                <a:pos x="connsiteX7869" y="connsiteY7869"/>
              </a:cxn>
              <a:cxn ang="0">
                <a:pos x="connsiteX7870" y="connsiteY7870"/>
              </a:cxn>
              <a:cxn ang="0">
                <a:pos x="connsiteX7871" y="connsiteY7871"/>
              </a:cxn>
              <a:cxn ang="0">
                <a:pos x="connsiteX7872" y="connsiteY7872"/>
              </a:cxn>
              <a:cxn ang="0">
                <a:pos x="connsiteX7873" y="connsiteY7873"/>
              </a:cxn>
              <a:cxn ang="0">
                <a:pos x="connsiteX7874" y="connsiteY7874"/>
              </a:cxn>
              <a:cxn ang="0">
                <a:pos x="connsiteX7875" y="connsiteY7875"/>
              </a:cxn>
              <a:cxn ang="0">
                <a:pos x="connsiteX7876" y="connsiteY7876"/>
              </a:cxn>
              <a:cxn ang="0">
                <a:pos x="connsiteX7877" y="connsiteY7877"/>
              </a:cxn>
              <a:cxn ang="0">
                <a:pos x="connsiteX7878" y="connsiteY7878"/>
              </a:cxn>
              <a:cxn ang="0">
                <a:pos x="connsiteX7879" y="connsiteY7879"/>
              </a:cxn>
              <a:cxn ang="0">
                <a:pos x="connsiteX7880" y="connsiteY7880"/>
              </a:cxn>
              <a:cxn ang="0">
                <a:pos x="connsiteX7881" y="connsiteY7881"/>
              </a:cxn>
              <a:cxn ang="0">
                <a:pos x="connsiteX7882" y="connsiteY7882"/>
              </a:cxn>
              <a:cxn ang="0">
                <a:pos x="connsiteX7883" y="connsiteY7883"/>
              </a:cxn>
              <a:cxn ang="0">
                <a:pos x="connsiteX7884" y="connsiteY7884"/>
              </a:cxn>
              <a:cxn ang="0">
                <a:pos x="connsiteX7885" y="connsiteY7885"/>
              </a:cxn>
              <a:cxn ang="0">
                <a:pos x="connsiteX7886" y="connsiteY7886"/>
              </a:cxn>
              <a:cxn ang="0">
                <a:pos x="connsiteX7887" y="connsiteY7887"/>
              </a:cxn>
              <a:cxn ang="0">
                <a:pos x="connsiteX7888" y="connsiteY7888"/>
              </a:cxn>
              <a:cxn ang="0">
                <a:pos x="connsiteX7889" y="connsiteY7889"/>
              </a:cxn>
              <a:cxn ang="0">
                <a:pos x="connsiteX7890" y="connsiteY7890"/>
              </a:cxn>
              <a:cxn ang="0">
                <a:pos x="connsiteX7891" y="connsiteY7891"/>
              </a:cxn>
              <a:cxn ang="0">
                <a:pos x="connsiteX7892" y="connsiteY7892"/>
              </a:cxn>
              <a:cxn ang="0">
                <a:pos x="connsiteX7893" y="connsiteY7893"/>
              </a:cxn>
              <a:cxn ang="0">
                <a:pos x="connsiteX7894" y="connsiteY7894"/>
              </a:cxn>
              <a:cxn ang="0">
                <a:pos x="connsiteX7895" y="connsiteY7895"/>
              </a:cxn>
              <a:cxn ang="0">
                <a:pos x="connsiteX7896" y="connsiteY7896"/>
              </a:cxn>
              <a:cxn ang="0">
                <a:pos x="connsiteX7897" y="connsiteY7897"/>
              </a:cxn>
              <a:cxn ang="0">
                <a:pos x="connsiteX7898" y="connsiteY7898"/>
              </a:cxn>
              <a:cxn ang="0">
                <a:pos x="connsiteX7899" y="connsiteY7899"/>
              </a:cxn>
              <a:cxn ang="0">
                <a:pos x="connsiteX7900" y="connsiteY7900"/>
              </a:cxn>
              <a:cxn ang="0">
                <a:pos x="connsiteX7901" y="connsiteY7901"/>
              </a:cxn>
              <a:cxn ang="0">
                <a:pos x="connsiteX7902" y="connsiteY7902"/>
              </a:cxn>
              <a:cxn ang="0">
                <a:pos x="connsiteX7903" y="connsiteY7903"/>
              </a:cxn>
              <a:cxn ang="0">
                <a:pos x="connsiteX7904" y="connsiteY7904"/>
              </a:cxn>
              <a:cxn ang="0">
                <a:pos x="connsiteX7905" y="connsiteY7905"/>
              </a:cxn>
              <a:cxn ang="0">
                <a:pos x="connsiteX7906" y="connsiteY7906"/>
              </a:cxn>
              <a:cxn ang="0">
                <a:pos x="connsiteX7907" y="connsiteY7907"/>
              </a:cxn>
              <a:cxn ang="0">
                <a:pos x="connsiteX7908" y="connsiteY7908"/>
              </a:cxn>
              <a:cxn ang="0">
                <a:pos x="connsiteX7909" y="connsiteY7909"/>
              </a:cxn>
              <a:cxn ang="0">
                <a:pos x="connsiteX7910" y="connsiteY7910"/>
              </a:cxn>
              <a:cxn ang="0">
                <a:pos x="connsiteX7911" y="connsiteY7911"/>
              </a:cxn>
              <a:cxn ang="0">
                <a:pos x="connsiteX7912" y="connsiteY7912"/>
              </a:cxn>
              <a:cxn ang="0">
                <a:pos x="connsiteX7913" y="connsiteY7913"/>
              </a:cxn>
              <a:cxn ang="0">
                <a:pos x="connsiteX7914" y="connsiteY7914"/>
              </a:cxn>
              <a:cxn ang="0">
                <a:pos x="connsiteX7915" y="connsiteY7915"/>
              </a:cxn>
              <a:cxn ang="0">
                <a:pos x="connsiteX7916" y="connsiteY7916"/>
              </a:cxn>
              <a:cxn ang="0">
                <a:pos x="connsiteX7917" y="connsiteY7917"/>
              </a:cxn>
              <a:cxn ang="0">
                <a:pos x="connsiteX7918" y="connsiteY7918"/>
              </a:cxn>
              <a:cxn ang="0">
                <a:pos x="connsiteX7919" y="connsiteY7919"/>
              </a:cxn>
              <a:cxn ang="0">
                <a:pos x="connsiteX7920" y="connsiteY7920"/>
              </a:cxn>
              <a:cxn ang="0">
                <a:pos x="connsiteX7921" y="connsiteY7921"/>
              </a:cxn>
              <a:cxn ang="0">
                <a:pos x="connsiteX7922" y="connsiteY7922"/>
              </a:cxn>
              <a:cxn ang="0">
                <a:pos x="connsiteX7923" y="connsiteY7923"/>
              </a:cxn>
              <a:cxn ang="0">
                <a:pos x="connsiteX7924" y="connsiteY7924"/>
              </a:cxn>
              <a:cxn ang="0">
                <a:pos x="connsiteX7925" y="connsiteY7925"/>
              </a:cxn>
              <a:cxn ang="0">
                <a:pos x="connsiteX7926" y="connsiteY7926"/>
              </a:cxn>
              <a:cxn ang="0">
                <a:pos x="connsiteX7927" y="connsiteY7927"/>
              </a:cxn>
              <a:cxn ang="0">
                <a:pos x="connsiteX7928" y="connsiteY7928"/>
              </a:cxn>
              <a:cxn ang="0">
                <a:pos x="connsiteX7929" y="connsiteY7929"/>
              </a:cxn>
              <a:cxn ang="0">
                <a:pos x="connsiteX7930" y="connsiteY7930"/>
              </a:cxn>
              <a:cxn ang="0">
                <a:pos x="connsiteX7931" y="connsiteY7931"/>
              </a:cxn>
              <a:cxn ang="0">
                <a:pos x="connsiteX7932" y="connsiteY7932"/>
              </a:cxn>
              <a:cxn ang="0">
                <a:pos x="connsiteX7933" y="connsiteY7933"/>
              </a:cxn>
              <a:cxn ang="0">
                <a:pos x="connsiteX7934" y="connsiteY7934"/>
              </a:cxn>
              <a:cxn ang="0">
                <a:pos x="connsiteX7935" y="connsiteY7935"/>
              </a:cxn>
              <a:cxn ang="0">
                <a:pos x="connsiteX7936" y="connsiteY7936"/>
              </a:cxn>
              <a:cxn ang="0">
                <a:pos x="connsiteX7937" y="connsiteY7937"/>
              </a:cxn>
              <a:cxn ang="0">
                <a:pos x="connsiteX7938" y="connsiteY7938"/>
              </a:cxn>
              <a:cxn ang="0">
                <a:pos x="connsiteX7939" y="connsiteY7939"/>
              </a:cxn>
              <a:cxn ang="0">
                <a:pos x="connsiteX7940" y="connsiteY7940"/>
              </a:cxn>
              <a:cxn ang="0">
                <a:pos x="connsiteX7941" y="connsiteY7941"/>
              </a:cxn>
              <a:cxn ang="0">
                <a:pos x="connsiteX7942" y="connsiteY7942"/>
              </a:cxn>
              <a:cxn ang="0">
                <a:pos x="connsiteX7943" y="connsiteY7943"/>
              </a:cxn>
              <a:cxn ang="0">
                <a:pos x="connsiteX7944" y="connsiteY7944"/>
              </a:cxn>
              <a:cxn ang="0">
                <a:pos x="connsiteX7945" y="connsiteY7945"/>
              </a:cxn>
              <a:cxn ang="0">
                <a:pos x="connsiteX7946" y="connsiteY7946"/>
              </a:cxn>
              <a:cxn ang="0">
                <a:pos x="connsiteX7947" y="connsiteY7947"/>
              </a:cxn>
              <a:cxn ang="0">
                <a:pos x="connsiteX7948" y="connsiteY7948"/>
              </a:cxn>
              <a:cxn ang="0">
                <a:pos x="connsiteX7949" y="connsiteY7949"/>
              </a:cxn>
              <a:cxn ang="0">
                <a:pos x="connsiteX7950" y="connsiteY7950"/>
              </a:cxn>
              <a:cxn ang="0">
                <a:pos x="connsiteX7951" y="connsiteY7951"/>
              </a:cxn>
              <a:cxn ang="0">
                <a:pos x="connsiteX7952" y="connsiteY7952"/>
              </a:cxn>
              <a:cxn ang="0">
                <a:pos x="connsiteX7953" y="connsiteY7953"/>
              </a:cxn>
              <a:cxn ang="0">
                <a:pos x="connsiteX7954" y="connsiteY7954"/>
              </a:cxn>
              <a:cxn ang="0">
                <a:pos x="connsiteX7955" y="connsiteY7955"/>
              </a:cxn>
              <a:cxn ang="0">
                <a:pos x="connsiteX7956" y="connsiteY7956"/>
              </a:cxn>
              <a:cxn ang="0">
                <a:pos x="connsiteX7957" y="connsiteY7957"/>
              </a:cxn>
              <a:cxn ang="0">
                <a:pos x="connsiteX7958" y="connsiteY7958"/>
              </a:cxn>
              <a:cxn ang="0">
                <a:pos x="connsiteX7959" y="connsiteY7959"/>
              </a:cxn>
              <a:cxn ang="0">
                <a:pos x="connsiteX7960" y="connsiteY7960"/>
              </a:cxn>
              <a:cxn ang="0">
                <a:pos x="connsiteX7961" y="connsiteY7961"/>
              </a:cxn>
              <a:cxn ang="0">
                <a:pos x="connsiteX7962" y="connsiteY7962"/>
              </a:cxn>
              <a:cxn ang="0">
                <a:pos x="connsiteX7963" y="connsiteY7963"/>
              </a:cxn>
              <a:cxn ang="0">
                <a:pos x="connsiteX7964" y="connsiteY7964"/>
              </a:cxn>
              <a:cxn ang="0">
                <a:pos x="connsiteX7965" y="connsiteY7965"/>
              </a:cxn>
              <a:cxn ang="0">
                <a:pos x="connsiteX7966" y="connsiteY7966"/>
              </a:cxn>
              <a:cxn ang="0">
                <a:pos x="connsiteX7967" y="connsiteY7967"/>
              </a:cxn>
              <a:cxn ang="0">
                <a:pos x="connsiteX7968" y="connsiteY7968"/>
              </a:cxn>
              <a:cxn ang="0">
                <a:pos x="connsiteX7969" y="connsiteY7969"/>
              </a:cxn>
              <a:cxn ang="0">
                <a:pos x="connsiteX7970" y="connsiteY7970"/>
              </a:cxn>
              <a:cxn ang="0">
                <a:pos x="connsiteX7971" y="connsiteY7971"/>
              </a:cxn>
              <a:cxn ang="0">
                <a:pos x="connsiteX7972" y="connsiteY7972"/>
              </a:cxn>
              <a:cxn ang="0">
                <a:pos x="connsiteX7973" y="connsiteY7973"/>
              </a:cxn>
              <a:cxn ang="0">
                <a:pos x="connsiteX7974" y="connsiteY7974"/>
              </a:cxn>
              <a:cxn ang="0">
                <a:pos x="connsiteX7975" y="connsiteY7975"/>
              </a:cxn>
              <a:cxn ang="0">
                <a:pos x="connsiteX7976" y="connsiteY7976"/>
              </a:cxn>
              <a:cxn ang="0">
                <a:pos x="connsiteX7977" y="connsiteY7977"/>
              </a:cxn>
              <a:cxn ang="0">
                <a:pos x="connsiteX7978" y="connsiteY7978"/>
              </a:cxn>
              <a:cxn ang="0">
                <a:pos x="connsiteX7979" y="connsiteY7979"/>
              </a:cxn>
              <a:cxn ang="0">
                <a:pos x="connsiteX7980" y="connsiteY7980"/>
              </a:cxn>
              <a:cxn ang="0">
                <a:pos x="connsiteX7981" y="connsiteY7981"/>
              </a:cxn>
              <a:cxn ang="0">
                <a:pos x="connsiteX7982" y="connsiteY7982"/>
              </a:cxn>
              <a:cxn ang="0">
                <a:pos x="connsiteX7983" y="connsiteY7983"/>
              </a:cxn>
              <a:cxn ang="0">
                <a:pos x="connsiteX7984" y="connsiteY7984"/>
              </a:cxn>
              <a:cxn ang="0">
                <a:pos x="connsiteX7985" y="connsiteY7985"/>
              </a:cxn>
              <a:cxn ang="0">
                <a:pos x="connsiteX7986" y="connsiteY7986"/>
              </a:cxn>
              <a:cxn ang="0">
                <a:pos x="connsiteX7987" y="connsiteY7987"/>
              </a:cxn>
              <a:cxn ang="0">
                <a:pos x="connsiteX7988" y="connsiteY7988"/>
              </a:cxn>
              <a:cxn ang="0">
                <a:pos x="connsiteX7989" y="connsiteY7989"/>
              </a:cxn>
              <a:cxn ang="0">
                <a:pos x="connsiteX7990" y="connsiteY7990"/>
              </a:cxn>
              <a:cxn ang="0">
                <a:pos x="connsiteX7991" y="connsiteY7991"/>
              </a:cxn>
              <a:cxn ang="0">
                <a:pos x="connsiteX7992" y="connsiteY7992"/>
              </a:cxn>
              <a:cxn ang="0">
                <a:pos x="connsiteX7993" y="connsiteY7993"/>
              </a:cxn>
              <a:cxn ang="0">
                <a:pos x="connsiteX7994" y="connsiteY7994"/>
              </a:cxn>
              <a:cxn ang="0">
                <a:pos x="connsiteX7995" y="connsiteY7995"/>
              </a:cxn>
              <a:cxn ang="0">
                <a:pos x="connsiteX7996" y="connsiteY7996"/>
              </a:cxn>
              <a:cxn ang="0">
                <a:pos x="connsiteX7997" y="connsiteY7997"/>
              </a:cxn>
              <a:cxn ang="0">
                <a:pos x="connsiteX7998" y="connsiteY7998"/>
              </a:cxn>
              <a:cxn ang="0">
                <a:pos x="connsiteX7999" y="connsiteY7999"/>
              </a:cxn>
              <a:cxn ang="0">
                <a:pos x="connsiteX8000" y="connsiteY8000"/>
              </a:cxn>
              <a:cxn ang="0">
                <a:pos x="connsiteX8001" y="connsiteY8001"/>
              </a:cxn>
              <a:cxn ang="0">
                <a:pos x="connsiteX8002" y="connsiteY8002"/>
              </a:cxn>
              <a:cxn ang="0">
                <a:pos x="connsiteX8003" y="connsiteY8003"/>
              </a:cxn>
              <a:cxn ang="0">
                <a:pos x="connsiteX8004" y="connsiteY8004"/>
              </a:cxn>
              <a:cxn ang="0">
                <a:pos x="connsiteX8005" y="connsiteY8005"/>
              </a:cxn>
              <a:cxn ang="0">
                <a:pos x="connsiteX8006" y="connsiteY8006"/>
              </a:cxn>
              <a:cxn ang="0">
                <a:pos x="connsiteX8007" y="connsiteY8007"/>
              </a:cxn>
              <a:cxn ang="0">
                <a:pos x="connsiteX8008" y="connsiteY8008"/>
              </a:cxn>
              <a:cxn ang="0">
                <a:pos x="connsiteX8009" y="connsiteY8009"/>
              </a:cxn>
              <a:cxn ang="0">
                <a:pos x="connsiteX8010" y="connsiteY8010"/>
              </a:cxn>
              <a:cxn ang="0">
                <a:pos x="connsiteX8011" y="connsiteY8011"/>
              </a:cxn>
              <a:cxn ang="0">
                <a:pos x="connsiteX8012" y="connsiteY8012"/>
              </a:cxn>
              <a:cxn ang="0">
                <a:pos x="connsiteX8013" y="connsiteY8013"/>
              </a:cxn>
              <a:cxn ang="0">
                <a:pos x="connsiteX8014" y="connsiteY8014"/>
              </a:cxn>
              <a:cxn ang="0">
                <a:pos x="connsiteX8015" y="connsiteY8015"/>
              </a:cxn>
              <a:cxn ang="0">
                <a:pos x="connsiteX8016" y="connsiteY8016"/>
              </a:cxn>
              <a:cxn ang="0">
                <a:pos x="connsiteX8017" y="connsiteY8017"/>
              </a:cxn>
              <a:cxn ang="0">
                <a:pos x="connsiteX8018" y="connsiteY8018"/>
              </a:cxn>
              <a:cxn ang="0">
                <a:pos x="connsiteX8019" y="connsiteY8019"/>
              </a:cxn>
              <a:cxn ang="0">
                <a:pos x="connsiteX8020" y="connsiteY8020"/>
              </a:cxn>
              <a:cxn ang="0">
                <a:pos x="connsiteX8021" y="connsiteY8021"/>
              </a:cxn>
              <a:cxn ang="0">
                <a:pos x="connsiteX8022" y="connsiteY8022"/>
              </a:cxn>
              <a:cxn ang="0">
                <a:pos x="connsiteX8023" y="connsiteY8023"/>
              </a:cxn>
              <a:cxn ang="0">
                <a:pos x="connsiteX8024" y="connsiteY8024"/>
              </a:cxn>
              <a:cxn ang="0">
                <a:pos x="connsiteX8025" y="connsiteY8025"/>
              </a:cxn>
              <a:cxn ang="0">
                <a:pos x="connsiteX8026" y="connsiteY8026"/>
              </a:cxn>
              <a:cxn ang="0">
                <a:pos x="connsiteX8027" y="connsiteY8027"/>
              </a:cxn>
              <a:cxn ang="0">
                <a:pos x="connsiteX8028" y="connsiteY8028"/>
              </a:cxn>
              <a:cxn ang="0">
                <a:pos x="connsiteX8029" y="connsiteY8029"/>
              </a:cxn>
              <a:cxn ang="0">
                <a:pos x="connsiteX8030" y="connsiteY8030"/>
              </a:cxn>
              <a:cxn ang="0">
                <a:pos x="connsiteX8031" y="connsiteY8031"/>
              </a:cxn>
              <a:cxn ang="0">
                <a:pos x="connsiteX8032" y="connsiteY8032"/>
              </a:cxn>
              <a:cxn ang="0">
                <a:pos x="connsiteX8033" y="connsiteY8033"/>
              </a:cxn>
              <a:cxn ang="0">
                <a:pos x="connsiteX8034" y="connsiteY8034"/>
              </a:cxn>
              <a:cxn ang="0">
                <a:pos x="connsiteX8035" y="connsiteY8035"/>
              </a:cxn>
              <a:cxn ang="0">
                <a:pos x="connsiteX8036" y="connsiteY8036"/>
              </a:cxn>
              <a:cxn ang="0">
                <a:pos x="connsiteX8037" y="connsiteY8037"/>
              </a:cxn>
              <a:cxn ang="0">
                <a:pos x="connsiteX8038" y="connsiteY8038"/>
              </a:cxn>
              <a:cxn ang="0">
                <a:pos x="connsiteX8039" y="connsiteY8039"/>
              </a:cxn>
              <a:cxn ang="0">
                <a:pos x="connsiteX8040" y="connsiteY8040"/>
              </a:cxn>
              <a:cxn ang="0">
                <a:pos x="connsiteX8041" y="connsiteY8041"/>
              </a:cxn>
              <a:cxn ang="0">
                <a:pos x="connsiteX8042" y="connsiteY8042"/>
              </a:cxn>
              <a:cxn ang="0">
                <a:pos x="connsiteX8043" y="connsiteY8043"/>
              </a:cxn>
              <a:cxn ang="0">
                <a:pos x="connsiteX8044" y="connsiteY8044"/>
              </a:cxn>
              <a:cxn ang="0">
                <a:pos x="connsiteX8045" y="connsiteY8045"/>
              </a:cxn>
              <a:cxn ang="0">
                <a:pos x="connsiteX8046" y="connsiteY8046"/>
              </a:cxn>
              <a:cxn ang="0">
                <a:pos x="connsiteX8047" y="connsiteY8047"/>
              </a:cxn>
              <a:cxn ang="0">
                <a:pos x="connsiteX8048" y="connsiteY8048"/>
              </a:cxn>
              <a:cxn ang="0">
                <a:pos x="connsiteX8049" y="connsiteY8049"/>
              </a:cxn>
              <a:cxn ang="0">
                <a:pos x="connsiteX8050" y="connsiteY8050"/>
              </a:cxn>
              <a:cxn ang="0">
                <a:pos x="connsiteX8051" y="connsiteY8051"/>
              </a:cxn>
              <a:cxn ang="0">
                <a:pos x="connsiteX8052" y="connsiteY8052"/>
              </a:cxn>
              <a:cxn ang="0">
                <a:pos x="connsiteX8053" y="connsiteY8053"/>
              </a:cxn>
              <a:cxn ang="0">
                <a:pos x="connsiteX8054" y="connsiteY8054"/>
              </a:cxn>
              <a:cxn ang="0">
                <a:pos x="connsiteX8055" y="connsiteY8055"/>
              </a:cxn>
              <a:cxn ang="0">
                <a:pos x="connsiteX8056" y="connsiteY8056"/>
              </a:cxn>
              <a:cxn ang="0">
                <a:pos x="connsiteX8057" y="connsiteY8057"/>
              </a:cxn>
              <a:cxn ang="0">
                <a:pos x="connsiteX8058" y="connsiteY8058"/>
              </a:cxn>
              <a:cxn ang="0">
                <a:pos x="connsiteX8059" y="connsiteY8059"/>
              </a:cxn>
              <a:cxn ang="0">
                <a:pos x="connsiteX8060" y="connsiteY8060"/>
              </a:cxn>
              <a:cxn ang="0">
                <a:pos x="connsiteX8061" y="connsiteY8061"/>
              </a:cxn>
              <a:cxn ang="0">
                <a:pos x="connsiteX8062" y="connsiteY8062"/>
              </a:cxn>
              <a:cxn ang="0">
                <a:pos x="connsiteX8063" y="connsiteY8063"/>
              </a:cxn>
              <a:cxn ang="0">
                <a:pos x="connsiteX8064" y="connsiteY8064"/>
              </a:cxn>
              <a:cxn ang="0">
                <a:pos x="connsiteX8065" y="connsiteY8065"/>
              </a:cxn>
              <a:cxn ang="0">
                <a:pos x="connsiteX8066" y="connsiteY8066"/>
              </a:cxn>
              <a:cxn ang="0">
                <a:pos x="connsiteX8067" y="connsiteY8067"/>
              </a:cxn>
              <a:cxn ang="0">
                <a:pos x="connsiteX8068" y="connsiteY8068"/>
              </a:cxn>
              <a:cxn ang="0">
                <a:pos x="connsiteX8069" y="connsiteY8069"/>
              </a:cxn>
              <a:cxn ang="0">
                <a:pos x="connsiteX8070" y="connsiteY8070"/>
              </a:cxn>
              <a:cxn ang="0">
                <a:pos x="connsiteX8071" y="connsiteY8071"/>
              </a:cxn>
              <a:cxn ang="0">
                <a:pos x="connsiteX8072" y="connsiteY8072"/>
              </a:cxn>
              <a:cxn ang="0">
                <a:pos x="connsiteX8073" y="connsiteY8073"/>
              </a:cxn>
              <a:cxn ang="0">
                <a:pos x="connsiteX8074" y="connsiteY8074"/>
              </a:cxn>
              <a:cxn ang="0">
                <a:pos x="connsiteX8075" y="connsiteY8075"/>
              </a:cxn>
              <a:cxn ang="0">
                <a:pos x="connsiteX8076" y="connsiteY8076"/>
              </a:cxn>
              <a:cxn ang="0">
                <a:pos x="connsiteX8077" y="connsiteY8077"/>
              </a:cxn>
              <a:cxn ang="0">
                <a:pos x="connsiteX8078" y="connsiteY8078"/>
              </a:cxn>
              <a:cxn ang="0">
                <a:pos x="connsiteX8079" y="connsiteY8079"/>
              </a:cxn>
              <a:cxn ang="0">
                <a:pos x="connsiteX8080" y="connsiteY8080"/>
              </a:cxn>
              <a:cxn ang="0">
                <a:pos x="connsiteX8081" y="connsiteY8081"/>
              </a:cxn>
              <a:cxn ang="0">
                <a:pos x="connsiteX8082" y="connsiteY8082"/>
              </a:cxn>
              <a:cxn ang="0">
                <a:pos x="connsiteX8083" y="connsiteY8083"/>
              </a:cxn>
              <a:cxn ang="0">
                <a:pos x="connsiteX8084" y="connsiteY8084"/>
              </a:cxn>
              <a:cxn ang="0">
                <a:pos x="connsiteX8085" y="connsiteY8085"/>
              </a:cxn>
              <a:cxn ang="0">
                <a:pos x="connsiteX8086" y="connsiteY8086"/>
              </a:cxn>
              <a:cxn ang="0">
                <a:pos x="connsiteX8087" y="connsiteY8087"/>
              </a:cxn>
              <a:cxn ang="0">
                <a:pos x="connsiteX8088" y="connsiteY8088"/>
              </a:cxn>
              <a:cxn ang="0">
                <a:pos x="connsiteX8089" y="connsiteY8089"/>
              </a:cxn>
              <a:cxn ang="0">
                <a:pos x="connsiteX8090" y="connsiteY8090"/>
              </a:cxn>
              <a:cxn ang="0">
                <a:pos x="connsiteX8091" y="connsiteY8091"/>
              </a:cxn>
              <a:cxn ang="0">
                <a:pos x="connsiteX8092" y="connsiteY8092"/>
              </a:cxn>
              <a:cxn ang="0">
                <a:pos x="connsiteX8093" y="connsiteY8093"/>
              </a:cxn>
              <a:cxn ang="0">
                <a:pos x="connsiteX8094" y="connsiteY8094"/>
              </a:cxn>
              <a:cxn ang="0">
                <a:pos x="connsiteX8095" y="connsiteY8095"/>
              </a:cxn>
              <a:cxn ang="0">
                <a:pos x="connsiteX8096" y="connsiteY8096"/>
              </a:cxn>
              <a:cxn ang="0">
                <a:pos x="connsiteX8097" y="connsiteY8097"/>
              </a:cxn>
              <a:cxn ang="0">
                <a:pos x="connsiteX8098" y="connsiteY8098"/>
              </a:cxn>
              <a:cxn ang="0">
                <a:pos x="connsiteX8099" y="connsiteY8099"/>
              </a:cxn>
              <a:cxn ang="0">
                <a:pos x="connsiteX8100" y="connsiteY8100"/>
              </a:cxn>
              <a:cxn ang="0">
                <a:pos x="connsiteX8101" y="connsiteY8101"/>
              </a:cxn>
              <a:cxn ang="0">
                <a:pos x="connsiteX8102" y="connsiteY8102"/>
              </a:cxn>
              <a:cxn ang="0">
                <a:pos x="connsiteX8103" y="connsiteY8103"/>
              </a:cxn>
              <a:cxn ang="0">
                <a:pos x="connsiteX8104" y="connsiteY8104"/>
              </a:cxn>
              <a:cxn ang="0">
                <a:pos x="connsiteX8105" y="connsiteY8105"/>
              </a:cxn>
              <a:cxn ang="0">
                <a:pos x="connsiteX8106" y="connsiteY8106"/>
              </a:cxn>
              <a:cxn ang="0">
                <a:pos x="connsiteX8107" y="connsiteY8107"/>
              </a:cxn>
              <a:cxn ang="0">
                <a:pos x="connsiteX8108" y="connsiteY8108"/>
              </a:cxn>
              <a:cxn ang="0">
                <a:pos x="connsiteX8109" y="connsiteY8109"/>
              </a:cxn>
              <a:cxn ang="0">
                <a:pos x="connsiteX8110" y="connsiteY8110"/>
              </a:cxn>
              <a:cxn ang="0">
                <a:pos x="connsiteX8111" y="connsiteY8111"/>
              </a:cxn>
              <a:cxn ang="0">
                <a:pos x="connsiteX8112" y="connsiteY8112"/>
              </a:cxn>
              <a:cxn ang="0">
                <a:pos x="connsiteX8113" y="connsiteY8113"/>
              </a:cxn>
              <a:cxn ang="0">
                <a:pos x="connsiteX8114" y="connsiteY8114"/>
              </a:cxn>
              <a:cxn ang="0">
                <a:pos x="connsiteX8115" y="connsiteY8115"/>
              </a:cxn>
              <a:cxn ang="0">
                <a:pos x="connsiteX8116" y="connsiteY8116"/>
              </a:cxn>
              <a:cxn ang="0">
                <a:pos x="connsiteX8117" y="connsiteY8117"/>
              </a:cxn>
              <a:cxn ang="0">
                <a:pos x="connsiteX8118" y="connsiteY8118"/>
              </a:cxn>
              <a:cxn ang="0">
                <a:pos x="connsiteX8119" y="connsiteY8119"/>
              </a:cxn>
              <a:cxn ang="0">
                <a:pos x="connsiteX8120" y="connsiteY8120"/>
              </a:cxn>
              <a:cxn ang="0">
                <a:pos x="connsiteX8121" y="connsiteY8121"/>
              </a:cxn>
              <a:cxn ang="0">
                <a:pos x="connsiteX8122" y="connsiteY8122"/>
              </a:cxn>
              <a:cxn ang="0">
                <a:pos x="connsiteX8123" y="connsiteY8123"/>
              </a:cxn>
              <a:cxn ang="0">
                <a:pos x="connsiteX8124" y="connsiteY8124"/>
              </a:cxn>
              <a:cxn ang="0">
                <a:pos x="connsiteX8125" y="connsiteY8125"/>
              </a:cxn>
              <a:cxn ang="0">
                <a:pos x="connsiteX8126" y="connsiteY8126"/>
              </a:cxn>
              <a:cxn ang="0">
                <a:pos x="connsiteX8127" y="connsiteY8127"/>
              </a:cxn>
              <a:cxn ang="0">
                <a:pos x="connsiteX8128" y="connsiteY8128"/>
              </a:cxn>
              <a:cxn ang="0">
                <a:pos x="connsiteX8129" y="connsiteY8129"/>
              </a:cxn>
              <a:cxn ang="0">
                <a:pos x="connsiteX8130" y="connsiteY8130"/>
              </a:cxn>
              <a:cxn ang="0">
                <a:pos x="connsiteX8131" y="connsiteY8131"/>
              </a:cxn>
              <a:cxn ang="0">
                <a:pos x="connsiteX8132" y="connsiteY8132"/>
              </a:cxn>
              <a:cxn ang="0">
                <a:pos x="connsiteX8133" y="connsiteY8133"/>
              </a:cxn>
              <a:cxn ang="0">
                <a:pos x="connsiteX8134" y="connsiteY8134"/>
              </a:cxn>
              <a:cxn ang="0">
                <a:pos x="connsiteX8135" y="connsiteY8135"/>
              </a:cxn>
              <a:cxn ang="0">
                <a:pos x="connsiteX8136" y="connsiteY8136"/>
              </a:cxn>
              <a:cxn ang="0">
                <a:pos x="connsiteX8137" y="connsiteY8137"/>
              </a:cxn>
              <a:cxn ang="0">
                <a:pos x="connsiteX8138" y="connsiteY8138"/>
              </a:cxn>
              <a:cxn ang="0">
                <a:pos x="connsiteX8139" y="connsiteY8139"/>
              </a:cxn>
              <a:cxn ang="0">
                <a:pos x="connsiteX8140" y="connsiteY8140"/>
              </a:cxn>
              <a:cxn ang="0">
                <a:pos x="connsiteX8141" y="connsiteY8141"/>
              </a:cxn>
              <a:cxn ang="0">
                <a:pos x="connsiteX8142" y="connsiteY8142"/>
              </a:cxn>
              <a:cxn ang="0">
                <a:pos x="connsiteX8143" y="connsiteY8143"/>
              </a:cxn>
              <a:cxn ang="0">
                <a:pos x="connsiteX8144" y="connsiteY8144"/>
              </a:cxn>
              <a:cxn ang="0">
                <a:pos x="connsiteX8145" y="connsiteY8145"/>
              </a:cxn>
              <a:cxn ang="0">
                <a:pos x="connsiteX8146" y="connsiteY8146"/>
              </a:cxn>
              <a:cxn ang="0">
                <a:pos x="connsiteX8147" y="connsiteY8147"/>
              </a:cxn>
              <a:cxn ang="0">
                <a:pos x="connsiteX8148" y="connsiteY8148"/>
              </a:cxn>
              <a:cxn ang="0">
                <a:pos x="connsiteX8149" y="connsiteY8149"/>
              </a:cxn>
              <a:cxn ang="0">
                <a:pos x="connsiteX8150" y="connsiteY8150"/>
              </a:cxn>
              <a:cxn ang="0">
                <a:pos x="connsiteX8151" y="connsiteY8151"/>
              </a:cxn>
              <a:cxn ang="0">
                <a:pos x="connsiteX8152" y="connsiteY8152"/>
              </a:cxn>
              <a:cxn ang="0">
                <a:pos x="connsiteX8153" y="connsiteY8153"/>
              </a:cxn>
              <a:cxn ang="0">
                <a:pos x="connsiteX8154" y="connsiteY8154"/>
              </a:cxn>
              <a:cxn ang="0">
                <a:pos x="connsiteX8155" y="connsiteY8155"/>
              </a:cxn>
              <a:cxn ang="0">
                <a:pos x="connsiteX8156" y="connsiteY8156"/>
              </a:cxn>
              <a:cxn ang="0">
                <a:pos x="connsiteX8157" y="connsiteY8157"/>
              </a:cxn>
              <a:cxn ang="0">
                <a:pos x="connsiteX8158" y="connsiteY8158"/>
              </a:cxn>
              <a:cxn ang="0">
                <a:pos x="connsiteX8159" y="connsiteY8159"/>
              </a:cxn>
              <a:cxn ang="0">
                <a:pos x="connsiteX8160" y="connsiteY8160"/>
              </a:cxn>
              <a:cxn ang="0">
                <a:pos x="connsiteX8161" y="connsiteY8161"/>
              </a:cxn>
              <a:cxn ang="0">
                <a:pos x="connsiteX8162" y="connsiteY8162"/>
              </a:cxn>
              <a:cxn ang="0">
                <a:pos x="connsiteX8163" y="connsiteY8163"/>
              </a:cxn>
              <a:cxn ang="0">
                <a:pos x="connsiteX8164" y="connsiteY8164"/>
              </a:cxn>
              <a:cxn ang="0">
                <a:pos x="connsiteX8165" y="connsiteY8165"/>
              </a:cxn>
              <a:cxn ang="0">
                <a:pos x="connsiteX8166" y="connsiteY8166"/>
              </a:cxn>
              <a:cxn ang="0">
                <a:pos x="connsiteX8167" y="connsiteY8167"/>
              </a:cxn>
              <a:cxn ang="0">
                <a:pos x="connsiteX8168" y="connsiteY8168"/>
              </a:cxn>
              <a:cxn ang="0">
                <a:pos x="connsiteX8169" y="connsiteY8169"/>
              </a:cxn>
              <a:cxn ang="0">
                <a:pos x="connsiteX8170" y="connsiteY8170"/>
              </a:cxn>
              <a:cxn ang="0">
                <a:pos x="connsiteX8171" y="connsiteY8171"/>
              </a:cxn>
              <a:cxn ang="0">
                <a:pos x="connsiteX8172" y="connsiteY8172"/>
              </a:cxn>
              <a:cxn ang="0">
                <a:pos x="connsiteX8173" y="connsiteY8173"/>
              </a:cxn>
              <a:cxn ang="0">
                <a:pos x="connsiteX8174" y="connsiteY8174"/>
              </a:cxn>
              <a:cxn ang="0">
                <a:pos x="connsiteX8175" y="connsiteY8175"/>
              </a:cxn>
              <a:cxn ang="0">
                <a:pos x="connsiteX8176" y="connsiteY8176"/>
              </a:cxn>
              <a:cxn ang="0">
                <a:pos x="connsiteX8177" y="connsiteY8177"/>
              </a:cxn>
              <a:cxn ang="0">
                <a:pos x="connsiteX8178" y="connsiteY8178"/>
              </a:cxn>
              <a:cxn ang="0">
                <a:pos x="connsiteX8179" y="connsiteY8179"/>
              </a:cxn>
              <a:cxn ang="0">
                <a:pos x="connsiteX8180" y="connsiteY8180"/>
              </a:cxn>
              <a:cxn ang="0">
                <a:pos x="connsiteX8181" y="connsiteY8181"/>
              </a:cxn>
              <a:cxn ang="0">
                <a:pos x="connsiteX8182" y="connsiteY8182"/>
              </a:cxn>
              <a:cxn ang="0">
                <a:pos x="connsiteX8183" y="connsiteY8183"/>
              </a:cxn>
              <a:cxn ang="0">
                <a:pos x="connsiteX8184" y="connsiteY8184"/>
              </a:cxn>
              <a:cxn ang="0">
                <a:pos x="connsiteX8185" y="connsiteY8185"/>
              </a:cxn>
              <a:cxn ang="0">
                <a:pos x="connsiteX8186" y="connsiteY8186"/>
              </a:cxn>
              <a:cxn ang="0">
                <a:pos x="connsiteX8187" y="connsiteY8187"/>
              </a:cxn>
              <a:cxn ang="0">
                <a:pos x="connsiteX8188" y="connsiteY8188"/>
              </a:cxn>
              <a:cxn ang="0">
                <a:pos x="connsiteX8189" y="connsiteY8189"/>
              </a:cxn>
              <a:cxn ang="0">
                <a:pos x="connsiteX8190" y="connsiteY8190"/>
              </a:cxn>
              <a:cxn ang="0">
                <a:pos x="connsiteX8191" y="connsiteY8191"/>
              </a:cxn>
              <a:cxn ang="0">
                <a:pos x="connsiteX8192" y="connsiteY8192"/>
              </a:cxn>
              <a:cxn ang="0">
                <a:pos x="connsiteX8193" y="connsiteY8193"/>
              </a:cxn>
              <a:cxn ang="0">
                <a:pos x="connsiteX8194" y="connsiteY8194"/>
              </a:cxn>
              <a:cxn ang="0">
                <a:pos x="connsiteX8195" y="connsiteY8195"/>
              </a:cxn>
              <a:cxn ang="0">
                <a:pos x="connsiteX8196" y="connsiteY8196"/>
              </a:cxn>
              <a:cxn ang="0">
                <a:pos x="connsiteX8197" y="connsiteY8197"/>
              </a:cxn>
              <a:cxn ang="0">
                <a:pos x="connsiteX8198" y="connsiteY8198"/>
              </a:cxn>
              <a:cxn ang="0">
                <a:pos x="connsiteX8199" y="connsiteY8199"/>
              </a:cxn>
              <a:cxn ang="0">
                <a:pos x="connsiteX8200" y="connsiteY8200"/>
              </a:cxn>
              <a:cxn ang="0">
                <a:pos x="connsiteX8201" y="connsiteY8201"/>
              </a:cxn>
              <a:cxn ang="0">
                <a:pos x="connsiteX8202" y="connsiteY8202"/>
              </a:cxn>
              <a:cxn ang="0">
                <a:pos x="connsiteX8203" y="connsiteY8203"/>
              </a:cxn>
              <a:cxn ang="0">
                <a:pos x="connsiteX8204" y="connsiteY8204"/>
              </a:cxn>
              <a:cxn ang="0">
                <a:pos x="connsiteX8205" y="connsiteY8205"/>
              </a:cxn>
              <a:cxn ang="0">
                <a:pos x="connsiteX8206" y="connsiteY8206"/>
              </a:cxn>
              <a:cxn ang="0">
                <a:pos x="connsiteX8207" y="connsiteY8207"/>
              </a:cxn>
              <a:cxn ang="0">
                <a:pos x="connsiteX8208" y="connsiteY8208"/>
              </a:cxn>
              <a:cxn ang="0">
                <a:pos x="connsiteX8209" y="connsiteY8209"/>
              </a:cxn>
              <a:cxn ang="0">
                <a:pos x="connsiteX8210" y="connsiteY8210"/>
              </a:cxn>
              <a:cxn ang="0">
                <a:pos x="connsiteX8211" y="connsiteY8211"/>
              </a:cxn>
              <a:cxn ang="0">
                <a:pos x="connsiteX8212" y="connsiteY8212"/>
              </a:cxn>
              <a:cxn ang="0">
                <a:pos x="connsiteX8213" y="connsiteY8213"/>
              </a:cxn>
              <a:cxn ang="0">
                <a:pos x="connsiteX8214" y="connsiteY8214"/>
              </a:cxn>
              <a:cxn ang="0">
                <a:pos x="connsiteX8215" y="connsiteY8215"/>
              </a:cxn>
              <a:cxn ang="0">
                <a:pos x="connsiteX8216" y="connsiteY8216"/>
              </a:cxn>
              <a:cxn ang="0">
                <a:pos x="connsiteX8217" y="connsiteY8217"/>
              </a:cxn>
              <a:cxn ang="0">
                <a:pos x="connsiteX8218" y="connsiteY8218"/>
              </a:cxn>
              <a:cxn ang="0">
                <a:pos x="connsiteX8219" y="connsiteY8219"/>
              </a:cxn>
              <a:cxn ang="0">
                <a:pos x="connsiteX8220" y="connsiteY8220"/>
              </a:cxn>
              <a:cxn ang="0">
                <a:pos x="connsiteX8221" y="connsiteY8221"/>
              </a:cxn>
              <a:cxn ang="0">
                <a:pos x="connsiteX8222" y="connsiteY8222"/>
              </a:cxn>
              <a:cxn ang="0">
                <a:pos x="connsiteX8223" y="connsiteY8223"/>
              </a:cxn>
              <a:cxn ang="0">
                <a:pos x="connsiteX8224" y="connsiteY8224"/>
              </a:cxn>
              <a:cxn ang="0">
                <a:pos x="connsiteX8225" y="connsiteY8225"/>
              </a:cxn>
              <a:cxn ang="0">
                <a:pos x="connsiteX8226" y="connsiteY8226"/>
              </a:cxn>
              <a:cxn ang="0">
                <a:pos x="connsiteX8227" y="connsiteY8227"/>
              </a:cxn>
              <a:cxn ang="0">
                <a:pos x="connsiteX8228" y="connsiteY8228"/>
              </a:cxn>
              <a:cxn ang="0">
                <a:pos x="connsiteX8229" y="connsiteY8229"/>
              </a:cxn>
              <a:cxn ang="0">
                <a:pos x="connsiteX8230" y="connsiteY8230"/>
              </a:cxn>
              <a:cxn ang="0">
                <a:pos x="connsiteX8231" y="connsiteY8231"/>
              </a:cxn>
              <a:cxn ang="0">
                <a:pos x="connsiteX8232" y="connsiteY8232"/>
              </a:cxn>
              <a:cxn ang="0">
                <a:pos x="connsiteX8233" y="connsiteY8233"/>
              </a:cxn>
              <a:cxn ang="0">
                <a:pos x="connsiteX8234" y="connsiteY8234"/>
              </a:cxn>
              <a:cxn ang="0">
                <a:pos x="connsiteX8235" y="connsiteY8235"/>
              </a:cxn>
              <a:cxn ang="0">
                <a:pos x="connsiteX8236" y="connsiteY8236"/>
              </a:cxn>
              <a:cxn ang="0">
                <a:pos x="connsiteX8237" y="connsiteY8237"/>
              </a:cxn>
              <a:cxn ang="0">
                <a:pos x="connsiteX8238" y="connsiteY8238"/>
              </a:cxn>
              <a:cxn ang="0">
                <a:pos x="connsiteX8239" y="connsiteY8239"/>
              </a:cxn>
              <a:cxn ang="0">
                <a:pos x="connsiteX8240" y="connsiteY8240"/>
              </a:cxn>
              <a:cxn ang="0">
                <a:pos x="connsiteX8241" y="connsiteY8241"/>
              </a:cxn>
              <a:cxn ang="0">
                <a:pos x="connsiteX8242" y="connsiteY8242"/>
              </a:cxn>
              <a:cxn ang="0">
                <a:pos x="connsiteX8243" y="connsiteY8243"/>
              </a:cxn>
              <a:cxn ang="0">
                <a:pos x="connsiteX8244" y="connsiteY8244"/>
              </a:cxn>
              <a:cxn ang="0">
                <a:pos x="connsiteX8245" y="connsiteY8245"/>
              </a:cxn>
              <a:cxn ang="0">
                <a:pos x="connsiteX8246" y="connsiteY8246"/>
              </a:cxn>
              <a:cxn ang="0">
                <a:pos x="connsiteX8247" y="connsiteY8247"/>
              </a:cxn>
              <a:cxn ang="0">
                <a:pos x="connsiteX8248" y="connsiteY8248"/>
              </a:cxn>
              <a:cxn ang="0">
                <a:pos x="connsiteX8249" y="connsiteY8249"/>
              </a:cxn>
              <a:cxn ang="0">
                <a:pos x="connsiteX8250" y="connsiteY8250"/>
              </a:cxn>
              <a:cxn ang="0">
                <a:pos x="connsiteX8251" y="connsiteY8251"/>
              </a:cxn>
              <a:cxn ang="0">
                <a:pos x="connsiteX8252" y="connsiteY8252"/>
              </a:cxn>
              <a:cxn ang="0">
                <a:pos x="connsiteX8253" y="connsiteY8253"/>
              </a:cxn>
              <a:cxn ang="0">
                <a:pos x="connsiteX8254" y="connsiteY8254"/>
              </a:cxn>
              <a:cxn ang="0">
                <a:pos x="connsiteX8255" y="connsiteY8255"/>
              </a:cxn>
              <a:cxn ang="0">
                <a:pos x="connsiteX8256" y="connsiteY8256"/>
              </a:cxn>
              <a:cxn ang="0">
                <a:pos x="connsiteX8257" y="connsiteY8257"/>
              </a:cxn>
              <a:cxn ang="0">
                <a:pos x="connsiteX8258" y="connsiteY8258"/>
              </a:cxn>
              <a:cxn ang="0">
                <a:pos x="connsiteX8259" y="connsiteY8259"/>
              </a:cxn>
              <a:cxn ang="0">
                <a:pos x="connsiteX8260" y="connsiteY8260"/>
              </a:cxn>
              <a:cxn ang="0">
                <a:pos x="connsiteX8261" y="connsiteY8261"/>
              </a:cxn>
              <a:cxn ang="0">
                <a:pos x="connsiteX8262" y="connsiteY8262"/>
              </a:cxn>
              <a:cxn ang="0">
                <a:pos x="connsiteX8263" y="connsiteY8263"/>
              </a:cxn>
              <a:cxn ang="0">
                <a:pos x="connsiteX8264" y="connsiteY8264"/>
              </a:cxn>
              <a:cxn ang="0">
                <a:pos x="connsiteX8265" y="connsiteY8265"/>
              </a:cxn>
              <a:cxn ang="0">
                <a:pos x="connsiteX8266" y="connsiteY8266"/>
              </a:cxn>
              <a:cxn ang="0">
                <a:pos x="connsiteX8267" y="connsiteY8267"/>
              </a:cxn>
              <a:cxn ang="0">
                <a:pos x="connsiteX8268" y="connsiteY8268"/>
              </a:cxn>
              <a:cxn ang="0">
                <a:pos x="connsiteX8269" y="connsiteY8269"/>
              </a:cxn>
              <a:cxn ang="0">
                <a:pos x="connsiteX8270" y="connsiteY8270"/>
              </a:cxn>
              <a:cxn ang="0">
                <a:pos x="connsiteX8271" y="connsiteY8271"/>
              </a:cxn>
              <a:cxn ang="0">
                <a:pos x="connsiteX8272" y="connsiteY8272"/>
              </a:cxn>
              <a:cxn ang="0">
                <a:pos x="connsiteX8273" y="connsiteY8273"/>
              </a:cxn>
              <a:cxn ang="0">
                <a:pos x="connsiteX8274" y="connsiteY8274"/>
              </a:cxn>
              <a:cxn ang="0">
                <a:pos x="connsiteX8275" y="connsiteY8275"/>
              </a:cxn>
              <a:cxn ang="0">
                <a:pos x="connsiteX8276" y="connsiteY8276"/>
              </a:cxn>
              <a:cxn ang="0">
                <a:pos x="connsiteX8277" y="connsiteY8277"/>
              </a:cxn>
              <a:cxn ang="0">
                <a:pos x="connsiteX8278" y="connsiteY8278"/>
              </a:cxn>
              <a:cxn ang="0">
                <a:pos x="connsiteX8279" y="connsiteY8279"/>
              </a:cxn>
              <a:cxn ang="0">
                <a:pos x="connsiteX8280" y="connsiteY8280"/>
              </a:cxn>
              <a:cxn ang="0">
                <a:pos x="connsiteX8281" y="connsiteY8281"/>
              </a:cxn>
              <a:cxn ang="0">
                <a:pos x="connsiteX8282" y="connsiteY8282"/>
              </a:cxn>
              <a:cxn ang="0">
                <a:pos x="connsiteX8283" y="connsiteY8283"/>
              </a:cxn>
              <a:cxn ang="0">
                <a:pos x="connsiteX8284" y="connsiteY8284"/>
              </a:cxn>
              <a:cxn ang="0">
                <a:pos x="connsiteX8285" y="connsiteY8285"/>
              </a:cxn>
              <a:cxn ang="0">
                <a:pos x="connsiteX8286" y="connsiteY8286"/>
              </a:cxn>
              <a:cxn ang="0">
                <a:pos x="connsiteX8287" y="connsiteY8287"/>
              </a:cxn>
              <a:cxn ang="0">
                <a:pos x="connsiteX8288" y="connsiteY8288"/>
              </a:cxn>
              <a:cxn ang="0">
                <a:pos x="connsiteX8289" y="connsiteY8289"/>
              </a:cxn>
              <a:cxn ang="0">
                <a:pos x="connsiteX8290" y="connsiteY8290"/>
              </a:cxn>
              <a:cxn ang="0">
                <a:pos x="connsiteX8291" y="connsiteY8291"/>
              </a:cxn>
              <a:cxn ang="0">
                <a:pos x="connsiteX8292" y="connsiteY8292"/>
              </a:cxn>
              <a:cxn ang="0">
                <a:pos x="connsiteX8293" y="connsiteY8293"/>
              </a:cxn>
              <a:cxn ang="0">
                <a:pos x="connsiteX8294" y="connsiteY8294"/>
              </a:cxn>
              <a:cxn ang="0">
                <a:pos x="connsiteX8295" y="connsiteY8295"/>
              </a:cxn>
              <a:cxn ang="0">
                <a:pos x="connsiteX8296" y="connsiteY8296"/>
              </a:cxn>
              <a:cxn ang="0">
                <a:pos x="connsiteX8297" y="connsiteY8297"/>
              </a:cxn>
              <a:cxn ang="0">
                <a:pos x="connsiteX8298" y="connsiteY8298"/>
              </a:cxn>
              <a:cxn ang="0">
                <a:pos x="connsiteX8299" y="connsiteY8299"/>
              </a:cxn>
              <a:cxn ang="0">
                <a:pos x="connsiteX8300" y="connsiteY8300"/>
              </a:cxn>
              <a:cxn ang="0">
                <a:pos x="connsiteX8301" y="connsiteY8301"/>
              </a:cxn>
              <a:cxn ang="0">
                <a:pos x="connsiteX8302" y="connsiteY8302"/>
              </a:cxn>
              <a:cxn ang="0">
                <a:pos x="connsiteX8303" y="connsiteY8303"/>
              </a:cxn>
              <a:cxn ang="0">
                <a:pos x="connsiteX8304" y="connsiteY8304"/>
              </a:cxn>
              <a:cxn ang="0">
                <a:pos x="connsiteX8305" y="connsiteY8305"/>
              </a:cxn>
              <a:cxn ang="0">
                <a:pos x="connsiteX8306" y="connsiteY8306"/>
              </a:cxn>
              <a:cxn ang="0">
                <a:pos x="connsiteX8307" y="connsiteY8307"/>
              </a:cxn>
              <a:cxn ang="0">
                <a:pos x="connsiteX8308" y="connsiteY8308"/>
              </a:cxn>
              <a:cxn ang="0">
                <a:pos x="connsiteX8309" y="connsiteY8309"/>
              </a:cxn>
              <a:cxn ang="0">
                <a:pos x="connsiteX8310" y="connsiteY8310"/>
              </a:cxn>
              <a:cxn ang="0">
                <a:pos x="connsiteX8311" y="connsiteY8311"/>
              </a:cxn>
              <a:cxn ang="0">
                <a:pos x="connsiteX8312" y="connsiteY8312"/>
              </a:cxn>
              <a:cxn ang="0">
                <a:pos x="connsiteX8313" y="connsiteY8313"/>
              </a:cxn>
              <a:cxn ang="0">
                <a:pos x="connsiteX8314" y="connsiteY8314"/>
              </a:cxn>
              <a:cxn ang="0">
                <a:pos x="connsiteX8315" y="connsiteY8315"/>
              </a:cxn>
              <a:cxn ang="0">
                <a:pos x="connsiteX8316" y="connsiteY8316"/>
              </a:cxn>
              <a:cxn ang="0">
                <a:pos x="connsiteX8317" y="connsiteY8317"/>
              </a:cxn>
              <a:cxn ang="0">
                <a:pos x="connsiteX8318" y="connsiteY8318"/>
              </a:cxn>
              <a:cxn ang="0">
                <a:pos x="connsiteX8319" y="connsiteY8319"/>
              </a:cxn>
              <a:cxn ang="0">
                <a:pos x="connsiteX8320" y="connsiteY8320"/>
              </a:cxn>
              <a:cxn ang="0">
                <a:pos x="connsiteX8321" y="connsiteY8321"/>
              </a:cxn>
              <a:cxn ang="0">
                <a:pos x="connsiteX8322" y="connsiteY8322"/>
              </a:cxn>
              <a:cxn ang="0">
                <a:pos x="connsiteX8323" y="connsiteY8323"/>
              </a:cxn>
              <a:cxn ang="0">
                <a:pos x="connsiteX8324" y="connsiteY8324"/>
              </a:cxn>
              <a:cxn ang="0">
                <a:pos x="connsiteX8325" y="connsiteY8325"/>
              </a:cxn>
              <a:cxn ang="0">
                <a:pos x="connsiteX8326" y="connsiteY8326"/>
              </a:cxn>
              <a:cxn ang="0">
                <a:pos x="connsiteX8327" y="connsiteY8327"/>
              </a:cxn>
              <a:cxn ang="0">
                <a:pos x="connsiteX8328" y="connsiteY8328"/>
              </a:cxn>
              <a:cxn ang="0">
                <a:pos x="connsiteX8329" y="connsiteY8329"/>
              </a:cxn>
              <a:cxn ang="0">
                <a:pos x="connsiteX8330" y="connsiteY8330"/>
              </a:cxn>
              <a:cxn ang="0">
                <a:pos x="connsiteX8331" y="connsiteY8331"/>
              </a:cxn>
              <a:cxn ang="0">
                <a:pos x="connsiteX8332" y="connsiteY8332"/>
              </a:cxn>
              <a:cxn ang="0">
                <a:pos x="connsiteX8333" y="connsiteY8333"/>
              </a:cxn>
              <a:cxn ang="0">
                <a:pos x="connsiteX8334" y="connsiteY8334"/>
              </a:cxn>
              <a:cxn ang="0">
                <a:pos x="connsiteX8335" y="connsiteY8335"/>
              </a:cxn>
              <a:cxn ang="0">
                <a:pos x="connsiteX8336" y="connsiteY8336"/>
              </a:cxn>
              <a:cxn ang="0">
                <a:pos x="connsiteX8337" y="connsiteY8337"/>
              </a:cxn>
              <a:cxn ang="0">
                <a:pos x="connsiteX8338" y="connsiteY8338"/>
              </a:cxn>
              <a:cxn ang="0">
                <a:pos x="connsiteX8339" y="connsiteY8339"/>
              </a:cxn>
              <a:cxn ang="0">
                <a:pos x="connsiteX8340" y="connsiteY8340"/>
              </a:cxn>
              <a:cxn ang="0">
                <a:pos x="connsiteX8341" y="connsiteY8341"/>
              </a:cxn>
              <a:cxn ang="0">
                <a:pos x="connsiteX8342" y="connsiteY8342"/>
              </a:cxn>
              <a:cxn ang="0">
                <a:pos x="connsiteX8343" y="connsiteY8343"/>
              </a:cxn>
              <a:cxn ang="0">
                <a:pos x="connsiteX8344" y="connsiteY8344"/>
              </a:cxn>
              <a:cxn ang="0">
                <a:pos x="connsiteX8345" y="connsiteY8345"/>
              </a:cxn>
              <a:cxn ang="0">
                <a:pos x="connsiteX8346" y="connsiteY8346"/>
              </a:cxn>
              <a:cxn ang="0">
                <a:pos x="connsiteX8347" y="connsiteY8347"/>
              </a:cxn>
              <a:cxn ang="0">
                <a:pos x="connsiteX8348" y="connsiteY8348"/>
              </a:cxn>
              <a:cxn ang="0">
                <a:pos x="connsiteX8349" y="connsiteY8349"/>
              </a:cxn>
              <a:cxn ang="0">
                <a:pos x="connsiteX8350" y="connsiteY8350"/>
              </a:cxn>
              <a:cxn ang="0">
                <a:pos x="connsiteX8351" y="connsiteY8351"/>
              </a:cxn>
              <a:cxn ang="0">
                <a:pos x="connsiteX8352" y="connsiteY8352"/>
              </a:cxn>
              <a:cxn ang="0">
                <a:pos x="connsiteX8353" y="connsiteY8353"/>
              </a:cxn>
              <a:cxn ang="0">
                <a:pos x="connsiteX8354" y="connsiteY8354"/>
              </a:cxn>
              <a:cxn ang="0">
                <a:pos x="connsiteX8355" y="connsiteY8355"/>
              </a:cxn>
              <a:cxn ang="0">
                <a:pos x="connsiteX8356" y="connsiteY8356"/>
              </a:cxn>
              <a:cxn ang="0">
                <a:pos x="connsiteX8357" y="connsiteY8357"/>
              </a:cxn>
              <a:cxn ang="0">
                <a:pos x="connsiteX8358" y="connsiteY8358"/>
              </a:cxn>
              <a:cxn ang="0">
                <a:pos x="connsiteX8359" y="connsiteY8359"/>
              </a:cxn>
              <a:cxn ang="0">
                <a:pos x="connsiteX8360" y="connsiteY8360"/>
              </a:cxn>
              <a:cxn ang="0">
                <a:pos x="connsiteX8361" y="connsiteY8361"/>
              </a:cxn>
              <a:cxn ang="0">
                <a:pos x="connsiteX8362" y="connsiteY8362"/>
              </a:cxn>
              <a:cxn ang="0">
                <a:pos x="connsiteX8363" y="connsiteY8363"/>
              </a:cxn>
              <a:cxn ang="0">
                <a:pos x="connsiteX8364" y="connsiteY8364"/>
              </a:cxn>
              <a:cxn ang="0">
                <a:pos x="connsiteX8365" y="connsiteY8365"/>
              </a:cxn>
              <a:cxn ang="0">
                <a:pos x="connsiteX8366" y="connsiteY8366"/>
              </a:cxn>
              <a:cxn ang="0">
                <a:pos x="connsiteX8367" y="connsiteY8367"/>
              </a:cxn>
              <a:cxn ang="0">
                <a:pos x="connsiteX8368" y="connsiteY8368"/>
              </a:cxn>
              <a:cxn ang="0">
                <a:pos x="connsiteX8369" y="connsiteY8369"/>
              </a:cxn>
              <a:cxn ang="0">
                <a:pos x="connsiteX8370" y="connsiteY8370"/>
              </a:cxn>
              <a:cxn ang="0">
                <a:pos x="connsiteX8371" y="connsiteY8371"/>
              </a:cxn>
              <a:cxn ang="0">
                <a:pos x="connsiteX8372" y="connsiteY8372"/>
              </a:cxn>
              <a:cxn ang="0">
                <a:pos x="connsiteX8373" y="connsiteY8373"/>
              </a:cxn>
              <a:cxn ang="0">
                <a:pos x="connsiteX8374" y="connsiteY8374"/>
              </a:cxn>
              <a:cxn ang="0">
                <a:pos x="connsiteX8375" y="connsiteY8375"/>
              </a:cxn>
              <a:cxn ang="0">
                <a:pos x="connsiteX8376" y="connsiteY8376"/>
              </a:cxn>
              <a:cxn ang="0">
                <a:pos x="connsiteX8377" y="connsiteY8377"/>
              </a:cxn>
              <a:cxn ang="0">
                <a:pos x="connsiteX8378" y="connsiteY8378"/>
              </a:cxn>
              <a:cxn ang="0">
                <a:pos x="connsiteX8379" y="connsiteY8379"/>
              </a:cxn>
              <a:cxn ang="0">
                <a:pos x="connsiteX8380" y="connsiteY8380"/>
              </a:cxn>
              <a:cxn ang="0">
                <a:pos x="connsiteX8381" y="connsiteY8381"/>
              </a:cxn>
              <a:cxn ang="0">
                <a:pos x="connsiteX8382" y="connsiteY8382"/>
              </a:cxn>
              <a:cxn ang="0">
                <a:pos x="connsiteX8383" y="connsiteY8383"/>
              </a:cxn>
              <a:cxn ang="0">
                <a:pos x="connsiteX8384" y="connsiteY8384"/>
              </a:cxn>
              <a:cxn ang="0">
                <a:pos x="connsiteX8385" y="connsiteY8385"/>
              </a:cxn>
              <a:cxn ang="0">
                <a:pos x="connsiteX8386" y="connsiteY8386"/>
              </a:cxn>
              <a:cxn ang="0">
                <a:pos x="connsiteX8387" y="connsiteY8387"/>
              </a:cxn>
              <a:cxn ang="0">
                <a:pos x="connsiteX8388" y="connsiteY8388"/>
              </a:cxn>
              <a:cxn ang="0">
                <a:pos x="connsiteX8389" y="connsiteY8389"/>
              </a:cxn>
              <a:cxn ang="0">
                <a:pos x="connsiteX8390" y="connsiteY8390"/>
              </a:cxn>
              <a:cxn ang="0">
                <a:pos x="connsiteX8391" y="connsiteY8391"/>
              </a:cxn>
              <a:cxn ang="0">
                <a:pos x="connsiteX8392" y="connsiteY8392"/>
              </a:cxn>
              <a:cxn ang="0">
                <a:pos x="connsiteX8393" y="connsiteY8393"/>
              </a:cxn>
              <a:cxn ang="0">
                <a:pos x="connsiteX8394" y="connsiteY8394"/>
              </a:cxn>
              <a:cxn ang="0">
                <a:pos x="connsiteX8395" y="connsiteY8395"/>
              </a:cxn>
              <a:cxn ang="0">
                <a:pos x="connsiteX8396" y="connsiteY8396"/>
              </a:cxn>
              <a:cxn ang="0">
                <a:pos x="connsiteX8397" y="connsiteY8397"/>
              </a:cxn>
              <a:cxn ang="0">
                <a:pos x="connsiteX8398" y="connsiteY8398"/>
              </a:cxn>
              <a:cxn ang="0">
                <a:pos x="connsiteX8399" y="connsiteY8399"/>
              </a:cxn>
              <a:cxn ang="0">
                <a:pos x="connsiteX8400" y="connsiteY8400"/>
              </a:cxn>
              <a:cxn ang="0">
                <a:pos x="connsiteX8401" y="connsiteY8401"/>
              </a:cxn>
              <a:cxn ang="0">
                <a:pos x="connsiteX8402" y="connsiteY8402"/>
              </a:cxn>
              <a:cxn ang="0">
                <a:pos x="connsiteX8403" y="connsiteY8403"/>
              </a:cxn>
              <a:cxn ang="0">
                <a:pos x="connsiteX8404" y="connsiteY8404"/>
              </a:cxn>
              <a:cxn ang="0">
                <a:pos x="connsiteX8405" y="connsiteY8405"/>
              </a:cxn>
              <a:cxn ang="0">
                <a:pos x="connsiteX8406" y="connsiteY8406"/>
              </a:cxn>
              <a:cxn ang="0">
                <a:pos x="connsiteX8407" y="connsiteY8407"/>
              </a:cxn>
              <a:cxn ang="0">
                <a:pos x="connsiteX8408" y="connsiteY8408"/>
              </a:cxn>
              <a:cxn ang="0">
                <a:pos x="connsiteX8409" y="connsiteY8409"/>
              </a:cxn>
              <a:cxn ang="0">
                <a:pos x="connsiteX8410" y="connsiteY8410"/>
              </a:cxn>
              <a:cxn ang="0">
                <a:pos x="connsiteX8411" y="connsiteY8411"/>
              </a:cxn>
              <a:cxn ang="0">
                <a:pos x="connsiteX8412" y="connsiteY8412"/>
              </a:cxn>
              <a:cxn ang="0">
                <a:pos x="connsiteX8413" y="connsiteY8413"/>
              </a:cxn>
              <a:cxn ang="0">
                <a:pos x="connsiteX8414" y="connsiteY8414"/>
              </a:cxn>
              <a:cxn ang="0">
                <a:pos x="connsiteX8415" y="connsiteY8415"/>
              </a:cxn>
              <a:cxn ang="0">
                <a:pos x="connsiteX8416" y="connsiteY8416"/>
              </a:cxn>
              <a:cxn ang="0">
                <a:pos x="connsiteX8417" y="connsiteY8417"/>
              </a:cxn>
              <a:cxn ang="0">
                <a:pos x="connsiteX8418" y="connsiteY8418"/>
              </a:cxn>
              <a:cxn ang="0">
                <a:pos x="connsiteX8419" y="connsiteY8419"/>
              </a:cxn>
              <a:cxn ang="0">
                <a:pos x="connsiteX8420" y="connsiteY8420"/>
              </a:cxn>
              <a:cxn ang="0">
                <a:pos x="connsiteX8421" y="connsiteY8421"/>
              </a:cxn>
              <a:cxn ang="0">
                <a:pos x="connsiteX8422" y="connsiteY8422"/>
              </a:cxn>
              <a:cxn ang="0">
                <a:pos x="connsiteX8423" y="connsiteY8423"/>
              </a:cxn>
              <a:cxn ang="0">
                <a:pos x="connsiteX8424" y="connsiteY8424"/>
              </a:cxn>
              <a:cxn ang="0">
                <a:pos x="connsiteX8425" y="connsiteY8425"/>
              </a:cxn>
              <a:cxn ang="0">
                <a:pos x="connsiteX8426" y="connsiteY8426"/>
              </a:cxn>
              <a:cxn ang="0">
                <a:pos x="connsiteX8427" y="connsiteY8427"/>
              </a:cxn>
              <a:cxn ang="0">
                <a:pos x="connsiteX8428" y="connsiteY8428"/>
              </a:cxn>
              <a:cxn ang="0">
                <a:pos x="connsiteX8429" y="connsiteY8429"/>
              </a:cxn>
              <a:cxn ang="0">
                <a:pos x="connsiteX8430" y="connsiteY8430"/>
              </a:cxn>
              <a:cxn ang="0">
                <a:pos x="connsiteX8431" y="connsiteY8431"/>
              </a:cxn>
              <a:cxn ang="0">
                <a:pos x="connsiteX8432" y="connsiteY8432"/>
              </a:cxn>
              <a:cxn ang="0">
                <a:pos x="connsiteX8433" y="connsiteY8433"/>
              </a:cxn>
              <a:cxn ang="0">
                <a:pos x="connsiteX8434" y="connsiteY8434"/>
              </a:cxn>
              <a:cxn ang="0">
                <a:pos x="connsiteX8435" y="connsiteY8435"/>
              </a:cxn>
              <a:cxn ang="0">
                <a:pos x="connsiteX8436" y="connsiteY8436"/>
              </a:cxn>
              <a:cxn ang="0">
                <a:pos x="connsiteX8437" y="connsiteY8437"/>
              </a:cxn>
              <a:cxn ang="0">
                <a:pos x="connsiteX8438" y="connsiteY8438"/>
              </a:cxn>
              <a:cxn ang="0">
                <a:pos x="connsiteX8439" y="connsiteY8439"/>
              </a:cxn>
              <a:cxn ang="0">
                <a:pos x="connsiteX8440" y="connsiteY8440"/>
              </a:cxn>
              <a:cxn ang="0">
                <a:pos x="connsiteX8441" y="connsiteY8441"/>
              </a:cxn>
              <a:cxn ang="0">
                <a:pos x="connsiteX8442" y="connsiteY8442"/>
              </a:cxn>
              <a:cxn ang="0">
                <a:pos x="connsiteX8443" y="connsiteY8443"/>
              </a:cxn>
              <a:cxn ang="0">
                <a:pos x="connsiteX8444" y="connsiteY8444"/>
              </a:cxn>
              <a:cxn ang="0">
                <a:pos x="connsiteX8445" y="connsiteY8445"/>
              </a:cxn>
              <a:cxn ang="0">
                <a:pos x="connsiteX8446" y="connsiteY8446"/>
              </a:cxn>
              <a:cxn ang="0">
                <a:pos x="connsiteX8447" y="connsiteY8447"/>
              </a:cxn>
              <a:cxn ang="0">
                <a:pos x="connsiteX8448" y="connsiteY8448"/>
              </a:cxn>
              <a:cxn ang="0">
                <a:pos x="connsiteX8449" y="connsiteY8449"/>
              </a:cxn>
              <a:cxn ang="0">
                <a:pos x="connsiteX8450" y="connsiteY8450"/>
              </a:cxn>
              <a:cxn ang="0">
                <a:pos x="connsiteX8451" y="connsiteY8451"/>
              </a:cxn>
              <a:cxn ang="0">
                <a:pos x="connsiteX8452" y="connsiteY8452"/>
              </a:cxn>
              <a:cxn ang="0">
                <a:pos x="connsiteX8453" y="connsiteY8453"/>
              </a:cxn>
              <a:cxn ang="0">
                <a:pos x="connsiteX8454" y="connsiteY8454"/>
              </a:cxn>
              <a:cxn ang="0">
                <a:pos x="connsiteX8455" y="connsiteY8455"/>
              </a:cxn>
              <a:cxn ang="0">
                <a:pos x="connsiteX8456" y="connsiteY8456"/>
              </a:cxn>
              <a:cxn ang="0">
                <a:pos x="connsiteX8457" y="connsiteY8457"/>
              </a:cxn>
              <a:cxn ang="0">
                <a:pos x="connsiteX8458" y="connsiteY8458"/>
              </a:cxn>
              <a:cxn ang="0">
                <a:pos x="connsiteX8459" y="connsiteY8459"/>
              </a:cxn>
              <a:cxn ang="0">
                <a:pos x="connsiteX8460" y="connsiteY8460"/>
              </a:cxn>
              <a:cxn ang="0">
                <a:pos x="connsiteX8461" y="connsiteY8461"/>
              </a:cxn>
              <a:cxn ang="0">
                <a:pos x="connsiteX8462" y="connsiteY8462"/>
              </a:cxn>
              <a:cxn ang="0">
                <a:pos x="connsiteX8463" y="connsiteY8463"/>
              </a:cxn>
              <a:cxn ang="0">
                <a:pos x="connsiteX8464" y="connsiteY8464"/>
              </a:cxn>
              <a:cxn ang="0">
                <a:pos x="connsiteX8465" y="connsiteY8465"/>
              </a:cxn>
              <a:cxn ang="0">
                <a:pos x="connsiteX8466" y="connsiteY8466"/>
              </a:cxn>
              <a:cxn ang="0">
                <a:pos x="connsiteX8467" y="connsiteY8467"/>
              </a:cxn>
              <a:cxn ang="0">
                <a:pos x="connsiteX8468" y="connsiteY8468"/>
              </a:cxn>
              <a:cxn ang="0">
                <a:pos x="connsiteX8469" y="connsiteY8469"/>
              </a:cxn>
              <a:cxn ang="0">
                <a:pos x="connsiteX8470" y="connsiteY8470"/>
              </a:cxn>
              <a:cxn ang="0">
                <a:pos x="connsiteX8471" y="connsiteY8471"/>
              </a:cxn>
              <a:cxn ang="0">
                <a:pos x="connsiteX8472" y="connsiteY8472"/>
              </a:cxn>
              <a:cxn ang="0">
                <a:pos x="connsiteX8473" y="connsiteY8473"/>
              </a:cxn>
              <a:cxn ang="0">
                <a:pos x="connsiteX8474" y="connsiteY8474"/>
              </a:cxn>
              <a:cxn ang="0">
                <a:pos x="connsiteX8475" y="connsiteY8475"/>
              </a:cxn>
              <a:cxn ang="0">
                <a:pos x="connsiteX8476" y="connsiteY8476"/>
              </a:cxn>
              <a:cxn ang="0">
                <a:pos x="connsiteX8477" y="connsiteY8477"/>
              </a:cxn>
              <a:cxn ang="0">
                <a:pos x="connsiteX8478" y="connsiteY8478"/>
              </a:cxn>
              <a:cxn ang="0">
                <a:pos x="connsiteX8479" y="connsiteY8479"/>
              </a:cxn>
              <a:cxn ang="0">
                <a:pos x="connsiteX8480" y="connsiteY8480"/>
              </a:cxn>
              <a:cxn ang="0">
                <a:pos x="connsiteX8481" y="connsiteY8481"/>
              </a:cxn>
              <a:cxn ang="0">
                <a:pos x="connsiteX8482" y="connsiteY8482"/>
              </a:cxn>
              <a:cxn ang="0">
                <a:pos x="connsiteX8483" y="connsiteY8483"/>
              </a:cxn>
              <a:cxn ang="0">
                <a:pos x="connsiteX8484" y="connsiteY8484"/>
              </a:cxn>
              <a:cxn ang="0">
                <a:pos x="connsiteX8485" y="connsiteY8485"/>
              </a:cxn>
              <a:cxn ang="0">
                <a:pos x="connsiteX8486" y="connsiteY8486"/>
              </a:cxn>
              <a:cxn ang="0">
                <a:pos x="connsiteX8487" y="connsiteY8487"/>
              </a:cxn>
              <a:cxn ang="0">
                <a:pos x="connsiteX8488" y="connsiteY8488"/>
              </a:cxn>
              <a:cxn ang="0">
                <a:pos x="connsiteX8489" y="connsiteY8489"/>
              </a:cxn>
              <a:cxn ang="0">
                <a:pos x="connsiteX8490" y="connsiteY8490"/>
              </a:cxn>
              <a:cxn ang="0">
                <a:pos x="connsiteX8491" y="connsiteY8491"/>
              </a:cxn>
              <a:cxn ang="0">
                <a:pos x="connsiteX8492" y="connsiteY8492"/>
              </a:cxn>
              <a:cxn ang="0">
                <a:pos x="connsiteX8493" y="connsiteY8493"/>
              </a:cxn>
              <a:cxn ang="0">
                <a:pos x="connsiteX8494" y="connsiteY8494"/>
              </a:cxn>
              <a:cxn ang="0">
                <a:pos x="connsiteX8495" y="connsiteY8495"/>
              </a:cxn>
              <a:cxn ang="0">
                <a:pos x="connsiteX8496" y="connsiteY8496"/>
              </a:cxn>
              <a:cxn ang="0">
                <a:pos x="connsiteX8497" y="connsiteY8497"/>
              </a:cxn>
              <a:cxn ang="0">
                <a:pos x="connsiteX8498" y="connsiteY8498"/>
              </a:cxn>
              <a:cxn ang="0">
                <a:pos x="connsiteX8499" y="connsiteY8499"/>
              </a:cxn>
              <a:cxn ang="0">
                <a:pos x="connsiteX8500" y="connsiteY8500"/>
              </a:cxn>
              <a:cxn ang="0">
                <a:pos x="connsiteX8501" y="connsiteY8501"/>
              </a:cxn>
              <a:cxn ang="0">
                <a:pos x="connsiteX8502" y="connsiteY8502"/>
              </a:cxn>
              <a:cxn ang="0">
                <a:pos x="connsiteX8503" y="connsiteY8503"/>
              </a:cxn>
              <a:cxn ang="0">
                <a:pos x="connsiteX8504" y="connsiteY8504"/>
              </a:cxn>
              <a:cxn ang="0">
                <a:pos x="connsiteX8505" y="connsiteY8505"/>
              </a:cxn>
              <a:cxn ang="0">
                <a:pos x="connsiteX8506" y="connsiteY8506"/>
              </a:cxn>
              <a:cxn ang="0">
                <a:pos x="connsiteX8507" y="connsiteY8507"/>
              </a:cxn>
              <a:cxn ang="0">
                <a:pos x="connsiteX8508" y="connsiteY8508"/>
              </a:cxn>
              <a:cxn ang="0">
                <a:pos x="connsiteX8509" y="connsiteY8509"/>
              </a:cxn>
              <a:cxn ang="0">
                <a:pos x="connsiteX8510" y="connsiteY8510"/>
              </a:cxn>
              <a:cxn ang="0">
                <a:pos x="connsiteX8511" y="connsiteY8511"/>
              </a:cxn>
              <a:cxn ang="0">
                <a:pos x="connsiteX8512" y="connsiteY8512"/>
              </a:cxn>
              <a:cxn ang="0">
                <a:pos x="connsiteX8513" y="connsiteY8513"/>
              </a:cxn>
              <a:cxn ang="0">
                <a:pos x="connsiteX8514" y="connsiteY8514"/>
              </a:cxn>
              <a:cxn ang="0">
                <a:pos x="connsiteX8515" y="connsiteY8515"/>
              </a:cxn>
              <a:cxn ang="0">
                <a:pos x="connsiteX8516" y="connsiteY8516"/>
              </a:cxn>
              <a:cxn ang="0">
                <a:pos x="connsiteX8517" y="connsiteY8517"/>
              </a:cxn>
              <a:cxn ang="0">
                <a:pos x="connsiteX8518" y="connsiteY8518"/>
              </a:cxn>
              <a:cxn ang="0">
                <a:pos x="connsiteX8519" y="connsiteY8519"/>
              </a:cxn>
              <a:cxn ang="0">
                <a:pos x="connsiteX8520" y="connsiteY8520"/>
              </a:cxn>
              <a:cxn ang="0">
                <a:pos x="connsiteX8521" y="connsiteY8521"/>
              </a:cxn>
              <a:cxn ang="0">
                <a:pos x="connsiteX8522" y="connsiteY8522"/>
              </a:cxn>
              <a:cxn ang="0">
                <a:pos x="connsiteX8523" y="connsiteY8523"/>
              </a:cxn>
              <a:cxn ang="0">
                <a:pos x="connsiteX8524" y="connsiteY8524"/>
              </a:cxn>
              <a:cxn ang="0">
                <a:pos x="connsiteX8525" y="connsiteY8525"/>
              </a:cxn>
              <a:cxn ang="0">
                <a:pos x="connsiteX8526" y="connsiteY8526"/>
              </a:cxn>
              <a:cxn ang="0">
                <a:pos x="connsiteX8527" y="connsiteY8527"/>
              </a:cxn>
              <a:cxn ang="0">
                <a:pos x="connsiteX8528" y="connsiteY8528"/>
              </a:cxn>
              <a:cxn ang="0">
                <a:pos x="connsiteX8529" y="connsiteY8529"/>
              </a:cxn>
              <a:cxn ang="0">
                <a:pos x="connsiteX8530" y="connsiteY8530"/>
              </a:cxn>
              <a:cxn ang="0">
                <a:pos x="connsiteX8531" y="connsiteY8531"/>
              </a:cxn>
              <a:cxn ang="0">
                <a:pos x="connsiteX8532" y="connsiteY8532"/>
              </a:cxn>
              <a:cxn ang="0">
                <a:pos x="connsiteX8533" y="connsiteY8533"/>
              </a:cxn>
              <a:cxn ang="0">
                <a:pos x="connsiteX8534" y="connsiteY8534"/>
              </a:cxn>
              <a:cxn ang="0">
                <a:pos x="connsiteX8535" y="connsiteY8535"/>
              </a:cxn>
              <a:cxn ang="0">
                <a:pos x="connsiteX8536" y="connsiteY8536"/>
              </a:cxn>
              <a:cxn ang="0">
                <a:pos x="connsiteX8537" y="connsiteY8537"/>
              </a:cxn>
              <a:cxn ang="0">
                <a:pos x="connsiteX8538" y="connsiteY8538"/>
              </a:cxn>
              <a:cxn ang="0">
                <a:pos x="connsiteX8539" y="connsiteY8539"/>
              </a:cxn>
              <a:cxn ang="0">
                <a:pos x="connsiteX8540" y="connsiteY8540"/>
              </a:cxn>
              <a:cxn ang="0">
                <a:pos x="connsiteX8541" y="connsiteY8541"/>
              </a:cxn>
              <a:cxn ang="0">
                <a:pos x="connsiteX8542" y="connsiteY8542"/>
              </a:cxn>
              <a:cxn ang="0">
                <a:pos x="connsiteX8543" y="connsiteY8543"/>
              </a:cxn>
              <a:cxn ang="0">
                <a:pos x="connsiteX8544" y="connsiteY8544"/>
              </a:cxn>
              <a:cxn ang="0">
                <a:pos x="connsiteX8545" y="connsiteY8545"/>
              </a:cxn>
              <a:cxn ang="0">
                <a:pos x="connsiteX8546" y="connsiteY8546"/>
              </a:cxn>
              <a:cxn ang="0">
                <a:pos x="connsiteX8547" y="connsiteY8547"/>
              </a:cxn>
              <a:cxn ang="0">
                <a:pos x="connsiteX8548" y="connsiteY8548"/>
              </a:cxn>
              <a:cxn ang="0">
                <a:pos x="connsiteX8549" y="connsiteY8549"/>
              </a:cxn>
              <a:cxn ang="0">
                <a:pos x="connsiteX8550" y="connsiteY8550"/>
              </a:cxn>
              <a:cxn ang="0">
                <a:pos x="connsiteX8551" y="connsiteY8551"/>
              </a:cxn>
              <a:cxn ang="0">
                <a:pos x="connsiteX8552" y="connsiteY8552"/>
              </a:cxn>
              <a:cxn ang="0">
                <a:pos x="connsiteX8553" y="connsiteY8553"/>
              </a:cxn>
              <a:cxn ang="0">
                <a:pos x="connsiteX8554" y="connsiteY8554"/>
              </a:cxn>
              <a:cxn ang="0">
                <a:pos x="connsiteX8555" y="connsiteY8555"/>
              </a:cxn>
              <a:cxn ang="0">
                <a:pos x="connsiteX8556" y="connsiteY8556"/>
              </a:cxn>
              <a:cxn ang="0">
                <a:pos x="connsiteX8557" y="connsiteY8557"/>
              </a:cxn>
              <a:cxn ang="0">
                <a:pos x="connsiteX8558" y="connsiteY8558"/>
              </a:cxn>
              <a:cxn ang="0">
                <a:pos x="connsiteX8559" y="connsiteY8559"/>
              </a:cxn>
              <a:cxn ang="0">
                <a:pos x="connsiteX8560" y="connsiteY8560"/>
              </a:cxn>
              <a:cxn ang="0">
                <a:pos x="connsiteX8561" y="connsiteY8561"/>
              </a:cxn>
              <a:cxn ang="0">
                <a:pos x="connsiteX8562" y="connsiteY8562"/>
              </a:cxn>
              <a:cxn ang="0">
                <a:pos x="connsiteX8563" y="connsiteY8563"/>
              </a:cxn>
              <a:cxn ang="0">
                <a:pos x="connsiteX8564" y="connsiteY8564"/>
              </a:cxn>
              <a:cxn ang="0">
                <a:pos x="connsiteX8565" y="connsiteY8565"/>
              </a:cxn>
              <a:cxn ang="0">
                <a:pos x="connsiteX8566" y="connsiteY8566"/>
              </a:cxn>
              <a:cxn ang="0">
                <a:pos x="connsiteX8567" y="connsiteY8567"/>
              </a:cxn>
              <a:cxn ang="0">
                <a:pos x="connsiteX8568" y="connsiteY8568"/>
              </a:cxn>
              <a:cxn ang="0">
                <a:pos x="connsiteX8569" y="connsiteY8569"/>
              </a:cxn>
              <a:cxn ang="0">
                <a:pos x="connsiteX8570" y="connsiteY8570"/>
              </a:cxn>
              <a:cxn ang="0">
                <a:pos x="connsiteX8571" y="connsiteY8571"/>
              </a:cxn>
              <a:cxn ang="0">
                <a:pos x="connsiteX8572" y="connsiteY8572"/>
              </a:cxn>
              <a:cxn ang="0">
                <a:pos x="connsiteX8573" y="connsiteY8573"/>
              </a:cxn>
              <a:cxn ang="0">
                <a:pos x="connsiteX8574" y="connsiteY8574"/>
              </a:cxn>
              <a:cxn ang="0">
                <a:pos x="connsiteX8575" y="connsiteY8575"/>
              </a:cxn>
              <a:cxn ang="0">
                <a:pos x="connsiteX8576" y="connsiteY8576"/>
              </a:cxn>
              <a:cxn ang="0">
                <a:pos x="connsiteX8577" y="connsiteY8577"/>
              </a:cxn>
              <a:cxn ang="0">
                <a:pos x="connsiteX8578" y="connsiteY8578"/>
              </a:cxn>
              <a:cxn ang="0">
                <a:pos x="connsiteX8579" y="connsiteY8579"/>
              </a:cxn>
              <a:cxn ang="0">
                <a:pos x="connsiteX8580" y="connsiteY8580"/>
              </a:cxn>
              <a:cxn ang="0">
                <a:pos x="connsiteX8581" y="connsiteY8581"/>
              </a:cxn>
              <a:cxn ang="0">
                <a:pos x="connsiteX8582" y="connsiteY8582"/>
              </a:cxn>
              <a:cxn ang="0">
                <a:pos x="connsiteX8583" y="connsiteY8583"/>
              </a:cxn>
              <a:cxn ang="0">
                <a:pos x="connsiteX8584" y="connsiteY8584"/>
              </a:cxn>
              <a:cxn ang="0">
                <a:pos x="connsiteX8585" y="connsiteY8585"/>
              </a:cxn>
              <a:cxn ang="0">
                <a:pos x="connsiteX8586" y="connsiteY8586"/>
              </a:cxn>
              <a:cxn ang="0">
                <a:pos x="connsiteX8587" y="connsiteY8587"/>
              </a:cxn>
              <a:cxn ang="0">
                <a:pos x="connsiteX8588" y="connsiteY8588"/>
              </a:cxn>
              <a:cxn ang="0">
                <a:pos x="connsiteX8589" y="connsiteY8589"/>
              </a:cxn>
              <a:cxn ang="0">
                <a:pos x="connsiteX8590" y="connsiteY8590"/>
              </a:cxn>
              <a:cxn ang="0">
                <a:pos x="connsiteX8591" y="connsiteY8591"/>
              </a:cxn>
              <a:cxn ang="0">
                <a:pos x="connsiteX8592" y="connsiteY8592"/>
              </a:cxn>
              <a:cxn ang="0">
                <a:pos x="connsiteX8593" y="connsiteY8593"/>
              </a:cxn>
              <a:cxn ang="0">
                <a:pos x="connsiteX8594" y="connsiteY8594"/>
              </a:cxn>
              <a:cxn ang="0">
                <a:pos x="connsiteX8595" y="connsiteY8595"/>
              </a:cxn>
              <a:cxn ang="0">
                <a:pos x="connsiteX8596" y="connsiteY8596"/>
              </a:cxn>
              <a:cxn ang="0">
                <a:pos x="connsiteX8597" y="connsiteY8597"/>
              </a:cxn>
              <a:cxn ang="0">
                <a:pos x="connsiteX8598" y="connsiteY8598"/>
              </a:cxn>
              <a:cxn ang="0">
                <a:pos x="connsiteX8599" y="connsiteY8599"/>
              </a:cxn>
              <a:cxn ang="0">
                <a:pos x="connsiteX8600" y="connsiteY8600"/>
              </a:cxn>
              <a:cxn ang="0">
                <a:pos x="connsiteX8601" y="connsiteY8601"/>
              </a:cxn>
              <a:cxn ang="0">
                <a:pos x="connsiteX8602" y="connsiteY8602"/>
              </a:cxn>
              <a:cxn ang="0">
                <a:pos x="connsiteX8603" y="connsiteY8603"/>
              </a:cxn>
              <a:cxn ang="0">
                <a:pos x="connsiteX8604" y="connsiteY8604"/>
              </a:cxn>
              <a:cxn ang="0">
                <a:pos x="connsiteX8605" y="connsiteY8605"/>
              </a:cxn>
              <a:cxn ang="0">
                <a:pos x="connsiteX8606" y="connsiteY8606"/>
              </a:cxn>
              <a:cxn ang="0">
                <a:pos x="connsiteX8607" y="connsiteY8607"/>
              </a:cxn>
              <a:cxn ang="0">
                <a:pos x="connsiteX8608" y="connsiteY8608"/>
              </a:cxn>
              <a:cxn ang="0">
                <a:pos x="connsiteX8609" y="connsiteY8609"/>
              </a:cxn>
              <a:cxn ang="0">
                <a:pos x="connsiteX8610" y="connsiteY8610"/>
              </a:cxn>
              <a:cxn ang="0">
                <a:pos x="connsiteX8611" y="connsiteY8611"/>
              </a:cxn>
              <a:cxn ang="0">
                <a:pos x="connsiteX8612" y="connsiteY8612"/>
              </a:cxn>
              <a:cxn ang="0">
                <a:pos x="connsiteX8613" y="connsiteY8613"/>
              </a:cxn>
              <a:cxn ang="0">
                <a:pos x="connsiteX8614" y="connsiteY8614"/>
              </a:cxn>
              <a:cxn ang="0">
                <a:pos x="connsiteX8615" y="connsiteY8615"/>
              </a:cxn>
              <a:cxn ang="0">
                <a:pos x="connsiteX8616" y="connsiteY8616"/>
              </a:cxn>
              <a:cxn ang="0">
                <a:pos x="connsiteX8617" y="connsiteY8617"/>
              </a:cxn>
              <a:cxn ang="0">
                <a:pos x="connsiteX8618" y="connsiteY8618"/>
              </a:cxn>
              <a:cxn ang="0">
                <a:pos x="connsiteX8619" y="connsiteY8619"/>
              </a:cxn>
              <a:cxn ang="0">
                <a:pos x="connsiteX8620" y="connsiteY8620"/>
              </a:cxn>
              <a:cxn ang="0">
                <a:pos x="connsiteX8621" y="connsiteY8621"/>
              </a:cxn>
              <a:cxn ang="0">
                <a:pos x="connsiteX8622" y="connsiteY8622"/>
              </a:cxn>
              <a:cxn ang="0">
                <a:pos x="connsiteX8623" y="connsiteY8623"/>
              </a:cxn>
              <a:cxn ang="0">
                <a:pos x="connsiteX8624" y="connsiteY8624"/>
              </a:cxn>
              <a:cxn ang="0">
                <a:pos x="connsiteX8625" y="connsiteY8625"/>
              </a:cxn>
              <a:cxn ang="0">
                <a:pos x="connsiteX8626" y="connsiteY8626"/>
              </a:cxn>
              <a:cxn ang="0">
                <a:pos x="connsiteX8627" y="connsiteY8627"/>
              </a:cxn>
              <a:cxn ang="0">
                <a:pos x="connsiteX8628" y="connsiteY8628"/>
              </a:cxn>
              <a:cxn ang="0">
                <a:pos x="connsiteX8629" y="connsiteY8629"/>
              </a:cxn>
              <a:cxn ang="0">
                <a:pos x="connsiteX8630" y="connsiteY8630"/>
              </a:cxn>
              <a:cxn ang="0">
                <a:pos x="connsiteX8631" y="connsiteY8631"/>
              </a:cxn>
              <a:cxn ang="0">
                <a:pos x="connsiteX8632" y="connsiteY8632"/>
              </a:cxn>
              <a:cxn ang="0">
                <a:pos x="connsiteX8633" y="connsiteY8633"/>
              </a:cxn>
              <a:cxn ang="0">
                <a:pos x="connsiteX8634" y="connsiteY8634"/>
              </a:cxn>
              <a:cxn ang="0">
                <a:pos x="connsiteX8635" y="connsiteY8635"/>
              </a:cxn>
              <a:cxn ang="0">
                <a:pos x="connsiteX8636" y="connsiteY8636"/>
              </a:cxn>
              <a:cxn ang="0">
                <a:pos x="connsiteX8637" y="connsiteY8637"/>
              </a:cxn>
              <a:cxn ang="0">
                <a:pos x="connsiteX8638" y="connsiteY8638"/>
              </a:cxn>
              <a:cxn ang="0">
                <a:pos x="connsiteX8639" y="connsiteY8639"/>
              </a:cxn>
              <a:cxn ang="0">
                <a:pos x="connsiteX8640" y="connsiteY8640"/>
              </a:cxn>
              <a:cxn ang="0">
                <a:pos x="connsiteX8641" y="connsiteY8641"/>
              </a:cxn>
              <a:cxn ang="0">
                <a:pos x="connsiteX8642" y="connsiteY8642"/>
              </a:cxn>
              <a:cxn ang="0">
                <a:pos x="connsiteX8643" y="connsiteY8643"/>
              </a:cxn>
              <a:cxn ang="0">
                <a:pos x="connsiteX8644" y="connsiteY8644"/>
              </a:cxn>
              <a:cxn ang="0">
                <a:pos x="connsiteX8645" y="connsiteY8645"/>
              </a:cxn>
              <a:cxn ang="0">
                <a:pos x="connsiteX8646" y="connsiteY8646"/>
              </a:cxn>
              <a:cxn ang="0">
                <a:pos x="connsiteX8647" y="connsiteY8647"/>
              </a:cxn>
              <a:cxn ang="0">
                <a:pos x="connsiteX8648" y="connsiteY8648"/>
              </a:cxn>
              <a:cxn ang="0">
                <a:pos x="connsiteX8649" y="connsiteY8649"/>
              </a:cxn>
              <a:cxn ang="0">
                <a:pos x="connsiteX8650" y="connsiteY8650"/>
              </a:cxn>
              <a:cxn ang="0">
                <a:pos x="connsiteX8651" y="connsiteY8651"/>
              </a:cxn>
              <a:cxn ang="0">
                <a:pos x="connsiteX8652" y="connsiteY8652"/>
              </a:cxn>
              <a:cxn ang="0">
                <a:pos x="connsiteX8653" y="connsiteY8653"/>
              </a:cxn>
              <a:cxn ang="0">
                <a:pos x="connsiteX8654" y="connsiteY8654"/>
              </a:cxn>
              <a:cxn ang="0">
                <a:pos x="connsiteX8655" y="connsiteY8655"/>
              </a:cxn>
              <a:cxn ang="0">
                <a:pos x="connsiteX8656" y="connsiteY8656"/>
              </a:cxn>
              <a:cxn ang="0">
                <a:pos x="connsiteX8657" y="connsiteY8657"/>
              </a:cxn>
              <a:cxn ang="0">
                <a:pos x="connsiteX8658" y="connsiteY8658"/>
              </a:cxn>
              <a:cxn ang="0">
                <a:pos x="connsiteX8659" y="connsiteY8659"/>
              </a:cxn>
              <a:cxn ang="0">
                <a:pos x="connsiteX8660" y="connsiteY8660"/>
              </a:cxn>
              <a:cxn ang="0">
                <a:pos x="connsiteX8661" y="connsiteY8661"/>
              </a:cxn>
              <a:cxn ang="0">
                <a:pos x="connsiteX8662" y="connsiteY8662"/>
              </a:cxn>
              <a:cxn ang="0">
                <a:pos x="connsiteX8663" y="connsiteY8663"/>
              </a:cxn>
              <a:cxn ang="0">
                <a:pos x="connsiteX8664" y="connsiteY8664"/>
              </a:cxn>
              <a:cxn ang="0">
                <a:pos x="connsiteX8665" y="connsiteY8665"/>
              </a:cxn>
              <a:cxn ang="0">
                <a:pos x="connsiteX8666" y="connsiteY8666"/>
              </a:cxn>
              <a:cxn ang="0">
                <a:pos x="connsiteX8667" y="connsiteY8667"/>
              </a:cxn>
              <a:cxn ang="0">
                <a:pos x="connsiteX8668" y="connsiteY8668"/>
              </a:cxn>
              <a:cxn ang="0">
                <a:pos x="connsiteX8669" y="connsiteY8669"/>
              </a:cxn>
              <a:cxn ang="0">
                <a:pos x="connsiteX8670" y="connsiteY8670"/>
              </a:cxn>
              <a:cxn ang="0">
                <a:pos x="connsiteX8671" y="connsiteY8671"/>
              </a:cxn>
              <a:cxn ang="0">
                <a:pos x="connsiteX8672" y="connsiteY8672"/>
              </a:cxn>
              <a:cxn ang="0">
                <a:pos x="connsiteX8673" y="connsiteY8673"/>
              </a:cxn>
              <a:cxn ang="0">
                <a:pos x="connsiteX8674" y="connsiteY8674"/>
              </a:cxn>
              <a:cxn ang="0">
                <a:pos x="connsiteX8675" y="connsiteY8675"/>
              </a:cxn>
              <a:cxn ang="0">
                <a:pos x="connsiteX8676" y="connsiteY8676"/>
              </a:cxn>
              <a:cxn ang="0">
                <a:pos x="connsiteX8677" y="connsiteY8677"/>
              </a:cxn>
              <a:cxn ang="0">
                <a:pos x="connsiteX8678" y="connsiteY8678"/>
              </a:cxn>
              <a:cxn ang="0">
                <a:pos x="connsiteX8679" y="connsiteY8679"/>
              </a:cxn>
              <a:cxn ang="0">
                <a:pos x="connsiteX8680" y="connsiteY8680"/>
              </a:cxn>
              <a:cxn ang="0">
                <a:pos x="connsiteX8681" y="connsiteY8681"/>
              </a:cxn>
              <a:cxn ang="0">
                <a:pos x="connsiteX8682" y="connsiteY8682"/>
              </a:cxn>
              <a:cxn ang="0">
                <a:pos x="connsiteX8683" y="connsiteY8683"/>
              </a:cxn>
              <a:cxn ang="0">
                <a:pos x="connsiteX8684" y="connsiteY8684"/>
              </a:cxn>
              <a:cxn ang="0">
                <a:pos x="connsiteX8685" y="connsiteY8685"/>
              </a:cxn>
              <a:cxn ang="0">
                <a:pos x="connsiteX8686" y="connsiteY8686"/>
              </a:cxn>
              <a:cxn ang="0">
                <a:pos x="connsiteX8687" y="connsiteY8687"/>
              </a:cxn>
              <a:cxn ang="0">
                <a:pos x="connsiteX8688" y="connsiteY8688"/>
              </a:cxn>
              <a:cxn ang="0">
                <a:pos x="connsiteX8689" y="connsiteY8689"/>
              </a:cxn>
              <a:cxn ang="0">
                <a:pos x="connsiteX8690" y="connsiteY8690"/>
              </a:cxn>
              <a:cxn ang="0">
                <a:pos x="connsiteX8691" y="connsiteY8691"/>
              </a:cxn>
              <a:cxn ang="0">
                <a:pos x="connsiteX8692" y="connsiteY8692"/>
              </a:cxn>
              <a:cxn ang="0">
                <a:pos x="connsiteX8693" y="connsiteY8693"/>
              </a:cxn>
              <a:cxn ang="0">
                <a:pos x="connsiteX8694" y="connsiteY8694"/>
              </a:cxn>
              <a:cxn ang="0">
                <a:pos x="connsiteX8695" y="connsiteY8695"/>
              </a:cxn>
              <a:cxn ang="0">
                <a:pos x="connsiteX8696" y="connsiteY8696"/>
              </a:cxn>
              <a:cxn ang="0">
                <a:pos x="connsiteX8697" y="connsiteY8697"/>
              </a:cxn>
              <a:cxn ang="0">
                <a:pos x="connsiteX8698" y="connsiteY8698"/>
              </a:cxn>
              <a:cxn ang="0">
                <a:pos x="connsiteX8699" y="connsiteY8699"/>
              </a:cxn>
              <a:cxn ang="0">
                <a:pos x="connsiteX8700" y="connsiteY8700"/>
              </a:cxn>
              <a:cxn ang="0">
                <a:pos x="connsiteX8701" y="connsiteY8701"/>
              </a:cxn>
              <a:cxn ang="0">
                <a:pos x="connsiteX8702" y="connsiteY8702"/>
              </a:cxn>
              <a:cxn ang="0">
                <a:pos x="connsiteX8703" y="connsiteY8703"/>
              </a:cxn>
              <a:cxn ang="0">
                <a:pos x="connsiteX8704" y="connsiteY8704"/>
              </a:cxn>
              <a:cxn ang="0">
                <a:pos x="connsiteX8705" y="connsiteY8705"/>
              </a:cxn>
              <a:cxn ang="0">
                <a:pos x="connsiteX8706" y="connsiteY8706"/>
              </a:cxn>
              <a:cxn ang="0">
                <a:pos x="connsiteX8707" y="connsiteY8707"/>
              </a:cxn>
              <a:cxn ang="0">
                <a:pos x="connsiteX8708" y="connsiteY8708"/>
              </a:cxn>
              <a:cxn ang="0">
                <a:pos x="connsiteX8709" y="connsiteY8709"/>
              </a:cxn>
              <a:cxn ang="0">
                <a:pos x="connsiteX8710" y="connsiteY8710"/>
              </a:cxn>
              <a:cxn ang="0">
                <a:pos x="connsiteX8711" y="connsiteY8711"/>
              </a:cxn>
              <a:cxn ang="0">
                <a:pos x="connsiteX8712" y="connsiteY8712"/>
              </a:cxn>
              <a:cxn ang="0">
                <a:pos x="connsiteX8713" y="connsiteY8713"/>
              </a:cxn>
              <a:cxn ang="0">
                <a:pos x="connsiteX8714" y="connsiteY8714"/>
              </a:cxn>
              <a:cxn ang="0">
                <a:pos x="connsiteX8715" y="connsiteY8715"/>
              </a:cxn>
              <a:cxn ang="0">
                <a:pos x="connsiteX8716" y="connsiteY8716"/>
              </a:cxn>
              <a:cxn ang="0">
                <a:pos x="connsiteX8717" y="connsiteY8717"/>
              </a:cxn>
              <a:cxn ang="0">
                <a:pos x="connsiteX8718" y="connsiteY8718"/>
              </a:cxn>
              <a:cxn ang="0">
                <a:pos x="connsiteX8719" y="connsiteY8719"/>
              </a:cxn>
              <a:cxn ang="0">
                <a:pos x="connsiteX8720" y="connsiteY8720"/>
              </a:cxn>
              <a:cxn ang="0">
                <a:pos x="connsiteX8721" y="connsiteY8721"/>
              </a:cxn>
              <a:cxn ang="0">
                <a:pos x="connsiteX8722" y="connsiteY8722"/>
              </a:cxn>
              <a:cxn ang="0">
                <a:pos x="connsiteX8723" y="connsiteY8723"/>
              </a:cxn>
              <a:cxn ang="0">
                <a:pos x="connsiteX8724" y="connsiteY8724"/>
              </a:cxn>
              <a:cxn ang="0">
                <a:pos x="connsiteX8725" y="connsiteY8725"/>
              </a:cxn>
              <a:cxn ang="0">
                <a:pos x="connsiteX8726" y="connsiteY8726"/>
              </a:cxn>
              <a:cxn ang="0">
                <a:pos x="connsiteX8727" y="connsiteY8727"/>
              </a:cxn>
              <a:cxn ang="0">
                <a:pos x="connsiteX8728" y="connsiteY8728"/>
              </a:cxn>
              <a:cxn ang="0">
                <a:pos x="connsiteX8729" y="connsiteY8729"/>
              </a:cxn>
              <a:cxn ang="0">
                <a:pos x="connsiteX8730" y="connsiteY8730"/>
              </a:cxn>
              <a:cxn ang="0">
                <a:pos x="connsiteX8731" y="connsiteY8731"/>
              </a:cxn>
              <a:cxn ang="0">
                <a:pos x="connsiteX8732" y="connsiteY8732"/>
              </a:cxn>
              <a:cxn ang="0">
                <a:pos x="connsiteX8733" y="connsiteY8733"/>
              </a:cxn>
              <a:cxn ang="0">
                <a:pos x="connsiteX8734" y="connsiteY8734"/>
              </a:cxn>
              <a:cxn ang="0">
                <a:pos x="connsiteX8735" y="connsiteY8735"/>
              </a:cxn>
              <a:cxn ang="0">
                <a:pos x="connsiteX8736" y="connsiteY8736"/>
              </a:cxn>
              <a:cxn ang="0">
                <a:pos x="connsiteX8737" y="connsiteY8737"/>
              </a:cxn>
              <a:cxn ang="0">
                <a:pos x="connsiteX8738" y="connsiteY8738"/>
              </a:cxn>
              <a:cxn ang="0">
                <a:pos x="connsiteX8739" y="connsiteY8739"/>
              </a:cxn>
              <a:cxn ang="0">
                <a:pos x="connsiteX8740" y="connsiteY8740"/>
              </a:cxn>
              <a:cxn ang="0">
                <a:pos x="connsiteX8741" y="connsiteY8741"/>
              </a:cxn>
              <a:cxn ang="0">
                <a:pos x="connsiteX8742" y="connsiteY8742"/>
              </a:cxn>
              <a:cxn ang="0">
                <a:pos x="connsiteX8743" y="connsiteY8743"/>
              </a:cxn>
              <a:cxn ang="0">
                <a:pos x="connsiteX8744" y="connsiteY8744"/>
              </a:cxn>
              <a:cxn ang="0">
                <a:pos x="connsiteX8745" y="connsiteY8745"/>
              </a:cxn>
              <a:cxn ang="0">
                <a:pos x="connsiteX8746" y="connsiteY8746"/>
              </a:cxn>
              <a:cxn ang="0">
                <a:pos x="connsiteX8747" y="connsiteY8747"/>
              </a:cxn>
              <a:cxn ang="0">
                <a:pos x="connsiteX8748" y="connsiteY8748"/>
              </a:cxn>
              <a:cxn ang="0">
                <a:pos x="connsiteX8749" y="connsiteY8749"/>
              </a:cxn>
              <a:cxn ang="0">
                <a:pos x="connsiteX8750" y="connsiteY8750"/>
              </a:cxn>
              <a:cxn ang="0">
                <a:pos x="connsiteX8751" y="connsiteY8751"/>
              </a:cxn>
              <a:cxn ang="0">
                <a:pos x="connsiteX8752" y="connsiteY8752"/>
              </a:cxn>
              <a:cxn ang="0">
                <a:pos x="connsiteX8753" y="connsiteY8753"/>
              </a:cxn>
              <a:cxn ang="0">
                <a:pos x="connsiteX8754" y="connsiteY8754"/>
              </a:cxn>
              <a:cxn ang="0">
                <a:pos x="connsiteX8755" y="connsiteY8755"/>
              </a:cxn>
              <a:cxn ang="0">
                <a:pos x="connsiteX8756" y="connsiteY8756"/>
              </a:cxn>
              <a:cxn ang="0">
                <a:pos x="connsiteX8757" y="connsiteY8757"/>
              </a:cxn>
              <a:cxn ang="0">
                <a:pos x="connsiteX8758" y="connsiteY8758"/>
              </a:cxn>
              <a:cxn ang="0">
                <a:pos x="connsiteX8759" y="connsiteY8759"/>
              </a:cxn>
              <a:cxn ang="0">
                <a:pos x="connsiteX8760" y="connsiteY8760"/>
              </a:cxn>
              <a:cxn ang="0">
                <a:pos x="connsiteX8761" y="connsiteY8761"/>
              </a:cxn>
              <a:cxn ang="0">
                <a:pos x="connsiteX8762" y="connsiteY8762"/>
              </a:cxn>
              <a:cxn ang="0">
                <a:pos x="connsiteX8763" y="connsiteY8763"/>
              </a:cxn>
              <a:cxn ang="0">
                <a:pos x="connsiteX8764" y="connsiteY8764"/>
              </a:cxn>
              <a:cxn ang="0">
                <a:pos x="connsiteX8765" y="connsiteY8765"/>
              </a:cxn>
              <a:cxn ang="0">
                <a:pos x="connsiteX8766" y="connsiteY8766"/>
              </a:cxn>
              <a:cxn ang="0">
                <a:pos x="connsiteX8767" y="connsiteY8767"/>
              </a:cxn>
              <a:cxn ang="0">
                <a:pos x="connsiteX8768" y="connsiteY8768"/>
              </a:cxn>
              <a:cxn ang="0">
                <a:pos x="connsiteX8769" y="connsiteY8769"/>
              </a:cxn>
              <a:cxn ang="0">
                <a:pos x="connsiteX8770" y="connsiteY8770"/>
              </a:cxn>
              <a:cxn ang="0">
                <a:pos x="connsiteX8771" y="connsiteY8771"/>
              </a:cxn>
              <a:cxn ang="0">
                <a:pos x="connsiteX8772" y="connsiteY8772"/>
              </a:cxn>
              <a:cxn ang="0">
                <a:pos x="connsiteX8773" y="connsiteY8773"/>
              </a:cxn>
              <a:cxn ang="0">
                <a:pos x="connsiteX8774" y="connsiteY8774"/>
              </a:cxn>
              <a:cxn ang="0">
                <a:pos x="connsiteX8775" y="connsiteY8775"/>
              </a:cxn>
              <a:cxn ang="0">
                <a:pos x="connsiteX8776" y="connsiteY8776"/>
              </a:cxn>
              <a:cxn ang="0">
                <a:pos x="connsiteX8777" y="connsiteY8777"/>
              </a:cxn>
              <a:cxn ang="0">
                <a:pos x="connsiteX8778" y="connsiteY8778"/>
              </a:cxn>
              <a:cxn ang="0">
                <a:pos x="connsiteX8779" y="connsiteY8779"/>
              </a:cxn>
              <a:cxn ang="0">
                <a:pos x="connsiteX8780" y="connsiteY8780"/>
              </a:cxn>
              <a:cxn ang="0">
                <a:pos x="connsiteX8781" y="connsiteY8781"/>
              </a:cxn>
              <a:cxn ang="0">
                <a:pos x="connsiteX8782" y="connsiteY8782"/>
              </a:cxn>
              <a:cxn ang="0">
                <a:pos x="connsiteX8783" y="connsiteY8783"/>
              </a:cxn>
              <a:cxn ang="0">
                <a:pos x="connsiteX8784" y="connsiteY8784"/>
              </a:cxn>
              <a:cxn ang="0">
                <a:pos x="connsiteX8785" y="connsiteY8785"/>
              </a:cxn>
              <a:cxn ang="0">
                <a:pos x="connsiteX8786" y="connsiteY8786"/>
              </a:cxn>
              <a:cxn ang="0">
                <a:pos x="connsiteX8787" y="connsiteY8787"/>
              </a:cxn>
              <a:cxn ang="0">
                <a:pos x="connsiteX8788" y="connsiteY8788"/>
              </a:cxn>
              <a:cxn ang="0">
                <a:pos x="connsiteX8789" y="connsiteY8789"/>
              </a:cxn>
              <a:cxn ang="0">
                <a:pos x="connsiteX8790" y="connsiteY8790"/>
              </a:cxn>
              <a:cxn ang="0">
                <a:pos x="connsiteX8791" y="connsiteY8791"/>
              </a:cxn>
              <a:cxn ang="0">
                <a:pos x="connsiteX8792" y="connsiteY8792"/>
              </a:cxn>
              <a:cxn ang="0">
                <a:pos x="connsiteX8793" y="connsiteY8793"/>
              </a:cxn>
              <a:cxn ang="0">
                <a:pos x="connsiteX8794" y="connsiteY8794"/>
              </a:cxn>
              <a:cxn ang="0">
                <a:pos x="connsiteX8795" y="connsiteY8795"/>
              </a:cxn>
              <a:cxn ang="0">
                <a:pos x="connsiteX8796" y="connsiteY8796"/>
              </a:cxn>
              <a:cxn ang="0">
                <a:pos x="connsiteX8797" y="connsiteY8797"/>
              </a:cxn>
              <a:cxn ang="0">
                <a:pos x="connsiteX8798" y="connsiteY8798"/>
              </a:cxn>
              <a:cxn ang="0">
                <a:pos x="connsiteX8799" y="connsiteY8799"/>
              </a:cxn>
              <a:cxn ang="0">
                <a:pos x="connsiteX8800" y="connsiteY8800"/>
              </a:cxn>
              <a:cxn ang="0">
                <a:pos x="connsiteX8801" y="connsiteY8801"/>
              </a:cxn>
              <a:cxn ang="0">
                <a:pos x="connsiteX8802" y="connsiteY8802"/>
              </a:cxn>
              <a:cxn ang="0">
                <a:pos x="connsiteX8803" y="connsiteY8803"/>
              </a:cxn>
              <a:cxn ang="0">
                <a:pos x="connsiteX8804" y="connsiteY8804"/>
              </a:cxn>
              <a:cxn ang="0">
                <a:pos x="connsiteX8805" y="connsiteY8805"/>
              </a:cxn>
              <a:cxn ang="0">
                <a:pos x="connsiteX8806" y="connsiteY8806"/>
              </a:cxn>
              <a:cxn ang="0">
                <a:pos x="connsiteX8807" y="connsiteY8807"/>
              </a:cxn>
              <a:cxn ang="0">
                <a:pos x="connsiteX8808" y="connsiteY8808"/>
              </a:cxn>
              <a:cxn ang="0">
                <a:pos x="connsiteX8809" y="connsiteY8809"/>
              </a:cxn>
              <a:cxn ang="0">
                <a:pos x="connsiteX8810" y="connsiteY8810"/>
              </a:cxn>
              <a:cxn ang="0">
                <a:pos x="connsiteX8811" y="connsiteY8811"/>
              </a:cxn>
              <a:cxn ang="0">
                <a:pos x="connsiteX8812" y="connsiteY8812"/>
              </a:cxn>
              <a:cxn ang="0">
                <a:pos x="connsiteX8813" y="connsiteY8813"/>
              </a:cxn>
              <a:cxn ang="0">
                <a:pos x="connsiteX8814" y="connsiteY8814"/>
              </a:cxn>
              <a:cxn ang="0">
                <a:pos x="connsiteX8815" y="connsiteY8815"/>
              </a:cxn>
              <a:cxn ang="0">
                <a:pos x="connsiteX8816" y="connsiteY8816"/>
              </a:cxn>
              <a:cxn ang="0">
                <a:pos x="connsiteX8817" y="connsiteY8817"/>
              </a:cxn>
              <a:cxn ang="0">
                <a:pos x="connsiteX8818" y="connsiteY8818"/>
              </a:cxn>
              <a:cxn ang="0">
                <a:pos x="connsiteX8819" y="connsiteY8819"/>
              </a:cxn>
              <a:cxn ang="0">
                <a:pos x="connsiteX8820" y="connsiteY8820"/>
              </a:cxn>
              <a:cxn ang="0">
                <a:pos x="connsiteX8821" y="connsiteY8821"/>
              </a:cxn>
              <a:cxn ang="0">
                <a:pos x="connsiteX8822" y="connsiteY8822"/>
              </a:cxn>
              <a:cxn ang="0">
                <a:pos x="connsiteX8823" y="connsiteY8823"/>
              </a:cxn>
              <a:cxn ang="0">
                <a:pos x="connsiteX8824" y="connsiteY8824"/>
              </a:cxn>
              <a:cxn ang="0">
                <a:pos x="connsiteX8825" y="connsiteY8825"/>
              </a:cxn>
              <a:cxn ang="0">
                <a:pos x="connsiteX8826" y="connsiteY8826"/>
              </a:cxn>
              <a:cxn ang="0">
                <a:pos x="connsiteX8827" y="connsiteY8827"/>
              </a:cxn>
              <a:cxn ang="0">
                <a:pos x="connsiteX8828" y="connsiteY8828"/>
              </a:cxn>
              <a:cxn ang="0">
                <a:pos x="connsiteX8829" y="connsiteY8829"/>
              </a:cxn>
              <a:cxn ang="0">
                <a:pos x="connsiteX8830" y="connsiteY8830"/>
              </a:cxn>
              <a:cxn ang="0">
                <a:pos x="connsiteX8831" y="connsiteY8831"/>
              </a:cxn>
              <a:cxn ang="0">
                <a:pos x="connsiteX8832" y="connsiteY8832"/>
              </a:cxn>
              <a:cxn ang="0">
                <a:pos x="connsiteX8833" y="connsiteY8833"/>
              </a:cxn>
              <a:cxn ang="0">
                <a:pos x="connsiteX8834" y="connsiteY8834"/>
              </a:cxn>
              <a:cxn ang="0">
                <a:pos x="connsiteX8835" y="connsiteY8835"/>
              </a:cxn>
              <a:cxn ang="0">
                <a:pos x="connsiteX8836" y="connsiteY8836"/>
              </a:cxn>
              <a:cxn ang="0">
                <a:pos x="connsiteX8837" y="connsiteY8837"/>
              </a:cxn>
              <a:cxn ang="0">
                <a:pos x="connsiteX8838" y="connsiteY8838"/>
              </a:cxn>
              <a:cxn ang="0">
                <a:pos x="connsiteX8839" y="connsiteY8839"/>
              </a:cxn>
              <a:cxn ang="0">
                <a:pos x="connsiteX8840" y="connsiteY8840"/>
              </a:cxn>
              <a:cxn ang="0">
                <a:pos x="connsiteX8841" y="connsiteY8841"/>
              </a:cxn>
              <a:cxn ang="0">
                <a:pos x="connsiteX8842" y="connsiteY8842"/>
              </a:cxn>
              <a:cxn ang="0">
                <a:pos x="connsiteX8843" y="connsiteY8843"/>
              </a:cxn>
              <a:cxn ang="0">
                <a:pos x="connsiteX8844" y="connsiteY8844"/>
              </a:cxn>
              <a:cxn ang="0">
                <a:pos x="connsiteX8845" y="connsiteY8845"/>
              </a:cxn>
              <a:cxn ang="0">
                <a:pos x="connsiteX8846" y="connsiteY8846"/>
              </a:cxn>
              <a:cxn ang="0">
                <a:pos x="connsiteX8847" y="connsiteY8847"/>
              </a:cxn>
              <a:cxn ang="0">
                <a:pos x="connsiteX8848" y="connsiteY8848"/>
              </a:cxn>
              <a:cxn ang="0">
                <a:pos x="connsiteX8849" y="connsiteY8849"/>
              </a:cxn>
              <a:cxn ang="0">
                <a:pos x="connsiteX8850" y="connsiteY8850"/>
              </a:cxn>
              <a:cxn ang="0">
                <a:pos x="connsiteX8851" y="connsiteY8851"/>
              </a:cxn>
              <a:cxn ang="0">
                <a:pos x="connsiteX8852" y="connsiteY8852"/>
              </a:cxn>
              <a:cxn ang="0">
                <a:pos x="connsiteX8853" y="connsiteY8853"/>
              </a:cxn>
              <a:cxn ang="0">
                <a:pos x="connsiteX8854" y="connsiteY8854"/>
              </a:cxn>
              <a:cxn ang="0">
                <a:pos x="connsiteX8855" y="connsiteY8855"/>
              </a:cxn>
              <a:cxn ang="0">
                <a:pos x="connsiteX8856" y="connsiteY8856"/>
              </a:cxn>
              <a:cxn ang="0">
                <a:pos x="connsiteX8857" y="connsiteY8857"/>
              </a:cxn>
              <a:cxn ang="0">
                <a:pos x="connsiteX8858" y="connsiteY8858"/>
              </a:cxn>
              <a:cxn ang="0">
                <a:pos x="connsiteX8859" y="connsiteY8859"/>
              </a:cxn>
              <a:cxn ang="0">
                <a:pos x="connsiteX8860" y="connsiteY8860"/>
              </a:cxn>
              <a:cxn ang="0">
                <a:pos x="connsiteX8861" y="connsiteY8861"/>
              </a:cxn>
              <a:cxn ang="0">
                <a:pos x="connsiteX8862" y="connsiteY8862"/>
              </a:cxn>
              <a:cxn ang="0">
                <a:pos x="connsiteX8863" y="connsiteY8863"/>
              </a:cxn>
              <a:cxn ang="0">
                <a:pos x="connsiteX8864" y="connsiteY8864"/>
              </a:cxn>
              <a:cxn ang="0">
                <a:pos x="connsiteX8865" y="connsiteY8865"/>
              </a:cxn>
              <a:cxn ang="0">
                <a:pos x="connsiteX8866" y="connsiteY8866"/>
              </a:cxn>
              <a:cxn ang="0">
                <a:pos x="connsiteX8867" y="connsiteY8867"/>
              </a:cxn>
              <a:cxn ang="0">
                <a:pos x="connsiteX8868" y="connsiteY8868"/>
              </a:cxn>
              <a:cxn ang="0">
                <a:pos x="connsiteX8869" y="connsiteY8869"/>
              </a:cxn>
              <a:cxn ang="0">
                <a:pos x="connsiteX8870" y="connsiteY8870"/>
              </a:cxn>
              <a:cxn ang="0">
                <a:pos x="connsiteX8871" y="connsiteY8871"/>
              </a:cxn>
              <a:cxn ang="0">
                <a:pos x="connsiteX8872" y="connsiteY8872"/>
              </a:cxn>
              <a:cxn ang="0">
                <a:pos x="connsiteX8873" y="connsiteY8873"/>
              </a:cxn>
              <a:cxn ang="0">
                <a:pos x="connsiteX8874" y="connsiteY8874"/>
              </a:cxn>
              <a:cxn ang="0">
                <a:pos x="connsiteX8875" y="connsiteY8875"/>
              </a:cxn>
              <a:cxn ang="0">
                <a:pos x="connsiteX8876" y="connsiteY8876"/>
              </a:cxn>
              <a:cxn ang="0">
                <a:pos x="connsiteX8877" y="connsiteY8877"/>
              </a:cxn>
              <a:cxn ang="0">
                <a:pos x="connsiteX8878" y="connsiteY8878"/>
              </a:cxn>
              <a:cxn ang="0">
                <a:pos x="connsiteX8879" y="connsiteY8879"/>
              </a:cxn>
              <a:cxn ang="0">
                <a:pos x="connsiteX8880" y="connsiteY8880"/>
              </a:cxn>
              <a:cxn ang="0">
                <a:pos x="connsiteX8881" y="connsiteY8881"/>
              </a:cxn>
              <a:cxn ang="0">
                <a:pos x="connsiteX8882" y="connsiteY8882"/>
              </a:cxn>
              <a:cxn ang="0">
                <a:pos x="connsiteX8883" y="connsiteY8883"/>
              </a:cxn>
              <a:cxn ang="0">
                <a:pos x="connsiteX8884" y="connsiteY8884"/>
              </a:cxn>
              <a:cxn ang="0">
                <a:pos x="connsiteX8885" y="connsiteY8885"/>
              </a:cxn>
              <a:cxn ang="0">
                <a:pos x="connsiteX8886" y="connsiteY8886"/>
              </a:cxn>
              <a:cxn ang="0">
                <a:pos x="connsiteX8887" y="connsiteY8887"/>
              </a:cxn>
              <a:cxn ang="0">
                <a:pos x="connsiteX8888" y="connsiteY8888"/>
              </a:cxn>
              <a:cxn ang="0">
                <a:pos x="connsiteX8889" y="connsiteY8889"/>
              </a:cxn>
              <a:cxn ang="0">
                <a:pos x="connsiteX8890" y="connsiteY8890"/>
              </a:cxn>
              <a:cxn ang="0">
                <a:pos x="connsiteX8891" y="connsiteY8891"/>
              </a:cxn>
              <a:cxn ang="0">
                <a:pos x="connsiteX8892" y="connsiteY8892"/>
              </a:cxn>
              <a:cxn ang="0">
                <a:pos x="connsiteX8893" y="connsiteY8893"/>
              </a:cxn>
              <a:cxn ang="0">
                <a:pos x="connsiteX8894" y="connsiteY8894"/>
              </a:cxn>
              <a:cxn ang="0">
                <a:pos x="connsiteX8895" y="connsiteY8895"/>
              </a:cxn>
              <a:cxn ang="0">
                <a:pos x="connsiteX8896" y="connsiteY8896"/>
              </a:cxn>
              <a:cxn ang="0">
                <a:pos x="connsiteX8897" y="connsiteY8897"/>
              </a:cxn>
              <a:cxn ang="0">
                <a:pos x="connsiteX8898" y="connsiteY8898"/>
              </a:cxn>
              <a:cxn ang="0">
                <a:pos x="connsiteX8899" y="connsiteY8899"/>
              </a:cxn>
              <a:cxn ang="0">
                <a:pos x="connsiteX8900" y="connsiteY8900"/>
              </a:cxn>
              <a:cxn ang="0">
                <a:pos x="connsiteX8901" y="connsiteY8901"/>
              </a:cxn>
              <a:cxn ang="0">
                <a:pos x="connsiteX8902" y="connsiteY8902"/>
              </a:cxn>
              <a:cxn ang="0">
                <a:pos x="connsiteX8903" y="connsiteY8903"/>
              </a:cxn>
              <a:cxn ang="0">
                <a:pos x="connsiteX8904" y="connsiteY8904"/>
              </a:cxn>
              <a:cxn ang="0">
                <a:pos x="connsiteX8905" y="connsiteY8905"/>
              </a:cxn>
              <a:cxn ang="0">
                <a:pos x="connsiteX8906" y="connsiteY8906"/>
              </a:cxn>
              <a:cxn ang="0">
                <a:pos x="connsiteX8907" y="connsiteY8907"/>
              </a:cxn>
              <a:cxn ang="0">
                <a:pos x="connsiteX8908" y="connsiteY8908"/>
              </a:cxn>
              <a:cxn ang="0">
                <a:pos x="connsiteX8909" y="connsiteY8909"/>
              </a:cxn>
              <a:cxn ang="0">
                <a:pos x="connsiteX8910" y="connsiteY8910"/>
              </a:cxn>
              <a:cxn ang="0">
                <a:pos x="connsiteX8911" y="connsiteY8911"/>
              </a:cxn>
              <a:cxn ang="0">
                <a:pos x="connsiteX8912" y="connsiteY8912"/>
              </a:cxn>
              <a:cxn ang="0">
                <a:pos x="connsiteX8913" y="connsiteY8913"/>
              </a:cxn>
              <a:cxn ang="0">
                <a:pos x="connsiteX8914" y="connsiteY8914"/>
              </a:cxn>
              <a:cxn ang="0">
                <a:pos x="connsiteX8915" y="connsiteY8915"/>
              </a:cxn>
              <a:cxn ang="0">
                <a:pos x="connsiteX8916" y="connsiteY8916"/>
              </a:cxn>
              <a:cxn ang="0">
                <a:pos x="connsiteX8917" y="connsiteY8917"/>
              </a:cxn>
              <a:cxn ang="0">
                <a:pos x="connsiteX8918" y="connsiteY8918"/>
              </a:cxn>
              <a:cxn ang="0">
                <a:pos x="connsiteX8919" y="connsiteY8919"/>
              </a:cxn>
              <a:cxn ang="0">
                <a:pos x="connsiteX8920" y="connsiteY8920"/>
              </a:cxn>
              <a:cxn ang="0">
                <a:pos x="connsiteX8921" y="connsiteY8921"/>
              </a:cxn>
              <a:cxn ang="0">
                <a:pos x="connsiteX8922" y="connsiteY8922"/>
              </a:cxn>
              <a:cxn ang="0">
                <a:pos x="connsiteX8923" y="connsiteY8923"/>
              </a:cxn>
              <a:cxn ang="0">
                <a:pos x="connsiteX8924" y="connsiteY8924"/>
              </a:cxn>
              <a:cxn ang="0">
                <a:pos x="connsiteX8925" y="connsiteY8925"/>
              </a:cxn>
              <a:cxn ang="0">
                <a:pos x="connsiteX8926" y="connsiteY8926"/>
              </a:cxn>
              <a:cxn ang="0">
                <a:pos x="connsiteX8927" y="connsiteY8927"/>
              </a:cxn>
              <a:cxn ang="0">
                <a:pos x="connsiteX8928" y="connsiteY8928"/>
              </a:cxn>
              <a:cxn ang="0">
                <a:pos x="connsiteX8929" y="connsiteY8929"/>
              </a:cxn>
              <a:cxn ang="0">
                <a:pos x="connsiteX8930" y="connsiteY8930"/>
              </a:cxn>
              <a:cxn ang="0">
                <a:pos x="connsiteX8931" y="connsiteY8931"/>
              </a:cxn>
              <a:cxn ang="0">
                <a:pos x="connsiteX8932" y="connsiteY8932"/>
              </a:cxn>
              <a:cxn ang="0">
                <a:pos x="connsiteX8933" y="connsiteY8933"/>
              </a:cxn>
              <a:cxn ang="0">
                <a:pos x="connsiteX8934" y="connsiteY8934"/>
              </a:cxn>
              <a:cxn ang="0">
                <a:pos x="connsiteX8935" y="connsiteY8935"/>
              </a:cxn>
              <a:cxn ang="0">
                <a:pos x="connsiteX8936" y="connsiteY8936"/>
              </a:cxn>
              <a:cxn ang="0">
                <a:pos x="connsiteX8937" y="connsiteY8937"/>
              </a:cxn>
              <a:cxn ang="0">
                <a:pos x="connsiteX8938" y="connsiteY8938"/>
              </a:cxn>
              <a:cxn ang="0">
                <a:pos x="connsiteX8939" y="connsiteY8939"/>
              </a:cxn>
              <a:cxn ang="0">
                <a:pos x="connsiteX8940" y="connsiteY8940"/>
              </a:cxn>
              <a:cxn ang="0">
                <a:pos x="connsiteX8941" y="connsiteY8941"/>
              </a:cxn>
              <a:cxn ang="0">
                <a:pos x="connsiteX8942" y="connsiteY8942"/>
              </a:cxn>
              <a:cxn ang="0">
                <a:pos x="connsiteX8943" y="connsiteY8943"/>
              </a:cxn>
              <a:cxn ang="0">
                <a:pos x="connsiteX8944" y="connsiteY8944"/>
              </a:cxn>
              <a:cxn ang="0">
                <a:pos x="connsiteX8945" y="connsiteY8945"/>
              </a:cxn>
              <a:cxn ang="0">
                <a:pos x="connsiteX8946" y="connsiteY8946"/>
              </a:cxn>
              <a:cxn ang="0">
                <a:pos x="connsiteX8947" y="connsiteY8947"/>
              </a:cxn>
              <a:cxn ang="0">
                <a:pos x="connsiteX8948" y="connsiteY8948"/>
              </a:cxn>
              <a:cxn ang="0">
                <a:pos x="connsiteX8949" y="connsiteY8949"/>
              </a:cxn>
              <a:cxn ang="0">
                <a:pos x="connsiteX8950" y="connsiteY8950"/>
              </a:cxn>
              <a:cxn ang="0">
                <a:pos x="connsiteX8951" y="connsiteY8951"/>
              </a:cxn>
              <a:cxn ang="0">
                <a:pos x="connsiteX8952" y="connsiteY8952"/>
              </a:cxn>
              <a:cxn ang="0">
                <a:pos x="connsiteX8953" y="connsiteY8953"/>
              </a:cxn>
              <a:cxn ang="0">
                <a:pos x="connsiteX8954" y="connsiteY8954"/>
              </a:cxn>
              <a:cxn ang="0">
                <a:pos x="connsiteX8955" y="connsiteY8955"/>
              </a:cxn>
              <a:cxn ang="0">
                <a:pos x="connsiteX8956" y="connsiteY8956"/>
              </a:cxn>
              <a:cxn ang="0">
                <a:pos x="connsiteX8957" y="connsiteY8957"/>
              </a:cxn>
              <a:cxn ang="0">
                <a:pos x="connsiteX8958" y="connsiteY8958"/>
              </a:cxn>
              <a:cxn ang="0">
                <a:pos x="connsiteX8959" y="connsiteY8959"/>
              </a:cxn>
              <a:cxn ang="0">
                <a:pos x="connsiteX8960" y="connsiteY8960"/>
              </a:cxn>
              <a:cxn ang="0">
                <a:pos x="connsiteX8961" y="connsiteY8961"/>
              </a:cxn>
              <a:cxn ang="0">
                <a:pos x="connsiteX8962" y="connsiteY8962"/>
              </a:cxn>
              <a:cxn ang="0">
                <a:pos x="connsiteX8963" y="connsiteY8963"/>
              </a:cxn>
              <a:cxn ang="0">
                <a:pos x="connsiteX8964" y="connsiteY8964"/>
              </a:cxn>
              <a:cxn ang="0">
                <a:pos x="connsiteX8965" y="connsiteY8965"/>
              </a:cxn>
              <a:cxn ang="0">
                <a:pos x="connsiteX8966" y="connsiteY8966"/>
              </a:cxn>
              <a:cxn ang="0">
                <a:pos x="connsiteX8967" y="connsiteY8967"/>
              </a:cxn>
              <a:cxn ang="0">
                <a:pos x="connsiteX8968" y="connsiteY8968"/>
              </a:cxn>
              <a:cxn ang="0">
                <a:pos x="connsiteX8969" y="connsiteY8969"/>
              </a:cxn>
              <a:cxn ang="0">
                <a:pos x="connsiteX8970" y="connsiteY8970"/>
              </a:cxn>
              <a:cxn ang="0">
                <a:pos x="connsiteX8971" y="connsiteY8971"/>
              </a:cxn>
              <a:cxn ang="0">
                <a:pos x="connsiteX8972" y="connsiteY8972"/>
              </a:cxn>
              <a:cxn ang="0">
                <a:pos x="connsiteX8973" y="connsiteY8973"/>
              </a:cxn>
              <a:cxn ang="0">
                <a:pos x="connsiteX8974" y="connsiteY8974"/>
              </a:cxn>
              <a:cxn ang="0">
                <a:pos x="connsiteX8975" y="connsiteY8975"/>
              </a:cxn>
              <a:cxn ang="0">
                <a:pos x="connsiteX8976" y="connsiteY8976"/>
              </a:cxn>
              <a:cxn ang="0">
                <a:pos x="connsiteX8977" y="connsiteY8977"/>
              </a:cxn>
              <a:cxn ang="0">
                <a:pos x="connsiteX8978" y="connsiteY8978"/>
              </a:cxn>
              <a:cxn ang="0">
                <a:pos x="connsiteX8979" y="connsiteY8979"/>
              </a:cxn>
              <a:cxn ang="0">
                <a:pos x="connsiteX8980" y="connsiteY8980"/>
              </a:cxn>
              <a:cxn ang="0">
                <a:pos x="connsiteX8981" y="connsiteY8981"/>
              </a:cxn>
              <a:cxn ang="0">
                <a:pos x="connsiteX8982" y="connsiteY8982"/>
              </a:cxn>
              <a:cxn ang="0">
                <a:pos x="connsiteX8983" y="connsiteY8983"/>
              </a:cxn>
              <a:cxn ang="0">
                <a:pos x="connsiteX8984" y="connsiteY8984"/>
              </a:cxn>
              <a:cxn ang="0">
                <a:pos x="connsiteX8985" y="connsiteY8985"/>
              </a:cxn>
              <a:cxn ang="0">
                <a:pos x="connsiteX8986" y="connsiteY8986"/>
              </a:cxn>
              <a:cxn ang="0">
                <a:pos x="connsiteX8987" y="connsiteY8987"/>
              </a:cxn>
              <a:cxn ang="0">
                <a:pos x="connsiteX8988" y="connsiteY8988"/>
              </a:cxn>
              <a:cxn ang="0">
                <a:pos x="connsiteX8989" y="connsiteY8989"/>
              </a:cxn>
              <a:cxn ang="0">
                <a:pos x="connsiteX8990" y="connsiteY8990"/>
              </a:cxn>
              <a:cxn ang="0">
                <a:pos x="connsiteX8991" y="connsiteY8991"/>
              </a:cxn>
              <a:cxn ang="0">
                <a:pos x="connsiteX8992" y="connsiteY8992"/>
              </a:cxn>
              <a:cxn ang="0">
                <a:pos x="connsiteX8993" y="connsiteY8993"/>
              </a:cxn>
              <a:cxn ang="0">
                <a:pos x="connsiteX8994" y="connsiteY8994"/>
              </a:cxn>
              <a:cxn ang="0">
                <a:pos x="connsiteX8995" y="connsiteY8995"/>
              </a:cxn>
              <a:cxn ang="0">
                <a:pos x="connsiteX8996" y="connsiteY8996"/>
              </a:cxn>
              <a:cxn ang="0">
                <a:pos x="connsiteX8997" y="connsiteY8997"/>
              </a:cxn>
              <a:cxn ang="0">
                <a:pos x="connsiteX8998" y="connsiteY8998"/>
              </a:cxn>
              <a:cxn ang="0">
                <a:pos x="connsiteX8999" y="connsiteY8999"/>
              </a:cxn>
              <a:cxn ang="0">
                <a:pos x="connsiteX9000" y="connsiteY9000"/>
              </a:cxn>
              <a:cxn ang="0">
                <a:pos x="connsiteX9001" y="connsiteY9001"/>
              </a:cxn>
              <a:cxn ang="0">
                <a:pos x="connsiteX9002" y="connsiteY9002"/>
              </a:cxn>
              <a:cxn ang="0">
                <a:pos x="connsiteX9003" y="connsiteY9003"/>
              </a:cxn>
              <a:cxn ang="0">
                <a:pos x="connsiteX9004" y="connsiteY9004"/>
              </a:cxn>
              <a:cxn ang="0">
                <a:pos x="connsiteX9005" y="connsiteY9005"/>
              </a:cxn>
              <a:cxn ang="0">
                <a:pos x="connsiteX9006" y="connsiteY9006"/>
              </a:cxn>
              <a:cxn ang="0">
                <a:pos x="connsiteX9007" y="connsiteY9007"/>
              </a:cxn>
              <a:cxn ang="0">
                <a:pos x="connsiteX9008" y="connsiteY9008"/>
              </a:cxn>
              <a:cxn ang="0">
                <a:pos x="connsiteX9009" y="connsiteY9009"/>
              </a:cxn>
              <a:cxn ang="0">
                <a:pos x="connsiteX9010" y="connsiteY9010"/>
              </a:cxn>
              <a:cxn ang="0">
                <a:pos x="connsiteX9011" y="connsiteY9011"/>
              </a:cxn>
              <a:cxn ang="0">
                <a:pos x="connsiteX9012" y="connsiteY9012"/>
              </a:cxn>
              <a:cxn ang="0">
                <a:pos x="connsiteX9013" y="connsiteY9013"/>
              </a:cxn>
              <a:cxn ang="0">
                <a:pos x="connsiteX9014" y="connsiteY9014"/>
              </a:cxn>
              <a:cxn ang="0">
                <a:pos x="connsiteX9015" y="connsiteY9015"/>
              </a:cxn>
              <a:cxn ang="0">
                <a:pos x="connsiteX9016" y="connsiteY9016"/>
              </a:cxn>
              <a:cxn ang="0">
                <a:pos x="connsiteX9017" y="connsiteY9017"/>
              </a:cxn>
              <a:cxn ang="0">
                <a:pos x="connsiteX9018" y="connsiteY9018"/>
              </a:cxn>
              <a:cxn ang="0">
                <a:pos x="connsiteX9019" y="connsiteY9019"/>
              </a:cxn>
              <a:cxn ang="0">
                <a:pos x="connsiteX9020" y="connsiteY9020"/>
              </a:cxn>
              <a:cxn ang="0">
                <a:pos x="connsiteX9021" y="connsiteY9021"/>
              </a:cxn>
              <a:cxn ang="0">
                <a:pos x="connsiteX9022" y="connsiteY9022"/>
              </a:cxn>
              <a:cxn ang="0">
                <a:pos x="connsiteX9023" y="connsiteY9023"/>
              </a:cxn>
              <a:cxn ang="0">
                <a:pos x="connsiteX9024" y="connsiteY9024"/>
              </a:cxn>
              <a:cxn ang="0">
                <a:pos x="connsiteX9025" y="connsiteY9025"/>
              </a:cxn>
              <a:cxn ang="0">
                <a:pos x="connsiteX9026" y="connsiteY9026"/>
              </a:cxn>
              <a:cxn ang="0">
                <a:pos x="connsiteX9027" y="connsiteY9027"/>
              </a:cxn>
              <a:cxn ang="0">
                <a:pos x="connsiteX9028" y="connsiteY9028"/>
              </a:cxn>
              <a:cxn ang="0">
                <a:pos x="connsiteX9029" y="connsiteY9029"/>
              </a:cxn>
              <a:cxn ang="0">
                <a:pos x="connsiteX9030" y="connsiteY9030"/>
              </a:cxn>
              <a:cxn ang="0">
                <a:pos x="connsiteX9031" y="connsiteY9031"/>
              </a:cxn>
              <a:cxn ang="0">
                <a:pos x="connsiteX9032" y="connsiteY9032"/>
              </a:cxn>
              <a:cxn ang="0">
                <a:pos x="connsiteX9033" y="connsiteY9033"/>
              </a:cxn>
              <a:cxn ang="0">
                <a:pos x="connsiteX9034" y="connsiteY9034"/>
              </a:cxn>
              <a:cxn ang="0">
                <a:pos x="connsiteX9035" y="connsiteY9035"/>
              </a:cxn>
              <a:cxn ang="0">
                <a:pos x="connsiteX9036" y="connsiteY9036"/>
              </a:cxn>
              <a:cxn ang="0">
                <a:pos x="connsiteX9037" y="connsiteY9037"/>
              </a:cxn>
              <a:cxn ang="0">
                <a:pos x="connsiteX9038" y="connsiteY9038"/>
              </a:cxn>
              <a:cxn ang="0">
                <a:pos x="connsiteX9039" y="connsiteY9039"/>
              </a:cxn>
              <a:cxn ang="0">
                <a:pos x="connsiteX9040" y="connsiteY9040"/>
              </a:cxn>
              <a:cxn ang="0">
                <a:pos x="connsiteX9041" y="connsiteY9041"/>
              </a:cxn>
              <a:cxn ang="0">
                <a:pos x="connsiteX9042" y="connsiteY9042"/>
              </a:cxn>
              <a:cxn ang="0">
                <a:pos x="connsiteX9043" y="connsiteY9043"/>
              </a:cxn>
              <a:cxn ang="0">
                <a:pos x="connsiteX9044" y="connsiteY9044"/>
              </a:cxn>
              <a:cxn ang="0">
                <a:pos x="connsiteX9045" y="connsiteY9045"/>
              </a:cxn>
              <a:cxn ang="0">
                <a:pos x="connsiteX9046" y="connsiteY9046"/>
              </a:cxn>
              <a:cxn ang="0">
                <a:pos x="connsiteX9047" y="connsiteY9047"/>
              </a:cxn>
              <a:cxn ang="0">
                <a:pos x="connsiteX9048" y="connsiteY9048"/>
              </a:cxn>
              <a:cxn ang="0">
                <a:pos x="connsiteX9049" y="connsiteY9049"/>
              </a:cxn>
              <a:cxn ang="0">
                <a:pos x="connsiteX9050" y="connsiteY9050"/>
              </a:cxn>
              <a:cxn ang="0">
                <a:pos x="connsiteX9051" y="connsiteY9051"/>
              </a:cxn>
              <a:cxn ang="0">
                <a:pos x="connsiteX9052" y="connsiteY9052"/>
              </a:cxn>
              <a:cxn ang="0">
                <a:pos x="connsiteX9053" y="connsiteY9053"/>
              </a:cxn>
              <a:cxn ang="0">
                <a:pos x="connsiteX9054" y="connsiteY9054"/>
              </a:cxn>
              <a:cxn ang="0">
                <a:pos x="connsiteX9055" y="connsiteY9055"/>
              </a:cxn>
              <a:cxn ang="0">
                <a:pos x="connsiteX9056" y="connsiteY9056"/>
              </a:cxn>
              <a:cxn ang="0">
                <a:pos x="connsiteX9057" y="connsiteY9057"/>
              </a:cxn>
              <a:cxn ang="0">
                <a:pos x="connsiteX9058" y="connsiteY9058"/>
              </a:cxn>
              <a:cxn ang="0">
                <a:pos x="connsiteX9059" y="connsiteY9059"/>
              </a:cxn>
              <a:cxn ang="0">
                <a:pos x="connsiteX9060" y="connsiteY9060"/>
              </a:cxn>
              <a:cxn ang="0">
                <a:pos x="connsiteX9061" y="connsiteY9061"/>
              </a:cxn>
              <a:cxn ang="0">
                <a:pos x="connsiteX9062" y="connsiteY9062"/>
              </a:cxn>
              <a:cxn ang="0">
                <a:pos x="connsiteX9063" y="connsiteY9063"/>
              </a:cxn>
              <a:cxn ang="0">
                <a:pos x="connsiteX9064" y="connsiteY9064"/>
              </a:cxn>
              <a:cxn ang="0">
                <a:pos x="connsiteX9065" y="connsiteY9065"/>
              </a:cxn>
              <a:cxn ang="0">
                <a:pos x="connsiteX9066" y="connsiteY9066"/>
              </a:cxn>
              <a:cxn ang="0">
                <a:pos x="connsiteX9067" y="connsiteY9067"/>
              </a:cxn>
              <a:cxn ang="0">
                <a:pos x="connsiteX9068" y="connsiteY9068"/>
              </a:cxn>
              <a:cxn ang="0">
                <a:pos x="connsiteX9069" y="connsiteY9069"/>
              </a:cxn>
              <a:cxn ang="0">
                <a:pos x="connsiteX9070" y="connsiteY9070"/>
              </a:cxn>
              <a:cxn ang="0">
                <a:pos x="connsiteX9071" y="connsiteY9071"/>
              </a:cxn>
              <a:cxn ang="0">
                <a:pos x="connsiteX9072" y="connsiteY9072"/>
              </a:cxn>
              <a:cxn ang="0">
                <a:pos x="connsiteX9073" y="connsiteY9073"/>
              </a:cxn>
              <a:cxn ang="0">
                <a:pos x="connsiteX9074" y="connsiteY9074"/>
              </a:cxn>
              <a:cxn ang="0">
                <a:pos x="connsiteX9075" y="connsiteY9075"/>
              </a:cxn>
              <a:cxn ang="0">
                <a:pos x="connsiteX9076" y="connsiteY9076"/>
              </a:cxn>
              <a:cxn ang="0">
                <a:pos x="connsiteX9077" y="connsiteY9077"/>
              </a:cxn>
              <a:cxn ang="0">
                <a:pos x="connsiteX9078" y="connsiteY9078"/>
              </a:cxn>
              <a:cxn ang="0">
                <a:pos x="connsiteX9079" y="connsiteY9079"/>
              </a:cxn>
              <a:cxn ang="0">
                <a:pos x="connsiteX9080" y="connsiteY9080"/>
              </a:cxn>
              <a:cxn ang="0">
                <a:pos x="connsiteX9081" y="connsiteY9081"/>
              </a:cxn>
              <a:cxn ang="0">
                <a:pos x="connsiteX9082" y="connsiteY9082"/>
              </a:cxn>
              <a:cxn ang="0">
                <a:pos x="connsiteX9083" y="connsiteY9083"/>
              </a:cxn>
              <a:cxn ang="0">
                <a:pos x="connsiteX9084" y="connsiteY9084"/>
              </a:cxn>
              <a:cxn ang="0">
                <a:pos x="connsiteX9085" y="connsiteY9085"/>
              </a:cxn>
              <a:cxn ang="0">
                <a:pos x="connsiteX9086" y="connsiteY9086"/>
              </a:cxn>
              <a:cxn ang="0">
                <a:pos x="connsiteX9087" y="connsiteY9087"/>
              </a:cxn>
              <a:cxn ang="0">
                <a:pos x="connsiteX9088" y="connsiteY9088"/>
              </a:cxn>
              <a:cxn ang="0">
                <a:pos x="connsiteX9089" y="connsiteY9089"/>
              </a:cxn>
              <a:cxn ang="0">
                <a:pos x="connsiteX9090" y="connsiteY9090"/>
              </a:cxn>
              <a:cxn ang="0">
                <a:pos x="connsiteX9091" y="connsiteY9091"/>
              </a:cxn>
              <a:cxn ang="0">
                <a:pos x="connsiteX9092" y="connsiteY9092"/>
              </a:cxn>
              <a:cxn ang="0">
                <a:pos x="connsiteX9093" y="connsiteY9093"/>
              </a:cxn>
              <a:cxn ang="0">
                <a:pos x="connsiteX9094" y="connsiteY9094"/>
              </a:cxn>
              <a:cxn ang="0">
                <a:pos x="connsiteX9095" y="connsiteY9095"/>
              </a:cxn>
              <a:cxn ang="0">
                <a:pos x="connsiteX9096" y="connsiteY9096"/>
              </a:cxn>
              <a:cxn ang="0">
                <a:pos x="connsiteX9097" y="connsiteY9097"/>
              </a:cxn>
              <a:cxn ang="0">
                <a:pos x="connsiteX9098" y="connsiteY9098"/>
              </a:cxn>
              <a:cxn ang="0">
                <a:pos x="connsiteX9099" y="connsiteY9099"/>
              </a:cxn>
              <a:cxn ang="0">
                <a:pos x="connsiteX9100" y="connsiteY9100"/>
              </a:cxn>
              <a:cxn ang="0">
                <a:pos x="connsiteX9101" y="connsiteY9101"/>
              </a:cxn>
              <a:cxn ang="0">
                <a:pos x="connsiteX9102" y="connsiteY9102"/>
              </a:cxn>
              <a:cxn ang="0">
                <a:pos x="connsiteX9103" y="connsiteY9103"/>
              </a:cxn>
              <a:cxn ang="0">
                <a:pos x="connsiteX9104" y="connsiteY9104"/>
              </a:cxn>
              <a:cxn ang="0">
                <a:pos x="connsiteX9105" y="connsiteY9105"/>
              </a:cxn>
              <a:cxn ang="0">
                <a:pos x="connsiteX9106" y="connsiteY9106"/>
              </a:cxn>
              <a:cxn ang="0">
                <a:pos x="connsiteX9107" y="connsiteY9107"/>
              </a:cxn>
              <a:cxn ang="0">
                <a:pos x="connsiteX9108" y="connsiteY9108"/>
              </a:cxn>
              <a:cxn ang="0">
                <a:pos x="connsiteX9109" y="connsiteY9109"/>
              </a:cxn>
              <a:cxn ang="0">
                <a:pos x="connsiteX9110" y="connsiteY9110"/>
              </a:cxn>
              <a:cxn ang="0">
                <a:pos x="connsiteX9111" y="connsiteY9111"/>
              </a:cxn>
              <a:cxn ang="0">
                <a:pos x="connsiteX9112" y="connsiteY9112"/>
              </a:cxn>
              <a:cxn ang="0">
                <a:pos x="connsiteX9113" y="connsiteY9113"/>
              </a:cxn>
              <a:cxn ang="0">
                <a:pos x="connsiteX9114" y="connsiteY9114"/>
              </a:cxn>
              <a:cxn ang="0">
                <a:pos x="connsiteX9115" y="connsiteY9115"/>
              </a:cxn>
              <a:cxn ang="0">
                <a:pos x="connsiteX9116" y="connsiteY9116"/>
              </a:cxn>
              <a:cxn ang="0">
                <a:pos x="connsiteX9117" y="connsiteY9117"/>
              </a:cxn>
              <a:cxn ang="0">
                <a:pos x="connsiteX9118" y="connsiteY9118"/>
              </a:cxn>
              <a:cxn ang="0">
                <a:pos x="connsiteX9119" y="connsiteY9119"/>
              </a:cxn>
              <a:cxn ang="0">
                <a:pos x="connsiteX9120" y="connsiteY9120"/>
              </a:cxn>
              <a:cxn ang="0">
                <a:pos x="connsiteX9121" y="connsiteY9121"/>
              </a:cxn>
              <a:cxn ang="0">
                <a:pos x="connsiteX9122" y="connsiteY9122"/>
              </a:cxn>
              <a:cxn ang="0">
                <a:pos x="connsiteX9123" y="connsiteY9123"/>
              </a:cxn>
              <a:cxn ang="0">
                <a:pos x="connsiteX9124" y="connsiteY9124"/>
              </a:cxn>
              <a:cxn ang="0">
                <a:pos x="connsiteX9125" y="connsiteY9125"/>
              </a:cxn>
              <a:cxn ang="0">
                <a:pos x="connsiteX9126" y="connsiteY9126"/>
              </a:cxn>
              <a:cxn ang="0">
                <a:pos x="connsiteX9127" y="connsiteY9127"/>
              </a:cxn>
              <a:cxn ang="0">
                <a:pos x="connsiteX9128" y="connsiteY9128"/>
              </a:cxn>
              <a:cxn ang="0">
                <a:pos x="connsiteX9129" y="connsiteY9129"/>
              </a:cxn>
              <a:cxn ang="0">
                <a:pos x="connsiteX9130" y="connsiteY9130"/>
              </a:cxn>
              <a:cxn ang="0">
                <a:pos x="connsiteX9131" y="connsiteY9131"/>
              </a:cxn>
              <a:cxn ang="0">
                <a:pos x="connsiteX9132" y="connsiteY9132"/>
              </a:cxn>
              <a:cxn ang="0">
                <a:pos x="connsiteX9133" y="connsiteY9133"/>
              </a:cxn>
              <a:cxn ang="0">
                <a:pos x="connsiteX9134" y="connsiteY9134"/>
              </a:cxn>
              <a:cxn ang="0">
                <a:pos x="connsiteX9135" y="connsiteY9135"/>
              </a:cxn>
              <a:cxn ang="0">
                <a:pos x="connsiteX9136" y="connsiteY9136"/>
              </a:cxn>
              <a:cxn ang="0">
                <a:pos x="connsiteX9137" y="connsiteY9137"/>
              </a:cxn>
              <a:cxn ang="0">
                <a:pos x="connsiteX9138" y="connsiteY9138"/>
              </a:cxn>
              <a:cxn ang="0">
                <a:pos x="connsiteX9139" y="connsiteY9139"/>
              </a:cxn>
              <a:cxn ang="0">
                <a:pos x="connsiteX9140" y="connsiteY9140"/>
              </a:cxn>
              <a:cxn ang="0">
                <a:pos x="connsiteX9141" y="connsiteY9141"/>
              </a:cxn>
              <a:cxn ang="0">
                <a:pos x="connsiteX9142" y="connsiteY9142"/>
              </a:cxn>
              <a:cxn ang="0">
                <a:pos x="connsiteX9143" y="connsiteY9143"/>
              </a:cxn>
              <a:cxn ang="0">
                <a:pos x="connsiteX9144" y="connsiteY9144"/>
              </a:cxn>
              <a:cxn ang="0">
                <a:pos x="connsiteX9145" y="connsiteY9145"/>
              </a:cxn>
              <a:cxn ang="0">
                <a:pos x="connsiteX9146" y="connsiteY9146"/>
              </a:cxn>
              <a:cxn ang="0">
                <a:pos x="connsiteX9147" y="connsiteY9147"/>
              </a:cxn>
              <a:cxn ang="0">
                <a:pos x="connsiteX9148" y="connsiteY9148"/>
              </a:cxn>
              <a:cxn ang="0">
                <a:pos x="connsiteX9149" y="connsiteY9149"/>
              </a:cxn>
              <a:cxn ang="0">
                <a:pos x="connsiteX9150" y="connsiteY9150"/>
              </a:cxn>
              <a:cxn ang="0">
                <a:pos x="connsiteX9151" y="connsiteY9151"/>
              </a:cxn>
              <a:cxn ang="0">
                <a:pos x="connsiteX9152" y="connsiteY9152"/>
              </a:cxn>
              <a:cxn ang="0">
                <a:pos x="connsiteX9153" y="connsiteY9153"/>
              </a:cxn>
              <a:cxn ang="0">
                <a:pos x="connsiteX9154" y="connsiteY9154"/>
              </a:cxn>
              <a:cxn ang="0">
                <a:pos x="connsiteX9155" y="connsiteY9155"/>
              </a:cxn>
              <a:cxn ang="0">
                <a:pos x="connsiteX9156" y="connsiteY9156"/>
              </a:cxn>
              <a:cxn ang="0">
                <a:pos x="connsiteX9157" y="connsiteY9157"/>
              </a:cxn>
              <a:cxn ang="0">
                <a:pos x="connsiteX9158" y="connsiteY9158"/>
              </a:cxn>
              <a:cxn ang="0">
                <a:pos x="connsiteX9159" y="connsiteY9159"/>
              </a:cxn>
              <a:cxn ang="0">
                <a:pos x="connsiteX9160" y="connsiteY9160"/>
              </a:cxn>
              <a:cxn ang="0">
                <a:pos x="connsiteX9161" y="connsiteY9161"/>
              </a:cxn>
              <a:cxn ang="0">
                <a:pos x="connsiteX9162" y="connsiteY9162"/>
              </a:cxn>
              <a:cxn ang="0">
                <a:pos x="connsiteX9163" y="connsiteY9163"/>
              </a:cxn>
              <a:cxn ang="0">
                <a:pos x="connsiteX9164" y="connsiteY9164"/>
              </a:cxn>
              <a:cxn ang="0">
                <a:pos x="connsiteX9165" y="connsiteY9165"/>
              </a:cxn>
              <a:cxn ang="0">
                <a:pos x="connsiteX9166" y="connsiteY9166"/>
              </a:cxn>
              <a:cxn ang="0">
                <a:pos x="connsiteX9167" y="connsiteY9167"/>
              </a:cxn>
              <a:cxn ang="0">
                <a:pos x="connsiteX9168" y="connsiteY9168"/>
              </a:cxn>
              <a:cxn ang="0">
                <a:pos x="connsiteX9169" y="connsiteY9169"/>
              </a:cxn>
              <a:cxn ang="0">
                <a:pos x="connsiteX9170" y="connsiteY9170"/>
              </a:cxn>
              <a:cxn ang="0">
                <a:pos x="connsiteX9171" y="connsiteY9171"/>
              </a:cxn>
              <a:cxn ang="0">
                <a:pos x="connsiteX9172" y="connsiteY9172"/>
              </a:cxn>
              <a:cxn ang="0">
                <a:pos x="connsiteX9173" y="connsiteY9173"/>
              </a:cxn>
              <a:cxn ang="0">
                <a:pos x="connsiteX9174" y="connsiteY9174"/>
              </a:cxn>
              <a:cxn ang="0">
                <a:pos x="connsiteX9175" y="connsiteY9175"/>
              </a:cxn>
              <a:cxn ang="0">
                <a:pos x="connsiteX9176" y="connsiteY9176"/>
              </a:cxn>
              <a:cxn ang="0">
                <a:pos x="connsiteX9177" y="connsiteY9177"/>
              </a:cxn>
              <a:cxn ang="0">
                <a:pos x="connsiteX9178" y="connsiteY9178"/>
              </a:cxn>
              <a:cxn ang="0">
                <a:pos x="connsiteX9179" y="connsiteY9179"/>
              </a:cxn>
              <a:cxn ang="0">
                <a:pos x="connsiteX9180" y="connsiteY9180"/>
              </a:cxn>
              <a:cxn ang="0">
                <a:pos x="connsiteX9181" y="connsiteY9181"/>
              </a:cxn>
              <a:cxn ang="0">
                <a:pos x="connsiteX9182" y="connsiteY9182"/>
              </a:cxn>
              <a:cxn ang="0">
                <a:pos x="connsiteX9183" y="connsiteY9183"/>
              </a:cxn>
              <a:cxn ang="0">
                <a:pos x="connsiteX9184" y="connsiteY9184"/>
              </a:cxn>
              <a:cxn ang="0">
                <a:pos x="connsiteX9185" y="connsiteY9185"/>
              </a:cxn>
              <a:cxn ang="0">
                <a:pos x="connsiteX9186" y="connsiteY9186"/>
              </a:cxn>
              <a:cxn ang="0">
                <a:pos x="connsiteX9187" y="connsiteY9187"/>
              </a:cxn>
              <a:cxn ang="0">
                <a:pos x="connsiteX9188" y="connsiteY9188"/>
              </a:cxn>
              <a:cxn ang="0">
                <a:pos x="connsiteX9189" y="connsiteY9189"/>
              </a:cxn>
              <a:cxn ang="0">
                <a:pos x="connsiteX9190" y="connsiteY9190"/>
              </a:cxn>
              <a:cxn ang="0">
                <a:pos x="connsiteX9191" y="connsiteY9191"/>
              </a:cxn>
              <a:cxn ang="0">
                <a:pos x="connsiteX9192" y="connsiteY9192"/>
              </a:cxn>
              <a:cxn ang="0">
                <a:pos x="connsiteX9193" y="connsiteY9193"/>
              </a:cxn>
              <a:cxn ang="0">
                <a:pos x="connsiteX9194" y="connsiteY9194"/>
              </a:cxn>
              <a:cxn ang="0">
                <a:pos x="connsiteX9195" y="connsiteY9195"/>
              </a:cxn>
              <a:cxn ang="0">
                <a:pos x="connsiteX9196" y="connsiteY9196"/>
              </a:cxn>
              <a:cxn ang="0">
                <a:pos x="connsiteX9197" y="connsiteY9197"/>
              </a:cxn>
              <a:cxn ang="0">
                <a:pos x="connsiteX9198" y="connsiteY9198"/>
              </a:cxn>
              <a:cxn ang="0">
                <a:pos x="connsiteX9199" y="connsiteY9199"/>
              </a:cxn>
              <a:cxn ang="0">
                <a:pos x="connsiteX9200" y="connsiteY9200"/>
              </a:cxn>
              <a:cxn ang="0">
                <a:pos x="connsiteX9201" y="connsiteY9201"/>
              </a:cxn>
              <a:cxn ang="0">
                <a:pos x="connsiteX9202" y="connsiteY9202"/>
              </a:cxn>
              <a:cxn ang="0">
                <a:pos x="connsiteX9203" y="connsiteY9203"/>
              </a:cxn>
              <a:cxn ang="0">
                <a:pos x="connsiteX9204" y="connsiteY9204"/>
              </a:cxn>
              <a:cxn ang="0">
                <a:pos x="connsiteX9205" y="connsiteY9205"/>
              </a:cxn>
              <a:cxn ang="0">
                <a:pos x="connsiteX9206" y="connsiteY9206"/>
              </a:cxn>
              <a:cxn ang="0">
                <a:pos x="connsiteX9207" y="connsiteY9207"/>
              </a:cxn>
              <a:cxn ang="0">
                <a:pos x="connsiteX9208" y="connsiteY9208"/>
              </a:cxn>
              <a:cxn ang="0">
                <a:pos x="connsiteX9209" y="connsiteY9209"/>
              </a:cxn>
              <a:cxn ang="0">
                <a:pos x="connsiteX9210" y="connsiteY9210"/>
              </a:cxn>
              <a:cxn ang="0">
                <a:pos x="connsiteX9211" y="connsiteY9211"/>
              </a:cxn>
              <a:cxn ang="0">
                <a:pos x="connsiteX9212" y="connsiteY9212"/>
              </a:cxn>
              <a:cxn ang="0">
                <a:pos x="connsiteX9213" y="connsiteY9213"/>
              </a:cxn>
              <a:cxn ang="0">
                <a:pos x="connsiteX9214" y="connsiteY9214"/>
              </a:cxn>
              <a:cxn ang="0">
                <a:pos x="connsiteX9215" y="connsiteY9215"/>
              </a:cxn>
              <a:cxn ang="0">
                <a:pos x="connsiteX9216" y="connsiteY9216"/>
              </a:cxn>
              <a:cxn ang="0">
                <a:pos x="connsiteX9217" y="connsiteY9217"/>
              </a:cxn>
              <a:cxn ang="0">
                <a:pos x="connsiteX9218" y="connsiteY9218"/>
              </a:cxn>
              <a:cxn ang="0">
                <a:pos x="connsiteX9219" y="connsiteY9219"/>
              </a:cxn>
              <a:cxn ang="0">
                <a:pos x="connsiteX9220" y="connsiteY9220"/>
              </a:cxn>
              <a:cxn ang="0">
                <a:pos x="connsiteX9221" y="connsiteY9221"/>
              </a:cxn>
              <a:cxn ang="0">
                <a:pos x="connsiteX9222" y="connsiteY9222"/>
              </a:cxn>
              <a:cxn ang="0">
                <a:pos x="connsiteX9223" y="connsiteY9223"/>
              </a:cxn>
              <a:cxn ang="0">
                <a:pos x="connsiteX9224" y="connsiteY9224"/>
              </a:cxn>
              <a:cxn ang="0">
                <a:pos x="connsiteX9225" y="connsiteY9225"/>
              </a:cxn>
              <a:cxn ang="0">
                <a:pos x="connsiteX9226" y="connsiteY9226"/>
              </a:cxn>
              <a:cxn ang="0">
                <a:pos x="connsiteX9227" y="connsiteY9227"/>
              </a:cxn>
              <a:cxn ang="0">
                <a:pos x="connsiteX9228" y="connsiteY9228"/>
              </a:cxn>
              <a:cxn ang="0">
                <a:pos x="connsiteX9229" y="connsiteY9229"/>
              </a:cxn>
              <a:cxn ang="0">
                <a:pos x="connsiteX9230" y="connsiteY9230"/>
              </a:cxn>
              <a:cxn ang="0">
                <a:pos x="connsiteX9231" y="connsiteY9231"/>
              </a:cxn>
              <a:cxn ang="0">
                <a:pos x="connsiteX9232" y="connsiteY9232"/>
              </a:cxn>
              <a:cxn ang="0">
                <a:pos x="connsiteX9233" y="connsiteY9233"/>
              </a:cxn>
              <a:cxn ang="0">
                <a:pos x="connsiteX9234" y="connsiteY9234"/>
              </a:cxn>
              <a:cxn ang="0">
                <a:pos x="connsiteX9235" y="connsiteY9235"/>
              </a:cxn>
              <a:cxn ang="0">
                <a:pos x="connsiteX9236" y="connsiteY9236"/>
              </a:cxn>
              <a:cxn ang="0">
                <a:pos x="connsiteX9237" y="connsiteY9237"/>
              </a:cxn>
              <a:cxn ang="0">
                <a:pos x="connsiteX9238" y="connsiteY9238"/>
              </a:cxn>
              <a:cxn ang="0">
                <a:pos x="connsiteX9239" y="connsiteY9239"/>
              </a:cxn>
              <a:cxn ang="0">
                <a:pos x="connsiteX9240" y="connsiteY9240"/>
              </a:cxn>
              <a:cxn ang="0">
                <a:pos x="connsiteX9241" y="connsiteY9241"/>
              </a:cxn>
              <a:cxn ang="0">
                <a:pos x="connsiteX9242" y="connsiteY9242"/>
              </a:cxn>
              <a:cxn ang="0">
                <a:pos x="connsiteX9243" y="connsiteY9243"/>
              </a:cxn>
              <a:cxn ang="0">
                <a:pos x="connsiteX9244" y="connsiteY9244"/>
              </a:cxn>
              <a:cxn ang="0">
                <a:pos x="connsiteX9245" y="connsiteY9245"/>
              </a:cxn>
              <a:cxn ang="0">
                <a:pos x="connsiteX9246" y="connsiteY9246"/>
              </a:cxn>
              <a:cxn ang="0">
                <a:pos x="connsiteX9247" y="connsiteY9247"/>
              </a:cxn>
              <a:cxn ang="0">
                <a:pos x="connsiteX9248" y="connsiteY9248"/>
              </a:cxn>
              <a:cxn ang="0">
                <a:pos x="connsiteX9249" y="connsiteY9249"/>
              </a:cxn>
              <a:cxn ang="0">
                <a:pos x="connsiteX9250" y="connsiteY9250"/>
              </a:cxn>
              <a:cxn ang="0">
                <a:pos x="connsiteX9251" y="connsiteY9251"/>
              </a:cxn>
              <a:cxn ang="0">
                <a:pos x="connsiteX9252" y="connsiteY9252"/>
              </a:cxn>
              <a:cxn ang="0">
                <a:pos x="connsiteX9253" y="connsiteY9253"/>
              </a:cxn>
              <a:cxn ang="0">
                <a:pos x="connsiteX9254" y="connsiteY9254"/>
              </a:cxn>
              <a:cxn ang="0">
                <a:pos x="connsiteX9255" y="connsiteY9255"/>
              </a:cxn>
              <a:cxn ang="0">
                <a:pos x="connsiteX9256" y="connsiteY9256"/>
              </a:cxn>
              <a:cxn ang="0">
                <a:pos x="connsiteX9257" y="connsiteY9257"/>
              </a:cxn>
              <a:cxn ang="0">
                <a:pos x="connsiteX9258" y="connsiteY9258"/>
              </a:cxn>
              <a:cxn ang="0">
                <a:pos x="connsiteX9259" y="connsiteY9259"/>
              </a:cxn>
              <a:cxn ang="0">
                <a:pos x="connsiteX9260" y="connsiteY9260"/>
              </a:cxn>
              <a:cxn ang="0">
                <a:pos x="connsiteX9261" y="connsiteY9261"/>
              </a:cxn>
              <a:cxn ang="0">
                <a:pos x="connsiteX9262" y="connsiteY9262"/>
              </a:cxn>
              <a:cxn ang="0">
                <a:pos x="connsiteX9263" y="connsiteY9263"/>
              </a:cxn>
              <a:cxn ang="0">
                <a:pos x="connsiteX9264" y="connsiteY9264"/>
              </a:cxn>
              <a:cxn ang="0">
                <a:pos x="connsiteX9265" y="connsiteY9265"/>
              </a:cxn>
              <a:cxn ang="0">
                <a:pos x="connsiteX9266" y="connsiteY9266"/>
              </a:cxn>
              <a:cxn ang="0">
                <a:pos x="connsiteX9267" y="connsiteY9267"/>
              </a:cxn>
              <a:cxn ang="0">
                <a:pos x="connsiteX9268" y="connsiteY9268"/>
              </a:cxn>
              <a:cxn ang="0">
                <a:pos x="connsiteX9269" y="connsiteY9269"/>
              </a:cxn>
              <a:cxn ang="0">
                <a:pos x="connsiteX9270" y="connsiteY9270"/>
              </a:cxn>
              <a:cxn ang="0">
                <a:pos x="connsiteX9271" y="connsiteY9271"/>
              </a:cxn>
              <a:cxn ang="0">
                <a:pos x="connsiteX9272" y="connsiteY9272"/>
              </a:cxn>
              <a:cxn ang="0">
                <a:pos x="connsiteX9273" y="connsiteY9273"/>
              </a:cxn>
              <a:cxn ang="0">
                <a:pos x="connsiteX9274" y="connsiteY9274"/>
              </a:cxn>
              <a:cxn ang="0">
                <a:pos x="connsiteX9275" y="connsiteY9275"/>
              </a:cxn>
              <a:cxn ang="0">
                <a:pos x="connsiteX9276" y="connsiteY9276"/>
              </a:cxn>
              <a:cxn ang="0">
                <a:pos x="connsiteX9277" y="connsiteY9277"/>
              </a:cxn>
              <a:cxn ang="0">
                <a:pos x="connsiteX9278" y="connsiteY9278"/>
              </a:cxn>
              <a:cxn ang="0">
                <a:pos x="connsiteX9279" y="connsiteY9279"/>
              </a:cxn>
              <a:cxn ang="0">
                <a:pos x="connsiteX9280" y="connsiteY9280"/>
              </a:cxn>
              <a:cxn ang="0">
                <a:pos x="connsiteX9281" y="connsiteY9281"/>
              </a:cxn>
              <a:cxn ang="0">
                <a:pos x="connsiteX9282" y="connsiteY9282"/>
              </a:cxn>
              <a:cxn ang="0">
                <a:pos x="connsiteX9283" y="connsiteY9283"/>
              </a:cxn>
              <a:cxn ang="0">
                <a:pos x="connsiteX9284" y="connsiteY9284"/>
              </a:cxn>
              <a:cxn ang="0">
                <a:pos x="connsiteX9285" y="connsiteY9285"/>
              </a:cxn>
              <a:cxn ang="0">
                <a:pos x="connsiteX9286" y="connsiteY9286"/>
              </a:cxn>
              <a:cxn ang="0">
                <a:pos x="connsiteX9287" y="connsiteY9287"/>
              </a:cxn>
              <a:cxn ang="0">
                <a:pos x="connsiteX9288" y="connsiteY9288"/>
              </a:cxn>
              <a:cxn ang="0">
                <a:pos x="connsiteX9289" y="connsiteY9289"/>
              </a:cxn>
              <a:cxn ang="0">
                <a:pos x="connsiteX9290" y="connsiteY9290"/>
              </a:cxn>
              <a:cxn ang="0">
                <a:pos x="connsiteX9291" y="connsiteY9291"/>
              </a:cxn>
              <a:cxn ang="0">
                <a:pos x="connsiteX9292" y="connsiteY9292"/>
              </a:cxn>
              <a:cxn ang="0">
                <a:pos x="connsiteX9293" y="connsiteY9293"/>
              </a:cxn>
              <a:cxn ang="0">
                <a:pos x="connsiteX9294" y="connsiteY9294"/>
              </a:cxn>
              <a:cxn ang="0">
                <a:pos x="connsiteX9295" y="connsiteY9295"/>
              </a:cxn>
              <a:cxn ang="0">
                <a:pos x="connsiteX9296" y="connsiteY9296"/>
              </a:cxn>
              <a:cxn ang="0">
                <a:pos x="connsiteX9297" y="connsiteY9297"/>
              </a:cxn>
              <a:cxn ang="0">
                <a:pos x="connsiteX9298" y="connsiteY9298"/>
              </a:cxn>
              <a:cxn ang="0">
                <a:pos x="connsiteX9299" y="connsiteY9299"/>
              </a:cxn>
              <a:cxn ang="0">
                <a:pos x="connsiteX9300" y="connsiteY9300"/>
              </a:cxn>
              <a:cxn ang="0">
                <a:pos x="connsiteX9301" y="connsiteY9301"/>
              </a:cxn>
              <a:cxn ang="0">
                <a:pos x="connsiteX9302" y="connsiteY9302"/>
              </a:cxn>
              <a:cxn ang="0">
                <a:pos x="connsiteX9303" y="connsiteY9303"/>
              </a:cxn>
              <a:cxn ang="0">
                <a:pos x="connsiteX9304" y="connsiteY9304"/>
              </a:cxn>
              <a:cxn ang="0">
                <a:pos x="connsiteX9305" y="connsiteY9305"/>
              </a:cxn>
              <a:cxn ang="0">
                <a:pos x="connsiteX9306" y="connsiteY9306"/>
              </a:cxn>
              <a:cxn ang="0">
                <a:pos x="connsiteX9307" y="connsiteY9307"/>
              </a:cxn>
              <a:cxn ang="0">
                <a:pos x="connsiteX9308" y="connsiteY9308"/>
              </a:cxn>
              <a:cxn ang="0">
                <a:pos x="connsiteX9309" y="connsiteY9309"/>
              </a:cxn>
              <a:cxn ang="0">
                <a:pos x="connsiteX9310" y="connsiteY9310"/>
              </a:cxn>
              <a:cxn ang="0">
                <a:pos x="connsiteX9311" y="connsiteY9311"/>
              </a:cxn>
              <a:cxn ang="0">
                <a:pos x="connsiteX9312" y="connsiteY9312"/>
              </a:cxn>
              <a:cxn ang="0">
                <a:pos x="connsiteX9313" y="connsiteY9313"/>
              </a:cxn>
              <a:cxn ang="0">
                <a:pos x="connsiteX9314" y="connsiteY9314"/>
              </a:cxn>
              <a:cxn ang="0">
                <a:pos x="connsiteX9315" y="connsiteY9315"/>
              </a:cxn>
              <a:cxn ang="0">
                <a:pos x="connsiteX9316" y="connsiteY9316"/>
              </a:cxn>
              <a:cxn ang="0">
                <a:pos x="connsiteX9317" y="connsiteY9317"/>
              </a:cxn>
              <a:cxn ang="0">
                <a:pos x="connsiteX9318" y="connsiteY9318"/>
              </a:cxn>
              <a:cxn ang="0">
                <a:pos x="connsiteX9319" y="connsiteY9319"/>
              </a:cxn>
              <a:cxn ang="0">
                <a:pos x="connsiteX9320" y="connsiteY9320"/>
              </a:cxn>
              <a:cxn ang="0">
                <a:pos x="connsiteX9321" y="connsiteY9321"/>
              </a:cxn>
              <a:cxn ang="0">
                <a:pos x="connsiteX9322" y="connsiteY9322"/>
              </a:cxn>
              <a:cxn ang="0">
                <a:pos x="connsiteX9323" y="connsiteY9323"/>
              </a:cxn>
              <a:cxn ang="0">
                <a:pos x="connsiteX9324" y="connsiteY9324"/>
              </a:cxn>
              <a:cxn ang="0">
                <a:pos x="connsiteX9325" y="connsiteY9325"/>
              </a:cxn>
              <a:cxn ang="0">
                <a:pos x="connsiteX9326" y="connsiteY9326"/>
              </a:cxn>
              <a:cxn ang="0">
                <a:pos x="connsiteX9327" y="connsiteY9327"/>
              </a:cxn>
              <a:cxn ang="0">
                <a:pos x="connsiteX9328" y="connsiteY9328"/>
              </a:cxn>
              <a:cxn ang="0">
                <a:pos x="connsiteX9329" y="connsiteY9329"/>
              </a:cxn>
              <a:cxn ang="0">
                <a:pos x="connsiteX9330" y="connsiteY9330"/>
              </a:cxn>
              <a:cxn ang="0">
                <a:pos x="connsiteX9331" y="connsiteY9331"/>
              </a:cxn>
              <a:cxn ang="0">
                <a:pos x="connsiteX9332" y="connsiteY9332"/>
              </a:cxn>
              <a:cxn ang="0">
                <a:pos x="connsiteX9333" y="connsiteY9333"/>
              </a:cxn>
              <a:cxn ang="0">
                <a:pos x="connsiteX9334" y="connsiteY9334"/>
              </a:cxn>
              <a:cxn ang="0">
                <a:pos x="connsiteX9335" y="connsiteY9335"/>
              </a:cxn>
              <a:cxn ang="0">
                <a:pos x="connsiteX9336" y="connsiteY9336"/>
              </a:cxn>
              <a:cxn ang="0">
                <a:pos x="connsiteX9337" y="connsiteY9337"/>
              </a:cxn>
              <a:cxn ang="0">
                <a:pos x="connsiteX9338" y="connsiteY9338"/>
              </a:cxn>
              <a:cxn ang="0">
                <a:pos x="connsiteX9339" y="connsiteY9339"/>
              </a:cxn>
              <a:cxn ang="0">
                <a:pos x="connsiteX9340" y="connsiteY9340"/>
              </a:cxn>
              <a:cxn ang="0">
                <a:pos x="connsiteX9341" y="connsiteY9341"/>
              </a:cxn>
              <a:cxn ang="0">
                <a:pos x="connsiteX9342" y="connsiteY9342"/>
              </a:cxn>
              <a:cxn ang="0">
                <a:pos x="connsiteX9343" y="connsiteY9343"/>
              </a:cxn>
              <a:cxn ang="0">
                <a:pos x="connsiteX9344" y="connsiteY9344"/>
              </a:cxn>
              <a:cxn ang="0">
                <a:pos x="connsiteX9345" y="connsiteY9345"/>
              </a:cxn>
              <a:cxn ang="0">
                <a:pos x="connsiteX9346" y="connsiteY9346"/>
              </a:cxn>
              <a:cxn ang="0">
                <a:pos x="connsiteX9347" y="connsiteY9347"/>
              </a:cxn>
              <a:cxn ang="0">
                <a:pos x="connsiteX9348" y="connsiteY9348"/>
              </a:cxn>
              <a:cxn ang="0">
                <a:pos x="connsiteX9349" y="connsiteY9349"/>
              </a:cxn>
              <a:cxn ang="0">
                <a:pos x="connsiteX9350" y="connsiteY9350"/>
              </a:cxn>
              <a:cxn ang="0">
                <a:pos x="connsiteX9351" y="connsiteY9351"/>
              </a:cxn>
              <a:cxn ang="0">
                <a:pos x="connsiteX9352" y="connsiteY9352"/>
              </a:cxn>
              <a:cxn ang="0">
                <a:pos x="connsiteX9353" y="connsiteY9353"/>
              </a:cxn>
              <a:cxn ang="0">
                <a:pos x="connsiteX9354" y="connsiteY9354"/>
              </a:cxn>
              <a:cxn ang="0">
                <a:pos x="connsiteX9355" y="connsiteY9355"/>
              </a:cxn>
              <a:cxn ang="0">
                <a:pos x="connsiteX9356" y="connsiteY9356"/>
              </a:cxn>
              <a:cxn ang="0">
                <a:pos x="connsiteX9357" y="connsiteY9357"/>
              </a:cxn>
              <a:cxn ang="0">
                <a:pos x="connsiteX9358" y="connsiteY9358"/>
              </a:cxn>
              <a:cxn ang="0">
                <a:pos x="connsiteX9359" y="connsiteY9359"/>
              </a:cxn>
              <a:cxn ang="0">
                <a:pos x="connsiteX9360" y="connsiteY9360"/>
              </a:cxn>
              <a:cxn ang="0">
                <a:pos x="connsiteX9361" y="connsiteY9361"/>
              </a:cxn>
              <a:cxn ang="0">
                <a:pos x="connsiteX9362" y="connsiteY9362"/>
              </a:cxn>
              <a:cxn ang="0">
                <a:pos x="connsiteX9363" y="connsiteY9363"/>
              </a:cxn>
              <a:cxn ang="0">
                <a:pos x="connsiteX9364" y="connsiteY9364"/>
              </a:cxn>
              <a:cxn ang="0">
                <a:pos x="connsiteX9365" y="connsiteY9365"/>
              </a:cxn>
              <a:cxn ang="0">
                <a:pos x="connsiteX9366" y="connsiteY9366"/>
              </a:cxn>
              <a:cxn ang="0">
                <a:pos x="connsiteX9367" y="connsiteY9367"/>
              </a:cxn>
              <a:cxn ang="0">
                <a:pos x="connsiteX9368" y="connsiteY9368"/>
              </a:cxn>
              <a:cxn ang="0">
                <a:pos x="connsiteX9369" y="connsiteY9369"/>
              </a:cxn>
              <a:cxn ang="0">
                <a:pos x="connsiteX9370" y="connsiteY9370"/>
              </a:cxn>
              <a:cxn ang="0">
                <a:pos x="connsiteX9371" y="connsiteY9371"/>
              </a:cxn>
              <a:cxn ang="0">
                <a:pos x="connsiteX9372" y="connsiteY9372"/>
              </a:cxn>
              <a:cxn ang="0">
                <a:pos x="connsiteX9373" y="connsiteY9373"/>
              </a:cxn>
              <a:cxn ang="0">
                <a:pos x="connsiteX9374" y="connsiteY9374"/>
              </a:cxn>
              <a:cxn ang="0">
                <a:pos x="connsiteX9375" y="connsiteY9375"/>
              </a:cxn>
              <a:cxn ang="0">
                <a:pos x="connsiteX9376" y="connsiteY9376"/>
              </a:cxn>
              <a:cxn ang="0">
                <a:pos x="connsiteX9377" y="connsiteY9377"/>
              </a:cxn>
              <a:cxn ang="0">
                <a:pos x="connsiteX9378" y="connsiteY9378"/>
              </a:cxn>
              <a:cxn ang="0">
                <a:pos x="connsiteX9379" y="connsiteY9379"/>
              </a:cxn>
              <a:cxn ang="0">
                <a:pos x="connsiteX9380" y="connsiteY9380"/>
              </a:cxn>
              <a:cxn ang="0">
                <a:pos x="connsiteX9381" y="connsiteY9381"/>
              </a:cxn>
              <a:cxn ang="0">
                <a:pos x="connsiteX9382" y="connsiteY9382"/>
              </a:cxn>
              <a:cxn ang="0">
                <a:pos x="connsiteX9383" y="connsiteY9383"/>
              </a:cxn>
              <a:cxn ang="0">
                <a:pos x="connsiteX9384" y="connsiteY9384"/>
              </a:cxn>
              <a:cxn ang="0">
                <a:pos x="connsiteX9385" y="connsiteY9385"/>
              </a:cxn>
              <a:cxn ang="0">
                <a:pos x="connsiteX9386" y="connsiteY9386"/>
              </a:cxn>
              <a:cxn ang="0">
                <a:pos x="connsiteX9387" y="connsiteY9387"/>
              </a:cxn>
              <a:cxn ang="0">
                <a:pos x="connsiteX9388" y="connsiteY9388"/>
              </a:cxn>
              <a:cxn ang="0">
                <a:pos x="connsiteX9389" y="connsiteY9389"/>
              </a:cxn>
              <a:cxn ang="0">
                <a:pos x="connsiteX9390" y="connsiteY9390"/>
              </a:cxn>
              <a:cxn ang="0">
                <a:pos x="connsiteX9391" y="connsiteY9391"/>
              </a:cxn>
              <a:cxn ang="0">
                <a:pos x="connsiteX9392" y="connsiteY9392"/>
              </a:cxn>
              <a:cxn ang="0">
                <a:pos x="connsiteX9393" y="connsiteY9393"/>
              </a:cxn>
              <a:cxn ang="0">
                <a:pos x="connsiteX9394" y="connsiteY9394"/>
              </a:cxn>
              <a:cxn ang="0">
                <a:pos x="connsiteX9395" y="connsiteY9395"/>
              </a:cxn>
              <a:cxn ang="0">
                <a:pos x="connsiteX9396" y="connsiteY9396"/>
              </a:cxn>
              <a:cxn ang="0">
                <a:pos x="connsiteX9397" y="connsiteY9397"/>
              </a:cxn>
              <a:cxn ang="0">
                <a:pos x="connsiteX9398" y="connsiteY9398"/>
              </a:cxn>
              <a:cxn ang="0">
                <a:pos x="connsiteX9399" y="connsiteY9399"/>
              </a:cxn>
              <a:cxn ang="0">
                <a:pos x="connsiteX9400" y="connsiteY9400"/>
              </a:cxn>
              <a:cxn ang="0">
                <a:pos x="connsiteX9401" y="connsiteY9401"/>
              </a:cxn>
              <a:cxn ang="0">
                <a:pos x="connsiteX9402" y="connsiteY9402"/>
              </a:cxn>
              <a:cxn ang="0">
                <a:pos x="connsiteX9403" y="connsiteY9403"/>
              </a:cxn>
              <a:cxn ang="0">
                <a:pos x="connsiteX9404" y="connsiteY9404"/>
              </a:cxn>
              <a:cxn ang="0">
                <a:pos x="connsiteX9405" y="connsiteY9405"/>
              </a:cxn>
              <a:cxn ang="0">
                <a:pos x="connsiteX9406" y="connsiteY9406"/>
              </a:cxn>
              <a:cxn ang="0">
                <a:pos x="connsiteX9407" y="connsiteY9407"/>
              </a:cxn>
              <a:cxn ang="0">
                <a:pos x="connsiteX9408" y="connsiteY9408"/>
              </a:cxn>
              <a:cxn ang="0">
                <a:pos x="connsiteX9409" y="connsiteY9409"/>
              </a:cxn>
              <a:cxn ang="0">
                <a:pos x="connsiteX9410" y="connsiteY9410"/>
              </a:cxn>
              <a:cxn ang="0">
                <a:pos x="connsiteX9411" y="connsiteY9411"/>
              </a:cxn>
              <a:cxn ang="0">
                <a:pos x="connsiteX9412" y="connsiteY9412"/>
              </a:cxn>
              <a:cxn ang="0">
                <a:pos x="connsiteX9413" y="connsiteY9413"/>
              </a:cxn>
              <a:cxn ang="0">
                <a:pos x="connsiteX9414" y="connsiteY9414"/>
              </a:cxn>
              <a:cxn ang="0">
                <a:pos x="connsiteX9415" y="connsiteY9415"/>
              </a:cxn>
              <a:cxn ang="0">
                <a:pos x="connsiteX9416" y="connsiteY9416"/>
              </a:cxn>
              <a:cxn ang="0">
                <a:pos x="connsiteX9417" y="connsiteY9417"/>
              </a:cxn>
              <a:cxn ang="0">
                <a:pos x="connsiteX9418" y="connsiteY9418"/>
              </a:cxn>
              <a:cxn ang="0">
                <a:pos x="connsiteX9419" y="connsiteY9419"/>
              </a:cxn>
              <a:cxn ang="0">
                <a:pos x="connsiteX9420" y="connsiteY9420"/>
              </a:cxn>
              <a:cxn ang="0">
                <a:pos x="connsiteX9421" y="connsiteY9421"/>
              </a:cxn>
              <a:cxn ang="0">
                <a:pos x="connsiteX9422" y="connsiteY9422"/>
              </a:cxn>
              <a:cxn ang="0">
                <a:pos x="connsiteX9423" y="connsiteY9423"/>
              </a:cxn>
              <a:cxn ang="0">
                <a:pos x="connsiteX9424" y="connsiteY9424"/>
              </a:cxn>
              <a:cxn ang="0">
                <a:pos x="connsiteX9425" y="connsiteY9425"/>
              </a:cxn>
              <a:cxn ang="0">
                <a:pos x="connsiteX9426" y="connsiteY9426"/>
              </a:cxn>
              <a:cxn ang="0">
                <a:pos x="connsiteX9427" y="connsiteY9427"/>
              </a:cxn>
              <a:cxn ang="0">
                <a:pos x="connsiteX9428" y="connsiteY9428"/>
              </a:cxn>
              <a:cxn ang="0">
                <a:pos x="connsiteX9429" y="connsiteY9429"/>
              </a:cxn>
              <a:cxn ang="0">
                <a:pos x="connsiteX9430" y="connsiteY9430"/>
              </a:cxn>
              <a:cxn ang="0">
                <a:pos x="connsiteX9431" y="connsiteY9431"/>
              </a:cxn>
              <a:cxn ang="0">
                <a:pos x="connsiteX9432" y="connsiteY9432"/>
              </a:cxn>
              <a:cxn ang="0">
                <a:pos x="connsiteX9433" y="connsiteY9433"/>
              </a:cxn>
              <a:cxn ang="0">
                <a:pos x="connsiteX9434" y="connsiteY9434"/>
              </a:cxn>
              <a:cxn ang="0">
                <a:pos x="connsiteX9435" y="connsiteY9435"/>
              </a:cxn>
              <a:cxn ang="0">
                <a:pos x="connsiteX9436" y="connsiteY9436"/>
              </a:cxn>
              <a:cxn ang="0">
                <a:pos x="connsiteX9437" y="connsiteY9437"/>
              </a:cxn>
              <a:cxn ang="0">
                <a:pos x="connsiteX9438" y="connsiteY9438"/>
              </a:cxn>
              <a:cxn ang="0">
                <a:pos x="connsiteX9439" y="connsiteY9439"/>
              </a:cxn>
              <a:cxn ang="0">
                <a:pos x="connsiteX9440" y="connsiteY9440"/>
              </a:cxn>
              <a:cxn ang="0">
                <a:pos x="connsiteX9441" y="connsiteY9441"/>
              </a:cxn>
              <a:cxn ang="0">
                <a:pos x="connsiteX9442" y="connsiteY9442"/>
              </a:cxn>
              <a:cxn ang="0">
                <a:pos x="connsiteX9443" y="connsiteY9443"/>
              </a:cxn>
              <a:cxn ang="0">
                <a:pos x="connsiteX9444" y="connsiteY9444"/>
              </a:cxn>
              <a:cxn ang="0">
                <a:pos x="connsiteX9445" y="connsiteY9445"/>
              </a:cxn>
              <a:cxn ang="0">
                <a:pos x="connsiteX9446" y="connsiteY9446"/>
              </a:cxn>
              <a:cxn ang="0">
                <a:pos x="connsiteX9447" y="connsiteY9447"/>
              </a:cxn>
              <a:cxn ang="0">
                <a:pos x="connsiteX9448" y="connsiteY9448"/>
              </a:cxn>
              <a:cxn ang="0">
                <a:pos x="connsiteX9449" y="connsiteY9449"/>
              </a:cxn>
              <a:cxn ang="0">
                <a:pos x="connsiteX9450" y="connsiteY9450"/>
              </a:cxn>
              <a:cxn ang="0">
                <a:pos x="connsiteX9451" y="connsiteY9451"/>
              </a:cxn>
              <a:cxn ang="0">
                <a:pos x="connsiteX9452" y="connsiteY9452"/>
              </a:cxn>
              <a:cxn ang="0">
                <a:pos x="connsiteX9453" y="connsiteY9453"/>
              </a:cxn>
              <a:cxn ang="0">
                <a:pos x="connsiteX9454" y="connsiteY9454"/>
              </a:cxn>
              <a:cxn ang="0">
                <a:pos x="connsiteX9455" y="connsiteY9455"/>
              </a:cxn>
              <a:cxn ang="0">
                <a:pos x="connsiteX9456" y="connsiteY9456"/>
              </a:cxn>
              <a:cxn ang="0">
                <a:pos x="connsiteX9457" y="connsiteY9457"/>
              </a:cxn>
              <a:cxn ang="0">
                <a:pos x="connsiteX9458" y="connsiteY9458"/>
              </a:cxn>
              <a:cxn ang="0">
                <a:pos x="connsiteX9459" y="connsiteY9459"/>
              </a:cxn>
              <a:cxn ang="0">
                <a:pos x="connsiteX9460" y="connsiteY9460"/>
              </a:cxn>
              <a:cxn ang="0">
                <a:pos x="connsiteX9461" y="connsiteY9461"/>
              </a:cxn>
              <a:cxn ang="0">
                <a:pos x="connsiteX9462" y="connsiteY9462"/>
              </a:cxn>
              <a:cxn ang="0">
                <a:pos x="connsiteX9463" y="connsiteY9463"/>
              </a:cxn>
              <a:cxn ang="0">
                <a:pos x="connsiteX9464" y="connsiteY9464"/>
              </a:cxn>
              <a:cxn ang="0">
                <a:pos x="connsiteX9465" y="connsiteY9465"/>
              </a:cxn>
              <a:cxn ang="0">
                <a:pos x="connsiteX9466" y="connsiteY9466"/>
              </a:cxn>
              <a:cxn ang="0">
                <a:pos x="connsiteX9467" y="connsiteY9467"/>
              </a:cxn>
              <a:cxn ang="0">
                <a:pos x="connsiteX9468" y="connsiteY9468"/>
              </a:cxn>
              <a:cxn ang="0">
                <a:pos x="connsiteX9469" y="connsiteY9469"/>
              </a:cxn>
              <a:cxn ang="0">
                <a:pos x="connsiteX9470" y="connsiteY9470"/>
              </a:cxn>
              <a:cxn ang="0">
                <a:pos x="connsiteX9471" y="connsiteY9471"/>
              </a:cxn>
              <a:cxn ang="0">
                <a:pos x="connsiteX9472" y="connsiteY9472"/>
              </a:cxn>
              <a:cxn ang="0">
                <a:pos x="connsiteX9473" y="connsiteY9473"/>
              </a:cxn>
              <a:cxn ang="0">
                <a:pos x="connsiteX9474" y="connsiteY9474"/>
              </a:cxn>
              <a:cxn ang="0">
                <a:pos x="connsiteX9475" y="connsiteY9475"/>
              </a:cxn>
              <a:cxn ang="0">
                <a:pos x="connsiteX9476" y="connsiteY9476"/>
              </a:cxn>
              <a:cxn ang="0">
                <a:pos x="connsiteX9477" y="connsiteY9477"/>
              </a:cxn>
              <a:cxn ang="0">
                <a:pos x="connsiteX9478" y="connsiteY9478"/>
              </a:cxn>
              <a:cxn ang="0">
                <a:pos x="connsiteX9479" y="connsiteY9479"/>
              </a:cxn>
              <a:cxn ang="0">
                <a:pos x="connsiteX9480" y="connsiteY9480"/>
              </a:cxn>
              <a:cxn ang="0">
                <a:pos x="connsiteX9481" y="connsiteY9481"/>
              </a:cxn>
              <a:cxn ang="0">
                <a:pos x="connsiteX9482" y="connsiteY9482"/>
              </a:cxn>
              <a:cxn ang="0">
                <a:pos x="connsiteX9483" y="connsiteY9483"/>
              </a:cxn>
              <a:cxn ang="0">
                <a:pos x="connsiteX9484" y="connsiteY9484"/>
              </a:cxn>
              <a:cxn ang="0">
                <a:pos x="connsiteX9485" y="connsiteY9485"/>
              </a:cxn>
              <a:cxn ang="0">
                <a:pos x="connsiteX9486" y="connsiteY9486"/>
              </a:cxn>
              <a:cxn ang="0">
                <a:pos x="connsiteX9487" y="connsiteY9487"/>
              </a:cxn>
              <a:cxn ang="0">
                <a:pos x="connsiteX9488" y="connsiteY9488"/>
              </a:cxn>
              <a:cxn ang="0">
                <a:pos x="connsiteX9489" y="connsiteY9489"/>
              </a:cxn>
              <a:cxn ang="0">
                <a:pos x="connsiteX9490" y="connsiteY9490"/>
              </a:cxn>
              <a:cxn ang="0">
                <a:pos x="connsiteX9491" y="connsiteY9491"/>
              </a:cxn>
              <a:cxn ang="0">
                <a:pos x="connsiteX9492" y="connsiteY9492"/>
              </a:cxn>
              <a:cxn ang="0">
                <a:pos x="connsiteX9493" y="connsiteY9493"/>
              </a:cxn>
              <a:cxn ang="0">
                <a:pos x="connsiteX9494" y="connsiteY9494"/>
              </a:cxn>
              <a:cxn ang="0">
                <a:pos x="connsiteX9495" y="connsiteY9495"/>
              </a:cxn>
              <a:cxn ang="0">
                <a:pos x="connsiteX9496" y="connsiteY9496"/>
              </a:cxn>
              <a:cxn ang="0">
                <a:pos x="connsiteX9497" y="connsiteY9497"/>
              </a:cxn>
              <a:cxn ang="0">
                <a:pos x="connsiteX9498" y="connsiteY9498"/>
              </a:cxn>
              <a:cxn ang="0">
                <a:pos x="connsiteX9499" y="connsiteY9499"/>
              </a:cxn>
              <a:cxn ang="0">
                <a:pos x="connsiteX9500" y="connsiteY9500"/>
              </a:cxn>
              <a:cxn ang="0">
                <a:pos x="connsiteX9501" y="connsiteY9501"/>
              </a:cxn>
              <a:cxn ang="0">
                <a:pos x="connsiteX9502" y="connsiteY9502"/>
              </a:cxn>
              <a:cxn ang="0">
                <a:pos x="connsiteX9503" y="connsiteY9503"/>
              </a:cxn>
              <a:cxn ang="0">
                <a:pos x="connsiteX9504" y="connsiteY9504"/>
              </a:cxn>
              <a:cxn ang="0">
                <a:pos x="connsiteX9505" y="connsiteY9505"/>
              </a:cxn>
              <a:cxn ang="0">
                <a:pos x="connsiteX9506" y="connsiteY9506"/>
              </a:cxn>
              <a:cxn ang="0">
                <a:pos x="connsiteX9507" y="connsiteY9507"/>
              </a:cxn>
              <a:cxn ang="0">
                <a:pos x="connsiteX9508" y="connsiteY9508"/>
              </a:cxn>
              <a:cxn ang="0">
                <a:pos x="connsiteX9509" y="connsiteY9509"/>
              </a:cxn>
              <a:cxn ang="0">
                <a:pos x="connsiteX9510" y="connsiteY9510"/>
              </a:cxn>
              <a:cxn ang="0">
                <a:pos x="connsiteX9511" y="connsiteY9511"/>
              </a:cxn>
              <a:cxn ang="0">
                <a:pos x="connsiteX9512" y="connsiteY9512"/>
              </a:cxn>
              <a:cxn ang="0">
                <a:pos x="connsiteX9513" y="connsiteY9513"/>
              </a:cxn>
              <a:cxn ang="0">
                <a:pos x="connsiteX9514" y="connsiteY9514"/>
              </a:cxn>
              <a:cxn ang="0">
                <a:pos x="connsiteX9515" y="connsiteY9515"/>
              </a:cxn>
              <a:cxn ang="0">
                <a:pos x="connsiteX9516" y="connsiteY9516"/>
              </a:cxn>
              <a:cxn ang="0">
                <a:pos x="connsiteX9517" y="connsiteY9517"/>
              </a:cxn>
              <a:cxn ang="0">
                <a:pos x="connsiteX9518" y="connsiteY9518"/>
              </a:cxn>
              <a:cxn ang="0">
                <a:pos x="connsiteX9519" y="connsiteY9519"/>
              </a:cxn>
              <a:cxn ang="0">
                <a:pos x="connsiteX9520" y="connsiteY9520"/>
              </a:cxn>
              <a:cxn ang="0">
                <a:pos x="connsiteX9521" y="connsiteY9521"/>
              </a:cxn>
              <a:cxn ang="0">
                <a:pos x="connsiteX9522" y="connsiteY9522"/>
              </a:cxn>
              <a:cxn ang="0">
                <a:pos x="connsiteX9523" y="connsiteY9523"/>
              </a:cxn>
              <a:cxn ang="0">
                <a:pos x="connsiteX9524" y="connsiteY9524"/>
              </a:cxn>
              <a:cxn ang="0">
                <a:pos x="connsiteX9525" y="connsiteY9525"/>
              </a:cxn>
              <a:cxn ang="0">
                <a:pos x="connsiteX9526" y="connsiteY9526"/>
              </a:cxn>
              <a:cxn ang="0">
                <a:pos x="connsiteX9527" y="connsiteY9527"/>
              </a:cxn>
              <a:cxn ang="0">
                <a:pos x="connsiteX9528" y="connsiteY9528"/>
              </a:cxn>
              <a:cxn ang="0">
                <a:pos x="connsiteX9529" y="connsiteY9529"/>
              </a:cxn>
              <a:cxn ang="0">
                <a:pos x="connsiteX9530" y="connsiteY9530"/>
              </a:cxn>
              <a:cxn ang="0">
                <a:pos x="connsiteX9531" y="connsiteY9531"/>
              </a:cxn>
              <a:cxn ang="0">
                <a:pos x="connsiteX9532" y="connsiteY9532"/>
              </a:cxn>
              <a:cxn ang="0">
                <a:pos x="connsiteX9533" y="connsiteY9533"/>
              </a:cxn>
              <a:cxn ang="0">
                <a:pos x="connsiteX9534" y="connsiteY9534"/>
              </a:cxn>
              <a:cxn ang="0">
                <a:pos x="connsiteX9535" y="connsiteY9535"/>
              </a:cxn>
              <a:cxn ang="0">
                <a:pos x="connsiteX9536" y="connsiteY9536"/>
              </a:cxn>
              <a:cxn ang="0">
                <a:pos x="connsiteX9537" y="connsiteY9537"/>
              </a:cxn>
              <a:cxn ang="0">
                <a:pos x="connsiteX9538" y="connsiteY9538"/>
              </a:cxn>
              <a:cxn ang="0">
                <a:pos x="connsiteX9539" y="connsiteY9539"/>
              </a:cxn>
              <a:cxn ang="0">
                <a:pos x="connsiteX9540" y="connsiteY9540"/>
              </a:cxn>
              <a:cxn ang="0">
                <a:pos x="connsiteX9541" y="connsiteY9541"/>
              </a:cxn>
              <a:cxn ang="0">
                <a:pos x="connsiteX9542" y="connsiteY9542"/>
              </a:cxn>
              <a:cxn ang="0">
                <a:pos x="connsiteX9543" y="connsiteY9543"/>
              </a:cxn>
              <a:cxn ang="0">
                <a:pos x="connsiteX9544" y="connsiteY9544"/>
              </a:cxn>
              <a:cxn ang="0">
                <a:pos x="connsiteX9545" y="connsiteY9545"/>
              </a:cxn>
              <a:cxn ang="0">
                <a:pos x="connsiteX9546" y="connsiteY9546"/>
              </a:cxn>
              <a:cxn ang="0">
                <a:pos x="connsiteX9547" y="connsiteY9547"/>
              </a:cxn>
              <a:cxn ang="0">
                <a:pos x="connsiteX9548" y="connsiteY9548"/>
              </a:cxn>
              <a:cxn ang="0">
                <a:pos x="connsiteX9549" y="connsiteY9549"/>
              </a:cxn>
              <a:cxn ang="0">
                <a:pos x="connsiteX9550" y="connsiteY9550"/>
              </a:cxn>
              <a:cxn ang="0">
                <a:pos x="connsiteX9551" y="connsiteY9551"/>
              </a:cxn>
              <a:cxn ang="0">
                <a:pos x="connsiteX9552" y="connsiteY9552"/>
              </a:cxn>
              <a:cxn ang="0">
                <a:pos x="connsiteX9553" y="connsiteY9553"/>
              </a:cxn>
              <a:cxn ang="0">
                <a:pos x="connsiteX9554" y="connsiteY9554"/>
              </a:cxn>
              <a:cxn ang="0">
                <a:pos x="connsiteX9555" y="connsiteY9555"/>
              </a:cxn>
              <a:cxn ang="0">
                <a:pos x="connsiteX9556" y="connsiteY9556"/>
              </a:cxn>
              <a:cxn ang="0">
                <a:pos x="connsiteX9557" y="connsiteY9557"/>
              </a:cxn>
              <a:cxn ang="0">
                <a:pos x="connsiteX9558" y="connsiteY9558"/>
              </a:cxn>
              <a:cxn ang="0">
                <a:pos x="connsiteX9559" y="connsiteY9559"/>
              </a:cxn>
              <a:cxn ang="0">
                <a:pos x="connsiteX9560" y="connsiteY9560"/>
              </a:cxn>
              <a:cxn ang="0">
                <a:pos x="connsiteX9561" y="connsiteY9561"/>
              </a:cxn>
              <a:cxn ang="0">
                <a:pos x="connsiteX9562" y="connsiteY9562"/>
              </a:cxn>
              <a:cxn ang="0">
                <a:pos x="connsiteX9563" y="connsiteY9563"/>
              </a:cxn>
              <a:cxn ang="0">
                <a:pos x="connsiteX9564" y="connsiteY9564"/>
              </a:cxn>
              <a:cxn ang="0">
                <a:pos x="connsiteX9565" y="connsiteY9565"/>
              </a:cxn>
              <a:cxn ang="0">
                <a:pos x="connsiteX9566" y="connsiteY9566"/>
              </a:cxn>
              <a:cxn ang="0">
                <a:pos x="connsiteX9567" y="connsiteY9567"/>
              </a:cxn>
              <a:cxn ang="0">
                <a:pos x="connsiteX9568" y="connsiteY9568"/>
              </a:cxn>
              <a:cxn ang="0">
                <a:pos x="connsiteX9569" y="connsiteY9569"/>
              </a:cxn>
              <a:cxn ang="0">
                <a:pos x="connsiteX9570" y="connsiteY9570"/>
              </a:cxn>
              <a:cxn ang="0">
                <a:pos x="connsiteX9571" y="connsiteY9571"/>
              </a:cxn>
              <a:cxn ang="0">
                <a:pos x="connsiteX9572" y="connsiteY9572"/>
              </a:cxn>
              <a:cxn ang="0">
                <a:pos x="connsiteX9573" y="connsiteY9573"/>
              </a:cxn>
              <a:cxn ang="0">
                <a:pos x="connsiteX9574" y="connsiteY9574"/>
              </a:cxn>
              <a:cxn ang="0">
                <a:pos x="connsiteX9575" y="connsiteY9575"/>
              </a:cxn>
              <a:cxn ang="0">
                <a:pos x="connsiteX9576" y="connsiteY9576"/>
              </a:cxn>
              <a:cxn ang="0">
                <a:pos x="connsiteX9577" y="connsiteY9577"/>
              </a:cxn>
              <a:cxn ang="0">
                <a:pos x="connsiteX9578" y="connsiteY9578"/>
              </a:cxn>
              <a:cxn ang="0">
                <a:pos x="connsiteX9579" y="connsiteY9579"/>
              </a:cxn>
              <a:cxn ang="0">
                <a:pos x="connsiteX9580" y="connsiteY9580"/>
              </a:cxn>
              <a:cxn ang="0">
                <a:pos x="connsiteX9581" y="connsiteY9581"/>
              </a:cxn>
              <a:cxn ang="0">
                <a:pos x="connsiteX9582" y="connsiteY9582"/>
              </a:cxn>
              <a:cxn ang="0">
                <a:pos x="connsiteX9583" y="connsiteY9583"/>
              </a:cxn>
              <a:cxn ang="0">
                <a:pos x="connsiteX9584" y="connsiteY9584"/>
              </a:cxn>
              <a:cxn ang="0">
                <a:pos x="connsiteX9585" y="connsiteY9585"/>
              </a:cxn>
              <a:cxn ang="0">
                <a:pos x="connsiteX9586" y="connsiteY9586"/>
              </a:cxn>
              <a:cxn ang="0">
                <a:pos x="connsiteX9587" y="connsiteY9587"/>
              </a:cxn>
              <a:cxn ang="0">
                <a:pos x="connsiteX9588" y="connsiteY9588"/>
              </a:cxn>
              <a:cxn ang="0">
                <a:pos x="connsiteX9589" y="connsiteY9589"/>
              </a:cxn>
              <a:cxn ang="0">
                <a:pos x="connsiteX9590" y="connsiteY9590"/>
              </a:cxn>
              <a:cxn ang="0">
                <a:pos x="connsiteX9591" y="connsiteY9591"/>
              </a:cxn>
              <a:cxn ang="0">
                <a:pos x="connsiteX9592" y="connsiteY9592"/>
              </a:cxn>
              <a:cxn ang="0">
                <a:pos x="connsiteX9593" y="connsiteY9593"/>
              </a:cxn>
              <a:cxn ang="0">
                <a:pos x="connsiteX9594" y="connsiteY9594"/>
              </a:cxn>
              <a:cxn ang="0">
                <a:pos x="connsiteX9595" y="connsiteY9595"/>
              </a:cxn>
              <a:cxn ang="0">
                <a:pos x="connsiteX9596" y="connsiteY9596"/>
              </a:cxn>
              <a:cxn ang="0">
                <a:pos x="connsiteX9597" y="connsiteY9597"/>
              </a:cxn>
              <a:cxn ang="0">
                <a:pos x="connsiteX9598" y="connsiteY9598"/>
              </a:cxn>
              <a:cxn ang="0">
                <a:pos x="connsiteX9599" y="connsiteY9599"/>
              </a:cxn>
              <a:cxn ang="0">
                <a:pos x="connsiteX9600" y="connsiteY9600"/>
              </a:cxn>
              <a:cxn ang="0">
                <a:pos x="connsiteX9601" y="connsiteY9601"/>
              </a:cxn>
              <a:cxn ang="0">
                <a:pos x="connsiteX9602" y="connsiteY9602"/>
              </a:cxn>
              <a:cxn ang="0">
                <a:pos x="connsiteX9603" y="connsiteY9603"/>
              </a:cxn>
              <a:cxn ang="0">
                <a:pos x="connsiteX9604" y="connsiteY9604"/>
              </a:cxn>
              <a:cxn ang="0">
                <a:pos x="connsiteX9605" y="connsiteY9605"/>
              </a:cxn>
              <a:cxn ang="0">
                <a:pos x="connsiteX9606" y="connsiteY9606"/>
              </a:cxn>
              <a:cxn ang="0">
                <a:pos x="connsiteX9607" y="connsiteY9607"/>
              </a:cxn>
              <a:cxn ang="0">
                <a:pos x="connsiteX9608" y="connsiteY9608"/>
              </a:cxn>
              <a:cxn ang="0">
                <a:pos x="connsiteX9609" y="connsiteY9609"/>
              </a:cxn>
              <a:cxn ang="0">
                <a:pos x="connsiteX9610" y="connsiteY9610"/>
              </a:cxn>
              <a:cxn ang="0">
                <a:pos x="connsiteX9611" y="connsiteY9611"/>
              </a:cxn>
              <a:cxn ang="0">
                <a:pos x="connsiteX9612" y="connsiteY9612"/>
              </a:cxn>
              <a:cxn ang="0">
                <a:pos x="connsiteX9613" y="connsiteY9613"/>
              </a:cxn>
              <a:cxn ang="0">
                <a:pos x="connsiteX9614" y="connsiteY9614"/>
              </a:cxn>
              <a:cxn ang="0">
                <a:pos x="connsiteX9615" y="connsiteY9615"/>
              </a:cxn>
              <a:cxn ang="0">
                <a:pos x="connsiteX9616" y="connsiteY9616"/>
              </a:cxn>
              <a:cxn ang="0">
                <a:pos x="connsiteX9617" y="connsiteY9617"/>
              </a:cxn>
              <a:cxn ang="0">
                <a:pos x="connsiteX9618" y="connsiteY9618"/>
              </a:cxn>
              <a:cxn ang="0">
                <a:pos x="connsiteX9619" y="connsiteY9619"/>
              </a:cxn>
              <a:cxn ang="0">
                <a:pos x="connsiteX9620" y="connsiteY9620"/>
              </a:cxn>
              <a:cxn ang="0">
                <a:pos x="connsiteX9621" y="connsiteY9621"/>
              </a:cxn>
              <a:cxn ang="0">
                <a:pos x="connsiteX9622" y="connsiteY9622"/>
              </a:cxn>
              <a:cxn ang="0">
                <a:pos x="connsiteX9623" y="connsiteY9623"/>
              </a:cxn>
              <a:cxn ang="0">
                <a:pos x="connsiteX9624" y="connsiteY9624"/>
              </a:cxn>
              <a:cxn ang="0">
                <a:pos x="connsiteX9625" y="connsiteY9625"/>
              </a:cxn>
              <a:cxn ang="0">
                <a:pos x="connsiteX9626" y="connsiteY9626"/>
              </a:cxn>
              <a:cxn ang="0">
                <a:pos x="connsiteX9627" y="connsiteY9627"/>
              </a:cxn>
              <a:cxn ang="0">
                <a:pos x="connsiteX9628" y="connsiteY9628"/>
              </a:cxn>
              <a:cxn ang="0">
                <a:pos x="connsiteX9629" y="connsiteY9629"/>
              </a:cxn>
              <a:cxn ang="0">
                <a:pos x="connsiteX9630" y="connsiteY9630"/>
              </a:cxn>
              <a:cxn ang="0">
                <a:pos x="connsiteX9631" y="connsiteY9631"/>
              </a:cxn>
              <a:cxn ang="0">
                <a:pos x="connsiteX9632" y="connsiteY9632"/>
              </a:cxn>
              <a:cxn ang="0">
                <a:pos x="connsiteX9633" y="connsiteY9633"/>
              </a:cxn>
              <a:cxn ang="0">
                <a:pos x="connsiteX9634" y="connsiteY9634"/>
              </a:cxn>
              <a:cxn ang="0">
                <a:pos x="connsiteX9635" y="connsiteY9635"/>
              </a:cxn>
              <a:cxn ang="0">
                <a:pos x="connsiteX9636" y="connsiteY9636"/>
              </a:cxn>
              <a:cxn ang="0">
                <a:pos x="connsiteX9637" y="connsiteY9637"/>
              </a:cxn>
              <a:cxn ang="0">
                <a:pos x="connsiteX9638" y="connsiteY9638"/>
              </a:cxn>
              <a:cxn ang="0">
                <a:pos x="connsiteX9639" y="connsiteY9639"/>
              </a:cxn>
              <a:cxn ang="0">
                <a:pos x="connsiteX9640" y="connsiteY9640"/>
              </a:cxn>
              <a:cxn ang="0">
                <a:pos x="connsiteX9641" y="connsiteY9641"/>
              </a:cxn>
              <a:cxn ang="0">
                <a:pos x="connsiteX9642" y="connsiteY9642"/>
              </a:cxn>
              <a:cxn ang="0">
                <a:pos x="connsiteX9643" y="connsiteY9643"/>
              </a:cxn>
              <a:cxn ang="0">
                <a:pos x="connsiteX9644" y="connsiteY9644"/>
              </a:cxn>
              <a:cxn ang="0">
                <a:pos x="connsiteX9645" y="connsiteY9645"/>
              </a:cxn>
              <a:cxn ang="0">
                <a:pos x="connsiteX9646" y="connsiteY9646"/>
              </a:cxn>
              <a:cxn ang="0">
                <a:pos x="connsiteX9647" y="connsiteY9647"/>
              </a:cxn>
              <a:cxn ang="0">
                <a:pos x="connsiteX9648" y="connsiteY9648"/>
              </a:cxn>
              <a:cxn ang="0">
                <a:pos x="connsiteX9649" y="connsiteY9649"/>
              </a:cxn>
              <a:cxn ang="0">
                <a:pos x="connsiteX9650" y="connsiteY9650"/>
              </a:cxn>
              <a:cxn ang="0">
                <a:pos x="connsiteX9651" y="connsiteY9651"/>
              </a:cxn>
              <a:cxn ang="0">
                <a:pos x="connsiteX9652" y="connsiteY9652"/>
              </a:cxn>
              <a:cxn ang="0">
                <a:pos x="connsiteX9653" y="connsiteY9653"/>
              </a:cxn>
              <a:cxn ang="0">
                <a:pos x="connsiteX9654" y="connsiteY9654"/>
              </a:cxn>
              <a:cxn ang="0">
                <a:pos x="connsiteX9655" y="connsiteY9655"/>
              </a:cxn>
              <a:cxn ang="0">
                <a:pos x="connsiteX9656" y="connsiteY9656"/>
              </a:cxn>
              <a:cxn ang="0">
                <a:pos x="connsiteX9657" y="connsiteY9657"/>
              </a:cxn>
              <a:cxn ang="0">
                <a:pos x="connsiteX9658" y="connsiteY9658"/>
              </a:cxn>
              <a:cxn ang="0">
                <a:pos x="connsiteX9659" y="connsiteY9659"/>
              </a:cxn>
              <a:cxn ang="0">
                <a:pos x="connsiteX9660" y="connsiteY9660"/>
              </a:cxn>
              <a:cxn ang="0">
                <a:pos x="connsiteX9661" y="connsiteY9661"/>
              </a:cxn>
              <a:cxn ang="0">
                <a:pos x="connsiteX9662" y="connsiteY9662"/>
              </a:cxn>
              <a:cxn ang="0">
                <a:pos x="connsiteX9663" y="connsiteY9663"/>
              </a:cxn>
              <a:cxn ang="0">
                <a:pos x="connsiteX9664" y="connsiteY9664"/>
              </a:cxn>
              <a:cxn ang="0">
                <a:pos x="connsiteX9665" y="connsiteY9665"/>
              </a:cxn>
              <a:cxn ang="0">
                <a:pos x="connsiteX9666" y="connsiteY9666"/>
              </a:cxn>
              <a:cxn ang="0">
                <a:pos x="connsiteX9667" y="connsiteY9667"/>
              </a:cxn>
              <a:cxn ang="0">
                <a:pos x="connsiteX9668" y="connsiteY9668"/>
              </a:cxn>
              <a:cxn ang="0">
                <a:pos x="connsiteX9669" y="connsiteY9669"/>
              </a:cxn>
              <a:cxn ang="0">
                <a:pos x="connsiteX9670" y="connsiteY9670"/>
              </a:cxn>
              <a:cxn ang="0">
                <a:pos x="connsiteX9671" y="connsiteY9671"/>
              </a:cxn>
              <a:cxn ang="0">
                <a:pos x="connsiteX9672" y="connsiteY9672"/>
              </a:cxn>
              <a:cxn ang="0">
                <a:pos x="connsiteX9673" y="connsiteY9673"/>
              </a:cxn>
              <a:cxn ang="0">
                <a:pos x="connsiteX9674" y="connsiteY9674"/>
              </a:cxn>
              <a:cxn ang="0">
                <a:pos x="connsiteX9675" y="connsiteY9675"/>
              </a:cxn>
              <a:cxn ang="0">
                <a:pos x="connsiteX9676" y="connsiteY9676"/>
              </a:cxn>
              <a:cxn ang="0">
                <a:pos x="connsiteX9677" y="connsiteY9677"/>
              </a:cxn>
              <a:cxn ang="0">
                <a:pos x="connsiteX9678" y="connsiteY9678"/>
              </a:cxn>
              <a:cxn ang="0">
                <a:pos x="connsiteX9679" y="connsiteY9679"/>
              </a:cxn>
              <a:cxn ang="0">
                <a:pos x="connsiteX9680" y="connsiteY9680"/>
              </a:cxn>
              <a:cxn ang="0">
                <a:pos x="connsiteX9681" y="connsiteY9681"/>
              </a:cxn>
              <a:cxn ang="0">
                <a:pos x="connsiteX9682" y="connsiteY9682"/>
              </a:cxn>
              <a:cxn ang="0">
                <a:pos x="connsiteX9683" y="connsiteY9683"/>
              </a:cxn>
              <a:cxn ang="0">
                <a:pos x="connsiteX9684" y="connsiteY9684"/>
              </a:cxn>
              <a:cxn ang="0">
                <a:pos x="connsiteX9685" y="connsiteY9685"/>
              </a:cxn>
              <a:cxn ang="0">
                <a:pos x="connsiteX9686" y="connsiteY9686"/>
              </a:cxn>
              <a:cxn ang="0">
                <a:pos x="connsiteX9687" y="connsiteY9687"/>
              </a:cxn>
              <a:cxn ang="0">
                <a:pos x="connsiteX9688" y="connsiteY9688"/>
              </a:cxn>
              <a:cxn ang="0">
                <a:pos x="connsiteX9689" y="connsiteY9689"/>
              </a:cxn>
              <a:cxn ang="0">
                <a:pos x="connsiteX9690" y="connsiteY9690"/>
              </a:cxn>
              <a:cxn ang="0">
                <a:pos x="connsiteX9691" y="connsiteY9691"/>
              </a:cxn>
              <a:cxn ang="0">
                <a:pos x="connsiteX9692" y="connsiteY9692"/>
              </a:cxn>
              <a:cxn ang="0">
                <a:pos x="connsiteX9693" y="connsiteY9693"/>
              </a:cxn>
              <a:cxn ang="0">
                <a:pos x="connsiteX9694" y="connsiteY9694"/>
              </a:cxn>
              <a:cxn ang="0">
                <a:pos x="connsiteX9695" y="connsiteY9695"/>
              </a:cxn>
              <a:cxn ang="0">
                <a:pos x="connsiteX9696" y="connsiteY9696"/>
              </a:cxn>
              <a:cxn ang="0">
                <a:pos x="connsiteX9697" y="connsiteY9697"/>
              </a:cxn>
              <a:cxn ang="0">
                <a:pos x="connsiteX9698" y="connsiteY9698"/>
              </a:cxn>
              <a:cxn ang="0">
                <a:pos x="connsiteX9699" y="connsiteY9699"/>
              </a:cxn>
              <a:cxn ang="0">
                <a:pos x="connsiteX9700" y="connsiteY9700"/>
              </a:cxn>
              <a:cxn ang="0">
                <a:pos x="connsiteX9701" y="connsiteY9701"/>
              </a:cxn>
              <a:cxn ang="0">
                <a:pos x="connsiteX9702" y="connsiteY9702"/>
              </a:cxn>
              <a:cxn ang="0">
                <a:pos x="connsiteX9703" y="connsiteY9703"/>
              </a:cxn>
              <a:cxn ang="0">
                <a:pos x="connsiteX9704" y="connsiteY9704"/>
              </a:cxn>
              <a:cxn ang="0">
                <a:pos x="connsiteX9705" y="connsiteY9705"/>
              </a:cxn>
              <a:cxn ang="0">
                <a:pos x="connsiteX9706" y="connsiteY9706"/>
              </a:cxn>
              <a:cxn ang="0">
                <a:pos x="connsiteX9707" y="connsiteY9707"/>
              </a:cxn>
              <a:cxn ang="0">
                <a:pos x="connsiteX9708" y="connsiteY9708"/>
              </a:cxn>
              <a:cxn ang="0">
                <a:pos x="connsiteX9709" y="connsiteY9709"/>
              </a:cxn>
              <a:cxn ang="0">
                <a:pos x="connsiteX9710" y="connsiteY9710"/>
              </a:cxn>
              <a:cxn ang="0">
                <a:pos x="connsiteX9711" y="connsiteY9711"/>
              </a:cxn>
              <a:cxn ang="0">
                <a:pos x="connsiteX9712" y="connsiteY9712"/>
              </a:cxn>
              <a:cxn ang="0">
                <a:pos x="connsiteX9713" y="connsiteY9713"/>
              </a:cxn>
              <a:cxn ang="0">
                <a:pos x="connsiteX9714" y="connsiteY9714"/>
              </a:cxn>
              <a:cxn ang="0">
                <a:pos x="connsiteX9715" y="connsiteY9715"/>
              </a:cxn>
              <a:cxn ang="0">
                <a:pos x="connsiteX9716" y="connsiteY9716"/>
              </a:cxn>
              <a:cxn ang="0">
                <a:pos x="connsiteX9717" y="connsiteY9717"/>
              </a:cxn>
              <a:cxn ang="0">
                <a:pos x="connsiteX9718" y="connsiteY9718"/>
              </a:cxn>
              <a:cxn ang="0">
                <a:pos x="connsiteX9719" y="connsiteY9719"/>
              </a:cxn>
              <a:cxn ang="0">
                <a:pos x="connsiteX9720" y="connsiteY9720"/>
              </a:cxn>
              <a:cxn ang="0">
                <a:pos x="connsiteX9721" y="connsiteY9721"/>
              </a:cxn>
              <a:cxn ang="0">
                <a:pos x="connsiteX9722" y="connsiteY9722"/>
              </a:cxn>
              <a:cxn ang="0">
                <a:pos x="connsiteX9723" y="connsiteY9723"/>
              </a:cxn>
              <a:cxn ang="0">
                <a:pos x="connsiteX9724" y="connsiteY9724"/>
              </a:cxn>
              <a:cxn ang="0">
                <a:pos x="connsiteX9725" y="connsiteY9725"/>
              </a:cxn>
              <a:cxn ang="0">
                <a:pos x="connsiteX9726" y="connsiteY9726"/>
              </a:cxn>
              <a:cxn ang="0">
                <a:pos x="connsiteX9727" y="connsiteY9727"/>
              </a:cxn>
              <a:cxn ang="0">
                <a:pos x="connsiteX9728" y="connsiteY9728"/>
              </a:cxn>
              <a:cxn ang="0">
                <a:pos x="connsiteX9729" y="connsiteY9729"/>
              </a:cxn>
              <a:cxn ang="0">
                <a:pos x="connsiteX9730" y="connsiteY9730"/>
              </a:cxn>
              <a:cxn ang="0">
                <a:pos x="connsiteX9731" y="connsiteY9731"/>
              </a:cxn>
              <a:cxn ang="0">
                <a:pos x="connsiteX9732" y="connsiteY9732"/>
              </a:cxn>
              <a:cxn ang="0">
                <a:pos x="connsiteX9733" y="connsiteY9733"/>
              </a:cxn>
              <a:cxn ang="0">
                <a:pos x="connsiteX9734" y="connsiteY9734"/>
              </a:cxn>
              <a:cxn ang="0">
                <a:pos x="connsiteX9735" y="connsiteY9735"/>
              </a:cxn>
              <a:cxn ang="0">
                <a:pos x="connsiteX9736" y="connsiteY9736"/>
              </a:cxn>
              <a:cxn ang="0">
                <a:pos x="connsiteX9737" y="connsiteY9737"/>
              </a:cxn>
              <a:cxn ang="0">
                <a:pos x="connsiteX9738" y="connsiteY9738"/>
              </a:cxn>
              <a:cxn ang="0">
                <a:pos x="connsiteX9739" y="connsiteY9739"/>
              </a:cxn>
              <a:cxn ang="0">
                <a:pos x="connsiteX9740" y="connsiteY9740"/>
              </a:cxn>
              <a:cxn ang="0">
                <a:pos x="connsiteX9741" y="connsiteY9741"/>
              </a:cxn>
              <a:cxn ang="0">
                <a:pos x="connsiteX9742" y="connsiteY9742"/>
              </a:cxn>
              <a:cxn ang="0">
                <a:pos x="connsiteX9743" y="connsiteY9743"/>
              </a:cxn>
              <a:cxn ang="0">
                <a:pos x="connsiteX9744" y="connsiteY9744"/>
              </a:cxn>
              <a:cxn ang="0">
                <a:pos x="connsiteX9745" y="connsiteY9745"/>
              </a:cxn>
              <a:cxn ang="0">
                <a:pos x="connsiteX9746" y="connsiteY9746"/>
              </a:cxn>
              <a:cxn ang="0">
                <a:pos x="connsiteX9747" y="connsiteY9747"/>
              </a:cxn>
              <a:cxn ang="0">
                <a:pos x="connsiteX9748" y="connsiteY9748"/>
              </a:cxn>
              <a:cxn ang="0">
                <a:pos x="connsiteX9749" y="connsiteY9749"/>
              </a:cxn>
              <a:cxn ang="0">
                <a:pos x="connsiteX9750" y="connsiteY9750"/>
              </a:cxn>
              <a:cxn ang="0">
                <a:pos x="connsiteX9751" y="connsiteY9751"/>
              </a:cxn>
              <a:cxn ang="0">
                <a:pos x="connsiteX9752" y="connsiteY9752"/>
              </a:cxn>
              <a:cxn ang="0">
                <a:pos x="connsiteX9753" y="connsiteY9753"/>
              </a:cxn>
              <a:cxn ang="0">
                <a:pos x="connsiteX9754" y="connsiteY9754"/>
              </a:cxn>
              <a:cxn ang="0">
                <a:pos x="connsiteX9755" y="connsiteY9755"/>
              </a:cxn>
              <a:cxn ang="0">
                <a:pos x="connsiteX9756" y="connsiteY9756"/>
              </a:cxn>
              <a:cxn ang="0">
                <a:pos x="connsiteX9757" y="connsiteY9757"/>
              </a:cxn>
              <a:cxn ang="0">
                <a:pos x="connsiteX9758" y="connsiteY9758"/>
              </a:cxn>
              <a:cxn ang="0">
                <a:pos x="connsiteX9759" y="connsiteY9759"/>
              </a:cxn>
              <a:cxn ang="0">
                <a:pos x="connsiteX9760" y="connsiteY9760"/>
              </a:cxn>
              <a:cxn ang="0">
                <a:pos x="connsiteX9761" y="connsiteY9761"/>
              </a:cxn>
              <a:cxn ang="0">
                <a:pos x="connsiteX9762" y="connsiteY9762"/>
              </a:cxn>
              <a:cxn ang="0">
                <a:pos x="connsiteX9763" y="connsiteY9763"/>
              </a:cxn>
              <a:cxn ang="0">
                <a:pos x="connsiteX9764" y="connsiteY9764"/>
              </a:cxn>
              <a:cxn ang="0">
                <a:pos x="connsiteX9765" y="connsiteY9765"/>
              </a:cxn>
              <a:cxn ang="0">
                <a:pos x="connsiteX9766" y="connsiteY9766"/>
              </a:cxn>
              <a:cxn ang="0">
                <a:pos x="connsiteX9767" y="connsiteY9767"/>
              </a:cxn>
              <a:cxn ang="0">
                <a:pos x="connsiteX9768" y="connsiteY9768"/>
              </a:cxn>
              <a:cxn ang="0">
                <a:pos x="connsiteX9769" y="connsiteY9769"/>
              </a:cxn>
              <a:cxn ang="0">
                <a:pos x="connsiteX9770" y="connsiteY9770"/>
              </a:cxn>
              <a:cxn ang="0">
                <a:pos x="connsiteX9771" y="connsiteY9771"/>
              </a:cxn>
              <a:cxn ang="0">
                <a:pos x="connsiteX9772" y="connsiteY9772"/>
              </a:cxn>
              <a:cxn ang="0">
                <a:pos x="connsiteX9773" y="connsiteY9773"/>
              </a:cxn>
              <a:cxn ang="0">
                <a:pos x="connsiteX9774" y="connsiteY9774"/>
              </a:cxn>
              <a:cxn ang="0">
                <a:pos x="connsiteX9775" y="connsiteY9775"/>
              </a:cxn>
              <a:cxn ang="0">
                <a:pos x="connsiteX9776" y="connsiteY9776"/>
              </a:cxn>
              <a:cxn ang="0">
                <a:pos x="connsiteX9777" y="connsiteY9777"/>
              </a:cxn>
              <a:cxn ang="0">
                <a:pos x="connsiteX9778" y="connsiteY9778"/>
              </a:cxn>
              <a:cxn ang="0">
                <a:pos x="connsiteX9779" y="connsiteY9779"/>
              </a:cxn>
              <a:cxn ang="0">
                <a:pos x="connsiteX9780" y="connsiteY9780"/>
              </a:cxn>
              <a:cxn ang="0">
                <a:pos x="connsiteX9781" y="connsiteY9781"/>
              </a:cxn>
              <a:cxn ang="0">
                <a:pos x="connsiteX9782" y="connsiteY9782"/>
              </a:cxn>
              <a:cxn ang="0">
                <a:pos x="connsiteX9783" y="connsiteY9783"/>
              </a:cxn>
              <a:cxn ang="0">
                <a:pos x="connsiteX9784" y="connsiteY9784"/>
              </a:cxn>
              <a:cxn ang="0">
                <a:pos x="connsiteX9785" y="connsiteY9785"/>
              </a:cxn>
              <a:cxn ang="0">
                <a:pos x="connsiteX9786" y="connsiteY9786"/>
              </a:cxn>
              <a:cxn ang="0">
                <a:pos x="connsiteX9787" y="connsiteY9787"/>
              </a:cxn>
              <a:cxn ang="0">
                <a:pos x="connsiteX9788" y="connsiteY9788"/>
              </a:cxn>
              <a:cxn ang="0">
                <a:pos x="connsiteX9789" y="connsiteY9789"/>
              </a:cxn>
              <a:cxn ang="0">
                <a:pos x="connsiteX9790" y="connsiteY9790"/>
              </a:cxn>
              <a:cxn ang="0">
                <a:pos x="connsiteX9791" y="connsiteY9791"/>
              </a:cxn>
              <a:cxn ang="0">
                <a:pos x="connsiteX9792" y="connsiteY9792"/>
              </a:cxn>
              <a:cxn ang="0">
                <a:pos x="connsiteX9793" y="connsiteY9793"/>
              </a:cxn>
              <a:cxn ang="0">
                <a:pos x="connsiteX9794" y="connsiteY9794"/>
              </a:cxn>
              <a:cxn ang="0">
                <a:pos x="connsiteX9795" y="connsiteY9795"/>
              </a:cxn>
              <a:cxn ang="0">
                <a:pos x="connsiteX9796" y="connsiteY9796"/>
              </a:cxn>
              <a:cxn ang="0">
                <a:pos x="connsiteX9797" y="connsiteY9797"/>
              </a:cxn>
              <a:cxn ang="0">
                <a:pos x="connsiteX9798" y="connsiteY9798"/>
              </a:cxn>
              <a:cxn ang="0">
                <a:pos x="connsiteX9799" y="connsiteY9799"/>
              </a:cxn>
              <a:cxn ang="0">
                <a:pos x="connsiteX9800" y="connsiteY9800"/>
              </a:cxn>
              <a:cxn ang="0">
                <a:pos x="connsiteX9801" y="connsiteY9801"/>
              </a:cxn>
              <a:cxn ang="0">
                <a:pos x="connsiteX9802" y="connsiteY9802"/>
              </a:cxn>
              <a:cxn ang="0">
                <a:pos x="connsiteX9803" y="connsiteY9803"/>
              </a:cxn>
              <a:cxn ang="0">
                <a:pos x="connsiteX9804" y="connsiteY9804"/>
              </a:cxn>
              <a:cxn ang="0">
                <a:pos x="connsiteX9805" y="connsiteY9805"/>
              </a:cxn>
              <a:cxn ang="0">
                <a:pos x="connsiteX9806" y="connsiteY9806"/>
              </a:cxn>
              <a:cxn ang="0">
                <a:pos x="connsiteX9807" y="connsiteY9807"/>
              </a:cxn>
              <a:cxn ang="0">
                <a:pos x="connsiteX9808" y="connsiteY9808"/>
              </a:cxn>
              <a:cxn ang="0">
                <a:pos x="connsiteX9809" y="connsiteY9809"/>
              </a:cxn>
              <a:cxn ang="0">
                <a:pos x="connsiteX9810" y="connsiteY9810"/>
              </a:cxn>
              <a:cxn ang="0">
                <a:pos x="connsiteX9811" y="connsiteY9811"/>
              </a:cxn>
              <a:cxn ang="0">
                <a:pos x="connsiteX9812" y="connsiteY9812"/>
              </a:cxn>
              <a:cxn ang="0">
                <a:pos x="connsiteX9813" y="connsiteY9813"/>
              </a:cxn>
              <a:cxn ang="0">
                <a:pos x="connsiteX9814" y="connsiteY9814"/>
              </a:cxn>
              <a:cxn ang="0">
                <a:pos x="connsiteX9815" y="connsiteY9815"/>
              </a:cxn>
              <a:cxn ang="0">
                <a:pos x="connsiteX9816" y="connsiteY9816"/>
              </a:cxn>
              <a:cxn ang="0">
                <a:pos x="connsiteX9817" y="connsiteY9817"/>
              </a:cxn>
              <a:cxn ang="0">
                <a:pos x="connsiteX9818" y="connsiteY9818"/>
              </a:cxn>
              <a:cxn ang="0">
                <a:pos x="connsiteX9819" y="connsiteY9819"/>
              </a:cxn>
              <a:cxn ang="0">
                <a:pos x="connsiteX9820" y="connsiteY9820"/>
              </a:cxn>
              <a:cxn ang="0">
                <a:pos x="connsiteX9821" y="connsiteY9821"/>
              </a:cxn>
              <a:cxn ang="0">
                <a:pos x="connsiteX9822" y="connsiteY9822"/>
              </a:cxn>
              <a:cxn ang="0">
                <a:pos x="connsiteX9823" y="connsiteY9823"/>
              </a:cxn>
              <a:cxn ang="0">
                <a:pos x="connsiteX9824" y="connsiteY9824"/>
              </a:cxn>
              <a:cxn ang="0">
                <a:pos x="connsiteX9825" y="connsiteY9825"/>
              </a:cxn>
              <a:cxn ang="0">
                <a:pos x="connsiteX9826" y="connsiteY9826"/>
              </a:cxn>
              <a:cxn ang="0">
                <a:pos x="connsiteX9827" y="connsiteY9827"/>
              </a:cxn>
              <a:cxn ang="0">
                <a:pos x="connsiteX9828" y="connsiteY9828"/>
              </a:cxn>
              <a:cxn ang="0">
                <a:pos x="connsiteX9829" y="connsiteY9829"/>
              </a:cxn>
              <a:cxn ang="0">
                <a:pos x="connsiteX9830" y="connsiteY9830"/>
              </a:cxn>
              <a:cxn ang="0">
                <a:pos x="connsiteX9831" y="connsiteY9831"/>
              </a:cxn>
              <a:cxn ang="0">
                <a:pos x="connsiteX9832" y="connsiteY9832"/>
              </a:cxn>
              <a:cxn ang="0">
                <a:pos x="connsiteX9833" y="connsiteY9833"/>
              </a:cxn>
              <a:cxn ang="0">
                <a:pos x="connsiteX9834" y="connsiteY9834"/>
              </a:cxn>
              <a:cxn ang="0">
                <a:pos x="connsiteX9835" y="connsiteY9835"/>
              </a:cxn>
              <a:cxn ang="0">
                <a:pos x="connsiteX9836" y="connsiteY9836"/>
              </a:cxn>
              <a:cxn ang="0">
                <a:pos x="connsiteX9837" y="connsiteY9837"/>
              </a:cxn>
              <a:cxn ang="0">
                <a:pos x="connsiteX9838" y="connsiteY9838"/>
              </a:cxn>
              <a:cxn ang="0">
                <a:pos x="connsiteX9839" y="connsiteY9839"/>
              </a:cxn>
              <a:cxn ang="0">
                <a:pos x="connsiteX9840" y="connsiteY9840"/>
              </a:cxn>
              <a:cxn ang="0">
                <a:pos x="connsiteX9841" y="connsiteY9841"/>
              </a:cxn>
              <a:cxn ang="0">
                <a:pos x="connsiteX9842" y="connsiteY9842"/>
              </a:cxn>
              <a:cxn ang="0">
                <a:pos x="connsiteX9843" y="connsiteY9843"/>
              </a:cxn>
              <a:cxn ang="0">
                <a:pos x="connsiteX9844" y="connsiteY9844"/>
              </a:cxn>
              <a:cxn ang="0">
                <a:pos x="connsiteX9845" y="connsiteY9845"/>
              </a:cxn>
              <a:cxn ang="0">
                <a:pos x="connsiteX9846" y="connsiteY9846"/>
              </a:cxn>
              <a:cxn ang="0">
                <a:pos x="connsiteX9847" y="connsiteY9847"/>
              </a:cxn>
              <a:cxn ang="0">
                <a:pos x="connsiteX9848" y="connsiteY9848"/>
              </a:cxn>
              <a:cxn ang="0">
                <a:pos x="connsiteX9849" y="connsiteY9849"/>
              </a:cxn>
              <a:cxn ang="0">
                <a:pos x="connsiteX9850" y="connsiteY9850"/>
              </a:cxn>
              <a:cxn ang="0">
                <a:pos x="connsiteX9851" y="connsiteY9851"/>
              </a:cxn>
              <a:cxn ang="0">
                <a:pos x="connsiteX9852" y="connsiteY9852"/>
              </a:cxn>
              <a:cxn ang="0">
                <a:pos x="connsiteX9853" y="connsiteY9853"/>
              </a:cxn>
              <a:cxn ang="0">
                <a:pos x="connsiteX9854" y="connsiteY9854"/>
              </a:cxn>
              <a:cxn ang="0">
                <a:pos x="connsiteX9855" y="connsiteY9855"/>
              </a:cxn>
              <a:cxn ang="0">
                <a:pos x="connsiteX9856" y="connsiteY9856"/>
              </a:cxn>
              <a:cxn ang="0">
                <a:pos x="connsiteX9857" y="connsiteY9857"/>
              </a:cxn>
              <a:cxn ang="0">
                <a:pos x="connsiteX9858" y="connsiteY9858"/>
              </a:cxn>
              <a:cxn ang="0">
                <a:pos x="connsiteX9859" y="connsiteY9859"/>
              </a:cxn>
              <a:cxn ang="0">
                <a:pos x="connsiteX9860" y="connsiteY9860"/>
              </a:cxn>
              <a:cxn ang="0">
                <a:pos x="connsiteX9861" y="connsiteY9861"/>
              </a:cxn>
              <a:cxn ang="0">
                <a:pos x="connsiteX9862" y="connsiteY9862"/>
              </a:cxn>
              <a:cxn ang="0">
                <a:pos x="connsiteX9863" y="connsiteY9863"/>
              </a:cxn>
              <a:cxn ang="0">
                <a:pos x="connsiteX9864" y="connsiteY9864"/>
              </a:cxn>
              <a:cxn ang="0">
                <a:pos x="connsiteX9865" y="connsiteY9865"/>
              </a:cxn>
              <a:cxn ang="0">
                <a:pos x="connsiteX9866" y="connsiteY9866"/>
              </a:cxn>
              <a:cxn ang="0">
                <a:pos x="connsiteX9867" y="connsiteY9867"/>
              </a:cxn>
              <a:cxn ang="0">
                <a:pos x="connsiteX9868" y="connsiteY9868"/>
              </a:cxn>
              <a:cxn ang="0">
                <a:pos x="connsiteX9869" y="connsiteY9869"/>
              </a:cxn>
              <a:cxn ang="0">
                <a:pos x="connsiteX9870" y="connsiteY9870"/>
              </a:cxn>
              <a:cxn ang="0">
                <a:pos x="connsiteX9871" y="connsiteY9871"/>
              </a:cxn>
              <a:cxn ang="0">
                <a:pos x="connsiteX9872" y="connsiteY9872"/>
              </a:cxn>
              <a:cxn ang="0">
                <a:pos x="connsiteX9873" y="connsiteY9873"/>
              </a:cxn>
              <a:cxn ang="0">
                <a:pos x="connsiteX9874" y="connsiteY9874"/>
              </a:cxn>
              <a:cxn ang="0">
                <a:pos x="connsiteX9875" y="connsiteY9875"/>
              </a:cxn>
              <a:cxn ang="0">
                <a:pos x="connsiteX9876" y="connsiteY9876"/>
              </a:cxn>
              <a:cxn ang="0">
                <a:pos x="connsiteX9877" y="connsiteY9877"/>
              </a:cxn>
              <a:cxn ang="0">
                <a:pos x="connsiteX9878" y="connsiteY9878"/>
              </a:cxn>
              <a:cxn ang="0">
                <a:pos x="connsiteX9879" y="connsiteY9879"/>
              </a:cxn>
              <a:cxn ang="0">
                <a:pos x="connsiteX9880" y="connsiteY9880"/>
              </a:cxn>
              <a:cxn ang="0">
                <a:pos x="connsiteX9881" y="connsiteY9881"/>
              </a:cxn>
              <a:cxn ang="0">
                <a:pos x="connsiteX9882" y="connsiteY9882"/>
              </a:cxn>
              <a:cxn ang="0">
                <a:pos x="connsiteX9883" y="connsiteY9883"/>
              </a:cxn>
              <a:cxn ang="0">
                <a:pos x="connsiteX9884" y="connsiteY9884"/>
              </a:cxn>
              <a:cxn ang="0">
                <a:pos x="connsiteX9885" y="connsiteY9885"/>
              </a:cxn>
              <a:cxn ang="0">
                <a:pos x="connsiteX9886" y="connsiteY9886"/>
              </a:cxn>
              <a:cxn ang="0">
                <a:pos x="connsiteX9887" y="connsiteY9887"/>
              </a:cxn>
              <a:cxn ang="0">
                <a:pos x="connsiteX9888" y="connsiteY9888"/>
              </a:cxn>
              <a:cxn ang="0">
                <a:pos x="connsiteX9889" y="connsiteY9889"/>
              </a:cxn>
              <a:cxn ang="0">
                <a:pos x="connsiteX9890" y="connsiteY9890"/>
              </a:cxn>
              <a:cxn ang="0">
                <a:pos x="connsiteX9891" y="connsiteY9891"/>
              </a:cxn>
              <a:cxn ang="0">
                <a:pos x="connsiteX9892" y="connsiteY9892"/>
              </a:cxn>
              <a:cxn ang="0">
                <a:pos x="connsiteX9893" y="connsiteY9893"/>
              </a:cxn>
              <a:cxn ang="0">
                <a:pos x="connsiteX9894" y="connsiteY9894"/>
              </a:cxn>
              <a:cxn ang="0">
                <a:pos x="connsiteX9895" y="connsiteY9895"/>
              </a:cxn>
              <a:cxn ang="0">
                <a:pos x="connsiteX9896" y="connsiteY9896"/>
              </a:cxn>
              <a:cxn ang="0">
                <a:pos x="connsiteX9897" y="connsiteY9897"/>
              </a:cxn>
              <a:cxn ang="0">
                <a:pos x="connsiteX9898" y="connsiteY9898"/>
              </a:cxn>
              <a:cxn ang="0">
                <a:pos x="connsiteX9899" y="connsiteY9899"/>
              </a:cxn>
              <a:cxn ang="0">
                <a:pos x="connsiteX9900" y="connsiteY9900"/>
              </a:cxn>
              <a:cxn ang="0">
                <a:pos x="connsiteX9901" y="connsiteY9901"/>
              </a:cxn>
              <a:cxn ang="0">
                <a:pos x="connsiteX9902" y="connsiteY9902"/>
              </a:cxn>
              <a:cxn ang="0">
                <a:pos x="connsiteX9903" y="connsiteY9903"/>
              </a:cxn>
              <a:cxn ang="0">
                <a:pos x="connsiteX9904" y="connsiteY9904"/>
              </a:cxn>
              <a:cxn ang="0">
                <a:pos x="connsiteX9905" y="connsiteY9905"/>
              </a:cxn>
              <a:cxn ang="0">
                <a:pos x="connsiteX9906" y="connsiteY9906"/>
              </a:cxn>
              <a:cxn ang="0">
                <a:pos x="connsiteX9907" y="connsiteY9907"/>
              </a:cxn>
              <a:cxn ang="0">
                <a:pos x="connsiteX9908" y="connsiteY9908"/>
              </a:cxn>
              <a:cxn ang="0">
                <a:pos x="connsiteX9909" y="connsiteY9909"/>
              </a:cxn>
              <a:cxn ang="0">
                <a:pos x="connsiteX9910" y="connsiteY9910"/>
              </a:cxn>
              <a:cxn ang="0">
                <a:pos x="connsiteX9911" y="connsiteY9911"/>
              </a:cxn>
              <a:cxn ang="0">
                <a:pos x="connsiteX9912" y="connsiteY9912"/>
              </a:cxn>
              <a:cxn ang="0">
                <a:pos x="connsiteX9913" y="connsiteY9913"/>
              </a:cxn>
              <a:cxn ang="0">
                <a:pos x="connsiteX9914" y="connsiteY9914"/>
              </a:cxn>
              <a:cxn ang="0">
                <a:pos x="connsiteX9915" y="connsiteY9915"/>
              </a:cxn>
              <a:cxn ang="0">
                <a:pos x="connsiteX9916" y="connsiteY9916"/>
              </a:cxn>
              <a:cxn ang="0">
                <a:pos x="connsiteX9917" y="connsiteY9917"/>
              </a:cxn>
              <a:cxn ang="0">
                <a:pos x="connsiteX9918" y="connsiteY9918"/>
              </a:cxn>
              <a:cxn ang="0">
                <a:pos x="connsiteX9919" y="connsiteY9919"/>
              </a:cxn>
              <a:cxn ang="0">
                <a:pos x="connsiteX9920" y="connsiteY9920"/>
              </a:cxn>
              <a:cxn ang="0">
                <a:pos x="connsiteX9921" y="connsiteY9921"/>
              </a:cxn>
              <a:cxn ang="0">
                <a:pos x="connsiteX9922" y="connsiteY9922"/>
              </a:cxn>
              <a:cxn ang="0">
                <a:pos x="connsiteX9923" y="connsiteY9923"/>
              </a:cxn>
              <a:cxn ang="0">
                <a:pos x="connsiteX9924" y="connsiteY9924"/>
              </a:cxn>
              <a:cxn ang="0">
                <a:pos x="connsiteX9925" y="connsiteY9925"/>
              </a:cxn>
              <a:cxn ang="0">
                <a:pos x="connsiteX9926" y="connsiteY9926"/>
              </a:cxn>
              <a:cxn ang="0">
                <a:pos x="connsiteX9927" y="connsiteY9927"/>
              </a:cxn>
              <a:cxn ang="0">
                <a:pos x="connsiteX9928" y="connsiteY9928"/>
              </a:cxn>
              <a:cxn ang="0">
                <a:pos x="connsiteX9929" y="connsiteY9929"/>
              </a:cxn>
              <a:cxn ang="0">
                <a:pos x="connsiteX9930" y="connsiteY9930"/>
              </a:cxn>
              <a:cxn ang="0">
                <a:pos x="connsiteX9931" y="connsiteY9931"/>
              </a:cxn>
              <a:cxn ang="0">
                <a:pos x="connsiteX9932" y="connsiteY9932"/>
              </a:cxn>
              <a:cxn ang="0">
                <a:pos x="connsiteX9933" y="connsiteY9933"/>
              </a:cxn>
              <a:cxn ang="0">
                <a:pos x="connsiteX9934" y="connsiteY9934"/>
              </a:cxn>
              <a:cxn ang="0">
                <a:pos x="connsiteX9935" y="connsiteY9935"/>
              </a:cxn>
              <a:cxn ang="0">
                <a:pos x="connsiteX9936" y="connsiteY9936"/>
              </a:cxn>
              <a:cxn ang="0">
                <a:pos x="connsiteX9937" y="connsiteY9937"/>
              </a:cxn>
              <a:cxn ang="0">
                <a:pos x="connsiteX9938" y="connsiteY9938"/>
              </a:cxn>
              <a:cxn ang="0">
                <a:pos x="connsiteX9939" y="connsiteY9939"/>
              </a:cxn>
              <a:cxn ang="0">
                <a:pos x="connsiteX9940" y="connsiteY9940"/>
              </a:cxn>
              <a:cxn ang="0">
                <a:pos x="connsiteX9941" y="connsiteY9941"/>
              </a:cxn>
              <a:cxn ang="0">
                <a:pos x="connsiteX9942" y="connsiteY9942"/>
              </a:cxn>
              <a:cxn ang="0">
                <a:pos x="connsiteX9943" y="connsiteY9943"/>
              </a:cxn>
              <a:cxn ang="0">
                <a:pos x="connsiteX9944" y="connsiteY9944"/>
              </a:cxn>
              <a:cxn ang="0">
                <a:pos x="connsiteX9945" y="connsiteY9945"/>
              </a:cxn>
              <a:cxn ang="0">
                <a:pos x="connsiteX9946" y="connsiteY9946"/>
              </a:cxn>
              <a:cxn ang="0">
                <a:pos x="connsiteX9947" y="connsiteY9947"/>
              </a:cxn>
              <a:cxn ang="0">
                <a:pos x="connsiteX9948" y="connsiteY9948"/>
              </a:cxn>
              <a:cxn ang="0">
                <a:pos x="connsiteX9949" y="connsiteY9949"/>
              </a:cxn>
              <a:cxn ang="0">
                <a:pos x="connsiteX9950" y="connsiteY9950"/>
              </a:cxn>
              <a:cxn ang="0">
                <a:pos x="connsiteX9951" y="connsiteY9951"/>
              </a:cxn>
              <a:cxn ang="0">
                <a:pos x="connsiteX9952" y="connsiteY9952"/>
              </a:cxn>
              <a:cxn ang="0">
                <a:pos x="connsiteX9953" y="connsiteY9953"/>
              </a:cxn>
              <a:cxn ang="0">
                <a:pos x="connsiteX9954" y="connsiteY9954"/>
              </a:cxn>
              <a:cxn ang="0">
                <a:pos x="connsiteX9955" y="connsiteY9955"/>
              </a:cxn>
              <a:cxn ang="0">
                <a:pos x="connsiteX9956" y="connsiteY9956"/>
              </a:cxn>
              <a:cxn ang="0">
                <a:pos x="connsiteX9957" y="connsiteY9957"/>
              </a:cxn>
              <a:cxn ang="0">
                <a:pos x="connsiteX9958" y="connsiteY9958"/>
              </a:cxn>
              <a:cxn ang="0">
                <a:pos x="connsiteX9959" y="connsiteY9959"/>
              </a:cxn>
              <a:cxn ang="0">
                <a:pos x="connsiteX9960" y="connsiteY9960"/>
              </a:cxn>
              <a:cxn ang="0">
                <a:pos x="connsiteX9961" y="connsiteY9961"/>
              </a:cxn>
              <a:cxn ang="0">
                <a:pos x="connsiteX9962" y="connsiteY9962"/>
              </a:cxn>
              <a:cxn ang="0">
                <a:pos x="connsiteX9963" y="connsiteY9963"/>
              </a:cxn>
              <a:cxn ang="0">
                <a:pos x="connsiteX9964" y="connsiteY9964"/>
              </a:cxn>
              <a:cxn ang="0">
                <a:pos x="connsiteX9965" y="connsiteY9965"/>
              </a:cxn>
              <a:cxn ang="0">
                <a:pos x="connsiteX9966" y="connsiteY9966"/>
              </a:cxn>
              <a:cxn ang="0">
                <a:pos x="connsiteX9967" y="connsiteY9967"/>
              </a:cxn>
              <a:cxn ang="0">
                <a:pos x="connsiteX9968" y="connsiteY9968"/>
              </a:cxn>
              <a:cxn ang="0">
                <a:pos x="connsiteX9969" y="connsiteY9969"/>
              </a:cxn>
              <a:cxn ang="0">
                <a:pos x="connsiteX9970" y="connsiteY9970"/>
              </a:cxn>
              <a:cxn ang="0">
                <a:pos x="connsiteX9971" y="connsiteY9971"/>
              </a:cxn>
              <a:cxn ang="0">
                <a:pos x="connsiteX9972" y="connsiteY9972"/>
              </a:cxn>
              <a:cxn ang="0">
                <a:pos x="connsiteX9973" y="connsiteY9973"/>
              </a:cxn>
              <a:cxn ang="0">
                <a:pos x="connsiteX9974" y="connsiteY9974"/>
              </a:cxn>
              <a:cxn ang="0">
                <a:pos x="connsiteX9975" y="connsiteY9975"/>
              </a:cxn>
              <a:cxn ang="0">
                <a:pos x="connsiteX9976" y="connsiteY9976"/>
              </a:cxn>
              <a:cxn ang="0">
                <a:pos x="connsiteX9977" y="connsiteY9977"/>
              </a:cxn>
              <a:cxn ang="0">
                <a:pos x="connsiteX9978" y="connsiteY9978"/>
              </a:cxn>
              <a:cxn ang="0">
                <a:pos x="connsiteX9979" y="connsiteY9979"/>
              </a:cxn>
              <a:cxn ang="0">
                <a:pos x="connsiteX9980" y="connsiteY9980"/>
              </a:cxn>
              <a:cxn ang="0">
                <a:pos x="connsiteX9981" y="connsiteY9981"/>
              </a:cxn>
              <a:cxn ang="0">
                <a:pos x="connsiteX9982" y="connsiteY9982"/>
              </a:cxn>
              <a:cxn ang="0">
                <a:pos x="connsiteX9983" y="connsiteY9983"/>
              </a:cxn>
              <a:cxn ang="0">
                <a:pos x="connsiteX9984" y="connsiteY9984"/>
              </a:cxn>
              <a:cxn ang="0">
                <a:pos x="connsiteX9985" y="connsiteY9985"/>
              </a:cxn>
              <a:cxn ang="0">
                <a:pos x="connsiteX9986" y="connsiteY9986"/>
              </a:cxn>
              <a:cxn ang="0">
                <a:pos x="connsiteX9987" y="connsiteY9987"/>
              </a:cxn>
              <a:cxn ang="0">
                <a:pos x="connsiteX9988" y="connsiteY9988"/>
              </a:cxn>
              <a:cxn ang="0">
                <a:pos x="connsiteX9989" y="connsiteY9989"/>
              </a:cxn>
              <a:cxn ang="0">
                <a:pos x="connsiteX9990" y="connsiteY9990"/>
              </a:cxn>
              <a:cxn ang="0">
                <a:pos x="connsiteX9991" y="connsiteY9991"/>
              </a:cxn>
              <a:cxn ang="0">
                <a:pos x="connsiteX9992" y="connsiteY9992"/>
              </a:cxn>
              <a:cxn ang="0">
                <a:pos x="connsiteX9993" y="connsiteY9993"/>
              </a:cxn>
              <a:cxn ang="0">
                <a:pos x="connsiteX9994" y="connsiteY9994"/>
              </a:cxn>
              <a:cxn ang="0">
                <a:pos x="connsiteX9995" y="connsiteY9995"/>
              </a:cxn>
              <a:cxn ang="0">
                <a:pos x="connsiteX9996" y="connsiteY9996"/>
              </a:cxn>
              <a:cxn ang="0">
                <a:pos x="connsiteX9997" y="connsiteY9997"/>
              </a:cxn>
              <a:cxn ang="0">
                <a:pos x="connsiteX9998" y="connsiteY9998"/>
              </a:cxn>
              <a:cxn ang="0">
                <a:pos x="connsiteX9999" y="connsiteY9999"/>
              </a:cxn>
              <a:cxn ang="0">
                <a:pos x="connsiteX10000" y="connsiteY10000"/>
              </a:cxn>
              <a:cxn ang="0">
                <a:pos x="connsiteX10001" y="connsiteY10001"/>
              </a:cxn>
              <a:cxn ang="0">
                <a:pos x="connsiteX10002" y="connsiteY10002"/>
              </a:cxn>
              <a:cxn ang="0">
                <a:pos x="connsiteX10003" y="connsiteY10003"/>
              </a:cxn>
              <a:cxn ang="0">
                <a:pos x="connsiteX10004" y="connsiteY10004"/>
              </a:cxn>
              <a:cxn ang="0">
                <a:pos x="connsiteX10005" y="connsiteY10005"/>
              </a:cxn>
              <a:cxn ang="0">
                <a:pos x="connsiteX10006" y="connsiteY10006"/>
              </a:cxn>
              <a:cxn ang="0">
                <a:pos x="connsiteX10007" y="connsiteY10007"/>
              </a:cxn>
              <a:cxn ang="0">
                <a:pos x="connsiteX10008" y="connsiteY10008"/>
              </a:cxn>
              <a:cxn ang="0">
                <a:pos x="connsiteX10009" y="connsiteY10009"/>
              </a:cxn>
              <a:cxn ang="0">
                <a:pos x="connsiteX10010" y="connsiteY10010"/>
              </a:cxn>
              <a:cxn ang="0">
                <a:pos x="connsiteX10011" y="connsiteY10011"/>
              </a:cxn>
              <a:cxn ang="0">
                <a:pos x="connsiteX10012" y="connsiteY10012"/>
              </a:cxn>
              <a:cxn ang="0">
                <a:pos x="connsiteX10013" y="connsiteY10013"/>
              </a:cxn>
              <a:cxn ang="0">
                <a:pos x="connsiteX10014" y="connsiteY10014"/>
              </a:cxn>
              <a:cxn ang="0">
                <a:pos x="connsiteX10015" y="connsiteY10015"/>
              </a:cxn>
              <a:cxn ang="0">
                <a:pos x="connsiteX10016" y="connsiteY10016"/>
              </a:cxn>
              <a:cxn ang="0">
                <a:pos x="connsiteX10017" y="connsiteY10017"/>
              </a:cxn>
              <a:cxn ang="0">
                <a:pos x="connsiteX10018" y="connsiteY10018"/>
              </a:cxn>
              <a:cxn ang="0">
                <a:pos x="connsiteX10019" y="connsiteY10019"/>
              </a:cxn>
              <a:cxn ang="0">
                <a:pos x="connsiteX10020" y="connsiteY10020"/>
              </a:cxn>
              <a:cxn ang="0">
                <a:pos x="connsiteX10021" y="connsiteY10021"/>
              </a:cxn>
              <a:cxn ang="0">
                <a:pos x="connsiteX10022" y="connsiteY10022"/>
              </a:cxn>
              <a:cxn ang="0">
                <a:pos x="connsiteX10023" y="connsiteY10023"/>
              </a:cxn>
              <a:cxn ang="0">
                <a:pos x="connsiteX10024" y="connsiteY10024"/>
              </a:cxn>
              <a:cxn ang="0">
                <a:pos x="connsiteX10025" y="connsiteY10025"/>
              </a:cxn>
              <a:cxn ang="0">
                <a:pos x="connsiteX10026" y="connsiteY10026"/>
              </a:cxn>
              <a:cxn ang="0">
                <a:pos x="connsiteX10027" y="connsiteY10027"/>
              </a:cxn>
              <a:cxn ang="0">
                <a:pos x="connsiteX10028" y="connsiteY10028"/>
              </a:cxn>
              <a:cxn ang="0">
                <a:pos x="connsiteX10029" y="connsiteY10029"/>
              </a:cxn>
              <a:cxn ang="0">
                <a:pos x="connsiteX10030" y="connsiteY10030"/>
              </a:cxn>
              <a:cxn ang="0">
                <a:pos x="connsiteX10031" y="connsiteY10031"/>
              </a:cxn>
              <a:cxn ang="0">
                <a:pos x="connsiteX10032" y="connsiteY10032"/>
              </a:cxn>
              <a:cxn ang="0">
                <a:pos x="connsiteX10033" y="connsiteY10033"/>
              </a:cxn>
              <a:cxn ang="0">
                <a:pos x="connsiteX10034" y="connsiteY10034"/>
              </a:cxn>
              <a:cxn ang="0">
                <a:pos x="connsiteX10035" y="connsiteY10035"/>
              </a:cxn>
              <a:cxn ang="0">
                <a:pos x="connsiteX10036" y="connsiteY10036"/>
              </a:cxn>
              <a:cxn ang="0">
                <a:pos x="connsiteX10037" y="connsiteY10037"/>
              </a:cxn>
              <a:cxn ang="0">
                <a:pos x="connsiteX10038" y="connsiteY10038"/>
              </a:cxn>
              <a:cxn ang="0">
                <a:pos x="connsiteX10039" y="connsiteY10039"/>
              </a:cxn>
              <a:cxn ang="0">
                <a:pos x="connsiteX10040" y="connsiteY10040"/>
              </a:cxn>
              <a:cxn ang="0">
                <a:pos x="connsiteX10041" y="connsiteY10041"/>
              </a:cxn>
              <a:cxn ang="0">
                <a:pos x="connsiteX10042" y="connsiteY10042"/>
              </a:cxn>
              <a:cxn ang="0">
                <a:pos x="connsiteX10043" y="connsiteY10043"/>
              </a:cxn>
              <a:cxn ang="0">
                <a:pos x="connsiteX10044" y="connsiteY10044"/>
              </a:cxn>
              <a:cxn ang="0">
                <a:pos x="connsiteX10045" y="connsiteY10045"/>
              </a:cxn>
              <a:cxn ang="0">
                <a:pos x="connsiteX10046" y="connsiteY10046"/>
              </a:cxn>
              <a:cxn ang="0">
                <a:pos x="connsiteX10047" y="connsiteY10047"/>
              </a:cxn>
              <a:cxn ang="0">
                <a:pos x="connsiteX10048" y="connsiteY10048"/>
              </a:cxn>
              <a:cxn ang="0">
                <a:pos x="connsiteX10049" y="connsiteY10049"/>
              </a:cxn>
              <a:cxn ang="0">
                <a:pos x="connsiteX10050" y="connsiteY10050"/>
              </a:cxn>
              <a:cxn ang="0">
                <a:pos x="connsiteX10051" y="connsiteY10051"/>
              </a:cxn>
              <a:cxn ang="0">
                <a:pos x="connsiteX10052" y="connsiteY10052"/>
              </a:cxn>
              <a:cxn ang="0">
                <a:pos x="connsiteX10053" y="connsiteY10053"/>
              </a:cxn>
              <a:cxn ang="0">
                <a:pos x="connsiteX10054" y="connsiteY10054"/>
              </a:cxn>
              <a:cxn ang="0">
                <a:pos x="connsiteX10055" y="connsiteY10055"/>
              </a:cxn>
              <a:cxn ang="0">
                <a:pos x="connsiteX10056" y="connsiteY10056"/>
              </a:cxn>
              <a:cxn ang="0">
                <a:pos x="connsiteX10057" y="connsiteY10057"/>
              </a:cxn>
              <a:cxn ang="0">
                <a:pos x="connsiteX10058" y="connsiteY10058"/>
              </a:cxn>
              <a:cxn ang="0">
                <a:pos x="connsiteX10059" y="connsiteY10059"/>
              </a:cxn>
              <a:cxn ang="0">
                <a:pos x="connsiteX10060" y="connsiteY10060"/>
              </a:cxn>
              <a:cxn ang="0">
                <a:pos x="connsiteX10061" y="connsiteY10061"/>
              </a:cxn>
              <a:cxn ang="0">
                <a:pos x="connsiteX10062" y="connsiteY10062"/>
              </a:cxn>
              <a:cxn ang="0">
                <a:pos x="connsiteX10063" y="connsiteY10063"/>
              </a:cxn>
              <a:cxn ang="0">
                <a:pos x="connsiteX10064" y="connsiteY10064"/>
              </a:cxn>
              <a:cxn ang="0">
                <a:pos x="connsiteX10065" y="connsiteY10065"/>
              </a:cxn>
              <a:cxn ang="0">
                <a:pos x="connsiteX10066" y="connsiteY10066"/>
              </a:cxn>
              <a:cxn ang="0">
                <a:pos x="connsiteX10067" y="connsiteY10067"/>
              </a:cxn>
              <a:cxn ang="0">
                <a:pos x="connsiteX10068" y="connsiteY10068"/>
              </a:cxn>
              <a:cxn ang="0">
                <a:pos x="connsiteX10069" y="connsiteY10069"/>
              </a:cxn>
              <a:cxn ang="0">
                <a:pos x="connsiteX10070" y="connsiteY10070"/>
              </a:cxn>
              <a:cxn ang="0">
                <a:pos x="connsiteX10071" y="connsiteY10071"/>
              </a:cxn>
              <a:cxn ang="0">
                <a:pos x="connsiteX10072" y="connsiteY10072"/>
              </a:cxn>
              <a:cxn ang="0">
                <a:pos x="connsiteX10073" y="connsiteY10073"/>
              </a:cxn>
              <a:cxn ang="0">
                <a:pos x="connsiteX10074" y="connsiteY10074"/>
              </a:cxn>
              <a:cxn ang="0">
                <a:pos x="connsiteX10075" y="connsiteY10075"/>
              </a:cxn>
              <a:cxn ang="0">
                <a:pos x="connsiteX10076" y="connsiteY10076"/>
              </a:cxn>
              <a:cxn ang="0">
                <a:pos x="connsiteX10077" y="connsiteY10077"/>
              </a:cxn>
              <a:cxn ang="0">
                <a:pos x="connsiteX10078" y="connsiteY10078"/>
              </a:cxn>
              <a:cxn ang="0">
                <a:pos x="connsiteX10079" y="connsiteY10079"/>
              </a:cxn>
              <a:cxn ang="0">
                <a:pos x="connsiteX10080" y="connsiteY10080"/>
              </a:cxn>
              <a:cxn ang="0">
                <a:pos x="connsiteX10081" y="connsiteY10081"/>
              </a:cxn>
              <a:cxn ang="0">
                <a:pos x="connsiteX10082" y="connsiteY10082"/>
              </a:cxn>
              <a:cxn ang="0">
                <a:pos x="connsiteX10083" y="connsiteY10083"/>
              </a:cxn>
              <a:cxn ang="0">
                <a:pos x="connsiteX10084" y="connsiteY10084"/>
              </a:cxn>
              <a:cxn ang="0">
                <a:pos x="connsiteX10085" y="connsiteY10085"/>
              </a:cxn>
              <a:cxn ang="0">
                <a:pos x="connsiteX10086" y="connsiteY10086"/>
              </a:cxn>
              <a:cxn ang="0">
                <a:pos x="connsiteX10087" y="connsiteY10087"/>
              </a:cxn>
              <a:cxn ang="0">
                <a:pos x="connsiteX10088" y="connsiteY10088"/>
              </a:cxn>
              <a:cxn ang="0">
                <a:pos x="connsiteX10089" y="connsiteY10089"/>
              </a:cxn>
              <a:cxn ang="0">
                <a:pos x="connsiteX10090" y="connsiteY10090"/>
              </a:cxn>
              <a:cxn ang="0">
                <a:pos x="connsiteX10091" y="connsiteY10091"/>
              </a:cxn>
              <a:cxn ang="0">
                <a:pos x="connsiteX10092" y="connsiteY10092"/>
              </a:cxn>
              <a:cxn ang="0">
                <a:pos x="connsiteX10093" y="connsiteY10093"/>
              </a:cxn>
              <a:cxn ang="0">
                <a:pos x="connsiteX10094" y="connsiteY10094"/>
              </a:cxn>
              <a:cxn ang="0">
                <a:pos x="connsiteX10095" y="connsiteY10095"/>
              </a:cxn>
              <a:cxn ang="0">
                <a:pos x="connsiteX10096" y="connsiteY10096"/>
              </a:cxn>
              <a:cxn ang="0">
                <a:pos x="connsiteX10097" y="connsiteY10097"/>
              </a:cxn>
              <a:cxn ang="0">
                <a:pos x="connsiteX10098" y="connsiteY10098"/>
              </a:cxn>
              <a:cxn ang="0">
                <a:pos x="connsiteX10099" y="connsiteY10099"/>
              </a:cxn>
              <a:cxn ang="0">
                <a:pos x="connsiteX10100" y="connsiteY10100"/>
              </a:cxn>
              <a:cxn ang="0">
                <a:pos x="connsiteX10101" y="connsiteY10101"/>
              </a:cxn>
              <a:cxn ang="0">
                <a:pos x="connsiteX10102" y="connsiteY10102"/>
              </a:cxn>
              <a:cxn ang="0">
                <a:pos x="connsiteX10103" y="connsiteY10103"/>
              </a:cxn>
              <a:cxn ang="0">
                <a:pos x="connsiteX10104" y="connsiteY10104"/>
              </a:cxn>
              <a:cxn ang="0">
                <a:pos x="connsiteX10105" y="connsiteY10105"/>
              </a:cxn>
              <a:cxn ang="0">
                <a:pos x="connsiteX10106" y="connsiteY10106"/>
              </a:cxn>
              <a:cxn ang="0">
                <a:pos x="connsiteX10107" y="connsiteY10107"/>
              </a:cxn>
              <a:cxn ang="0">
                <a:pos x="connsiteX10108" y="connsiteY10108"/>
              </a:cxn>
              <a:cxn ang="0">
                <a:pos x="connsiteX10109" y="connsiteY10109"/>
              </a:cxn>
              <a:cxn ang="0">
                <a:pos x="connsiteX10110" y="connsiteY10110"/>
              </a:cxn>
              <a:cxn ang="0">
                <a:pos x="connsiteX10111" y="connsiteY10111"/>
              </a:cxn>
              <a:cxn ang="0">
                <a:pos x="connsiteX10112" y="connsiteY10112"/>
              </a:cxn>
              <a:cxn ang="0">
                <a:pos x="connsiteX10113" y="connsiteY10113"/>
              </a:cxn>
              <a:cxn ang="0">
                <a:pos x="connsiteX10114" y="connsiteY10114"/>
              </a:cxn>
              <a:cxn ang="0">
                <a:pos x="connsiteX10115" y="connsiteY10115"/>
              </a:cxn>
              <a:cxn ang="0">
                <a:pos x="connsiteX10116" y="connsiteY10116"/>
              </a:cxn>
              <a:cxn ang="0">
                <a:pos x="connsiteX10117" y="connsiteY10117"/>
              </a:cxn>
              <a:cxn ang="0">
                <a:pos x="connsiteX10118" y="connsiteY10118"/>
              </a:cxn>
              <a:cxn ang="0">
                <a:pos x="connsiteX10119" y="connsiteY10119"/>
              </a:cxn>
              <a:cxn ang="0">
                <a:pos x="connsiteX10120" y="connsiteY10120"/>
              </a:cxn>
              <a:cxn ang="0">
                <a:pos x="connsiteX10121" y="connsiteY10121"/>
              </a:cxn>
              <a:cxn ang="0">
                <a:pos x="connsiteX10122" y="connsiteY10122"/>
              </a:cxn>
              <a:cxn ang="0">
                <a:pos x="connsiteX10123" y="connsiteY10123"/>
              </a:cxn>
              <a:cxn ang="0">
                <a:pos x="connsiteX10124" y="connsiteY10124"/>
              </a:cxn>
              <a:cxn ang="0">
                <a:pos x="connsiteX10125" y="connsiteY10125"/>
              </a:cxn>
              <a:cxn ang="0">
                <a:pos x="connsiteX10126" y="connsiteY10126"/>
              </a:cxn>
              <a:cxn ang="0">
                <a:pos x="connsiteX10127" y="connsiteY10127"/>
              </a:cxn>
              <a:cxn ang="0">
                <a:pos x="connsiteX10128" y="connsiteY10128"/>
              </a:cxn>
              <a:cxn ang="0">
                <a:pos x="connsiteX10129" y="connsiteY10129"/>
              </a:cxn>
              <a:cxn ang="0">
                <a:pos x="connsiteX10130" y="connsiteY10130"/>
              </a:cxn>
              <a:cxn ang="0">
                <a:pos x="connsiteX10131" y="connsiteY10131"/>
              </a:cxn>
              <a:cxn ang="0">
                <a:pos x="connsiteX10132" y="connsiteY10132"/>
              </a:cxn>
              <a:cxn ang="0">
                <a:pos x="connsiteX10133" y="connsiteY10133"/>
              </a:cxn>
              <a:cxn ang="0">
                <a:pos x="connsiteX10134" y="connsiteY10134"/>
              </a:cxn>
              <a:cxn ang="0">
                <a:pos x="connsiteX10135" y="connsiteY10135"/>
              </a:cxn>
              <a:cxn ang="0">
                <a:pos x="connsiteX10136" y="connsiteY10136"/>
              </a:cxn>
              <a:cxn ang="0">
                <a:pos x="connsiteX10137" y="connsiteY10137"/>
              </a:cxn>
              <a:cxn ang="0">
                <a:pos x="connsiteX10138" y="connsiteY10138"/>
              </a:cxn>
              <a:cxn ang="0">
                <a:pos x="connsiteX10139" y="connsiteY10139"/>
              </a:cxn>
              <a:cxn ang="0">
                <a:pos x="connsiteX10140" y="connsiteY10140"/>
              </a:cxn>
              <a:cxn ang="0">
                <a:pos x="connsiteX10141" y="connsiteY10141"/>
              </a:cxn>
              <a:cxn ang="0">
                <a:pos x="connsiteX10142" y="connsiteY10142"/>
              </a:cxn>
              <a:cxn ang="0">
                <a:pos x="connsiteX10143" y="connsiteY10143"/>
              </a:cxn>
              <a:cxn ang="0">
                <a:pos x="connsiteX10144" y="connsiteY10144"/>
              </a:cxn>
              <a:cxn ang="0">
                <a:pos x="connsiteX10145" y="connsiteY10145"/>
              </a:cxn>
              <a:cxn ang="0">
                <a:pos x="connsiteX10146" y="connsiteY10146"/>
              </a:cxn>
              <a:cxn ang="0">
                <a:pos x="connsiteX10147" y="connsiteY10147"/>
              </a:cxn>
              <a:cxn ang="0">
                <a:pos x="connsiteX10148" y="connsiteY10148"/>
              </a:cxn>
              <a:cxn ang="0">
                <a:pos x="connsiteX10149" y="connsiteY10149"/>
              </a:cxn>
              <a:cxn ang="0">
                <a:pos x="connsiteX10150" y="connsiteY10150"/>
              </a:cxn>
              <a:cxn ang="0">
                <a:pos x="connsiteX10151" y="connsiteY10151"/>
              </a:cxn>
              <a:cxn ang="0">
                <a:pos x="connsiteX10152" y="connsiteY10152"/>
              </a:cxn>
              <a:cxn ang="0">
                <a:pos x="connsiteX10153" y="connsiteY10153"/>
              </a:cxn>
              <a:cxn ang="0">
                <a:pos x="connsiteX10154" y="connsiteY10154"/>
              </a:cxn>
              <a:cxn ang="0">
                <a:pos x="connsiteX10155" y="connsiteY10155"/>
              </a:cxn>
              <a:cxn ang="0">
                <a:pos x="connsiteX10156" y="connsiteY10156"/>
              </a:cxn>
              <a:cxn ang="0">
                <a:pos x="connsiteX10157" y="connsiteY10157"/>
              </a:cxn>
              <a:cxn ang="0">
                <a:pos x="connsiteX10158" y="connsiteY10158"/>
              </a:cxn>
              <a:cxn ang="0">
                <a:pos x="connsiteX10159" y="connsiteY10159"/>
              </a:cxn>
              <a:cxn ang="0">
                <a:pos x="connsiteX10160" y="connsiteY10160"/>
              </a:cxn>
              <a:cxn ang="0">
                <a:pos x="connsiteX10161" y="connsiteY10161"/>
              </a:cxn>
              <a:cxn ang="0">
                <a:pos x="connsiteX10162" y="connsiteY10162"/>
              </a:cxn>
              <a:cxn ang="0">
                <a:pos x="connsiteX10163" y="connsiteY10163"/>
              </a:cxn>
              <a:cxn ang="0">
                <a:pos x="connsiteX10164" y="connsiteY10164"/>
              </a:cxn>
              <a:cxn ang="0">
                <a:pos x="connsiteX10165" y="connsiteY10165"/>
              </a:cxn>
              <a:cxn ang="0">
                <a:pos x="connsiteX10166" y="connsiteY10166"/>
              </a:cxn>
              <a:cxn ang="0">
                <a:pos x="connsiteX10167" y="connsiteY10167"/>
              </a:cxn>
              <a:cxn ang="0">
                <a:pos x="connsiteX10168" y="connsiteY10168"/>
              </a:cxn>
              <a:cxn ang="0">
                <a:pos x="connsiteX10169" y="connsiteY10169"/>
              </a:cxn>
              <a:cxn ang="0">
                <a:pos x="connsiteX10170" y="connsiteY10170"/>
              </a:cxn>
              <a:cxn ang="0">
                <a:pos x="connsiteX10171" y="connsiteY10171"/>
              </a:cxn>
              <a:cxn ang="0">
                <a:pos x="connsiteX10172" y="connsiteY10172"/>
              </a:cxn>
              <a:cxn ang="0">
                <a:pos x="connsiteX10173" y="connsiteY10173"/>
              </a:cxn>
              <a:cxn ang="0">
                <a:pos x="connsiteX10174" y="connsiteY10174"/>
              </a:cxn>
              <a:cxn ang="0">
                <a:pos x="connsiteX10175" y="connsiteY10175"/>
              </a:cxn>
              <a:cxn ang="0">
                <a:pos x="connsiteX10176" y="connsiteY10176"/>
              </a:cxn>
              <a:cxn ang="0">
                <a:pos x="connsiteX10177" y="connsiteY10177"/>
              </a:cxn>
              <a:cxn ang="0">
                <a:pos x="connsiteX10178" y="connsiteY10178"/>
              </a:cxn>
              <a:cxn ang="0">
                <a:pos x="connsiteX10179" y="connsiteY10179"/>
              </a:cxn>
              <a:cxn ang="0">
                <a:pos x="connsiteX10180" y="connsiteY10180"/>
              </a:cxn>
              <a:cxn ang="0">
                <a:pos x="connsiteX10181" y="connsiteY10181"/>
              </a:cxn>
              <a:cxn ang="0">
                <a:pos x="connsiteX10182" y="connsiteY10182"/>
              </a:cxn>
              <a:cxn ang="0">
                <a:pos x="connsiteX10183" y="connsiteY10183"/>
              </a:cxn>
              <a:cxn ang="0">
                <a:pos x="connsiteX10184" y="connsiteY10184"/>
              </a:cxn>
              <a:cxn ang="0">
                <a:pos x="connsiteX10185" y="connsiteY10185"/>
              </a:cxn>
              <a:cxn ang="0">
                <a:pos x="connsiteX10186" y="connsiteY10186"/>
              </a:cxn>
              <a:cxn ang="0">
                <a:pos x="connsiteX10187" y="connsiteY10187"/>
              </a:cxn>
              <a:cxn ang="0">
                <a:pos x="connsiteX10188" y="connsiteY10188"/>
              </a:cxn>
              <a:cxn ang="0">
                <a:pos x="connsiteX10189" y="connsiteY10189"/>
              </a:cxn>
              <a:cxn ang="0">
                <a:pos x="connsiteX10190" y="connsiteY10190"/>
              </a:cxn>
              <a:cxn ang="0">
                <a:pos x="connsiteX10191" y="connsiteY10191"/>
              </a:cxn>
              <a:cxn ang="0">
                <a:pos x="connsiteX10192" y="connsiteY10192"/>
              </a:cxn>
              <a:cxn ang="0">
                <a:pos x="connsiteX10193" y="connsiteY10193"/>
              </a:cxn>
              <a:cxn ang="0">
                <a:pos x="connsiteX10194" y="connsiteY10194"/>
              </a:cxn>
              <a:cxn ang="0">
                <a:pos x="connsiteX10195" y="connsiteY10195"/>
              </a:cxn>
              <a:cxn ang="0">
                <a:pos x="connsiteX10196" y="connsiteY10196"/>
              </a:cxn>
              <a:cxn ang="0">
                <a:pos x="connsiteX10197" y="connsiteY10197"/>
              </a:cxn>
              <a:cxn ang="0">
                <a:pos x="connsiteX10198" y="connsiteY10198"/>
              </a:cxn>
              <a:cxn ang="0">
                <a:pos x="connsiteX10199" y="connsiteY10199"/>
              </a:cxn>
              <a:cxn ang="0">
                <a:pos x="connsiteX10200" y="connsiteY10200"/>
              </a:cxn>
              <a:cxn ang="0">
                <a:pos x="connsiteX10201" y="connsiteY10201"/>
              </a:cxn>
              <a:cxn ang="0">
                <a:pos x="connsiteX10202" y="connsiteY10202"/>
              </a:cxn>
              <a:cxn ang="0">
                <a:pos x="connsiteX10203" y="connsiteY10203"/>
              </a:cxn>
              <a:cxn ang="0">
                <a:pos x="connsiteX10204" y="connsiteY10204"/>
              </a:cxn>
              <a:cxn ang="0">
                <a:pos x="connsiteX10205" y="connsiteY10205"/>
              </a:cxn>
              <a:cxn ang="0">
                <a:pos x="connsiteX10206" y="connsiteY10206"/>
              </a:cxn>
              <a:cxn ang="0">
                <a:pos x="connsiteX10207" y="connsiteY10207"/>
              </a:cxn>
              <a:cxn ang="0">
                <a:pos x="connsiteX10208" y="connsiteY10208"/>
              </a:cxn>
              <a:cxn ang="0">
                <a:pos x="connsiteX10209" y="connsiteY10209"/>
              </a:cxn>
              <a:cxn ang="0">
                <a:pos x="connsiteX10210" y="connsiteY10210"/>
              </a:cxn>
              <a:cxn ang="0">
                <a:pos x="connsiteX10211" y="connsiteY10211"/>
              </a:cxn>
              <a:cxn ang="0">
                <a:pos x="connsiteX10212" y="connsiteY10212"/>
              </a:cxn>
              <a:cxn ang="0">
                <a:pos x="connsiteX10213" y="connsiteY10213"/>
              </a:cxn>
              <a:cxn ang="0">
                <a:pos x="connsiteX10214" y="connsiteY10214"/>
              </a:cxn>
              <a:cxn ang="0">
                <a:pos x="connsiteX10215" y="connsiteY10215"/>
              </a:cxn>
              <a:cxn ang="0">
                <a:pos x="connsiteX10216" y="connsiteY10216"/>
              </a:cxn>
              <a:cxn ang="0">
                <a:pos x="connsiteX10217" y="connsiteY10217"/>
              </a:cxn>
              <a:cxn ang="0">
                <a:pos x="connsiteX10218" y="connsiteY10218"/>
              </a:cxn>
              <a:cxn ang="0">
                <a:pos x="connsiteX10219" y="connsiteY10219"/>
              </a:cxn>
              <a:cxn ang="0">
                <a:pos x="connsiteX10220" y="connsiteY10220"/>
              </a:cxn>
              <a:cxn ang="0">
                <a:pos x="connsiteX10221" y="connsiteY10221"/>
              </a:cxn>
              <a:cxn ang="0">
                <a:pos x="connsiteX10222" y="connsiteY10222"/>
              </a:cxn>
              <a:cxn ang="0">
                <a:pos x="connsiteX10223" y="connsiteY10223"/>
              </a:cxn>
              <a:cxn ang="0">
                <a:pos x="connsiteX10224" y="connsiteY10224"/>
              </a:cxn>
              <a:cxn ang="0">
                <a:pos x="connsiteX10225" y="connsiteY10225"/>
              </a:cxn>
              <a:cxn ang="0">
                <a:pos x="connsiteX10226" y="connsiteY10226"/>
              </a:cxn>
              <a:cxn ang="0">
                <a:pos x="connsiteX10227" y="connsiteY10227"/>
              </a:cxn>
              <a:cxn ang="0">
                <a:pos x="connsiteX10228" y="connsiteY10228"/>
              </a:cxn>
              <a:cxn ang="0">
                <a:pos x="connsiteX10229" y="connsiteY10229"/>
              </a:cxn>
              <a:cxn ang="0">
                <a:pos x="connsiteX10230" y="connsiteY10230"/>
              </a:cxn>
              <a:cxn ang="0">
                <a:pos x="connsiteX10231" y="connsiteY10231"/>
              </a:cxn>
              <a:cxn ang="0">
                <a:pos x="connsiteX10232" y="connsiteY10232"/>
              </a:cxn>
              <a:cxn ang="0">
                <a:pos x="connsiteX10233" y="connsiteY10233"/>
              </a:cxn>
              <a:cxn ang="0">
                <a:pos x="connsiteX10234" y="connsiteY10234"/>
              </a:cxn>
              <a:cxn ang="0">
                <a:pos x="connsiteX10235" y="connsiteY10235"/>
              </a:cxn>
              <a:cxn ang="0">
                <a:pos x="connsiteX10236" y="connsiteY10236"/>
              </a:cxn>
              <a:cxn ang="0">
                <a:pos x="connsiteX10237" y="connsiteY10237"/>
              </a:cxn>
              <a:cxn ang="0">
                <a:pos x="connsiteX10238" y="connsiteY10238"/>
              </a:cxn>
              <a:cxn ang="0">
                <a:pos x="connsiteX10239" y="connsiteY10239"/>
              </a:cxn>
              <a:cxn ang="0">
                <a:pos x="connsiteX10240" y="connsiteY10240"/>
              </a:cxn>
              <a:cxn ang="0">
                <a:pos x="connsiteX10241" y="connsiteY10241"/>
              </a:cxn>
              <a:cxn ang="0">
                <a:pos x="connsiteX10242" y="connsiteY10242"/>
              </a:cxn>
              <a:cxn ang="0">
                <a:pos x="connsiteX10243" y="connsiteY10243"/>
              </a:cxn>
              <a:cxn ang="0">
                <a:pos x="connsiteX10244" y="connsiteY10244"/>
              </a:cxn>
              <a:cxn ang="0">
                <a:pos x="connsiteX10245" y="connsiteY10245"/>
              </a:cxn>
              <a:cxn ang="0">
                <a:pos x="connsiteX10246" y="connsiteY10246"/>
              </a:cxn>
              <a:cxn ang="0">
                <a:pos x="connsiteX10247" y="connsiteY10247"/>
              </a:cxn>
              <a:cxn ang="0">
                <a:pos x="connsiteX10248" y="connsiteY10248"/>
              </a:cxn>
              <a:cxn ang="0">
                <a:pos x="connsiteX10249" y="connsiteY10249"/>
              </a:cxn>
              <a:cxn ang="0">
                <a:pos x="connsiteX10250" y="connsiteY10250"/>
              </a:cxn>
              <a:cxn ang="0">
                <a:pos x="connsiteX10251" y="connsiteY10251"/>
              </a:cxn>
              <a:cxn ang="0">
                <a:pos x="connsiteX10252" y="connsiteY10252"/>
              </a:cxn>
              <a:cxn ang="0">
                <a:pos x="connsiteX10253" y="connsiteY10253"/>
              </a:cxn>
              <a:cxn ang="0">
                <a:pos x="connsiteX10254" y="connsiteY10254"/>
              </a:cxn>
              <a:cxn ang="0">
                <a:pos x="connsiteX10255" y="connsiteY10255"/>
              </a:cxn>
              <a:cxn ang="0">
                <a:pos x="connsiteX10256" y="connsiteY10256"/>
              </a:cxn>
              <a:cxn ang="0">
                <a:pos x="connsiteX10257" y="connsiteY10257"/>
              </a:cxn>
              <a:cxn ang="0">
                <a:pos x="connsiteX10258" y="connsiteY10258"/>
              </a:cxn>
              <a:cxn ang="0">
                <a:pos x="connsiteX10259" y="connsiteY10259"/>
              </a:cxn>
              <a:cxn ang="0">
                <a:pos x="connsiteX10260" y="connsiteY10260"/>
              </a:cxn>
              <a:cxn ang="0">
                <a:pos x="connsiteX10261" y="connsiteY10261"/>
              </a:cxn>
              <a:cxn ang="0">
                <a:pos x="connsiteX10262" y="connsiteY10262"/>
              </a:cxn>
              <a:cxn ang="0">
                <a:pos x="connsiteX10263" y="connsiteY10263"/>
              </a:cxn>
              <a:cxn ang="0">
                <a:pos x="connsiteX10264" y="connsiteY10264"/>
              </a:cxn>
              <a:cxn ang="0">
                <a:pos x="connsiteX10265" y="connsiteY10265"/>
              </a:cxn>
              <a:cxn ang="0">
                <a:pos x="connsiteX10266" y="connsiteY10266"/>
              </a:cxn>
              <a:cxn ang="0">
                <a:pos x="connsiteX10267" y="connsiteY10267"/>
              </a:cxn>
              <a:cxn ang="0">
                <a:pos x="connsiteX10268" y="connsiteY10268"/>
              </a:cxn>
              <a:cxn ang="0">
                <a:pos x="connsiteX10269" y="connsiteY10269"/>
              </a:cxn>
              <a:cxn ang="0">
                <a:pos x="connsiteX10270" y="connsiteY10270"/>
              </a:cxn>
              <a:cxn ang="0">
                <a:pos x="connsiteX10271" y="connsiteY10271"/>
              </a:cxn>
              <a:cxn ang="0">
                <a:pos x="connsiteX10272" y="connsiteY10272"/>
              </a:cxn>
              <a:cxn ang="0">
                <a:pos x="connsiteX10273" y="connsiteY10273"/>
              </a:cxn>
              <a:cxn ang="0">
                <a:pos x="connsiteX10274" y="connsiteY10274"/>
              </a:cxn>
              <a:cxn ang="0">
                <a:pos x="connsiteX10275" y="connsiteY10275"/>
              </a:cxn>
              <a:cxn ang="0">
                <a:pos x="connsiteX10276" y="connsiteY10276"/>
              </a:cxn>
              <a:cxn ang="0">
                <a:pos x="connsiteX10277" y="connsiteY10277"/>
              </a:cxn>
              <a:cxn ang="0">
                <a:pos x="connsiteX10278" y="connsiteY10278"/>
              </a:cxn>
              <a:cxn ang="0">
                <a:pos x="connsiteX10279" y="connsiteY10279"/>
              </a:cxn>
              <a:cxn ang="0">
                <a:pos x="connsiteX10280" y="connsiteY10280"/>
              </a:cxn>
              <a:cxn ang="0">
                <a:pos x="connsiteX10281" y="connsiteY10281"/>
              </a:cxn>
              <a:cxn ang="0">
                <a:pos x="connsiteX10282" y="connsiteY10282"/>
              </a:cxn>
              <a:cxn ang="0">
                <a:pos x="connsiteX10283" y="connsiteY10283"/>
              </a:cxn>
              <a:cxn ang="0">
                <a:pos x="connsiteX10284" y="connsiteY10284"/>
              </a:cxn>
              <a:cxn ang="0">
                <a:pos x="connsiteX10285" y="connsiteY10285"/>
              </a:cxn>
              <a:cxn ang="0">
                <a:pos x="connsiteX10286" y="connsiteY10286"/>
              </a:cxn>
              <a:cxn ang="0">
                <a:pos x="connsiteX10287" y="connsiteY10287"/>
              </a:cxn>
              <a:cxn ang="0">
                <a:pos x="connsiteX10288" y="connsiteY10288"/>
              </a:cxn>
              <a:cxn ang="0">
                <a:pos x="connsiteX10289" y="connsiteY10289"/>
              </a:cxn>
              <a:cxn ang="0">
                <a:pos x="connsiteX10290" y="connsiteY10290"/>
              </a:cxn>
              <a:cxn ang="0">
                <a:pos x="connsiteX10291" y="connsiteY10291"/>
              </a:cxn>
              <a:cxn ang="0">
                <a:pos x="connsiteX10292" y="connsiteY10292"/>
              </a:cxn>
              <a:cxn ang="0">
                <a:pos x="connsiteX10293" y="connsiteY10293"/>
              </a:cxn>
              <a:cxn ang="0">
                <a:pos x="connsiteX10294" y="connsiteY10294"/>
              </a:cxn>
              <a:cxn ang="0">
                <a:pos x="connsiteX10295" y="connsiteY10295"/>
              </a:cxn>
              <a:cxn ang="0">
                <a:pos x="connsiteX10296" y="connsiteY10296"/>
              </a:cxn>
              <a:cxn ang="0">
                <a:pos x="connsiteX10297" y="connsiteY10297"/>
              </a:cxn>
              <a:cxn ang="0">
                <a:pos x="connsiteX10298" y="connsiteY10298"/>
              </a:cxn>
              <a:cxn ang="0">
                <a:pos x="connsiteX10299" y="connsiteY10299"/>
              </a:cxn>
              <a:cxn ang="0">
                <a:pos x="connsiteX10300" y="connsiteY10300"/>
              </a:cxn>
              <a:cxn ang="0">
                <a:pos x="connsiteX10301" y="connsiteY10301"/>
              </a:cxn>
              <a:cxn ang="0">
                <a:pos x="connsiteX10302" y="connsiteY10302"/>
              </a:cxn>
              <a:cxn ang="0">
                <a:pos x="connsiteX10303" y="connsiteY10303"/>
              </a:cxn>
              <a:cxn ang="0">
                <a:pos x="connsiteX10304" y="connsiteY10304"/>
              </a:cxn>
              <a:cxn ang="0">
                <a:pos x="connsiteX10305" y="connsiteY10305"/>
              </a:cxn>
              <a:cxn ang="0">
                <a:pos x="connsiteX10306" y="connsiteY10306"/>
              </a:cxn>
              <a:cxn ang="0">
                <a:pos x="connsiteX10307" y="connsiteY10307"/>
              </a:cxn>
              <a:cxn ang="0">
                <a:pos x="connsiteX10308" y="connsiteY10308"/>
              </a:cxn>
              <a:cxn ang="0">
                <a:pos x="connsiteX10309" y="connsiteY10309"/>
              </a:cxn>
              <a:cxn ang="0">
                <a:pos x="connsiteX10310" y="connsiteY10310"/>
              </a:cxn>
              <a:cxn ang="0">
                <a:pos x="connsiteX10311" y="connsiteY10311"/>
              </a:cxn>
              <a:cxn ang="0">
                <a:pos x="connsiteX10312" y="connsiteY10312"/>
              </a:cxn>
              <a:cxn ang="0">
                <a:pos x="connsiteX10313" y="connsiteY10313"/>
              </a:cxn>
              <a:cxn ang="0">
                <a:pos x="connsiteX10314" y="connsiteY10314"/>
              </a:cxn>
              <a:cxn ang="0">
                <a:pos x="connsiteX10315" y="connsiteY10315"/>
              </a:cxn>
              <a:cxn ang="0">
                <a:pos x="connsiteX10316" y="connsiteY10316"/>
              </a:cxn>
              <a:cxn ang="0">
                <a:pos x="connsiteX10317" y="connsiteY10317"/>
              </a:cxn>
              <a:cxn ang="0">
                <a:pos x="connsiteX10318" y="connsiteY10318"/>
              </a:cxn>
              <a:cxn ang="0">
                <a:pos x="connsiteX10319" y="connsiteY10319"/>
              </a:cxn>
              <a:cxn ang="0">
                <a:pos x="connsiteX10320" y="connsiteY10320"/>
              </a:cxn>
              <a:cxn ang="0">
                <a:pos x="connsiteX10321" y="connsiteY10321"/>
              </a:cxn>
              <a:cxn ang="0">
                <a:pos x="connsiteX10322" y="connsiteY10322"/>
              </a:cxn>
              <a:cxn ang="0">
                <a:pos x="connsiteX10323" y="connsiteY10323"/>
              </a:cxn>
              <a:cxn ang="0">
                <a:pos x="connsiteX10324" y="connsiteY10324"/>
              </a:cxn>
              <a:cxn ang="0">
                <a:pos x="connsiteX10325" y="connsiteY10325"/>
              </a:cxn>
              <a:cxn ang="0">
                <a:pos x="connsiteX10326" y="connsiteY10326"/>
              </a:cxn>
              <a:cxn ang="0">
                <a:pos x="connsiteX10327" y="connsiteY10327"/>
              </a:cxn>
              <a:cxn ang="0">
                <a:pos x="connsiteX10328" y="connsiteY10328"/>
              </a:cxn>
              <a:cxn ang="0">
                <a:pos x="connsiteX10329" y="connsiteY10329"/>
              </a:cxn>
              <a:cxn ang="0">
                <a:pos x="connsiteX10330" y="connsiteY10330"/>
              </a:cxn>
              <a:cxn ang="0">
                <a:pos x="connsiteX10331" y="connsiteY10331"/>
              </a:cxn>
              <a:cxn ang="0">
                <a:pos x="connsiteX10332" y="connsiteY10332"/>
              </a:cxn>
              <a:cxn ang="0">
                <a:pos x="connsiteX10333" y="connsiteY10333"/>
              </a:cxn>
              <a:cxn ang="0">
                <a:pos x="connsiteX10334" y="connsiteY10334"/>
              </a:cxn>
              <a:cxn ang="0">
                <a:pos x="connsiteX10335" y="connsiteY10335"/>
              </a:cxn>
              <a:cxn ang="0">
                <a:pos x="connsiteX10336" y="connsiteY10336"/>
              </a:cxn>
              <a:cxn ang="0">
                <a:pos x="connsiteX10337" y="connsiteY10337"/>
              </a:cxn>
              <a:cxn ang="0">
                <a:pos x="connsiteX10338" y="connsiteY10338"/>
              </a:cxn>
              <a:cxn ang="0">
                <a:pos x="connsiteX10339" y="connsiteY10339"/>
              </a:cxn>
              <a:cxn ang="0">
                <a:pos x="connsiteX10340" y="connsiteY10340"/>
              </a:cxn>
              <a:cxn ang="0">
                <a:pos x="connsiteX10341" y="connsiteY10341"/>
              </a:cxn>
              <a:cxn ang="0">
                <a:pos x="connsiteX10342" y="connsiteY10342"/>
              </a:cxn>
              <a:cxn ang="0">
                <a:pos x="connsiteX10343" y="connsiteY10343"/>
              </a:cxn>
              <a:cxn ang="0">
                <a:pos x="connsiteX10344" y="connsiteY10344"/>
              </a:cxn>
              <a:cxn ang="0">
                <a:pos x="connsiteX10345" y="connsiteY10345"/>
              </a:cxn>
              <a:cxn ang="0">
                <a:pos x="connsiteX10346" y="connsiteY10346"/>
              </a:cxn>
              <a:cxn ang="0">
                <a:pos x="connsiteX10347" y="connsiteY10347"/>
              </a:cxn>
              <a:cxn ang="0">
                <a:pos x="connsiteX10348" y="connsiteY10348"/>
              </a:cxn>
              <a:cxn ang="0">
                <a:pos x="connsiteX10349" y="connsiteY10349"/>
              </a:cxn>
              <a:cxn ang="0">
                <a:pos x="connsiteX10350" y="connsiteY10350"/>
              </a:cxn>
              <a:cxn ang="0">
                <a:pos x="connsiteX10351" y="connsiteY10351"/>
              </a:cxn>
              <a:cxn ang="0">
                <a:pos x="connsiteX10352" y="connsiteY10352"/>
              </a:cxn>
              <a:cxn ang="0">
                <a:pos x="connsiteX10353" y="connsiteY10353"/>
              </a:cxn>
              <a:cxn ang="0">
                <a:pos x="connsiteX10354" y="connsiteY10354"/>
              </a:cxn>
              <a:cxn ang="0">
                <a:pos x="connsiteX10355" y="connsiteY10355"/>
              </a:cxn>
              <a:cxn ang="0">
                <a:pos x="connsiteX10356" y="connsiteY10356"/>
              </a:cxn>
              <a:cxn ang="0">
                <a:pos x="connsiteX10357" y="connsiteY10357"/>
              </a:cxn>
              <a:cxn ang="0">
                <a:pos x="connsiteX10358" y="connsiteY10358"/>
              </a:cxn>
              <a:cxn ang="0">
                <a:pos x="connsiteX10359" y="connsiteY10359"/>
              </a:cxn>
              <a:cxn ang="0">
                <a:pos x="connsiteX10360" y="connsiteY10360"/>
              </a:cxn>
              <a:cxn ang="0">
                <a:pos x="connsiteX10361" y="connsiteY10361"/>
              </a:cxn>
              <a:cxn ang="0">
                <a:pos x="connsiteX10362" y="connsiteY10362"/>
              </a:cxn>
              <a:cxn ang="0">
                <a:pos x="connsiteX10363" y="connsiteY10363"/>
              </a:cxn>
              <a:cxn ang="0">
                <a:pos x="connsiteX10364" y="connsiteY10364"/>
              </a:cxn>
              <a:cxn ang="0">
                <a:pos x="connsiteX10365" y="connsiteY10365"/>
              </a:cxn>
              <a:cxn ang="0">
                <a:pos x="connsiteX10366" y="connsiteY10366"/>
              </a:cxn>
              <a:cxn ang="0">
                <a:pos x="connsiteX10367" y="connsiteY10367"/>
              </a:cxn>
              <a:cxn ang="0">
                <a:pos x="connsiteX10368" y="connsiteY10368"/>
              </a:cxn>
              <a:cxn ang="0">
                <a:pos x="connsiteX10369" y="connsiteY10369"/>
              </a:cxn>
              <a:cxn ang="0">
                <a:pos x="connsiteX10370" y="connsiteY10370"/>
              </a:cxn>
              <a:cxn ang="0">
                <a:pos x="connsiteX10371" y="connsiteY10371"/>
              </a:cxn>
              <a:cxn ang="0">
                <a:pos x="connsiteX10372" y="connsiteY10372"/>
              </a:cxn>
              <a:cxn ang="0">
                <a:pos x="connsiteX10373" y="connsiteY10373"/>
              </a:cxn>
              <a:cxn ang="0">
                <a:pos x="connsiteX10374" y="connsiteY10374"/>
              </a:cxn>
              <a:cxn ang="0">
                <a:pos x="connsiteX10375" y="connsiteY10375"/>
              </a:cxn>
              <a:cxn ang="0">
                <a:pos x="connsiteX10376" y="connsiteY10376"/>
              </a:cxn>
              <a:cxn ang="0">
                <a:pos x="connsiteX10377" y="connsiteY10377"/>
              </a:cxn>
              <a:cxn ang="0">
                <a:pos x="connsiteX10378" y="connsiteY10378"/>
              </a:cxn>
              <a:cxn ang="0">
                <a:pos x="connsiteX10379" y="connsiteY10379"/>
              </a:cxn>
              <a:cxn ang="0">
                <a:pos x="connsiteX10380" y="connsiteY10380"/>
              </a:cxn>
              <a:cxn ang="0">
                <a:pos x="connsiteX10381" y="connsiteY10381"/>
              </a:cxn>
              <a:cxn ang="0">
                <a:pos x="connsiteX10382" y="connsiteY10382"/>
              </a:cxn>
              <a:cxn ang="0">
                <a:pos x="connsiteX10383" y="connsiteY10383"/>
              </a:cxn>
              <a:cxn ang="0">
                <a:pos x="connsiteX10384" y="connsiteY10384"/>
              </a:cxn>
              <a:cxn ang="0">
                <a:pos x="connsiteX10385" y="connsiteY10385"/>
              </a:cxn>
              <a:cxn ang="0">
                <a:pos x="connsiteX10386" y="connsiteY10386"/>
              </a:cxn>
              <a:cxn ang="0">
                <a:pos x="connsiteX10387" y="connsiteY10387"/>
              </a:cxn>
              <a:cxn ang="0">
                <a:pos x="connsiteX10388" y="connsiteY10388"/>
              </a:cxn>
              <a:cxn ang="0">
                <a:pos x="connsiteX10389" y="connsiteY10389"/>
              </a:cxn>
              <a:cxn ang="0">
                <a:pos x="connsiteX10390" y="connsiteY10390"/>
              </a:cxn>
              <a:cxn ang="0">
                <a:pos x="connsiteX10391" y="connsiteY10391"/>
              </a:cxn>
              <a:cxn ang="0">
                <a:pos x="connsiteX10392" y="connsiteY10392"/>
              </a:cxn>
              <a:cxn ang="0">
                <a:pos x="connsiteX10393" y="connsiteY10393"/>
              </a:cxn>
              <a:cxn ang="0">
                <a:pos x="connsiteX10394" y="connsiteY10394"/>
              </a:cxn>
              <a:cxn ang="0">
                <a:pos x="connsiteX10395" y="connsiteY10395"/>
              </a:cxn>
              <a:cxn ang="0">
                <a:pos x="connsiteX10396" y="connsiteY10396"/>
              </a:cxn>
              <a:cxn ang="0">
                <a:pos x="connsiteX10397" y="connsiteY10397"/>
              </a:cxn>
              <a:cxn ang="0">
                <a:pos x="connsiteX10398" y="connsiteY10398"/>
              </a:cxn>
              <a:cxn ang="0">
                <a:pos x="connsiteX10399" y="connsiteY10399"/>
              </a:cxn>
              <a:cxn ang="0">
                <a:pos x="connsiteX10400" y="connsiteY10400"/>
              </a:cxn>
              <a:cxn ang="0">
                <a:pos x="connsiteX10401" y="connsiteY10401"/>
              </a:cxn>
              <a:cxn ang="0">
                <a:pos x="connsiteX10402" y="connsiteY10402"/>
              </a:cxn>
              <a:cxn ang="0">
                <a:pos x="connsiteX10403" y="connsiteY10403"/>
              </a:cxn>
              <a:cxn ang="0">
                <a:pos x="connsiteX10404" y="connsiteY10404"/>
              </a:cxn>
              <a:cxn ang="0">
                <a:pos x="connsiteX10405" y="connsiteY10405"/>
              </a:cxn>
              <a:cxn ang="0">
                <a:pos x="connsiteX10406" y="connsiteY10406"/>
              </a:cxn>
              <a:cxn ang="0">
                <a:pos x="connsiteX10407" y="connsiteY10407"/>
              </a:cxn>
              <a:cxn ang="0">
                <a:pos x="connsiteX10408" y="connsiteY10408"/>
              </a:cxn>
              <a:cxn ang="0">
                <a:pos x="connsiteX10409" y="connsiteY10409"/>
              </a:cxn>
              <a:cxn ang="0">
                <a:pos x="connsiteX10410" y="connsiteY10410"/>
              </a:cxn>
              <a:cxn ang="0">
                <a:pos x="connsiteX10411" y="connsiteY10411"/>
              </a:cxn>
              <a:cxn ang="0">
                <a:pos x="connsiteX10412" y="connsiteY10412"/>
              </a:cxn>
              <a:cxn ang="0">
                <a:pos x="connsiteX10413" y="connsiteY10413"/>
              </a:cxn>
              <a:cxn ang="0">
                <a:pos x="connsiteX10414" y="connsiteY10414"/>
              </a:cxn>
              <a:cxn ang="0">
                <a:pos x="connsiteX10415" y="connsiteY10415"/>
              </a:cxn>
              <a:cxn ang="0">
                <a:pos x="connsiteX10416" y="connsiteY10416"/>
              </a:cxn>
              <a:cxn ang="0">
                <a:pos x="connsiteX10417" y="connsiteY10417"/>
              </a:cxn>
              <a:cxn ang="0">
                <a:pos x="connsiteX10418" y="connsiteY10418"/>
              </a:cxn>
              <a:cxn ang="0">
                <a:pos x="connsiteX10419" y="connsiteY10419"/>
              </a:cxn>
              <a:cxn ang="0">
                <a:pos x="connsiteX10420" y="connsiteY10420"/>
              </a:cxn>
              <a:cxn ang="0">
                <a:pos x="connsiteX10421" y="connsiteY10421"/>
              </a:cxn>
              <a:cxn ang="0">
                <a:pos x="connsiteX10422" y="connsiteY10422"/>
              </a:cxn>
              <a:cxn ang="0">
                <a:pos x="connsiteX10423" y="connsiteY10423"/>
              </a:cxn>
              <a:cxn ang="0">
                <a:pos x="connsiteX10424" y="connsiteY10424"/>
              </a:cxn>
              <a:cxn ang="0">
                <a:pos x="connsiteX10425" y="connsiteY10425"/>
              </a:cxn>
              <a:cxn ang="0">
                <a:pos x="connsiteX10426" y="connsiteY10426"/>
              </a:cxn>
              <a:cxn ang="0">
                <a:pos x="connsiteX10427" y="connsiteY10427"/>
              </a:cxn>
              <a:cxn ang="0">
                <a:pos x="connsiteX10428" y="connsiteY10428"/>
              </a:cxn>
              <a:cxn ang="0">
                <a:pos x="connsiteX10429" y="connsiteY10429"/>
              </a:cxn>
              <a:cxn ang="0">
                <a:pos x="connsiteX10430" y="connsiteY10430"/>
              </a:cxn>
              <a:cxn ang="0">
                <a:pos x="connsiteX10431" y="connsiteY10431"/>
              </a:cxn>
              <a:cxn ang="0">
                <a:pos x="connsiteX10432" y="connsiteY10432"/>
              </a:cxn>
              <a:cxn ang="0">
                <a:pos x="connsiteX10433" y="connsiteY10433"/>
              </a:cxn>
              <a:cxn ang="0">
                <a:pos x="connsiteX10434" y="connsiteY10434"/>
              </a:cxn>
              <a:cxn ang="0">
                <a:pos x="connsiteX10435" y="connsiteY10435"/>
              </a:cxn>
              <a:cxn ang="0">
                <a:pos x="connsiteX10436" y="connsiteY10436"/>
              </a:cxn>
              <a:cxn ang="0">
                <a:pos x="connsiteX10437" y="connsiteY10437"/>
              </a:cxn>
              <a:cxn ang="0">
                <a:pos x="connsiteX10438" y="connsiteY10438"/>
              </a:cxn>
              <a:cxn ang="0">
                <a:pos x="connsiteX10439" y="connsiteY10439"/>
              </a:cxn>
              <a:cxn ang="0">
                <a:pos x="connsiteX10440" y="connsiteY10440"/>
              </a:cxn>
              <a:cxn ang="0">
                <a:pos x="connsiteX10441" y="connsiteY10441"/>
              </a:cxn>
              <a:cxn ang="0">
                <a:pos x="connsiteX10442" y="connsiteY10442"/>
              </a:cxn>
              <a:cxn ang="0">
                <a:pos x="connsiteX10443" y="connsiteY10443"/>
              </a:cxn>
              <a:cxn ang="0">
                <a:pos x="connsiteX10444" y="connsiteY10444"/>
              </a:cxn>
              <a:cxn ang="0">
                <a:pos x="connsiteX10445" y="connsiteY10445"/>
              </a:cxn>
              <a:cxn ang="0">
                <a:pos x="connsiteX10446" y="connsiteY10446"/>
              </a:cxn>
              <a:cxn ang="0">
                <a:pos x="connsiteX10447" y="connsiteY10447"/>
              </a:cxn>
              <a:cxn ang="0">
                <a:pos x="connsiteX10448" y="connsiteY10448"/>
              </a:cxn>
              <a:cxn ang="0">
                <a:pos x="connsiteX10449" y="connsiteY10449"/>
              </a:cxn>
              <a:cxn ang="0">
                <a:pos x="connsiteX10450" y="connsiteY10450"/>
              </a:cxn>
              <a:cxn ang="0">
                <a:pos x="connsiteX10451" y="connsiteY10451"/>
              </a:cxn>
              <a:cxn ang="0">
                <a:pos x="connsiteX10452" y="connsiteY10452"/>
              </a:cxn>
              <a:cxn ang="0">
                <a:pos x="connsiteX10453" y="connsiteY10453"/>
              </a:cxn>
              <a:cxn ang="0">
                <a:pos x="connsiteX10454" y="connsiteY10454"/>
              </a:cxn>
              <a:cxn ang="0">
                <a:pos x="connsiteX10455" y="connsiteY10455"/>
              </a:cxn>
              <a:cxn ang="0">
                <a:pos x="connsiteX10456" y="connsiteY10456"/>
              </a:cxn>
              <a:cxn ang="0">
                <a:pos x="connsiteX10457" y="connsiteY10457"/>
              </a:cxn>
              <a:cxn ang="0">
                <a:pos x="connsiteX10458" y="connsiteY10458"/>
              </a:cxn>
              <a:cxn ang="0">
                <a:pos x="connsiteX10459" y="connsiteY10459"/>
              </a:cxn>
              <a:cxn ang="0">
                <a:pos x="connsiteX10460" y="connsiteY10460"/>
              </a:cxn>
              <a:cxn ang="0">
                <a:pos x="connsiteX10461" y="connsiteY10461"/>
              </a:cxn>
              <a:cxn ang="0">
                <a:pos x="connsiteX10462" y="connsiteY10462"/>
              </a:cxn>
              <a:cxn ang="0">
                <a:pos x="connsiteX10463" y="connsiteY10463"/>
              </a:cxn>
              <a:cxn ang="0">
                <a:pos x="connsiteX10464" y="connsiteY10464"/>
              </a:cxn>
              <a:cxn ang="0">
                <a:pos x="connsiteX10465" y="connsiteY10465"/>
              </a:cxn>
              <a:cxn ang="0">
                <a:pos x="connsiteX10466" y="connsiteY10466"/>
              </a:cxn>
              <a:cxn ang="0">
                <a:pos x="connsiteX10467" y="connsiteY10467"/>
              </a:cxn>
              <a:cxn ang="0">
                <a:pos x="connsiteX10468" y="connsiteY10468"/>
              </a:cxn>
              <a:cxn ang="0">
                <a:pos x="connsiteX10469" y="connsiteY10469"/>
              </a:cxn>
              <a:cxn ang="0">
                <a:pos x="connsiteX10470" y="connsiteY10470"/>
              </a:cxn>
              <a:cxn ang="0">
                <a:pos x="connsiteX10471" y="connsiteY10471"/>
              </a:cxn>
              <a:cxn ang="0">
                <a:pos x="connsiteX10472" y="connsiteY10472"/>
              </a:cxn>
              <a:cxn ang="0">
                <a:pos x="connsiteX10473" y="connsiteY10473"/>
              </a:cxn>
              <a:cxn ang="0">
                <a:pos x="connsiteX10474" y="connsiteY10474"/>
              </a:cxn>
              <a:cxn ang="0">
                <a:pos x="connsiteX10475" y="connsiteY10475"/>
              </a:cxn>
              <a:cxn ang="0">
                <a:pos x="connsiteX10476" y="connsiteY10476"/>
              </a:cxn>
              <a:cxn ang="0">
                <a:pos x="connsiteX10477" y="connsiteY10477"/>
              </a:cxn>
              <a:cxn ang="0">
                <a:pos x="connsiteX10478" y="connsiteY10478"/>
              </a:cxn>
              <a:cxn ang="0">
                <a:pos x="connsiteX10479" y="connsiteY10479"/>
              </a:cxn>
              <a:cxn ang="0">
                <a:pos x="connsiteX10480" y="connsiteY10480"/>
              </a:cxn>
              <a:cxn ang="0">
                <a:pos x="connsiteX10481" y="connsiteY10481"/>
              </a:cxn>
              <a:cxn ang="0">
                <a:pos x="connsiteX10482" y="connsiteY10482"/>
              </a:cxn>
              <a:cxn ang="0">
                <a:pos x="connsiteX10483" y="connsiteY10483"/>
              </a:cxn>
              <a:cxn ang="0">
                <a:pos x="connsiteX10484" y="connsiteY10484"/>
              </a:cxn>
              <a:cxn ang="0">
                <a:pos x="connsiteX10485" y="connsiteY10485"/>
              </a:cxn>
              <a:cxn ang="0">
                <a:pos x="connsiteX10486" y="connsiteY10486"/>
              </a:cxn>
              <a:cxn ang="0">
                <a:pos x="connsiteX10487" y="connsiteY10487"/>
              </a:cxn>
              <a:cxn ang="0">
                <a:pos x="connsiteX10488" y="connsiteY10488"/>
              </a:cxn>
              <a:cxn ang="0">
                <a:pos x="connsiteX10489" y="connsiteY10489"/>
              </a:cxn>
              <a:cxn ang="0">
                <a:pos x="connsiteX10490" y="connsiteY10490"/>
              </a:cxn>
              <a:cxn ang="0">
                <a:pos x="connsiteX10491" y="connsiteY10491"/>
              </a:cxn>
              <a:cxn ang="0">
                <a:pos x="connsiteX10492" y="connsiteY10492"/>
              </a:cxn>
              <a:cxn ang="0">
                <a:pos x="connsiteX10493" y="connsiteY10493"/>
              </a:cxn>
              <a:cxn ang="0">
                <a:pos x="connsiteX10494" y="connsiteY10494"/>
              </a:cxn>
              <a:cxn ang="0">
                <a:pos x="connsiteX10495" y="connsiteY10495"/>
              </a:cxn>
              <a:cxn ang="0">
                <a:pos x="connsiteX10496" y="connsiteY10496"/>
              </a:cxn>
              <a:cxn ang="0">
                <a:pos x="connsiteX10497" y="connsiteY10497"/>
              </a:cxn>
              <a:cxn ang="0">
                <a:pos x="connsiteX10498" y="connsiteY10498"/>
              </a:cxn>
              <a:cxn ang="0">
                <a:pos x="connsiteX10499" y="connsiteY10499"/>
              </a:cxn>
              <a:cxn ang="0">
                <a:pos x="connsiteX10500" y="connsiteY10500"/>
              </a:cxn>
              <a:cxn ang="0">
                <a:pos x="connsiteX10501" y="connsiteY10501"/>
              </a:cxn>
              <a:cxn ang="0">
                <a:pos x="connsiteX10502" y="connsiteY10502"/>
              </a:cxn>
              <a:cxn ang="0">
                <a:pos x="connsiteX10503" y="connsiteY10503"/>
              </a:cxn>
              <a:cxn ang="0">
                <a:pos x="connsiteX10504" y="connsiteY10504"/>
              </a:cxn>
              <a:cxn ang="0">
                <a:pos x="connsiteX10505" y="connsiteY10505"/>
              </a:cxn>
              <a:cxn ang="0">
                <a:pos x="connsiteX10506" y="connsiteY10506"/>
              </a:cxn>
              <a:cxn ang="0">
                <a:pos x="connsiteX10507" y="connsiteY10507"/>
              </a:cxn>
              <a:cxn ang="0">
                <a:pos x="connsiteX10508" y="connsiteY10508"/>
              </a:cxn>
              <a:cxn ang="0">
                <a:pos x="connsiteX10509" y="connsiteY10509"/>
              </a:cxn>
              <a:cxn ang="0">
                <a:pos x="connsiteX10510" y="connsiteY10510"/>
              </a:cxn>
              <a:cxn ang="0">
                <a:pos x="connsiteX10511" y="connsiteY10511"/>
              </a:cxn>
              <a:cxn ang="0">
                <a:pos x="connsiteX10512" y="connsiteY10512"/>
              </a:cxn>
              <a:cxn ang="0">
                <a:pos x="connsiteX10513" y="connsiteY10513"/>
              </a:cxn>
              <a:cxn ang="0">
                <a:pos x="connsiteX10514" y="connsiteY10514"/>
              </a:cxn>
              <a:cxn ang="0">
                <a:pos x="connsiteX10515" y="connsiteY10515"/>
              </a:cxn>
              <a:cxn ang="0">
                <a:pos x="connsiteX10516" y="connsiteY10516"/>
              </a:cxn>
              <a:cxn ang="0">
                <a:pos x="connsiteX10517" y="connsiteY10517"/>
              </a:cxn>
              <a:cxn ang="0">
                <a:pos x="connsiteX10518" y="connsiteY10518"/>
              </a:cxn>
              <a:cxn ang="0">
                <a:pos x="connsiteX10519" y="connsiteY10519"/>
              </a:cxn>
              <a:cxn ang="0">
                <a:pos x="connsiteX10520" y="connsiteY10520"/>
              </a:cxn>
              <a:cxn ang="0">
                <a:pos x="connsiteX10521" y="connsiteY10521"/>
              </a:cxn>
              <a:cxn ang="0">
                <a:pos x="connsiteX10522" y="connsiteY10522"/>
              </a:cxn>
              <a:cxn ang="0">
                <a:pos x="connsiteX10523" y="connsiteY10523"/>
              </a:cxn>
              <a:cxn ang="0">
                <a:pos x="connsiteX10524" y="connsiteY10524"/>
              </a:cxn>
              <a:cxn ang="0">
                <a:pos x="connsiteX10525" y="connsiteY10525"/>
              </a:cxn>
              <a:cxn ang="0">
                <a:pos x="connsiteX10526" y="connsiteY10526"/>
              </a:cxn>
              <a:cxn ang="0">
                <a:pos x="connsiteX10527" y="connsiteY10527"/>
              </a:cxn>
              <a:cxn ang="0">
                <a:pos x="connsiteX10528" y="connsiteY10528"/>
              </a:cxn>
              <a:cxn ang="0">
                <a:pos x="connsiteX10529" y="connsiteY10529"/>
              </a:cxn>
              <a:cxn ang="0">
                <a:pos x="connsiteX10530" y="connsiteY10530"/>
              </a:cxn>
              <a:cxn ang="0">
                <a:pos x="connsiteX10531" y="connsiteY10531"/>
              </a:cxn>
              <a:cxn ang="0">
                <a:pos x="connsiteX10532" y="connsiteY10532"/>
              </a:cxn>
              <a:cxn ang="0">
                <a:pos x="connsiteX10533" y="connsiteY10533"/>
              </a:cxn>
              <a:cxn ang="0">
                <a:pos x="connsiteX10534" y="connsiteY10534"/>
              </a:cxn>
              <a:cxn ang="0">
                <a:pos x="connsiteX10535" y="connsiteY10535"/>
              </a:cxn>
              <a:cxn ang="0">
                <a:pos x="connsiteX10536" y="connsiteY10536"/>
              </a:cxn>
              <a:cxn ang="0">
                <a:pos x="connsiteX10537" y="connsiteY10537"/>
              </a:cxn>
              <a:cxn ang="0">
                <a:pos x="connsiteX10538" y="connsiteY10538"/>
              </a:cxn>
              <a:cxn ang="0">
                <a:pos x="connsiteX10539" y="connsiteY10539"/>
              </a:cxn>
              <a:cxn ang="0">
                <a:pos x="connsiteX10540" y="connsiteY10540"/>
              </a:cxn>
              <a:cxn ang="0">
                <a:pos x="connsiteX10541" y="connsiteY10541"/>
              </a:cxn>
              <a:cxn ang="0">
                <a:pos x="connsiteX10542" y="connsiteY10542"/>
              </a:cxn>
              <a:cxn ang="0">
                <a:pos x="connsiteX10543" y="connsiteY10543"/>
              </a:cxn>
              <a:cxn ang="0">
                <a:pos x="connsiteX10544" y="connsiteY10544"/>
              </a:cxn>
              <a:cxn ang="0">
                <a:pos x="connsiteX10545" y="connsiteY10545"/>
              </a:cxn>
              <a:cxn ang="0">
                <a:pos x="connsiteX10546" y="connsiteY10546"/>
              </a:cxn>
              <a:cxn ang="0">
                <a:pos x="connsiteX10547" y="connsiteY10547"/>
              </a:cxn>
              <a:cxn ang="0">
                <a:pos x="connsiteX10548" y="connsiteY10548"/>
              </a:cxn>
              <a:cxn ang="0">
                <a:pos x="connsiteX10549" y="connsiteY10549"/>
              </a:cxn>
              <a:cxn ang="0">
                <a:pos x="connsiteX10550" y="connsiteY10550"/>
              </a:cxn>
              <a:cxn ang="0">
                <a:pos x="connsiteX10551" y="connsiteY10551"/>
              </a:cxn>
              <a:cxn ang="0">
                <a:pos x="connsiteX10552" y="connsiteY10552"/>
              </a:cxn>
              <a:cxn ang="0">
                <a:pos x="connsiteX10553" y="connsiteY10553"/>
              </a:cxn>
              <a:cxn ang="0">
                <a:pos x="connsiteX10554" y="connsiteY10554"/>
              </a:cxn>
              <a:cxn ang="0">
                <a:pos x="connsiteX10555" y="connsiteY10555"/>
              </a:cxn>
              <a:cxn ang="0">
                <a:pos x="connsiteX10556" y="connsiteY10556"/>
              </a:cxn>
              <a:cxn ang="0">
                <a:pos x="connsiteX10557" y="connsiteY10557"/>
              </a:cxn>
              <a:cxn ang="0">
                <a:pos x="connsiteX10558" y="connsiteY10558"/>
              </a:cxn>
              <a:cxn ang="0">
                <a:pos x="connsiteX10559" y="connsiteY10559"/>
              </a:cxn>
              <a:cxn ang="0">
                <a:pos x="connsiteX10560" y="connsiteY10560"/>
              </a:cxn>
              <a:cxn ang="0">
                <a:pos x="connsiteX10561" y="connsiteY10561"/>
              </a:cxn>
              <a:cxn ang="0">
                <a:pos x="connsiteX10562" y="connsiteY10562"/>
              </a:cxn>
              <a:cxn ang="0">
                <a:pos x="connsiteX10563" y="connsiteY10563"/>
              </a:cxn>
              <a:cxn ang="0">
                <a:pos x="connsiteX10564" y="connsiteY10564"/>
              </a:cxn>
              <a:cxn ang="0">
                <a:pos x="connsiteX10565" y="connsiteY10565"/>
              </a:cxn>
              <a:cxn ang="0">
                <a:pos x="connsiteX10566" y="connsiteY10566"/>
              </a:cxn>
              <a:cxn ang="0">
                <a:pos x="connsiteX10567" y="connsiteY10567"/>
              </a:cxn>
              <a:cxn ang="0">
                <a:pos x="connsiteX10568" y="connsiteY10568"/>
              </a:cxn>
              <a:cxn ang="0">
                <a:pos x="connsiteX10569" y="connsiteY10569"/>
              </a:cxn>
              <a:cxn ang="0">
                <a:pos x="connsiteX10570" y="connsiteY10570"/>
              </a:cxn>
              <a:cxn ang="0">
                <a:pos x="connsiteX10571" y="connsiteY10571"/>
              </a:cxn>
              <a:cxn ang="0">
                <a:pos x="connsiteX10572" y="connsiteY10572"/>
              </a:cxn>
              <a:cxn ang="0">
                <a:pos x="connsiteX10573" y="connsiteY10573"/>
              </a:cxn>
              <a:cxn ang="0">
                <a:pos x="connsiteX10574" y="connsiteY10574"/>
              </a:cxn>
              <a:cxn ang="0">
                <a:pos x="connsiteX10575" y="connsiteY10575"/>
              </a:cxn>
              <a:cxn ang="0">
                <a:pos x="connsiteX10576" y="connsiteY10576"/>
              </a:cxn>
              <a:cxn ang="0">
                <a:pos x="connsiteX10577" y="connsiteY10577"/>
              </a:cxn>
              <a:cxn ang="0">
                <a:pos x="connsiteX10578" y="connsiteY10578"/>
              </a:cxn>
              <a:cxn ang="0">
                <a:pos x="connsiteX10579" y="connsiteY10579"/>
              </a:cxn>
              <a:cxn ang="0">
                <a:pos x="connsiteX10580" y="connsiteY10580"/>
              </a:cxn>
              <a:cxn ang="0">
                <a:pos x="connsiteX10581" y="connsiteY10581"/>
              </a:cxn>
              <a:cxn ang="0">
                <a:pos x="connsiteX10582" y="connsiteY10582"/>
              </a:cxn>
              <a:cxn ang="0">
                <a:pos x="connsiteX10583" y="connsiteY10583"/>
              </a:cxn>
              <a:cxn ang="0">
                <a:pos x="connsiteX10584" y="connsiteY10584"/>
              </a:cxn>
              <a:cxn ang="0">
                <a:pos x="connsiteX10585" y="connsiteY10585"/>
              </a:cxn>
              <a:cxn ang="0">
                <a:pos x="connsiteX10586" y="connsiteY10586"/>
              </a:cxn>
              <a:cxn ang="0">
                <a:pos x="connsiteX10587" y="connsiteY10587"/>
              </a:cxn>
              <a:cxn ang="0">
                <a:pos x="connsiteX10588" y="connsiteY10588"/>
              </a:cxn>
              <a:cxn ang="0">
                <a:pos x="connsiteX10589" y="connsiteY10589"/>
              </a:cxn>
              <a:cxn ang="0">
                <a:pos x="connsiteX10590" y="connsiteY10590"/>
              </a:cxn>
              <a:cxn ang="0">
                <a:pos x="connsiteX10591" y="connsiteY10591"/>
              </a:cxn>
              <a:cxn ang="0">
                <a:pos x="connsiteX10592" y="connsiteY10592"/>
              </a:cxn>
              <a:cxn ang="0">
                <a:pos x="connsiteX10593" y="connsiteY10593"/>
              </a:cxn>
              <a:cxn ang="0">
                <a:pos x="connsiteX10594" y="connsiteY10594"/>
              </a:cxn>
              <a:cxn ang="0">
                <a:pos x="connsiteX10595" y="connsiteY10595"/>
              </a:cxn>
              <a:cxn ang="0">
                <a:pos x="connsiteX10596" y="connsiteY10596"/>
              </a:cxn>
              <a:cxn ang="0">
                <a:pos x="connsiteX10597" y="connsiteY10597"/>
              </a:cxn>
              <a:cxn ang="0">
                <a:pos x="connsiteX10598" y="connsiteY10598"/>
              </a:cxn>
              <a:cxn ang="0">
                <a:pos x="connsiteX10599" y="connsiteY10599"/>
              </a:cxn>
              <a:cxn ang="0">
                <a:pos x="connsiteX10600" y="connsiteY10600"/>
              </a:cxn>
              <a:cxn ang="0">
                <a:pos x="connsiteX10601" y="connsiteY10601"/>
              </a:cxn>
              <a:cxn ang="0">
                <a:pos x="connsiteX10602" y="connsiteY10602"/>
              </a:cxn>
              <a:cxn ang="0">
                <a:pos x="connsiteX10603" y="connsiteY10603"/>
              </a:cxn>
              <a:cxn ang="0">
                <a:pos x="connsiteX10604" y="connsiteY10604"/>
              </a:cxn>
              <a:cxn ang="0">
                <a:pos x="connsiteX10605" y="connsiteY10605"/>
              </a:cxn>
              <a:cxn ang="0">
                <a:pos x="connsiteX10606" y="connsiteY10606"/>
              </a:cxn>
              <a:cxn ang="0">
                <a:pos x="connsiteX10607" y="connsiteY10607"/>
              </a:cxn>
              <a:cxn ang="0">
                <a:pos x="connsiteX10608" y="connsiteY10608"/>
              </a:cxn>
              <a:cxn ang="0">
                <a:pos x="connsiteX10609" y="connsiteY10609"/>
              </a:cxn>
              <a:cxn ang="0">
                <a:pos x="connsiteX10610" y="connsiteY10610"/>
              </a:cxn>
              <a:cxn ang="0">
                <a:pos x="connsiteX10611" y="connsiteY10611"/>
              </a:cxn>
              <a:cxn ang="0">
                <a:pos x="connsiteX10612" y="connsiteY10612"/>
              </a:cxn>
              <a:cxn ang="0">
                <a:pos x="connsiteX10613" y="connsiteY10613"/>
              </a:cxn>
              <a:cxn ang="0">
                <a:pos x="connsiteX10614" y="connsiteY10614"/>
              </a:cxn>
              <a:cxn ang="0">
                <a:pos x="connsiteX10615" y="connsiteY10615"/>
              </a:cxn>
              <a:cxn ang="0">
                <a:pos x="connsiteX10616" y="connsiteY10616"/>
              </a:cxn>
              <a:cxn ang="0">
                <a:pos x="connsiteX10617" y="connsiteY10617"/>
              </a:cxn>
              <a:cxn ang="0">
                <a:pos x="connsiteX10618" y="connsiteY10618"/>
              </a:cxn>
              <a:cxn ang="0">
                <a:pos x="connsiteX10619" y="connsiteY10619"/>
              </a:cxn>
              <a:cxn ang="0">
                <a:pos x="connsiteX10620" y="connsiteY10620"/>
              </a:cxn>
              <a:cxn ang="0">
                <a:pos x="connsiteX10621" y="connsiteY10621"/>
              </a:cxn>
              <a:cxn ang="0">
                <a:pos x="connsiteX10622" y="connsiteY10622"/>
              </a:cxn>
              <a:cxn ang="0">
                <a:pos x="connsiteX10623" y="connsiteY10623"/>
              </a:cxn>
              <a:cxn ang="0">
                <a:pos x="connsiteX10624" y="connsiteY10624"/>
              </a:cxn>
              <a:cxn ang="0">
                <a:pos x="connsiteX10625" y="connsiteY10625"/>
              </a:cxn>
              <a:cxn ang="0">
                <a:pos x="connsiteX10626" y="connsiteY10626"/>
              </a:cxn>
              <a:cxn ang="0">
                <a:pos x="connsiteX10627" y="connsiteY10627"/>
              </a:cxn>
              <a:cxn ang="0">
                <a:pos x="connsiteX10628" y="connsiteY10628"/>
              </a:cxn>
              <a:cxn ang="0">
                <a:pos x="connsiteX10629" y="connsiteY10629"/>
              </a:cxn>
              <a:cxn ang="0">
                <a:pos x="connsiteX10630" y="connsiteY10630"/>
              </a:cxn>
              <a:cxn ang="0">
                <a:pos x="connsiteX10631" y="connsiteY10631"/>
              </a:cxn>
              <a:cxn ang="0">
                <a:pos x="connsiteX10632" y="connsiteY10632"/>
              </a:cxn>
              <a:cxn ang="0">
                <a:pos x="connsiteX10633" y="connsiteY10633"/>
              </a:cxn>
              <a:cxn ang="0">
                <a:pos x="connsiteX10634" y="connsiteY10634"/>
              </a:cxn>
              <a:cxn ang="0">
                <a:pos x="connsiteX10635" y="connsiteY10635"/>
              </a:cxn>
              <a:cxn ang="0">
                <a:pos x="connsiteX10636" y="connsiteY10636"/>
              </a:cxn>
              <a:cxn ang="0">
                <a:pos x="connsiteX10637" y="connsiteY10637"/>
              </a:cxn>
              <a:cxn ang="0">
                <a:pos x="connsiteX10638" y="connsiteY10638"/>
              </a:cxn>
              <a:cxn ang="0">
                <a:pos x="connsiteX10639" y="connsiteY10639"/>
              </a:cxn>
              <a:cxn ang="0">
                <a:pos x="connsiteX10640" y="connsiteY10640"/>
              </a:cxn>
              <a:cxn ang="0">
                <a:pos x="connsiteX10641" y="connsiteY10641"/>
              </a:cxn>
              <a:cxn ang="0">
                <a:pos x="connsiteX10642" y="connsiteY10642"/>
              </a:cxn>
              <a:cxn ang="0">
                <a:pos x="connsiteX10643" y="connsiteY10643"/>
              </a:cxn>
              <a:cxn ang="0">
                <a:pos x="connsiteX10644" y="connsiteY10644"/>
              </a:cxn>
              <a:cxn ang="0">
                <a:pos x="connsiteX10645" y="connsiteY10645"/>
              </a:cxn>
              <a:cxn ang="0">
                <a:pos x="connsiteX10646" y="connsiteY10646"/>
              </a:cxn>
              <a:cxn ang="0">
                <a:pos x="connsiteX10647" y="connsiteY10647"/>
              </a:cxn>
              <a:cxn ang="0">
                <a:pos x="connsiteX10648" y="connsiteY10648"/>
              </a:cxn>
              <a:cxn ang="0">
                <a:pos x="connsiteX10649" y="connsiteY10649"/>
              </a:cxn>
              <a:cxn ang="0">
                <a:pos x="connsiteX10650" y="connsiteY10650"/>
              </a:cxn>
              <a:cxn ang="0">
                <a:pos x="connsiteX10651" y="connsiteY10651"/>
              </a:cxn>
              <a:cxn ang="0">
                <a:pos x="connsiteX10652" y="connsiteY10652"/>
              </a:cxn>
              <a:cxn ang="0">
                <a:pos x="connsiteX10653" y="connsiteY10653"/>
              </a:cxn>
              <a:cxn ang="0">
                <a:pos x="connsiteX10654" y="connsiteY10654"/>
              </a:cxn>
              <a:cxn ang="0">
                <a:pos x="connsiteX10655" y="connsiteY10655"/>
              </a:cxn>
              <a:cxn ang="0">
                <a:pos x="connsiteX10656" y="connsiteY10656"/>
              </a:cxn>
              <a:cxn ang="0">
                <a:pos x="connsiteX10657" y="connsiteY10657"/>
              </a:cxn>
              <a:cxn ang="0">
                <a:pos x="connsiteX10658" y="connsiteY10658"/>
              </a:cxn>
              <a:cxn ang="0">
                <a:pos x="connsiteX10659" y="connsiteY10659"/>
              </a:cxn>
              <a:cxn ang="0">
                <a:pos x="connsiteX10660" y="connsiteY10660"/>
              </a:cxn>
              <a:cxn ang="0">
                <a:pos x="connsiteX10661" y="connsiteY10661"/>
              </a:cxn>
              <a:cxn ang="0">
                <a:pos x="connsiteX10662" y="connsiteY10662"/>
              </a:cxn>
              <a:cxn ang="0">
                <a:pos x="connsiteX10663" y="connsiteY10663"/>
              </a:cxn>
              <a:cxn ang="0">
                <a:pos x="connsiteX10664" y="connsiteY10664"/>
              </a:cxn>
              <a:cxn ang="0">
                <a:pos x="connsiteX10665" y="connsiteY10665"/>
              </a:cxn>
              <a:cxn ang="0">
                <a:pos x="connsiteX10666" y="connsiteY10666"/>
              </a:cxn>
              <a:cxn ang="0">
                <a:pos x="connsiteX10667" y="connsiteY10667"/>
              </a:cxn>
              <a:cxn ang="0">
                <a:pos x="connsiteX10668" y="connsiteY10668"/>
              </a:cxn>
              <a:cxn ang="0">
                <a:pos x="connsiteX10669" y="connsiteY10669"/>
              </a:cxn>
              <a:cxn ang="0">
                <a:pos x="connsiteX10670" y="connsiteY10670"/>
              </a:cxn>
              <a:cxn ang="0">
                <a:pos x="connsiteX10671" y="connsiteY10671"/>
              </a:cxn>
              <a:cxn ang="0">
                <a:pos x="connsiteX10672" y="connsiteY10672"/>
              </a:cxn>
              <a:cxn ang="0">
                <a:pos x="connsiteX10673" y="connsiteY10673"/>
              </a:cxn>
              <a:cxn ang="0">
                <a:pos x="connsiteX10674" y="connsiteY10674"/>
              </a:cxn>
              <a:cxn ang="0">
                <a:pos x="connsiteX10675" y="connsiteY10675"/>
              </a:cxn>
              <a:cxn ang="0">
                <a:pos x="connsiteX10676" y="connsiteY10676"/>
              </a:cxn>
              <a:cxn ang="0">
                <a:pos x="connsiteX10677" y="connsiteY10677"/>
              </a:cxn>
              <a:cxn ang="0">
                <a:pos x="connsiteX10678" y="connsiteY10678"/>
              </a:cxn>
              <a:cxn ang="0">
                <a:pos x="connsiteX10679" y="connsiteY10679"/>
              </a:cxn>
              <a:cxn ang="0">
                <a:pos x="connsiteX10680" y="connsiteY10680"/>
              </a:cxn>
              <a:cxn ang="0">
                <a:pos x="connsiteX10681" y="connsiteY10681"/>
              </a:cxn>
              <a:cxn ang="0">
                <a:pos x="connsiteX10682" y="connsiteY10682"/>
              </a:cxn>
              <a:cxn ang="0">
                <a:pos x="connsiteX10683" y="connsiteY10683"/>
              </a:cxn>
              <a:cxn ang="0">
                <a:pos x="connsiteX10684" y="connsiteY10684"/>
              </a:cxn>
              <a:cxn ang="0">
                <a:pos x="connsiteX10685" y="connsiteY10685"/>
              </a:cxn>
              <a:cxn ang="0">
                <a:pos x="connsiteX10686" y="connsiteY10686"/>
              </a:cxn>
              <a:cxn ang="0">
                <a:pos x="connsiteX10687" y="connsiteY10687"/>
              </a:cxn>
              <a:cxn ang="0">
                <a:pos x="connsiteX10688" y="connsiteY10688"/>
              </a:cxn>
              <a:cxn ang="0">
                <a:pos x="connsiteX10689" y="connsiteY10689"/>
              </a:cxn>
              <a:cxn ang="0">
                <a:pos x="connsiteX10690" y="connsiteY10690"/>
              </a:cxn>
              <a:cxn ang="0">
                <a:pos x="connsiteX10691" y="connsiteY10691"/>
              </a:cxn>
              <a:cxn ang="0">
                <a:pos x="connsiteX10692" y="connsiteY10692"/>
              </a:cxn>
              <a:cxn ang="0">
                <a:pos x="connsiteX10693" y="connsiteY10693"/>
              </a:cxn>
              <a:cxn ang="0">
                <a:pos x="connsiteX10694" y="connsiteY10694"/>
              </a:cxn>
              <a:cxn ang="0">
                <a:pos x="connsiteX10695" y="connsiteY10695"/>
              </a:cxn>
              <a:cxn ang="0">
                <a:pos x="connsiteX10696" y="connsiteY10696"/>
              </a:cxn>
              <a:cxn ang="0">
                <a:pos x="connsiteX10697" y="connsiteY10697"/>
              </a:cxn>
              <a:cxn ang="0">
                <a:pos x="connsiteX10698" y="connsiteY10698"/>
              </a:cxn>
              <a:cxn ang="0">
                <a:pos x="connsiteX10699" y="connsiteY10699"/>
              </a:cxn>
              <a:cxn ang="0">
                <a:pos x="connsiteX10700" y="connsiteY10700"/>
              </a:cxn>
              <a:cxn ang="0">
                <a:pos x="connsiteX10701" y="connsiteY10701"/>
              </a:cxn>
              <a:cxn ang="0">
                <a:pos x="connsiteX10702" y="connsiteY10702"/>
              </a:cxn>
              <a:cxn ang="0">
                <a:pos x="connsiteX10703" y="connsiteY10703"/>
              </a:cxn>
              <a:cxn ang="0">
                <a:pos x="connsiteX10704" y="connsiteY10704"/>
              </a:cxn>
              <a:cxn ang="0">
                <a:pos x="connsiteX10705" y="connsiteY10705"/>
              </a:cxn>
              <a:cxn ang="0">
                <a:pos x="connsiteX10706" y="connsiteY10706"/>
              </a:cxn>
              <a:cxn ang="0">
                <a:pos x="connsiteX10707" y="connsiteY10707"/>
              </a:cxn>
              <a:cxn ang="0">
                <a:pos x="connsiteX10708" y="connsiteY10708"/>
              </a:cxn>
              <a:cxn ang="0">
                <a:pos x="connsiteX10709" y="connsiteY10709"/>
              </a:cxn>
              <a:cxn ang="0">
                <a:pos x="connsiteX10710" y="connsiteY10710"/>
              </a:cxn>
              <a:cxn ang="0">
                <a:pos x="connsiteX10711" y="connsiteY10711"/>
              </a:cxn>
              <a:cxn ang="0">
                <a:pos x="connsiteX10712" y="connsiteY10712"/>
              </a:cxn>
              <a:cxn ang="0">
                <a:pos x="connsiteX10713" y="connsiteY10713"/>
              </a:cxn>
              <a:cxn ang="0">
                <a:pos x="connsiteX10714" y="connsiteY10714"/>
              </a:cxn>
              <a:cxn ang="0">
                <a:pos x="connsiteX10715" y="connsiteY10715"/>
              </a:cxn>
              <a:cxn ang="0">
                <a:pos x="connsiteX10716" y="connsiteY10716"/>
              </a:cxn>
              <a:cxn ang="0">
                <a:pos x="connsiteX10717" y="connsiteY10717"/>
              </a:cxn>
              <a:cxn ang="0">
                <a:pos x="connsiteX10718" y="connsiteY10718"/>
              </a:cxn>
              <a:cxn ang="0">
                <a:pos x="connsiteX10719" y="connsiteY10719"/>
              </a:cxn>
              <a:cxn ang="0">
                <a:pos x="connsiteX10720" y="connsiteY10720"/>
              </a:cxn>
              <a:cxn ang="0">
                <a:pos x="connsiteX10721" y="connsiteY10721"/>
              </a:cxn>
              <a:cxn ang="0">
                <a:pos x="connsiteX10722" y="connsiteY10722"/>
              </a:cxn>
              <a:cxn ang="0">
                <a:pos x="connsiteX10723" y="connsiteY10723"/>
              </a:cxn>
              <a:cxn ang="0">
                <a:pos x="connsiteX10724" y="connsiteY10724"/>
              </a:cxn>
              <a:cxn ang="0">
                <a:pos x="connsiteX10725" y="connsiteY10725"/>
              </a:cxn>
              <a:cxn ang="0">
                <a:pos x="connsiteX10726" y="connsiteY10726"/>
              </a:cxn>
              <a:cxn ang="0">
                <a:pos x="connsiteX10727" y="connsiteY10727"/>
              </a:cxn>
              <a:cxn ang="0">
                <a:pos x="connsiteX10728" y="connsiteY10728"/>
              </a:cxn>
              <a:cxn ang="0">
                <a:pos x="connsiteX10729" y="connsiteY10729"/>
              </a:cxn>
              <a:cxn ang="0">
                <a:pos x="connsiteX10730" y="connsiteY10730"/>
              </a:cxn>
              <a:cxn ang="0">
                <a:pos x="connsiteX10731" y="connsiteY10731"/>
              </a:cxn>
              <a:cxn ang="0">
                <a:pos x="connsiteX10732" y="connsiteY10732"/>
              </a:cxn>
              <a:cxn ang="0">
                <a:pos x="connsiteX10733" y="connsiteY10733"/>
              </a:cxn>
              <a:cxn ang="0">
                <a:pos x="connsiteX10734" y="connsiteY10734"/>
              </a:cxn>
              <a:cxn ang="0">
                <a:pos x="connsiteX10735" y="connsiteY10735"/>
              </a:cxn>
              <a:cxn ang="0">
                <a:pos x="connsiteX10736" y="connsiteY10736"/>
              </a:cxn>
              <a:cxn ang="0">
                <a:pos x="connsiteX10737" y="connsiteY10737"/>
              </a:cxn>
              <a:cxn ang="0">
                <a:pos x="connsiteX10738" y="connsiteY10738"/>
              </a:cxn>
              <a:cxn ang="0">
                <a:pos x="connsiteX10739" y="connsiteY10739"/>
              </a:cxn>
              <a:cxn ang="0">
                <a:pos x="connsiteX10740" y="connsiteY10740"/>
              </a:cxn>
              <a:cxn ang="0">
                <a:pos x="connsiteX10741" y="connsiteY10741"/>
              </a:cxn>
              <a:cxn ang="0">
                <a:pos x="connsiteX10742" y="connsiteY10742"/>
              </a:cxn>
              <a:cxn ang="0">
                <a:pos x="connsiteX10743" y="connsiteY10743"/>
              </a:cxn>
              <a:cxn ang="0">
                <a:pos x="connsiteX10744" y="connsiteY10744"/>
              </a:cxn>
              <a:cxn ang="0">
                <a:pos x="connsiteX10745" y="connsiteY10745"/>
              </a:cxn>
              <a:cxn ang="0">
                <a:pos x="connsiteX10746" y="connsiteY10746"/>
              </a:cxn>
              <a:cxn ang="0">
                <a:pos x="connsiteX10747" y="connsiteY10747"/>
              </a:cxn>
              <a:cxn ang="0">
                <a:pos x="connsiteX10748" y="connsiteY10748"/>
              </a:cxn>
              <a:cxn ang="0">
                <a:pos x="connsiteX10749" y="connsiteY10749"/>
              </a:cxn>
              <a:cxn ang="0">
                <a:pos x="connsiteX10750" y="connsiteY10750"/>
              </a:cxn>
              <a:cxn ang="0">
                <a:pos x="connsiteX10751" y="connsiteY10751"/>
              </a:cxn>
              <a:cxn ang="0">
                <a:pos x="connsiteX10752" y="connsiteY10752"/>
              </a:cxn>
              <a:cxn ang="0">
                <a:pos x="connsiteX10753" y="connsiteY10753"/>
              </a:cxn>
              <a:cxn ang="0">
                <a:pos x="connsiteX10754" y="connsiteY10754"/>
              </a:cxn>
              <a:cxn ang="0">
                <a:pos x="connsiteX10755" y="connsiteY10755"/>
              </a:cxn>
              <a:cxn ang="0">
                <a:pos x="connsiteX10756" y="connsiteY10756"/>
              </a:cxn>
              <a:cxn ang="0">
                <a:pos x="connsiteX10757" y="connsiteY10757"/>
              </a:cxn>
              <a:cxn ang="0">
                <a:pos x="connsiteX10758" y="connsiteY10758"/>
              </a:cxn>
              <a:cxn ang="0">
                <a:pos x="connsiteX10759" y="connsiteY10759"/>
              </a:cxn>
              <a:cxn ang="0">
                <a:pos x="connsiteX10760" y="connsiteY10760"/>
              </a:cxn>
              <a:cxn ang="0">
                <a:pos x="connsiteX10761" y="connsiteY10761"/>
              </a:cxn>
              <a:cxn ang="0">
                <a:pos x="connsiteX10762" y="connsiteY10762"/>
              </a:cxn>
              <a:cxn ang="0">
                <a:pos x="connsiteX10763" y="connsiteY10763"/>
              </a:cxn>
              <a:cxn ang="0">
                <a:pos x="connsiteX10764" y="connsiteY10764"/>
              </a:cxn>
              <a:cxn ang="0">
                <a:pos x="connsiteX10765" y="connsiteY10765"/>
              </a:cxn>
              <a:cxn ang="0">
                <a:pos x="connsiteX10766" y="connsiteY10766"/>
              </a:cxn>
              <a:cxn ang="0">
                <a:pos x="connsiteX10767" y="connsiteY10767"/>
              </a:cxn>
              <a:cxn ang="0">
                <a:pos x="connsiteX10768" y="connsiteY10768"/>
              </a:cxn>
              <a:cxn ang="0">
                <a:pos x="connsiteX10769" y="connsiteY10769"/>
              </a:cxn>
              <a:cxn ang="0">
                <a:pos x="connsiteX10770" y="connsiteY10770"/>
              </a:cxn>
              <a:cxn ang="0">
                <a:pos x="connsiteX10771" y="connsiteY10771"/>
              </a:cxn>
              <a:cxn ang="0">
                <a:pos x="connsiteX10772" y="connsiteY10772"/>
              </a:cxn>
              <a:cxn ang="0">
                <a:pos x="connsiteX10773" y="connsiteY10773"/>
              </a:cxn>
              <a:cxn ang="0">
                <a:pos x="connsiteX10774" y="connsiteY10774"/>
              </a:cxn>
              <a:cxn ang="0">
                <a:pos x="connsiteX10775" y="connsiteY10775"/>
              </a:cxn>
              <a:cxn ang="0">
                <a:pos x="connsiteX10776" y="connsiteY10776"/>
              </a:cxn>
              <a:cxn ang="0">
                <a:pos x="connsiteX10777" y="connsiteY10777"/>
              </a:cxn>
              <a:cxn ang="0">
                <a:pos x="connsiteX10778" y="connsiteY10778"/>
              </a:cxn>
              <a:cxn ang="0">
                <a:pos x="connsiteX10779" y="connsiteY10779"/>
              </a:cxn>
              <a:cxn ang="0">
                <a:pos x="connsiteX10780" y="connsiteY10780"/>
              </a:cxn>
              <a:cxn ang="0">
                <a:pos x="connsiteX10781" y="connsiteY10781"/>
              </a:cxn>
              <a:cxn ang="0">
                <a:pos x="connsiteX10782" y="connsiteY10782"/>
              </a:cxn>
              <a:cxn ang="0">
                <a:pos x="connsiteX10783" y="connsiteY10783"/>
              </a:cxn>
              <a:cxn ang="0">
                <a:pos x="connsiteX10784" y="connsiteY10784"/>
              </a:cxn>
              <a:cxn ang="0">
                <a:pos x="connsiteX10785" y="connsiteY10785"/>
              </a:cxn>
              <a:cxn ang="0">
                <a:pos x="connsiteX10786" y="connsiteY10786"/>
              </a:cxn>
              <a:cxn ang="0">
                <a:pos x="connsiteX10787" y="connsiteY10787"/>
              </a:cxn>
              <a:cxn ang="0">
                <a:pos x="connsiteX10788" y="connsiteY10788"/>
              </a:cxn>
              <a:cxn ang="0">
                <a:pos x="connsiteX10789" y="connsiteY10789"/>
              </a:cxn>
              <a:cxn ang="0">
                <a:pos x="connsiteX10790" y="connsiteY10790"/>
              </a:cxn>
              <a:cxn ang="0">
                <a:pos x="connsiteX10791" y="connsiteY10791"/>
              </a:cxn>
              <a:cxn ang="0">
                <a:pos x="connsiteX10792" y="connsiteY10792"/>
              </a:cxn>
              <a:cxn ang="0">
                <a:pos x="connsiteX10793" y="connsiteY10793"/>
              </a:cxn>
              <a:cxn ang="0">
                <a:pos x="connsiteX10794" y="connsiteY10794"/>
              </a:cxn>
              <a:cxn ang="0">
                <a:pos x="connsiteX10795" y="connsiteY10795"/>
              </a:cxn>
              <a:cxn ang="0">
                <a:pos x="connsiteX10796" y="connsiteY10796"/>
              </a:cxn>
              <a:cxn ang="0">
                <a:pos x="connsiteX10797" y="connsiteY10797"/>
              </a:cxn>
              <a:cxn ang="0">
                <a:pos x="connsiteX10798" y="connsiteY10798"/>
              </a:cxn>
              <a:cxn ang="0">
                <a:pos x="connsiteX10799" y="connsiteY10799"/>
              </a:cxn>
              <a:cxn ang="0">
                <a:pos x="connsiteX10800" y="connsiteY10800"/>
              </a:cxn>
              <a:cxn ang="0">
                <a:pos x="connsiteX10801" y="connsiteY10801"/>
              </a:cxn>
              <a:cxn ang="0">
                <a:pos x="connsiteX10802" y="connsiteY10802"/>
              </a:cxn>
              <a:cxn ang="0">
                <a:pos x="connsiteX10803" y="connsiteY10803"/>
              </a:cxn>
              <a:cxn ang="0">
                <a:pos x="connsiteX10804" y="connsiteY10804"/>
              </a:cxn>
              <a:cxn ang="0">
                <a:pos x="connsiteX10805" y="connsiteY10805"/>
              </a:cxn>
              <a:cxn ang="0">
                <a:pos x="connsiteX10806" y="connsiteY10806"/>
              </a:cxn>
              <a:cxn ang="0">
                <a:pos x="connsiteX10807" y="connsiteY10807"/>
              </a:cxn>
              <a:cxn ang="0">
                <a:pos x="connsiteX10808" y="connsiteY10808"/>
              </a:cxn>
              <a:cxn ang="0">
                <a:pos x="connsiteX10809" y="connsiteY10809"/>
              </a:cxn>
              <a:cxn ang="0">
                <a:pos x="connsiteX10810" y="connsiteY10810"/>
              </a:cxn>
              <a:cxn ang="0">
                <a:pos x="connsiteX10811" y="connsiteY10811"/>
              </a:cxn>
              <a:cxn ang="0">
                <a:pos x="connsiteX10812" y="connsiteY10812"/>
              </a:cxn>
              <a:cxn ang="0">
                <a:pos x="connsiteX10813" y="connsiteY10813"/>
              </a:cxn>
              <a:cxn ang="0">
                <a:pos x="connsiteX10814" y="connsiteY10814"/>
              </a:cxn>
              <a:cxn ang="0">
                <a:pos x="connsiteX10815" y="connsiteY10815"/>
              </a:cxn>
              <a:cxn ang="0">
                <a:pos x="connsiteX10816" y="connsiteY10816"/>
              </a:cxn>
              <a:cxn ang="0">
                <a:pos x="connsiteX10817" y="connsiteY10817"/>
              </a:cxn>
              <a:cxn ang="0">
                <a:pos x="connsiteX10818" y="connsiteY10818"/>
              </a:cxn>
              <a:cxn ang="0">
                <a:pos x="connsiteX10819" y="connsiteY10819"/>
              </a:cxn>
              <a:cxn ang="0">
                <a:pos x="connsiteX10820" y="connsiteY10820"/>
              </a:cxn>
              <a:cxn ang="0">
                <a:pos x="connsiteX10821" y="connsiteY10821"/>
              </a:cxn>
              <a:cxn ang="0">
                <a:pos x="connsiteX10822" y="connsiteY10822"/>
              </a:cxn>
              <a:cxn ang="0">
                <a:pos x="connsiteX10823" y="connsiteY10823"/>
              </a:cxn>
              <a:cxn ang="0">
                <a:pos x="connsiteX10824" y="connsiteY10824"/>
              </a:cxn>
              <a:cxn ang="0">
                <a:pos x="connsiteX10825" y="connsiteY10825"/>
              </a:cxn>
              <a:cxn ang="0">
                <a:pos x="connsiteX10826" y="connsiteY10826"/>
              </a:cxn>
              <a:cxn ang="0">
                <a:pos x="connsiteX10827" y="connsiteY10827"/>
              </a:cxn>
              <a:cxn ang="0">
                <a:pos x="connsiteX10828" y="connsiteY10828"/>
              </a:cxn>
              <a:cxn ang="0">
                <a:pos x="connsiteX10829" y="connsiteY10829"/>
              </a:cxn>
              <a:cxn ang="0">
                <a:pos x="connsiteX10830" y="connsiteY10830"/>
              </a:cxn>
              <a:cxn ang="0">
                <a:pos x="connsiteX10831" y="connsiteY10831"/>
              </a:cxn>
              <a:cxn ang="0">
                <a:pos x="connsiteX10832" y="connsiteY10832"/>
              </a:cxn>
              <a:cxn ang="0">
                <a:pos x="connsiteX10833" y="connsiteY10833"/>
              </a:cxn>
              <a:cxn ang="0">
                <a:pos x="connsiteX10834" y="connsiteY10834"/>
              </a:cxn>
              <a:cxn ang="0">
                <a:pos x="connsiteX10835" y="connsiteY10835"/>
              </a:cxn>
              <a:cxn ang="0">
                <a:pos x="connsiteX10836" y="connsiteY10836"/>
              </a:cxn>
              <a:cxn ang="0">
                <a:pos x="connsiteX10837" y="connsiteY10837"/>
              </a:cxn>
              <a:cxn ang="0">
                <a:pos x="connsiteX10838" y="connsiteY10838"/>
              </a:cxn>
              <a:cxn ang="0">
                <a:pos x="connsiteX10839" y="connsiteY10839"/>
              </a:cxn>
              <a:cxn ang="0">
                <a:pos x="connsiteX10840" y="connsiteY10840"/>
              </a:cxn>
              <a:cxn ang="0">
                <a:pos x="connsiteX10841" y="connsiteY10841"/>
              </a:cxn>
              <a:cxn ang="0">
                <a:pos x="connsiteX10842" y="connsiteY10842"/>
              </a:cxn>
              <a:cxn ang="0">
                <a:pos x="connsiteX10843" y="connsiteY10843"/>
              </a:cxn>
              <a:cxn ang="0">
                <a:pos x="connsiteX10844" y="connsiteY10844"/>
              </a:cxn>
              <a:cxn ang="0">
                <a:pos x="connsiteX10845" y="connsiteY10845"/>
              </a:cxn>
              <a:cxn ang="0">
                <a:pos x="connsiteX10846" y="connsiteY10846"/>
              </a:cxn>
              <a:cxn ang="0">
                <a:pos x="connsiteX10847" y="connsiteY10847"/>
              </a:cxn>
              <a:cxn ang="0">
                <a:pos x="connsiteX10848" y="connsiteY10848"/>
              </a:cxn>
              <a:cxn ang="0">
                <a:pos x="connsiteX10849" y="connsiteY10849"/>
              </a:cxn>
              <a:cxn ang="0">
                <a:pos x="connsiteX10850" y="connsiteY10850"/>
              </a:cxn>
              <a:cxn ang="0">
                <a:pos x="connsiteX10851" y="connsiteY10851"/>
              </a:cxn>
              <a:cxn ang="0">
                <a:pos x="connsiteX10852" y="connsiteY10852"/>
              </a:cxn>
              <a:cxn ang="0">
                <a:pos x="connsiteX10853" y="connsiteY10853"/>
              </a:cxn>
              <a:cxn ang="0">
                <a:pos x="connsiteX10854" y="connsiteY10854"/>
              </a:cxn>
              <a:cxn ang="0">
                <a:pos x="connsiteX10855" y="connsiteY10855"/>
              </a:cxn>
              <a:cxn ang="0">
                <a:pos x="connsiteX10856" y="connsiteY10856"/>
              </a:cxn>
              <a:cxn ang="0">
                <a:pos x="connsiteX10857" y="connsiteY10857"/>
              </a:cxn>
              <a:cxn ang="0">
                <a:pos x="connsiteX10858" y="connsiteY10858"/>
              </a:cxn>
              <a:cxn ang="0">
                <a:pos x="connsiteX10859" y="connsiteY10859"/>
              </a:cxn>
              <a:cxn ang="0">
                <a:pos x="connsiteX10860" y="connsiteY10860"/>
              </a:cxn>
              <a:cxn ang="0">
                <a:pos x="connsiteX10861" y="connsiteY10861"/>
              </a:cxn>
              <a:cxn ang="0">
                <a:pos x="connsiteX10862" y="connsiteY10862"/>
              </a:cxn>
              <a:cxn ang="0">
                <a:pos x="connsiteX10863" y="connsiteY10863"/>
              </a:cxn>
              <a:cxn ang="0">
                <a:pos x="connsiteX10864" y="connsiteY10864"/>
              </a:cxn>
              <a:cxn ang="0">
                <a:pos x="connsiteX10865" y="connsiteY10865"/>
              </a:cxn>
              <a:cxn ang="0">
                <a:pos x="connsiteX10866" y="connsiteY10866"/>
              </a:cxn>
              <a:cxn ang="0">
                <a:pos x="connsiteX10867" y="connsiteY10867"/>
              </a:cxn>
              <a:cxn ang="0">
                <a:pos x="connsiteX10868" y="connsiteY10868"/>
              </a:cxn>
              <a:cxn ang="0">
                <a:pos x="connsiteX10869" y="connsiteY10869"/>
              </a:cxn>
              <a:cxn ang="0">
                <a:pos x="connsiteX10870" y="connsiteY10870"/>
              </a:cxn>
              <a:cxn ang="0">
                <a:pos x="connsiteX10871" y="connsiteY10871"/>
              </a:cxn>
              <a:cxn ang="0">
                <a:pos x="connsiteX10872" y="connsiteY10872"/>
              </a:cxn>
              <a:cxn ang="0">
                <a:pos x="connsiteX10873" y="connsiteY10873"/>
              </a:cxn>
              <a:cxn ang="0">
                <a:pos x="connsiteX10874" y="connsiteY10874"/>
              </a:cxn>
              <a:cxn ang="0">
                <a:pos x="connsiteX10875" y="connsiteY10875"/>
              </a:cxn>
              <a:cxn ang="0">
                <a:pos x="connsiteX10876" y="connsiteY10876"/>
              </a:cxn>
              <a:cxn ang="0">
                <a:pos x="connsiteX10877" y="connsiteY10877"/>
              </a:cxn>
              <a:cxn ang="0">
                <a:pos x="connsiteX10878" y="connsiteY10878"/>
              </a:cxn>
              <a:cxn ang="0">
                <a:pos x="connsiteX10879" y="connsiteY10879"/>
              </a:cxn>
              <a:cxn ang="0">
                <a:pos x="connsiteX10880" y="connsiteY10880"/>
              </a:cxn>
              <a:cxn ang="0">
                <a:pos x="connsiteX10881" y="connsiteY10881"/>
              </a:cxn>
              <a:cxn ang="0">
                <a:pos x="connsiteX10882" y="connsiteY10882"/>
              </a:cxn>
              <a:cxn ang="0">
                <a:pos x="connsiteX10883" y="connsiteY10883"/>
              </a:cxn>
              <a:cxn ang="0">
                <a:pos x="connsiteX10884" y="connsiteY10884"/>
              </a:cxn>
              <a:cxn ang="0">
                <a:pos x="connsiteX10885" y="connsiteY10885"/>
              </a:cxn>
              <a:cxn ang="0">
                <a:pos x="connsiteX10886" y="connsiteY10886"/>
              </a:cxn>
              <a:cxn ang="0">
                <a:pos x="connsiteX10887" y="connsiteY10887"/>
              </a:cxn>
              <a:cxn ang="0">
                <a:pos x="connsiteX10888" y="connsiteY10888"/>
              </a:cxn>
              <a:cxn ang="0">
                <a:pos x="connsiteX10889" y="connsiteY10889"/>
              </a:cxn>
              <a:cxn ang="0">
                <a:pos x="connsiteX10890" y="connsiteY10890"/>
              </a:cxn>
              <a:cxn ang="0">
                <a:pos x="connsiteX10891" y="connsiteY10891"/>
              </a:cxn>
              <a:cxn ang="0">
                <a:pos x="connsiteX10892" y="connsiteY10892"/>
              </a:cxn>
              <a:cxn ang="0">
                <a:pos x="connsiteX10893" y="connsiteY10893"/>
              </a:cxn>
              <a:cxn ang="0">
                <a:pos x="connsiteX10894" y="connsiteY10894"/>
              </a:cxn>
              <a:cxn ang="0">
                <a:pos x="connsiteX10895" y="connsiteY10895"/>
              </a:cxn>
              <a:cxn ang="0">
                <a:pos x="connsiteX10896" y="connsiteY10896"/>
              </a:cxn>
              <a:cxn ang="0">
                <a:pos x="connsiteX10897" y="connsiteY10897"/>
              </a:cxn>
              <a:cxn ang="0">
                <a:pos x="connsiteX10898" y="connsiteY10898"/>
              </a:cxn>
              <a:cxn ang="0">
                <a:pos x="connsiteX10899" y="connsiteY10899"/>
              </a:cxn>
              <a:cxn ang="0">
                <a:pos x="connsiteX10900" y="connsiteY10900"/>
              </a:cxn>
              <a:cxn ang="0">
                <a:pos x="connsiteX10901" y="connsiteY10901"/>
              </a:cxn>
              <a:cxn ang="0">
                <a:pos x="connsiteX10902" y="connsiteY10902"/>
              </a:cxn>
              <a:cxn ang="0">
                <a:pos x="connsiteX10903" y="connsiteY10903"/>
              </a:cxn>
              <a:cxn ang="0">
                <a:pos x="connsiteX10904" y="connsiteY10904"/>
              </a:cxn>
              <a:cxn ang="0">
                <a:pos x="connsiteX10905" y="connsiteY10905"/>
              </a:cxn>
              <a:cxn ang="0">
                <a:pos x="connsiteX10906" y="connsiteY10906"/>
              </a:cxn>
              <a:cxn ang="0">
                <a:pos x="connsiteX10907" y="connsiteY10907"/>
              </a:cxn>
              <a:cxn ang="0">
                <a:pos x="connsiteX10908" y="connsiteY10908"/>
              </a:cxn>
              <a:cxn ang="0">
                <a:pos x="connsiteX10909" y="connsiteY10909"/>
              </a:cxn>
              <a:cxn ang="0">
                <a:pos x="connsiteX10910" y="connsiteY10910"/>
              </a:cxn>
              <a:cxn ang="0">
                <a:pos x="connsiteX10911" y="connsiteY10911"/>
              </a:cxn>
              <a:cxn ang="0">
                <a:pos x="connsiteX10912" y="connsiteY10912"/>
              </a:cxn>
              <a:cxn ang="0">
                <a:pos x="connsiteX10913" y="connsiteY10913"/>
              </a:cxn>
              <a:cxn ang="0">
                <a:pos x="connsiteX10914" y="connsiteY10914"/>
              </a:cxn>
              <a:cxn ang="0">
                <a:pos x="connsiteX10915" y="connsiteY10915"/>
              </a:cxn>
              <a:cxn ang="0">
                <a:pos x="connsiteX10916" y="connsiteY10916"/>
              </a:cxn>
              <a:cxn ang="0">
                <a:pos x="connsiteX10917" y="connsiteY10917"/>
              </a:cxn>
              <a:cxn ang="0">
                <a:pos x="connsiteX10918" y="connsiteY10918"/>
              </a:cxn>
              <a:cxn ang="0">
                <a:pos x="connsiteX10919" y="connsiteY10919"/>
              </a:cxn>
              <a:cxn ang="0">
                <a:pos x="connsiteX10920" y="connsiteY10920"/>
              </a:cxn>
              <a:cxn ang="0">
                <a:pos x="connsiteX10921" y="connsiteY10921"/>
              </a:cxn>
              <a:cxn ang="0">
                <a:pos x="connsiteX10922" y="connsiteY10922"/>
              </a:cxn>
              <a:cxn ang="0">
                <a:pos x="connsiteX10923" y="connsiteY10923"/>
              </a:cxn>
              <a:cxn ang="0">
                <a:pos x="connsiteX10924" y="connsiteY10924"/>
              </a:cxn>
              <a:cxn ang="0">
                <a:pos x="connsiteX10925" y="connsiteY10925"/>
              </a:cxn>
              <a:cxn ang="0">
                <a:pos x="connsiteX10926" y="connsiteY10926"/>
              </a:cxn>
              <a:cxn ang="0">
                <a:pos x="connsiteX10927" y="connsiteY10927"/>
              </a:cxn>
              <a:cxn ang="0">
                <a:pos x="connsiteX10928" y="connsiteY10928"/>
              </a:cxn>
              <a:cxn ang="0">
                <a:pos x="connsiteX10929" y="connsiteY10929"/>
              </a:cxn>
              <a:cxn ang="0">
                <a:pos x="connsiteX10930" y="connsiteY10930"/>
              </a:cxn>
              <a:cxn ang="0">
                <a:pos x="connsiteX10931" y="connsiteY10931"/>
              </a:cxn>
              <a:cxn ang="0">
                <a:pos x="connsiteX10932" y="connsiteY10932"/>
              </a:cxn>
              <a:cxn ang="0">
                <a:pos x="connsiteX10933" y="connsiteY10933"/>
              </a:cxn>
              <a:cxn ang="0">
                <a:pos x="connsiteX10934" y="connsiteY10934"/>
              </a:cxn>
              <a:cxn ang="0">
                <a:pos x="connsiteX10935" y="connsiteY10935"/>
              </a:cxn>
              <a:cxn ang="0">
                <a:pos x="connsiteX10936" y="connsiteY10936"/>
              </a:cxn>
              <a:cxn ang="0">
                <a:pos x="connsiteX10937" y="connsiteY10937"/>
              </a:cxn>
              <a:cxn ang="0">
                <a:pos x="connsiteX10938" y="connsiteY10938"/>
              </a:cxn>
              <a:cxn ang="0">
                <a:pos x="connsiteX10939" y="connsiteY10939"/>
              </a:cxn>
              <a:cxn ang="0">
                <a:pos x="connsiteX10940" y="connsiteY10940"/>
              </a:cxn>
              <a:cxn ang="0">
                <a:pos x="connsiteX10941" y="connsiteY10941"/>
              </a:cxn>
              <a:cxn ang="0">
                <a:pos x="connsiteX10942" y="connsiteY10942"/>
              </a:cxn>
              <a:cxn ang="0">
                <a:pos x="connsiteX10943" y="connsiteY10943"/>
              </a:cxn>
              <a:cxn ang="0">
                <a:pos x="connsiteX10944" y="connsiteY10944"/>
              </a:cxn>
              <a:cxn ang="0">
                <a:pos x="connsiteX10945" y="connsiteY10945"/>
              </a:cxn>
              <a:cxn ang="0">
                <a:pos x="connsiteX10946" y="connsiteY10946"/>
              </a:cxn>
              <a:cxn ang="0">
                <a:pos x="connsiteX10947" y="connsiteY10947"/>
              </a:cxn>
              <a:cxn ang="0">
                <a:pos x="connsiteX10948" y="connsiteY10948"/>
              </a:cxn>
              <a:cxn ang="0">
                <a:pos x="connsiteX10949" y="connsiteY10949"/>
              </a:cxn>
              <a:cxn ang="0">
                <a:pos x="connsiteX10950" y="connsiteY10950"/>
              </a:cxn>
              <a:cxn ang="0">
                <a:pos x="connsiteX10951" y="connsiteY10951"/>
              </a:cxn>
              <a:cxn ang="0">
                <a:pos x="connsiteX10952" y="connsiteY10952"/>
              </a:cxn>
              <a:cxn ang="0">
                <a:pos x="connsiteX10953" y="connsiteY10953"/>
              </a:cxn>
              <a:cxn ang="0">
                <a:pos x="connsiteX10954" y="connsiteY10954"/>
              </a:cxn>
              <a:cxn ang="0">
                <a:pos x="connsiteX10955" y="connsiteY10955"/>
              </a:cxn>
              <a:cxn ang="0">
                <a:pos x="connsiteX10956" y="connsiteY10956"/>
              </a:cxn>
              <a:cxn ang="0">
                <a:pos x="connsiteX10957" y="connsiteY10957"/>
              </a:cxn>
              <a:cxn ang="0">
                <a:pos x="connsiteX10958" y="connsiteY10958"/>
              </a:cxn>
              <a:cxn ang="0">
                <a:pos x="connsiteX10959" y="connsiteY10959"/>
              </a:cxn>
              <a:cxn ang="0">
                <a:pos x="connsiteX10960" y="connsiteY10960"/>
              </a:cxn>
              <a:cxn ang="0">
                <a:pos x="connsiteX10961" y="connsiteY10961"/>
              </a:cxn>
              <a:cxn ang="0">
                <a:pos x="connsiteX10962" y="connsiteY10962"/>
              </a:cxn>
              <a:cxn ang="0">
                <a:pos x="connsiteX10963" y="connsiteY10963"/>
              </a:cxn>
              <a:cxn ang="0">
                <a:pos x="connsiteX10964" y="connsiteY10964"/>
              </a:cxn>
              <a:cxn ang="0">
                <a:pos x="connsiteX10965" y="connsiteY10965"/>
              </a:cxn>
              <a:cxn ang="0">
                <a:pos x="connsiteX10966" y="connsiteY10966"/>
              </a:cxn>
              <a:cxn ang="0">
                <a:pos x="connsiteX10967" y="connsiteY10967"/>
              </a:cxn>
              <a:cxn ang="0">
                <a:pos x="connsiteX10968" y="connsiteY10968"/>
              </a:cxn>
              <a:cxn ang="0">
                <a:pos x="connsiteX10969" y="connsiteY10969"/>
              </a:cxn>
              <a:cxn ang="0">
                <a:pos x="connsiteX10970" y="connsiteY10970"/>
              </a:cxn>
              <a:cxn ang="0">
                <a:pos x="connsiteX10971" y="connsiteY10971"/>
              </a:cxn>
              <a:cxn ang="0">
                <a:pos x="connsiteX10972" y="connsiteY10972"/>
              </a:cxn>
              <a:cxn ang="0">
                <a:pos x="connsiteX10973" y="connsiteY10973"/>
              </a:cxn>
              <a:cxn ang="0">
                <a:pos x="connsiteX10974" y="connsiteY10974"/>
              </a:cxn>
              <a:cxn ang="0">
                <a:pos x="connsiteX10975" y="connsiteY10975"/>
              </a:cxn>
              <a:cxn ang="0">
                <a:pos x="connsiteX10976" y="connsiteY10976"/>
              </a:cxn>
              <a:cxn ang="0">
                <a:pos x="connsiteX10977" y="connsiteY10977"/>
              </a:cxn>
              <a:cxn ang="0">
                <a:pos x="connsiteX10978" y="connsiteY10978"/>
              </a:cxn>
              <a:cxn ang="0">
                <a:pos x="connsiteX10979" y="connsiteY10979"/>
              </a:cxn>
              <a:cxn ang="0">
                <a:pos x="connsiteX10980" y="connsiteY10980"/>
              </a:cxn>
              <a:cxn ang="0">
                <a:pos x="connsiteX10981" y="connsiteY10981"/>
              </a:cxn>
              <a:cxn ang="0">
                <a:pos x="connsiteX10982" y="connsiteY10982"/>
              </a:cxn>
              <a:cxn ang="0">
                <a:pos x="connsiteX10983" y="connsiteY10983"/>
              </a:cxn>
              <a:cxn ang="0">
                <a:pos x="connsiteX10984" y="connsiteY10984"/>
              </a:cxn>
              <a:cxn ang="0">
                <a:pos x="connsiteX10985" y="connsiteY10985"/>
              </a:cxn>
              <a:cxn ang="0">
                <a:pos x="connsiteX10986" y="connsiteY10986"/>
              </a:cxn>
              <a:cxn ang="0">
                <a:pos x="connsiteX10987" y="connsiteY10987"/>
              </a:cxn>
              <a:cxn ang="0">
                <a:pos x="connsiteX10988" y="connsiteY10988"/>
              </a:cxn>
              <a:cxn ang="0">
                <a:pos x="connsiteX10989" y="connsiteY10989"/>
              </a:cxn>
              <a:cxn ang="0">
                <a:pos x="connsiteX10990" y="connsiteY10990"/>
              </a:cxn>
              <a:cxn ang="0">
                <a:pos x="connsiteX10991" y="connsiteY10991"/>
              </a:cxn>
              <a:cxn ang="0">
                <a:pos x="connsiteX10992" y="connsiteY10992"/>
              </a:cxn>
              <a:cxn ang="0">
                <a:pos x="connsiteX10993" y="connsiteY10993"/>
              </a:cxn>
              <a:cxn ang="0">
                <a:pos x="connsiteX10994" y="connsiteY10994"/>
              </a:cxn>
              <a:cxn ang="0">
                <a:pos x="connsiteX10995" y="connsiteY10995"/>
              </a:cxn>
              <a:cxn ang="0">
                <a:pos x="connsiteX10996" y="connsiteY10996"/>
              </a:cxn>
              <a:cxn ang="0">
                <a:pos x="connsiteX10997" y="connsiteY10997"/>
              </a:cxn>
              <a:cxn ang="0">
                <a:pos x="connsiteX10998" y="connsiteY10998"/>
              </a:cxn>
              <a:cxn ang="0">
                <a:pos x="connsiteX10999" y="connsiteY10999"/>
              </a:cxn>
              <a:cxn ang="0">
                <a:pos x="connsiteX11000" y="connsiteY11000"/>
              </a:cxn>
              <a:cxn ang="0">
                <a:pos x="connsiteX11001" y="connsiteY11001"/>
              </a:cxn>
              <a:cxn ang="0">
                <a:pos x="connsiteX11002" y="connsiteY11002"/>
              </a:cxn>
              <a:cxn ang="0">
                <a:pos x="connsiteX11003" y="connsiteY11003"/>
              </a:cxn>
              <a:cxn ang="0">
                <a:pos x="connsiteX11004" y="connsiteY11004"/>
              </a:cxn>
              <a:cxn ang="0">
                <a:pos x="connsiteX11005" y="connsiteY11005"/>
              </a:cxn>
              <a:cxn ang="0">
                <a:pos x="connsiteX11006" y="connsiteY11006"/>
              </a:cxn>
              <a:cxn ang="0">
                <a:pos x="connsiteX11007" y="connsiteY11007"/>
              </a:cxn>
              <a:cxn ang="0">
                <a:pos x="connsiteX11008" y="connsiteY11008"/>
              </a:cxn>
              <a:cxn ang="0">
                <a:pos x="connsiteX11009" y="connsiteY11009"/>
              </a:cxn>
              <a:cxn ang="0">
                <a:pos x="connsiteX11010" y="connsiteY11010"/>
              </a:cxn>
              <a:cxn ang="0">
                <a:pos x="connsiteX11011" y="connsiteY11011"/>
              </a:cxn>
              <a:cxn ang="0">
                <a:pos x="connsiteX11012" y="connsiteY11012"/>
              </a:cxn>
              <a:cxn ang="0">
                <a:pos x="connsiteX11013" y="connsiteY11013"/>
              </a:cxn>
              <a:cxn ang="0">
                <a:pos x="connsiteX11014" y="connsiteY11014"/>
              </a:cxn>
              <a:cxn ang="0">
                <a:pos x="connsiteX11015" y="connsiteY11015"/>
              </a:cxn>
              <a:cxn ang="0">
                <a:pos x="connsiteX11016" y="connsiteY11016"/>
              </a:cxn>
              <a:cxn ang="0">
                <a:pos x="connsiteX11017" y="connsiteY11017"/>
              </a:cxn>
              <a:cxn ang="0">
                <a:pos x="connsiteX11018" y="connsiteY11018"/>
              </a:cxn>
              <a:cxn ang="0">
                <a:pos x="connsiteX11019" y="connsiteY11019"/>
              </a:cxn>
              <a:cxn ang="0">
                <a:pos x="connsiteX11020" y="connsiteY11020"/>
              </a:cxn>
              <a:cxn ang="0">
                <a:pos x="connsiteX11021" y="connsiteY11021"/>
              </a:cxn>
              <a:cxn ang="0">
                <a:pos x="connsiteX11022" y="connsiteY11022"/>
              </a:cxn>
              <a:cxn ang="0">
                <a:pos x="connsiteX11023" y="connsiteY11023"/>
              </a:cxn>
              <a:cxn ang="0">
                <a:pos x="connsiteX11024" y="connsiteY11024"/>
              </a:cxn>
              <a:cxn ang="0">
                <a:pos x="connsiteX11025" y="connsiteY11025"/>
              </a:cxn>
              <a:cxn ang="0">
                <a:pos x="connsiteX11026" y="connsiteY11026"/>
              </a:cxn>
              <a:cxn ang="0">
                <a:pos x="connsiteX11027" y="connsiteY11027"/>
              </a:cxn>
              <a:cxn ang="0">
                <a:pos x="connsiteX11028" y="connsiteY11028"/>
              </a:cxn>
              <a:cxn ang="0">
                <a:pos x="connsiteX11029" y="connsiteY11029"/>
              </a:cxn>
              <a:cxn ang="0">
                <a:pos x="connsiteX11030" y="connsiteY11030"/>
              </a:cxn>
              <a:cxn ang="0">
                <a:pos x="connsiteX11031" y="connsiteY11031"/>
              </a:cxn>
              <a:cxn ang="0">
                <a:pos x="connsiteX11032" y="connsiteY11032"/>
              </a:cxn>
              <a:cxn ang="0">
                <a:pos x="connsiteX11033" y="connsiteY11033"/>
              </a:cxn>
              <a:cxn ang="0">
                <a:pos x="connsiteX11034" y="connsiteY11034"/>
              </a:cxn>
              <a:cxn ang="0">
                <a:pos x="connsiteX11035" y="connsiteY11035"/>
              </a:cxn>
              <a:cxn ang="0">
                <a:pos x="connsiteX11036" y="connsiteY11036"/>
              </a:cxn>
              <a:cxn ang="0">
                <a:pos x="connsiteX11037" y="connsiteY11037"/>
              </a:cxn>
              <a:cxn ang="0">
                <a:pos x="connsiteX11038" y="connsiteY11038"/>
              </a:cxn>
              <a:cxn ang="0">
                <a:pos x="connsiteX11039" y="connsiteY11039"/>
              </a:cxn>
              <a:cxn ang="0">
                <a:pos x="connsiteX11040" y="connsiteY11040"/>
              </a:cxn>
              <a:cxn ang="0">
                <a:pos x="connsiteX11041" y="connsiteY11041"/>
              </a:cxn>
              <a:cxn ang="0">
                <a:pos x="connsiteX11042" y="connsiteY11042"/>
              </a:cxn>
              <a:cxn ang="0">
                <a:pos x="connsiteX11043" y="connsiteY11043"/>
              </a:cxn>
              <a:cxn ang="0">
                <a:pos x="connsiteX11044" y="connsiteY11044"/>
              </a:cxn>
              <a:cxn ang="0">
                <a:pos x="connsiteX11045" y="connsiteY11045"/>
              </a:cxn>
              <a:cxn ang="0">
                <a:pos x="connsiteX11046" y="connsiteY11046"/>
              </a:cxn>
              <a:cxn ang="0">
                <a:pos x="connsiteX11047" y="connsiteY11047"/>
              </a:cxn>
              <a:cxn ang="0">
                <a:pos x="connsiteX11048" y="connsiteY11048"/>
              </a:cxn>
              <a:cxn ang="0">
                <a:pos x="connsiteX11049" y="connsiteY11049"/>
              </a:cxn>
              <a:cxn ang="0">
                <a:pos x="connsiteX11050" y="connsiteY11050"/>
              </a:cxn>
              <a:cxn ang="0">
                <a:pos x="connsiteX11051" y="connsiteY11051"/>
              </a:cxn>
              <a:cxn ang="0">
                <a:pos x="connsiteX11052" y="connsiteY11052"/>
              </a:cxn>
              <a:cxn ang="0">
                <a:pos x="connsiteX11053" y="connsiteY11053"/>
              </a:cxn>
              <a:cxn ang="0">
                <a:pos x="connsiteX11054" y="connsiteY11054"/>
              </a:cxn>
              <a:cxn ang="0">
                <a:pos x="connsiteX11055" y="connsiteY11055"/>
              </a:cxn>
              <a:cxn ang="0">
                <a:pos x="connsiteX11056" y="connsiteY11056"/>
              </a:cxn>
              <a:cxn ang="0">
                <a:pos x="connsiteX11057" y="connsiteY11057"/>
              </a:cxn>
              <a:cxn ang="0">
                <a:pos x="connsiteX11058" y="connsiteY11058"/>
              </a:cxn>
              <a:cxn ang="0">
                <a:pos x="connsiteX11059" y="connsiteY11059"/>
              </a:cxn>
              <a:cxn ang="0">
                <a:pos x="connsiteX11060" y="connsiteY11060"/>
              </a:cxn>
              <a:cxn ang="0">
                <a:pos x="connsiteX11061" y="connsiteY11061"/>
              </a:cxn>
              <a:cxn ang="0">
                <a:pos x="connsiteX11062" y="connsiteY11062"/>
              </a:cxn>
              <a:cxn ang="0">
                <a:pos x="connsiteX11063" y="connsiteY11063"/>
              </a:cxn>
              <a:cxn ang="0">
                <a:pos x="connsiteX11064" y="connsiteY11064"/>
              </a:cxn>
              <a:cxn ang="0">
                <a:pos x="connsiteX11065" y="connsiteY11065"/>
              </a:cxn>
              <a:cxn ang="0">
                <a:pos x="connsiteX11066" y="connsiteY11066"/>
              </a:cxn>
              <a:cxn ang="0">
                <a:pos x="connsiteX11067" y="connsiteY11067"/>
              </a:cxn>
              <a:cxn ang="0">
                <a:pos x="connsiteX11068" y="connsiteY11068"/>
              </a:cxn>
              <a:cxn ang="0">
                <a:pos x="connsiteX11069" y="connsiteY11069"/>
              </a:cxn>
              <a:cxn ang="0">
                <a:pos x="connsiteX11070" y="connsiteY11070"/>
              </a:cxn>
              <a:cxn ang="0">
                <a:pos x="connsiteX11071" y="connsiteY11071"/>
              </a:cxn>
              <a:cxn ang="0">
                <a:pos x="connsiteX11072" y="connsiteY11072"/>
              </a:cxn>
              <a:cxn ang="0">
                <a:pos x="connsiteX11073" y="connsiteY11073"/>
              </a:cxn>
              <a:cxn ang="0">
                <a:pos x="connsiteX11074" y="connsiteY11074"/>
              </a:cxn>
              <a:cxn ang="0">
                <a:pos x="connsiteX11075" y="connsiteY11075"/>
              </a:cxn>
              <a:cxn ang="0">
                <a:pos x="connsiteX11076" y="connsiteY11076"/>
              </a:cxn>
              <a:cxn ang="0">
                <a:pos x="connsiteX11077" y="connsiteY11077"/>
              </a:cxn>
              <a:cxn ang="0">
                <a:pos x="connsiteX11078" y="connsiteY11078"/>
              </a:cxn>
              <a:cxn ang="0">
                <a:pos x="connsiteX11079" y="connsiteY11079"/>
              </a:cxn>
              <a:cxn ang="0">
                <a:pos x="connsiteX11080" y="connsiteY11080"/>
              </a:cxn>
              <a:cxn ang="0">
                <a:pos x="connsiteX11081" y="connsiteY11081"/>
              </a:cxn>
              <a:cxn ang="0">
                <a:pos x="connsiteX11082" y="connsiteY11082"/>
              </a:cxn>
              <a:cxn ang="0">
                <a:pos x="connsiteX11083" y="connsiteY11083"/>
              </a:cxn>
              <a:cxn ang="0">
                <a:pos x="connsiteX11084" y="connsiteY11084"/>
              </a:cxn>
              <a:cxn ang="0">
                <a:pos x="connsiteX11085" y="connsiteY11085"/>
              </a:cxn>
              <a:cxn ang="0">
                <a:pos x="connsiteX11086" y="connsiteY11086"/>
              </a:cxn>
              <a:cxn ang="0">
                <a:pos x="connsiteX11087" y="connsiteY11087"/>
              </a:cxn>
              <a:cxn ang="0">
                <a:pos x="connsiteX11088" y="connsiteY11088"/>
              </a:cxn>
              <a:cxn ang="0">
                <a:pos x="connsiteX11089" y="connsiteY11089"/>
              </a:cxn>
              <a:cxn ang="0">
                <a:pos x="connsiteX11090" y="connsiteY11090"/>
              </a:cxn>
              <a:cxn ang="0">
                <a:pos x="connsiteX11091" y="connsiteY11091"/>
              </a:cxn>
              <a:cxn ang="0">
                <a:pos x="connsiteX11092" y="connsiteY11092"/>
              </a:cxn>
              <a:cxn ang="0">
                <a:pos x="connsiteX11093" y="connsiteY11093"/>
              </a:cxn>
              <a:cxn ang="0">
                <a:pos x="connsiteX11094" y="connsiteY11094"/>
              </a:cxn>
              <a:cxn ang="0">
                <a:pos x="connsiteX11095" y="connsiteY11095"/>
              </a:cxn>
              <a:cxn ang="0">
                <a:pos x="connsiteX11096" y="connsiteY11096"/>
              </a:cxn>
              <a:cxn ang="0">
                <a:pos x="connsiteX11097" y="connsiteY11097"/>
              </a:cxn>
              <a:cxn ang="0">
                <a:pos x="connsiteX11098" y="connsiteY11098"/>
              </a:cxn>
              <a:cxn ang="0">
                <a:pos x="connsiteX11099" y="connsiteY11099"/>
              </a:cxn>
              <a:cxn ang="0">
                <a:pos x="connsiteX11100" y="connsiteY11100"/>
              </a:cxn>
              <a:cxn ang="0">
                <a:pos x="connsiteX11101" y="connsiteY11101"/>
              </a:cxn>
              <a:cxn ang="0">
                <a:pos x="connsiteX11102" y="connsiteY11102"/>
              </a:cxn>
              <a:cxn ang="0">
                <a:pos x="connsiteX11103" y="connsiteY11103"/>
              </a:cxn>
              <a:cxn ang="0">
                <a:pos x="connsiteX11104" y="connsiteY11104"/>
              </a:cxn>
              <a:cxn ang="0">
                <a:pos x="connsiteX11105" y="connsiteY11105"/>
              </a:cxn>
              <a:cxn ang="0">
                <a:pos x="connsiteX11106" y="connsiteY11106"/>
              </a:cxn>
              <a:cxn ang="0">
                <a:pos x="connsiteX11107" y="connsiteY11107"/>
              </a:cxn>
              <a:cxn ang="0">
                <a:pos x="connsiteX11108" y="connsiteY11108"/>
              </a:cxn>
              <a:cxn ang="0">
                <a:pos x="connsiteX11109" y="connsiteY11109"/>
              </a:cxn>
              <a:cxn ang="0">
                <a:pos x="connsiteX11110" y="connsiteY11110"/>
              </a:cxn>
              <a:cxn ang="0">
                <a:pos x="connsiteX11111" y="connsiteY11111"/>
              </a:cxn>
              <a:cxn ang="0">
                <a:pos x="connsiteX11112" y="connsiteY11112"/>
              </a:cxn>
              <a:cxn ang="0">
                <a:pos x="connsiteX11113" y="connsiteY11113"/>
              </a:cxn>
              <a:cxn ang="0">
                <a:pos x="connsiteX11114" y="connsiteY11114"/>
              </a:cxn>
              <a:cxn ang="0">
                <a:pos x="connsiteX11115" y="connsiteY11115"/>
              </a:cxn>
              <a:cxn ang="0">
                <a:pos x="connsiteX11116" y="connsiteY11116"/>
              </a:cxn>
              <a:cxn ang="0">
                <a:pos x="connsiteX11117" y="connsiteY11117"/>
              </a:cxn>
              <a:cxn ang="0">
                <a:pos x="connsiteX11118" y="connsiteY11118"/>
              </a:cxn>
              <a:cxn ang="0">
                <a:pos x="connsiteX11119" y="connsiteY11119"/>
              </a:cxn>
              <a:cxn ang="0">
                <a:pos x="connsiteX11120" y="connsiteY11120"/>
              </a:cxn>
              <a:cxn ang="0">
                <a:pos x="connsiteX11121" y="connsiteY11121"/>
              </a:cxn>
              <a:cxn ang="0">
                <a:pos x="connsiteX11122" y="connsiteY11122"/>
              </a:cxn>
              <a:cxn ang="0">
                <a:pos x="connsiteX11123" y="connsiteY11123"/>
              </a:cxn>
              <a:cxn ang="0">
                <a:pos x="connsiteX11124" y="connsiteY11124"/>
              </a:cxn>
              <a:cxn ang="0">
                <a:pos x="connsiteX11125" y="connsiteY11125"/>
              </a:cxn>
              <a:cxn ang="0">
                <a:pos x="connsiteX11126" y="connsiteY11126"/>
              </a:cxn>
              <a:cxn ang="0">
                <a:pos x="connsiteX11127" y="connsiteY11127"/>
              </a:cxn>
              <a:cxn ang="0">
                <a:pos x="connsiteX11128" y="connsiteY11128"/>
              </a:cxn>
              <a:cxn ang="0">
                <a:pos x="connsiteX11129" y="connsiteY11129"/>
              </a:cxn>
              <a:cxn ang="0">
                <a:pos x="connsiteX11130" y="connsiteY11130"/>
              </a:cxn>
              <a:cxn ang="0">
                <a:pos x="connsiteX11131" y="connsiteY11131"/>
              </a:cxn>
              <a:cxn ang="0">
                <a:pos x="connsiteX11132" y="connsiteY11132"/>
              </a:cxn>
              <a:cxn ang="0">
                <a:pos x="connsiteX11133" y="connsiteY11133"/>
              </a:cxn>
              <a:cxn ang="0">
                <a:pos x="connsiteX11134" y="connsiteY11134"/>
              </a:cxn>
              <a:cxn ang="0">
                <a:pos x="connsiteX11135" y="connsiteY11135"/>
              </a:cxn>
              <a:cxn ang="0">
                <a:pos x="connsiteX11136" y="connsiteY11136"/>
              </a:cxn>
              <a:cxn ang="0">
                <a:pos x="connsiteX11137" y="connsiteY11137"/>
              </a:cxn>
              <a:cxn ang="0">
                <a:pos x="connsiteX11138" y="connsiteY11138"/>
              </a:cxn>
              <a:cxn ang="0">
                <a:pos x="connsiteX11139" y="connsiteY11139"/>
              </a:cxn>
              <a:cxn ang="0">
                <a:pos x="connsiteX11140" y="connsiteY11140"/>
              </a:cxn>
              <a:cxn ang="0">
                <a:pos x="connsiteX11141" y="connsiteY11141"/>
              </a:cxn>
              <a:cxn ang="0">
                <a:pos x="connsiteX11142" y="connsiteY11142"/>
              </a:cxn>
              <a:cxn ang="0">
                <a:pos x="connsiteX11143" y="connsiteY11143"/>
              </a:cxn>
              <a:cxn ang="0">
                <a:pos x="connsiteX11144" y="connsiteY11144"/>
              </a:cxn>
              <a:cxn ang="0">
                <a:pos x="connsiteX11145" y="connsiteY11145"/>
              </a:cxn>
              <a:cxn ang="0">
                <a:pos x="connsiteX11146" y="connsiteY11146"/>
              </a:cxn>
              <a:cxn ang="0">
                <a:pos x="connsiteX11147" y="connsiteY11147"/>
              </a:cxn>
              <a:cxn ang="0">
                <a:pos x="connsiteX11148" y="connsiteY11148"/>
              </a:cxn>
              <a:cxn ang="0">
                <a:pos x="connsiteX11149" y="connsiteY11149"/>
              </a:cxn>
              <a:cxn ang="0">
                <a:pos x="connsiteX11150" y="connsiteY11150"/>
              </a:cxn>
              <a:cxn ang="0">
                <a:pos x="connsiteX11151" y="connsiteY11151"/>
              </a:cxn>
              <a:cxn ang="0">
                <a:pos x="connsiteX11152" y="connsiteY11152"/>
              </a:cxn>
              <a:cxn ang="0">
                <a:pos x="connsiteX11153" y="connsiteY11153"/>
              </a:cxn>
              <a:cxn ang="0">
                <a:pos x="connsiteX11154" y="connsiteY11154"/>
              </a:cxn>
              <a:cxn ang="0">
                <a:pos x="connsiteX11155" y="connsiteY11155"/>
              </a:cxn>
              <a:cxn ang="0">
                <a:pos x="connsiteX11156" y="connsiteY11156"/>
              </a:cxn>
              <a:cxn ang="0">
                <a:pos x="connsiteX11157" y="connsiteY11157"/>
              </a:cxn>
              <a:cxn ang="0">
                <a:pos x="connsiteX11158" y="connsiteY11158"/>
              </a:cxn>
              <a:cxn ang="0">
                <a:pos x="connsiteX11159" y="connsiteY11159"/>
              </a:cxn>
              <a:cxn ang="0">
                <a:pos x="connsiteX11160" y="connsiteY11160"/>
              </a:cxn>
              <a:cxn ang="0">
                <a:pos x="connsiteX11161" y="connsiteY11161"/>
              </a:cxn>
              <a:cxn ang="0">
                <a:pos x="connsiteX11162" y="connsiteY11162"/>
              </a:cxn>
              <a:cxn ang="0">
                <a:pos x="connsiteX11163" y="connsiteY11163"/>
              </a:cxn>
              <a:cxn ang="0">
                <a:pos x="connsiteX11164" y="connsiteY11164"/>
              </a:cxn>
              <a:cxn ang="0">
                <a:pos x="connsiteX11165" y="connsiteY11165"/>
              </a:cxn>
              <a:cxn ang="0">
                <a:pos x="connsiteX11166" y="connsiteY11166"/>
              </a:cxn>
              <a:cxn ang="0">
                <a:pos x="connsiteX11167" y="connsiteY11167"/>
              </a:cxn>
              <a:cxn ang="0">
                <a:pos x="connsiteX11168" y="connsiteY11168"/>
              </a:cxn>
              <a:cxn ang="0">
                <a:pos x="connsiteX11169" y="connsiteY11169"/>
              </a:cxn>
              <a:cxn ang="0">
                <a:pos x="connsiteX11170" y="connsiteY11170"/>
              </a:cxn>
              <a:cxn ang="0">
                <a:pos x="connsiteX11171" y="connsiteY11171"/>
              </a:cxn>
              <a:cxn ang="0">
                <a:pos x="connsiteX11172" y="connsiteY11172"/>
              </a:cxn>
              <a:cxn ang="0">
                <a:pos x="connsiteX11173" y="connsiteY11173"/>
              </a:cxn>
              <a:cxn ang="0">
                <a:pos x="connsiteX11174" y="connsiteY11174"/>
              </a:cxn>
              <a:cxn ang="0">
                <a:pos x="connsiteX11175" y="connsiteY11175"/>
              </a:cxn>
              <a:cxn ang="0">
                <a:pos x="connsiteX11176" y="connsiteY11176"/>
              </a:cxn>
              <a:cxn ang="0">
                <a:pos x="connsiteX11177" y="connsiteY11177"/>
              </a:cxn>
              <a:cxn ang="0">
                <a:pos x="connsiteX11178" y="connsiteY11178"/>
              </a:cxn>
              <a:cxn ang="0">
                <a:pos x="connsiteX11179" y="connsiteY11179"/>
              </a:cxn>
              <a:cxn ang="0">
                <a:pos x="connsiteX11180" y="connsiteY11180"/>
              </a:cxn>
              <a:cxn ang="0">
                <a:pos x="connsiteX11181" y="connsiteY11181"/>
              </a:cxn>
              <a:cxn ang="0">
                <a:pos x="connsiteX11182" y="connsiteY11182"/>
              </a:cxn>
              <a:cxn ang="0">
                <a:pos x="connsiteX11183" y="connsiteY11183"/>
              </a:cxn>
              <a:cxn ang="0">
                <a:pos x="connsiteX11184" y="connsiteY11184"/>
              </a:cxn>
              <a:cxn ang="0">
                <a:pos x="connsiteX11185" y="connsiteY11185"/>
              </a:cxn>
              <a:cxn ang="0">
                <a:pos x="connsiteX11186" y="connsiteY11186"/>
              </a:cxn>
              <a:cxn ang="0">
                <a:pos x="connsiteX11187" y="connsiteY11187"/>
              </a:cxn>
              <a:cxn ang="0">
                <a:pos x="connsiteX11188" y="connsiteY11188"/>
              </a:cxn>
              <a:cxn ang="0">
                <a:pos x="connsiteX11189" y="connsiteY11189"/>
              </a:cxn>
              <a:cxn ang="0">
                <a:pos x="connsiteX11190" y="connsiteY11190"/>
              </a:cxn>
              <a:cxn ang="0">
                <a:pos x="connsiteX11191" y="connsiteY11191"/>
              </a:cxn>
              <a:cxn ang="0">
                <a:pos x="connsiteX11192" y="connsiteY11192"/>
              </a:cxn>
              <a:cxn ang="0">
                <a:pos x="connsiteX11193" y="connsiteY11193"/>
              </a:cxn>
              <a:cxn ang="0">
                <a:pos x="connsiteX11194" y="connsiteY11194"/>
              </a:cxn>
              <a:cxn ang="0">
                <a:pos x="connsiteX11195" y="connsiteY11195"/>
              </a:cxn>
              <a:cxn ang="0">
                <a:pos x="connsiteX11196" y="connsiteY11196"/>
              </a:cxn>
              <a:cxn ang="0">
                <a:pos x="connsiteX11197" y="connsiteY11197"/>
              </a:cxn>
              <a:cxn ang="0">
                <a:pos x="connsiteX11198" y="connsiteY11198"/>
              </a:cxn>
              <a:cxn ang="0">
                <a:pos x="connsiteX11199" y="connsiteY11199"/>
              </a:cxn>
              <a:cxn ang="0">
                <a:pos x="connsiteX11200" y="connsiteY11200"/>
              </a:cxn>
              <a:cxn ang="0">
                <a:pos x="connsiteX11201" y="connsiteY11201"/>
              </a:cxn>
              <a:cxn ang="0">
                <a:pos x="connsiteX11202" y="connsiteY11202"/>
              </a:cxn>
              <a:cxn ang="0">
                <a:pos x="connsiteX11203" y="connsiteY11203"/>
              </a:cxn>
              <a:cxn ang="0">
                <a:pos x="connsiteX11204" y="connsiteY11204"/>
              </a:cxn>
              <a:cxn ang="0">
                <a:pos x="connsiteX11205" y="connsiteY11205"/>
              </a:cxn>
              <a:cxn ang="0">
                <a:pos x="connsiteX11206" y="connsiteY11206"/>
              </a:cxn>
              <a:cxn ang="0">
                <a:pos x="connsiteX11207" y="connsiteY11207"/>
              </a:cxn>
              <a:cxn ang="0">
                <a:pos x="connsiteX11208" y="connsiteY11208"/>
              </a:cxn>
              <a:cxn ang="0">
                <a:pos x="connsiteX11209" y="connsiteY11209"/>
              </a:cxn>
              <a:cxn ang="0">
                <a:pos x="connsiteX11210" y="connsiteY11210"/>
              </a:cxn>
              <a:cxn ang="0">
                <a:pos x="connsiteX11211" y="connsiteY11211"/>
              </a:cxn>
              <a:cxn ang="0">
                <a:pos x="connsiteX11212" y="connsiteY11212"/>
              </a:cxn>
              <a:cxn ang="0">
                <a:pos x="connsiteX11213" y="connsiteY11213"/>
              </a:cxn>
              <a:cxn ang="0">
                <a:pos x="connsiteX11214" y="connsiteY11214"/>
              </a:cxn>
              <a:cxn ang="0">
                <a:pos x="connsiteX11215" y="connsiteY11215"/>
              </a:cxn>
              <a:cxn ang="0">
                <a:pos x="connsiteX11216" y="connsiteY11216"/>
              </a:cxn>
              <a:cxn ang="0">
                <a:pos x="connsiteX11217" y="connsiteY11217"/>
              </a:cxn>
              <a:cxn ang="0">
                <a:pos x="connsiteX11218" y="connsiteY11218"/>
              </a:cxn>
              <a:cxn ang="0">
                <a:pos x="connsiteX11219" y="connsiteY11219"/>
              </a:cxn>
              <a:cxn ang="0">
                <a:pos x="connsiteX11220" y="connsiteY11220"/>
              </a:cxn>
              <a:cxn ang="0">
                <a:pos x="connsiteX11221" y="connsiteY11221"/>
              </a:cxn>
              <a:cxn ang="0">
                <a:pos x="connsiteX11222" y="connsiteY11222"/>
              </a:cxn>
              <a:cxn ang="0">
                <a:pos x="connsiteX11223" y="connsiteY11223"/>
              </a:cxn>
              <a:cxn ang="0">
                <a:pos x="connsiteX11224" y="connsiteY11224"/>
              </a:cxn>
              <a:cxn ang="0">
                <a:pos x="connsiteX11225" y="connsiteY11225"/>
              </a:cxn>
              <a:cxn ang="0">
                <a:pos x="connsiteX11226" y="connsiteY11226"/>
              </a:cxn>
              <a:cxn ang="0">
                <a:pos x="connsiteX11227" y="connsiteY11227"/>
              </a:cxn>
              <a:cxn ang="0">
                <a:pos x="connsiteX11228" y="connsiteY11228"/>
              </a:cxn>
              <a:cxn ang="0">
                <a:pos x="connsiteX11229" y="connsiteY11229"/>
              </a:cxn>
              <a:cxn ang="0">
                <a:pos x="connsiteX11230" y="connsiteY11230"/>
              </a:cxn>
              <a:cxn ang="0">
                <a:pos x="connsiteX11231" y="connsiteY11231"/>
              </a:cxn>
              <a:cxn ang="0">
                <a:pos x="connsiteX11232" y="connsiteY11232"/>
              </a:cxn>
              <a:cxn ang="0">
                <a:pos x="connsiteX11233" y="connsiteY11233"/>
              </a:cxn>
              <a:cxn ang="0">
                <a:pos x="connsiteX11234" y="connsiteY11234"/>
              </a:cxn>
              <a:cxn ang="0">
                <a:pos x="connsiteX11235" y="connsiteY11235"/>
              </a:cxn>
              <a:cxn ang="0">
                <a:pos x="connsiteX11236" y="connsiteY11236"/>
              </a:cxn>
              <a:cxn ang="0">
                <a:pos x="connsiteX11237" y="connsiteY11237"/>
              </a:cxn>
              <a:cxn ang="0">
                <a:pos x="connsiteX11238" y="connsiteY11238"/>
              </a:cxn>
              <a:cxn ang="0">
                <a:pos x="connsiteX11239" y="connsiteY11239"/>
              </a:cxn>
              <a:cxn ang="0">
                <a:pos x="connsiteX11240" y="connsiteY11240"/>
              </a:cxn>
              <a:cxn ang="0">
                <a:pos x="connsiteX11241" y="connsiteY11241"/>
              </a:cxn>
              <a:cxn ang="0">
                <a:pos x="connsiteX11242" y="connsiteY11242"/>
              </a:cxn>
              <a:cxn ang="0">
                <a:pos x="connsiteX11243" y="connsiteY11243"/>
              </a:cxn>
              <a:cxn ang="0">
                <a:pos x="connsiteX11244" y="connsiteY11244"/>
              </a:cxn>
              <a:cxn ang="0">
                <a:pos x="connsiteX11245" y="connsiteY11245"/>
              </a:cxn>
              <a:cxn ang="0">
                <a:pos x="connsiteX11246" y="connsiteY11246"/>
              </a:cxn>
              <a:cxn ang="0">
                <a:pos x="connsiteX11247" y="connsiteY11247"/>
              </a:cxn>
              <a:cxn ang="0">
                <a:pos x="connsiteX11248" y="connsiteY11248"/>
              </a:cxn>
              <a:cxn ang="0">
                <a:pos x="connsiteX11249" y="connsiteY11249"/>
              </a:cxn>
              <a:cxn ang="0">
                <a:pos x="connsiteX11250" y="connsiteY11250"/>
              </a:cxn>
              <a:cxn ang="0">
                <a:pos x="connsiteX11251" y="connsiteY11251"/>
              </a:cxn>
              <a:cxn ang="0">
                <a:pos x="connsiteX11252" y="connsiteY11252"/>
              </a:cxn>
              <a:cxn ang="0">
                <a:pos x="connsiteX11253" y="connsiteY11253"/>
              </a:cxn>
              <a:cxn ang="0">
                <a:pos x="connsiteX11254" y="connsiteY11254"/>
              </a:cxn>
              <a:cxn ang="0">
                <a:pos x="connsiteX11255" y="connsiteY11255"/>
              </a:cxn>
              <a:cxn ang="0">
                <a:pos x="connsiteX11256" y="connsiteY11256"/>
              </a:cxn>
              <a:cxn ang="0">
                <a:pos x="connsiteX11257" y="connsiteY11257"/>
              </a:cxn>
              <a:cxn ang="0">
                <a:pos x="connsiteX11258" y="connsiteY11258"/>
              </a:cxn>
              <a:cxn ang="0">
                <a:pos x="connsiteX11259" y="connsiteY11259"/>
              </a:cxn>
              <a:cxn ang="0">
                <a:pos x="connsiteX11260" y="connsiteY11260"/>
              </a:cxn>
              <a:cxn ang="0">
                <a:pos x="connsiteX11261" y="connsiteY11261"/>
              </a:cxn>
              <a:cxn ang="0">
                <a:pos x="connsiteX11262" y="connsiteY11262"/>
              </a:cxn>
              <a:cxn ang="0">
                <a:pos x="connsiteX11263" y="connsiteY11263"/>
              </a:cxn>
              <a:cxn ang="0">
                <a:pos x="connsiteX11264" y="connsiteY11264"/>
              </a:cxn>
              <a:cxn ang="0">
                <a:pos x="connsiteX11265" y="connsiteY11265"/>
              </a:cxn>
              <a:cxn ang="0">
                <a:pos x="connsiteX11266" y="connsiteY11266"/>
              </a:cxn>
              <a:cxn ang="0">
                <a:pos x="connsiteX11267" y="connsiteY11267"/>
              </a:cxn>
              <a:cxn ang="0">
                <a:pos x="connsiteX11268" y="connsiteY11268"/>
              </a:cxn>
              <a:cxn ang="0">
                <a:pos x="connsiteX11269" y="connsiteY11269"/>
              </a:cxn>
              <a:cxn ang="0">
                <a:pos x="connsiteX11270" y="connsiteY11270"/>
              </a:cxn>
              <a:cxn ang="0">
                <a:pos x="connsiteX11271" y="connsiteY11271"/>
              </a:cxn>
              <a:cxn ang="0">
                <a:pos x="connsiteX11272" y="connsiteY11272"/>
              </a:cxn>
              <a:cxn ang="0">
                <a:pos x="connsiteX11273" y="connsiteY11273"/>
              </a:cxn>
              <a:cxn ang="0">
                <a:pos x="connsiteX11274" y="connsiteY11274"/>
              </a:cxn>
              <a:cxn ang="0">
                <a:pos x="connsiteX11275" y="connsiteY11275"/>
              </a:cxn>
              <a:cxn ang="0">
                <a:pos x="connsiteX11276" y="connsiteY11276"/>
              </a:cxn>
              <a:cxn ang="0">
                <a:pos x="connsiteX11277" y="connsiteY11277"/>
              </a:cxn>
              <a:cxn ang="0">
                <a:pos x="connsiteX11278" y="connsiteY11278"/>
              </a:cxn>
              <a:cxn ang="0">
                <a:pos x="connsiteX11279" y="connsiteY11279"/>
              </a:cxn>
              <a:cxn ang="0">
                <a:pos x="connsiteX11280" y="connsiteY11280"/>
              </a:cxn>
              <a:cxn ang="0">
                <a:pos x="connsiteX11281" y="connsiteY11281"/>
              </a:cxn>
              <a:cxn ang="0">
                <a:pos x="connsiteX11282" y="connsiteY11282"/>
              </a:cxn>
              <a:cxn ang="0">
                <a:pos x="connsiteX11283" y="connsiteY11283"/>
              </a:cxn>
              <a:cxn ang="0">
                <a:pos x="connsiteX11284" y="connsiteY11284"/>
              </a:cxn>
              <a:cxn ang="0">
                <a:pos x="connsiteX11285" y="connsiteY11285"/>
              </a:cxn>
              <a:cxn ang="0">
                <a:pos x="connsiteX11286" y="connsiteY11286"/>
              </a:cxn>
              <a:cxn ang="0">
                <a:pos x="connsiteX11287" y="connsiteY11287"/>
              </a:cxn>
              <a:cxn ang="0">
                <a:pos x="connsiteX11288" y="connsiteY11288"/>
              </a:cxn>
              <a:cxn ang="0">
                <a:pos x="connsiteX11289" y="connsiteY11289"/>
              </a:cxn>
              <a:cxn ang="0">
                <a:pos x="connsiteX11290" y="connsiteY11290"/>
              </a:cxn>
              <a:cxn ang="0">
                <a:pos x="connsiteX11291" y="connsiteY11291"/>
              </a:cxn>
              <a:cxn ang="0">
                <a:pos x="connsiteX11292" y="connsiteY11292"/>
              </a:cxn>
              <a:cxn ang="0">
                <a:pos x="connsiteX11293" y="connsiteY11293"/>
              </a:cxn>
              <a:cxn ang="0">
                <a:pos x="connsiteX11294" y="connsiteY11294"/>
              </a:cxn>
              <a:cxn ang="0">
                <a:pos x="connsiteX11295" y="connsiteY11295"/>
              </a:cxn>
              <a:cxn ang="0">
                <a:pos x="connsiteX11296" y="connsiteY11296"/>
              </a:cxn>
              <a:cxn ang="0">
                <a:pos x="connsiteX11297" y="connsiteY11297"/>
              </a:cxn>
              <a:cxn ang="0">
                <a:pos x="connsiteX11298" y="connsiteY11298"/>
              </a:cxn>
              <a:cxn ang="0">
                <a:pos x="connsiteX11299" y="connsiteY11299"/>
              </a:cxn>
              <a:cxn ang="0">
                <a:pos x="connsiteX11300" y="connsiteY11300"/>
              </a:cxn>
              <a:cxn ang="0">
                <a:pos x="connsiteX11301" y="connsiteY11301"/>
              </a:cxn>
              <a:cxn ang="0">
                <a:pos x="connsiteX11302" y="connsiteY11302"/>
              </a:cxn>
              <a:cxn ang="0">
                <a:pos x="connsiteX11303" y="connsiteY11303"/>
              </a:cxn>
              <a:cxn ang="0">
                <a:pos x="connsiteX11304" y="connsiteY11304"/>
              </a:cxn>
              <a:cxn ang="0">
                <a:pos x="connsiteX11305" y="connsiteY11305"/>
              </a:cxn>
              <a:cxn ang="0">
                <a:pos x="connsiteX11306" y="connsiteY11306"/>
              </a:cxn>
              <a:cxn ang="0">
                <a:pos x="connsiteX11307" y="connsiteY11307"/>
              </a:cxn>
              <a:cxn ang="0">
                <a:pos x="connsiteX11308" y="connsiteY11308"/>
              </a:cxn>
              <a:cxn ang="0">
                <a:pos x="connsiteX11309" y="connsiteY11309"/>
              </a:cxn>
              <a:cxn ang="0">
                <a:pos x="connsiteX11310" y="connsiteY11310"/>
              </a:cxn>
              <a:cxn ang="0">
                <a:pos x="connsiteX11311" y="connsiteY11311"/>
              </a:cxn>
              <a:cxn ang="0">
                <a:pos x="connsiteX11312" y="connsiteY11312"/>
              </a:cxn>
              <a:cxn ang="0">
                <a:pos x="connsiteX11313" y="connsiteY11313"/>
              </a:cxn>
              <a:cxn ang="0">
                <a:pos x="connsiteX11314" y="connsiteY11314"/>
              </a:cxn>
              <a:cxn ang="0">
                <a:pos x="connsiteX11315" y="connsiteY11315"/>
              </a:cxn>
              <a:cxn ang="0">
                <a:pos x="connsiteX11316" y="connsiteY11316"/>
              </a:cxn>
              <a:cxn ang="0">
                <a:pos x="connsiteX11317" y="connsiteY11317"/>
              </a:cxn>
              <a:cxn ang="0">
                <a:pos x="connsiteX11318" y="connsiteY11318"/>
              </a:cxn>
              <a:cxn ang="0">
                <a:pos x="connsiteX11319" y="connsiteY11319"/>
              </a:cxn>
              <a:cxn ang="0">
                <a:pos x="connsiteX11320" y="connsiteY11320"/>
              </a:cxn>
              <a:cxn ang="0">
                <a:pos x="connsiteX11321" y="connsiteY11321"/>
              </a:cxn>
              <a:cxn ang="0">
                <a:pos x="connsiteX11322" y="connsiteY11322"/>
              </a:cxn>
              <a:cxn ang="0">
                <a:pos x="connsiteX11323" y="connsiteY11323"/>
              </a:cxn>
              <a:cxn ang="0">
                <a:pos x="connsiteX11324" y="connsiteY11324"/>
              </a:cxn>
              <a:cxn ang="0">
                <a:pos x="connsiteX11325" y="connsiteY11325"/>
              </a:cxn>
              <a:cxn ang="0">
                <a:pos x="connsiteX11326" y="connsiteY11326"/>
              </a:cxn>
              <a:cxn ang="0">
                <a:pos x="connsiteX11327" y="connsiteY11327"/>
              </a:cxn>
              <a:cxn ang="0">
                <a:pos x="connsiteX11328" y="connsiteY11328"/>
              </a:cxn>
              <a:cxn ang="0">
                <a:pos x="connsiteX11329" y="connsiteY11329"/>
              </a:cxn>
              <a:cxn ang="0">
                <a:pos x="connsiteX11330" y="connsiteY11330"/>
              </a:cxn>
              <a:cxn ang="0">
                <a:pos x="connsiteX11331" y="connsiteY11331"/>
              </a:cxn>
              <a:cxn ang="0">
                <a:pos x="connsiteX11332" y="connsiteY11332"/>
              </a:cxn>
              <a:cxn ang="0">
                <a:pos x="connsiteX11333" y="connsiteY11333"/>
              </a:cxn>
              <a:cxn ang="0">
                <a:pos x="connsiteX11334" y="connsiteY11334"/>
              </a:cxn>
              <a:cxn ang="0">
                <a:pos x="connsiteX11335" y="connsiteY11335"/>
              </a:cxn>
              <a:cxn ang="0">
                <a:pos x="connsiteX11336" y="connsiteY11336"/>
              </a:cxn>
              <a:cxn ang="0">
                <a:pos x="connsiteX11337" y="connsiteY11337"/>
              </a:cxn>
              <a:cxn ang="0">
                <a:pos x="connsiteX11338" y="connsiteY11338"/>
              </a:cxn>
              <a:cxn ang="0">
                <a:pos x="connsiteX11339" y="connsiteY11339"/>
              </a:cxn>
              <a:cxn ang="0">
                <a:pos x="connsiteX11340" y="connsiteY11340"/>
              </a:cxn>
              <a:cxn ang="0">
                <a:pos x="connsiteX11341" y="connsiteY11341"/>
              </a:cxn>
              <a:cxn ang="0">
                <a:pos x="connsiteX11342" y="connsiteY11342"/>
              </a:cxn>
              <a:cxn ang="0">
                <a:pos x="connsiteX11343" y="connsiteY11343"/>
              </a:cxn>
              <a:cxn ang="0">
                <a:pos x="connsiteX11344" y="connsiteY11344"/>
              </a:cxn>
              <a:cxn ang="0">
                <a:pos x="connsiteX11345" y="connsiteY11345"/>
              </a:cxn>
              <a:cxn ang="0">
                <a:pos x="connsiteX11346" y="connsiteY11346"/>
              </a:cxn>
              <a:cxn ang="0">
                <a:pos x="connsiteX11347" y="connsiteY11347"/>
              </a:cxn>
              <a:cxn ang="0">
                <a:pos x="connsiteX11348" y="connsiteY11348"/>
              </a:cxn>
              <a:cxn ang="0">
                <a:pos x="connsiteX11349" y="connsiteY11349"/>
              </a:cxn>
              <a:cxn ang="0">
                <a:pos x="connsiteX11350" y="connsiteY11350"/>
              </a:cxn>
              <a:cxn ang="0">
                <a:pos x="connsiteX11351" y="connsiteY11351"/>
              </a:cxn>
              <a:cxn ang="0">
                <a:pos x="connsiteX11352" y="connsiteY11352"/>
              </a:cxn>
              <a:cxn ang="0">
                <a:pos x="connsiteX11353" y="connsiteY11353"/>
              </a:cxn>
              <a:cxn ang="0">
                <a:pos x="connsiteX11354" y="connsiteY11354"/>
              </a:cxn>
              <a:cxn ang="0">
                <a:pos x="connsiteX11355" y="connsiteY11355"/>
              </a:cxn>
              <a:cxn ang="0">
                <a:pos x="connsiteX11356" y="connsiteY11356"/>
              </a:cxn>
              <a:cxn ang="0">
                <a:pos x="connsiteX11357" y="connsiteY11357"/>
              </a:cxn>
              <a:cxn ang="0">
                <a:pos x="connsiteX11358" y="connsiteY11358"/>
              </a:cxn>
              <a:cxn ang="0">
                <a:pos x="connsiteX11359" y="connsiteY11359"/>
              </a:cxn>
              <a:cxn ang="0">
                <a:pos x="connsiteX11360" y="connsiteY11360"/>
              </a:cxn>
              <a:cxn ang="0">
                <a:pos x="connsiteX11361" y="connsiteY11361"/>
              </a:cxn>
              <a:cxn ang="0">
                <a:pos x="connsiteX11362" y="connsiteY11362"/>
              </a:cxn>
              <a:cxn ang="0">
                <a:pos x="connsiteX11363" y="connsiteY11363"/>
              </a:cxn>
              <a:cxn ang="0">
                <a:pos x="connsiteX11364" y="connsiteY11364"/>
              </a:cxn>
              <a:cxn ang="0">
                <a:pos x="connsiteX11365" y="connsiteY11365"/>
              </a:cxn>
              <a:cxn ang="0">
                <a:pos x="connsiteX11366" y="connsiteY11366"/>
              </a:cxn>
              <a:cxn ang="0">
                <a:pos x="connsiteX11367" y="connsiteY11367"/>
              </a:cxn>
              <a:cxn ang="0">
                <a:pos x="connsiteX11368" y="connsiteY11368"/>
              </a:cxn>
              <a:cxn ang="0">
                <a:pos x="connsiteX11369" y="connsiteY11369"/>
              </a:cxn>
              <a:cxn ang="0">
                <a:pos x="connsiteX11370" y="connsiteY11370"/>
              </a:cxn>
              <a:cxn ang="0">
                <a:pos x="connsiteX11371" y="connsiteY11371"/>
              </a:cxn>
              <a:cxn ang="0">
                <a:pos x="connsiteX11372" y="connsiteY11372"/>
              </a:cxn>
              <a:cxn ang="0">
                <a:pos x="connsiteX11373" y="connsiteY11373"/>
              </a:cxn>
              <a:cxn ang="0">
                <a:pos x="connsiteX11374" y="connsiteY11374"/>
              </a:cxn>
              <a:cxn ang="0">
                <a:pos x="connsiteX11375" y="connsiteY11375"/>
              </a:cxn>
              <a:cxn ang="0">
                <a:pos x="connsiteX11376" y="connsiteY11376"/>
              </a:cxn>
              <a:cxn ang="0">
                <a:pos x="connsiteX11377" y="connsiteY11377"/>
              </a:cxn>
              <a:cxn ang="0">
                <a:pos x="connsiteX11378" y="connsiteY11378"/>
              </a:cxn>
              <a:cxn ang="0">
                <a:pos x="connsiteX11379" y="connsiteY11379"/>
              </a:cxn>
              <a:cxn ang="0">
                <a:pos x="connsiteX11380" y="connsiteY11380"/>
              </a:cxn>
              <a:cxn ang="0">
                <a:pos x="connsiteX11381" y="connsiteY11381"/>
              </a:cxn>
              <a:cxn ang="0">
                <a:pos x="connsiteX11382" y="connsiteY11382"/>
              </a:cxn>
              <a:cxn ang="0">
                <a:pos x="connsiteX11383" y="connsiteY11383"/>
              </a:cxn>
              <a:cxn ang="0">
                <a:pos x="connsiteX11384" y="connsiteY11384"/>
              </a:cxn>
              <a:cxn ang="0">
                <a:pos x="connsiteX11385" y="connsiteY11385"/>
              </a:cxn>
              <a:cxn ang="0">
                <a:pos x="connsiteX11386" y="connsiteY11386"/>
              </a:cxn>
              <a:cxn ang="0">
                <a:pos x="connsiteX11387" y="connsiteY11387"/>
              </a:cxn>
              <a:cxn ang="0">
                <a:pos x="connsiteX11388" y="connsiteY11388"/>
              </a:cxn>
              <a:cxn ang="0">
                <a:pos x="connsiteX11389" y="connsiteY11389"/>
              </a:cxn>
              <a:cxn ang="0">
                <a:pos x="connsiteX11390" y="connsiteY11390"/>
              </a:cxn>
              <a:cxn ang="0">
                <a:pos x="connsiteX11391" y="connsiteY11391"/>
              </a:cxn>
              <a:cxn ang="0">
                <a:pos x="connsiteX11392" y="connsiteY11392"/>
              </a:cxn>
              <a:cxn ang="0">
                <a:pos x="connsiteX11393" y="connsiteY11393"/>
              </a:cxn>
              <a:cxn ang="0">
                <a:pos x="connsiteX11394" y="connsiteY11394"/>
              </a:cxn>
              <a:cxn ang="0">
                <a:pos x="connsiteX11395" y="connsiteY11395"/>
              </a:cxn>
              <a:cxn ang="0">
                <a:pos x="connsiteX11396" y="connsiteY11396"/>
              </a:cxn>
              <a:cxn ang="0">
                <a:pos x="connsiteX11397" y="connsiteY11397"/>
              </a:cxn>
              <a:cxn ang="0">
                <a:pos x="connsiteX11398" y="connsiteY11398"/>
              </a:cxn>
              <a:cxn ang="0">
                <a:pos x="connsiteX11399" y="connsiteY11399"/>
              </a:cxn>
              <a:cxn ang="0">
                <a:pos x="connsiteX11400" y="connsiteY11400"/>
              </a:cxn>
              <a:cxn ang="0">
                <a:pos x="connsiteX11401" y="connsiteY11401"/>
              </a:cxn>
              <a:cxn ang="0">
                <a:pos x="connsiteX11402" y="connsiteY11402"/>
              </a:cxn>
              <a:cxn ang="0">
                <a:pos x="connsiteX11403" y="connsiteY11403"/>
              </a:cxn>
              <a:cxn ang="0">
                <a:pos x="connsiteX11404" y="connsiteY11404"/>
              </a:cxn>
              <a:cxn ang="0">
                <a:pos x="connsiteX11405" y="connsiteY11405"/>
              </a:cxn>
              <a:cxn ang="0">
                <a:pos x="connsiteX11406" y="connsiteY11406"/>
              </a:cxn>
              <a:cxn ang="0">
                <a:pos x="connsiteX11407" y="connsiteY11407"/>
              </a:cxn>
              <a:cxn ang="0">
                <a:pos x="connsiteX11408" y="connsiteY11408"/>
              </a:cxn>
              <a:cxn ang="0">
                <a:pos x="connsiteX11409" y="connsiteY11409"/>
              </a:cxn>
              <a:cxn ang="0">
                <a:pos x="connsiteX11410" y="connsiteY11410"/>
              </a:cxn>
              <a:cxn ang="0">
                <a:pos x="connsiteX11411" y="connsiteY11411"/>
              </a:cxn>
              <a:cxn ang="0">
                <a:pos x="connsiteX11412" y="connsiteY11412"/>
              </a:cxn>
              <a:cxn ang="0">
                <a:pos x="connsiteX11413" y="connsiteY11413"/>
              </a:cxn>
              <a:cxn ang="0">
                <a:pos x="connsiteX11414" y="connsiteY11414"/>
              </a:cxn>
              <a:cxn ang="0">
                <a:pos x="connsiteX11415" y="connsiteY11415"/>
              </a:cxn>
              <a:cxn ang="0">
                <a:pos x="connsiteX11416" y="connsiteY11416"/>
              </a:cxn>
              <a:cxn ang="0">
                <a:pos x="connsiteX11417" y="connsiteY11417"/>
              </a:cxn>
              <a:cxn ang="0">
                <a:pos x="connsiteX11418" y="connsiteY11418"/>
              </a:cxn>
              <a:cxn ang="0">
                <a:pos x="connsiteX11419" y="connsiteY11419"/>
              </a:cxn>
              <a:cxn ang="0">
                <a:pos x="connsiteX11420" y="connsiteY11420"/>
              </a:cxn>
              <a:cxn ang="0">
                <a:pos x="connsiteX11421" y="connsiteY11421"/>
              </a:cxn>
              <a:cxn ang="0">
                <a:pos x="connsiteX11422" y="connsiteY11422"/>
              </a:cxn>
              <a:cxn ang="0">
                <a:pos x="connsiteX11423" y="connsiteY11423"/>
              </a:cxn>
              <a:cxn ang="0">
                <a:pos x="connsiteX11424" y="connsiteY11424"/>
              </a:cxn>
              <a:cxn ang="0">
                <a:pos x="connsiteX11425" y="connsiteY11425"/>
              </a:cxn>
              <a:cxn ang="0">
                <a:pos x="connsiteX11426" y="connsiteY11426"/>
              </a:cxn>
              <a:cxn ang="0">
                <a:pos x="connsiteX11427" y="connsiteY11427"/>
              </a:cxn>
              <a:cxn ang="0">
                <a:pos x="connsiteX11428" y="connsiteY11428"/>
              </a:cxn>
              <a:cxn ang="0">
                <a:pos x="connsiteX11429" y="connsiteY11429"/>
              </a:cxn>
              <a:cxn ang="0">
                <a:pos x="connsiteX11430" y="connsiteY11430"/>
              </a:cxn>
              <a:cxn ang="0">
                <a:pos x="connsiteX11431" y="connsiteY11431"/>
              </a:cxn>
              <a:cxn ang="0">
                <a:pos x="connsiteX11432" y="connsiteY11432"/>
              </a:cxn>
              <a:cxn ang="0">
                <a:pos x="connsiteX11433" y="connsiteY11433"/>
              </a:cxn>
              <a:cxn ang="0">
                <a:pos x="connsiteX11434" y="connsiteY11434"/>
              </a:cxn>
              <a:cxn ang="0">
                <a:pos x="connsiteX11435" y="connsiteY11435"/>
              </a:cxn>
              <a:cxn ang="0">
                <a:pos x="connsiteX11436" y="connsiteY11436"/>
              </a:cxn>
              <a:cxn ang="0">
                <a:pos x="connsiteX11437" y="connsiteY11437"/>
              </a:cxn>
              <a:cxn ang="0">
                <a:pos x="connsiteX11438" y="connsiteY11438"/>
              </a:cxn>
              <a:cxn ang="0">
                <a:pos x="connsiteX11439" y="connsiteY11439"/>
              </a:cxn>
              <a:cxn ang="0">
                <a:pos x="connsiteX11440" y="connsiteY11440"/>
              </a:cxn>
              <a:cxn ang="0">
                <a:pos x="connsiteX11441" y="connsiteY11441"/>
              </a:cxn>
              <a:cxn ang="0">
                <a:pos x="connsiteX11442" y="connsiteY11442"/>
              </a:cxn>
              <a:cxn ang="0">
                <a:pos x="connsiteX11443" y="connsiteY11443"/>
              </a:cxn>
              <a:cxn ang="0">
                <a:pos x="connsiteX11444" y="connsiteY11444"/>
              </a:cxn>
              <a:cxn ang="0">
                <a:pos x="connsiteX11445" y="connsiteY11445"/>
              </a:cxn>
              <a:cxn ang="0">
                <a:pos x="connsiteX11446" y="connsiteY11446"/>
              </a:cxn>
              <a:cxn ang="0">
                <a:pos x="connsiteX11447" y="connsiteY11447"/>
              </a:cxn>
              <a:cxn ang="0">
                <a:pos x="connsiteX11448" y="connsiteY11448"/>
              </a:cxn>
              <a:cxn ang="0">
                <a:pos x="connsiteX11449" y="connsiteY11449"/>
              </a:cxn>
              <a:cxn ang="0">
                <a:pos x="connsiteX11450" y="connsiteY11450"/>
              </a:cxn>
              <a:cxn ang="0">
                <a:pos x="connsiteX11451" y="connsiteY11451"/>
              </a:cxn>
              <a:cxn ang="0">
                <a:pos x="connsiteX11452" y="connsiteY11452"/>
              </a:cxn>
              <a:cxn ang="0">
                <a:pos x="connsiteX11453" y="connsiteY11453"/>
              </a:cxn>
              <a:cxn ang="0">
                <a:pos x="connsiteX11454" y="connsiteY11454"/>
              </a:cxn>
              <a:cxn ang="0">
                <a:pos x="connsiteX11455" y="connsiteY11455"/>
              </a:cxn>
              <a:cxn ang="0">
                <a:pos x="connsiteX11456" y="connsiteY11456"/>
              </a:cxn>
              <a:cxn ang="0">
                <a:pos x="connsiteX11457" y="connsiteY11457"/>
              </a:cxn>
              <a:cxn ang="0">
                <a:pos x="connsiteX11458" y="connsiteY11458"/>
              </a:cxn>
              <a:cxn ang="0">
                <a:pos x="connsiteX11459" y="connsiteY11459"/>
              </a:cxn>
              <a:cxn ang="0">
                <a:pos x="connsiteX11460" y="connsiteY11460"/>
              </a:cxn>
              <a:cxn ang="0">
                <a:pos x="connsiteX11461" y="connsiteY11461"/>
              </a:cxn>
              <a:cxn ang="0">
                <a:pos x="connsiteX11462" y="connsiteY11462"/>
              </a:cxn>
              <a:cxn ang="0">
                <a:pos x="connsiteX11463" y="connsiteY11463"/>
              </a:cxn>
              <a:cxn ang="0">
                <a:pos x="connsiteX11464" y="connsiteY11464"/>
              </a:cxn>
              <a:cxn ang="0">
                <a:pos x="connsiteX11465" y="connsiteY11465"/>
              </a:cxn>
              <a:cxn ang="0">
                <a:pos x="connsiteX11466" y="connsiteY11466"/>
              </a:cxn>
              <a:cxn ang="0">
                <a:pos x="connsiteX11467" y="connsiteY11467"/>
              </a:cxn>
              <a:cxn ang="0">
                <a:pos x="connsiteX11468" y="connsiteY11468"/>
              </a:cxn>
              <a:cxn ang="0">
                <a:pos x="connsiteX11469" y="connsiteY11469"/>
              </a:cxn>
              <a:cxn ang="0">
                <a:pos x="connsiteX11470" y="connsiteY11470"/>
              </a:cxn>
              <a:cxn ang="0">
                <a:pos x="connsiteX11471" y="connsiteY11471"/>
              </a:cxn>
              <a:cxn ang="0">
                <a:pos x="connsiteX11472" y="connsiteY11472"/>
              </a:cxn>
              <a:cxn ang="0">
                <a:pos x="connsiteX11473" y="connsiteY11473"/>
              </a:cxn>
              <a:cxn ang="0">
                <a:pos x="connsiteX11474" y="connsiteY11474"/>
              </a:cxn>
              <a:cxn ang="0">
                <a:pos x="connsiteX11475" y="connsiteY11475"/>
              </a:cxn>
              <a:cxn ang="0">
                <a:pos x="connsiteX11476" y="connsiteY11476"/>
              </a:cxn>
              <a:cxn ang="0">
                <a:pos x="connsiteX11477" y="connsiteY11477"/>
              </a:cxn>
              <a:cxn ang="0">
                <a:pos x="connsiteX11478" y="connsiteY11478"/>
              </a:cxn>
              <a:cxn ang="0">
                <a:pos x="connsiteX11479" y="connsiteY11479"/>
              </a:cxn>
              <a:cxn ang="0">
                <a:pos x="connsiteX11480" y="connsiteY11480"/>
              </a:cxn>
              <a:cxn ang="0">
                <a:pos x="connsiteX11481" y="connsiteY11481"/>
              </a:cxn>
              <a:cxn ang="0">
                <a:pos x="connsiteX11482" y="connsiteY11482"/>
              </a:cxn>
              <a:cxn ang="0">
                <a:pos x="connsiteX11483" y="connsiteY11483"/>
              </a:cxn>
              <a:cxn ang="0">
                <a:pos x="connsiteX11484" y="connsiteY11484"/>
              </a:cxn>
              <a:cxn ang="0">
                <a:pos x="connsiteX11485" y="connsiteY11485"/>
              </a:cxn>
              <a:cxn ang="0">
                <a:pos x="connsiteX11486" y="connsiteY11486"/>
              </a:cxn>
              <a:cxn ang="0">
                <a:pos x="connsiteX11487" y="connsiteY11487"/>
              </a:cxn>
              <a:cxn ang="0">
                <a:pos x="connsiteX11488" y="connsiteY11488"/>
              </a:cxn>
              <a:cxn ang="0">
                <a:pos x="connsiteX11489" y="connsiteY11489"/>
              </a:cxn>
              <a:cxn ang="0">
                <a:pos x="connsiteX11490" y="connsiteY11490"/>
              </a:cxn>
              <a:cxn ang="0">
                <a:pos x="connsiteX11491" y="connsiteY11491"/>
              </a:cxn>
              <a:cxn ang="0">
                <a:pos x="connsiteX11492" y="connsiteY11492"/>
              </a:cxn>
              <a:cxn ang="0">
                <a:pos x="connsiteX11493" y="connsiteY11493"/>
              </a:cxn>
              <a:cxn ang="0">
                <a:pos x="connsiteX11494" y="connsiteY11494"/>
              </a:cxn>
              <a:cxn ang="0">
                <a:pos x="connsiteX11495" y="connsiteY11495"/>
              </a:cxn>
              <a:cxn ang="0">
                <a:pos x="connsiteX11496" y="connsiteY11496"/>
              </a:cxn>
              <a:cxn ang="0">
                <a:pos x="connsiteX11497" y="connsiteY11497"/>
              </a:cxn>
              <a:cxn ang="0">
                <a:pos x="connsiteX11498" y="connsiteY11498"/>
              </a:cxn>
              <a:cxn ang="0">
                <a:pos x="connsiteX11499" y="connsiteY11499"/>
              </a:cxn>
              <a:cxn ang="0">
                <a:pos x="connsiteX11500" y="connsiteY11500"/>
              </a:cxn>
              <a:cxn ang="0">
                <a:pos x="connsiteX11501" y="connsiteY11501"/>
              </a:cxn>
              <a:cxn ang="0">
                <a:pos x="connsiteX11502" y="connsiteY11502"/>
              </a:cxn>
              <a:cxn ang="0">
                <a:pos x="connsiteX11503" y="connsiteY11503"/>
              </a:cxn>
              <a:cxn ang="0">
                <a:pos x="connsiteX11504" y="connsiteY11504"/>
              </a:cxn>
              <a:cxn ang="0">
                <a:pos x="connsiteX11505" y="connsiteY11505"/>
              </a:cxn>
              <a:cxn ang="0">
                <a:pos x="connsiteX11506" y="connsiteY11506"/>
              </a:cxn>
              <a:cxn ang="0">
                <a:pos x="connsiteX11507" y="connsiteY11507"/>
              </a:cxn>
              <a:cxn ang="0">
                <a:pos x="connsiteX11508" y="connsiteY11508"/>
              </a:cxn>
              <a:cxn ang="0">
                <a:pos x="connsiteX11509" y="connsiteY11509"/>
              </a:cxn>
              <a:cxn ang="0">
                <a:pos x="connsiteX11510" y="connsiteY11510"/>
              </a:cxn>
              <a:cxn ang="0">
                <a:pos x="connsiteX11511" y="connsiteY11511"/>
              </a:cxn>
              <a:cxn ang="0">
                <a:pos x="connsiteX11512" y="connsiteY11512"/>
              </a:cxn>
              <a:cxn ang="0">
                <a:pos x="connsiteX11513" y="connsiteY11513"/>
              </a:cxn>
              <a:cxn ang="0">
                <a:pos x="connsiteX11514" y="connsiteY11514"/>
              </a:cxn>
              <a:cxn ang="0">
                <a:pos x="connsiteX11515" y="connsiteY11515"/>
              </a:cxn>
              <a:cxn ang="0">
                <a:pos x="connsiteX11516" y="connsiteY11516"/>
              </a:cxn>
              <a:cxn ang="0">
                <a:pos x="connsiteX11517" y="connsiteY11517"/>
              </a:cxn>
              <a:cxn ang="0">
                <a:pos x="connsiteX11518" y="connsiteY11518"/>
              </a:cxn>
              <a:cxn ang="0">
                <a:pos x="connsiteX11519" y="connsiteY11519"/>
              </a:cxn>
              <a:cxn ang="0">
                <a:pos x="connsiteX11520" y="connsiteY11520"/>
              </a:cxn>
              <a:cxn ang="0">
                <a:pos x="connsiteX11521" y="connsiteY11521"/>
              </a:cxn>
              <a:cxn ang="0">
                <a:pos x="connsiteX11522" y="connsiteY11522"/>
              </a:cxn>
              <a:cxn ang="0">
                <a:pos x="connsiteX11523" y="connsiteY11523"/>
              </a:cxn>
              <a:cxn ang="0">
                <a:pos x="connsiteX11524" y="connsiteY11524"/>
              </a:cxn>
              <a:cxn ang="0">
                <a:pos x="connsiteX11525" y="connsiteY11525"/>
              </a:cxn>
              <a:cxn ang="0">
                <a:pos x="connsiteX11526" y="connsiteY11526"/>
              </a:cxn>
              <a:cxn ang="0">
                <a:pos x="connsiteX11527" y="connsiteY11527"/>
              </a:cxn>
              <a:cxn ang="0">
                <a:pos x="connsiteX11528" y="connsiteY11528"/>
              </a:cxn>
              <a:cxn ang="0">
                <a:pos x="connsiteX11529" y="connsiteY11529"/>
              </a:cxn>
              <a:cxn ang="0">
                <a:pos x="connsiteX11530" y="connsiteY11530"/>
              </a:cxn>
              <a:cxn ang="0">
                <a:pos x="connsiteX11531" y="connsiteY11531"/>
              </a:cxn>
              <a:cxn ang="0">
                <a:pos x="connsiteX11532" y="connsiteY11532"/>
              </a:cxn>
              <a:cxn ang="0">
                <a:pos x="connsiteX11533" y="connsiteY11533"/>
              </a:cxn>
              <a:cxn ang="0">
                <a:pos x="connsiteX11534" y="connsiteY11534"/>
              </a:cxn>
              <a:cxn ang="0">
                <a:pos x="connsiteX11535" y="connsiteY11535"/>
              </a:cxn>
              <a:cxn ang="0">
                <a:pos x="connsiteX11536" y="connsiteY11536"/>
              </a:cxn>
              <a:cxn ang="0">
                <a:pos x="connsiteX11537" y="connsiteY11537"/>
              </a:cxn>
              <a:cxn ang="0">
                <a:pos x="connsiteX11538" y="connsiteY11538"/>
              </a:cxn>
              <a:cxn ang="0">
                <a:pos x="connsiteX11539" y="connsiteY11539"/>
              </a:cxn>
              <a:cxn ang="0">
                <a:pos x="connsiteX11540" y="connsiteY11540"/>
              </a:cxn>
              <a:cxn ang="0">
                <a:pos x="connsiteX11541" y="connsiteY11541"/>
              </a:cxn>
              <a:cxn ang="0">
                <a:pos x="connsiteX11542" y="connsiteY11542"/>
              </a:cxn>
              <a:cxn ang="0">
                <a:pos x="connsiteX11543" y="connsiteY11543"/>
              </a:cxn>
              <a:cxn ang="0">
                <a:pos x="connsiteX11544" y="connsiteY11544"/>
              </a:cxn>
              <a:cxn ang="0">
                <a:pos x="connsiteX11545" y="connsiteY11545"/>
              </a:cxn>
              <a:cxn ang="0">
                <a:pos x="connsiteX11546" y="connsiteY11546"/>
              </a:cxn>
              <a:cxn ang="0">
                <a:pos x="connsiteX11547" y="connsiteY11547"/>
              </a:cxn>
              <a:cxn ang="0">
                <a:pos x="connsiteX11548" y="connsiteY11548"/>
              </a:cxn>
              <a:cxn ang="0">
                <a:pos x="connsiteX11549" y="connsiteY11549"/>
              </a:cxn>
              <a:cxn ang="0">
                <a:pos x="connsiteX11550" y="connsiteY11550"/>
              </a:cxn>
              <a:cxn ang="0">
                <a:pos x="connsiteX11551" y="connsiteY11551"/>
              </a:cxn>
              <a:cxn ang="0">
                <a:pos x="connsiteX11552" y="connsiteY11552"/>
              </a:cxn>
              <a:cxn ang="0">
                <a:pos x="connsiteX11553" y="connsiteY11553"/>
              </a:cxn>
              <a:cxn ang="0">
                <a:pos x="connsiteX11554" y="connsiteY11554"/>
              </a:cxn>
              <a:cxn ang="0">
                <a:pos x="connsiteX11555" y="connsiteY11555"/>
              </a:cxn>
              <a:cxn ang="0">
                <a:pos x="connsiteX11556" y="connsiteY11556"/>
              </a:cxn>
              <a:cxn ang="0">
                <a:pos x="connsiteX11557" y="connsiteY11557"/>
              </a:cxn>
              <a:cxn ang="0">
                <a:pos x="connsiteX11558" y="connsiteY11558"/>
              </a:cxn>
              <a:cxn ang="0">
                <a:pos x="connsiteX11559" y="connsiteY11559"/>
              </a:cxn>
              <a:cxn ang="0">
                <a:pos x="connsiteX11560" y="connsiteY11560"/>
              </a:cxn>
              <a:cxn ang="0">
                <a:pos x="connsiteX11561" y="connsiteY11561"/>
              </a:cxn>
              <a:cxn ang="0">
                <a:pos x="connsiteX11562" y="connsiteY11562"/>
              </a:cxn>
              <a:cxn ang="0">
                <a:pos x="connsiteX11563" y="connsiteY11563"/>
              </a:cxn>
              <a:cxn ang="0">
                <a:pos x="connsiteX11564" y="connsiteY11564"/>
              </a:cxn>
              <a:cxn ang="0">
                <a:pos x="connsiteX11565" y="connsiteY11565"/>
              </a:cxn>
              <a:cxn ang="0">
                <a:pos x="connsiteX11566" y="connsiteY11566"/>
              </a:cxn>
              <a:cxn ang="0">
                <a:pos x="connsiteX11567" y="connsiteY11567"/>
              </a:cxn>
              <a:cxn ang="0">
                <a:pos x="connsiteX11568" y="connsiteY11568"/>
              </a:cxn>
              <a:cxn ang="0">
                <a:pos x="connsiteX11569" y="connsiteY11569"/>
              </a:cxn>
              <a:cxn ang="0">
                <a:pos x="connsiteX11570" y="connsiteY11570"/>
              </a:cxn>
              <a:cxn ang="0">
                <a:pos x="connsiteX11571" y="connsiteY11571"/>
              </a:cxn>
              <a:cxn ang="0">
                <a:pos x="connsiteX11572" y="connsiteY11572"/>
              </a:cxn>
              <a:cxn ang="0">
                <a:pos x="connsiteX11573" y="connsiteY11573"/>
              </a:cxn>
              <a:cxn ang="0">
                <a:pos x="connsiteX11574" y="connsiteY11574"/>
              </a:cxn>
              <a:cxn ang="0">
                <a:pos x="connsiteX11575" y="connsiteY11575"/>
              </a:cxn>
              <a:cxn ang="0">
                <a:pos x="connsiteX11576" y="connsiteY11576"/>
              </a:cxn>
              <a:cxn ang="0">
                <a:pos x="connsiteX11577" y="connsiteY11577"/>
              </a:cxn>
              <a:cxn ang="0">
                <a:pos x="connsiteX11578" y="connsiteY11578"/>
              </a:cxn>
              <a:cxn ang="0">
                <a:pos x="connsiteX11579" y="connsiteY11579"/>
              </a:cxn>
              <a:cxn ang="0">
                <a:pos x="connsiteX11580" y="connsiteY11580"/>
              </a:cxn>
              <a:cxn ang="0">
                <a:pos x="connsiteX11581" y="connsiteY11581"/>
              </a:cxn>
              <a:cxn ang="0">
                <a:pos x="connsiteX11582" y="connsiteY11582"/>
              </a:cxn>
              <a:cxn ang="0">
                <a:pos x="connsiteX11583" y="connsiteY11583"/>
              </a:cxn>
              <a:cxn ang="0">
                <a:pos x="connsiteX11584" y="connsiteY11584"/>
              </a:cxn>
              <a:cxn ang="0">
                <a:pos x="connsiteX11585" y="connsiteY11585"/>
              </a:cxn>
              <a:cxn ang="0">
                <a:pos x="connsiteX11586" y="connsiteY11586"/>
              </a:cxn>
              <a:cxn ang="0">
                <a:pos x="connsiteX11587" y="connsiteY11587"/>
              </a:cxn>
              <a:cxn ang="0">
                <a:pos x="connsiteX11588" y="connsiteY11588"/>
              </a:cxn>
              <a:cxn ang="0">
                <a:pos x="connsiteX11589" y="connsiteY11589"/>
              </a:cxn>
              <a:cxn ang="0">
                <a:pos x="connsiteX11590" y="connsiteY11590"/>
              </a:cxn>
              <a:cxn ang="0">
                <a:pos x="connsiteX11591" y="connsiteY11591"/>
              </a:cxn>
              <a:cxn ang="0">
                <a:pos x="connsiteX11592" y="connsiteY11592"/>
              </a:cxn>
              <a:cxn ang="0">
                <a:pos x="connsiteX11593" y="connsiteY11593"/>
              </a:cxn>
              <a:cxn ang="0">
                <a:pos x="connsiteX11594" y="connsiteY11594"/>
              </a:cxn>
              <a:cxn ang="0">
                <a:pos x="connsiteX11595" y="connsiteY11595"/>
              </a:cxn>
              <a:cxn ang="0">
                <a:pos x="connsiteX11596" y="connsiteY11596"/>
              </a:cxn>
              <a:cxn ang="0">
                <a:pos x="connsiteX11597" y="connsiteY11597"/>
              </a:cxn>
              <a:cxn ang="0">
                <a:pos x="connsiteX11598" y="connsiteY11598"/>
              </a:cxn>
              <a:cxn ang="0">
                <a:pos x="connsiteX11599" y="connsiteY11599"/>
              </a:cxn>
              <a:cxn ang="0">
                <a:pos x="connsiteX11600" y="connsiteY11600"/>
              </a:cxn>
              <a:cxn ang="0">
                <a:pos x="connsiteX11601" y="connsiteY11601"/>
              </a:cxn>
              <a:cxn ang="0">
                <a:pos x="connsiteX11602" y="connsiteY11602"/>
              </a:cxn>
              <a:cxn ang="0">
                <a:pos x="connsiteX11603" y="connsiteY11603"/>
              </a:cxn>
              <a:cxn ang="0">
                <a:pos x="connsiteX11604" y="connsiteY11604"/>
              </a:cxn>
              <a:cxn ang="0">
                <a:pos x="connsiteX11605" y="connsiteY11605"/>
              </a:cxn>
              <a:cxn ang="0">
                <a:pos x="connsiteX11606" y="connsiteY11606"/>
              </a:cxn>
              <a:cxn ang="0">
                <a:pos x="connsiteX11607" y="connsiteY11607"/>
              </a:cxn>
              <a:cxn ang="0">
                <a:pos x="connsiteX11608" y="connsiteY11608"/>
              </a:cxn>
              <a:cxn ang="0">
                <a:pos x="connsiteX11609" y="connsiteY11609"/>
              </a:cxn>
              <a:cxn ang="0">
                <a:pos x="connsiteX11610" y="connsiteY11610"/>
              </a:cxn>
              <a:cxn ang="0">
                <a:pos x="connsiteX11611" y="connsiteY11611"/>
              </a:cxn>
              <a:cxn ang="0">
                <a:pos x="connsiteX11612" y="connsiteY11612"/>
              </a:cxn>
              <a:cxn ang="0">
                <a:pos x="connsiteX11613" y="connsiteY11613"/>
              </a:cxn>
              <a:cxn ang="0">
                <a:pos x="connsiteX11614" y="connsiteY11614"/>
              </a:cxn>
              <a:cxn ang="0">
                <a:pos x="connsiteX11615" y="connsiteY11615"/>
              </a:cxn>
              <a:cxn ang="0">
                <a:pos x="connsiteX11616" y="connsiteY11616"/>
              </a:cxn>
              <a:cxn ang="0">
                <a:pos x="connsiteX11617" y="connsiteY11617"/>
              </a:cxn>
              <a:cxn ang="0">
                <a:pos x="connsiteX11618" y="connsiteY11618"/>
              </a:cxn>
              <a:cxn ang="0">
                <a:pos x="connsiteX11619" y="connsiteY11619"/>
              </a:cxn>
              <a:cxn ang="0">
                <a:pos x="connsiteX11620" y="connsiteY11620"/>
              </a:cxn>
              <a:cxn ang="0">
                <a:pos x="connsiteX11621" y="connsiteY11621"/>
              </a:cxn>
              <a:cxn ang="0">
                <a:pos x="connsiteX11622" y="connsiteY11622"/>
              </a:cxn>
              <a:cxn ang="0">
                <a:pos x="connsiteX11623" y="connsiteY11623"/>
              </a:cxn>
              <a:cxn ang="0">
                <a:pos x="connsiteX11624" y="connsiteY11624"/>
              </a:cxn>
              <a:cxn ang="0">
                <a:pos x="connsiteX11625" y="connsiteY11625"/>
              </a:cxn>
              <a:cxn ang="0">
                <a:pos x="connsiteX11626" y="connsiteY11626"/>
              </a:cxn>
              <a:cxn ang="0">
                <a:pos x="connsiteX11627" y="connsiteY11627"/>
              </a:cxn>
              <a:cxn ang="0">
                <a:pos x="connsiteX11628" y="connsiteY11628"/>
              </a:cxn>
              <a:cxn ang="0">
                <a:pos x="connsiteX11629" y="connsiteY11629"/>
              </a:cxn>
              <a:cxn ang="0">
                <a:pos x="connsiteX11630" y="connsiteY11630"/>
              </a:cxn>
              <a:cxn ang="0">
                <a:pos x="connsiteX11631" y="connsiteY11631"/>
              </a:cxn>
              <a:cxn ang="0">
                <a:pos x="connsiteX11632" y="connsiteY11632"/>
              </a:cxn>
              <a:cxn ang="0">
                <a:pos x="connsiteX11633" y="connsiteY11633"/>
              </a:cxn>
              <a:cxn ang="0">
                <a:pos x="connsiteX11634" y="connsiteY11634"/>
              </a:cxn>
              <a:cxn ang="0">
                <a:pos x="connsiteX11635" y="connsiteY11635"/>
              </a:cxn>
              <a:cxn ang="0">
                <a:pos x="connsiteX11636" y="connsiteY11636"/>
              </a:cxn>
              <a:cxn ang="0">
                <a:pos x="connsiteX11637" y="connsiteY11637"/>
              </a:cxn>
              <a:cxn ang="0">
                <a:pos x="connsiteX11638" y="connsiteY11638"/>
              </a:cxn>
              <a:cxn ang="0">
                <a:pos x="connsiteX11639" y="connsiteY11639"/>
              </a:cxn>
              <a:cxn ang="0">
                <a:pos x="connsiteX11640" y="connsiteY11640"/>
              </a:cxn>
              <a:cxn ang="0">
                <a:pos x="connsiteX11641" y="connsiteY11641"/>
              </a:cxn>
              <a:cxn ang="0">
                <a:pos x="connsiteX11642" y="connsiteY11642"/>
              </a:cxn>
              <a:cxn ang="0">
                <a:pos x="connsiteX11643" y="connsiteY11643"/>
              </a:cxn>
              <a:cxn ang="0">
                <a:pos x="connsiteX11644" y="connsiteY11644"/>
              </a:cxn>
              <a:cxn ang="0">
                <a:pos x="connsiteX11645" y="connsiteY11645"/>
              </a:cxn>
              <a:cxn ang="0">
                <a:pos x="connsiteX11646" y="connsiteY11646"/>
              </a:cxn>
              <a:cxn ang="0">
                <a:pos x="connsiteX11647" y="connsiteY11647"/>
              </a:cxn>
              <a:cxn ang="0">
                <a:pos x="connsiteX11648" y="connsiteY11648"/>
              </a:cxn>
              <a:cxn ang="0">
                <a:pos x="connsiteX11649" y="connsiteY11649"/>
              </a:cxn>
              <a:cxn ang="0">
                <a:pos x="connsiteX11650" y="connsiteY11650"/>
              </a:cxn>
              <a:cxn ang="0">
                <a:pos x="connsiteX11651" y="connsiteY11651"/>
              </a:cxn>
              <a:cxn ang="0">
                <a:pos x="connsiteX11652" y="connsiteY11652"/>
              </a:cxn>
              <a:cxn ang="0">
                <a:pos x="connsiteX11653" y="connsiteY11653"/>
              </a:cxn>
              <a:cxn ang="0">
                <a:pos x="connsiteX11654" y="connsiteY11654"/>
              </a:cxn>
              <a:cxn ang="0">
                <a:pos x="connsiteX11655" y="connsiteY11655"/>
              </a:cxn>
              <a:cxn ang="0">
                <a:pos x="connsiteX11656" y="connsiteY11656"/>
              </a:cxn>
              <a:cxn ang="0">
                <a:pos x="connsiteX11657" y="connsiteY11657"/>
              </a:cxn>
              <a:cxn ang="0">
                <a:pos x="connsiteX11658" y="connsiteY11658"/>
              </a:cxn>
              <a:cxn ang="0">
                <a:pos x="connsiteX11659" y="connsiteY11659"/>
              </a:cxn>
              <a:cxn ang="0">
                <a:pos x="connsiteX11660" y="connsiteY11660"/>
              </a:cxn>
              <a:cxn ang="0">
                <a:pos x="connsiteX11661" y="connsiteY11661"/>
              </a:cxn>
              <a:cxn ang="0">
                <a:pos x="connsiteX11662" y="connsiteY11662"/>
              </a:cxn>
              <a:cxn ang="0">
                <a:pos x="connsiteX11663" y="connsiteY11663"/>
              </a:cxn>
              <a:cxn ang="0">
                <a:pos x="connsiteX11664" y="connsiteY11664"/>
              </a:cxn>
              <a:cxn ang="0">
                <a:pos x="connsiteX11665" y="connsiteY11665"/>
              </a:cxn>
              <a:cxn ang="0">
                <a:pos x="connsiteX11666" y="connsiteY11666"/>
              </a:cxn>
              <a:cxn ang="0">
                <a:pos x="connsiteX11667" y="connsiteY11667"/>
              </a:cxn>
              <a:cxn ang="0">
                <a:pos x="connsiteX11668" y="connsiteY11668"/>
              </a:cxn>
              <a:cxn ang="0">
                <a:pos x="connsiteX11669" y="connsiteY11669"/>
              </a:cxn>
              <a:cxn ang="0">
                <a:pos x="connsiteX11670" y="connsiteY11670"/>
              </a:cxn>
              <a:cxn ang="0">
                <a:pos x="connsiteX11671" y="connsiteY11671"/>
              </a:cxn>
              <a:cxn ang="0">
                <a:pos x="connsiteX11672" y="connsiteY11672"/>
              </a:cxn>
              <a:cxn ang="0">
                <a:pos x="connsiteX11673" y="connsiteY11673"/>
              </a:cxn>
              <a:cxn ang="0">
                <a:pos x="connsiteX11674" y="connsiteY11674"/>
              </a:cxn>
              <a:cxn ang="0">
                <a:pos x="connsiteX11675" y="connsiteY11675"/>
              </a:cxn>
              <a:cxn ang="0">
                <a:pos x="connsiteX11676" y="connsiteY11676"/>
              </a:cxn>
              <a:cxn ang="0">
                <a:pos x="connsiteX11677" y="connsiteY11677"/>
              </a:cxn>
              <a:cxn ang="0">
                <a:pos x="connsiteX11678" y="connsiteY11678"/>
              </a:cxn>
              <a:cxn ang="0">
                <a:pos x="connsiteX11679" y="connsiteY11679"/>
              </a:cxn>
              <a:cxn ang="0">
                <a:pos x="connsiteX11680" y="connsiteY11680"/>
              </a:cxn>
              <a:cxn ang="0">
                <a:pos x="connsiteX11681" y="connsiteY11681"/>
              </a:cxn>
              <a:cxn ang="0">
                <a:pos x="connsiteX11682" y="connsiteY11682"/>
              </a:cxn>
              <a:cxn ang="0">
                <a:pos x="connsiteX11683" y="connsiteY11683"/>
              </a:cxn>
              <a:cxn ang="0">
                <a:pos x="connsiteX11684" y="connsiteY11684"/>
              </a:cxn>
              <a:cxn ang="0">
                <a:pos x="connsiteX11685" y="connsiteY11685"/>
              </a:cxn>
              <a:cxn ang="0">
                <a:pos x="connsiteX11686" y="connsiteY11686"/>
              </a:cxn>
              <a:cxn ang="0">
                <a:pos x="connsiteX11687" y="connsiteY11687"/>
              </a:cxn>
              <a:cxn ang="0">
                <a:pos x="connsiteX11688" y="connsiteY11688"/>
              </a:cxn>
              <a:cxn ang="0">
                <a:pos x="connsiteX11689" y="connsiteY11689"/>
              </a:cxn>
              <a:cxn ang="0">
                <a:pos x="connsiteX11690" y="connsiteY11690"/>
              </a:cxn>
              <a:cxn ang="0">
                <a:pos x="connsiteX11691" y="connsiteY11691"/>
              </a:cxn>
              <a:cxn ang="0">
                <a:pos x="connsiteX11692" y="connsiteY11692"/>
              </a:cxn>
              <a:cxn ang="0">
                <a:pos x="connsiteX11693" y="connsiteY11693"/>
              </a:cxn>
              <a:cxn ang="0">
                <a:pos x="connsiteX11694" y="connsiteY11694"/>
              </a:cxn>
              <a:cxn ang="0">
                <a:pos x="connsiteX11695" y="connsiteY11695"/>
              </a:cxn>
              <a:cxn ang="0">
                <a:pos x="connsiteX11696" y="connsiteY11696"/>
              </a:cxn>
              <a:cxn ang="0">
                <a:pos x="connsiteX11697" y="connsiteY11697"/>
              </a:cxn>
              <a:cxn ang="0">
                <a:pos x="connsiteX11698" y="connsiteY11698"/>
              </a:cxn>
              <a:cxn ang="0">
                <a:pos x="connsiteX11699" y="connsiteY11699"/>
              </a:cxn>
              <a:cxn ang="0">
                <a:pos x="connsiteX11700" y="connsiteY11700"/>
              </a:cxn>
              <a:cxn ang="0">
                <a:pos x="connsiteX11701" y="connsiteY11701"/>
              </a:cxn>
              <a:cxn ang="0">
                <a:pos x="connsiteX11702" y="connsiteY11702"/>
              </a:cxn>
              <a:cxn ang="0">
                <a:pos x="connsiteX11703" y="connsiteY11703"/>
              </a:cxn>
              <a:cxn ang="0">
                <a:pos x="connsiteX11704" y="connsiteY11704"/>
              </a:cxn>
              <a:cxn ang="0">
                <a:pos x="connsiteX11705" y="connsiteY11705"/>
              </a:cxn>
              <a:cxn ang="0">
                <a:pos x="connsiteX11706" y="connsiteY11706"/>
              </a:cxn>
              <a:cxn ang="0">
                <a:pos x="connsiteX11707" y="connsiteY11707"/>
              </a:cxn>
              <a:cxn ang="0">
                <a:pos x="connsiteX11708" y="connsiteY11708"/>
              </a:cxn>
              <a:cxn ang="0">
                <a:pos x="connsiteX11709" y="connsiteY11709"/>
              </a:cxn>
              <a:cxn ang="0">
                <a:pos x="connsiteX11710" y="connsiteY11710"/>
              </a:cxn>
              <a:cxn ang="0">
                <a:pos x="connsiteX11711" y="connsiteY11711"/>
              </a:cxn>
              <a:cxn ang="0">
                <a:pos x="connsiteX11712" y="connsiteY11712"/>
              </a:cxn>
              <a:cxn ang="0">
                <a:pos x="connsiteX11713" y="connsiteY11713"/>
              </a:cxn>
              <a:cxn ang="0">
                <a:pos x="connsiteX11714" y="connsiteY11714"/>
              </a:cxn>
              <a:cxn ang="0">
                <a:pos x="connsiteX11715" y="connsiteY11715"/>
              </a:cxn>
              <a:cxn ang="0">
                <a:pos x="connsiteX11716" y="connsiteY11716"/>
              </a:cxn>
              <a:cxn ang="0">
                <a:pos x="connsiteX11717" y="connsiteY11717"/>
              </a:cxn>
              <a:cxn ang="0">
                <a:pos x="connsiteX11718" y="connsiteY11718"/>
              </a:cxn>
              <a:cxn ang="0">
                <a:pos x="connsiteX11719" y="connsiteY11719"/>
              </a:cxn>
              <a:cxn ang="0">
                <a:pos x="connsiteX11720" y="connsiteY11720"/>
              </a:cxn>
              <a:cxn ang="0">
                <a:pos x="connsiteX11721" y="connsiteY11721"/>
              </a:cxn>
              <a:cxn ang="0">
                <a:pos x="connsiteX11722" y="connsiteY11722"/>
              </a:cxn>
              <a:cxn ang="0">
                <a:pos x="connsiteX11723" y="connsiteY11723"/>
              </a:cxn>
              <a:cxn ang="0">
                <a:pos x="connsiteX11724" y="connsiteY11724"/>
              </a:cxn>
              <a:cxn ang="0">
                <a:pos x="connsiteX11725" y="connsiteY11725"/>
              </a:cxn>
              <a:cxn ang="0">
                <a:pos x="connsiteX11726" y="connsiteY11726"/>
              </a:cxn>
              <a:cxn ang="0">
                <a:pos x="connsiteX11727" y="connsiteY11727"/>
              </a:cxn>
              <a:cxn ang="0">
                <a:pos x="connsiteX11728" y="connsiteY11728"/>
              </a:cxn>
              <a:cxn ang="0">
                <a:pos x="connsiteX11729" y="connsiteY11729"/>
              </a:cxn>
              <a:cxn ang="0">
                <a:pos x="connsiteX11730" y="connsiteY11730"/>
              </a:cxn>
              <a:cxn ang="0">
                <a:pos x="connsiteX11731" y="connsiteY11731"/>
              </a:cxn>
              <a:cxn ang="0">
                <a:pos x="connsiteX11732" y="connsiteY11732"/>
              </a:cxn>
              <a:cxn ang="0">
                <a:pos x="connsiteX11733" y="connsiteY11733"/>
              </a:cxn>
              <a:cxn ang="0">
                <a:pos x="connsiteX11734" y="connsiteY11734"/>
              </a:cxn>
              <a:cxn ang="0">
                <a:pos x="connsiteX11735" y="connsiteY11735"/>
              </a:cxn>
              <a:cxn ang="0">
                <a:pos x="connsiteX11736" y="connsiteY11736"/>
              </a:cxn>
              <a:cxn ang="0">
                <a:pos x="connsiteX11737" y="connsiteY11737"/>
              </a:cxn>
              <a:cxn ang="0">
                <a:pos x="connsiteX11738" y="connsiteY11738"/>
              </a:cxn>
              <a:cxn ang="0">
                <a:pos x="connsiteX11739" y="connsiteY11739"/>
              </a:cxn>
              <a:cxn ang="0">
                <a:pos x="connsiteX11740" y="connsiteY11740"/>
              </a:cxn>
              <a:cxn ang="0">
                <a:pos x="connsiteX11741" y="connsiteY11741"/>
              </a:cxn>
              <a:cxn ang="0">
                <a:pos x="connsiteX11742" y="connsiteY11742"/>
              </a:cxn>
              <a:cxn ang="0">
                <a:pos x="connsiteX11743" y="connsiteY11743"/>
              </a:cxn>
              <a:cxn ang="0">
                <a:pos x="connsiteX11744" y="connsiteY11744"/>
              </a:cxn>
              <a:cxn ang="0">
                <a:pos x="connsiteX11745" y="connsiteY11745"/>
              </a:cxn>
              <a:cxn ang="0">
                <a:pos x="connsiteX11746" y="connsiteY11746"/>
              </a:cxn>
              <a:cxn ang="0">
                <a:pos x="connsiteX11747" y="connsiteY11747"/>
              </a:cxn>
              <a:cxn ang="0">
                <a:pos x="connsiteX11748" y="connsiteY11748"/>
              </a:cxn>
              <a:cxn ang="0">
                <a:pos x="connsiteX11749" y="connsiteY11749"/>
              </a:cxn>
              <a:cxn ang="0">
                <a:pos x="connsiteX11750" y="connsiteY11750"/>
              </a:cxn>
              <a:cxn ang="0">
                <a:pos x="connsiteX11751" y="connsiteY11751"/>
              </a:cxn>
              <a:cxn ang="0">
                <a:pos x="connsiteX11752" y="connsiteY11752"/>
              </a:cxn>
              <a:cxn ang="0">
                <a:pos x="connsiteX11753" y="connsiteY11753"/>
              </a:cxn>
              <a:cxn ang="0">
                <a:pos x="connsiteX11754" y="connsiteY11754"/>
              </a:cxn>
              <a:cxn ang="0">
                <a:pos x="connsiteX11755" y="connsiteY11755"/>
              </a:cxn>
              <a:cxn ang="0">
                <a:pos x="connsiteX11756" y="connsiteY11756"/>
              </a:cxn>
              <a:cxn ang="0">
                <a:pos x="connsiteX11757" y="connsiteY11757"/>
              </a:cxn>
              <a:cxn ang="0">
                <a:pos x="connsiteX11758" y="connsiteY11758"/>
              </a:cxn>
              <a:cxn ang="0">
                <a:pos x="connsiteX11759" y="connsiteY11759"/>
              </a:cxn>
              <a:cxn ang="0">
                <a:pos x="connsiteX11760" y="connsiteY11760"/>
              </a:cxn>
              <a:cxn ang="0">
                <a:pos x="connsiteX11761" y="connsiteY11761"/>
              </a:cxn>
              <a:cxn ang="0">
                <a:pos x="connsiteX11762" y="connsiteY11762"/>
              </a:cxn>
              <a:cxn ang="0">
                <a:pos x="connsiteX11763" y="connsiteY11763"/>
              </a:cxn>
              <a:cxn ang="0">
                <a:pos x="connsiteX11764" y="connsiteY11764"/>
              </a:cxn>
              <a:cxn ang="0">
                <a:pos x="connsiteX11765" y="connsiteY11765"/>
              </a:cxn>
              <a:cxn ang="0">
                <a:pos x="connsiteX11766" y="connsiteY11766"/>
              </a:cxn>
              <a:cxn ang="0">
                <a:pos x="connsiteX11767" y="connsiteY11767"/>
              </a:cxn>
              <a:cxn ang="0">
                <a:pos x="connsiteX11768" y="connsiteY11768"/>
              </a:cxn>
              <a:cxn ang="0">
                <a:pos x="connsiteX11769" y="connsiteY11769"/>
              </a:cxn>
              <a:cxn ang="0">
                <a:pos x="connsiteX11770" y="connsiteY11770"/>
              </a:cxn>
              <a:cxn ang="0">
                <a:pos x="connsiteX11771" y="connsiteY11771"/>
              </a:cxn>
              <a:cxn ang="0">
                <a:pos x="connsiteX11772" y="connsiteY11772"/>
              </a:cxn>
              <a:cxn ang="0">
                <a:pos x="connsiteX11773" y="connsiteY11773"/>
              </a:cxn>
              <a:cxn ang="0">
                <a:pos x="connsiteX11774" y="connsiteY11774"/>
              </a:cxn>
              <a:cxn ang="0">
                <a:pos x="connsiteX11775" y="connsiteY11775"/>
              </a:cxn>
              <a:cxn ang="0">
                <a:pos x="connsiteX11776" y="connsiteY11776"/>
              </a:cxn>
              <a:cxn ang="0">
                <a:pos x="connsiteX11777" y="connsiteY11777"/>
              </a:cxn>
              <a:cxn ang="0">
                <a:pos x="connsiteX11778" y="connsiteY11778"/>
              </a:cxn>
              <a:cxn ang="0">
                <a:pos x="connsiteX11779" y="connsiteY11779"/>
              </a:cxn>
              <a:cxn ang="0">
                <a:pos x="connsiteX11780" y="connsiteY11780"/>
              </a:cxn>
              <a:cxn ang="0">
                <a:pos x="connsiteX11781" y="connsiteY11781"/>
              </a:cxn>
              <a:cxn ang="0">
                <a:pos x="connsiteX11782" y="connsiteY11782"/>
              </a:cxn>
              <a:cxn ang="0">
                <a:pos x="connsiteX11783" y="connsiteY11783"/>
              </a:cxn>
              <a:cxn ang="0">
                <a:pos x="connsiteX11784" y="connsiteY11784"/>
              </a:cxn>
              <a:cxn ang="0">
                <a:pos x="connsiteX11785" y="connsiteY11785"/>
              </a:cxn>
              <a:cxn ang="0">
                <a:pos x="connsiteX11786" y="connsiteY11786"/>
              </a:cxn>
              <a:cxn ang="0">
                <a:pos x="connsiteX11787" y="connsiteY11787"/>
              </a:cxn>
              <a:cxn ang="0">
                <a:pos x="connsiteX11788" y="connsiteY11788"/>
              </a:cxn>
              <a:cxn ang="0">
                <a:pos x="connsiteX11789" y="connsiteY11789"/>
              </a:cxn>
              <a:cxn ang="0">
                <a:pos x="connsiteX11790" y="connsiteY11790"/>
              </a:cxn>
              <a:cxn ang="0">
                <a:pos x="connsiteX11791" y="connsiteY11791"/>
              </a:cxn>
              <a:cxn ang="0">
                <a:pos x="connsiteX11792" y="connsiteY11792"/>
              </a:cxn>
              <a:cxn ang="0">
                <a:pos x="connsiteX11793" y="connsiteY11793"/>
              </a:cxn>
              <a:cxn ang="0">
                <a:pos x="connsiteX11794" y="connsiteY11794"/>
              </a:cxn>
              <a:cxn ang="0">
                <a:pos x="connsiteX11795" y="connsiteY11795"/>
              </a:cxn>
              <a:cxn ang="0">
                <a:pos x="connsiteX11796" y="connsiteY11796"/>
              </a:cxn>
              <a:cxn ang="0">
                <a:pos x="connsiteX11797" y="connsiteY11797"/>
              </a:cxn>
              <a:cxn ang="0">
                <a:pos x="connsiteX11798" y="connsiteY11798"/>
              </a:cxn>
              <a:cxn ang="0">
                <a:pos x="connsiteX11799" y="connsiteY11799"/>
              </a:cxn>
              <a:cxn ang="0">
                <a:pos x="connsiteX11800" y="connsiteY11800"/>
              </a:cxn>
              <a:cxn ang="0">
                <a:pos x="connsiteX11801" y="connsiteY11801"/>
              </a:cxn>
              <a:cxn ang="0">
                <a:pos x="connsiteX11802" y="connsiteY11802"/>
              </a:cxn>
              <a:cxn ang="0">
                <a:pos x="connsiteX11803" y="connsiteY11803"/>
              </a:cxn>
              <a:cxn ang="0">
                <a:pos x="connsiteX11804" y="connsiteY11804"/>
              </a:cxn>
              <a:cxn ang="0">
                <a:pos x="connsiteX11805" y="connsiteY11805"/>
              </a:cxn>
              <a:cxn ang="0">
                <a:pos x="connsiteX11806" y="connsiteY11806"/>
              </a:cxn>
              <a:cxn ang="0">
                <a:pos x="connsiteX11807" y="connsiteY11807"/>
              </a:cxn>
              <a:cxn ang="0">
                <a:pos x="connsiteX11808" y="connsiteY11808"/>
              </a:cxn>
              <a:cxn ang="0">
                <a:pos x="connsiteX11809" y="connsiteY11809"/>
              </a:cxn>
              <a:cxn ang="0">
                <a:pos x="connsiteX11810" y="connsiteY11810"/>
              </a:cxn>
              <a:cxn ang="0">
                <a:pos x="connsiteX11811" y="connsiteY11811"/>
              </a:cxn>
              <a:cxn ang="0">
                <a:pos x="connsiteX11812" y="connsiteY11812"/>
              </a:cxn>
              <a:cxn ang="0">
                <a:pos x="connsiteX11813" y="connsiteY11813"/>
              </a:cxn>
              <a:cxn ang="0">
                <a:pos x="connsiteX11814" y="connsiteY11814"/>
              </a:cxn>
              <a:cxn ang="0">
                <a:pos x="connsiteX11815" y="connsiteY11815"/>
              </a:cxn>
              <a:cxn ang="0">
                <a:pos x="connsiteX11816" y="connsiteY11816"/>
              </a:cxn>
              <a:cxn ang="0">
                <a:pos x="connsiteX11817" y="connsiteY11817"/>
              </a:cxn>
              <a:cxn ang="0">
                <a:pos x="connsiteX11818" y="connsiteY11818"/>
              </a:cxn>
              <a:cxn ang="0">
                <a:pos x="connsiteX11819" y="connsiteY11819"/>
              </a:cxn>
              <a:cxn ang="0">
                <a:pos x="connsiteX11820" y="connsiteY11820"/>
              </a:cxn>
              <a:cxn ang="0">
                <a:pos x="connsiteX11821" y="connsiteY11821"/>
              </a:cxn>
              <a:cxn ang="0">
                <a:pos x="connsiteX11822" y="connsiteY11822"/>
              </a:cxn>
              <a:cxn ang="0">
                <a:pos x="connsiteX11823" y="connsiteY11823"/>
              </a:cxn>
              <a:cxn ang="0">
                <a:pos x="connsiteX11824" y="connsiteY11824"/>
              </a:cxn>
              <a:cxn ang="0">
                <a:pos x="connsiteX11825" y="connsiteY11825"/>
              </a:cxn>
              <a:cxn ang="0">
                <a:pos x="connsiteX11826" y="connsiteY11826"/>
              </a:cxn>
              <a:cxn ang="0">
                <a:pos x="connsiteX11827" y="connsiteY11827"/>
              </a:cxn>
              <a:cxn ang="0">
                <a:pos x="connsiteX11828" y="connsiteY11828"/>
              </a:cxn>
              <a:cxn ang="0">
                <a:pos x="connsiteX11829" y="connsiteY11829"/>
              </a:cxn>
              <a:cxn ang="0">
                <a:pos x="connsiteX11830" y="connsiteY11830"/>
              </a:cxn>
              <a:cxn ang="0">
                <a:pos x="connsiteX11831" y="connsiteY11831"/>
              </a:cxn>
              <a:cxn ang="0">
                <a:pos x="connsiteX11832" y="connsiteY11832"/>
              </a:cxn>
              <a:cxn ang="0">
                <a:pos x="connsiteX11833" y="connsiteY11833"/>
              </a:cxn>
              <a:cxn ang="0">
                <a:pos x="connsiteX11834" y="connsiteY11834"/>
              </a:cxn>
              <a:cxn ang="0">
                <a:pos x="connsiteX11835" y="connsiteY11835"/>
              </a:cxn>
              <a:cxn ang="0">
                <a:pos x="connsiteX11836" y="connsiteY11836"/>
              </a:cxn>
              <a:cxn ang="0">
                <a:pos x="connsiteX11837" y="connsiteY11837"/>
              </a:cxn>
              <a:cxn ang="0">
                <a:pos x="connsiteX11838" y="connsiteY11838"/>
              </a:cxn>
              <a:cxn ang="0">
                <a:pos x="connsiteX11839" y="connsiteY11839"/>
              </a:cxn>
              <a:cxn ang="0">
                <a:pos x="connsiteX11840" y="connsiteY11840"/>
              </a:cxn>
              <a:cxn ang="0">
                <a:pos x="connsiteX11841" y="connsiteY11841"/>
              </a:cxn>
              <a:cxn ang="0">
                <a:pos x="connsiteX11842" y="connsiteY11842"/>
              </a:cxn>
              <a:cxn ang="0">
                <a:pos x="connsiteX11843" y="connsiteY11843"/>
              </a:cxn>
              <a:cxn ang="0">
                <a:pos x="connsiteX11844" y="connsiteY11844"/>
              </a:cxn>
              <a:cxn ang="0">
                <a:pos x="connsiteX11845" y="connsiteY11845"/>
              </a:cxn>
              <a:cxn ang="0">
                <a:pos x="connsiteX11846" y="connsiteY11846"/>
              </a:cxn>
              <a:cxn ang="0">
                <a:pos x="connsiteX11847" y="connsiteY11847"/>
              </a:cxn>
              <a:cxn ang="0">
                <a:pos x="connsiteX11848" y="connsiteY11848"/>
              </a:cxn>
              <a:cxn ang="0">
                <a:pos x="connsiteX11849" y="connsiteY11849"/>
              </a:cxn>
              <a:cxn ang="0">
                <a:pos x="connsiteX11850" y="connsiteY11850"/>
              </a:cxn>
              <a:cxn ang="0">
                <a:pos x="connsiteX11851" y="connsiteY11851"/>
              </a:cxn>
              <a:cxn ang="0">
                <a:pos x="connsiteX11852" y="connsiteY11852"/>
              </a:cxn>
              <a:cxn ang="0">
                <a:pos x="connsiteX11853" y="connsiteY11853"/>
              </a:cxn>
              <a:cxn ang="0">
                <a:pos x="connsiteX11854" y="connsiteY11854"/>
              </a:cxn>
              <a:cxn ang="0">
                <a:pos x="connsiteX11855" y="connsiteY11855"/>
              </a:cxn>
              <a:cxn ang="0">
                <a:pos x="connsiteX11856" y="connsiteY11856"/>
              </a:cxn>
              <a:cxn ang="0">
                <a:pos x="connsiteX11857" y="connsiteY11857"/>
              </a:cxn>
              <a:cxn ang="0">
                <a:pos x="connsiteX11858" y="connsiteY11858"/>
              </a:cxn>
              <a:cxn ang="0">
                <a:pos x="connsiteX11859" y="connsiteY11859"/>
              </a:cxn>
              <a:cxn ang="0">
                <a:pos x="connsiteX11860" y="connsiteY11860"/>
              </a:cxn>
              <a:cxn ang="0">
                <a:pos x="connsiteX11861" y="connsiteY11861"/>
              </a:cxn>
              <a:cxn ang="0">
                <a:pos x="connsiteX11862" y="connsiteY11862"/>
              </a:cxn>
              <a:cxn ang="0">
                <a:pos x="connsiteX11863" y="connsiteY11863"/>
              </a:cxn>
              <a:cxn ang="0">
                <a:pos x="connsiteX11864" y="connsiteY11864"/>
              </a:cxn>
              <a:cxn ang="0">
                <a:pos x="connsiteX11865" y="connsiteY11865"/>
              </a:cxn>
              <a:cxn ang="0">
                <a:pos x="connsiteX11866" y="connsiteY11866"/>
              </a:cxn>
              <a:cxn ang="0">
                <a:pos x="connsiteX11867" y="connsiteY11867"/>
              </a:cxn>
              <a:cxn ang="0">
                <a:pos x="connsiteX11868" y="connsiteY11868"/>
              </a:cxn>
              <a:cxn ang="0">
                <a:pos x="connsiteX11869" y="connsiteY11869"/>
              </a:cxn>
              <a:cxn ang="0">
                <a:pos x="connsiteX11870" y="connsiteY11870"/>
              </a:cxn>
              <a:cxn ang="0">
                <a:pos x="connsiteX11871" y="connsiteY11871"/>
              </a:cxn>
              <a:cxn ang="0">
                <a:pos x="connsiteX11872" y="connsiteY11872"/>
              </a:cxn>
              <a:cxn ang="0">
                <a:pos x="connsiteX11873" y="connsiteY11873"/>
              </a:cxn>
              <a:cxn ang="0">
                <a:pos x="connsiteX11874" y="connsiteY11874"/>
              </a:cxn>
              <a:cxn ang="0">
                <a:pos x="connsiteX11875" y="connsiteY11875"/>
              </a:cxn>
              <a:cxn ang="0">
                <a:pos x="connsiteX11876" y="connsiteY11876"/>
              </a:cxn>
              <a:cxn ang="0">
                <a:pos x="connsiteX11877" y="connsiteY11877"/>
              </a:cxn>
              <a:cxn ang="0">
                <a:pos x="connsiteX11878" y="connsiteY11878"/>
              </a:cxn>
              <a:cxn ang="0">
                <a:pos x="connsiteX11879" y="connsiteY11879"/>
              </a:cxn>
              <a:cxn ang="0">
                <a:pos x="connsiteX11880" y="connsiteY11880"/>
              </a:cxn>
              <a:cxn ang="0">
                <a:pos x="connsiteX11881" y="connsiteY11881"/>
              </a:cxn>
              <a:cxn ang="0">
                <a:pos x="connsiteX11882" y="connsiteY11882"/>
              </a:cxn>
              <a:cxn ang="0">
                <a:pos x="connsiteX11883" y="connsiteY11883"/>
              </a:cxn>
              <a:cxn ang="0">
                <a:pos x="connsiteX11884" y="connsiteY11884"/>
              </a:cxn>
              <a:cxn ang="0">
                <a:pos x="connsiteX11885" y="connsiteY11885"/>
              </a:cxn>
              <a:cxn ang="0">
                <a:pos x="connsiteX11886" y="connsiteY11886"/>
              </a:cxn>
              <a:cxn ang="0">
                <a:pos x="connsiteX11887" y="connsiteY11887"/>
              </a:cxn>
              <a:cxn ang="0">
                <a:pos x="connsiteX11888" y="connsiteY11888"/>
              </a:cxn>
              <a:cxn ang="0">
                <a:pos x="connsiteX11889" y="connsiteY11889"/>
              </a:cxn>
              <a:cxn ang="0">
                <a:pos x="connsiteX11890" y="connsiteY11890"/>
              </a:cxn>
              <a:cxn ang="0">
                <a:pos x="connsiteX11891" y="connsiteY11891"/>
              </a:cxn>
              <a:cxn ang="0">
                <a:pos x="connsiteX11892" y="connsiteY11892"/>
              </a:cxn>
              <a:cxn ang="0">
                <a:pos x="connsiteX11893" y="connsiteY11893"/>
              </a:cxn>
              <a:cxn ang="0">
                <a:pos x="connsiteX11894" y="connsiteY11894"/>
              </a:cxn>
              <a:cxn ang="0">
                <a:pos x="connsiteX11895" y="connsiteY11895"/>
              </a:cxn>
              <a:cxn ang="0">
                <a:pos x="connsiteX11896" y="connsiteY11896"/>
              </a:cxn>
              <a:cxn ang="0">
                <a:pos x="connsiteX11897" y="connsiteY11897"/>
              </a:cxn>
              <a:cxn ang="0">
                <a:pos x="connsiteX11898" y="connsiteY11898"/>
              </a:cxn>
              <a:cxn ang="0">
                <a:pos x="connsiteX11899" y="connsiteY11899"/>
              </a:cxn>
              <a:cxn ang="0">
                <a:pos x="connsiteX11900" y="connsiteY11900"/>
              </a:cxn>
              <a:cxn ang="0">
                <a:pos x="connsiteX11901" y="connsiteY11901"/>
              </a:cxn>
              <a:cxn ang="0">
                <a:pos x="connsiteX11902" y="connsiteY11902"/>
              </a:cxn>
              <a:cxn ang="0">
                <a:pos x="connsiteX11903" y="connsiteY11903"/>
              </a:cxn>
              <a:cxn ang="0">
                <a:pos x="connsiteX11904" y="connsiteY11904"/>
              </a:cxn>
              <a:cxn ang="0">
                <a:pos x="connsiteX11905" y="connsiteY11905"/>
              </a:cxn>
              <a:cxn ang="0">
                <a:pos x="connsiteX11906" y="connsiteY11906"/>
              </a:cxn>
              <a:cxn ang="0">
                <a:pos x="connsiteX11907" y="connsiteY11907"/>
              </a:cxn>
              <a:cxn ang="0">
                <a:pos x="connsiteX11908" y="connsiteY11908"/>
              </a:cxn>
              <a:cxn ang="0">
                <a:pos x="connsiteX11909" y="connsiteY11909"/>
              </a:cxn>
              <a:cxn ang="0">
                <a:pos x="connsiteX11910" y="connsiteY11910"/>
              </a:cxn>
              <a:cxn ang="0">
                <a:pos x="connsiteX11911" y="connsiteY11911"/>
              </a:cxn>
              <a:cxn ang="0">
                <a:pos x="connsiteX11912" y="connsiteY11912"/>
              </a:cxn>
              <a:cxn ang="0">
                <a:pos x="connsiteX11913" y="connsiteY11913"/>
              </a:cxn>
              <a:cxn ang="0">
                <a:pos x="connsiteX11914" y="connsiteY11914"/>
              </a:cxn>
              <a:cxn ang="0">
                <a:pos x="connsiteX11915" y="connsiteY11915"/>
              </a:cxn>
              <a:cxn ang="0">
                <a:pos x="connsiteX11916" y="connsiteY11916"/>
              </a:cxn>
              <a:cxn ang="0">
                <a:pos x="connsiteX11917" y="connsiteY11917"/>
              </a:cxn>
              <a:cxn ang="0">
                <a:pos x="connsiteX11918" y="connsiteY11918"/>
              </a:cxn>
              <a:cxn ang="0">
                <a:pos x="connsiteX11919" y="connsiteY11919"/>
              </a:cxn>
              <a:cxn ang="0">
                <a:pos x="connsiteX11920" y="connsiteY11920"/>
              </a:cxn>
              <a:cxn ang="0">
                <a:pos x="connsiteX11921" y="connsiteY11921"/>
              </a:cxn>
              <a:cxn ang="0">
                <a:pos x="connsiteX11922" y="connsiteY11922"/>
              </a:cxn>
              <a:cxn ang="0">
                <a:pos x="connsiteX11923" y="connsiteY11923"/>
              </a:cxn>
              <a:cxn ang="0">
                <a:pos x="connsiteX11924" y="connsiteY11924"/>
              </a:cxn>
              <a:cxn ang="0">
                <a:pos x="connsiteX11925" y="connsiteY11925"/>
              </a:cxn>
              <a:cxn ang="0">
                <a:pos x="connsiteX11926" y="connsiteY11926"/>
              </a:cxn>
              <a:cxn ang="0">
                <a:pos x="connsiteX11927" y="connsiteY11927"/>
              </a:cxn>
              <a:cxn ang="0">
                <a:pos x="connsiteX11928" y="connsiteY11928"/>
              </a:cxn>
              <a:cxn ang="0">
                <a:pos x="connsiteX11929" y="connsiteY11929"/>
              </a:cxn>
              <a:cxn ang="0">
                <a:pos x="connsiteX11930" y="connsiteY11930"/>
              </a:cxn>
              <a:cxn ang="0">
                <a:pos x="connsiteX11931" y="connsiteY11931"/>
              </a:cxn>
              <a:cxn ang="0">
                <a:pos x="connsiteX11932" y="connsiteY11932"/>
              </a:cxn>
              <a:cxn ang="0">
                <a:pos x="connsiteX11933" y="connsiteY11933"/>
              </a:cxn>
              <a:cxn ang="0">
                <a:pos x="connsiteX11934" y="connsiteY11934"/>
              </a:cxn>
              <a:cxn ang="0">
                <a:pos x="connsiteX11935" y="connsiteY11935"/>
              </a:cxn>
              <a:cxn ang="0">
                <a:pos x="connsiteX11936" y="connsiteY11936"/>
              </a:cxn>
              <a:cxn ang="0">
                <a:pos x="connsiteX11937" y="connsiteY11937"/>
              </a:cxn>
              <a:cxn ang="0">
                <a:pos x="connsiteX11938" y="connsiteY11938"/>
              </a:cxn>
              <a:cxn ang="0">
                <a:pos x="connsiteX11939" y="connsiteY11939"/>
              </a:cxn>
              <a:cxn ang="0">
                <a:pos x="connsiteX11940" y="connsiteY11940"/>
              </a:cxn>
              <a:cxn ang="0">
                <a:pos x="connsiteX11941" y="connsiteY11941"/>
              </a:cxn>
              <a:cxn ang="0">
                <a:pos x="connsiteX11942" y="connsiteY11942"/>
              </a:cxn>
              <a:cxn ang="0">
                <a:pos x="connsiteX11943" y="connsiteY11943"/>
              </a:cxn>
              <a:cxn ang="0">
                <a:pos x="connsiteX11944" y="connsiteY11944"/>
              </a:cxn>
              <a:cxn ang="0">
                <a:pos x="connsiteX11945" y="connsiteY11945"/>
              </a:cxn>
              <a:cxn ang="0">
                <a:pos x="connsiteX11946" y="connsiteY11946"/>
              </a:cxn>
              <a:cxn ang="0">
                <a:pos x="connsiteX11947" y="connsiteY11947"/>
              </a:cxn>
              <a:cxn ang="0">
                <a:pos x="connsiteX11948" y="connsiteY11948"/>
              </a:cxn>
              <a:cxn ang="0">
                <a:pos x="connsiteX11949" y="connsiteY11949"/>
              </a:cxn>
              <a:cxn ang="0">
                <a:pos x="connsiteX11950" y="connsiteY11950"/>
              </a:cxn>
              <a:cxn ang="0">
                <a:pos x="connsiteX11951" y="connsiteY11951"/>
              </a:cxn>
              <a:cxn ang="0">
                <a:pos x="connsiteX11952" y="connsiteY11952"/>
              </a:cxn>
              <a:cxn ang="0">
                <a:pos x="connsiteX11953" y="connsiteY11953"/>
              </a:cxn>
              <a:cxn ang="0">
                <a:pos x="connsiteX11954" y="connsiteY11954"/>
              </a:cxn>
              <a:cxn ang="0">
                <a:pos x="connsiteX11955" y="connsiteY11955"/>
              </a:cxn>
              <a:cxn ang="0">
                <a:pos x="connsiteX11956" y="connsiteY11956"/>
              </a:cxn>
              <a:cxn ang="0">
                <a:pos x="connsiteX11957" y="connsiteY11957"/>
              </a:cxn>
              <a:cxn ang="0">
                <a:pos x="connsiteX11958" y="connsiteY11958"/>
              </a:cxn>
              <a:cxn ang="0">
                <a:pos x="connsiteX11959" y="connsiteY11959"/>
              </a:cxn>
              <a:cxn ang="0">
                <a:pos x="connsiteX11960" y="connsiteY11960"/>
              </a:cxn>
              <a:cxn ang="0">
                <a:pos x="connsiteX11961" y="connsiteY11961"/>
              </a:cxn>
              <a:cxn ang="0">
                <a:pos x="connsiteX11962" y="connsiteY11962"/>
              </a:cxn>
              <a:cxn ang="0">
                <a:pos x="connsiteX11963" y="connsiteY11963"/>
              </a:cxn>
              <a:cxn ang="0">
                <a:pos x="connsiteX11964" y="connsiteY11964"/>
              </a:cxn>
              <a:cxn ang="0">
                <a:pos x="connsiteX11965" y="connsiteY11965"/>
              </a:cxn>
              <a:cxn ang="0">
                <a:pos x="connsiteX11966" y="connsiteY11966"/>
              </a:cxn>
              <a:cxn ang="0">
                <a:pos x="connsiteX11967" y="connsiteY11967"/>
              </a:cxn>
              <a:cxn ang="0">
                <a:pos x="connsiteX11968" y="connsiteY11968"/>
              </a:cxn>
              <a:cxn ang="0">
                <a:pos x="connsiteX11969" y="connsiteY11969"/>
              </a:cxn>
              <a:cxn ang="0">
                <a:pos x="connsiteX11970" y="connsiteY11970"/>
              </a:cxn>
              <a:cxn ang="0">
                <a:pos x="connsiteX11971" y="connsiteY11971"/>
              </a:cxn>
              <a:cxn ang="0">
                <a:pos x="connsiteX11972" y="connsiteY11972"/>
              </a:cxn>
              <a:cxn ang="0">
                <a:pos x="connsiteX11973" y="connsiteY11973"/>
              </a:cxn>
              <a:cxn ang="0">
                <a:pos x="connsiteX11974" y="connsiteY11974"/>
              </a:cxn>
              <a:cxn ang="0">
                <a:pos x="connsiteX11975" y="connsiteY11975"/>
              </a:cxn>
              <a:cxn ang="0">
                <a:pos x="connsiteX11976" y="connsiteY11976"/>
              </a:cxn>
              <a:cxn ang="0">
                <a:pos x="connsiteX11977" y="connsiteY11977"/>
              </a:cxn>
              <a:cxn ang="0">
                <a:pos x="connsiteX11978" y="connsiteY11978"/>
              </a:cxn>
              <a:cxn ang="0">
                <a:pos x="connsiteX11979" y="connsiteY11979"/>
              </a:cxn>
              <a:cxn ang="0">
                <a:pos x="connsiteX11980" y="connsiteY11980"/>
              </a:cxn>
              <a:cxn ang="0">
                <a:pos x="connsiteX11981" y="connsiteY11981"/>
              </a:cxn>
              <a:cxn ang="0">
                <a:pos x="connsiteX11982" y="connsiteY11982"/>
              </a:cxn>
              <a:cxn ang="0">
                <a:pos x="connsiteX11983" y="connsiteY11983"/>
              </a:cxn>
              <a:cxn ang="0">
                <a:pos x="connsiteX11984" y="connsiteY11984"/>
              </a:cxn>
              <a:cxn ang="0">
                <a:pos x="connsiteX11985" y="connsiteY11985"/>
              </a:cxn>
              <a:cxn ang="0">
                <a:pos x="connsiteX11986" y="connsiteY11986"/>
              </a:cxn>
              <a:cxn ang="0">
                <a:pos x="connsiteX11987" y="connsiteY11987"/>
              </a:cxn>
              <a:cxn ang="0">
                <a:pos x="connsiteX11988" y="connsiteY11988"/>
              </a:cxn>
              <a:cxn ang="0">
                <a:pos x="connsiteX11989" y="connsiteY11989"/>
              </a:cxn>
              <a:cxn ang="0">
                <a:pos x="connsiteX11990" y="connsiteY11990"/>
              </a:cxn>
              <a:cxn ang="0">
                <a:pos x="connsiteX11991" y="connsiteY11991"/>
              </a:cxn>
              <a:cxn ang="0">
                <a:pos x="connsiteX11992" y="connsiteY11992"/>
              </a:cxn>
              <a:cxn ang="0">
                <a:pos x="connsiteX11993" y="connsiteY11993"/>
              </a:cxn>
              <a:cxn ang="0">
                <a:pos x="connsiteX11994" y="connsiteY11994"/>
              </a:cxn>
              <a:cxn ang="0">
                <a:pos x="connsiteX11995" y="connsiteY11995"/>
              </a:cxn>
              <a:cxn ang="0">
                <a:pos x="connsiteX11996" y="connsiteY11996"/>
              </a:cxn>
              <a:cxn ang="0">
                <a:pos x="connsiteX11997" y="connsiteY11997"/>
              </a:cxn>
              <a:cxn ang="0">
                <a:pos x="connsiteX11998" y="connsiteY11998"/>
              </a:cxn>
              <a:cxn ang="0">
                <a:pos x="connsiteX11999" y="connsiteY11999"/>
              </a:cxn>
              <a:cxn ang="0">
                <a:pos x="connsiteX12000" y="connsiteY12000"/>
              </a:cxn>
              <a:cxn ang="0">
                <a:pos x="connsiteX12001" y="connsiteY12001"/>
              </a:cxn>
              <a:cxn ang="0">
                <a:pos x="connsiteX12002" y="connsiteY12002"/>
              </a:cxn>
              <a:cxn ang="0">
                <a:pos x="connsiteX12003" y="connsiteY12003"/>
              </a:cxn>
              <a:cxn ang="0">
                <a:pos x="connsiteX12004" y="connsiteY12004"/>
              </a:cxn>
              <a:cxn ang="0">
                <a:pos x="connsiteX12005" y="connsiteY12005"/>
              </a:cxn>
              <a:cxn ang="0">
                <a:pos x="connsiteX12006" y="connsiteY12006"/>
              </a:cxn>
              <a:cxn ang="0">
                <a:pos x="connsiteX12007" y="connsiteY12007"/>
              </a:cxn>
              <a:cxn ang="0">
                <a:pos x="connsiteX12008" y="connsiteY12008"/>
              </a:cxn>
              <a:cxn ang="0">
                <a:pos x="connsiteX12009" y="connsiteY12009"/>
              </a:cxn>
              <a:cxn ang="0">
                <a:pos x="connsiteX12010" y="connsiteY12010"/>
              </a:cxn>
              <a:cxn ang="0">
                <a:pos x="connsiteX12011" y="connsiteY12011"/>
              </a:cxn>
              <a:cxn ang="0">
                <a:pos x="connsiteX12012" y="connsiteY12012"/>
              </a:cxn>
              <a:cxn ang="0">
                <a:pos x="connsiteX12013" y="connsiteY12013"/>
              </a:cxn>
              <a:cxn ang="0">
                <a:pos x="connsiteX12014" y="connsiteY12014"/>
              </a:cxn>
              <a:cxn ang="0">
                <a:pos x="connsiteX12015" y="connsiteY12015"/>
              </a:cxn>
              <a:cxn ang="0">
                <a:pos x="connsiteX12016" y="connsiteY12016"/>
              </a:cxn>
              <a:cxn ang="0">
                <a:pos x="connsiteX12017" y="connsiteY12017"/>
              </a:cxn>
              <a:cxn ang="0">
                <a:pos x="connsiteX12018" y="connsiteY12018"/>
              </a:cxn>
              <a:cxn ang="0">
                <a:pos x="connsiteX12019" y="connsiteY12019"/>
              </a:cxn>
              <a:cxn ang="0">
                <a:pos x="connsiteX12020" y="connsiteY12020"/>
              </a:cxn>
              <a:cxn ang="0">
                <a:pos x="connsiteX12021" y="connsiteY12021"/>
              </a:cxn>
              <a:cxn ang="0">
                <a:pos x="connsiteX12022" y="connsiteY12022"/>
              </a:cxn>
              <a:cxn ang="0">
                <a:pos x="connsiteX12023" y="connsiteY12023"/>
              </a:cxn>
              <a:cxn ang="0">
                <a:pos x="connsiteX12024" y="connsiteY12024"/>
              </a:cxn>
              <a:cxn ang="0">
                <a:pos x="connsiteX12025" y="connsiteY12025"/>
              </a:cxn>
              <a:cxn ang="0">
                <a:pos x="connsiteX12026" y="connsiteY12026"/>
              </a:cxn>
              <a:cxn ang="0">
                <a:pos x="connsiteX12027" y="connsiteY12027"/>
              </a:cxn>
              <a:cxn ang="0">
                <a:pos x="connsiteX12028" y="connsiteY12028"/>
              </a:cxn>
              <a:cxn ang="0">
                <a:pos x="connsiteX12029" y="connsiteY12029"/>
              </a:cxn>
              <a:cxn ang="0">
                <a:pos x="connsiteX12030" y="connsiteY12030"/>
              </a:cxn>
              <a:cxn ang="0">
                <a:pos x="connsiteX12031" y="connsiteY12031"/>
              </a:cxn>
              <a:cxn ang="0">
                <a:pos x="connsiteX12032" y="connsiteY12032"/>
              </a:cxn>
              <a:cxn ang="0">
                <a:pos x="connsiteX12033" y="connsiteY12033"/>
              </a:cxn>
              <a:cxn ang="0">
                <a:pos x="connsiteX12034" y="connsiteY12034"/>
              </a:cxn>
              <a:cxn ang="0">
                <a:pos x="connsiteX12035" y="connsiteY12035"/>
              </a:cxn>
              <a:cxn ang="0">
                <a:pos x="connsiteX12036" y="connsiteY12036"/>
              </a:cxn>
              <a:cxn ang="0">
                <a:pos x="connsiteX12037" y="connsiteY12037"/>
              </a:cxn>
              <a:cxn ang="0">
                <a:pos x="connsiteX12038" y="connsiteY12038"/>
              </a:cxn>
              <a:cxn ang="0">
                <a:pos x="connsiteX12039" y="connsiteY12039"/>
              </a:cxn>
              <a:cxn ang="0">
                <a:pos x="connsiteX12040" y="connsiteY12040"/>
              </a:cxn>
              <a:cxn ang="0">
                <a:pos x="connsiteX12041" y="connsiteY12041"/>
              </a:cxn>
              <a:cxn ang="0">
                <a:pos x="connsiteX12042" y="connsiteY12042"/>
              </a:cxn>
              <a:cxn ang="0">
                <a:pos x="connsiteX12043" y="connsiteY12043"/>
              </a:cxn>
              <a:cxn ang="0">
                <a:pos x="connsiteX12044" y="connsiteY12044"/>
              </a:cxn>
              <a:cxn ang="0">
                <a:pos x="connsiteX12045" y="connsiteY12045"/>
              </a:cxn>
              <a:cxn ang="0">
                <a:pos x="connsiteX12046" y="connsiteY12046"/>
              </a:cxn>
              <a:cxn ang="0">
                <a:pos x="connsiteX12047" y="connsiteY12047"/>
              </a:cxn>
              <a:cxn ang="0">
                <a:pos x="connsiteX12048" y="connsiteY12048"/>
              </a:cxn>
              <a:cxn ang="0">
                <a:pos x="connsiteX12049" y="connsiteY12049"/>
              </a:cxn>
              <a:cxn ang="0">
                <a:pos x="connsiteX12050" y="connsiteY12050"/>
              </a:cxn>
              <a:cxn ang="0">
                <a:pos x="connsiteX12051" y="connsiteY12051"/>
              </a:cxn>
              <a:cxn ang="0">
                <a:pos x="connsiteX12052" y="connsiteY12052"/>
              </a:cxn>
              <a:cxn ang="0">
                <a:pos x="connsiteX12053" y="connsiteY12053"/>
              </a:cxn>
              <a:cxn ang="0">
                <a:pos x="connsiteX12054" y="connsiteY12054"/>
              </a:cxn>
              <a:cxn ang="0">
                <a:pos x="connsiteX12055" y="connsiteY12055"/>
              </a:cxn>
              <a:cxn ang="0">
                <a:pos x="connsiteX12056" y="connsiteY12056"/>
              </a:cxn>
              <a:cxn ang="0">
                <a:pos x="connsiteX12057" y="connsiteY12057"/>
              </a:cxn>
              <a:cxn ang="0">
                <a:pos x="connsiteX12058" y="connsiteY12058"/>
              </a:cxn>
              <a:cxn ang="0">
                <a:pos x="connsiteX12059" y="connsiteY12059"/>
              </a:cxn>
              <a:cxn ang="0">
                <a:pos x="connsiteX12060" y="connsiteY12060"/>
              </a:cxn>
              <a:cxn ang="0">
                <a:pos x="connsiteX12061" y="connsiteY12061"/>
              </a:cxn>
              <a:cxn ang="0">
                <a:pos x="connsiteX12062" y="connsiteY12062"/>
              </a:cxn>
              <a:cxn ang="0">
                <a:pos x="connsiteX12063" y="connsiteY12063"/>
              </a:cxn>
              <a:cxn ang="0">
                <a:pos x="connsiteX12064" y="connsiteY12064"/>
              </a:cxn>
              <a:cxn ang="0">
                <a:pos x="connsiteX12065" y="connsiteY12065"/>
              </a:cxn>
              <a:cxn ang="0">
                <a:pos x="connsiteX12066" y="connsiteY12066"/>
              </a:cxn>
              <a:cxn ang="0">
                <a:pos x="connsiteX12067" y="connsiteY12067"/>
              </a:cxn>
              <a:cxn ang="0">
                <a:pos x="connsiteX12068" y="connsiteY12068"/>
              </a:cxn>
              <a:cxn ang="0">
                <a:pos x="connsiteX12069" y="connsiteY12069"/>
              </a:cxn>
              <a:cxn ang="0">
                <a:pos x="connsiteX12070" y="connsiteY12070"/>
              </a:cxn>
              <a:cxn ang="0">
                <a:pos x="connsiteX12071" y="connsiteY12071"/>
              </a:cxn>
              <a:cxn ang="0">
                <a:pos x="connsiteX12072" y="connsiteY12072"/>
              </a:cxn>
              <a:cxn ang="0">
                <a:pos x="connsiteX12073" y="connsiteY12073"/>
              </a:cxn>
              <a:cxn ang="0">
                <a:pos x="connsiteX12074" y="connsiteY12074"/>
              </a:cxn>
              <a:cxn ang="0">
                <a:pos x="connsiteX12075" y="connsiteY12075"/>
              </a:cxn>
              <a:cxn ang="0">
                <a:pos x="connsiteX12076" y="connsiteY12076"/>
              </a:cxn>
              <a:cxn ang="0">
                <a:pos x="connsiteX12077" y="connsiteY12077"/>
              </a:cxn>
              <a:cxn ang="0">
                <a:pos x="connsiteX12078" y="connsiteY12078"/>
              </a:cxn>
              <a:cxn ang="0">
                <a:pos x="connsiteX12079" y="connsiteY12079"/>
              </a:cxn>
              <a:cxn ang="0">
                <a:pos x="connsiteX12080" y="connsiteY12080"/>
              </a:cxn>
              <a:cxn ang="0">
                <a:pos x="connsiteX12081" y="connsiteY12081"/>
              </a:cxn>
              <a:cxn ang="0">
                <a:pos x="connsiteX12082" y="connsiteY12082"/>
              </a:cxn>
              <a:cxn ang="0">
                <a:pos x="connsiteX12083" y="connsiteY12083"/>
              </a:cxn>
              <a:cxn ang="0">
                <a:pos x="connsiteX12084" y="connsiteY12084"/>
              </a:cxn>
              <a:cxn ang="0">
                <a:pos x="connsiteX12085" y="connsiteY12085"/>
              </a:cxn>
              <a:cxn ang="0">
                <a:pos x="connsiteX12086" y="connsiteY12086"/>
              </a:cxn>
              <a:cxn ang="0">
                <a:pos x="connsiteX12087" y="connsiteY12087"/>
              </a:cxn>
              <a:cxn ang="0">
                <a:pos x="connsiteX12088" y="connsiteY12088"/>
              </a:cxn>
              <a:cxn ang="0">
                <a:pos x="connsiteX12089" y="connsiteY12089"/>
              </a:cxn>
              <a:cxn ang="0">
                <a:pos x="connsiteX12090" y="connsiteY12090"/>
              </a:cxn>
              <a:cxn ang="0">
                <a:pos x="connsiteX12091" y="connsiteY12091"/>
              </a:cxn>
              <a:cxn ang="0">
                <a:pos x="connsiteX12092" y="connsiteY12092"/>
              </a:cxn>
              <a:cxn ang="0">
                <a:pos x="connsiteX12093" y="connsiteY12093"/>
              </a:cxn>
              <a:cxn ang="0">
                <a:pos x="connsiteX12094" y="connsiteY12094"/>
              </a:cxn>
              <a:cxn ang="0">
                <a:pos x="connsiteX12095" y="connsiteY12095"/>
              </a:cxn>
              <a:cxn ang="0">
                <a:pos x="connsiteX12096" y="connsiteY12096"/>
              </a:cxn>
              <a:cxn ang="0">
                <a:pos x="connsiteX12097" y="connsiteY12097"/>
              </a:cxn>
              <a:cxn ang="0">
                <a:pos x="connsiteX12098" y="connsiteY12098"/>
              </a:cxn>
              <a:cxn ang="0">
                <a:pos x="connsiteX12099" y="connsiteY12099"/>
              </a:cxn>
              <a:cxn ang="0">
                <a:pos x="connsiteX12100" y="connsiteY12100"/>
              </a:cxn>
              <a:cxn ang="0">
                <a:pos x="connsiteX12101" y="connsiteY12101"/>
              </a:cxn>
              <a:cxn ang="0">
                <a:pos x="connsiteX12102" y="connsiteY12102"/>
              </a:cxn>
              <a:cxn ang="0">
                <a:pos x="connsiteX12103" y="connsiteY12103"/>
              </a:cxn>
              <a:cxn ang="0">
                <a:pos x="connsiteX12104" y="connsiteY12104"/>
              </a:cxn>
              <a:cxn ang="0">
                <a:pos x="connsiteX12105" y="connsiteY12105"/>
              </a:cxn>
              <a:cxn ang="0">
                <a:pos x="connsiteX12106" y="connsiteY12106"/>
              </a:cxn>
              <a:cxn ang="0">
                <a:pos x="connsiteX12107" y="connsiteY12107"/>
              </a:cxn>
              <a:cxn ang="0">
                <a:pos x="connsiteX12108" y="connsiteY12108"/>
              </a:cxn>
              <a:cxn ang="0">
                <a:pos x="connsiteX12109" y="connsiteY12109"/>
              </a:cxn>
              <a:cxn ang="0">
                <a:pos x="connsiteX12110" y="connsiteY12110"/>
              </a:cxn>
              <a:cxn ang="0">
                <a:pos x="connsiteX12111" y="connsiteY12111"/>
              </a:cxn>
              <a:cxn ang="0">
                <a:pos x="connsiteX12112" y="connsiteY12112"/>
              </a:cxn>
              <a:cxn ang="0">
                <a:pos x="connsiteX12113" y="connsiteY12113"/>
              </a:cxn>
              <a:cxn ang="0">
                <a:pos x="connsiteX12114" y="connsiteY12114"/>
              </a:cxn>
              <a:cxn ang="0">
                <a:pos x="connsiteX12115" y="connsiteY12115"/>
              </a:cxn>
              <a:cxn ang="0">
                <a:pos x="connsiteX12116" y="connsiteY12116"/>
              </a:cxn>
              <a:cxn ang="0">
                <a:pos x="connsiteX12117" y="connsiteY12117"/>
              </a:cxn>
              <a:cxn ang="0">
                <a:pos x="connsiteX12118" y="connsiteY12118"/>
              </a:cxn>
              <a:cxn ang="0">
                <a:pos x="connsiteX12119" y="connsiteY12119"/>
              </a:cxn>
              <a:cxn ang="0">
                <a:pos x="connsiteX12120" y="connsiteY12120"/>
              </a:cxn>
              <a:cxn ang="0">
                <a:pos x="connsiteX12121" y="connsiteY12121"/>
              </a:cxn>
              <a:cxn ang="0">
                <a:pos x="connsiteX12122" y="connsiteY12122"/>
              </a:cxn>
              <a:cxn ang="0">
                <a:pos x="connsiteX12123" y="connsiteY12123"/>
              </a:cxn>
              <a:cxn ang="0">
                <a:pos x="connsiteX12124" y="connsiteY12124"/>
              </a:cxn>
              <a:cxn ang="0">
                <a:pos x="connsiteX12125" y="connsiteY12125"/>
              </a:cxn>
              <a:cxn ang="0">
                <a:pos x="connsiteX12126" y="connsiteY12126"/>
              </a:cxn>
              <a:cxn ang="0">
                <a:pos x="connsiteX12127" y="connsiteY12127"/>
              </a:cxn>
              <a:cxn ang="0">
                <a:pos x="connsiteX12128" y="connsiteY12128"/>
              </a:cxn>
              <a:cxn ang="0">
                <a:pos x="connsiteX12129" y="connsiteY12129"/>
              </a:cxn>
              <a:cxn ang="0">
                <a:pos x="connsiteX12130" y="connsiteY12130"/>
              </a:cxn>
              <a:cxn ang="0">
                <a:pos x="connsiteX12131" y="connsiteY12131"/>
              </a:cxn>
              <a:cxn ang="0">
                <a:pos x="connsiteX12132" y="connsiteY12132"/>
              </a:cxn>
              <a:cxn ang="0">
                <a:pos x="connsiteX12133" y="connsiteY12133"/>
              </a:cxn>
              <a:cxn ang="0">
                <a:pos x="connsiteX12134" y="connsiteY12134"/>
              </a:cxn>
              <a:cxn ang="0">
                <a:pos x="connsiteX12135" y="connsiteY12135"/>
              </a:cxn>
              <a:cxn ang="0">
                <a:pos x="connsiteX12136" y="connsiteY12136"/>
              </a:cxn>
              <a:cxn ang="0">
                <a:pos x="connsiteX12137" y="connsiteY12137"/>
              </a:cxn>
              <a:cxn ang="0">
                <a:pos x="connsiteX12138" y="connsiteY12138"/>
              </a:cxn>
              <a:cxn ang="0">
                <a:pos x="connsiteX12139" y="connsiteY12139"/>
              </a:cxn>
              <a:cxn ang="0">
                <a:pos x="connsiteX12140" y="connsiteY12140"/>
              </a:cxn>
              <a:cxn ang="0">
                <a:pos x="connsiteX12141" y="connsiteY12141"/>
              </a:cxn>
              <a:cxn ang="0">
                <a:pos x="connsiteX12142" y="connsiteY12142"/>
              </a:cxn>
              <a:cxn ang="0">
                <a:pos x="connsiteX12143" y="connsiteY12143"/>
              </a:cxn>
              <a:cxn ang="0">
                <a:pos x="connsiteX12144" y="connsiteY12144"/>
              </a:cxn>
              <a:cxn ang="0">
                <a:pos x="connsiteX12145" y="connsiteY12145"/>
              </a:cxn>
              <a:cxn ang="0">
                <a:pos x="connsiteX12146" y="connsiteY12146"/>
              </a:cxn>
              <a:cxn ang="0">
                <a:pos x="connsiteX12147" y="connsiteY12147"/>
              </a:cxn>
              <a:cxn ang="0">
                <a:pos x="connsiteX12148" y="connsiteY12148"/>
              </a:cxn>
              <a:cxn ang="0">
                <a:pos x="connsiteX12149" y="connsiteY12149"/>
              </a:cxn>
              <a:cxn ang="0">
                <a:pos x="connsiteX12150" y="connsiteY12150"/>
              </a:cxn>
              <a:cxn ang="0">
                <a:pos x="connsiteX12151" y="connsiteY12151"/>
              </a:cxn>
              <a:cxn ang="0">
                <a:pos x="connsiteX12152" y="connsiteY12152"/>
              </a:cxn>
              <a:cxn ang="0">
                <a:pos x="connsiteX12153" y="connsiteY12153"/>
              </a:cxn>
              <a:cxn ang="0">
                <a:pos x="connsiteX12154" y="connsiteY12154"/>
              </a:cxn>
              <a:cxn ang="0">
                <a:pos x="connsiteX12155" y="connsiteY12155"/>
              </a:cxn>
              <a:cxn ang="0">
                <a:pos x="connsiteX12156" y="connsiteY12156"/>
              </a:cxn>
              <a:cxn ang="0">
                <a:pos x="connsiteX12157" y="connsiteY12157"/>
              </a:cxn>
              <a:cxn ang="0">
                <a:pos x="connsiteX12158" y="connsiteY12158"/>
              </a:cxn>
              <a:cxn ang="0">
                <a:pos x="connsiteX12159" y="connsiteY12159"/>
              </a:cxn>
              <a:cxn ang="0">
                <a:pos x="connsiteX12160" y="connsiteY12160"/>
              </a:cxn>
              <a:cxn ang="0">
                <a:pos x="connsiteX12161" y="connsiteY12161"/>
              </a:cxn>
              <a:cxn ang="0">
                <a:pos x="connsiteX12162" y="connsiteY12162"/>
              </a:cxn>
              <a:cxn ang="0">
                <a:pos x="connsiteX12163" y="connsiteY12163"/>
              </a:cxn>
              <a:cxn ang="0">
                <a:pos x="connsiteX12164" y="connsiteY12164"/>
              </a:cxn>
              <a:cxn ang="0">
                <a:pos x="connsiteX12165" y="connsiteY12165"/>
              </a:cxn>
              <a:cxn ang="0">
                <a:pos x="connsiteX12166" y="connsiteY12166"/>
              </a:cxn>
              <a:cxn ang="0">
                <a:pos x="connsiteX12167" y="connsiteY12167"/>
              </a:cxn>
              <a:cxn ang="0">
                <a:pos x="connsiteX12168" y="connsiteY12168"/>
              </a:cxn>
              <a:cxn ang="0">
                <a:pos x="connsiteX12169" y="connsiteY12169"/>
              </a:cxn>
              <a:cxn ang="0">
                <a:pos x="connsiteX12170" y="connsiteY12170"/>
              </a:cxn>
              <a:cxn ang="0">
                <a:pos x="connsiteX12171" y="connsiteY12171"/>
              </a:cxn>
              <a:cxn ang="0">
                <a:pos x="connsiteX12172" y="connsiteY12172"/>
              </a:cxn>
              <a:cxn ang="0">
                <a:pos x="connsiteX12173" y="connsiteY12173"/>
              </a:cxn>
              <a:cxn ang="0">
                <a:pos x="connsiteX12174" y="connsiteY12174"/>
              </a:cxn>
              <a:cxn ang="0">
                <a:pos x="connsiteX12175" y="connsiteY12175"/>
              </a:cxn>
              <a:cxn ang="0">
                <a:pos x="connsiteX12176" y="connsiteY12176"/>
              </a:cxn>
              <a:cxn ang="0">
                <a:pos x="connsiteX12177" y="connsiteY12177"/>
              </a:cxn>
              <a:cxn ang="0">
                <a:pos x="connsiteX12178" y="connsiteY12178"/>
              </a:cxn>
              <a:cxn ang="0">
                <a:pos x="connsiteX12179" y="connsiteY12179"/>
              </a:cxn>
              <a:cxn ang="0">
                <a:pos x="connsiteX12180" y="connsiteY12180"/>
              </a:cxn>
              <a:cxn ang="0">
                <a:pos x="connsiteX12181" y="connsiteY12181"/>
              </a:cxn>
              <a:cxn ang="0">
                <a:pos x="connsiteX12182" y="connsiteY12182"/>
              </a:cxn>
              <a:cxn ang="0">
                <a:pos x="connsiteX12183" y="connsiteY12183"/>
              </a:cxn>
              <a:cxn ang="0">
                <a:pos x="connsiteX12184" y="connsiteY12184"/>
              </a:cxn>
              <a:cxn ang="0">
                <a:pos x="connsiteX12185" y="connsiteY12185"/>
              </a:cxn>
              <a:cxn ang="0">
                <a:pos x="connsiteX12186" y="connsiteY12186"/>
              </a:cxn>
              <a:cxn ang="0">
                <a:pos x="connsiteX12187" y="connsiteY12187"/>
              </a:cxn>
              <a:cxn ang="0">
                <a:pos x="connsiteX12188" y="connsiteY12188"/>
              </a:cxn>
              <a:cxn ang="0">
                <a:pos x="connsiteX12189" y="connsiteY12189"/>
              </a:cxn>
              <a:cxn ang="0">
                <a:pos x="connsiteX12190" y="connsiteY12190"/>
              </a:cxn>
              <a:cxn ang="0">
                <a:pos x="connsiteX12191" y="connsiteY12191"/>
              </a:cxn>
              <a:cxn ang="0">
                <a:pos x="connsiteX12192" y="connsiteY12192"/>
              </a:cxn>
              <a:cxn ang="0">
                <a:pos x="connsiteX12193" y="connsiteY12193"/>
              </a:cxn>
              <a:cxn ang="0">
                <a:pos x="connsiteX12194" y="connsiteY12194"/>
              </a:cxn>
              <a:cxn ang="0">
                <a:pos x="connsiteX12195" y="connsiteY12195"/>
              </a:cxn>
              <a:cxn ang="0">
                <a:pos x="connsiteX12196" y="connsiteY12196"/>
              </a:cxn>
              <a:cxn ang="0">
                <a:pos x="connsiteX12197" y="connsiteY12197"/>
              </a:cxn>
              <a:cxn ang="0">
                <a:pos x="connsiteX12198" y="connsiteY12198"/>
              </a:cxn>
              <a:cxn ang="0">
                <a:pos x="connsiteX12199" y="connsiteY12199"/>
              </a:cxn>
              <a:cxn ang="0">
                <a:pos x="connsiteX12200" y="connsiteY12200"/>
              </a:cxn>
              <a:cxn ang="0">
                <a:pos x="connsiteX12201" y="connsiteY12201"/>
              </a:cxn>
              <a:cxn ang="0">
                <a:pos x="connsiteX12202" y="connsiteY12202"/>
              </a:cxn>
              <a:cxn ang="0">
                <a:pos x="connsiteX12203" y="connsiteY12203"/>
              </a:cxn>
              <a:cxn ang="0">
                <a:pos x="connsiteX12204" y="connsiteY12204"/>
              </a:cxn>
              <a:cxn ang="0">
                <a:pos x="connsiteX12205" y="connsiteY12205"/>
              </a:cxn>
              <a:cxn ang="0">
                <a:pos x="connsiteX12206" y="connsiteY12206"/>
              </a:cxn>
              <a:cxn ang="0">
                <a:pos x="connsiteX12207" y="connsiteY12207"/>
              </a:cxn>
              <a:cxn ang="0">
                <a:pos x="connsiteX12208" y="connsiteY12208"/>
              </a:cxn>
              <a:cxn ang="0">
                <a:pos x="connsiteX12209" y="connsiteY12209"/>
              </a:cxn>
              <a:cxn ang="0">
                <a:pos x="connsiteX12210" y="connsiteY12210"/>
              </a:cxn>
              <a:cxn ang="0">
                <a:pos x="connsiteX12211" y="connsiteY12211"/>
              </a:cxn>
              <a:cxn ang="0">
                <a:pos x="connsiteX12212" y="connsiteY12212"/>
              </a:cxn>
              <a:cxn ang="0">
                <a:pos x="connsiteX12213" y="connsiteY12213"/>
              </a:cxn>
              <a:cxn ang="0">
                <a:pos x="connsiteX12214" y="connsiteY12214"/>
              </a:cxn>
              <a:cxn ang="0">
                <a:pos x="connsiteX12215" y="connsiteY12215"/>
              </a:cxn>
              <a:cxn ang="0">
                <a:pos x="connsiteX12216" y="connsiteY12216"/>
              </a:cxn>
              <a:cxn ang="0">
                <a:pos x="connsiteX12217" y="connsiteY12217"/>
              </a:cxn>
              <a:cxn ang="0">
                <a:pos x="connsiteX12218" y="connsiteY12218"/>
              </a:cxn>
              <a:cxn ang="0">
                <a:pos x="connsiteX12219" y="connsiteY12219"/>
              </a:cxn>
              <a:cxn ang="0">
                <a:pos x="connsiteX12220" y="connsiteY12220"/>
              </a:cxn>
              <a:cxn ang="0">
                <a:pos x="connsiteX12221" y="connsiteY12221"/>
              </a:cxn>
              <a:cxn ang="0">
                <a:pos x="connsiteX12222" y="connsiteY12222"/>
              </a:cxn>
              <a:cxn ang="0">
                <a:pos x="connsiteX12223" y="connsiteY12223"/>
              </a:cxn>
              <a:cxn ang="0">
                <a:pos x="connsiteX12224" y="connsiteY12224"/>
              </a:cxn>
              <a:cxn ang="0">
                <a:pos x="connsiteX12225" y="connsiteY12225"/>
              </a:cxn>
              <a:cxn ang="0">
                <a:pos x="connsiteX12226" y="connsiteY12226"/>
              </a:cxn>
              <a:cxn ang="0">
                <a:pos x="connsiteX12227" y="connsiteY12227"/>
              </a:cxn>
              <a:cxn ang="0">
                <a:pos x="connsiteX12228" y="connsiteY12228"/>
              </a:cxn>
              <a:cxn ang="0">
                <a:pos x="connsiteX12229" y="connsiteY12229"/>
              </a:cxn>
              <a:cxn ang="0">
                <a:pos x="connsiteX12230" y="connsiteY12230"/>
              </a:cxn>
              <a:cxn ang="0">
                <a:pos x="connsiteX12231" y="connsiteY12231"/>
              </a:cxn>
              <a:cxn ang="0">
                <a:pos x="connsiteX12232" y="connsiteY12232"/>
              </a:cxn>
              <a:cxn ang="0">
                <a:pos x="connsiteX12233" y="connsiteY12233"/>
              </a:cxn>
              <a:cxn ang="0">
                <a:pos x="connsiteX12234" y="connsiteY12234"/>
              </a:cxn>
              <a:cxn ang="0">
                <a:pos x="connsiteX12235" y="connsiteY12235"/>
              </a:cxn>
              <a:cxn ang="0">
                <a:pos x="connsiteX12236" y="connsiteY12236"/>
              </a:cxn>
              <a:cxn ang="0">
                <a:pos x="connsiteX12237" y="connsiteY12237"/>
              </a:cxn>
              <a:cxn ang="0">
                <a:pos x="connsiteX12238" y="connsiteY12238"/>
              </a:cxn>
              <a:cxn ang="0">
                <a:pos x="connsiteX12239" y="connsiteY12239"/>
              </a:cxn>
              <a:cxn ang="0">
                <a:pos x="connsiteX12240" y="connsiteY12240"/>
              </a:cxn>
              <a:cxn ang="0">
                <a:pos x="connsiteX12241" y="connsiteY12241"/>
              </a:cxn>
              <a:cxn ang="0">
                <a:pos x="connsiteX12242" y="connsiteY12242"/>
              </a:cxn>
              <a:cxn ang="0">
                <a:pos x="connsiteX12243" y="connsiteY12243"/>
              </a:cxn>
              <a:cxn ang="0">
                <a:pos x="connsiteX12244" y="connsiteY12244"/>
              </a:cxn>
              <a:cxn ang="0">
                <a:pos x="connsiteX12245" y="connsiteY12245"/>
              </a:cxn>
              <a:cxn ang="0">
                <a:pos x="connsiteX12246" y="connsiteY12246"/>
              </a:cxn>
              <a:cxn ang="0">
                <a:pos x="connsiteX12247" y="connsiteY12247"/>
              </a:cxn>
              <a:cxn ang="0">
                <a:pos x="connsiteX12248" y="connsiteY12248"/>
              </a:cxn>
              <a:cxn ang="0">
                <a:pos x="connsiteX12249" y="connsiteY12249"/>
              </a:cxn>
              <a:cxn ang="0">
                <a:pos x="connsiteX12250" y="connsiteY12250"/>
              </a:cxn>
              <a:cxn ang="0">
                <a:pos x="connsiteX12251" y="connsiteY12251"/>
              </a:cxn>
              <a:cxn ang="0">
                <a:pos x="connsiteX12252" y="connsiteY12252"/>
              </a:cxn>
              <a:cxn ang="0">
                <a:pos x="connsiteX12253" y="connsiteY12253"/>
              </a:cxn>
              <a:cxn ang="0">
                <a:pos x="connsiteX12254" y="connsiteY12254"/>
              </a:cxn>
              <a:cxn ang="0">
                <a:pos x="connsiteX12255" y="connsiteY12255"/>
              </a:cxn>
              <a:cxn ang="0">
                <a:pos x="connsiteX12256" y="connsiteY12256"/>
              </a:cxn>
              <a:cxn ang="0">
                <a:pos x="connsiteX12257" y="connsiteY12257"/>
              </a:cxn>
              <a:cxn ang="0">
                <a:pos x="connsiteX12258" y="connsiteY12258"/>
              </a:cxn>
              <a:cxn ang="0">
                <a:pos x="connsiteX12259" y="connsiteY12259"/>
              </a:cxn>
              <a:cxn ang="0">
                <a:pos x="connsiteX12260" y="connsiteY12260"/>
              </a:cxn>
              <a:cxn ang="0">
                <a:pos x="connsiteX12261" y="connsiteY12261"/>
              </a:cxn>
              <a:cxn ang="0">
                <a:pos x="connsiteX12262" y="connsiteY12262"/>
              </a:cxn>
              <a:cxn ang="0">
                <a:pos x="connsiteX12263" y="connsiteY12263"/>
              </a:cxn>
              <a:cxn ang="0">
                <a:pos x="connsiteX12264" y="connsiteY12264"/>
              </a:cxn>
              <a:cxn ang="0">
                <a:pos x="connsiteX12265" y="connsiteY12265"/>
              </a:cxn>
              <a:cxn ang="0">
                <a:pos x="connsiteX12266" y="connsiteY12266"/>
              </a:cxn>
              <a:cxn ang="0">
                <a:pos x="connsiteX12267" y="connsiteY12267"/>
              </a:cxn>
              <a:cxn ang="0">
                <a:pos x="connsiteX12268" y="connsiteY12268"/>
              </a:cxn>
              <a:cxn ang="0">
                <a:pos x="connsiteX12269" y="connsiteY12269"/>
              </a:cxn>
              <a:cxn ang="0">
                <a:pos x="connsiteX12270" y="connsiteY12270"/>
              </a:cxn>
              <a:cxn ang="0">
                <a:pos x="connsiteX12271" y="connsiteY12271"/>
              </a:cxn>
              <a:cxn ang="0">
                <a:pos x="connsiteX12272" y="connsiteY12272"/>
              </a:cxn>
              <a:cxn ang="0">
                <a:pos x="connsiteX12273" y="connsiteY12273"/>
              </a:cxn>
              <a:cxn ang="0">
                <a:pos x="connsiteX12274" y="connsiteY12274"/>
              </a:cxn>
              <a:cxn ang="0">
                <a:pos x="connsiteX12275" y="connsiteY12275"/>
              </a:cxn>
              <a:cxn ang="0">
                <a:pos x="connsiteX12276" y="connsiteY12276"/>
              </a:cxn>
              <a:cxn ang="0">
                <a:pos x="connsiteX12277" y="connsiteY12277"/>
              </a:cxn>
              <a:cxn ang="0">
                <a:pos x="connsiteX12278" y="connsiteY12278"/>
              </a:cxn>
              <a:cxn ang="0">
                <a:pos x="connsiteX12279" y="connsiteY12279"/>
              </a:cxn>
              <a:cxn ang="0">
                <a:pos x="connsiteX12280" y="connsiteY12280"/>
              </a:cxn>
              <a:cxn ang="0">
                <a:pos x="connsiteX12281" y="connsiteY12281"/>
              </a:cxn>
              <a:cxn ang="0">
                <a:pos x="connsiteX12282" y="connsiteY12282"/>
              </a:cxn>
              <a:cxn ang="0">
                <a:pos x="connsiteX12283" y="connsiteY12283"/>
              </a:cxn>
              <a:cxn ang="0">
                <a:pos x="connsiteX12284" y="connsiteY12284"/>
              </a:cxn>
              <a:cxn ang="0">
                <a:pos x="connsiteX12285" y="connsiteY12285"/>
              </a:cxn>
              <a:cxn ang="0">
                <a:pos x="connsiteX12286" y="connsiteY12286"/>
              </a:cxn>
              <a:cxn ang="0">
                <a:pos x="connsiteX12287" y="connsiteY12287"/>
              </a:cxn>
              <a:cxn ang="0">
                <a:pos x="connsiteX12288" y="connsiteY12288"/>
              </a:cxn>
              <a:cxn ang="0">
                <a:pos x="connsiteX12289" y="connsiteY12289"/>
              </a:cxn>
              <a:cxn ang="0">
                <a:pos x="connsiteX12290" y="connsiteY12290"/>
              </a:cxn>
              <a:cxn ang="0">
                <a:pos x="connsiteX12291" y="connsiteY12291"/>
              </a:cxn>
              <a:cxn ang="0">
                <a:pos x="connsiteX12292" y="connsiteY12292"/>
              </a:cxn>
              <a:cxn ang="0">
                <a:pos x="connsiteX12293" y="connsiteY12293"/>
              </a:cxn>
              <a:cxn ang="0">
                <a:pos x="connsiteX12294" y="connsiteY12294"/>
              </a:cxn>
              <a:cxn ang="0">
                <a:pos x="connsiteX12295" y="connsiteY12295"/>
              </a:cxn>
              <a:cxn ang="0">
                <a:pos x="connsiteX12296" y="connsiteY12296"/>
              </a:cxn>
              <a:cxn ang="0">
                <a:pos x="connsiteX12297" y="connsiteY12297"/>
              </a:cxn>
              <a:cxn ang="0">
                <a:pos x="connsiteX12298" y="connsiteY12298"/>
              </a:cxn>
              <a:cxn ang="0">
                <a:pos x="connsiteX12299" y="connsiteY12299"/>
              </a:cxn>
              <a:cxn ang="0">
                <a:pos x="connsiteX12300" y="connsiteY12300"/>
              </a:cxn>
              <a:cxn ang="0">
                <a:pos x="connsiteX12301" y="connsiteY12301"/>
              </a:cxn>
              <a:cxn ang="0">
                <a:pos x="connsiteX12302" y="connsiteY12302"/>
              </a:cxn>
              <a:cxn ang="0">
                <a:pos x="connsiteX12303" y="connsiteY12303"/>
              </a:cxn>
              <a:cxn ang="0">
                <a:pos x="connsiteX12304" y="connsiteY12304"/>
              </a:cxn>
              <a:cxn ang="0">
                <a:pos x="connsiteX12305" y="connsiteY12305"/>
              </a:cxn>
              <a:cxn ang="0">
                <a:pos x="connsiteX12306" y="connsiteY12306"/>
              </a:cxn>
              <a:cxn ang="0">
                <a:pos x="connsiteX12307" y="connsiteY12307"/>
              </a:cxn>
              <a:cxn ang="0">
                <a:pos x="connsiteX12308" y="connsiteY12308"/>
              </a:cxn>
              <a:cxn ang="0">
                <a:pos x="connsiteX12309" y="connsiteY12309"/>
              </a:cxn>
              <a:cxn ang="0">
                <a:pos x="connsiteX12310" y="connsiteY12310"/>
              </a:cxn>
              <a:cxn ang="0">
                <a:pos x="connsiteX12311" y="connsiteY12311"/>
              </a:cxn>
              <a:cxn ang="0">
                <a:pos x="connsiteX12312" y="connsiteY12312"/>
              </a:cxn>
              <a:cxn ang="0">
                <a:pos x="connsiteX12313" y="connsiteY12313"/>
              </a:cxn>
              <a:cxn ang="0">
                <a:pos x="connsiteX12314" y="connsiteY12314"/>
              </a:cxn>
              <a:cxn ang="0">
                <a:pos x="connsiteX12315" y="connsiteY12315"/>
              </a:cxn>
              <a:cxn ang="0">
                <a:pos x="connsiteX12316" y="connsiteY12316"/>
              </a:cxn>
              <a:cxn ang="0">
                <a:pos x="connsiteX12317" y="connsiteY12317"/>
              </a:cxn>
              <a:cxn ang="0">
                <a:pos x="connsiteX12318" y="connsiteY12318"/>
              </a:cxn>
              <a:cxn ang="0">
                <a:pos x="connsiteX12319" y="connsiteY12319"/>
              </a:cxn>
              <a:cxn ang="0">
                <a:pos x="connsiteX12320" y="connsiteY12320"/>
              </a:cxn>
              <a:cxn ang="0">
                <a:pos x="connsiteX12321" y="connsiteY12321"/>
              </a:cxn>
              <a:cxn ang="0">
                <a:pos x="connsiteX12322" y="connsiteY12322"/>
              </a:cxn>
              <a:cxn ang="0">
                <a:pos x="connsiteX12323" y="connsiteY12323"/>
              </a:cxn>
              <a:cxn ang="0">
                <a:pos x="connsiteX12324" y="connsiteY12324"/>
              </a:cxn>
              <a:cxn ang="0">
                <a:pos x="connsiteX12325" y="connsiteY12325"/>
              </a:cxn>
              <a:cxn ang="0">
                <a:pos x="connsiteX12326" y="connsiteY12326"/>
              </a:cxn>
              <a:cxn ang="0">
                <a:pos x="connsiteX12327" y="connsiteY12327"/>
              </a:cxn>
              <a:cxn ang="0">
                <a:pos x="connsiteX12328" y="connsiteY12328"/>
              </a:cxn>
              <a:cxn ang="0">
                <a:pos x="connsiteX12329" y="connsiteY12329"/>
              </a:cxn>
              <a:cxn ang="0">
                <a:pos x="connsiteX12330" y="connsiteY12330"/>
              </a:cxn>
              <a:cxn ang="0">
                <a:pos x="connsiteX12331" y="connsiteY12331"/>
              </a:cxn>
              <a:cxn ang="0">
                <a:pos x="connsiteX12332" y="connsiteY12332"/>
              </a:cxn>
              <a:cxn ang="0">
                <a:pos x="connsiteX12333" y="connsiteY12333"/>
              </a:cxn>
              <a:cxn ang="0">
                <a:pos x="connsiteX12334" y="connsiteY12334"/>
              </a:cxn>
              <a:cxn ang="0">
                <a:pos x="connsiteX12335" y="connsiteY12335"/>
              </a:cxn>
              <a:cxn ang="0">
                <a:pos x="connsiteX12336" y="connsiteY12336"/>
              </a:cxn>
              <a:cxn ang="0">
                <a:pos x="connsiteX12337" y="connsiteY12337"/>
              </a:cxn>
              <a:cxn ang="0">
                <a:pos x="connsiteX12338" y="connsiteY12338"/>
              </a:cxn>
              <a:cxn ang="0">
                <a:pos x="connsiteX12339" y="connsiteY12339"/>
              </a:cxn>
              <a:cxn ang="0">
                <a:pos x="connsiteX12340" y="connsiteY12340"/>
              </a:cxn>
              <a:cxn ang="0">
                <a:pos x="connsiteX12341" y="connsiteY12341"/>
              </a:cxn>
              <a:cxn ang="0">
                <a:pos x="connsiteX12342" y="connsiteY12342"/>
              </a:cxn>
              <a:cxn ang="0">
                <a:pos x="connsiteX12343" y="connsiteY12343"/>
              </a:cxn>
              <a:cxn ang="0">
                <a:pos x="connsiteX12344" y="connsiteY12344"/>
              </a:cxn>
              <a:cxn ang="0">
                <a:pos x="connsiteX12345" y="connsiteY12345"/>
              </a:cxn>
              <a:cxn ang="0">
                <a:pos x="connsiteX12346" y="connsiteY12346"/>
              </a:cxn>
              <a:cxn ang="0">
                <a:pos x="connsiteX12347" y="connsiteY12347"/>
              </a:cxn>
              <a:cxn ang="0">
                <a:pos x="connsiteX12348" y="connsiteY12348"/>
              </a:cxn>
              <a:cxn ang="0">
                <a:pos x="connsiteX12349" y="connsiteY12349"/>
              </a:cxn>
              <a:cxn ang="0">
                <a:pos x="connsiteX12350" y="connsiteY12350"/>
              </a:cxn>
              <a:cxn ang="0">
                <a:pos x="connsiteX12351" y="connsiteY12351"/>
              </a:cxn>
              <a:cxn ang="0">
                <a:pos x="connsiteX12352" y="connsiteY12352"/>
              </a:cxn>
              <a:cxn ang="0">
                <a:pos x="connsiteX12353" y="connsiteY12353"/>
              </a:cxn>
              <a:cxn ang="0">
                <a:pos x="connsiteX12354" y="connsiteY12354"/>
              </a:cxn>
              <a:cxn ang="0">
                <a:pos x="connsiteX12355" y="connsiteY12355"/>
              </a:cxn>
              <a:cxn ang="0">
                <a:pos x="connsiteX12356" y="connsiteY12356"/>
              </a:cxn>
              <a:cxn ang="0">
                <a:pos x="connsiteX12357" y="connsiteY12357"/>
              </a:cxn>
              <a:cxn ang="0">
                <a:pos x="connsiteX12358" y="connsiteY12358"/>
              </a:cxn>
              <a:cxn ang="0">
                <a:pos x="connsiteX12359" y="connsiteY12359"/>
              </a:cxn>
              <a:cxn ang="0">
                <a:pos x="connsiteX12360" y="connsiteY12360"/>
              </a:cxn>
              <a:cxn ang="0">
                <a:pos x="connsiteX12361" y="connsiteY12361"/>
              </a:cxn>
              <a:cxn ang="0">
                <a:pos x="connsiteX12362" y="connsiteY12362"/>
              </a:cxn>
              <a:cxn ang="0">
                <a:pos x="connsiteX12363" y="connsiteY12363"/>
              </a:cxn>
              <a:cxn ang="0">
                <a:pos x="connsiteX12364" y="connsiteY12364"/>
              </a:cxn>
              <a:cxn ang="0">
                <a:pos x="connsiteX12365" y="connsiteY12365"/>
              </a:cxn>
              <a:cxn ang="0">
                <a:pos x="connsiteX12366" y="connsiteY12366"/>
              </a:cxn>
              <a:cxn ang="0">
                <a:pos x="connsiteX12367" y="connsiteY12367"/>
              </a:cxn>
              <a:cxn ang="0">
                <a:pos x="connsiteX12368" y="connsiteY12368"/>
              </a:cxn>
              <a:cxn ang="0">
                <a:pos x="connsiteX12369" y="connsiteY12369"/>
              </a:cxn>
              <a:cxn ang="0">
                <a:pos x="connsiteX12370" y="connsiteY12370"/>
              </a:cxn>
              <a:cxn ang="0">
                <a:pos x="connsiteX12371" y="connsiteY12371"/>
              </a:cxn>
              <a:cxn ang="0">
                <a:pos x="connsiteX12372" y="connsiteY12372"/>
              </a:cxn>
              <a:cxn ang="0">
                <a:pos x="connsiteX12373" y="connsiteY12373"/>
              </a:cxn>
              <a:cxn ang="0">
                <a:pos x="connsiteX12374" y="connsiteY12374"/>
              </a:cxn>
              <a:cxn ang="0">
                <a:pos x="connsiteX12375" y="connsiteY12375"/>
              </a:cxn>
              <a:cxn ang="0">
                <a:pos x="connsiteX12376" y="connsiteY12376"/>
              </a:cxn>
              <a:cxn ang="0">
                <a:pos x="connsiteX12377" y="connsiteY12377"/>
              </a:cxn>
              <a:cxn ang="0">
                <a:pos x="connsiteX12378" y="connsiteY12378"/>
              </a:cxn>
              <a:cxn ang="0">
                <a:pos x="connsiteX12379" y="connsiteY12379"/>
              </a:cxn>
              <a:cxn ang="0">
                <a:pos x="connsiteX12380" y="connsiteY12380"/>
              </a:cxn>
              <a:cxn ang="0">
                <a:pos x="connsiteX12381" y="connsiteY12381"/>
              </a:cxn>
              <a:cxn ang="0">
                <a:pos x="connsiteX12382" y="connsiteY12382"/>
              </a:cxn>
              <a:cxn ang="0">
                <a:pos x="connsiteX12383" y="connsiteY12383"/>
              </a:cxn>
              <a:cxn ang="0">
                <a:pos x="connsiteX12384" y="connsiteY12384"/>
              </a:cxn>
              <a:cxn ang="0">
                <a:pos x="connsiteX12385" y="connsiteY12385"/>
              </a:cxn>
              <a:cxn ang="0">
                <a:pos x="connsiteX12386" y="connsiteY12386"/>
              </a:cxn>
              <a:cxn ang="0">
                <a:pos x="connsiteX12387" y="connsiteY12387"/>
              </a:cxn>
              <a:cxn ang="0">
                <a:pos x="connsiteX12388" y="connsiteY12388"/>
              </a:cxn>
              <a:cxn ang="0">
                <a:pos x="connsiteX12389" y="connsiteY12389"/>
              </a:cxn>
              <a:cxn ang="0">
                <a:pos x="connsiteX12390" y="connsiteY12390"/>
              </a:cxn>
              <a:cxn ang="0">
                <a:pos x="connsiteX12391" y="connsiteY12391"/>
              </a:cxn>
              <a:cxn ang="0">
                <a:pos x="connsiteX12392" y="connsiteY12392"/>
              </a:cxn>
              <a:cxn ang="0">
                <a:pos x="connsiteX12393" y="connsiteY12393"/>
              </a:cxn>
              <a:cxn ang="0">
                <a:pos x="connsiteX12394" y="connsiteY12394"/>
              </a:cxn>
              <a:cxn ang="0">
                <a:pos x="connsiteX12395" y="connsiteY12395"/>
              </a:cxn>
              <a:cxn ang="0">
                <a:pos x="connsiteX12396" y="connsiteY12396"/>
              </a:cxn>
              <a:cxn ang="0">
                <a:pos x="connsiteX12397" y="connsiteY12397"/>
              </a:cxn>
              <a:cxn ang="0">
                <a:pos x="connsiteX12398" y="connsiteY12398"/>
              </a:cxn>
              <a:cxn ang="0">
                <a:pos x="connsiteX12399" y="connsiteY12399"/>
              </a:cxn>
              <a:cxn ang="0">
                <a:pos x="connsiteX12400" y="connsiteY12400"/>
              </a:cxn>
              <a:cxn ang="0">
                <a:pos x="connsiteX12401" y="connsiteY12401"/>
              </a:cxn>
              <a:cxn ang="0">
                <a:pos x="connsiteX12402" y="connsiteY12402"/>
              </a:cxn>
              <a:cxn ang="0">
                <a:pos x="connsiteX12403" y="connsiteY12403"/>
              </a:cxn>
              <a:cxn ang="0">
                <a:pos x="connsiteX12404" y="connsiteY12404"/>
              </a:cxn>
              <a:cxn ang="0">
                <a:pos x="connsiteX12405" y="connsiteY12405"/>
              </a:cxn>
              <a:cxn ang="0">
                <a:pos x="connsiteX12406" y="connsiteY12406"/>
              </a:cxn>
              <a:cxn ang="0">
                <a:pos x="connsiteX12407" y="connsiteY12407"/>
              </a:cxn>
              <a:cxn ang="0">
                <a:pos x="connsiteX12408" y="connsiteY12408"/>
              </a:cxn>
              <a:cxn ang="0">
                <a:pos x="connsiteX12409" y="connsiteY12409"/>
              </a:cxn>
              <a:cxn ang="0">
                <a:pos x="connsiteX12410" y="connsiteY12410"/>
              </a:cxn>
              <a:cxn ang="0">
                <a:pos x="connsiteX12411" y="connsiteY12411"/>
              </a:cxn>
              <a:cxn ang="0">
                <a:pos x="connsiteX12412" y="connsiteY12412"/>
              </a:cxn>
              <a:cxn ang="0">
                <a:pos x="connsiteX12413" y="connsiteY12413"/>
              </a:cxn>
              <a:cxn ang="0">
                <a:pos x="connsiteX12414" y="connsiteY12414"/>
              </a:cxn>
              <a:cxn ang="0">
                <a:pos x="connsiteX12415" y="connsiteY12415"/>
              </a:cxn>
              <a:cxn ang="0">
                <a:pos x="connsiteX12416" y="connsiteY12416"/>
              </a:cxn>
              <a:cxn ang="0">
                <a:pos x="connsiteX12417" y="connsiteY12417"/>
              </a:cxn>
              <a:cxn ang="0">
                <a:pos x="connsiteX12418" y="connsiteY12418"/>
              </a:cxn>
              <a:cxn ang="0">
                <a:pos x="connsiteX12419" y="connsiteY12419"/>
              </a:cxn>
              <a:cxn ang="0">
                <a:pos x="connsiteX12420" y="connsiteY12420"/>
              </a:cxn>
              <a:cxn ang="0">
                <a:pos x="connsiteX12421" y="connsiteY12421"/>
              </a:cxn>
              <a:cxn ang="0">
                <a:pos x="connsiteX12422" y="connsiteY12422"/>
              </a:cxn>
              <a:cxn ang="0">
                <a:pos x="connsiteX12423" y="connsiteY12423"/>
              </a:cxn>
              <a:cxn ang="0">
                <a:pos x="connsiteX12424" y="connsiteY12424"/>
              </a:cxn>
              <a:cxn ang="0">
                <a:pos x="connsiteX12425" y="connsiteY12425"/>
              </a:cxn>
              <a:cxn ang="0">
                <a:pos x="connsiteX12426" y="connsiteY12426"/>
              </a:cxn>
              <a:cxn ang="0">
                <a:pos x="connsiteX12427" y="connsiteY12427"/>
              </a:cxn>
              <a:cxn ang="0">
                <a:pos x="connsiteX12428" y="connsiteY12428"/>
              </a:cxn>
              <a:cxn ang="0">
                <a:pos x="connsiteX12429" y="connsiteY12429"/>
              </a:cxn>
              <a:cxn ang="0">
                <a:pos x="connsiteX12430" y="connsiteY12430"/>
              </a:cxn>
              <a:cxn ang="0">
                <a:pos x="connsiteX12431" y="connsiteY12431"/>
              </a:cxn>
              <a:cxn ang="0">
                <a:pos x="connsiteX12432" y="connsiteY12432"/>
              </a:cxn>
              <a:cxn ang="0">
                <a:pos x="connsiteX12433" y="connsiteY12433"/>
              </a:cxn>
              <a:cxn ang="0">
                <a:pos x="connsiteX12434" y="connsiteY12434"/>
              </a:cxn>
              <a:cxn ang="0">
                <a:pos x="connsiteX12435" y="connsiteY12435"/>
              </a:cxn>
              <a:cxn ang="0">
                <a:pos x="connsiteX12436" y="connsiteY12436"/>
              </a:cxn>
              <a:cxn ang="0">
                <a:pos x="connsiteX12437" y="connsiteY12437"/>
              </a:cxn>
              <a:cxn ang="0">
                <a:pos x="connsiteX12438" y="connsiteY12438"/>
              </a:cxn>
              <a:cxn ang="0">
                <a:pos x="connsiteX12439" y="connsiteY12439"/>
              </a:cxn>
              <a:cxn ang="0">
                <a:pos x="connsiteX12440" y="connsiteY12440"/>
              </a:cxn>
              <a:cxn ang="0">
                <a:pos x="connsiteX12441" y="connsiteY12441"/>
              </a:cxn>
              <a:cxn ang="0">
                <a:pos x="connsiteX12442" y="connsiteY12442"/>
              </a:cxn>
              <a:cxn ang="0">
                <a:pos x="connsiteX12443" y="connsiteY12443"/>
              </a:cxn>
              <a:cxn ang="0">
                <a:pos x="connsiteX12444" y="connsiteY12444"/>
              </a:cxn>
              <a:cxn ang="0">
                <a:pos x="connsiteX12445" y="connsiteY12445"/>
              </a:cxn>
              <a:cxn ang="0">
                <a:pos x="connsiteX12446" y="connsiteY12446"/>
              </a:cxn>
              <a:cxn ang="0">
                <a:pos x="connsiteX12447" y="connsiteY12447"/>
              </a:cxn>
              <a:cxn ang="0">
                <a:pos x="connsiteX12448" y="connsiteY12448"/>
              </a:cxn>
              <a:cxn ang="0">
                <a:pos x="connsiteX12449" y="connsiteY12449"/>
              </a:cxn>
              <a:cxn ang="0">
                <a:pos x="connsiteX12450" y="connsiteY12450"/>
              </a:cxn>
              <a:cxn ang="0">
                <a:pos x="connsiteX12451" y="connsiteY12451"/>
              </a:cxn>
              <a:cxn ang="0">
                <a:pos x="connsiteX12452" y="connsiteY12452"/>
              </a:cxn>
              <a:cxn ang="0">
                <a:pos x="connsiteX12453" y="connsiteY12453"/>
              </a:cxn>
              <a:cxn ang="0">
                <a:pos x="connsiteX12454" y="connsiteY12454"/>
              </a:cxn>
              <a:cxn ang="0">
                <a:pos x="connsiteX12455" y="connsiteY12455"/>
              </a:cxn>
              <a:cxn ang="0">
                <a:pos x="connsiteX12456" y="connsiteY12456"/>
              </a:cxn>
              <a:cxn ang="0">
                <a:pos x="connsiteX12457" y="connsiteY12457"/>
              </a:cxn>
              <a:cxn ang="0">
                <a:pos x="connsiteX12458" y="connsiteY12458"/>
              </a:cxn>
              <a:cxn ang="0">
                <a:pos x="connsiteX12459" y="connsiteY12459"/>
              </a:cxn>
              <a:cxn ang="0">
                <a:pos x="connsiteX12460" y="connsiteY12460"/>
              </a:cxn>
              <a:cxn ang="0">
                <a:pos x="connsiteX12461" y="connsiteY12461"/>
              </a:cxn>
              <a:cxn ang="0">
                <a:pos x="connsiteX12462" y="connsiteY12462"/>
              </a:cxn>
              <a:cxn ang="0">
                <a:pos x="connsiteX12463" y="connsiteY12463"/>
              </a:cxn>
              <a:cxn ang="0">
                <a:pos x="connsiteX12464" y="connsiteY12464"/>
              </a:cxn>
              <a:cxn ang="0">
                <a:pos x="connsiteX12465" y="connsiteY12465"/>
              </a:cxn>
              <a:cxn ang="0">
                <a:pos x="connsiteX12466" y="connsiteY12466"/>
              </a:cxn>
              <a:cxn ang="0">
                <a:pos x="connsiteX12467" y="connsiteY12467"/>
              </a:cxn>
              <a:cxn ang="0">
                <a:pos x="connsiteX12468" y="connsiteY12468"/>
              </a:cxn>
              <a:cxn ang="0">
                <a:pos x="connsiteX12469" y="connsiteY12469"/>
              </a:cxn>
              <a:cxn ang="0">
                <a:pos x="connsiteX12470" y="connsiteY12470"/>
              </a:cxn>
              <a:cxn ang="0">
                <a:pos x="connsiteX12471" y="connsiteY12471"/>
              </a:cxn>
              <a:cxn ang="0">
                <a:pos x="connsiteX12472" y="connsiteY12472"/>
              </a:cxn>
              <a:cxn ang="0">
                <a:pos x="connsiteX12473" y="connsiteY12473"/>
              </a:cxn>
              <a:cxn ang="0">
                <a:pos x="connsiteX12474" y="connsiteY12474"/>
              </a:cxn>
              <a:cxn ang="0">
                <a:pos x="connsiteX12475" y="connsiteY12475"/>
              </a:cxn>
              <a:cxn ang="0">
                <a:pos x="connsiteX12476" y="connsiteY12476"/>
              </a:cxn>
              <a:cxn ang="0">
                <a:pos x="connsiteX12477" y="connsiteY12477"/>
              </a:cxn>
              <a:cxn ang="0">
                <a:pos x="connsiteX12478" y="connsiteY12478"/>
              </a:cxn>
              <a:cxn ang="0">
                <a:pos x="connsiteX12479" y="connsiteY12479"/>
              </a:cxn>
              <a:cxn ang="0">
                <a:pos x="connsiteX12480" y="connsiteY12480"/>
              </a:cxn>
              <a:cxn ang="0">
                <a:pos x="connsiteX12481" y="connsiteY12481"/>
              </a:cxn>
              <a:cxn ang="0">
                <a:pos x="connsiteX12482" y="connsiteY12482"/>
              </a:cxn>
              <a:cxn ang="0">
                <a:pos x="connsiteX12483" y="connsiteY12483"/>
              </a:cxn>
              <a:cxn ang="0">
                <a:pos x="connsiteX12484" y="connsiteY12484"/>
              </a:cxn>
              <a:cxn ang="0">
                <a:pos x="connsiteX12485" y="connsiteY12485"/>
              </a:cxn>
              <a:cxn ang="0">
                <a:pos x="connsiteX12486" y="connsiteY12486"/>
              </a:cxn>
              <a:cxn ang="0">
                <a:pos x="connsiteX12487" y="connsiteY12487"/>
              </a:cxn>
              <a:cxn ang="0">
                <a:pos x="connsiteX12488" y="connsiteY12488"/>
              </a:cxn>
              <a:cxn ang="0">
                <a:pos x="connsiteX12489" y="connsiteY12489"/>
              </a:cxn>
              <a:cxn ang="0">
                <a:pos x="connsiteX12490" y="connsiteY12490"/>
              </a:cxn>
              <a:cxn ang="0">
                <a:pos x="connsiteX12491" y="connsiteY12491"/>
              </a:cxn>
              <a:cxn ang="0">
                <a:pos x="connsiteX12492" y="connsiteY12492"/>
              </a:cxn>
              <a:cxn ang="0">
                <a:pos x="connsiteX12493" y="connsiteY12493"/>
              </a:cxn>
              <a:cxn ang="0">
                <a:pos x="connsiteX12494" y="connsiteY12494"/>
              </a:cxn>
              <a:cxn ang="0">
                <a:pos x="connsiteX12495" y="connsiteY12495"/>
              </a:cxn>
              <a:cxn ang="0">
                <a:pos x="connsiteX12496" y="connsiteY12496"/>
              </a:cxn>
              <a:cxn ang="0">
                <a:pos x="connsiteX12497" y="connsiteY12497"/>
              </a:cxn>
              <a:cxn ang="0">
                <a:pos x="connsiteX12498" y="connsiteY12498"/>
              </a:cxn>
              <a:cxn ang="0">
                <a:pos x="connsiteX12499" y="connsiteY12499"/>
              </a:cxn>
              <a:cxn ang="0">
                <a:pos x="connsiteX12500" y="connsiteY12500"/>
              </a:cxn>
              <a:cxn ang="0">
                <a:pos x="connsiteX12501" y="connsiteY12501"/>
              </a:cxn>
              <a:cxn ang="0">
                <a:pos x="connsiteX12502" y="connsiteY12502"/>
              </a:cxn>
              <a:cxn ang="0">
                <a:pos x="connsiteX12503" y="connsiteY12503"/>
              </a:cxn>
              <a:cxn ang="0">
                <a:pos x="connsiteX12504" y="connsiteY12504"/>
              </a:cxn>
              <a:cxn ang="0">
                <a:pos x="connsiteX12505" y="connsiteY12505"/>
              </a:cxn>
              <a:cxn ang="0">
                <a:pos x="connsiteX12506" y="connsiteY12506"/>
              </a:cxn>
              <a:cxn ang="0">
                <a:pos x="connsiteX12507" y="connsiteY12507"/>
              </a:cxn>
              <a:cxn ang="0">
                <a:pos x="connsiteX12508" y="connsiteY12508"/>
              </a:cxn>
              <a:cxn ang="0">
                <a:pos x="connsiteX12509" y="connsiteY12509"/>
              </a:cxn>
              <a:cxn ang="0">
                <a:pos x="connsiteX12510" y="connsiteY12510"/>
              </a:cxn>
              <a:cxn ang="0">
                <a:pos x="connsiteX12511" y="connsiteY12511"/>
              </a:cxn>
              <a:cxn ang="0">
                <a:pos x="connsiteX12512" y="connsiteY12512"/>
              </a:cxn>
              <a:cxn ang="0">
                <a:pos x="connsiteX12513" y="connsiteY12513"/>
              </a:cxn>
              <a:cxn ang="0">
                <a:pos x="connsiteX12514" y="connsiteY12514"/>
              </a:cxn>
              <a:cxn ang="0">
                <a:pos x="connsiteX12515" y="connsiteY12515"/>
              </a:cxn>
              <a:cxn ang="0">
                <a:pos x="connsiteX12516" y="connsiteY12516"/>
              </a:cxn>
              <a:cxn ang="0">
                <a:pos x="connsiteX12517" y="connsiteY12517"/>
              </a:cxn>
              <a:cxn ang="0">
                <a:pos x="connsiteX12518" y="connsiteY12518"/>
              </a:cxn>
              <a:cxn ang="0">
                <a:pos x="connsiteX12519" y="connsiteY12519"/>
              </a:cxn>
              <a:cxn ang="0">
                <a:pos x="connsiteX12520" y="connsiteY12520"/>
              </a:cxn>
              <a:cxn ang="0">
                <a:pos x="connsiteX12521" y="connsiteY12521"/>
              </a:cxn>
              <a:cxn ang="0">
                <a:pos x="connsiteX12522" y="connsiteY12522"/>
              </a:cxn>
              <a:cxn ang="0">
                <a:pos x="connsiteX12523" y="connsiteY12523"/>
              </a:cxn>
              <a:cxn ang="0">
                <a:pos x="connsiteX12524" y="connsiteY12524"/>
              </a:cxn>
              <a:cxn ang="0">
                <a:pos x="connsiteX12525" y="connsiteY12525"/>
              </a:cxn>
              <a:cxn ang="0">
                <a:pos x="connsiteX12526" y="connsiteY12526"/>
              </a:cxn>
              <a:cxn ang="0">
                <a:pos x="connsiteX12527" y="connsiteY12527"/>
              </a:cxn>
              <a:cxn ang="0">
                <a:pos x="connsiteX12528" y="connsiteY12528"/>
              </a:cxn>
              <a:cxn ang="0">
                <a:pos x="connsiteX12529" y="connsiteY12529"/>
              </a:cxn>
              <a:cxn ang="0">
                <a:pos x="connsiteX12530" y="connsiteY12530"/>
              </a:cxn>
              <a:cxn ang="0">
                <a:pos x="connsiteX12531" y="connsiteY12531"/>
              </a:cxn>
              <a:cxn ang="0">
                <a:pos x="connsiteX12532" y="connsiteY12532"/>
              </a:cxn>
              <a:cxn ang="0">
                <a:pos x="connsiteX12533" y="connsiteY12533"/>
              </a:cxn>
              <a:cxn ang="0">
                <a:pos x="connsiteX12534" y="connsiteY12534"/>
              </a:cxn>
              <a:cxn ang="0">
                <a:pos x="connsiteX12535" y="connsiteY12535"/>
              </a:cxn>
              <a:cxn ang="0">
                <a:pos x="connsiteX12536" y="connsiteY12536"/>
              </a:cxn>
              <a:cxn ang="0">
                <a:pos x="connsiteX12537" y="connsiteY12537"/>
              </a:cxn>
              <a:cxn ang="0">
                <a:pos x="connsiteX12538" y="connsiteY12538"/>
              </a:cxn>
              <a:cxn ang="0">
                <a:pos x="connsiteX12539" y="connsiteY12539"/>
              </a:cxn>
              <a:cxn ang="0">
                <a:pos x="connsiteX12540" y="connsiteY12540"/>
              </a:cxn>
              <a:cxn ang="0">
                <a:pos x="connsiteX12541" y="connsiteY12541"/>
              </a:cxn>
              <a:cxn ang="0">
                <a:pos x="connsiteX12542" y="connsiteY12542"/>
              </a:cxn>
              <a:cxn ang="0">
                <a:pos x="connsiteX12543" y="connsiteY12543"/>
              </a:cxn>
              <a:cxn ang="0">
                <a:pos x="connsiteX12544" y="connsiteY12544"/>
              </a:cxn>
              <a:cxn ang="0">
                <a:pos x="connsiteX12545" y="connsiteY12545"/>
              </a:cxn>
              <a:cxn ang="0">
                <a:pos x="connsiteX12546" y="connsiteY12546"/>
              </a:cxn>
              <a:cxn ang="0">
                <a:pos x="connsiteX12547" y="connsiteY12547"/>
              </a:cxn>
              <a:cxn ang="0">
                <a:pos x="connsiteX12548" y="connsiteY12548"/>
              </a:cxn>
              <a:cxn ang="0">
                <a:pos x="connsiteX12549" y="connsiteY12549"/>
              </a:cxn>
              <a:cxn ang="0">
                <a:pos x="connsiteX12550" y="connsiteY12550"/>
              </a:cxn>
              <a:cxn ang="0">
                <a:pos x="connsiteX12551" y="connsiteY12551"/>
              </a:cxn>
              <a:cxn ang="0">
                <a:pos x="connsiteX12552" y="connsiteY12552"/>
              </a:cxn>
              <a:cxn ang="0">
                <a:pos x="connsiteX12553" y="connsiteY12553"/>
              </a:cxn>
              <a:cxn ang="0">
                <a:pos x="connsiteX12554" y="connsiteY12554"/>
              </a:cxn>
              <a:cxn ang="0">
                <a:pos x="connsiteX12555" y="connsiteY12555"/>
              </a:cxn>
              <a:cxn ang="0">
                <a:pos x="connsiteX12556" y="connsiteY12556"/>
              </a:cxn>
              <a:cxn ang="0">
                <a:pos x="connsiteX12557" y="connsiteY12557"/>
              </a:cxn>
              <a:cxn ang="0">
                <a:pos x="connsiteX12558" y="connsiteY12558"/>
              </a:cxn>
              <a:cxn ang="0">
                <a:pos x="connsiteX12559" y="connsiteY12559"/>
              </a:cxn>
              <a:cxn ang="0">
                <a:pos x="connsiteX12560" y="connsiteY12560"/>
              </a:cxn>
              <a:cxn ang="0">
                <a:pos x="connsiteX12561" y="connsiteY12561"/>
              </a:cxn>
              <a:cxn ang="0">
                <a:pos x="connsiteX12562" y="connsiteY12562"/>
              </a:cxn>
              <a:cxn ang="0">
                <a:pos x="connsiteX12563" y="connsiteY12563"/>
              </a:cxn>
              <a:cxn ang="0">
                <a:pos x="connsiteX12564" y="connsiteY12564"/>
              </a:cxn>
              <a:cxn ang="0">
                <a:pos x="connsiteX12565" y="connsiteY12565"/>
              </a:cxn>
              <a:cxn ang="0">
                <a:pos x="connsiteX12566" y="connsiteY12566"/>
              </a:cxn>
              <a:cxn ang="0">
                <a:pos x="connsiteX12567" y="connsiteY12567"/>
              </a:cxn>
              <a:cxn ang="0">
                <a:pos x="connsiteX12568" y="connsiteY12568"/>
              </a:cxn>
              <a:cxn ang="0">
                <a:pos x="connsiteX12569" y="connsiteY12569"/>
              </a:cxn>
              <a:cxn ang="0">
                <a:pos x="connsiteX12570" y="connsiteY12570"/>
              </a:cxn>
              <a:cxn ang="0">
                <a:pos x="connsiteX12571" y="connsiteY12571"/>
              </a:cxn>
              <a:cxn ang="0">
                <a:pos x="connsiteX12572" y="connsiteY12572"/>
              </a:cxn>
              <a:cxn ang="0">
                <a:pos x="connsiteX12573" y="connsiteY12573"/>
              </a:cxn>
              <a:cxn ang="0">
                <a:pos x="connsiteX12574" y="connsiteY12574"/>
              </a:cxn>
              <a:cxn ang="0">
                <a:pos x="connsiteX12575" y="connsiteY12575"/>
              </a:cxn>
              <a:cxn ang="0">
                <a:pos x="connsiteX12576" y="connsiteY12576"/>
              </a:cxn>
              <a:cxn ang="0">
                <a:pos x="connsiteX12577" y="connsiteY12577"/>
              </a:cxn>
              <a:cxn ang="0">
                <a:pos x="connsiteX12578" y="connsiteY12578"/>
              </a:cxn>
              <a:cxn ang="0">
                <a:pos x="connsiteX12579" y="connsiteY12579"/>
              </a:cxn>
              <a:cxn ang="0">
                <a:pos x="connsiteX12580" y="connsiteY12580"/>
              </a:cxn>
              <a:cxn ang="0">
                <a:pos x="connsiteX12581" y="connsiteY12581"/>
              </a:cxn>
              <a:cxn ang="0">
                <a:pos x="connsiteX12582" y="connsiteY12582"/>
              </a:cxn>
              <a:cxn ang="0">
                <a:pos x="connsiteX12583" y="connsiteY12583"/>
              </a:cxn>
              <a:cxn ang="0">
                <a:pos x="connsiteX12584" y="connsiteY12584"/>
              </a:cxn>
              <a:cxn ang="0">
                <a:pos x="connsiteX12585" y="connsiteY12585"/>
              </a:cxn>
              <a:cxn ang="0">
                <a:pos x="connsiteX12586" y="connsiteY12586"/>
              </a:cxn>
              <a:cxn ang="0">
                <a:pos x="connsiteX12587" y="connsiteY12587"/>
              </a:cxn>
              <a:cxn ang="0">
                <a:pos x="connsiteX12588" y="connsiteY12588"/>
              </a:cxn>
              <a:cxn ang="0">
                <a:pos x="connsiteX12589" y="connsiteY12589"/>
              </a:cxn>
              <a:cxn ang="0">
                <a:pos x="connsiteX12590" y="connsiteY12590"/>
              </a:cxn>
              <a:cxn ang="0">
                <a:pos x="connsiteX12591" y="connsiteY12591"/>
              </a:cxn>
              <a:cxn ang="0">
                <a:pos x="connsiteX12592" y="connsiteY12592"/>
              </a:cxn>
              <a:cxn ang="0">
                <a:pos x="connsiteX12593" y="connsiteY12593"/>
              </a:cxn>
              <a:cxn ang="0">
                <a:pos x="connsiteX12594" y="connsiteY12594"/>
              </a:cxn>
              <a:cxn ang="0">
                <a:pos x="connsiteX12595" y="connsiteY12595"/>
              </a:cxn>
              <a:cxn ang="0">
                <a:pos x="connsiteX12596" y="connsiteY12596"/>
              </a:cxn>
              <a:cxn ang="0">
                <a:pos x="connsiteX12597" y="connsiteY12597"/>
              </a:cxn>
              <a:cxn ang="0">
                <a:pos x="connsiteX12598" y="connsiteY12598"/>
              </a:cxn>
              <a:cxn ang="0">
                <a:pos x="connsiteX12599" y="connsiteY12599"/>
              </a:cxn>
              <a:cxn ang="0">
                <a:pos x="connsiteX12600" y="connsiteY12600"/>
              </a:cxn>
              <a:cxn ang="0">
                <a:pos x="connsiteX12601" y="connsiteY12601"/>
              </a:cxn>
              <a:cxn ang="0">
                <a:pos x="connsiteX12602" y="connsiteY12602"/>
              </a:cxn>
              <a:cxn ang="0">
                <a:pos x="connsiteX12603" y="connsiteY12603"/>
              </a:cxn>
              <a:cxn ang="0">
                <a:pos x="connsiteX12604" y="connsiteY12604"/>
              </a:cxn>
              <a:cxn ang="0">
                <a:pos x="connsiteX12605" y="connsiteY12605"/>
              </a:cxn>
              <a:cxn ang="0">
                <a:pos x="connsiteX12606" y="connsiteY12606"/>
              </a:cxn>
              <a:cxn ang="0">
                <a:pos x="connsiteX12607" y="connsiteY12607"/>
              </a:cxn>
              <a:cxn ang="0">
                <a:pos x="connsiteX12608" y="connsiteY12608"/>
              </a:cxn>
              <a:cxn ang="0">
                <a:pos x="connsiteX12609" y="connsiteY12609"/>
              </a:cxn>
              <a:cxn ang="0">
                <a:pos x="connsiteX12610" y="connsiteY12610"/>
              </a:cxn>
              <a:cxn ang="0">
                <a:pos x="connsiteX12611" y="connsiteY12611"/>
              </a:cxn>
              <a:cxn ang="0">
                <a:pos x="connsiteX12612" y="connsiteY12612"/>
              </a:cxn>
              <a:cxn ang="0">
                <a:pos x="connsiteX12613" y="connsiteY12613"/>
              </a:cxn>
              <a:cxn ang="0">
                <a:pos x="connsiteX12614" y="connsiteY12614"/>
              </a:cxn>
              <a:cxn ang="0">
                <a:pos x="connsiteX12615" y="connsiteY12615"/>
              </a:cxn>
              <a:cxn ang="0">
                <a:pos x="connsiteX12616" y="connsiteY12616"/>
              </a:cxn>
              <a:cxn ang="0">
                <a:pos x="connsiteX12617" y="connsiteY12617"/>
              </a:cxn>
              <a:cxn ang="0">
                <a:pos x="connsiteX12618" y="connsiteY12618"/>
              </a:cxn>
              <a:cxn ang="0">
                <a:pos x="connsiteX12619" y="connsiteY12619"/>
              </a:cxn>
              <a:cxn ang="0">
                <a:pos x="connsiteX12620" y="connsiteY12620"/>
              </a:cxn>
              <a:cxn ang="0">
                <a:pos x="connsiteX12621" y="connsiteY12621"/>
              </a:cxn>
              <a:cxn ang="0">
                <a:pos x="connsiteX12622" y="connsiteY12622"/>
              </a:cxn>
              <a:cxn ang="0">
                <a:pos x="connsiteX12623" y="connsiteY12623"/>
              </a:cxn>
              <a:cxn ang="0">
                <a:pos x="connsiteX12624" y="connsiteY12624"/>
              </a:cxn>
              <a:cxn ang="0">
                <a:pos x="connsiteX12625" y="connsiteY12625"/>
              </a:cxn>
              <a:cxn ang="0">
                <a:pos x="connsiteX12626" y="connsiteY12626"/>
              </a:cxn>
              <a:cxn ang="0">
                <a:pos x="connsiteX12627" y="connsiteY12627"/>
              </a:cxn>
              <a:cxn ang="0">
                <a:pos x="connsiteX12628" y="connsiteY12628"/>
              </a:cxn>
              <a:cxn ang="0">
                <a:pos x="connsiteX12629" y="connsiteY12629"/>
              </a:cxn>
              <a:cxn ang="0">
                <a:pos x="connsiteX12630" y="connsiteY12630"/>
              </a:cxn>
              <a:cxn ang="0">
                <a:pos x="connsiteX12631" y="connsiteY12631"/>
              </a:cxn>
              <a:cxn ang="0">
                <a:pos x="connsiteX12632" y="connsiteY12632"/>
              </a:cxn>
              <a:cxn ang="0">
                <a:pos x="connsiteX12633" y="connsiteY12633"/>
              </a:cxn>
              <a:cxn ang="0">
                <a:pos x="connsiteX12634" y="connsiteY12634"/>
              </a:cxn>
              <a:cxn ang="0">
                <a:pos x="connsiteX12635" y="connsiteY12635"/>
              </a:cxn>
              <a:cxn ang="0">
                <a:pos x="connsiteX12636" y="connsiteY12636"/>
              </a:cxn>
              <a:cxn ang="0">
                <a:pos x="connsiteX12637" y="connsiteY12637"/>
              </a:cxn>
              <a:cxn ang="0">
                <a:pos x="connsiteX12638" y="connsiteY12638"/>
              </a:cxn>
              <a:cxn ang="0">
                <a:pos x="connsiteX12639" y="connsiteY12639"/>
              </a:cxn>
              <a:cxn ang="0">
                <a:pos x="connsiteX12640" y="connsiteY12640"/>
              </a:cxn>
              <a:cxn ang="0">
                <a:pos x="connsiteX12641" y="connsiteY12641"/>
              </a:cxn>
              <a:cxn ang="0">
                <a:pos x="connsiteX12642" y="connsiteY12642"/>
              </a:cxn>
              <a:cxn ang="0">
                <a:pos x="connsiteX12643" y="connsiteY12643"/>
              </a:cxn>
              <a:cxn ang="0">
                <a:pos x="connsiteX12644" y="connsiteY12644"/>
              </a:cxn>
              <a:cxn ang="0">
                <a:pos x="connsiteX12645" y="connsiteY12645"/>
              </a:cxn>
              <a:cxn ang="0">
                <a:pos x="connsiteX12646" y="connsiteY12646"/>
              </a:cxn>
              <a:cxn ang="0">
                <a:pos x="connsiteX12647" y="connsiteY12647"/>
              </a:cxn>
              <a:cxn ang="0">
                <a:pos x="connsiteX12648" y="connsiteY12648"/>
              </a:cxn>
              <a:cxn ang="0">
                <a:pos x="connsiteX12649" y="connsiteY12649"/>
              </a:cxn>
              <a:cxn ang="0">
                <a:pos x="connsiteX12650" y="connsiteY12650"/>
              </a:cxn>
              <a:cxn ang="0">
                <a:pos x="connsiteX12651" y="connsiteY12651"/>
              </a:cxn>
              <a:cxn ang="0">
                <a:pos x="connsiteX12652" y="connsiteY12652"/>
              </a:cxn>
              <a:cxn ang="0">
                <a:pos x="connsiteX12653" y="connsiteY12653"/>
              </a:cxn>
              <a:cxn ang="0">
                <a:pos x="connsiteX12654" y="connsiteY12654"/>
              </a:cxn>
              <a:cxn ang="0">
                <a:pos x="connsiteX12655" y="connsiteY12655"/>
              </a:cxn>
              <a:cxn ang="0">
                <a:pos x="connsiteX12656" y="connsiteY12656"/>
              </a:cxn>
              <a:cxn ang="0">
                <a:pos x="connsiteX12657" y="connsiteY12657"/>
              </a:cxn>
              <a:cxn ang="0">
                <a:pos x="connsiteX12658" y="connsiteY12658"/>
              </a:cxn>
              <a:cxn ang="0">
                <a:pos x="connsiteX12659" y="connsiteY12659"/>
              </a:cxn>
              <a:cxn ang="0">
                <a:pos x="connsiteX12660" y="connsiteY12660"/>
              </a:cxn>
              <a:cxn ang="0">
                <a:pos x="connsiteX12661" y="connsiteY12661"/>
              </a:cxn>
              <a:cxn ang="0">
                <a:pos x="connsiteX12662" y="connsiteY12662"/>
              </a:cxn>
              <a:cxn ang="0">
                <a:pos x="connsiteX12663" y="connsiteY12663"/>
              </a:cxn>
              <a:cxn ang="0">
                <a:pos x="connsiteX12664" y="connsiteY12664"/>
              </a:cxn>
              <a:cxn ang="0">
                <a:pos x="connsiteX12665" y="connsiteY12665"/>
              </a:cxn>
              <a:cxn ang="0">
                <a:pos x="connsiteX12666" y="connsiteY12666"/>
              </a:cxn>
              <a:cxn ang="0">
                <a:pos x="connsiteX12667" y="connsiteY12667"/>
              </a:cxn>
              <a:cxn ang="0">
                <a:pos x="connsiteX12668" y="connsiteY12668"/>
              </a:cxn>
              <a:cxn ang="0">
                <a:pos x="connsiteX12669" y="connsiteY12669"/>
              </a:cxn>
              <a:cxn ang="0">
                <a:pos x="connsiteX12670" y="connsiteY12670"/>
              </a:cxn>
              <a:cxn ang="0">
                <a:pos x="connsiteX12671" y="connsiteY12671"/>
              </a:cxn>
              <a:cxn ang="0">
                <a:pos x="connsiteX12672" y="connsiteY12672"/>
              </a:cxn>
              <a:cxn ang="0">
                <a:pos x="connsiteX12673" y="connsiteY12673"/>
              </a:cxn>
              <a:cxn ang="0">
                <a:pos x="connsiteX12674" y="connsiteY12674"/>
              </a:cxn>
              <a:cxn ang="0">
                <a:pos x="connsiteX12675" y="connsiteY12675"/>
              </a:cxn>
              <a:cxn ang="0">
                <a:pos x="connsiteX12676" y="connsiteY12676"/>
              </a:cxn>
              <a:cxn ang="0">
                <a:pos x="connsiteX12677" y="connsiteY12677"/>
              </a:cxn>
              <a:cxn ang="0">
                <a:pos x="connsiteX12678" y="connsiteY12678"/>
              </a:cxn>
              <a:cxn ang="0">
                <a:pos x="connsiteX12679" y="connsiteY12679"/>
              </a:cxn>
              <a:cxn ang="0">
                <a:pos x="connsiteX12680" y="connsiteY12680"/>
              </a:cxn>
              <a:cxn ang="0">
                <a:pos x="connsiteX12681" y="connsiteY12681"/>
              </a:cxn>
              <a:cxn ang="0">
                <a:pos x="connsiteX12682" y="connsiteY12682"/>
              </a:cxn>
              <a:cxn ang="0">
                <a:pos x="connsiteX12683" y="connsiteY12683"/>
              </a:cxn>
              <a:cxn ang="0">
                <a:pos x="connsiteX12684" y="connsiteY12684"/>
              </a:cxn>
              <a:cxn ang="0">
                <a:pos x="connsiteX12685" y="connsiteY12685"/>
              </a:cxn>
              <a:cxn ang="0">
                <a:pos x="connsiteX12686" y="connsiteY12686"/>
              </a:cxn>
              <a:cxn ang="0">
                <a:pos x="connsiteX12687" y="connsiteY12687"/>
              </a:cxn>
              <a:cxn ang="0">
                <a:pos x="connsiteX12688" y="connsiteY12688"/>
              </a:cxn>
              <a:cxn ang="0">
                <a:pos x="connsiteX12689" y="connsiteY12689"/>
              </a:cxn>
              <a:cxn ang="0">
                <a:pos x="connsiteX12690" y="connsiteY12690"/>
              </a:cxn>
              <a:cxn ang="0">
                <a:pos x="connsiteX12691" y="connsiteY12691"/>
              </a:cxn>
              <a:cxn ang="0">
                <a:pos x="connsiteX12692" y="connsiteY12692"/>
              </a:cxn>
              <a:cxn ang="0">
                <a:pos x="connsiteX12693" y="connsiteY12693"/>
              </a:cxn>
              <a:cxn ang="0">
                <a:pos x="connsiteX12694" y="connsiteY12694"/>
              </a:cxn>
              <a:cxn ang="0">
                <a:pos x="connsiteX12695" y="connsiteY12695"/>
              </a:cxn>
              <a:cxn ang="0">
                <a:pos x="connsiteX12696" y="connsiteY12696"/>
              </a:cxn>
              <a:cxn ang="0">
                <a:pos x="connsiteX12697" y="connsiteY12697"/>
              </a:cxn>
              <a:cxn ang="0">
                <a:pos x="connsiteX12698" y="connsiteY12698"/>
              </a:cxn>
              <a:cxn ang="0">
                <a:pos x="connsiteX12699" y="connsiteY12699"/>
              </a:cxn>
              <a:cxn ang="0">
                <a:pos x="connsiteX12700" y="connsiteY12700"/>
              </a:cxn>
              <a:cxn ang="0">
                <a:pos x="connsiteX12701" y="connsiteY12701"/>
              </a:cxn>
              <a:cxn ang="0">
                <a:pos x="connsiteX12702" y="connsiteY12702"/>
              </a:cxn>
              <a:cxn ang="0">
                <a:pos x="connsiteX12703" y="connsiteY12703"/>
              </a:cxn>
              <a:cxn ang="0">
                <a:pos x="connsiteX12704" y="connsiteY12704"/>
              </a:cxn>
              <a:cxn ang="0">
                <a:pos x="connsiteX12705" y="connsiteY12705"/>
              </a:cxn>
              <a:cxn ang="0">
                <a:pos x="connsiteX12706" y="connsiteY12706"/>
              </a:cxn>
              <a:cxn ang="0">
                <a:pos x="connsiteX12707" y="connsiteY12707"/>
              </a:cxn>
              <a:cxn ang="0">
                <a:pos x="connsiteX12708" y="connsiteY12708"/>
              </a:cxn>
              <a:cxn ang="0">
                <a:pos x="connsiteX12709" y="connsiteY12709"/>
              </a:cxn>
              <a:cxn ang="0">
                <a:pos x="connsiteX12710" y="connsiteY12710"/>
              </a:cxn>
              <a:cxn ang="0">
                <a:pos x="connsiteX12711" y="connsiteY12711"/>
              </a:cxn>
              <a:cxn ang="0">
                <a:pos x="connsiteX12712" y="connsiteY12712"/>
              </a:cxn>
              <a:cxn ang="0">
                <a:pos x="connsiteX12713" y="connsiteY12713"/>
              </a:cxn>
              <a:cxn ang="0">
                <a:pos x="connsiteX12714" y="connsiteY12714"/>
              </a:cxn>
              <a:cxn ang="0">
                <a:pos x="connsiteX12715" y="connsiteY12715"/>
              </a:cxn>
              <a:cxn ang="0">
                <a:pos x="connsiteX12716" y="connsiteY12716"/>
              </a:cxn>
              <a:cxn ang="0">
                <a:pos x="connsiteX12717" y="connsiteY12717"/>
              </a:cxn>
              <a:cxn ang="0">
                <a:pos x="connsiteX12718" y="connsiteY12718"/>
              </a:cxn>
              <a:cxn ang="0">
                <a:pos x="connsiteX12719" y="connsiteY12719"/>
              </a:cxn>
              <a:cxn ang="0">
                <a:pos x="connsiteX12720" y="connsiteY12720"/>
              </a:cxn>
              <a:cxn ang="0">
                <a:pos x="connsiteX12721" y="connsiteY12721"/>
              </a:cxn>
              <a:cxn ang="0">
                <a:pos x="connsiteX12722" y="connsiteY12722"/>
              </a:cxn>
              <a:cxn ang="0">
                <a:pos x="connsiteX12723" y="connsiteY12723"/>
              </a:cxn>
              <a:cxn ang="0">
                <a:pos x="connsiteX12724" y="connsiteY12724"/>
              </a:cxn>
              <a:cxn ang="0">
                <a:pos x="connsiteX12725" y="connsiteY12725"/>
              </a:cxn>
              <a:cxn ang="0">
                <a:pos x="connsiteX12726" y="connsiteY12726"/>
              </a:cxn>
              <a:cxn ang="0">
                <a:pos x="connsiteX12727" y="connsiteY12727"/>
              </a:cxn>
              <a:cxn ang="0">
                <a:pos x="connsiteX12728" y="connsiteY12728"/>
              </a:cxn>
              <a:cxn ang="0">
                <a:pos x="connsiteX12729" y="connsiteY12729"/>
              </a:cxn>
              <a:cxn ang="0">
                <a:pos x="connsiteX12730" y="connsiteY12730"/>
              </a:cxn>
              <a:cxn ang="0">
                <a:pos x="connsiteX12731" y="connsiteY12731"/>
              </a:cxn>
              <a:cxn ang="0">
                <a:pos x="connsiteX12732" y="connsiteY12732"/>
              </a:cxn>
              <a:cxn ang="0">
                <a:pos x="connsiteX12733" y="connsiteY12733"/>
              </a:cxn>
              <a:cxn ang="0">
                <a:pos x="connsiteX12734" y="connsiteY12734"/>
              </a:cxn>
              <a:cxn ang="0">
                <a:pos x="connsiteX12735" y="connsiteY12735"/>
              </a:cxn>
              <a:cxn ang="0">
                <a:pos x="connsiteX12736" y="connsiteY12736"/>
              </a:cxn>
              <a:cxn ang="0">
                <a:pos x="connsiteX12737" y="connsiteY12737"/>
              </a:cxn>
              <a:cxn ang="0">
                <a:pos x="connsiteX12738" y="connsiteY12738"/>
              </a:cxn>
              <a:cxn ang="0">
                <a:pos x="connsiteX12739" y="connsiteY12739"/>
              </a:cxn>
              <a:cxn ang="0">
                <a:pos x="connsiteX12740" y="connsiteY12740"/>
              </a:cxn>
              <a:cxn ang="0">
                <a:pos x="connsiteX12741" y="connsiteY12741"/>
              </a:cxn>
              <a:cxn ang="0">
                <a:pos x="connsiteX12742" y="connsiteY12742"/>
              </a:cxn>
              <a:cxn ang="0">
                <a:pos x="connsiteX12743" y="connsiteY12743"/>
              </a:cxn>
              <a:cxn ang="0">
                <a:pos x="connsiteX12744" y="connsiteY12744"/>
              </a:cxn>
              <a:cxn ang="0">
                <a:pos x="connsiteX12745" y="connsiteY12745"/>
              </a:cxn>
              <a:cxn ang="0">
                <a:pos x="connsiteX12746" y="connsiteY12746"/>
              </a:cxn>
              <a:cxn ang="0">
                <a:pos x="connsiteX12747" y="connsiteY12747"/>
              </a:cxn>
              <a:cxn ang="0">
                <a:pos x="connsiteX12748" y="connsiteY12748"/>
              </a:cxn>
              <a:cxn ang="0">
                <a:pos x="connsiteX12749" y="connsiteY12749"/>
              </a:cxn>
              <a:cxn ang="0">
                <a:pos x="connsiteX12750" y="connsiteY12750"/>
              </a:cxn>
              <a:cxn ang="0">
                <a:pos x="connsiteX12751" y="connsiteY12751"/>
              </a:cxn>
              <a:cxn ang="0">
                <a:pos x="connsiteX12752" y="connsiteY12752"/>
              </a:cxn>
              <a:cxn ang="0">
                <a:pos x="connsiteX12753" y="connsiteY12753"/>
              </a:cxn>
              <a:cxn ang="0">
                <a:pos x="connsiteX12754" y="connsiteY12754"/>
              </a:cxn>
              <a:cxn ang="0">
                <a:pos x="connsiteX12755" y="connsiteY12755"/>
              </a:cxn>
              <a:cxn ang="0">
                <a:pos x="connsiteX12756" y="connsiteY12756"/>
              </a:cxn>
              <a:cxn ang="0">
                <a:pos x="connsiteX12757" y="connsiteY12757"/>
              </a:cxn>
              <a:cxn ang="0">
                <a:pos x="connsiteX12758" y="connsiteY12758"/>
              </a:cxn>
              <a:cxn ang="0">
                <a:pos x="connsiteX12759" y="connsiteY12759"/>
              </a:cxn>
              <a:cxn ang="0">
                <a:pos x="connsiteX12760" y="connsiteY12760"/>
              </a:cxn>
              <a:cxn ang="0">
                <a:pos x="connsiteX12761" y="connsiteY12761"/>
              </a:cxn>
              <a:cxn ang="0">
                <a:pos x="connsiteX12762" y="connsiteY12762"/>
              </a:cxn>
              <a:cxn ang="0">
                <a:pos x="connsiteX12763" y="connsiteY12763"/>
              </a:cxn>
              <a:cxn ang="0">
                <a:pos x="connsiteX12764" y="connsiteY12764"/>
              </a:cxn>
              <a:cxn ang="0">
                <a:pos x="connsiteX12765" y="connsiteY12765"/>
              </a:cxn>
              <a:cxn ang="0">
                <a:pos x="connsiteX12766" y="connsiteY12766"/>
              </a:cxn>
              <a:cxn ang="0">
                <a:pos x="connsiteX12767" y="connsiteY12767"/>
              </a:cxn>
              <a:cxn ang="0">
                <a:pos x="connsiteX12768" y="connsiteY12768"/>
              </a:cxn>
              <a:cxn ang="0">
                <a:pos x="connsiteX12769" y="connsiteY12769"/>
              </a:cxn>
              <a:cxn ang="0">
                <a:pos x="connsiteX12770" y="connsiteY12770"/>
              </a:cxn>
              <a:cxn ang="0">
                <a:pos x="connsiteX12771" y="connsiteY12771"/>
              </a:cxn>
              <a:cxn ang="0">
                <a:pos x="connsiteX12772" y="connsiteY12772"/>
              </a:cxn>
              <a:cxn ang="0">
                <a:pos x="connsiteX12773" y="connsiteY12773"/>
              </a:cxn>
              <a:cxn ang="0">
                <a:pos x="connsiteX12774" y="connsiteY12774"/>
              </a:cxn>
              <a:cxn ang="0">
                <a:pos x="connsiteX12775" y="connsiteY12775"/>
              </a:cxn>
              <a:cxn ang="0">
                <a:pos x="connsiteX12776" y="connsiteY12776"/>
              </a:cxn>
              <a:cxn ang="0">
                <a:pos x="connsiteX12777" y="connsiteY12777"/>
              </a:cxn>
              <a:cxn ang="0">
                <a:pos x="connsiteX12778" y="connsiteY12778"/>
              </a:cxn>
              <a:cxn ang="0">
                <a:pos x="connsiteX12779" y="connsiteY12779"/>
              </a:cxn>
              <a:cxn ang="0">
                <a:pos x="connsiteX12780" y="connsiteY12780"/>
              </a:cxn>
              <a:cxn ang="0">
                <a:pos x="connsiteX12781" y="connsiteY12781"/>
              </a:cxn>
              <a:cxn ang="0">
                <a:pos x="connsiteX12782" y="connsiteY12782"/>
              </a:cxn>
              <a:cxn ang="0">
                <a:pos x="connsiteX12783" y="connsiteY12783"/>
              </a:cxn>
              <a:cxn ang="0">
                <a:pos x="connsiteX12784" y="connsiteY12784"/>
              </a:cxn>
              <a:cxn ang="0">
                <a:pos x="connsiteX12785" y="connsiteY12785"/>
              </a:cxn>
              <a:cxn ang="0">
                <a:pos x="connsiteX12786" y="connsiteY12786"/>
              </a:cxn>
              <a:cxn ang="0">
                <a:pos x="connsiteX12787" y="connsiteY12787"/>
              </a:cxn>
              <a:cxn ang="0">
                <a:pos x="connsiteX12788" y="connsiteY12788"/>
              </a:cxn>
              <a:cxn ang="0">
                <a:pos x="connsiteX12789" y="connsiteY12789"/>
              </a:cxn>
              <a:cxn ang="0">
                <a:pos x="connsiteX12790" y="connsiteY12790"/>
              </a:cxn>
              <a:cxn ang="0">
                <a:pos x="connsiteX12791" y="connsiteY12791"/>
              </a:cxn>
              <a:cxn ang="0">
                <a:pos x="connsiteX12792" y="connsiteY12792"/>
              </a:cxn>
              <a:cxn ang="0">
                <a:pos x="connsiteX12793" y="connsiteY12793"/>
              </a:cxn>
              <a:cxn ang="0">
                <a:pos x="connsiteX12794" y="connsiteY12794"/>
              </a:cxn>
              <a:cxn ang="0">
                <a:pos x="connsiteX12795" y="connsiteY12795"/>
              </a:cxn>
              <a:cxn ang="0">
                <a:pos x="connsiteX12796" y="connsiteY12796"/>
              </a:cxn>
              <a:cxn ang="0">
                <a:pos x="connsiteX12797" y="connsiteY12797"/>
              </a:cxn>
              <a:cxn ang="0">
                <a:pos x="connsiteX12798" y="connsiteY12798"/>
              </a:cxn>
              <a:cxn ang="0">
                <a:pos x="connsiteX12799" y="connsiteY12799"/>
              </a:cxn>
              <a:cxn ang="0">
                <a:pos x="connsiteX12800" y="connsiteY12800"/>
              </a:cxn>
              <a:cxn ang="0">
                <a:pos x="connsiteX12801" y="connsiteY12801"/>
              </a:cxn>
              <a:cxn ang="0">
                <a:pos x="connsiteX12802" y="connsiteY12802"/>
              </a:cxn>
              <a:cxn ang="0">
                <a:pos x="connsiteX12803" y="connsiteY12803"/>
              </a:cxn>
              <a:cxn ang="0">
                <a:pos x="connsiteX12804" y="connsiteY12804"/>
              </a:cxn>
              <a:cxn ang="0">
                <a:pos x="connsiteX12805" y="connsiteY12805"/>
              </a:cxn>
              <a:cxn ang="0">
                <a:pos x="connsiteX12806" y="connsiteY12806"/>
              </a:cxn>
              <a:cxn ang="0">
                <a:pos x="connsiteX12807" y="connsiteY12807"/>
              </a:cxn>
              <a:cxn ang="0">
                <a:pos x="connsiteX12808" y="connsiteY12808"/>
              </a:cxn>
              <a:cxn ang="0">
                <a:pos x="connsiteX12809" y="connsiteY12809"/>
              </a:cxn>
              <a:cxn ang="0">
                <a:pos x="connsiteX12810" y="connsiteY12810"/>
              </a:cxn>
              <a:cxn ang="0">
                <a:pos x="connsiteX12811" y="connsiteY12811"/>
              </a:cxn>
              <a:cxn ang="0">
                <a:pos x="connsiteX12812" y="connsiteY12812"/>
              </a:cxn>
              <a:cxn ang="0">
                <a:pos x="connsiteX12813" y="connsiteY12813"/>
              </a:cxn>
              <a:cxn ang="0">
                <a:pos x="connsiteX12814" y="connsiteY12814"/>
              </a:cxn>
              <a:cxn ang="0">
                <a:pos x="connsiteX12815" y="connsiteY12815"/>
              </a:cxn>
              <a:cxn ang="0">
                <a:pos x="connsiteX12816" y="connsiteY12816"/>
              </a:cxn>
              <a:cxn ang="0">
                <a:pos x="connsiteX12817" y="connsiteY12817"/>
              </a:cxn>
              <a:cxn ang="0">
                <a:pos x="connsiteX12818" y="connsiteY12818"/>
              </a:cxn>
              <a:cxn ang="0">
                <a:pos x="connsiteX12819" y="connsiteY12819"/>
              </a:cxn>
              <a:cxn ang="0">
                <a:pos x="connsiteX12820" y="connsiteY12820"/>
              </a:cxn>
              <a:cxn ang="0">
                <a:pos x="connsiteX12821" y="connsiteY12821"/>
              </a:cxn>
              <a:cxn ang="0">
                <a:pos x="connsiteX12822" y="connsiteY12822"/>
              </a:cxn>
              <a:cxn ang="0">
                <a:pos x="connsiteX12823" y="connsiteY12823"/>
              </a:cxn>
              <a:cxn ang="0">
                <a:pos x="connsiteX12824" y="connsiteY12824"/>
              </a:cxn>
              <a:cxn ang="0">
                <a:pos x="connsiteX12825" y="connsiteY12825"/>
              </a:cxn>
              <a:cxn ang="0">
                <a:pos x="connsiteX12826" y="connsiteY12826"/>
              </a:cxn>
              <a:cxn ang="0">
                <a:pos x="connsiteX12827" y="connsiteY12827"/>
              </a:cxn>
              <a:cxn ang="0">
                <a:pos x="connsiteX12828" y="connsiteY12828"/>
              </a:cxn>
              <a:cxn ang="0">
                <a:pos x="connsiteX12829" y="connsiteY12829"/>
              </a:cxn>
              <a:cxn ang="0">
                <a:pos x="connsiteX12830" y="connsiteY12830"/>
              </a:cxn>
              <a:cxn ang="0">
                <a:pos x="connsiteX12831" y="connsiteY12831"/>
              </a:cxn>
              <a:cxn ang="0">
                <a:pos x="connsiteX12832" y="connsiteY12832"/>
              </a:cxn>
              <a:cxn ang="0">
                <a:pos x="connsiteX12833" y="connsiteY12833"/>
              </a:cxn>
              <a:cxn ang="0">
                <a:pos x="connsiteX12834" y="connsiteY12834"/>
              </a:cxn>
              <a:cxn ang="0">
                <a:pos x="connsiteX12835" y="connsiteY12835"/>
              </a:cxn>
              <a:cxn ang="0">
                <a:pos x="connsiteX12836" y="connsiteY12836"/>
              </a:cxn>
              <a:cxn ang="0">
                <a:pos x="connsiteX12837" y="connsiteY12837"/>
              </a:cxn>
              <a:cxn ang="0">
                <a:pos x="connsiteX12838" y="connsiteY12838"/>
              </a:cxn>
              <a:cxn ang="0">
                <a:pos x="connsiteX12839" y="connsiteY12839"/>
              </a:cxn>
              <a:cxn ang="0">
                <a:pos x="connsiteX12840" y="connsiteY12840"/>
              </a:cxn>
              <a:cxn ang="0">
                <a:pos x="connsiteX12841" y="connsiteY12841"/>
              </a:cxn>
              <a:cxn ang="0">
                <a:pos x="connsiteX12842" y="connsiteY12842"/>
              </a:cxn>
              <a:cxn ang="0">
                <a:pos x="connsiteX12843" y="connsiteY12843"/>
              </a:cxn>
              <a:cxn ang="0">
                <a:pos x="connsiteX12844" y="connsiteY12844"/>
              </a:cxn>
              <a:cxn ang="0">
                <a:pos x="connsiteX12845" y="connsiteY12845"/>
              </a:cxn>
              <a:cxn ang="0">
                <a:pos x="connsiteX12846" y="connsiteY12846"/>
              </a:cxn>
              <a:cxn ang="0">
                <a:pos x="connsiteX12847" y="connsiteY12847"/>
              </a:cxn>
              <a:cxn ang="0">
                <a:pos x="connsiteX12848" y="connsiteY12848"/>
              </a:cxn>
              <a:cxn ang="0">
                <a:pos x="connsiteX12849" y="connsiteY12849"/>
              </a:cxn>
              <a:cxn ang="0">
                <a:pos x="connsiteX12850" y="connsiteY12850"/>
              </a:cxn>
              <a:cxn ang="0">
                <a:pos x="connsiteX12851" y="connsiteY12851"/>
              </a:cxn>
              <a:cxn ang="0">
                <a:pos x="connsiteX12852" y="connsiteY12852"/>
              </a:cxn>
              <a:cxn ang="0">
                <a:pos x="connsiteX12853" y="connsiteY12853"/>
              </a:cxn>
              <a:cxn ang="0">
                <a:pos x="connsiteX12854" y="connsiteY12854"/>
              </a:cxn>
              <a:cxn ang="0">
                <a:pos x="connsiteX12855" y="connsiteY12855"/>
              </a:cxn>
              <a:cxn ang="0">
                <a:pos x="connsiteX12856" y="connsiteY12856"/>
              </a:cxn>
              <a:cxn ang="0">
                <a:pos x="connsiteX12857" y="connsiteY12857"/>
              </a:cxn>
              <a:cxn ang="0">
                <a:pos x="connsiteX12858" y="connsiteY12858"/>
              </a:cxn>
              <a:cxn ang="0">
                <a:pos x="connsiteX12859" y="connsiteY12859"/>
              </a:cxn>
              <a:cxn ang="0">
                <a:pos x="connsiteX12860" y="connsiteY12860"/>
              </a:cxn>
              <a:cxn ang="0">
                <a:pos x="connsiteX12861" y="connsiteY12861"/>
              </a:cxn>
              <a:cxn ang="0">
                <a:pos x="connsiteX12862" y="connsiteY12862"/>
              </a:cxn>
              <a:cxn ang="0">
                <a:pos x="connsiteX12863" y="connsiteY12863"/>
              </a:cxn>
              <a:cxn ang="0">
                <a:pos x="connsiteX12864" y="connsiteY12864"/>
              </a:cxn>
              <a:cxn ang="0">
                <a:pos x="connsiteX12865" y="connsiteY12865"/>
              </a:cxn>
              <a:cxn ang="0">
                <a:pos x="connsiteX12866" y="connsiteY12866"/>
              </a:cxn>
              <a:cxn ang="0">
                <a:pos x="connsiteX12867" y="connsiteY12867"/>
              </a:cxn>
              <a:cxn ang="0">
                <a:pos x="connsiteX12868" y="connsiteY12868"/>
              </a:cxn>
              <a:cxn ang="0">
                <a:pos x="connsiteX12869" y="connsiteY12869"/>
              </a:cxn>
              <a:cxn ang="0">
                <a:pos x="connsiteX12870" y="connsiteY12870"/>
              </a:cxn>
              <a:cxn ang="0">
                <a:pos x="connsiteX12871" y="connsiteY12871"/>
              </a:cxn>
              <a:cxn ang="0">
                <a:pos x="connsiteX12872" y="connsiteY12872"/>
              </a:cxn>
              <a:cxn ang="0">
                <a:pos x="connsiteX12873" y="connsiteY12873"/>
              </a:cxn>
              <a:cxn ang="0">
                <a:pos x="connsiteX12874" y="connsiteY12874"/>
              </a:cxn>
              <a:cxn ang="0">
                <a:pos x="connsiteX12875" y="connsiteY12875"/>
              </a:cxn>
              <a:cxn ang="0">
                <a:pos x="connsiteX12876" y="connsiteY12876"/>
              </a:cxn>
              <a:cxn ang="0">
                <a:pos x="connsiteX12877" y="connsiteY12877"/>
              </a:cxn>
              <a:cxn ang="0">
                <a:pos x="connsiteX12878" y="connsiteY12878"/>
              </a:cxn>
              <a:cxn ang="0">
                <a:pos x="connsiteX12879" y="connsiteY12879"/>
              </a:cxn>
              <a:cxn ang="0">
                <a:pos x="connsiteX12880" y="connsiteY12880"/>
              </a:cxn>
              <a:cxn ang="0">
                <a:pos x="connsiteX12881" y="connsiteY12881"/>
              </a:cxn>
              <a:cxn ang="0">
                <a:pos x="connsiteX12882" y="connsiteY12882"/>
              </a:cxn>
              <a:cxn ang="0">
                <a:pos x="connsiteX12883" y="connsiteY12883"/>
              </a:cxn>
              <a:cxn ang="0">
                <a:pos x="connsiteX12884" y="connsiteY12884"/>
              </a:cxn>
              <a:cxn ang="0">
                <a:pos x="connsiteX12885" y="connsiteY12885"/>
              </a:cxn>
              <a:cxn ang="0">
                <a:pos x="connsiteX12886" y="connsiteY12886"/>
              </a:cxn>
              <a:cxn ang="0">
                <a:pos x="connsiteX12887" y="connsiteY12887"/>
              </a:cxn>
              <a:cxn ang="0">
                <a:pos x="connsiteX12888" y="connsiteY12888"/>
              </a:cxn>
              <a:cxn ang="0">
                <a:pos x="connsiteX12889" y="connsiteY12889"/>
              </a:cxn>
              <a:cxn ang="0">
                <a:pos x="connsiteX12890" y="connsiteY12890"/>
              </a:cxn>
              <a:cxn ang="0">
                <a:pos x="connsiteX12891" y="connsiteY12891"/>
              </a:cxn>
              <a:cxn ang="0">
                <a:pos x="connsiteX12892" y="connsiteY12892"/>
              </a:cxn>
              <a:cxn ang="0">
                <a:pos x="connsiteX12893" y="connsiteY12893"/>
              </a:cxn>
              <a:cxn ang="0">
                <a:pos x="connsiteX12894" y="connsiteY12894"/>
              </a:cxn>
              <a:cxn ang="0">
                <a:pos x="connsiteX12895" y="connsiteY12895"/>
              </a:cxn>
              <a:cxn ang="0">
                <a:pos x="connsiteX12896" y="connsiteY12896"/>
              </a:cxn>
              <a:cxn ang="0">
                <a:pos x="connsiteX12897" y="connsiteY12897"/>
              </a:cxn>
              <a:cxn ang="0">
                <a:pos x="connsiteX12898" y="connsiteY12898"/>
              </a:cxn>
              <a:cxn ang="0">
                <a:pos x="connsiteX12899" y="connsiteY12899"/>
              </a:cxn>
              <a:cxn ang="0">
                <a:pos x="connsiteX12900" y="connsiteY12900"/>
              </a:cxn>
              <a:cxn ang="0">
                <a:pos x="connsiteX12901" y="connsiteY12901"/>
              </a:cxn>
              <a:cxn ang="0">
                <a:pos x="connsiteX12902" y="connsiteY12902"/>
              </a:cxn>
              <a:cxn ang="0">
                <a:pos x="connsiteX12903" y="connsiteY12903"/>
              </a:cxn>
              <a:cxn ang="0">
                <a:pos x="connsiteX12904" y="connsiteY12904"/>
              </a:cxn>
              <a:cxn ang="0">
                <a:pos x="connsiteX12905" y="connsiteY12905"/>
              </a:cxn>
              <a:cxn ang="0">
                <a:pos x="connsiteX12906" y="connsiteY12906"/>
              </a:cxn>
              <a:cxn ang="0">
                <a:pos x="connsiteX12907" y="connsiteY12907"/>
              </a:cxn>
              <a:cxn ang="0">
                <a:pos x="connsiteX12908" y="connsiteY12908"/>
              </a:cxn>
              <a:cxn ang="0">
                <a:pos x="connsiteX12909" y="connsiteY12909"/>
              </a:cxn>
              <a:cxn ang="0">
                <a:pos x="connsiteX12910" y="connsiteY12910"/>
              </a:cxn>
              <a:cxn ang="0">
                <a:pos x="connsiteX12911" y="connsiteY12911"/>
              </a:cxn>
              <a:cxn ang="0">
                <a:pos x="connsiteX12912" y="connsiteY12912"/>
              </a:cxn>
              <a:cxn ang="0">
                <a:pos x="connsiteX12913" y="connsiteY12913"/>
              </a:cxn>
              <a:cxn ang="0">
                <a:pos x="connsiteX12914" y="connsiteY12914"/>
              </a:cxn>
              <a:cxn ang="0">
                <a:pos x="connsiteX12915" y="connsiteY12915"/>
              </a:cxn>
              <a:cxn ang="0">
                <a:pos x="connsiteX12916" y="connsiteY12916"/>
              </a:cxn>
              <a:cxn ang="0">
                <a:pos x="connsiteX12917" y="connsiteY12917"/>
              </a:cxn>
              <a:cxn ang="0">
                <a:pos x="connsiteX12918" y="connsiteY12918"/>
              </a:cxn>
              <a:cxn ang="0">
                <a:pos x="connsiteX12919" y="connsiteY12919"/>
              </a:cxn>
              <a:cxn ang="0">
                <a:pos x="connsiteX12920" y="connsiteY12920"/>
              </a:cxn>
              <a:cxn ang="0">
                <a:pos x="connsiteX12921" y="connsiteY12921"/>
              </a:cxn>
              <a:cxn ang="0">
                <a:pos x="connsiteX12922" y="connsiteY12922"/>
              </a:cxn>
              <a:cxn ang="0">
                <a:pos x="connsiteX12923" y="connsiteY12923"/>
              </a:cxn>
              <a:cxn ang="0">
                <a:pos x="connsiteX12924" y="connsiteY12924"/>
              </a:cxn>
              <a:cxn ang="0">
                <a:pos x="connsiteX12925" y="connsiteY12925"/>
              </a:cxn>
              <a:cxn ang="0">
                <a:pos x="connsiteX12926" y="connsiteY12926"/>
              </a:cxn>
              <a:cxn ang="0">
                <a:pos x="connsiteX12927" y="connsiteY12927"/>
              </a:cxn>
              <a:cxn ang="0">
                <a:pos x="connsiteX12928" y="connsiteY12928"/>
              </a:cxn>
              <a:cxn ang="0">
                <a:pos x="connsiteX12929" y="connsiteY12929"/>
              </a:cxn>
              <a:cxn ang="0">
                <a:pos x="connsiteX12930" y="connsiteY12930"/>
              </a:cxn>
              <a:cxn ang="0">
                <a:pos x="connsiteX12931" y="connsiteY12931"/>
              </a:cxn>
              <a:cxn ang="0">
                <a:pos x="connsiteX12932" y="connsiteY12932"/>
              </a:cxn>
              <a:cxn ang="0">
                <a:pos x="connsiteX12933" y="connsiteY12933"/>
              </a:cxn>
              <a:cxn ang="0">
                <a:pos x="connsiteX12934" y="connsiteY12934"/>
              </a:cxn>
              <a:cxn ang="0">
                <a:pos x="connsiteX12935" y="connsiteY12935"/>
              </a:cxn>
              <a:cxn ang="0">
                <a:pos x="connsiteX12936" y="connsiteY12936"/>
              </a:cxn>
              <a:cxn ang="0">
                <a:pos x="connsiteX12937" y="connsiteY12937"/>
              </a:cxn>
              <a:cxn ang="0">
                <a:pos x="connsiteX12938" y="connsiteY12938"/>
              </a:cxn>
              <a:cxn ang="0">
                <a:pos x="connsiteX12939" y="connsiteY12939"/>
              </a:cxn>
              <a:cxn ang="0">
                <a:pos x="connsiteX12940" y="connsiteY12940"/>
              </a:cxn>
              <a:cxn ang="0">
                <a:pos x="connsiteX12941" y="connsiteY12941"/>
              </a:cxn>
              <a:cxn ang="0">
                <a:pos x="connsiteX12942" y="connsiteY12942"/>
              </a:cxn>
              <a:cxn ang="0">
                <a:pos x="connsiteX12943" y="connsiteY12943"/>
              </a:cxn>
              <a:cxn ang="0">
                <a:pos x="connsiteX12944" y="connsiteY12944"/>
              </a:cxn>
              <a:cxn ang="0">
                <a:pos x="connsiteX12945" y="connsiteY12945"/>
              </a:cxn>
              <a:cxn ang="0">
                <a:pos x="connsiteX12946" y="connsiteY12946"/>
              </a:cxn>
              <a:cxn ang="0">
                <a:pos x="connsiteX12947" y="connsiteY12947"/>
              </a:cxn>
              <a:cxn ang="0">
                <a:pos x="connsiteX12948" y="connsiteY12948"/>
              </a:cxn>
              <a:cxn ang="0">
                <a:pos x="connsiteX12949" y="connsiteY12949"/>
              </a:cxn>
              <a:cxn ang="0">
                <a:pos x="connsiteX12950" y="connsiteY12950"/>
              </a:cxn>
              <a:cxn ang="0">
                <a:pos x="connsiteX12951" y="connsiteY12951"/>
              </a:cxn>
              <a:cxn ang="0">
                <a:pos x="connsiteX12952" y="connsiteY12952"/>
              </a:cxn>
              <a:cxn ang="0">
                <a:pos x="connsiteX12953" y="connsiteY12953"/>
              </a:cxn>
              <a:cxn ang="0">
                <a:pos x="connsiteX12954" y="connsiteY12954"/>
              </a:cxn>
              <a:cxn ang="0">
                <a:pos x="connsiteX12955" y="connsiteY12955"/>
              </a:cxn>
              <a:cxn ang="0">
                <a:pos x="connsiteX12956" y="connsiteY12956"/>
              </a:cxn>
              <a:cxn ang="0">
                <a:pos x="connsiteX12957" y="connsiteY12957"/>
              </a:cxn>
              <a:cxn ang="0">
                <a:pos x="connsiteX12958" y="connsiteY12958"/>
              </a:cxn>
              <a:cxn ang="0">
                <a:pos x="connsiteX12959" y="connsiteY12959"/>
              </a:cxn>
              <a:cxn ang="0">
                <a:pos x="connsiteX12960" y="connsiteY12960"/>
              </a:cxn>
              <a:cxn ang="0">
                <a:pos x="connsiteX12961" y="connsiteY12961"/>
              </a:cxn>
              <a:cxn ang="0">
                <a:pos x="connsiteX12962" y="connsiteY12962"/>
              </a:cxn>
              <a:cxn ang="0">
                <a:pos x="connsiteX12963" y="connsiteY12963"/>
              </a:cxn>
              <a:cxn ang="0">
                <a:pos x="connsiteX12964" y="connsiteY12964"/>
              </a:cxn>
              <a:cxn ang="0">
                <a:pos x="connsiteX12965" y="connsiteY12965"/>
              </a:cxn>
              <a:cxn ang="0">
                <a:pos x="connsiteX12966" y="connsiteY12966"/>
              </a:cxn>
              <a:cxn ang="0">
                <a:pos x="connsiteX12967" y="connsiteY12967"/>
              </a:cxn>
              <a:cxn ang="0">
                <a:pos x="connsiteX12968" y="connsiteY12968"/>
              </a:cxn>
              <a:cxn ang="0">
                <a:pos x="connsiteX12969" y="connsiteY12969"/>
              </a:cxn>
              <a:cxn ang="0">
                <a:pos x="connsiteX12970" y="connsiteY12970"/>
              </a:cxn>
              <a:cxn ang="0">
                <a:pos x="connsiteX12971" y="connsiteY12971"/>
              </a:cxn>
              <a:cxn ang="0">
                <a:pos x="connsiteX12972" y="connsiteY12972"/>
              </a:cxn>
              <a:cxn ang="0">
                <a:pos x="connsiteX12973" y="connsiteY12973"/>
              </a:cxn>
              <a:cxn ang="0">
                <a:pos x="connsiteX12974" y="connsiteY12974"/>
              </a:cxn>
              <a:cxn ang="0">
                <a:pos x="connsiteX12975" y="connsiteY12975"/>
              </a:cxn>
              <a:cxn ang="0">
                <a:pos x="connsiteX12976" y="connsiteY12976"/>
              </a:cxn>
              <a:cxn ang="0">
                <a:pos x="connsiteX12977" y="connsiteY12977"/>
              </a:cxn>
              <a:cxn ang="0">
                <a:pos x="connsiteX12978" y="connsiteY12978"/>
              </a:cxn>
              <a:cxn ang="0">
                <a:pos x="connsiteX12979" y="connsiteY12979"/>
              </a:cxn>
              <a:cxn ang="0">
                <a:pos x="connsiteX12980" y="connsiteY12980"/>
              </a:cxn>
              <a:cxn ang="0">
                <a:pos x="connsiteX12981" y="connsiteY12981"/>
              </a:cxn>
              <a:cxn ang="0">
                <a:pos x="connsiteX12982" y="connsiteY12982"/>
              </a:cxn>
              <a:cxn ang="0">
                <a:pos x="connsiteX12983" y="connsiteY12983"/>
              </a:cxn>
              <a:cxn ang="0">
                <a:pos x="connsiteX12984" y="connsiteY12984"/>
              </a:cxn>
              <a:cxn ang="0">
                <a:pos x="connsiteX12985" y="connsiteY12985"/>
              </a:cxn>
              <a:cxn ang="0">
                <a:pos x="connsiteX12986" y="connsiteY12986"/>
              </a:cxn>
              <a:cxn ang="0">
                <a:pos x="connsiteX12987" y="connsiteY12987"/>
              </a:cxn>
              <a:cxn ang="0">
                <a:pos x="connsiteX12988" y="connsiteY12988"/>
              </a:cxn>
              <a:cxn ang="0">
                <a:pos x="connsiteX12989" y="connsiteY12989"/>
              </a:cxn>
              <a:cxn ang="0">
                <a:pos x="connsiteX12990" y="connsiteY12990"/>
              </a:cxn>
              <a:cxn ang="0">
                <a:pos x="connsiteX12991" y="connsiteY12991"/>
              </a:cxn>
              <a:cxn ang="0">
                <a:pos x="connsiteX12992" y="connsiteY12992"/>
              </a:cxn>
              <a:cxn ang="0">
                <a:pos x="connsiteX12993" y="connsiteY12993"/>
              </a:cxn>
              <a:cxn ang="0">
                <a:pos x="connsiteX12994" y="connsiteY12994"/>
              </a:cxn>
              <a:cxn ang="0">
                <a:pos x="connsiteX12995" y="connsiteY12995"/>
              </a:cxn>
              <a:cxn ang="0">
                <a:pos x="connsiteX12996" y="connsiteY12996"/>
              </a:cxn>
              <a:cxn ang="0">
                <a:pos x="connsiteX12997" y="connsiteY12997"/>
              </a:cxn>
              <a:cxn ang="0">
                <a:pos x="connsiteX12998" y="connsiteY12998"/>
              </a:cxn>
              <a:cxn ang="0">
                <a:pos x="connsiteX12999" y="connsiteY12999"/>
              </a:cxn>
              <a:cxn ang="0">
                <a:pos x="connsiteX13000" y="connsiteY13000"/>
              </a:cxn>
              <a:cxn ang="0">
                <a:pos x="connsiteX13001" y="connsiteY13001"/>
              </a:cxn>
              <a:cxn ang="0">
                <a:pos x="connsiteX13002" y="connsiteY13002"/>
              </a:cxn>
              <a:cxn ang="0">
                <a:pos x="connsiteX13003" y="connsiteY13003"/>
              </a:cxn>
              <a:cxn ang="0">
                <a:pos x="connsiteX13004" y="connsiteY13004"/>
              </a:cxn>
              <a:cxn ang="0">
                <a:pos x="connsiteX13005" y="connsiteY13005"/>
              </a:cxn>
              <a:cxn ang="0">
                <a:pos x="connsiteX13006" y="connsiteY13006"/>
              </a:cxn>
              <a:cxn ang="0">
                <a:pos x="connsiteX13007" y="connsiteY13007"/>
              </a:cxn>
              <a:cxn ang="0">
                <a:pos x="connsiteX13008" y="connsiteY13008"/>
              </a:cxn>
              <a:cxn ang="0">
                <a:pos x="connsiteX13009" y="connsiteY13009"/>
              </a:cxn>
              <a:cxn ang="0">
                <a:pos x="connsiteX13010" y="connsiteY13010"/>
              </a:cxn>
              <a:cxn ang="0">
                <a:pos x="connsiteX13011" y="connsiteY13011"/>
              </a:cxn>
              <a:cxn ang="0">
                <a:pos x="connsiteX13012" y="connsiteY13012"/>
              </a:cxn>
              <a:cxn ang="0">
                <a:pos x="connsiteX13013" y="connsiteY13013"/>
              </a:cxn>
              <a:cxn ang="0">
                <a:pos x="connsiteX13014" y="connsiteY13014"/>
              </a:cxn>
              <a:cxn ang="0">
                <a:pos x="connsiteX13015" y="connsiteY13015"/>
              </a:cxn>
              <a:cxn ang="0">
                <a:pos x="connsiteX13016" y="connsiteY13016"/>
              </a:cxn>
              <a:cxn ang="0">
                <a:pos x="connsiteX13017" y="connsiteY13017"/>
              </a:cxn>
              <a:cxn ang="0">
                <a:pos x="connsiteX13018" y="connsiteY13018"/>
              </a:cxn>
              <a:cxn ang="0">
                <a:pos x="connsiteX13019" y="connsiteY13019"/>
              </a:cxn>
              <a:cxn ang="0">
                <a:pos x="connsiteX13020" y="connsiteY13020"/>
              </a:cxn>
              <a:cxn ang="0">
                <a:pos x="connsiteX13021" y="connsiteY13021"/>
              </a:cxn>
              <a:cxn ang="0">
                <a:pos x="connsiteX13022" y="connsiteY13022"/>
              </a:cxn>
              <a:cxn ang="0">
                <a:pos x="connsiteX13023" y="connsiteY13023"/>
              </a:cxn>
              <a:cxn ang="0">
                <a:pos x="connsiteX13024" y="connsiteY13024"/>
              </a:cxn>
              <a:cxn ang="0">
                <a:pos x="connsiteX13025" y="connsiteY13025"/>
              </a:cxn>
              <a:cxn ang="0">
                <a:pos x="connsiteX13026" y="connsiteY13026"/>
              </a:cxn>
              <a:cxn ang="0">
                <a:pos x="connsiteX13027" y="connsiteY13027"/>
              </a:cxn>
              <a:cxn ang="0">
                <a:pos x="connsiteX13028" y="connsiteY13028"/>
              </a:cxn>
              <a:cxn ang="0">
                <a:pos x="connsiteX13029" y="connsiteY13029"/>
              </a:cxn>
              <a:cxn ang="0">
                <a:pos x="connsiteX13030" y="connsiteY13030"/>
              </a:cxn>
              <a:cxn ang="0">
                <a:pos x="connsiteX13031" y="connsiteY13031"/>
              </a:cxn>
              <a:cxn ang="0">
                <a:pos x="connsiteX13032" y="connsiteY13032"/>
              </a:cxn>
              <a:cxn ang="0">
                <a:pos x="connsiteX13033" y="connsiteY13033"/>
              </a:cxn>
              <a:cxn ang="0">
                <a:pos x="connsiteX13034" y="connsiteY13034"/>
              </a:cxn>
              <a:cxn ang="0">
                <a:pos x="connsiteX13035" y="connsiteY13035"/>
              </a:cxn>
              <a:cxn ang="0">
                <a:pos x="connsiteX13036" y="connsiteY13036"/>
              </a:cxn>
              <a:cxn ang="0">
                <a:pos x="connsiteX13037" y="connsiteY13037"/>
              </a:cxn>
              <a:cxn ang="0">
                <a:pos x="connsiteX13038" y="connsiteY13038"/>
              </a:cxn>
              <a:cxn ang="0">
                <a:pos x="connsiteX13039" y="connsiteY13039"/>
              </a:cxn>
              <a:cxn ang="0">
                <a:pos x="connsiteX13040" y="connsiteY13040"/>
              </a:cxn>
              <a:cxn ang="0">
                <a:pos x="connsiteX13041" y="connsiteY13041"/>
              </a:cxn>
              <a:cxn ang="0">
                <a:pos x="connsiteX13042" y="connsiteY13042"/>
              </a:cxn>
              <a:cxn ang="0">
                <a:pos x="connsiteX13043" y="connsiteY13043"/>
              </a:cxn>
              <a:cxn ang="0">
                <a:pos x="connsiteX13044" y="connsiteY13044"/>
              </a:cxn>
              <a:cxn ang="0">
                <a:pos x="connsiteX13045" y="connsiteY13045"/>
              </a:cxn>
              <a:cxn ang="0">
                <a:pos x="connsiteX13046" y="connsiteY13046"/>
              </a:cxn>
              <a:cxn ang="0">
                <a:pos x="connsiteX13047" y="connsiteY13047"/>
              </a:cxn>
              <a:cxn ang="0">
                <a:pos x="connsiteX13048" y="connsiteY13048"/>
              </a:cxn>
              <a:cxn ang="0">
                <a:pos x="connsiteX13049" y="connsiteY13049"/>
              </a:cxn>
              <a:cxn ang="0">
                <a:pos x="connsiteX13050" y="connsiteY13050"/>
              </a:cxn>
              <a:cxn ang="0">
                <a:pos x="connsiteX13051" y="connsiteY13051"/>
              </a:cxn>
              <a:cxn ang="0">
                <a:pos x="connsiteX13052" y="connsiteY13052"/>
              </a:cxn>
              <a:cxn ang="0">
                <a:pos x="connsiteX13053" y="connsiteY13053"/>
              </a:cxn>
              <a:cxn ang="0">
                <a:pos x="connsiteX13054" y="connsiteY13054"/>
              </a:cxn>
              <a:cxn ang="0">
                <a:pos x="connsiteX13055" y="connsiteY13055"/>
              </a:cxn>
              <a:cxn ang="0">
                <a:pos x="connsiteX13056" y="connsiteY13056"/>
              </a:cxn>
              <a:cxn ang="0">
                <a:pos x="connsiteX13057" y="connsiteY13057"/>
              </a:cxn>
              <a:cxn ang="0">
                <a:pos x="connsiteX13058" y="connsiteY13058"/>
              </a:cxn>
              <a:cxn ang="0">
                <a:pos x="connsiteX13059" y="connsiteY13059"/>
              </a:cxn>
              <a:cxn ang="0">
                <a:pos x="connsiteX13060" y="connsiteY13060"/>
              </a:cxn>
              <a:cxn ang="0">
                <a:pos x="connsiteX13061" y="connsiteY13061"/>
              </a:cxn>
              <a:cxn ang="0">
                <a:pos x="connsiteX13062" y="connsiteY13062"/>
              </a:cxn>
              <a:cxn ang="0">
                <a:pos x="connsiteX13063" y="connsiteY13063"/>
              </a:cxn>
              <a:cxn ang="0">
                <a:pos x="connsiteX13064" y="connsiteY13064"/>
              </a:cxn>
              <a:cxn ang="0">
                <a:pos x="connsiteX13065" y="connsiteY13065"/>
              </a:cxn>
              <a:cxn ang="0">
                <a:pos x="connsiteX13066" y="connsiteY13066"/>
              </a:cxn>
              <a:cxn ang="0">
                <a:pos x="connsiteX13067" y="connsiteY13067"/>
              </a:cxn>
              <a:cxn ang="0">
                <a:pos x="connsiteX13068" y="connsiteY13068"/>
              </a:cxn>
              <a:cxn ang="0">
                <a:pos x="connsiteX13069" y="connsiteY13069"/>
              </a:cxn>
              <a:cxn ang="0">
                <a:pos x="connsiteX13070" y="connsiteY13070"/>
              </a:cxn>
              <a:cxn ang="0">
                <a:pos x="connsiteX13071" y="connsiteY13071"/>
              </a:cxn>
              <a:cxn ang="0">
                <a:pos x="connsiteX13072" y="connsiteY13072"/>
              </a:cxn>
              <a:cxn ang="0">
                <a:pos x="connsiteX13073" y="connsiteY13073"/>
              </a:cxn>
              <a:cxn ang="0">
                <a:pos x="connsiteX13074" y="connsiteY13074"/>
              </a:cxn>
              <a:cxn ang="0">
                <a:pos x="connsiteX13075" y="connsiteY13075"/>
              </a:cxn>
              <a:cxn ang="0">
                <a:pos x="connsiteX13076" y="connsiteY13076"/>
              </a:cxn>
              <a:cxn ang="0">
                <a:pos x="connsiteX13077" y="connsiteY13077"/>
              </a:cxn>
              <a:cxn ang="0">
                <a:pos x="connsiteX13078" y="connsiteY13078"/>
              </a:cxn>
              <a:cxn ang="0">
                <a:pos x="connsiteX13079" y="connsiteY13079"/>
              </a:cxn>
              <a:cxn ang="0">
                <a:pos x="connsiteX13080" y="connsiteY13080"/>
              </a:cxn>
              <a:cxn ang="0">
                <a:pos x="connsiteX13081" y="connsiteY13081"/>
              </a:cxn>
              <a:cxn ang="0">
                <a:pos x="connsiteX13082" y="connsiteY13082"/>
              </a:cxn>
              <a:cxn ang="0">
                <a:pos x="connsiteX13083" y="connsiteY13083"/>
              </a:cxn>
              <a:cxn ang="0">
                <a:pos x="connsiteX13084" y="connsiteY13084"/>
              </a:cxn>
              <a:cxn ang="0">
                <a:pos x="connsiteX13085" y="connsiteY13085"/>
              </a:cxn>
              <a:cxn ang="0">
                <a:pos x="connsiteX13086" y="connsiteY13086"/>
              </a:cxn>
              <a:cxn ang="0">
                <a:pos x="connsiteX13087" y="connsiteY13087"/>
              </a:cxn>
              <a:cxn ang="0">
                <a:pos x="connsiteX13088" y="connsiteY13088"/>
              </a:cxn>
              <a:cxn ang="0">
                <a:pos x="connsiteX13089" y="connsiteY13089"/>
              </a:cxn>
              <a:cxn ang="0">
                <a:pos x="connsiteX13090" y="connsiteY13090"/>
              </a:cxn>
              <a:cxn ang="0">
                <a:pos x="connsiteX13091" y="connsiteY13091"/>
              </a:cxn>
              <a:cxn ang="0">
                <a:pos x="connsiteX13092" y="connsiteY13092"/>
              </a:cxn>
              <a:cxn ang="0">
                <a:pos x="connsiteX13093" y="connsiteY13093"/>
              </a:cxn>
              <a:cxn ang="0">
                <a:pos x="connsiteX13094" y="connsiteY13094"/>
              </a:cxn>
              <a:cxn ang="0">
                <a:pos x="connsiteX13095" y="connsiteY13095"/>
              </a:cxn>
              <a:cxn ang="0">
                <a:pos x="connsiteX13096" y="connsiteY13096"/>
              </a:cxn>
              <a:cxn ang="0">
                <a:pos x="connsiteX13097" y="connsiteY13097"/>
              </a:cxn>
              <a:cxn ang="0">
                <a:pos x="connsiteX13098" y="connsiteY13098"/>
              </a:cxn>
              <a:cxn ang="0">
                <a:pos x="connsiteX13099" y="connsiteY13099"/>
              </a:cxn>
              <a:cxn ang="0">
                <a:pos x="connsiteX13100" y="connsiteY13100"/>
              </a:cxn>
              <a:cxn ang="0">
                <a:pos x="connsiteX13101" y="connsiteY13101"/>
              </a:cxn>
              <a:cxn ang="0">
                <a:pos x="connsiteX13102" y="connsiteY13102"/>
              </a:cxn>
              <a:cxn ang="0">
                <a:pos x="connsiteX13103" y="connsiteY13103"/>
              </a:cxn>
              <a:cxn ang="0">
                <a:pos x="connsiteX13104" y="connsiteY13104"/>
              </a:cxn>
              <a:cxn ang="0">
                <a:pos x="connsiteX13105" y="connsiteY13105"/>
              </a:cxn>
              <a:cxn ang="0">
                <a:pos x="connsiteX13106" y="connsiteY13106"/>
              </a:cxn>
              <a:cxn ang="0">
                <a:pos x="connsiteX13107" y="connsiteY13107"/>
              </a:cxn>
              <a:cxn ang="0">
                <a:pos x="connsiteX13108" y="connsiteY13108"/>
              </a:cxn>
              <a:cxn ang="0">
                <a:pos x="connsiteX13109" y="connsiteY13109"/>
              </a:cxn>
              <a:cxn ang="0">
                <a:pos x="connsiteX13110" y="connsiteY13110"/>
              </a:cxn>
              <a:cxn ang="0">
                <a:pos x="connsiteX13111" y="connsiteY13111"/>
              </a:cxn>
              <a:cxn ang="0">
                <a:pos x="connsiteX13112" y="connsiteY13112"/>
              </a:cxn>
              <a:cxn ang="0">
                <a:pos x="connsiteX13113" y="connsiteY13113"/>
              </a:cxn>
              <a:cxn ang="0">
                <a:pos x="connsiteX13114" y="connsiteY13114"/>
              </a:cxn>
              <a:cxn ang="0">
                <a:pos x="connsiteX13115" y="connsiteY13115"/>
              </a:cxn>
              <a:cxn ang="0">
                <a:pos x="connsiteX13116" y="connsiteY13116"/>
              </a:cxn>
              <a:cxn ang="0">
                <a:pos x="connsiteX13117" y="connsiteY13117"/>
              </a:cxn>
              <a:cxn ang="0">
                <a:pos x="connsiteX13118" y="connsiteY13118"/>
              </a:cxn>
              <a:cxn ang="0">
                <a:pos x="connsiteX13119" y="connsiteY13119"/>
              </a:cxn>
              <a:cxn ang="0">
                <a:pos x="connsiteX13120" y="connsiteY13120"/>
              </a:cxn>
              <a:cxn ang="0">
                <a:pos x="connsiteX13121" y="connsiteY13121"/>
              </a:cxn>
              <a:cxn ang="0">
                <a:pos x="connsiteX13122" y="connsiteY13122"/>
              </a:cxn>
              <a:cxn ang="0">
                <a:pos x="connsiteX13123" y="connsiteY13123"/>
              </a:cxn>
              <a:cxn ang="0">
                <a:pos x="connsiteX13124" y="connsiteY13124"/>
              </a:cxn>
              <a:cxn ang="0">
                <a:pos x="connsiteX13125" y="connsiteY13125"/>
              </a:cxn>
              <a:cxn ang="0">
                <a:pos x="connsiteX13126" y="connsiteY13126"/>
              </a:cxn>
              <a:cxn ang="0">
                <a:pos x="connsiteX13127" y="connsiteY13127"/>
              </a:cxn>
              <a:cxn ang="0">
                <a:pos x="connsiteX13128" y="connsiteY13128"/>
              </a:cxn>
              <a:cxn ang="0">
                <a:pos x="connsiteX13129" y="connsiteY13129"/>
              </a:cxn>
              <a:cxn ang="0">
                <a:pos x="connsiteX13130" y="connsiteY13130"/>
              </a:cxn>
              <a:cxn ang="0">
                <a:pos x="connsiteX13131" y="connsiteY13131"/>
              </a:cxn>
              <a:cxn ang="0">
                <a:pos x="connsiteX13132" y="connsiteY13132"/>
              </a:cxn>
              <a:cxn ang="0">
                <a:pos x="connsiteX13133" y="connsiteY13133"/>
              </a:cxn>
              <a:cxn ang="0">
                <a:pos x="connsiteX13134" y="connsiteY13134"/>
              </a:cxn>
              <a:cxn ang="0">
                <a:pos x="connsiteX13135" y="connsiteY13135"/>
              </a:cxn>
              <a:cxn ang="0">
                <a:pos x="connsiteX13136" y="connsiteY13136"/>
              </a:cxn>
              <a:cxn ang="0">
                <a:pos x="connsiteX13137" y="connsiteY13137"/>
              </a:cxn>
              <a:cxn ang="0">
                <a:pos x="connsiteX13138" y="connsiteY13138"/>
              </a:cxn>
              <a:cxn ang="0">
                <a:pos x="connsiteX13139" y="connsiteY13139"/>
              </a:cxn>
              <a:cxn ang="0">
                <a:pos x="connsiteX13140" y="connsiteY13140"/>
              </a:cxn>
              <a:cxn ang="0">
                <a:pos x="connsiteX13141" y="connsiteY13141"/>
              </a:cxn>
              <a:cxn ang="0">
                <a:pos x="connsiteX13142" y="connsiteY13142"/>
              </a:cxn>
              <a:cxn ang="0">
                <a:pos x="connsiteX13143" y="connsiteY13143"/>
              </a:cxn>
              <a:cxn ang="0">
                <a:pos x="connsiteX13144" y="connsiteY13144"/>
              </a:cxn>
              <a:cxn ang="0">
                <a:pos x="connsiteX13145" y="connsiteY13145"/>
              </a:cxn>
              <a:cxn ang="0">
                <a:pos x="connsiteX13146" y="connsiteY13146"/>
              </a:cxn>
              <a:cxn ang="0">
                <a:pos x="connsiteX13147" y="connsiteY13147"/>
              </a:cxn>
              <a:cxn ang="0">
                <a:pos x="connsiteX13148" y="connsiteY13148"/>
              </a:cxn>
              <a:cxn ang="0">
                <a:pos x="connsiteX13149" y="connsiteY13149"/>
              </a:cxn>
              <a:cxn ang="0">
                <a:pos x="connsiteX13150" y="connsiteY13150"/>
              </a:cxn>
              <a:cxn ang="0">
                <a:pos x="connsiteX13151" y="connsiteY13151"/>
              </a:cxn>
              <a:cxn ang="0">
                <a:pos x="connsiteX13152" y="connsiteY13152"/>
              </a:cxn>
              <a:cxn ang="0">
                <a:pos x="connsiteX13153" y="connsiteY13153"/>
              </a:cxn>
              <a:cxn ang="0">
                <a:pos x="connsiteX13154" y="connsiteY13154"/>
              </a:cxn>
              <a:cxn ang="0">
                <a:pos x="connsiteX13155" y="connsiteY13155"/>
              </a:cxn>
              <a:cxn ang="0">
                <a:pos x="connsiteX13156" y="connsiteY13156"/>
              </a:cxn>
              <a:cxn ang="0">
                <a:pos x="connsiteX13157" y="connsiteY13157"/>
              </a:cxn>
              <a:cxn ang="0">
                <a:pos x="connsiteX13158" y="connsiteY13158"/>
              </a:cxn>
              <a:cxn ang="0">
                <a:pos x="connsiteX13159" y="connsiteY13159"/>
              </a:cxn>
              <a:cxn ang="0">
                <a:pos x="connsiteX13160" y="connsiteY13160"/>
              </a:cxn>
              <a:cxn ang="0">
                <a:pos x="connsiteX13161" y="connsiteY13161"/>
              </a:cxn>
              <a:cxn ang="0">
                <a:pos x="connsiteX13162" y="connsiteY13162"/>
              </a:cxn>
              <a:cxn ang="0">
                <a:pos x="connsiteX13163" y="connsiteY13163"/>
              </a:cxn>
              <a:cxn ang="0">
                <a:pos x="connsiteX13164" y="connsiteY13164"/>
              </a:cxn>
              <a:cxn ang="0">
                <a:pos x="connsiteX13165" y="connsiteY13165"/>
              </a:cxn>
              <a:cxn ang="0">
                <a:pos x="connsiteX13166" y="connsiteY13166"/>
              </a:cxn>
              <a:cxn ang="0">
                <a:pos x="connsiteX13167" y="connsiteY13167"/>
              </a:cxn>
              <a:cxn ang="0">
                <a:pos x="connsiteX13168" y="connsiteY13168"/>
              </a:cxn>
              <a:cxn ang="0">
                <a:pos x="connsiteX13169" y="connsiteY13169"/>
              </a:cxn>
              <a:cxn ang="0">
                <a:pos x="connsiteX13170" y="connsiteY13170"/>
              </a:cxn>
              <a:cxn ang="0">
                <a:pos x="connsiteX13171" y="connsiteY13171"/>
              </a:cxn>
              <a:cxn ang="0">
                <a:pos x="connsiteX13172" y="connsiteY13172"/>
              </a:cxn>
              <a:cxn ang="0">
                <a:pos x="connsiteX13173" y="connsiteY13173"/>
              </a:cxn>
              <a:cxn ang="0">
                <a:pos x="connsiteX13174" y="connsiteY13174"/>
              </a:cxn>
              <a:cxn ang="0">
                <a:pos x="connsiteX13175" y="connsiteY13175"/>
              </a:cxn>
              <a:cxn ang="0">
                <a:pos x="connsiteX13176" y="connsiteY13176"/>
              </a:cxn>
              <a:cxn ang="0">
                <a:pos x="connsiteX13177" y="connsiteY13177"/>
              </a:cxn>
              <a:cxn ang="0">
                <a:pos x="connsiteX13178" y="connsiteY13178"/>
              </a:cxn>
              <a:cxn ang="0">
                <a:pos x="connsiteX13179" y="connsiteY13179"/>
              </a:cxn>
              <a:cxn ang="0">
                <a:pos x="connsiteX13180" y="connsiteY13180"/>
              </a:cxn>
              <a:cxn ang="0">
                <a:pos x="connsiteX13181" y="connsiteY13181"/>
              </a:cxn>
              <a:cxn ang="0">
                <a:pos x="connsiteX13182" y="connsiteY13182"/>
              </a:cxn>
              <a:cxn ang="0">
                <a:pos x="connsiteX13183" y="connsiteY13183"/>
              </a:cxn>
              <a:cxn ang="0">
                <a:pos x="connsiteX13184" y="connsiteY13184"/>
              </a:cxn>
              <a:cxn ang="0">
                <a:pos x="connsiteX13185" y="connsiteY13185"/>
              </a:cxn>
              <a:cxn ang="0">
                <a:pos x="connsiteX13186" y="connsiteY13186"/>
              </a:cxn>
              <a:cxn ang="0">
                <a:pos x="connsiteX13187" y="connsiteY13187"/>
              </a:cxn>
              <a:cxn ang="0">
                <a:pos x="connsiteX13188" y="connsiteY13188"/>
              </a:cxn>
              <a:cxn ang="0">
                <a:pos x="connsiteX13189" y="connsiteY13189"/>
              </a:cxn>
              <a:cxn ang="0">
                <a:pos x="connsiteX13190" y="connsiteY13190"/>
              </a:cxn>
              <a:cxn ang="0">
                <a:pos x="connsiteX13191" y="connsiteY13191"/>
              </a:cxn>
              <a:cxn ang="0">
                <a:pos x="connsiteX13192" y="connsiteY13192"/>
              </a:cxn>
              <a:cxn ang="0">
                <a:pos x="connsiteX13193" y="connsiteY13193"/>
              </a:cxn>
              <a:cxn ang="0">
                <a:pos x="connsiteX13194" y="connsiteY13194"/>
              </a:cxn>
              <a:cxn ang="0">
                <a:pos x="connsiteX13195" y="connsiteY13195"/>
              </a:cxn>
              <a:cxn ang="0">
                <a:pos x="connsiteX13196" y="connsiteY13196"/>
              </a:cxn>
              <a:cxn ang="0">
                <a:pos x="connsiteX13197" y="connsiteY13197"/>
              </a:cxn>
              <a:cxn ang="0">
                <a:pos x="connsiteX13198" y="connsiteY13198"/>
              </a:cxn>
              <a:cxn ang="0">
                <a:pos x="connsiteX13199" y="connsiteY13199"/>
              </a:cxn>
              <a:cxn ang="0">
                <a:pos x="connsiteX13200" y="connsiteY13200"/>
              </a:cxn>
              <a:cxn ang="0">
                <a:pos x="connsiteX13201" y="connsiteY13201"/>
              </a:cxn>
              <a:cxn ang="0">
                <a:pos x="connsiteX13202" y="connsiteY13202"/>
              </a:cxn>
              <a:cxn ang="0">
                <a:pos x="connsiteX13203" y="connsiteY13203"/>
              </a:cxn>
              <a:cxn ang="0">
                <a:pos x="connsiteX13204" y="connsiteY13204"/>
              </a:cxn>
              <a:cxn ang="0">
                <a:pos x="connsiteX13205" y="connsiteY13205"/>
              </a:cxn>
              <a:cxn ang="0">
                <a:pos x="connsiteX13206" y="connsiteY13206"/>
              </a:cxn>
              <a:cxn ang="0">
                <a:pos x="connsiteX13207" y="connsiteY13207"/>
              </a:cxn>
              <a:cxn ang="0">
                <a:pos x="connsiteX13208" y="connsiteY13208"/>
              </a:cxn>
              <a:cxn ang="0">
                <a:pos x="connsiteX13209" y="connsiteY13209"/>
              </a:cxn>
              <a:cxn ang="0">
                <a:pos x="connsiteX13210" y="connsiteY13210"/>
              </a:cxn>
              <a:cxn ang="0">
                <a:pos x="connsiteX13211" y="connsiteY13211"/>
              </a:cxn>
              <a:cxn ang="0">
                <a:pos x="connsiteX13212" y="connsiteY13212"/>
              </a:cxn>
              <a:cxn ang="0">
                <a:pos x="connsiteX13213" y="connsiteY13213"/>
              </a:cxn>
              <a:cxn ang="0">
                <a:pos x="connsiteX13214" y="connsiteY13214"/>
              </a:cxn>
              <a:cxn ang="0">
                <a:pos x="connsiteX13215" y="connsiteY13215"/>
              </a:cxn>
              <a:cxn ang="0">
                <a:pos x="connsiteX13216" y="connsiteY13216"/>
              </a:cxn>
              <a:cxn ang="0">
                <a:pos x="connsiteX13217" y="connsiteY13217"/>
              </a:cxn>
              <a:cxn ang="0">
                <a:pos x="connsiteX13218" y="connsiteY13218"/>
              </a:cxn>
              <a:cxn ang="0">
                <a:pos x="connsiteX13219" y="connsiteY13219"/>
              </a:cxn>
              <a:cxn ang="0">
                <a:pos x="connsiteX13220" y="connsiteY13220"/>
              </a:cxn>
              <a:cxn ang="0">
                <a:pos x="connsiteX13221" y="connsiteY13221"/>
              </a:cxn>
              <a:cxn ang="0">
                <a:pos x="connsiteX13222" y="connsiteY13222"/>
              </a:cxn>
              <a:cxn ang="0">
                <a:pos x="connsiteX13223" y="connsiteY13223"/>
              </a:cxn>
              <a:cxn ang="0">
                <a:pos x="connsiteX13224" y="connsiteY13224"/>
              </a:cxn>
              <a:cxn ang="0">
                <a:pos x="connsiteX13225" y="connsiteY13225"/>
              </a:cxn>
              <a:cxn ang="0">
                <a:pos x="connsiteX13226" y="connsiteY13226"/>
              </a:cxn>
              <a:cxn ang="0">
                <a:pos x="connsiteX13227" y="connsiteY13227"/>
              </a:cxn>
              <a:cxn ang="0">
                <a:pos x="connsiteX13228" y="connsiteY13228"/>
              </a:cxn>
              <a:cxn ang="0">
                <a:pos x="connsiteX13229" y="connsiteY13229"/>
              </a:cxn>
              <a:cxn ang="0">
                <a:pos x="connsiteX13230" y="connsiteY13230"/>
              </a:cxn>
              <a:cxn ang="0">
                <a:pos x="connsiteX13231" y="connsiteY13231"/>
              </a:cxn>
              <a:cxn ang="0">
                <a:pos x="connsiteX13232" y="connsiteY13232"/>
              </a:cxn>
              <a:cxn ang="0">
                <a:pos x="connsiteX13233" y="connsiteY13233"/>
              </a:cxn>
              <a:cxn ang="0">
                <a:pos x="connsiteX13234" y="connsiteY13234"/>
              </a:cxn>
              <a:cxn ang="0">
                <a:pos x="connsiteX13235" y="connsiteY13235"/>
              </a:cxn>
              <a:cxn ang="0">
                <a:pos x="connsiteX13236" y="connsiteY13236"/>
              </a:cxn>
              <a:cxn ang="0">
                <a:pos x="connsiteX13237" y="connsiteY13237"/>
              </a:cxn>
              <a:cxn ang="0">
                <a:pos x="connsiteX13238" y="connsiteY13238"/>
              </a:cxn>
              <a:cxn ang="0">
                <a:pos x="connsiteX13239" y="connsiteY13239"/>
              </a:cxn>
              <a:cxn ang="0">
                <a:pos x="connsiteX13240" y="connsiteY13240"/>
              </a:cxn>
              <a:cxn ang="0">
                <a:pos x="connsiteX13241" y="connsiteY13241"/>
              </a:cxn>
              <a:cxn ang="0">
                <a:pos x="connsiteX13242" y="connsiteY13242"/>
              </a:cxn>
              <a:cxn ang="0">
                <a:pos x="connsiteX13243" y="connsiteY13243"/>
              </a:cxn>
              <a:cxn ang="0">
                <a:pos x="connsiteX13244" y="connsiteY13244"/>
              </a:cxn>
              <a:cxn ang="0">
                <a:pos x="connsiteX13245" y="connsiteY13245"/>
              </a:cxn>
              <a:cxn ang="0">
                <a:pos x="connsiteX13246" y="connsiteY13246"/>
              </a:cxn>
              <a:cxn ang="0">
                <a:pos x="connsiteX13247" y="connsiteY13247"/>
              </a:cxn>
              <a:cxn ang="0">
                <a:pos x="connsiteX13248" y="connsiteY13248"/>
              </a:cxn>
              <a:cxn ang="0">
                <a:pos x="connsiteX13249" y="connsiteY13249"/>
              </a:cxn>
              <a:cxn ang="0">
                <a:pos x="connsiteX13250" y="connsiteY13250"/>
              </a:cxn>
              <a:cxn ang="0">
                <a:pos x="connsiteX13251" y="connsiteY13251"/>
              </a:cxn>
              <a:cxn ang="0">
                <a:pos x="connsiteX13252" y="connsiteY13252"/>
              </a:cxn>
              <a:cxn ang="0">
                <a:pos x="connsiteX13253" y="connsiteY13253"/>
              </a:cxn>
              <a:cxn ang="0">
                <a:pos x="connsiteX13254" y="connsiteY13254"/>
              </a:cxn>
              <a:cxn ang="0">
                <a:pos x="connsiteX13255" y="connsiteY13255"/>
              </a:cxn>
              <a:cxn ang="0">
                <a:pos x="connsiteX13256" y="connsiteY13256"/>
              </a:cxn>
              <a:cxn ang="0">
                <a:pos x="connsiteX13257" y="connsiteY13257"/>
              </a:cxn>
              <a:cxn ang="0">
                <a:pos x="connsiteX13258" y="connsiteY13258"/>
              </a:cxn>
              <a:cxn ang="0">
                <a:pos x="connsiteX13259" y="connsiteY13259"/>
              </a:cxn>
              <a:cxn ang="0">
                <a:pos x="connsiteX13260" y="connsiteY13260"/>
              </a:cxn>
              <a:cxn ang="0">
                <a:pos x="connsiteX13261" y="connsiteY13261"/>
              </a:cxn>
              <a:cxn ang="0">
                <a:pos x="connsiteX13262" y="connsiteY13262"/>
              </a:cxn>
              <a:cxn ang="0">
                <a:pos x="connsiteX13263" y="connsiteY13263"/>
              </a:cxn>
              <a:cxn ang="0">
                <a:pos x="connsiteX13264" y="connsiteY13264"/>
              </a:cxn>
              <a:cxn ang="0">
                <a:pos x="connsiteX13265" y="connsiteY13265"/>
              </a:cxn>
              <a:cxn ang="0">
                <a:pos x="connsiteX13266" y="connsiteY13266"/>
              </a:cxn>
              <a:cxn ang="0">
                <a:pos x="connsiteX13267" y="connsiteY13267"/>
              </a:cxn>
              <a:cxn ang="0">
                <a:pos x="connsiteX13268" y="connsiteY13268"/>
              </a:cxn>
              <a:cxn ang="0">
                <a:pos x="connsiteX13269" y="connsiteY13269"/>
              </a:cxn>
              <a:cxn ang="0">
                <a:pos x="connsiteX13270" y="connsiteY13270"/>
              </a:cxn>
              <a:cxn ang="0">
                <a:pos x="connsiteX13271" y="connsiteY13271"/>
              </a:cxn>
              <a:cxn ang="0">
                <a:pos x="connsiteX13272" y="connsiteY13272"/>
              </a:cxn>
              <a:cxn ang="0">
                <a:pos x="connsiteX13273" y="connsiteY13273"/>
              </a:cxn>
              <a:cxn ang="0">
                <a:pos x="connsiteX13274" y="connsiteY13274"/>
              </a:cxn>
              <a:cxn ang="0">
                <a:pos x="connsiteX13275" y="connsiteY13275"/>
              </a:cxn>
              <a:cxn ang="0">
                <a:pos x="connsiteX13276" y="connsiteY13276"/>
              </a:cxn>
              <a:cxn ang="0">
                <a:pos x="connsiteX13277" y="connsiteY13277"/>
              </a:cxn>
              <a:cxn ang="0">
                <a:pos x="connsiteX13278" y="connsiteY13278"/>
              </a:cxn>
              <a:cxn ang="0">
                <a:pos x="connsiteX13279" y="connsiteY13279"/>
              </a:cxn>
              <a:cxn ang="0">
                <a:pos x="connsiteX13280" y="connsiteY13280"/>
              </a:cxn>
              <a:cxn ang="0">
                <a:pos x="connsiteX13281" y="connsiteY13281"/>
              </a:cxn>
              <a:cxn ang="0">
                <a:pos x="connsiteX13282" y="connsiteY13282"/>
              </a:cxn>
              <a:cxn ang="0">
                <a:pos x="connsiteX13283" y="connsiteY13283"/>
              </a:cxn>
              <a:cxn ang="0">
                <a:pos x="connsiteX13284" y="connsiteY13284"/>
              </a:cxn>
              <a:cxn ang="0">
                <a:pos x="connsiteX13285" y="connsiteY13285"/>
              </a:cxn>
              <a:cxn ang="0">
                <a:pos x="connsiteX13286" y="connsiteY13286"/>
              </a:cxn>
              <a:cxn ang="0">
                <a:pos x="connsiteX13287" y="connsiteY13287"/>
              </a:cxn>
              <a:cxn ang="0">
                <a:pos x="connsiteX13288" y="connsiteY13288"/>
              </a:cxn>
              <a:cxn ang="0">
                <a:pos x="connsiteX13289" y="connsiteY13289"/>
              </a:cxn>
              <a:cxn ang="0">
                <a:pos x="connsiteX13290" y="connsiteY13290"/>
              </a:cxn>
              <a:cxn ang="0">
                <a:pos x="connsiteX13291" y="connsiteY13291"/>
              </a:cxn>
              <a:cxn ang="0">
                <a:pos x="connsiteX13292" y="connsiteY13292"/>
              </a:cxn>
              <a:cxn ang="0">
                <a:pos x="connsiteX13293" y="connsiteY13293"/>
              </a:cxn>
              <a:cxn ang="0">
                <a:pos x="connsiteX13294" y="connsiteY13294"/>
              </a:cxn>
              <a:cxn ang="0">
                <a:pos x="connsiteX13295" y="connsiteY13295"/>
              </a:cxn>
              <a:cxn ang="0">
                <a:pos x="connsiteX13296" y="connsiteY13296"/>
              </a:cxn>
              <a:cxn ang="0">
                <a:pos x="connsiteX13297" y="connsiteY13297"/>
              </a:cxn>
              <a:cxn ang="0">
                <a:pos x="connsiteX13298" y="connsiteY13298"/>
              </a:cxn>
              <a:cxn ang="0">
                <a:pos x="connsiteX13299" y="connsiteY13299"/>
              </a:cxn>
              <a:cxn ang="0">
                <a:pos x="connsiteX13300" y="connsiteY13300"/>
              </a:cxn>
              <a:cxn ang="0">
                <a:pos x="connsiteX13301" y="connsiteY13301"/>
              </a:cxn>
              <a:cxn ang="0">
                <a:pos x="connsiteX13302" y="connsiteY13302"/>
              </a:cxn>
              <a:cxn ang="0">
                <a:pos x="connsiteX13303" y="connsiteY13303"/>
              </a:cxn>
              <a:cxn ang="0">
                <a:pos x="connsiteX13304" y="connsiteY13304"/>
              </a:cxn>
              <a:cxn ang="0">
                <a:pos x="connsiteX13305" y="connsiteY13305"/>
              </a:cxn>
              <a:cxn ang="0">
                <a:pos x="connsiteX13306" y="connsiteY13306"/>
              </a:cxn>
              <a:cxn ang="0">
                <a:pos x="connsiteX13307" y="connsiteY13307"/>
              </a:cxn>
              <a:cxn ang="0">
                <a:pos x="connsiteX13308" y="connsiteY13308"/>
              </a:cxn>
              <a:cxn ang="0">
                <a:pos x="connsiteX13309" y="connsiteY13309"/>
              </a:cxn>
              <a:cxn ang="0">
                <a:pos x="connsiteX13310" y="connsiteY13310"/>
              </a:cxn>
              <a:cxn ang="0">
                <a:pos x="connsiteX13311" y="connsiteY13311"/>
              </a:cxn>
              <a:cxn ang="0">
                <a:pos x="connsiteX13312" y="connsiteY13312"/>
              </a:cxn>
              <a:cxn ang="0">
                <a:pos x="connsiteX13313" y="connsiteY13313"/>
              </a:cxn>
              <a:cxn ang="0">
                <a:pos x="connsiteX13314" y="connsiteY13314"/>
              </a:cxn>
              <a:cxn ang="0">
                <a:pos x="connsiteX13315" y="connsiteY13315"/>
              </a:cxn>
              <a:cxn ang="0">
                <a:pos x="connsiteX13316" y="connsiteY13316"/>
              </a:cxn>
              <a:cxn ang="0">
                <a:pos x="connsiteX13317" y="connsiteY13317"/>
              </a:cxn>
              <a:cxn ang="0">
                <a:pos x="connsiteX13318" y="connsiteY13318"/>
              </a:cxn>
              <a:cxn ang="0">
                <a:pos x="connsiteX13319" y="connsiteY13319"/>
              </a:cxn>
              <a:cxn ang="0">
                <a:pos x="connsiteX13320" y="connsiteY13320"/>
              </a:cxn>
              <a:cxn ang="0">
                <a:pos x="connsiteX13321" y="connsiteY13321"/>
              </a:cxn>
              <a:cxn ang="0">
                <a:pos x="connsiteX13322" y="connsiteY13322"/>
              </a:cxn>
              <a:cxn ang="0">
                <a:pos x="connsiteX13323" y="connsiteY13323"/>
              </a:cxn>
              <a:cxn ang="0">
                <a:pos x="connsiteX13324" y="connsiteY13324"/>
              </a:cxn>
              <a:cxn ang="0">
                <a:pos x="connsiteX13325" y="connsiteY13325"/>
              </a:cxn>
              <a:cxn ang="0">
                <a:pos x="connsiteX13326" y="connsiteY13326"/>
              </a:cxn>
              <a:cxn ang="0">
                <a:pos x="connsiteX13327" y="connsiteY13327"/>
              </a:cxn>
              <a:cxn ang="0">
                <a:pos x="connsiteX13328" y="connsiteY13328"/>
              </a:cxn>
              <a:cxn ang="0">
                <a:pos x="connsiteX13329" y="connsiteY13329"/>
              </a:cxn>
              <a:cxn ang="0">
                <a:pos x="connsiteX13330" y="connsiteY13330"/>
              </a:cxn>
              <a:cxn ang="0">
                <a:pos x="connsiteX13331" y="connsiteY13331"/>
              </a:cxn>
              <a:cxn ang="0">
                <a:pos x="connsiteX13332" y="connsiteY13332"/>
              </a:cxn>
              <a:cxn ang="0">
                <a:pos x="connsiteX13333" y="connsiteY13333"/>
              </a:cxn>
              <a:cxn ang="0">
                <a:pos x="connsiteX13334" y="connsiteY13334"/>
              </a:cxn>
              <a:cxn ang="0">
                <a:pos x="connsiteX13335" y="connsiteY13335"/>
              </a:cxn>
              <a:cxn ang="0">
                <a:pos x="connsiteX13336" y="connsiteY13336"/>
              </a:cxn>
              <a:cxn ang="0">
                <a:pos x="connsiteX13337" y="connsiteY13337"/>
              </a:cxn>
              <a:cxn ang="0">
                <a:pos x="connsiteX13338" y="connsiteY13338"/>
              </a:cxn>
              <a:cxn ang="0">
                <a:pos x="connsiteX13339" y="connsiteY13339"/>
              </a:cxn>
              <a:cxn ang="0">
                <a:pos x="connsiteX13340" y="connsiteY13340"/>
              </a:cxn>
              <a:cxn ang="0">
                <a:pos x="connsiteX13341" y="connsiteY13341"/>
              </a:cxn>
              <a:cxn ang="0">
                <a:pos x="connsiteX13342" y="connsiteY13342"/>
              </a:cxn>
              <a:cxn ang="0">
                <a:pos x="connsiteX13343" y="connsiteY13343"/>
              </a:cxn>
              <a:cxn ang="0">
                <a:pos x="connsiteX13344" y="connsiteY13344"/>
              </a:cxn>
              <a:cxn ang="0">
                <a:pos x="connsiteX13345" y="connsiteY13345"/>
              </a:cxn>
              <a:cxn ang="0">
                <a:pos x="connsiteX13346" y="connsiteY13346"/>
              </a:cxn>
              <a:cxn ang="0">
                <a:pos x="connsiteX13347" y="connsiteY13347"/>
              </a:cxn>
              <a:cxn ang="0">
                <a:pos x="connsiteX13348" y="connsiteY13348"/>
              </a:cxn>
              <a:cxn ang="0">
                <a:pos x="connsiteX13349" y="connsiteY13349"/>
              </a:cxn>
              <a:cxn ang="0">
                <a:pos x="connsiteX13350" y="connsiteY13350"/>
              </a:cxn>
              <a:cxn ang="0">
                <a:pos x="connsiteX13351" y="connsiteY13351"/>
              </a:cxn>
              <a:cxn ang="0">
                <a:pos x="connsiteX13352" y="connsiteY13352"/>
              </a:cxn>
              <a:cxn ang="0">
                <a:pos x="connsiteX13353" y="connsiteY13353"/>
              </a:cxn>
              <a:cxn ang="0">
                <a:pos x="connsiteX13354" y="connsiteY13354"/>
              </a:cxn>
              <a:cxn ang="0">
                <a:pos x="connsiteX13355" y="connsiteY13355"/>
              </a:cxn>
              <a:cxn ang="0">
                <a:pos x="connsiteX13356" y="connsiteY13356"/>
              </a:cxn>
              <a:cxn ang="0">
                <a:pos x="connsiteX13357" y="connsiteY13357"/>
              </a:cxn>
              <a:cxn ang="0">
                <a:pos x="connsiteX13358" y="connsiteY13358"/>
              </a:cxn>
              <a:cxn ang="0">
                <a:pos x="connsiteX13359" y="connsiteY13359"/>
              </a:cxn>
              <a:cxn ang="0">
                <a:pos x="connsiteX13360" y="connsiteY13360"/>
              </a:cxn>
              <a:cxn ang="0">
                <a:pos x="connsiteX13361" y="connsiteY13361"/>
              </a:cxn>
              <a:cxn ang="0">
                <a:pos x="connsiteX13362" y="connsiteY13362"/>
              </a:cxn>
              <a:cxn ang="0">
                <a:pos x="connsiteX13363" y="connsiteY13363"/>
              </a:cxn>
              <a:cxn ang="0">
                <a:pos x="connsiteX13364" y="connsiteY13364"/>
              </a:cxn>
              <a:cxn ang="0">
                <a:pos x="connsiteX13365" y="connsiteY13365"/>
              </a:cxn>
              <a:cxn ang="0">
                <a:pos x="connsiteX13366" y="connsiteY13366"/>
              </a:cxn>
              <a:cxn ang="0">
                <a:pos x="connsiteX13367" y="connsiteY13367"/>
              </a:cxn>
              <a:cxn ang="0">
                <a:pos x="connsiteX13368" y="connsiteY13368"/>
              </a:cxn>
              <a:cxn ang="0">
                <a:pos x="connsiteX13369" y="connsiteY13369"/>
              </a:cxn>
              <a:cxn ang="0">
                <a:pos x="connsiteX13370" y="connsiteY13370"/>
              </a:cxn>
              <a:cxn ang="0">
                <a:pos x="connsiteX13371" y="connsiteY13371"/>
              </a:cxn>
              <a:cxn ang="0">
                <a:pos x="connsiteX13372" y="connsiteY13372"/>
              </a:cxn>
              <a:cxn ang="0">
                <a:pos x="connsiteX13373" y="connsiteY13373"/>
              </a:cxn>
              <a:cxn ang="0">
                <a:pos x="connsiteX13374" y="connsiteY13374"/>
              </a:cxn>
              <a:cxn ang="0">
                <a:pos x="connsiteX13375" y="connsiteY13375"/>
              </a:cxn>
              <a:cxn ang="0">
                <a:pos x="connsiteX13376" y="connsiteY13376"/>
              </a:cxn>
              <a:cxn ang="0">
                <a:pos x="connsiteX13377" y="connsiteY13377"/>
              </a:cxn>
              <a:cxn ang="0">
                <a:pos x="connsiteX13378" y="connsiteY13378"/>
              </a:cxn>
              <a:cxn ang="0">
                <a:pos x="connsiteX13379" y="connsiteY13379"/>
              </a:cxn>
              <a:cxn ang="0">
                <a:pos x="connsiteX13380" y="connsiteY13380"/>
              </a:cxn>
              <a:cxn ang="0">
                <a:pos x="connsiteX13381" y="connsiteY13381"/>
              </a:cxn>
              <a:cxn ang="0">
                <a:pos x="connsiteX13382" y="connsiteY13382"/>
              </a:cxn>
              <a:cxn ang="0">
                <a:pos x="connsiteX13383" y="connsiteY13383"/>
              </a:cxn>
              <a:cxn ang="0">
                <a:pos x="connsiteX13384" y="connsiteY13384"/>
              </a:cxn>
              <a:cxn ang="0">
                <a:pos x="connsiteX13385" y="connsiteY13385"/>
              </a:cxn>
              <a:cxn ang="0">
                <a:pos x="connsiteX13386" y="connsiteY13386"/>
              </a:cxn>
              <a:cxn ang="0">
                <a:pos x="connsiteX13387" y="connsiteY13387"/>
              </a:cxn>
              <a:cxn ang="0">
                <a:pos x="connsiteX13388" y="connsiteY13388"/>
              </a:cxn>
              <a:cxn ang="0">
                <a:pos x="connsiteX13389" y="connsiteY13389"/>
              </a:cxn>
              <a:cxn ang="0">
                <a:pos x="connsiteX13390" y="connsiteY13390"/>
              </a:cxn>
              <a:cxn ang="0">
                <a:pos x="connsiteX13391" y="connsiteY13391"/>
              </a:cxn>
              <a:cxn ang="0">
                <a:pos x="connsiteX13392" y="connsiteY13392"/>
              </a:cxn>
              <a:cxn ang="0">
                <a:pos x="connsiteX13393" y="connsiteY13393"/>
              </a:cxn>
              <a:cxn ang="0">
                <a:pos x="connsiteX13394" y="connsiteY13394"/>
              </a:cxn>
              <a:cxn ang="0">
                <a:pos x="connsiteX13395" y="connsiteY13395"/>
              </a:cxn>
              <a:cxn ang="0">
                <a:pos x="connsiteX13396" y="connsiteY13396"/>
              </a:cxn>
              <a:cxn ang="0">
                <a:pos x="connsiteX13397" y="connsiteY13397"/>
              </a:cxn>
              <a:cxn ang="0">
                <a:pos x="connsiteX13398" y="connsiteY13398"/>
              </a:cxn>
              <a:cxn ang="0">
                <a:pos x="connsiteX13399" y="connsiteY13399"/>
              </a:cxn>
              <a:cxn ang="0">
                <a:pos x="connsiteX13400" y="connsiteY13400"/>
              </a:cxn>
              <a:cxn ang="0">
                <a:pos x="connsiteX13401" y="connsiteY13401"/>
              </a:cxn>
              <a:cxn ang="0">
                <a:pos x="connsiteX13402" y="connsiteY13402"/>
              </a:cxn>
              <a:cxn ang="0">
                <a:pos x="connsiteX13403" y="connsiteY13403"/>
              </a:cxn>
              <a:cxn ang="0">
                <a:pos x="connsiteX13404" y="connsiteY13404"/>
              </a:cxn>
              <a:cxn ang="0">
                <a:pos x="connsiteX13405" y="connsiteY13405"/>
              </a:cxn>
              <a:cxn ang="0">
                <a:pos x="connsiteX13406" y="connsiteY13406"/>
              </a:cxn>
              <a:cxn ang="0">
                <a:pos x="connsiteX13407" y="connsiteY13407"/>
              </a:cxn>
              <a:cxn ang="0">
                <a:pos x="connsiteX13408" y="connsiteY13408"/>
              </a:cxn>
              <a:cxn ang="0">
                <a:pos x="connsiteX13409" y="connsiteY13409"/>
              </a:cxn>
              <a:cxn ang="0">
                <a:pos x="connsiteX13410" y="connsiteY13410"/>
              </a:cxn>
              <a:cxn ang="0">
                <a:pos x="connsiteX13411" y="connsiteY13411"/>
              </a:cxn>
              <a:cxn ang="0">
                <a:pos x="connsiteX13412" y="connsiteY13412"/>
              </a:cxn>
              <a:cxn ang="0">
                <a:pos x="connsiteX13413" y="connsiteY13413"/>
              </a:cxn>
              <a:cxn ang="0">
                <a:pos x="connsiteX13414" y="connsiteY13414"/>
              </a:cxn>
              <a:cxn ang="0">
                <a:pos x="connsiteX13415" y="connsiteY13415"/>
              </a:cxn>
              <a:cxn ang="0">
                <a:pos x="connsiteX13416" y="connsiteY13416"/>
              </a:cxn>
              <a:cxn ang="0">
                <a:pos x="connsiteX13417" y="connsiteY13417"/>
              </a:cxn>
              <a:cxn ang="0">
                <a:pos x="connsiteX13418" y="connsiteY13418"/>
              </a:cxn>
              <a:cxn ang="0">
                <a:pos x="connsiteX13419" y="connsiteY13419"/>
              </a:cxn>
              <a:cxn ang="0">
                <a:pos x="connsiteX13420" y="connsiteY13420"/>
              </a:cxn>
              <a:cxn ang="0">
                <a:pos x="connsiteX13421" y="connsiteY13421"/>
              </a:cxn>
              <a:cxn ang="0">
                <a:pos x="connsiteX13422" y="connsiteY13422"/>
              </a:cxn>
              <a:cxn ang="0">
                <a:pos x="connsiteX13423" y="connsiteY13423"/>
              </a:cxn>
              <a:cxn ang="0">
                <a:pos x="connsiteX13424" y="connsiteY13424"/>
              </a:cxn>
              <a:cxn ang="0">
                <a:pos x="connsiteX13425" y="connsiteY13425"/>
              </a:cxn>
              <a:cxn ang="0">
                <a:pos x="connsiteX13426" y="connsiteY13426"/>
              </a:cxn>
              <a:cxn ang="0">
                <a:pos x="connsiteX13427" y="connsiteY13427"/>
              </a:cxn>
              <a:cxn ang="0">
                <a:pos x="connsiteX13428" y="connsiteY13428"/>
              </a:cxn>
              <a:cxn ang="0">
                <a:pos x="connsiteX13429" y="connsiteY13429"/>
              </a:cxn>
              <a:cxn ang="0">
                <a:pos x="connsiteX13430" y="connsiteY13430"/>
              </a:cxn>
              <a:cxn ang="0">
                <a:pos x="connsiteX13431" y="connsiteY13431"/>
              </a:cxn>
              <a:cxn ang="0">
                <a:pos x="connsiteX13432" y="connsiteY13432"/>
              </a:cxn>
              <a:cxn ang="0">
                <a:pos x="connsiteX13433" y="connsiteY13433"/>
              </a:cxn>
              <a:cxn ang="0">
                <a:pos x="connsiteX13434" y="connsiteY13434"/>
              </a:cxn>
              <a:cxn ang="0">
                <a:pos x="connsiteX13435" y="connsiteY13435"/>
              </a:cxn>
              <a:cxn ang="0">
                <a:pos x="connsiteX13436" y="connsiteY13436"/>
              </a:cxn>
              <a:cxn ang="0">
                <a:pos x="connsiteX13437" y="connsiteY13437"/>
              </a:cxn>
              <a:cxn ang="0">
                <a:pos x="connsiteX13438" y="connsiteY13438"/>
              </a:cxn>
              <a:cxn ang="0">
                <a:pos x="connsiteX13439" y="connsiteY13439"/>
              </a:cxn>
              <a:cxn ang="0">
                <a:pos x="connsiteX13440" y="connsiteY13440"/>
              </a:cxn>
              <a:cxn ang="0">
                <a:pos x="connsiteX13441" y="connsiteY13441"/>
              </a:cxn>
              <a:cxn ang="0">
                <a:pos x="connsiteX13442" y="connsiteY13442"/>
              </a:cxn>
              <a:cxn ang="0">
                <a:pos x="connsiteX13443" y="connsiteY13443"/>
              </a:cxn>
              <a:cxn ang="0">
                <a:pos x="connsiteX13444" y="connsiteY13444"/>
              </a:cxn>
              <a:cxn ang="0">
                <a:pos x="connsiteX13445" y="connsiteY13445"/>
              </a:cxn>
              <a:cxn ang="0">
                <a:pos x="connsiteX13446" y="connsiteY13446"/>
              </a:cxn>
              <a:cxn ang="0">
                <a:pos x="connsiteX13447" y="connsiteY13447"/>
              </a:cxn>
              <a:cxn ang="0">
                <a:pos x="connsiteX13448" y="connsiteY13448"/>
              </a:cxn>
              <a:cxn ang="0">
                <a:pos x="connsiteX13449" y="connsiteY13449"/>
              </a:cxn>
              <a:cxn ang="0">
                <a:pos x="connsiteX13450" y="connsiteY13450"/>
              </a:cxn>
              <a:cxn ang="0">
                <a:pos x="connsiteX13451" y="connsiteY13451"/>
              </a:cxn>
              <a:cxn ang="0">
                <a:pos x="connsiteX13452" y="connsiteY13452"/>
              </a:cxn>
              <a:cxn ang="0">
                <a:pos x="connsiteX13453" y="connsiteY13453"/>
              </a:cxn>
              <a:cxn ang="0">
                <a:pos x="connsiteX13454" y="connsiteY13454"/>
              </a:cxn>
              <a:cxn ang="0">
                <a:pos x="connsiteX13455" y="connsiteY13455"/>
              </a:cxn>
              <a:cxn ang="0">
                <a:pos x="connsiteX13456" y="connsiteY13456"/>
              </a:cxn>
              <a:cxn ang="0">
                <a:pos x="connsiteX13457" y="connsiteY13457"/>
              </a:cxn>
              <a:cxn ang="0">
                <a:pos x="connsiteX13458" y="connsiteY13458"/>
              </a:cxn>
              <a:cxn ang="0">
                <a:pos x="connsiteX13459" y="connsiteY13459"/>
              </a:cxn>
              <a:cxn ang="0">
                <a:pos x="connsiteX13460" y="connsiteY13460"/>
              </a:cxn>
              <a:cxn ang="0">
                <a:pos x="connsiteX13461" y="connsiteY13461"/>
              </a:cxn>
              <a:cxn ang="0">
                <a:pos x="connsiteX13462" y="connsiteY13462"/>
              </a:cxn>
              <a:cxn ang="0">
                <a:pos x="connsiteX13463" y="connsiteY13463"/>
              </a:cxn>
              <a:cxn ang="0">
                <a:pos x="connsiteX13464" y="connsiteY13464"/>
              </a:cxn>
              <a:cxn ang="0">
                <a:pos x="connsiteX13465" y="connsiteY13465"/>
              </a:cxn>
              <a:cxn ang="0">
                <a:pos x="connsiteX13466" y="connsiteY13466"/>
              </a:cxn>
              <a:cxn ang="0">
                <a:pos x="connsiteX13467" y="connsiteY13467"/>
              </a:cxn>
              <a:cxn ang="0">
                <a:pos x="connsiteX13468" y="connsiteY13468"/>
              </a:cxn>
              <a:cxn ang="0">
                <a:pos x="connsiteX13469" y="connsiteY13469"/>
              </a:cxn>
              <a:cxn ang="0">
                <a:pos x="connsiteX13470" y="connsiteY13470"/>
              </a:cxn>
              <a:cxn ang="0">
                <a:pos x="connsiteX13471" y="connsiteY13471"/>
              </a:cxn>
              <a:cxn ang="0">
                <a:pos x="connsiteX13472" y="connsiteY13472"/>
              </a:cxn>
              <a:cxn ang="0">
                <a:pos x="connsiteX13473" y="connsiteY13473"/>
              </a:cxn>
              <a:cxn ang="0">
                <a:pos x="connsiteX13474" y="connsiteY13474"/>
              </a:cxn>
              <a:cxn ang="0">
                <a:pos x="connsiteX13475" y="connsiteY13475"/>
              </a:cxn>
              <a:cxn ang="0">
                <a:pos x="connsiteX13476" y="connsiteY13476"/>
              </a:cxn>
              <a:cxn ang="0">
                <a:pos x="connsiteX13477" y="connsiteY13477"/>
              </a:cxn>
              <a:cxn ang="0">
                <a:pos x="connsiteX13478" y="connsiteY13478"/>
              </a:cxn>
              <a:cxn ang="0">
                <a:pos x="connsiteX13479" y="connsiteY13479"/>
              </a:cxn>
              <a:cxn ang="0">
                <a:pos x="connsiteX13480" y="connsiteY13480"/>
              </a:cxn>
              <a:cxn ang="0">
                <a:pos x="connsiteX13481" y="connsiteY13481"/>
              </a:cxn>
              <a:cxn ang="0">
                <a:pos x="connsiteX13482" y="connsiteY13482"/>
              </a:cxn>
              <a:cxn ang="0">
                <a:pos x="connsiteX13483" y="connsiteY13483"/>
              </a:cxn>
              <a:cxn ang="0">
                <a:pos x="connsiteX13484" y="connsiteY13484"/>
              </a:cxn>
              <a:cxn ang="0">
                <a:pos x="connsiteX13485" y="connsiteY13485"/>
              </a:cxn>
              <a:cxn ang="0">
                <a:pos x="connsiteX13486" y="connsiteY13486"/>
              </a:cxn>
              <a:cxn ang="0">
                <a:pos x="connsiteX13487" y="connsiteY13487"/>
              </a:cxn>
              <a:cxn ang="0">
                <a:pos x="connsiteX13488" y="connsiteY13488"/>
              </a:cxn>
              <a:cxn ang="0">
                <a:pos x="connsiteX13489" y="connsiteY13489"/>
              </a:cxn>
              <a:cxn ang="0">
                <a:pos x="connsiteX13490" y="connsiteY13490"/>
              </a:cxn>
              <a:cxn ang="0">
                <a:pos x="connsiteX13491" y="connsiteY13491"/>
              </a:cxn>
              <a:cxn ang="0">
                <a:pos x="connsiteX13492" y="connsiteY13492"/>
              </a:cxn>
              <a:cxn ang="0">
                <a:pos x="connsiteX13493" y="connsiteY13493"/>
              </a:cxn>
              <a:cxn ang="0">
                <a:pos x="connsiteX13494" y="connsiteY13494"/>
              </a:cxn>
              <a:cxn ang="0">
                <a:pos x="connsiteX13495" y="connsiteY13495"/>
              </a:cxn>
              <a:cxn ang="0">
                <a:pos x="connsiteX13496" y="connsiteY13496"/>
              </a:cxn>
              <a:cxn ang="0">
                <a:pos x="connsiteX13497" y="connsiteY13497"/>
              </a:cxn>
              <a:cxn ang="0">
                <a:pos x="connsiteX13498" y="connsiteY13498"/>
              </a:cxn>
              <a:cxn ang="0">
                <a:pos x="connsiteX13499" y="connsiteY13499"/>
              </a:cxn>
              <a:cxn ang="0">
                <a:pos x="connsiteX13500" y="connsiteY13500"/>
              </a:cxn>
              <a:cxn ang="0">
                <a:pos x="connsiteX13501" y="connsiteY13501"/>
              </a:cxn>
              <a:cxn ang="0">
                <a:pos x="connsiteX13502" y="connsiteY13502"/>
              </a:cxn>
              <a:cxn ang="0">
                <a:pos x="connsiteX13503" y="connsiteY13503"/>
              </a:cxn>
              <a:cxn ang="0">
                <a:pos x="connsiteX13504" y="connsiteY13504"/>
              </a:cxn>
              <a:cxn ang="0">
                <a:pos x="connsiteX13505" y="connsiteY13505"/>
              </a:cxn>
              <a:cxn ang="0">
                <a:pos x="connsiteX13506" y="connsiteY13506"/>
              </a:cxn>
              <a:cxn ang="0">
                <a:pos x="connsiteX13507" y="connsiteY13507"/>
              </a:cxn>
              <a:cxn ang="0">
                <a:pos x="connsiteX13508" y="connsiteY13508"/>
              </a:cxn>
              <a:cxn ang="0">
                <a:pos x="connsiteX13509" y="connsiteY13509"/>
              </a:cxn>
              <a:cxn ang="0">
                <a:pos x="connsiteX13510" y="connsiteY13510"/>
              </a:cxn>
              <a:cxn ang="0">
                <a:pos x="connsiteX13511" y="connsiteY13511"/>
              </a:cxn>
              <a:cxn ang="0">
                <a:pos x="connsiteX13512" y="connsiteY13512"/>
              </a:cxn>
              <a:cxn ang="0">
                <a:pos x="connsiteX13513" y="connsiteY13513"/>
              </a:cxn>
              <a:cxn ang="0">
                <a:pos x="connsiteX13514" y="connsiteY13514"/>
              </a:cxn>
              <a:cxn ang="0">
                <a:pos x="connsiteX13515" y="connsiteY13515"/>
              </a:cxn>
              <a:cxn ang="0">
                <a:pos x="connsiteX13516" y="connsiteY13516"/>
              </a:cxn>
              <a:cxn ang="0">
                <a:pos x="connsiteX13517" y="connsiteY13517"/>
              </a:cxn>
              <a:cxn ang="0">
                <a:pos x="connsiteX13518" y="connsiteY13518"/>
              </a:cxn>
              <a:cxn ang="0">
                <a:pos x="connsiteX13519" y="connsiteY13519"/>
              </a:cxn>
              <a:cxn ang="0">
                <a:pos x="connsiteX13520" y="connsiteY13520"/>
              </a:cxn>
              <a:cxn ang="0">
                <a:pos x="connsiteX13521" y="connsiteY13521"/>
              </a:cxn>
              <a:cxn ang="0">
                <a:pos x="connsiteX13522" y="connsiteY13522"/>
              </a:cxn>
              <a:cxn ang="0">
                <a:pos x="connsiteX13523" y="connsiteY13523"/>
              </a:cxn>
              <a:cxn ang="0">
                <a:pos x="connsiteX13524" y="connsiteY13524"/>
              </a:cxn>
              <a:cxn ang="0">
                <a:pos x="connsiteX13525" y="connsiteY13525"/>
              </a:cxn>
              <a:cxn ang="0">
                <a:pos x="connsiteX13526" y="connsiteY13526"/>
              </a:cxn>
              <a:cxn ang="0">
                <a:pos x="connsiteX13527" y="connsiteY13527"/>
              </a:cxn>
              <a:cxn ang="0">
                <a:pos x="connsiteX13528" y="connsiteY13528"/>
              </a:cxn>
              <a:cxn ang="0">
                <a:pos x="connsiteX13529" y="connsiteY13529"/>
              </a:cxn>
              <a:cxn ang="0">
                <a:pos x="connsiteX13530" y="connsiteY13530"/>
              </a:cxn>
              <a:cxn ang="0">
                <a:pos x="connsiteX13531" y="connsiteY13531"/>
              </a:cxn>
              <a:cxn ang="0">
                <a:pos x="connsiteX13532" y="connsiteY13532"/>
              </a:cxn>
              <a:cxn ang="0">
                <a:pos x="connsiteX13533" y="connsiteY13533"/>
              </a:cxn>
              <a:cxn ang="0">
                <a:pos x="connsiteX13534" y="connsiteY13534"/>
              </a:cxn>
              <a:cxn ang="0">
                <a:pos x="connsiteX13535" y="connsiteY13535"/>
              </a:cxn>
              <a:cxn ang="0">
                <a:pos x="connsiteX13536" y="connsiteY13536"/>
              </a:cxn>
              <a:cxn ang="0">
                <a:pos x="connsiteX13537" y="connsiteY13537"/>
              </a:cxn>
              <a:cxn ang="0">
                <a:pos x="connsiteX13538" y="connsiteY13538"/>
              </a:cxn>
              <a:cxn ang="0">
                <a:pos x="connsiteX13539" y="connsiteY13539"/>
              </a:cxn>
              <a:cxn ang="0">
                <a:pos x="connsiteX13540" y="connsiteY13540"/>
              </a:cxn>
              <a:cxn ang="0">
                <a:pos x="connsiteX13541" y="connsiteY13541"/>
              </a:cxn>
              <a:cxn ang="0">
                <a:pos x="connsiteX13542" y="connsiteY13542"/>
              </a:cxn>
              <a:cxn ang="0">
                <a:pos x="connsiteX13543" y="connsiteY13543"/>
              </a:cxn>
              <a:cxn ang="0">
                <a:pos x="connsiteX13544" y="connsiteY13544"/>
              </a:cxn>
              <a:cxn ang="0">
                <a:pos x="connsiteX13545" y="connsiteY13545"/>
              </a:cxn>
              <a:cxn ang="0">
                <a:pos x="connsiteX13546" y="connsiteY13546"/>
              </a:cxn>
              <a:cxn ang="0">
                <a:pos x="connsiteX13547" y="connsiteY13547"/>
              </a:cxn>
              <a:cxn ang="0">
                <a:pos x="connsiteX13548" y="connsiteY13548"/>
              </a:cxn>
              <a:cxn ang="0">
                <a:pos x="connsiteX13549" y="connsiteY13549"/>
              </a:cxn>
              <a:cxn ang="0">
                <a:pos x="connsiteX13550" y="connsiteY13550"/>
              </a:cxn>
              <a:cxn ang="0">
                <a:pos x="connsiteX13551" y="connsiteY13551"/>
              </a:cxn>
              <a:cxn ang="0">
                <a:pos x="connsiteX13552" y="connsiteY13552"/>
              </a:cxn>
              <a:cxn ang="0">
                <a:pos x="connsiteX13553" y="connsiteY13553"/>
              </a:cxn>
              <a:cxn ang="0">
                <a:pos x="connsiteX13554" y="connsiteY13554"/>
              </a:cxn>
              <a:cxn ang="0">
                <a:pos x="connsiteX13555" y="connsiteY13555"/>
              </a:cxn>
              <a:cxn ang="0">
                <a:pos x="connsiteX13556" y="connsiteY13556"/>
              </a:cxn>
              <a:cxn ang="0">
                <a:pos x="connsiteX13557" y="connsiteY13557"/>
              </a:cxn>
              <a:cxn ang="0">
                <a:pos x="connsiteX13558" y="connsiteY13558"/>
              </a:cxn>
              <a:cxn ang="0">
                <a:pos x="connsiteX13559" y="connsiteY13559"/>
              </a:cxn>
              <a:cxn ang="0">
                <a:pos x="connsiteX13560" y="connsiteY13560"/>
              </a:cxn>
              <a:cxn ang="0">
                <a:pos x="connsiteX13561" y="connsiteY13561"/>
              </a:cxn>
              <a:cxn ang="0">
                <a:pos x="connsiteX13562" y="connsiteY13562"/>
              </a:cxn>
              <a:cxn ang="0">
                <a:pos x="connsiteX13563" y="connsiteY13563"/>
              </a:cxn>
              <a:cxn ang="0">
                <a:pos x="connsiteX13564" y="connsiteY13564"/>
              </a:cxn>
              <a:cxn ang="0">
                <a:pos x="connsiteX13565" y="connsiteY13565"/>
              </a:cxn>
              <a:cxn ang="0">
                <a:pos x="connsiteX13566" y="connsiteY13566"/>
              </a:cxn>
              <a:cxn ang="0">
                <a:pos x="connsiteX13567" y="connsiteY13567"/>
              </a:cxn>
              <a:cxn ang="0">
                <a:pos x="connsiteX13568" y="connsiteY13568"/>
              </a:cxn>
              <a:cxn ang="0">
                <a:pos x="connsiteX13569" y="connsiteY13569"/>
              </a:cxn>
              <a:cxn ang="0">
                <a:pos x="connsiteX13570" y="connsiteY13570"/>
              </a:cxn>
              <a:cxn ang="0">
                <a:pos x="connsiteX13571" y="connsiteY13571"/>
              </a:cxn>
              <a:cxn ang="0">
                <a:pos x="connsiteX13572" y="connsiteY13572"/>
              </a:cxn>
              <a:cxn ang="0">
                <a:pos x="connsiteX13573" y="connsiteY13573"/>
              </a:cxn>
              <a:cxn ang="0">
                <a:pos x="connsiteX13574" y="connsiteY13574"/>
              </a:cxn>
              <a:cxn ang="0">
                <a:pos x="connsiteX13575" y="connsiteY13575"/>
              </a:cxn>
              <a:cxn ang="0">
                <a:pos x="connsiteX13576" y="connsiteY13576"/>
              </a:cxn>
              <a:cxn ang="0">
                <a:pos x="connsiteX13577" y="connsiteY13577"/>
              </a:cxn>
              <a:cxn ang="0">
                <a:pos x="connsiteX13578" y="connsiteY13578"/>
              </a:cxn>
              <a:cxn ang="0">
                <a:pos x="connsiteX13579" y="connsiteY13579"/>
              </a:cxn>
              <a:cxn ang="0">
                <a:pos x="connsiteX13580" y="connsiteY13580"/>
              </a:cxn>
              <a:cxn ang="0">
                <a:pos x="connsiteX13581" y="connsiteY13581"/>
              </a:cxn>
              <a:cxn ang="0">
                <a:pos x="connsiteX13582" y="connsiteY13582"/>
              </a:cxn>
              <a:cxn ang="0">
                <a:pos x="connsiteX13583" y="connsiteY13583"/>
              </a:cxn>
              <a:cxn ang="0">
                <a:pos x="connsiteX13584" y="connsiteY13584"/>
              </a:cxn>
              <a:cxn ang="0">
                <a:pos x="connsiteX13585" y="connsiteY13585"/>
              </a:cxn>
              <a:cxn ang="0">
                <a:pos x="connsiteX13586" y="connsiteY13586"/>
              </a:cxn>
              <a:cxn ang="0">
                <a:pos x="connsiteX13587" y="connsiteY13587"/>
              </a:cxn>
              <a:cxn ang="0">
                <a:pos x="connsiteX13588" y="connsiteY13588"/>
              </a:cxn>
              <a:cxn ang="0">
                <a:pos x="connsiteX13589" y="connsiteY13589"/>
              </a:cxn>
              <a:cxn ang="0">
                <a:pos x="connsiteX13590" y="connsiteY13590"/>
              </a:cxn>
              <a:cxn ang="0">
                <a:pos x="connsiteX13591" y="connsiteY13591"/>
              </a:cxn>
              <a:cxn ang="0">
                <a:pos x="connsiteX13592" y="connsiteY13592"/>
              </a:cxn>
              <a:cxn ang="0">
                <a:pos x="connsiteX13593" y="connsiteY13593"/>
              </a:cxn>
              <a:cxn ang="0">
                <a:pos x="connsiteX13594" y="connsiteY13594"/>
              </a:cxn>
              <a:cxn ang="0">
                <a:pos x="connsiteX13595" y="connsiteY13595"/>
              </a:cxn>
              <a:cxn ang="0">
                <a:pos x="connsiteX13596" y="connsiteY13596"/>
              </a:cxn>
              <a:cxn ang="0">
                <a:pos x="connsiteX13597" y="connsiteY13597"/>
              </a:cxn>
              <a:cxn ang="0">
                <a:pos x="connsiteX13598" y="connsiteY13598"/>
              </a:cxn>
              <a:cxn ang="0">
                <a:pos x="connsiteX13599" y="connsiteY13599"/>
              </a:cxn>
              <a:cxn ang="0">
                <a:pos x="connsiteX13600" y="connsiteY13600"/>
              </a:cxn>
              <a:cxn ang="0">
                <a:pos x="connsiteX13601" y="connsiteY13601"/>
              </a:cxn>
              <a:cxn ang="0">
                <a:pos x="connsiteX13602" y="connsiteY13602"/>
              </a:cxn>
              <a:cxn ang="0">
                <a:pos x="connsiteX13603" y="connsiteY13603"/>
              </a:cxn>
              <a:cxn ang="0">
                <a:pos x="connsiteX13604" y="connsiteY13604"/>
              </a:cxn>
              <a:cxn ang="0">
                <a:pos x="connsiteX13605" y="connsiteY13605"/>
              </a:cxn>
              <a:cxn ang="0">
                <a:pos x="connsiteX13606" y="connsiteY13606"/>
              </a:cxn>
              <a:cxn ang="0">
                <a:pos x="connsiteX13607" y="connsiteY13607"/>
              </a:cxn>
              <a:cxn ang="0">
                <a:pos x="connsiteX13608" y="connsiteY13608"/>
              </a:cxn>
              <a:cxn ang="0">
                <a:pos x="connsiteX13609" y="connsiteY13609"/>
              </a:cxn>
              <a:cxn ang="0">
                <a:pos x="connsiteX13610" y="connsiteY13610"/>
              </a:cxn>
              <a:cxn ang="0">
                <a:pos x="connsiteX13611" y="connsiteY13611"/>
              </a:cxn>
              <a:cxn ang="0">
                <a:pos x="connsiteX13612" y="connsiteY13612"/>
              </a:cxn>
              <a:cxn ang="0">
                <a:pos x="connsiteX13613" y="connsiteY13613"/>
              </a:cxn>
              <a:cxn ang="0">
                <a:pos x="connsiteX13614" y="connsiteY13614"/>
              </a:cxn>
              <a:cxn ang="0">
                <a:pos x="connsiteX13615" y="connsiteY13615"/>
              </a:cxn>
              <a:cxn ang="0">
                <a:pos x="connsiteX13616" y="connsiteY13616"/>
              </a:cxn>
              <a:cxn ang="0">
                <a:pos x="connsiteX13617" y="connsiteY13617"/>
              </a:cxn>
              <a:cxn ang="0">
                <a:pos x="connsiteX13618" y="connsiteY13618"/>
              </a:cxn>
              <a:cxn ang="0">
                <a:pos x="connsiteX13619" y="connsiteY13619"/>
              </a:cxn>
              <a:cxn ang="0">
                <a:pos x="connsiteX13620" y="connsiteY13620"/>
              </a:cxn>
              <a:cxn ang="0">
                <a:pos x="connsiteX13621" y="connsiteY13621"/>
              </a:cxn>
              <a:cxn ang="0">
                <a:pos x="connsiteX13622" y="connsiteY13622"/>
              </a:cxn>
              <a:cxn ang="0">
                <a:pos x="connsiteX13623" y="connsiteY13623"/>
              </a:cxn>
              <a:cxn ang="0">
                <a:pos x="connsiteX13624" y="connsiteY13624"/>
              </a:cxn>
              <a:cxn ang="0">
                <a:pos x="connsiteX13625" y="connsiteY13625"/>
              </a:cxn>
              <a:cxn ang="0">
                <a:pos x="connsiteX13626" y="connsiteY13626"/>
              </a:cxn>
              <a:cxn ang="0">
                <a:pos x="connsiteX13627" y="connsiteY13627"/>
              </a:cxn>
              <a:cxn ang="0">
                <a:pos x="connsiteX13628" y="connsiteY13628"/>
              </a:cxn>
              <a:cxn ang="0">
                <a:pos x="connsiteX13629" y="connsiteY13629"/>
              </a:cxn>
              <a:cxn ang="0">
                <a:pos x="connsiteX13630" y="connsiteY13630"/>
              </a:cxn>
              <a:cxn ang="0">
                <a:pos x="connsiteX13631" y="connsiteY13631"/>
              </a:cxn>
              <a:cxn ang="0">
                <a:pos x="connsiteX13632" y="connsiteY13632"/>
              </a:cxn>
              <a:cxn ang="0">
                <a:pos x="connsiteX13633" y="connsiteY13633"/>
              </a:cxn>
              <a:cxn ang="0">
                <a:pos x="connsiteX13634" y="connsiteY13634"/>
              </a:cxn>
              <a:cxn ang="0">
                <a:pos x="connsiteX13635" y="connsiteY13635"/>
              </a:cxn>
              <a:cxn ang="0">
                <a:pos x="connsiteX13636" y="connsiteY13636"/>
              </a:cxn>
              <a:cxn ang="0">
                <a:pos x="connsiteX13637" y="connsiteY13637"/>
              </a:cxn>
              <a:cxn ang="0">
                <a:pos x="connsiteX13638" y="connsiteY13638"/>
              </a:cxn>
              <a:cxn ang="0">
                <a:pos x="connsiteX13639" y="connsiteY13639"/>
              </a:cxn>
              <a:cxn ang="0">
                <a:pos x="connsiteX13640" y="connsiteY13640"/>
              </a:cxn>
              <a:cxn ang="0">
                <a:pos x="connsiteX13641" y="connsiteY13641"/>
              </a:cxn>
              <a:cxn ang="0">
                <a:pos x="connsiteX13642" y="connsiteY13642"/>
              </a:cxn>
              <a:cxn ang="0">
                <a:pos x="connsiteX13643" y="connsiteY13643"/>
              </a:cxn>
              <a:cxn ang="0">
                <a:pos x="connsiteX13644" y="connsiteY13644"/>
              </a:cxn>
              <a:cxn ang="0">
                <a:pos x="connsiteX13645" y="connsiteY13645"/>
              </a:cxn>
              <a:cxn ang="0">
                <a:pos x="connsiteX13646" y="connsiteY13646"/>
              </a:cxn>
              <a:cxn ang="0">
                <a:pos x="connsiteX13647" y="connsiteY13647"/>
              </a:cxn>
              <a:cxn ang="0">
                <a:pos x="connsiteX13648" y="connsiteY13648"/>
              </a:cxn>
              <a:cxn ang="0">
                <a:pos x="connsiteX13649" y="connsiteY13649"/>
              </a:cxn>
              <a:cxn ang="0">
                <a:pos x="connsiteX13650" y="connsiteY13650"/>
              </a:cxn>
              <a:cxn ang="0">
                <a:pos x="connsiteX13651" y="connsiteY13651"/>
              </a:cxn>
              <a:cxn ang="0">
                <a:pos x="connsiteX13652" y="connsiteY13652"/>
              </a:cxn>
              <a:cxn ang="0">
                <a:pos x="connsiteX13653" y="connsiteY13653"/>
              </a:cxn>
              <a:cxn ang="0">
                <a:pos x="connsiteX13654" y="connsiteY13654"/>
              </a:cxn>
              <a:cxn ang="0">
                <a:pos x="connsiteX13655" y="connsiteY13655"/>
              </a:cxn>
              <a:cxn ang="0">
                <a:pos x="connsiteX13656" y="connsiteY13656"/>
              </a:cxn>
              <a:cxn ang="0">
                <a:pos x="connsiteX13657" y="connsiteY13657"/>
              </a:cxn>
              <a:cxn ang="0">
                <a:pos x="connsiteX13658" y="connsiteY13658"/>
              </a:cxn>
              <a:cxn ang="0">
                <a:pos x="connsiteX13659" y="connsiteY13659"/>
              </a:cxn>
              <a:cxn ang="0">
                <a:pos x="connsiteX13660" y="connsiteY13660"/>
              </a:cxn>
              <a:cxn ang="0">
                <a:pos x="connsiteX13661" y="connsiteY13661"/>
              </a:cxn>
              <a:cxn ang="0">
                <a:pos x="connsiteX13662" y="connsiteY13662"/>
              </a:cxn>
              <a:cxn ang="0">
                <a:pos x="connsiteX13663" y="connsiteY13663"/>
              </a:cxn>
              <a:cxn ang="0">
                <a:pos x="connsiteX13664" y="connsiteY13664"/>
              </a:cxn>
              <a:cxn ang="0">
                <a:pos x="connsiteX13665" y="connsiteY13665"/>
              </a:cxn>
              <a:cxn ang="0">
                <a:pos x="connsiteX13666" y="connsiteY13666"/>
              </a:cxn>
              <a:cxn ang="0">
                <a:pos x="connsiteX13667" y="connsiteY13667"/>
              </a:cxn>
              <a:cxn ang="0">
                <a:pos x="connsiteX13668" y="connsiteY13668"/>
              </a:cxn>
              <a:cxn ang="0">
                <a:pos x="connsiteX13669" y="connsiteY13669"/>
              </a:cxn>
              <a:cxn ang="0">
                <a:pos x="connsiteX13670" y="connsiteY13670"/>
              </a:cxn>
              <a:cxn ang="0">
                <a:pos x="connsiteX13671" y="connsiteY13671"/>
              </a:cxn>
              <a:cxn ang="0">
                <a:pos x="connsiteX13672" y="connsiteY13672"/>
              </a:cxn>
              <a:cxn ang="0">
                <a:pos x="connsiteX13673" y="connsiteY13673"/>
              </a:cxn>
              <a:cxn ang="0">
                <a:pos x="connsiteX13674" y="connsiteY13674"/>
              </a:cxn>
              <a:cxn ang="0">
                <a:pos x="connsiteX13675" y="connsiteY13675"/>
              </a:cxn>
              <a:cxn ang="0">
                <a:pos x="connsiteX13676" y="connsiteY13676"/>
              </a:cxn>
              <a:cxn ang="0">
                <a:pos x="connsiteX13677" y="connsiteY13677"/>
              </a:cxn>
              <a:cxn ang="0">
                <a:pos x="connsiteX13678" y="connsiteY13678"/>
              </a:cxn>
              <a:cxn ang="0">
                <a:pos x="connsiteX13679" y="connsiteY13679"/>
              </a:cxn>
              <a:cxn ang="0">
                <a:pos x="connsiteX13680" y="connsiteY13680"/>
              </a:cxn>
              <a:cxn ang="0">
                <a:pos x="connsiteX13681" y="connsiteY13681"/>
              </a:cxn>
              <a:cxn ang="0">
                <a:pos x="connsiteX13682" y="connsiteY13682"/>
              </a:cxn>
              <a:cxn ang="0">
                <a:pos x="connsiteX13683" y="connsiteY13683"/>
              </a:cxn>
              <a:cxn ang="0">
                <a:pos x="connsiteX13684" y="connsiteY13684"/>
              </a:cxn>
              <a:cxn ang="0">
                <a:pos x="connsiteX13685" y="connsiteY13685"/>
              </a:cxn>
              <a:cxn ang="0">
                <a:pos x="connsiteX13686" y="connsiteY13686"/>
              </a:cxn>
              <a:cxn ang="0">
                <a:pos x="connsiteX13687" y="connsiteY13687"/>
              </a:cxn>
              <a:cxn ang="0">
                <a:pos x="connsiteX13688" y="connsiteY13688"/>
              </a:cxn>
              <a:cxn ang="0">
                <a:pos x="connsiteX13689" y="connsiteY13689"/>
              </a:cxn>
              <a:cxn ang="0">
                <a:pos x="connsiteX13690" y="connsiteY13690"/>
              </a:cxn>
              <a:cxn ang="0">
                <a:pos x="connsiteX13691" y="connsiteY13691"/>
              </a:cxn>
              <a:cxn ang="0">
                <a:pos x="connsiteX13692" y="connsiteY13692"/>
              </a:cxn>
              <a:cxn ang="0">
                <a:pos x="connsiteX13693" y="connsiteY13693"/>
              </a:cxn>
              <a:cxn ang="0">
                <a:pos x="connsiteX13694" y="connsiteY13694"/>
              </a:cxn>
              <a:cxn ang="0">
                <a:pos x="connsiteX13695" y="connsiteY13695"/>
              </a:cxn>
              <a:cxn ang="0">
                <a:pos x="connsiteX13696" y="connsiteY13696"/>
              </a:cxn>
              <a:cxn ang="0">
                <a:pos x="connsiteX13697" y="connsiteY13697"/>
              </a:cxn>
              <a:cxn ang="0">
                <a:pos x="connsiteX13698" y="connsiteY13698"/>
              </a:cxn>
              <a:cxn ang="0">
                <a:pos x="connsiteX13699" y="connsiteY13699"/>
              </a:cxn>
              <a:cxn ang="0">
                <a:pos x="connsiteX13700" y="connsiteY13700"/>
              </a:cxn>
              <a:cxn ang="0">
                <a:pos x="connsiteX13701" y="connsiteY13701"/>
              </a:cxn>
              <a:cxn ang="0">
                <a:pos x="connsiteX13702" y="connsiteY13702"/>
              </a:cxn>
              <a:cxn ang="0">
                <a:pos x="connsiteX13703" y="connsiteY13703"/>
              </a:cxn>
              <a:cxn ang="0">
                <a:pos x="connsiteX13704" y="connsiteY13704"/>
              </a:cxn>
              <a:cxn ang="0">
                <a:pos x="connsiteX13705" y="connsiteY13705"/>
              </a:cxn>
              <a:cxn ang="0">
                <a:pos x="connsiteX13706" y="connsiteY13706"/>
              </a:cxn>
              <a:cxn ang="0">
                <a:pos x="connsiteX13707" y="connsiteY13707"/>
              </a:cxn>
              <a:cxn ang="0">
                <a:pos x="connsiteX13708" y="connsiteY13708"/>
              </a:cxn>
              <a:cxn ang="0">
                <a:pos x="connsiteX13709" y="connsiteY13709"/>
              </a:cxn>
              <a:cxn ang="0">
                <a:pos x="connsiteX13710" y="connsiteY13710"/>
              </a:cxn>
              <a:cxn ang="0">
                <a:pos x="connsiteX13711" y="connsiteY13711"/>
              </a:cxn>
              <a:cxn ang="0">
                <a:pos x="connsiteX13712" y="connsiteY13712"/>
              </a:cxn>
              <a:cxn ang="0">
                <a:pos x="connsiteX13713" y="connsiteY13713"/>
              </a:cxn>
              <a:cxn ang="0">
                <a:pos x="connsiteX13714" y="connsiteY13714"/>
              </a:cxn>
              <a:cxn ang="0">
                <a:pos x="connsiteX13715" y="connsiteY13715"/>
              </a:cxn>
              <a:cxn ang="0">
                <a:pos x="connsiteX13716" y="connsiteY13716"/>
              </a:cxn>
              <a:cxn ang="0">
                <a:pos x="connsiteX13717" y="connsiteY13717"/>
              </a:cxn>
              <a:cxn ang="0">
                <a:pos x="connsiteX13718" y="connsiteY13718"/>
              </a:cxn>
              <a:cxn ang="0">
                <a:pos x="connsiteX13719" y="connsiteY13719"/>
              </a:cxn>
              <a:cxn ang="0">
                <a:pos x="connsiteX13720" y="connsiteY13720"/>
              </a:cxn>
              <a:cxn ang="0">
                <a:pos x="connsiteX13721" y="connsiteY13721"/>
              </a:cxn>
              <a:cxn ang="0">
                <a:pos x="connsiteX13722" y="connsiteY13722"/>
              </a:cxn>
              <a:cxn ang="0">
                <a:pos x="connsiteX13723" y="connsiteY13723"/>
              </a:cxn>
              <a:cxn ang="0">
                <a:pos x="connsiteX13724" y="connsiteY13724"/>
              </a:cxn>
              <a:cxn ang="0">
                <a:pos x="connsiteX13725" y="connsiteY13725"/>
              </a:cxn>
              <a:cxn ang="0">
                <a:pos x="connsiteX13726" y="connsiteY13726"/>
              </a:cxn>
              <a:cxn ang="0">
                <a:pos x="connsiteX13727" y="connsiteY13727"/>
              </a:cxn>
              <a:cxn ang="0">
                <a:pos x="connsiteX13728" y="connsiteY13728"/>
              </a:cxn>
              <a:cxn ang="0">
                <a:pos x="connsiteX13729" y="connsiteY13729"/>
              </a:cxn>
              <a:cxn ang="0">
                <a:pos x="connsiteX13730" y="connsiteY13730"/>
              </a:cxn>
              <a:cxn ang="0">
                <a:pos x="connsiteX13731" y="connsiteY13731"/>
              </a:cxn>
              <a:cxn ang="0">
                <a:pos x="connsiteX13732" y="connsiteY13732"/>
              </a:cxn>
              <a:cxn ang="0">
                <a:pos x="connsiteX13733" y="connsiteY13733"/>
              </a:cxn>
              <a:cxn ang="0">
                <a:pos x="connsiteX13734" y="connsiteY13734"/>
              </a:cxn>
              <a:cxn ang="0">
                <a:pos x="connsiteX13735" y="connsiteY13735"/>
              </a:cxn>
              <a:cxn ang="0">
                <a:pos x="connsiteX13736" y="connsiteY13736"/>
              </a:cxn>
              <a:cxn ang="0">
                <a:pos x="connsiteX13737" y="connsiteY13737"/>
              </a:cxn>
              <a:cxn ang="0">
                <a:pos x="connsiteX13738" y="connsiteY13738"/>
              </a:cxn>
              <a:cxn ang="0">
                <a:pos x="connsiteX13739" y="connsiteY13739"/>
              </a:cxn>
              <a:cxn ang="0">
                <a:pos x="connsiteX13740" y="connsiteY13740"/>
              </a:cxn>
              <a:cxn ang="0">
                <a:pos x="connsiteX13741" y="connsiteY13741"/>
              </a:cxn>
              <a:cxn ang="0">
                <a:pos x="connsiteX13742" y="connsiteY13742"/>
              </a:cxn>
              <a:cxn ang="0">
                <a:pos x="connsiteX13743" y="connsiteY13743"/>
              </a:cxn>
              <a:cxn ang="0">
                <a:pos x="connsiteX13744" y="connsiteY13744"/>
              </a:cxn>
              <a:cxn ang="0">
                <a:pos x="connsiteX13745" y="connsiteY13745"/>
              </a:cxn>
              <a:cxn ang="0">
                <a:pos x="connsiteX13746" y="connsiteY13746"/>
              </a:cxn>
              <a:cxn ang="0">
                <a:pos x="connsiteX13747" y="connsiteY13747"/>
              </a:cxn>
              <a:cxn ang="0">
                <a:pos x="connsiteX13748" y="connsiteY13748"/>
              </a:cxn>
              <a:cxn ang="0">
                <a:pos x="connsiteX13749" y="connsiteY13749"/>
              </a:cxn>
              <a:cxn ang="0">
                <a:pos x="connsiteX13750" y="connsiteY13750"/>
              </a:cxn>
              <a:cxn ang="0">
                <a:pos x="connsiteX13751" y="connsiteY13751"/>
              </a:cxn>
              <a:cxn ang="0">
                <a:pos x="connsiteX13752" y="connsiteY13752"/>
              </a:cxn>
              <a:cxn ang="0">
                <a:pos x="connsiteX13753" y="connsiteY13753"/>
              </a:cxn>
              <a:cxn ang="0">
                <a:pos x="connsiteX13754" y="connsiteY13754"/>
              </a:cxn>
              <a:cxn ang="0">
                <a:pos x="connsiteX13755" y="connsiteY13755"/>
              </a:cxn>
              <a:cxn ang="0">
                <a:pos x="connsiteX13756" y="connsiteY13756"/>
              </a:cxn>
              <a:cxn ang="0">
                <a:pos x="connsiteX13757" y="connsiteY13757"/>
              </a:cxn>
              <a:cxn ang="0">
                <a:pos x="connsiteX13758" y="connsiteY13758"/>
              </a:cxn>
              <a:cxn ang="0">
                <a:pos x="connsiteX13759" y="connsiteY13759"/>
              </a:cxn>
              <a:cxn ang="0">
                <a:pos x="connsiteX13760" y="connsiteY13760"/>
              </a:cxn>
              <a:cxn ang="0">
                <a:pos x="connsiteX13761" y="connsiteY13761"/>
              </a:cxn>
              <a:cxn ang="0">
                <a:pos x="connsiteX13762" y="connsiteY13762"/>
              </a:cxn>
              <a:cxn ang="0">
                <a:pos x="connsiteX13763" y="connsiteY13763"/>
              </a:cxn>
              <a:cxn ang="0">
                <a:pos x="connsiteX13764" y="connsiteY13764"/>
              </a:cxn>
              <a:cxn ang="0">
                <a:pos x="connsiteX13765" y="connsiteY13765"/>
              </a:cxn>
              <a:cxn ang="0">
                <a:pos x="connsiteX13766" y="connsiteY13766"/>
              </a:cxn>
              <a:cxn ang="0">
                <a:pos x="connsiteX13767" y="connsiteY13767"/>
              </a:cxn>
              <a:cxn ang="0">
                <a:pos x="connsiteX13768" y="connsiteY13768"/>
              </a:cxn>
              <a:cxn ang="0">
                <a:pos x="connsiteX13769" y="connsiteY13769"/>
              </a:cxn>
              <a:cxn ang="0">
                <a:pos x="connsiteX13770" y="connsiteY13770"/>
              </a:cxn>
              <a:cxn ang="0">
                <a:pos x="connsiteX13771" y="connsiteY13771"/>
              </a:cxn>
              <a:cxn ang="0">
                <a:pos x="connsiteX13772" y="connsiteY13772"/>
              </a:cxn>
              <a:cxn ang="0">
                <a:pos x="connsiteX13773" y="connsiteY13773"/>
              </a:cxn>
              <a:cxn ang="0">
                <a:pos x="connsiteX13774" y="connsiteY13774"/>
              </a:cxn>
              <a:cxn ang="0">
                <a:pos x="connsiteX13775" y="connsiteY13775"/>
              </a:cxn>
              <a:cxn ang="0">
                <a:pos x="connsiteX13776" y="connsiteY13776"/>
              </a:cxn>
              <a:cxn ang="0">
                <a:pos x="connsiteX13777" y="connsiteY13777"/>
              </a:cxn>
              <a:cxn ang="0">
                <a:pos x="connsiteX13778" y="connsiteY13778"/>
              </a:cxn>
              <a:cxn ang="0">
                <a:pos x="connsiteX13779" y="connsiteY13779"/>
              </a:cxn>
              <a:cxn ang="0">
                <a:pos x="connsiteX13780" y="connsiteY13780"/>
              </a:cxn>
              <a:cxn ang="0">
                <a:pos x="connsiteX13781" y="connsiteY13781"/>
              </a:cxn>
              <a:cxn ang="0">
                <a:pos x="connsiteX13782" y="connsiteY13782"/>
              </a:cxn>
              <a:cxn ang="0">
                <a:pos x="connsiteX13783" y="connsiteY13783"/>
              </a:cxn>
              <a:cxn ang="0">
                <a:pos x="connsiteX13784" y="connsiteY13784"/>
              </a:cxn>
              <a:cxn ang="0">
                <a:pos x="connsiteX13785" y="connsiteY13785"/>
              </a:cxn>
              <a:cxn ang="0">
                <a:pos x="connsiteX13786" y="connsiteY13786"/>
              </a:cxn>
              <a:cxn ang="0">
                <a:pos x="connsiteX13787" y="connsiteY13787"/>
              </a:cxn>
              <a:cxn ang="0">
                <a:pos x="connsiteX13788" y="connsiteY13788"/>
              </a:cxn>
              <a:cxn ang="0">
                <a:pos x="connsiteX13789" y="connsiteY13789"/>
              </a:cxn>
              <a:cxn ang="0">
                <a:pos x="connsiteX13790" y="connsiteY13790"/>
              </a:cxn>
              <a:cxn ang="0">
                <a:pos x="connsiteX13791" y="connsiteY13791"/>
              </a:cxn>
              <a:cxn ang="0">
                <a:pos x="connsiteX13792" y="connsiteY13792"/>
              </a:cxn>
              <a:cxn ang="0">
                <a:pos x="connsiteX13793" y="connsiteY13793"/>
              </a:cxn>
              <a:cxn ang="0">
                <a:pos x="connsiteX13794" y="connsiteY13794"/>
              </a:cxn>
              <a:cxn ang="0">
                <a:pos x="connsiteX13795" y="connsiteY13795"/>
              </a:cxn>
              <a:cxn ang="0">
                <a:pos x="connsiteX13796" y="connsiteY13796"/>
              </a:cxn>
              <a:cxn ang="0">
                <a:pos x="connsiteX13797" y="connsiteY13797"/>
              </a:cxn>
              <a:cxn ang="0">
                <a:pos x="connsiteX13798" y="connsiteY13798"/>
              </a:cxn>
              <a:cxn ang="0">
                <a:pos x="connsiteX13799" y="connsiteY13799"/>
              </a:cxn>
              <a:cxn ang="0">
                <a:pos x="connsiteX13800" y="connsiteY13800"/>
              </a:cxn>
              <a:cxn ang="0">
                <a:pos x="connsiteX13801" y="connsiteY13801"/>
              </a:cxn>
              <a:cxn ang="0">
                <a:pos x="connsiteX13802" y="connsiteY13802"/>
              </a:cxn>
              <a:cxn ang="0">
                <a:pos x="connsiteX13803" y="connsiteY13803"/>
              </a:cxn>
              <a:cxn ang="0">
                <a:pos x="connsiteX13804" y="connsiteY13804"/>
              </a:cxn>
              <a:cxn ang="0">
                <a:pos x="connsiteX13805" y="connsiteY13805"/>
              </a:cxn>
              <a:cxn ang="0">
                <a:pos x="connsiteX13806" y="connsiteY13806"/>
              </a:cxn>
              <a:cxn ang="0">
                <a:pos x="connsiteX13807" y="connsiteY13807"/>
              </a:cxn>
              <a:cxn ang="0">
                <a:pos x="connsiteX13808" y="connsiteY13808"/>
              </a:cxn>
              <a:cxn ang="0">
                <a:pos x="connsiteX13809" y="connsiteY13809"/>
              </a:cxn>
              <a:cxn ang="0">
                <a:pos x="connsiteX13810" y="connsiteY13810"/>
              </a:cxn>
              <a:cxn ang="0">
                <a:pos x="connsiteX13811" y="connsiteY13811"/>
              </a:cxn>
              <a:cxn ang="0">
                <a:pos x="connsiteX13812" y="connsiteY13812"/>
              </a:cxn>
              <a:cxn ang="0">
                <a:pos x="connsiteX13813" y="connsiteY13813"/>
              </a:cxn>
              <a:cxn ang="0">
                <a:pos x="connsiteX13814" y="connsiteY13814"/>
              </a:cxn>
              <a:cxn ang="0">
                <a:pos x="connsiteX13815" y="connsiteY13815"/>
              </a:cxn>
              <a:cxn ang="0">
                <a:pos x="connsiteX13816" y="connsiteY13816"/>
              </a:cxn>
              <a:cxn ang="0">
                <a:pos x="connsiteX13817" y="connsiteY13817"/>
              </a:cxn>
              <a:cxn ang="0">
                <a:pos x="connsiteX13818" y="connsiteY13818"/>
              </a:cxn>
              <a:cxn ang="0">
                <a:pos x="connsiteX13819" y="connsiteY13819"/>
              </a:cxn>
              <a:cxn ang="0">
                <a:pos x="connsiteX13820" y="connsiteY13820"/>
              </a:cxn>
              <a:cxn ang="0">
                <a:pos x="connsiteX13821" y="connsiteY13821"/>
              </a:cxn>
              <a:cxn ang="0">
                <a:pos x="connsiteX13822" y="connsiteY13822"/>
              </a:cxn>
              <a:cxn ang="0">
                <a:pos x="connsiteX13823" y="connsiteY13823"/>
              </a:cxn>
              <a:cxn ang="0">
                <a:pos x="connsiteX13824" y="connsiteY13824"/>
              </a:cxn>
              <a:cxn ang="0">
                <a:pos x="connsiteX13825" y="connsiteY13825"/>
              </a:cxn>
              <a:cxn ang="0">
                <a:pos x="connsiteX13826" y="connsiteY13826"/>
              </a:cxn>
              <a:cxn ang="0">
                <a:pos x="connsiteX13827" y="connsiteY13827"/>
              </a:cxn>
              <a:cxn ang="0">
                <a:pos x="connsiteX13828" y="connsiteY13828"/>
              </a:cxn>
              <a:cxn ang="0">
                <a:pos x="connsiteX13829" y="connsiteY13829"/>
              </a:cxn>
              <a:cxn ang="0">
                <a:pos x="connsiteX13830" y="connsiteY13830"/>
              </a:cxn>
              <a:cxn ang="0">
                <a:pos x="connsiteX13831" y="connsiteY13831"/>
              </a:cxn>
              <a:cxn ang="0">
                <a:pos x="connsiteX13832" y="connsiteY13832"/>
              </a:cxn>
              <a:cxn ang="0">
                <a:pos x="connsiteX13833" y="connsiteY13833"/>
              </a:cxn>
              <a:cxn ang="0">
                <a:pos x="connsiteX13834" y="connsiteY13834"/>
              </a:cxn>
              <a:cxn ang="0">
                <a:pos x="connsiteX13835" y="connsiteY13835"/>
              </a:cxn>
              <a:cxn ang="0">
                <a:pos x="connsiteX13836" y="connsiteY13836"/>
              </a:cxn>
              <a:cxn ang="0">
                <a:pos x="connsiteX13837" y="connsiteY13837"/>
              </a:cxn>
              <a:cxn ang="0">
                <a:pos x="connsiteX13838" y="connsiteY13838"/>
              </a:cxn>
              <a:cxn ang="0">
                <a:pos x="connsiteX13839" y="connsiteY13839"/>
              </a:cxn>
              <a:cxn ang="0">
                <a:pos x="connsiteX13840" y="connsiteY13840"/>
              </a:cxn>
              <a:cxn ang="0">
                <a:pos x="connsiteX13841" y="connsiteY13841"/>
              </a:cxn>
              <a:cxn ang="0">
                <a:pos x="connsiteX13842" y="connsiteY13842"/>
              </a:cxn>
              <a:cxn ang="0">
                <a:pos x="connsiteX13843" y="connsiteY13843"/>
              </a:cxn>
              <a:cxn ang="0">
                <a:pos x="connsiteX13844" y="connsiteY13844"/>
              </a:cxn>
              <a:cxn ang="0">
                <a:pos x="connsiteX13845" y="connsiteY13845"/>
              </a:cxn>
              <a:cxn ang="0">
                <a:pos x="connsiteX13846" y="connsiteY13846"/>
              </a:cxn>
              <a:cxn ang="0">
                <a:pos x="connsiteX13847" y="connsiteY13847"/>
              </a:cxn>
              <a:cxn ang="0">
                <a:pos x="connsiteX13848" y="connsiteY13848"/>
              </a:cxn>
              <a:cxn ang="0">
                <a:pos x="connsiteX13849" y="connsiteY13849"/>
              </a:cxn>
              <a:cxn ang="0">
                <a:pos x="connsiteX13850" y="connsiteY13850"/>
              </a:cxn>
              <a:cxn ang="0">
                <a:pos x="connsiteX13851" y="connsiteY13851"/>
              </a:cxn>
              <a:cxn ang="0">
                <a:pos x="connsiteX13852" y="connsiteY13852"/>
              </a:cxn>
              <a:cxn ang="0">
                <a:pos x="connsiteX13853" y="connsiteY13853"/>
              </a:cxn>
              <a:cxn ang="0">
                <a:pos x="connsiteX13854" y="connsiteY13854"/>
              </a:cxn>
              <a:cxn ang="0">
                <a:pos x="connsiteX13855" y="connsiteY13855"/>
              </a:cxn>
              <a:cxn ang="0">
                <a:pos x="connsiteX13856" y="connsiteY13856"/>
              </a:cxn>
              <a:cxn ang="0">
                <a:pos x="connsiteX13857" y="connsiteY13857"/>
              </a:cxn>
              <a:cxn ang="0">
                <a:pos x="connsiteX13858" y="connsiteY13858"/>
              </a:cxn>
              <a:cxn ang="0">
                <a:pos x="connsiteX13859" y="connsiteY13859"/>
              </a:cxn>
              <a:cxn ang="0">
                <a:pos x="connsiteX13860" y="connsiteY13860"/>
              </a:cxn>
              <a:cxn ang="0">
                <a:pos x="connsiteX13861" y="connsiteY13861"/>
              </a:cxn>
              <a:cxn ang="0">
                <a:pos x="connsiteX13862" y="connsiteY13862"/>
              </a:cxn>
              <a:cxn ang="0">
                <a:pos x="connsiteX13863" y="connsiteY13863"/>
              </a:cxn>
              <a:cxn ang="0">
                <a:pos x="connsiteX13864" y="connsiteY13864"/>
              </a:cxn>
              <a:cxn ang="0">
                <a:pos x="connsiteX13865" y="connsiteY13865"/>
              </a:cxn>
              <a:cxn ang="0">
                <a:pos x="connsiteX13866" y="connsiteY13866"/>
              </a:cxn>
              <a:cxn ang="0">
                <a:pos x="connsiteX13867" y="connsiteY13867"/>
              </a:cxn>
              <a:cxn ang="0">
                <a:pos x="connsiteX13868" y="connsiteY13868"/>
              </a:cxn>
              <a:cxn ang="0">
                <a:pos x="connsiteX13869" y="connsiteY13869"/>
              </a:cxn>
              <a:cxn ang="0">
                <a:pos x="connsiteX13870" y="connsiteY13870"/>
              </a:cxn>
              <a:cxn ang="0">
                <a:pos x="connsiteX13871" y="connsiteY13871"/>
              </a:cxn>
              <a:cxn ang="0">
                <a:pos x="connsiteX13872" y="connsiteY13872"/>
              </a:cxn>
              <a:cxn ang="0">
                <a:pos x="connsiteX13873" y="connsiteY13873"/>
              </a:cxn>
              <a:cxn ang="0">
                <a:pos x="connsiteX13874" y="connsiteY13874"/>
              </a:cxn>
              <a:cxn ang="0">
                <a:pos x="connsiteX13875" y="connsiteY13875"/>
              </a:cxn>
              <a:cxn ang="0">
                <a:pos x="connsiteX13876" y="connsiteY13876"/>
              </a:cxn>
              <a:cxn ang="0">
                <a:pos x="connsiteX13877" y="connsiteY13877"/>
              </a:cxn>
              <a:cxn ang="0">
                <a:pos x="connsiteX13878" y="connsiteY13878"/>
              </a:cxn>
              <a:cxn ang="0">
                <a:pos x="connsiteX13879" y="connsiteY13879"/>
              </a:cxn>
              <a:cxn ang="0">
                <a:pos x="connsiteX13880" y="connsiteY13880"/>
              </a:cxn>
              <a:cxn ang="0">
                <a:pos x="connsiteX13881" y="connsiteY13881"/>
              </a:cxn>
              <a:cxn ang="0">
                <a:pos x="connsiteX13882" y="connsiteY13882"/>
              </a:cxn>
              <a:cxn ang="0">
                <a:pos x="connsiteX13883" y="connsiteY13883"/>
              </a:cxn>
              <a:cxn ang="0">
                <a:pos x="connsiteX13884" y="connsiteY13884"/>
              </a:cxn>
              <a:cxn ang="0">
                <a:pos x="connsiteX13885" y="connsiteY13885"/>
              </a:cxn>
              <a:cxn ang="0">
                <a:pos x="connsiteX13886" y="connsiteY13886"/>
              </a:cxn>
              <a:cxn ang="0">
                <a:pos x="connsiteX13887" y="connsiteY13887"/>
              </a:cxn>
              <a:cxn ang="0">
                <a:pos x="connsiteX13888" y="connsiteY13888"/>
              </a:cxn>
              <a:cxn ang="0">
                <a:pos x="connsiteX13889" y="connsiteY13889"/>
              </a:cxn>
              <a:cxn ang="0">
                <a:pos x="connsiteX13890" y="connsiteY13890"/>
              </a:cxn>
              <a:cxn ang="0">
                <a:pos x="connsiteX13891" y="connsiteY13891"/>
              </a:cxn>
              <a:cxn ang="0">
                <a:pos x="connsiteX13892" y="connsiteY13892"/>
              </a:cxn>
              <a:cxn ang="0">
                <a:pos x="connsiteX13893" y="connsiteY13893"/>
              </a:cxn>
              <a:cxn ang="0">
                <a:pos x="connsiteX13894" y="connsiteY13894"/>
              </a:cxn>
              <a:cxn ang="0">
                <a:pos x="connsiteX13895" y="connsiteY13895"/>
              </a:cxn>
              <a:cxn ang="0">
                <a:pos x="connsiteX13896" y="connsiteY13896"/>
              </a:cxn>
              <a:cxn ang="0">
                <a:pos x="connsiteX13897" y="connsiteY13897"/>
              </a:cxn>
              <a:cxn ang="0">
                <a:pos x="connsiteX13898" y="connsiteY13898"/>
              </a:cxn>
              <a:cxn ang="0">
                <a:pos x="connsiteX13899" y="connsiteY13899"/>
              </a:cxn>
              <a:cxn ang="0">
                <a:pos x="connsiteX13900" y="connsiteY13900"/>
              </a:cxn>
              <a:cxn ang="0">
                <a:pos x="connsiteX13901" y="connsiteY13901"/>
              </a:cxn>
              <a:cxn ang="0">
                <a:pos x="connsiteX13902" y="connsiteY13902"/>
              </a:cxn>
              <a:cxn ang="0">
                <a:pos x="connsiteX13903" y="connsiteY13903"/>
              </a:cxn>
              <a:cxn ang="0">
                <a:pos x="connsiteX13904" y="connsiteY13904"/>
              </a:cxn>
              <a:cxn ang="0">
                <a:pos x="connsiteX13905" y="connsiteY13905"/>
              </a:cxn>
              <a:cxn ang="0">
                <a:pos x="connsiteX13906" y="connsiteY13906"/>
              </a:cxn>
              <a:cxn ang="0">
                <a:pos x="connsiteX13907" y="connsiteY13907"/>
              </a:cxn>
              <a:cxn ang="0">
                <a:pos x="connsiteX13908" y="connsiteY13908"/>
              </a:cxn>
              <a:cxn ang="0">
                <a:pos x="connsiteX13909" y="connsiteY13909"/>
              </a:cxn>
              <a:cxn ang="0">
                <a:pos x="connsiteX13910" y="connsiteY13910"/>
              </a:cxn>
              <a:cxn ang="0">
                <a:pos x="connsiteX13911" y="connsiteY13911"/>
              </a:cxn>
              <a:cxn ang="0">
                <a:pos x="connsiteX13912" y="connsiteY13912"/>
              </a:cxn>
              <a:cxn ang="0">
                <a:pos x="connsiteX13913" y="connsiteY13913"/>
              </a:cxn>
              <a:cxn ang="0">
                <a:pos x="connsiteX13914" y="connsiteY13914"/>
              </a:cxn>
              <a:cxn ang="0">
                <a:pos x="connsiteX13915" y="connsiteY13915"/>
              </a:cxn>
              <a:cxn ang="0">
                <a:pos x="connsiteX13916" y="connsiteY13916"/>
              </a:cxn>
              <a:cxn ang="0">
                <a:pos x="connsiteX13917" y="connsiteY13917"/>
              </a:cxn>
              <a:cxn ang="0">
                <a:pos x="connsiteX13918" y="connsiteY13918"/>
              </a:cxn>
              <a:cxn ang="0">
                <a:pos x="connsiteX13919" y="connsiteY13919"/>
              </a:cxn>
              <a:cxn ang="0">
                <a:pos x="connsiteX13920" y="connsiteY13920"/>
              </a:cxn>
              <a:cxn ang="0">
                <a:pos x="connsiteX13921" y="connsiteY13921"/>
              </a:cxn>
              <a:cxn ang="0">
                <a:pos x="connsiteX13922" y="connsiteY13922"/>
              </a:cxn>
              <a:cxn ang="0">
                <a:pos x="connsiteX13923" y="connsiteY13923"/>
              </a:cxn>
              <a:cxn ang="0">
                <a:pos x="connsiteX13924" y="connsiteY13924"/>
              </a:cxn>
              <a:cxn ang="0">
                <a:pos x="connsiteX13925" y="connsiteY13925"/>
              </a:cxn>
              <a:cxn ang="0">
                <a:pos x="connsiteX13926" y="connsiteY13926"/>
              </a:cxn>
              <a:cxn ang="0">
                <a:pos x="connsiteX13927" y="connsiteY13927"/>
              </a:cxn>
              <a:cxn ang="0">
                <a:pos x="connsiteX13928" y="connsiteY13928"/>
              </a:cxn>
              <a:cxn ang="0">
                <a:pos x="connsiteX13929" y="connsiteY13929"/>
              </a:cxn>
              <a:cxn ang="0">
                <a:pos x="connsiteX13930" y="connsiteY13930"/>
              </a:cxn>
              <a:cxn ang="0">
                <a:pos x="connsiteX13931" y="connsiteY13931"/>
              </a:cxn>
              <a:cxn ang="0">
                <a:pos x="connsiteX13932" y="connsiteY13932"/>
              </a:cxn>
              <a:cxn ang="0">
                <a:pos x="connsiteX13933" y="connsiteY13933"/>
              </a:cxn>
              <a:cxn ang="0">
                <a:pos x="connsiteX13934" y="connsiteY13934"/>
              </a:cxn>
              <a:cxn ang="0">
                <a:pos x="connsiteX13935" y="connsiteY13935"/>
              </a:cxn>
              <a:cxn ang="0">
                <a:pos x="connsiteX13936" y="connsiteY13936"/>
              </a:cxn>
              <a:cxn ang="0">
                <a:pos x="connsiteX13937" y="connsiteY13937"/>
              </a:cxn>
              <a:cxn ang="0">
                <a:pos x="connsiteX13938" y="connsiteY13938"/>
              </a:cxn>
              <a:cxn ang="0">
                <a:pos x="connsiteX13939" y="connsiteY13939"/>
              </a:cxn>
              <a:cxn ang="0">
                <a:pos x="connsiteX13940" y="connsiteY13940"/>
              </a:cxn>
              <a:cxn ang="0">
                <a:pos x="connsiteX13941" y="connsiteY13941"/>
              </a:cxn>
              <a:cxn ang="0">
                <a:pos x="connsiteX13942" y="connsiteY13942"/>
              </a:cxn>
              <a:cxn ang="0">
                <a:pos x="connsiteX13943" y="connsiteY13943"/>
              </a:cxn>
              <a:cxn ang="0">
                <a:pos x="connsiteX13944" y="connsiteY13944"/>
              </a:cxn>
            </a:cxnLst>
            <a:rect l="l" t="t" r="r" b="b"/>
            <a:pathLst>
              <a:path w="12192000" h="6858000">
                <a:moveTo>
                  <a:pt x="0" y="6858000"/>
                </a:moveTo>
                <a:lnTo>
                  <a:pt x="12192000" y="6858000"/>
                </a:lnTo>
                <a:lnTo>
                  <a:pt x="12192000" y="0"/>
                </a:lnTo>
                <a:lnTo>
                  <a:pt x="0" y="0"/>
                </a:lnTo>
                <a:lnTo>
                  <a:pt x="0" y="6858000"/>
                </a:lnTo>
                <a:close/>
                <a:moveTo>
                  <a:pt x="4443527" y="5964174"/>
                </a:moveTo>
                <a:cubicBezTo>
                  <a:pt x="4425740" y="5964174"/>
                  <a:pt x="4411317" y="5950897"/>
                  <a:pt x="4411317" y="5934522"/>
                </a:cubicBezTo>
                <a:cubicBezTo>
                  <a:pt x="4411317" y="5918148"/>
                  <a:pt x="4425740" y="5904870"/>
                  <a:pt x="4443527" y="5904870"/>
                </a:cubicBezTo>
                <a:cubicBezTo>
                  <a:pt x="4461315" y="5904870"/>
                  <a:pt x="4475738" y="5918148"/>
                  <a:pt x="4475738" y="5934522"/>
                </a:cubicBezTo>
                <a:cubicBezTo>
                  <a:pt x="4475738" y="5950897"/>
                  <a:pt x="4461315" y="5964174"/>
                  <a:pt x="4443527" y="5964174"/>
                </a:cubicBezTo>
                <a:close/>
                <a:moveTo>
                  <a:pt x="4522062" y="5964174"/>
                </a:moveTo>
                <a:cubicBezTo>
                  <a:pt x="4504274" y="5964174"/>
                  <a:pt x="4489851" y="5950897"/>
                  <a:pt x="4489851" y="5934522"/>
                </a:cubicBezTo>
                <a:cubicBezTo>
                  <a:pt x="4489851" y="5918148"/>
                  <a:pt x="4504274" y="5904870"/>
                  <a:pt x="4522062" y="5904870"/>
                </a:cubicBezTo>
                <a:cubicBezTo>
                  <a:pt x="4539849" y="5904870"/>
                  <a:pt x="4554272" y="5918148"/>
                  <a:pt x="4554272" y="5934522"/>
                </a:cubicBezTo>
                <a:cubicBezTo>
                  <a:pt x="4554272" y="5950897"/>
                  <a:pt x="4539849" y="5964174"/>
                  <a:pt x="4522062" y="5964174"/>
                </a:cubicBezTo>
                <a:close/>
                <a:moveTo>
                  <a:pt x="4600596" y="5964174"/>
                </a:moveTo>
                <a:cubicBezTo>
                  <a:pt x="4582809" y="5964174"/>
                  <a:pt x="4568386" y="5950897"/>
                  <a:pt x="4568386" y="5934522"/>
                </a:cubicBezTo>
                <a:cubicBezTo>
                  <a:pt x="4568386" y="5918148"/>
                  <a:pt x="4582809" y="5904870"/>
                  <a:pt x="4600596" y="5904870"/>
                </a:cubicBezTo>
                <a:cubicBezTo>
                  <a:pt x="4618383" y="5904870"/>
                  <a:pt x="4632806" y="5918148"/>
                  <a:pt x="4632806" y="5934522"/>
                </a:cubicBezTo>
                <a:cubicBezTo>
                  <a:pt x="4632806" y="5950897"/>
                  <a:pt x="4618383" y="5964174"/>
                  <a:pt x="4600596" y="5964174"/>
                </a:cubicBezTo>
                <a:close/>
                <a:moveTo>
                  <a:pt x="4679129" y="5964174"/>
                </a:moveTo>
                <a:cubicBezTo>
                  <a:pt x="4661342" y="5964174"/>
                  <a:pt x="4646919" y="5950897"/>
                  <a:pt x="4646919" y="5934522"/>
                </a:cubicBezTo>
                <a:cubicBezTo>
                  <a:pt x="4646919" y="5918148"/>
                  <a:pt x="4661342" y="5904870"/>
                  <a:pt x="4679129" y="5904870"/>
                </a:cubicBezTo>
                <a:cubicBezTo>
                  <a:pt x="4696916" y="5904870"/>
                  <a:pt x="4711339" y="5918148"/>
                  <a:pt x="4711339" y="5934522"/>
                </a:cubicBezTo>
                <a:cubicBezTo>
                  <a:pt x="4711339" y="5950897"/>
                  <a:pt x="4696916" y="5964174"/>
                  <a:pt x="4679129" y="5964174"/>
                </a:cubicBezTo>
                <a:close/>
                <a:moveTo>
                  <a:pt x="4757663" y="5964174"/>
                </a:moveTo>
                <a:cubicBezTo>
                  <a:pt x="4739876" y="5964174"/>
                  <a:pt x="4725453" y="5950897"/>
                  <a:pt x="4725453" y="5934522"/>
                </a:cubicBezTo>
                <a:cubicBezTo>
                  <a:pt x="4725453" y="5918148"/>
                  <a:pt x="4739876" y="5904870"/>
                  <a:pt x="4757663" y="5904870"/>
                </a:cubicBezTo>
                <a:cubicBezTo>
                  <a:pt x="4775451" y="5904870"/>
                  <a:pt x="4789874" y="5918148"/>
                  <a:pt x="4789874" y="5934522"/>
                </a:cubicBezTo>
                <a:cubicBezTo>
                  <a:pt x="4789874" y="5950897"/>
                  <a:pt x="4775451" y="5964174"/>
                  <a:pt x="4757663" y="5964174"/>
                </a:cubicBezTo>
                <a:close/>
                <a:moveTo>
                  <a:pt x="4286460" y="5891909"/>
                </a:moveTo>
                <a:cubicBezTo>
                  <a:pt x="4268673" y="5891909"/>
                  <a:pt x="4254250" y="5878631"/>
                  <a:pt x="4254250" y="5862256"/>
                </a:cubicBezTo>
                <a:cubicBezTo>
                  <a:pt x="4254250" y="5845882"/>
                  <a:pt x="4268673" y="5832604"/>
                  <a:pt x="4286460" y="5832604"/>
                </a:cubicBezTo>
                <a:cubicBezTo>
                  <a:pt x="4304247" y="5832604"/>
                  <a:pt x="4318670" y="5845882"/>
                  <a:pt x="4318670" y="5862256"/>
                </a:cubicBezTo>
                <a:cubicBezTo>
                  <a:pt x="4318670" y="5878631"/>
                  <a:pt x="4304247" y="5891909"/>
                  <a:pt x="4286460" y="5891909"/>
                </a:cubicBezTo>
                <a:close/>
                <a:moveTo>
                  <a:pt x="4364994" y="5891909"/>
                </a:moveTo>
                <a:cubicBezTo>
                  <a:pt x="4347207" y="5891909"/>
                  <a:pt x="4332784" y="5878631"/>
                  <a:pt x="4332784" y="5862256"/>
                </a:cubicBezTo>
                <a:cubicBezTo>
                  <a:pt x="4332784" y="5845882"/>
                  <a:pt x="4347207" y="5832604"/>
                  <a:pt x="4364994" y="5832604"/>
                </a:cubicBezTo>
                <a:cubicBezTo>
                  <a:pt x="4382781" y="5832604"/>
                  <a:pt x="4397204" y="5845882"/>
                  <a:pt x="4397204" y="5862256"/>
                </a:cubicBezTo>
                <a:cubicBezTo>
                  <a:pt x="4397204" y="5878631"/>
                  <a:pt x="4382781" y="5891909"/>
                  <a:pt x="4364994" y="5891909"/>
                </a:cubicBezTo>
                <a:close/>
                <a:moveTo>
                  <a:pt x="4443527" y="5891909"/>
                </a:moveTo>
                <a:cubicBezTo>
                  <a:pt x="4425740" y="5891909"/>
                  <a:pt x="4411317" y="5878631"/>
                  <a:pt x="4411317" y="5862256"/>
                </a:cubicBezTo>
                <a:cubicBezTo>
                  <a:pt x="4411317" y="5845882"/>
                  <a:pt x="4425740" y="5832604"/>
                  <a:pt x="4443527" y="5832604"/>
                </a:cubicBezTo>
                <a:cubicBezTo>
                  <a:pt x="4461315" y="5832604"/>
                  <a:pt x="4475738" y="5845882"/>
                  <a:pt x="4475738" y="5862256"/>
                </a:cubicBezTo>
                <a:cubicBezTo>
                  <a:pt x="4475738" y="5878631"/>
                  <a:pt x="4461315" y="5891909"/>
                  <a:pt x="4443527" y="5891909"/>
                </a:cubicBezTo>
                <a:close/>
                <a:moveTo>
                  <a:pt x="4522062" y="5891909"/>
                </a:moveTo>
                <a:cubicBezTo>
                  <a:pt x="4504274" y="5891909"/>
                  <a:pt x="4489851" y="5878631"/>
                  <a:pt x="4489851" y="5862256"/>
                </a:cubicBezTo>
                <a:cubicBezTo>
                  <a:pt x="4489851" y="5845882"/>
                  <a:pt x="4504274" y="5832604"/>
                  <a:pt x="4522062" y="5832604"/>
                </a:cubicBezTo>
                <a:cubicBezTo>
                  <a:pt x="4539849" y="5832604"/>
                  <a:pt x="4554272" y="5845882"/>
                  <a:pt x="4554272" y="5862256"/>
                </a:cubicBezTo>
                <a:cubicBezTo>
                  <a:pt x="4554272" y="5878631"/>
                  <a:pt x="4539849" y="5891909"/>
                  <a:pt x="4522062" y="5891909"/>
                </a:cubicBezTo>
                <a:close/>
                <a:moveTo>
                  <a:pt x="4600596" y="5891909"/>
                </a:moveTo>
                <a:cubicBezTo>
                  <a:pt x="4582809" y="5891909"/>
                  <a:pt x="4568386" y="5878631"/>
                  <a:pt x="4568386" y="5862256"/>
                </a:cubicBezTo>
                <a:cubicBezTo>
                  <a:pt x="4568386" y="5845882"/>
                  <a:pt x="4582809" y="5832604"/>
                  <a:pt x="4600596" y="5832604"/>
                </a:cubicBezTo>
                <a:cubicBezTo>
                  <a:pt x="4618383" y="5832604"/>
                  <a:pt x="4632806" y="5845882"/>
                  <a:pt x="4632806" y="5862256"/>
                </a:cubicBezTo>
                <a:cubicBezTo>
                  <a:pt x="4632806" y="5878631"/>
                  <a:pt x="4618383" y="5891909"/>
                  <a:pt x="4600596" y="5891909"/>
                </a:cubicBezTo>
                <a:close/>
                <a:moveTo>
                  <a:pt x="4679129" y="5891909"/>
                </a:moveTo>
                <a:cubicBezTo>
                  <a:pt x="4661342" y="5891909"/>
                  <a:pt x="4646919" y="5878631"/>
                  <a:pt x="4646919" y="5862256"/>
                </a:cubicBezTo>
                <a:cubicBezTo>
                  <a:pt x="4646919" y="5845882"/>
                  <a:pt x="4661342" y="5832604"/>
                  <a:pt x="4679129" y="5832604"/>
                </a:cubicBezTo>
                <a:cubicBezTo>
                  <a:pt x="4696916" y="5832604"/>
                  <a:pt x="4711339" y="5845882"/>
                  <a:pt x="4711339" y="5862256"/>
                </a:cubicBezTo>
                <a:cubicBezTo>
                  <a:pt x="4711339" y="5878631"/>
                  <a:pt x="4696916" y="5891909"/>
                  <a:pt x="4679129" y="5891909"/>
                </a:cubicBezTo>
                <a:close/>
                <a:moveTo>
                  <a:pt x="4757663" y="5891909"/>
                </a:moveTo>
                <a:cubicBezTo>
                  <a:pt x="4739876" y="5891909"/>
                  <a:pt x="4725453" y="5878631"/>
                  <a:pt x="4725453" y="5862256"/>
                </a:cubicBezTo>
                <a:cubicBezTo>
                  <a:pt x="4725453" y="5845882"/>
                  <a:pt x="4739876" y="5832604"/>
                  <a:pt x="4757663" y="5832604"/>
                </a:cubicBezTo>
                <a:cubicBezTo>
                  <a:pt x="4775451" y="5832604"/>
                  <a:pt x="4789874" y="5845882"/>
                  <a:pt x="4789874" y="5862256"/>
                </a:cubicBezTo>
                <a:cubicBezTo>
                  <a:pt x="4789874" y="5878631"/>
                  <a:pt x="4775451" y="5891909"/>
                  <a:pt x="4757663" y="5891909"/>
                </a:cubicBezTo>
                <a:close/>
                <a:moveTo>
                  <a:pt x="4836197" y="5891909"/>
                </a:moveTo>
                <a:cubicBezTo>
                  <a:pt x="4818409" y="5891909"/>
                  <a:pt x="4803986" y="5878631"/>
                  <a:pt x="4803986" y="5862256"/>
                </a:cubicBezTo>
                <a:cubicBezTo>
                  <a:pt x="4803986" y="5845882"/>
                  <a:pt x="4818409" y="5832604"/>
                  <a:pt x="4836197" y="5832604"/>
                </a:cubicBezTo>
                <a:cubicBezTo>
                  <a:pt x="4853984" y="5832604"/>
                  <a:pt x="4868407" y="5845882"/>
                  <a:pt x="4868407" y="5862256"/>
                </a:cubicBezTo>
                <a:cubicBezTo>
                  <a:pt x="4868407" y="5878631"/>
                  <a:pt x="4853984" y="5891909"/>
                  <a:pt x="4836197" y="5891909"/>
                </a:cubicBezTo>
                <a:close/>
                <a:moveTo>
                  <a:pt x="5228867" y="5891909"/>
                </a:moveTo>
                <a:cubicBezTo>
                  <a:pt x="5211080" y="5891909"/>
                  <a:pt x="5196657" y="5878631"/>
                  <a:pt x="5196657" y="5862256"/>
                </a:cubicBezTo>
                <a:cubicBezTo>
                  <a:pt x="5196657" y="5845882"/>
                  <a:pt x="5211080" y="5832604"/>
                  <a:pt x="5228867" y="5832604"/>
                </a:cubicBezTo>
                <a:cubicBezTo>
                  <a:pt x="5246654" y="5832604"/>
                  <a:pt x="5261077" y="5845882"/>
                  <a:pt x="5261077" y="5862256"/>
                </a:cubicBezTo>
                <a:cubicBezTo>
                  <a:pt x="5261077" y="5878631"/>
                  <a:pt x="5246654" y="5891909"/>
                  <a:pt x="5228867" y="5891909"/>
                </a:cubicBezTo>
                <a:close/>
                <a:moveTo>
                  <a:pt x="5307400" y="5891909"/>
                </a:moveTo>
                <a:cubicBezTo>
                  <a:pt x="5289613" y="5891909"/>
                  <a:pt x="5275190" y="5878631"/>
                  <a:pt x="5275190" y="5862256"/>
                </a:cubicBezTo>
                <a:cubicBezTo>
                  <a:pt x="5275190" y="5845882"/>
                  <a:pt x="5289613" y="5832604"/>
                  <a:pt x="5307400" y="5832604"/>
                </a:cubicBezTo>
                <a:cubicBezTo>
                  <a:pt x="5325187" y="5832604"/>
                  <a:pt x="5339610" y="5845882"/>
                  <a:pt x="5339610" y="5862256"/>
                </a:cubicBezTo>
                <a:cubicBezTo>
                  <a:pt x="5339610" y="5878631"/>
                  <a:pt x="5325187" y="5891909"/>
                  <a:pt x="5307400" y="5891909"/>
                </a:cubicBezTo>
                <a:close/>
                <a:moveTo>
                  <a:pt x="5464468" y="5891909"/>
                </a:moveTo>
                <a:cubicBezTo>
                  <a:pt x="5446680" y="5891909"/>
                  <a:pt x="5432257" y="5878631"/>
                  <a:pt x="5432257" y="5862256"/>
                </a:cubicBezTo>
                <a:cubicBezTo>
                  <a:pt x="5432257" y="5845882"/>
                  <a:pt x="5446680" y="5832604"/>
                  <a:pt x="5464468" y="5832604"/>
                </a:cubicBezTo>
                <a:cubicBezTo>
                  <a:pt x="5482255" y="5832604"/>
                  <a:pt x="5496678" y="5845882"/>
                  <a:pt x="5496678" y="5862256"/>
                </a:cubicBezTo>
                <a:cubicBezTo>
                  <a:pt x="5496678" y="5878631"/>
                  <a:pt x="5482255" y="5891909"/>
                  <a:pt x="5464468" y="5891909"/>
                </a:cubicBezTo>
                <a:close/>
                <a:moveTo>
                  <a:pt x="7584906" y="5891909"/>
                </a:moveTo>
                <a:cubicBezTo>
                  <a:pt x="7567119" y="5891909"/>
                  <a:pt x="7552690" y="5878631"/>
                  <a:pt x="7552690" y="5862256"/>
                </a:cubicBezTo>
                <a:cubicBezTo>
                  <a:pt x="7552690" y="5845882"/>
                  <a:pt x="7567119" y="5832604"/>
                  <a:pt x="7584906" y="5832604"/>
                </a:cubicBezTo>
                <a:cubicBezTo>
                  <a:pt x="7602694" y="5832604"/>
                  <a:pt x="7617111" y="5845882"/>
                  <a:pt x="7617111" y="5862256"/>
                </a:cubicBezTo>
                <a:cubicBezTo>
                  <a:pt x="7617111" y="5878631"/>
                  <a:pt x="7602694" y="5891909"/>
                  <a:pt x="7584906" y="5891909"/>
                </a:cubicBezTo>
                <a:close/>
                <a:moveTo>
                  <a:pt x="3815250" y="5819643"/>
                </a:moveTo>
                <a:cubicBezTo>
                  <a:pt x="3797463" y="5819643"/>
                  <a:pt x="3783040" y="5806365"/>
                  <a:pt x="3783040" y="5789991"/>
                </a:cubicBezTo>
                <a:cubicBezTo>
                  <a:pt x="3783040" y="5773616"/>
                  <a:pt x="3797463" y="5760339"/>
                  <a:pt x="3815250" y="5760339"/>
                </a:cubicBezTo>
                <a:cubicBezTo>
                  <a:pt x="3833038" y="5760339"/>
                  <a:pt x="3847461" y="5773616"/>
                  <a:pt x="3847461" y="5789991"/>
                </a:cubicBezTo>
                <a:cubicBezTo>
                  <a:pt x="3847461" y="5806365"/>
                  <a:pt x="3833038" y="5819643"/>
                  <a:pt x="3815250" y="5819643"/>
                </a:cubicBezTo>
                <a:close/>
                <a:moveTo>
                  <a:pt x="3972319" y="5819643"/>
                </a:moveTo>
                <a:cubicBezTo>
                  <a:pt x="3954532" y="5819643"/>
                  <a:pt x="3940108" y="5806365"/>
                  <a:pt x="3940108" y="5789991"/>
                </a:cubicBezTo>
                <a:cubicBezTo>
                  <a:pt x="3940108" y="5773616"/>
                  <a:pt x="3954532" y="5760339"/>
                  <a:pt x="3972319" y="5760339"/>
                </a:cubicBezTo>
                <a:cubicBezTo>
                  <a:pt x="3990106" y="5760339"/>
                  <a:pt x="4004529" y="5773616"/>
                  <a:pt x="4004529" y="5789991"/>
                </a:cubicBezTo>
                <a:cubicBezTo>
                  <a:pt x="4004529" y="5806365"/>
                  <a:pt x="3990106" y="5819643"/>
                  <a:pt x="3972319" y="5819643"/>
                </a:cubicBezTo>
                <a:close/>
                <a:moveTo>
                  <a:pt x="4207926" y="5819643"/>
                </a:moveTo>
                <a:cubicBezTo>
                  <a:pt x="4190138" y="5819643"/>
                  <a:pt x="4175715" y="5806365"/>
                  <a:pt x="4175715" y="5789991"/>
                </a:cubicBezTo>
                <a:cubicBezTo>
                  <a:pt x="4175715" y="5773616"/>
                  <a:pt x="4190138" y="5760339"/>
                  <a:pt x="4207926" y="5760339"/>
                </a:cubicBezTo>
                <a:cubicBezTo>
                  <a:pt x="4225713" y="5760339"/>
                  <a:pt x="4240136" y="5773616"/>
                  <a:pt x="4240136" y="5789991"/>
                </a:cubicBezTo>
                <a:cubicBezTo>
                  <a:pt x="4240136" y="5806365"/>
                  <a:pt x="4225713" y="5819643"/>
                  <a:pt x="4207926" y="5819643"/>
                </a:cubicBezTo>
                <a:close/>
                <a:moveTo>
                  <a:pt x="4286460" y="5819643"/>
                </a:moveTo>
                <a:cubicBezTo>
                  <a:pt x="4268673" y="5819643"/>
                  <a:pt x="4254250" y="5806365"/>
                  <a:pt x="4254250" y="5789991"/>
                </a:cubicBezTo>
                <a:cubicBezTo>
                  <a:pt x="4254250" y="5773616"/>
                  <a:pt x="4268673" y="5760339"/>
                  <a:pt x="4286460" y="5760339"/>
                </a:cubicBezTo>
                <a:cubicBezTo>
                  <a:pt x="4304247" y="5760339"/>
                  <a:pt x="4318670" y="5773616"/>
                  <a:pt x="4318670" y="5789991"/>
                </a:cubicBezTo>
                <a:cubicBezTo>
                  <a:pt x="4318670" y="5806365"/>
                  <a:pt x="4304247" y="5819643"/>
                  <a:pt x="4286460" y="5819643"/>
                </a:cubicBezTo>
                <a:close/>
                <a:moveTo>
                  <a:pt x="4600596" y="5819643"/>
                </a:moveTo>
                <a:cubicBezTo>
                  <a:pt x="4582809" y="5819643"/>
                  <a:pt x="4568386" y="5806365"/>
                  <a:pt x="4568386" y="5789991"/>
                </a:cubicBezTo>
                <a:cubicBezTo>
                  <a:pt x="4568386" y="5773616"/>
                  <a:pt x="4582809" y="5760339"/>
                  <a:pt x="4600596" y="5760339"/>
                </a:cubicBezTo>
                <a:cubicBezTo>
                  <a:pt x="4618383" y="5760339"/>
                  <a:pt x="4632806" y="5773616"/>
                  <a:pt x="4632806" y="5789991"/>
                </a:cubicBezTo>
                <a:cubicBezTo>
                  <a:pt x="4632806" y="5806365"/>
                  <a:pt x="4618383" y="5819643"/>
                  <a:pt x="4600596" y="5819643"/>
                </a:cubicBezTo>
                <a:close/>
                <a:moveTo>
                  <a:pt x="4679129" y="5819643"/>
                </a:moveTo>
                <a:cubicBezTo>
                  <a:pt x="4661342" y="5819643"/>
                  <a:pt x="4646919" y="5806365"/>
                  <a:pt x="4646919" y="5789991"/>
                </a:cubicBezTo>
                <a:cubicBezTo>
                  <a:pt x="4646919" y="5773616"/>
                  <a:pt x="4661342" y="5760339"/>
                  <a:pt x="4679129" y="5760339"/>
                </a:cubicBezTo>
                <a:cubicBezTo>
                  <a:pt x="4696916" y="5760339"/>
                  <a:pt x="4711339" y="5773616"/>
                  <a:pt x="4711339" y="5789991"/>
                </a:cubicBezTo>
                <a:cubicBezTo>
                  <a:pt x="4711339" y="5806365"/>
                  <a:pt x="4696916" y="5819643"/>
                  <a:pt x="4679129" y="5819643"/>
                </a:cubicBezTo>
                <a:close/>
                <a:moveTo>
                  <a:pt x="4914731" y="5819643"/>
                </a:moveTo>
                <a:cubicBezTo>
                  <a:pt x="4896944" y="5819643"/>
                  <a:pt x="4882521" y="5806365"/>
                  <a:pt x="4882521" y="5789991"/>
                </a:cubicBezTo>
                <a:cubicBezTo>
                  <a:pt x="4882521" y="5773616"/>
                  <a:pt x="4896944" y="5760339"/>
                  <a:pt x="4914731" y="5760339"/>
                </a:cubicBezTo>
                <a:cubicBezTo>
                  <a:pt x="4932518" y="5760339"/>
                  <a:pt x="4946941" y="5773616"/>
                  <a:pt x="4946941" y="5789991"/>
                </a:cubicBezTo>
                <a:cubicBezTo>
                  <a:pt x="4946941" y="5806365"/>
                  <a:pt x="4932518" y="5819643"/>
                  <a:pt x="4914731" y="5819643"/>
                </a:cubicBezTo>
                <a:close/>
                <a:moveTo>
                  <a:pt x="5071798" y="5819643"/>
                </a:moveTo>
                <a:cubicBezTo>
                  <a:pt x="5054011" y="5819643"/>
                  <a:pt x="5039588" y="5806365"/>
                  <a:pt x="5039588" y="5789991"/>
                </a:cubicBezTo>
                <a:cubicBezTo>
                  <a:pt x="5039588" y="5773616"/>
                  <a:pt x="5054011" y="5760339"/>
                  <a:pt x="5071798" y="5760339"/>
                </a:cubicBezTo>
                <a:cubicBezTo>
                  <a:pt x="5089586" y="5760339"/>
                  <a:pt x="5104009" y="5773616"/>
                  <a:pt x="5104009" y="5789991"/>
                </a:cubicBezTo>
                <a:cubicBezTo>
                  <a:pt x="5104009" y="5806365"/>
                  <a:pt x="5089586" y="5819643"/>
                  <a:pt x="5071798" y="5819643"/>
                </a:cubicBezTo>
                <a:close/>
                <a:moveTo>
                  <a:pt x="5228867" y="5819643"/>
                </a:moveTo>
                <a:cubicBezTo>
                  <a:pt x="5211080" y="5819643"/>
                  <a:pt x="5196657" y="5806365"/>
                  <a:pt x="5196657" y="5789991"/>
                </a:cubicBezTo>
                <a:cubicBezTo>
                  <a:pt x="5196657" y="5773616"/>
                  <a:pt x="5211080" y="5760339"/>
                  <a:pt x="5228867" y="5760339"/>
                </a:cubicBezTo>
                <a:cubicBezTo>
                  <a:pt x="5246654" y="5760339"/>
                  <a:pt x="5261077" y="5773616"/>
                  <a:pt x="5261077" y="5789991"/>
                </a:cubicBezTo>
                <a:cubicBezTo>
                  <a:pt x="5261077" y="5806365"/>
                  <a:pt x="5246654" y="5819643"/>
                  <a:pt x="5228867" y="5819643"/>
                </a:cubicBezTo>
                <a:close/>
                <a:moveTo>
                  <a:pt x="5307400" y="5819643"/>
                </a:moveTo>
                <a:cubicBezTo>
                  <a:pt x="5289613" y="5819643"/>
                  <a:pt x="5275190" y="5806365"/>
                  <a:pt x="5275190" y="5789991"/>
                </a:cubicBezTo>
                <a:cubicBezTo>
                  <a:pt x="5275190" y="5773616"/>
                  <a:pt x="5289613" y="5760339"/>
                  <a:pt x="5307400" y="5760339"/>
                </a:cubicBezTo>
                <a:cubicBezTo>
                  <a:pt x="5325187" y="5760339"/>
                  <a:pt x="5339610" y="5773616"/>
                  <a:pt x="5339610" y="5789991"/>
                </a:cubicBezTo>
                <a:cubicBezTo>
                  <a:pt x="5339610" y="5806365"/>
                  <a:pt x="5325187" y="5819643"/>
                  <a:pt x="5307400" y="5819643"/>
                </a:cubicBezTo>
                <a:close/>
                <a:moveTo>
                  <a:pt x="5385934" y="5819643"/>
                </a:moveTo>
                <a:cubicBezTo>
                  <a:pt x="5368147" y="5819643"/>
                  <a:pt x="5353724" y="5806365"/>
                  <a:pt x="5353724" y="5789991"/>
                </a:cubicBezTo>
                <a:cubicBezTo>
                  <a:pt x="5353724" y="5773616"/>
                  <a:pt x="5368147" y="5760339"/>
                  <a:pt x="5385934" y="5760339"/>
                </a:cubicBezTo>
                <a:cubicBezTo>
                  <a:pt x="5403722" y="5760339"/>
                  <a:pt x="5418145" y="5773616"/>
                  <a:pt x="5418145" y="5789991"/>
                </a:cubicBezTo>
                <a:cubicBezTo>
                  <a:pt x="5418145" y="5806365"/>
                  <a:pt x="5403722" y="5819643"/>
                  <a:pt x="5385934" y="5819643"/>
                </a:cubicBezTo>
                <a:close/>
                <a:moveTo>
                  <a:pt x="5464468" y="5819643"/>
                </a:moveTo>
                <a:cubicBezTo>
                  <a:pt x="5446680" y="5819643"/>
                  <a:pt x="5432257" y="5806365"/>
                  <a:pt x="5432257" y="5789991"/>
                </a:cubicBezTo>
                <a:cubicBezTo>
                  <a:pt x="5432257" y="5773616"/>
                  <a:pt x="5446680" y="5760339"/>
                  <a:pt x="5464468" y="5760339"/>
                </a:cubicBezTo>
                <a:cubicBezTo>
                  <a:pt x="5482255" y="5760339"/>
                  <a:pt x="5496678" y="5773616"/>
                  <a:pt x="5496678" y="5789991"/>
                </a:cubicBezTo>
                <a:cubicBezTo>
                  <a:pt x="5496678" y="5806365"/>
                  <a:pt x="5482255" y="5819643"/>
                  <a:pt x="5464468" y="5819643"/>
                </a:cubicBezTo>
                <a:close/>
                <a:moveTo>
                  <a:pt x="5543002" y="5819643"/>
                </a:moveTo>
                <a:cubicBezTo>
                  <a:pt x="5525215" y="5819643"/>
                  <a:pt x="5510792" y="5806365"/>
                  <a:pt x="5510792" y="5789991"/>
                </a:cubicBezTo>
                <a:cubicBezTo>
                  <a:pt x="5510792" y="5773616"/>
                  <a:pt x="5525215" y="5760339"/>
                  <a:pt x="5543002" y="5760339"/>
                </a:cubicBezTo>
                <a:cubicBezTo>
                  <a:pt x="5560789" y="5760339"/>
                  <a:pt x="5575212" y="5773616"/>
                  <a:pt x="5575212" y="5789991"/>
                </a:cubicBezTo>
                <a:cubicBezTo>
                  <a:pt x="5575212" y="5806365"/>
                  <a:pt x="5560789" y="5819643"/>
                  <a:pt x="5543002" y="5819643"/>
                </a:cubicBezTo>
                <a:close/>
                <a:moveTo>
                  <a:pt x="7035146" y="5819643"/>
                </a:moveTo>
                <a:cubicBezTo>
                  <a:pt x="7017358" y="5819643"/>
                  <a:pt x="7002929" y="5806365"/>
                  <a:pt x="7002929" y="5789991"/>
                </a:cubicBezTo>
                <a:cubicBezTo>
                  <a:pt x="7002929" y="5773616"/>
                  <a:pt x="7017358" y="5760339"/>
                  <a:pt x="7035146" y="5760339"/>
                </a:cubicBezTo>
                <a:cubicBezTo>
                  <a:pt x="7052933" y="5760339"/>
                  <a:pt x="7067350" y="5773616"/>
                  <a:pt x="7067350" y="5789991"/>
                </a:cubicBezTo>
                <a:cubicBezTo>
                  <a:pt x="7067350" y="5806365"/>
                  <a:pt x="7052933" y="5819643"/>
                  <a:pt x="7035146" y="5819643"/>
                </a:cubicBezTo>
                <a:close/>
                <a:moveTo>
                  <a:pt x="7663441" y="5819643"/>
                </a:moveTo>
                <a:cubicBezTo>
                  <a:pt x="7645653" y="5819643"/>
                  <a:pt x="7631224" y="5806365"/>
                  <a:pt x="7631224" y="5789991"/>
                </a:cubicBezTo>
                <a:cubicBezTo>
                  <a:pt x="7631224" y="5773616"/>
                  <a:pt x="7645653" y="5760339"/>
                  <a:pt x="7663441" y="5760339"/>
                </a:cubicBezTo>
                <a:cubicBezTo>
                  <a:pt x="7681228" y="5760339"/>
                  <a:pt x="7695645" y="5773616"/>
                  <a:pt x="7695645" y="5789991"/>
                </a:cubicBezTo>
                <a:cubicBezTo>
                  <a:pt x="7695645" y="5806365"/>
                  <a:pt x="7681228" y="5819643"/>
                  <a:pt x="7663441" y="5819643"/>
                </a:cubicBezTo>
                <a:close/>
                <a:moveTo>
                  <a:pt x="7741974" y="5819643"/>
                </a:moveTo>
                <a:cubicBezTo>
                  <a:pt x="7724187" y="5819643"/>
                  <a:pt x="7709758" y="5806365"/>
                  <a:pt x="7709758" y="5789991"/>
                </a:cubicBezTo>
                <a:cubicBezTo>
                  <a:pt x="7709758" y="5773616"/>
                  <a:pt x="7724187" y="5760339"/>
                  <a:pt x="7741974" y="5760339"/>
                </a:cubicBezTo>
                <a:cubicBezTo>
                  <a:pt x="7759761" y="5760339"/>
                  <a:pt x="7774178" y="5773616"/>
                  <a:pt x="7774178" y="5789991"/>
                </a:cubicBezTo>
                <a:cubicBezTo>
                  <a:pt x="7774178" y="5806365"/>
                  <a:pt x="7759761" y="5819643"/>
                  <a:pt x="7741974" y="5819643"/>
                </a:cubicBezTo>
                <a:close/>
                <a:moveTo>
                  <a:pt x="8841448" y="5819643"/>
                </a:moveTo>
                <a:cubicBezTo>
                  <a:pt x="8823661" y="5819643"/>
                  <a:pt x="8809232" y="5806365"/>
                  <a:pt x="8809232" y="5789991"/>
                </a:cubicBezTo>
                <a:cubicBezTo>
                  <a:pt x="8809232" y="5773616"/>
                  <a:pt x="8823661" y="5760339"/>
                  <a:pt x="8841448" y="5760339"/>
                </a:cubicBezTo>
                <a:cubicBezTo>
                  <a:pt x="8859236" y="5760339"/>
                  <a:pt x="8873653" y="5773616"/>
                  <a:pt x="8873653" y="5789991"/>
                </a:cubicBezTo>
                <a:cubicBezTo>
                  <a:pt x="8873653" y="5806365"/>
                  <a:pt x="8859236" y="5819643"/>
                  <a:pt x="8841448" y="5819643"/>
                </a:cubicBezTo>
                <a:close/>
                <a:moveTo>
                  <a:pt x="8998516" y="5819643"/>
                </a:moveTo>
                <a:cubicBezTo>
                  <a:pt x="8980729" y="5819643"/>
                  <a:pt x="8966300" y="5806365"/>
                  <a:pt x="8966300" y="5789991"/>
                </a:cubicBezTo>
                <a:cubicBezTo>
                  <a:pt x="8966300" y="5773616"/>
                  <a:pt x="8980729" y="5760339"/>
                  <a:pt x="8998516" y="5760339"/>
                </a:cubicBezTo>
                <a:cubicBezTo>
                  <a:pt x="9016303" y="5760339"/>
                  <a:pt x="9030720" y="5773616"/>
                  <a:pt x="9030720" y="5789991"/>
                </a:cubicBezTo>
                <a:cubicBezTo>
                  <a:pt x="9030720" y="5806365"/>
                  <a:pt x="9016303" y="5819643"/>
                  <a:pt x="8998516" y="5819643"/>
                </a:cubicBezTo>
                <a:close/>
                <a:moveTo>
                  <a:pt x="3501115" y="5747378"/>
                </a:moveTo>
                <a:cubicBezTo>
                  <a:pt x="3483328" y="5747378"/>
                  <a:pt x="3468905" y="5734101"/>
                  <a:pt x="3468905" y="5717726"/>
                </a:cubicBezTo>
                <a:cubicBezTo>
                  <a:pt x="3468905" y="5701351"/>
                  <a:pt x="3483328" y="5688074"/>
                  <a:pt x="3501115" y="5688074"/>
                </a:cubicBezTo>
                <a:cubicBezTo>
                  <a:pt x="3518903" y="5688074"/>
                  <a:pt x="3533326" y="5701351"/>
                  <a:pt x="3533326" y="5717726"/>
                </a:cubicBezTo>
                <a:cubicBezTo>
                  <a:pt x="3533326" y="5734101"/>
                  <a:pt x="3518903" y="5747378"/>
                  <a:pt x="3501115" y="5747378"/>
                </a:cubicBezTo>
                <a:close/>
                <a:moveTo>
                  <a:pt x="3579650" y="5747378"/>
                </a:moveTo>
                <a:cubicBezTo>
                  <a:pt x="3561862" y="5747378"/>
                  <a:pt x="3547439" y="5734101"/>
                  <a:pt x="3547439" y="5717726"/>
                </a:cubicBezTo>
                <a:cubicBezTo>
                  <a:pt x="3547439" y="5701351"/>
                  <a:pt x="3561862" y="5688074"/>
                  <a:pt x="3579650" y="5688074"/>
                </a:cubicBezTo>
                <a:cubicBezTo>
                  <a:pt x="3597437" y="5688074"/>
                  <a:pt x="3611860" y="5701351"/>
                  <a:pt x="3611860" y="5717726"/>
                </a:cubicBezTo>
                <a:cubicBezTo>
                  <a:pt x="3611860" y="5734101"/>
                  <a:pt x="3597437" y="5747378"/>
                  <a:pt x="3579650" y="5747378"/>
                </a:cubicBezTo>
                <a:close/>
                <a:moveTo>
                  <a:pt x="3736717" y="5747378"/>
                </a:moveTo>
                <a:cubicBezTo>
                  <a:pt x="3718930" y="5747378"/>
                  <a:pt x="3704507" y="5734101"/>
                  <a:pt x="3704507" y="5717726"/>
                </a:cubicBezTo>
                <a:cubicBezTo>
                  <a:pt x="3704507" y="5701351"/>
                  <a:pt x="3718930" y="5688074"/>
                  <a:pt x="3736717" y="5688074"/>
                </a:cubicBezTo>
                <a:cubicBezTo>
                  <a:pt x="3754504" y="5688074"/>
                  <a:pt x="3768927" y="5701351"/>
                  <a:pt x="3768927" y="5717726"/>
                </a:cubicBezTo>
                <a:cubicBezTo>
                  <a:pt x="3768927" y="5734101"/>
                  <a:pt x="3754504" y="5747378"/>
                  <a:pt x="3736717" y="5747378"/>
                </a:cubicBezTo>
                <a:close/>
                <a:moveTo>
                  <a:pt x="3972319" y="5747378"/>
                </a:moveTo>
                <a:cubicBezTo>
                  <a:pt x="3954532" y="5747378"/>
                  <a:pt x="3940108" y="5734101"/>
                  <a:pt x="3940108" y="5717726"/>
                </a:cubicBezTo>
                <a:cubicBezTo>
                  <a:pt x="3940108" y="5701351"/>
                  <a:pt x="3954532" y="5688074"/>
                  <a:pt x="3972319" y="5688074"/>
                </a:cubicBezTo>
                <a:cubicBezTo>
                  <a:pt x="3990106" y="5688074"/>
                  <a:pt x="4004529" y="5701351"/>
                  <a:pt x="4004529" y="5717726"/>
                </a:cubicBezTo>
                <a:cubicBezTo>
                  <a:pt x="4004529" y="5734101"/>
                  <a:pt x="3990106" y="5747378"/>
                  <a:pt x="3972319" y="5747378"/>
                </a:cubicBezTo>
                <a:close/>
                <a:moveTo>
                  <a:pt x="4207926" y="5747378"/>
                </a:moveTo>
                <a:cubicBezTo>
                  <a:pt x="4190138" y="5747378"/>
                  <a:pt x="4175715" y="5734101"/>
                  <a:pt x="4175715" y="5717726"/>
                </a:cubicBezTo>
                <a:cubicBezTo>
                  <a:pt x="4175715" y="5701351"/>
                  <a:pt x="4190138" y="5688074"/>
                  <a:pt x="4207926" y="5688074"/>
                </a:cubicBezTo>
                <a:cubicBezTo>
                  <a:pt x="4225713" y="5688074"/>
                  <a:pt x="4240136" y="5701351"/>
                  <a:pt x="4240136" y="5717726"/>
                </a:cubicBezTo>
                <a:cubicBezTo>
                  <a:pt x="4240136" y="5734101"/>
                  <a:pt x="4225713" y="5747378"/>
                  <a:pt x="4207926" y="5747378"/>
                </a:cubicBezTo>
                <a:close/>
                <a:moveTo>
                  <a:pt x="4364994" y="5747378"/>
                </a:moveTo>
                <a:cubicBezTo>
                  <a:pt x="4347207" y="5747378"/>
                  <a:pt x="4332784" y="5734101"/>
                  <a:pt x="4332784" y="5717726"/>
                </a:cubicBezTo>
                <a:cubicBezTo>
                  <a:pt x="4332784" y="5701351"/>
                  <a:pt x="4347207" y="5688074"/>
                  <a:pt x="4364994" y="5688074"/>
                </a:cubicBezTo>
                <a:cubicBezTo>
                  <a:pt x="4382781" y="5688074"/>
                  <a:pt x="4397204" y="5701351"/>
                  <a:pt x="4397204" y="5717726"/>
                </a:cubicBezTo>
                <a:cubicBezTo>
                  <a:pt x="4397204" y="5734101"/>
                  <a:pt x="4382781" y="5747378"/>
                  <a:pt x="4364994" y="5747378"/>
                </a:cubicBezTo>
                <a:close/>
                <a:moveTo>
                  <a:pt x="4443527" y="5747378"/>
                </a:moveTo>
                <a:cubicBezTo>
                  <a:pt x="4425740" y="5747378"/>
                  <a:pt x="4411317" y="5734101"/>
                  <a:pt x="4411317" y="5717726"/>
                </a:cubicBezTo>
                <a:cubicBezTo>
                  <a:pt x="4411317" y="5701351"/>
                  <a:pt x="4425740" y="5688074"/>
                  <a:pt x="4443527" y="5688074"/>
                </a:cubicBezTo>
                <a:cubicBezTo>
                  <a:pt x="4461315" y="5688074"/>
                  <a:pt x="4475738" y="5701351"/>
                  <a:pt x="4475738" y="5717726"/>
                </a:cubicBezTo>
                <a:cubicBezTo>
                  <a:pt x="4475738" y="5734101"/>
                  <a:pt x="4461315" y="5747378"/>
                  <a:pt x="4443527" y="5747378"/>
                </a:cubicBezTo>
                <a:close/>
                <a:moveTo>
                  <a:pt x="4522062" y="5747378"/>
                </a:moveTo>
                <a:cubicBezTo>
                  <a:pt x="4504274" y="5747378"/>
                  <a:pt x="4489851" y="5734101"/>
                  <a:pt x="4489851" y="5717726"/>
                </a:cubicBezTo>
                <a:cubicBezTo>
                  <a:pt x="4489851" y="5701351"/>
                  <a:pt x="4504274" y="5688074"/>
                  <a:pt x="4522062" y="5688074"/>
                </a:cubicBezTo>
                <a:cubicBezTo>
                  <a:pt x="4539849" y="5688074"/>
                  <a:pt x="4554272" y="5701351"/>
                  <a:pt x="4554272" y="5717726"/>
                </a:cubicBezTo>
                <a:cubicBezTo>
                  <a:pt x="4554272" y="5734101"/>
                  <a:pt x="4539849" y="5747378"/>
                  <a:pt x="4522062" y="5747378"/>
                </a:cubicBezTo>
                <a:close/>
                <a:moveTo>
                  <a:pt x="4600596" y="5747378"/>
                </a:moveTo>
                <a:cubicBezTo>
                  <a:pt x="4582809" y="5747378"/>
                  <a:pt x="4568386" y="5734101"/>
                  <a:pt x="4568386" y="5717726"/>
                </a:cubicBezTo>
                <a:cubicBezTo>
                  <a:pt x="4568386" y="5701351"/>
                  <a:pt x="4582809" y="5688074"/>
                  <a:pt x="4600596" y="5688074"/>
                </a:cubicBezTo>
                <a:cubicBezTo>
                  <a:pt x="4618383" y="5688074"/>
                  <a:pt x="4632806" y="5701351"/>
                  <a:pt x="4632806" y="5717726"/>
                </a:cubicBezTo>
                <a:cubicBezTo>
                  <a:pt x="4632806" y="5734101"/>
                  <a:pt x="4618383" y="5747378"/>
                  <a:pt x="4600596" y="5747378"/>
                </a:cubicBezTo>
                <a:close/>
                <a:moveTo>
                  <a:pt x="4757663" y="5747378"/>
                </a:moveTo>
                <a:cubicBezTo>
                  <a:pt x="4739876" y="5747378"/>
                  <a:pt x="4725453" y="5734101"/>
                  <a:pt x="4725453" y="5717726"/>
                </a:cubicBezTo>
                <a:cubicBezTo>
                  <a:pt x="4725453" y="5701351"/>
                  <a:pt x="4739876" y="5688074"/>
                  <a:pt x="4757663" y="5688074"/>
                </a:cubicBezTo>
                <a:cubicBezTo>
                  <a:pt x="4775451" y="5688074"/>
                  <a:pt x="4789874" y="5701351"/>
                  <a:pt x="4789874" y="5717726"/>
                </a:cubicBezTo>
                <a:cubicBezTo>
                  <a:pt x="4789874" y="5734101"/>
                  <a:pt x="4775451" y="5747378"/>
                  <a:pt x="4757663" y="5747378"/>
                </a:cubicBezTo>
                <a:close/>
                <a:moveTo>
                  <a:pt x="4836197" y="5747378"/>
                </a:moveTo>
                <a:cubicBezTo>
                  <a:pt x="4818409" y="5747378"/>
                  <a:pt x="4803986" y="5734101"/>
                  <a:pt x="4803986" y="5717726"/>
                </a:cubicBezTo>
                <a:cubicBezTo>
                  <a:pt x="4803986" y="5701351"/>
                  <a:pt x="4818409" y="5688074"/>
                  <a:pt x="4836197" y="5688074"/>
                </a:cubicBezTo>
                <a:cubicBezTo>
                  <a:pt x="4853984" y="5688074"/>
                  <a:pt x="4868407" y="5701351"/>
                  <a:pt x="4868407" y="5717726"/>
                </a:cubicBezTo>
                <a:cubicBezTo>
                  <a:pt x="4868407" y="5734101"/>
                  <a:pt x="4853984" y="5747378"/>
                  <a:pt x="4836197" y="5747378"/>
                </a:cubicBezTo>
                <a:close/>
                <a:moveTo>
                  <a:pt x="4914731" y="5747378"/>
                </a:moveTo>
                <a:cubicBezTo>
                  <a:pt x="4896944" y="5747378"/>
                  <a:pt x="4882521" y="5734101"/>
                  <a:pt x="4882521" y="5717726"/>
                </a:cubicBezTo>
                <a:cubicBezTo>
                  <a:pt x="4882521" y="5701351"/>
                  <a:pt x="4896944" y="5688074"/>
                  <a:pt x="4914731" y="5688074"/>
                </a:cubicBezTo>
                <a:cubicBezTo>
                  <a:pt x="4932518" y="5688074"/>
                  <a:pt x="4946941" y="5701351"/>
                  <a:pt x="4946941" y="5717726"/>
                </a:cubicBezTo>
                <a:cubicBezTo>
                  <a:pt x="4946941" y="5734101"/>
                  <a:pt x="4932518" y="5747378"/>
                  <a:pt x="4914731" y="5747378"/>
                </a:cubicBezTo>
                <a:close/>
                <a:moveTo>
                  <a:pt x="4993265" y="5747378"/>
                </a:moveTo>
                <a:cubicBezTo>
                  <a:pt x="4975478" y="5747378"/>
                  <a:pt x="4961055" y="5734101"/>
                  <a:pt x="4961055" y="5717726"/>
                </a:cubicBezTo>
                <a:cubicBezTo>
                  <a:pt x="4961055" y="5701351"/>
                  <a:pt x="4975478" y="5688074"/>
                  <a:pt x="4993265" y="5688074"/>
                </a:cubicBezTo>
                <a:cubicBezTo>
                  <a:pt x="5011052" y="5688074"/>
                  <a:pt x="5025475" y="5701351"/>
                  <a:pt x="5025475" y="5717726"/>
                </a:cubicBezTo>
                <a:cubicBezTo>
                  <a:pt x="5025475" y="5734101"/>
                  <a:pt x="5011052" y="5747378"/>
                  <a:pt x="4993265" y="5747378"/>
                </a:cubicBezTo>
                <a:close/>
                <a:moveTo>
                  <a:pt x="5071798" y="5747378"/>
                </a:moveTo>
                <a:cubicBezTo>
                  <a:pt x="5054011" y="5747378"/>
                  <a:pt x="5039588" y="5734101"/>
                  <a:pt x="5039588" y="5717726"/>
                </a:cubicBezTo>
                <a:cubicBezTo>
                  <a:pt x="5039588" y="5701351"/>
                  <a:pt x="5054011" y="5688074"/>
                  <a:pt x="5071798" y="5688074"/>
                </a:cubicBezTo>
                <a:cubicBezTo>
                  <a:pt x="5089586" y="5688074"/>
                  <a:pt x="5104009" y="5701351"/>
                  <a:pt x="5104009" y="5717726"/>
                </a:cubicBezTo>
                <a:cubicBezTo>
                  <a:pt x="5104009" y="5734101"/>
                  <a:pt x="5089586" y="5747378"/>
                  <a:pt x="5071798" y="5747378"/>
                </a:cubicBezTo>
                <a:close/>
                <a:moveTo>
                  <a:pt x="5150333" y="5747378"/>
                </a:moveTo>
                <a:cubicBezTo>
                  <a:pt x="5132545" y="5747378"/>
                  <a:pt x="5118122" y="5734101"/>
                  <a:pt x="5118122" y="5717726"/>
                </a:cubicBezTo>
                <a:cubicBezTo>
                  <a:pt x="5118122" y="5701351"/>
                  <a:pt x="5132545" y="5688074"/>
                  <a:pt x="5150333" y="5688074"/>
                </a:cubicBezTo>
                <a:cubicBezTo>
                  <a:pt x="5168120" y="5688074"/>
                  <a:pt x="5182543" y="5701351"/>
                  <a:pt x="5182543" y="5717726"/>
                </a:cubicBezTo>
                <a:cubicBezTo>
                  <a:pt x="5182543" y="5734101"/>
                  <a:pt x="5168120" y="5747378"/>
                  <a:pt x="5150333" y="5747378"/>
                </a:cubicBezTo>
                <a:close/>
                <a:moveTo>
                  <a:pt x="5228867" y="5747378"/>
                </a:moveTo>
                <a:cubicBezTo>
                  <a:pt x="5211080" y="5747378"/>
                  <a:pt x="5196657" y="5734101"/>
                  <a:pt x="5196657" y="5717726"/>
                </a:cubicBezTo>
                <a:cubicBezTo>
                  <a:pt x="5196657" y="5701351"/>
                  <a:pt x="5211080" y="5688074"/>
                  <a:pt x="5228867" y="5688074"/>
                </a:cubicBezTo>
                <a:cubicBezTo>
                  <a:pt x="5246654" y="5688074"/>
                  <a:pt x="5261077" y="5701351"/>
                  <a:pt x="5261077" y="5717726"/>
                </a:cubicBezTo>
                <a:cubicBezTo>
                  <a:pt x="5261077" y="5734101"/>
                  <a:pt x="5246654" y="5747378"/>
                  <a:pt x="5228867" y="5747378"/>
                </a:cubicBezTo>
                <a:close/>
                <a:moveTo>
                  <a:pt x="5307400" y="5747378"/>
                </a:moveTo>
                <a:cubicBezTo>
                  <a:pt x="5289613" y="5747378"/>
                  <a:pt x="5275190" y="5734101"/>
                  <a:pt x="5275190" y="5717726"/>
                </a:cubicBezTo>
                <a:cubicBezTo>
                  <a:pt x="5275190" y="5701351"/>
                  <a:pt x="5289613" y="5688074"/>
                  <a:pt x="5307400" y="5688074"/>
                </a:cubicBezTo>
                <a:cubicBezTo>
                  <a:pt x="5325187" y="5688074"/>
                  <a:pt x="5339610" y="5701351"/>
                  <a:pt x="5339610" y="5717726"/>
                </a:cubicBezTo>
                <a:cubicBezTo>
                  <a:pt x="5339610" y="5734101"/>
                  <a:pt x="5325187" y="5747378"/>
                  <a:pt x="5307400" y="5747378"/>
                </a:cubicBezTo>
                <a:close/>
                <a:moveTo>
                  <a:pt x="5385934" y="5747378"/>
                </a:moveTo>
                <a:cubicBezTo>
                  <a:pt x="5368147" y="5747378"/>
                  <a:pt x="5353724" y="5734101"/>
                  <a:pt x="5353724" y="5717726"/>
                </a:cubicBezTo>
                <a:cubicBezTo>
                  <a:pt x="5353724" y="5701351"/>
                  <a:pt x="5368147" y="5688074"/>
                  <a:pt x="5385934" y="5688074"/>
                </a:cubicBezTo>
                <a:cubicBezTo>
                  <a:pt x="5403722" y="5688074"/>
                  <a:pt x="5418145" y="5701351"/>
                  <a:pt x="5418145" y="5717726"/>
                </a:cubicBezTo>
                <a:cubicBezTo>
                  <a:pt x="5418145" y="5734101"/>
                  <a:pt x="5403722" y="5747378"/>
                  <a:pt x="5385934" y="5747378"/>
                </a:cubicBezTo>
                <a:close/>
                <a:moveTo>
                  <a:pt x="5464468" y="5747378"/>
                </a:moveTo>
                <a:cubicBezTo>
                  <a:pt x="5446680" y="5747378"/>
                  <a:pt x="5432257" y="5734101"/>
                  <a:pt x="5432257" y="5717726"/>
                </a:cubicBezTo>
                <a:cubicBezTo>
                  <a:pt x="5432257" y="5701351"/>
                  <a:pt x="5446680" y="5688074"/>
                  <a:pt x="5464468" y="5688074"/>
                </a:cubicBezTo>
                <a:cubicBezTo>
                  <a:pt x="5482255" y="5688074"/>
                  <a:pt x="5496678" y="5701351"/>
                  <a:pt x="5496678" y="5717726"/>
                </a:cubicBezTo>
                <a:cubicBezTo>
                  <a:pt x="5496678" y="5734101"/>
                  <a:pt x="5482255" y="5747378"/>
                  <a:pt x="5464468" y="5747378"/>
                </a:cubicBezTo>
                <a:close/>
                <a:moveTo>
                  <a:pt x="6956611" y="5747378"/>
                </a:moveTo>
                <a:cubicBezTo>
                  <a:pt x="6938824" y="5747378"/>
                  <a:pt x="6924395" y="5734101"/>
                  <a:pt x="6924395" y="5717726"/>
                </a:cubicBezTo>
                <a:cubicBezTo>
                  <a:pt x="6924395" y="5701351"/>
                  <a:pt x="6938824" y="5688074"/>
                  <a:pt x="6956611" y="5688074"/>
                </a:cubicBezTo>
                <a:cubicBezTo>
                  <a:pt x="6974399" y="5688074"/>
                  <a:pt x="6988816" y="5701351"/>
                  <a:pt x="6988816" y="5717726"/>
                </a:cubicBezTo>
                <a:cubicBezTo>
                  <a:pt x="6988816" y="5734101"/>
                  <a:pt x="6974399" y="5747378"/>
                  <a:pt x="6956611" y="5747378"/>
                </a:cubicBezTo>
                <a:close/>
                <a:moveTo>
                  <a:pt x="7899042" y="5747378"/>
                </a:moveTo>
                <a:cubicBezTo>
                  <a:pt x="7881255" y="5747378"/>
                  <a:pt x="7866826" y="5734101"/>
                  <a:pt x="7866826" y="5717726"/>
                </a:cubicBezTo>
                <a:cubicBezTo>
                  <a:pt x="7866826" y="5701351"/>
                  <a:pt x="7881255" y="5688074"/>
                  <a:pt x="7899042" y="5688074"/>
                </a:cubicBezTo>
                <a:cubicBezTo>
                  <a:pt x="7916830" y="5688074"/>
                  <a:pt x="7931247" y="5701351"/>
                  <a:pt x="7931247" y="5717726"/>
                </a:cubicBezTo>
                <a:cubicBezTo>
                  <a:pt x="7931247" y="5734101"/>
                  <a:pt x="7916830" y="5747378"/>
                  <a:pt x="7899042" y="5747378"/>
                </a:cubicBezTo>
                <a:close/>
                <a:moveTo>
                  <a:pt x="8762914" y="5747378"/>
                </a:moveTo>
                <a:cubicBezTo>
                  <a:pt x="8745127" y="5747378"/>
                  <a:pt x="8730698" y="5734101"/>
                  <a:pt x="8730698" y="5717726"/>
                </a:cubicBezTo>
                <a:cubicBezTo>
                  <a:pt x="8730698" y="5701351"/>
                  <a:pt x="8745127" y="5688074"/>
                  <a:pt x="8762914" y="5688074"/>
                </a:cubicBezTo>
                <a:cubicBezTo>
                  <a:pt x="8780701" y="5688074"/>
                  <a:pt x="8795118" y="5701351"/>
                  <a:pt x="8795118" y="5717726"/>
                </a:cubicBezTo>
                <a:cubicBezTo>
                  <a:pt x="8795118" y="5734101"/>
                  <a:pt x="8780701" y="5747378"/>
                  <a:pt x="8762914" y="5747378"/>
                </a:cubicBezTo>
                <a:close/>
                <a:moveTo>
                  <a:pt x="8841448" y="5747378"/>
                </a:moveTo>
                <a:cubicBezTo>
                  <a:pt x="8823661" y="5747378"/>
                  <a:pt x="8809232" y="5734101"/>
                  <a:pt x="8809232" y="5717726"/>
                </a:cubicBezTo>
                <a:cubicBezTo>
                  <a:pt x="8809232" y="5701351"/>
                  <a:pt x="8823661" y="5688074"/>
                  <a:pt x="8841448" y="5688074"/>
                </a:cubicBezTo>
                <a:cubicBezTo>
                  <a:pt x="8859236" y="5688074"/>
                  <a:pt x="8873653" y="5701351"/>
                  <a:pt x="8873653" y="5717726"/>
                </a:cubicBezTo>
                <a:cubicBezTo>
                  <a:pt x="8873653" y="5734101"/>
                  <a:pt x="8859236" y="5747378"/>
                  <a:pt x="8841448" y="5747378"/>
                </a:cubicBezTo>
                <a:close/>
                <a:moveTo>
                  <a:pt x="3422581" y="5675112"/>
                </a:moveTo>
                <a:cubicBezTo>
                  <a:pt x="3404794" y="5675112"/>
                  <a:pt x="3390371" y="5661835"/>
                  <a:pt x="3390371" y="5645460"/>
                </a:cubicBezTo>
                <a:cubicBezTo>
                  <a:pt x="3390371" y="5629086"/>
                  <a:pt x="3404794" y="5615808"/>
                  <a:pt x="3422581" y="5615808"/>
                </a:cubicBezTo>
                <a:cubicBezTo>
                  <a:pt x="3440368" y="5615808"/>
                  <a:pt x="3454791" y="5629086"/>
                  <a:pt x="3454791" y="5645460"/>
                </a:cubicBezTo>
                <a:cubicBezTo>
                  <a:pt x="3454791" y="5661835"/>
                  <a:pt x="3440368" y="5675112"/>
                  <a:pt x="3422581" y="5675112"/>
                </a:cubicBezTo>
                <a:close/>
                <a:moveTo>
                  <a:pt x="4050852" y="5675112"/>
                </a:moveTo>
                <a:cubicBezTo>
                  <a:pt x="4033065" y="5675112"/>
                  <a:pt x="4018642" y="5661835"/>
                  <a:pt x="4018642" y="5645460"/>
                </a:cubicBezTo>
                <a:cubicBezTo>
                  <a:pt x="4018642" y="5629086"/>
                  <a:pt x="4033065" y="5615808"/>
                  <a:pt x="4050852" y="5615808"/>
                </a:cubicBezTo>
                <a:cubicBezTo>
                  <a:pt x="4068639" y="5615808"/>
                  <a:pt x="4083062" y="5629086"/>
                  <a:pt x="4083062" y="5645460"/>
                </a:cubicBezTo>
                <a:cubicBezTo>
                  <a:pt x="4083062" y="5661835"/>
                  <a:pt x="4068639" y="5675112"/>
                  <a:pt x="4050852" y="5675112"/>
                </a:cubicBezTo>
                <a:close/>
                <a:moveTo>
                  <a:pt x="4286460" y="5675112"/>
                </a:moveTo>
                <a:cubicBezTo>
                  <a:pt x="4268673" y="5675112"/>
                  <a:pt x="4254250" y="5661835"/>
                  <a:pt x="4254250" y="5645460"/>
                </a:cubicBezTo>
                <a:cubicBezTo>
                  <a:pt x="4254250" y="5629086"/>
                  <a:pt x="4268673" y="5615808"/>
                  <a:pt x="4286460" y="5615808"/>
                </a:cubicBezTo>
                <a:cubicBezTo>
                  <a:pt x="4304247" y="5615808"/>
                  <a:pt x="4318670" y="5629086"/>
                  <a:pt x="4318670" y="5645460"/>
                </a:cubicBezTo>
                <a:cubicBezTo>
                  <a:pt x="4318670" y="5661835"/>
                  <a:pt x="4304247" y="5675112"/>
                  <a:pt x="4286460" y="5675112"/>
                </a:cubicBezTo>
                <a:close/>
                <a:moveTo>
                  <a:pt x="4364994" y="5675112"/>
                </a:moveTo>
                <a:cubicBezTo>
                  <a:pt x="4347207" y="5675112"/>
                  <a:pt x="4332784" y="5661835"/>
                  <a:pt x="4332784" y="5645460"/>
                </a:cubicBezTo>
                <a:cubicBezTo>
                  <a:pt x="4332784" y="5629086"/>
                  <a:pt x="4347207" y="5615808"/>
                  <a:pt x="4364994" y="5615808"/>
                </a:cubicBezTo>
                <a:cubicBezTo>
                  <a:pt x="4382781" y="5615808"/>
                  <a:pt x="4397204" y="5629086"/>
                  <a:pt x="4397204" y="5645460"/>
                </a:cubicBezTo>
                <a:cubicBezTo>
                  <a:pt x="4397204" y="5661835"/>
                  <a:pt x="4382781" y="5675112"/>
                  <a:pt x="4364994" y="5675112"/>
                </a:cubicBezTo>
                <a:close/>
                <a:moveTo>
                  <a:pt x="4443527" y="5675112"/>
                </a:moveTo>
                <a:cubicBezTo>
                  <a:pt x="4425740" y="5675112"/>
                  <a:pt x="4411317" y="5661835"/>
                  <a:pt x="4411317" y="5645460"/>
                </a:cubicBezTo>
                <a:cubicBezTo>
                  <a:pt x="4411317" y="5629086"/>
                  <a:pt x="4425740" y="5615808"/>
                  <a:pt x="4443527" y="5615808"/>
                </a:cubicBezTo>
                <a:cubicBezTo>
                  <a:pt x="4461315" y="5615808"/>
                  <a:pt x="4475738" y="5629086"/>
                  <a:pt x="4475738" y="5645460"/>
                </a:cubicBezTo>
                <a:cubicBezTo>
                  <a:pt x="4475738" y="5661835"/>
                  <a:pt x="4461315" y="5675112"/>
                  <a:pt x="4443527" y="5675112"/>
                </a:cubicBezTo>
                <a:close/>
                <a:moveTo>
                  <a:pt x="4757663" y="5675112"/>
                </a:moveTo>
                <a:cubicBezTo>
                  <a:pt x="4739876" y="5675112"/>
                  <a:pt x="4725453" y="5661835"/>
                  <a:pt x="4725453" y="5645460"/>
                </a:cubicBezTo>
                <a:cubicBezTo>
                  <a:pt x="4725453" y="5629086"/>
                  <a:pt x="4739876" y="5615808"/>
                  <a:pt x="4757663" y="5615808"/>
                </a:cubicBezTo>
                <a:cubicBezTo>
                  <a:pt x="4775451" y="5615808"/>
                  <a:pt x="4789874" y="5629086"/>
                  <a:pt x="4789874" y="5645460"/>
                </a:cubicBezTo>
                <a:cubicBezTo>
                  <a:pt x="4789874" y="5661835"/>
                  <a:pt x="4775451" y="5675112"/>
                  <a:pt x="4757663" y="5675112"/>
                </a:cubicBezTo>
                <a:close/>
                <a:moveTo>
                  <a:pt x="4836197" y="5675112"/>
                </a:moveTo>
                <a:cubicBezTo>
                  <a:pt x="4818409" y="5675112"/>
                  <a:pt x="4803986" y="5661835"/>
                  <a:pt x="4803986" y="5645460"/>
                </a:cubicBezTo>
                <a:cubicBezTo>
                  <a:pt x="4803986" y="5629086"/>
                  <a:pt x="4818409" y="5615808"/>
                  <a:pt x="4836197" y="5615808"/>
                </a:cubicBezTo>
                <a:cubicBezTo>
                  <a:pt x="4853984" y="5615808"/>
                  <a:pt x="4868407" y="5629086"/>
                  <a:pt x="4868407" y="5645460"/>
                </a:cubicBezTo>
                <a:cubicBezTo>
                  <a:pt x="4868407" y="5661835"/>
                  <a:pt x="4853984" y="5675112"/>
                  <a:pt x="4836197" y="5675112"/>
                </a:cubicBezTo>
                <a:close/>
                <a:moveTo>
                  <a:pt x="4914731" y="5675112"/>
                </a:moveTo>
                <a:cubicBezTo>
                  <a:pt x="4896944" y="5675112"/>
                  <a:pt x="4882521" y="5661835"/>
                  <a:pt x="4882521" y="5645460"/>
                </a:cubicBezTo>
                <a:cubicBezTo>
                  <a:pt x="4882521" y="5629086"/>
                  <a:pt x="4896944" y="5615808"/>
                  <a:pt x="4914731" y="5615808"/>
                </a:cubicBezTo>
                <a:cubicBezTo>
                  <a:pt x="4932518" y="5615808"/>
                  <a:pt x="4946941" y="5629086"/>
                  <a:pt x="4946941" y="5645460"/>
                </a:cubicBezTo>
                <a:cubicBezTo>
                  <a:pt x="4946941" y="5661835"/>
                  <a:pt x="4932518" y="5675112"/>
                  <a:pt x="4914731" y="5675112"/>
                </a:cubicBezTo>
                <a:close/>
                <a:moveTo>
                  <a:pt x="4993265" y="5675112"/>
                </a:moveTo>
                <a:cubicBezTo>
                  <a:pt x="4975478" y="5675112"/>
                  <a:pt x="4961055" y="5661835"/>
                  <a:pt x="4961055" y="5645460"/>
                </a:cubicBezTo>
                <a:cubicBezTo>
                  <a:pt x="4961055" y="5629086"/>
                  <a:pt x="4975478" y="5615808"/>
                  <a:pt x="4993265" y="5615808"/>
                </a:cubicBezTo>
                <a:cubicBezTo>
                  <a:pt x="5011052" y="5615808"/>
                  <a:pt x="5025475" y="5629086"/>
                  <a:pt x="5025475" y="5645460"/>
                </a:cubicBezTo>
                <a:cubicBezTo>
                  <a:pt x="5025475" y="5661835"/>
                  <a:pt x="5011052" y="5675112"/>
                  <a:pt x="4993265" y="5675112"/>
                </a:cubicBezTo>
                <a:close/>
                <a:moveTo>
                  <a:pt x="5071798" y="5675112"/>
                </a:moveTo>
                <a:cubicBezTo>
                  <a:pt x="5054011" y="5675112"/>
                  <a:pt x="5039588" y="5661835"/>
                  <a:pt x="5039588" y="5645460"/>
                </a:cubicBezTo>
                <a:cubicBezTo>
                  <a:pt x="5039588" y="5629086"/>
                  <a:pt x="5054011" y="5615808"/>
                  <a:pt x="5071798" y="5615808"/>
                </a:cubicBezTo>
                <a:cubicBezTo>
                  <a:pt x="5089586" y="5615808"/>
                  <a:pt x="5104009" y="5629086"/>
                  <a:pt x="5104009" y="5645460"/>
                </a:cubicBezTo>
                <a:cubicBezTo>
                  <a:pt x="5104009" y="5661835"/>
                  <a:pt x="5089586" y="5675112"/>
                  <a:pt x="5071798" y="5675112"/>
                </a:cubicBezTo>
                <a:close/>
                <a:moveTo>
                  <a:pt x="5150333" y="5675112"/>
                </a:moveTo>
                <a:cubicBezTo>
                  <a:pt x="5132545" y="5675112"/>
                  <a:pt x="5118122" y="5661835"/>
                  <a:pt x="5118122" y="5645460"/>
                </a:cubicBezTo>
                <a:cubicBezTo>
                  <a:pt x="5118122" y="5629086"/>
                  <a:pt x="5132545" y="5615808"/>
                  <a:pt x="5150333" y="5615808"/>
                </a:cubicBezTo>
                <a:cubicBezTo>
                  <a:pt x="5168120" y="5615808"/>
                  <a:pt x="5182543" y="5629086"/>
                  <a:pt x="5182543" y="5645460"/>
                </a:cubicBezTo>
                <a:cubicBezTo>
                  <a:pt x="5182543" y="5661835"/>
                  <a:pt x="5168120" y="5675112"/>
                  <a:pt x="5150333" y="5675112"/>
                </a:cubicBezTo>
                <a:close/>
                <a:moveTo>
                  <a:pt x="5228867" y="5675112"/>
                </a:moveTo>
                <a:cubicBezTo>
                  <a:pt x="5211080" y="5675112"/>
                  <a:pt x="5196657" y="5661835"/>
                  <a:pt x="5196657" y="5645460"/>
                </a:cubicBezTo>
                <a:cubicBezTo>
                  <a:pt x="5196657" y="5629086"/>
                  <a:pt x="5211080" y="5615808"/>
                  <a:pt x="5228867" y="5615808"/>
                </a:cubicBezTo>
                <a:cubicBezTo>
                  <a:pt x="5246654" y="5615808"/>
                  <a:pt x="5261077" y="5629086"/>
                  <a:pt x="5261077" y="5645460"/>
                </a:cubicBezTo>
                <a:cubicBezTo>
                  <a:pt x="5261077" y="5661835"/>
                  <a:pt x="5246654" y="5675112"/>
                  <a:pt x="5228867" y="5675112"/>
                </a:cubicBezTo>
                <a:close/>
                <a:moveTo>
                  <a:pt x="5307400" y="5675112"/>
                </a:moveTo>
                <a:cubicBezTo>
                  <a:pt x="5289613" y="5675112"/>
                  <a:pt x="5275190" y="5661835"/>
                  <a:pt x="5275190" y="5645460"/>
                </a:cubicBezTo>
                <a:cubicBezTo>
                  <a:pt x="5275190" y="5629086"/>
                  <a:pt x="5289613" y="5615808"/>
                  <a:pt x="5307400" y="5615808"/>
                </a:cubicBezTo>
                <a:cubicBezTo>
                  <a:pt x="5325187" y="5615808"/>
                  <a:pt x="5339610" y="5629086"/>
                  <a:pt x="5339610" y="5645460"/>
                </a:cubicBezTo>
                <a:cubicBezTo>
                  <a:pt x="5339610" y="5661835"/>
                  <a:pt x="5325187" y="5675112"/>
                  <a:pt x="5307400" y="5675112"/>
                </a:cubicBezTo>
                <a:close/>
                <a:moveTo>
                  <a:pt x="5385934" y="5675112"/>
                </a:moveTo>
                <a:cubicBezTo>
                  <a:pt x="5368147" y="5675112"/>
                  <a:pt x="5353724" y="5661835"/>
                  <a:pt x="5353724" y="5645460"/>
                </a:cubicBezTo>
                <a:cubicBezTo>
                  <a:pt x="5353724" y="5629086"/>
                  <a:pt x="5368147" y="5615808"/>
                  <a:pt x="5385934" y="5615808"/>
                </a:cubicBezTo>
                <a:cubicBezTo>
                  <a:pt x="5403722" y="5615808"/>
                  <a:pt x="5418145" y="5629086"/>
                  <a:pt x="5418145" y="5645460"/>
                </a:cubicBezTo>
                <a:cubicBezTo>
                  <a:pt x="5418145" y="5661835"/>
                  <a:pt x="5403722" y="5675112"/>
                  <a:pt x="5385934" y="5675112"/>
                </a:cubicBezTo>
                <a:close/>
                <a:moveTo>
                  <a:pt x="5464468" y="5675112"/>
                </a:moveTo>
                <a:cubicBezTo>
                  <a:pt x="5446680" y="5675112"/>
                  <a:pt x="5432257" y="5661835"/>
                  <a:pt x="5432257" y="5645460"/>
                </a:cubicBezTo>
                <a:cubicBezTo>
                  <a:pt x="5432257" y="5629086"/>
                  <a:pt x="5446680" y="5615808"/>
                  <a:pt x="5464468" y="5615808"/>
                </a:cubicBezTo>
                <a:cubicBezTo>
                  <a:pt x="5482255" y="5615808"/>
                  <a:pt x="5496678" y="5629086"/>
                  <a:pt x="5496678" y="5645460"/>
                </a:cubicBezTo>
                <a:cubicBezTo>
                  <a:pt x="5496678" y="5661835"/>
                  <a:pt x="5482255" y="5675112"/>
                  <a:pt x="5464468" y="5675112"/>
                </a:cubicBezTo>
                <a:close/>
                <a:moveTo>
                  <a:pt x="5543002" y="5675112"/>
                </a:moveTo>
                <a:cubicBezTo>
                  <a:pt x="5525215" y="5675112"/>
                  <a:pt x="5510792" y="5661835"/>
                  <a:pt x="5510792" y="5645460"/>
                </a:cubicBezTo>
                <a:cubicBezTo>
                  <a:pt x="5510792" y="5629086"/>
                  <a:pt x="5525215" y="5615808"/>
                  <a:pt x="5543002" y="5615808"/>
                </a:cubicBezTo>
                <a:cubicBezTo>
                  <a:pt x="5560789" y="5615808"/>
                  <a:pt x="5575212" y="5629086"/>
                  <a:pt x="5575212" y="5645460"/>
                </a:cubicBezTo>
                <a:cubicBezTo>
                  <a:pt x="5575212" y="5661835"/>
                  <a:pt x="5560789" y="5675112"/>
                  <a:pt x="5543002" y="5675112"/>
                </a:cubicBezTo>
                <a:close/>
                <a:moveTo>
                  <a:pt x="5621536" y="5675112"/>
                </a:moveTo>
                <a:cubicBezTo>
                  <a:pt x="5603749" y="5675112"/>
                  <a:pt x="5589326" y="5661835"/>
                  <a:pt x="5589326" y="5645460"/>
                </a:cubicBezTo>
                <a:cubicBezTo>
                  <a:pt x="5589326" y="5629086"/>
                  <a:pt x="5603749" y="5615808"/>
                  <a:pt x="5621536" y="5615808"/>
                </a:cubicBezTo>
                <a:cubicBezTo>
                  <a:pt x="5639323" y="5615808"/>
                  <a:pt x="5653746" y="5629086"/>
                  <a:pt x="5653746" y="5645460"/>
                </a:cubicBezTo>
                <a:cubicBezTo>
                  <a:pt x="5653746" y="5661835"/>
                  <a:pt x="5639323" y="5675112"/>
                  <a:pt x="5621536" y="5675112"/>
                </a:cubicBezTo>
                <a:close/>
                <a:moveTo>
                  <a:pt x="6799544" y="5675112"/>
                </a:moveTo>
                <a:cubicBezTo>
                  <a:pt x="6781757" y="5675112"/>
                  <a:pt x="6767327" y="5661835"/>
                  <a:pt x="6767327" y="5645460"/>
                </a:cubicBezTo>
                <a:cubicBezTo>
                  <a:pt x="6767327" y="5629086"/>
                  <a:pt x="6781757" y="5615808"/>
                  <a:pt x="6799544" y="5615808"/>
                </a:cubicBezTo>
                <a:cubicBezTo>
                  <a:pt x="6817331" y="5615808"/>
                  <a:pt x="6831748" y="5629086"/>
                  <a:pt x="6831748" y="5645460"/>
                </a:cubicBezTo>
                <a:cubicBezTo>
                  <a:pt x="6831748" y="5661835"/>
                  <a:pt x="6817331" y="5675112"/>
                  <a:pt x="6799544" y="5675112"/>
                </a:cubicBezTo>
                <a:close/>
                <a:moveTo>
                  <a:pt x="6956611" y="5675112"/>
                </a:moveTo>
                <a:cubicBezTo>
                  <a:pt x="6938824" y="5675112"/>
                  <a:pt x="6924395" y="5661835"/>
                  <a:pt x="6924395" y="5645460"/>
                </a:cubicBezTo>
                <a:cubicBezTo>
                  <a:pt x="6924395" y="5629086"/>
                  <a:pt x="6938824" y="5615808"/>
                  <a:pt x="6956611" y="5615808"/>
                </a:cubicBezTo>
                <a:cubicBezTo>
                  <a:pt x="6974399" y="5615808"/>
                  <a:pt x="6988816" y="5629086"/>
                  <a:pt x="6988816" y="5645460"/>
                </a:cubicBezTo>
                <a:cubicBezTo>
                  <a:pt x="6988816" y="5661835"/>
                  <a:pt x="6974399" y="5675112"/>
                  <a:pt x="6956611" y="5675112"/>
                </a:cubicBezTo>
                <a:close/>
                <a:moveTo>
                  <a:pt x="7977576" y="5675112"/>
                </a:moveTo>
                <a:cubicBezTo>
                  <a:pt x="7959788" y="5675112"/>
                  <a:pt x="7945359" y="5661835"/>
                  <a:pt x="7945359" y="5645460"/>
                </a:cubicBezTo>
                <a:cubicBezTo>
                  <a:pt x="7945359" y="5629086"/>
                  <a:pt x="7959788" y="5615808"/>
                  <a:pt x="7977576" y="5615808"/>
                </a:cubicBezTo>
                <a:cubicBezTo>
                  <a:pt x="7995363" y="5615808"/>
                  <a:pt x="8009780" y="5629086"/>
                  <a:pt x="8009780" y="5645460"/>
                </a:cubicBezTo>
                <a:cubicBezTo>
                  <a:pt x="8009780" y="5661835"/>
                  <a:pt x="7995363" y="5675112"/>
                  <a:pt x="7977576" y="5675112"/>
                </a:cubicBezTo>
                <a:close/>
                <a:moveTo>
                  <a:pt x="8134643" y="5675112"/>
                </a:moveTo>
                <a:cubicBezTo>
                  <a:pt x="8116856" y="5675112"/>
                  <a:pt x="8102427" y="5661835"/>
                  <a:pt x="8102427" y="5645460"/>
                </a:cubicBezTo>
                <a:cubicBezTo>
                  <a:pt x="8102427" y="5629086"/>
                  <a:pt x="8116856" y="5615808"/>
                  <a:pt x="8134643" y="5615808"/>
                </a:cubicBezTo>
                <a:cubicBezTo>
                  <a:pt x="8152430" y="5615808"/>
                  <a:pt x="8166847" y="5629086"/>
                  <a:pt x="8166847" y="5645460"/>
                </a:cubicBezTo>
                <a:cubicBezTo>
                  <a:pt x="8166847" y="5661835"/>
                  <a:pt x="8152430" y="5675112"/>
                  <a:pt x="8134643" y="5675112"/>
                </a:cubicBezTo>
                <a:close/>
                <a:moveTo>
                  <a:pt x="8919983" y="5675112"/>
                </a:moveTo>
                <a:cubicBezTo>
                  <a:pt x="8902195" y="5675112"/>
                  <a:pt x="8887766" y="5661835"/>
                  <a:pt x="8887766" y="5645460"/>
                </a:cubicBezTo>
                <a:cubicBezTo>
                  <a:pt x="8887766" y="5629086"/>
                  <a:pt x="8902195" y="5615808"/>
                  <a:pt x="8919983" y="5615808"/>
                </a:cubicBezTo>
                <a:cubicBezTo>
                  <a:pt x="8937770" y="5615808"/>
                  <a:pt x="8952187" y="5629086"/>
                  <a:pt x="8952187" y="5645460"/>
                </a:cubicBezTo>
                <a:cubicBezTo>
                  <a:pt x="8952187" y="5661835"/>
                  <a:pt x="8937770" y="5675112"/>
                  <a:pt x="8919983" y="5675112"/>
                </a:cubicBezTo>
                <a:close/>
                <a:moveTo>
                  <a:pt x="3579650" y="5602847"/>
                </a:moveTo>
                <a:cubicBezTo>
                  <a:pt x="3561862" y="5602847"/>
                  <a:pt x="3547439" y="5589569"/>
                  <a:pt x="3547439" y="5573194"/>
                </a:cubicBezTo>
                <a:cubicBezTo>
                  <a:pt x="3547439" y="5556820"/>
                  <a:pt x="3561862" y="5543542"/>
                  <a:pt x="3579650" y="5543542"/>
                </a:cubicBezTo>
                <a:cubicBezTo>
                  <a:pt x="3597437" y="5543542"/>
                  <a:pt x="3611860" y="5556820"/>
                  <a:pt x="3611860" y="5573194"/>
                </a:cubicBezTo>
                <a:cubicBezTo>
                  <a:pt x="3611860" y="5589569"/>
                  <a:pt x="3597437" y="5602847"/>
                  <a:pt x="3579650" y="5602847"/>
                </a:cubicBezTo>
                <a:close/>
                <a:moveTo>
                  <a:pt x="3736717" y="5602847"/>
                </a:moveTo>
                <a:cubicBezTo>
                  <a:pt x="3718930" y="5602847"/>
                  <a:pt x="3704507" y="5589569"/>
                  <a:pt x="3704507" y="5573194"/>
                </a:cubicBezTo>
                <a:cubicBezTo>
                  <a:pt x="3704507" y="5556820"/>
                  <a:pt x="3718930" y="5543542"/>
                  <a:pt x="3736717" y="5543542"/>
                </a:cubicBezTo>
                <a:cubicBezTo>
                  <a:pt x="3754504" y="5543542"/>
                  <a:pt x="3768927" y="5556820"/>
                  <a:pt x="3768927" y="5573194"/>
                </a:cubicBezTo>
                <a:cubicBezTo>
                  <a:pt x="3768927" y="5589569"/>
                  <a:pt x="3754504" y="5602847"/>
                  <a:pt x="3736717" y="5602847"/>
                </a:cubicBezTo>
                <a:close/>
                <a:moveTo>
                  <a:pt x="3893785" y="5602847"/>
                </a:moveTo>
                <a:cubicBezTo>
                  <a:pt x="3875997" y="5602847"/>
                  <a:pt x="3861574" y="5589569"/>
                  <a:pt x="3861574" y="5573194"/>
                </a:cubicBezTo>
                <a:cubicBezTo>
                  <a:pt x="3861574" y="5556820"/>
                  <a:pt x="3875997" y="5543542"/>
                  <a:pt x="3893785" y="5543542"/>
                </a:cubicBezTo>
                <a:cubicBezTo>
                  <a:pt x="3911572" y="5543542"/>
                  <a:pt x="3925995" y="5556820"/>
                  <a:pt x="3925995" y="5573194"/>
                </a:cubicBezTo>
                <a:cubicBezTo>
                  <a:pt x="3925995" y="5589569"/>
                  <a:pt x="3911572" y="5602847"/>
                  <a:pt x="3893785" y="5602847"/>
                </a:cubicBezTo>
                <a:close/>
                <a:moveTo>
                  <a:pt x="4364994" y="5602847"/>
                </a:moveTo>
                <a:cubicBezTo>
                  <a:pt x="4347207" y="5602847"/>
                  <a:pt x="4332784" y="5589569"/>
                  <a:pt x="4332784" y="5573194"/>
                </a:cubicBezTo>
                <a:cubicBezTo>
                  <a:pt x="4332784" y="5556820"/>
                  <a:pt x="4347207" y="5543542"/>
                  <a:pt x="4364994" y="5543542"/>
                </a:cubicBezTo>
                <a:cubicBezTo>
                  <a:pt x="4382781" y="5543542"/>
                  <a:pt x="4397204" y="5556820"/>
                  <a:pt x="4397204" y="5573194"/>
                </a:cubicBezTo>
                <a:cubicBezTo>
                  <a:pt x="4397204" y="5589569"/>
                  <a:pt x="4382781" y="5602847"/>
                  <a:pt x="4364994" y="5602847"/>
                </a:cubicBezTo>
                <a:close/>
                <a:moveTo>
                  <a:pt x="4600596" y="5602847"/>
                </a:moveTo>
                <a:cubicBezTo>
                  <a:pt x="4582809" y="5602847"/>
                  <a:pt x="4568386" y="5589569"/>
                  <a:pt x="4568386" y="5573194"/>
                </a:cubicBezTo>
                <a:cubicBezTo>
                  <a:pt x="4568386" y="5556820"/>
                  <a:pt x="4582809" y="5543542"/>
                  <a:pt x="4600596" y="5543542"/>
                </a:cubicBezTo>
                <a:cubicBezTo>
                  <a:pt x="4618383" y="5543542"/>
                  <a:pt x="4632806" y="5556820"/>
                  <a:pt x="4632806" y="5573194"/>
                </a:cubicBezTo>
                <a:cubicBezTo>
                  <a:pt x="4632806" y="5589569"/>
                  <a:pt x="4618383" y="5602847"/>
                  <a:pt x="4600596" y="5602847"/>
                </a:cubicBezTo>
                <a:close/>
                <a:moveTo>
                  <a:pt x="4679129" y="5602847"/>
                </a:moveTo>
                <a:cubicBezTo>
                  <a:pt x="4661342" y="5602847"/>
                  <a:pt x="4646919" y="5589569"/>
                  <a:pt x="4646919" y="5573194"/>
                </a:cubicBezTo>
                <a:cubicBezTo>
                  <a:pt x="4646919" y="5556820"/>
                  <a:pt x="4661342" y="5543542"/>
                  <a:pt x="4679129" y="5543542"/>
                </a:cubicBezTo>
                <a:cubicBezTo>
                  <a:pt x="4696916" y="5543542"/>
                  <a:pt x="4711339" y="5556820"/>
                  <a:pt x="4711339" y="5573194"/>
                </a:cubicBezTo>
                <a:cubicBezTo>
                  <a:pt x="4711339" y="5589569"/>
                  <a:pt x="4696916" y="5602847"/>
                  <a:pt x="4679129" y="5602847"/>
                </a:cubicBezTo>
                <a:close/>
                <a:moveTo>
                  <a:pt x="4757663" y="5602847"/>
                </a:moveTo>
                <a:cubicBezTo>
                  <a:pt x="4739876" y="5602847"/>
                  <a:pt x="4725453" y="5589569"/>
                  <a:pt x="4725453" y="5573194"/>
                </a:cubicBezTo>
                <a:cubicBezTo>
                  <a:pt x="4725453" y="5556820"/>
                  <a:pt x="4739876" y="5543542"/>
                  <a:pt x="4757663" y="5543542"/>
                </a:cubicBezTo>
                <a:cubicBezTo>
                  <a:pt x="4775451" y="5543542"/>
                  <a:pt x="4789874" y="5556820"/>
                  <a:pt x="4789874" y="5573194"/>
                </a:cubicBezTo>
                <a:cubicBezTo>
                  <a:pt x="4789874" y="5589569"/>
                  <a:pt x="4775451" y="5602847"/>
                  <a:pt x="4757663" y="5602847"/>
                </a:cubicBezTo>
                <a:close/>
                <a:moveTo>
                  <a:pt x="4836197" y="5602847"/>
                </a:moveTo>
                <a:cubicBezTo>
                  <a:pt x="4818409" y="5602847"/>
                  <a:pt x="4803986" y="5589569"/>
                  <a:pt x="4803986" y="5573194"/>
                </a:cubicBezTo>
                <a:cubicBezTo>
                  <a:pt x="4803986" y="5556820"/>
                  <a:pt x="4818409" y="5543542"/>
                  <a:pt x="4836197" y="5543542"/>
                </a:cubicBezTo>
                <a:cubicBezTo>
                  <a:pt x="4853984" y="5543542"/>
                  <a:pt x="4868407" y="5556820"/>
                  <a:pt x="4868407" y="5573194"/>
                </a:cubicBezTo>
                <a:cubicBezTo>
                  <a:pt x="4868407" y="5589569"/>
                  <a:pt x="4853984" y="5602847"/>
                  <a:pt x="4836197" y="5602847"/>
                </a:cubicBezTo>
                <a:close/>
                <a:moveTo>
                  <a:pt x="4914731" y="5602847"/>
                </a:moveTo>
                <a:cubicBezTo>
                  <a:pt x="4896944" y="5602847"/>
                  <a:pt x="4882521" y="5589569"/>
                  <a:pt x="4882521" y="5573194"/>
                </a:cubicBezTo>
                <a:cubicBezTo>
                  <a:pt x="4882521" y="5556820"/>
                  <a:pt x="4896944" y="5543542"/>
                  <a:pt x="4914731" y="5543542"/>
                </a:cubicBezTo>
                <a:cubicBezTo>
                  <a:pt x="4932518" y="5543542"/>
                  <a:pt x="4946941" y="5556820"/>
                  <a:pt x="4946941" y="5573194"/>
                </a:cubicBezTo>
                <a:cubicBezTo>
                  <a:pt x="4946941" y="5589569"/>
                  <a:pt x="4932518" y="5602847"/>
                  <a:pt x="4914731" y="5602847"/>
                </a:cubicBezTo>
                <a:close/>
                <a:moveTo>
                  <a:pt x="4993265" y="5602847"/>
                </a:moveTo>
                <a:cubicBezTo>
                  <a:pt x="4975478" y="5602847"/>
                  <a:pt x="4961055" y="5589569"/>
                  <a:pt x="4961055" y="5573194"/>
                </a:cubicBezTo>
                <a:cubicBezTo>
                  <a:pt x="4961055" y="5556820"/>
                  <a:pt x="4975478" y="5543542"/>
                  <a:pt x="4993265" y="5543542"/>
                </a:cubicBezTo>
                <a:cubicBezTo>
                  <a:pt x="5011052" y="5543542"/>
                  <a:pt x="5025475" y="5556820"/>
                  <a:pt x="5025475" y="5573194"/>
                </a:cubicBezTo>
                <a:cubicBezTo>
                  <a:pt x="5025475" y="5589569"/>
                  <a:pt x="5011052" y="5602847"/>
                  <a:pt x="4993265" y="5602847"/>
                </a:cubicBezTo>
                <a:close/>
                <a:moveTo>
                  <a:pt x="5071798" y="5602847"/>
                </a:moveTo>
                <a:cubicBezTo>
                  <a:pt x="5054011" y="5602847"/>
                  <a:pt x="5039588" y="5589569"/>
                  <a:pt x="5039588" y="5573194"/>
                </a:cubicBezTo>
                <a:cubicBezTo>
                  <a:pt x="5039588" y="5556820"/>
                  <a:pt x="5054011" y="5543542"/>
                  <a:pt x="5071798" y="5543542"/>
                </a:cubicBezTo>
                <a:cubicBezTo>
                  <a:pt x="5089586" y="5543542"/>
                  <a:pt x="5104009" y="5556820"/>
                  <a:pt x="5104009" y="5573194"/>
                </a:cubicBezTo>
                <a:cubicBezTo>
                  <a:pt x="5104009" y="5589569"/>
                  <a:pt x="5089586" y="5602847"/>
                  <a:pt x="5071798" y="5602847"/>
                </a:cubicBezTo>
                <a:close/>
                <a:moveTo>
                  <a:pt x="5150333" y="5602847"/>
                </a:moveTo>
                <a:cubicBezTo>
                  <a:pt x="5132545" y="5602847"/>
                  <a:pt x="5118122" y="5589569"/>
                  <a:pt x="5118122" y="5573194"/>
                </a:cubicBezTo>
                <a:cubicBezTo>
                  <a:pt x="5118122" y="5556820"/>
                  <a:pt x="5132545" y="5543542"/>
                  <a:pt x="5150333" y="5543542"/>
                </a:cubicBezTo>
                <a:cubicBezTo>
                  <a:pt x="5168120" y="5543542"/>
                  <a:pt x="5182543" y="5556820"/>
                  <a:pt x="5182543" y="5573194"/>
                </a:cubicBezTo>
                <a:cubicBezTo>
                  <a:pt x="5182543" y="5589569"/>
                  <a:pt x="5168120" y="5602847"/>
                  <a:pt x="5150333" y="5602847"/>
                </a:cubicBezTo>
                <a:close/>
                <a:moveTo>
                  <a:pt x="5228867" y="5602847"/>
                </a:moveTo>
                <a:cubicBezTo>
                  <a:pt x="5211080" y="5602847"/>
                  <a:pt x="5196657" y="5589569"/>
                  <a:pt x="5196657" y="5573194"/>
                </a:cubicBezTo>
                <a:cubicBezTo>
                  <a:pt x="5196657" y="5556820"/>
                  <a:pt x="5211080" y="5543542"/>
                  <a:pt x="5228867" y="5543542"/>
                </a:cubicBezTo>
                <a:cubicBezTo>
                  <a:pt x="5246654" y="5543542"/>
                  <a:pt x="5261077" y="5556820"/>
                  <a:pt x="5261077" y="5573194"/>
                </a:cubicBezTo>
                <a:cubicBezTo>
                  <a:pt x="5261077" y="5589569"/>
                  <a:pt x="5246654" y="5602847"/>
                  <a:pt x="5228867" y="5602847"/>
                </a:cubicBezTo>
                <a:close/>
                <a:moveTo>
                  <a:pt x="5307400" y="5602847"/>
                </a:moveTo>
                <a:cubicBezTo>
                  <a:pt x="5289613" y="5602847"/>
                  <a:pt x="5275190" y="5589569"/>
                  <a:pt x="5275190" y="5573194"/>
                </a:cubicBezTo>
                <a:cubicBezTo>
                  <a:pt x="5275190" y="5556820"/>
                  <a:pt x="5289613" y="5543542"/>
                  <a:pt x="5307400" y="5543542"/>
                </a:cubicBezTo>
                <a:cubicBezTo>
                  <a:pt x="5325187" y="5543542"/>
                  <a:pt x="5339610" y="5556820"/>
                  <a:pt x="5339610" y="5573194"/>
                </a:cubicBezTo>
                <a:cubicBezTo>
                  <a:pt x="5339610" y="5589569"/>
                  <a:pt x="5325187" y="5602847"/>
                  <a:pt x="5307400" y="5602847"/>
                </a:cubicBezTo>
                <a:close/>
                <a:moveTo>
                  <a:pt x="5385934" y="5602847"/>
                </a:moveTo>
                <a:cubicBezTo>
                  <a:pt x="5368147" y="5602847"/>
                  <a:pt x="5353724" y="5589569"/>
                  <a:pt x="5353724" y="5573194"/>
                </a:cubicBezTo>
                <a:cubicBezTo>
                  <a:pt x="5353724" y="5556820"/>
                  <a:pt x="5368147" y="5543542"/>
                  <a:pt x="5385934" y="5543542"/>
                </a:cubicBezTo>
                <a:cubicBezTo>
                  <a:pt x="5403722" y="5543542"/>
                  <a:pt x="5418145" y="5556820"/>
                  <a:pt x="5418145" y="5573194"/>
                </a:cubicBezTo>
                <a:cubicBezTo>
                  <a:pt x="5418145" y="5589569"/>
                  <a:pt x="5403722" y="5602847"/>
                  <a:pt x="5385934" y="5602847"/>
                </a:cubicBezTo>
                <a:close/>
                <a:moveTo>
                  <a:pt x="5464468" y="5602847"/>
                </a:moveTo>
                <a:cubicBezTo>
                  <a:pt x="5446680" y="5602847"/>
                  <a:pt x="5432257" y="5589569"/>
                  <a:pt x="5432257" y="5573194"/>
                </a:cubicBezTo>
                <a:cubicBezTo>
                  <a:pt x="5432257" y="5556820"/>
                  <a:pt x="5446680" y="5543542"/>
                  <a:pt x="5464468" y="5543542"/>
                </a:cubicBezTo>
                <a:cubicBezTo>
                  <a:pt x="5482255" y="5543542"/>
                  <a:pt x="5496678" y="5556820"/>
                  <a:pt x="5496678" y="5573194"/>
                </a:cubicBezTo>
                <a:cubicBezTo>
                  <a:pt x="5496678" y="5589569"/>
                  <a:pt x="5482255" y="5602847"/>
                  <a:pt x="5464468" y="5602847"/>
                </a:cubicBezTo>
                <a:close/>
                <a:moveTo>
                  <a:pt x="5543002" y="5602847"/>
                </a:moveTo>
                <a:cubicBezTo>
                  <a:pt x="5525215" y="5602847"/>
                  <a:pt x="5510792" y="5589569"/>
                  <a:pt x="5510792" y="5573194"/>
                </a:cubicBezTo>
                <a:cubicBezTo>
                  <a:pt x="5510792" y="5556820"/>
                  <a:pt x="5525215" y="5543542"/>
                  <a:pt x="5543002" y="5543542"/>
                </a:cubicBezTo>
                <a:cubicBezTo>
                  <a:pt x="5560789" y="5543542"/>
                  <a:pt x="5575212" y="5556820"/>
                  <a:pt x="5575212" y="5573194"/>
                </a:cubicBezTo>
                <a:cubicBezTo>
                  <a:pt x="5575212" y="5589569"/>
                  <a:pt x="5560789" y="5602847"/>
                  <a:pt x="5543002" y="5602847"/>
                </a:cubicBezTo>
                <a:close/>
                <a:moveTo>
                  <a:pt x="6328340" y="5602847"/>
                </a:moveTo>
                <a:cubicBezTo>
                  <a:pt x="6310553" y="5602847"/>
                  <a:pt x="6296124" y="5589569"/>
                  <a:pt x="6296124" y="5573194"/>
                </a:cubicBezTo>
                <a:cubicBezTo>
                  <a:pt x="6296124" y="5556820"/>
                  <a:pt x="6310553" y="5543542"/>
                  <a:pt x="6328340" y="5543542"/>
                </a:cubicBezTo>
                <a:cubicBezTo>
                  <a:pt x="6346128" y="5543542"/>
                  <a:pt x="6360545" y="5556820"/>
                  <a:pt x="6360545" y="5573194"/>
                </a:cubicBezTo>
                <a:cubicBezTo>
                  <a:pt x="6360545" y="5589569"/>
                  <a:pt x="6346128" y="5602847"/>
                  <a:pt x="6328340" y="5602847"/>
                </a:cubicBezTo>
                <a:close/>
                <a:moveTo>
                  <a:pt x="6406875" y="5602847"/>
                </a:moveTo>
                <a:cubicBezTo>
                  <a:pt x="6389087" y="5602847"/>
                  <a:pt x="6374658" y="5589569"/>
                  <a:pt x="6374658" y="5573194"/>
                </a:cubicBezTo>
                <a:cubicBezTo>
                  <a:pt x="6374658" y="5556820"/>
                  <a:pt x="6389087" y="5543542"/>
                  <a:pt x="6406875" y="5543542"/>
                </a:cubicBezTo>
                <a:cubicBezTo>
                  <a:pt x="6424662" y="5543542"/>
                  <a:pt x="6439079" y="5556820"/>
                  <a:pt x="6439079" y="5573194"/>
                </a:cubicBezTo>
                <a:cubicBezTo>
                  <a:pt x="6439079" y="5589569"/>
                  <a:pt x="6424662" y="5602847"/>
                  <a:pt x="6406875" y="5602847"/>
                </a:cubicBezTo>
                <a:close/>
                <a:moveTo>
                  <a:pt x="7977576" y="5602847"/>
                </a:moveTo>
                <a:cubicBezTo>
                  <a:pt x="7959788" y="5602847"/>
                  <a:pt x="7945359" y="5589569"/>
                  <a:pt x="7945359" y="5573194"/>
                </a:cubicBezTo>
                <a:cubicBezTo>
                  <a:pt x="7945359" y="5556820"/>
                  <a:pt x="7959788" y="5543542"/>
                  <a:pt x="7977576" y="5543542"/>
                </a:cubicBezTo>
                <a:cubicBezTo>
                  <a:pt x="7995363" y="5543542"/>
                  <a:pt x="8009780" y="5556820"/>
                  <a:pt x="8009780" y="5573194"/>
                </a:cubicBezTo>
                <a:cubicBezTo>
                  <a:pt x="8009780" y="5589569"/>
                  <a:pt x="7995363" y="5602847"/>
                  <a:pt x="7977576" y="5602847"/>
                </a:cubicBezTo>
                <a:close/>
                <a:moveTo>
                  <a:pt x="8056110" y="5602847"/>
                </a:moveTo>
                <a:cubicBezTo>
                  <a:pt x="8038323" y="5602847"/>
                  <a:pt x="8023894" y="5589569"/>
                  <a:pt x="8023894" y="5573194"/>
                </a:cubicBezTo>
                <a:cubicBezTo>
                  <a:pt x="8023894" y="5556820"/>
                  <a:pt x="8038323" y="5543542"/>
                  <a:pt x="8056110" y="5543542"/>
                </a:cubicBezTo>
                <a:cubicBezTo>
                  <a:pt x="8073897" y="5543542"/>
                  <a:pt x="8088314" y="5556820"/>
                  <a:pt x="8088314" y="5573194"/>
                </a:cubicBezTo>
                <a:cubicBezTo>
                  <a:pt x="8088314" y="5589569"/>
                  <a:pt x="8073897" y="5602847"/>
                  <a:pt x="8056110" y="5602847"/>
                </a:cubicBezTo>
                <a:close/>
                <a:moveTo>
                  <a:pt x="8134643" y="5602847"/>
                </a:moveTo>
                <a:cubicBezTo>
                  <a:pt x="8116856" y="5602847"/>
                  <a:pt x="8102427" y="5589569"/>
                  <a:pt x="8102427" y="5573194"/>
                </a:cubicBezTo>
                <a:cubicBezTo>
                  <a:pt x="8102427" y="5556820"/>
                  <a:pt x="8116856" y="5543542"/>
                  <a:pt x="8134643" y="5543542"/>
                </a:cubicBezTo>
                <a:cubicBezTo>
                  <a:pt x="8152430" y="5543542"/>
                  <a:pt x="8166847" y="5556820"/>
                  <a:pt x="8166847" y="5573194"/>
                </a:cubicBezTo>
                <a:cubicBezTo>
                  <a:pt x="8166847" y="5589569"/>
                  <a:pt x="8152430" y="5602847"/>
                  <a:pt x="8134643" y="5602847"/>
                </a:cubicBezTo>
                <a:close/>
                <a:moveTo>
                  <a:pt x="8213177" y="5602847"/>
                </a:moveTo>
                <a:cubicBezTo>
                  <a:pt x="8195390" y="5602847"/>
                  <a:pt x="8180961" y="5589569"/>
                  <a:pt x="8180961" y="5573194"/>
                </a:cubicBezTo>
                <a:cubicBezTo>
                  <a:pt x="8180961" y="5556820"/>
                  <a:pt x="8195390" y="5543542"/>
                  <a:pt x="8213177" y="5543542"/>
                </a:cubicBezTo>
                <a:cubicBezTo>
                  <a:pt x="8230965" y="5543542"/>
                  <a:pt x="8245382" y="5556820"/>
                  <a:pt x="8245382" y="5573194"/>
                </a:cubicBezTo>
                <a:cubicBezTo>
                  <a:pt x="8245382" y="5589569"/>
                  <a:pt x="8230965" y="5602847"/>
                  <a:pt x="8213177" y="5602847"/>
                </a:cubicBezTo>
                <a:close/>
                <a:moveTo>
                  <a:pt x="9155583" y="5602847"/>
                </a:moveTo>
                <a:cubicBezTo>
                  <a:pt x="9137796" y="5602847"/>
                  <a:pt x="9123367" y="5589569"/>
                  <a:pt x="9123367" y="5573194"/>
                </a:cubicBezTo>
                <a:cubicBezTo>
                  <a:pt x="9123367" y="5556820"/>
                  <a:pt x="9137796" y="5543542"/>
                  <a:pt x="9155583" y="5543542"/>
                </a:cubicBezTo>
                <a:cubicBezTo>
                  <a:pt x="9173371" y="5543542"/>
                  <a:pt x="9187788" y="5556820"/>
                  <a:pt x="9187788" y="5573194"/>
                </a:cubicBezTo>
                <a:cubicBezTo>
                  <a:pt x="9187788" y="5589569"/>
                  <a:pt x="9173371" y="5602847"/>
                  <a:pt x="9155583" y="5602847"/>
                </a:cubicBezTo>
                <a:close/>
                <a:moveTo>
                  <a:pt x="9862389" y="5602847"/>
                </a:moveTo>
                <a:cubicBezTo>
                  <a:pt x="9844601" y="5602847"/>
                  <a:pt x="9830172" y="5589569"/>
                  <a:pt x="9830172" y="5573194"/>
                </a:cubicBezTo>
                <a:cubicBezTo>
                  <a:pt x="9830172" y="5556820"/>
                  <a:pt x="9844601" y="5543542"/>
                  <a:pt x="9862389" y="5543542"/>
                </a:cubicBezTo>
                <a:cubicBezTo>
                  <a:pt x="9880176" y="5543542"/>
                  <a:pt x="9894593" y="5556820"/>
                  <a:pt x="9894593" y="5573194"/>
                </a:cubicBezTo>
                <a:cubicBezTo>
                  <a:pt x="9894593" y="5589569"/>
                  <a:pt x="9880176" y="5602847"/>
                  <a:pt x="9862389" y="5602847"/>
                </a:cubicBezTo>
                <a:close/>
                <a:moveTo>
                  <a:pt x="9940923" y="5602847"/>
                </a:moveTo>
                <a:cubicBezTo>
                  <a:pt x="9923136" y="5602847"/>
                  <a:pt x="9908707" y="5589569"/>
                  <a:pt x="9908707" y="5573194"/>
                </a:cubicBezTo>
                <a:cubicBezTo>
                  <a:pt x="9908707" y="5556820"/>
                  <a:pt x="9923136" y="5543542"/>
                  <a:pt x="9940923" y="5543542"/>
                </a:cubicBezTo>
                <a:cubicBezTo>
                  <a:pt x="9958710" y="5543542"/>
                  <a:pt x="9973127" y="5556820"/>
                  <a:pt x="9973127" y="5573194"/>
                </a:cubicBezTo>
                <a:cubicBezTo>
                  <a:pt x="9973127" y="5589569"/>
                  <a:pt x="9958710" y="5602847"/>
                  <a:pt x="9940923" y="5602847"/>
                </a:cubicBezTo>
                <a:close/>
                <a:moveTo>
                  <a:pt x="10019456" y="5602847"/>
                </a:moveTo>
                <a:cubicBezTo>
                  <a:pt x="10001669" y="5602847"/>
                  <a:pt x="9987240" y="5589569"/>
                  <a:pt x="9987240" y="5573194"/>
                </a:cubicBezTo>
                <a:cubicBezTo>
                  <a:pt x="9987240" y="5556820"/>
                  <a:pt x="10001669" y="5543542"/>
                  <a:pt x="10019456" y="5543542"/>
                </a:cubicBezTo>
                <a:cubicBezTo>
                  <a:pt x="10037243" y="5543542"/>
                  <a:pt x="10051660" y="5556820"/>
                  <a:pt x="10051660" y="5573194"/>
                </a:cubicBezTo>
                <a:cubicBezTo>
                  <a:pt x="10051660" y="5589569"/>
                  <a:pt x="10037243" y="5602847"/>
                  <a:pt x="10019456" y="5602847"/>
                </a:cubicBezTo>
                <a:close/>
                <a:moveTo>
                  <a:pt x="10097990" y="5602847"/>
                </a:moveTo>
                <a:cubicBezTo>
                  <a:pt x="10080203" y="5602847"/>
                  <a:pt x="10065774" y="5589569"/>
                  <a:pt x="10065774" y="5573194"/>
                </a:cubicBezTo>
                <a:cubicBezTo>
                  <a:pt x="10065774" y="5556820"/>
                  <a:pt x="10080203" y="5543542"/>
                  <a:pt x="10097990" y="5543542"/>
                </a:cubicBezTo>
                <a:cubicBezTo>
                  <a:pt x="10115778" y="5543542"/>
                  <a:pt x="10130195" y="5556820"/>
                  <a:pt x="10130195" y="5573194"/>
                </a:cubicBezTo>
                <a:cubicBezTo>
                  <a:pt x="10130195" y="5589569"/>
                  <a:pt x="10115778" y="5602847"/>
                  <a:pt x="10097990" y="5602847"/>
                </a:cubicBezTo>
                <a:close/>
                <a:moveTo>
                  <a:pt x="10176524" y="5602847"/>
                </a:moveTo>
                <a:cubicBezTo>
                  <a:pt x="10158736" y="5602847"/>
                  <a:pt x="10144307" y="5589569"/>
                  <a:pt x="10144307" y="5573194"/>
                </a:cubicBezTo>
                <a:cubicBezTo>
                  <a:pt x="10144307" y="5556820"/>
                  <a:pt x="10158736" y="5543542"/>
                  <a:pt x="10176524" y="5543542"/>
                </a:cubicBezTo>
                <a:cubicBezTo>
                  <a:pt x="10194311" y="5543542"/>
                  <a:pt x="10208728" y="5556820"/>
                  <a:pt x="10208728" y="5573194"/>
                </a:cubicBezTo>
                <a:cubicBezTo>
                  <a:pt x="10208728" y="5589569"/>
                  <a:pt x="10194311" y="5602847"/>
                  <a:pt x="10176524" y="5602847"/>
                </a:cubicBezTo>
                <a:close/>
                <a:moveTo>
                  <a:pt x="10333592" y="5602847"/>
                </a:moveTo>
                <a:cubicBezTo>
                  <a:pt x="10315805" y="5602847"/>
                  <a:pt x="10301376" y="5589569"/>
                  <a:pt x="10301376" y="5573194"/>
                </a:cubicBezTo>
                <a:cubicBezTo>
                  <a:pt x="10301376" y="5556820"/>
                  <a:pt x="10315805" y="5543542"/>
                  <a:pt x="10333592" y="5543542"/>
                </a:cubicBezTo>
                <a:cubicBezTo>
                  <a:pt x="10351379" y="5543542"/>
                  <a:pt x="10365796" y="5556820"/>
                  <a:pt x="10365796" y="5573194"/>
                </a:cubicBezTo>
                <a:cubicBezTo>
                  <a:pt x="10365796" y="5589569"/>
                  <a:pt x="10351379" y="5602847"/>
                  <a:pt x="10333592" y="5602847"/>
                </a:cubicBezTo>
                <a:close/>
                <a:moveTo>
                  <a:pt x="2323114" y="5530582"/>
                </a:moveTo>
                <a:cubicBezTo>
                  <a:pt x="2305326" y="5530582"/>
                  <a:pt x="2290903" y="5517304"/>
                  <a:pt x="2290903" y="5500930"/>
                </a:cubicBezTo>
                <a:cubicBezTo>
                  <a:pt x="2290903" y="5484555"/>
                  <a:pt x="2305326" y="5471278"/>
                  <a:pt x="2323114" y="5471278"/>
                </a:cubicBezTo>
                <a:cubicBezTo>
                  <a:pt x="2340901" y="5471278"/>
                  <a:pt x="2355324" y="5484555"/>
                  <a:pt x="2355324" y="5500930"/>
                </a:cubicBezTo>
                <a:cubicBezTo>
                  <a:pt x="2355324" y="5517304"/>
                  <a:pt x="2340901" y="5530582"/>
                  <a:pt x="2323114" y="5530582"/>
                </a:cubicBezTo>
                <a:close/>
                <a:moveTo>
                  <a:pt x="2401647" y="5530582"/>
                </a:moveTo>
                <a:cubicBezTo>
                  <a:pt x="2383860" y="5530582"/>
                  <a:pt x="2369437" y="5517304"/>
                  <a:pt x="2369437" y="5500930"/>
                </a:cubicBezTo>
                <a:cubicBezTo>
                  <a:pt x="2369437" y="5484555"/>
                  <a:pt x="2383860" y="5471278"/>
                  <a:pt x="2401647" y="5471278"/>
                </a:cubicBezTo>
                <a:cubicBezTo>
                  <a:pt x="2419434" y="5471278"/>
                  <a:pt x="2433857" y="5484555"/>
                  <a:pt x="2433857" y="5500930"/>
                </a:cubicBezTo>
                <a:cubicBezTo>
                  <a:pt x="2433857" y="5517304"/>
                  <a:pt x="2419434" y="5530582"/>
                  <a:pt x="2401647" y="5530582"/>
                </a:cubicBezTo>
                <a:close/>
                <a:moveTo>
                  <a:pt x="3344048" y="5530582"/>
                </a:moveTo>
                <a:cubicBezTo>
                  <a:pt x="3326261" y="5530582"/>
                  <a:pt x="3311837" y="5517304"/>
                  <a:pt x="3311837" y="5500930"/>
                </a:cubicBezTo>
                <a:cubicBezTo>
                  <a:pt x="3311837" y="5484555"/>
                  <a:pt x="3326261" y="5471278"/>
                  <a:pt x="3344048" y="5471278"/>
                </a:cubicBezTo>
                <a:cubicBezTo>
                  <a:pt x="3361835" y="5471278"/>
                  <a:pt x="3376258" y="5484555"/>
                  <a:pt x="3376258" y="5500930"/>
                </a:cubicBezTo>
                <a:cubicBezTo>
                  <a:pt x="3376258" y="5517304"/>
                  <a:pt x="3361835" y="5530582"/>
                  <a:pt x="3344048" y="5530582"/>
                </a:cubicBezTo>
                <a:close/>
                <a:moveTo>
                  <a:pt x="3579650" y="5530582"/>
                </a:moveTo>
                <a:cubicBezTo>
                  <a:pt x="3561862" y="5530582"/>
                  <a:pt x="3547439" y="5517304"/>
                  <a:pt x="3547439" y="5500930"/>
                </a:cubicBezTo>
                <a:cubicBezTo>
                  <a:pt x="3547439" y="5484555"/>
                  <a:pt x="3561862" y="5471278"/>
                  <a:pt x="3579650" y="5471278"/>
                </a:cubicBezTo>
                <a:cubicBezTo>
                  <a:pt x="3597437" y="5471278"/>
                  <a:pt x="3611860" y="5484555"/>
                  <a:pt x="3611860" y="5500930"/>
                </a:cubicBezTo>
                <a:cubicBezTo>
                  <a:pt x="3611860" y="5517304"/>
                  <a:pt x="3597437" y="5530582"/>
                  <a:pt x="3579650" y="5530582"/>
                </a:cubicBezTo>
                <a:close/>
                <a:moveTo>
                  <a:pt x="3658183" y="5530582"/>
                </a:moveTo>
                <a:cubicBezTo>
                  <a:pt x="3640396" y="5530582"/>
                  <a:pt x="3625972" y="5517304"/>
                  <a:pt x="3625972" y="5500930"/>
                </a:cubicBezTo>
                <a:cubicBezTo>
                  <a:pt x="3625972" y="5484555"/>
                  <a:pt x="3640396" y="5471278"/>
                  <a:pt x="3658183" y="5471278"/>
                </a:cubicBezTo>
                <a:cubicBezTo>
                  <a:pt x="3675970" y="5471278"/>
                  <a:pt x="3690393" y="5484555"/>
                  <a:pt x="3690393" y="5500930"/>
                </a:cubicBezTo>
                <a:cubicBezTo>
                  <a:pt x="3690393" y="5517304"/>
                  <a:pt x="3675970" y="5530582"/>
                  <a:pt x="3658183" y="5530582"/>
                </a:cubicBezTo>
                <a:close/>
                <a:moveTo>
                  <a:pt x="3736717" y="5530582"/>
                </a:moveTo>
                <a:cubicBezTo>
                  <a:pt x="3718930" y="5530582"/>
                  <a:pt x="3704507" y="5517304"/>
                  <a:pt x="3704507" y="5500930"/>
                </a:cubicBezTo>
                <a:cubicBezTo>
                  <a:pt x="3704507" y="5484555"/>
                  <a:pt x="3718930" y="5471278"/>
                  <a:pt x="3736717" y="5471278"/>
                </a:cubicBezTo>
                <a:cubicBezTo>
                  <a:pt x="3754504" y="5471278"/>
                  <a:pt x="3768927" y="5484555"/>
                  <a:pt x="3768927" y="5500930"/>
                </a:cubicBezTo>
                <a:cubicBezTo>
                  <a:pt x="3768927" y="5517304"/>
                  <a:pt x="3754504" y="5530582"/>
                  <a:pt x="3736717" y="5530582"/>
                </a:cubicBezTo>
                <a:close/>
                <a:moveTo>
                  <a:pt x="3893785" y="5530582"/>
                </a:moveTo>
                <a:cubicBezTo>
                  <a:pt x="3875997" y="5530582"/>
                  <a:pt x="3861574" y="5517304"/>
                  <a:pt x="3861574" y="5500930"/>
                </a:cubicBezTo>
                <a:cubicBezTo>
                  <a:pt x="3861574" y="5484555"/>
                  <a:pt x="3875997" y="5471278"/>
                  <a:pt x="3893785" y="5471278"/>
                </a:cubicBezTo>
                <a:cubicBezTo>
                  <a:pt x="3911572" y="5471278"/>
                  <a:pt x="3925995" y="5484555"/>
                  <a:pt x="3925995" y="5500930"/>
                </a:cubicBezTo>
                <a:cubicBezTo>
                  <a:pt x="3925995" y="5517304"/>
                  <a:pt x="3911572" y="5530582"/>
                  <a:pt x="3893785" y="5530582"/>
                </a:cubicBezTo>
                <a:close/>
                <a:moveTo>
                  <a:pt x="4050852" y="5530582"/>
                </a:moveTo>
                <a:cubicBezTo>
                  <a:pt x="4033065" y="5530582"/>
                  <a:pt x="4018642" y="5517304"/>
                  <a:pt x="4018642" y="5500930"/>
                </a:cubicBezTo>
                <a:cubicBezTo>
                  <a:pt x="4018642" y="5484555"/>
                  <a:pt x="4033065" y="5471278"/>
                  <a:pt x="4050852" y="5471278"/>
                </a:cubicBezTo>
                <a:cubicBezTo>
                  <a:pt x="4068639" y="5471278"/>
                  <a:pt x="4083062" y="5484555"/>
                  <a:pt x="4083062" y="5500930"/>
                </a:cubicBezTo>
                <a:cubicBezTo>
                  <a:pt x="4083062" y="5517304"/>
                  <a:pt x="4068639" y="5530582"/>
                  <a:pt x="4050852" y="5530582"/>
                </a:cubicBezTo>
                <a:close/>
                <a:moveTo>
                  <a:pt x="4207926" y="5530582"/>
                </a:moveTo>
                <a:cubicBezTo>
                  <a:pt x="4190138" y="5530582"/>
                  <a:pt x="4175715" y="5517304"/>
                  <a:pt x="4175715" y="5500930"/>
                </a:cubicBezTo>
                <a:cubicBezTo>
                  <a:pt x="4175715" y="5484555"/>
                  <a:pt x="4190138" y="5471278"/>
                  <a:pt x="4207926" y="5471278"/>
                </a:cubicBezTo>
                <a:cubicBezTo>
                  <a:pt x="4225713" y="5471278"/>
                  <a:pt x="4240136" y="5484555"/>
                  <a:pt x="4240136" y="5500930"/>
                </a:cubicBezTo>
                <a:cubicBezTo>
                  <a:pt x="4240136" y="5517304"/>
                  <a:pt x="4225713" y="5530582"/>
                  <a:pt x="4207926" y="5530582"/>
                </a:cubicBezTo>
                <a:close/>
                <a:moveTo>
                  <a:pt x="4286460" y="5530582"/>
                </a:moveTo>
                <a:cubicBezTo>
                  <a:pt x="4268673" y="5530582"/>
                  <a:pt x="4254250" y="5517304"/>
                  <a:pt x="4254250" y="5500930"/>
                </a:cubicBezTo>
                <a:cubicBezTo>
                  <a:pt x="4254250" y="5484555"/>
                  <a:pt x="4268673" y="5471278"/>
                  <a:pt x="4286460" y="5471278"/>
                </a:cubicBezTo>
                <a:cubicBezTo>
                  <a:pt x="4304247" y="5471278"/>
                  <a:pt x="4318670" y="5484555"/>
                  <a:pt x="4318670" y="5500930"/>
                </a:cubicBezTo>
                <a:cubicBezTo>
                  <a:pt x="4318670" y="5517304"/>
                  <a:pt x="4304247" y="5530582"/>
                  <a:pt x="4286460" y="5530582"/>
                </a:cubicBezTo>
                <a:close/>
                <a:moveTo>
                  <a:pt x="4600596" y="5530582"/>
                </a:moveTo>
                <a:cubicBezTo>
                  <a:pt x="4582809" y="5530582"/>
                  <a:pt x="4568386" y="5517304"/>
                  <a:pt x="4568386" y="5500930"/>
                </a:cubicBezTo>
                <a:cubicBezTo>
                  <a:pt x="4568386" y="5484555"/>
                  <a:pt x="4582809" y="5471278"/>
                  <a:pt x="4600596" y="5471278"/>
                </a:cubicBezTo>
                <a:cubicBezTo>
                  <a:pt x="4618383" y="5471278"/>
                  <a:pt x="4632806" y="5484555"/>
                  <a:pt x="4632806" y="5500930"/>
                </a:cubicBezTo>
                <a:cubicBezTo>
                  <a:pt x="4632806" y="5517304"/>
                  <a:pt x="4618383" y="5530582"/>
                  <a:pt x="4600596" y="5530582"/>
                </a:cubicBezTo>
                <a:close/>
                <a:moveTo>
                  <a:pt x="4679129" y="5530582"/>
                </a:moveTo>
                <a:cubicBezTo>
                  <a:pt x="4661342" y="5530582"/>
                  <a:pt x="4646919" y="5517304"/>
                  <a:pt x="4646919" y="5500930"/>
                </a:cubicBezTo>
                <a:cubicBezTo>
                  <a:pt x="4646919" y="5484555"/>
                  <a:pt x="4661342" y="5471278"/>
                  <a:pt x="4679129" y="5471278"/>
                </a:cubicBezTo>
                <a:cubicBezTo>
                  <a:pt x="4696916" y="5471278"/>
                  <a:pt x="4711339" y="5484555"/>
                  <a:pt x="4711339" y="5500930"/>
                </a:cubicBezTo>
                <a:cubicBezTo>
                  <a:pt x="4711339" y="5517304"/>
                  <a:pt x="4696916" y="5530582"/>
                  <a:pt x="4679129" y="5530582"/>
                </a:cubicBezTo>
                <a:close/>
                <a:moveTo>
                  <a:pt x="4757663" y="5530582"/>
                </a:moveTo>
                <a:cubicBezTo>
                  <a:pt x="4739876" y="5530582"/>
                  <a:pt x="4725453" y="5517304"/>
                  <a:pt x="4725453" y="5500930"/>
                </a:cubicBezTo>
                <a:cubicBezTo>
                  <a:pt x="4725453" y="5484555"/>
                  <a:pt x="4739876" y="5471278"/>
                  <a:pt x="4757663" y="5471278"/>
                </a:cubicBezTo>
                <a:cubicBezTo>
                  <a:pt x="4775451" y="5471278"/>
                  <a:pt x="4789874" y="5484555"/>
                  <a:pt x="4789874" y="5500930"/>
                </a:cubicBezTo>
                <a:cubicBezTo>
                  <a:pt x="4789874" y="5517304"/>
                  <a:pt x="4775451" y="5530582"/>
                  <a:pt x="4757663" y="5530582"/>
                </a:cubicBezTo>
                <a:close/>
                <a:moveTo>
                  <a:pt x="4836197" y="5530582"/>
                </a:moveTo>
                <a:cubicBezTo>
                  <a:pt x="4818409" y="5530582"/>
                  <a:pt x="4803986" y="5517304"/>
                  <a:pt x="4803986" y="5500930"/>
                </a:cubicBezTo>
                <a:cubicBezTo>
                  <a:pt x="4803986" y="5484555"/>
                  <a:pt x="4818409" y="5471278"/>
                  <a:pt x="4836197" y="5471278"/>
                </a:cubicBezTo>
                <a:cubicBezTo>
                  <a:pt x="4853984" y="5471278"/>
                  <a:pt x="4868407" y="5484555"/>
                  <a:pt x="4868407" y="5500930"/>
                </a:cubicBezTo>
                <a:cubicBezTo>
                  <a:pt x="4868407" y="5517304"/>
                  <a:pt x="4853984" y="5530582"/>
                  <a:pt x="4836197" y="5530582"/>
                </a:cubicBezTo>
                <a:close/>
                <a:moveTo>
                  <a:pt x="4914731" y="5530582"/>
                </a:moveTo>
                <a:cubicBezTo>
                  <a:pt x="4896944" y="5530582"/>
                  <a:pt x="4882521" y="5517304"/>
                  <a:pt x="4882521" y="5500930"/>
                </a:cubicBezTo>
                <a:cubicBezTo>
                  <a:pt x="4882521" y="5484555"/>
                  <a:pt x="4896944" y="5471278"/>
                  <a:pt x="4914731" y="5471278"/>
                </a:cubicBezTo>
                <a:cubicBezTo>
                  <a:pt x="4932518" y="5471278"/>
                  <a:pt x="4946941" y="5484555"/>
                  <a:pt x="4946941" y="5500930"/>
                </a:cubicBezTo>
                <a:cubicBezTo>
                  <a:pt x="4946941" y="5517304"/>
                  <a:pt x="4932518" y="5530582"/>
                  <a:pt x="4914731" y="5530582"/>
                </a:cubicBezTo>
                <a:close/>
                <a:moveTo>
                  <a:pt x="4993265" y="5530582"/>
                </a:moveTo>
                <a:cubicBezTo>
                  <a:pt x="4975478" y="5530582"/>
                  <a:pt x="4961055" y="5517304"/>
                  <a:pt x="4961055" y="5500930"/>
                </a:cubicBezTo>
                <a:cubicBezTo>
                  <a:pt x="4961055" y="5484555"/>
                  <a:pt x="4975478" y="5471278"/>
                  <a:pt x="4993265" y="5471278"/>
                </a:cubicBezTo>
                <a:cubicBezTo>
                  <a:pt x="5011052" y="5471278"/>
                  <a:pt x="5025475" y="5484555"/>
                  <a:pt x="5025475" y="5500930"/>
                </a:cubicBezTo>
                <a:cubicBezTo>
                  <a:pt x="5025475" y="5517304"/>
                  <a:pt x="5011052" y="5530582"/>
                  <a:pt x="4993265" y="5530582"/>
                </a:cubicBezTo>
                <a:close/>
                <a:moveTo>
                  <a:pt x="5071798" y="5530582"/>
                </a:moveTo>
                <a:cubicBezTo>
                  <a:pt x="5054011" y="5530582"/>
                  <a:pt x="5039588" y="5517304"/>
                  <a:pt x="5039588" y="5500930"/>
                </a:cubicBezTo>
                <a:cubicBezTo>
                  <a:pt x="5039588" y="5484555"/>
                  <a:pt x="5054011" y="5471278"/>
                  <a:pt x="5071798" y="5471278"/>
                </a:cubicBezTo>
                <a:cubicBezTo>
                  <a:pt x="5089586" y="5471278"/>
                  <a:pt x="5104009" y="5484555"/>
                  <a:pt x="5104009" y="5500930"/>
                </a:cubicBezTo>
                <a:cubicBezTo>
                  <a:pt x="5104009" y="5517304"/>
                  <a:pt x="5089586" y="5530582"/>
                  <a:pt x="5071798" y="5530582"/>
                </a:cubicBezTo>
                <a:close/>
                <a:moveTo>
                  <a:pt x="5150333" y="5530582"/>
                </a:moveTo>
                <a:cubicBezTo>
                  <a:pt x="5132545" y="5530582"/>
                  <a:pt x="5118122" y="5517304"/>
                  <a:pt x="5118122" y="5500930"/>
                </a:cubicBezTo>
                <a:cubicBezTo>
                  <a:pt x="5118122" y="5484555"/>
                  <a:pt x="5132545" y="5471278"/>
                  <a:pt x="5150333" y="5471278"/>
                </a:cubicBezTo>
                <a:cubicBezTo>
                  <a:pt x="5168120" y="5471278"/>
                  <a:pt x="5182543" y="5484555"/>
                  <a:pt x="5182543" y="5500930"/>
                </a:cubicBezTo>
                <a:cubicBezTo>
                  <a:pt x="5182543" y="5517304"/>
                  <a:pt x="5168120" y="5530582"/>
                  <a:pt x="5150333" y="5530582"/>
                </a:cubicBezTo>
                <a:close/>
                <a:moveTo>
                  <a:pt x="5228867" y="5530582"/>
                </a:moveTo>
                <a:cubicBezTo>
                  <a:pt x="5211080" y="5530582"/>
                  <a:pt x="5196657" y="5517304"/>
                  <a:pt x="5196657" y="5500930"/>
                </a:cubicBezTo>
                <a:cubicBezTo>
                  <a:pt x="5196657" y="5484555"/>
                  <a:pt x="5211080" y="5471278"/>
                  <a:pt x="5228867" y="5471278"/>
                </a:cubicBezTo>
                <a:cubicBezTo>
                  <a:pt x="5246654" y="5471278"/>
                  <a:pt x="5261077" y="5484555"/>
                  <a:pt x="5261077" y="5500930"/>
                </a:cubicBezTo>
                <a:cubicBezTo>
                  <a:pt x="5261077" y="5517304"/>
                  <a:pt x="5246654" y="5530582"/>
                  <a:pt x="5228867" y="5530582"/>
                </a:cubicBezTo>
                <a:close/>
                <a:moveTo>
                  <a:pt x="5307400" y="5530582"/>
                </a:moveTo>
                <a:cubicBezTo>
                  <a:pt x="5289613" y="5530582"/>
                  <a:pt x="5275190" y="5517304"/>
                  <a:pt x="5275190" y="5500930"/>
                </a:cubicBezTo>
                <a:cubicBezTo>
                  <a:pt x="5275190" y="5484555"/>
                  <a:pt x="5289613" y="5471278"/>
                  <a:pt x="5307400" y="5471278"/>
                </a:cubicBezTo>
                <a:cubicBezTo>
                  <a:pt x="5325187" y="5471278"/>
                  <a:pt x="5339610" y="5484555"/>
                  <a:pt x="5339610" y="5500930"/>
                </a:cubicBezTo>
                <a:cubicBezTo>
                  <a:pt x="5339610" y="5517304"/>
                  <a:pt x="5325187" y="5530582"/>
                  <a:pt x="5307400" y="5530582"/>
                </a:cubicBezTo>
                <a:close/>
                <a:moveTo>
                  <a:pt x="5385934" y="5530582"/>
                </a:moveTo>
                <a:cubicBezTo>
                  <a:pt x="5368147" y="5530582"/>
                  <a:pt x="5353724" y="5517304"/>
                  <a:pt x="5353724" y="5500930"/>
                </a:cubicBezTo>
                <a:cubicBezTo>
                  <a:pt x="5353724" y="5484555"/>
                  <a:pt x="5368147" y="5471278"/>
                  <a:pt x="5385934" y="5471278"/>
                </a:cubicBezTo>
                <a:cubicBezTo>
                  <a:pt x="5403722" y="5471278"/>
                  <a:pt x="5418145" y="5484555"/>
                  <a:pt x="5418145" y="5500930"/>
                </a:cubicBezTo>
                <a:cubicBezTo>
                  <a:pt x="5418145" y="5517304"/>
                  <a:pt x="5403722" y="5530582"/>
                  <a:pt x="5385934" y="5530582"/>
                </a:cubicBezTo>
                <a:close/>
                <a:moveTo>
                  <a:pt x="5464468" y="5530582"/>
                </a:moveTo>
                <a:cubicBezTo>
                  <a:pt x="5446680" y="5530582"/>
                  <a:pt x="5432257" y="5517304"/>
                  <a:pt x="5432257" y="5500930"/>
                </a:cubicBezTo>
                <a:cubicBezTo>
                  <a:pt x="5432257" y="5484555"/>
                  <a:pt x="5446680" y="5471278"/>
                  <a:pt x="5464468" y="5471278"/>
                </a:cubicBezTo>
                <a:cubicBezTo>
                  <a:pt x="5482255" y="5471278"/>
                  <a:pt x="5496678" y="5484555"/>
                  <a:pt x="5496678" y="5500930"/>
                </a:cubicBezTo>
                <a:cubicBezTo>
                  <a:pt x="5496678" y="5517304"/>
                  <a:pt x="5482255" y="5530582"/>
                  <a:pt x="5464468" y="5530582"/>
                </a:cubicBezTo>
                <a:close/>
                <a:moveTo>
                  <a:pt x="5543002" y="5530582"/>
                </a:moveTo>
                <a:cubicBezTo>
                  <a:pt x="5525215" y="5530582"/>
                  <a:pt x="5510792" y="5517304"/>
                  <a:pt x="5510792" y="5500930"/>
                </a:cubicBezTo>
                <a:cubicBezTo>
                  <a:pt x="5510792" y="5484555"/>
                  <a:pt x="5525215" y="5471278"/>
                  <a:pt x="5543002" y="5471278"/>
                </a:cubicBezTo>
                <a:cubicBezTo>
                  <a:pt x="5560789" y="5471278"/>
                  <a:pt x="5575212" y="5484555"/>
                  <a:pt x="5575212" y="5500930"/>
                </a:cubicBezTo>
                <a:cubicBezTo>
                  <a:pt x="5575212" y="5517304"/>
                  <a:pt x="5560789" y="5530582"/>
                  <a:pt x="5543002" y="5530582"/>
                </a:cubicBezTo>
                <a:close/>
                <a:moveTo>
                  <a:pt x="6171273" y="5530582"/>
                </a:moveTo>
                <a:cubicBezTo>
                  <a:pt x="6153480" y="5530582"/>
                  <a:pt x="6139056" y="5517304"/>
                  <a:pt x="6139056" y="5500930"/>
                </a:cubicBezTo>
                <a:cubicBezTo>
                  <a:pt x="6139056" y="5484555"/>
                  <a:pt x="6153480" y="5471278"/>
                  <a:pt x="6171273" y="5471278"/>
                </a:cubicBezTo>
                <a:cubicBezTo>
                  <a:pt x="6189060" y="5471278"/>
                  <a:pt x="6203477" y="5484555"/>
                  <a:pt x="6203477" y="5500930"/>
                </a:cubicBezTo>
                <a:cubicBezTo>
                  <a:pt x="6203477" y="5517304"/>
                  <a:pt x="6189060" y="5530582"/>
                  <a:pt x="6171273" y="5530582"/>
                </a:cubicBezTo>
                <a:close/>
                <a:moveTo>
                  <a:pt x="6249806" y="5530582"/>
                </a:moveTo>
                <a:cubicBezTo>
                  <a:pt x="6232019" y="5530582"/>
                  <a:pt x="6217590" y="5517304"/>
                  <a:pt x="6217590" y="5500930"/>
                </a:cubicBezTo>
                <a:cubicBezTo>
                  <a:pt x="6217590" y="5484555"/>
                  <a:pt x="6232019" y="5471278"/>
                  <a:pt x="6249806" y="5471278"/>
                </a:cubicBezTo>
                <a:cubicBezTo>
                  <a:pt x="6267593" y="5471278"/>
                  <a:pt x="6282010" y="5484555"/>
                  <a:pt x="6282010" y="5500930"/>
                </a:cubicBezTo>
                <a:cubicBezTo>
                  <a:pt x="6282010" y="5517304"/>
                  <a:pt x="6267593" y="5530582"/>
                  <a:pt x="6249806" y="5530582"/>
                </a:cubicBezTo>
                <a:close/>
                <a:moveTo>
                  <a:pt x="7899042" y="5530582"/>
                </a:moveTo>
                <a:cubicBezTo>
                  <a:pt x="7881255" y="5530582"/>
                  <a:pt x="7866826" y="5517304"/>
                  <a:pt x="7866826" y="5500930"/>
                </a:cubicBezTo>
                <a:cubicBezTo>
                  <a:pt x="7866826" y="5484555"/>
                  <a:pt x="7881255" y="5471278"/>
                  <a:pt x="7899042" y="5471278"/>
                </a:cubicBezTo>
                <a:cubicBezTo>
                  <a:pt x="7916830" y="5471278"/>
                  <a:pt x="7931247" y="5484555"/>
                  <a:pt x="7931247" y="5500930"/>
                </a:cubicBezTo>
                <a:cubicBezTo>
                  <a:pt x="7931247" y="5517304"/>
                  <a:pt x="7916830" y="5530582"/>
                  <a:pt x="7899042" y="5530582"/>
                </a:cubicBezTo>
                <a:close/>
                <a:moveTo>
                  <a:pt x="7977576" y="5530582"/>
                </a:moveTo>
                <a:cubicBezTo>
                  <a:pt x="7959788" y="5530582"/>
                  <a:pt x="7945359" y="5517304"/>
                  <a:pt x="7945359" y="5500930"/>
                </a:cubicBezTo>
                <a:cubicBezTo>
                  <a:pt x="7945359" y="5484555"/>
                  <a:pt x="7959788" y="5471278"/>
                  <a:pt x="7977576" y="5471278"/>
                </a:cubicBezTo>
                <a:cubicBezTo>
                  <a:pt x="7995363" y="5471278"/>
                  <a:pt x="8009780" y="5484555"/>
                  <a:pt x="8009780" y="5500930"/>
                </a:cubicBezTo>
                <a:cubicBezTo>
                  <a:pt x="8009780" y="5517304"/>
                  <a:pt x="7995363" y="5530582"/>
                  <a:pt x="7977576" y="5530582"/>
                </a:cubicBezTo>
                <a:close/>
                <a:moveTo>
                  <a:pt x="8056110" y="5530582"/>
                </a:moveTo>
                <a:cubicBezTo>
                  <a:pt x="8038323" y="5530582"/>
                  <a:pt x="8023894" y="5517304"/>
                  <a:pt x="8023894" y="5500930"/>
                </a:cubicBezTo>
                <a:cubicBezTo>
                  <a:pt x="8023894" y="5484555"/>
                  <a:pt x="8038323" y="5471278"/>
                  <a:pt x="8056110" y="5471278"/>
                </a:cubicBezTo>
                <a:cubicBezTo>
                  <a:pt x="8073897" y="5471278"/>
                  <a:pt x="8088314" y="5484555"/>
                  <a:pt x="8088314" y="5500930"/>
                </a:cubicBezTo>
                <a:cubicBezTo>
                  <a:pt x="8088314" y="5517304"/>
                  <a:pt x="8073897" y="5530582"/>
                  <a:pt x="8056110" y="5530582"/>
                </a:cubicBezTo>
                <a:close/>
                <a:moveTo>
                  <a:pt x="8134643" y="5530582"/>
                </a:moveTo>
                <a:cubicBezTo>
                  <a:pt x="8116856" y="5530582"/>
                  <a:pt x="8102427" y="5517304"/>
                  <a:pt x="8102427" y="5500930"/>
                </a:cubicBezTo>
                <a:cubicBezTo>
                  <a:pt x="8102427" y="5484555"/>
                  <a:pt x="8116856" y="5471278"/>
                  <a:pt x="8134643" y="5471278"/>
                </a:cubicBezTo>
                <a:cubicBezTo>
                  <a:pt x="8152430" y="5471278"/>
                  <a:pt x="8166847" y="5484555"/>
                  <a:pt x="8166847" y="5500930"/>
                </a:cubicBezTo>
                <a:cubicBezTo>
                  <a:pt x="8166847" y="5517304"/>
                  <a:pt x="8152430" y="5530582"/>
                  <a:pt x="8134643" y="5530582"/>
                </a:cubicBezTo>
                <a:close/>
                <a:moveTo>
                  <a:pt x="8213177" y="5530582"/>
                </a:moveTo>
                <a:cubicBezTo>
                  <a:pt x="8195390" y="5530582"/>
                  <a:pt x="8180961" y="5517304"/>
                  <a:pt x="8180961" y="5500930"/>
                </a:cubicBezTo>
                <a:cubicBezTo>
                  <a:pt x="8180961" y="5484555"/>
                  <a:pt x="8195390" y="5471278"/>
                  <a:pt x="8213177" y="5471278"/>
                </a:cubicBezTo>
                <a:cubicBezTo>
                  <a:pt x="8230965" y="5471278"/>
                  <a:pt x="8245382" y="5484555"/>
                  <a:pt x="8245382" y="5500930"/>
                </a:cubicBezTo>
                <a:cubicBezTo>
                  <a:pt x="8245382" y="5517304"/>
                  <a:pt x="8230965" y="5530582"/>
                  <a:pt x="8213177" y="5530582"/>
                </a:cubicBezTo>
                <a:close/>
                <a:moveTo>
                  <a:pt x="9077050" y="5530582"/>
                </a:moveTo>
                <a:cubicBezTo>
                  <a:pt x="9059263" y="5530582"/>
                  <a:pt x="9044834" y="5517304"/>
                  <a:pt x="9044834" y="5500930"/>
                </a:cubicBezTo>
                <a:cubicBezTo>
                  <a:pt x="9044834" y="5484555"/>
                  <a:pt x="9059263" y="5471278"/>
                  <a:pt x="9077050" y="5471278"/>
                </a:cubicBezTo>
                <a:cubicBezTo>
                  <a:pt x="9094837" y="5471278"/>
                  <a:pt x="9109254" y="5484555"/>
                  <a:pt x="9109254" y="5500930"/>
                </a:cubicBezTo>
                <a:cubicBezTo>
                  <a:pt x="9109254" y="5517304"/>
                  <a:pt x="9094837" y="5530582"/>
                  <a:pt x="9077050" y="5530582"/>
                </a:cubicBezTo>
                <a:close/>
                <a:moveTo>
                  <a:pt x="9155583" y="5530582"/>
                </a:moveTo>
                <a:cubicBezTo>
                  <a:pt x="9137796" y="5530582"/>
                  <a:pt x="9123367" y="5517304"/>
                  <a:pt x="9123367" y="5500930"/>
                </a:cubicBezTo>
                <a:cubicBezTo>
                  <a:pt x="9123367" y="5484555"/>
                  <a:pt x="9137796" y="5471278"/>
                  <a:pt x="9155583" y="5471278"/>
                </a:cubicBezTo>
                <a:cubicBezTo>
                  <a:pt x="9173371" y="5471278"/>
                  <a:pt x="9187788" y="5484555"/>
                  <a:pt x="9187788" y="5500930"/>
                </a:cubicBezTo>
                <a:cubicBezTo>
                  <a:pt x="9187788" y="5517304"/>
                  <a:pt x="9173371" y="5530582"/>
                  <a:pt x="9155583" y="5530582"/>
                </a:cubicBezTo>
                <a:close/>
                <a:moveTo>
                  <a:pt x="9234118" y="5530582"/>
                </a:moveTo>
                <a:cubicBezTo>
                  <a:pt x="9216330" y="5530582"/>
                  <a:pt x="9201901" y="5517304"/>
                  <a:pt x="9201901" y="5500930"/>
                </a:cubicBezTo>
                <a:cubicBezTo>
                  <a:pt x="9201901" y="5484555"/>
                  <a:pt x="9216330" y="5471278"/>
                  <a:pt x="9234118" y="5471278"/>
                </a:cubicBezTo>
                <a:cubicBezTo>
                  <a:pt x="9251905" y="5471278"/>
                  <a:pt x="9266322" y="5484555"/>
                  <a:pt x="9266322" y="5500930"/>
                </a:cubicBezTo>
                <a:cubicBezTo>
                  <a:pt x="9266322" y="5517304"/>
                  <a:pt x="9251905" y="5530582"/>
                  <a:pt x="9234118" y="5530582"/>
                </a:cubicBezTo>
                <a:close/>
                <a:moveTo>
                  <a:pt x="9391185" y="5530582"/>
                </a:moveTo>
                <a:cubicBezTo>
                  <a:pt x="9373398" y="5530582"/>
                  <a:pt x="9358969" y="5517304"/>
                  <a:pt x="9358969" y="5500930"/>
                </a:cubicBezTo>
                <a:cubicBezTo>
                  <a:pt x="9358969" y="5484555"/>
                  <a:pt x="9373398" y="5471278"/>
                  <a:pt x="9391185" y="5471278"/>
                </a:cubicBezTo>
                <a:cubicBezTo>
                  <a:pt x="9408972" y="5471278"/>
                  <a:pt x="9423389" y="5484555"/>
                  <a:pt x="9423389" y="5500930"/>
                </a:cubicBezTo>
                <a:cubicBezTo>
                  <a:pt x="9423389" y="5517304"/>
                  <a:pt x="9408972" y="5530582"/>
                  <a:pt x="9391185" y="5530582"/>
                </a:cubicBezTo>
                <a:close/>
                <a:moveTo>
                  <a:pt x="9469719" y="5530582"/>
                </a:moveTo>
                <a:cubicBezTo>
                  <a:pt x="9451932" y="5530582"/>
                  <a:pt x="9437503" y="5517304"/>
                  <a:pt x="9437503" y="5500930"/>
                </a:cubicBezTo>
                <a:cubicBezTo>
                  <a:pt x="9437503" y="5484555"/>
                  <a:pt x="9451932" y="5471278"/>
                  <a:pt x="9469719" y="5471278"/>
                </a:cubicBezTo>
                <a:cubicBezTo>
                  <a:pt x="9487507" y="5471278"/>
                  <a:pt x="9501924" y="5484555"/>
                  <a:pt x="9501924" y="5500930"/>
                </a:cubicBezTo>
                <a:cubicBezTo>
                  <a:pt x="9501924" y="5517304"/>
                  <a:pt x="9487507" y="5530582"/>
                  <a:pt x="9469719" y="5530582"/>
                </a:cubicBezTo>
                <a:close/>
                <a:moveTo>
                  <a:pt x="9705321" y="5530582"/>
                </a:moveTo>
                <a:cubicBezTo>
                  <a:pt x="9687534" y="5530582"/>
                  <a:pt x="9673105" y="5517304"/>
                  <a:pt x="9673105" y="5500930"/>
                </a:cubicBezTo>
                <a:cubicBezTo>
                  <a:pt x="9673105" y="5484555"/>
                  <a:pt x="9687534" y="5471278"/>
                  <a:pt x="9705321" y="5471278"/>
                </a:cubicBezTo>
                <a:cubicBezTo>
                  <a:pt x="9723108" y="5471278"/>
                  <a:pt x="9737525" y="5484555"/>
                  <a:pt x="9737525" y="5500930"/>
                </a:cubicBezTo>
                <a:cubicBezTo>
                  <a:pt x="9737525" y="5517304"/>
                  <a:pt x="9723108" y="5530582"/>
                  <a:pt x="9705321" y="5530582"/>
                </a:cubicBezTo>
                <a:close/>
                <a:moveTo>
                  <a:pt x="9783854" y="5530582"/>
                </a:moveTo>
                <a:cubicBezTo>
                  <a:pt x="9766067" y="5530582"/>
                  <a:pt x="9751638" y="5517304"/>
                  <a:pt x="9751638" y="5500930"/>
                </a:cubicBezTo>
                <a:cubicBezTo>
                  <a:pt x="9751638" y="5484555"/>
                  <a:pt x="9766067" y="5471278"/>
                  <a:pt x="9783854" y="5471278"/>
                </a:cubicBezTo>
                <a:cubicBezTo>
                  <a:pt x="9801642" y="5471278"/>
                  <a:pt x="9816059" y="5484555"/>
                  <a:pt x="9816059" y="5500930"/>
                </a:cubicBezTo>
                <a:cubicBezTo>
                  <a:pt x="9816059" y="5517304"/>
                  <a:pt x="9801642" y="5530582"/>
                  <a:pt x="9783854" y="5530582"/>
                </a:cubicBezTo>
                <a:close/>
                <a:moveTo>
                  <a:pt x="9862389" y="5530582"/>
                </a:moveTo>
                <a:cubicBezTo>
                  <a:pt x="9844601" y="5530582"/>
                  <a:pt x="9830172" y="5517304"/>
                  <a:pt x="9830172" y="5500930"/>
                </a:cubicBezTo>
                <a:cubicBezTo>
                  <a:pt x="9830172" y="5484555"/>
                  <a:pt x="9844601" y="5471278"/>
                  <a:pt x="9862389" y="5471278"/>
                </a:cubicBezTo>
                <a:cubicBezTo>
                  <a:pt x="9880176" y="5471278"/>
                  <a:pt x="9894593" y="5484555"/>
                  <a:pt x="9894593" y="5500930"/>
                </a:cubicBezTo>
                <a:cubicBezTo>
                  <a:pt x="9894593" y="5517304"/>
                  <a:pt x="9880176" y="5530582"/>
                  <a:pt x="9862389" y="5530582"/>
                </a:cubicBezTo>
                <a:close/>
                <a:moveTo>
                  <a:pt x="9940923" y="5530582"/>
                </a:moveTo>
                <a:cubicBezTo>
                  <a:pt x="9923136" y="5530582"/>
                  <a:pt x="9908707" y="5517304"/>
                  <a:pt x="9908707" y="5500930"/>
                </a:cubicBezTo>
                <a:cubicBezTo>
                  <a:pt x="9908707" y="5484555"/>
                  <a:pt x="9923136" y="5471278"/>
                  <a:pt x="9940923" y="5471278"/>
                </a:cubicBezTo>
                <a:cubicBezTo>
                  <a:pt x="9958710" y="5471278"/>
                  <a:pt x="9973127" y="5484555"/>
                  <a:pt x="9973127" y="5500930"/>
                </a:cubicBezTo>
                <a:cubicBezTo>
                  <a:pt x="9973127" y="5517304"/>
                  <a:pt x="9958710" y="5530582"/>
                  <a:pt x="9940923" y="5530582"/>
                </a:cubicBezTo>
                <a:close/>
                <a:moveTo>
                  <a:pt x="10019456" y="5530582"/>
                </a:moveTo>
                <a:cubicBezTo>
                  <a:pt x="10001669" y="5530582"/>
                  <a:pt x="9987240" y="5517304"/>
                  <a:pt x="9987240" y="5500930"/>
                </a:cubicBezTo>
                <a:cubicBezTo>
                  <a:pt x="9987240" y="5484555"/>
                  <a:pt x="10001669" y="5471278"/>
                  <a:pt x="10019456" y="5471278"/>
                </a:cubicBezTo>
                <a:cubicBezTo>
                  <a:pt x="10037243" y="5471278"/>
                  <a:pt x="10051660" y="5484555"/>
                  <a:pt x="10051660" y="5500930"/>
                </a:cubicBezTo>
                <a:cubicBezTo>
                  <a:pt x="10051660" y="5517304"/>
                  <a:pt x="10037243" y="5530582"/>
                  <a:pt x="10019456" y="5530582"/>
                </a:cubicBezTo>
                <a:close/>
                <a:moveTo>
                  <a:pt x="10097990" y="5530582"/>
                </a:moveTo>
                <a:cubicBezTo>
                  <a:pt x="10080203" y="5530582"/>
                  <a:pt x="10065774" y="5517304"/>
                  <a:pt x="10065774" y="5500930"/>
                </a:cubicBezTo>
                <a:cubicBezTo>
                  <a:pt x="10065774" y="5484555"/>
                  <a:pt x="10080203" y="5471278"/>
                  <a:pt x="10097990" y="5471278"/>
                </a:cubicBezTo>
                <a:cubicBezTo>
                  <a:pt x="10115778" y="5471278"/>
                  <a:pt x="10130195" y="5484555"/>
                  <a:pt x="10130195" y="5500930"/>
                </a:cubicBezTo>
                <a:cubicBezTo>
                  <a:pt x="10130195" y="5517304"/>
                  <a:pt x="10115778" y="5530582"/>
                  <a:pt x="10097990" y="5530582"/>
                </a:cubicBezTo>
                <a:close/>
                <a:moveTo>
                  <a:pt x="10176524" y="5530582"/>
                </a:moveTo>
                <a:cubicBezTo>
                  <a:pt x="10158736" y="5530582"/>
                  <a:pt x="10144307" y="5517304"/>
                  <a:pt x="10144307" y="5500930"/>
                </a:cubicBezTo>
                <a:cubicBezTo>
                  <a:pt x="10144307" y="5484555"/>
                  <a:pt x="10158736" y="5471278"/>
                  <a:pt x="10176524" y="5471278"/>
                </a:cubicBezTo>
                <a:cubicBezTo>
                  <a:pt x="10194311" y="5471278"/>
                  <a:pt x="10208728" y="5484555"/>
                  <a:pt x="10208728" y="5500930"/>
                </a:cubicBezTo>
                <a:cubicBezTo>
                  <a:pt x="10208728" y="5517304"/>
                  <a:pt x="10194311" y="5530582"/>
                  <a:pt x="10176524" y="5530582"/>
                </a:cubicBezTo>
                <a:close/>
                <a:moveTo>
                  <a:pt x="10255058" y="5530582"/>
                </a:moveTo>
                <a:cubicBezTo>
                  <a:pt x="10237271" y="5530582"/>
                  <a:pt x="10222842" y="5517304"/>
                  <a:pt x="10222842" y="5500930"/>
                </a:cubicBezTo>
                <a:cubicBezTo>
                  <a:pt x="10222842" y="5484555"/>
                  <a:pt x="10237271" y="5471278"/>
                  <a:pt x="10255058" y="5471278"/>
                </a:cubicBezTo>
                <a:cubicBezTo>
                  <a:pt x="10272845" y="5471278"/>
                  <a:pt x="10287262" y="5484555"/>
                  <a:pt x="10287262" y="5500930"/>
                </a:cubicBezTo>
                <a:cubicBezTo>
                  <a:pt x="10287262" y="5517304"/>
                  <a:pt x="10272845" y="5530582"/>
                  <a:pt x="10255058" y="5530582"/>
                </a:cubicBezTo>
                <a:close/>
                <a:moveTo>
                  <a:pt x="10333592" y="5530582"/>
                </a:moveTo>
                <a:cubicBezTo>
                  <a:pt x="10315805" y="5530582"/>
                  <a:pt x="10301376" y="5517304"/>
                  <a:pt x="10301376" y="5500930"/>
                </a:cubicBezTo>
                <a:cubicBezTo>
                  <a:pt x="10301376" y="5484555"/>
                  <a:pt x="10315805" y="5471278"/>
                  <a:pt x="10333592" y="5471278"/>
                </a:cubicBezTo>
                <a:cubicBezTo>
                  <a:pt x="10351379" y="5471278"/>
                  <a:pt x="10365796" y="5484555"/>
                  <a:pt x="10365796" y="5500930"/>
                </a:cubicBezTo>
                <a:cubicBezTo>
                  <a:pt x="10365796" y="5517304"/>
                  <a:pt x="10351379" y="5530582"/>
                  <a:pt x="10333592" y="5530582"/>
                </a:cubicBezTo>
                <a:close/>
                <a:moveTo>
                  <a:pt x="2087512" y="5458316"/>
                </a:moveTo>
                <a:cubicBezTo>
                  <a:pt x="2069725" y="5458316"/>
                  <a:pt x="2055302" y="5445039"/>
                  <a:pt x="2055302" y="5428664"/>
                </a:cubicBezTo>
                <a:cubicBezTo>
                  <a:pt x="2055302" y="5412289"/>
                  <a:pt x="2069725" y="5399012"/>
                  <a:pt x="2087512" y="5399012"/>
                </a:cubicBezTo>
                <a:cubicBezTo>
                  <a:pt x="2105299" y="5399012"/>
                  <a:pt x="2119722" y="5412289"/>
                  <a:pt x="2119722" y="5428664"/>
                </a:cubicBezTo>
                <a:cubicBezTo>
                  <a:pt x="2119722" y="5445039"/>
                  <a:pt x="2105299" y="5458316"/>
                  <a:pt x="2087512" y="5458316"/>
                </a:cubicBezTo>
                <a:close/>
                <a:moveTo>
                  <a:pt x="2166045" y="5458316"/>
                </a:moveTo>
                <a:cubicBezTo>
                  <a:pt x="2148258" y="5458316"/>
                  <a:pt x="2133835" y="5445039"/>
                  <a:pt x="2133835" y="5428664"/>
                </a:cubicBezTo>
                <a:cubicBezTo>
                  <a:pt x="2133835" y="5412289"/>
                  <a:pt x="2148258" y="5399012"/>
                  <a:pt x="2166045" y="5399012"/>
                </a:cubicBezTo>
                <a:cubicBezTo>
                  <a:pt x="2183832" y="5399012"/>
                  <a:pt x="2198255" y="5412289"/>
                  <a:pt x="2198255" y="5428664"/>
                </a:cubicBezTo>
                <a:cubicBezTo>
                  <a:pt x="2198255" y="5445039"/>
                  <a:pt x="2183832" y="5458316"/>
                  <a:pt x="2166045" y="5458316"/>
                </a:cubicBezTo>
                <a:close/>
                <a:moveTo>
                  <a:pt x="2244579" y="5458316"/>
                </a:moveTo>
                <a:cubicBezTo>
                  <a:pt x="2226792" y="5458316"/>
                  <a:pt x="2212369" y="5445039"/>
                  <a:pt x="2212369" y="5428664"/>
                </a:cubicBezTo>
                <a:cubicBezTo>
                  <a:pt x="2212369" y="5412289"/>
                  <a:pt x="2226792" y="5399012"/>
                  <a:pt x="2244579" y="5399012"/>
                </a:cubicBezTo>
                <a:cubicBezTo>
                  <a:pt x="2262367" y="5399012"/>
                  <a:pt x="2276790" y="5412289"/>
                  <a:pt x="2276790" y="5428664"/>
                </a:cubicBezTo>
                <a:cubicBezTo>
                  <a:pt x="2276790" y="5445039"/>
                  <a:pt x="2262367" y="5458316"/>
                  <a:pt x="2244579" y="5458316"/>
                </a:cubicBezTo>
                <a:close/>
                <a:moveTo>
                  <a:pt x="2323114" y="5458316"/>
                </a:moveTo>
                <a:cubicBezTo>
                  <a:pt x="2305326" y="5458316"/>
                  <a:pt x="2290903" y="5445039"/>
                  <a:pt x="2290903" y="5428664"/>
                </a:cubicBezTo>
                <a:cubicBezTo>
                  <a:pt x="2290903" y="5412289"/>
                  <a:pt x="2305326" y="5399012"/>
                  <a:pt x="2323114" y="5399012"/>
                </a:cubicBezTo>
                <a:cubicBezTo>
                  <a:pt x="2340901" y="5399012"/>
                  <a:pt x="2355324" y="5412289"/>
                  <a:pt x="2355324" y="5428664"/>
                </a:cubicBezTo>
                <a:cubicBezTo>
                  <a:pt x="2355324" y="5445039"/>
                  <a:pt x="2340901" y="5458316"/>
                  <a:pt x="2323114" y="5458316"/>
                </a:cubicBezTo>
                <a:close/>
                <a:moveTo>
                  <a:pt x="2401647" y="5458316"/>
                </a:moveTo>
                <a:cubicBezTo>
                  <a:pt x="2383860" y="5458316"/>
                  <a:pt x="2369437" y="5445039"/>
                  <a:pt x="2369437" y="5428664"/>
                </a:cubicBezTo>
                <a:cubicBezTo>
                  <a:pt x="2369437" y="5412289"/>
                  <a:pt x="2383860" y="5399012"/>
                  <a:pt x="2401647" y="5399012"/>
                </a:cubicBezTo>
                <a:cubicBezTo>
                  <a:pt x="2419434" y="5399012"/>
                  <a:pt x="2433857" y="5412289"/>
                  <a:pt x="2433857" y="5428664"/>
                </a:cubicBezTo>
                <a:cubicBezTo>
                  <a:pt x="2433857" y="5445039"/>
                  <a:pt x="2419434" y="5458316"/>
                  <a:pt x="2401647" y="5458316"/>
                </a:cubicBezTo>
                <a:close/>
                <a:moveTo>
                  <a:pt x="2480181" y="5458316"/>
                </a:moveTo>
                <a:cubicBezTo>
                  <a:pt x="2462394" y="5458316"/>
                  <a:pt x="2447971" y="5445039"/>
                  <a:pt x="2447971" y="5428664"/>
                </a:cubicBezTo>
                <a:cubicBezTo>
                  <a:pt x="2447971" y="5412289"/>
                  <a:pt x="2462394" y="5399012"/>
                  <a:pt x="2480181" y="5399012"/>
                </a:cubicBezTo>
                <a:cubicBezTo>
                  <a:pt x="2497968" y="5399012"/>
                  <a:pt x="2512391" y="5412289"/>
                  <a:pt x="2512391" y="5428664"/>
                </a:cubicBezTo>
                <a:cubicBezTo>
                  <a:pt x="2512391" y="5445039"/>
                  <a:pt x="2497968" y="5458316"/>
                  <a:pt x="2480181" y="5458316"/>
                </a:cubicBezTo>
                <a:close/>
                <a:moveTo>
                  <a:pt x="3265514" y="5458316"/>
                </a:moveTo>
                <a:cubicBezTo>
                  <a:pt x="3247726" y="5458316"/>
                  <a:pt x="3233303" y="5445039"/>
                  <a:pt x="3233303" y="5428664"/>
                </a:cubicBezTo>
                <a:cubicBezTo>
                  <a:pt x="3233303" y="5412289"/>
                  <a:pt x="3247726" y="5399012"/>
                  <a:pt x="3265514" y="5399012"/>
                </a:cubicBezTo>
                <a:cubicBezTo>
                  <a:pt x="3283301" y="5399012"/>
                  <a:pt x="3297724" y="5412289"/>
                  <a:pt x="3297724" y="5428664"/>
                </a:cubicBezTo>
                <a:cubicBezTo>
                  <a:pt x="3297724" y="5445039"/>
                  <a:pt x="3283301" y="5458316"/>
                  <a:pt x="3265514" y="5458316"/>
                </a:cubicBezTo>
                <a:close/>
                <a:moveTo>
                  <a:pt x="3344048" y="5458316"/>
                </a:moveTo>
                <a:cubicBezTo>
                  <a:pt x="3326261" y="5458316"/>
                  <a:pt x="3311837" y="5445039"/>
                  <a:pt x="3311837" y="5428664"/>
                </a:cubicBezTo>
                <a:cubicBezTo>
                  <a:pt x="3311837" y="5412289"/>
                  <a:pt x="3326261" y="5399012"/>
                  <a:pt x="3344048" y="5399012"/>
                </a:cubicBezTo>
                <a:cubicBezTo>
                  <a:pt x="3361835" y="5399012"/>
                  <a:pt x="3376258" y="5412289"/>
                  <a:pt x="3376258" y="5428664"/>
                </a:cubicBezTo>
                <a:cubicBezTo>
                  <a:pt x="3376258" y="5445039"/>
                  <a:pt x="3361835" y="5458316"/>
                  <a:pt x="3344048" y="5458316"/>
                </a:cubicBezTo>
                <a:close/>
                <a:moveTo>
                  <a:pt x="3422581" y="5458316"/>
                </a:moveTo>
                <a:cubicBezTo>
                  <a:pt x="3404794" y="5458316"/>
                  <a:pt x="3390371" y="5445039"/>
                  <a:pt x="3390371" y="5428664"/>
                </a:cubicBezTo>
                <a:cubicBezTo>
                  <a:pt x="3390371" y="5412289"/>
                  <a:pt x="3404794" y="5399012"/>
                  <a:pt x="3422581" y="5399012"/>
                </a:cubicBezTo>
                <a:cubicBezTo>
                  <a:pt x="3440368" y="5399012"/>
                  <a:pt x="3454791" y="5412289"/>
                  <a:pt x="3454791" y="5428664"/>
                </a:cubicBezTo>
                <a:cubicBezTo>
                  <a:pt x="3454791" y="5445039"/>
                  <a:pt x="3440368" y="5458316"/>
                  <a:pt x="3422581" y="5458316"/>
                </a:cubicBezTo>
                <a:close/>
                <a:moveTo>
                  <a:pt x="4050852" y="5458316"/>
                </a:moveTo>
                <a:cubicBezTo>
                  <a:pt x="4033065" y="5458316"/>
                  <a:pt x="4018642" y="5445039"/>
                  <a:pt x="4018642" y="5428664"/>
                </a:cubicBezTo>
                <a:cubicBezTo>
                  <a:pt x="4018642" y="5412289"/>
                  <a:pt x="4033065" y="5399012"/>
                  <a:pt x="4050852" y="5399012"/>
                </a:cubicBezTo>
                <a:cubicBezTo>
                  <a:pt x="4068639" y="5399012"/>
                  <a:pt x="4083062" y="5412289"/>
                  <a:pt x="4083062" y="5428664"/>
                </a:cubicBezTo>
                <a:cubicBezTo>
                  <a:pt x="4083062" y="5445039"/>
                  <a:pt x="4068639" y="5458316"/>
                  <a:pt x="4050852" y="5458316"/>
                </a:cubicBezTo>
                <a:close/>
                <a:moveTo>
                  <a:pt x="4129386" y="5458316"/>
                </a:moveTo>
                <a:cubicBezTo>
                  <a:pt x="4111599" y="5458316"/>
                  <a:pt x="4097176" y="5445039"/>
                  <a:pt x="4097176" y="5428664"/>
                </a:cubicBezTo>
                <a:cubicBezTo>
                  <a:pt x="4097176" y="5412289"/>
                  <a:pt x="4111599" y="5399012"/>
                  <a:pt x="4129386" y="5399012"/>
                </a:cubicBezTo>
                <a:cubicBezTo>
                  <a:pt x="4147174" y="5399012"/>
                  <a:pt x="4161597" y="5412289"/>
                  <a:pt x="4161597" y="5428664"/>
                </a:cubicBezTo>
                <a:cubicBezTo>
                  <a:pt x="4161597" y="5445039"/>
                  <a:pt x="4147174" y="5458316"/>
                  <a:pt x="4129386" y="5458316"/>
                </a:cubicBezTo>
                <a:close/>
                <a:moveTo>
                  <a:pt x="4207926" y="5458316"/>
                </a:moveTo>
                <a:cubicBezTo>
                  <a:pt x="4190138" y="5458316"/>
                  <a:pt x="4175715" y="5445039"/>
                  <a:pt x="4175715" y="5428664"/>
                </a:cubicBezTo>
                <a:cubicBezTo>
                  <a:pt x="4175715" y="5412289"/>
                  <a:pt x="4190138" y="5399012"/>
                  <a:pt x="4207926" y="5399012"/>
                </a:cubicBezTo>
                <a:cubicBezTo>
                  <a:pt x="4225713" y="5399012"/>
                  <a:pt x="4240136" y="5412289"/>
                  <a:pt x="4240136" y="5428664"/>
                </a:cubicBezTo>
                <a:cubicBezTo>
                  <a:pt x="4240136" y="5445039"/>
                  <a:pt x="4225713" y="5458316"/>
                  <a:pt x="4207926" y="5458316"/>
                </a:cubicBezTo>
                <a:close/>
                <a:moveTo>
                  <a:pt x="4522062" y="5458316"/>
                </a:moveTo>
                <a:cubicBezTo>
                  <a:pt x="4504274" y="5458316"/>
                  <a:pt x="4489851" y="5445039"/>
                  <a:pt x="4489851" y="5428664"/>
                </a:cubicBezTo>
                <a:cubicBezTo>
                  <a:pt x="4489851" y="5412289"/>
                  <a:pt x="4504274" y="5399012"/>
                  <a:pt x="4522062" y="5399012"/>
                </a:cubicBezTo>
                <a:cubicBezTo>
                  <a:pt x="4539849" y="5399012"/>
                  <a:pt x="4554272" y="5412289"/>
                  <a:pt x="4554272" y="5428664"/>
                </a:cubicBezTo>
                <a:cubicBezTo>
                  <a:pt x="4554272" y="5445039"/>
                  <a:pt x="4539849" y="5458316"/>
                  <a:pt x="4522062" y="5458316"/>
                </a:cubicBezTo>
                <a:close/>
                <a:moveTo>
                  <a:pt x="4600596" y="5458316"/>
                </a:moveTo>
                <a:cubicBezTo>
                  <a:pt x="4582809" y="5458316"/>
                  <a:pt x="4568386" y="5445039"/>
                  <a:pt x="4568386" y="5428664"/>
                </a:cubicBezTo>
                <a:cubicBezTo>
                  <a:pt x="4568386" y="5412289"/>
                  <a:pt x="4582809" y="5399012"/>
                  <a:pt x="4600596" y="5399012"/>
                </a:cubicBezTo>
                <a:cubicBezTo>
                  <a:pt x="4618383" y="5399012"/>
                  <a:pt x="4632806" y="5412289"/>
                  <a:pt x="4632806" y="5428664"/>
                </a:cubicBezTo>
                <a:cubicBezTo>
                  <a:pt x="4632806" y="5445039"/>
                  <a:pt x="4618383" y="5458316"/>
                  <a:pt x="4600596" y="5458316"/>
                </a:cubicBezTo>
                <a:close/>
                <a:moveTo>
                  <a:pt x="4679129" y="5458316"/>
                </a:moveTo>
                <a:cubicBezTo>
                  <a:pt x="4661342" y="5458316"/>
                  <a:pt x="4646919" y="5445039"/>
                  <a:pt x="4646919" y="5428664"/>
                </a:cubicBezTo>
                <a:cubicBezTo>
                  <a:pt x="4646919" y="5412289"/>
                  <a:pt x="4661342" y="5399012"/>
                  <a:pt x="4679129" y="5399012"/>
                </a:cubicBezTo>
                <a:cubicBezTo>
                  <a:pt x="4696916" y="5399012"/>
                  <a:pt x="4711339" y="5412289"/>
                  <a:pt x="4711339" y="5428664"/>
                </a:cubicBezTo>
                <a:cubicBezTo>
                  <a:pt x="4711339" y="5445039"/>
                  <a:pt x="4696916" y="5458316"/>
                  <a:pt x="4679129" y="5458316"/>
                </a:cubicBezTo>
                <a:close/>
                <a:moveTo>
                  <a:pt x="4757663" y="5458316"/>
                </a:moveTo>
                <a:cubicBezTo>
                  <a:pt x="4739876" y="5458316"/>
                  <a:pt x="4725453" y="5445039"/>
                  <a:pt x="4725453" y="5428664"/>
                </a:cubicBezTo>
                <a:cubicBezTo>
                  <a:pt x="4725453" y="5412289"/>
                  <a:pt x="4739876" y="5399012"/>
                  <a:pt x="4757663" y="5399012"/>
                </a:cubicBezTo>
                <a:cubicBezTo>
                  <a:pt x="4775451" y="5399012"/>
                  <a:pt x="4789874" y="5412289"/>
                  <a:pt x="4789874" y="5428664"/>
                </a:cubicBezTo>
                <a:cubicBezTo>
                  <a:pt x="4789874" y="5445039"/>
                  <a:pt x="4775451" y="5458316"/>
                  <a:pt x="4757663" y="5458316"/>
                </a:cubicBezTo>
                <a:close/>
                <a:moveTo>
                  <a:pt x="4836197" y="5458316"/>
                </a:moveTo>
                <a:cubicBezTo>
                  <a:pt x="4818409" y="5458316"/>
                  <a:pt x="4803986" y="5445039"/>
                  <a:pt x="4803986" y="5428664"/>
                </a:cubicBezTo>
                <a:cubicBezTo>
                  <a:pt x="4803986" y="5412289"/>
                  <a:pt x="4818409" y="5399012"/>
                  <a:pt x="4836197" y="5399012"/>
                </a:cubicBezTo>
                <a:cubicBezTo>
                  <a:pt x="4853984" y="5399012"/>
                  <a:pt x="4868407" y="5412289"/>
                  <a:pt x="4868407" y="5428664"/>
                </a:cubicBezTo>
                <a:cubicBezTo>
                  <a:pt x="4868407" y="5445039"/>
                  <a:pt x="4853984" y="5458316"/>
                  <a:pt x="4836197" y="5458316"/>
                </a:cubicBezTo>
                <a:close/>
                <a:moveTo>
                  <a:pt x="4914731" y="5458316"/>
                </a:moveTo>
                <a:cubicBezTo>
                  <a:pt x="4896944" y="5458316"/>
                  <a:pt x="4882521" y="5445039"/>
                  <a:pt x="4882521" y="5428664"/>
                </a:cubicBezTo>
                <a:cubicBezTo>
                  <a:pt x="4882521" y="5412289"/>
                  <a:pt x="4896944" y="5399012"/>
                  <a:pt x="4914731" y="5399012"/>
                </a:cubicBezTo>
                <a:cubicBezTo>
                  <a:pt x="4932518" y="5399012"/>
                  <a:pt x="4946941" y="5412289"/>
                  <a:pt x="4946941" y="5428664"/>
                </a:cubicBezTo>
                <a:cubicBezTo>
                  <a:pt x="4946941" y="5445039"/>
                  <a:pt x="4932518" y="5458316"/>
                  <a:pt x="4914731" y="5458316"/>
                </a:cubicBezTo>
                <a:close/>
                <a:moveTo>
                  <a:pt x="4993265" y="5458316"/>
                </a:moveTo>
                <a:cubicBezTo>
                  <a:pt x="4975478" y="5458316"/>
                  <a:pt x="4961055" y="5445039"/>
                  <a:pt x="4961055" y="5428664"/>
                </a:cubicBezTo>
                <a:cubicBezTo>
                  <a:pt x="4961055" y="5412289"/>
                  <a:pt x="4975478" y="5399012"/>
                  <a:pt x="4993265" y="5399012"/>
                </a:cubicBezTo>
                <a:cubicBezTo>
                  <a:pt x="5011052" y="5399012"/>
                  <a:pt x="5025475" y="5412289"/>
                  <a:pt x="5025475" y="5428664"/>
                </a:cubicBezTo>
                <a:cubicBezTo>
                  <a:pt x="5025475" y="5445039"/>
                  <a:pt x="5011052" y="5458316"/>
                  <a:pt x="4993265" y="5458316"/>
                </a:cubicBezTo>
                <a:close/>
                <a:moveTo>
                  <a:pt x="5071798" y="5458316"/>
                </a:moveTo>
                <a:cubicBezTo>
                  <a:pt x="5054011" y="5458316"/>
                  <a:pt x="5039588" y="5445039"/>
                  <a:pt x="5039588" y="5428664"/>
                </a:cubicBezTo>
                <a:cubicBezTo>
                  <a:pt x="5039588" y="5412289"/>
                  <a:pt x="5054011" y="5399012"/>
                  <a:pt x="5071798" y="5399012"/>
                </a:cubicBezTo>
                <a:cubicBezTo>
                  <a:pt x="5089586" y="5399012"/>
                  <a:pt x="5104009" y="5412289"/>
                  <a:pt x="5104009" y="5428664"/>
                </a:cubicBezTo>
                <a:cubicBezTo>
                  <a:pt x="5104009" y="5445039"/>
                  <a:pt x="5089586" y="5458316"/>
                  <a:pt x="5071798" y="5458316"/>
                </a:cubicBezTo>
                <a:close/>
                <a:moveTo>
                  <a:pt x="5150333" y="5458316"/>
                </a:moveTo>
                <a:cubicBezTo>
                  <a:pt x="5132545" y="5458316"/>
                  <a:pt x="5118122" y="5445039"/>
                  <a:pt x="5118122" y="5428664"/>
                </a:cubicBezTo>
                <a:cubicBezTo>
                  <a:pt x="5118122" y="5412289"/>
                  <a:pt x="5132545" y="5399012"/>
                  <a:pt x="5150333" y="5399012"/>
                </a:cubicBezTo>
                <a:cubicBezTo>
                  <a:pt x="5168120" y="5399012"/>
                  <a:pt x="5182543" y="5412289"/>
                  <a:pt x="5182543" y="5428664"/>
                </a:cubicBezTo>
                <a:cubicBezTo>
                  <a:pt x="5182543" y="5445039"/>
                  <a:pt x="5168120" y="5458316"/>
                  <a:pt x="5150333" y="5458316"/>
                </a:cubicBezTo>
                <a:close/>
                <a:moveTo>
                  <a:pt x="5228867" y="5458316"/>
                </a:moveTo>
                <a:cubicBezTo>
                  <a:pt x="5211080" y="5458316"/>
                  <a:pt x="5196657" y="5445039"/>
                  <a:pt x="5196657" y="5428664"/>
                </a:cubicBezTo>
                <a:cubicBezTo>
                  <a:pt x="5196657" y="5412289"/>
                  <a:pt x="5211080" y="5399012"/>
                  <a:pt x="5228867" y="5399012"/>
                </a:cubicBezTo>
                <a:cubicBezTo>
                  <a:pt x="5246654" y="5399012"/>
                  <a:pt x="5261077" y="5412289"/>
                  <a:pt x="5261077" y="5428664"/>
                </a:cubicBezTo>
                <a:cubicBezTo>
                  <a:pt x="5261077" y="5445039"/>
                  <a:pt x="5246654" y="5458316"/>
                  <a:pt x="5228867" y="5458316"/>
                </a:cubicBezTo>
                <a:close/>
                <a:moveTo>
                  <a:pt x="5307400" y="5458316"/>
                </a:moveTo>
                <a:cubicBezTo>
                  <a:pt x="5289613" y="5458316"/>
                  <a:pt x="5275190" y="5445039"/>
                  <a:pt x="5275190" y="5428664"/>
                </a:cubicBezTo>
                <a:cubicBezTo>
                  <a:pt x="5275190" y="5412289"/>
                  <a:pt x="5289613" y="5399012"/>
                  <a:pt x="5307400" y="5399012"/>
                </a:cubicBezTo>
                <a:cubicBezTo>
                  <a:pt x="5325187" y="5399012"/>
                  <a:pt x="5339610" y="5412289"/>
                  <a:pt x="5339610" y="5428664"/>
                </a:cubicBezTo>
                <a:cubicBezTo>
                  <a:pt x="5339610" y="5445039"/>
                  <a:pt x="5325187" y="5458316"/>
                  <a:pt x="5307400" y="5458316"/>
                </a:cubicBezTo>
                <a:close/>
                <a:moveTo>
                  <a:pt x="5385934" y="5458316"/>
                </a:moveTo>
                <a:cubicBezTo>
                  <a:pt x="5368147" y="5458316"/>
                  <a:pt x="5353724" y="5445039"/>
                  <a:pt x="5353724" y="5428664"/>
                </a:cubicBezTo>
                <a:cubicBezTo>
                  <a:pt x="5353724" y="5412289"/>
                  <a:pt x="5368147" y="5399012"/>
                  <a:pt x="5385934" y="5399012"/>
                </a:cubicBezTo>
                <a:cubicBezTo>
                  <a:pt x="5403722" y="5399012"/>
                  <a:pt x="5418145" y="5412289"/>
                  <a:pt x="5418145" y="5428664"/>
                </a:cubicBezTo>
                <a:cubicBezTo>
                  <a:pt x="5418145" y="5445039"/>
                  <a:pt x="5403722" y="5458316"/>
                  <a:pt x="5385934" y="5458316"/>
                </a:cubicBezTo>
                <a:close/>
                <a:moveTo>
                  <a:pt x="5464468" y="5458316"/>
                </a:moveTo>
                <a:cubicBezTo>
                  <a:pt x="5446680" y="5458316"/>
                  <a:pt x="5432257" y="5445039"/>
                  <a:pt x="5432257" y="5428664"/>
                </a:cubicBezTo>
                <a:cubicBezTo>
                  <a:pt x="5432257" y="5412289"/>
                  <a:pt x="5446680" y="5399012"/>
                  <a:pt x="5464468" y="5399012"/>
                </a:cubicBezTo>
                <a:cubicBezTo>
                  <a:pt x="5482255" y="5399012"/>
                  <a:pt x="5496678" y="5412289"/>
                  <a:pt x="5496678" y="5428664"/>
                </a:cubicBezTo>
                <a:cubicBezTo>
                  <a:pt x="5496678" y="5445039"/>
                  <a:pt x="5482255" y="5458316"/>
                  <a:pt x="5464468" y="5458316"/>
                </a:cubicBezTo>
                <a:close/>
                <a:moveTo>
                  <a:pt x="6249806" y="5458316"/>
                </a:moveTo>
                <a:cubicBezTo>
                  <a:pt x="6232019" y="5458316"/>
                  <a:pt x="6217590" y="5445039"/>
                  <a:pt x="6217590" y="5428664"/>
                </a:cubicBezTo>
                <a:cubicBezTo>
                  <a:pt x="6217590" y="5412289"/>
                  <a:pt x="6232019" y="5399012"/>
                  <a:pt x="6249806" y="5399012"/>
                </a:cubicBezTo>
                <a:cubicBezTo>
                  <a:pt x="6267593" y="5399012"/>
                  <a:pt x="6282010" y="5412289"/>
                  <a:pt x="6282010" y="5428664"/>
                </a:cubicBezTo>
                <a:cubicBezTo>
                  <a:pt x="6282010" y="5445039"/>
                  <a:pt x="6267593" y="5458316"/>
                  <a:pt x="6249806" y="5458316"/>
                </a:cubicBezTo>
                <a:close/>
                <a:moveTo>
                  <a:pt x="6328340" y="5458316"/>
                </a:moveTo>
                <a:cubicBezTo>
                  <a:pt x="6310553" y="5458316"/>
                  <a:pt x="6296124" y="5445039"/>
                  <a:pt x="6296124" y="5428664"/>
                </a:cubicBezTo>
                <a:cubicBezTo>
                  <a:pt x="6296124" y="5412289"/>
                  <a:pt x="6310553" y="5399012"/>
                  <a:pt x="6328340" y="5399012"/>
                </a:cubicBezTo>
                <a:cubicBezTo>
                  <a:pt x="6346128" y="5399012"/>
                  <a:pt x="6360545" y="5412289"/>
                  <a:pt x="6360545" y="5428664"/>
                </a:cubicBezTo>
                <a:cubicBezTo>
                  <a:pt x="6360545" y="5445039"/>
                  <a:pt x="6346128" y="5458316"/>
                  <a:pt x="6328340" y="5458316"/>
                </a:cubicBezTo>
                <a:close/>
                <a:moveTo>
                  <a:pt x="7270771" y="5458316"/>
                </a:moveTo>
                <a:cubicBezTo>
                  <a:pt x="7252984" y="5458316"/>
                  <a:pt x="7238555" y="5445039"/>
                  <a:pt x="7238555" y="5428664"/>
                </a:cubicBezTo>
                <a:cubicBezTo>
                  <a:pt x="7238555" y="5412289"/>
                  <a:pt x="7252984" y="5399012"/>
                  <a:pt x="7270771" y="5399012"/>
                </a:cubicBezTo>
                <a:cubicBezTo>
                  <a:pt x="7288559" y="5399012"/>
                  <a:pt x="7302976" y="5412289"/>
                  <a:pt x="7302976" y="5428664"/>
                </a:cubicBezTo>
                <a:cubicBezTo>
                  <a:pt x="7302976" y="5445039"/>
                  <a:pt x="7288559" y="5458316"/>
                  <a:pt x="7270771" y="5458316"/>
                </a:cubicBezTo>
                <a:close/>
                <a:moveTo>
                  <a:pt x="7820508" y="5458316"/>
                </a:moveTo>
                <a:cubicBezTo>
                  <a:pt x="7802721" y="5458316"/>
                  <a:pt x="7788292" y="5445039"/>
                  <a:pt x="7788292" y="5428664"/>
                </a:cubicBezTo>
                <a:cubicBezTo>
                  <a:pt x="7788292" y="5412289"/>
                  <a:pt x="7802721" y="5399012"/>
                  <a:pt x="7820508" y="5399012"/>
                </a:cubicBezTo>
                <a:cubicBezTo>
                  <a:pt x="7838295" y="5399012"/>
                  <a:pt x="7852712" y="5412289"/>
                  <a:pt x="7852712" y="5428664"/>
                </a:cubicBezTo>
                <a:cubicBezTo>
                  <a:pt x="7852712" y="5445039"/>
                  <a:pt x="7838295" y="5458316"/>
                  <a:pt x="7820508" y="5458316"/>
                </a:cubicBezTo>
                <a:close/>
                <a:moveTo>
                  <a:pt x="7899042" y="5458316"/>
                </a:moveTo>
                <a:cubicBezTo>
                  <a:pt x="7881255" y="5458316"/>
                  <a:pt x="7866826" y="5445039"/>
                  <a:pt x="7866826" y="5428664"/>
                </a:cubicBezTo>
                <a:cubicBezTo>
                  <a:pt x="7866826" y="5412289"/>
                  <a:pt x="7881255" y="5399012"/>
                  <a:pt x="7899042" y="5399012"/>
                </a:cubicBezTo>
                <a:cubicBezTo>
                  <a:pt x="7916830" y="5399012"/>
                  <a:pt x="7931247" y="5412289"/>
                  <a:pt x="7931247" y="5428664"/>
                </a:cubicBezTo>
                <a:cubicBezTo>
                  <a:pt x="7931247" y="5445039"/>
                  <a:pt x="7916830" y="5458316"/>
                  <a:pt x="7899042" y="5458316"/>
                </a:cubicBezTo>
                <a:close/>
                <a:moveTo>
                  <a:pt x="7977576" y="5458316"/>
                </a:moveTo>
                <a:cubicBezTo>
                  <a:pt x="7959788" y="5458316"/>
                  <a:pt x="7945359" y="5445039"/>
                  <a:pt x="7945359" y="5428664"/>
                </a:cubicBezTo>
                <a:cubicBezTo>
                  <a:pt x="7945359" y="5412289"/>
                  <a:pt x="7959788" y="5399012"/>
                  <a:pt x="7977576" y="5399012"/>
                </a:cubicBezTo>
                <a:cubicBezTo>
                  <a:pt x="7995363" y="5399012"/>
                  <a:pt x="8009780" y="5412289"/>
                  <a:pt x="8009780" y="5428664"/>
                </a:cubicBezTo>
                <a:cubicBezTo>
                  <a:pt x="8009780" y="5445039"/>
                  <a:pt x="7995363" y="5458316"/>
                  <a:pt x="7977576" y="5458316"/>
                </a:cubicBezTo>
                <a:close/>
                <a:moveTo>
                  <a:pt x="8134643" y="5458316"/>
                </a:moveTo>
                <a:cubicBezTo>
                  <a:pt x="8116856" y="5458316"/>
                  <a:pt x="8102427" y="5445039"/>
                  <a:pt x="8102427" y="5428664"/>
                </a:cubicBezTo>
                <a:cubicBezTo>
                  <a:pt x="8102427" y="5412289"/>
                  <a:pt x="8116856" y="5399012"/>
                  <a:pt x="8134643" y="5399012"/>
                </a:cubicBezTo>
                <a:cubicBezTo>
                  <a:pt x="8152430" y="5399012"/>
                  <a:pt x="8166847" y="5412289"/>
                  <a:pt x="8166847" y="5428664"/>
                </a:cubicBezTo>
                <a:cubicBezTo>
                  <a:pt x="8166847" y="5445039"/>
                  <a:pt x="8152430" y="5458316"/>
                  <a:pt x="8134643" y="5458316"/>
                </a:cubicBezTo>
                <a:close/>
                <a:moveTo>
                  <a:pt x="8448779" y="5458316"/>
                </a:moveTo>
                <a:cubicBezTo>
                  <a:pt x="8430992" y="5458316"/>
                  <a:pt x="8416563" y="5445039"/>
                  <a:pt x="8416563" y="5428664"/>
                </a:cubicBezTo>
                <a:cubicBezTo>
                  <a:pt x="8416563" y="5412289"/>
                  <a:pt x="8430992" y="5399012"/>
                  <a:pt x="8448779" y="5399012"/>
                </a:cubicBezTo>
                <a:cubicBezTo>
                  <a:pt x="8466566" y="5399012"/>
                  <a:pt x="8480983" y="5412289"/>
                  <a:pt x="8480983" y="5428664"/>
                </a:cubicBezTo>
                <a:cubicBezTo>
                  <a:pt x="8480983" y="5445039"/>
                  <a:pt x="8466566" y="5458316"/>
                  <a:pt x="8448779" y="5458316"/>
                </a:cubicBezTo>
                <a:close/>
                <a:moveTo>
                  <a:pt x="8605847" y="5458316"/>
                </a:moveTo>
                <a:cubicBezTo>
                  <a:pt x="8588059" y="5458316"/>
                  <a:pt x="8573630" y="5445039"/>
                  <a:pt x="8573630" y="5428664"/>
                </a:cubicBezTo>
                <a:cubicBezTo>
                  <a:pt x="8573630" y="5412289"/>
                  <a:pt x="8588059" y="5399012"/>
                  <a:pt x="8605847" y="5399012"/>
                </a:cubicBezTo>
                <a:cubicBezTo>
                  <a:pt x="8623634" y="5399012"/>
                  <a:pt x="8638051" y="5412289"/>
                  <a:pt x="8638051" y="5428664"/>
                </a:cubicBezTo>
                <a:cubicBezTo>
                  <a:pt x="8638051" y="5445039"/>
                  <a:pt x="8623634" y="5458316"/>
                  <a:pt x="8605847" y="5458316"/>
                </a:cubicBezTo>
                <a:close/>
                <a:moveTo>
                  <a:pt x="8684381" y="5458316"/>
                </a:moveTo>
                <a:cubicBezTo>
                  <a:pt x="8666594" y="5458316"/>
                  <a:pt x="8652165" y="5445039"/>
                  <a:pt x="8652165" y="5428664"/>
                </a:cubicBezTo>
                <a:cubicBezTo>
                  <a:pt x="8652165" y="5412289"/>
                  <a:pt x="8666594" y="5399012"/>
                  <a:pt x="8684381" y="5399012"/>
                </a:cubicBezTo>
                <a:cubicBezTo>
                  <a:pt x="8702168" y="5399012"/>
                  <a:pt x="8716585" y="5412289"/>
                  <a:pt x="8716585" y="5428664"/>
                </a:cubicBezTo>
                <a:cubicBezTo>
                  <a:pt x="8716585" y="5445039"/>
                  <a:pt x="8702168" y="5458316"/>
                  <a:pt x="8684381" y="5458316"/>
                </a:cubicBezTo>
                <a:close/>
                <a:moveTo>
                  <a:pt x="8998516" y="5458316"/>
                </a:moveTo>
                <a:cubicBezTo>
                  <a:pt x="8980729" y="5458316"/>
                  <a:pt x="8966300" y="5445039"/>
                  <a:pt x="8966300" y="5428664"/>
                </a:cubicBezTo>
                <a:cubicBezTo>
                  <a:pt x="8966300" y="5412289"/>
                  <a:pt x="8980729" y="5399012"/>
                  <a:pt x="8998516" y="5399012"/>
                </a:cubicBezTo>
                <a:cubicBezTo>
                  <a:pt x="9016303" y="5399012"/>
                  <a:pt x="9030720" y="5412289"/>
                  <a:pt x="9030720" y="5428664"/>
                </a:cubicBezTo>
                <a:cubicBezTo>
                  <a:pt x="9030720" y="5445039"/>
                  <a:pt x="9016303" y="5458316"/>
                  <a:pt x="8998516" y="5458316"/>
                </a:cubicBezTo>
                <a:close/>
                <a:moveTo>
                  <a:pt x="9077050" y="5458316"/>
                </a:moveTo>
                <a:cubicBezTo>
                  <a:pt x="9059263" y="5458316"/>
                  <a:pt x="9044834" y="5445039"/>
                  <a:pt x="9044834" y="5428664"/>
                </a:cubicBezTo>
                <a:cubicBezTo>
                  <a:pt x="9044834" y="5412289"/>
                  <a:pt x="9059263" y="5399012"/>
                  <a:pt x="9077050" y="5399012"/>
                </a:cubicBezTo>
                <a:cubicBezTo>
                  <a:pt x="9094837" y="5399012"/>
                  <a:pt x="9109254" y="5412289"/>
                  <a:pt x="9109254" y="5428664"/>
                </a:cubicBezTo>
                <a:cubicBezTo>
                  <a:pt x="9109254" y="5445039"/>
                  <a:pt x="9094837" y="5458316"/>
                  <a:pt x="9077050" y="5458316"/>
                </a:cubicBezTo>
                <a:close/>
                <a:moveTo>
                  <a:pt x="9155583" y="5458316"/>
                </a:moveTo>
                <a:cubicBezTo>
                  <a:pt x="9137796" y="5458316"/>
                  <a:pt x="9123367" y="5445039"/>
                  <a:pt x="9123367" y="5428664"/>
                </a:cubicBezTo>
                <a:cubicBezTo>
                  <a:pt x="9123367" y="5412289"/>
                  <a:pt x="9137796" y="5399012"/>
                  <a:pt x="9155583" y="5399012"/>
                </a:cubicBezTo>
                <a:cubicBezTo>
                  <a:pt x="9173371" y="5399012"/>
                  <a:pt x="9187788" y="5412289"/>
                  <a:pt x="9187788" y="5428664"/>
                </a:cubicBezTo>
                <a:cubicBezTo>
                  <a:pt x="9187788" y="5445039"/>
                  <a:pt x="9173371" y="5458316"/>
                  <a:pt x="9155583" y="5458316"/>
                </a:cubicBezTo>
                <a:close/>
                <a:moveTo>
                  <a:pt x="9234118" y="5458316"/>
                </a:moveTo>
                <a:cubicBezTo>
                  <a:pt x="9216330" y="5458316"/>
                  <a:pt x="9201901" y="5445039"/>
                  <a:pt x="9201901" y="5428664"/>
                </a:cubicBezTo>
                <a:cubicBezTo>
                  <a:pt x="9201901" y="5412289"/>
                  <a:pt x="9216330" y="5399012"/>
                  <a:pt x="9234118" y="5399012"/>
                </a:cubicBezTo>
                <a:cubicBezTo>
                  <a:pt x="9251905" y="5399012"/>
                  <a:pt x="9266322" y="5412289"/>
                  <a:pt x="9266322" y="5428664"/>
                </a:cubicBezTo>
                <a:cubicBezTo>
                  <a:pt x="9266322" y="5445039"/>
                  <a:pt x="9251905" y="5458316"/>
                  <a:pt x="9234118" y="5458316"/>
                </a:cubicBezTo>
                <a:close/>
                <a:moveTo>
                  <a:pt x="9312652" y="5458316"/>
                </a:moveTo>
                <a:cubicBezTo>
                  <a:pt x="9294865" y="5458316"/>
                  <a:pt x="9280436" y="5445039"/>
                  <a:pt x="9280436" y="5428664"/>
                </a:cubicBezTo>
                <a:cubicBezTo>
                  <a:pt x="9280436" y="5412289"/>
                  <a:pt x="9294865" y="5399012"/>
                  <a:pt x="9312652" y="5399012"/>
                </a:cubicBezTo>
                <a:cubicBezTo>
                  <a:pt x="9330439" y="5399012"/>
                  <a:pt x="9344856" y="5412289"/>
                  <a:pt x="9344856" y="5428664"/>
                </a:cubicBezTo>
                <a:cubicBezTo>
                  <a:pt x="9344856" y="5445039"/>
                  <a:pt x="9330439" y="5458316"/>
                  <a:pt x="9312652" y="5458316"/>
                </a:cubicBezTo>
                <a:close/>
                <a:moveTo>
                  <a:pt x="9391185" y="5458316"/>
                </a:moveTo>
                <a:cubicBezTo>
                  <a:pt x="9373398" y="5458316"/>
                  <a:pt x="9358969" y="5445039"/>
                  <a:pt x="9358969" y="5428664"/>
                </a:cubicBezTo>
                <a:cubicBezTo>
                  <a:pt x="9358969" y="5412289"/>
                  <a:pt x="9373398" y="5399012"/>
                  <a:pt x="9391185" y="5399012"/>
                </a:cubicBezTo>
                <a:cubicBezTo>
                  <a:pt x="9408972" y="5399012"/>
                  <a:pt x="9423389" y="5412289"/>
                  <a:pt x="9423389" y="5428664"/>
                </a:cubicBezTo>
                <a:cubicBezTo>
                  <a:pt x="9423389" y="5445039"/>
                  <a:pt x="9408972" y="5458316"/>
                  <a:pt x="9391185" y="5458316"/>
                </a:cubicBezTo>
                <a:close/>
                <a:moveTo>
                  <a:pt x="9469719" y="5458316"/>
                </a:moveTo>
                <a:cubicBezTo>
                  <a:pt x="9451932" y="5458316"/>
                  <a:pt x="9437503" y="5445039"/>
                  <a:pt x="9437503" y="5428664"/>
                </a:cubicBezTo>
                <a:cubicBezTo>
                  <a:pt x="9437503" y="5412289"/>
                  <a:pt x="9451932" y="5399012"/>
                  <a:pt x="9469719" y="5399012"/>
                </a:cubicBezTo>
                <a:cubicBezTo>
                  <a:pt x="9487507" y="5399012"/>
                  <a:pt x="9501924" y="5412289"/>
                  <a:pt x="9501924" y="5428664"/>
                </a:cubicBezTo>
                <a:cubicBezTo>
                  <a:pt x="9501924" y="5445039"/>
                  <a:pt x="9487507" y="5458316"/>
                  <a:pt x="9469719" y="5458316"/>
                </a:cubicBezTo>
                <a:close/>
                <a:moveTo>
                  <a:pt x="9548254" y="5458316"/>
                </a:moveTo>
                <a:cubicBezTo>
                  <a:pt x="9530466" y="5458316"/>
                  <a:pt x="9516037" y="5445039"/>
                  <a:pt x="9516037" y="5428664"/>
                </a:cubicBezTo>
                <a:cubicBezTo>
                  <a:pt x="9516037" y="5412289"/>
                  <a:pt x="9530466" y="5399012"/>
                  <a:pt x="9548254" y="5399012"/>
                </a:cubicBezTo>
                <a:cubicBezTo>
                  <a:pt x="9566041" y="5399012"/>
                  <a:pt x="9580458" y="5412289"/>
                  <a:pt x="9580458" y="5428664"/>
                </a:cubicBezTo>
                <a:cubicBezTo>
                  <a:pt x="9580458" y="5445039"/>
                  <a:pt x="9566041" y="5458316"/>
                  <a:pt x="9548254" y="5458316"/>
                </a:cubicBezTo>
                <a:close/>
                <a:moveTo>
                  <a:pt x="9626787" y="5458316"/>
                </a:moveTo>
                <a:cubicBezTo>
                  <a:pt x="9609000" y="5458316"/>
                  <a:pt x="9594571" y="5445039"/>
                  <a:pt x="9594571" y="5428664"/>
                </a:cubicBezTo>
                <a:cubicBezTo>
                  <a:pt x="9594571" y="5412289"/>
                  <a:pt x="9609000" y="5399012"/>
                  <a:pt x="9626787" y="5399012"/>
                </a:cubicBezTo>
                <a:cubicBezTo>
                  <a:pt x="9644574" y="5399012"/>
                  <a:pt x="9658991" y="5412289"/>
                  <a:pt x="9658991" y="5428664"/>
                </a:cubicBezTo>
                <a:cubicBezTo>
                  <a:pt x="9658991" y="5445039"/>
                  <a:pt x="9644574" y="5458316"/>
                  <a:pt x="9626787" y="5458316"/>
                </a:cubicBezTo>
                <a:close/>
                <a:moveTo>
                  <a:pt x="9705321" y="5458316"/>
                </a:moveTo>
                <a:cubicBezTo>
                  <a:pt x="9687534" y="5458316"/>
                  <a:pt x="9673105" y="5445039"/>
                  <a:pt x="9673105" y="5428664"/>
                </a:cubicBezTo>
                <a:cubicBezTo>
                  <a:pt x="9673105" y="5412289"/>
                  <a:pt x="9687534" y="5399012"/>
                  <a:pt x="9705321" y="5399012"/>
                </a:cubicBezTo>
                <a:cubicBezTo>
                  <a:pt x="9723108" y="5399012"/>
                  <a:pt x="9737525" y="5412289"/>
                  <a:pt x="9737525" y="5428664"/>
                </a:cubicBezTo>
                <a:cubicBezTo>
                  <a:pt x="9737525" y="5445039"/>
                  <a:pt x="9723108" y="5458316"/>
                  <a:pt x="9705321" y="5458316"/>
                </a:cubicBezTo>
                <a:close/>
                <a:moveTo>
                  <a:pt x="9783854" y="5458316"/>
                </a:moveTo>
                <a:cubicBezTo>
                  <a:pt x="9766067" y="5458316"/>
                  <a:pt x="9751638" y="5445039"/>
                  <a:pt x="9751638" y="5428664"/>
                </a:cubicBezTo>
                <a:cubicBezTo>
                  <a:pt x="9751638" y="5412289"/>
                  <a:pt x="9766067" y="5399012"/>
                  <a:pt x="9783854" y="5399012"/>
                </a:cubicBezTo>
                <a:cubicBezTo>
                  <a:pt x="9801642" y="5399012"/>
                  <a:pt x="9816059" y="5412289"/>
                  <a:pt x="9816059" y="5428664"/>
                </a:cubicBezTo>
                <a:cubicBezTo>
                  <a:pt x="9816059" y="5445039"/>
                  <a:pt x="9801642" y="5458316"/>
                  <a:pt x="9783854" y="5458316"/>
                </a:cubicBezTo>
                <a:close/>
                <a:moveTo>
                  <a:pt x="9862389" y="5458316"/>
                </a:moveTo>
                <a:cubicBezTo>
                  <a:pt x="9844601" y="5458316"/>
                  <a:pt x="9830172" y="5445039"/>
                  <a:pt x="9830172" y="5428664"/>
                </a:cubicBezTo>
                <a:cubicBezTo>
                  <a:pt x="9830172" y="5412289"/>
                  <a:pt x="9844601" y="5399012"/>
                  <a:pt x="9862389" y="5399012"/>
                </a:cubicBezTo>
                <a:cubicBezTo>
                  <a:pt x="9880176" y="5399012"/>
                  <a:pt x="9894593" y="5412289"/>
                  <a:pt x="9894593" y="5428664"/>
                </a:cubicBezTo>
                <a:cubicBezTo>
                  <a:pt x="9894593" y="5445039"/>
                  <a:pt x="9880176" y="5458316"/>
                  <a:pt x="9862389" y="5458316"/>
                </a:cubicBezTo>
                <a:close/>
                <a:moveTo>
                  <a:pt x="9940923" y="5458316"/>
                </a:moveTo>
                <a:cubicBezTo>
                  <a:pt x="9923136" y="5458316"/>
                  <a:pt x="9908707" y="5445039"/>
                  <a:pt x="9908707" y="5428664"/>
                </a:cubicBezTo>
                <a:cubicBezTo>
                  <a:pt x="9908707" y="5412289"/>
                  <a:pt x="9923136" y="5399012"/>
                  <a:pt x="9940923" y="5399012"/>
                </a:cubicBezTo>
                <a:cubicBezTo>
                  <a:pt x="9958710" y="5399012"/>
                  <a:pt x="9973127" y="5412289"/>
                  <a:pt x="9973127" y="5428664"/>
                </a:cubicBezTo>
                <a:cubicBezTo>
                  <a:pt x="9973127" y="5445039"/>
                  <a:pt x="9958710" y="5458316"/>
                  <a:pt x="9940923" y="5458316"/>
                </a:cubicBezTo>
                <a:close/>
                <a:moveTo>
                  <a:pt x="10019456" y="5458316"/>
                </a:moveTo>
                <a:cubicBezTo>
                  <a:pt x="10001669" y="5458316"/>
                  <a:pt x="9987240" y="5445039"/>
                  <a:pt x="9987240" y="5428664"/>
                </a:cubicBezTo>
                <a:cubicBezTo>
                  <a:pt x="9987240" y="5412289"/>
                  <a:pt x="10001669" y="5399012"/>
                  <a:pt x="10019456" y="5399012"/>
                </a:cubicBezTo>
                <a:cubicBezTo>
                  <a:pt x="10037243" y="5399012"/>
                  <a:pt x="10051660" y="5412289"/>
                  <a:pt x="10051660" y="5428664"/>
                </a:cubicBezTo>
                <a:cubicBezTo>
                  <a:pt x="10051660" y="5445039"/>
                  <a:pt x="10037243" y="5458316"/>
                  <a:pt x="10019456" y="5458316"/>
                </a:cubicBezTo>
                <a:close/>
                <a:moveTo>
                  <a:pt x="10097990" y="5458316"/>
                </a:moveTo>
                <a:cubicBezTo>
                  <a:pt x="10080203" y="5458316"/>
                  <a:pt x="10065774" y="5445039"/>
                  <a:pt x="10065774" y="5428664"/>
                </a:cubicBezTo>
                <a:cubicBezTo>
                  <a:pt x="10065774" y="5412289"/>
                  <a:pt x="10080203" y="5399012"/>
                  <a:pt x="10097990" y="5399012"/>
                </a:cubicBezTo>
                <a:cubicBezTo>
                  <a:pt x="10115778" y="5399012"/>
                  <a:pt x="10130195" y="5412289"/>
                  <a:pt x="10130195" y="5428664"/>
                </a:cubicBezTo>
                <a:cubicBezTo>
                  <a:pt x="10130195" y="5445039"/>
                  <a:pt x="10115778" y="5458316"/>
                  <a:pt x="10097990" y="5458316"/>
                </a:cubicBezTo>
                <a:close/>
                <a:moveTo>
                  <a:pt x="10176524" y="5458316"/>
                </a:moveTo>
                <a:cubicBezTo>
                  <a:pt x="10158736" y="5458316"/>
                  <a:pt x="10144307" y="5445039"/>
                  <a:pt x="10144307" y="5428664"/>
                </a:cubicBezTo>
                <a:cubicBezTo>
                  <a:pt x="10144307" y="5412289"/>
                  <a:pt x="10158736" y="5399012"/>
                  <a:pt x="10176524" y="5399012"/>
                </a:cubicBezTo>
                <a:cubicBezTo>
                  <a:pt x="10194311" y="5399012"/>
                  <a:pt x="10208728" y="5412289"/>
                  <a:pt x="10208728" y="5428664"/>
                </a:cubicBezTo>
                <a:cubicBezTo>
                  <a:pt x="10208728" y="5445039"/>
                  <a:pt x="10194311" y="5458316"/>
                  <a:pt x="10176524" y="5458316"/>
                </a:cubicBezTo>
                <a:close/>
                <a:moveTo>
                  <a:pt x="10333592" y="5458316"/>
                </a:moveTo>
                <a:cubicBezTo>
                  <a:pt x="10315805" y="5458316"/>
                  <a:pt x="10301376" y="5445039"/>
                  <a:pt x="10301376" y="5428664"/>
                </a:cubicBezTo>
                <a:cubicBezTo>
                  <a:pt x="10301376" y="5412289"/>
                  <a:pt x="10315805" y="5399012"/>
                  <a:pt x="10333592" y="5399012"/>
                </a:cubicBezTo>
                <a:cubicBezTo>
                  <a:pt x="10351379" y="5399012"/>
                  <a:pt x="10365796" y="5412289"/>
                  <a:pt x="10365796" y="5428664"/>
                </a:cubicBezTo>
                <a:cubicBezTo>
                  <a:pt x="10365796" y="5445039"/>
                  <a:pt x="10351379" y="5458316"/>
                  <a:pt x="10333592" y="5458316"/>
                </a:cubicBezTo>
                <a:close/>
                <a:moveTo>
                  <a:pt x="2087512" y="5386050"/>
                </a:moveTo>
                <a:cubicBezTo>
                  <a:pt x="2069725" y="5386050"/>
                  <a:pt x="2055302" y="5372773"/>
                  <a:pt x="2055302" y="5356398"/>
                </a:cubicBezTo>
                <a:cubicBezTo>
                  <a:pt x="2055302" y="5340024"/>
                  <a:pt x="2069725" y="5326746"/>
                  <a:pt x="2087512" y="5326746"/>
                </a:cubicBezTo>
                <a:cubicBezTo>
                  <a:pt x="2105299" y="5326746"/>
                  <a:pt x="2119722" y="5340024"/>
                  <a:pt x="2119722" y="5356398"/>
                </a:cubicBezTo>
                <a:cubicBezTo>
                  <a:pt x="2119722" y="5372773"/>
                  <a:pt x="2105299" y="5386050"/>
                  <a:pt x="2087512" y="5386050"/>
                </a:cubicBezTo>
                <a:close/>
                <a:moveTo>
                  <a:pt x="2166045" y="5386050"/>
                </a:moveTo>
                <a:cubicBezTo>
                  <a:pt x="2148258" y="5386050"/>
                  <a:pt x="2133835" y="5372773"/>
                  <a:pt x="2133835" y="5356398"/>
                </a:cubicBezTo>
                <a:cubicBezTo>
                  <a:pt x="2133835" y="5340024"/>
                  <a:pt x="2148258" y="5326746"/>
                  <a:pt x="2166045" y="5326746"/>
                </a:cubicBezTo>
                <a:cubicBezTo>
                  <a:pt x="2183832" y="5326746"/>
                  <a:pt x="2198255" y="5340024"/>
                  <a:pt x="2198255" y="5356398"/>
                </a:cubicBezTo>
                <a:cubicBezTo>
                  <a:pt x="2198255" y="5372773"/>
                  <a:pt x="2183832" y="5386050"/>
                  <a:pt x="2166045" y="5386050"/>
                </a:cubicBezTo>
                <a:close/>
                <a:moveTo>
                  <a:pt x="2244579" y="5386050"/>
                </a:moveTo>
                <a:cubicBezTo>
                  <a:pt x="2226792" y="5386050"/>
                  <a:pt x="2212369" y="5372773"/>
                  <a:pt x="2212369" y="5356398"/>
                </a:cubicBezTo>
                <a:cubicBezTo>
                  <a:pt x="2212369" y="5340024"/>
                  <a:pt x="2226792" y="5326746"/>
                  <a:pt x="2244579" y="5326746"/>
                </a:cubicBezTo>
                <a:cubicBezTo>
                  <a:pt x="2262367" y="5326746"/>
                  <a:pt x="2276790" y="5340024"/>
                  <a:pt x="2276790" y="5356398"/>
                </a:cubicBezTo>
                <a:cubicBezTo>
                  <a:pt x="2276790" y="5372773"/>
                  <a:pt x="2262367" y="5386050"/>
                  <a:pt x="2244579" y="5386050"/>
                </a:cubicBezTo>
                <a:close/>
                <a:moveTo>
                  <a:pt x="2323114" y="5386050"/>
                </a:moveTo>
                <a:cubicBezTo>
                  <a:pt x="2305326" y="5386050"/>
                  <a:pt x="2290903" y="5372773"/>
                  <a:pt x="2290903" y="5356398"/>
                </a:cubicBezTo>
                <a:cubicBezTo>
                  <a:pt x="2290903" y="5340024"/>
                  <a:pt x="2305326" y="5326746"/>
                  <a:pt x="2323114" y="5326746"/>
                </a:cubicBezTo>
                <a:cubicBezTo>
                  <a:pt x="2340901" y="5326746"/>
                  <a:pt x="2355324" y="5340024"/>
                  <a:pt x="2355324" y="5356398"/>
                </a:cubicBezTo>
                <a:cubicBezTo>
                  <a:pt x="2355324" y="5372773"/>
                  <a:pt x="2340901" y="5386050"/>
                  <a:pt x="2323114" y="5386050"/>
                </a:cubicBezTo>
                <a:close/>
                <a:moveTo>
                  <a:pt x="2401647" y="5386050"/>
                </a:moveTo>
                <a:cubicBezTo>
                  <a:pt x="2383860" y="5386050"/>
                  <a:pt x="2369437" y="5372773"/>
                  <a:pt x="2369437" y="5356398"/>
                </a:cubicBezTo>
                <a:cubicBezTo>
                  <a:pt x="2369437" y="5340024"/>
                  <a:pt x="2383860" y="5326746"/>
                  <a:pt x="2401647" y="5326746"/>
                </a:cubicBezTo>
                <a:cubicBezTo>
                  <a:pt x="2419434" y="5326746"/>
                  <a:pt x="2433857" y="5340024"/>
                  <a:pt x="2433857" y="5356398"/>
                </a:cubicBezTo>
                <a:cubicBezTo>
                  <a:pt x="2433857" y="5372773"/>
                  <a:pt x="2419434" y="5386050"/>
                  <a:pt x="2401647" y="5386050"/>
                </a:cubicBezTo>
                <a:close/>
                <a:moveTo>
                  <a:pt x="2480181" y="5386050"/>
                </a:moveTo>
                <a:cubicBezTo>
                  <a:pt x="2462394" y="5386050"/>
                  <a:pt x="2447971" y="5372773"/>
                  <a:pt x="2447971" y="5356398"/>
                </a:cubicBezTo>
                <a:cubicBezTo>
                  <a:pt x="2447971" y="5340024"/>
                  <a:pt x="2462394" y="5326746"/>
                  <a:pt x="2480181" y="5326746"/>
                </a:cubicBezTo>
                <a:cubicBezTo>
                  <a:pt x="2497968" y="5326746"/>
                  <a:pt x="2512391" y="5340024"/>
                  <a:pt x="2512391" y="5356398"/>
                </a:cubicBezTo>
                <a:cubicBezTo>
                  <a:pt x="2512391" y="5372773"/>
                  <a:pt x="2497968" y="5386050"/>
                  <a:pt x="2480181" y="5386050"/>
                </a:cubicBezTo>
                <a:close/>
                <a:moveTo>
                  <a:pt x="2558715" y="5386050"/>
                </a:moveTo>
                <a:cubicBezTo>
                  <a:pt x="2540928" y="5386050"/>
                  <a:pt x="2526505" y="5372773"/>
                  <a:pt x="2526505" y="5356398"/>
                </a:cubicBezTo>
                <a:cubicBezTo>
                  <a:pt x="2526505" y="5340024"/>
                  <a:pt x="2540928" y="5326746"/>
                  <a:pt x="2558715" y="5326746"/>
                </a:cubicBezTo>
                <a:cubicBezTo>
                  <a:pt x="2576503" y="5326746"/>
                  <a:pt x="2590926" y="5340024"/>
                  <a:pt x="2590926" y="5356398"/>
                </a:cubicBezTo>
                <a:cubicBezTo>
                  <a:pt x="2590926" y="5372773"/>
                  <a:pt x="2576503" y="5386050"/>
                  <a:pt x="2558715" y="5386050"/>
                </a:cubicBezTo>
                <a:close/>
                <a:moveTo>
                  <a:pt x="2637243" y="5386050"/>
                </a:moveTo>
                <a:cubicBezTo>
                  <a:pt x="2619455" y="5386050"/>
                  <a:pt x="2605032" y="5372773"/>
                  <a:pt x="2605032" y="5356398"/>
                </a:cubicBezTo>
                <a:cubicBezTo>
                  <a:pt x="2605032" y="5340024"/>
                  <a:pt x="2619455" y="5326746"/>
                  <a:pt x="2637243" y="5326746"/>
                </a:cubicBezTo>
                <a:cubicBezTo>
                  <a:pt x="2655030" y="5326746"/>
                  <a:pt x="2669453" y="5340024"/>
                  <a:pt x="2669453" y="5356398"/>
                </a:cubicBezTo>
                <a:cubicBezTo>
                  <a:pt x="2669453" y="5372773"/>
                  <a:pt x="2655030" y="5386050"/>
                  <a:pt x="2637243" y="5386050"/>
                </a:cubicBezTo>
                <a:close/>
                <a:moveTo>
                  <a:pt x="3186979" y="5386050"/>
                </a:moveTo>
                <a:cubicBezTo>
                  <a:pt x="3169192" y="5386050"/>
                  <a:pt x="3154769" y="5372773"/>
                  <a:pt x="3154769" y="5356398"/>
                </a:cubicBezTo>
                <a:cubicBezTo>
                  <a:pt x="3154769" y="5340024"/>
                  <a:pt x="3169192" y="5326746"/>
                  <a:pt x="3186979" y="5326746"/>
                </a:cubicBezTo>
                <a:cubicBezTo>
                  <a:pt x="3204767" y="5326746"/>
                  <a:pt x="3219190" y="5340024"/>
                  <a:pt x="3219190" y="5356398"/>
                </a:cubicBezTo>
                <a:cubicBezTo>
                  <a:pt x="3219190" y="5372773"/>
                  <a:pt x="3204767" y="5386050"/>
                  <a:pt x="3186979" y="5386050"/>
                </a:cubicBezTo>
                <a:close/>
                <a:moveTo>
                  <a:pt x="3344048" y="5386050"/>
                </a:moveTo>
                <a:cubicBezTo>
                  <a:pt x="3326261" y="5386050"/>
                  <a:pt x="3311837" y="5372773"/>
                  <a:pt x="3311837" y="5356398"/>
                </a:cubicBezTo>
                <a:cubicBezTo>
                  <a:pt x="3311837" y="5340024"/>
                  <a:pt x="3326261" y="5326746"/>
                  <a:pt x="3344048" y="5326746"/>
                </a:cubicBezTo>
                <a:cubicBezTo>
                  <a:pt x="3361835" y="5326746"/>
                  <a:pt x="3376258" y="5340024"/>
                  <a:pt x="3376258" y="5356398"/>
                </a:cubicBezTo>
                <a:cubicBezTo>
                  <a:pt x="3376258" y="5372773"/>
                  <a:pt x="3361835" y="5386050"/>
                  <a:pt x="3344048" y="5386050"/>
                </a:cubicBezTo>
                <a:close/>
                <a:moveTo>
                  <a:pt x="3422581" y="5386050"/>
                </a:moveTo>
                <a:cubicBezTo>
                  <a:pt x="3404794" y="5386050"/>
                  <a:pt x="3390371" y="5372773"/>
                  <a:pt x="3390371" y="5356398"/>
                </a:cubicBezTo>
                <a:cubicBezTo>
                  <a:pt x="3390371" y="5340024"/>
                  <a:pt x="3404794" y="5326746"/>
                  <a:pt x="3422581" y="5326746"/>
                </a:cubicBezTo>
                <a:cubicBezTo>
                  <a:pt x="3440368" y="5326746"/>
                  <a:pt x="3454791" y="5340024"/>
                  <a:pt x="3454791" y="5356398"/>
                </a:cubicBezTo>
                <a:cubicBezTo>
                  <a:pt x="3454791" y="5372773"/>
                  <a:pt x="3440368" y="5386050"/>
                  <a:pt x="3422581" y="5386050"/>
                </a:cubicBezTo>
                <a:close/>
                <a:moveTo>
                  <a:pt x="3658183" y="5386050"/>
                </a:moveTo>
                <a:cubicBezTo>
                  <a:pt x="3640396" y="5386050"/>
                  <a:pt x="3625972" y="5372773"/>
                  <a:pt x="3625972" y="5356398"/>
                </a:cubicBezTo>
                <a:cubicBezTo>
                  <a:pt x="3625972" y="5340024"/>
                  <a:pt x="3640396" y="5326746"/>
                  <a:pt x="3658183" y="5326746"/>
                </a:cubicBezTo>
                <a:cubicBezTo>
                  <a:pt x="3675970" y="5326746"/>
                  <a:pt x="3690393" y="5340024"/>
                  <a:pt x="3690393" y="5356398"/>
                </a:cubicBezTo>
                <a:cubicBezTo>
                  <a:pt x="3690393" y="5372773"/>
                  <a:pt x="3675970" y="5386050"/>
                  <a:pt x="3658183" y="5386050"/>
                </a:cubicBezTo>
                <a:close/>
                <a:moveTo>
                  <a:pt x="3815250" y="5386050"/>
                </a:moveTo>
                <a:cubicBezTo>
                  <a:pt x="3797463" y="5386050"/>
                  <a:pt x="3783040" y="5372773"/>
                  <a:pt x="3783040" y="5356398"/>
                </a:cubicBezTo>
                <a:cubicBezTo>
                  <a:pt x="3783040" y="5340024"/>
                  <a:pt x="3797463" y="5326746"/>
                  <a:pt x="3815250" y="5326746"/>
                </a:cubicBezTo>
                <a:cubicBezTo>
                  <a:pt x="3833038" y="5326746"/>
                  <a:pt x="3847461" y="5340024"/>
                  <a:pt x="3847461" y="5356398"/>
                </a:cubicBezTo>
                <a:cubicBezTo>
                  <a:pt x="3847461" y="5372773"/>
                  <a:pt x="3833038" y="5386050"/>
                  <a:pt x="3815250" y="5386050"/>
                </a:cubicBezTo>
                <a:close/>
                <a:moveTo>
                  <a:pt x="3972319" y="5386050"/>
                </a:moveTo>
                <a:cubicBezTo>
                  <a:pt x="3954532" y="5386050"/>
                  <a:pt x="3940108" y="5372773"/>
                  <a:pt x="3940108" y="5356398"/>
                </a:cubicBezTo>
                <a:cubicBezTo>
                  <a:pt x="3940108" y="5340024"/>
                  <a:pt x="3954532" y="5326746"/>
                  <a:pt x="3972319" y="5326746"/>
                </a:cubicBezTo>
                <a:cubicBezTo>
                  <a:pt x="3990106" y="5326746"/>
                  <a:pt x="4004529" y="5340024"/>
                  <a:pt x="4004529" y="5356398"/>
                </a:cubicBezTo>
                <a:cubicBezTo>
                  <a:pt x="4004529" y="5372773"/>
                  <a:pt x="3990106" y="5386050"/>
                  <a:pt x="3972319" y="5386050"/>
                </a:cubicBezTo>
                <a:close/>
                <a:moveTo>
                  <a:pt x="4207926" y="5386050"/>
                </a:moveTo>
                <a:cubicBezTo>
                  <a:pt x="4190138" y="5386050"/>
                  <a:pt x="4175715" y="5372773"/>
                  <a:pt x="4175715" y="5356398"/>
                </a:cubicBezTo>
                <a:cubicBezTo>
                  <a:pt x="4175715" y="5340024"/>
                  <a:pt x="4190138" y="5326746"/>
                  <a:pt x="4207926" y="5326746"/>
                </a:cubicBezTo>
                <a:cubicBezTo>
                  <a:pt x="4225713" y="5326746"/>
                  <a:pt x="4240136" y="5340024"/>
                  <a:pt x="4240136" y="5356398"/>
                </a:cubicBezTo>
                <a:cubicBezTo>
                  <a:pt x="4240136" y="5372773"/>
                  <a:pt x="4225713" y="5386050"/>
                  <a:pt x="4207926" y="5386050"/>
                </a:cubicBezTo>
                <a:close/>
                <a:moveTo>
                  <a:pt x="4757663" y="5386050"/>
                </a:moveTo>
                <a:cubicBezTo>
                  <a:pt x="4739876" y="5386050"/>
                  <a:pt x="4725453" y="5372773"/>
                  <a:pt x="4725453" y="5356398"/>
                </a:cubicBezTo>
                <a:cubicBezTo>
                  <a:pt x="4725453" y="5340024"/>
                  <a:pt x="4739876" y="5326746"/>
                  <a:pt x="4757663" y="5326746"/>
                </a:cubicBezTo>
                <a:cubicBezTo>
                  <a:pt x="4775451" y="5326746"/>
                  <a:pt x="4789874" y="5340024"/>
                  <a:pt x="4789874" y="5356398"/>
                </a:cubicBezTo>
                <a:cubicBezTo>
                  <a:pt x="4789874" y="5372773"/>
                  <a:pt x="4775451" y="5386050"/>
                  <a:pt x="4757663" y="5386050"/>
                </a:cubicBezTo>
                <a:close/>
                <a:moveTo>
                  <a:pt x="4836197" y="5386050"/>
                </a:moveTo>
                <a:cubicBezTo>
                  <a:pt x="4818409" y="5386050"/>
                  <a:pt x="4803986" y="5372773"/>
                  <a:pt x="4803986" y="5356398"/>
                </a:cubicBezTo>
                <a:cubicBezTo>
                  <a:pt x="4803986" y="5340024"/>
                  <a:pt x="4818409" y="5326746"/>
                  <a:pt x="4836197" y="5326746"/>
                </a:cubicBezTo>
                <a:cubicBezTo>
                  <a:pt x="4853984" y="5326746"/>
                  <a:pt x="4868407" y="5340024"/>
                  <a:pt x="4868407" y="5356398"/>
                </a:cubicBezTo>
                <a:cubicBezTo>
                  <a:pt x="4868407" y="5372773"/>
                  <a:pt x="4853984" y="5386050"/>
                  <a:pt x="4836197" y="5386050"/>
                </a:cubicBezTo>
                <a:close/>
                <a:moveTo>
                  <a:pt x="4914731" y="5386050"/>
                </a:moveTo>
                <a:cubicBezTo>
                  <a:pt x="4896944" y="5386050"/>
                  <a:pt x="4882521" y="5372773"/>
                  <a:pt x="4882521" y="5356398"/>
                </a:cubicBezTo>
                <a:cubicBezTo>
                  <a:pt x="4882521" y="5340024"/>
                  <a:pt x="4896944" y="5326746"/>
                  <a:pt x="4914731" y="5326746"/>
                </a:cubicBezTo>
                <a:cubicBezTo>
                  <a:pt x="4932518" y="5326746"/>
                  <a:pt x="4946941" y="5340024"/>
                  <a:pt x="4946941" y="5356398"/>
                </a:cubicBezTo>
                <a:cubicBezTo>
                  <a:pt x="4946941" y="5372773"/>
                  <a:pt x="4932518" y="5386050"/>
                  <a:pt x="4914731" y="5386050"/>
                </a:cubicBezTo>
                <a:close/>
                <a:moveTo>
                  <a:pt x="4993265" y="5386050"/>
                </a:moveTo>
                <a:cubicBezTo>
                  <a:pt x="4975478" y="5386050"/>
                  <a:pt x="4961055" y="5372773"/>
                  <a:pt x="4961055" y="5356398"/>
                </a:cubicBezTo>
                <a:cubicBezTo>
                  <a:pt x="4961055" y="5340024"/>
                  <a:pt x="4975478" y="5326746"/>
                  <a:pt x="4993265" y="5326746"/>
                </a:cubicBezTo>
                <a:cubicBezTo>
                  <a:pt x="5011052" y="5326746"/>
                  <a:pt x="5025475" y="5340024"/>
                  <a:pt x="5025475" y="5356398"/>
                </a:cubicBezTo>
                <a:cubicBezTo>
                  <a:pt x="5025475" y="5372773"/>
                  <a:pt x="5011052" y="5386050"/>
                  <a:pt x="4993265" y="5386050"/>
                </a:cubicBezTo>
                <a:close/>
                <a:moveTo>
                  <a:pt x="5071798" y="5386050"/>
                </a:moveTo>
                <a:cubicBezTo>
                  <a:pt x="5054011" y="5386050"/>
                  <a:pt x="5039588" y="5372773"/>
                  <a:pt x="5039588" y="5356398"/>
                </a:cubicBezTo>
                <a:cubicBezTo>
                  <a:pt x="5039588" y="5340024"/>
                  <a:pt x="5054011" y="5326746"/>
                  <a:pt x="5071798" y="5326746"/>
                </a:cubicBezTo>
                <a:cubicBezTo>
                  <a:pt x="5089586" y="5326746"/>
                  <a:pt x="5104009" y="5340024"/>
                  <a:pt x="5104009" y="5356398"/>
                </a:cubicBezTo>
                <a:cubicBezTo>
                  <a:pt x="5104009" y="5372773"/>
                  <a:pt x="5089586" y="5386050"/>
                  <a:pt x="5071798" y="5386050"/>
                </a:cubicBezTo>
                <a:close/>
                <a:moveTo>
                  <a:pt x="5150333" y="5386050"/>
                </a:moveTo>
                <a:cubicBezTo>
                  <a:pt x="5132545" y="5386050"/>
                  <a:pt x="5118122" y="5372773"/>
                  <a:pt x="5118122" y="5356398"/>
                </a:cubicBezTo>
                <a:cubicBezTo>
                  <a:pt x="5118122" y="5340024"/>
                  <a:pt x="5132545" y="5326746"/>
                  <a:pt x="5150333" y="5326746"/>
                </a:cubicBezTo>
                <a:cubicBezTo>
                  <a:pt x="5168120" y="5326746"/>
                  <a:pt x="5182543" y="5340024"/>
                  <a:pt x="5182543" y="5356398"/>
                </a:cubicBezTo>
                <a:cubicBezTo>
                  <a:pt x="5182543" y="5372773"/>
                  <a:pt x="5168120" y="5386050"/>
                  <a:pt x="5150333" y="5386050"/>
                </a:cubicBezTo>
                <a:close/>
                <a:moveTo>
                  <a:pt x="5228867" y="5386050"/>
                </a:moveTo>
                <a:cubicBezTo>
                  <a:pt x="5211080" y="5386050"/>
                  <a:pt x="5196657" y="5372773"/>
                  <a:pt x="5196657" y="5356398"/>
                </a:cubicBezTo>
                <a:cubicBezTo>
                  <a:pt x="5196657" y="5340024"/>
                  <a:pt x="5211080" y="5326746"/>
                  <a:pt x="5228867" y="5326746"/>
                </a:cubicBezTo>
                <a:cubicBezTo>
                  <a:pt x="5246654" y="5326746"/>
                  <a:pt x="5261077" y="5340024"/>
                  <a:pt x="5261077" y="5356398"/>
                </a:cubicBezTo>
                <a:cubicBezTo>
                  <a:pt x="5261077" y="5372773"/>
                  <a:pt x="5246654" y="5386050"/>
                  <a:pt x="5228867" y="5386050"/>
                </a:cubicBezTo>
                <a:close/>
                <a:moveTo>
                  <a:pt x="5307400" y="5386050"/>
                </a:moveTo>
                <a:cubicBezTo>
                  <a:pt x="5289613" y="5386050"/>
                  <a:pt x="5275190" y="5372773"/>
                  <a:pt x="5275190" y="5356398"/>
                </a:cubicBezTo>
                <a:cubicBezTo>
                  <a:pt x="5275190" y="5340024"/>
                  <a:pt x="5289613" y="5326746"/>
                  <a:pt x="5307400" y="5326746"/>
                </a:cubicBezTo>
                <a:cubicBezTo>
                  <a:pt x="5325187" y="5326746"/>
                  <a:pt x="5339610" y="5340024"/>
                  <a:pt x="5339610" y="5356398"/>
                </a:cubicBezTo>
                <a:cubicBezTo>
                  <a:pt x="5339610" y="5372773"/>
                  <a:pt x="5325187" y="5386050"/>
                  <a:pt x="5307400" y="5386050"/>
                </a:cubicBezTo>
                <a:close/>
                <a:moveTo>
                  <a:pt x="5385934" y="5386050"/>
                </a:moveTo>
                <a:cubicBezTo>
                  <a:pt x="5368147" y="5386050"/>
                  <a:pt x="5353724" y="5372773"/>
                  <a:pt x="5353724" y="5356398"/>
                </a:cubicBezTo>
                <a:cubicBezTo>
                  <a:pt x="5353724" y="5340024"/>
                  <a:pt x="5368147" y="5326746"/>
                  <a:pt x="5385934" y="5326746"/>
                </a:cubicBezTo>
                <a:cubicBezTo>
                  <a:pt x="5403722" y="5326746"/>
                  <a:pt x="5418145" y="5340024"/>
                  <a:pt x="5418145" y="5356398"/>
                </a:cubicBezTo>
                <a:cubicBezTo>
                  <a:pt x="5418145" y="5372773"/>
                  <a:pt x="5403722" y="5386050"/>
                  <a:pt x="5385934" y="5386050"/>
                </a:cubicBezTo>
                <a:close/>
                <a:moveTo>
                  <a:pt x="5464468" y="5386050"/>
                </a:moveTo>
                <a:cubicBezTo>
                  <a:pt x="5446680" y="5386050"/>
                  <a:pt x="5432257" y="5372773"/>
                  <a:pt x="5432257" y="5356398"/>
                </a:cubicBezTo>
                <a:cubicBezTo>
                  <a:pt x="5432257" y="5340024"/>
                  <a:pt x="5446680" y="5326746"/>
                  <a:pt x="5464468" y="5326746"/>
                </a:cubicBezTo>
                <a:cubicBezTo>
                  <a:pt x="5482255" y="5326746"/>
                  <a:pt x="5496678" y="5340024"/>
                  <a:pt x="5496678" y="5356398"/>
                </a:cubicBezTo>
                <a:cubicBezTo>
                  <a:pt x="5496678" y="5372773"/>
                  <a:pt x="5482255" y="5386050"/>
                  <a:pt x="5464468" y="5386050"/>
                </a:cubicBezTo>
                <a:close/>
                <a:moveTo>
                  <a:pt x="6249806" y="5386050"/>
                </a:moveTo>
                <a:cubicBezTo>
                  <a:pt x="6232019" y="5386050"/>
                  <a:pt x="6217590" y="5372773"/>
                  <a:pt x="6217590" y="5356398"/>
                </a:cubicBezTo>
                <a:cubicBezTo>
                  <a:pt x="6217590" y="5340024"/>
                  <a:pt x="6232019" y="5326746"/>
                  <a:pt x="6249806" y="5326746"/>
                </a:cubicBezTo>
                <a:cubicBezTo>
                  <a:pt x="6267593" y="5326746"/>
                  <a:pt x="6282010" y="5340024"/>
                  <a:pt x="6282010" y="5356398"/>
                </a:cubicBezTo>
                <a:cubicBezTo>
                  <a:pt x="6282010" y="5372773"/>
                  <a:pt x="6267593" y="5386050"/>
                  <a:pt x="6249806" y="5386050"/>
                </a:cubicBezTo>
                <a:close/>
                <a:moveTo>
                  <a:pt x="7192237" y="5386050"/>
                </a:moveTo>
                <a:cubicBezTo>
                  <a:pt x="7174450" y="5386050"/>
                  <a:pt x="7160021" y="5372773"/>
                  <a:pt x="7160021" y="5356398"/>
                </a:cubicBezTo>
                <a:cubicBezTo>
                  <a:pt x="7160021" y="5340024"/>
                  <a:pt x="7174450" y="5326746"/>
                  <a:pt x="7192237" y="5326746"/>
                </a:cubicBezTo>
                <a:cubicBezTo>
                  <a:pt x="7210024" y="5326746"/>
                  <a:pt x="7224441" y="5340024"/>
                  <a:pt x="7224441" y="5356398"/>
                </a:cubicBezTo>
                <a:cubicBezTo>
                  <a:pt x="7224441" y="5372773"/>
                  <a:pt x="7210024" y="5386050"/>
                  <a:pt x="7192237" y="5386050"/>
                </a:cubicBezTo>
                <a:close/>
                <a:moveTo>
                  <a:pt x="7820508" y="5386050"/>
                </a:moveTo>
                <a:cubicBezTo>
                  <a:pt x="7802721" y="5386050"/>
                  <a:pt x="7788292" y="5372773"/>
                  <a:pt x="7788292" y="5356398"/>
                </a:cubicBezTo>
                <a:cubicBezTo>
                  <a:pt x="7788292" y="5340024"/>
                  <a:pt x="7802721" y="5326746"/>
                  <a:pt x="7820508" y="5326746"/>
                </a:cubicBezTo>
                <a:cubicBezTo>
                  <a:pt x="7838295" y="5326746"/>
                  <a:pt x="7852712" y="5340024"/>
                  <a:pt x="7852712" y="5356398"/>
                </a:cubicBezTo>
                <a:cubicBezTo>
                  <a:pt x="7852712" y="5372773"/>
                  <a:pt x="7838295" y="5386050"/>
                  <a:pt x="7820508" y="5386050"/>
                </a:cubicBezTo>
                <a:close/>
                <a:moveTo>
                  <a:pt x="7899042" y="5386050"/>
                </a:moveTo>
                <a:cubicBezTo>
                  <a:pt x="7881255" y="5386050"/>
                  <a:pt x="7866826" y="5372773"/>
                  <a:pt x="7866826" y="5356398"/>
                </a:cubicBezTo>
                <a:cubicBezTo>
                  <a:pt x="7866826" y="5340024"/>
                  <a:pt x="7881255" y="5326746"/>
                  <a:pt x="7899042" y="5326746"/>
                </a:cubicBezTo>
                <a:cubicBezTo>
                  <a:pt x="7916830" y="5326746"/>
                  <a:pt x="7931247" y="5340024"/>
                  <a:pt x="7931247" y="5356398"/>
                </a:cubicBezTo>
                <a:cubicBezTo>
                  <a:pt x="7931247" y="5372773"/>
                  <a:pt x="7916830" y="5386050"/>
                  <a:pt x="7899042" y="5386050"/>
                </a:cubicBezTo>
                <a:close/>
                <a:moveTo>
                  <a:pt x="7977576" y="5386050"/>
                </a:moveTo>
                <a:cubicBezTo>
                  <a:pt x="7959788" y="5386050"/>
                  <a:pt x="7945359" y="5372773"/>
                  <a:pt x="7945359" y="5356398"/>
                </a:cubicBezTo>
                <a:cubicBezTo>
                  <a:pt x="7945359" y="5340024"/>
                  <a:pt x="7959788" y="5326746"/>
                  <a:pt x="7977576" y="5326746"/>
                </a:cubicBezTo>
                <a:cubicBezTo>
                  <a:pt x="7995363" y="5326746"/>
                  <a:pt x="8009780" y="5340024"/>
                  <a:pt x="8009780" y="5356398"/>
                </a:cubicBezTo>
                <a:cubicBezTo>
                  <a:pt x="8009780" y="5372773"/>
                  <a:pt x="7995363" y="5386050"/>
                  <a:pt x="7977576" y="5386050"/>
                </a:cubicBezTo>
                <a:close/>
                <a:moveTo>
                  <a:pt x="8056110" y="5386050"/>
                </a:moveTo>
                <a:cubicBezTo>
                  <a:pt x="8038323" y="5386050"/>
                  <a:pt x="8023894" y="5372773"/>
                  <a:pt x="8023894" y="5356398"/>
                </a:cubicBezTo>
                <a:cubicBezTo>
                  <a:pt x="8023894" y="5340024"/>
                  <a:pt x="8038323" y="5326746"/>
                  <a:pt x="8056110" y="5326746"/>
                </a:cubicBezTo>
                <a:cubicBezTo>
                  <a:pt x="8073897" y="5326746"/>
                  <a:pt x="8088314" y="5340024"/>
                  <a:pt x="8088314" y="5356398"/>
                </a:cubicBezTo>
                <a:cubicBezTo>
                  <a:pt x="8088314" y="5372773"/>
                  <a:pt x="8073897" y="5386050"/>
                  <a:pt x="8056110" y="5386050"/>
                </a:cubicBezTo>
                <a:close/>
                <a:moveTo>
                  <a:pt x="8134643" y="5386050"/>
                </a:moveTo>
                <a:cubicBezTo>
                  <a:pt x="8116856" y="5386050"/>
                  <a:pt x="8102427" y="5372773"/>
                  <a:pt x="8102427" y="5356398"/>
                </a:cubicBezTo>
                <a:cubicBezTo>
                  <a:pt x="8102427" y="5340024"/>
                  <a:pt x="8116856" y="5326746"/>
                  <a:pt x="8134643" y="5326746"/>
                </a:cubicBezTo>
                <a:cubicBezTo>
                  <a:pt x="8152430" y="5326746"/>
                  <a:pt x="8166847" y="5340024"/>
                  <a:pt x="8166847" y="5356398"/>
                </a:cubicBezTo>
                <a:cubicBezTo>
                  <a:pt x="8166847" y="5372773"/>
                  <a:pt x="8152430" y="5386050"/>
                  <a:pt x="8134643" y="5386050"/>
                </a:cubicBezTo>
                <a:close/>
                <a:moveTo>
                  <a:pt x="8291712" y="5386050"/>
                </a:moveTo>
                <a:cubicBezTo>
                  <a:pt x="8273924" y="5386050"/>
                  <a:pt x="8259495" y="5372773"/>
                  <a:pt x="8259495" y="5356398"/>
                </a:cubicBezTo>
                <a:cubicBezTo>
                  <a:pt x="8259495" y="5340024"/>
                  <a:pt x="8273924" y="5326746"/>
                  <a:pt x="8291712" y="5326746"/>
                </a:cubicBezTo>
                <a:cubicBezTo>
                  <a:pt x="8309499" y="5326746"/>
                  <a:pt x="8323916" y="5340024"/>
                  <a:pt x="8323916" y="5356398"/>
                </a:cubicBezTo>
                <a:cubicBezTo>
                  <a:pt x="8323916" y="5372773"/>
                  <a:pt x="8309499" y="5386050"/>
                  <a:pt x="8291712" y="5386050"/>
                </a:cubicBezTo>
                <a:close/>
                <a:moveTo>
                  <a:pt x="8370245" y="5386050"/>
                </a:moveTo>
                <a:cubicBezTo>
                  <a:pt x="8352458" y="5386050"/>
                  <a:pt x="8338029" y="5372773"/>
                  <a:pt x="8338029" y="5356398"/>
                </a:cubicBezTo>
                <a:cubicBezTo>
                  <a:pt x="8338029" y="5340024"/>
                  <a:pt x="8352458" y="5326746"/>
                  <a:pt x="8370245" y="5326746"/>
                </a:cubicBezTo>
                <a:cubicBezTo>
                  <a:pt x="8388032" y="5326746"/>
                  <a:pt x="8402449" y="5340024"/>
                  <a:pt x="8402449" y="5356398"/>
                </a:cubicBezTo>
                <a:cubicBezTo>
                  <a:pt x="8402449" y="5372773"/>
                  <a:pt x="8388032" y="5386050"/>
                  <a:pt x="8370245" y="5386050"/>
                </a:cubicBezTo>
                <a:close/>
                <a:moveTo>
                  <a:pt x="8448779" y="5386050"/>
                </a:moveTo>
                <a:cubicBezTo>
                  <a:pt x="8430992" y="5386050"/>
                  <a:pt x="8416563" y="5372773"/>
                  <a:pt x="8416563" y="5356398"/>
                </a:cubicBezTo>
                <a:cubicBezTo>
                  <a:pt x="8416563" y="5340024"/>
                  <a:pt x="8430992" y="5326746"/>
                  <a:pt x="8448779" y="5326746"/>
                </a:cubicBezTo>
                <a:cubicBezTo>
                  <a:pt x="8466566" y="5326746"/>
                  <a:pt x="8480983" y="5340024"/>
                  <a:pt x="8480983" y="5356398"/>
                </a:cubicBezTo>
                <a:cubicBezTo>
                  <a:pt x="8480983" y="5372773"/>
                  <a:pt x="8466566" y="5386050"/>
                  <a:pt x="8448779" y="5386050"/>
                </a:cubicBezTo>
                <a:close/>
                <a:moveTo>
                  <a:pt x="8527313" y="5386050"/>
                </a:moveTo>
                <a:cubicBezTo>
                  <a:pt x="8509526" y="5386050"/>
                  <a:pt x="8495097" y="5372773"/>
                  <a:pt x="8495097" y="5356398"/>
                </a:cubicBezTo>
                <a:cubicBezTo>
                  <a:pt x="8495097" y="5340024"/>
                  <a:pt x="8509526" y="5326746"/>
                  <a:pt x="8527313" y="5326746"/>
                </a:cubicBezTo>
                <a:cubicBezTo>
                  <a:pt x="8545101" y="5326746"/>
                  <a:pt x="8559518" y="5340024"/>
                  <a:pt x="8559518" y="5356398"/>
                </a:cubicBezTo>
                <a:cubicBezTo>
                  <a:pt x="8559518" y="5372773"/>
                  <a:pt x="8545101" y="5386050"/>
                  <a:pt x="8527313" y="5386050"/>
                </a:cubicBezTo>
                <a:close/>
                <a:moveTo>
                  <a:pt x="8605847" y="5386050"/>
                </a:moveTo>
                <a:cubicBezTo>
                  <a:pt x="8588059" y="5386050"/>
                  <a:pt x="8573630" y="5372773"/>
                  <a:pt x="8573630" y="5356398"/>
                </a:cubicBezTo>
                <a:cubicBezTo>
                  <a:pt x="8573630" y="5340024"/>
                  <a:pt x="8588059" y="5326746"/>
                  <a:pt x="8605847" y="5326746"/>
                </a:cubicBezTo>
                <a:cubicBezTo>
                  <a:pt x="8623634" y="5326746"/>
                  <a:pt x="8638051" y="5340024"/>
                  <a:pt x="8638051" y="5356398"/>
                </a:cubicBezTo>
                <a:cubicBezTo>
                  <a:pt x="8638051" y="5372773"/>
                  <a:pt x="8623634" y="5386050"/>
                  <a:pt x="8605847" y="5386050"/>
                </a:cubicBezTo>
                <a:close/>
                <a:moveTo>
                  <a:pt x="8684381" y="5386050"/>
                </a:moveTo>
                <a:cubicBezTo>
                  <a:pt x="8666594" y="5386050"/>
                  <a:pt x="8652165" y="5372773"/>
                  <a:pt x="8652165" y="5356398"/>
                </a:cubicBezTo>
                <a:cubicBezTo>
                  <a:pt x="8652165" y="5340024"/>
                  <a:pt x="8666594" y="5326746"/>
                  <a:pt x="8684381" y="5326746"/>
                </a:cubicBezTo>
                <a:cubicBezTo>
                  <a:pt x="8702168" y="5326746"/>
                  <a:pt x="8716585" y="5340024"/>
                  <a:pt x="8716585" y="5356398"/>
                </a:cubicBezTo>
                <a:cubicBezTo>
                  <a:pt x="8716585" y="5372773"/>
                  <a:pt x="8702168" y="5386050"/>
                  <a:pt x="8684381" y="5386050"/>
                </a:cubicBezTo>
                <a:close/>
                <a:moveTo>
                  <a:pt x="8762914" y="5386050"/>
                </a:moveTo>
                <a:cubicBezTo>
                  <a:pt x="8745127" y="5386050"/>
                  <a:pt x="8730698" y="5372773"/>
                  <a:pt x="8730698" y="5356398"/>
                </a:cubicBezTo>
                <a:cubicBezTo>
                  <a:pt x="8730698" y="5340024"/>
                  <a:pt x="8745127" y="5326746"/>
                  <a:pt x="8762914" y="5326746"/>
                </a:cubicBezTo>
                <a:cubicBezTo>
                  <a:pt x="8780701" y="5326746"/>
                  <a:pt x="8795118" y="5340024"/>
                  <a:pt x="8795118" y="5356398"/>
                </a:cubicBezTo>
                <a:cubicBezTo>
                  <a:pt x="8795118" y="5372773"/>
                  <a:pt x="8780701" y="5386050"/>
                  <a:pt x="8762914" y="5386050"/>
                </a:cubicBezTo>
                <a:close/>
                <a:moveTo>
                  <a:pt x="8919983" y="5386050"/>
                </a:moveTo>
                <a:cubicBezTo>
                  <a:pt x="8902195" y="5386050"/>
                  <a:pt x="8887766" y="5372773"/>
                  <a:pt x="8887766" y="5356398"/>
                </a:cubicBezTo>
                <a:cubicBezTo>
                  <a:pt x="8887766" y="5340024"/>
                  <a:pt x="8902195" y="5326746"/>
                  <a:pt x="8919983" y="5326746"/>
                </a:cubicBezTo>
                <a:cubicBezTo>
                  <a:pt x="8937770" y="5326746"/>
                  <a:pt x="8952187" y="5340024"/>
                  <a:pt x="8952187" y="5356398"/>
                </a:cubicBezTo>
                <a:cubicBezTo>
                  <a:pt x="8952187" y="5372773"/>
                  <a:pt x="8937770" y="5386050"/>
                  <a:pt x="8919983" y="5386050"/>
                </a:cubicBezTo>
                <a:close/>
                <a:moveTo>
                  <a:pt x="8998516" y="5386050"/>
                </a:moveTo>
                <a:cubicBezTo>
                  <a:pt x="8980729" y="5386050"/>
                  <a:pt x="8966300" y="5372773"/>
                  <a:pt x="8966300" y="5356398"/>
                </a:cubicBezTo>
                <a:cubicBezTo>
                  <a:pt x="8966300" y="5340024"/>
                  <a:pt x="8980729" y="5326746"/>
                  <a:pt x="8998516" y="5326746"/>
                </a:cubicBezTo>
                <a:cubicBezTo>
                  <a:pt x="9016303" y="5326746"/>
                  <a:pt x="9030720" y="5340024"/>
                  <a:pt x="9030720" y="5356398"/>
                </a:cubicBezTo>
                <a:cubicBezTo>
                  <a:pt x="9030720" y="5372773"/>
                  <a:pt x="9016303" y="5386050"/>
                  <a:pt x="8998516" y="5386050"/>
                </a:cubicBezTo>
                <a:close/>
                <a:moveTo>
                  <a:pt x="9077050" y="5386050"/>
                </a:moveTo>
                <a:cubicBezTo>
                  <a:pt x="9059263" y="5386050"/>
                  <a:pt x="9044834" y="5372773"/>
                  <a:pt x="9044834" y="5356398"/>
                </a:cubicBezTo>
                <a:cubicBezTo>
                  <a:pt x="9044834" y="5340024"/>
                  <a:pt x="9059263" y="5326746"/>
                  <a:pt x="9077050" y="5326746"/>
                </a:cubicBezTo>
                <a:cubicBezTo>
                  <a:pt x="9094837" y="5326746"/>
                  <a:pt x="9109254" y="5340024"/>
                  <a:pt x="9109254" y="5356398"/>
                </a:cubicBezTo>
                <a:cubicBezTo>
                  <a:pt x="9109254" y="5372773"/>
                  <a:pt x="9094837" y="5386050"/>
                  <a:pt x="9077050" y="5386050"/>
                </a:cubicBezTo>
                <a:close/>
                <a:moveTo>
                  <a:pt x="9155583" y="5386050"/>
                </a:moveTo>
                <a:cubicBezTo>
                  <a:pt x="9137796" y="5386050"/>
                  <a:pt x="9123367" y="5372773"/>
                  <a:pt x="9123367" y="5356398"/>
                </a:cubicBezTo>
                <a:cubicBezTo>
                  <a:pt x="9123367" y="5340024"/>
                  <a:pt x="9137796" y="5326746"/>
                  <a:pt x="9155583" y="5326746"/>
                </a:cubicBezTo>
                <a:cubicBezTo>
                  <a:pt x="9173371" y="5326746"/>
                  <a:pt x="9187788" y="5340024"/>
                  <a:pt x="9187788" y="5356398"/>
                </a:cubicBezTo>
                <a:cubicBezTo>
                  <a:pt x="9187788" y="5372773"/>
                  <a:pt x="9173371" y="5386050"/>
                  <a:pt x="9155583" y="5386050"/>
                </a:cubicBezTo>
                <a:close/>
                <a:moveTo>
                  <a:pt x="9234118" y="5386050"/>
                </a:moveTo>
                <a:cubicBezTo>
                  <a:pt x="9216330" y="5386050"/>
                  <a:pt x="9201901" y="5372773"/>
                  <a:pt x="9201901" y="5356398"/>
                </a:cubicBezTo>
                <a:cubicBezTo>
                  <a:pt x="9201901" y="5340024"/>
                  <a:pt x="9216330" y="5326746"/>
                  <a:pt x="9234118" y="5326746"/>
                </a:cubicBezTo>
                <a:cubicBezTo>
                  <a:pt x="9251905" y="5326746"/>
                  <a:pt x="9266322" y="5340024"/>
                  <a:pt x="9266322" y="5356398"/>
                </a:cubicBezTo>
                <a:cubicBezTo>
                  <a:pt x="9266322" y="5372773"/>
                  <a:pt x="9251905" y="5386050"/>
                  <a:pt x="9234118" y="5386050"/>
                </a:cubicBezTo>
                <a:close/>
                <a:moveTo>
                  <a:pt x="9312652" y="5386050"/>
                </a:moveTo>
                <a:cubicBezTo>
                  <a:pt x="9294865" y="5386050"/>
                  <a:pt x="9280436" y="5372773"/>
                  <a:pt x="9280436" y="5356398"/>
                </a:cubicBezTo>
                <a:cubicBezTo>
                  <a:pt x="9280436" y="5340024"/>
                  <a:pt x="9294865" y="5326746"/>
                  <a:pt x="9312652" y="5326746"/>
                </a:cubicBezTo>
                <a:cubicBezTo>
                  <a:pt x="9330439" y="5326746"/>
                  <a:pt x="9344856" y="5340024"/>
                  <a:pt x="9344856" y="5356398"/>
                </a:cubicBezTo>
                <a:cubicBezTo>
                  <a:pt x="9344856" y="5372773"/>
                  <a:pt x="9330439" y="5386050"/>
                  <a:pt x="9312652" y="5386050"/>
                </a:cubicBezTo>
                <a:close/>
                <a:moveTo>
                  <a:pt x="9391185" y="5386050"/>
                </a:moveTo>
                <a:cubicBezTo>
                  <a:pt x="9373398" y="5386050"/>
                  <a:pt x="9358969" y="5372773"/>
                  <a:pt x="9358969" y="5356398"/>
                </a:cubicBezTo>
                <a:cubicBezTo>
                  <a:pt x="9358969" y="5340024"/>
                  <a:pt x="9373398" y="5326746"/>
                  <a:pt x="9391185" y="5326746"/>
                </a:cubicBezTo>
                <a:cubicBezTo>
                  <a:pt x="9408972" y="5326746"/>
                  <a:pt x="9423389" y="5340024"/>
                  <a:pt x="9423389" y="5356398"/>
                </a:cubicBezTo>
                <a:cubicBezTo>
                  <a:pt x="9423389" y="5372773"/>
                  <a:pt x="9408972" y="5386050"/>
                  <a:pt x="9391185" y="5386050"/>
                </a:cubicBezTo>
                <a:close/>
                <a:moveTo>
                  <a:pt x="9469719" y="5386050"/>
                </a:moveTo>
                <a:cubicBezTo>
                  <a:pt x="9451932" y="5386050"/>
                  <a:pt x="9437503" y="5372773"/>
                  <a:pt x="9437503" y="5356398"/>
                </a:cubicBezTo>
                <a:cubicBezTo>
                  <a:pt x="9437503" y="5340024"/>
                  <a:pt x="9451932" y="5326746"/>
                  <a:pt x="9469719" y="5326746"/>
                </a:cubicBezTo>
                <a:cubicBezTo>
                  <a:pt x="9487507" y="5326746"/>
                  <a:pt x="9501924" y="5340024"/>
                  <a:pt x="9501924" y="5356398"/>
                </a:cubicBezTo>
                <a:cubicBezTo>
                  <a:pt x="9501924" y="5372773"/>
                  <a:pt x="9487507" y="5386050"/>
                  <a:pt x="9469719" y="5386050"/>
                </a:cubicBezTo>
                <a:close/>
                <a:moveTo>
                  <a:pt x="9548254" y="5386050"/>
                </a:moveTo>
                <a:cubicBezTo>
                  <a:pt x="9530466" y="5386050"/>
                  <a:pt x="9516037" y="5372773"/>
                  <a:pt x="9516037" y="5356398"/>
                </a:cubicBezTo>
                <a:cubicBezTo>
                  <a:pt x="9516037" y="5340024"/>
                  <a:pt x="9530466" y="5326746"/>
                  <a:pt x="9548254" y="5326746"/>
                </a:cubicBezTo>
                <a:cubicBezTo>
                  <a:pt x="9566041" y="5326746"/>
                  <a:pt x="9580458" y="5340024"/>
                  <a:pt x="9580458" y="5356398"/>
                </a:cubicBezTo>
                <a:cubicBezTo>
                  <a:pt x="9580458" y="5372773"/>
                  <a:pt x="9566041" y="5386050"/>
                  <a:pt x="9548254" y="5386050"/>
                </a:cubicBezTo>
                <a:close/>
                <a:moveTo>
                  <a:pt x="9626787" y="5386050"/>
                </a:moveTo>
                <a:cubicBezTo>
                  <a:pt x="9609000" y="5386050"/>
                  <a:pt x="9594571" y="5372773"/>
                  <a:pt x="9594571" y="5356398"/>
                </a:cubicBezTo>
                <a:cubicBezTo>
                  <a:pt x="9594571" y="5340024"/>
                  <a:pt x="9609000" y="5326746"/>
                  <a:pt x="9626787" y="5326746"/>
                </a:cubicBezTo>
                <a:cubicBezTo>
                  <a:pt x="9644574" y="5326746"/>
                  <a:pt x="9658991" y="5340024"/>
                  <a:pt x="9658991" y="5356398"/>
                </a:cubicBezTo>
                <a:cubicBezTo>
                  <a:pt x="9658991" y="5372773"/>
                  <a:pt x="9644574" y="5386050"/>
                  <a:pt x="9626787" y="5386050"/>
                </a:cubicBezTo>
                <a:close/>
                <a:moveTo>
                  <a:pt x="9705321" y="5386050"/>
                </a:moveTo>
                <a:cubicBezTo>
                  <a:pt x="9687534" y="5386050"/>
                  <a:pt x="9673105" y="5372773"/>
                  <a:pt x="9673105" y="5356398"/>
                </a:cubicBezTo>
                <a:cubicBezTo>
                  <a:pt x="9673105" y="5340024"/>
                  <a:pt x="9687534" y="5326746"/>
                  <a:pt x="9705321" y="5326746"/>
                </a:cubicBezTo>
                <a:cubicBezTo>
                  <a:pt x="9723108" y="5326746"/>
                  <a:pt x="9737525" y="5340024"/>
                  <a:pt x="9737525" y="5356398"/>
                </a:cubicBezTo>
                <a:cubicBezTo>
                  <a:pt x="9737525" y="5372773"/>
                  <a:pt x="9723108" y="5386050"/>
                  <a:pt x="9705321" y="5386050"/>
                </a:cubicBezTo>
                <a:close/>
                <a:moveTo>
                  <a:pt x="9783854" y="5386050"/>
                </a:moveTo>
                <a:cubicBezTo>
                  <a:pt x="9766067" y="5386050"/>
                  <a:pt x="9751638" y="5372773"/>
                  <a:pt x="9751638" y="5356398"/>
                </a:cubicBezTo>
                <a:cubicBezTo>
                  <a:pt x="9751638" y="5340024"/>
                  <a:pt x="9766067" y="5326746"/>
                  <a:pt x="9783854" y="5326746"/>
                </a:cubicBezTo>
                <a:cubicBezTo>
                  <a:pt x="9801642" y="5326746"/>
                  <a:pt x="9816059" y="5340024"/>
                  <a:pt x="9816059" y="5356398"/>
                </a:cubicBezTo>
                <a:cubicBezTo>
                  <a:pt x="9816059" y="5372773"/>
                  <a:pt x="9801642" y="5386050"/>
                  <a:pt x="9783854" y="5386050"/>
                </a:cubicBezTo>
                <a:close/>
                <a:moveTo>
                  <a:pt x="9862389" y="5386050"/>
                </a:moveTo>
                <a:cubicBezTo>
                  <a:pt x="9844601" y="5386050"/>
                  <a:pt x="9830172" y="5372773"/>
                  <a:pt x="9830172" y="5356398"/>
                </a:cubicBezTo>
                <a:cubicBezTo>
                  <a:pt x="9830172" y="5340024"/>
                  <a:pt x="9844601" y="5326746"/>
                  <a:pt x="9862389" y="5326746"/>
                </a:cubicBezTo>
                <a:cubicBezTo>
                  <a:pt x="9880176" y="5326746"/>
                  <a:pt x="9894593" y="5340024"/>
                  <a:pt x="9894593" y="5356398"/>
                </a:cubicBezTo>
                <a:cubicBezTo>
                  <a:pt x="9894593" y="5372773"/>
                  <a:pt x="9880176" y="5386050"/>
                  <a:pt x="9862389" y="5386050"/>
                </a:cubicBezTo>
                <a:close/>
                <a:moveTo>
                  <a:pt x="9940923" y="5386050"/>
                </a:moveTo>
                <a:cubicBezTo>
                  <a:pt x="9923136" y="5386050"/>
                  <a:pt x="9908707" y="5372773"/>
                  <a:pt x="9908707" y="5356398"/>
                </a:cubicBezTo>
                <a:cubicBezTo>
                  <a:pt x="9908707" y="5340024"/>
                  <a:pt x="9923136" y="5326746"/>
                  <a:pt x="9940923" y="5326746"/>
                </a:cubicBezTo>
                <a:cubicBezTo>
                  <a:pt x="9958710" y="5326746"/>
                  <a:pt x="9973127" y="5340024"/>
                  <a:pt x="9973127" y="5356398"/>
                </a:cubicBezTo>
                <a:cubicBezTo>
                  <a:pt x="9973127" y="5372773"/>
                  <a:pt x="9958710" y="5386050"/>
                  <a:pt x="9940923" y="5386050"/>
                </a:cubicBezTo>
                <a:close/>
                <a:moveTo>
                  <a:pt x="10019456" y="5386050"/>
                </a:moveTo>
                <a:cubicBezTo>
                  <a:pt x="10001669" y="5386050"/>
                  <a:pt x="9987240" y="5372773"/>
                  <a:pt x="9987240" y="5356398"/>
                </a:cubicBezTo>
                <a:cubicBezTo>
                  <a:pt x="9987240" y="5340024"/>
                  <a:pt x="10001669" y="5326746"/>
                  <a:pt x="10019456" y="5326746"/>
                </a:cubicBezTo>
                <a:cubicBezTo>
                  <a:pt x="10037243" y="5326746"/>
                  <a:pt x="10051660" y="5340024"/>
                  <a:pt x="10051660" y="5356398"/>
                </a:cubicBezTo>
                <a:cubicBezTo>
                  <a:pt x="10051660" y="5372773"/>
                  <a:pt x="10037243" y="5386050"/>
                  <a:pt x="10019456" y="5386050"/>
                </a:cubicBezTo>
                <a:close/>
                <a:moveTo>
                  <a:pt x="10097990" y="5386050"/>
                </a:moveTo>
                <a:cubicBezTo>
                  <a:pt x="10080203" y="5386050"/>
                  <a:pt x="10065774" y="5372773"/>
                  <a:pt x="10065774" y="5356398"/>
                </a:cubicBezTo>
                <a:cubicBezTo>
                  <a:pt x="10065774" y="5340024"/>
                  <a:pt x="10080203" y="5326746"/>
                  <a:pt x="10097990" y="5326746"/>
                </a:cubicBezTo>
                <a:cubicBezTo>
                  <a:pt x="10115778" y="5326746"/>
                  <a:pt x="10130195" y="5340024"/>
                  <a:pt x="10130195" y="5356398"/>
                </a:cubicBezTo>
                <a:cubicBezTo>
                  <a:pt x="10130195" y="5372773"/>
                  <a:pt x="10115778" y="5386050"/>
                  <a:pt x="10097990" y="5386050"/>
                </a:cubicBezTo>
                <a:close/>
                <a:moveTo>
                  <a:pt x="10176524" y="5386050"/>
                </a:moveTo>
                <a:cubicBezTo>
                  <a:pt x="10158736" y="5386050"/>
                  <a:pt x="10144307" y="5372773"/>
                  <a:pt x="10144307" y="5356398"/>
                </a:cubicBezTo>
                <a:cubicBezTo>
                  <a:pt x="10144307" y="5340024"/>
                  <a:pt x="10158736" y="5326746"/>
                  <a:pt x="10176524" y="5326746"/>
                </a:cubicBezTo>
                <a:cubicBezTo>
                  <a:pt x="10194311" y="5326746"/>
                  <a:pt x="10208728" y="5340024"/>
                  <a:pt x="10208728" y="5356398"/>
                </a:cubicBezTo>
                <a:cubicBezTo>
                  <a:pt x="10208728" y="5372773"/>
                  <a:pt x="10194311" y="5386050"/>
                  <a:pt x="10176524" y="5386050"/>
                </a:cubicBezTo>
                <a:close/>
                <a:moveTo>
                  <a:pt x="10255058" y="5386050"/>
                </a:moveTo>
                <a:cubicBezTo>
                  <a:pt x="10237271" y="5386050"/>
                  <a:pt x="10222842" y="5372773"/>
                  <a:pt x="10222842" y="5356398"/>
                </a:cubicBezTo>
                <a:cubicBezTo>
                  <a:pt x="10222842" y="5340024"/>
                  <a:pt x="10237271" y="5326746"/>
                  <a:pt x="10255058" y="5326746"/>
                </a:cubicBezTo>
                <a:cubicBezTo>
                  <a:pt x="10272845" y="5326746"/>
                  <a:pt x="10287262" y="5340024"/>
                  <a:pt x="10287262" y="5356398"/>
                </a:cubicBezTo>
                <a:cubicBezTo>
                  <a:pt x="10287262" y="5372773"/>
                  <a:pt x="10272845" y="5386050"/>
                  <a:pt x="10255058" y="5386050"/>
                </a:cubicBezTo>
                <a:close/>
                <a:moveTo>
                  <a:pt x="1930444" y="5313785"/>
                </a:moveTo>
                <a:cubicBezTo>
                  <a:pt x="1912657" y="5313785"/>
                  <a:pt x="1898234" y="5300507"/>
                  <a:pt x="1898234" y="5284132"/>
                </a:cubicBezTo>
                <a:cubicBezTo>
                  <a:pt x="1898234" y="5267758"/>
                  <a:pt x="1912657" y="5254480"/>
                  <a:pt x="1930444" y="5254480"/>
                </a:cubicBezTo>
                <a:cubicBezTo>
                  <a:pt x="1948232" y="5254480"/>
                  <a:pt x="1962655" y="5267758"/>
                  <a:pt x="1962655" y="5284132"/>
                </a:cubicBezTo>
                <a:cubicBezTo>
                  <a:pt x="1962655" y="5300507"/>
                  <a:pt x="1948232" y="5313785"/>
                  <a:pt x="1930444" y="5313785"/>
                </a:cubicBezTo>
                <a:close/>
                <a:moveTo>
                  <a:pt x="2166045" y="5313785"/>
                </a:moveTo>
                <a:cubicBezTo>
                  <a:pt x="2148258" y="5313785"/>
                  <a:pt x="2133835" y="5300507"/>
                  <a:pt x="2133835" y="5284132"/>
                </a:cubicBezTo>
                <a:cubicBezTo>
                  <a:pt x="2133835" y="5267758"/>
                  <a:pt x="2148258" y="5254480"/>
                  <a:pt x="2166045" y="5254480"/>
                </a:cubicBezTo>
                <a:cubicBezTo>
                  <a:pt x="2183832" y="5254480"/>
                  <a:pt x="2198255" y="5267758"/>
                  <a:pt x="2198255" y="5284132"/>
                </a:cubicBezTo>
                <a:cubicBezTo>
                  <a:pt x="2198255" y="5300507"/>
                  <a:pt x="2183832" y="5313785"/>
                  <a:pt x="2166045" y="5313785"/>
                </a:cubicBezTo>
                <a:close/>
                <a:moveTo>
                  <a:pt x="2244579" y="5313785"/>
                </a:moveTo>
                <a:cubicBezTo>
                  <a:pt x="2226792" y="5313785"/>
                  <a:pt x="2212369" y="5300507"/>
                  <a:pt x="2212369" y="5284132"/>
                </a:cubicBezTo>
                <a:cubicBezTo>
                  <a:pt x="2212369" y="5267758"/>
                  <a:pt x="2226792" y="5254480"/>
                  <a:pt x="2244579" y="5254480"/>
                </a:cubicBezTo>
                <a:cubicBezTo>
                  <a:pt x="2262367" y="5254480"/>
                  <a:pt x="2276790" y="5267758"/>
                  <a:pt x="2276790" y="5284132"/>
                </a:cubicBezTo>
                <a:cubicBezTo>
                  <a:pt x="2276790" y="5300507"/>
                  <a:pt x="2262367" y="5313785"/>
                  <a:pt x="2244579" y="5313785"/>
                </a:cubicBezTo>
                <a:close/>
                <a:moveTo>
                  <a:pt x="2323114" y="5313785"/>
                </a:moveTo>
                <a:cubicBezTo>
                  <a:pt x="2305326" y="5313785"/>
                  <a:pt x="2290903" y="5300507"/>
                  <a:pt x="2290903" y="5284132"/>
                </a:cubicBezTo>
                <a:cubicBezTo>
                  <a:pt x="2290903" y="5267758"/>
                  <a:pt x="2305326" y="5254480"/>
                  <a:pt x="2323114" y="5254480"/>
                </a:cubicBezTo>
                <a:cubicBezTo>
                  <a:pt x="2340901" y="5254480"/>
                  <a:pt x="2355324" y="5267758"/>
                  <a:pt x="2355324" y="5284132"/>
                </a:cubicBezTo>
                <a:cubicBezTo>
                  <a:pt x="2355324" y="5300507"/>
                  <a:pt x="2340901" y="5313785"/>
                  <a:pt x="2323114" y="5313785"/>
                </a:cubicBezTo>
                <a:close/>
                <a:moveTo>
                  <a:pt x="2401647" y="5313785"/>
                </a:moveTo>
                <a:cubicBezTo>
                  <a:pt x="2383860" y="5313785"/>
                  <a:pt x="2369437" y="5300507"/>
                  <a:pt x="2369437" y="5284132"/>
                </a:cubicBezTo>
                <a:cubicBezTo>
                  <a:pt x="2369437" y="5267758"/>
                  <a:pt x="2383860" y="5254480"/>
                  <a:pt x="2401647" y="5254480"/>
                </a:cubicBezTo>
                <a:cubicBezTo>
                  <a:pt x="2419434" y="5254480"/>
                  <a:pt x="2433857" y="5267758"/>
                  <a:pt x="2433857" y="5284132"/>
                </a:cubicBezTo>
                <a:cubicBezTo>
                  <a:pt x="2433857" y="5300507"/>
                  <a:pt x="2419434" y="5313785"/>
                  <a:pt x="2401647" y="5313785"/>
                </a:cubicBezTo>
                <a:close/>
                <a:moveTo>
                  <a:pt x="2480181" y="5313785"/>
                </a:moveTo>
                <a:cubicBezTo>
                  <a:pt x="2462394" y="5313785"/>
                  <a:pt x="2447971" y="5300507"/>
                  <a:pt x="2447971" y="5284132"/>
                </a:cubicBezTo>
                <a:cubicBezTo>
                  <a:pt x="2447971" y="5267758"/>
                  <a:pt x="2462394" y="5254480"/>
                  <a:pt x="2480181" y="5254480"/>
                </a:cubicBezTo>
                <a:cubicBezTo>
                  <a:pt x="2497968" y="5254480"/>
                  <a:pt x="2512391" y="5267758"/>
                  <a:pt x="2512391" y="5284132"/>
                </a:cubicBezTo>
                <a:cubicBezTo>
                  <a:pt x="2512391" y="5300507"/>
                  <a:pt x="2497968" y="5313785"/>
                  <a:pt x="2480181" y="5313785"/>
                </a:cubicBezTo>
                <a:close/>
                <a:moveTo>
                  <a:pt x="2558715" y="5313785"/>
                </a:moveTo>
                <a:cubicBezTo>
                  <a:pt x="2540928" y="5313785"/>
                  <a:pt x="2526505" y="5300507"/>
                  <a:pt x="2526505" y="5284132"/>
                </a:cubicBezTo>
                <a:cubicBezTo>
                  <a:pt x="2526505" y="5267758"/>
                  <a:pt x="2540928" y="5254480"/>
                  <a:pt x="2558715" y="5254480"/>
                </a:cubicBezTo>
                <a:cubicBezTo>
                  <a:pt x="2576503" y="5254480"/>
                  <a:pt x="2590926" y="5267758"/>
                  <a:pt x="2590926" y="5284132"/>
                </a:cubicBezTo>
                <a:cubicBezTo>
                  <a:pt x="2590926" y="5300507"/>
                  <a:pt x="2576503" y="5313785"/>
                  <a:pt x="2558715" y="5313785"/>
                </a:cubicBezTo>
                <a:close/>
                <a:moveTo>
                  <a:pt x="2637243" y="5313785"/>
                </a:moveTo>
                <a:cubicBezTo>
                  <a:pt x="2619455" y="5313785"/>
                  <a:pt x="2605032" y="5300507"/>
                  <a:pt x="2605032" y="5284132"/>
                </a:cubicBezTo>
                <a:cubicBezTo>
                  <a:pt x="2605032" y="5267758"/>
                  <a:pt x="2619455" y="5254480"/>
                  <a:pt x="2637243" y="5254480"/>
                </a:cubicBezTo>
                <a:cubicBezTo>
                  <a:pt x="2655030" y="5254480"/>
                  <a:pt x="2669453" y="5267758"/>
                  <a:pt x="2669453" y="5284132"/>
                </a:cubicBezTo>
                <a:cubicBezTo>
                  <a:pt x="2669453" y="5300507"/>
                  <a:pt x="2655030" y="5313785"/>
                  <a:pt x="2637243" y="5313785"/>
                </a:cubicBezTo>
                <a:close/>
                <a:moveTo>
                  <a:pt x="2715777" y="5313785"/>
                </a:moveTo>
                <a:cubicBezTo>
                  <a:pt x="2697990" y="5313785"/>
                  <a:pt x="2683566" y="5300507"/>
                  <a:pt x="2683566" y="5284132"/>
                </a:cubicBezTo>
                <a:cubicBezTo>
                  <a:pt x="2683566" y="5267758"/>
                  <a:pt x="2697990" y="5254480"/>
                  <a:pt x="2715777" y="5254480"/>
                </a:cubicBezTo>
                <a:cubicBezTo>
                  <a:pt x="2733564" y="5254480"/>
                  <a:pt x="2747987" y="5267758"/>
                  <a:pt x="2747987" y="5284132"/>
                </a:cubicBezTo>
                <a:cubicBezTo>
                  <a:pt x="2747987" y="5300507"/>
                  <a:pt x="2733564" y="5313785"/>
                  <a:pt x="2715777" y="5313785"/>
                </a:cubicBezTo>
                <a:close/>
                <a:moveTo>
                  <a:pt x="2951379" y="5313785"/>
                </a:moveTo>
                <a:cubicBezTo>
                  <a:pt x="2933591" y="5313785"/>
                  <a:pt x="2919168" y="5300507"/>
                  <a:pt x="2919168" y="5284132"/>
                </a:cubicBezTo>
                <a:cubicBezTo>
                  <a:pt x="2919168" y="5267758"/>
                  <a:pt x="2933591" y="5254480"/>
                  <a:pt x="2951379" y="5254480"/>
                </a:cubicBezTo>
                <a:cubicBezTo>
                  <a:pt x="2969166" y="5254480"/>
                  <a:pt x="2983589" y="5267758"/>
                  <a:pt x="2983589" y="5284132"/>
                </a:cubicBezTo>
                <a:cubicBezTo>
                  <a:pt x="2983589" y="5300507"/>
                  <a:pt x="2969166" y="5313785"/>
                  <a:pt x="2951379" y="5313785"/>
                </a:cubicBezTo>
                <a:close/>
                <a:moveTo>
                  <a:pt x="3029912" y="5313785"/>
                </a:moveTo>
                <a:cubicBezTo>
                  <a:pt x="3012125" y="5313785"/>
                  <a:pt x="2997701" y="5300507"/>
                  <a:pt x="2997701" y="5284132"/>
                </a:cubicBezTo>
                <a:cubicBezTo>
                  <a:pt x="2997701" y="5267758"/>
                  <a:pt x="3012125" y="5254480"/>
                  <a:pt x="3029912" y="5254480"/>
                </a:cubicBezTo>
                <a:cubicBezTo>
                  <a:pt x="3047699" y="5254480"/>
                  <a:pt x="3062122" y="5267758"/>
                  <a:pt x="3062122" y="5284132"/>
                </a:cubicBezTo>
                <a:cubicBezTo>
                  <a:pt x="3062122" y="5300507"/>
                  <a:pt x="3047699" y="5313785"/>
                  <a:pt x="3029912" y="5313785"/>
                </a:cubicBezTo>
                <a:close/>
                <a:moveTo>
                  <a:pt x="3344048" y="5313785"/>
                </a:moveTo>
                <a:cubicBezTo>
                  <a:pt x="3326261" y="5313785"/>
                  <a:pt x="3311837" y="5300507"/>
                  <a:pt x="3311837" y="5284132"/>
                </a:cubicBezTo>
                <a:cubicBezTo>
                  <a:pt x="3311837" y="5267758"/>
                  <a:pt x="3326261" y="5254480"/>
                  <a:pt x="3344048" y="5254480"/>
                </a:cubicBezTo>
                <a:cubicBezTo>
                  <a:pt x="3361835" y="5254480"/>
                  <a:pt x="3376258" y="5267758"/>
                  <a:pt x="3376258" y="5284132"/>
                </a:cubicBezTo>
                <a:cubicBezTo>
                  <a:pt x="3376258" y="5300507"/>
                  <a:pt x="3361835" y="5313785"/>
                  <a:pt x="3344048" y="5313785"/>
                </a:cubicBezTo>
                <a:close/>
                <a:moveTo>
                  <a:pt x="3422581" y="5313785"/>
                </a:moveTo>
                <a:cubicBezTo>
                  <a:pt x="3404794" y="5313785"/>
                  <a:pt x="3390371" y="5300507"/>
                  <a:pt x="3390371" y="5284132"/>
                </a:cubicBezTo>
                <a:cubicBezTo>
                  <a:pt x="3390371" y="5267758"/>
                  <a:pt x="3404794" y="5254480"/>
                  <a:pt x="3422581" y="5254480"/>
                </a:cubicBezTo>
                <a:cubicBezTo>
                  <a:pt x="3440368" y="5254480"/>
                  <a:pt x="3454791" y="5267758"/>
                  <a:pt x="3454791" y="5284132"/>
                </a:cubicBezTo>
                <a:cubicBezTo>
                  <a:pt x="3454791" y="5300507"/>
                  <a:pt x="3440368" y="5313785"/>
                  <a:pt x="3422581" y="5313785"/>
                </a:cubicBezTo>
                <a:close/>
                <a:moveTo>
                  <a:pt x="3501115" y="5313785"/>
                </a:moveTo>
                <a:cubicBezTo>
                  <a:pt x="3483328" y="5313785"/>
                  <a:pt x="3468905" y="5300507"/>
                  <a:pt x="3468905" y="5284132"/>
                </a:cubicBezTo>
                <a:cubicBezTo>
                  <a:pt x="3468905" y="5267758"/>
                  <a:pt x="3483328" y="5254480"/>
                  <a:pt x="3501115" y="5254480"/>
                </a:cubicBezTo>
                <a:cubicBezTo>
                  <a:pt x="3518903" y="5254480"/>
                  <a:pt x="3533326" y="5267758"/>
                  <a:pt x="3533326" y="5284132"/>
                </a:cubicBezTo>
                <a:cubicBezTo>
                  <a:pt x="3533326" y="5300507"/>
                  <a:pt x="3518903" y="5313785"/>
                  <a:pt x="3501115" y="5313785"/>
                </a:cubicBezTo>
                <a:close/>
                <a:moveTo>
                  <a:pt x="3579650" y="5313785"/>
                </a:moveTo>
                <a:cubicBezTo>
                  <a:pt x="3561862" y="5313785"/>
                  <a:pt x="3547439" y="5300507"/>
                  <a:pt x="3547439" y="5284132"/>
                </a:cubicBezTo>
                <a:cubicBezTo>
                  <a:pt x="3547439" y="5267758"/>
                  <a:pt x="3561862" y="5254480"/>
                  <a:pt x="3579650" y="5254480"/>
                </a:cubicBezTo>
                <a:cubicBezTo>
                  <a:pt x="3597437" y="5254480"/>
                  <a:pt x="3611860" y="5267758"/>
                  <a:pt x="3611860" y="5284132"/>
                </a:cubicBezTo>
                <a:cubicBezTo>
                  <a:pt x="3611860" y="5300507"/>
                  <a:pt x="3597437" y="5313785"/>
                  <a:pt x="3579650" y="5313785"/>
                </a:cubicBezTo>
                <a:close/>
                <a:moveTo>
                  <a:pt x="3736717" y="5313785"/>
                </a:moveTo>
                <a:cubicBezTo>
                  <a:pt x="3718930" y="5313785"/>
                  <a:pt x="3704507" y="5300507"/>
                  <a:pt x="3704507" y="5284132"/>
                </a:cubicBezTo>
                <a:cubicBezTo>
                  <a:pt x="3704507" y="5267758"/>
                  <a:pt x="3718930" y="5254480"/>
                  <a:pt x="3736717" y="5254480"/>
                </a:cubicBezTo>
                <a:cubicBezTo>
                  <a:pt x="3754504" y="5254480"/>
                  <a:pt x="3768927" y="5267758"/>
                  <a:pt x="3768927" y="5284132"/>
                </a:cubicBezTo>
                <a:cubicBezTo>
                  <a:pt x="3768927" y="5300507"/>
                  <a:pt x="3754504" y="5313785"/>
                  <a:pt x="3736717" y="5313785"/>
                </a:cubicBezTo>
                <a:close/>
                <a:moveTo>
                  <a:pt x="3893785" y="5313785"/>
                </a:moveTo>
                <a:cubicBezTo>
                  <a:pt x="3875997" y="5313785"/>
                  <a:pt x="3861574" y="5300507"/>
                  <a:pt x="3861574" y="5284132"/>
                </a:cubicBezTo>
                <a:cubicBezTo>
                  <a:pt x="3861574" y="5267758"/>
                  <a:pt x="3875997" y="5254480"/>
                  <a:pt x="3893785" y="5254480"/>
                </a:cubicBezTo>
                <a:cubicBezTo>
                  <a:pt x="3911572" y="5254480"/>
                  <a:pt x="3925995" y="5267758"/>
                  <a:pt x="3925995" y="5284132"/>
                </a:cubicBezTo>
                <a:cubicBezTo>
                  <a:pt x="3925995" y="5300507"/>
                  <a:pt x="3911572" y="5313785"/>
                  <a:pt x="3893785" y="5313785"/>
                </a:cubicBezTo>
                <a:close/>
                <a:moveTo>
                  <a:pt x="4050852" y="5313785"/>
                </a:moveTo>
                <a:cubicBezTo>
                  <a:pt x="4033065" y="5313785"/>
                  <a:pt x="4018642" y="5300507"/>
                  <a:pt x="4018642" y="5284132"/>
                </a:cubicBezTo>
                <a:cubicBezTo>
                  <a:pt x="4018642" y="5267758"/>
                  <a:pt x="4033065" y="5254480"/>
                  <a:pt x="4050852" y="5254480"/>
                </a:cubicBezTo>
                <a:cubicBezTo>
                  <a:pt x="4068639" y="5254480"/>
                  <a:pt x="4083062" y="5267758"/>
                  <a:pt x="4083062" y="5284132"/>
                </a:cubicBezTo>
                <a:cubicBezTo>
                  <a:pt x="4083062" y="5300507"/>
                  <a:pt x="4068639" y="5313785"/>
                  <a:pt x="4050852" y="5313785"/>
                </a:cubicBezTo>
                <a:close/>
                <a:moveTo>
                  <a:pt x="4757663" y="5313785"/>
                </a:moveTo>
                <a:cubicBezTo>
                  <a:pt x="4739876" y="5313785"/>
                  <a:pt x="4725453" y="5300507"/>
                  <a:pt x="4725453" y="5284132"/>
                </a:cubicBezTo>
                <a:cubicBezTo>
                  <a:pt x="4725453" y="5267758"/>
                  <a:pt x="4739876" y="5254480"/>
                  <a:pt x="4757663" y="5254480"/>
                </a:cubicBezTo>
                <a:cubicBezTo>
                  <a:pt x="4775451" y="5254480"/>
                  <a:pt x="4789874" y="5267758"/>
                  <a:pt x="4789874" y="5284132"/>
                </a:cubicBezTo>
                <a:cubicBezTo>
                  <a:pt x="4789874" y="5300507"/>
                  <a:pt x="4775451" y="5313785"/>
                  <a:pt x="4757663" y="5313785"/>
                </a:cubicBezTo>
                <a:close/>
                <a:moveTo>
                  <a:pt x="4836197" y="5313785"/>
                </a:moveTo>
                <a:cubicBezTo>
                  <a:pt x="4818409" y="5313785"/>
                  <a:pt x="4803986" y="5300507"/>
                  <a:pt x="4803986" y="5284132"/>
                </a:cubicBezTo>
                <a:cubicBezTo>
                  <a:pt x="4803986" y="5267758"/>
                  <a:pt x="4818409" y="5254480"/>
                  <a:pt x="4836197" y="5254480"/>
                </a:cubicBezTo>
                <a:cubicBezTo>
                  <a:pt x="4853984" y="5254480"/>
                  <a:pt x="4868407" y="5267758"/>
                  <a:pt x="4868407" y="5284132"/>
                </a:cubicBezTo>
                <a:cubicBezTo>
                  <a:pt x="4868407" y="5300507"/>
                  <a:pt x="4853984" y="5313785"/>
                  <a:pt x="4836197" y="5313785"/>
                </a:cubicBezTo>
                <a:close/>
                <a:moveTo>
                  <a:pt x="4914731" y="5313785"/>
                </a:moveTo>
                <a:cubicBezTo>
                  <a:pt x="4896944" y="5313785"/>
                  <a:pt x="4882521" y="5300507"/>
                  <a:pt x="4882521" y="5284132"/>
                </a:cubicBezTo>
                <a:cubicBezTo>
                  <a:pt x="4882521" y="5267758"/>
                  <a:pt x="4896944" y="5254480"/>
                  <a:pt x="4914731" y="5254480"/>
                </a:cubicBezTo>
                <a:cubicBezTo>
                  <a:pt x="4932518" y="5254480"/>
                  <a:pt x="4946941" y="5267758"/>
                  <a:pt x="4946941" y="5284132"/>
                </a:cubicBezTo>
                <a:cubicBezTo>
                  <a:pt x="4946941" y="5300507"/>
                  <a:pt x="4932518" y="5313785"/>
                  <a:pt x="4914731" y="5313785"/>
                </a:cubicBezTo>
                <a:close/>
                <a:moveTo>
                  <a:pt x="4993265" y="5313785"/>
                </a:moveTo>
                <a:cubicBezTo>
                  <a:pt x="4975478" y="5313785"/>
                  <a:pt x="4961055" y="5300507"/>
                  <a:pt x="4961055" y="5284132"/>
                </a:cubicBezTo>
                <a:cubicBezTo>
                  <a:pt x="4961055" y="5267758"/>
                  <a:pt x="4975478" y="5254480"/>
                  <a:pt x="4993265" y="5254480"/>
                </a:cubicBezTo>
                <a:cubicBezTo>
                  <a:pt x="5011052" y="5254480"/>
                  <a:pt x="5025475" y="5267758"/>
                  <a:pt x="5025475" y="5284132"/>
                </a:cubicBezTo>
                <a:cubicBezTo>
                  <a:pt x="5025475" y="5300507"/>
                  <a:pt x="5011052" y="5313785"/>
                  <a:pt x="4993265" y="5313785"/>
                </a:cubicBezTo>
                <a:close/>
                <a:moveTo>
                  <a:pt x="5071798" y="5313785"/>
                </a:moveTo>
                <a:cubicBezTo>
                  <a:pt x="5054011" y="5313785"/>
                  <a:pt x="5039588" y="5300507"/>
                  <a:pt x="5039588" y="5284132"/>
                </a:cubicBezTo>
                <a:cubicBezTo>
                  <a:pt x="5039588" y="5267758"/>
                  <a:pt x="5054011" y="5254480"/>
                  <a:pt x="5071798" y="5254480"/>
                </a:cubicBezTo>
                <a:cubicBezTo>
                  <a:pt x="5089586" y="5254480"/>
                  <a:pt x="5104009" y="5267758"/>
                  <a:pt x="5104009" y="5284132"/>
                </a:cubicBezTo>
                <a:cubicBezTo>
                  <a:pt x="5104009" y="5300507"/>
                  <a:pt x="5089586" y="5313785"/>
                  <a:pt x="5071798" y="5313785"/>
                </a:cubicBezTo>
                <a:close/>
                <a:moveTo>
                  <a:pt x="5150333" y="5313785"/>
                </a:moveTo>
                <a:cubicBezTo>
                  <a:pt x="5132545" y="5313785"/>
                  <a:pt x="5118122" y="5300507"/>
                  <a:pt x="5118122" y="5284132"/>
                </a:cubicBezTo>
                <a:cubicBezTo>
                  <a:pt x="5118122" y="5267758"/>
                  <a:pt x="5132545" y="5254480"/>
                  <a:pt x="5150333" y="5254480"/>
                </a:cubicBezTo>
                <a:cubicBezTo>
                  <a:pt x="5168120" y="5254480"/>
                  <a:pt x="5182543" y="5267758"/>
                  <a:pt x="5182543" y="5284132"/>
                </a:cubicBezTo>
                <a:cubicBezTo>
                  <a:pt x="5182543" y="5300507"/>
                  <a:pt x="5168120" y="5313785"/>
                  <a:pt x="5150333" y="5313785"/>
                </a:cubicBezTo>
                <a:close/>
                <a:moveTo>
                  <a:pt x="5228867" y="5313785"/>
                </a:moveTo>
                <a:cubicBezTo>
                  <a:pt x="5211080" y="5313785"/>
                  <a:pt x="5196657" y="5300507"/>
                  <a:pt x="5196657" y="5284132"/>
                </a:cubicBezTo>
                <a:cubicBezTo>
                  <a:pt x="5196657" y="5267758"/>
                  <a:pt x="5211080" y="5254480"/>
                  <a:pt x="5228867" y="5254480"/>
                </a:cubicBezTo>
                <a:cubicBezTo>
                  <a:pt x="5246654" y="5254480"/>
                  <a:pt x="5261077" y="5267758"/>
                  <a:pt x="5261077" y="5284132"/>
                </a:cubicBezTo>
                <a:cubicBezTo>
                  <a:pt x="5261077" y="5300507"/>
                  <a:pt x="5246654" y="5313785"/>
                  <a:pt x="5228867" y="5313785"/>
                </a:cubicBezTo>
                <a:close/>
                <a:moveTo>
                  <a:pt x="5307400" y="5313785"/>
                </a:moveTo>
                <a:cubicBezTo>
                  <a:pt x="5289613" y="5313785"/>
                  <a:pt x="5275190" y="5300507"/>
                  <a:pt x="5275190" y="5284132"/>
                </a:cubicBezTo>
                <a:cubicBezTo>
                  <a:pt x="5275190" y="5267758"/>
                  <a:pt x="5289613" y="5254480"/>
                  <a:pt x="5307400" y="5254480"/>
                </a:cubicBezTo>
                <a:cubicBezTo>
                  <a:pt x="5325187" y="5254480"/>
                  <a:pt x="5339610" y="5267758"/>
                  <a:pt x="5339610" y="5284132"/>
                </a:cubicBezTo>
                <a:cubicBezTo>
                  <a:pt x="5339610" y="5300507"/>
                  <a:pt x="5325187" y="5313785"/>
                  <a:pt x="5307400" y="5313785"/>
                </a:cubicBezTo>
                <a:close/>
                <a:moveTo>
                  <a:pt x="5385934" y="5313785"/>
                </a:moveTo>
                <a:cubicBezTo>
                  <a:pt x="5368147" y="5313785"/>
                  <a:pt x="5353724" y="5300507"/>
                  <a:pt x="5353724" y="5284132"/>
                </a:cubicBezTo>
                <a:cubicBezTo>
                  <a:pt x="5353724" y="5267758"/>
                  <a:pt x="5368147" y="5254480"/>
                  <a:pt x="5385934" y="5254480"/>
                </a:cubicBezTo>
                <a:cubicBezTo>
                  <a:pt x="5403722" y="5254480"/>
                  <a:pt x="5418145" y="5267758"/>
                  <a:pt x="5418145" y="5284132"/>
                </a:cubicBezTo>
                <a:cubicBezTo>
                  <a:pt x="5418145" y="5300507"/>
                  <a:pt x="5403722" y="5313785"/>
                  <a:pt x="5385934" y="5313785"/>
                </a:cubicBezTo>
                <a:close/>
                <a:moveTo>
                  <a:pt x="7113703" y="5313785"/>
                </a:moveTo>
                <a:cubicBezTo>
                  <a:pt x="7095916" y="5313785"/>
                  <a:pt x="7081487" y="5300507"/>
                  <a:pt x="7081487" y="5284132"/>
                </a:cubicBezTo>
                <a:cubicBezTo>
                  <a:pt x="7081487" y="5267758"/>
                  <a:pt x="7095916" y="5254480"/>
                  <a:pt x="7113703" y="5254480"/>
                </a:cubicBezTo>
                <a:cubicBezTo>
                  <a:pt x="7131490" y="5254480"/>
                  <a:pt x="7145907" y="5267758"/>
                  <a:pt x="7145907" y="5284132"/>
                </a:cubicBezTo>
                <a:cubicBezTo>
                  <a:pt x="7145907" y="5300507"/>
                  <a:pt x="7131490" y="5313785"/>
                  <a:pt x="7113703" y="5313785"/>
                </a:cubicBezTo>
                <a:close/>
                <a:moveTo>
                  <a:pt x="7663441" y="5313785"/>
                </a:moveTo>
                <a:cubicBezTo>
                  <a:pt x="7645653" y="5313785"/>
                  <a:pt x="7631224" y="5300507"/>
                  <a:pt x="7631224" y="5284132"/>
                </a:cubicBezTo>
                <a:cubicBezTo>
                  <a:pt x="7631224" y="5267758"/>
                  <a:pt x="7645653" y="5254480"/>
                  <a:pt x="7663441" y="5254480"/>
                </a:cubicBezTo>
                <a:cubicBezTo>
                  <a:pt x="7681228" y="5254480"/>
                  <a:pt x="7695645" y="5267758"/>
                  <a:pt x="7695645" y="5284132"/>
                </a:cubicBezTo>
                <a:cubicBezTo>
                  <a:pt x="7695645" y="5300507"/>
                  <a:pt x="7681228" y="5313785"/>
                  <a:pt x="7663441" y="5313785"/>
                </a:cubicBezTo>
                <a:close/>
                <a:moveTo>
                  <a:pt x="7820508" y="5313785"/>
                </a:moveTo>
                <a:cubicBezTo>
                  <a:pt x="7802721" y="5313785"/>
                  <a:pt x="7788292" y="5300507"/>
                  <a:pt x="7788292" y="5284132"/>
                </a:cubicBezTo>
                <a:cubicBezTo>
                  <a:pt x="7788292" y="5267758"/>
                  <a:pt x="7802721" y="5254480"/>
                  <a:pt x="7820508" y="5254480"/>
                </a:cubicBezTo>
                <a:cubicBezTo>
                  <a:pt x="7838295" y="5254480"/>
                  <a:pt x="7852712" y="5267758"/>
                  <a:pt x="7852712" y="5284132"/>
                </a:cubicBezTo>
                <a:cubicBezTo>
                  <a:pt x="7852712" y="5300507"/>
                  <a:pt x="7838295" y="5313785"/>
                  <a:pt x="7820508" y="5313785"/>
                </a:cubicBezTo>
                <a:close/>
                <a:moveTo>
                  <a:pt x="7899042" y="5313785"/>
                </a:moveTo>
                <a:cubicBezTo>
                  <a:pt x="7881255" y="5313785"/>
                  <a:pt x="7866826" y="5300507"/>
                  <a:pt x="7866826" y="5284132"/>
                </a:cubicBezTo>
                <a:cubicBezTo>
                  <a:pt x="7866826" y="5267758"/>
                  <a:pt x="7881255" y="5254480"/>
                  <a:pt x="7899042" y="5254480"/>
                </a:cubicBezTo>
                <a:cubicBezTo>
                  <a:pt x="7916830" y="5254480"/>
                  <a:pt x="7931247" y="5267758"/>
                  <a:pt x="7931247" y="5284132"/>
                </a:cubicBezTo>
                <a:cubicBezTo>
                  <a:pt x="7931247" y="5300507"/>
                  <a:pt x="7916830" y="5313785"/>
                  <a:pt x="7899042" y="5313785"/>
                </a:cubicBezTo>
                <a:close/>
                <a:moveTo>
                  <a:pt x="7977576" y="5313785"/>
                </a:moveTo>
                <a:cubicBezTo>
                  <a:pt x="7959788" y="5313785"/>
                  <a:pt x="7945359" y="5300507"/>
                  <a:pt x="7945359" y="5284132"/>
                </a:cubicBezTo>
                <a:cubicBezTo>
                  <a:pt x="7945359" y="5267758"/>
                  <a:pt x="7959788" y="5254480"/>
                  <a:pt x="7977576" y="5254480"/>
                </a:cubicBezTo>
                <a:cubicBezTo>
                  <a:pt x="7995363" y="5254480"/>
                  <a:pt x="8009780" y="5267758"/>
                  <a:pt x="8009780" y="5284132"/>
                </a:cubicBezTo>
                <a:cubicBezTo>
                  <a:pt x="8009780" y="5300507"/>
                  <a:pt x="7995363" y="5313785"/>
                  <a:pt x="7977576" y="5313785"/>
                </a:cubicBezTo>
                <a:close/>
                <a:moveTo>
                  <a:pt x="8056110" y="5313785"/>
                </a:moveTo>
                <a:cubicBezTo>
                  <a:pt x="8038323" y="5313785"/>
                  <a:pt x="8023894" y="5300507"/>
                  <a:pt x="8023894" y="5284132"/>
                </a:cubicBezTo>
                <a:cubicBezTo>
                  <a:pt x="8023894" y="5267758"/>
                  <a:pt x="8038323" y="5254480"/>
                  <a:pt x="8056110" y="5254480"/>
                </a:cubicBezTo>
                <a:cubicBezTo>
                  <a:pt x="8073897" y="5254480"/>
                  <a:pt x="8088314" y="5267758"/>
                  <a:pt x="8088314" y="5284132"/>
                </a:cubicBezTo>
                <a:cubicBezTo>
                  <a:pt x="8088314" y="5300507"/>
                  <a:pt x="8073897" y="5313785"/>
                  <a:pt x="8056110" y="5313785"/>
                </a:cubicBezTo>
                <a:close/>
                <a:moveTo>
                  <a:pt x="8134643" y="5313785"/>
                </a:moveTo>
                <a:cubicBezTo>
                  <a:pt x="8116856" y="5313785"/>
                  <a:pt x="8102427" y="5300507"/>
                  <a:pt x="8102427" y="5284132"/>
                </a:cubicBezTo>
                <a:cubicBezTo>
                  <a:pt x="8102427" y="5267758"/>
                  <a:pt x="8116856" y="5254480"/>
                  <a:pt x="8134643" y="5254480"/>
                </a:cubicBezTo>
                <a:cubicBezTo>
                  <a:pt x="8152430" y="5254480"/>
                  <a:pt x="8166847" y="5267758"/>
                  <a:pt x="8166847" y="5284132"/>
                </a:cubicBezTo>
                <a:cubicBezTo>
                  <a:pt x="8166847" y="5300507"/>
                  <a:pt x="8152430" y="5313785"/>
                  <a:pt x="8134643" y="5313785"/>
                </a:cubicBezTo>
                <a:close/>
                <a:moveTo>
                  <a:pt x="8213177" y="5313785"/>
                </a:moveTo>
                <a:cubicBezTo>
                  <a:pt x="8195390" y="5313785"/>
                  <a:pt x="8180961" y="5300507"/>
                  <a:pt x="8180961" y="5284132"/>
                </a:cubicBezTo>
                <a:cubicBezTo>
                  <a:pt x="8180961" y="5267758"/>
                  <a:pt x="8195390" y="5254480"/>
                  <a:pt x="8213177" y="5254480"/>
                </a:cubicBezTo>
                <a:cubicBezTo>
                  <a:pt x="8230965" y="5254480"/>
                  <a:pt x="8245382" y="5267758"/>
                  <a:pt x="8245382" y="5284132"/>
                </a:cubicBezTo>
                <a:cubicBezTo>
                  <a:pt x="8245382" y="5300507"/>
                  <a:pt x="8230965" y="5313785"/>
                  <a:pt x="8213177" y="5313785"/>
                </a:cubicBezTo>
                <a:close/>
                <a:moveTo>
                  <a:pt x="8291712" y="5313785"/>
                </a:moveTo>
                <a:cubicBezTo>
                  <a:pt x="8273924" y="5313785"/>
                  <a:pt x="8259495" y="5300507"/>
                  <a:pt x="8259495" y="5284132"/>
                </a:cubicBezTo>
                <a:cubicBezTo>
                  <a:pt x="8259495" y="5267758"/>
                  <a:pt x="8273924" y="5254480"/>
                  <a:pt x="8291712" y="5254480"/>
                </a:cubicBezTo>
                <a:cubicBezTo>
                  <a:pt x="8309499" y="5254480"/>
                  <a:pt x="8323916" y="5267758"/>
                  <a:pt x="8323916" y="5284132"/>
                </a:cubicBezTo>
                <a:cubicBezTo>
                  <a:pt x="8323916" y="5300507"/>
                  <a:pt x="8309499" y="5313785"/>
                  <a:pt x="8291712" y="5313785"/>
                </a:cubicBezTo>
                <a:close/>
                <a:moveTo>
                  <a:pt x="8370245" y="5313785"/>
                </a:moveTo>
                <a:cubicBezTo>
                  <a:pt x="8352458" y="5313785"/>
                  <a:pt x="8338029" y="5300507"/>
                  <a:pt x="8338029" y="5284132"/>
                </a:cubicBezTo>
                <a:cubicBezTo>
                  <a:pt x="8338029" y="5267758"/>
                  <a:pt x="8352458" y="5254480"/>
                  <a:pt x="8370245" y="5254480"/>
                </a:cubicBezTo>
                <a:cubicBezTo>
                  <a:pt x="8388032" y="5254480"/>
                  <a:pt x="8402449" y="5267758"/>
                  <a:pt x="8402449" y="5284132"/>
                </a:cubicBezTo>
                <a:cubicBezTo>
                  <a:pt x="8402449" y="5300507"/>
                  <a:pt x="8388032" y="5313785"/>
                  <a:pt x="8370245" y="5313785"/>
                </a:cubicBezTo>
                <a:close/>
                <a:moveTo>
                  <a:pt x="8448779" y="5313785"/>
                </a:moveTo>
                <a:cubicBezTo>
                  <a:pt x="8430992" y="5313785"/>
                  <a:pt x="8416563" y="5300507"/>
                  <a:pt x="8416563" y="5284132"/>
                </a:cubicBezTo>
                <a:cubicBezTo>
                  <a:pt x="8416563" y="5267758"/>
                  <a:pt x="8430992" y="5254480"/>
                  <a:pt x="8448779" y="5254480"/>
                </a:cubicBezTo>
                <a:cubicBezTo>
                  <a:pt x="8466566" y="5254480"/>
                  <a:pt x="8480983" y="5267758"/>
                  <a:pt x="8480983" y="5284132"/>
                </a:cubicBezTo>
                <a:cubicBezTo>
                  <a:pt x="8480983" y="5300507"/>
                  <a:pt x="8466566" y="5313785"/>
                  <a:pt x="8448779" y="5313785"/>
                </a:cubicBezTo>
                <a:close/>
                <a:moveTo>
                  <a:pt x="8527313" y="5313785"/>
                </a:moveTo>
                <a:cubicBezTo>
                  <a:pt x="8509526" y="5313785"/>
                  <a:pt x="8495097" y="5300507"/>
                  <a:pt x="8495097" y="5284132"/>
                </a:cubicBezTo>
                <a:cubicBezTo>
                  <a:pt x="8495097" y="5267758"/>
                  <a:pt x="8509526" y="5254480"/>
                  <a:pt x="8527313" y="5254480"/>
                </a:cubicBezTo>
                <a:cubicBezTo>
                  <a:pt x="8545101" y="5254480"/>
                  <a:pt x="8559518" y="5267758"/>
                  <a:pt x="8559518" y="5284132"/>
                </a:cubicBezTo>
                <a:cubicBezTo>
                  <a:pt x="8559518" y="5300507"/>
                  <a:pt x="8545101" y="5313785"/>
                  <a:pt x="8527313" y="5313785"/>
                </a:cubicBezTo>
                <a:close/>
                <a:moveTo>
                  <a:pt x="8605847" y="5313785"/>
                </a:moveTo>
                <a:cubicBezTo>
                  <a:pt x="8588059" y="5313785"/>
                  <a:pt x="8573630" y="5300507"/>
                  <a:pt x="8573630" y="5284132"/>
                </a:cubicBezTo>
                <a:cubicBezTo>
                  <a:pt x="8573630" y="5267758"/>
                  <a:pt x="8588059" y="5254480"/>
                  <a:pt x="8605847" y="5254480"/>
                </a:cubicBezTo>
                <a:cubicBezTo>
                  <a:pt x="8623634" y="5254480"/>
                  <a:pt x="8638051" y="5267758"/>
                  <a:pt x="8638051" y="5284132"/>
                </a:cubicBezTo>
                <a:cubicBezTo>
                  <a:pt x="8638051" y="5300507"/>
                  <a:pt x="8623634" y="5313785"/>
                  <a:pt x="8605847" y="5313785"/>
                </a:cubicBezTo>
                <a:close/>
                <a:moveTo>
                  <a:pt x="8684381" y="5313785"/>
                </a:moveTo>
                <a:cubicBezTo>
                  <a:pt x="8666594" y="5313785"/>
                  <a:pt x="8652165" y="5300507"/>
                  <a:pt x="8652165" y="5284132"/>
                </a:cubicBezTo>
                <a:cubicBezTo>
                  <a:pt x="8652165" y="5267758"/>
                  <a:pt x="8666594" y="5254480"/>
                  <a:pt x="8684381" y="5254480"/>
                </a:cubicBezTo>
                <a:cubicBezTo>
                  <a:pt x="8702168" y="5254480"/>
                  <a:pt x="8716585" y="5267758"/>
                  <a:pt x="8716585" y="5284132"/>
                </a:cubicBezTo>
                <a:cubicBezTo>
                  <a:pt x="8716585" y="5300507"/>
                  <a:pt x="8702168" y="5313785"/>
                  <a:pt x="8684381" y="5313785"/>
                </a:cubicBezTo>
                <a:close/>
                <a:moveTo>
                  <a:pt x="8762914" y="5313785"/>
                </a:moveTo>
                <a:cubicBezTo>
                  <a:pt x="8745127" y="5313785"/>
                  <a:pt x="8730698" y="5300507"/>
                  <a:pt x="8730698" y="5284132"/>
                </a:cubicBezTo>
                <a:cubicBezTo>
                  <a:pt x="8730698" y="5267758"/>
                  <a:pt x="8745127" y="5254480"/>
                  <a:pt x="8762914" y="5254480"/>
                </a:cubicBezTo>
                <a:cubicBezTo>
                  <a:pt x="8780701" y="5254480"/>
                  <a:pt x="8795118" y="5267758"/>
                  <a:pt x="8795118" y="5284132"/>
                </a:cubicBezTo>
                <a:cubicBezTo>
                  <a:pt x="8795118" y="5300507"/>
                  <a:pt x="8780701" y="5313785"/>
                  <a:pt x="8762914" y="5313785"/>
                </a:cubicBezTo>
                <a:close/>
                <a:moveTo>
                  <a:pt x="8841448" y="5313785"/>
                </a:moveTo>
                <a:cubicBezTo>
                  <a:pt x="8823661" y="5313785"/>
                  <a:pt x="8809232" y="5300507"/>
                  <a:pt x="8809232" y="5284132"/>
                </a:cubicBezTo>
                <a:cubicBezTo>
                  <a:pt x="8809232" y="5267758"/>
                  <a:pt x="8823661" y="5254480"/>
                  <a:pt x="8841448" y="5254480"/>
                </a:cubicBezTo>
                <a:cubicBezTo>
                  <a:pt x="8859236" y="5254480"/>
                  <a:pt x="8873653" y="5267758"/>
                  <a:pt x="8873653" y="5284132"/>
                </a:cubicBezTo>
                <a:cubicBezTo>
                  <a:pt x="8873653" y="5300507"/>
                  <a:pt x="8859236" y="5313785"/>
                  <a:pt x="8841448" y="5313785"/>
                </a:cubicBezTo>
                <a:close/>
                <a:moveTo>
                  <a:pt x="8919983" y="5313785"/>
                </a:moveTo>
                <a:cubicBezTo>
                  <a:pt x="8902195" y="5313785"/>
                  <a:pt x="8887766" y="5300507"/>
                  <a:pt x="8887766" y="5284132"/>
                </a:cubicBezTo>
                <a:cubicBezTo>
                  <a:pt x="8887766" y="5267758"/>
                  <a:pt x="8902195" y="5254480"/>
                  <a:pt x="8919983" y="5254480"/>
                </a:cubicBezTo>
                <a:cubicBezTo>
                  <a:pt x="8937770" y="5254480"/>
                  <a:pt x="8952187" y="5267758"/>
                  <a:pt x="8952187" y="5284132"/>
                </a:cubicBezTo>
                <a:cubicBezTo>
                  <a:pt x="8952187" y="5300507"/>
                  <a:pt x="8937770" y="5313785"/>
                  <a:pt x="8919983" y="5313785"/>
                </a:cubicBezTo>
                <a:close/>
                <a:moveTo>
                  <a:pt x="8998516" y="5313785"/>
                </a:moveTo>
                <a:cubicBezTo>
                  <a:pt x="8980729" y="5313785"/>
                  <a:pt x="8966300" y="5300507"/>
                  <a:pt x="8966300" y="5284132"/>
                </a:cubicBezTo>
                <a:cubicBezTo>
                  <a:pt x="8966300" y="5267758"/>
                  <a:pt x="8980729" y="5254480"/>
                  <a:pt x="8998516" y="5254480"/>
                </a:cubicBezTo>
                <a:cubicBezTo>
                  <a:pt x="9016303" y="5254480"/>
                  <a:pt x="9030720" y="5267758"/>
                  <a:pt x="9030720" y="5284132"/>
                </a:cubicBezTo>
                <a:cubicBezTo>
                  <a:pt x="9030720" y="5300507"/>
                  <a:pt x="9016303" y="5313785"/>
                  <a:pt x="8998516" y="5313785"/>
                </a:cubicBezTo>
                <a:close/>
                <a:moveTo>
                  <a:pt x="9077050" y="5313785"/>
                </a:moveTo>
                <a:cubicBezTo>
                  <a:pt x="9059263" y="5313785"/>
                  <a:pt x="9044834" y="5300507"/>
                  <a:pt x="9044834" y="5284132"/>
                </a:cubicBezTo>
                <a:cubicBezTo>
                  <a:pt x="9044834" y="5267758"/>
                  <a:pt x="9059263" y="5254480"/>
                  <a:pt x="9077050" y="5254480"/>
                </a:cubicBezTo>
                <a:cubicBezTo>
                  <a:pt x="9094837" y="5254480"/>
                  <a:pt x="9109254" y="5267758"/>
                  <a:pt x="9109254" y="5284132"/>
                </a:cubicBezTo>
                <a:cubicBezTo>
                  <a:pt x="9109254" y="5300507"/>
                  <a:pt x="9094837" y="5313785"/>
                  <a:pt x="9077050" y="5313785"/>
                </a:cubicBezTo>
                <a:close/>
                <a:moveTo>
                  <a:pt x="9155583" y="5313785"/>
                </a:moveTo>
                <a:cubicBezTo>
                  <a:pt x="9137796" y="5313785"/>
                  <a:pt x="9123367" y="5300507"/>
                  <a:pt x="9123367" y="5284132"/>
                </a:cubicBezTo>
                <a:cubicBezTo>
                  <a:pt x="9123367" y="5267758"/>
                  <a:pt x="9137796" y="5254480"/>
                  <a:pt x="9155583" y="5254480"/>
                </a:cubicBezTo>
                <a:cubicBezTo>
                  <a:pt x="9173371" y="5254480"/>
                  <a:pt x="9187788" y="5267758"/>
                  <a:pt x="9187788" y="5284132"/>
                </a:cubicBezTo>
                <a:cubicBezTo>
                  <a:pt x="9187788" y="5300507"/>
                  <a:pt x="9173371" y="5313785"/>
                  <a:pt x="9155583" y="5313785"/>
                </a:cubicBezTo>
                <a:close/>
                <a:moveTo>
                  <a:pt x="9234118" y="5313785"/>
                </a:moveTo>
                <a:cubicBezTo>
                  <a:pt x="9216330" y="5313785"/>
                  <a:pt x="9201901" y="5300507"/>
                  <a:pt x="9201901" y="5284132"/>
                </a:cubicBezTo>
                <a:cubicBezTo>
                  <a:pt x="9201901" y="5267758"/>
                  <a:pt x="9216330" y="5254480"/>
                  <a:pt x="9234118" y="5254480"/>
                </a:cubicBezTo>
                <a:cubicBezTo>
                  <a:pt x="9251905" y="5254480"/>
                  <a:pt x="9266322" y="5267758"/>
                  <a:pt x="9266322" y="5284132"/>
                </a:cubicBezTo>
                <a:cubicBezTo>
                  <a:pt x="9266322" y="5300507"/>
                  <a:pt x="9251905" y="5313785"/>
                  <a:pt x="9234118" y="5313785"/>
                </a:cubicBezTo>
                <a:close/>
                <a:moveTo>
                  <a:pt x="9312652" y="5313785"/>
                </a:moveTo>
                <a:cubicBezTo>
                  <a:pt x="9294865" y="5313785"/>
                  <a:pt x="9280436" y="5300507"/>
                  <a:pt x="9280436" y="5284132"/>
                </a:cubicBezTo>
                <a:cubicBezTo>
                  <a:pt x="9280436" y="5267758"/>
                  <a:pt x="9294865" y="5254480"/>
                  <a:pt x="9312652" y="5254480"/>
                </a:cubicBezTo>
                <a:cubicBezTo>
                  <a:pt x="9330439" y="5254480"/>
                  <a:pt x="9344856" y="5267758"/>
                  <a:pt x="9344856" y="5284132"/>
                </a:cubicBezTo>
                <a:cubicBezTo>
                  <a:pt x="9344856" y="5300507"/>
                  <a:pt x="9330439" y="5313785"/>
                  <a:pt x="9312652" y="5313785"/>
                </a:cubicBezTo>
                <a:close/>
                <a:moveTo>
                  <a:pt x="9391185" y="5313785"/>
                </a:moveTo>
                <a:cubicBezTo>
                  <a:pt x="9373398" y="5313785"/>
                  <a:pt x="9358969" y="5300507"/>
                  <a:pt x="9358969" y="5284132"/>
                </a:cubicBezTo>
                <a:cubicBezTo>
                  <a:pt x="9358969" y="5267758"/>
                  <a:pt x="9373398" y="5254480"/>
                  <a:pt x="9391185" y="5254480"/>
                </a:cubicBezTo>
                <a:cubicBezTo>
                  <a:pt x="9408972" y="5254480"/>
                  <a:pt x="9423389" y="5267758"/>
                  <a:pt x="9423389" y="5284132"/>
                </a:cubicBezTo>
                <a:cubicBezTo>
                  <a:pt x="9423389" y="5300507"/>
                  <a:pt x="9408972" y="5313785"/>
                  <a:pt x="9391185" y="5313785"/>
                </a:cubicBezTo>
                <a:close/>
                <a:moveTo>
                  <a:pt x="9469719" y="5313785"/>
                </a:moveTo>
                <a:cubicBezTo>
                  <a:pt x="9451932" y="5313785"/>
                  <a:pt x="9437503" y="5300507"/>
                  <a:pt x="9437503" y="5284132"/>
                </a:cubicBezTo>
                <a:cubicBezTo>
                  <a:pt x="9437503" y="5267758"/>
                  <a:pt x="9451932" y="5254480"/>
                  <a:pt x="9469719" y="5254480"/>
                </a:cubicBezTo>
                <a:cubicBezTo>
                  <a:pt x="9487507" y="5254480"/>
                  <a:pt x="9501924" y="5267758"/>
                  <a:pt x="9501924" y="5284132"/>
                </a:cubicBezTo>
                <a:cubicBezTo>
                  <a:pt x="9501924" y="5300507"/>
                  <a:pt x="9487507" y="5313785"/>
                  <a:pt x="9469719" y="5313785"/>
                </a:cubicBezTo>
                <a:close/>
                <a:moveTo>
                  <a:pt x="9548254" y="5313785"/>
                </a:moveTo>
                <a:cubicBezTo>
                  <a:pt x="9530466" y="5313785"/>
                  <a:pt x="9516037" y="5300507"/>
                  <a:pt x="9516037" y="5284132"/>
                </a:cubicBezTo>
                <a:cubicBezTo>
                  <a:pt x="9516037" y="5267758"/>
                  <a:pt x="9530466" y="5254480"/>
                  <a:pt x="9548254" y="5254480"/>
                </a:cubicBezTo>
                <a:cubicBezTo>
                  <a:pt x="9566041" y="5254480"/>
                  <a:pt x="9580458" y="5267758"/>
                  <a:pt x="9580458" y="5284132"/>
                </a:cubicBezTo>
                <a:cubicBezTo>
                  <a:pt x="9580458" y="5300507"/>
                  <a:pt x="9566041" y="5313785"/>
                  <a:pt x="9548254" y="5313785"/>
                </a:cubicBezTo>
                <a:close/>
                <a:moveTo>
                  <a:pt x="9626787" y="5313785"/>
                </a:moveTo>
                <a:cubicBezTo>
                  <a:pt x="9609000" y="5313785"/>
                  <a:pt x="9594571" y="5300507"/>
                  <a:pt x="9594571" y="5284132"/>
                </a:cubicBezTo>
                <a:cubicBezTo>
                  <a:pt x="9594571" y="5267758"/>
                  <a:pt x="9609000" y="5254480"/>
                  <a:pt x="9626787" y="5254480"/>
                </a:cubicBezTo>
                <a:cubicBezTo>
                  <a:pt x="9644574" y="5254480"/>
                  <a:pt x="9658991" y="5267758"/>
                  <a:pt x="9658991" y="5284132"/>
                </a:cubicBezTo>
                <a:cubicBezTo>
                  <a:pt x="9658991" y="5300507"/>
                  <a:pt x="9644574" y="5313785"/>
                  <a:pt x="9626787" y="5313785"/>
                </a:cubicBezTo>
                <a:close/>
                <a:moveTo>
                  <a:pt x="9705321" y="5313785"/>
                </a:moveTo>
                <a:cubicBezTo>
                  <a:pt x="9687534" y="5313785"/>
                  <a:pt x="9673105" y="5300507"/>
                  <a:pt x="9673105" y="5284132"/>
                </a:cubicBezTo>
                <a:cubicBezTo>
                  <a:pt x="9673105" y="5267758"/>
                  <a:pt x="9687534" y="5254480"/>
                  <a:pt x="9705321" y="5254480"/>
                </a:cubicBezTo>
                <a:cubicBezTo>
                  <a:pt x="9723108" y="5254480"/>
                  <a:pt x="9737525" y="5267758"/>
                  <a:pt x="9737525" y="5284132"/>
                </a:cubicBezTo>
                <a:cubicBezTo>
                  <a:pt x="9737525" y="5300507"/>
                  <a:pt x="9723108" y="5313785"/>
                  <a:pt x="9705321" y="5313785"/>
                </a:cubicBezTo>
                <a:close/>
                <a:moveTo>
                  <a:pt x="9783854" y="5313785"/>
                </a:moveTo>
                <a:cubicBezTo>
                  <a:pt x="9766067" y="5313785"/>
                  <a:pt x="9751638" y="5300507"/>
                  <a:pt x="9751638" y="5284132"/>
                </a:cubicBezTo>
                <a:cubicBezTo>
                  <a:pt x="9751638" y="5267758"/>
                  <a:pt x="9766067" y="5254480"/>
                  <a:pt x="9783854" y="5254480"/>
                </a:cubicBezTo>
                <a:cubicBezTo>
                  <a:pt x="9801642" y="5254480"/>
                  <a:pt x="9816059" y="5267758"/>
                  <a:pt x="9816059" y="5284132"/>
                </a:cubicBezTo>
                <a:cubicBezTo>
                  <a:pt x="9816059" y="5300507"/>
                  <a:pt x="9801642" y="5313785"/>
                  <a:pt x="9783854" y="5313785"/>
                </a:cubicBezTo>
                <a:close/>
                <a:moveTo>
                  <a:pt x="9862389" y="5313785"/>
                </a:moveTo>
                <a:cubicBezTo>
                  <a:pt x="9844601" y="5313785"/>
                  <a:pt x="9830172" y="5300507"/>
                  <a:pt x="9830172" y="5284132"/>
                </a:cubicBezTo>
                <a:cubicBezTo>
                  <a:pt x="9830172" y="5267758"/>
                  <a:pt x="9844601" y="5254480"/>
                  <a:pt x="9862389" y="5254480"/>
                </a:cubicBezTo>
                <a:cubicBezTo>
                  <a:pt x="9880176" y="5254480"/>
                  <a:pt x="9894593" y="5267758"/>
                  <a:pt x="9894593" y="5284132"/>
                </a:cubicBezTo>
                <a:cubicBezTo>
                  <a:pt x="9894593" y="5300507"/>
                  <a:pt x="9880176" y="5313785"/>
                  <a:pt x="9862389" y="5313785"/>
                </a:cubicBezTo>
                <a:close/>
                <a:moveTo>
                  <a:pt x="9940923" y="5313785"/>
                </a:moveTo>
                <a:cubicBezTo>
                  <a:pt x="9923136" y="5313785"/>
                  <a:pt x="9908707" y="5300507"/>
                  <a:pt x="9908707" y="5284132"/>
                </a:cubicBezTo>
                <a:cubicBezTo>
                  <a:pt x="9908707" y="5267758"/>
                  <a:pt x="9923136" y="5254480"/>
                  <a:pt x="9940923" y="5254480"/>
                </a:cubicBezTo>
                <a:cubicBezTo>
                  <a:pt x="9958710" y="5254480"/>
                  <a:pt x="9973127" y="5267758"/>
                  <a:pt x="9973127" y="5284132"/>
                </a:cubicBezTo>
                <a:cubicBezTo>
                  <a:pt x="9973127" y="5300507"/>
                  <a:pt x="9958710" y="5313785"/>
                  <a:pt x="9940923" y="5313785"/>
                </a:cubicBezTo>
                <a:close/>
                <a:moveTo>
                  <a:pt x="10019456" y="5313785"/>
                </a:moveTo>
                <a:cubicBezTo>
                  <a:pt x="10001669" y="5313785"/>
                  <a:pt x="9987240" y="5300507"/>
                  <a:pt x="9987240" y="5284132"/>
                </a:cubicBezTo>
                <a:cubicBezTo>
                  <a:pt x="9987240" y="5267758"/>
                  <a:pt x="10001669" y="5254480"/>
                  <a:pt x="10019456" y="5254480"/>
                </a:cubicBezTo>
                <a:cubicBezTo>
                  <a:pt x="10037243" y="5254480"/>
                  <a:pt x="10051660" y="5267758"/>
                  <a:pt x="10051660" y="5284132"/>
                </a:cubicBezTo>
                <a:cubicBezTo>
                  <a:pt x="10051660" y="5300507"/>
                  <a:pt x="10037243" y="5313785"/>
                  <a:pt x="10019456" y="5313785"/>
                </a:cubicBezTo>
                <a:close/>
                <a:moveTo>
                  <a:pt x="10097990" y="5313785"/>
                </a:moveTo>
                <a:cubicBezTo>
                  <a:pt x="10080203" y="5313785"/>
                  <a:pt x="10065774" y="5300507"/>
                  <a:pt x="10065774" y="5284132"/>
                </a:cubicBezTo>
                <a:cubicBezTo>
                  <a:pt x="10065774" y="5267758"/>
                  <a:pt x="10080203" y="5254480"/>
                  <a:pt x="10097990" y="5254480"/>
                </a:cubicBezTo>
                <a:cubicBezTo>
                  <a:pt x="10115778" y="5254480"/>
                  <a:pt x="10130195" y="5267758"/>
                  <a:pt x="10130195" y="5284132"/>
                </a:cubicBezTo>
                <a:cubicBezTo>
                  <a:pt x="10130195" y="5300507"/>
                  <a:pt x="10115778" y="5313785"/>
                  <a:pt x="10097990" y="5313785"/>
                </a:cubicBezTo>
                <a:close/>
                <a:moveTo>
                  <a:pt x="10176524" y="5313785"/>
                </a:moveTo>
                <a:cubicBezTo>
                  <a:pt x="10158736" y="5313785"/>
                  <a:pt x="10144307" y="5300507"/>
                  <a:pt x="10144307" y="5284132"/>
                </a:cubicBezTo>
                <a:cubicBezTo>
                  <a:pt x="10144307" y="5267758"/>
                  <a:pt x="10158736" y="5254480"/>
                  <a:pt x="10176524" y="5254480"/>
                </a:cubicBezTo>
                <a:cubicBezTo>
                  <a:pt x="10194311" y="5254480"/>
                  <a:pt x="10208728" y="5267758"/>
                  <a:pt x="10208728" y="5284132"/>
                </a:cubicBezTo>
                <a:cubicBezTo>
                  <a:pt x="10208728" y="5300507"/>
                  <a:pt x="10194311" y="5313785"/>
                  <a:pt x="10176524" y="5313785"/>
                </a:cubicBezTo>
                <a:close/>
                <a:moveTo>
                  <a:pt x="1930444" y="5241520"/>
                </a:moveTo>
                <a:cubicBezTo>
                  <a:pt x="1912657" y="5241520"/>
                  <a:pt x="1898234" y="5228242"/>
                  <a:pt x="1898234" y="5211868"/>
                </a:cubicBezTo>
                <a:cubicBezTo>
                  <a:pt x="1898234" y="5195493"/>
                  <a:pt x="1912657" y="5182216"/>
                  <a:pt x="1930444" y="5182216"/>
                </a:cubicBezTo>
                <a:cubicBezTo>
                  <a:pt x="1948232" y="5182216"/>
                  <a:pt x="1962655" y="5195493"/>
                  <a:pt x="1962655" y="5211868"/>
                </a:cubicBezTo>
                <a:cubicBezTo>
                  <a:pt x="1962655" y="5228242"/>
                  <a:pt x="1948232" y="5241520"/>
                  <a:pt x="1930444" y="5241520"/>
                </a:cubicBezTo>
                <a:close/>
                <a:moveTo>
                  <a:pt x="2008978" y="5241520"/>
                </a:moveTo>
                <a:cubicBezTo>
                  <a:pt x="1991190" y="5241520"/>
                  <a:pt x="1976767" y="5228242"/>
                  <a:pt x="1976767" y="5211868"/>
                </a:cubicBezTo>
                <a:cubicBezTo>
                  <a:pt x="1976767" y="5195493"/>
                  <a:pt x="1991190" y="5182216"/>
                  <a:pt x="2008978" y="5182216"/>
                </a:cubicBezTo>
                <a:cubicBezTo>
                  <a:pt x="2026765" y="5182216"/>
                  <a:pt x="2041188" y="5195493"/>
                  <a:pt x="2041188" y="5211868"/>
                </a:cubicBezTo>
                <a:cubicBezTo>
                  <a:pt x="2041188" y="5228242"/>
                  <a:pt x="2026765" y="5241520"/>
                  <a:pt x="2008978" y="5241520"/>
                </a:cubicBezTo>
                <a:close/>
                <a:moveTo>
                  <a:pt x="2087512" y="5241520"/>
                </a:moveTo>
                <a:cubicBezTo>
                  <a:pt x="2069725" y="5241520"/>
                  <a:pt x="2055302" y="5228242"/>
                  <a:pt x="2055302" y="5211868"/>
                </a:cubicBezTo>
                <a:cubicBezTo>
                  <a:pt x="2055302" y="5195493"/>
                  <a:pt x="2069725" y="5182216"/>
                  <a:pt x="2087512" y="5182216"/>
                </a:cubicBezTo>
                <a:cubicBezTo>
                  <a:pt x="2105299" y="5182216"/>
                  <a:pt x="2119722" y="5195493"/>
                  <a:pt x="2119722" y="5211868"/>
                </a:cubicBezTo>
                <a:cubicBezTo>
                  <a:pt x="2119722" y="5228242"/>
                  <a:pt x="2105299" y="5241520"/>
                  <a:pt x="2087512" y="5241520"/>
                </a:cubicBezTo>
                <a:close/>
                <a:moveTo>
                  <a:pt x="2166045" y="5241520"/>
                </a:moveTo>
                <a:cubicBezTo>
                  <a:pt x="2148258" y="5241520"/>
                  <a:pt x="2133835" y="5228242"/>
                  <a:pt x="2133835" y="5211868"/>
                </a:cubicBezTo>
                <a:cubicBezTo>
                  <a:pt x="2133835" y="5195493"/>
                  <a:pt x="2148258" y="5182216"/>
                  <a:pt x="2166045" y="5182216"/>
                </a:cubicBezTo>
                <a:cubicBezTo>
                  <a:pt x="2183832" y="5182216"/>
                  <a:pt x="2198255" y="5195493"/>
                  <a:pt x="2198255" y="5211868"/>
                </a:cubicBezTo>
                <a:cubicBezTo>
                  <a:pt x="2198255" y="5228242"/>
                  <a:pt x="2183832" y="5241520"/>
                  <a:pt x="2166045" y="5241520"/>
                </a:cubicBezTo>
                <a:close/>
                <a:moveTo>
                  <a:pt x="2244579" y="5241520"/>
                </a:moveTo>
                <a:cubicBezTo>
                  <a:pt x="2226792" y="5241520"/>
                  <a:pt x="2212369" y="5228242"/>
                  <a:pt x="2212369" y="5211868"/>
                </a:cubicBezTo>
                <a:cubicBezTo>
                  <a:pt x="2212369" y="5195493"/>
                  <a:pt x="2226792" y="5182216"/>
                  <a:pt x="2244579" y="5182216"/>
                </a:cubicBezTo>
                <a:cubicBezTo>
                  <a:pt x="2262367" y="5182216"/>
                  <a:pt x="2276790" y="5195493"/>
                  <a:pt x="2276790" y="5211868"/>
                </a:cubicBezTo>
                <a:cubicBezTo>
                  <a:pt x="2276790" y="5228242"/>
                  <a:pt x="2262367" y="5241520"/>
                  <a:pt x="2244579" y="5241520"/>
                </a:cubicBezTo>
                <a:close/>
                <a:moveTo>
                  <a:pt x="2323114" y="5241520"/>
                </a:moveTo>
                <a:cubicBezTo>
                  <a:pt x="2305326" y="5241520"/>
                  <a:pt x="2290903" y="5228242"/>
                  <a:pt x="2290903" y="5211868"/>
                </a:cubicBezTo>
                <a:cubicBezTo>
                  <a:pt x="2290903" y="5195493"/>
                  <a:pt x="2305326" y="5182216"/>
                  <a:pt x="2323114" y="5182216"/>
                </a:cubicBezTo>
                <a:cubicBezTo>
                  <a:pt x="2340901" y="5182216"/>
                  <a:pt x="2355324" y="5195493"/>
                  <a:pt x="2355324" y="5211868"/>
                </a:cubicBezTo>
                <a:cubicBezTo>
                  <a:pt x="2355324" y="5228242"/>
                  <a:pt x="2340901" y="5241520"/>
                  <a:pt x="2323114" y="5241520"/>
                </a:cubicBezTo>
                <a:close/>
                <a:moveTo>
                  <a:pt x="2401647" y="5241520"/>
                </a:moveTo>
                <a:cubicBezTo>
                  <a:pt x="2383860" y="5241520"/>
                  <a:pt x="2369437" y="5228242"/>
                  <a:pt x="2369437" y="5211868"/>
                </a:cubicBezTo>
                <a:cubicBezTo>
                  <a:pt x="2369437" y="5195493"/>
                  <a:pt x="2383860" y="5182216"/>
                  <a:pt x="2401647" y="5182216"/>
                </a:cubicBezTo>
                <a:cubicBezTo>
                  <a:pt x="2419434" y="5182216"/>
                  <a:pt x="2433857" y="5195493"/>
                  <a:pt x="2433857" y="5211868"/>
                </a:cubicBezTo>
                <a:cubicBezTo>
                  <a:pt x="2433857" y="5228242"/>
                  <a:pt x="2419434" y="5241520"/>
                  <a:pt x="2401647" y="5241520"/>
                </a:cubicBezTo>
                <a:close/>
                <a:moveTo>
                  <a:pt x="2480181" y="5241520"/>
                </a:moveTo>
                <a:cubicBezTo>
                  <a:pt x="2462394" y="5241520"/>
                  <a:pt x="2447971" y="5228242"/>
                  <a:pt x="2447971" y="5211868"/>
                </a:cubicBezTo>
                <a:cubicBezTo>
                  <a:pt x="2447971" y="5195493"/>
                  <a:pt x="2462394" y="5182216"/>
                  <a:pt x="2480181" y="5182216"/>
                </a:cubicBezTo>
                <a:cubicBezTo>
                  <a:pt x="2497968" y="5182216"/>
                  <a:pt x="2512391" y="5195493"/>
                  <a:pt x="2512391" y="5211868"/>
                </a:cubicBezTo>
                <a:cubicBezTo>
                  <a:pt x="2512391" y="5228242"/>
                  <a:pt x="2497968" y="5241520"/>
                  <a:pt x="2480181" y="5241520"/>
                </a:cubicBezTo>
                <a:close/>
                <a:moveTo>
                  <a:pt x="2558715" y="5241520"/>
                </a:moveTo>
                <a:cubicBezTo>
                  <a:pt x="2540928" y="5241520"/>
                  <a:pt x="2526505" y="5228242"/>
                  <a:pt x="2526505" y="5211868"/>
                </a:cubicBezTo>
                <a:cubicBezTo>
                  <a:pt x="2526505" y="5195493"/>
                  <a:pt x="2540928" y="5182216"/>
                  <a:pt x="2558715" y="5182216"/>
                </a:cubicBezTo>
                <a:cubicBezTo>
                  <a:pt x="2576503" y="5182216"/>
                  <a:pt x="2590926" y="5195493"/>
                  <a:pt x="2590926" y="5211868"/>
                </a:cubicBezTo>
                <a:cubicBezTo>
                  <a:pt x="2590926" y="5228242"/>
                  <a:pt x="2576503" y="5241520"/>
                  <a:pt x="2558715" y="5241520"/>
                </a:cubicBezTo>
                <a:close/>
                <a:moveTo>
                  <a:pt x="2637243" y="5241520"/>
                </a:moveTo>
                <a:cubicBezTo>
                  <a:pt x="2619455" y="5241520"/>
                  <a:pt x="2605032" y="5228242"/>
                  <a:pt x="2605032" y="5211868"/>
                </a:cubicBezTo>
                <a:cubicBezTo>
                  <a:pt x="2605032" y="5195493"/>
                  <a:pt x="2619455" y="5182216"/>
                  <a:pt x="2637243" y="5182216"/>
                </a:cubicBezTo>
                <a:cubicBezTo>
                  <a:pt x="2655030" y="5182216"/>
                  <a:pt x="2669453" y="5195493"/>
                  <a:pt x="2669453" y="5211868"/>
                </a:cubicBezTo>
                <a:cubicBezTo>
                  <a:pt x="2669453" y="5228242"/>
                  <a:pt x="2655030" y="5241520"/>
                  <a:pt x="2637243" y="5241520"/>
                </a:cubicBezTo>
                <a:close/>
                <a:moveTo>
                  <a:pt x="2715777" y="5241520"/>
                </a:moveTo>
                <a:cubicBezTo>
                  <a:pt x="2697990" y="5241520"/>
                  <a:pt x="2683566" y="5228242"/>
                  <a:pt x="2683566" y="5211868"/>
                </a:cubicBezTo>
                <a:cubicBezTo>
                  <a:pt x="2683566" y="5195493"/>
                  <a:pt x="2697990" y="5182216"/>
                  <a:pt x="2715777" y="5182216"/>
                </a:cubicBezTo>
                <a:cubicBezTo>
                  <a:pt x="2733564" y="5182216"/>
                  <a:pt x="2747987" y="5195493"/>
                  <a:pt x="2747987" y="5211868"/>
                </a:cubicBezTo>
                <a:cubicBezTo>
                  <a:pt x="2747987" y="5228242"/>
                  <a:pt x="2733564" y="5241520"/>
                  <a:pt x="2715777" y="5241520"/>
                </a:cubicBezTo>
                <a:close/>
                <a:moveTo>
                  <a:pt x="2794310" y="5241520"/>
                </a:moveTo>
                <a:cubicBezTo>
                  <a:pt x="2776523" y="5241520"/>
                  <a:pt x="2762100" y="5228242"/>
                  <a:pt x="2762100" y="5211868"/>
                </a:cubicBezTo>
                <a:cubicBezTo>
                  <a:pt x="2762100" y="5195493"/>
                  <a:pt x="2776523" y="5182216"/>
                  <a:pt x="2794310" y="5182216"/>
                </a:cubicBezTo>
                <a:cubicBezTo>
                  <a:pt x="2812097" y="5182216"/>
                  <a:pt x="2826520" y="5195493"/>
                  <a:pt x="2826520" y="5211868"/>
                </a:cubicBezTo>
                <a:cubicBezTo>
                  <a:pt x="2826520" y="5228242"/>
                  <a:pt x="2812097" y="5241520"/>
                  <a:pt x="2794310" y="5241520"/>
                </a:cubicBezTo>
                <a:close/>
                <a:moveTo>
                  <a:pt x="2872844" y="5241520"/>
                </a:moveTo>
                <a:cubicBezTo>
                  <a:pt x="2855057" y="5241520"/>
                  <a:pt x="2840634" y="5228242"/>
                  <a:pt x="2840634" y="5211868"/>
                </a:cubicBezTo>
                <a:cubicBezTo>
                  <a:pt x="2840634" y="5195493"/>
                  <a:pt x="2855057" y="5182216"/>
                  <a:pt x="2872844" y="5182216"/>
                </a:cubicBezTo>
                <a:cubicBezTo>
                  <a:pt x="2890632" y="5182216"/>
                  <a:pt x="2905055" y="5195493"/>
                  <a:pt x="2905055" y="5211868"/>
                </a:cubicBezTo>
                <a:cubicBezTo>
                  <a:pt x="2905055" y="5228242"/>
                  <a:pt x="2890632" y="5241520"/>
                  <a:pt x="2872844" y="5241520"/>
                </a:cubicBezTo>
                <a:close/>
                <a:moveTo>
                  <a:pt x="2951379" y="5241520"/>
                </a:moveTo>
                <a:cubicBezTo>
                  <a:pt x="2933591" y="5241520"/>
                  <a:pt x="2919168" y="5228242"/>
                  <a:pt x="2919168" y="5211868"/>
                </a:cubicBezTo>
                <a:cubicBezTo>
                  <a:pt x="2919168" y="5195493"/>
                  <a:pt x="2933591" y="5182216"/>
                  <a:pt x="2951379" y="5182216"/>
                </a:cubicBezTo>
                <a:cubicBezTo>
                  <a:pt x="2969166" y="5182216"/>
                  <a:pt x="2983589" y="5195493"/>
                  <a:pt x="2983589" y="5211868"/>
                </a:cubicBezTo>
                <a:cubicBezTo>
                  <a:pt x="2983589" y="5228242"/>
                  <a:pt x="2969166" y="5241520"/>
                  <a:pt x="2951379" y="5241520"/>
                </a:cubicBezTo>
                <a:close/>
                <a:moveTo>
                  <a:pt x="3029912" y="5241520"/>
                </a:moveTo>
                <a:cubicBezTo>
                  <a:pt x="3012125" y="5241520"/>
                  <a:pt x="2997701" y="5228242"/>
                  <a:pt x="2997701" y="5211868"/>
                </a:cubicBezTo>
                <a:cubicBezTo>
                  <a:pt x="2997701" y="5195493"/>
                  <a:pt x="3012125" y="5182216"/>
                  <a:pt x="3029912" y="5182216"/>
                </a:cubicBezTo>
                <a:cubicBezTo>
                  <a:pt x="3047699" y="5182216"/>
                  <a:pt x="3062122" y="5195493"/>
                  <a:pt x="3062122" y="5211868"/>
                </a:cubicBezTo>
                <a:cubicBezTo>
                  <a:pt x="3062122" y="5228242"/>
                  <a:pt x="3047699" y="5241520"/>
                  <a:pt x="3029912" y="5241520"/>
                </a:cubicBezTo>
                <a:close/>
                <a:moveTo>
                  <a:pt x="3108446" y="5241520"/>
                </a:moveTo>
                <a:cubicBezTo>
                  <a:pt x="3090659" y="5241520"/>
                  <a:pt x="3076236" y="5228242"/>
                  <a:pt x="3076236" y="5211868"/>
                </a:cubicBezTo>
                <a:cubicBezTo>
                  <a:pt x="3076236" y="5195493"/>
                  <a:pt x="3090659" y="5182216"/>
                  <a:pt x="3108446" y="5182216"/>
                </a:cubicBezTo>
                <a:cubicBezTo>
                  <a:pt x="3126233" y="5182216"/>
                  <a:pt x="3140656" y="5195493"/>
                  <a:pt x="3140656" y="5211868"/>
                </a:cubicBezTo>
                <a:cubicBezTo>
                  <a:pt x="3140656" y="5228242"/>
                  <a:pt x="3126233" y="5241520"/>
                  <a:pt x="3108446" y="5241520"/>
                </a:cubicBezTo>
                <a:close/>
                <a:moveTo>
                  <a:pt x="3265514" y="5241520"/>
                </a:moveTo>
                <a:cubicBezTo>
                  <a:pt x="3247726" y="5241520"/>
                  <a:pt x="3233303" y="5228242"/>
                  <a:pt x="3233303" y="5211868"/>
                </a:cubicBezTo>
                <a:cubicBezTo>
                  <a:pt x="3233303" y="5195493"/>
                  <a:pt x="3247726" y="5182216"/>
                  <a:pt x="3265514" y="5182216"/>
                </a:cubicBezTo>
                <a:cubicBezTo>
                  <a:pt x="3283301" y="5182216"/>
                  <a:pt x="3297724" y="5195493"/>
                  <a:pt x="3297724" y="5211868"/>
                </a:cubicBezTo>
                <a:cubicBezTo>
                  <a:pt x="3297724" y="5228242"/>
                  <a:pt x="3283301" y="5241520"/>
                  <a:pt x="3265514" y="5241520"/>
                </a:cubicBezTo>
                <a:close/>
                <a:moveTo>
                  <a:pt x="3344048" y="5241520"/>
                </a:moveTo>
                <a:cubicBezTo>
                  <a:pt x="3326261" y="5241520"/>
                  <a:pt x="3311837" y="5228242"/>
                  <a:pt x="3311837" y="5211868"/>
                </a:cubicBezTo>
                <a:cubicBezTo>
                  <a:pt x="3311837" y="5195493"/>
                  <a:pt x="3326261" y="5182216"/>
                  <a:pt x="3344048" y="5182216"/>
                </a:cubicBezTo>
                <a:cubicBezTo>
                  <a:pt x="3361835" y="5182216"/>
                  <a:pt x="3376258" y="5195493"/>
                  <a:pt x="3376258" y="5211868"/>
                </a:cubicBezTo>
                <a:cubicBezTo>
                  <a:pt x="3376258" y="5228242"/>
                  <a:pt x="3361835" y="5241520"/>
                  <a:pt x="3344048" y="5241520"/>
                </a:cubicBezTo>
                <a:close/>
                <a:moveTo>
                  <a:pt x="3422581" y="5241520"/>
                </a:moveTo>
                <a:cubicBezTo>
                  <a:pt x="3404794" y="5241520"/>
                  <a:pt x="3390371" y="5228242"/>
                  <a:pt x="3390371" y="5211868"/>
                </a:cubicBezTo>
                <a:cubicBezTo>
                  <a:pt x="3390371" y="5195493"/>
                  <a:pt x="3404794" y="5182216"/>
                  <a:pt x="3422581" y="5182216"/>
                </a:cubicBezTo>
                <a:cubicBezTo>
                  <a:pt x="3440368" y="5182216"/>
                  <a:pt x="3454791" y="5195493"/>
                  <a:pt x="3454791" y="5211868"/>
                </a:cubicBezTo>
                <a:cubicBezTo>
                  <a:pt x="3454791" y="5228242"/>
                  <a:pt x="3440368" y="5241520"/>
                  <a:pt x="3422581" y="5241520"/>
                </a:cubicBezTo>
                <a:close/>
                <a:moveTo>
                  <a:pt x="3501115" y="5241520"/>
                </a:moveTo>
                <a:cubicBezTo>
                  <a:pt x="3483328" y="5241520"/>
                  <a:pt x="3468905" y="5228242"/>
                  <a:pt x="3468905" y="5211868"/>
                </a:cubicBezTo>
                <a:cubicBezTo>
                  <a:pt x="3468905" y="5195493"/>
                  <a:pt x="3483328" y="5182216"/>
                  <a:pt x="3501115" y="5182216"/>
                </a:cubicBezTo>
                <a:cubicBezTo>
                  <a:pt x="3518903" y="5182216"/>
                  <a:pt x="3533326" y="5195493"/>
                  <a:pt x="3533326" y="5211868"/>
                </a:cubicBezTo>
                <a:cubicBezTo>
                  <a:pt x="3533326" y="5228242"/>
                  <a:pt x="3518903" y="5241520"/>
                  <a:pt x="3501115" y="5241520"/>
                </a:cubicBezTo>
                <a:close/>
                <a:moveTo>
                  <a:pt x="3815250" y="5241520"/>
                </a:moveTo>
                <a:cubicBezTo>
                  <a:pt x="3797463" y="5241520"/>
                  <a:pt x="3783040" y="5228242"/>
                  <a:pt x="3783040" y="5211868"/>
                </a:cubicBezTo>
                <a:cubicBezTo>
                  <a:pt x="3783040" y="5195493"/>
                  <a:pt x="3797463" y="5182216"/>
                  <a:pt x="3815250" y="5182216"/>
                </a:cubicBezTo>
                <a:cubicBezTo>
                  <a:pt x="3833038" y="5182216"/>
                  <a:pt x="3847461" y="5195493"/>
                  <a:pt x="3847461" y="5211868"/>
                </a:cubicBezTo>
                <a:cubicBezTo>
                  <a:pt x="3847461" y="5228242"/>
                  <a:pt x="3833038" y="5241520"/>
                  <a:pt x="3815250" y="5241520"/>
                </a:cubicBezTo>
                <a:close/>
                <a:moveTo>
                  <a:pt x="3972319" y="5241520"/>
                </a:moveTo>
                <a:cubicBezTo>
                  <a:pt x="3954532" y="5241520"/>
                  <a:pt x="3940108" y="5228242"/>
                  <a:pt x="3940108" y="5211868"/>
                </a:cubicBezTo>
                <a:cubicBezTo>
                  <a:pt x="3940108" y="5195493"/>
                  <a:pt x="3954532" y="5182216"/>
                  <a:pt x="3972319" y="5182216"/>
                </a:cubicBezTo>
                <a:cubicBezTo>
                  <a:pt x="3990106" y="5182216"/>
                  <a:pt x="4004529" y="5195493"/>
                  <a:pt x="4004529" y="5211868"/>
                </a:cubicBezTo>
                <a:cubicBezTo>
                  <a:pt x="4004529" y="5228242"/>
                  <a:pt x="3990106" y="5241520"/>
                  <a:pt x="3972319" y="5241520"/>
                </a:cubicBezTo>
                <a:close/>
                <a:moveTo>
                  <a:pt x="4129386" y="5241520"/>
                </a:moveTo>
                <a:cubicBezTo>
                  <a:pt x="4111599" y="5241520"/>
                  <a:pt x="4097176" y="5228242"/>
                  <a:pt x="4097176" y="5211868"/>
                </a:cubicBezTo>
                <a:cubicBezTo>
                  <a:pt x="4097176" y="5195493"/>
                  <a:pt x="4111599" y="5182216"/>
                  <a:pt x="4129386" y="5182216"/>
                </a:cubicBezTo>
                <a:cubicBezTo>
                  <a:pt x="4147174" y="5182216"/>
                  <a:pt x="4161597" y="5195493"/>
                  <a:pt x="4161597" y="5211868"/>
                </a:cubicBezTo>
                <a:cubicBezTo>
                  <a:pt x="4161597" y="5228242"/>
                  <a:pt x="4147174" y="5241520"/>
                  <a:pt x="4129386" y="5241520"/>
                </a:cubicBezTo>
                <a:close/>
                <a:moveTo>
                  <a:pt x="4207926" y="5241520"/>
                </a:moveTo>
                <a:cubicBezTo>
                  <a:pt x="4190138" y="5241520"/>
                  <a:pt x="4175715" y="5228242"/>
                  <a:pt x="4175715" y="5211868"/>
                </a:cubicBezTo>
                <a:cubicBezTo>
                  <a:pt x="4175715" y="5195493"/>
                  <a:pt x="4190138" y="5182216"/>
                  <a:pt x="4207926" y="5182216"/>
                </a:cubicBezTo>
                <a:cubicBezTo>
                  <a:pt x="4225713" y="5182216"/>
                  <a:pt x="4240136" y="5195493"/>
                  <a:pt x="4240136" y="5211868"/>
                </a:cubicBezTo>
                <a:cubicBezTo>
                  <a:pt x="4240136" y="5228242"/>
                  <a:pt x="4225713" y="5241520"/>
                  <a:pt x="4207926" y="5241520"/>
                </a:cubicBezTo>
                <a:close/>
                <a:moveTo>
                  <a:pt x="4757663" y="5241520"/>
                </a:moveTo>
                <a:cubicBezTo>
                  <a:pt x="4739876" y="5241520"/>
                  <a:pt x="4725453" y="5228242"/>
                  <a:pt x="4725453" y="5211868"/>
                </a:cubicBezTo>
                <a:cubicBezTo>
                  <a:pt x="4725453" y="5195493"/>
                  <a:pt x="4739876" y="5182216"/>
                  <a:pt x="4757663" y="5182216"/>
                </a:cubicBezTo>
                <a:cubicBezTo>
                  <a:pt x="4775451" y="5182216"/>
                  <a:pt x="4789874" y="5195493"/>
                  <a:pt x="4789874" y="5211868"/>
                </a:cubicBezTo>
                <a:cubicBezTo>
                  <a:pt x="4789874" y="5228242"/>
                  <a:pt x="4775451" y="5241520"/>
                  <a:pt x="4757663" y="5241520"/>
                </a:cubicBezTo>
                <a:close/>
                <a:moveTo>
                  <a:pt x="4836197" y="5241520"/>
                </a:moveTo>
                <a:cubicBezTo>
                  <a:pt x="4818409" y="5241520"/>
                  <a:pt x="4803986" y="5228242"/>
                  <a:pt x="4803986" y="5211868"/>
                </a:cubicBezTo>
                <a:cubicBezTo>
                  <a:pt x="4803986" y="5195493"/>
                  <a:pt x="4818409" y="5182216"/>
                  <a:pt x="4836197" y="5182216"/>
                </a:cubicBezTo>
                <a:cubicBezTo>
                  <a:pt x="4853984" y="5182216"/>
                  <a:pt x="4868407" y="5195493"/>
                  <a:pt x="4868407" y="5211868"/>
                </a:cubicBezTo>
                <a:cubicBezTo>
                  <a:pt x="4868407" y="5228242"/>
                  <a:pt x="4853984" y="5241520"/>
                  <a:pt x="4836197" y="5241520"/>
                </a:cubicBezTo>
                <a:close/>
                <a:moveTo>
                  <a:pt x="4914731" y="5241520"/>
                </a:moveTo>
                <a:cubicBezTo>
                  <a:pt x="4896944" y="5241520"/>
                  <a:pt x="4882521" y="5228242"/>
                  <a:pt x="4882521" y="5211868"/>
                </a:cubicBezTo>
                <a:cubicBezTo>
                  <a:pt x="4882521" y="5195493"/>
                  <a:pt x="4896944" y="5182216"/>
                  <a:pt x="4914731" y="5182216"/>
                </a:cubicBezTo>
                <a:cubicBezTo>
                  <a:pt x="4932518" y="5182216"/>
                  <a:pt x="4946941" y="5195493"/>
                  <a:pt x="4946941" y="5211868"/>
                </a:cubicBezTo>
                <a:cubicBezTo>
                  <a:pt x="4946941" y="5228242"/>
                  <a:pt x="4932518" y="5241520"/>
                  <a:pt x="4914731" y="5241520"/>
                </a:cubicBezTo>
                <a:close/>
                <a:moveTo>
                  <a:pt x="4993265" y="5241520"/>
                </a:moveTo>
                <a:cubicBezTo>
                  <a:pt x="4975478" y="5241520"/>
                  <a:pt x="4961055" y="5228242"/>
                  <a:pt x="4961055" y="5211868"/>
                </a:cubicBezTo>
                <a:cubicBezTo>
                  <a:pt x="4961055" y="5195493"/>
                  <a:pt x="4975478" y="5182216"/>
                  <a:pt x="4993265" y="5182216"/>
                </a:cubicBezTo>
                <a:cubicBezTo>
                  <a:pt x="5011052" y="5182216"/>
                  <a:pt x="5025475" y="5195493"/>
                  <a:pt x="5025475" y="5211868"/>
                </a:cubicBezTo>
                <a:cubicBezTo>
                  <a:pt x="5025475" y="5228242"/>
                  <a:pt x="5011052" y="5241520"/>
                  <a:pt x="4993265" y="5241520"/>
                </a:cubicBezTo>
                <a:close/>
                <a:moveTo>
                  <a:pt x="5071798" y="5241520"/>
                </a:moveTo>
                <a:cubicBezTo>
                  <a:pt x="5054011" y="5241520"/>
                  <a:pt x="5039588" y="5228242"/>
                  <a:pt x="5039588" y="5211868"/>
                </a:cubicBezTo>
                <a:cubicBezTo>
                  <a:pt x="5039588" y="5195493"/>
                  <a:pt x="5054011" y="5182216"/>
                  <a:pt x="5071798" y="5182216"/>
                </a:cubicBezTo>
                <a:cubicBezTo>
                  <a:pt x="5089586" y="5182216"/>
                  <a:pt x="5104009" y="5195493"/>
                  <a:pt x="5104009" y="5211868"/>
                </a:cubicBezTo>
                <a:cubicBezTo>
                  <a:pt x="5104009" y="5228242"/>
                  <a:pt x="5089586" y="5241520"/>
                  <a:pt x="5071798" y="5241520"/>
                </a:cubicBezTo>
                <a:close/>
                <a:moveTo>
                  <a:pt x="5150333" y="5241520"/>
                </a:moveTo>
                <a:cubicBezTo>
                  <a:pt x="5132545" y="5241520"/>
                  <a:pt x="5118122" y="5228242"/>
                  <a:pt x="5118122" y="5211868"/>
                </a:cubicBezTo>
                <a:cubicBezTo>
                  <a:pt x="5118122" y="5195493"/>
                  <a:pt x="5132545" y="5182216"/>
                  <a:pt x="5150333" y="5182216"/>
                </a:cubicBezTo>
                <a:cubicBezTo>
                  <a:pt x="5168120" y="5182216"/>
                  <a:pt x="5182543" y="5195493"/>
                  <a:pt x="5182543" y="5211868"/>
                </a:cubicBezTo>
                <a:cubicBezTo>
                  <a:pt x="5182543" y="5228242"/>
                  <a:pt x="5168120" y="5241520"/>
                  <a:pt x="5150333" y="5241520"/>
                </a:cubicBezTo>
                <a:close/>
                <a:moveTo>
                  <a:pt x="5228867" y="5241520"/>
                </a:moveTo>
                <a:cubicBezTo>
                  <a:pt x="5211080" y="5241520"/>
                  <a:pt x="5196657" y="5228242"/>
                  <a:pt x="5196657" y="5211868"/>
                </a:cubicBezTo>
                <a:cubicBezTo>
                  <a:pt x="5196657" y="5195493"/>
                  <a:pt x="5211080" y="5182216"/>
                  <a:pt x="5228867" y="5182216"/>
                </a:cubicBezTo>
                <a:cubicBezTo>
                  <a:pt x="5246654" y="5182216"/>
                  <a:pt x="5261077" y="5195493"/>
                  <a:pt x="5261077" y="5211868"/>
                </a:cubicBezTo>
                <a:cubicBezTo>
                  <a:pt x="5261077" y="5228242"/>
                  <a:pt x="5246654" y="5241520"/>
                  <a:pt x="5228867" y="5241520"/>
                </a:cubicBezTo>
                <a:close/>
                <a:moveTo>
                  <a:pt x="5307400" y="5241520"/>
                </a:moveTo>
                <a:cubicBezTo>
                  <a:pt x="5289613" y="5241520"/>
                  <a:pt x="5275190" y="5228242"/>
                  <a:pt x="5275190" y="5211868"/>
                </a:cubicBezTo>
                <a:cubicBezTo>
                  <a:pt x="5275190" y="5195493"/>
                  <a:pt x="5289613" y="5182216"/>
                  <a:pt x="5307400" y="5182216"/>
                </a:cubicBezTo>
                <a:cubicBezTo>
                  <a:pt x="5325187" y="5182216"/>
                  <a:pt x="5339610" y="5195493"/>
                  <a:pt x="5339610" y="5211868"/>
                </a:cubicBezTo>
                <a:cubicBezTo>
                  <a:pt x="5339610" y="5228242"/>
                  <a:pt x="5325187" y="5241520"/>
                  <a:pt x="5307400" y="5241520"/>
                </a:cubicBezTo>
                <a:close/>
                <a:moveTo>
                  <a:pt x="5385934" y="5241520"/>
                </a:moveTo>
                <a:cubicBezTo>
                  <a:pt x="5368147" y="5241520"/>
                  <a:pt x="5353724" y="5228242"/>
                  <a:pt x="5353724" y="5211868"/>
                </a:cubicBezTo>
                <a:cubicBezTo>
                  <a:pt x="5353724" y="5195493"/>
                  <a:pt x="5368147" y="5182216"/>
                  <a:pt x="5385934" y="5182216"/>
                </a:cubicBezTo>
                <a:cubicBezTo>
                  <a:pt x="5403722" y="5182216"/>
                  <a:pt x="5418145" y="5195493"/>
                  <a:pt x="5418145" y="5211868"/>
                </a:cubicBezTo>
                <a:cubicBezTo>
                  <a:pt x="5418145" y="5228242"/>
                  <a:pt x="5403722" y="5241520"/>
                  <a:pt x="5385934" y="5241520"/>
                </a:cubicBezTo>
                <a:close/>
                <a:moveTo>
                  <a:pt x="5464468" y="5241520"/>
                </a:moveTo>
                <a:cubicBezTo>
                  <a:pt x="5446680" y="5241520"/>
                  <a:pt x="5432257" y="5228242"/>
                  <a:pt x="5432257" y="5211868"/>
                </a:cubicBezTo>
                <a:cubicBezTo>
                  <a:pt x="5432257" y="5195493"/>
                  <a:pt x="5446680" y="5182216"/>
                  <a:pt x="5464468" y="5182216"/>
                </a:cubicBezTo>
                <a:cubicBezTo>
                  <a:pt x="5482255" y="5182216"/>
                  <a:pt x="5496678" y="5195493"/>
                  <a:pt x="5496678" y="5211868"/>
                </a:cubicBezTo>
                <a:cubicBezTo>
                  <a:pt x="5496678" y="5228242"/>
                  <a:pt x="5482255" y="5241520"/>
                  <a:pt x="5464468" y="5241520"/>
                </a:cubicBezTo>
                <a:close/>
                <a:moveTo>
                  <a:pt x="7113703" y="5241520"/>
                </a:moveTo>
                <a:cubicBezTo>
                  <a:pt x="7095916" y="5241520"/>
                  <a:pt x="7081487" y="5228242"/>
                  <a:pt x="7081487" y="5211868"/>
                </a:cubicBezTo>
                <a:cubicBezTo>
                  <a:pt x="7081487" y="5195493"/>
                  <a:pt x="7095916" y="5182216"/>
                  <a:pt x="7113703" y="5182216"/>
                </a:cubicBezTo>
                <a:cubicBezTo>
                  <a:pt x="7131490" y="5182216"/>
                  <a:pt x="7145907" y="5195493"/>
                  <a:pt x="7145907" y="5211868"/>
                </a:cubicBezTo>
                <a:cubicBezTo>
                  <a:pt x="7145907" y="5228242"/>
                  <a:pt x="7131490" y="5241520"/>
                  <a:pt x="7113703" y="5241520"/>
                </a:cubicBezTo>
                <a:close/>
                <a:moveTo>
                  <a:pt x="7427839" y="5241520"/>
                </a:moveTo>
                <a:cubicBezTo>
                  <a:pt x="7410052" y="5241520"/>
                  <a:pt x="7395623" y="5228242"/>
                  <a:pt x="7395623" y="5211868"/>
                </a:cubicBezTo>
                <a:cubicBezTo>
                  <a:pt x="7395623" y="5195493"/>
                  <a:pt x="7410052" y="5182216"/>
                  <a:pt x="7427839" y="5182216"/>
                </a:cubicBezTo>
                <a:cubicBezTo>
                  <a:pt x="7445626" y="5182216"/>
                  <a:pt x="7460043" y="5195493"/>
                  <a:pt x="7460043" y="5211868"/>
                </a:cubicBezTo>
                <a:cubicBezTo>
                  <a:pt x="7460043" y="5228242"/>
                  <a:pt x="7445626" y="5241520"/>
                  <a:pt x="7427839" y="5241520"/>
                </a:cubicBezTo>
                <a:close/>
                <a:moveTo>
                  <a:pt x="7741974" y="5241520"/>
                </a:moveTo>
                <a:cubicBezTo>
                  <a:pt x="7724187" y="5241520"/>
                  <a:pt x="7709758" y="5228242"/>
                  <a:pt x="7709758" y="5211868"/>
                </a:cubicBezTo>
                <a:cubicBezTo>
                  <a:pt x="7709758" y="5195493"/>
                  <a:pt x="7724187" y="5182216"/>
                  <a:pt x="7741974" y="5182216"/>
                </a:cubicBezTo>
                <a:cubicBezTo>
                  <a:pt x="7759761" y="5182216"/>
                  <a:pt x="7774178" y="5195493"/>
                  <a:pt x="7774178" y="5211868"/>
                </a:cubicBezTo>
                <a:cubicBezTo>
                  <a:pt x="7774178" y="5228242"/>
                  <a:pt x="7759761" y="5241520"/>
                  <a:pt x="7741974" y="5241520"/>
                </a:cubicBezTo>
                <a:close/>
                <a:moveTo>
                  <a:pt x="7820508" y="5241520"/>
                </a:moveTo>
                <a:cubicBezTo>
                  <a:pt x="7802721" y="5241520"/>
                  <a:pt x="7788292" y="5228242"/>
                  <a:pt x="7788292" y="5211868"/>
                </a:cubicBezTo>
                <a:cubicBezTo>
                  <a:pt x="7788292" y="5195493"/>
                  <a:pt x="7802721" y="5182216"/>
                  <a:pt x="7820508" y="5182216"/>
                </a:cubicBezTo>
                <a:cubicBezTo>
                  <a:pt x="7838295" y="5182216"/>
                  <a:pt x="7852712" y="5195493"/>
                  <a:pt x="7852712" y="5211868"/>
                </a:cubicBezTo>
                <a:cubicBezTo>
                  <a:pt x="7852712" y="5228242"/>
                  <a:pt x="7838295" y="5241520"/>
                  <a:pt x="7820508" y="5241520"/>
                </a:cubicBezTo>
                <a:close/>
                <a:moveTo>
                  <a:pt x="7899042" y="5241520"/>
                </a:moveTo>
                <a:cubicBezTo>
                  <a:pt x="7881255" y="5241520"/>
                  <a:pt x="7866826" y="5228242"/>
                  <a:pt x="7866826" y="5211868"/>
                </a:cubicBezTo>
                <a:cubicBezTo>
                  <a:pt x="7866826" y="5195493"/>
                  <a:pt x="7881255" y="5182216"/>
                  <a:pt x="7899042" y="5182216"/>
                </a:cubicBezTo>
                <a:cubicBezTo>
                  <a:pt x="7916830" y="5182216"/>
                  <a:pt x="7931247" y="5195493"/>
                  <a:pt x="7931247" y="5211868"/>
                </a:cubicBezTo>
                <a:cubicBezTo>
                  <a:pt x="7931247" y="5228242"/>
                  <a:pt x="7916830" y="5241520"/>
                  <a:pt x="7899042" y="5241520"/>
                </a:cubicBezTo>
                <a:close/>
                <a:moveTo>
                  <a:pt x="7977576" y="5241520"/>
                </a:moveTo>
                <a:cubicBezTo>
                  <a:pt x="7959788" y="5241520"/>
                  <a:pt x="7945359" y="5228242"/>
                  <a:pt x="7945359" y="5211868"/>
                </a:cubicBezTo>
                <a:cubicBezTo>
                  <a:pt x="7945359" y="5195493"/>
                  <a:pt x="7959788" y="5182216"/>
                  <a:pt x="7977576" y="5182216"/>
                </a:cubicBezTo>
                <a:cubicBezTo>
                  <a:pt x="7995363" y="5182216"/>
                  <a:pt x="8009780" y="5195493"/>
                  <a:pt x="8009780" y="5211868"/>
                </a:cubicBezTo>
                <a:cubicBezTo>
                  <a:pt x="8009780" y="5228242"/>
                  <a:pt x="7995363" y="5241520"/>
                  <a:pt x="7977576" y="5241520"/>
                </a:cubicBezTo>
                <a:close/>
                <a:moveTo>
                  <a:pt x="8056110" y="5241520"/>
                </a:moveTo>
                <a:cubicBezTo>
                  <a:pt x="8038323" y="5241520"/>
                  <a:pt x="8023894" y="5228242"/>
                  <a:pt x="8023894" y="5211868"/>
                </a:cubicBezTo>
                <a:cubicBezTo>
                  <a:pt x="8023894" y="5195493"/>
                  <a:pt x="8038323" y="5182216"/>
                  <a:pt x="8056110" y="5182216"/>
                </a:cubicBezTo>
                <a:cubicBezTo>
                  <a:pt x="8073897" y="5182216"/>
                  <a:pt x="8088314" y="5195493"/>
                  <a:pt x="8088314" y="5211868"/>
                </a:cubicBezTo>
                <a:cubicBezTo>
                  <a:pt x="8088314" y="5228242"/>
                  <a:pt x="8073897" y="5241520"/>
                  <a:pt x="8056110" y="5241520"/>
                </a:cubicBezTo>
                <a:close/>
                <a:moveTo>
                  <a:pt x="8134643" y="5241520"/>
                </a:moveTo>
                <a:cubicBezTo>
                  <a:pt x="8116856" y="5241520"/>
                  <a:pt x="8102427" y="5228242"/>
                  <a:pt x="8102427" y="5211868"/>
                </a:cubicBezTo>
                <a:cubicBezTo>
                  <a:pt x="8102427" y="5195493"/>
                  <a:pt x="8116856" y="5182216"/>
                  <a:pt x="8134643" y="5182216"/>
                </a:cubicBezTo>
                <a:cubicBezTo>
                  <a:pt x="8152430" y="5182216"/>
                  <a:pt x="8166847" y="5195493"/>
                  <a:pt x="8166847" y="5211868"/>
                </a:cubicBezTo>
                <a:cubicBezTo>
                  <a:pt x="8166847" y="5228242"/>
                  <a:pt x="8152430" y="5241520"/>
                  <a:pt x="8134643" y="5241520"/>
                </a:cubicBezTo>
                <a:close/>
                <a:moveTo>
                  <a:pt x="8213177" y="5241520"/>
                </a:moveTo>
                <a:cubicBezTo>
                  <a:pt x="8195390" y="5241520"/>
                  <a:pt x="8180961" y="5228242"/>
                  <a:pt x="8180961" y="5211868"/>
                </a:cubicBezTo>
                <a:cubicBezTo>
                  <a:pt x="8180961" y="5195493"/>
                  <a:pt x="8195390" y="5182216"/>
                  <a:pt x="8213177" y="5182216"/>
                </a:cubicBezTo>
                <a:cubicBezTo>
                  <a:pt x="8230965" y="5182216"/>
                  <a:pt x="8245382" y="5195493"/>
                  <a:pt x="8245382" y="5211868"/>
                </a:cubicBezTo>
                <a:cubicBezTo>
                  <a:pt x="8245382" y="5228242"/>
                  <a:pt x="8230965" y="5241520"/>
                  <a:pt x="8213177" y="5241520"/>
                </a:cubicBezTo>
                <a:close/>
                <a:moveTo>
                  <a:pt x="8291712" y="5241520"/>
                </a:moveTo>
                <a:cubicBezTo>
                  <a:pt x="8273924" y="5241520"/>
                  <a:pt x="8259495" y="5228242"/>
                  <a:pt x="8259495" y="5211868"/>
                </a:cubicBezTo>
                <a:cubicBezTo>
                  <a:pt x="8259495" y="5195493"/>
                  <a:pt x="8273924" y="5182216"/>
                  <a:pt x="8291712" y="5182216"/>
                </a:cubicBezTo>
                <a:cubicBezTo>
                  <a:pt x="8309499" y="5182216"/>
                  <a:pt x="8323916" y="5195493"/>
                  <a:pt x="8323916" y="5211868"/>
                </a:cubicBezTo>
                <a:cubicBezTo>
                  <a:pt x="8323916" y="5228242"/>
                  <a:pt x="8309499" y="5241520"/>
                  <a:pt x="8291712" y="5241520"/>
                </a:cubicBezTo>
                <a:close/>
                <a:moveTo>
                  <a:pt x="8370245" y="5241520"/>
                </a:moveTo>
                <a:cubicBezTo>
                  <a:pt x="8352458" y="5241520"/>
                  <a:pt x="8338029" y="5228242"/>
                  <a:pt x="8338029" y="5211868"/>
                </a:cubicBezTo>
                <a:cubicBezTo>
                  <a:pt x="8338029" y="5195493"/>
                  <a:pt x="8352458" y="5182216"/>
                  <a:pt x="8370245" y="5182216"/>
                </a:cubicBezTo>
                <a:cubicBezTo>
                  <a:pt x="8388032" y="5182216"/>
                  <a:pt x="8402449" y="5195493"/>
                  <a:pt x="8402449" y="5211868"/>
                </a:cubicBezTo>
                <a:cubicBezTo>
                  <a:pt x="8402449" y="5228242"/>
                  <a:pt x="8388032" y="5241520"/>
                  <a:pt x="8370245" y="5241520"/>
                </a:cubicBezTo>
                <a:close/>
                <a:moveTo>
                  <a:pt x="8448779" y="5241520"/>
                </a:moveTo>
                <a:cubicBezTo>
                  <a:pt x="8430992" y="5241520"/>
                  <a:pt x="8416563" y="5228242"/>
                  <a:pt x="8416563" y="5211868"/>
                </a:cubicBezTo>
                <a:cubicBezTo>
                  <a:pt x="8416563" y="5195493"/>
                  <a:pt x="8430992" y="5182216"/>
                  <a:pt x="8448779" y="5182216"/>
                </a:cubicBezTo>
                <a:cubicBezTo>
                  <a:pt x="8466566" y="5182216"/>
                  <a:pt x="8480983" y="5195493"/>
                  <a:pt x="8480983" y="5211868"/>
                </a:cubicBezTo>
                <a:cubicBezTo>
                  <a:pt x="8480983" y="5228242"/>
                  <a:pt x="8466566" y="5241520"/>
                  <a:pt x="8448779" y="5241520"/>
                </a:cubicBezTo>
                <a:close/>
                <a:moveTo>
                  <a:pt x="8527313" y="5241520"/>
                </a:moveTo>
                <a:cubicBezTo>
                  <a:pt x="8509526" y="5241520"/>
                  <a:pt x="8495097" y="5228242"/>
                  <a:pt x="8495097" y="5211868"/>
                </a:cubicBezTo>
                <a:cubicBezTo>
                  <a:pt x="8495097" y="5195493"/>
                  <a:pt x="8509526" y="5182216"/>
                  <a:pt x="8527313" y="5182216"/>
                </a:cubicBezTo>
                <a:cubicBezTo>
                  <a:pt x="8545101" y="5182216"/>
                  <a:pt x="8559518" y="5195493"/>
                  <a:pt x="8559518" y="5211868"/>
                </a:cubicBezTo>
                <a:cubicBezTo>
                  <a:pt x="8559518" y="5228242"/>
                  <a:pt x="8545101" y="5241520"/>
                  <a:pt x="8527313" y="5241520"/>
                </a:cubicBezTo>
                <a:close/>
                <a:moveTo>
                  <a:pt x="8605847" y="5241520"/>
                </a:moveTo>
                <a:cubicBezTo>
                  <a:pt x="8588059" y="5241520"/>
                  <a:pt x="8573630" y="5228242"/>
                  <a:pt x="8573630" y="5211868"/>
                </a:cubicBezTo>
                <a:cubicBezTo>
                  <a:pt x="8573630" y="5195493"/>
                  <a:pt x="8588059" y="5182216"/>
                  <a:pt x="8605847" y="5182216"/>
                </a:cubicBezTo>
                <a:cubicBezTo>
                  <a:pt x="8623634" y="5182216"/>
                  <a:pt x="8638051" y="5195493"/>
                  <a:pt x="8638051" y="5211868"/>
                </a:cubicBezTo>
                <a:cubicBezTo>
                  <a:pt x="8638051" y="5228242"/>
                  <a:pt x="8623634" y="5241520"/>
                  <a:pt x="8605847" y="5241520"/>
                </a:cubicBezTo>
                <a:close/>
                <a:moveTo>
                  <a:pt x="8684381" y="5241520"/>
                </a:moveTo>
                <a:cubicBezTo>
                  <a:pt x="8666594" y="5241520"/>
                  <a:pt x="8652165" y="5228242"/>
                  <a:pt x="8652165" y="5211868"/>
                </a:cubicBezTo>
                <a:cubicBezTo>
                  <a:pt x="8652165" y="5195493"/>
                  <a:pt x="8666594" y="5182216"/>
                  <a:pt x="8684381" y="5182216"/>
                </a:cubicBezTo>
                <a:cubicBezTo>
                  <a:pt x="8702168" y="5182216"/>
                  <a:pt x="8716585" y="5195493"/>
                  <a:pt x="8716585" y="5211868"/>
                </a:cubicBezTo>
                <a:cubicBezTo>
                  <a:pt x="8716585" y="5228242"/>
                  <a:pt x="8702168" y="5241520"/>
                  <a:pt x="8684381" y="5241520"/>
                </a:cubicBezTo>
                <a:close/>
                <a:moveTo>
                  <a:pt x="8762914" y="5241520"/>
                </a:moveTo>
                <a:cubicBezTo>
                  <a:pt x="8745127" y="5241520"/>
                  <a:pt x="8730698" y="5228242"/>
                  <a:pt x="8730698" y="5211868"/>
                </a:cubicBezTo>
                <a:cubicBezTo>
                  <a:pt x="8730698" y="5195493"/>
                  <a:pt x="8745127" y="5182216"/>
                  <a:pt x="8762914" y="5182216"/>
                </a:cubicBezTo>
                <a:cubicBezTo>
                  <a:pt x="8780701" y="5182216"/>
                  <a:pt x="8795118" y="5195493"/>
                  <a:pt x="8795118" y="5211868"/>
                </a:cubicBezTo>
                <a:cubicBezTo>
                  <a:pt x="8795118" y="5228242"/>
                  <a:pt x="8780701" y="5241520"/>
                  <a:pt x="8762914" y="5241520"/>
                </a:cubicBezTo>
                <a:close/>
                <a:moveTo>
                  <a:pt x="8841448" y="5241520"/>
                </a:moveTo>
                <a:cubicBezTo>
                  <a:pt x="8823661" y="5241520"/>
                  <a:pt x="8809232" y="5228242"/>
                  <a:pt x="8809232" y="5211868"/>
                </a:cubicBezTo>
                <a:cubicBezTo>
                  <a:pt x="8809232" y="5195493"/>
                  <a:pt x="8823661" y="5182216"/>
                  <a:pt x="8841448" y="5182216"/>
                </a:cubicBezTo>
                <a:cubicBezTo>
                  <a:pt x="8859236" y="5182216"/>
                  <a:pt x="8873653" y="5195493"/>
                  <a:pt x="8873653" y="5211868"/>
                </a:cubicBezTo>
                <a:cubicBezTo>
                  <a:pt x="8873653" y="5228242"/>
                  <a:pt x="8859236" y="5241520"/>
                  <a:pt x="8841448" y="5241520"/>
                </a:cubicBezTo>
                <a:close/>
                <a:moveTo>
                  <a:pt x="8919983" y="5241520"/>
                </a:moveTo>
                <a:cubicBezTo>
                  <a:pt x="8902195" y="5241520"/>
                  <a:pt x="8887766" y="5228242"/>
                  <a:pt x="8887766" y="5211868"/>
                </a:cubicBezTo>
                <a:cubicBezTo>
                  <a:pt x="8887766" y="5195493"/>
                  <a:pt x="8902195" y="5182216"/>
                  <a:pt x="8919983" y="5182216"/>
                </a:cubicBezTo>
                <a:cubicBezTo>
                  <a:pt x="8937770" y="5182216"/>
                  <a:pt x="8952187" y="5195493"/>
                  <a:pt x="8952187" y="5211868"/>
                </a:cubicBezTo>
                <a:cubicBezTo>
                  <a:pt x="8952187" y="5228242"/>
                  <a:pt x="8937770" y="5241520"/>
                  <a:pt x="8919983" y="5241520"/>
                </a:cubicBezTo>
                <a:close/>
                <a:moveTo>
                  <a:pt x="8998516" y="5241520"/>
                </a:moveTo>
                <a:cubicBezTo>
                  <a:pt x="8980729" y="5241520"/>
                  <a:pt x="8966300" y="5228242"/>
                  <a:pt x="8966300" y="5211868"/>
                </a:cubicBezTo>
                <a:cubicBezTo>
                  <a:pt x="8966300" y="5195493"/>
                  <a:pt x="8980729" y="5182216"/>
                  <a:pt x="8998516" y="5182216"/>
                </a:cubicBezTo>
                <a:cubicBezTo>
                  <a:pt x="9016303" y="5182216"/>
                  <a:pt x="9030720" y="5195493"/>
                  <a:pt x="9030720" y="5211868"/>
                </a:cubicBezTo>
                <a:cubicBezTo>
                  <a:pt x="9030720" y="5228242"/>
                  <a:pt x="9016303" y="5241520"/>
                  <a:pt x="8998516" y="5241520"/>
                </a:cubicBezTo>
                <a:close/>
                <a:moveTo>
                  <a:pt x="9077050" y="5241520"/>
                </a:moveTo>
                <a:cubicBezTo>
                  <a:pt x="9059263" y="5241520"/>
                  <a:pt x="9044834" y="5228242"/>
                  <a:pt x="9044834" y="5211868"/>
                </a:cubicBezTo>
                <a:cubicBezTo>
                  <a:pt x="9044834" y="5195493"/>
                  <a:pt x="9059263" y="5182216"/>
                  <a:pt x="9077050" y="5182216"/>
                </a:cubicBezTo>
                <a:cubicBezTo>
                  <a:pt x="9094837" y="5182216"/>
                  <a:pt x="9109254" y="5195493"/>
                  <a:pt x="9109254" y="5211868"/>
                </a:cubicBezTo>
                <a:cubicBezTo>
                  <a:pt x="9109254" y="5228242"/>
                  <a:pt x="9094837" y="5241520"/>
                  <a:pt x="9077050" y="5241520"/>
                </a:cubicBezTo>
                <a:close/>
                <a:moveTo>
                  <a:pt x="9155583" y="5241520"/>
                </a:moveTo>
                <a:cubicBezTo>
                  <a:pt x="9137796" y="5241520"/>
                  <a:pt x="9123367" y="5228242"/>
                  <a:pt x="9123367" y="5211868"/>
                </a:cubicBezTo>
                <a:cubicBezTo>
                  <a:pt x="9123367" y="5195493"/>
                  <a:pt x="9137796" y="5182216"/>
                  <a:pt x="9155583" y="5182216"/>
                </a:cubicBezTo>
                <a:cubicBezTo>
                  <a:pt x="9173371" y="5182216"/>
                  <a:pt x="9187788" y="5195493"/>
                  <a:pt x="9187788" y="5211868"/>
                </a:cubicBezTo>
                <a:cubicBezTo>
                  <a:pt x="9187788" y="5228242"/>
                  <a:pt x="9173371" y="5241520"/>
                  <a:pt x="9155583" y="5241520"/>
                </a:cubicBezTo>
                <a:close/>
                <a:moveTo>
                  <a:pt x="9234118" y="5241520"/>
                </a:moveTo>
                <a:cubicBezTo>
                  <a:pt x="9216330" y="5241520"/>
                  <a:pt x="9201901" y="5228242"/>
                  <a:pt x="9201901" y="5211868"/>
                </a:cubicBezTo>
                <a:cubicBezTo>
                  <a:pt x="9201901" y="5195493"/>
                  <a:pt x="9216330" y="5182216"/>
                  <a:pt x="9234118" y="5182216"/>
                </a:cubicBezTo>
                <a:cubicBezTo>
                  <a:pt x="9251905" y="5182216"/>
                  <a:pt x="9266322" y="5195493"/>
                  <a:pt x="9266322" y="5211868"/>
                </a:cubicBezTo>
                <a:cubicBezTo>
                  <a:pt x="9266322" y="5228242"/>
                  <a:pt x="9251905" y="5241520"/>
                  <a:pt x="9234118" y="5241520"/>
                </a:cubicBezTo>
                <a:close/>
                <a:moveTo>
                  <a:pt x="9312652" y="5241520"/>
                </a:moveTo>
                <a:cubicBezTo>
                  <a:pt x="9294865" y="5241520"/>
                  <a:pt x="9280436" y="5228242"/>
                  <a:pt x="9280436" y="5211868"/>
                </a:cubicBezTo>
                <a:cubicBezTo>
                  <a:pt x="9280436" y="5195493"/>
                  <a:pt x="9294865" y="5182216"/>
                  <a:pt x="9312652" y="5182216"/>
                </a:cubicBezTo>
                <a:cubicBezTo>
                  <a:pt x="9330439" y="5182216"/>
                  <a:pt x="9344856" y="5195493"/>
                  <a:pt x="9344856" y="5211868"/>
                </a:cubicBezTo>
                <a:cubicBezTo>
                  <a:pt x="9344856" y="5228242"/>
                  <a:pt x="9330439" y="5241520"/>
                  <a:pt x="9312652" y="5241520"/>
                </a:cubicBezTo>
                <a:close/>
                <a:moveTo>
                  <a:pt x="9391185" y="5241520"/>
                </a:moveTo>
                <a:cubicBezTo>
                  <a:pt x="9373398" y="5241520"/>
                  <a:pt x="9358969" y="5228242"/>
                  <a:pt x="9358969" y="5211868"/>
                </a:cubicBezTo>
                <a:cubicBezTo>
                  <a:pt x="9358969" y="5195493"/>
                  <a:pt x="9373398" y="5182216"/>
                  <a:pt x="9391185" y="5182216"/>
                </a:cubicBezTo>
                <a:cubicBezTo>
                  <a:pt x="9408972" y="5182216"/>
                  <a:pt x="9423389" y="5195493"/>
                  <a:pt x="9423389" y="5211868"/>
                </a:cubicBezTo>
                <a:cubicBezTo>
                  <a:pt x="9423389" y="5228242"/>
                  <a:pt x="9408972" y="5241520"/>
                  <a:pt x="9391185" y="5241520"/>
                </a:cubicBezTo>
                <a:close/>
                <a:moveTo>
                  <a:pt x="9469719" y="5241520"/>
                </a:moveTo>
                <a:cubicBezTo>
                  <a:pt x="9451932" y="5241520"/>
                  <a:pt x="9437503" y="5228242"/>
                  <a:pt x="9437503" y="5211868"/>
                </a:cubicBezTo>
                <a:cubicBezTo>
                  <a:pt x="9437503" y="5195493"/>
                  <a:pt x="9451932" y="5182216"/>
                  <a:pt x="9469719" y="5182216"/>
                </a:cubicBezTo>
                <a:cubicBezTo>
                  <a:pt x="9487507" y="5182216"/>
                  <a:pt x="9501924" y="5195493"/>
                  <a:pt x="9501924" y="5211868"/>
                </a:cubicBezTo>
                <a:cubicBezTo>
                  <a:pt x="9501924" y="5228242"/>
                  <a:pt x="9487507" y="5241520"/>
                  <a:pt x="9469719" y="5241520"/>
                </a:cubicBezTo>
                <a:close/>
                <a:moveTo>
                  <a:pt x="9548254" y="5241520"/>
                </a:moveTo>
                <a:cubicBezTo>
                  <a:pt x="9530466" y="5241520"/>
                  <a:pt x="9516037" y="5228242"/>
                  <a:pt x="9516037" y="5211868"/>
                </a:cubicBezTo>
                <a:cubicBezTo>
                  <a:pt x="9516037" y="5195493"/>
                  <a:pt x="9530466" y="5182216"/>
                  <a:pt x="9548254" y="5182216"/>
                </a:cubicBezTo>
                <a:cubicBezTo>
                  <a:pt x="9566041" y="5182216"/>
                  <a:pt x="9580458" y="5195493"/>
                  <a:pt x="9580458" y="5211868"/>
                </a:cubicBezTo>
                <a:cubicBezTo>
                  <a:pt x="9580458" y="5228242"/>
                  <a:pt x="9566041" y="5241520"/>
                  <a:pt x="9548254" y="5241520"/>
                </a:cubicBezTo>
                <a:close/>
                <a:moveTo>
                  <a:pt x="9626787" y="5241520"/>
                </a:moveTo>
                <a:cubicBezTo>
                  <a:pt x="9609000" y="5241520"/>
                  <a:pt x="9594571" y="5228242"/>
                  <a:pt x="9594571" y="5211868"/>
                </a:cubicBezTo>
                <a:cubicBezTo>
                  <a:pt x="9594571" y="5195493"/>
                  <a:pt x="9609000" y="5182216"/>
                  <a:pt x="9626787" y="5182216"/>
                </a:cubicBezTo>
                <a:cubicBezTo>
                  <a:pt x="9644574" y="5182216"/>
                  <a:pt x="9658991" y="5195493"/>
                  <a:pt x="9658991" y="5211868"/>
                </a:cubicBezTo>
                <a:cubicBezTo>
                  <a:pt x="9658991" y="5228242"/>
                  <a:pt x="9644574" y="5241520"/>
                  <a:pt x="9626787" y="5241520"/>
                </a:cubicBezTo>
                <a:close/>
                <a:moveTo>
                  <a:pt x="9705321" y="5241520"/>
                </a:moveTo>
                <a:cubicBezTo>
                  <a:pt x="9687534" y="5241520"/>
                  <a:pt x="9673105" y="5228242"/>
                  <a:pt x="9673105" y="5211868"/>
                </a:cubicBezTo>
                <a:cubicBezTo>
                  <a:pt x="9673105" y="5195493"/>
                  <a:pt x="9687534" y="5182216"/>
                  <a:pt x="9705321" y="5182216"/>
                </a:cubicBezTo>
                <a:cubicBezTo>
                  <a:pt x="9723108" y="5182216"/>
                  <a:pt x="9737525" y="5195493"/>
                  <a:pt x="9737525" y="5211868"/>
                </a:cubicBezTo>
                <a:cubicBezTo>
                  <a:pt x="9737525" y="5228242"/>
                  <a:pt x="9723108" y="5241520"/>
                  <a:pt x="9705321" y="5241520"/>
                </a:cubicBezTo>
                <a:close/>
                <a:moveTo>
                  <a:pt x="9783854" y="5241520"/>
                </a:moveTo>
                <a:cubicBezTo>
                  <a:pt x="9766067" y="5241520"/>
                  <a:pt x="9751638" y="5228242"/>
                  <a:pt x="9751638" y="5211868"/>
                </a:cubicBezTo>
                <a:cubicBezTo>
                  <a:pt x="9751638" y="5195493"/>
                  <a:pt x="9766067" y="5182216"/>
                  <a:pt x="9783854" y="5182216"/>
                </a:cubicBezTo>
                <a:cubicBezTo>
                  <a:pt x="9801642" y="5182216"/>
                  <a:pt x="9816059" y="5195493"/>
                  <a:pt x="9816059" y="5211868"/>
                </a:cubicBezTo>
                <a:cubicBezTo>
                  <a:pt x="9816059" y="5228242"/>
                  <a:pt x="9801642" y="5241520"/>
                  <a:pt x="9783854" y="5241520"/>
                </a:cubicBezTo>
                <a:close/>
                <a:moveTo>
                  <a:pt x="9862389" y="5241520"/>
                </a:moveTo>
                <a:cubicBezTo>
                  <a:pt x="9844601" y="5241520"/>
                  <a:pt x="9830172" y="5228242"/>
                  <a:pt x="9830172" y="5211868"/>
                </a:cubicBezTo>
                <a:cubicBezTo>
                  <a:pt x="9830172" y="5195493"/>
                  <a:pt x="9844601" y="5182216"/>
                  <a:pt x="9862389" y="5182216"/>
                </a:cubicBezTo>
                <a:cubicBezTo>
                  <a:pt x="9880176" y="5182216"/>
                  <a:pt x="9894593" y="5195493"/>
                  <a:pt x="9894593" y="5211868"/>
                </a:cubicBezTo>
                <a:cubicBezTo>
                  <a:pt x="9894593" y="5228242"/>
                  <a:pt x="9880176" y="5241520"/>
                  <a:pt x="9862389" y="5241520"/>
                </a:cubicBezTo>
                <a:close/>
                <a:moveTo>
                  <a:pt x="9940923" y="5241520"/>
                </a:moveTo>
                <a:cubicBezTo>
                  <a:pt x="9923136" y="5241520"/>
                  <a:pt x="9908707" y="5228242"/>
                  <a:pt x="9908707" y="5211868"/>
                </a:cubicBezTo>
                <a:cubicBezTo>
                  <a:pt x="9908707" y="5195493"/>
                  <a:pt x="9923136" y="5182216"/>
                  <a:pt x="9940923" y="5182216"/>
                </a:cubicBezTo>
                <a:cubicBezTo>
                  <a:pt x="9958710" y="5182216"/>
                  <a:pt x="9973127" y="5195493"/>
                  <a:pt x="9973127" y="5211868"/>
                </a:cubicBezTo>
                <a:cubicBezTo>
                  <a:pt x="9973127" y="5228242"/>
                  <a:pt x="9958710" y="5241520"/>
                  <a:pt x="9940923" y="5241520"/>
                </a:cubicBezTo>
                <a:close/>
                <a:moveTo>
                  <a:pt x="10019456" y="5241520"/>
                </a:moveTo>
                <a:cubicBezTo>
                  <a:pt x="10001669" y="5241520"/>
                  <a:pt x="9987240" y="5228242"/>
                  <a:pt x="9987240" y="5211868"/>
                </a:cubicBezTo>
                <a:cubicBezTo>
                  <a:pt x="9987240" y="5195493"/>
                  <a:pt x="10001669" y="5182216"/>
                  <a:pt x="10019456" y="5182216"/>
                </a:cubicBezTo>
                <a:cubicBezTo>
                  <a:pt x="10037243" y="5182216"/>
                  <a:pt x="10051660" y="5195493"/>
                  <a:pt x="10051660" y="5211868"/>
                </a:cubicBezTo>
                <a:cubicBezTo>
                  <a:pt x="10051660" y="5228242"/>
                  <a:pt x="10037243" y="5241520"/>
                  <a:pt x="10019456" y="5241520"/>
                </a:cubicBezTo>
                <a:close/>
                <a:moveTo>
                  <a:pt x="10097990" y="5241520"/>
                </a:moveTo>
                <a:cubicBezTo>
                  <a:pt x="10080203" y="5241520"/>
                  <a:pt x="10065774" y="5228242"/>
                  <a:pt x="10065774" y="5211868"/>
                </a:cubicBezTo>
                <a:cubicBezTo>
                  <a:pt x="10065774" y="5195493"/>
                  <a:pt x="10080203" y="5182216"/>
                  <a:pt x="10097990" y="5182216"/>
                </a:cubicBezTo>
                <a:cubicBezTo>
                  <a:pt x="10115778" y="5182216"/>
                  <a:pt x="10130195" y="5195493"/>
                  <a:pt x="10130195" y="5211868"/>
                </a:cubicBezTo>
                <a:cubicBezTo>
                  <a:pt x="10130195" y="5228242"/>
                  <a:pt x="10115778" y="5241520"/>
                  <a:pt x="10097990" y="5241520"/>
                </a:cubicBezTo>
                <a:close/>
                <a:moveTo>
                  <a:pt x="10176524" y="5241520"/>
                </a:moveTo>
                <a:cubicBezTo>
                  <a:pt x="10158736" y="5241520"/>
                  <a:pt x="10144307" y="5228242"/>
                  <a:pt x="10144307" y="5211868"/>
                </a:cubicBezTo>
                <a:cubicBezTo>
                  <a:pt x="10144307" y="5195493"/>
                  <a:pt x="10158736" y="5182216"/>
                  <a:pt x="10176524" y="5182216"/>
                </a:cubicBezTo>
                <a:cubicBezTo>
                  <a:pt x="10194311" y="5182216"/>
                  <a:pt x="10208728" y="5195493"/>
                  <a:pt x="10208728" y="5211868"/>
                </a:cubicBezTo>
                <a:cubicBezTo>
                  <a:pt x="10208728" y="5228242"/>
                  <a:pt x="10194311" y="5241520"/>
                  <a:pt x="10176524" y="5241520"/>
                </a:cubicBezTo>
                <a:close/>
                <a:moveTo>
                  <a:pt x="10255058" y="5241520"/>
                </a:moveTo>
                <a:cubicBezTo>
                  <a:pt x="10237271" y="5241520"/>
                  <a:pt x="10222842" y="5228242"/>
                  <a:pt x="10222842" y="5211868"/>
                </a:cubicBezTo>
                <a:cubicBezTo>
                  <a:pt x="10222842" y="5195493"/>
                  <a:pt x="10237271" y="5182216"/>
                  <a:pt x="10255058" y="5182216"/>
                </a:cubicBezTo>
                <a:cubicBezTo>
                  <a:pt x="10272845" y="5182216"/>
                  <a:pt x="10287262" y="5195493"/>
                  <a:pt x="10287262" y="5211868"/>
                </a:cubicBezTo>
                <a:cubicBezTo>
                  <a:pt x="10287262" y="5228242"/>
                  <a:pt x="10272845" y="5241520"/>
                  <a:pt x="10255058" y="5241520"/>
                </a:cubicBezTo>
                <a:close/>
                <a:moveTo>
                  <a:pt x="1773370" y="5169254"/>
                </a:moveTo>
                <a:cubicBezTo>
                  <a:pt x="1755583" y="5169254"/>
                  <a:pt x="1741159" y="5155977"/>
                  <a:pt x="1741159" y="5139602"/>
                </a:cubicBezTo>
                <a:cubicBezTo>
                  <a:pt x="1741159" y="5123227"/>
                  <a:pt x="1755583" y="5109950"/>
                  <a:pt x="1773370" y="5109950"/>
                </a:cubicBezTo>
                <a:cubicBezTo>
                  <a:pt x="1791157" y="5109950"/>
                  <a:pt x="1805580" y="5123227"/>
                  <a:pt x="1805580" y="5139602"/>
                </a:cubicBezTo>
                <a:cubicBezTo>
                  <a:pt x="1805580" y="5155977"/>
                  <a:pt x="1791157" y="5169254"/>
                  <a:pt x="1773370" y="5169254"/>
                </a:cubicBezTo>
                <a:close/>
                <a:moveTo>
                  <a:pt x="2087512" y="5169254"/>
                </a:moveTo>
                <a:cubicBezTo>
                  <a:pt x="2069725" y="5169254"/>
                  <a:pt x="2055302" y="5155977"/>
                  <a:pt x="2055302" y="5139602"/>
                </a:cubicBezTo>
                <a:cubicBezTo>
                  <a:pt x="2055302" y="5123227"/>
                  <a:pt x="2069725" y="5109950"/>
                  <a:pt x="2087512" y="5109950"/>
                </a:cubicBezTo>
                <a:cubicBezTo>
                  <a:pt x="2105299" y="5109950"/>
                  <a:pt x="2119722" y="5123227"/>
                  <a:pt x="2119722" y="5139602"/>
                </a:cubicBezTo>
                <a:cubicBezTo>
                  <a:pt x="2119722" y="5155977"/>
                  <a:pt x="2105299" y="5169254"/>
                  <a:pt x="2087512" y="5169254"/>
                </a:cubicBezTo>
                <a:close/>
                <a:moveTo>
                  <a:pt x="2166045" y="5169254"/>
                </a:moveTo>
                <a:cubicBezTo>
                  <a:pt x="2148258" y="5169254"/>
                  <a:pt x="2133835" y="5155977"/>
                  <a:pt x="2133835" y="5139602"/>
                </a:cubicBezTo>
                <a:cubicBezTo>
                  <a:pt x="2133835" y="5123227"/>
                  <a:pt x="2148258" y="5109950"/>
                  <a:pt x="2166045" y="5109950"/>
                </a:cubicBezTo>
                <a:cubicBezTo>
                  <a:pt x="2183832" y="5109950"/>
                  <a:pt x="2198255" y="5123227"/>
                  <a:pt x="2198255" y="5139602"/>
                </a:cubicBezTo>
                <a:cubicBezTo>
                  <a:pt x="2198255" y="5155977"/>
                  <a:pt x="2183832" y="5169254"/>
                  <a:pt x="2166045" y="5169254"/>
                </a:cubicBezTo>
                <a:close/>
                <a:moveTo>
                  <a:pt x="2244579" y="5169254"/>
                </a:moveTo>
                <a:cubicBezTo>
                  <a:pt x="2226792" y="5169254"/>
                  <a:pt x="2212369" y="5155977"/>
                  <a:pt x="2212369" y="5139602"/>
                </a:cubicBezTo>
                <a:cubicBezTo>
                  <a:pt x="2212369" y="5123227"/>
                  <a:pt x="2226792" y="5109950"/>
                  <a:pt x="2244579" y="5109950"/>
                </a:cubicBezTo>
                <a:cubicBezTo>
                  <a:pt x="2262367" y="5109950"/>
                  <a:pt x="2276790" y="5123227"/>
                  <a:pt x="2276790" y="5139602"/>
                </a:cubicBezTo>
                <a:cubicBezTo>
                  <a:pt x="2276790" y="5155977"/>
                  <a:pt x="2262367" y="5169254"/>
                  <a:pt x="2244579" y="5169254"/>
                </a:cubicBezTo>
                <a:close/>
                <a:moveTo>
                  <a:pt x="2323114" y="5169254"/>
                </a:moveTo>
                <a:cubicBezTo>
                  <a:pt x="2305326" y="5169254"/>
                  <a:pt x="2290903" y="5155977"/>
                  <a:pt x="2290903" y="5139602"/>
                </a:cubicBezTo>
                <a:cubicBezTo>
                  <a:pt x="2290903" y="5123227"/>
                  <a:pt x="2305326" y="5109950"/>
                  <a:pt x="2323114" y="5109950"/>
                </a:cubicBezTo>
                <a:cubicBezTo>
                  <a:pt x="2340901" y="5109950"/>
                  <a:pt x="2355324" y="5123227"/>
                  <a:pt x="2355324" y="5139602"/>
                </a:cubicBezTo>
                <a:cubicBezTo>
                  <a:pt x="2355324" y="5155977"/>
                  <a:pt x="2340901" y="5169254"/>
                  <a:pt x="2323114" y="5169254"/>
                </a:cubicBezTo>
                <a:close/>
                <a:moveTo>
                  <a:pt x="2401647" y="5169254"/>
                </a:moveTo>
                <a:cubicBezTo>
                  <a:pt x="2383860" y="5169254"/>
                  <a:pt x="2369437" y="5155977"/>
                  <a:pt x="2369437" y="5139602"/>
                </a:cubicBezTo>
                <a:cubicBezTo>
                  <a:pt x="2369437" y="5123227"/>
                  <a:pt x="2383860" y="5109950"/>
                  <a:pt x="2401647" y="5109950"/>
                </a:cubicBezTo>
                <a:cubicBezTo>
                  <a:pt x="2419434" y="5109950"/>
                  <a:pt x="2433857" y="5123227"/>
                  <a:pt x="2433857" y="5139602"/>
                </a:cubicBezTo>
                <a:cubicBezTo>
                  <a:pt x="2433857" y="5155977"/>
                  <a:pt x="2419434" y="5169254"/>
                  <a:pt x="2401647" y="5169254"/>
                </a:cubicBezTo>
                <a:close/>
                <a:moveTo>
                  <a:pt x="2480181" y="5169254"/>
                </a:moveTo>
                <a:cubicBezTo>
                  <a:pt x="2462394" y="5169254"/>
                  <a:pt x="2447971" y="5155977"/>
                  <a:pt x="2447971" y="5139602"/>
                </a:cubicBezTo>
                <a:cubicBezTo>
                  <a:pt x="2447971" y="5123227"/>
                  <a:pt x="2462394" y="5109950"/>
                  <a:pt x="2480181" y="5109950"/>
                </a:cubicBezTo>
                <a:cubicBezTo>
                  <a:pt x="2497968" y="5109950"/>
                  <a:pt x="2512391" y="5123227"/>
                  <a:pt x="2512391" y="5139602"/>
                </a:cubicBezTo>
                <a:cubicBezTo>
                  <a:pt x="2512391" y="5155977"/>
                  <a:pt x="2497968" y="5169254"/>
                  <a:pt x="2480181" y="5169254"/>
                </a:cubicBezTo>
                <a:close/>
                <a:moveTo>
                  <a:pt x="2558715" y="5169254"/>
                </a:moveTo>
                <a:cubicBezTo>
                  <a:pt x="2540928" y="5169254"/>
                  <a:pt x="2526505" y="5155977"/>
                  <a:pt x="2526505" y="5139602"/>
                </a:cubicBezTo>
                <a:cubicBezTo>
                  <a:pt x="2526505" y="5123227"/>
                  <a:pt x="2540928" y="5109950"/>
                  <a:pt x="2558715" y="5109950"/>
                </a:cubicBezTo>
                <a:cubicBezTo>
                  <a:pt x="2576503" y="5109950"/>
                  <a:pt x="2590926" y="5123227"/>
                  <a:pt x="2590926" y="5139602"/>
                </a:cubicBezTo>
                <a:cubicBezTo>
                  <a:pt x="2590926" y="5155977"/>
                  <a:pt x="2576503" y="5169254"/>
                  <a:pt x="2558715" y="5169254"/>
                </a:cubicBezTo>
                <a:close/>
                <a:moveTo>
                  <a:pt x="2637243" y="5169254"/>
                </a:moveTo>
                <a:cubicBezTo>
                  <a:pt x="2619455" y="5169254"/>
                  <a:pt x="2605032" y="5155977"/>
                  <a:pt x="2605032" y="5139602"/>
                </a:cubicBezTo>
                <a:cubicBezTo>
                  <a:pt x="2605032" y="5123227"/>
                  <a:pt x="2619455" y="5109950"/>
                  <a:pt x="2637243" y="5109950"/>
                </a:cubicBezTo>
                <a:cubicBezTo>
                  <a:pt x="2655030" y="5109950"/>
                  <a:pt x="2669453" y="5123227"/>
                  <a:pt x="2669453" y="5139602"/>
                </a:cubicBezTo>
                <a:cubicBezTo>
                  <a:pt x="2669453" y="5155977"/>
                  <a:pt x="2655030" y="5169254"/>
                  <a:pt x="2637243" y="5169254"/>
                </a:cubicBezTo>
                <a:close/>
                <a:moveTo>
                  <a:pt x="2715777" y="5169254"/>
                </a:moveTo>
                <a:cubicBezTo>
                  <a:pt x="2697990" y="5169254"/>
                  <a:pt x="2683566" y="5155977"/>
                  <a:pt x="2683566" y="5139602"/>
                </a:cubicBezTo>
                <a:cubicBezTo>
                  <a:pt x="2683566" y="5123227"/>
                  <a:pt x="2697990" y="5109950"/>
                  <a:pt x="2715777" y="5109950"/>
                </a:cubicBezTo>
                <a:cubicBezTo>
                  <a:pt x="2733564" y="5109950"/>
                  <a:pt x="2747987" y="5123227"/>
                  <a:pt x="2747987" y="5139602"/>
                </a:cubicBezTo>
                <a:cubicBezTo>
                  <a:pt x="2747987" y="5155977"/>
                  <a:pt x="2733564" y="5169254"/>
                  <a:pt x="2715777" y="5169254"/>
                </a:cubicBezTo>
                <a:close/>
                <a:moveTo>
                  <a:pt x="2794310" y="5169254"/>
                </a:moveTo>
                <a:cubicBezTo>
                  <a:pt x="2776523" y="5169254"/>
                  <a:pt x="2762100" y="5155977"/>
                  <a:pt x="2762100" y="5139602"/>
                </a:cubicBezTo>
                <a:cubicBezTo>
                  <a:pt x="2762100" y="5123227"/>
                  <a:pt x="2776523" y="5109950"/>
                  <a:pt x="2794310" y="5109950"/>
                </a:cubicBezTo>
                <a:cubicBezTo>
                  <a:pt x="2812097" y="5109950"/>
                  <a:pt x="2826520" y="5123227"/>
                  <a:pt x="2826520" y="5139602"/>
                </a:cubicBezTo>
                <a:cubicBezTo>
                  <a:pt x="2826520" y="5155977"/>
                  <a:pt x="2812097" y="5169254"/>
                  <a:pt x="2794310" y="5169254"/>
                </a:cubicBezTo>
                <a:close/>
                <a:moveTo>
                  <a:pt x="2872844" y="5169254"/>
                </a:moveTo>
                <a:cubicBezTo>
                  <a:pt x="2855057" y="5169254"/>
                  <a:pt x="2840634" y="5155977"/>
                  <a:pt x="2840634" y="5139602"/>
                </a:cubicBezTo>
                <a:cubicBezTo>
                  <a:pt x="2840634" y="5123227"/>
                  <a:pt x="2855057" y="5109950"/>
                  <a:pt x="2872844" y="5109950"/>
                </a:cubicBezTo>
                <a:cubicBezTo>
                  <a:pt x="2890632" y="5109950"/>
                  <a:pt x="2905055" y="5123227"/>
                  <a:pt x="2905055" y="5139602"/>
                </a:cubicBezTo>
                <a:cubicBezTo>
                  <a:pt x="2905055" y="5155977"/>
                  <a:pt x="2890632" y="5169254"/>
                  <a:pt x="2872844" y="5169254"/>
                </a:cubicBezTo>
                <a:close/>
                <a:moveTo>
                  <a:pt x="2951379" y="5169254"/>
                </a:moveTo>
                <a:cubicBezTo>
                  <a:pt x="2933591" y="5169254"/>
                  <a:pt x="2919168" y="5155977"/>
                  <a:pt x="2919168" y="5139602"/>
                </a:cubicBezTo>
                <a:cubicBezTo>
                  <a:pt x="2919168" y="5123227"/>
                  <a:pt x="2933591" y="5109950"/>
                  <a:pt x="2951379" y="5109950"/>
                </a:cubicBezTo>
                <a:cubicBezTo>
                  <a:pt x="2969166" y="5109950"/>
                  <a:pt x="2983589" y="5123227"/>
                  <a:pt x="2983589" y="5139602"/>
                </a:cubicBezTo>
                <a:cubicBezTo>
                  <a:pt x="2983589" y="5155977"/>
                  <a:pt x="2969166" y="5169254"/>
                  <a:pt x="2951379" y="5169254"/>
                </a:cubicBezTo>
                <a:close/>
                <a:moveTo>
                  <a:pt x="3029912" y="5169254"/>
                </a:moveTo>
                <a:cubicBezTo>
                  <a:pt x="3012125" y="5169254"/>
                  <a:pt x="2997701" y="5155977"/>
                  <a:pt x="2997701" y="5139602"/>
                </a:cubicBezTo>
                <a:cubicBezTo>
                  <a:pt x="2997701" y="5123227"/>
                  <a:pt x="3012125" y="5109950"/>
                  <a:pt x="3029912" y="5109950"/>
                </a:cubicBezTo>
                <a:cubicBezTo>
                  <a:pt x="3047699" y="5109950"/>
                  <a:pt x="3062122" y="5123227"/>
                  <a:pt x="3062122" y="5139602"/>
                </a:cubicBezTo>
                <a:cubicBezTo>
                  <a:pt x="3062122" y="5155977"/>
                  <a:pt x="3047699" y="5169254"/>
                  <a:pt x="3029912" y="5169254"/>
                </a:cubicBezTo>
                <a:close/>
                <a:moveTo>
                  <a:pt x="3108446" y="5169254"/>
                </a:moveTo>
                <a:cubicBezTo>
                  <a:pt x="3090659" y="5169254"/>
                  <a:pt x="3076236" y="5155977"/>
                  <a:pt x="3076236" y="5139602"/>
                </a:cubicBezTo>
                <a:cubicBezTo>
                  <a:pt x="3076236" y="5123227"/>
                  <a:pt x="3090659" y="5109950"/>
                  <a:pt x="3108446" y="5109950"/>
                </a:cubicBezTo>
                <a:cubicBezTo>
                  <a:pt x="3126233" y="5109950"/>
                  <a:pt x="3140656" y="5123227"/>
                  <a:pt x="3140656" y="5139602"/>
                </a:cubicBezTo>
                <a:cubicBezTo>
                  <a:pt x="3140656" y="5155977"/>
                  <a:pt x="3126233" y="5169254"/>
                  <a:pt x="3108446" y="5169254"/>
                </a:cubicBezTo>
                <a:close/>
                <a:moveTo>
                  <a:pt x="3186979" y="5169254"/>
                </a:moveTo>
                <a:cubicBezTo>
                  <a:pt x="3169192" y="5169254"/>
                  <a:pt x="3154769" y="5155977"/>
                  <a:pt x="3154769" y="5139602"/>
                </a:cubicBezTo>
                <a:cubicBezTo>
                  <a:pt x="3154769" y="5123227"/>
                  <a:pt x="3169192" y="5109950"/>
                  <a:pt x="3186979" y="5109950"/>
                </a:cubicBezTo>
                <a:cubicBezTo>
                  <a:pt x="3204767" y="5109950"/>
                  <a:pt x="3219190" y="5123227"/>
                  <a:pt x="3219190" y="5139602"/>
                </a:cubicBezTo>
                <a:cubicBezTo>
                  <a:pt x="3219190" y="5155977"/>
                  <a:pt x="3204767" y="5169254"/>
                  <a:pt x="3186979" y="5169254"/>
                </a:cubicBezTo>
                <a:close/>
                <a:moveTo>
                  <a:pt x="3344048" y="5169254"/>
                </a:moveTo>
                <a:cubicBezTo>
                  <a:pt x="3326261" y="5169254"/>
                  <a:pt x="3311837" y="5155977"/>
                  <a:pt x="3311837" y="5139602"/>
                </a:cubicBezTo>
                <a:cubicBezTo>
                  <a:pt x="3311837" y="5123227"/>
                  <a:pt x="3326261" y="5109950"/>
                  <a:pt x="3344048" y="5109950"/>
                </a:cubicBezTo>
                <a:cubicBezTo>
                  <a:pt x="3361835" y="5109950"/>
                  <a:pt x="3376258" y="5123227"/>
                  <a:pt x="3376258" y="5139602"/>
                </a:cubicBezTo>
                <a:cubicBezTo>
                  <a:pt x="3376258" y="5155977"/>
                  <a:pt x="3361835" y="5169254"/>
                  <a:pt x="3344048" y="5169254"/>
                </a:cubicBezTo>
                <a:close/>
                <a:moveTo>
                  <a:pt x="3422581" y="5169254"/>
                </a:moveTo>
                <a:cubicBezTo>
                  <a:pt x="3404794" y="5169254"/>
                  <a:pt x="3390371" y="5155977"/>
                  <a:pt x="3390371" y="5139602"/>
                </a:cubicBezTo>
                <a:cubicBezTo>
                  <a:pt x="3390371" y="5123227"/>
                  <a:pt x="3404794" y="5109950"/>
                  <a:pt x="3422581" y="5109950"/>
                </a:cubicBezTo>
                <a:cubicBezTo>
                  <a:pt x="3440368" y="5109950"/>
                  <a:pt x="3454791" y="5123227"/>
                  <a:pt x="3454791" y="5139602"/>
                </a:cubicBezTo>
                <a:cubicBezTo>
                  <a:pt x="3454791" y="5155977"/>
                  <a:pt x="3440368" y="5169254"/>
                  <a:pt x="3422581" y="5169254"/>
                </a:cubicBezTo>
                <a:close/>
                <a:moveTo>
                  <a:pt x="3579650" y="5169254"/>
                </a:moveTo>
                <a:cubicBezTo>
                  <a:pt x="3561862" y="5169254"/>
                  <a:pt x="3547439" y="5155977"/>
                  <a:pt x="3547439" y="5139602"/>
                </a:cubicBezTo>
                <a:cubicBezTo>
                  <a:pt x="3547439" y="5123227"/>
                  <a:pt x="3561862" y="5109950"/>
                  <a:pt x="3579650" y="5109950"/>
                </a:cubicBezTo>
                <a:cubicBezTo>
                  <a:pt x="3597437" y="5109950"/>
                  <a:pt x="3611860" y="5123227"/>
                  <a:pt x="3611860" y="5139602"/>
                </a:cubicBezTo>
                <a:cubicBezTo>
                  <a:pt x="3611860" y="5155977"/>
                  <a:pt x="3597437" y="5169254"/>
                  <a:pt x="3579650" y="5169254"/>
                </a:cubicBezTo>
                <a:close/>
                <a:moveTo>
                  <a:pt x="3815250" y="5169254"/>
                </a:moveTo>
                <a:cubicBezTo>
                  <a:pt x="3797463" y="5169254"/>
                  <a:pt x="3783040" y="5155977"/>
                  <a:pt x="3783040" y="5139602"/>
                </a:cubicBezTo>
                <a:cubicBezTo>
                  <a:pt x="3783040" y="5123227"/>
                  <a:pt x="3797463" y="5109950"/>
                  <a:pt x="3815250" y="5109950"/>
                </a:cubicBezTo>
                <a:cubicBezTo>
                  <a:pt x="3833038" y="5109950"/>
                  <a:pt x="3847461" y="5123227"/>
                  <a:pt x="3847461" y="5139602"/>
                </a:cubicBezTo>
                <a:cubicBezTo>
                  <a:pt x="3847461" y="5155977"/>
                  <a:pt x="3833038" y="5169254"/>
                  <a:pt x="3815250" y="5169254"/>
                </a:cubicBezTo>
                <a:close/>
                <a:moveTo>
                  <a:pt x="3972319" y="5169254"/>
                </a:moveTo>
                <a:cubicBezTo>
                  <a:pt x="3954532" y="5169254"/>
                  <a:pt x="3940108" y="5155977"/>
                  <a:pt x="3940108" y="5139602"/>
                </a:cubicBezTo>
                <a:cubicBezTo>
                  <a:pt x="3940108" y="5123227"/>
                  <a:pt x="3954532" y="5109950"/>
                  <a:pt x="3972319" y="5109950"/>
                </a:cubicBezTo>
                <a:cubicBezTo>
                  <a:pt x="3990106" y="5109950"/>
                  <a:pt x="4004529" y="5123227"/>
                  <a:pt x="4004529" y="5139602"/>
                </a:cubicBezTo>
                <a:cubicBezTo>
                  <a:pt x="4004529" y="5155977"/>
                  <a:pt x="3990106" y="5169254"/>
                  <a:pt x="3972319" y="5169254"/>
                </a:cubicBezTo>
                <a:close/>
                <a:moveTo>
                  <a:pt x="4050852" y="5169254"/>
                </a:moveTo>
                <a:cubicBezTo>
                  <a:pt x="4033065" y="5169254"/>
                  <a:pt x="4018642" y="5155977"/>
                  <a:pt x="4018642" y="5139602"/>
                </a:cubicBezTo>
                <a:cubicBezTo>
                  <a:pt x="4018642" y="5123227"/>
                  <a:pt x="4033065" y="5109950"/>
                  <a:pt x="4050852" y="5109950"/>
                </a:cubicBezTo>
                <a:cubicBezTo>
                  <a:pt x="4068639" y="5109950"/>
                  <a:pt x="4083062" y="5123227"/>
                  <a:pt x="4083062" y="5139602"/>
                </a:cubicBezTo>
                <a:cubicBezTo>
                  <a:pt x="4083062" y="5155977"/>
                  <a:pt x="4068639" y="5169254"/>
                  <a:pt x="4050852" y="5169254"/>
                </a:cubicBezTo>
                <a:close/>
                <a:moveTo>
                  <a:pt x="4129386" y="5169254"/>
                </a:moveTo>
                <a:cubicBezTo>
                  <a:pt x="4111599" y="5169254"/>
                  <a:pt x="4097176" y="5155977"/>
                  <a:pt x="4097176" y="5139602"/>
                </a:cubicBezTo>
                <a:cubicBezTo>
                  <a:pt x="4097176" y="5123227"/>
                  <a:pt x="4111599" y="5109950"/>
                  <a:pt x="4129386" y="5109950"/>
                </a:cubicBezTo>
                <a:cubicBezTo>
                  <a:pt x="4147174" y="5109950"/>
                  <a:pt x="4161597" y="5123227"/>
                  <a:pt x="4161597" y="5139602"/>
                </a:cubicBezTo>
                <a:cubicBezTo>
                  <a:pt x="4161597" y="5155977"/>
                  <a:pt x="4147174" y="5169254"/>
                  <a:pt x="4129386" y="5169254"/>
                </a:cubicBezTo>
                <a:close/>
                <a:moveTo>
                  <a:pt x="4207926" y="5169254"/>
                </a:moveTo>
                <a:cubicBezTo>
                  <a:pt x="4190138" y="5169254"/>
                  <a:pt x="4175715" y="5155977"/>
                  <a:pt x="4175715" y="5139602"/>
                </a:cubicBezTo>
                <a:cubicBezTo>
                  <a:pt x="4175715" y="5123227"/>
                  <a:pt x="4190138" y="5109950"/>
                  <a:pt x="4207926" y="5109950"/>
                </a:cubicBezTo>
                <a:cubicBezTo>
                  <a:pt x="4225713" y="5109950"/>
                  <a:pt x="4240136" y="5123227"/>
                  <a:pt x="4240136" y="5139602"/>
                </a:cubicBezTo>
                <a:cubicBezTo>
                  <a:pt x="4240136" y="5155977"/>
                  <a:pt x="4225713" y="5169254"/>
                  <a:pt x="4207926" y="5169254"/>
                </a:cubicBezTo>
                <a:close/>
                <a:moveTo>
                  <a:pt x="4757663" y="5169254"/>
                </a:moveTo>
                <a:cubicBezTo>
                  <a:pt x="4739876" y="5169254"/>
                  <a:pt x="4725453" y="5155977"/>
                  <a:pt x="4725453" y="5139602"/>
                </a:cubicBezTo>
                <a:cubicBezTo>
                  <a:pt x="4725453" y="5123227"/>
                  <a:pt x="4739876" y="5109950"/>
                  <a:pt x="4757663" y="5109950"/>
                </a:cubicBezTo>
                <a:cubicBezTo>
                  <a:pt x="4775451" y="5109950"/>
                  <a:pt x="4789874" y="5123227"/>
                  <a:pt x="4789874" y="5139602"/>
                </a:cubicBezTo>
                <a:cubicBezTo>
                  <a:pt x="4789874" y="5155977"/>
                  <a:pt x="4775451" y="5169254"/>
                  <a:pt x="4757663" y="5169254"/>
                </a:cubicBezTo>
                <a:close/>
                <a:moveTo>
                  <a:pt x="4836197" y="5169254"/>
                </a:moveTo>
                <a:cubicBezTo>
                  <a:pt x="4818409" y="5169254"/>
                  <a:pt x="4803986" y="5155977"/>
                  <a:pt x="4803986" y="5139602"/>
                </a:cubicBezTo>
                <a:cubicBezTo>
                  <a:pt x="4803986" y="5123227"/>
                  <a:pt x="4818409" y="5109950"/>
                  <a:pt x="4836197" y="5109950"/>
                </a:cubicBezTo>
                <a:cubicBezTo>
                  <a:pt x="4853984" y="5109950"/>
                  <a:pt x="4868407" y="5123227"/>
                  <a:pt x="4868407" y="5139602"/>
                </a:cubicBezTo>
                <a:cubicBezTo>
                  <a:pt x="4868407" y="5155977"/>
                  <a:pt x="4853984" y="5169254"/>
                  <a:pt x="4836197" y="5169254"/>
                </a:cubicBezTo>
                <a:close/>
                <a:moveTo>
                  <a:pt x="4914731" y="5169254"/>
                </a:moveTo>
                <a:cubicBezTo>
                  <a:pt x="4896944" y="5169254"/>
                  <a:pt x="4882521" y="5155977"/>
                  <a:pt x="4882521" y="5139602"/>
                </a:cubicBezTo>
                <a:cubicBezTo>
                  <a:pt x="4882521" y="5123227"/>
                  <a:pt x="4896944" y="5109950"/>
                  <a:pt x="4914731" y="5109950"/>
                </a:cubicBezTo>
                <a:cubicBezTo>
                  <a:pt x="4932518" y="5109950"/>
                  <a:pt x="4946941" y="5123227"/>
                  <a:pt x="4946941" y="5139602"/>
                </a:cubicBezTo>
                <a:cubicBezTo>
                  <a:pt x="4946941" y="5155977"/>
                  <a:pt x="4932518" y="5169254"/>
                  <a:pt x="4914731" y="5169254"/>
                </a:cubicBezTo>
                <a:close/>
                <a:moveTo>
                  <a:pt x="4993265" y="5169254"/>
                </a:moveTo>
                <a:cubicBezTo>
                  <a:pt x="4975478" y="5169254"/>
                  <a:pt x="4961055" y="5155977"/>
                  <a:pt x="4961055" y="5139602"/>
                </a:cubicBezTo>
                <a:cubicBezTo>
                  <a:pt x="4961055" y="5123227"/>
                  <a:pt x="4975478" y="5109950"/>
                  <a:pt x="4993265" y="5109950"/>
                </a:cubicBezTo>
                <a:cubicBezTo>
                  <a:pt x="5011052" y="5109950"/>
                  <a:pt x="5025475" y="5123227"/>
                  <a:pt x="5025475" y="5139602"/>
                </a:cubicBezTo>
                <a:cubicBezTo>
                  <a:pt x="5025475" y="5155977"/>
                  <a:pt x="5011052" y="5169254"/>
                  <a:pt x="4993265" y="5169254"/>
                </a:cubicBezTo>
                <a:close/>
                <a:moveTo>
                  <a:pt x="5071798" y="5169254"/>
                </a:moveTo>
                <a:cubicBezTo>
                  <a:pt x="5054011" y="5169254"/>
                  <a:pt x="5039588" y="5155977"/>
                  <a:pt x="5039588" y="5139602"/>
                </a:cubicBezTo>
                <a:cubicBezTo>
                  <a:pt x="5039588" y="5123227"/>
                  <a:pt x="5054011" y="5109950"/>
                  <a:pt x="5071798" y="5109950"/>
                </a:cubicBezTo>
                <a:cubicBezTo>
                  <a:pt x="5089586" y="5109950"/>
                  <a:pt x="5104009" y="5123227"/>
                  <a:pt x="5104009" y="5139602"/>
                </a:cubicBezTo>
                <a:cubicBezTo>
                  <a:pt x="5104009" y="5155977"/>
                  <a:pt x="5089586" y="5169254"/>
                  <a:pt x="5071798" y="5169254"/>
                </a:cubicBezTo>
                <a:close/>
                <a:moveTo>
                  <a:pt x="5150333" y="5169254"/>
                </a:moveTo>
                <a:cubicBezTo>
                  <a:pt x="5132545" y="5169254"/>
                  <a:pt x="5118122" y="5155977"/>
                  <a:pt x="5118122" y="5139602"/>
                </a:cubicBezTo>
                <a:cubicBezTo>
                  <a:pt x="5118122" y="5123227"/>
                  <a:pt x="5132545" y="5109950"/>
                  <a:pt x="5150333" y="5109950"/>
                </a:cubicBezTo>
                <a:cubicBezTo>
                  <a:pt x="5168120" y="5109950"/>
                  <a:pt x="5182543" y="5123227"/>
                  <a:pt x="5182543" y="5139602"/>
                </a:cubicBezTo>
                <a:cubicBezTo>
                  <a:pt x="5182543" y="5155977"/>
                  <a:pt x="5168120" y="5169254"/>
                  <a:pt x="5150333" y="5169254"/>
                </a:cubicBezTo>
                <a:close/>
                <a:moveTo>
                  <a:pt x="5228867" y="5169254"/>
                </a:moveTo>
                <a:cubicBezTo>
                  <a:pt x="5211080" y="5169254"/>
                  <a:pt x="5196657" y="5155977"/>
                  <a:pt x="5196657" y="5139602"/>
                </a:cubicBezTo>
                <a:cubicBezTo>
                  <a:pt x="5196657" y="5123227"/>
                  <a:pt x="5211080" y="5109950"/>
                  <a:pt x="5228867" y="5109950"/>
                </a:cubicBezTo>
                <a:cubicBezTo>
                  <a:pt x="5246654" y="5109950"/>
                  <a:pt x="5261077" y="5123227"/>
                  <a:pt x="5261077" y="5139602"/>
                </a:cubicBezTo>
                <a:cubicBezTo>
                  <a:pt x="5261077" y="5155977"/>
                  <a:pt x="5246654" y="5169254"/>
                  <a:pt x="5228867" y="5169254"/>
                </a:cubicBezTo>
                <a:close/>
                <a:moveTo>
                  <a:pt x="5307400" y="5169254"/>
                </a:moveTo>
                <a:cubicBezTo>
                  <a:pt x="5289613" y="5169254"/>
                  <a:pt x="5275190" y="5155977"/>
                  <a:pt x="5275190" y="5139602"/>
                </a:cubicBezTo>
                <a:cubicBezTo>
                  <a:pt x="5275190" y="5123227"/>
                  <a:pt x="5289613" y="5109950"/>
                  <a:pt x="5307400" y="5109950"/>
                </a:cubicBezTo>
                <a:cubicBezTo>
                  <a:pt x="5325187" y="5109950"/>
                  <a:pt x="5339610" y="5123227"/>
                  <a:pt x="5339610" y="5139602"/>
                </a:cubicBezTo>
                <a:cubicBezTo>
                  <a:pt x="5339610" y="5155977"/>
                  <a:pt x="5325187" y="5169254"/>
                  <a:pt x="5307400" y="5169254"/>
                </a:cubicBezTo>
                <a:close/>
                <a:moveTo>
                  <a:pt x="7113703" y="5169254"/>
                </a:moveTo>
                <a:cubicBezTo>
                  <a:pt x="7095916" y="5169254"/>
                  <a:pt x="7081487" y="5155977"/>
                  <a:pt x="7081487" y="5139602"/>
                </a:cubicBezTo>
                <a:cubicBezTo>
                  <a:pt x="7081487" y="5123227"/>
                  <a:pt x="7095916" y="5109950"/>
                  <a:pt x="7113703" y="5109950"/>
                </a:cubicBezTo>
                <a:cubicBezTo>
                  <a:pt x="7131490" y="5109950"/>
                  <a:pt x="7145907" y="5123227"/>
                  <a:pt x="7145907" y="5139602"/>
                </a:cubicBezTo>
                <a:cubicBezTo>
                  <a:pt x="7145907" y="5155977"/>
                  <a:pt x="7131490" y="5169254"/>
                  <a:pt x="7113703" y="5169254"/>
                </a:cubicBezTo>
                <a:close/>
                <a:moveTo>
                  <a:pt x="7506373" y="5169254"/>
                </a:moveTo>
                <a:cubicBezTo>
                  <a:pt x="7488586" y="5169254"/>
                  <a:pt x="7474157" y="5155977"/>
                  <a:pt x="7474157" y="5139602"/>
                </a:cubicBezTo>
                <a:cubicBezTo>
                  <a:pt x="7474157" y="5123227"/>
                  <a:pt x="7488586" y="5109950"/>
                  <a:pt x="7506373" y="5109950"/>
                </a:cubicBezTo>
                <a:cubicBezTo>
                  <a:pt x="7524160" y="5109950"/>
                  <a:pt x="7538577" y="5123227"/>
                  <a:pt x="7538577" y="5139602"/>
                </a:cubicBezTo>
                <a:cubicBezTo>
                  <a:pt x="7538577" y="5155977"/>
                  <a:pt x="7524160" y="5169254"/>
                  <a:pt x="7506373" y="5169254"/>
                </a:cubicBezTo>
                <a:close/>
                <a:moveTo>
                  <a:pt x="7584906" y="5169254"/>
                </a:moveTo>
                <a:cubicBezTo>
                  <a:pt x="7567119" y="5169254"/>
                  <a:pt x="7552690" y="5155977"/>
                  <a:pt x="7552690" y="5139602"/>
                </a:cubicBezTo>
                <a:cubicBezTo>
                  <a:pt x="7552690" y="5123227"/>
                  <a:pt x="7567119" y="5109950"/>
                  <a:pt x="7584906" y="5109950"/>
                </a:cubicBezTo>
                <a:cubicBezTo>
                  <a:pt x="7602694" y="5109950"/>
                  <a:pt x="7617111" y="5123227"/>
                  <a:pt x="7617111" y="5139602"/>
                </a:cubicBezTo>
                <a:cubicBezTo>
                  <a:pt x="7617111" y="5155977"/>
                  <a:pt x="7602694" y="5169254"/>
                  <a:pt x="7584906" y="5169254"/>
                </a:cubicBezTo>
                <a:close/>
                <a:moveTo>
                  <a:pt x="7663441" y="5169254"/>
                </a:moveTo>
                <a:cubicBezTo>
                  <a:pt x="7645653" y="5169254"/>
                  <a:pt x="7631224" y="5155977"/>
                  <a:pt x="7631224" y="5139602"/>
                </a:cubicBezTo>
                <a:cubicBezTo>
                  <a:pt x="7631224" y="5123227"/>
                  <a:pt x="7645653" y="5109950"/>
                  <a:pt x="7663441" y="5109950"/>
                </a:cubicBezTo>
                <a:cubicBezTo>
                  <a:pt x="7681228" y="5109950"/>
                  <a:pt x="7695645" y="5123227"/>
                  <a:pt x="7695645" y="5139602"/>
                </a:cubicBezTo>
                <a:cubicBezTo>
                  <a:pt x="7695645" y="5155977"/>
                  <a:pt x="7681228" y="5169254"/>
                  <a:pt x="7663441" y="5169254"/>
                </a:cubicBezTo>
                <a:close/>
                <a:moveTo>
                  <a:pt x="7820508" y="5169254"/>
                </a:moveTo>
                <a:cubicBezTo>
                  <a:pt x="7802721" y="5169254"/>
                  <a:pt x="7788292" y="5155977"/>
                  <a:pt x="7788292" y="5139602"/>
                </a:cubicBezTo>
                <a:cubicBezTo>
                  <a:pt x="7788292" y="5123227"/>
                  <a:pt x="7802721" y="5109950"/>
                  <a:pt x="7820508" y="5109950"/>
                </a:cubicBezTo>
                <a:cubicBezTo>
                  <a:pt x="7838295" y="5109950"/>
                  <a:pt x="7852712" y="5123227"/>
                  <a:pt x="7852712" y="5139602"/>
                </a:cubicBezTo>
                <a:cubicBezTo>
                  <a:pt x="7852712" y="5155977"/>
                  <a:pt x="7838295" y="5169254"/>
                  <a:pt x="7820508" y="5169254"/>
                </a:cubicBezTo>
                <a:close/>
                <a:moveTo>
                  <a:pt x="7899042" y="5169254"/>
                </a:moveTo>
                <a:cubicBezTo>
                  <a:pt x="7881255" y="5169254"/>
                  <a:pt x="7866826" y="5155977"/>
                  <a:pt x="7866826" y="5139602"/>
                </a:cubicBezTo>
                <a:cubicBezTo>
                  <a:pt x="7866826" y="5123227"/>
                  <a:pt x="7881255" y="5109950"/>
                  <a:pt x="7899042" y="5109950"/>
                </a:cubicBezTo>
                <a:cubicBezTo>
                  <a:pt x="7916830" y="5109950"/>
                  <a:pt x="7931247" y="5123227"/>
                  <a:pt x="7931247" y="5139602"/>
                </a:cubicBezTo>
                <a:cubicBezTo>
                  <a:pt x="7931247" y="5155977"/>
                  <a:pt x="7916830" y="5169254"/>
                  <a:pt x="7899042" y="5169254"/>
                </a:cubicBezTo>
                <a:close/>
                <a:moveTo>
                  <a:pt x="7977576" y="5169254"/>
                </a:moveTo>
                <a:cubicBezTo>
                  <a:pt x="7959788" y="5169254"/>
                  <a:pt x="7945359" y="5155977"/>
                  <a:pt x="7945359" y="5139602"/>
                </a:cubicBezTo>
                <a:cubicBezTo>
                  <a:pt x="7945359" y="5123227"/>
                  <a:pt x="7959788" y="5109950"/>
                  <a:pt x="7977576" y="5109950"/>
                </a:cubicBezTo>
                <a:cubicBezTo>
                  <a:pt x="7995363" y="5109950"/>
                  <a:pt x="8009780" y="5123227"/>
                  <a:pt x="8009780" y="5139602"/>
                </a:cubicBezTo>
                <a:cubicBezTo>
                  <a:pt x="8009780" y="5155977"/>
                  <a:pt x="7995363" y="5169254"/>
                  <a:pt x="7977576" y="5169254"/>
                </a:cubicBezTo>
                <a:close/>
                <a:moveTo>
                  <a:pt x="8056110" y="5169254"/>
                </a:moveTo>
                <a:cubicBezTo>
                  <a:pt x="8038323" y="5169254"/>
                  <a:pt x="8023894" y="5155977"/>
                  <a:pt x="8023894" y="5139602"/>
                </a:cubicBezTo>
                <a:cubicBezTo>
                  <a:pt x="8023894" y="5123227"/>
                  <a:pt x="8038323" y="5109950"/>
                  <a:pt x="8056110" y="5109950"/>
                </a:cubicBezTo>
                <a:cubicBezTo>
                  <a:pt x="8073897" y="5109950"/>
                  <a:pt x="8088314" y="5123227"/>
                  <a:pt x="8088314" y="5139602"/>
                </a:cubicBezTo>
                <a:cubicBezTo>
                  <a:pt x="8088314" y="5155977"/>
                  <a:pt x="8073897" y="5169254"/>
                  <a:pt x="8056110" y="5169254"/>
                </a:cubicBezTo>
                <a:close/>
                <a:moveTo>
                  <a:pt x="8134643" y="5169254"/>
                </a:moveTo>
                <a:cubicBezTo>
                  <a:pt x="8116856" y="5169254"/>
                  <a:pt x="8102427" y="5155977"/>
                  <a:pt x="8102427" y="5139602"/>
                </a:cubicBezTo>
                <a:cubicBezTo>
                  <a:pt x="8102427" y="5123227"/>
                  <a:pt x="8116856" y="5109950"/>
                  <a:pt x="8134643" y="5109950"/>
                </a:cubicBezTo>
                <a:cubicBezTo>
                  <a:pt x="8152430" y="5109950"/>
                  <a:pt x="8166847" y="5123227"/>
                  <a:pt x="8166847" y="5139602"/>
                </a:cubicBezTo>
                <a:cubicBezTo>
                  <a:pt x="8166847" y="5155977"/>
                  <a:pt x="8152430" y="5169254"/>
                  <a:pt x="8134643" y="5169254"/>
                </a:cubicBezTo>
                <a:close/>
                <a:moveTo>
                  <a:pt x="8213177" y="5169254"/>
                </a:moveTo>
                <a:cubicBezTo>
                  <a:pt x="8195390" y="5169254"/>
                  <a:pt x="8180961" y="5155977"/>
                  <a:pt x="8180961" y="5139602"/>
                </a:cubicBezTo>
                <a:cubicBezTo>
                  <a:pt x="8180961" y="5123227"/>
                  <a:pt x="8195390" y="5109950"/>
                  <a:pt x="8213177" y="5109950"/>
                </a:cubicBezTo>
                <a:cubicBezTo>
                  <a:pt x="8230965" y="5109950"/>
                  <a:pt x="8245382" y="5123227"/>
                  <a:pt x="8245382" y="5139602"/>
                </a:cubicBezTo>
                <a:cubicBezTo>
                  <a:pt x="8245382" y="5155977"/>
                  <a:pt x="8230965" y="5169254"/>
                  <a:pt x="8213177" y="5169254"/>
                </a:cubicBezTo>
                <a:close/>
                <a:moveTo>
                  <a:pt x="8291712" y="5169254"/>
                </a:moveTo>
                <a:cubicBezTo>
                  <a:pt x="8273924" y="5169254"/>
                  <a:pt x="8259495" y="5155977"/>
                  <a:pt x="8259495" y="5139602"/>
                </a:cubicBezTo>
                <a:cubicBezTo>
                  <a:pt x="8259495" y="5123227"/>
                  <a:pt x="8273924" y="5109950"/>
                  <a:pt x="8291712" y="5109950"/>
                </a:cubicBezTo>
                <a:cubicBezTo>
                  <a:pt x="8309499" y="5109950"/>
                  <a:pt x="8323916" y="5123227"/>
                  <a:pt x="8323916" y="5139602"/>
                </a:cubicBezTo>
                <a:cubicBezTo>
                  <a:pt x="8323916" y="5155977"/>
                  <a:pt x="8309499" y="5169254"/>
                  <a:pt x="8291712" y="5169254"/>
                </a:cubicBezTo>
                <a:close/>
                <a:moveTo>
                  <a:pt x="8370245" y="5169254"/>
                </a:moveTo>
                <a:cubicBezTo>
                  <a:pt x="8352458" y="5169254"/>
                  <a:pt x="8338029" y="5155977"/>
                  <a:pt x="8338029" y="5139602"/>
                </a:cubicBezTo>
                <a:cubicBezTo>
                  <a:pt x="8338029" y="5123227"/>
                  <a:pt x="8352458" y="5109950"/>
                  <a:pt x="8370245" y="5109950"/>
                </a:cubicBezTo>
                <a:cubicBezTo>
                  <a:pt x="8388032" y="5109950"/>
                  <a:pt x="8402449" y="5123227"/>
                  <a:pt x="8402449" y="5139602"/>
                </a:cubicBezTo>
                <a:cubicBezTo>
                  <a:pt x="8402449" y="5155977"/>
                  <a:pt x="8388032" y="5169254"/>
                  <a:pt x="8370245" y="5169254"/>
                </a:cubicBezTo>
                <a:close/>
                <a:moveTo>
                  <a:pt x="8448779" y="5169254"/>
                </a:moveTo>
                <a:cubicBezTo>
                  <a:pt x="8430992" y="5169254"/>
                  <a:pt x="8416563" y="5155977"/>
                  <a:pt x="8416563" y="5139602"/>
                </a:cubicBezTo>
                <a:cubicBezTo>
                  <a:pt x="8416563" y="5123227"/>
                  <a:pt x="8430992" y="5109950"/>
                  <a:pt x="8448779" y="5109950"/>
                </a:cubicBezTo>
                <a:cubicBezTo>
                  <a:pt x="8466566" y="5109950"/>
                  <a:pt x="8480983" y="5123227"/>
                  <a:pt x="8480983" y="5139602"/>
                </a:cubicBezTo>
                <a:cubicBezTo>
                  <a:pt x="8480983" y="5155977"/>
                  <a:pt x="8466566" y="5169254"/>
                  <a:pt x="8448779" y="5169254"/>
                </a:cubicBezTo>
                <a:close/>
                <a:moveTo>
                  <a:pt x="8527313" y="5169254"/>
                </a:moveTo>
                <a:cubicBezTo>
                  <a:pt x="8509526" y="5169254"/>
                  <a:pt x="8495097" y="5155977"/>
                  <a:pt x="8495097" y="5139602"/>
                </a:cubicBezTo>
                <a:cubicBezTo>
                  <a:pt x="8495097" y="5123227"/>
                  <a:pt x="8509526" y="5109950"/>
                  <a:pt x="8527313" y="5109950"/>
                </a:cubicBezTo>
                <a:cubicBezTo>
                  <a:pt x="8545101" y="5109950"/>
                  <a:pt x="8559518" y="5123227"/>
                  <a:pt x="8559518" y="5139602"/>
                </a:cubicBezTo>
                <a:cubicBezTo>
                  <a:pt x="8559518" y="5155977"/>
                  <a:pt x="8545101" y="5169254"/>
                  <a:pt x="8527313" y="5169254"/>
                </a:cubicBezTo>
                <a:close/>
                <a:moveTo>
                  <a:pt x="8605847" y="5169254"/>
                </a:moveTo>
                <a:cubicBezTo>
                  <a:pt x="8588059" y="5169254"/>
                  <a:pt x="8573630" y="5155977"/>
                  <a:pt x="8573630" y="5139602"/>
                </a:cubicBezTo>
                <a:cubicBezTo>
                  <a:pt x="8573630" y="5123227"/>
                  <a:pt x="8588059" y="5109950"/>
                  <a:pt x="8605847" y="5109950"/>
                </a:cubicBezTo>
                <a:cubicBezTo>
                  <a:pt x="8623634" y="5109950"/>
                  <a:pt x="8638051" y="5123227"/>
                  <a:pt x="8638051" y="5139602"/>
                </a:cubicBezTo>
                <a:cubicBezTo>
                  <a:pt x="8638051" y="5155977"/>
                  <a:pt x="8623634" y="5169254"/>
                  <a:pt x="8605847" y="5169254"/>
                </a:cubicBezTo>
                <a:close/>
                <a:moveTo>
                  <a:pt x="8684381" y="5169254"/>
                </a:moveTo>
                <a:cubicBezTo>
                  <a:pt x="8666594" y="5169254"/>
                  <a:pt x="8652165" y="5155977"/>
                  <a:pt x="8652165" y="5139602"/>
                </a:cubicBezTo>
                <a:cubicBezTo>
                  <a:pt x="8652165" y="5123227"/>
                  <a:pt x="8666594" y="5109950"/>
                  <a:pt x="8684381" y="5109950"/>
                </a:cubicBezTo>
                <a:cubicBezTo>
                  <a:pt x="8702168" y="5109950"/>
                  <a:pt x="8716585" y="5123227"/>
                  <a:pt x="8716585" y="5139602"/>
                </a:cubicBezTo>
                <a:cubicBezTo>
                  <a:pt x="8716585" y="5155977"/>
                  <a:pt x="8702168" y="5169254"/>
                  <a:pt x="8684381" y="5169254"/>
                </a:cubicBezTo>
                <a:close/>
                <a:moveTo>
                  <a:pt x="8762914" y="5169254"/>
                </a:moveTo>
                <a:cubicBezTo>
                  <a:pt x="8745127" y="5169254"/>
                  <a:pt x="8730698" y="5155977"/>
                  <a:pt x="8730698" y="5139602"/>
                </a:cubicBezTo>
                <a:cubicBezTo>
                  <a:pt x="8730698" y="5123227"/>
                  <a:pt x="8745127" y="5109950"/>
                  <a:pt x="8762914" y="5109950"/>
                </a:cubicBezTo>
                <a:cubicBezTo>
                  <a:pt x="8780701" y="5109950"/>
                  <a:pt x="8795118" y="5123227"/>
                  <a:pt x="8795118" y="5139602"/>
                </a:cubicBezTo>
                <a:cubicBezTo>
                  <a:pt x="8795118" y="5155977"/>
                  <a:pt x="8780701" y="5169254"/>
                  <a:pt x="8762914" y="5169254"/>
                </a:cubicBezTo>
                <a:close/>
                <a:moveTo>
                  <a:pt x="8841448" y="5169254"/>
                </a:moveTo>
                <a:cubicBezTo>
                  <a:pt x="8823661" y="5169254"/>
                  <a:pt x="8809232" y="5155977"/>
                  <a:pt x="8809232" y="5139602"/>
                </a:cubicBezTo>
                <a:cubicBezTo>
                  <a:pt x="8809232" y="5123227"/>
                  <a:pt x="8823661" y="5109950"/>
                  <a:pt x="8841448" y="5109950"/>
                </a:cubicBezTo>
                <a:cubicBezTo>
                  <a:pt x="8859236" y="5109950"/>
                  <a:pt x="8873653" y="5123227"/>
                  <a:pt x="8873653" y="5139602"/>
                </a:cubicBezTo>
                <a:cubicBezTo>
                  <a:pt x="8873653" y="5155977"/>
                  <a:pt x="8859236" y="5169254"/>
                  <a:pt x="8841448" y="5169254"/>
                </a:cubicBezTo>
                <a:close/>
                <a:moveTo>
                  <a:pt x="8919983" y="5169254"/>
                </a:moveTo>
                <a:cubicBezTo>
                  <a:pt x="8902195" y="5169254"/>
                  <a:pt x="8887766" y="5155977"/>
                  <a:pt x="8887766" y="5139602"/>
                </a:cubicBezTo>
                <a:cubicBezTo>
                  <a:pt x="8887766" y="5123227"/>
                  <a:pt x="8902195" y="5109950"/>
                  <a:pt x="8919983" y="5109950"/>
                </a:cubicBezTo>
                <a:cubicBezTo>
                  <a:pt x="8937770" y="5109950"/>
                  <a:pt x="8952187" y="5123227"/>
                  <a:pt x="8952187" y="5139602"/>
                </a:cubicBezTo>
                <a:cubicBezTo>
                  <a:pt x="8952187" y="5155977"/>
                  <a:pt x="8937770" y="5169254"/>
                  <a:pt x="8919983" y="5169254"/>
                </a:cubicBezTo>
                <a:close/>
                <a:moveTo>
                  <a:pt x="8998516" y="5169254"/>
                </a:moveTo>
                <a:cubicBezTo>
                  <a:pt x="8980729" y="5169254"/>
                  <a:pt x="8966300" y="5155977"/>
                  <a:pt x="8966300" y="5139602"/>
                </a:cubicBezTo>
                <a:cubicBezTo>
                  <a:pt x="8966300" y="5123227"/>
                  <a:pt x="8980729" y="5109950"/>
                  <a:pt x="8998516" y="5109950"/>
                </a:cubicBezTo>
                <a:cubicBezTo>
                  <a:pt x="9016303" y="5109950"/>
                  <a:pt x="9030720" y="5123227"/>
                  <a:pt x="9030720" y="5139602"/>
                </a:cubicBezTo>
                <a:cubicBezTo>
                  <a:pt x="9030720" y="5155977"/>
                  <a:pt x="9016303" y="5169254"/>
                  <a:pt x="8998516" y="5169254"/>
                </a:cubicBezTo>
                <a:close/>
                <a:moveTo>
                  <a:pt x="9077050" y="5169254"/>
                </a:moveTo>
                <a:cubicBezTo>
                  <a:pt x="9059263" y="5169254"/>
                  <a:pt x="9044834" y="5155977"/>
                  <a:pt x="9044834" y="5139602"/>
                </a:cubicBezTo>
                <a:cubicBezTo>
                  <a:pt x="9044834" y="5123227"/>
                  <a:pt x="9059263" y="5109950"/>
                  <a:pt x="9077050" y="5109950"/>
                </a:cubicBezTo>
                <a:cubicBezTo>
                  <a:pt x="9094837" y="5109950"/>
                  <a:pt x="9109254" y="5123227"/>
                  <a:pt x="9109254" y="5139602"/>
                </a:cubicBezTo>
                <a:cubicBezTo>
                  <a:pt x="9109254" y="5155977"/>
                  <a:pt x="9094837" y="5169254"/>
                  <a:pt x="9077050" y="5169254"/>
                </a:cubicBezTo>
                <a:close/>
                <a:moveTo>
                  <a:pt x="9155583" y="5169254"/>
                </a:moveTo>
                <a:cubicBezTo>
                  <a:pt x="9137796" y="5169254"/>
                  <a:pt x="9123367" y="5155977"/>
                  <a:pt x="9123367" y="5139602"/>
                </a:cubicBezTo>
                <a:cubicBezTo>
                  <a:pt x="9123367" y="5123227"/>
                  <a:pt x="9137796" y="5109950"/>
                  <a:pt x="9155583" y="5109950"/>
                </a:cubicBezTo>
                <a:cubicBezTo>
                  <a:pt x="9173371" y="5109950"/>
                  <a:pt x="9187788" y="5123227"/>
                  <a:pt x="9187788" y="5139602"/>
                </a:cubicBezTo>
                <a:cubicBezTo>
                  <a:pt x="9187788" y="5155977"/>
                  <a:pt x="9173371" y="5169254"/>
                  <a:pt x="9155583" y="5169254"/>
                </a:cubicBezTo>
                <a:close/>
                <a:moveTo>
                  <a:pt x="9234118" y="5169254"/>
                </a:moveTo>
                <a:cubicBezTo>
                  <a:pt x="9216330" y="5169254"/>
                  <a:pt x="9201901" y="5155977"/>
                  <a:pt x="9201901" y="5139602"/>
                </a:cubicBezTo>
                <a:cubicBezTo>
                  <a:pt x="9201901" y="5123227"/>
                  <a:pt x="9216330" y="5109950"/>
                  <a:pt x="9234118" y="5109950"/>
                </a:cubicBezTo>
                <a:cubicBezTo>
                  <a:pt x="9251905" y="5109950"/>
                  <a:pt x="9266322" y="5123227"/>
                  <a:pt x="9266322" y="5139602"/>
                </a:cubicBezTo>
                <a:cubicBezTo>
                  <a:pt x="9266322" y="5155977"/>
                  <a:pt x="9251905" y="5169254"/>
                  <a:pt x="9234118" y="5169254"/>
                </a:cubicBezTo>
                <a:close/>
                <a:moveTo>
                  <a:pt x="9312652" y="5169254"/>
                </a:moveTo>
                <a:cubicBezTo>
                  <a:pt x="9294865" y="5169254"/>
                  <a:pt x="9280436" y="5155977"/>
                  <a:pt x="9280436" y="5139602"/>
                </a:cubicBezTo>
                <a:cubicBezTo>
                  <a:pt x="9280436" y="5123227"/>
                  <a:pt x="9294865" y="5109950"/>
                  <a:pt x="9312652" y="5109950"/>
                </a:cubicBezTo>
                <a:cubicBezTo>
                  <a:pt x="9330439" y="5109950"/>
                  <a:pt x="9344856" y="5123227"/>
                  <a:pt x="9344856" y="5139602"/>
                </a:cubicBezTo>
                <a:cubicBezTo>
                  <a:pt x="9344856" y="5155977"/>
                  <a:pt x="9330439" y="5169254"/>
                  <a:pt x="9312652" y="5169254"/>
                </a:cubicBezTo>
                <a:close/>
                <a:moveTo>
                  <a:pt x="9391185" y="5169254"/>
                </a:moveTo>
                <a:cubicBezTo>
                  <a:pt x="9373398" y="5169254"/>
                  <a:pt x="9358969" y="5155977"/>
                  <a:pt x="9358969" y="5139602"/>
                </a:cubicBezTo>
                <a:cubicBezTo>
                  <a:pt x="9358969" y="5123227"/>
                  <a:pt x="9373398" y="5109950"/>
                  <a:pt x="9391185" y="5109950"/>
                </a:cubicBezTo>
                <a:cubicBezTo>
                  <a:pt x="9408972" y="5109950"/>
                  <a:pt x="9423389" y="5123227"/>
                  <a:pt x="9423389" y="5139602"/>
                </a:cubicBezTo>
                <a:cubicBezTo>
                  <a:pt x="9423389" y="5155977"/>
                  <a:pt x="9408972" y="5169254"/>
                  <a:pt x="9391185" y="5169254"/>
                </a:cubicBezTo>
                <a:close/>
                <a:moveTo>
                  <a:pt x="9469719" y="5169254"/>
                </a:moveTo>
                <a:cubicBezTo>
                  <a:pt x="9451932" y="5169254"/>
                  <a:pt x="9437503" y="5155977"/>
                  <a:pt x="9437503" y="5139602"/>
                </a:cubicBezTo>
                <a:cubicBezTo>
                  <a:pt x="9437503" y="5123227"/>
                  <a:pt x="9451932" y="5109950"/>
                  <a:pt x="9469719" y="5109950"/>
                </a:cubicBezTo>
                <a:cubicBezTo>
                  <a:pt x="9487507" y="5109950"/>
                  <a:pt x="9501924" y="5123227"/>
                  <a:pt x="9501924" y="5139602"/>
                </a:cubicBezTo>
                <a:cubicBezTo>
                  <a:pt x="9501924" y="5155977"/>
                  <a:pt x="9487507" y="5169254"/>
                  <a:pt x="9469719" y="5169254"/>
                </a:cubicBezTo>
                <a:close/>
                <a:moveTo>
                  <a:pt x="9548254" y="5169254"/>
                </a:moveTo>
                <a:cubicBezTo>
                  <a:pt x="9530466" y="5169254"/>
                  <a:pt x="9516037" y="5155977"/>
                  <a:pt x="9516037" y="5139602"/>
                </a:cubicBezTo>
                <a:cubicBezTo>
                  <a:pt x="9516037" y="5123227"/>
                  <a:pt x="9530466" y="5109950"/>
                  <a:pt x="9548254" y="5109950"/>
                </a:cubicBezTo>
                <a:cubicBezTo>
                  <a:pt x="9566041" y="5109950"/>
                  <a:pt x="9580458" y="5123227"/>
                  <a:pt x="9580458" y="5139602"/>
                </a:cubicBezTo>
                <a:cubicBezTo>
                  <a:pt x="9580458" y="5155977"/>
                  <a:pt x="9566041" y="5169254"/>
                  <a:pt x="9548254" y="5169254"/>
                </a:cubicBezTo>
                <a:close/>
                <a:moveTo>
                  <a:pt x="9626787" y="5169254"/>
                </a:moveTo>
                <a:cubicBezTo>
                  <a:pt x="9609000" y="5169254"/>
                  <a:pt x="9594571" y="5155977"/>
                  <a:pt x="9594571" y="5139602"/>
                </a:cubicBezTo>
                <a:cubicBezTo>
                  <a:pt x="9594571" y="5123227"/>
                  <a:pt x="9609000" y="5109950"/>
                  <a:pt x="9626787" y="5109950"/>
                </a:cubicBezTo>
                <a:cubicBezTo>
                  <a:pt x="9644574" y="5109950"/>
                  <a:pt x="9658991" y="5123227"/>
                  <a:pt x="9658991" y="5139602"/>
                </a:cubicBezTo>
                <a:cubicBezTo>
                  <a:pt x="9658991" y="5155977"/>
                  <a:pt x="9644574" y="5169254"/>
                  <a:pt x="9626787" y="5169254"/>
                </a:cubicBezTo>
                <a:close/>
                <a:moveTo>
                  <a:pt x="9705321" y="5169254"/>
                </a:moveTo>
                <a:cubicBezTo>
                  <a:pt x="9687534" y="5169254"/>
                  <a:pt x="9673105" y="5155977"/>
                  <a:pt x="9673105" y="5139602"/>
                </a:cubicBezTo>
                <a:cubicBezTo>
                  <a:pt x="9673105" y="5123227"/>
                  <a:pt x="9687534" y="5109950"/>
                  <a:pt x="9705321" y="5109950"/>
                </a:cubicBezTo>
                <a:cubicBezTo>
                  <a:pt x="9723108" y="5109950"/>
                  <a:pt x="9737525" y="5123227"/>
                  <a:pt x="9737525" y="5139602"/>
                </a:cubicBezTo>
                <a:cubicBezTo>
                  <a:pt x="9737525" y="5155977"/>
                  <a:pt x="9723108" y="5169254"/>
                  <a:pt x="9705321" y="5169254"/>
                </a:cubicBezTo>
                <a:close/>
                <a:moveTo>
                  <a:pt x="9783854" y="5169254"/>
                </a:moveTo>
                <a:cubicBezTo>
                  <a:pt x="9766067" y="5169254"/>
                  <a:pt x="9751638" y="5155977"/>
                  <a:pt x="9751638" y="5139602"/>
                </a:cubicBezTo>
                <a:cubicBezTo>
                  <a:pt x="9751638" y="5123227"/>
                  <a:pt x="9766067" y="5109950"/>
                  <a:pt x="9783854" y="5109950"/>
                </a:cubicBezTo>
                <a:cubicBezTo>
                  <a:pt x="9801642" y="5109950"/>
                  <a:pt x="9816059" y="5123227"/>
                  <a:pt x="9816059" y="5139602"/>
                </a:cubicBezTo>
                <a:cubicBezTo>
                  <a:pt x="9816059" y="5155977"/>
                  <a:pt x="9801642" y="5169254"/>
                  <a:pt x="9783854" y="5169254"/>
                </a:cubicBezTo>
                <a:close/>
                <a:moveTo>
                  <a:pt x="9862389" y="5169254"/>
                </a:moveTo>
                <a:cubicBezTo>
                  <a:pt x="9844601" y="5169254"/>
                  <a:pt x="9830172" y="5155977"/>
                  <a:pt x="9830172" y="5139602"/>
                </a:cubicBezTo>
                <a:cubicBezTo>
                  <a:pt x="9830172" y="5123227"/>
                  <a:pt x="9844601" y="5109950"/>
                  <a:pt x="9862389" y="5109950"/>
                </a:cubicBezTo>
                <a:cubicBezTo>
                  <a:pt x="9880176" y="5109950"/>
                  <a:pt x="9894593" y="5123227"/>
                  <a:pt x="9894593" y="5139602"/>
                </a:cubicBezTo>
                <a:cubicBezTo>
                  <a:pt x="9894593" y="5155977"/>
                  <a:pt x="9880176" y="5169254"/>
                  <a:pt x="9862389" y="5169254"/>
                </a:cubicBezTo>
                <a:close/>
                <a:moveTo>
                  <a:pt x="9940923" y="5169254"/>
                </a:moveTo>
                <a:cubicBezTo>
                  <a:pt x="9923136" y="5169254"/>
                  <a:pt x="9908707" y="5155977"/>
                  <a:pt x="9908707" y="5139602"/>
                </a:cubicBezTo>
                <a:cubicBezTo>
                  <a:pt x="9908707" y="5123227"/>
                  <a:pt x="9923136" y="5109950"/>
                  <a:pt x="9940923" y="5109950"/>
                </a:cubicBezTo>
                <a:cubicBezTo>
                  <a:pt x="9958710" y="5109950"/>
                  <a:pt x="9973127" y="5123227"/>
                  <a:pt x="9973127" y="5139602"/>
                </a:cubicBezTo>
                <a:cubicBezTo>
                  <a:pt x="9973127" y="5155977"/>
                  <a:pt x="9958710" y="5169254"/>
                  <a:pt x="9940923" y="5169254"/>
                </a:cubicBezTo>
                <a:close/>
                <a:moveTo>
                  <a:pt x="10019456" y="5169254"/>
                </a:moveTo>
                <a:cubicBezTo>
                  <a:pt x="10001669" y="5169254"/>
                  <a:pt x="9987240" y="5155977"/>
                  <a:pt x="9987240" y="5139602"/>
                </a:cubicBezTo>
                <a:cubicBezTo>
                  <a:pt x="9987240" y="5123227"/>
                  <a:pt x="10001669" y="5109950"/>
                  <a:pt x="10019456" y="5109950"/>
                </a:cubicBezTo>
                <a:cubicBezTo>
                  <a:pt x="10037243" y="5109950"/>
                  <a:pt x="10051660" y="5123227"/>
                  <a:pt x="10051660" y="5139602"/>
                </a:cubicBezTo>
                <a:cubicBezTo>
                  <a:pt x="10051660" y="5155977"/>
                  <a:pt x="10037243" y="5169254"/>
                  <a:pt x="10019456" y="5169254"/>
                </a:cubicBezTo>
                <a:close/>
                <a:moveTo>
                  <a:pt x="10097990" y="5169254"/>
                </a:moveTo>
                <a:cubicBezTo>
                  <a:pt x="10080203" y="5169254"/>
                  <a:pt x="10065774" y="5155977"/>
                  <a:pt x="10065774" y="5139602"/>
                </a:cubicBezTo>
                <a:cubicBezTo>
                  <a:pt x="10065774" y="5123227"/>
                  <a:pt x="10080203" y="5109950"/>
                  <a:pt x="10097990" y="5109950"/>
                </a:cubicBezTo>
                <a:cubicBezTo>
                  <a:pt x="10115778" y="5109950"/>
                  <a:pt x="10130195" y="5123227"/>
                  <a:pt x="10130195" y="5139602"/>
                </a:cubicBezTo>
                <a:cubicBezTo>
                  <a:pt x="10130195" y="5155977"/>
                  <a:pt x="10115778" y="5169254"/>
                  <a:pt x="10097990" y="5169254"/>
                </a:cubicBezTo>
                <a:close/>
                <a:moveTo>
                  <a:pt x="10176524" y="5169254"/>
                </a:moveTo>
                <a:cubicBezTo>
                  <a:pt x="10158736" y="5169254"/>
                  <a:pt x="10144307" y="5155977"/>
                  <a:pt x="10144307" y="5139602"/>
                </a:cubicBezTo>
                <a:cubicBezTo>
                  <a:pt x="10144307" y="5123227"/>
                  <a:pt x="10158736" y="5109950"/>
                  <a:pt x="10176524" y="5109950"/>
                </a:cubicBezTo>
                <a:cubicBezTo>
                  <a:pt x="10194311" y="5109950"/>
                  <a:pt x="10208728" y="5123227"/>
                  <a:pt x="10208728" y="5139602"/>
                </a:cubicBezTo>
                <a:cubicBezTo>
                  <a:pt x="10208728" y="5155977"/>
                  <a:pt x="10194311" y="5169254"/>
                  <a:pt x="10176524" y="5169254"/>
                </a:cubicBezTo>
                <a:close/>
                <a:moveTo>
                  <a:pt x="10255058" y="5169254"/>
                </a:moveTo>
                <a:cubicBezTo>
                  <a:pt x="10237271" y="5169254"/>
                  <a:pt x="10222842" y="5155977"/>
                  <a:pt x="10222842" y="5139602"/>
                </a:cubicBezTo>
                <a:cubicBezTo>
                  <a:pt x="10222842" y="5123227"/>
                  <a:pt x="10237271" y="5109950"/>
                  <a:pt x="10255058" y="5109950"/>
                </a:cubicBezTo>
                <a:cubicBezTo>
                  <a:pt x="10272845" y="5109950"/>
                  <a:pt x="10287262" y="5123227"/>
                  <a:pt x="10287262" y="5139602"/>
                </a:cubicBezTo>
                <a:cubicBezTo>
                  <a:pt x="10287262" y="5155977"/>
                  <a:pt x="10272845" y="5169254"/>
                  <a:pt x="10255058" y="5169254"/>
                </a:cubicBezTo>
                <a:close/>
                <a:moveTo>
                  <a:pt x="10333592" y="5169254"/>
                </a:moveTo>
                <a:cubicBezTo>
                  <a:pt x="10315805" y="5169254"/>
                  <a:pt x="10301376" y="5155977"/>
                  <a:pt x="10301376" y="5139602"/>
                </a:cubicBezTo>
                <a:cubicBezTo>
                  <a:pt x="10301376" y="5123227"/>
                  <a:pt x="10315805" y="5109950"/>
                  <a:pt x="10333592" y="5109950"/>
                </a:cubicBezTo>
                <a:cubicBezTo>
                  <a:pt x="10351379" y="5109950"/>
                  <a:pt x="10365796" y="5123227"/>
                  <a:pt x="10365796" y="5139602"/>
                </a:cubicBezTo>
                <a:cubicBezTo>
                  <a:pt x="10365796" y="5155977"/>
                  <a:pt x="10351379" y="5169254"/>
                  <a:pt x="10333592" y="5169254"/>
                </a:cubicBezTo>
                <a:close/>
                <a:moveTo>
                  <a:pt x="1930444" y="5096988"/>
                </a:moveTo>
                <a:cubicBezTo>
                  <a:pt x="1912657" y="5096988"/>
                  <a:pt x="1898234" y="5083711"/>
                  <a:pt x="1898234" y="5067336"/>
                </a:cubicBezTo>
                <a:cubicBezTo>
                  <a:pt x="1898234" y="5050962"/>
                  <a:pt x="1912657" y="5037684"/>
                  <a:pt x="1930444" y="5037684"/>
                </a:cubicBezTo>
                <a:cubicBezTo>
                  <a:pt x="1948232" y="5037684"/>
                  <a:pt x="1962655" y="5050962"/>
                  <a:pt x="1962655" y="5067336"/>
                </a:cubicBezTo>
                <a:cubicBezTo>
                  <a:pt x="1962655" y="5083711"/>
                  <a:pt x="1948232" y="5096988"/>
                  <a:pt x="1930444" y="5096988"/>
                </a:cubicBezTo>
                <a:close/>
                <a:moveTo>
                  <a:pt x="2008978" y="5096988"/>
                </a:moveTo>
                <a:cubicBezTo>
                  <a:pt x="1991190" y="5096988"/>
                  <a:pt x="1976767" y="5083711"/>
                  <a:pt x="1976767" y="5067336"/>
                </a:cubicBezTo>
                <a:cubicBezTo>
                  <a:pt x="1976767" y="5050962"/>
                  <a:pt x="1991190" y="5037684"/>
                  <a:pt x="2008978" y="5037684"/>
                </a:cubicBezTo>
                <a:cubicBezTo>
                  <a:pt x="2026765" y="5037684"/>
                  <a:pt x="2041188" y="5050962"/>
                  <a:pt x="2041188" y="5067336"/>
                </a:cubicBezTo>
                <a:cubicBezTo>
                  <a:pt x="2041188" y="5083711"/>
                  <a:pt x="2026765" y="5096988"/>
                  <a:pt x="2008978" y="5096988"/>
                </a:cubicBezTo>
                <a:close/>
                <a:moveTo>
                  <a:pt x="2087512" y="5096988"/>
                </a:moveTo>
                <a:cubicBezTo>
                  <a:pt x="2069725" y="5096988"/>
                  <a:pt x="2055302" y="5083711"/>
                  <a:pt x="2055302" y="5067336"/>
                </a:cubicBezTo>
                <a:cubicBezTo>
                  <a:pt x="2055302" y="5050962"/>
                  <a:pt x="2069725" y="5037684"/>
                  <a:pt x="2087512" y="5037684"/>
                </a:cubicBezTo>
                <a:cubicBezTo>
                  <a:pt x="2105299" y="5037684"/>
                  <a:pt x="2119722" y="5050962"/>
                  <a:pt x="2119722" y="5067336"/>
                </a:cubicBezTo>
                <a:cubicBezTo>
                  <a:pt x="2119722" y="5083711"/>
                  <a:pt x="2105299" y="5096988"/>
                  <a:pt x="2087512" y="5096988"/>
                </a:cubicBezTo>
                <a:close/>
                <a:moveTo>
                  <a:pt x="2166045" y="5096988"/>
                </a:moveTo>
                <a:cubicBezTo>
                  <a:pt x="2148258" y="5096988"/>
                  <a:pt x="2133835" y="5083711"/>
                  <a:pt x="2133835" y="5067336"/>
                </a:cubicBezTo>
                <a:cubicBezTo>
                  <a:pt x="2133835" y="5050962"/>
                  <a:pt x="2148258" y="5037684"/>
                  <a:pt x="2166045" y="5037684"/>
                </a:cubicBezTo>
                <a:cubicBezTo>
                  <a:pt x="2183832" y="5037684"/>
                  <a:pt x="2198255" y="5050962"/>
                  <a:pt x="2198255" y="5067336"/>
                </a:cubicBezTo>
                <a:cubicBezTo>
                  <a:pt x="2198255" y="5083711"/>
                  <a:pt x="2183832" y="5096988"/>
                  <a:pt x="2166045" y="5096988"/>
                </a:cubicBezTo>
                <a:close/>
                <a:moveTo>
                  <a:pt x="2244579" y="5096988"/>
                </a:moveTo>
                <a:cubicBezTo>
                  <a:pt x="2226792" y="5096988"/>
                  <a:pt x="2212369" y="5083711"/>
                  <a:pt x="2212369" y="5067336"/>
                </a:cubicBezTo>
                <a:cubicBezTo>
                  <a:pt x="2212369" y="5050962"/>
                  <a:pt x="2226792" y="5037684"/>
                  <a:pt x="2244579" y="5037684"/>
                </a:cubicBezTo>
                <a:cubicBezTo>
                  <a:pt x="2262367" y="5037684"/>
                  <a:pt x="2276790" y="5050962"/>
                  <a:pt x="2276790" y="5067336"/>
                </a:cubicBezTo>
                <a:cubicBezTo>
                  <a:pt x="2276790" y="5083711"/>
                  <a:pt x="2262367" y="5096988"/>
                  <a:pt x="2244579" y="5096988"/>
                </a:cubicBezTo>
                <a:close/>
                <a:moveTo>
                  <a:pt x="2323114" y="5096988"/>
                </a:moveTo>
                <a:cubicBezTo>
                  <a:pt x="2305326" y="5096988"/>
                  <a:pt x="2290903" y="5083711"/>
                  <a:pt x="2290903" y="5067336"/>
                </a:cubicBezTo>
                <a:cubicBezTo>
                  <a:pt x="2290903" y="5050962"/>
                  <a:pt x="2305326" y="5037684"/>
                  <a:pt x="2323114" y="5037684"/>
                </a:cubicBezTo>
                <a:cubicBezTo>
                  <a:pt x="2340901" y="5037684"/>
                  <a:pt x="2355324" y="5050962"/>
                  <a:pt x="2355324" y="5067336"/>
                </a:cubicBezTo>
                <a:cubicBezTo>
                  <a:pt x="2355324" y="5083711"/>
                  <a:pt x="2340901" y="5096988"/>
                  <a:pt x="2323114" y="5096988"/>
                </a:cubicBezTo>
                <a:close/>
                <a:moveTo>
                  <a:pt x="2401647" y="5096988"/>
                </a:moveTo>
                <a:cubicBezTo>
                  <a:pt x="2383860" y="5096988"/>
                  <a:pt x="2369437" y="5083711"/>
                  <a:pt x="2369437" y="5067336"/>
                </a:cubicBezTo>
                <a:cubicBezTo>
                  <a:pt x="2369437" y="5050962"/>
                  <a:pt x="2383860" y="5037684"/>
                  <a:pt x="2401647" y="5037684"/>
                </a:cubicBezTo>
                <a:cubicBezTo>
                  <a:pt x="2419434" y="5037684"/>
                  <a:pt x="2433857" y="5050962"/>
                  <a:pt x="2433857" y="5067336"/>
                </a:cubicBezTo>
                <a:cubicBezTo>
                  <a:pt x="2433857" y="5083711"/>
                  <a:pt x="2419434" y="5096988"/>
                  <a:pt x="2401647" y="5096988"/>
                </a:cubicBezTo>
                <a:close/>
                <a:moveTo>
                  <a:pt x="2480181" y="5096988"/>
                </a:moveTo>
                <a:cubicBezTo>
                  <a:pt x="2462394" y="5096988"/>
                  <a:pt x="2447971" y="5083711"/>
                  <a:pt x="2447971" y="5067336"/>
                </a:cubicBezTo>
                <a:cubicBezTo>
                  <a:pt x="2447971" y="5050962"/>
                  <a:pt x="2462394" y="5037684"/>
                  <a:pt x="2480181" y="5037684"/>
                </a:cubicBezTo>
                <a:cubicBezTo>
                  <a:pt x="2497968" y="5037684"/>
                  <a:pt x="2512391" y="5050962"/>
                  <a:pt x="2512391" y="5067336"/>
                </a:cubicBezTo>
                <a:cubicBezTo>
                  <a:pt x="2512391" y="5083711"/>
                  <a:pt x="2497968" y="5096988"/>
                  <a:pt x="2480181" y="5096988"/>
                </a:cubicBezTo>
                <a:close/>
                <a:moveTo>
                  <a:pt x="2558715" y="5096988"/>
                </a:moveTo>
                <a:cubicBezTo>
                  <a:pt x="2540928" y="5096988"/>
                  <a:pt x="2526505" y="5083711"/>
                  <a:pt x="2526505" y="5067336"/>
                </a:cubicBezTo>
                <a:cubicBezTo>
                  <a:pt x="2526505" y="5050962"/>
                  <a:pt x="2540928" y="5037684"/>
                  <a:pt x="2558715" y="5037684"/>
                </a:cubicBezTo>
                <a:cubicBezTo>
                  <a:pt x="2576503" y="5037684"/>
                  <a:pt x="2590926" y="5050962"/>
                  <a:pt x="2590926" y="5067336"/>
                </a:cubicBezTo>
                <a:cubicBezTo>
                  <a:pt x="2590926" y="5083711"/>
                  <a:pt x="2576503" y="5096988"/>
                  <a:pt x="2558715" y="5096988"/>
                </a:cubicBezTo>
                <a:close/>
                <a:moveTo>
                  <a:pt x="2637243" y="5096988"/>
                </a:moveTo>
                <a:cubicBezTo>
                  <a:pt x="2619455" y="5096988"/>
                  <a:pt x="2605032" y="5083711"/>
                  <a:pt x="2605032" y="5067336"/>
                </a:cubicBezTo>
                <a:cubicBezTo>
                  <a:pt x="2605032" y="5050962"/>
                  <a:pt x="2619455" y="5037684"/>
                  <a:pt x="2637243" y="5037684"/>
                </a:cubicBezTo>
                <a:cubicBezTo>
                  <a:pt x="2655030" y="5037684"/>
                  <a:pt x="2669453" y="5050962"/>
                  <a:pt x="2669453" y="5067336"/>
                </a:cubicBezTo>
                <a:cubicBezTo>
                  <a:pt x="2669453" y="5083711"/>
                  <a:pt x="2655030" y="5096988"/>
                  <a:pt x="2637243" y="5096988"/>
                </a:cubicBezTo>
                <a:close/>
                <a:moveTo>
                  <a:pt x="2715777" y="5096988"/>
                </a:moveTo>
                <a:cubicBezTo>
                  <a:pt x="2697990" y="5096988"/>
                  <a:pt x="2683566" y="5083711"/>
                  <a:pt x="2683566" y="5067336"/>
                </a:cubicBezTo>
                <a:cubicBezTo>
                  <a:pt x="2683566" y="5050962"/>
                  <a:pt x="2697990" y="5037684"/>
                  <a:pt x="2715777" y="5037684"/>
                </a:cubicBezTo>
                <a:cubicBezTo>
                  <a:pt x="2733564" y="5037684"/>
                  <a:pt x="2747987" y="5050962"/>
                  <a:pt x="2747987" y="5067336"/>
                </a:cubicBezTo>
                <a:cubicBezTo>
                  <a:pt x="2747987" y="5083711"/>
                  <a:pt x="2733564" y="5096988"/>
                  <a:pt x="2715777" y="5096988"/>
                </a:cubicBezTo>
                <a:close/>
                <a:moveTo>
                  <a:pt x="2794310" y="5096988"/>
                </a:moveTo>
                <a:cubicBezTo>
                  <a:pt x="2776523" y="5096988"/>
                  <a:pt x="2762100" y="5083711"/>
                  <a:pt x="2762100" y="5067336"/>
                </a:cubicBezTo>
                <a:cubicBezTo>
                  <a:pt x="2762100" y="5050962"/>
                  <a:pt x="2776523" y="5037684"/>
                  <a:pt x="2794310" y="5037684"/>
                </a:cubicBezTo>
                <a:cubicBezTo>
                  <a:pt x="2812097" y="5037684"/>
                  <a:pt x="2826520" y="5050962"/>
                  <a:pt x="2826520" y="5067336"/>
                </a:cubicBezTo>
                <a:cubicBezTo>
                  <a:pt x="2826520" y="5083711"/>
                  <a:pt x="2812097" y="5096988"/>
                  <a:pt x="2794310" y="5096988"/>
                </a:cubicBezTo>
                <a:close/>
                <a:moveTo>
                  <a:pt x="2872844" y="5096988"/>
                </a:moveTo>
                <a:cubicBezTo>
                  <a:pt x="2855057" y="5096988"/>
                  <a:pt x="2840634" y="5083711"/>
                  <a:pt x="2840634" y="5067336"/>
                </a:cubicBezTo>
                <a:cubicBezTo>
                  <a:pt x="2840634" y="5050962"/>
                  <a:pt x="2855057" y="5037684"/>
                  <a:pt x="2872844" y="5037684"/>
                </a:cubicBezTo>
                <a:cubicBezTo>
                  <a:pt x="2890632" y="5037684"/>
                  <a:pt x="2905055" y="5050962"/>
                  <a:pt x="2905055" y="5067336"/>
                </a:cubicBezTo>
                <a:cubicBezTo>
                  <a:pt x="2905055" y="5083711"/>
                  <a:pt x="2890632" y="5096988"/>
                  <a:pt x="2872844" y="5096988"/>
                </a:cubicBezTo>
                <a:close/>
                <a:moveTo>
                  <a:pt x="3029912" y="5096988"/>
                </a:moveTo>
                <a:cubicBezTo>
                  <a:pt x="3012125" y="5096988"/>
                  <a:pt x="2997701" y="5083711"/>
                  <a:pt x="2997701" y="5067336"/>
                </a:cubicBezTo>
                <a:cubicBezTo>
                  <a:pt x="2997701" y="5050962"/>
                  <a:pt x="3012125" y="5037684"/>
                  <a:pt x="3029912" y="5037684"/>
                </a:cubicBezTo>
                <a:cubicBezTo>
                  <a:pt x="3047699" y="5037684"/>
                  <a:pt x="3062122" y="5050962"/>
                  <a:pt x="3062122" y="5067336"/>
                </a:cubicBezTo>
                <a:cubicBezTo>
                  <a:pt x="3062122" y="5083711"/>
                  <a:pt x="3047699" y="5096988"/>
                  <a:pt x="3029912" y="5096988"/>
                </a:cubicBezTo>
                <a:close/>
                <a:moveTo>
                  <a:pt x="3108446" y="5096988"/>
                </a:moveTo>
                <a:cubicBezTo>
                  <a:pt x="3090659" y="5096988"/>
                  <a:pt x="3076236" y="5083711"/>
                  <a:pt x="3076236" y="5067336"/>
                </a:cubicBezTo>
                <a:cubicBezTo>
                  <a:pt x="3076236" y="5050962"/>
                  <a:pt x="3090659" y="5037684"/>
                  <a:pt x="3108446" y="5037684"/>
                </a:cubicBezTo>
                <a:cubicBezTo>
                  <a:pt x="3126233" y="5037684"/>
                  <a:pt x="3140656" y="5050962"/>
                  <a:pt x="3140656" y="5067336"/>
                </a:cubicBezTo>
                <a:cubicBezTo>
                  <a:pt x="3140656" y="5083711"/>
                  <a:pt x="3126233" y="5096988"/>
                  <a:pt x="3108446" y="5096988"/>
                </a:cubicBezTo>
                <a:close/>
                <a:moveTo>
                  <a:pt x="3186979" y="5096988"/>
                </a:moveTo>
                <a:cubicBezTo>
                  <a:pt x="3169192" y="5096988"/>
                  <a:pt x="3154769" y="5083711"/>
                  <a:pt x="3154769" y="5067336"/>
                </a:cubicBezTo>
                <a:cubicBezTo>
                  <a:pt x="3154769" y="5050962"/>
                  <a:pt x="3169192" y="5037684"/>
                  <a:pt x="3186979" y="5037684"/>
                </a:cubicBezTo>
                <a:cubicBezTo>
                  <a:pt x="3204767" y="5037684"/>
                  <a:pt x="3219190" y="5050962"/>
                  <a:pt x="3219190" y="5067336"/>
                </a:cubicBezTo>
                <a:cubicBezTo>
                  <a:pt x="3219190" y="5083711"/>
                  <a:pt x="3204767" y="5096988"/>
                  <a:pt x="3186979" y="5096988"/>
                </a:cubicBezTo>
                <a:close/>
                <a:moveTo>
                  <a:pt x="3344048" y="5096988"/>
                </a:moveTo>
                <a:cubicBezTo>
                  <a:pt x="3326261" y="5096988"/>
                  <a:pt x="3311837" y="5083711"/>
                  <a:pt x="3311837" y="5067336"/>
                </a:cubicBezTo>
                <a:cubicBezTo>
                  <a:pt x="3311837" y="5050962"/>
                  <a:pt x="3326261" y="5037684"/>
                  <a:pt x="3344048" y="5037684"/>
                </a:cubicBezTo>
                <a:cubicBezTo>
                  <a:pt x="3361835" y="5037684"/>
                  <a:pt x="3376258" y="5050962"/>
                  <a:pt x="3376258" y="5067336"/>
                </a:cubicBezTo>
                <a:cubicBezTo>
                  <a:pt x="3376258" y="5083711"/>
                  <a:pt x="3361835" y="5096988"/>
                  <a:pt x="3344048" y="5096988"/>
                </a:cubicBezTo>
                <a:close/>
                <a:moveTo>
                  <a:pt x="3422581" y="5096988"/>
                </a:moveTo>
                <a:cubicBezTo>
                  <a:pt x="3404794" y="5096988"/>
                  <a:pt x="3390371" y="5083711"/>
                  <a:pt x="3390371" y="5067336"/>
                </a:cubicBezTo>
                <a:cubicBezTo>
                  <a:pt x="3390371" y="5050962"/>
                  <a:pt x="3404794" y="5037684"/>
                  <a:pt x="3422581" y="5037684"/>
                </a:cubicBezTo>
                <a:cubicBezTo>
                  <a:pt x="3440368" y="5037684"/>
                  <a:pt x="3454791" y="5050962"/>
                  <a:pt x="3454791" y="5067336"/>
                </a:cubicBezTo>
                <a:cubicBezTo>
                  <a:pt x="3454791" y="5083711"/>
                  <a:pt x="3440368" y="5096988"/>
                  <a:pt x="3422581" y="5096988"/>
                </a:cubicBezTo>
                <a:close/>
                <a:moveTo>
                  <a:pt x="3658183" y="5096988"/>
                </a:moveTo>
                <a:cubicBezTo>
                  <a:pt x="3640396" y="5096988"/>
                  <a:pt x="3625972" y="5083711"/>
                  <a:pt x="3625972" y="5067336"/>
                </a:cubicBezTo>
                <a:cubicBezTo>
                  <a:pt x="3625972" y="5050962"/>
                  <a:pt x="3640396" y="5037684"/>
                  <a:pt x="3658183" y="5037684"/>
                </a:cubicBezTo>
                <a:cubicBezTo>
                  <a:pt x="3675970" y="5037684"/>
                  <a:pt x="3690393" y="5050962"/>
                  <a:pt x="3690393" y="5067336"/>
                </a:cubicBezTo>
                <a:cubicBezTo>
                  <a:pt x="3690393" y="5083711"/>
                  <a:pt x="3675970" y="5096988"/>
                  <a:pt x="3658183" y="5096988"/>
                </a:cubicBezTo>
                <a:close/>
                <a:moveTo>
                  <a:pt x="4050852" y="5096988"/>
                </a:moveTo>
                <a:cubicBezTo>
                  <a:pt x="4033065" y="5096988"/>
                  <a:pt x="4018642" y="5083711"/>
                  <a:pt x="4018642" y="5067336"/>
                </a:cubicBezTo>
                <a:cubicBezTo>
                  <a:pt x="4018642" y="5050962"/>
                  <a:pt x="4033065" y="5037684"/>
                  <a:pt x="4050852" y="5037684"/>
                </a:cubicBezTo>
                <a:cubicBezTo>
                  <a:pt x="4068639" y="5037684"/>
                  <a:pt x="4083062" y="5050962"/>
                  <a:pt x="4083062" y="5067336"/>
                </a:cubicBezTo>
                <a:cubicBezTo>
                  <a:pt x="4083062" y="5083711"/>
                  <a:pt x="4068639" y="5096988"/>
                  <a:pt x="4050852" y="5096988"/>
                </a:cubicBezTo>
                <a:close/>
                <a:moveTo>
                  <a:pt x="4207926" y="5096988"/>
                </a:moveTo>
                <a:cubicBezTo>
                  <a:pt x="4190138" y="5096988"/>
                  <a:pt x="4175715" y="5083711"/>
                  <a:pt x="4175715" y="5067336"/>
                </a:cubicBezTo>
                <a:cubicBezTo>
                  <a:pt x="4175715" y="5050962"/>
                  <a:pt x="4190138" y="5037684"/>
                  <a:pt x="4207926" y="5037684"/>
                </a:cubicBezTo>
                <a:cubicBezTo>
                  <a:pt x="4225713" y="5037684"/>
                  <a:pt x="4240136" y="5050962"/>
                  <a:pt x="4240136" y="5067336"/>
                </a:cubicBezTo>
                <a:cubicBezTo>
                  <a:pt x="4240136" y="5083711"/>
                  <a:pt x="4225713" y="5096988"/>
                  <a:pt x="4207926" y="5096988"/>
                </a:cubicBezTo>
                <a:close/>
                <a:moveTo>
                  <a:pt x="4286460" y="5096988"/>
                </a:moveTo>
                <a:cubicBezTo>
                  <a:pt x="4268673" y="5096988"/>
                  <a:pt x="4254250" y="5083711"/>
                  <a:pt x="4254250" y="5067336"/>
                </a:cubicBezTo>
                <a:cubicBezTo>
                  <a:pt x="4254250" y="5050962"/>
                  <a:pt x="4268673" y="5037684"/>
                  <a:pt x="4286460" y="5037684"/>
                </a:cubicBezTo>
                <a:cubicBezTo>
                  <a:pt x="4304247" y="5037684"/>
                  <a:pt x="4318670" y="5050962"/>
                  <a:pt x="4318670" y="5067336"/>
                </a:cubicBezTo>
                <a:cubicBezTo>
                  <a:pt x="4318670" y="5083711"/>
                  <a:pt x="4304247" y="5096988"/>
                  <a:pt x="4286460" y="5096988"/>
                </a:cubicBezTo>
                <a:close/>
                <a:moveTo>
                  <a:pt x="4757663" y="5096988"/>
                </a:moveTo>
                <a:cubicBezTo>
                  <a:pt x="4739876" y="5096988"/>
                  <a:pt x="4725453" y="5083711"/>
                  <a:pt x="4725453" y="5067336"/>
                </a:cubicBezTo>
                <a:cubicBezTo>
                  <a:pt x="4725453" y="5050962"/>
                  <a:pt x="4739876" y="5037684"/>
                  <a:pt x="4757663" y="5037684"/>
                </a:cubicBezTo>
                <a:cubicBezTo>
                  <a:pt x="4775451" y="5037684"/>
                  <a:pt x="4789874" y="5050962"/>
                  <a:pt x="4789874" y="5067336"/>
                </a:cubicBezTo>
                <a:cubicBezTo>
                  <a:pt x="4789874" y="5083711"/>
                  <a:pt x="4775451" y="5096988"/>
                  <a:pt x="4757663" y="5096988"/>
                </a:cubicBezTo>
                <a:close/>
                <a:moveTo>
                  <a:pt x="4836197" y="5096988"/>
                </a:moveTo>
                <a:cubicBezTo>
                  <a:pt x="4818409" y="5096988"/>
                  <a:pt x="4803986" y="5083711"/>
                  <a:pt x="4803986" y="5067336"/>
                </a:cubicBezTo>
                <a:cubicBezTo>
                  <a:pt x="4803986" y="5050962"/>
                  <a:pt x="4818409" y="5037684"/>
                  <a:pt x="4836197" y="5037684"/>
                </a:cubicBezTo>
                <a:cubicBezTo>
                  <a:pt x="4853984" y="5037684"/>
                  <a:pt x="4868407" y="5050962"/>
                  <a:pt x="4868407" y="5067336"/>
                </a:cubicBezTo>
                <a:cubicBezTo>
                  <a:pt x="4868407" y="5083711"/>
                  <a:pt x="4853984" y="5096988"/>
                  <a:pt x="4836197" y="5096988"/>
                </a:cubicBezTo>
                <a:close/>
                <a:moveTo>
                  <a:pt x="4914731" y="5096988"/>
                </a:moveTo>
                <a:cubicBezTo>
                  <a:pt x="4896944" y="5096988"/>
                  <a:pt x="4882521" y="5083711"/>
                  <a:pt x="4882521" y="5067336"/>
                </a:cubicBezTo>
                <a:cubicBezTo>
                  <a:pt x="4882521" y="5050962"/>
                  <a:pt x="4896944" y="5037684"/>
                  <a:pt x="4914731" y="5037684"/>
                </a:cubicBezTo>
                <a:cubicBezTo>
                  <a:pt x="4932518" y="5037684"/>
                  <a:pt x="4946941" y="5050962"/>
                  <a:pt x="4946941" y="5067336"/>
                </a:cubicBezTo>
                <a:cubicBezTo>
                  <a:pt x="4946941" y="5083711"/>
                  <a:pt x="4932518" y="5096988"/>
                  <a:pt x="4914731" y="5096988"/>
                </a:cubicBezTo>
                <a:close/>
                <a:moveTo>
                  <a:pt x="4993265" y="5096988"/>
                </a:moveTo>
                <a:cubicBezTo>
                  <a:pt x="4975478" y="5096988"/>
                  <a:pt x="4961055" y="5083711"/>
                  <a:pt x="4961055" y="5067336"/>
                </a:cubicBezTo>
                <a:cubicBezTo>
                  <a:pt x="4961055" y="5050962"/>
                  <a:pt x="4975478" y="5037684"/>
                  <a:pt x="4993265" y="5037684"/>
                </a:cubicBezTo>
                <a:cubicBezTo>
                  <a:pt x="5011052" y="5037684"/>
                  <a:pt x="5025475" y="5050962"/>
                  <a:pt x="5025475" y="5067336"/>
                </a:cubicBezTo>
                <a:cubicBezTo>
                  <a:pt x="5025475" y="5083711"/>
                  <a:pt x="5011052" y="5096988"/>
                  <a:pt x="4993265" y="5096988"/>
                </a:cubicBezTo>
                <a:close/>
                <a:moveTo>
                  <a:pt x="5071798" y="5096988"/>
                </a:moveTo>
                <a:cubicBezTo>
                  <a:pt x="5054011" y="5096988"/>
                  <a:pt x="5039588" y="5083711"/>
                  <a:pt x="5039588" y="5067336"/>
                </a:cubicBezTo>
                <a:cubicBezTo>
                  <a:pt x="5039588" y="5050962"/>
                  <a:pt x="5054011" y="5037684"/>
                  <a:pt x="5071798" y="5037684"/>
                </a:cubicBezTo>
                <a:cubicBezTo>
                  <a:pt x="5089586" y="5037684"/>
                  <a:pt x="5104009" y="5050962"/>
                  <a:pt x="5104009" y="5067336"/>
                </a:cubicBezTo>
                <a:cubicBezTo>
                  <a:pt x="5104009" y="5083711"/>
                  <a:pt x="5089586" y="5096988"/>
                  <a:pt x="5071798" y="5096988"/>
                </a:cubicBezTo>
                <a:close/>
                <a:moveTo>
                  <a:pt x="5150333" y="5096988"/>
                </a:moveTo>
                <a:cubicBezTo>
                  <a:pt x="5132545" y="5096988"/>
                  <a:pt x="5118122" y="5083711"/>
                  <a:pt x="5118122" y="5067336"/>
                </a:cubicBezTo>
                <a:cubicBezTo>
                  <a:pt x="5118122" y="5050962"/>
                  <a:pt x="5132545" y="5037684"/>
                  <a:pt x="5150333" y="5037684"/>
                </a:cubicBezTo>
                <a:cubicBezTo>
                  <a:pt x="5168120" y="5037684"/>
                  <a:pt x="5182543" y="5050962"/>
                  <a:pt x="5182543" y="5067336"/>
                </a:cubicBezTo>
                <a:cubicBezTo>
                  <a:pt x="5182543" y="5083711"/>
                  <a:pt x="5168120" y="5096988"/>
                  <a:pt x="5150333" y="5096988"/>
                </a:cubicBezTo>
                <a:close/>
                <a:moveTo>
                  <a:pt x="5228867" y="5096988"/>
                </a:moveTo>
                <a:cubicBezTo>
                  <a:pt x="5211080" y="5096988"/>
                  <a:pt x="5196657" y="5083711"/>
                  <a:pt x="5196657" y="5067336"/>
                </a:cubicBezTo>
                <a:cubicBezTo>
                  <a:pt x="5196657" y="5050962"/>
                  <a:pt x="5211080" y="5037684"/>
                  <a:pt x="5228867" y="5037684"/>
                </a:cubicBezTo>
                <a:cubicBezTo>
                  <a:pt x="5246654" y="5037684"/>
                  <a:pt x="5261077" y="5050962"/>
                  <a:pt x="5261077" y="5067336"/>
                </a:cubicBezTo>
                <a:cubicBezTo>
                  <a:pt x="5261077" y="5083711"/>
                  <a:pt x="5246654" y="5096988"/>
                  <a:pt x="5228867" y="5096988"/>
                </a:cubicBezTo>
                <a:close/>
                <a:moveTo>
                  <a:pt x="5307400" y="5096988"/>
                </a:moveTo>
                <a:cubicBezTo>
                  <a:pt x="5289613" y="5096988"/>
                  <a:pt x="5275190" y="5083711"/>
                  <a:pt x="5275190" y="5067336"/>
                </a:cubicBezTo>
                <a:cubicBezTo>
                  <a:pt x="5275190" y="5050962"/>
                  <a:pt x="5289613" y="5037684"/>
                  <a:pt x="5307400" y="5037684"/>
                </a:cubicBezTo>
                <a:cubicBezTo>
                  <a:pt x="5325187" y="5037684"/>
                  <a:pt x="5339610" y="5050962"/>
                  <a:pt x="5339610" y="5067336"/>
                </a:cubicBezTo>
                <a:cubicBezTo>
                  <a:pt x="5339610" y="5083711"/>
                  <a:pt x="5325187" y="5096988"/>
                  <a:pt x="5307400" y="5096988"/>
                </a:cubicBezTo>
                <a:close/>
                <a:moveTo>
                  <a:pt x="7113703" y="5096988"/>
                </a:moveTo>
                <a:cubicBezTo>
                  <a:pt x="7095916" y="5096988"/>
                  <a:pt x="7081487" y="5083711"/>
                  <a:pt x="7081487" y="5067336"/>
                </a:cubicBezTo>
                <a:cubicBezTo>
                  <a:pt x="7081487" y="5050962"/>
                  <a:pt x="7095916" y="5037684"/>
                  <a:pt x="7113703" y="5037684"/>
                </a:cubicBezTo>
                <a:cubicBezTo>
                  <a:pt x="7131490" y="5037684"/>
                  <a:pt x="7145907" y="5050962"/>
                  <a:pt x="7145907" y="5067336"/>
                </a:cubicBezTo>
                <a:cubicBezTo>
                  <a:pt x="7145907" y="5083711"/>
                  <a:pt x="7131490" y="5096988"/>
                  <a:pt x="7113703" y="5096988"/>
                </a:cubicBezTo>
                <a:close/>
                <a:moveTo>
                  <a:pt x="7427839" y="5096988"/>
                </a:moveTo>
                <a:cubicBezTo>
                  <a:pt x="7410052" y="5096988"/>
                  <a:pt x="7395623" y="5083711"/>
                  <a:pt x="7395623" y="5067336"/>
                </a:cubicBezTo>
                <a:cubicBezTo>
                  <a:pt x="7395623" y="5050962"/>
                  <a:pt x="7410052" y="5037684"/>
                  <a:pt x="7427839" y="5037684"/>
                </a:cubicBezTo>
                <a:cubicBezTo>
                  <a:pt x="7445626" y="5037684"/>
                  <a:pt x="7460043" y="5050962"/>
                  <a:pt x="7460043" y="5067336"/>
                </a:cubicBezTo>
                <a:cubicBezTo>
                  <a:pt x="7460043" y="5083711"/>
                  <a:pt x="7445626" y="5096988"/>
                  <a:pt x="7427839" y="5096988"/>
                </a:cubicBezTo>
                <a:close/>
                <a:moveTo>
                  <a:pt x="7506373" y="5096988"/>
                </a:moveTo>
                <a:cubicBezTo>
                  <a:pt x="7488586" y="5096988"/>
                  <a:pt x="7474157" y="5083711"/>
                  <a:pt x="7474157" y="5067336"/>
                </a:cubicBezTo>
                <a:cubicBezTo>
                  <a:pt x="7474157" y="5050962"/>
                  <a:pt x="7488586" y="5037684"/>
                  <a:pt x="7506373" y="5037684"/>
                </a:cubicBezTo>
                <a:cubicBezTo>
                  <a:pt x="7524160" y="5037684"/>
                  <a:pt x="7538577" y="5050962"/>
                  <a:pt x="7538577" y="5067336"/>
                </a:cubicBezTo>
                <a:cubicBezTo>
                  <a:pt x="7538577" y="5083711"/>
                  <a:pt x="7524160" y="5096988"/>
                  <a:pt x="7506373" y="5096988"/>
                </a:cubicBezTo>
                <a:close/>
                <a:moveTo>
                  <a:pt x="7663441" y="5096988"/>
                </a:moveTo>
                <a:cubicBezTo>
                  <a:pt x="7645653" y="5096988"/>
                  <a:pt x="7631224" y="5083711"/>
                  <a:pt x="7631224" y="5067336"/>
                </a:cubicBezTo>
                <a:cubicBezTo>
                  <a:pt x="7631224" y="5050962"/>
                  <a:pt x="7645653" y="5037684"/>
                  <a:pt x="7663441" y="5037684"/>
                </a:cubicBezTo>
                <a:cubicBezTo>
                  <a:pt x="7681228" y="5037684"/>
                  <a:pt x="7695645" y="5050962"/>
                  <a:pt x="7695645" y="5067336"/>
                </a:cubicBezTo>
                <a:cubicBezTo>
                  <a:pt x="7695645" y="5083711"/>
                  <a:pt x="7681228" y="5096988"/>
                  <a:pt x="7663441" y="5096988"/>
                </a:cubicBezTo>
                <a:close/>
                <a:moveTo>
                  <a:pt x="7741974" y="5096988"/>
                </a:moveTo>
                <a:cubicBezTo>
                  <a:pt x="7724187" y="5096988"/>
                  <a:pt x="7709758" y="5083711"/>
                  <a:pt x="7709758" y="5067336"/>
                </a:cubicBezTo>
                <a:cubicBezTo>
                  <a:pt x="7709758" y="5050962"/>
                  <a:pt x="7724187" y="5037684"/>
                  <a:pt x="7741974" y="5037684"/>
                </a:cubicBezTo>
                <a:cubicBezTo>
                  <a:pt x="7759761" y="5037684"/>
                  <a:pt x="7774178" y="5050962"/>
                  <a:pt x="7774178" y="5067336"/>
                </a:cubicBezTo>
                <a:cubicBezTo>
                  <a:pt x="7774178" y="5083711"/>
                  <a:pt x="7759761" y="5096988"/>
                  <a:pt x="7741974" y="5096988"/>
                </a:cubicBezTo>
                <a:close/>
                <a:moveTo>
                  <a:pt x="7899042" y="5096988"/>
                </a:moveTo>
                <a:cubicBezTo>
                  <a:pt x="7881255" y="5096988"/>
                  <a:pt x="7866826" y="5083711"/>
                  <a:pt x="7866826" y="5067336"/>
                </a:cubicBezTo>
                <a:cubicBezTo>
                  <a:pt x="7866826" y="5050962"/>
                  <a:pt x="7881255" y="5037684"/>
                  <a:pt x="7899042" y="5037684"/>
                </a:cubicBezTo>
                <a:cubicBezTo>
                  <a:pt x="7916830" y="5037684"/>
                  <a:pt x="7931247" y="5050962"/>
                  <a:pt x="7931247" y="5067336"/>
                </a:cubicBezTo>
                <a:cubicBezTo>
                  <a:pt x="7931247" y="5083711"/>
                  <a:pt x="7916830" y="5096988"/>
                  <a:pt x="7899042" y="5096988"/>
                </a:cubicBezTo>
                <a:close/>
                <a:moveTo>
                  <a:pt x="7977576" y="5096988"/>
                </a:moveTo>
                <a:cubicBezTo>
                  <a:pt x="7959788" y="5096988"/>
                  <a:pt x="7945359" y="5083711"/>
                  <a:pt x="7945359" y="5067336"/>
                </a:cubicBezTo>
                <a:cubicBezTo>
                  <a:pt x="7945359" y="5050962"/>
                  <a:pt x="7959788" y="5037684"/>
                  <a:pt x="7977576" y="5037684"/>
                </a:cubicBezTo>
                <a:cubicBezTo>
                  <a:pt x="7995363" y="5037684"/>
                  <a:pt x="8009780" y="5050962"/>
                  <a:pt x="8009780" y="5067336"/>
                </a:cubicBezTo>
                <a:cubicBezTo>
                  <a:pt x="8009780" y="5083711"/>
                  <a:pt x="7995363" y="5096988"/>
                  <a:pt x="7977576" y="5096988"/>
                </a:cubicBezTo>
                <a:close/>
                <a:moveTo>
                  <a:pt x="8056110" y="5096988"/>
                </a:moveTo>
                <a:cubicBezTo>
                  <a:pt x="8038323" y="5096988"/>
                  <a:pt x="8023894" y="5083711"/>
                  <a:pt x="8023894" y="5067336"/>
                </a:cubicBezTo>
                <a:cubicBezTo>
                  <a:pt x="8023894" y="5050962"/>
                  <a:pt x="8038323" y="5037684"/>
                  <a:pt x="8056110" y="5037684"/>
                </a:cubicBezTo>
                <a:cubicBezTo>
                  <a:pt x="8073897" y="5037684"/>
                  <a:pt x="8088314" y="5050962"/>
                  <a:pt x="8088314" y="5067336"/>
                </a:cubicBezTo>
                <a:cubicBezTo>
                  <a:pt x="8088314" y="5083711"/>
                  <a:pt x="8073897" y="5096988"/>
                  <a:pt x="8056110" y="5096988"/>
                </a:cubicBezTo>
                <a:close/>
                <a:moveTo>
                  <a:pt x="8134643" y="5096988"/>
                </a:moveTo>
                <a:cubicBezTo>
                  <a:pt x="8116856" y="5096988"/>
                  <a:pt x="8102427" y="5083711"/>
                  <a:pt x="8102427" y="5067336"/>
                </a:cubicBezTo>
                <a:cubicBezTo>
                  <a:pt x="8102427" y="5050962"/>
                  <a:pt x="8116856" y="5037684"/>
                  <a:pt x="8134643" y="5037684"/>
                </a:cubicBezTo>
                <a:cubicBezTo>
                  <a:pt x="8152430" y="5037684"/>
                  <a:pt x="8166847" y="5050962"/>
                  <a:pt x="8166847" y="5067336"/>
                </a:cubicBezTo>
                <a:cubicBezTo>
                  <a:pt x="8166847" y="5083711"/>
                  <a:pt x="8152430" y="5096988"/>
                  <a:pt x="8134643" y="5096988"/>
                </a:cubicBezTo>
                <a:close/>
                <a:moveTo>
                  <a:pt x="8213177" y="5096988"/>
                </a:moveTo>
                <a:cubicBezTo>
                  <a:pt x="8195390" y="5096988"/>
                  <a:pt x="8180961" y="5083711"/>
                  <a:pt x="8180961" y="5067336"/>
                </a:cubicBezTo>
                <a:cubicBezTo>
                  <a:pt x="8180961" y="5050962"/>
                  <a:pt x="8195390" y="5037684"/>
                  <a:pt x="8213177" y="5037684"/>
                </a:cubicBezTo>
                <a:cubicBezTo>
                  <a:pt x="8230965" y="5037684"/>
                  <a:pt x="8245382" y="5050962"/>
                  <a:pt x="8245382" y="5067336"/>
                </a:cubicBezTo>
                <a:cubicBezTo>
                  <a:pt x="8245382" y="5083711"/>
                  <a:pt x="8230965" y="5096988"/>
                  <a:pt x="8213177" y="5096988"/>
                </a:cubicBezTo>
                <a:close/>
                <a:moveTo>
                  <a:pt x="8291712" y="5096988"/>
                </a:moveTo>
                <a:cubicBezTo>
                  <a:pt x="8273924" y="5096988"/>
                  <a:pt x="8259495" y="5083711"/>
                  <a:pt x="8259495" y="5067336"/>
                </a:cubicBezTo>
                <a:cubicBezTo>
                  <a:pt x="8259495" y="5050962"/>
                  <a:pt x="8273924" y="5037684"/>
                  <a:pt x="8291712" y="5037684"/>
                </a:cubicBezTo>
                <a:cubicBezTo>
                  <a:pt x="8309499" y="5037684"/>
                  <a:pt x="8323916" y="5050962"/>
                  <a:pt x="8323916" y="5067336"/>
                </a:cubicBezTo>
                <a:cubicBezTo>
                  <a:pt x="8323916" y="5083711"/>
                  <a:pt x="8309499" y="5096988"/>
                  <a:pt x="8291712" y="5096988"/>
                </a:cubicBezTo>
                <a:close/>
                <a:moveTo>
                  <a:pt x="8370245" y="5096988"/>
                </a:moveTo>
                <a:cubicBezTo>
                  <a:pt x="8352458" y="5096988"/>
                  <a:pt x="8338029" y="5083711"/>
                  <a:pt x="8338029" y="5067336"/>
                </a:cubicBezTo>
                <a:cubicBezTo>
                  <a:pt x="8338029" y="5050962"/>
                  <a:pt x="8352458" y="5037684"/>
                  <a:pt x="8370245" y="5037684"/>
                </a:cubicBezTo>
                <a:cubicBezTo>
                  <a:pt x="8388032" y="5037684"/>
                  <a:pt x="8402449" y="5050962"/>
                  <a:pt x="8402449" y="5067336"/>
                </a:cubicBezTo>
                <a:cubicBezTo>
                  <a:pt x="8402449" y="5083711"/>
                  <a:pt x="8388032" y="5096988"/>
                  <a:pt x="8370245" y="5096988"/>
                </a:cubicBezTo>
                <a:close/>
                <a:moveTo>
                  <a:pt x="8448779" y="5096988"/>
                </a:moveTo>
                <a:cubicBezTo>
                  <a:pt x="8430992" y="5096988"/>
                  <a:pt x="8416563" y="5083711"/>
                  <a:pt x="8416563" y="5067336"/>
                </a:cubicBezTo>
                <a:cubicBezTo>
                  <a:pt x="8416563" y="5050962"/>
                  <a:pt x="8430992" y="5037684"/>
                  <a:pt x="8448779" y="5037684"/>
                </a:cubicBezTo>
                <a:cubicBezTo>
                  <a:pt x="8466566" y="5037684"/>
                  <a:pt x="8480983" y="5050962"/>
                  <a:pt x="8480983" y="5067336"/>
                </a:cubicBezTo>
                <a:cubicBezTo>
                  <a:pt x="8480983" y="5083711"/>
                  <a:pt x="8466566" y="5096988"/>
                  <a:pt x="8448779" y="5096988"/>
                </a:cubicBezTo>
                <a:close/>
                <a:moveTo>
                  <a:pt x="8527313" y="5096988"/>
                </a:moveTo>
                <a:cubicBezTo>
                  <a:pt x="8509526" y="5096988"/>
                  <a:pt x="8495097" y="5083711"/>
                  <a:pt x="8495097" y="5067336"/>
                </a:cubicBezTo>
                <a:cubicBezTo>
                  <a:pt x="8495097" y="5050962"/>
                  <a:pt x="8509526" y="5037684"/>
                  <a:pt x="8527313" y="5037684"/>
                </a:cubicBezTo>
                <a:cubicBezTo>
                  <a:pt x="8545101" y="5037684"/>
                  <a:pt x="8559518" y="5050962"/>
                  <a:pt x="8559518" y="5067336"/>
                </a:cubicBezTo>
                <a:cubicBezTo>
                  <a:pt x="8559518" y="5083711"/>
                  <a:pt x="8545101" y="5096988"/>
                  <a:pt x="8527313" y="5096988"/>
                </a:cubicBezTo>
                <a:close/>
                <a:moveTo>
                  <a:pt x="8605847" y="5096988"/>
                </a:moveTo>
                <a:cubicBezTo>
                  <a:pt x="8588059" y="5096988"/>
                  <a:pt x="8573630" y="5083711"/>
                  <a:pt x="8573630" y="5067336"/>
                </a:cubicBezTo>
                <a:cubicBezTo>
                  <a:pt x="8573630" y="5050962"/>
                  <a:pt x="8588059" y="5037684"/>
                  <a:pt x="8605847" y="5037684"/>
                </a:cubicBezTo>
                <a:cubicBezTo>
                  <a:pt x="8623634" y="5037684"/>
                  <a:pt x="8638051" y="5050962"/>
                  <a:pt x="8638051" y="5067336"/>
                </a:cubicBezTo>
                <a:cubicBezTo>
                  <a:pt x="8638051" y="5083711"/>
                  <a:pt x="8623634" y="5096988"/>
                  <a:pt x="8605847" y="5096988"/>
                </a:cubicBezTo>
                <a:close/>
                <a:moveTo>
                  <a:pt x="8684381" y="5096988"/>
                </a:moveTo>
                <a:cubicBezTo>
                  <a:pt x="8666594" y="5096988"/>
                  <a:pt x="8652165" y="5083711"/>
                  <a:pt x="8652165" y="5067336"/>
                </a:cubicBezTo>
                <a:cubicBezTo>
                  <a:pt x="8652165" y="5050962"/>
                  <a:pt x="8666594" y="5037684"/>
                  <a:pt x="8684381" y="5037684"/>
                </a:cubicBezTo>
                <a:cubicBezTo>
                  <a:pt x="8702168" y="5037684"/>
                  <a:pt x="8716585" y="5050962"/>
                  <a:pt x="8716585" y="5067336"/>
                </a:cubicBezTo>
                <a:cubicBezTo>
                  <a:pt x="8716585" y="5083711"/>
                  <a:pt x="8702168" y="5096988"/>
                  <a:pt x="8684381" y="5096988"/>
                </a:cubicBezTo>
                <a:close/>
                <a:moveTo>
                  <a:pt x="8762914" y="5096988"/>
                </a:moveTo>
                <a:cubicBezTo>
                  <a:pt x="8745127" y="5096988"/>
                  <a:pt x="8730698" y="5083711"/>
                  <a:pt x="8730698" y="5067336"/>
                </a:cubicBezTo>
                <a:cubicBezTo>
                  <a:pt x="8730698" y="5050962"/>
                  <a:pt x="8745127" y="5037684"/>
                  <a:pt x="8762914" y="5037684"/>
                </a:cubicBezTo>
                <a:cubicBezTo>
                  <a:pt x="8780701" y="5037684"/>
                  <a:pt x="8795118" y="5050962"/>
                  <a:pt x="8795118" y="5067336"/>
                </a:cubicBezTo>
                <a:cubicBezTo>
                  <a:pt x="8795118" y="5083711"/>
                  <a:pt x="8780701" y="5096988"/>
                  <a:pt x="8762914" y="5096988"/>
                </a:cubicBezTo>
                <a:close/>
                <a:moveTo>
                  <a:pt x="8841448" y="5096988"/>
                </a:moveTo>
                <a:cubicBezTo>
                  <a:pt x="8823661" y="5096988"/>
                  <a:pt x="8809232" y="5083711"/>
                  <a:pt x="8809232" y="5067336"/>
                </a:cubicBezTo>
                <a:cubicBezTo>
                  <a:pt x="8809232" y="5050962"/>
                  <a:pt x="8823661" y="5037684"/>
                  <a:pt x="8841448" y="5037684"/>
                </a:cubicBezTo>
                <a:cubicBezTo>
                  <a:pt x="8859236" y="5037684"/>
                  <a:pt x="8873653" y="5050962"/>
                  <a:pt x="8873653" y="5067336"/>
                </a:cubicBezTo>
                <a:cubicBezTo>
                  <a:pt x="8873653" y="5083711"/>
                  <a:pt x="8859236" y="5096988"/>
                  <a:pt x="8841448" y="5096988"/>
                </a:cubicBezTo>
                <a:close/>
                <a:moveTo>
                  <a:pt x="8919983" y="5096988"/>
                </a:moveTo>
                <a:cubicBezTo>
                  <a:pt x="8902195" y="5096988"/>
                  <a:pt x="8887766" y="5083711"/>
                  <a:pt x="8887766" y="5067336"/>
                </a:cubicBezTo>
                <a:cubicBezTo>
                  <a:pt x="8887766" y="5050962"/>
                  <a:pt x="8902195" y="5037684"/>
                  <a:pt x="8919983" y="5037684"/>
                </a:cubicBezTo>
                <a:cubicBezTo>
                  <a:pt x="8937770" y="5037684"/>
                  <a:pt x="8952187" y="5050962"/>
                  <a:pt x="8952187" y="5067336"/>
                </a:cubicBezTo>
                <a:cubicBezTo>
                  <a:pt x="8952187" y="5083711"/>
                  <a:pt x="8937770" y="5096988"/>
                  <a:pt x="8919983" y="5096988"/>
                </a:cubicBezTo>
                <a:close/>
                <a:moveTo>
                  <a:pt x="8998516" y="5096988"/>
                </a:moveTo>
                <a:cubicBezTo>
                  <a:pt x="8980729" y="5096988"/>
                  <a:pt x="8966300" y="5083711"/>
                  <a:pt x="8966300" y="5067336"/>
                </a:cubicBezTo>
                <a:cubicBezTo>
                  <a:pt x="8966300" y="5050962"/>
                  <a:pt x="8980729" y="5037684"/>
                  <a:pt x="8998516" y="5037684"/>
                </a:cubicBezTo>
                <a:cubicBezTo>
                  <a:pt x="9016303" y="5037684"/>
                  <a:pt x="9030720" y="5050962"/>
                  <a:pt x="9030720" y="5067336"/>
                </a:cubicBezTo>
                <a:cubicBezTo>
                  <a:pt x="9030720" y="5083711"/>
                  <a:pt x="9016303" y="5096988"/>
                  <a:pt x="8998516" y="5096988"/>
                </a:cubicBezTo>
                <a:close/>
                <a:moveTo>
                  <a:pt x="9077050" y="5096988"/>
                </a:moveTo>
                <a:cubicBezTo>
                  <a:pt x="9059263" y="5096988"/>
                  <a:pt x="9044834" y="5083711"/>
                  <a:pt x="9044834" y="5067336"/>
                </a:cubicBezTo>
                <a:cubicBezTo>
                  <a:pt x="9044834" y="5050962"/>
                  <a:pt x="9059263" y="5037684"/>
                  <a:pt x="9077050" y="5037684"/>
                </a:cubicBezTo>
                <a:cubicBezTo>
                  <a:pt x="9094837" y="5037684"/>
                  <a:pt x="9109254" y="5050962"/>
                  <a:pt x="9109254" y="5067336"/>
                </a:cubicBezTo>
                <a:cubicBezTo>
                  <a:pt x="9109254" y="5083711"/>
                  <a:pt x="9094837" y="5096988"/>
                  <a:pt x="9077050" y="5096988"/>
                </a:cubicBezTo>
                <a:close/>
                <a:moveTo>
                  <a:pt x="9155583" y="5096988"/>
                </a:moveTo>
                <a:cubicBezTo>
                  <a:pt x="9137796" y="5096988"/>
                  <a:pt x="9123367" y="5083711"/>
                  <a:pt x="9123367" y="5067336"/>
                </a:cubicBezTo>
                <a:cubicBezTo>
                  <a:pt x="9123367" y="5050962"/>
                  <a:pt x="9137796" y="5037684"/>
                  <a:pt x="9155583" y="5037684"/>
                </a:cubicBezTo>
                <a:cubicBezTo>
                  <a:pt x="9173371" y="5037684"/>
                  <a:pt x="9187788" y="5050962"/>
                  <a:pt x="9187788" y="5067336"/>
                </a:cubicBezTo>
                <a:cubicBezTo>
                  <a:pt x="9187788" y="5083711"/>
                  <a:pt x="9173371" y="5096988"/>
                  <a:pt x="9155583" y="5096988"/>
                </a:cubicBezTo>
                <a:close/>
                <a:moveTo>
                  <a:pt x="9234118" y="5096988"/>
                </a:moveTo>
                <a:cubicBezTo>
                  <a:pt x="9216330" y="5096988"/>
                  <a:pt x="9201901" y="5083711"/>
                  <a:pt x="9201901" y="5067336"/>
                </a:cubicBezTo>
                <a:cubicBezTo>
                  <a:pt x="9201901" y="5050962"/>
                  <a:pt x="9216330" y="5037684"/>
                  <a:pt x="9234118" y="5037684"/>
                </a:cubicBezTo>
                <a:cubicBezTo>
                  <a:pt x="9251905" y="5037684"/>
                  <a:pt x="9266322" y="5050962"/>
                  <a:pt x="9266322" y="5067336"/>
                </a:cubicBezTo>
                <a:cubicBezTo>
                  <a:pt x="9266322" y="5083711"/>
                  <a:pt x="9251905" y="5096988"/>
                  <a:pt x="9234118" y="5096988"/>
                </a:cubicBezTo>
                <a:close/>
                <a:moveTo>
                  <a:pt x="9312652" y="5096988"/>
                </a:moveTo>
                <a:cubicBezTo>
                  <a:pt x="9294865" y="5096988"/>
                  <a:pt x="9280436" y="5083711"/>
                  <a:pt x="9280436" y="5067336"/>
                </a:cubicBezTo>
                <a:cubicBezTo>
                  <a:pt x="9280436" y="5050962"/>
                  <a:pt x="9294865" y="5037684"/>
                  <a:pt x="9312652" y="5037684"/>
                </a:cubicBezTo>
                <a:cubicBezTo>
                  <a:pt x="9330439" y="5037684"/>
                  <a:pt x="9344856" y="5050962"/>
                  <a:pt x="9344856" y="5067336"/>
                </a:cubicBezTo>
                <a:cubicBezTo>
                  <a:pt x="9344856" y="5083711"/>
                  <a:pt x="9330439" y="5096988"/>
                  <a:pt x="9312652" y="5096988"/>
                </a:cubicBezTo>
                <a:close/>
                <a:moveTo>
                  <a:pt x="9391185" y="5096988"/>
                </a:moveTo>
                <a:cubicBezTo>
                  <a:pt x="9373398" y="5096988"/>
                  <a:pt x="9358969" y="5083711"/>
                  <a:pt x="9358969" y="5067336"/>
                </a:cubicBezTo>
                <a:cubicBezTo>
                  <a:pt x="9358969" y="5050962"/>
                  <a:pt x="9373398" y="5037684"/>
                  <a:pt x="9391185" y="5037684"/>
                </a:cubicBezTo>
                <a:cubicBezTo>
                  <a:pt x="9408972" y="5037684"/>
                  <a:pt x="9423389" y="5050962"/>
                  <a:pt x="9423389" y="5067336"/>
                </a:cubicBezTo>
                <a:cubicBezTo>
                  <a:pt x="9423389" y="5083711"/>
                  <a:pt x="9408972" y="5096988"/>
                  <a:pt x="9391185" y="5096988"/>
                </a:cubicBezTo>
                <a:close/>
                <a:moveTo>
                  <a:pt x="9469719" y="5096988"/>
                </a:moveTo>
                <a:cubicBezTo>
                  <a:pt x="9451932" y="5096988"/>
                  <a:pt x="9437503" y="5083711"/>
                  <a:pt x="9437503" y="5067336"/>
                </a:cubicBezTo>
                <a:cubicBezTo>
                  <a:pt x="9437503" y="5050962"/>
                  <a:pt x="9451932" y="5037684"/>
                  <a:pt x="9469719" y="5037684"/>
                </a:cubicBezTo>
                <a:cubicBezTo>
                  <a:pt x="9487507" y="5037684"/>
                  <a:pt x="9501924" y="5050962"/>
                  <a:pt x="9501924" y="5067336"/>
                </a:cubicBezTo>
                <a:cubicBezTo>
                  <a:pt x="9501924" y="5083711"/>
                  <a:pt x="9487507" y="5096988"/>
                  <a:pt x="9469719" y="5096988"/>
                </a:cubicBezTo>
                <a:close/>
                <a:moveTo>
                  <a:pt x="9548254" y="5096988"/>
                </a:moveTo>
                <a:cubicBezTo>
                  <a:pt x="9530466" y="5096988"/>
                  <a:pt x="9516037" y="5083711"/>
                  <a:pt x="9516037" y="5067336"/>
                </a:cubicBezTo>
                <a:cubicBezTo>
                  <a:pt x="9516037" y="5050962"/>
                  <a:pt x="9530466" y="5037684"/>
                  <a:pt x="9548254" y="5037684"/>
                </a:cubicBezTo>
                <a:cubicBezTo>
                  <a:pt x="9566041" y="5037684"/>
                  <a:pt x="9580458" y="5050962"/>
                  <a:pt x="9580458" y="5067336"/>
                </a:cubicBezTo>
                <a:cubicBezTo>
                  <a:pt x="9580458" y="5083711"/>
                  <a:pt x="9566041" y="5096988"/>
                  <a:pt x="9548254" y="5096988"/>
                </a:cubicBezTo>
                <a:close/>
                <a:moveTo>
                  <a:pt x="9626787" y="5096988"/>
                </a:moveTo>
                <a:cubicBezTo>
                  <a:pt x="9609000" y="5096988"/>
                  <a:pt x="9594571" y="5083711"/>
                  <a:pt x="9594571" y="5067336"/>
                </a:cubicBezTo>
                <a:cubicBezTo>
                  <a:pt x="9594571" y="5050962"/>
                  <a:pt x="9609000" y="5037684"/>
                  <a:pt x="9626787" y="5037684"/>
                </a:cubicBezTo>
                <a:cubicBezTo>
                  <a:pt x="9644574" y="5037684"/>
                  <a:pt x="9658991" y="5050962"/>
                  <a:pt x="9658991" y="5067336"/>
                </a:cubicBezTo>
                <a:cubicBezTo>
                  <a:pt x="9658991" y="5083711"/>
                  <a:pt x="9644574" y="5096988"/>
                  <a:pt x="9626787" y="5096988"/>
                </a:cubicBezTo>
                <a:close/>
                <a:moveTo>
                  <a:pt x="9705321" y="5096988"/>
                </a:moveTo>
                <a:cubicBezTo>
                  <a:pt x="9687534" y="5096988"/>
                  <a:pt x="9673105" y="5083711"/>
                  <a:pt x="9673105" y="5067336"/>
                </a:cubicBezTo>
                <a:cubicBezTo>
                  <a:pt x="9673105" y="5050962"/>
                  <a:pt x="9687534" y="5037684"/>
                  <a:pt x="9705321" y="5037684"/>
                </a:cubicBezTo>
                <a:cubicBezTo>
                  <a:pt x="9723108" y="5037684"/>
                  <a:pt x="9737525" y="5050962"/>
                  <a:pt x="9737525" y="5067336"/>
                </a:cubicBezTo>
                <a:cubicBezTo>
                  <a:pt x="9737525" y="5083711"/>
                  <a:pt x="9723108" y="5096988"/>
                  <a:pt x="9705321" y="5096988"/>
                </a:cubicBezTo>
                <a:close/>
                <a:moveTo>
                  <a:pt x="9783854" y="5096988"/>
                </a:moveTo>
                <a:cubicBezTo>
                  <a:pt x="9766067" y="5096988"/>
                  <a:pt x="9751638" y="5083711"/>
                  <a:pt x="9751638" y="5067336"/>
                </a:cubicBezTo>
                <a:cubicBezTo>
                  <a:pt x="9751638" y="5050962"/>
                  <a:pt x="9766067" y="5037684"/>
                  <a:pt x="9783854" y="5037684"/>
                </a:cubicBezTo>
                <a:cubicBezTo>
                  <a:pt x="9801642" y="5037684"/>
                  <a:pt x="9816059" y="5050962"/>
                  <a:pt x="9816059" y="5067336"/>
                </a:cubicBezTo>
                <a:cubicBezTo>
                  <a:pt x="9816059" y="5083711"/>
                  <a:pt x="9801642" y="5096988"/>
                  <a:pt x="9783854" y="5096988"/>
                </a:cubicBezTo>
                <a:close/>
                <a:moveTo>
                  <a:pt x="9862389" y="5096988"/>
                </a:moveTo>
                <a:cubicBezTo>
                  <a:pt x="9844601" y="5096988"/>
                  <a:pt x="9830172" y="5083711"/>
                  <a:pt x="9830172" y="5067336"/>
                </a:cubicBezTo>
                <a:cubicBezTo>
                  <a:pt x="9830172" y="5050962"/>
                  <a:pt x="9844601" y="5037684"/>
                  <a:pt x="9862389" y="5037684"/>
                </a:cubicBezTo>
                <a:cubicBezTo>
                  <a:pt x="9880176" y="5037684"/>
                  <a:pt x="9894593" y="5050962"/>
                  <a:pt x="9894593" y="5067336"/>
                </a:cubicBezTo>
                <a:cubicBezTo>
                  <a:pt x="9894593" y="5083711"/>
                  <a:pt x="9880176" y="5096988"/>
                  <a:pt x="9862389" y="5096988"/>
                </a:cubicBezTo>
                <a:close/>
                <a:moveTo>
                  <a:pt x="9940923" y="5096988"/>
                </a:moveTo>
                <a:cubicBezTo>
                  <a:pt x="9923136" y="5096988"/>
                  <a:pt x="9908707" y="5083711"/>
                  <a:pt x="9908707" y="5067336"/>
                </a:cubicBezTo>
                <a:cubicBezTo>
                  <a:pt x="9908707" y="5050962"/>
                  <a:pt x="9923136" y="5037684"/>
                  <a:pt x="9940923" y="5037684"/>
                </a:cubicBezTo>
                <a:cubicBezTo>
                  <a:pt x="9958710" y="5037684"/>
                  <a:pt x="9973127" y="5050962"/>
                  <a:pt x="9973127" y="5067336"/>
                </a:cubicBezTo>
                <a:cubicBezTo>
                  <a:pt x="9973127" y="5083711"/>
                  <a:pt x="9958710" y="5096988"/>
                  <a:pt x="9940923" y="5096988"/>
                </a:cubicBezTo>
                <a:close/>
                <a:moveTo>
                  <a:pt x="10019456" y="5096988"/>
                </a:moveTo>
                <a:cubicBezTo>
                  <a:pt x="10001669" y="5096988"/>
                  <a:pt x="9987240" y="5083711"/>
                  <a:pt x="9987240" y="5067336"/>
                </a:cubicBezTo>
                <a:cubicBezTo>
                  <a:pt x="9987240" y="5050962"/>
                  <a:pt x="10001669" y="5037684"/>
                  <a:pt x="10019456" y="5037684"/>
                </a:cubicBezTo>
                <a:cubicBezTo>
                  <a:pt x="10037243" y="5037684"/>
                  <a:pt x="10051660" y="5050962"/>
                  <a:pt x="10051660" y="5067336"/>
                </a:cubicBezTo>
                <a:cubicBezTo>
                  <a:pt x="10051660" y="5083711"/>
                  <a:pt x="10037243" y="5096988"/>
                  <a:pt x="10019456" y="5096988"/>
                </a:cubicBezTo>
                <a:close/>
                <a:moveTo>
                  <a:pt x="10097990" y="5096988"/>
                </a:moveTo>
                <a:cubicBezTo>
                  <a:pt x="10080203" y="5096988"/>
                  <a:pt x="10065774" y="5083711"/>
                  <a:pt x="10065774" y="5067336"/>
                </a:cubicBezTo>
                <a:cubicBezTo>
                  <a:pt x="10065774" y="5050962"/>
                  <a:pt x="10080203" y="5037684"/>
                  <a:pt x="10097990" y="5037684"/>
                </a:cubicBezTo>
                <a:cubicBezTo>
                  <a:pt x="10115778" y="5037684"/>
                  <a:pt x="10130195" y="5050962"/>
                  <a:pt x="10130195" y="5067336"/>
                </a:cubicBezTo>
                <a:cubicBezTo>
                  <a:pt x="10130195" y="5083711"/>
                  <a:pt x="10115778" y="5096988"/>
                  <a:pt x="10097990" y="5096988"/>
                </a:cubicBezTo>
                <a:close/>
                <a:moveTo>
                  <a:pt x="10176524" y="5096988"/>
                </a:moveTo>
                <a:cubicBezTo>
                  <a:pt x="10158736" y="5096988"/>
                  <a:pt x="10144307" y="5083711"/>
                  <a:pt x="10144307" y="5067336"/>
                </a:cubicBezTo>
                <a:cubicBezTo>
                  <a:pt x="10144307" y="5050962"/>
                  <a:pt x="10158736" y="5037684"/>
                  <a:pt x="10176524" y="5037684"/>
                </a:cubicBezTo>
                <a:cubicBezTo>
                  <a:pt x="10194311" y="5037684"/>
                  <a:pt x="10208728" y="5050962"/>
                  <a:pt x="10208728" y="5067336"/>
                </a:cubicBezTo>
                <a:cubicBezTo>
                  <a:pt x="10208728" y="5083711"/>
                  <a:pt x="10194311" y="5096988"/>
                  <a:pt x="10176524" y="5096988"/>
                </a:cubicBezTo>
                <a:close/>
                <a:moveTo>
                  <a:pt x="1851910" y="5024724"/>
                </a:moveTo>
                <a:cubicBezTo>
                  <a:pt x="1834123" y="5024724"/>
                  <a:pt x="1819700" y="5011446"/>
                  <a:pt x="1819700" y="4995071"/>
                </a:cubicBezTo>
                <a:cubicBezTo>
                  <a:pt x="1819700" y="4978697"/>
                  <a:pt x="1834123" y="4965419"/>
                  <a:pt x="1851910" y="4965419"/>
                </a:cubicBezTo>
                <a:cubicBezTo>
                  <a:pt x="1869697" y="4965419"/>
                  <a:pt x="1884120" y="4978697"/>
                  <a:pt x="1884120" y="4995071"/>
                </a:cubicBezTo>
                <a:cubicBezTo>
                  <a:pt x="1884120" y="5011446"/>
                  <a:pt x="1869697" y="5024724"/>
                  <a:pt x="1851910" y="5024724"/>
                </a:cubicBezTo>
                <a:close/>
                <a:moveTo>
                  <a:pt x="1930444" y="5024724"/>
                </a:moveTo>
                <a:cubicBezTo>
                  <a:pt x="1912657" y="5024724"/>
                  <a:pt x="1898234" y="5011446"/>
                  <a:pt x="1898234" y="4995071"/>
                </a:cubicBezTo>
                <a:cubicBezTo>
                  <a:pt x="1898234" y="4978697"/>
                  <a:pt x="1912657" y="4965419"/>
                  <a:pt x="1930444" y="4965419"/>
                </a:cubicBezTo>
                <a:cubicBezTo>
                  <a:pt x="1948232" y="4965419"/>
                  <a:pt x="1962655" y="4978697"/>
                  <a:pt x="1962655" y="4995071"/>
                </a:cubicBezTo>
                <a:cubicBezTo>
                  <a:pt x="1962655" y="5011446"/>
                  <a:pt x="1948232" y="5024724"/>
                  <a:pt x="1930444" y="5024724"/>
                </a:cubicBezTo>
                <a:close/>
                <a:moveTo>
                  <a:pt x="2008978" y="5024724"/>
                </a:moveTo>
                <a:cubicBezTo>
                  <a:pt x="1991190" y="5024724"/>
                  <a:pt x="1976767" y="5011446"/>
                  <a:pt x="1976767" y="4995071"/>
                </a:cubicBezTo>
                <a:cubicBezTo>
                  <a:pt x="1976767" y="4978697"/>
                  <a:pt x="1991190" y="4965419"/>
                  <a:pt x="2008978" y="4965419"/>
                </a:cubicBezTo>
                <a:cubicBezTo>
                  <a:pt x="2026765" y="4965419"/>
                  <a:pt x="2041188" y="4978697"/>
                  <a:pt x="2041188" y="4995071"/>
                </a:cubicBezTo>
                <a:cubicBezTo>
                  <a:pt x="2041188" y="5011446"/>
                  <a:pt x="2026765" y="5024724"/>
                  <a:pt x="2008978" y="5024724"/>
                </a:cubicBezTo>
                <a:close/>
                <a:moveTo>
                  <a:pt x="2087512" y="5024724"/>
                </a:moveTo>
                <a:cubicBezTo>
                  <a:pt x="2069725" y="5024724"/>
                  <a:pt x="2055302" y="5011446"/>
                  <a:pt x="2055302" y="4995071"/>
                </a:cubicBezTo>
                <a:cubicBezTo>
                  <a:pt x="2055302" y="4978697"/>
                  <a:pt x="2069725" y="4965419"/>
                  <a:pt x="2087512" y="4965419"/>
                </a:cubicBezTo>
                <a:cubicBezTo>
                  <a:pt x="2105299" y="4965419"/>
                  <a:pt x="2119722" y="4978697"/>
                  <a:pt x="2119722" y="4995071"/>
                </a:cubicBezTo>
                <a:cubicBezTo>
                  <a:pt x="2119722" y="5011446"/>
                  <a:pt x="2105299" y="5024724"/>
                  <a:pt x="2087512" y="5024724"/>
                </a:cubicBezTo>
                <a:close/>
                <a:moveTo>
                  <a:pt x="2166045" y="5024724"/>
                </a:moveTo>
                <a:cubicBezTo>
                  <a:pt x="2148258" y="5024724"/>
                  <a:pt x="2133835" y="5011446"/>
                  <a:pt x="2133835" y="4995071"/>
                </a:cubicBezTo>
                <a:cubicBezTo>
                  <a:pt x="2133835" y="4978697"/>
                  <a:pt x="2148258" y="4965419"/>
                  <a:pt x="2166045" y="4965419"/>
                </a:cubicBezTo>
                <a:cubicBezTo>
                  <a:pt x="2183832" y="4965419"/>
                  <a:pt x="2198255" y="4978697"/>
                  <a:pt x="2198255" y="4995071"/>
                </a:cubicBezTo>
                <a:cubicBezTo>
                  <a:pt x="2198255" y="5011446"/>
                  <a:pt x="2183832" y="5024724"/>
                  <a:pt x="2166045" y="5024724"/>
                </a:cubicBezTo>
                <a:close/>
                <a:moveTo>
                  <a:pt x="2244579" y="5024724"/>
                </a:moveTo>
                <a:cubicBezTo>
                  <a:pt x="2226792" y="5024724"/>
                  <a:pt x="2212369" y="5011446"/>
                  <a:pt x="2212369" y="4995071"/>
                </a:cubicBezTo>
                <a:cubicBezTo>
                  <a:pt x="2212369" y="4978697"/>
                  <a:pt x="2226792" y="4965419"/>
                  <a:pt x="2244579" y="4965419"/>
                </a:cubicBezTo>
                <a:cubicBezTo>
                  <a:pt x="2262367" y="4965419"/>
                  <a:pt x="2276790" y="4978697"/>
                  <a:pt x="2276790" y="4995071"/>
                </a:cubicBezTo>
                <a:cubicBezTo>
                  <a:pt x="2276790" y="5011446"/>
                  <a:pt x="2262367" y="5024724"/>
                  <a:pt x="2244579" y="5024724"/>
                </a:cubicBezTo>
                <a:close/>
                <a:moveTo>
                  <a:pt x="2323114" y="5024724"/>
                </a:moveTo>
                <a:cubicBezTo>
                  <a:pt x="2305326" y="5024724"/>
                  <a:pt x="2290903" y="5011446"/>
                  <a:pt x="2290903" y="4995071"/>
                </a:cubicBezTo>
                <a:cubicBezTo>
                  <a:pt x="2290903" y="4978697"/>
                  <a:pt x="2305326" y="4965419"/>
                  <a:pt x="2323114" y="4965419"/>
                </a:cubicBezTo>
                <a:cubicBezTo>
                  <a:pt x="2340901" y="4965419"/>
                  <a:pt x="2355324" y="4978697"/>
                  <a:pt x="2355324" y="4995071"/>
                </a:cubicBezTo>
                <a:cubicBezTo>
                  <a:pt x="2355324" y="5011446"/>
                  <a:pt x="2340901" y="5024724"/>
                  <a:pt x="2323114" y="5024724"/>
                </a:cubicBezTo>
                <a:close/>
                <a:moveTo>
                  <a:pt x="2401647" y="5024724"/>
                </a:moveTo>
                <a:cubicBezTo>
                  <a:pt x="2383860" y="5024724"/>
                  <a:pt x="2369437" y="5011446"/>
                  <a:pt x="2369437" y="4995071"/>
                </a:cubicBezTo>
                <a:cubicBezTo>
                  <a:pt x="2369437" y="4978697"/>
                  <a:pt x="2383860" y="4965419"/>
                  <a:pt x="2401647" y="4965419"/>
                </a:cubicBezTo>
                <a:cubicBezTo>
                  <a:pt x="2419434" y="4965419"/>
                  <a:pt x="2433857" y="4978697"/>
                  <a:pt x="2433857" y="4995071"/>
                </a:cubicBezTo>
                <a:cubicBezTo>
                  <a:pt x="2433857" y="5011446"/>
                  <a:pt x="2419434" y="5024724"/>
                  <a:pt x="2401647" y="5024724"/>
                </a:cubicBezTo>
                <a:close/>
                <a:moveTo>
                  <a:pt x="2480181" y="5024724"/>
                </a:moveTo>
                <a:cubicBezTo>
                  <a:pt x="2462394" y="5024724"/>
                  <a:pt x="2447971" y="5011446"/>
                  <a:pt x="2447971" y="4995071"/>
                </a:cubicBezTo>
                <a:cubicBezTo>
                  <a:pt x="2447971" y="4978697"/>
                  <a:pt x="2462394" y="4965419"/>
                  <a:pt x="2480181" y="4965419"/>
                </a:cubicBezTo>
                <a:cubicBezTo>
                  <a:pt x="2497968" y="4965419"/>
                  <a:pt x="2512391" y="4978697"/>
                  <a:pt x="2512391" y="4995071"/>
                </a:cubicBezTo>
                <a:cubicBezTo>
                  <a:pt x="2512391" y="5011446"/>
                  <a:pt x="2497968" y="5024724"/>
                  <a:pt x="2480181" y="5024724"/>
                </a:cubicBezTo>
                <a:close/>
                <a:moveTo>
                  <a:pt x="2558715" y="5024724"/>
                </a:moveTo>
                <a:cubicBezTo>
                  <a:pt x="2540928" y="5024724"/>
                  <a:pt x="2526505" y="5011446"/>
                  <a:pt x="2526505" y="4995071"/>
                </a:cubicBezTo>
                <a:cubicBezTo>
                  <a:pt x="2526505" y="4978697"/>
                  <a:pt x="2540928" y="4965419"/>
                  <a:pt x="2558715" y="4965419"/>
                </a:cubicBezTo>
                <a:cubicBezTo>
                  <a:pt x="2576503" y="4965419"/>
                  <a:pt x="2590926" y="4978697"/>
                  <a:pt x="2590926" y="4995071"/>
                </a:cubicBezTo>
                <a:cubicBezTo>
                  <a:pt x="2590926" y="5011446"/>
                  <a:pt x="2576503" y="5024724"/>
                  <a:pt x="2558715" y="5024724"/>
                </a:cubicBezTo>
                <a:close/>
                <a:moveTo>
                  <a:pt x="2637243" y="5024724"/>
                </a:moveTo>
                <a:cubicBezTo>
                  <a:pt x="2619455" y="5024724"/>
                  <a:pt x="2605032" y="5011446"/>
                  <a:pt x="2605032" y="4995071"/>
                </a:cubicBezTo>
                <a:cubicBezTo>
                  <a:pt x="2605032" y="4978697"/>
                  <a:pt x="2619455" y="4965419"/>
                  <a:pt x="2637243" y="4965419"/>
                </a:cubicBezTo>
                <a:cubicBezTo>
                  <a:pt x="2655030" y="4965419"/>
                  <a:pt x="2669453" y="4978697"/>
                  <a:pt x="2669453" y="4995071"/>
                </a:cubicBezTo>
                <a:cubicBezTo>
                  <a:pt x="2669453" y="5011446"/>
                  <a:pt x="2655030" y="5024724"/>
                  <a:pt x="2637243" y="5024724"/>
                </a:cubicBezTo>
                <a:close/>
                <a:moveTo>
                  <a:pt x="2715777" y="5024724"/>
                </a:moveTo>
                <a:cubicBezTo>
                  <a:pt x="2697990" y="5024724"/>
                  <a:pt x="2683566" y="5011446"/>
                  <a:pt x="2683566" y="4995071"/>
                </a:cubicBezTo>
                <a:cubicBezTo>
                  <a:pt x="2683566" y="4978697"/>
                  <a:pt x="2697990" y="4965419"/>
                  <a:pt x="2715777" y="4965419"/>
                </a:cubicBezTo>
                <a:cubicBezTo>
                  <a:pt x="2733564" y="4965419"/>
                  <a:pt x="2747987" y="4978697"/>
                  <a:pt x="2747987" y="4995071"/>
                </a:cubicBezTo>
                <a:cubicBezTo>
                  <a:pt x="2747987" y="5011446"/>
                  <a:pt x="2733564" y="5024724"/>
                  <a:pt x="2715777" y="5024724"/>
                </a:cubicBezTo>
                <a:close/>
                <a:moveTo>
                  <a:pt x="2794310" y="5024724"/>
                </a:moveTo>
                <a:cubicBezTo>
                  <a:pt x="2776523" y="5024724"/>
                  <a:pt x="2762100" y="5011446"/>
                  <a:pt x="2762100" y="4995071"/>
                </a:cubicBezTo>
                <a:cubicBezTo>
                  <a:pt x="2762100" y="4978697"/>
                  <a:pt x="2776523" y="4965419"/>
                  <a:pt x="2794310" y="4965419"/>
                </a:cubicBezTo>
                <a:cubicBezTo>
                  <a:pt x="2812097" y="4965419"/>
                  <a:pt x="2826520" y="4978697"/>
                  <a:pt x="2826520" y="4995071"/>
                </a:cubicBezTo>
                <a:cubicBezTo>
                  <a:pt x="2826520" y="5011446"/>
                  <a:pt x="2812097" y="5024724"/>
                  <a:pt x="2794310" y="5024724"/>
                </a:cubicBezTo>
                <a:close/>
                <a:moveTo>
                  <a:pt x="2872844" y="5024724"/>
                </a:moveTo>
                <a:cubicBezTo>
                  <a:pt x="2855057" y="5024724"/>
                  <a:pt x="2840634" y="5011446"/>
                  <a:pt x="2840634" y="4995071"/>
                </a:cubicBezTo>
                <a:cubicBezTo>
                  <a:pt x="2840634" y="4978697"/>
                  <a:pt x="2855057" y="4965419"/>
                  <a:pt x="2872844" y="4965419"/>
                </a:cubicBezTo>
                <a:cubicBezTo>
                  <a:pt x="2890632" y="4965419"/>
                  <a:pt x="2905055" y="4978697"/>
                  <a:pt x="2905055" y="4995071"/>
                </a:cubicBezTo>
                <a:cubicBezTo>
                  <a:pt x="2905055" y="5011446"/>
                  <a:pt x="2890632" y="5024724"/>
                  <a:pt x="2872844" y="5024724"/>
                </a:cubicBezTo>
                <a:close/>
                <a:moveTo>
                  <a:pt x="2951379" y="5024724"/>
                </a:moveTo>
                <a:cubicBezTo>
                  <a:pt x="2933591" y="5024724"/>
                  <a:pt x="2919168" y="5011446"/>
                  <a:pt x="2919168" y="4995071"/>
                </a:cubicBezTo>
                <a:cubicBezTo>
                  <a:pt x="2919168" y="4978697"/>
                  <a:pt x="2933591" y="4965419"/>
                  <a:pt x="2951379" y="4965419"/>
                </a:cubicBezTo>
                <a:cubicBezTo>
                  <a:pt x="2969166" y="4965419"/>
                  <a:pt x="2983589" y="4978697"/>
                  <a:pt x="2983589" y="4995071"/>
                </a:cubicBezTo>
                <a:cubicBezTo>
                  <a:pt x="2983589" y="5011446"/>
                  <a:pt x="2969166" y="5024724"/>
                  <a:pt x="2951379" y="5024724"/>
                </a:cubicBezTo>
                <a:close/>
                <a:moveTo>
                  <a:pt x="3186979" y="5024724"/>
                </a:moveTo>
                <a:cubicBezTo>
                  <a:pt x="3169192" y="5024724"/>
                  <a:pt x="3154769" y="5011446"/>
                  <a:pt x="3154769" y="4995071"/>
                </a:cubicBezTo>
                <a:cubicBezTo>
                  <a:pt x="3154769" y="4978697"/>
                  <a:pt x="3169192" y="4965419"/>
                  <a:pt x="3186979" y="4965419"/>
                </a:cubicBezTo>
                <a:cubicBezTo>
                  <a:pt x="3204767" y="4965419"/>
                  <a:pt x="3219190" y="4978697"/>
                  <a:pt x="3219190" y="4995071"/>
                </a:cubicBezTo>
                <a:cubicBezTo>
                  <a:pt x="3219190" y="5011446"/>
                  <a:pt x="3204767" y="5024724"/>
                  <a:pt x="3186979" y="5024724"/>
                </a:cubicBezTo>
                <a:close/>
                <a:moveTo>
                  <a:pt x="3265514" y="5024724"/>
                </a:moveTo>
                <a:cubicBezTo>
                  <a:pt x="3247726" y="5024724"/>
                  <a:pt x="3233303" y="5011446"/>
                  <a:pt x="3233303" y="4995071"/>
                </a:cubicBezTo>
                <a:cubicBezTo>
                  <a:pt x="3233303" y="4978697"/>
                  <a:pt x="3247726" y="4965419"/>
                  <a:pt x="3265514" y="4965419"/>
                </a:cubicBezTo>
                <a:cubicBezTo>
                  <a:pt x="3283301" y="4965419"/>
                  <a:pt x="3297724" y="4978697"/>
                  <a:pt x="3297724" y="4995071"/>
                </a:cubicBezTo>
                <a:cubicBezTo>
                  <a:pt x="3297724" y="5011446"/>
                  <a:pt x="3283301" y="5024724"/>
                  <a:pt x="3265514" y="5024724"/>
                </a:cubicBezTo>
                <a:close/>
                <a:moveTo>
                  <a:pt x="3344048" y="5024724"/>
                </a:moveTo>
                <a:cubicBezTo>
                  <a:pt x="3326261" y="5024724"/>
                  <a:pt x="3311837" y="5011446"/>
                  <a:pt x="3311837" y="4995071"/>
                </a:cubicBezTo>
                <a:cubicBezTo>
                  <a:pt x="3311837" y="4978697"/>
                  <a:pt x="3326261" y="4965419"/>
                  <a:pt x="3344048" y="4965419"/>
                </a:cubicBezTo>
                <a:cubicBezTo>
                  <a:pt x="3361835" y="4965419"/>
                  <a:pt x="3376258" y="4978697"/>
                  <a:pt x="3376258" y="4995071"/>
                </a:cubicBezTo>
                <a:cubicBezTo>
                  <a:pt x="3376258" y="5011446"/>
                  <a:pt x="3361835" y="5024724"/>
                  <a:pt x="3344048" y="5024724"/>
                </a:cubicBezTo>
                <a:close/>
                <a:moveTo>
                  <a:pt x="3422581" y="5024724"/>
                </a:moveTo>
                <a:cubicBezTo>
                  <a:pt x="3404794" y="5024724"/>
                  <a:pt x="3390371" y="5011446"/>
                  <a:pt x="3390371" y="4995071"/>
                </a:cubicBezTo>
                <a:cubicBezTo>
                  <a:pt x="3390371" y="4978697"/>
                  <a:pt x="3404794" y="4965419"/>
                  <a:pt x="3422581" y="4965419"/>
                </a:cubicBezTo>
                <a:cubicBezTo>
                  <a:pt x="3440368" y="4965419"/>
                  <a:pt x="3454791" y="4978697"/>
                  <a:pt x="3454791" y="4995071"/>
                </a:cubicBezTo>
                <a:cubicBezTo>
                  <a:pt x="3454791" y="5011446"/>
                  <a:pt x="3440368" y="5024724"/>
                  <a:pt x="3422581" y="5024724"/>
                </a:cubicBezTo>
                <a:close/>
                <a:moveTo>
                  <a:pt x="3501115" y="5024724"/>
                </a:moveTo>
                <a:cubicBezTo>
                  <a:pt x="3483328" y="5024724"/>
                  <a:pt x="3468905" y="5011446"/>
                  <a:pt x="3468905" y="4995071"/>
                </a:cubicBezTo>
                <a:cubicBezTo>
                  <a:pt x="3468905" y="4978697"/>
                  <a:pt x="3483328" y="4965419"/>
                  <a:pt x="3501115" y="4965419"/>
                </a:cubicBezTo>
                <a:cubicBezTo>
                  <a:pt x="3518903" y="4965419"/>
                  <a:pt x="3533326" y="4978697"/>
                  <a:pt x="3533326" y="4995071"/>
                </a:cubicBezTo>
                <a:cubicBezTo>
                  <a:pt x="3533326" y="5011446"/>
                  <a:pt x="3518903" y="5024724"/>
                  <a:pt x="3501115" y="5024724"/>
                </a:cubicBezTo>
                <a:close/>
                <a:moveTo>
                  <a:pt x="3579650" y="5024724"/>
                </a:moveTo>
                <a:cubicBezTo>
                  <a:pt x="3561862" y="5024724"/>
                  <a:pt x="3547439" y="5011446"/>
                  <a:pt x="3547439" y="4995071"/>
                </a:cubicBezTo>
                <a:cubicBezTo>
                  <a:pt x="3547439" y="4978697"/>
                  <a:pt x="3561862" y="4965419"/>
                  <a:pt x="3579650" y="4965419"/>
                </a:cubicBezTo>
                <a:cubicBezTo>
                  <a:pt x="3597437" y="4965419"/>
                  <a:pt x="3611860" y="4978697"/>
                  <a:pt x="3611860" y="4995071"/>
                </a:cubicBezTo>
                <a:cubicBezTo>
                  <a:pt x="3611860" y="5011446"/>
                  <a:pt x="3597437" y="5024724"/>
                  <a:pt x="3579650" y="5024724"/>
                </a:cubicBezTo>
                <a:close/>
                <a:moveTo>
                  <a:pt x="3658183" y="5024724"/>
                </a:moveTo>
                <a:cubicBezTo>
                  <a:pt x="3640396" y="5024724"/>
                  <a:pt x="3625972" y="5011446"/>
                  <a:pt x="3625972" y="4995071"/>
                </a:cubicBezTo>
                <a:cubicBezTo>
                  <a:pt x="3625972" y="4978697"/>
                  <a:pt x="3640396" y="4965419"/>
                  <a:pt x="3658183" y="4965419"/>
                </a:cubicBezTo>
                <a:cubicBezTo>
                  <a:pt x="3675970" y="4965419"/>
                  <a:pt x="3690393" y="4978697"/>
                  <a:pt x="3690393" y="4995071"/>
                </a:cubicBezTo>
                <a:cubicBezTo>
                  <a:pt x="3690393" y="5011446"/>
                  <a:pt x="3675970" y="5024724"/>
                  <a:pt x="3658183" y="5024724"/>
                </a:cubicBezTo>
                <a:close/>
                <a:moveTo>
                  <a:pt x="3736717" y="5024724"/>
                </a:moveTo>
                <a:cubicBezTo>
                  <a:pt x="3718930" y="5024724"/>
                  <a:pt x="3704507" y="5011446"/>
                  <a:pt x="3704507" y="4995071"/>
                </a:cubicBezTo>
                <a:cubicBezTo>
                  <a:pt x="3704507" y="4978697"/>
                  <a:pt x="3718930" y="4965419"/>
                  <a:pt x="3736717" y="4965419"/>
                </a:cubicBezTo>
                <a:cubicBezTo>
                  <a:pt x="3754504" y="4965419"/>
                  <a:pt x="3768927" y="4978697"/>
                  <a:pt x="3768927" y="4995071"/>
                </a:cubicBezTo>
                <a:cubicBezTo>
                  <a:pt x="3768927" y="5011446"/>
                  <a:pt x="3754504" y="5024724"/>
                  <a:pt x="3736717" y="5024724"/>
                </a:cubicBezTo>
                <a:close/>
                <a:moveTo>
                  <a:pt x="3815250" y="5024724"/>
                </a:moveTo>
                <a:cubicBezTo>
                  <a:pt x="3797463" y="5024724"/>
                  <a:pt x="3783040" y="5011446"/>
                  <a:pt x="3783040" y="4995071"/>
                </a:cubicBezTo>
                <a:cubicBezTo>
                  <a:pt x="3783040" y="4978697"/>
                  <a:pt x="3797463" y="4965419"/>
                  <a:pt x="3815250" y="4965419"/>
                </a:cubicBezTo>
                <a:cubicBezTo>
                  <a:pt x="3833038" y="4965419"/>
                  <a:pt x="3847461" y="4978697"/>
                  <a:pt x="3847461" y="4995071"/>
                </a:cubicBezTo>
                <a:cubicBezTo>
                  <a:pt x="3847461" y="5011446"/>
                  <a:pt x="3833038" y="5024724"/>
                  <a:pt x="3815250" y="5024724"/>
                </a:cubicBezTo>
                <a:close/>
                <a:moveTo>
                  <a:pt x="3972319" y="5024724"/>
                </a:moveTo>
                <a:cubicBezTo>
                  <a:pt x="3954532" y="5024724"/>
                  <a:pt x="3940108" y="5011446"/>
                  <a:pt x="3940108" y="4995071"/>
                </a:cubicBezTo>
                <a:cubicBezTo>
                  <a:pt x="3940108" y="4978697"/>
                  <a:pt x="3954532" y="4965419"/>
                  <a:pt x="3972319" y="4965419"/>
                </a:cubicBezTo>
                <a:cubicBezTo>
                  <a:pt x="3990106" y="4965419"/>
                  <a:pt x="4004529" y="4978697"/>
                  <a:pt x="4004529" y="4995071"/>
                </a:cubicBezTo>
                <a:cubicBezTo>
                  <a:pt x="4004529" y="5011446"/>
                  <a:pt x="3990106" y="5024724"/>
                  <a:pt x="3972319" y="5024724"/>
                </a:cubicBezTo>
                <a:close/>
                <a:moveTo>
                  <a:pt x="4286460" y="5024724"/>
                </a:moveTo>
                <a:cubicBezTo>
                  <a:pt x="4268673" y="5024724"/>
                  <a:pt x="4254250" y="5011446"/>
                  <a:pt x="4254250" y="4995071"/>
                </a:cubicBezTo>
                <a:cubicBezTo>
                  <a:pt x="4254250" y="4978697"/>
                  <a:pt x="4268673" y="4965419"/>
                  <a:pt x="4286460" y="4965419"/>
                </a:cubicBezTo>
                <a:cubicBezTo>
                  <a:pt x="4304247" y="4965419"/>
                  <a:pt x="4318670" y="4978697"/>
                  <a:pt x="4318670" y="4995071"/>
                </a:cubicBezTo>
                <a:cubicBezTo>
                  <a:pt x="4318670" y="5011446"/>
                  <a:pt x="4304247" y="5024724"/>
                  <a:pt x="4286460" y="5024724"/>
                </a:cubicBezTo>
                <a:close/>
                <a:moveTo>
                  <a:pt x="4364994" y="5024724"/>
                </a:moveTo>
                <a:cubicBezTo>
                  <a:pt x="4347207" y="5024724"/>
                  <a:pt x="4332784" y="5011446"/>
                  <a:pt x="4332784" y="4995071"/>
                </a:cubicBezTo>
                <a:cubicBezTo>
                  <a:pt x="4332784" y="4978697"/>
                  <a:pt x="4347207" y="4965419"/>
                  <a:pt x="4364994" y="4965419"/>
                </a:cubicBezTo>
                <a:cubicBezTo>
                  <a:pt x="4382781" y="4965419"/>
                  <a:pt x="4397204" y="4978697"/>
                  <a:pt x="4397204" y="4995071"/>
                </a:cubicBezTo>
                <a:cubicBezTo>
                  <a:pt x="4397204" y="5011446"/>
                  <a:pt x="4382781" y="5024724"/>
                  <a:pt x="4364994" y="5024724"/>
                </a:cubicBezTo>
                <a:close/>
                <a:moveTo>
                  <a:pt x="4679129" y="5024724"/>
                </a:moveTo>
                <a:cubicBezTo>
                  <a:pt x="4661342" y="5024724"/>
                  <a:pt x="4646919" y="5011446"/>
                  <a:pt x="4646919" y="4995071"/>
                </a:cubicBezTo>
                <a:cubicBezTo>
                  <a:pt x="4646919" y="4978697"/>
                  <a:pt x="4661342" y="4965419"/>
                  <a:pt x="4679129" y="4965419"/>
                </a:cubicBezTo>
                <a:cubicBezTo>
                  <a:pt x="4696916" y="4965419"/>
                  <a:pt x="4711339" y="4978697"/>
                  <a:pt x="4711339" y="4995071"/>
                </a:cubicBezTo>
                <a:cubicBezTo>
                  <a:pt x="4711339" y="5011446"/>
                  <a:pt x="4696916" y="5024724"/>
                  <a:pt x="4679129" y="5024724"/>
                </a:cubicBezTo>
                <a:close/>
                <a:moveTo>
                  <a:pt x="4757663" y="5024724"/>
                </a:moveTo>
                <a:cubicBezTo>
                  <a:pt x="4739876" y="5024724"/>
                  <a:pt x="4725453" y="5011446"/>
                  <a:pt x="4725453" y="4995071"/>
                </a:cubicBezTo>
                <a:cubicBezTo>
                  <a:pt x="4725453" y="4978697"/>
                  <a:pt x="4739876" y="4965419"/>
                  <a:pt x="4757663" y="4965419"/>
                </a:cubicBezTo>
                <a:cubicBezTo>
                  <a:pt x="4775451" y="4965419"/>
                  <a:pt x="4789874" y="4978697"/>
                  <a:pt x="4789874" y="4995071"/>
                </a:cubicBezTo>
                <a:cubicBezTo>
                  <a:pt x="4789874" y="5011446"/>
                  <a:pt x="4775451" y="5024724"/>
                  <a:pt x="4757663" y="5024724"/>
                </a:cubicBezTo>
                <a:close/>
                <a:moveTo>
                  <a:pt x="4836197" y="5024724"/>
                </a:moveTo>
                <a:cubicBezTo>
                  <a:pt x="4818409" y="5024724"/>
                  <a:pt x="4803986" y="5011446"/>
                  <a:pt x="4803986" y="4995071"/>
                </a:cubicBezTo>
                <a:cubicBezTo>
                  <a:pt x="4803986" y="4978697"/>
                  <a:pt x="4818409" y="4965419"/>
                  <a:pt x="4836197" y="4965419"/>
                </a:cubicBezTo>
                <a:cubicBezTo>
                  <a:pt x="4853984" y="4965419"/>
                  <a:pt x="4868407" y="4978697"/>
                  <a:pt x="4868407" y="4995071"/>
                </a:cubicBezTo>
                <a:cubicBezTo>
                  <a:pt x="4868407" y="5011446"/>
                  <a:pt x="4853984" y="5024724"/>
                  <a:pt x="4836197" y="5024724"/>
                </a:cubicBezTo>
                <a:close/>
                <a:moveTo>
                  <a:pt x="4914731" y="5024724"/>
                </a:moveTo>
                <a:cubicBezTo>
                  <a:pt x="4896944" y="5024724"/>
                  <a:pt x="4882521" y="5011446"/>
                  <a:pt x="4882521" y="4995071"/>
                </a:cubicBezTo>
                <a:cubicBezTo>
                  <a:pt x="4882521" y="4978697"/>
                  <a:pt x="4896944" y="4965419"/>
                  <a:pt x="4914731" y="4965419"/>
                </a:cubicBezTo>
                <a:cubicBezTo>
                  <a:pt x="4932518" y="4965419"/>
                  <a:pt x="4946941" y="4978697"/>
                  <a:pt x="4946941" y="4995071"/>
                </a:cubicBezTo>
                <a:cubicBezTo>
                  <a:pt x="4946941" y="5011446"/>
                  <a:pt x="4932518" y="5024724"/>
                  <a:pt x="4914731" y="5024724"/>
                </a:cubicBezTo>
                <a:close/>
                <a:moveTo>
                  <a:pt x="4993265" y="5024724"/>
                </a:moveTo>
                <a:cubicBezTo>
                  <a:pt x="4975478" y="5024724"/>
                  <a:pt x="4961055" y="5011446"/>
                  <a:pt x="4961055" y="4995071"/>
                </a:cubicBezTo>
                <a:cubicBezTo>
                  <a:pt x="4961055" y="4978697"/>
                  <a:pt x="4975478" y="4965419"/>
                  <a:pt x="4993265" y="4965419"/>
                </a:cubicBezTo>
                <a:cubicBezTo>
                  <a:pt x="5011052" y="4965419"/>
                  <a:pt x="5025475" y="4978697"/>
                  <a:pt x="5025475" y="4995071"/>
                </a:cubicBezTo>
                <a:cubicBezTo>
                  <a:pt x="5025475" y="5011446"/>
                  <a:pt x="5011052" y="5024724"/>
                  <a:pt x="4993265" y="5024724"/>
                </a:cubicBezTo>
                <a:close/>
                <a:moveTo>
                  <a:pt x="5071798" y="5024724"/>
                </a:moveTo>
                <a:cubicBezTo>
                  <a:pt x="5054011" y="5024724"/>
                  <a:pt x="5039588" y="5011446"/>
                  <a:pt x="5039588" y="4995071"/>
                </a:cubicBezTo>
                <a:cubicBezTo>
                  <a:pt x="5039588" y="4978697"/>
                  <a:pt x="5054011" y="4965419"/>
                  <a:pt x="5071798" y="4965419"/>
                </a:cubicBezTo>
                <a:cubicBezTo>
                  <a:pt x="5089586" y="4965419"/>
                  <a:pt x="5104009" y="4978697"/>
                  <a:pt x="5104009" y="4995071"/>
                </a:cubicBezTo>
                <a:cubicBezTo>
                  <a:pt x="5104009" y="5011446"/>
                  <a:pt x="5089586" y="5024724"/>
                  <a:pt x="5071798" y="5024724"/>
                </a:cubicBezTo>
                <a:close/>
                <a:moveTo>
                  <a:pt x="5150333" y="5024724"/>
                </a:moveTo>
                <a:cubicBezTo>
                  <a:pt x="5132545" y="5024724"/>
                  <a:pt x="5118122" y="5011446"/>
                  <a:pt x="5118122" y="4995071"/>
                </a:cubicBezTo>
                <a:cubicBezTo>
                  <a:pt x="5118122" y="4978697"/>
                  <a:pt x="5132545" y="4965419"/>
                  <a:pt x="5150333" y="4965419"/>
                </a:cubicBezTo>
                <a:cubicBezTo>
                  <a:pt x="5168120" y="4965419"/>
                  <a:pt x="5182543" y="4978697"/>
                  <a:pt x="5182543" y="4995071"/>
                </a:cubicBezTo>
                <a:cubicBezTo>
                  <a:pt x="5182543" y="5011446"/>
                  <a:pt x="5168120" y="5024724"/>
                  <a:pt x="5150333" y="5024724"/>
                </a:cubicBezTo>
                <a:close/>
                <a:moveTo>
                  <a:pt x="5228867" y="5024724"/>
                </a:moveTo>
                <a:cubicBezTo>
                  <a:pt x="5211080" y="5024724"/>
                  <a:pt x="5196657" y="5011446"/>
                  <a:pt x="5196657" y="4995071"/>
                </a:cubicBezTo>
                <a:cubicBezTo>
                  <a:pt x="5196657" y="4978697"/>
                  <a:pt x="5211080" y="4965419"/>
                  <a:pt x="5228867" y="4965419"/>
                </a:cubicBezTo>
                <a:cubicBezTo>
                  <a:pt x="5246654" y="4965419"/>
                  <a:pt x="5261077" y="4978697"/>
                  <a:pt x="5261077" y="4995071"/>
                </a:cubicBezTo>
                <a:cubicBezTo>
                  <a:pt x="5261077" y="5011446"/>
                  <a:pt x="5246654" y="5024724"/>
                  <a:pt x="5228867" y="5024724"/>
                </a:cubicBezTo>
                <a:close/>
                <a:moveTo>
                  <a:pt x="5385934" y="5024724"/>
                </a:moveTo>
                <a:cubicBezTo>
                  <a:pt x="5368147" y="5024724"/>
                  <a:pt x="5353724" y="5011446"/>
                  <a:pt x="5353724" y="4995071"/>
                </a:cubicBezTo>
                <a:cubicBezTo>
                  <a:pt x="5353724" y="4978697"/>
                  <a:pt x="5368147" y="4965419"/>
                  <a:pt x="5385934" y="4965419"/>
                </a:cubicBezTo>
                <a:cubicBezTo>
                  <a:pt x="5403722" y="4965419"/>
                  <a:pt x="5418145" y="4978697"/>
                  <a:pt x="5418145" y="4995071"/>
                </a:cubicBezTo>
                <a:cubicBezTo>
                  <a:pt x="5418145" y="5011446"/>
                  <a:pt x="5403722" y="5024724"/>
                  <a:pt x="5385934" y="5024724"/>
                </a:cubicBezTo>
                <a:close/>
                <a:moveTo>
                  <a:pt x="7192237" y="5024724"/>
                </a:moveTo>
                <a:cubicBezTo>
                  <a:pt x="7174450" y="5024724"/>
                  <a:pt x="7160021" y="5011446"/>
                  <a:pt x="7160021" y="4995071"/>
                </a:cubicBezTo>
                <a:cubicBezTo>
                  <a:pt x="7160021" y="4978697"/>
                  <a:pt x="7174450" y="4965419"/>
                  <a:pt x="7192237" y="4965419"/>
                </a:cubicBezTo>
                <a:cubicBezTo>
                  <a:pt x="7210024" y="4965419"/>
                  <a:pt x="7224441" y="4978697"/>
                  <a:pt x="7224441" y="4995071"/>
                </a:cubicBezTo>
                <a:cubicBezTo>
                  <a:pt x="7224441" y="5011446"/>
                  <a:pt x="7210024" y="5024724"/>
                  <a:pt x="7192237" y="5024724"/>
                </a:cubicBezTo>
                <a:close/>
                <a:moveTo>
                  <a:pt x="7506373" y="5024724"/>
                </a:moveTo>
                <a:cubicBezTo>
                  <a:pt x="7488586" y="5024724"/>
                  <a:pt x="7474157" y="5011446"/>
                  <a:pt x="7474157" y="4995071"/>
                </a:cubicBezTo>
                <a:cubicBezTo>
                  <a:pt x="7474157" y="4978697"/>
                  <a:pt x="7488586" y="4965419"/>
                  <a:pt x="7506373" y="4965419"/>
                </a:cubicBezTo>
                <a:cubicBezTo>
                  <a:pt x="7524160" y="4965419"/>
                  <a:pt x="7538577" y="4978697"/>
                  <a:pt x="7538577" y="4995071"/>
                </a:cubicBezTo>
                <a:cubicBezTo>
                  <a:pt x="7538577" y="5011446"/>
                  <a:pt x="7524160" y="5024724"/>
                  <a:pt x="7506373" y="5024724"/>
                </a:cubicBezTo>
                <a:close/>
                <a:moveTo>
                  <a:pt x="7741974" y="5024724"/>
                </a:moveTo>
                <a:cubicBezTo>
                  <a:pt x="7724187" y="5024724"/>
                  <a:pt x="7709758" y="5011446"/>
                  <a:pt x="7709758" y="4995071"/>
                </a:cubicBezTo>
                <a:cubicBezTo>
                  <a:pt x="7709758" y="4978697"/>
                  <a:pt x="7724187" y="4965419"/>
                  <a:pt x="7741974" y="4965419"/>
                </a:cubicBezTo>
                <a:cubicBezTo>
                  <a:pt x="7759761" y="4965419"/>
                  <a:pt x="7774178" y="4978697"/>
                  <a:pt x="7774178" y="4995071"/>
                </a:cubicBezTo>
                <a:cubicBezTo>
                  <a:pt x="7774178" y="5011446"/>
                  <a:pt x="7759761" y="5024724"/>
                  <a:pt x="7741974" y="5024724"/>
                </a:cubicBezTo>
                <a:close/>
                <a:moveTo>
                  <a:pt x="7820508" y="5024724"/>
                </a:moveTo>
                <a:cubicBezTo>
                  <a:pt x="7802721" y="5024724"/>
                  <a:pt x="7788292" y="5011446"/>
                  <a:pt x="7788292" y="4995071"/>
                </a:cubicBezTo>
                <a:cubicBezTo>
                  <a:pt x="7788292" y="4978697"/>
                  <a:pt x="7802721" y="4965419"/>
                  <a:pt x="7820508" y="4965419"/>
                </a:cubicBezTo>
                <a:cubicBezTo>
                  <a:pt x="7838295" y="4965419"/>
                  <a:pt x="7852712" y="4978697"/>
                  <a:pt x="7852712" y="4995071"/>
                </a:cubicBezTo>
                <a:cubicBezTo>
                  <a:pt x="7852712" y="5011446"/>
                  <a:pt x="7838295" y="5024724"/>
                  <a:pt x="7820508" y="5024724"/>
                </a:cubicBezTo>
                <a:close/>
                <a:moveTo>
                  <a:pt x="7899042" y="5024724"/>
                </a:moveTo>
                <a:cubicBezTo>
                  <a:pt x="7881255" y="5024724"/>
                  <a:pt x="7866826" y="5011446"/>
                  <a:pt x="7866826" y="4995071"/>
                </a:cubicBezTo>
                <a:cubicBezTo>
                  <a:pt x="7866826" y="4978697"/>
                  <a:pt x="7881255" y="4965419"/>
                  <a:pt x="7899042" y="4965419"/>
                </a:cubicBezTo>
                <a:cubicBezTo>
                  <a:pt x="7916830" y="4965419"/>
                  <a:pt x="7931247" y="4978697"/>
                  <a:pt x="7931247" y="4995071"/>
                </a:cubicBezTo>
                <a:cubicBezTo>
                  <a:pt x="7931247" y="5011446"/>
                  <a:pt x="7916830" y="5024724"/>
                  <a:pt x="7899042" y="5024724"/>
                </a:cubicBezTo>
                <a:close/>
                <a:moveTo>
                  <a:pt x="7977576" y="5024724"/>
                </a:moveTo>
                <a:cubicBezTo>
                  <a:pt x="7959788" y="5024724"/>
                  <a:pt x="7945359" y="5011446"/>
                  <a:pt x="7945359" y="4995071"/>
                </a:cubicBezTo>
                <a:cubicBezTo>
                  <a:pt x="7945359" y="4978697"/>
                  <a:pt x="7959788" y="4965419"/>
                  <a:pt x="7977576" y="4965419"/>
                </a:cubicBezTo>
                <a:cubicBezTo>
                  <a:pt x="7995363" y="4965419"/>
                  <a:pt x="8009780" y="4978697"/>
                  <a:pt x="8009780" y="4995071"/>
                </a:cubicBezTo>
                <a:cubicBezTo>
                  <a:pt x="8009780" y="5011446"/>
                  <a:pt x="7995363" y="5024724"/>
                  <a:pt x="7977576" y="5024724"/>
                </a:cubicBezTo>
                <a:close/>
                <a:moveTo>
                  <a:pt x="8056110" y="5024724"/>
                </a:moveTo>
                <a:cubicBezTo>
                  <a:pt x="8038323" y="5024724"/>
                  <a:pt x="8023894" y="5011446"/>
                  <a:pt x="8023894" y="4995071"/>
                </a:cubicBezTo>
                <a:cubicBezTo>
                  <a:pt x="8023894" y="4978697"/>
                  <a:pt x="8038323" y="4965419"/>
                  <a:pt x="8056110" y="4965419"/>
                </a:cubicBezTo>
                <a:cubicBezTo>
                  <a:pt x="8073897" y="4965419"/>
                  <a:pt x="8088314" y="4978697"/>
                  <a:pt x="8088314" y="4995071"/>
                </a:cubicBezTo>
                <a:cubicBezTo>
                  <a:pt x="8088314" y="5011446"/>
                  <a:pt x="8073897" y="5024724"/>
                  <a:pt x="8056110" y="5024724"/>
                </a:cubicBezTo>
                <a:close/>
                <a:moveTo>
                  <a:pt x="8134643" y="5024724"/>
                </a:moveTo>
                <a:cubicBezTo>
                  <a:pt x="8116856" y="5024724"/>
                  <a:pt x="8102427" y="5011446"/>
                  <a:pt x="8102427" y="4995071"/>
                </a:cubicBezTo>
                <a:cubicBezTo>
                  <a:pt x="8102427" y="4978697"/>
                  <a:pt x="8116856" y="4965419"/>
                  <a:pt x="8134643" y="4965419"/>
                </a:cubicBezTo>
                <a:cubicBezTo>
                  <a:pt x="8152430" y="4965419"/>
                  <a:pt x="8166847" y="4978697"/>
                  <a:pt x="8166847" y="4995071"/>
                </a:cubicBezTo>
                <a:cubicBezTo>
                  <a:pt x="8166847" y="5011446"/>
                  <a:pt x="8152430" y="5024724"/>
                  <a:pt x="8134643" y="5024724"/>
                </a:cubicBezTo>
                <a:close/>
                <a:moveTo>
                  <a:pt x="8213177" y="5024724"/>
                </a:moveTo>
                <a:cubicBezTo>
                  <a:pt x="8195390" y="5024724"/>
                  <a:pt x="8180961" y="5011446"/>
                  <a:pt x="8180961" y="4995071"/>
                </a:cubicBezTo>
                <a:cubicBezTo>
                  <a:pt x="8180961" y="4978697"/>
                  <a:pt x="8195390" y="4965419"/>
                  <a:pt x="8213177" y="4965419"/>
                </a:cubicBezTo>
                <a:cubicBezTo>
                  <a:pt x="8230965" y="4965419"/>
                  <a:pt x="8245382" y="4978697"/>
                  <a:pt x="8245382" y="4995071"/>
                </a:cubicBezTo>
                <a:cubicBezTo>
                  <a:pt x="8245382" y="5011446"/>
                  <a:pt x="8230965" y="5024724"/>
                  <a:pt x="8213177" y="5024724"/>
                </a:cubicBezTo>
                <a:close/>
                <a:moveTo>
                  <a:pt x="8291712" y="5024724"/>
                </a:moveTo>
                <a:cubicBezTo>
                  <a:pt x="8273924" y="5024724"/>
                  <a:pt x="8259495" y="5011446"/>
                  <a:pt x="8259495" y="4995071"/>
                </a:cubicBezTo>
                <a:cubicBezTo>
                  <a:pt x="8259495" y="4978697"/>
                  <a:pt x="8273924" y="4965419"/>
                  <a:pt x="8291712" y="4965419"/>
                </a:cubicBezTo>
                <a:cubicBezTo>
                  <a:pt x="8309499" y="4965419"/>
                  <a:pt x="8323916" y="4978697"/>
                  <a:pt x="8323916" y="4995071"/>
                </a:cubicBezTo>
                <a:cubicBezTo>
                  <a:pt x="8323916" y="5011446"/>
                  <a:pt x="8309499" y="5024724"/>
                  <a:pt x="8291712" y="5024724"/>
                </a:cubicBezTo>
                <a:close/>
                <a:moveTo>
                  <a:pt x="8370245" y="5024724"/>
                </a:moveTo>
                <a:cubicBezTo>
                  <a:pt x="8352458" y="5024724"/>
                  <a:pt x="8338029" y="5011446"/>
                  <a:pt x="8338029" y="4995071"/>
                </a:cubicBezTo>
                <a:cubicBezTo>
                  <a:pt x="8338029" y="4978697"/>
                  <a:pt x="8352458" y="4965419"/>
                  <a:pt x="8370245" y="4965419"/>
                </a:cubicBezTo>
                <a:cubicBezTo>
                  <a:pt x="8388032" y="4965419"/>
                  <a:pt x="8402449" y="4978697"/>
                  <a:pt x="8402449" y="4995071"/>
                </a:cubicBezTo>
                <a:cubicBezTo>
                  <a:pt x="8402449" y="5011446"/>
                  <a:pt x="8388032" y="5024724"/>
                  <a:pt x="8370245" y="5024724"/>
                </a:cubicBezTo>
                <a:close/>
                <a:moveTo>
                  <a:pt x="8448779" y="5024724"/>
                </a:moveTo>
                <a:cubicBezTo>
                  <a:pt x="8430992" y="5024724"/>
                  <a:pt x="8416563" y="5011446"/>
                  <a:pt x="8416563" y="4995071"/>
                </a:cubicBezTo>
                <a:cubicBezTo>
                  <a:pt x="8416563" y="4978697"/>
                  <a:pt x="8430992" y="4965419"/>
                  <a:pt x="8448779" y="4965419"/>
                </a:cubicBezTo>
                <a:cubicBezTo>
                  <a:pt x="8466566" y="4965419"/>
                  <a:pt x="8480983" y="4978697"/>
                  <a:pt x="8480983" y="4995071"/>
                </a:cubicBezTo>
                <a:cubicBezTo>
                  <a:pt x="8480983" y="5011446"/>
                  <a:pt x="8466566" y="5024724"/>
                  <a:pt x="8448779" y="5024724"/>
                </a:cubicBezTo>
                <a:close/>
                <a:moveTo>
                  <a:pt x="8527313" y="5024724"/>
                </a:moveTo>
                <a:cubicBezTo>
                  <a:pt x="8509526" y="5024724"/>
                  <a:pt x="8495097" y="5011446"/>
                  <a:pt x="8495097" y="4995071"/>
                </a:cubicBezTo>
                <a:cubicBezTo>
                  <a:pt x="8495097" y="4978697"/>
                  <a:pt x="8509526" y="4965419"/>
                  <a:pt x="8527313" y="4965419"/>
                </a:cubicBezTo>
                <a:cubicBezTo>
                  <a:pt x="8545101" y="4965419"/>
                  <a:pt x="8559518" y="4978697"/>
                  <a:pt x="8559518" y="4995071"/>
                </a:cubicBezTo>
                <a:cubicBezTo>
                  <a:pt x="8559518" y="5011446"/>
                  <a:pt x="8545101" y="5024724"/>
                  <a:pt x="8527313" y="5024724"/>
                </a:cubicBezTo>
                <a:close/>
                <a:moveTo>
                  <a:pt x="8605847" y="5024724"/>
                </a:moveTo>
                <a:cubicBezTo>
                  <a:pt x="8588059" y="5024724"/>
                  <a:pt x="8573630" y="5011446"/>
                  <a:pt x="8573630" y="4995071"/>
                </a:cubicBezTo>
                <a:cubicBezTo>
                  <a:pt x="8573630" y="4978697"/>
                  <a:pt x="8588059" y="4965419"/>
                  <a:pt x="8605847" y="4965419"/>
                </a:cubicBezTo>
                <a:cubicBezTo>
                  <a:pt x="8623634" y="4965419"/>
                  <a:pt x="8638051" y="4978697"/>
                  <a:pt x="8638051" y="4995071"/>
                </a:cubicBezTo>
                <a:cubicBezTo>
                  <a:pt x="8638051" y="5011446"/>
                  <a:pt x="8623634" y="5024724"/>
                  <a:pt x="8605847" y="5024724"/>
                </a:cubicBezTo>
                <a:close/>
                <a:moveTo>
                  <a:pt x="8684381" y="5024724"/>
                </a:moveTo>
                <a:cubicBezTo>
                  <a:pt x="8666594" y="5024724"/>
                  <a:pt x="8652165" y="5011446"/>
                  <a:pt x="8652165" y="4995071"/>
                </a:cubicBezTo>
                <a:cubicBezTo>
                  <a:pt x="8652165" y="4978697"/>
                  <a:pt x="8666594" y="4965419"/>
                  <a:pt x="8684381" y="4965419"/>
                </a:cubicBezTo>
                <a:cubicBezTo>
                  <a:pt x="8702168" y="4965419"/>
                  <a:pt x="8716585" y="4978697"/>
                  <a:pt x="8716585" y="4995071"/>
                </a:cubicBezTo>
                <a:cubicBezTo>
                  <a:pt x="8716585" y="5011446"/>
                  <a:pt x="8702168" y="5024724"/>
                  <a:pt x="8684381" y="5024724"/>
                </a:cubicBezTo>
                <a:close/>
                <a:moveTo>
                  <a:pt x="8762914" y="5024724"/>
                </a:moveTo>
                <a:cubicBezTo>
                  <a:pt x="8745127" y="5024724"/>
                  <a:pt x="8730698" y="5011446"/>
                  <a:pt x="8730698" y="4995071"/>
                </a:cubicBezTo>
                <a:cubicBezTo>
                  <a:pt x="8730698" y="4978697"/>
                  <a:pt x="8745127" y="4965419"/>
                  <a:pt x="8762914" y="4965419"/>
                </a:cubicBezTo>
                <a:cubicBezTo>
                  <a:pt x="8780701" y="4965419"/>
                  <a:pt x="8795118" y="4978697"/>
                  <a:pt x="8795118" y="4995071"/>
                </a:cubicBezTo>
                <a:cubicBezTo>
                  <a:pt x="8795118" y="5011446"/>
                  <a:pt x="8780701" y="5024724"/>
                  <a:pt x="8762914" y="5024724"/>
                </a:cubicBezTo>
                <a:close/>
                <a:moveTo>
                  <a:pt x="8841448" y="5024724"/>
                </a:moveTo>
                <a:cubicBezTo>
                  <a:pt x="8823661" y="5024724"/>
                  <a:pt x="8809232" y="5011446"/>
                  <a:pt x="8809232" y="4995071"/>
                </a:cubicBezTo>
                <a:cubicBezTo>
                  <a:pt x="8809232" y="4978697"/>
                  <a:pt x="8823661" y="4965419"/>
                  <a:pt x="8841448" y="4965419"/>
                </a:cubicBezTo>
                <a:cubicBezTo>
                  <a:pt x="8859236" y="4965419"/>
                  <a:pt x="8873653" y="4978697"/>
                  <a:pt x="8873653" y="4995071"/>
                </a:cubicBezTo>
                <a:cubicBezTo>
                  <a:pt x="8873653" y="5011446"/>
                  <a:pt x="8859236" y="5024724"/>
                  <a:pt x="8841448" y="5024724"/>
                </a:cubicBezTo>
                <a:close/>
                <a:moveTo>
                  <a:pt x="8919983" y="5024724"/>
                </a:moveTo>
                <a:cubicBezTo>
                  <a:pt x="8902195" y="5024724"/>
                  <a:pt x="8887766" y="5011446"/>
                  <a:pt x="8887766" y="4995071"/>
                </a:cubicBezTo>
                <a:cubicBezTo>
                  <a:pt x="8887766" y="4978697"/>
                  <a:pt x="8902195" y="4965419"/>
                  <a:pt x="8919983" y="4965419"/>
                </a:cubicBezTo>
                <a:cubicBezTo>
                  <a:pt x="8937770" y="4965419"/>
                  <a:pt x="8952187" y="4978697"/>
                  <a:pt x="8952187" y="4995071"/>
                </a:cubicBezTo>
                <a:cubicBezTo>
                  <a:pt x="8952187" y="5011446"/>
                  <a:pt x="8937770" y="5024724"/>
                  <a:pt x="8919983" y="5024724"/>
                </a:cubicBezTo>
                <a:close/>
                <a:moveTo>
                  <a:pt x="8998516" y="5024724"/>
                </a:moveTo>
                <a:cubicBezTo>
                  <a:pt x="8980729" y="5024724"/>
                  <a:pt x="8966300" y="5011446"/>
                  <a:pt x="8966300" y="4995071"/>
                </a:cubicBezTo>
                <a:cubicBezTo>
                  <a:pt x="8966300" y="4978697"/>
                  <a:pt x="8980729" y="4965419"/>
                  <a:pt x="8998516" y="4965419"/>
                </a:cubicBezTo>
                <a:cubicBezTo>
                  <a:pt x="9016303" y="4965419"/>
                  <a:pt x="9030720" y="4978697"/>
                  <a:pt x="9030720" y="4995071"/>
                </a:cubicBezTo>
                <a:cubicBezTo>
                  <a:pt x="9030720" y="5011446"/>
                  <a:pt x="9016303" y="5024724"/>
                  <a:pt x="8998516" y="5024724"/>
                </a:cubicBezTo>
                <a:close/>
                <a:moveTo>
                  <a:pt x="9077050" y="5024724"/>
                </a:moveTo>
                <a:cubicBezTo>
                  <a:pt x="9059263" y="5024724"/>
                  <a:pt x="9044834" y="5011446"/>
                  <a:pt x="9044834" y="4995071"/>
                </a:cubicBezTo>
                <a:cubicBezTo>
                  <a:pt x="9044834" y="4978697"/>
                  <a:pt x="9059263" y="4965419"/>
                  <a:pt x="9077050" y="4965419"/>
                </a:cubicBezTo>
                <a:cubicBezTo>
                  <a:pt x="9094837" y="4965419"/>
                  <a:pt x="9109254" y="4978697"/>
                  <a:pt x="9109254" y="4995071"/>
                </a:cubicBezTo>
                <a:cubicBezTo>
                  <a:pt x="9109254" y="5011446"/>
                  <a:pt x="9094837" y="5024724"/>
                  <a:pt x="9077050" y="5024724"/>
                </a:cubicBezTo>
                <a:close/>
                <a:moveTo>
                  <a:pt x="9155583" y="5024724"/>
                </a:moveTo>
                <a:cubicBezTo>
                  <a:pt x="9137796" y="5024724"/>
                  <a:pt x="9123367" y="5011446"/>
                  <a:pt x="9123367" y="4995071"/>
                </a:cubicBezTo>
                <a:cubicBezTo>
                  <a:pt x="9123367" y="4978697"/>
                  <a:pt x="9137796" y="4965419"/>
                  <a:pt x="9155583" y="4965419"/>
                </a:cubicBezTo>
                <a:cubicBezTo>
                  <a:pt x="9173371" y="4965419"/>
                  <a:pt x="9187788" y="4978697"/>
                  <a:pt x="9187788" y="4995071"/>
                </a:cubicBezTo>
                <a:cubicBezTo>
                  <a:pt x="9187788" y="5011446"/>
                  <a:pt x="9173371" y="5024724"/>
                  <a:pt x="9155583" y="5024724"/>
                </a:cubicBezTo>
                <a:close/>
                <a:moveTo>
                  <a:pt x="9234118" y="5024724"/>
                </a:moveTo>
                <a:cubicBezTo>
                  <a:pt x="9216330" y="5024724"/>
                  <a:pt x="9201901" y="5011446"/>
                  <a:pt x="9201901" y="4995071"/>
                </a:cubicBezTo>
                <a:cubicBezTo>
                  <a:pt x="9201901" y="4978697"/>
                  <a:pt x="9216330" y="4965419"/>
                  <a:pt x="9234118" y="4965419"/>
                </a:cubicBezTo>
                <a:cubicBezTo>
                  <a:pt x="9251905" y="4965419"/>
                  <a:pt x="9266322" y="4978697"/>
                  <a:pt x="9266322" y="4995071"/>
                </a:cubicBezTo>
                <a:cubicBezTo>
                  <a:pt x="9266322" y="5011446"/>
                  <a:pt x="9251905" y="5024724"/>
                  <a:pt x="9234118" y="5024724"/>
                </a:cubicBezTo>
                <a:close/>
                <a:moveTo>
                  <a:pt x="9312652" y="5024724"/>
                </a:moveTo>
                <a:cubicBezTo>
                  <a:pt x="9294865" y="5024724"/>
                  <a:pt x="9280436" y="5011446"/>
                  <a:pt x="9280436" y="4995071"/>
                </a:cubicBezTo>
                <a:cubicBezTo>
                  <a:pt x="9280436" y="4978697"/>
                  <a:pt x="9294865" y="4965419"/>
                  <a:pt x="9312652" y="4965419"/>
                </a:cubicBezTo>
                <a:cubicBezTo>
                  <a:pt x="9330439" y="4965419"/>
                  <a:pt x="9344856" y="4978697"/>
                  <a:pt x="9344856" y="4995071"/>
                </a:cubicBezTo>
                <a:cubicBezTo>
                  <a:pt x="9344856" y="5011446"/>
                  <a:pt x="9330439" y="5024724"/>
                  <a:pt x="9312652" y="5024724"/>
                </a:cubicBezTo>
                <a:close/>
                <a:moveTo>
                  <a:pt x="9391185" y="5024724"/>
                </a:moveTo>
                <a:cubicBezTo>
                  <a:pt x="9373398" y="5024724"/>
                  <a:pt x="9358969" y="5011446"/>
                  <a:pt x="9358969" y="4995071"/>
                </a:cubicBezTo>
                <a:cubicBezTo>
                  <a:pt x="9358969" y="4978697"/>
                  <a:pt x="9373398" y="4965419"/>
                  <a:pt x="9391185" y="4965419"/>
                </a:cubicBezTo>
                <a:cubicBezTo>
                  <a:pt x="9408972" y="4965419"/>
                  <a:pt x="9423389" y="4978697"/>
                  <a:pt x="9423389" y="4995071"/>
                </a:cubicBezTo>
                <a:cubicBezTo>
                  <a:pt x="9423389" y="5011446"/>
                  <a:pt x="9408972" y="5024724"/>
                  <a:pt x="9391185" y="5024724"/>
                </a:cubicBezTo>
                <a:close/>
                <a:moveTo>
                  <a:pt x="9469719" y="5024724"/>
                </a:moveTo>
                <a:cubicBezTo>
                  <a:pt x="9451932" y="5024724"/>
                  <a:pt x="9437503" y="5011446"/>
                  <a:pt x="9437503" y="4995071"/>
                </a:cubicBezTo>
                <a:cubicBezTo>
                  <a:pt x="9437503" y="4978697"/>
                  <a:pt x="9451932" y="4965419"/>
                  <a:pt x="9469719" y="4965419"/>
                </a:cubicBezTo>
                <a:cubicBezTo>
                  <a:pt x="9487507" y="4965419"/>
                  <a:pt x="9501924" y="4978697"/>
                  <a:pt x="9501924" y="4995071"/>
                </a:cubicBezTo>
                <a:cubicBezTo>
                  <a:pt x="9501924" y="5011446"/>
                  <a:pt x="9487507" y="5024724"/>
                  <a:pt x="9469719" y="5024724"/>
                </a:cubicBezTo>
                <a:close/>
                <a:moveTo>
                  <a:pt x="9548254" y="5024724"/>
                </a:moveTo>
                <a:cubicBezTo>
                  <a:pt x="9530466" y="5024724"/>
                  <a:pt x="9516037" y="5011446"/>
                  <a:pt x="9516037" y="4995071"/>
                </a:cubicBezTo>
                <a:cubicBezTo>
                  <a:pt x="9516037" y="4978697"/>
                  <a:pt x="9530466" y="4965419"/>
                  <a:pt x="9548254" y="4965419"/>
                </a:cubicBezTo>
                <a:cubicBezTo>
                  <a:pt x="9566041" y="4965419"/>
                  <a:pt x="9580458" y="4978697"/>
                  <a:pt x="9580458" y="4995071"/>
                </a:cubicBezTo>
                <a:cubicBezTo>
                  <a:pt x="9580458" y="5011446"/>
                  <a:pt x="9566041" y="5024724"/>
                  <a:pt x="9548254" y="5024724"/>
                </a:cubicBezTo>
                <a:close/>
                <a:moveTo>
                  <a:pt x="9626787" y="5024724"/>
                </a:moveTo>
                <a:cubicBezTo>
                  <a:pt x="9609000" y="5024724"/>
                  <a:pt x="9594571" y="5011446"/>
                  <a:pt x="9594571" y="4995071"/>
                </a:cubicBezTo>
                <a:cubicBezTo>
                  <a:pt x="9594571" y="4978697"/>
                  <a:pt x="9609000" y="4965419"/>
                  <a:pt x="9626787" y="4965419"/>
                </a:cubicBezTo>
                <a:cubicBezTo>
                  <a:pt x="9644574" y="4965419"/>
                  <a:pt x="9658991" y="4978697"/>
                  <a:pt x="9658991" y="4995071"/>
                </a:cubicBezTo>
                <a:cubicBezTo>
                  <a:pt x="9658991" y="5011446"/>
                  <a:pt x="9644574" y="5024724"/>
                  <a:pt x="9626787" y="5024724"/>
                </a:cubicBezTo>
                <a:close/>
                <a:moveTo>
                  <a:pt x="9705321" y="5024724"/>
                </a:moveTo>
                <a:cubicBezTo>
                  <a:pt x="9687534" y="5024724"/>
                  <a:pt x="9673105" y="5011446"/>
                  <a:pt x="9673105" y="4995071"/>
                </a:cubicBezTo>
                <a:cubicBezTo>
                  <a:pt x="9673105" y="4978697"/>
                  <a:pt x="9687534" y="4965419"/>
                  <a:pt x="9705321" y="4965419"/>
                </a:cubicBezTo>
                <a:cubicBezTo>
                  <a:pt x="9723108" y="4965419"/>
                  <a:pt x="9737525" y="4978697"/>
                  <a:pt x="9737525" y="4995071"/>
                </a:cubicBezTo>
                <a:cubicBezTo>
                  <a:pt x="9737525" y="5011446"/>
                  <a:pt x="9723108" y="5024724"/>
                  <a:pt x="9705321" y="5024724"/>
                </a:cubicBezTo>
                <a:close/>
                <a:moveTo>
                  <a:pt x="9783854" y="5024724"/>
                </a:moveTo>
                <a:cubicBezTo>
                  <a:pt x="9766067" y="5024724"/>
                  <a:pt x="9751638" y="5011446"/>
                  <a:pt x="9751638" y="4995071"/>
                </a:cubicBezTo>
                <a:cubicBezTo>
                  <a:pt x="9751638" y="4978697"/>
                  <a:pt x="9766067" y="4965419"/>
                  <a:pt x="9783854" y="4965419"/>
                </a:cubicBezTo>
                <a:cubicBezTo>
                  <a:pt x="9801642" y="4965419"/>
                  <a:pt x="9816059" y="4978697"/>
                  <a:pt x="9816059" y="4995071"/>
                </a:cubicBezTo>
                <a:cubicBezTo>
                  <a:pt x="9816059" y="5011446"/>
                  <a:pt x="9801642" y="5024724"/>
                  <a:pt x="9783854" y="5024724"/>
                </a:cubicBezTo>
                <a:close/>
                <a:moveTo>
                  <a:pt x="9862389" y="5024724"/>
                </a:moveTo>
                <a:cubicBezTo>
                  <a:pt x="9844601" y="5024724"/>
                  <a:pt x="9830172" y="5011446"/>
                  <a:pt x="9830172" y="4995071"/>
                </a:cubicBezTo>
                <a:cubicBezTo>
                  <a:pt x="9830172" y="4978697"/>
                  <a:pt x="9844601" y="4965419"/>
                  <a:pt x="9862389" y="4965419"/>
                </a:cubicBezTo>
                <a:cubicBezTo>
                  <a:pt x="9880176" y="4965419"/>
                  <a:pt x="9894593" y="4978697"/>
                  <a:pt x="9894593" y="4995071"/>
                </a:cubicBezTo>
                <a:cubicBezTo>
                  <a:pt x="9894593" y="5011446"/>
                  <a:pt x="9880176" y="5024724"/>
                  <a:pt x="9862389" y="5024724"/>
                </a:cubicBezTo>
                <a:close/>
                <a:moveTo>
                  <a:pt x="9940923" y="5024724"/>
                </a:moveTo>
                <a:cubicBezTo>
                  <a:pt x="9923136" y="5024724"/>
                  <a:pt x="9908707" y="5011446"/>
                  <a:pt x="9908707" y="4995071"/>
                </a:cubicBezTo>
                <a:cubicBezTo>
                  <a:pt x="9908707" y="4978697"/>
                  <a:pt x="9923136" y="4965419"/>
                  <a:pt x="9940923" y="4965419"/>
                </a:cubicBezTo>
                <a:cubicBezTo>
                  <a:pt x="9958710" y="4965419"/>
                  <a:pt x="9973127" y="4978697"/>
                  <a:pt x="9973127" y="4995071"/>
                </a:cubicBezTo>
                <a:cubicBezTo>
                  <a:pt x="9973127" y="5011446"/>
                  <a:pt x="9958710" y="5024724"/>
                  <a:pt x="9940923" y="5024724"/>
                </a:cubicBezTo>
                <a:close/>
                <a:moveTo>
                  <a:pt x="10097990" y="5024724"/>
                </a:moveTo>
                <a:cubicBezTo>
                  <a:pt x="10080203" y="5024724"/>
                  <a:pt x="10065774" y="5011446"/>
                  <a:pt x="10065774" y="4995071"/>
                </a:cubicBezTo>
                <a:cubicBezTo>
                  <a:pt x="10065774" y="4978697"/>
                  <a:pt x="10080203" y="4965419"/>
                  <a:pt x="10097990" y="4965419"/>
                </a:cubicBezTo>
                <a:cubicBezTo>
                  <a:pt x="10115778" y="4965419"/>
                  <a:pt x="10130195" y="4978697"/>
                  <a:pt x="10130195" y="4995071"/>
                </a:cubicBezTo>
                <a:cubicBezTo>
                  <a:pt x="10130195" y="5011446"/>
                  <a:pt x="10115778" y="5024724"/>
                  <a:pt x="10097990" y="5024724"/>
                </a:cubicBezTo>
                <a:close/>
                <a:moveTo>
                  <a:pt x="10176524" y="5024724"/>
                </a:moveTo>
                <a:cubicBezTo>
                  <a:pt x="10158736" y="5024724"/>
                  <a:pt x="10144307" y="5011446"/>
                  <a:pt x="10144307" y="4995071"/>
                </a:cubicBezTo>
                <a:cubicBezTo>
                  <a:pt x="10144307" y="4978697"/>
                  <a:pt x="10158736" y="4965419"/>
                  <a:pt x="10176524" y="4965419"/>
                </a:cubicBezTo>
                <a:cubicBezTo>
                  <a:pt x="10194311" y="4965419"/>
                  <a:pt x="10208728" y="4978697"/>
                  <a:pt x="10208728" y="4995071"/>
                </a:cubicBezTo>
                <a:cubicBezTo>
                  <a:pt x="10208728" y="5011446"/>
                  <a:pt x="10194311" y="5024724"/>
                  <a:pt x="10176524" y="5024724"/>
                </a:cubicBezTo>
                <a:close/>
                <a:moveTo>
                  <a:pt x="1773370" y="4952458"/>
                </a:moveTo>
                <a:cubicBezTo>
                  <a:pt x="1755583" y="4952458"/>
                  <a:pt x="1741159" y="4939180"/>
                  <a:pt x="1741159" y="4922806"/>
                </a:cubicBezTo>
                <a:cubicBezTo>
                  <a:pt x="1741159" y="4906431"/>
                  <a:pt x="1755583" y="4893154"/>
                  <a:pt x="1773370" y="4893154"/>
                </a:cubicBezTo>
                <a:cubicBezTo>
                  <a:pt x="1791157" y="4893154"/>
                  <a:pt x="1805580" y="4906431"/>
                  <a:pt x="1805580" y="4922806"/>
                </a:cubicBezTo>
                <a:cubicBezTo>
                  <a:pt x="1805580" y="4939180"/>
                  <a:pt x="1791157" y="4952458"/>
                  <a:pt x="1773370" y="4952458"/>
                </a:cubicBezTo>
                <a:close/>
                <a:moveTo>
                  <a:pt x="1851910" y="4952458"/>
                </a:moveTo>
                <a:cubicBezTo>
                  <a:pt x="1834123" y="4952458"/>
                  <a:pt x="1819700" y="4939180"/>
                  <a:pt x="1819700" y="4922806"/>
                </a:cubicBezTo>
                <a:cubicBezTo>
                  <a:pt x="1819700" y="4906431"/>
                  <a:pt x="1834123" y="4893154"/>
                  <a:pt x="1851910" y="4893154"/>
                </a:cubicBezTo>
                <a:cubicBezTo>
                  <a:pt x="1869697" y="4893154"/>
                  <a:pt x="1884120" y="4906431"/>
                  <a:pt x="1884120" y="4922806"/>
                </a:cubicBezTo>
                <a:cubicBezTo>
                  <a:pt x="1884120" y="4939180"/>
                  <a:pt x="1869697" y="4952458"/>
                  <a:pt x="1851910" y="4952458"/>
                </a:cubicBezTo>
                <a:close/>
                <a:moveTo>
                  <a:pt x="1930444" y="4952458"/>
                </a:moveTo>
                <a:cubicBezTo>
                  <a:pt x="1912657" y="4952458"/>
                  <a:pt x="1898234" y="4939180"/>
                  <a:pt x="1898234" y="4922806"/>
                </a:cubicBezTo>
                <a:cubicBezTo>
                  <a:pt x="1898234" y="4906431"/>
                  <a:pt x="1912657" y="4893154"/>
                  <a:pt x="1930444" y="4893154"/>
                </a:cubicBezTo>
                <a:cubicBezTo>
                  <a:pt x="1948232" y="4893154"/>
                  <a:pt x="1962655" y="4906431"/>
                  <a:pt x="1962655" y="4922806"/>
                </a:cubicBezTo>
                <a:cubicBezTo>
                  <a:pt x="1962655" y="4939180"/>
                  <a:pt x="1948232" y="4952458"/>
                  <a:pt x="1930444" y="4952458"/>
                </a:cubicBezTo>
                <a:close/>
                <a:moveTo>
                  <a:pt x="2008978" y="4952458"/>
                </a:moveTo>
                <a:cubicBezTo>
                  <a:pt x="1991190" y="4952458"/>
                  <a:pt x="1976767" y="4939180"/>
                  <a:pt x="1976767" y="4922806"/>
                </a:cubicBezTo>
                <a:cubicBezTo>
                  <a:pt x="1976767" y="4906431"/>
                  <a:pt x="1991190" y="4893154"/>
                  <a:pt x="2008978" y="4893154"/>
                </a:cubicBezTo>
                <a:cubicBezTo>
                  <a:pt x="2026765" y="4893154"/>
                  <a:pt x="2041188" y="4906431"/>
                  <a:pt x="2041188" y="4922806"/>
                </a:cubicBezTo>
                <a:cubicBezTo>
                  <a:pt x="2041188" y="4939180"/>
                  <a:pt x="2026765" y="4952458"/>
                  <a:pt x="2008978" y="4952458"/>
                </a:cubicBezTo>
                <a:close/>
                <a:moveTo>
                  <a:pt x="2087512" y="4952458"/>
                </a:moveTo>
                <a:cubicBezTo>
                  <a:pt x="2069725" y="4952458"/>
                  <a:pt x="2055302" y="4939180"/>
                  <a:pt x="2055302" y="4922806"/>
                </a:cubicBezTo>
                <a:cubicBezTo>
                  <a:pt x="2055302" y="4906431"/>
                  <a:pt x="2069725" y="4893154"/>
                  <a:pt x="2087512" y="4893154"/>
                </a:cubicBezTo>
                <a:cubicBezTo>
                  <a:pt x="2105299" y="4893154"/>
                  <a:pt x="2119722" y="4906431"/>
                  <a:pt x="2119722" y="4922806"/>
                </a:cubicBezTo>
                <a:cubicBezTo>
                  <a:pt x="2119722" y="4939180"/>
                  <a:pt x="2105299" y="4952458"/>
                  <a:pt x="2087512" y="4952458"/>
                </a:cubicBezTo>
                <a:close/>
                <a:moveTo>
                  <a:pt x="2166045" y="4952458"/>
                </a:moveTo>
                <a:cubicBezTo>
                  <a:pt x="2148258" y="4952458"/>
                  <a:pt x="2133835" y="4939180"/>
                  <a:pt x="2133835" y="4922806"/>
                </a:cubicBezTo>
                <a:cubicBezTo>
                  <a:pt x="2133835" y="4906431"/>
                  <a:pt x="2148258" y="4893154"/>
                  <a:pt x="2166045" y="4893154"/>
                </a:cubicBezTo>
                <a:cubicBezTo>
                  <a:pt x="2183832" y="4893154"/>
                  <a:pt x="2198255" y="4906431"/>
                  <a:pt x="2198255" y="4922806"/>
                </a:cubicBezTo>
                <a:cubicBezTo>
                  <a:pt x="2198255" y="4939180"/>
                  <a:pt x="2183832" y="4952458"/>
                  <a:pt x="2166045" y="4952458"/>
                </a:cubicBezTo>
                <a:close/>
                <a:moveTo>
                  <a:pt x="2244579" y="4952458"/>
                </a:moveTo>
                <a:cubicBezTo>
                  <a:pt x="2226792" y="4952458"/>
                  <a:pt x="2212369" y="4939180"/>
                  <a:pt x="2212369" y="4922806"/>
                </a:cubicBezTo>
                <a:cubicBezTo>
                  <a:pt x="2212369" y="4906431"/>
                  <a:pt x="2226792" y="4893154"/>
                  <a:pt x="2244579" y="4893154"/>
                </a:cubicBezTo>
                <a:cubicBezTo>
                  <a:pt x="2262367" y="4893154"/>
                  <a:pt x="2276790" y="4906431"/>
                  <a:pt x="2276790" y="4922806"/>
                </a:cubicBezTo>
                <a:cubicBezTo>
                  <a:pt x="2276790" y="4939180"/>
                  <a:pt x="2262367" y="4952458"/>
                  <a:pt x="2244579" y="4952458"/>
                </a:cubicBezTo>
                <a:close/>
                <a:moveTo>
                  <a:pt x="2323114" y="4952458"/>
                </a:moveTo>
                <a:cubicBezTo>
                  <a:pt x="2305326" y="4952458"/>
                  <a:pt x="2290903" y="4939180"/>
                  <a:pt x="2290903" y="4922806"/>
                </a:cubicBezTo>
                <a:cubicBezTo>
                  <a:pt x="2290903" y="4906431"/>
                  <a:pt x="2305326" y="4893154"/>
                  <a:pt x="2323114" y="4893154"/>
                </a:cubicBezTo>
                <a:cubicBezTo>
                  <a:pt x="2340901" y="4893154"/>
                  <a:pt x="2355324" y="4906431"/>
                  <a:pt x="2355324" y="4922806"/>
                </a:cubicBezTo>
                <a:cubicBezTo>
                  <a:pt x="2355324" y="4939180"/>
                  <a:pt x="2340901" y="4952458"/>
                  <a:pt x="2323114" y="4952458"/>
                </a:cubicBezTo>
                <a:close/>
                <a:moveTo>
                  <a:pt x="2401647" y="4952458"/>
                </a:moveTo>
                <a:cubicBezTo>
                  <a:pt x="2383860" y="4952458"/>
                  <a:pt x="2369437" y="4939180"/>
                  <a:pt x="2369437" y="4922806"/>
                </a:cubicBezTo>
                <a:cubicBezTo>
                  <a:pt x="2369437" y="4906431"/>
                  <a:pt x="2383860" y="4893154"/>
                  <a:pt x="2401647" y="4893154"/>
                </a:cubicBezTo>
                <a:cubicBezTo>
                  <a:pt x="2419434" y="4893154"/>
                  <a:pt x="2433857" y="4906431"/>
                  <a:pt x="2433857" y="4922806"/>
                </a:cubicBezTo>
                <a:cubicBezTo>
                  <a:pt x="2433857" y="4939180"/>
                  <a:pt x="2419434" y="4952458"/>
                  <a:pt x="2401647" y="4952458"/>
                </a:cubicBezTo>
                <a:close/>
                <a:moveTo>
                  <a:pt x="2480181" y="4952458"/>
                </a:moveTo>
                <a:cubicBezTo>
                  <a:pt x="2462394" y="4952458"/>
                  <a:pt x="2447971" y="4939180"/>
                  <a:pt x="2447971" y="4922806"/>
                </a:cubicBezTo>
                <a:cubicBezTo>
                  <a:pt x="2447971" y="4906431"/>
                  <a:pt x="2462394" y="4893154"/>
                  <a:pt x="2480181" y="4893154"/>
                </a:cubicBezTo>
                <a:cubicBezTo>
                  <a:pt x="2497968" y="4893154"/>
                  <a:pt x="2512391" y="4906431"/>
                  <a:pt x="2512391" y="4922806"/>
                </a:cubicBezTo>
                <a:cubicBezTo>
                  <a:pt x="2512391" y="4939180"/>
                  <a:pt x="2497968" y="4952458"/>
                  <a:pt x="2480181" y="4952458"/>
                </a:cubicBezTo>
                <a:close/>
                <a:moveTo>
                  <a:pt x="2558715" y="4952458"/>
                </a:moveTo>
                <a:cubicBezTo>
                  <a:pt x="2540928" y="4952458"/>
                  <a:pt x="2526505" y="4939180"/>
                  <a:pt x="2526505" y="4922806"/>
                </a:cubicBezTo>
                <a:cubicBezTo>
                  <a:pt x="2526505" y="4906431"/>
                  <a:pt x="2540928" y="4893154"/>
                  <a:pt x="2558715" y="4893154"/>
                </a:cubicBezTo>
                <a:cubicBezTo>
                  <a:pt x="2576503" y="4893154"/>
                  <a:pt x="2590926" y="4906431"/>
                  <a:pt x="2590926" y="4922806"/>
                </a:cubicBezTo>
                <a:cubicBezTo>
                  <a:pt x="2590926" y="4939180"/>
                  <a:pt x="2576503" y="4952458"/>
                  <a:pt x="2558715" y="4952458"/>
                </a:cubicBezTo>
                <a:close/>
                <a:moveTo>
                  <a:pt x="2637243" y="4952458"/>
                </a:moveTo>
                <a:cubicBezTo>
                  <a:pt x="2619455" y="4952458"/>
                  <a:pt x="2605032" y="4939180"/>
                  <a:pt x="2605032" y="4922806"/>
                </a:cubicBezTo>
                <a:cubicBezTo>
                  <a:pt x="2605032" y="4906431"/>
                  <a:pt x="2619455" y="4893154"/>
                  <a:pt x="2637243" y="4893154"/>
                </a:cubicBezTo>
                <a:cubicBezTo>
                  <a:pt x="2655030" y="4893154"/>
                  <a:pt x="2669453" y="4906431"/>
                  <a:pt x="2669453" y="4922806"/>
                </a:cubicBezTo>
                <a:cubicBezTo>
                  <a:pt x="2669453" y="4939180"/>
                  <a:pt x="2655030" y="4952458"/>
                  <a:pt x="2637243" y="4952458"/>
                </a:cubicBezTo>
                <a:close/>
                <a:moveTo>
                  <a:pt x="2715777" y="4952458"/>
                </a:moveTo>
                <a:cubicBezTo>
                  <a:pt x="2697990" y="4952458"/>
                  <a:pt x="2683566" y="4939180"/>
                  <a:pt x="2683566" y="4922806"/>
                </a:cubicBezTo>
                <a:cubicBezTo>
                  <a:pt x="2683566" y="4906431"/>
                  <a:pt x="2697990" y="4893154"/>
                  <a:pt x="2715777" y="4893154"/>
                </a:cubicBezTo>
                <a:cubicBezTo>
                  <a:pt x="2733564" y="4893154"/>
                  <a:pt x="2747987" y="4906431"/>
                  <a:pt x="2747987" y="4922806"/>
                </a:cubicBezTo>
                <a:cubicBezTo>
                  <a:pt x="2747987" y="4939180"/>
                  <a:pt x="2733564" y="4952458"/>
                  <a:pt x="2715777" y="4952458"/>
                </a:cubicBezTo>
                <a:close/>
                <a:moveTo>
                  <a:pt x="2794310" y="4952458"/>
                </a:moveTo>
                <a:cubicBezTo>
                  <a:pt x="2776523" y="4952458"/>
                  <a:pt x="2762100" y="4939180"/>
                  <a:pt x="2762100" y="4922806"/>
                </a:cubicBezTo>
                <a:cubicBezTo>
                  <a:pt x="2762100" y="4906431"/>
                  <a:pt x="2776523" y="4893154"/>
                  <a:pt x="2794310" y="4893154"/>
                </a:cubicBezTo>
                <a:cubicBezTo>
                  <a:pt x="2812097" y="4893154"/>
                  <a:pt x="2826520" y="4906431"/>
                  <a:pt x="2826520" y="4922806"/>
                </a:cubicBezTo>
                <a:cubicBezTo>
                  <a:pt x="2826520" y="4939180"/>
                  <a:pt x="2812097" y="4952458"/>
                  <a:pt x="2794310" y="4952458"/>
                </a:cubicBezTo>
                <a:close/>
                <a:moveTo>
                  <a:pt x="2872844" y="4952458"/>
                </a:moveTo>
                <a:cubicBezTo>
                  <a:pt x="2855057" y="4952458"/>
                  <a:pt x="2840634" y="4939180"/>
                  <a:pt x="2840634" y="4922806"/>
                </a:cubicBezTo>
                <a:cubicBezTo>
                  <a:pt x="2840634" y="4906431"/>
                  <a:pt x="2855057" y="4893154"/>
                  <a:pt x="2872844" y="4893154"/>
                </a:cubicBezTo>
                <a:cubicBezTo>
                  <a:pt x="2890632" y="4893154"/>
                  <a:pt x="2905055" y="4906431"/>
                  <a:pt x="2905055" y="4922806"/>
                </a:cubicBezTo>
                <a:cubicBezTo>
                  <a:pt x="2905055" y="4939180"/>
                  <a:pt x="2890632" y="4952458"/>
                  <a:pt x="2872844" y="4952458"/>
                </a:cubicBezTo>
                <a:close/>
                <a:moveTo>
                  <a:pt x="2951379" y="4952458"/>
                </a:moveTo>
                <a:cubicBezTo>
                  <a:pt x="2933591" y="4952458"/>
                  <a:pt x="2919168" y="4939180"/>
                  <a:pt x="2919168" y="4922806"/>
                </a:cubicBezTo>
                <a:cubicBezTo>
                  <a:pt x="2919168" y="4906431"/>
                  <a:pt x="2933591" y="4893154"/>
                  <a:pt x="2951379" y="4893154"/>
                </a:cubicBezTo>
                <a:cubicBezTo>
                  <a:pt x="2969166" y="4893154"/>
                  <a:pt x="2983589" y="4906431"/>
                  <a:pt x="2983589" y="4922806"/>
                </a:cubicBezTo>
                <a:cubicBezTo>
                  <a:pt x="2983589" y="4939180"/>
                  <a:pt x="2969166" y="4952458"/>
                  <a:pt x="2951379" y="4952458"/>
                </a:cubicBezTo>
                <a:close/>
                <a:moveTo>
                  <a:pt x="3029912" y="4952458"/>
                </a:moveTo>
                <a:cubicBezTo>
                  <a:pt x="3012125" y="4952458"/>
                  <a:pt x="2997701" y="4939180"/>
                  <a:pt x="2997701" y="4922806"/>
                </a:cubicBezTo>
                <a:cubicBezTo>
                  <a:pt x="2997701" y="4906431"/>
                  <a:pt x="3012125" y="4893154"/>
                  <a:pt x="3029912" y="4893154"/>
                </a:cubicBezTo>
                <a:cubicBezTo>
                  <a:pt x="3047699" y="4893154"/>
                  <a:pt x="3062122" y="4906431"/>
                  <a:pt x="3062122" y="4922806"/>
                </a:cubicBezTo>
                <a:cubicBezTo>
                  <a:pt x="3062122" y="4939180"/>
                  <a:pt x="3047699" y="4952458"/>
                  <a:pt x="3029912" y="4952458"/>
                </a:cubicBezTo>
                <a:close/>
                <a:moveTo>
                  <a:pt x="3108446" y="4952458"/>
                </a:moveTo>
                <a:cubicBezTo>
                  <a:pt x="3090659" y="4952458"/>
                  <a:pt x="3076236" y="4939180"/>
                  <a:pt x="3076236" y="4922806"/>
                </a:cubicBezTo>
                <a:cubicBezTo>
                  <a:pt x="3076236" y="4906431"/>
                  <a:pt x="3090659" y="4893154"/>
                  <a:pt x="3108446" y="4893154"/>
                </a:cubicBezTo>
                <a:cubicBezTo>
                  <a:pt x="3126233" y="4893154"/>
                  <a:pt x="3140656" y="4906431"/>
                  <a:pt x="3140656" y="4922806"/>
                </a:cubicBezTo>
                <a:cubicBezTo>
                  <a:pt x="3140656" y="4939180"/>
                  <a:pt x="3126233" y="4952458"/>
                  <a:pt x="3108446" y="4952458"/>
                </a:cubicBezTo>
                <a:close/>
                <a:moveTo>
                  <a:pt x="3186979" y="4952458"/>
                </a:moveTo>
                <a:cubicBezTo>
                  <a:pt x="3169192" y="4952458"/>
                  <a:pt x="3154769" y="4939180"/>
                  <a:pt x="3154769" y="4922806"/>
                </a:cubicBezTo>
                <a:cubicBezTo>
                  <a:pt x="3154769" y="4906431"/>
                  <a:pt x="3169192" y="4893154"/>
                  <a:pt x="3186979" y="4893154"/>
                </a:cubicBezTo>
                <a:cubicBezTo>
                  <a:pt x="3204767" y="4893154"/>
                  <a:pt x="3219190" y="4906431"/>
                  <a:pt x="3219190" y="4922806"/>
                </a:cubicBezTo>
                <a:cubicBezTo>
                  <a:pt x="3219190" y="4939180"/>
                  <a:pt x="3204767" y="4952458"/>
                  <a:pt x="3186979" y="4952458"/>
                </a:cubicBezTo>
                <a:close/>
                <a:moveTo>
                  <a:pt x="3265514" y="4952458"/>
                </a:moveTo>
                <a:cubicBezTo>
                  <a:pt x="3247726" y="4952458"/>
                  <a:pt x="3233303" y="4939180"/>
                  <a:pt x="3233303" y="4922806"/>
                </a:cubicBezTo>
                <a:cubicBezTo>
                  <a:pt x="3233303" y="4906431"/>
                  <a:pt x="3247726" y="4893154"/>
                  <a:pt x="3265514" y="4893154"/>
                </a:cubicBezTo>
                <a:cubicBezTo>
                  <a:pt x="3283301" y="4893154"/>
                  <a:pt x="3297724" y="4906431"/>
                  <a:pt x="3297724" y="4922806"/>
                </a:cubicBezTo>
                <a:cubicBezTo>
                  <a:pt x="3297724" y="4939180"/>
                  <a:pt x="3283301" y="4952458"/>
                  <a:pt x="3265514" y="4952458"/>
                </a:cubicBezTo>
                <a:close/>
                <a:moveTo>
                  <a:pt x="3344048" y="4952458"/>
                </a:moveTo>
                <a:cubicBezTo>
                  <a:pt x="3326261" y="4952458"/>
                  <a:pt x="3311837" y="4939180"/>
                  <a:pt x="3311837" y="4922806"/>
                </a:cubicBezTo>
                <a:cubicBezTo>
                  <a:pt x="3311837" y="4906431"/>
                  <a:pt x="3326261" y="4893154"/>
                  <a:pt x="3344048" y="4893154"/>
                </a:cubicBezTo>
                <a:cubicBezTo>
                  <a:pt x="3361835" y="4893154"/>
                  <a:pt x="3376258" y="4906431"/>
                  <a:pt x="3376258" y="4922806"/>
                </a:cubicBezTo>
                <a:cubicBezTo>
                  <a:pt x="3376258" y="4939180"/>
                  <a:pt x="3361835" y="4952458"/>
                  <a:pt x="3344048" y="4952458"/>
                </a:cubicBezTo>
                <a:close/>
                <a:moveTo>
                  <a:pt x="3422581" y="4952458"/>
                </a:moveTo>
                <a:cubicBezTo>
                  <a:pt x="3404794" y="4952458"/>
                  <a:pt x="3390371" y="4939180"/>
                  <a:pt x="3390371" y="4922806"/>
                </a:cubicBezTo>
                <a:cubicBezTo>
                  <a:pt x="3390371" y="4906431"/>
                  <a:pt x="3404794" y="4893154"/>
                  <a:pt x="3422581" y="4893154"/>
                </a:cubicBezTo>
                <a:cubicBezTo>
                  <a:pt x="3440368" y="4893154"/>
                  <a:pt x="3454791" y="4906431"/>
                  <a:pt x="3454791" y="4922806"/>
                </a:cubicBezTo>
                <a:cubicBezTo>
                  <a:pt x="3454791" y="4939180"/>
                  <a:pt x="3440368" y="4952458"/>
                  <a:pt x="3422581" y="4952458"/>
                </a:cubicBezTo>
                <a:close/>
                <a:moveTo>
                  <a:pt x="3501115" y="4952458"/>
                </a:moveTo>
                <a:cubicBezTo>
                  <a:pt x="3483328" y="4952458"/>
                  <a:pt x="3468905" y="4939180"/>
                  <a:pt x="3468905" y="4922806"/>
                </a:cubicBezTo>
                <a:cubicBezTo>
                  <a:pt x="3468905" y="4906431"/>
                  <a:pt x="3483328" y="4893154"/>
                  <a:pt x="3501115" y="4893154"/>
                </a:cubicBezTo>
                <a:cubicBezTo>
                  <a:pt x="3518903" y="4893154"/>
                  <a:pt x="3533326" y="4906431"/>
                  <a:pt x="3533326" y="4922806"/>
                </a:cubicBezTo>
                <a:cubicBezTo>
                  <a:pt x="3533326" y="4939180"/>
                  <a:pt x="3518903" y="4952458"/>
                  <a:pt x="3501115" y="4952458"/>
                </a:cubicBezTo>
                <a:close/>
                <a:moveTo>
                  <a:pt x="3579650" y="4952458"/>
                </a:moveTo>
                <a:cubicBezTo>
                  <a:pt x="3561862" y="4952458"/>
                  <a:pt x="3547439" y="4939180"/>
                  <a:pt x="3547439" y="4922806"/>
                </a:cubicBezTo>
                <a:cubicBezTo>
                  <a:pt x="3547439" y="4906431"/>
                  <a:pt x="3561862" y="4893154"/>
                  <a:pt x="3579650" y="4893154"/>
                </a:cubicBezTo>
                <a:cubicBezTo>
                  <a:pt x="3597437" y="4893154"/>
                  <a:pt x="3611860" y="4906431"/>
                  <a:pt x="3611860" y="4922806"/>
                </a:cubicBezTo>
                <a:cubicBezTo>
                  <a:pt x="3611860" y="4939180"/>
                  <a:pt x="3597437" y="4952458"/>
                  <a:pt x="3579650" y="4952458"/>
                </a:cubicBezTo>
                <a:close/>
                <a:moveTo>
                  <a:pt x="3658183" y="4952458"/>
                </a:moveTo>
                <a:cubicBezTo>
                  <a:pt x="3640396" y="4952458"/>
                  <a:pt x="3625972" y="4939180"/>
                  <a:pt x="3625972" y="4922806"/>
                </a:cubicBezTo>
                <a:cubicBezTo>
                  <a:pt x="3625972" y="4906431"/>
                  <a:pt x="3640396" y="4893154"/>
                  <a:pt x="3658183" y="4893154"/>
                </a:cubicBezTo>
                <a:cubicBezTo>
                  <a:pt x="3675970" y="4893154"/>
                  <a:pt x="3690393" y="4906431"/>
                  <a:pt x="3690393" y="4922806"/>
                </a:cubicBezTo>
                <a:cubicBezTo>
                  <a:pt x="3690393" y="4939180"/>
                  <a:pt x="3675970" y="4952458"/>
                  <a:pt x="3658183" y="4952458"/>
                </a:cubicBezTo>
                <a:close/>
                <a:moveTo>
                  <a:pt x="3736717" y="4952458"/>
                </a:moveTo>
                <a:cubicBezTo>
                  <a:pt x="3718930" y="4952458"/>
                  <a:pt x="3704507" y="4939180"/>
                  <a:pt x="3704507" y="4922806"/>
                </a:cubicBezTo>
                <a:cubicBezTo>
                  <a:pt x="3704507" y="4906431"/>
                  <a:pt x="3718930" y="4893154"/>
                  <a:pt x="3736717" y="4893154"/>
                </a:cubicBezTo>
                <a:cubicBezTo>
                  <a:pt x="3754504" y="4893154"/>
                  <a:pt x="3768927" y="4906431"/>
                  <a:pt x="3768927" y="4922806"/>
                </a:cubicBezTo>
                <a:cubicBezTo>
                  <a:pt x="3768927" y="4939180"/>
                  <a:pt x="3754504" y="4952458"/>
                  <a:pt x="3736717" y="4952458"/>
                </a:cubicBezTo>
                <a:close/>
                <a:moveTo>
                  <a:pt x="3815250" y="4952458"/>
                </a:moveTo>
                <a:cubicBezTo>
                  <a:pt x="3797463" y="4952458"/>
                  <a:pt x="3783040" y="4939180"/>
                  <a:pt x="3783040" y="4922806"/>
                </a:cubicBezTo>
                <a:cubicBezTo>
                  <a:pt x="3783040" y="4906431"/>
                  <a:pt x="3797463" y="4893154"/>
                  <a:pt x="3815250" y="4893154"/>
                </a:cubicBezTo>
                <a:cubicBezTo>
                  <a:pt x="3833038" y="4893154"/>
                  <a:pt x="3847461" y="4906431"/>
                  <a:pt x="3847461" y="4922806"/>
                </a:cubicBezTo>
                <a:cubicBezTo>
                  <a:pt x="3847461" y="4939180"/>
                  <a:pt x="3833038" y="4952458"/>
                  <a:pt x="3815250" y="4952458"/>
                </a:cubicBezTo>
                <a:close/>
                <a:moveTo>
                  <a:pt x="3893785" y="4952458"/>
                </a:moveTo>
                <a:cubicBezTo>
                  <a:pt x="3875997" y="4952458"/>
                  <a:pt x="3861574" y="4939180"/>
                  <a:pt x="3861574" y="4922806"/>
                </a:cubicBezTo>
                <a:cubicBezTo>
                  <a:pt x="3861574" y="4906431"/>
                  <a:pt x="3875997" y="4893154"/>
                  <a:pt x="3893785" y="4893154"/>
                </a:cubicBezTo>
                <a:cubicBezTo>
                  <a:pt x="3911572" y="4893154"/>
                  <a:pt x="3925995" y="4906431"/>
                  <a:pt x="3925995" y="4922806"/>
                </a:cubicBezTo>
                <a:cubicBezTo>
                  <a:pt x="3925995" y="4939180"/>
                  <a:pt x="3911572" y="4952458"/>
                  <a:pt x="3893785" y="4952458"/>
                </a:cubicBezTo>
                <a:close/>
                <a:moveTo>
                  <a:pt x="3972319" y="4952458"/>
                </a:moveTo>
                <a:cubicBezTo>
                  <a:pt x="3954532" y="4952458"/>
                  <a:pt x="3940108" y="4939180"/>
                  <a:pt x="3940108" y="4922806"/>
                </a:cubicBezTo>
                <a:cubicBezTo>
                  <a:pt x="3940108" y="4906431"/>
                  <a:pt x="3954532" y="4893154"/>
                  <a:pt x="3972319" y="4893154"/>
                </a:cubicBezTo>
                <a:cubicBezTo>
                  <a:pt x="3990106" y="4893154"/>
                  <a:pt x="4004529" y="4906431"/>
                  <a:pt x="4004529" y="4922806"/>
                </a:cubicBezTo>
                <a:cubicBezTo>
                  <a:pt x="4004529" y="4939180"/>
                  <a:pt x="3990106" y="4952458"/>
                  <a:pt x="3972319" y="4952458"/>
                </a:cubicBezTo>
                <a:close/>
                <a:moveTo>
                  <a:pt x="4129386" y="4952458"/>
                </a:moveTo>
                <a:cubicBezTo>
                  <a:pt x="4111599" y="4952458"/>
                  <a:pt x="4097176" y="4939180"/>
                  <a:pt x="4097176" y="4922806"/>
                </a:cubicBezTo>
                <a:cubicBezTo>
                  <a:pt x="4097176" y="4906431"/>
                  <a:pt x="4111599" y="4893154"/>
                  <a:pt x="4129386" y="4893154"/>
                </a:cubicBezTo>
                <a:cubicBezTo>
                  <a:pt x="4147174" y="4893154"/>
                  <a:pt x="4161597" y="4906431"/>
                  <a:pt x="4161597" y="4922806"/>
                </a:cubicBezTo>
                <a:cubicBezTo>
                  <a:pt x="4161597" y="4939180"/>
                  <a:pt x="4147174" y="4952458"/>
                  <a:pt x="4129386" y="4952458"/>
                </a:cubicBezTo>
                <a:close/>
                <a:moveTo>
                  <a:pt x="4286460" y="4952458"/>
                </a:moveTo>
                <a:cubicBezTo>
                  <a:pt x="4268673" y="4952458"/>
                  <a:pt x="4254250" y="4939180"/>
                  <a:pt x="4254250" y="4922806"/>
                </a:cubicBezTo>
                <a:cubicBezTo>
                  <a:pt x="4254250" y="4906431"/>
                  <a:pt x="4268673" y="4893154"/>
                  <a:pt x="4286460" y="4893154"/>
                </a:cubicBezTo>
                <a:cubicBezTo>
                  <a:pt x="4304247" y="4893154"/>
                  <a:pt x="4318670" y="4906431"/>
                  <a:pt x="4318670" y="4922806"/>
                </a:cubicBezTo>
                <a:cubicBezTo>
                  <a:pt x="4318670" y="4939180"/>
                  <a:pt x="4304247" y="4952458"/>
                  <a:pt x="4286460" y="4952458"/>
                </a:cubicBezTo>
                <a:close/>
                <a:moveTo>
                  <a:pt x="4836197" y="4952458"/>
                </a:moveTo>
                <a:cubicBezTo>
                  <a:pt x="4818409" y="4952458"/>
                  <a:pt x="4803986" y="4939180"/>
                  <a:pt x="4803986" y="4922806"/>
                </a:cubicBezTo>
                <a:cubicBezTo>
                  <a:pt x="4803986" y="4906431"/>
                  <a:pt x="4818409" y="4893154"/>
                  <a:pt x="4836197" y="4893154"/>
                </a:cubicBezTo>
                <a:cubicBezTo>
                  <a:pt x="4853984" y="4893154"/>
                  <a:pt x="4868407" y="4906431"/>
                  <a:pt x="4868407" y="4922806"/>
                </a:cubicBezTo>
                <a:cubicBezTo>
                  <a:pt x="4868407" y="4939180"/>
                  <a:pt x="4853984" y="4952458"/>
                  <a:pt x="4836197" y="4952458"/>
                </a:cubicBezTo>
                <a:close/>
                <a:moveTo>
                  <a:pt x="4914731" y="4952458"/>
                </a:moveTo>
                <a:cubicBezTo>
                  <a:pt x="4896944" y="4952458"/>
                  <a:pt x="4882521" y="4939180"/>
                  <a:pt x="4882521" y="4922806"/>
                </a:cubicBezTo>
                <a:cubicBezTo>
                  <a:pt x="4882521" y="4906431"/>
                  <a:pt x="4896944" y="4893154"/>
                  <a:pt x="4914731" y="4893154"/>
                </a:cubicBezTo>
                <a:cubicBezTo>
                  <a:pt x="4932518" y="4893154"/>
                  <a:pt x="4946941" y="4906431"/>
                  <a:pt x="4946941" y="4922806"/>
                </a:cubicBezTo>
                <a:cubicBezTo>
                  <a:pt x="4946941" y="4939180"/>
                  <a:pt x="4932518" y="4952458"/>
                  <a:pt x="4914731" y="4952458"/>
                </a:cubicBezTo>
                <a:close/>
                <a:moveTo>
                  <a:pt x="4993265" y="4952458"/>
                </a:moveTo>
                <a:cubicBezTo>
                  <a:pt x="4975478" y="4952458"/>
                  <a:pt x="4961055" y="4939180"/>
                  <a:pt x="4961055" y="4922806"/>
                </a:cubicBezTo>
                <a:cubicBezTo>
                  <a:pt x="4961055" y="4906431"/>
                  <a:pt x="4975478" y="4893154"/>
                  <a:pt x="4993265" y="4893154"/>
                </a:cubicBezTo>
                <a:cubicBezTo>
                  <a:pt x="5011052" y="4893154"/>
                  <a:pt x="5025475" y="4906431"/>
                  <a:pt x="5025475" y="4922806"/>
                </a:cubicBezTo>
                <a:cubicBezTo>
                  <a:pt x="5025475" y="4939180"/>
                  <a:pt x="5011052" y="4952458"/>
                  <a:pt x="4993265" y="4952458"/>
                </a:cubicBezTo>
                <a:close/>
                <a:moveTo>
                  <a:pt x="5071798" y="4952458"/>
                </a:moveTo>
                <a:cubicBezTo>
                  <a:pt x="5054011" y="4952458"/>
                  <a:pt x="5039588" y="4939180"/>
                  <a:pt x="5039588" y="4922806"/>
                </a:cubicBezTo>
                <a:cubicBezTo>
                  <a:pt x="5039588" y="4906431"/>
                  <a:pt x="5054011" y="4893154"/>
                  <a:pt x="5071798" y="4893154"/>
                </a:cubicBezTo>
                <a:cubicBezTo>
                  <a:pt x="5089586" y="4893154"/>
                  <a:pt x="5104009" y="4906431"/>
                  <a:pt x="5104009" y="4922806"/>
                </a:cubicBezTo>
                <a:cubicBezTo>
                  <a:pt x="5104009" y="4939180"/>
                  <a:pt x="5089586" y="4952458"/>
                  <a:pt x="5071798" y="4952458"/>
                </a:cubicBezTo>
                <a:close/>
                <a:moveTo>
                  <a:pt x="5150333" y="4952458"/>
                </a:moveTo>
                <a:cubicBezTo>
                  <a:pt x="5132545" y="4952458"/>
                  <a:pt x="5118122" y="4939180"/>
                  <a:pt x="5118122" y="4922806"/>
                </a:cubicBezTo>
                <a:cubicBezTo>
                  <a:pt x="5118122" y="4906431"/>
                  <a:pt x="5132545" y="4893154"/>
                  <a:pt x="5150333" y="4893154"/>
                </a:cubicBezTo>
                <a:cubicBezTo>
                  <a:pt x="5168120" y="4893154"/>
                  <a:pt x="5182543" y="4906431"/>
                  <a:pt x="5182543" y="4922806"/>
                </a:cubicBezTo>
                <a:cubicBezTo>
                  <a:pt x="5182543" y="4939180"/>
                  <a:pt x="5168120" y="4952458"/>
                  <a:pt x="5150333" y="4952458"/>
                </a:cubicBezTo>
                <a:close/>
                <a:moveTo>
                  <a:pt x="5228867" y="4952458"/>
                </a:moveTo>
                <a:cubicBezTo>
                  <a:pt x="5211080" y="4952458"/>
                  <a:pt x="5196657" y="4939180"/>
                  <a:pt x="5196657" y="4922806"/>
                </a:cubicBezTo>
                <a:cubicBezTo>
                  <a:pt x="5196657" y="4906431"/>
                  <a:pt x="5211080" y="4893154"/>
                  <a:pt x="5228867" y="4893154"/>
                </a:cubicBezTo>
                <a:cubicBezTo>
                  <a:pt x="5246654" y="4893154"/>
                  <a:pt x="5261077" y="4906431"/>
                  <a:pt x="5261077" y="4922806"/>
                </a:cubicBezTo>
                <a:cubicBezTo>
                  <a:pt x="5261077" y="4939180"/>
                  <a:pt x="5246654" y="4952458"/>
                  <a:pt x="5228867" y="4952458"/>
                </a:cubicBezTo>
                <a:close/>
                <a:moveTo>
                  <a:pt x="5307400" y="4952458"/>
                </a:moveTo>
                <a:cubicBezTo>
                  <a:pt x="5289613" y="4952458"/>
                  <a:pt x="5275190" y="4939180"/>
                  <a:pt x="5275190" y="4922806"/>
                </a:cubicBezTo>
                <a:cubicBezTo>
                  <a:pt x="5275190" y="4906431"/>
                  <a:pt x="5289613" y="4893154"/>
                  <a:pt x="5307400" y="4893154"/>
                </a:cubicBezTo>
                <a:cubicBezTo>
                  <a:pt x="5325187" y="4893154"/>
                  <a:pt x="5339610" y="4906431"/>
                  <a:pt x="5339610" y="4922806"/>
                </a:cubicBezTo>
                <a:cubicBezTo>
                  <a:pt x="5339610" y="4939180"/>
                  <a:pt x="5325187" y="4952458"/>
                  <a:pt x="5307400" y="4952458"/>
                </a:cubicBezTo>
                <a:close/>
                <a:moveTo>
                  <a:pt x="6485408" y="4952458"/>
                </a:moveTo>
                <a:cubicBezTo>
                  <a:pt x="6467621" y="4952458"/>
                  <a:pt x="6453191" y="4939180"/>
                  <a:pt x="6453191" y="4922806"/>
                </a:cubicBezTo>
                <a:cubicBezTo>
                  <a:pt x="6453191" y="4906431"/>
                  <a:pt x="6467621" y="4893154"/>
                  <a:pt x="6485408" y="4893154"/>
                </a:cubicBezTo>
                <a:cubicBezTo>
                  <a:pt x="6503195" y="4893154"/>
                  <a:pt x="6517612" y="4906431"/>
                  <a:pt x="6517612" y="4922806"/>
                </a:cubicBezTo>
                <a:cubicBezTo>
                  <a:pt x="6517612" y="4939180"/>
                  <a:pt x="6503195" y="4952458"/>
                  <a:pt x="6485408" y="4952458"/>
                </a:cubicBezTo>
                <a:close/>
                <a:moveTo>
                  <a:pt x="6563942" y="4952458"/>
                </a:moveTo>
                <a:cubicBezTo>
                  <a:pt x="6546155" y="4952458"/>
                  <a:pt x="6531726" y="4939180"/>
                  <a:pt x="6531726" y="4922806"/>
                </a:cubicBezTo>
                <a:cubicBezTo>
                  <a:pt x="6531726" y="4906431"/>
                  <a:pt x="6546155" y="4893154"/>
                  <a:pt x="6563942" y="4893154"/>
                </a:cubicBezTo>
                <a:cubicBezTo>
                  <a:pt x="6581729" y="4893154"/>
                  <a:pt x="6596146" y="4906431"/>
                  <a:pt x="6596146" y="4922806"/>
                </a:cubicBezTo>
                <a:cubicBezTo>
                  <a:pt x="6596146" y="4939180"/>
                  <a:pt x="6581729" y="4952458"/>
                  <a:pt x="6563942" y="4952458"/>
                </a:cubicBezTo>
                <a:close/>
                <a:moveTo>
                  <a:pt x="7035146" y="4952458"/>
                </a:moveTo>
                <a:cubicBezTo>
                  <a:pt x="7017358" y="4952458"/>
                  <a:pt x="7002929" y="4939180"/>
                  <a:pt x="7002929" y="4922806"/>
                </a:cubicBezTo>
                <a:cubicBezTo>
                  <a:pt x="7002929" y="4906431"/>
                  <a:pt x="7017358" y="4893154"/>
                  <a:pt x="7035146" y="4893154"/>
                </a:cubicBezTo>
                <a:cubicBezTo>
                  <a:pt x="7052933" y="4893154"/>
                  <a:pt x="7067350" y="4906431"/>
                  <a:pt x="7067350" y="4922806"/>
                </a:cubicBezTo>
                <a:cubicBezTo>
                  <a:pt x="7067350" y="4939180"/>
                  <a:pt x="7052933" y="4952458"/>
                  <a:pt x="7035146" y="4952458"/>
                </a:cubicBezTo>
                <a:close/>
                <a:moveTo>
                  <a:pt x="7349305" y="4952458"/>
                </a:moveTo>
                <a:cubicBezTo>
                  <a:pt x="7331517" y="4952458"/>
                  <a:pt x="7317088" y="4939180"/>
                  <a:pt x="7317088" y="4922806"/>
                </a:cubicBezTo>
                <a:cubicBezTo>
                  <a:pt x="7317088" y="4906431"/>
                  <a:pt x="7331517" y="4893154"/>
                  <a:pt x="7349305" y="4893154"/>
                </a:cubicBezTo>
                <a:cubicBezTo>
                  <a:pt x="7367092" y="4893154"/>
                  <a:pt x="7381509" y="4906431"/>
                  <a:pt x="7381509" y="4922806"/>
                </a:cubicBezTo>
                <a:cubicBezTo>
                  <a:pt x="7381509" y="4939180"/>
                  <a:pt x="7367092" y="4952458"/>
                  <a:pt x="7349305" y="4952458"/>
                </a:cubicBezTo>
                <a:close/>
                <a:moveTo>
                  <a:pt x="7427839" y="4952458"/>
                </a:moveTo>
                <a:cubicBezTo>
                  <a:pt x="7410052" y="4952458"/>
                  <a:pt x="7395623" y="4939180"/>
                  <a:pt x="7395623" y="4922806"/>
                </a:cubicBezTo>
                <a:cubicBezTo>
                  <a:pt x="7395623" y="4906431"/>
                  <a:pt x="7410052" y="4893154"/>
                  <a:pt x="7427839" y="4893154"/>
                </a:cubicBezTo>
                <a:cubicBezTo>
                  <a:pt x="7445626" y="4893154"/>
                  <a:pt x="7460043" y="4906431"/>
                  <a:pt x="7460043" y="4922806"/>
                </a:cubicBezTo>
                <a:cubicBezTo>
                  <a:pt x="7460043" y="4939180"/>
                  <a:pt x="7445626" y="4952458"/>
                  <a:pt x="7427839" y="4952458"/>
                </a:cubicBezTo>
                <a:close/>
                <a:moveTo>
                  <a:pt x="7584906" y="4952458"/>
                </a:moveTo>
                <a:cubicBezTo>
                  <a:pt x="7567119" y="4952458"/>
                  <a:pt x="7552690" y="4939180"/>
                  <a:pt x="7552690" y="4922806"/>
                </a:cubicBezTo>
                <a:cubicBezTo>
                  <a:pt x="7552690" y="4906431"/>
                  <a:pt x="7567119" y="4893154"/>
                  <a:pt x="7584906" y="4893154"/>
                </a:cubicBezTo>
                <a:cubicBezTo>
                  <a:pt x="7602694" y="4893154"/>
                  <a:pt x="7617111" y="4906431"/>
                  <a:pt x="7617111" y="4922806"/>
                </a:cubicBezTo>
                <a:cubicBezTo>
                  <a:pt x="7617111" y="4939180"/>
                  <a:pt x="7602694" y="4952458"/>
                  <a:pt x="7584906" y="4952458"/>
                </a:cubicBezTo>
                <a:close/>
                <a:moveTo>
                  <a:pt x="7663441" y="4952458"/>
                </a:moveTo>
                <a:cubicBezTo>
                  <a:pt x="7645653" y="4952458"/>
                  <a:pt x="7631224" y="4939180"/>
                  <a:pt x="7631224" y="4922806"/>
                </a:cubicBezTo>
                <a:cubicBezTo>
                  <a:pt x="7631224" y="4906431"/>
                  <a:pt x="7645653" y="4893154"/>
                  <a:pt x="7663441" y="4893154"/>
                </a:cubicBezTo>
                <a:cubicBezTo>
                  <a:pt x="7681228" y="4893154"/>
                  <a:pt x="7695645" y="4906431"/>
                  <a:pt x="7695645" y="4922806"/>
                </a:cubicBezTo>
                <a:cubicBezTo>
                  <a:pt x="7695645" y="4939180"/>
                  <a:pt x="7681228" y="4952458"/>
                  <a:pt x="7663441" y="4952458"/>
                </a:cubicBezTo>
                <a:close/>
                <a:moveTo>
                  <a:pt x="7820508" y="4952458"/>
                </a:moveTo>
                <a:cubicBezTo>
                  <a:pt x="7802721" y="4952458"/>
                  <a:pt x="7788292" y="4939180"/>
                  <a:pt x="7788292" y="4922806"/>
                </a:cubicBezTo>
                <a:cubicBezTo>
                  <a:pt x="7788292" y="4906431"/>
                  <a:pt x="7802721" y="4893154"/>
                  <a:pt x="7820508" y="4893154"/>
                </a:cubicBezTo>
                <a:cubicBezTo>
                  <a:pt x="7838295" y="4893154"/>
                  <a:pt x="7852712" y="4906431"/>
                  <a:pt x="7852712" y="4922806"/>
                </a:cubicBezTo>
                <a:cubicBezTo>
                  <a:pt x="7852712" y="4939180"/>
                  <a:pt x="7838295" y="4952458"/>
                  <a:pt x="7820508" y="4952458"/>
                </a:cubicBezTo>
                <a:close/>
                <a:moveTo>
                  <a:pt x="7899042" y="4952458"/>
                </a:moveTo>
                <a:cubicBezTo>
                  <a:pt x="7881255" y="4952458"/>
                  <a:pt x="7866826" y="4939180"/>
                  <a:pt x="7866826" y="4922806"/>
                </a:cubicBezTo>
                <a:cubicBezTo>
                  <a:pt x="7866826" y="4906431"/>
                  <a:pt x="7881255" y="4893154"/>
                  <a:pt x="7899042" y="4893154"/>
                </a:cubicBezTo>
                <a:cubicBezTo>
                  <a:pt x="7916830" y="4893154"/>
                  <a:pt x="7931247" y="4906431"/>
                  <a:pt x="7931247" y="4922806"/>
                </a:cubicBezTo>
                <a:cubicBezTo>
                  <a:pt x="7931247" y="4939180"/>
                  <a:pt x="7916830" y="4952458"/>
                  <a:pt x="7899042" y="4952458"/>
                </a:cubicBezTo>
                <a:close/>
                <a:moveTo>
                  <a:pt x="7977576" y="4952458"/>
                </a:moveTo>
                <a:cubicBezTo>
                  <a:pt x="7959788" y="4952458"/>
                  <a:pt x="7945359" y="4939180"/>
                  <a:pt x="7945359" y="4922806"/>
                </a:cubicBezTo>
                <a:cubicBezTo>
                  <a:pt x="7945359" y="4906431"/>
                  <a:pt x="7959788" y="4893154"/>
                  <a:pt x="7977576" y="4893154"/>
                </a:cubicBezTo>
                <a:cubicBezTo>
                  <a:pt x="7995363" y="4893154"/>
                  <a:pt x="8009780" y="4906431"/>
                  <a:pt x="8009780" y="4922806"/>
                </a:cubicBezTo>
                <a:cubicBezTo>
                  <a:pt x="8009780" y="4939180"/>
                  <a:pt x="7995363" y="4952458"/>
                  <a:pt x="7977576" y="4952458"/>
                </a:cubicBezTo>
                <a:close/>
                <a:moveTo>
                  <a:pt x="8056110" y="4952458"/>
                </a:moveTo>
                <a:cubicBezTo>
                  <a:pt x="8038323" y="4952458"/>
                  <a:pt x="8023894" y="4939180"/>
                  <a:pt x="8023894" y="4922806"/>
                </a:cubicBezTo>
                <a:cubicBezTo>
                  <a:pt x="8023894" y="4906431"/>
                  <a:pt x="8038323" y="4893154"/>
                  <a:pt x="8056110" y="4893154"/>
                </a:cubicBezTo>
                <a:cubicBezTo>
                  <a:pt x="8073897" y="4893154"/>
                  <a:pt x="8088314" y="4906431"/>
                  <a:pt x="8088314" y="4922806"/>
                </a:cubicBezTo>
                <a:cubicBezTo>
                  <a:pt x="8088314" y="4939180"/>
                  <a:pt x="8073897" y="4952458"/>
                  <a:pt x="8056110" y="4952458"/>
                </a:cubicBezTo>
                <a:close/>
                <a:moveTo>
                  <a:pt x="8134643" y="4952458"/>
                </a:moveTo>
                <a:cubicBezTo>
                  <a:pt x="8116856" y="4952458"/>
                  <a:pt x="8102427" y="4939180"/>
                  <a:pt x="8102427" y="4922806"/>
                </a:cubicBezTo>
                <a:cubicBezTo>
                  <a:pt x="8102427" y="4906431"/>
                  <a:pt x="8116856" y="4893154"/>
                  <a:pt x="8134643" y="4893154"/>
                </a:cubicBezTo>
                <a:cubicBezTo>
                  <a:pt x="8152430" y="4893154"/>
                  <a:pt x="8166847" y="4906431"/>
                  <a:pt x="8166847" y="4922806"/>
                </a:cubicBezTo>
                <a:cubicBezTo>
                  <a:pt x="8166847" y="4939180"/>
                  <a:pt x="8152430" y="4952458"/>
                  <a:pt x="8134643" y="4952458"/>
                </a:cubicBezTo>
                <a:close/>
                <a:moveTo>
                  <a:pt x="8213177" y="4952458"/>
                </a:moveTo>
                <a:cubicBezTo>
                  <a:pt x="8195390" y="4952458"/>
                  <a:pt x="8180961" y="4939180"/>
                  <a:pt x="8180961" y="4922806"/>
                </a:cubicBezTo>
                <a:cubicBezTo>
                  <a:pt x="8180961" y="4906431"/>
                  <a:pt x="8195390" y="4893154"/>
                  <a:pt x="8213177" y="4893154"/>
                </a:cubicBezTo>
                <a:cubicBezTo>
                  <a:pt x="8230965" y="4893154"/>
                  <a:pt x="8245382" y="4906431"/>
                  <a:pt x="8245382" y="4922806"/>
                </a:cubicBezTo>
                <a:cubicBezTo>
                  <a:pt x="8245382" y="4939180"/>
                  <a:pt x="8230965" y="4952458"/>
                  <a:pt x="8213177" y="4952458"/>
                </a:cubicBezTo>
                <a:close/>
                <a:moveTo>
                  <a:pt x="8291712" y="4952458"/>
                </a:moveTo>
                <a:cubicBezTo>
                  <a:pt x="8273924" y="4952458"/>
                  <a:pt x="8259495" y="4939180"/>
                  <a:pt x="8259495" y="4922806"/>
                </a:cubicBezTo>
                <a:cubicBezTo>
                  <a:pt x="8259495" y="4906431"/>
                  <a:pt x="8273924" y="4893154"/>
                  <a:pt x="8291712" y="4893154"/>
                </a:cubicBezTo>
                <a:cubicBezTo>
                  <a:pt x="8309499" y="4893154"/>
                  <a:pt x="8323916" y="4906431"/>
                  <a:pt x="8323916" y="4922806"/>
                </a:cubicBezTo>
                <a:cubicBezTo>
                  <a:pt x="8323916" y="4939180"/>
                  <a:pt x="8309499" y="4952458"/>
                  <a:pt x="8291712" y="4952458"/>
                </a:cubicBezTo>
                <a:close/>
                <a:moveTo>
                  <a:pt x="8370245" y="4952458"/>
                </a:moveTo>
                <a:cubicBezTo>
                  <a:pt x="8352458" y="4952458"/>
                  <a:pt x="8338029" y="4939180"/>
                  <a:pt x="8338029" y="4922806"/>
                </a:cubicBezTo>
                <a:cubicBezTo>
                  <a:pt x="8338029" y="4906431"/>
                  <a:pt x="8352458" y="4893154"/>
                  <a:pt x="8370245" y="4893154"/>
                </a:cubicBezTo>
                <a:cubicBezTo>
                  <a:pt x="8388032" y="4893154"/>
                  <a:pt x="8402449" y="4906431"/>
                  <a:pt x="8402449" y="4922806"/>
                </a:cubicBezTo>
                <a:cubicBezTo>
                  <a:pt x="8402449" y="4939180"/>
                  <a:pt x="8388032" y="4952458"/>
                  <a:pt x="8370245" y="4952458"/>
                </a:cubicBezTo>
                <a:close/>
                <a:moveTo>
                  <a:pt x="8448779" y="4952458"/>
                </a:moveTo>
                <a:cubicBezTo>
                  <a:pt x="8430992" y="4952458"/>
                  <a:pt x="8416563" y="4939180"/>
                  <a:pt x="8416563" y="4922806"/>
                </a:cubicBezTo>
                <a:cubicBezTo>
                  <a:pt x="8416563" y="4906431"/>
                  <a:pt x="8430992" y="4893154"/>
                  <a:pt x="8448779" y="4893154"/>
                </a:cubicBezTo>
                <a:cubicBezTo>
                  <a:pt x="8466566" y="4893154"/>
                  <a:pt x="8480983" y="4906431"/>
                  <a:pt x="8480983" y="4922806"/>
                </a:cubicBezTo>
                <a:cubicBezTo>
                  <a:pt x="8480983" y="4939180"/>
                  <a:pt x="8466566" y="4952458"/>
                  <a:pt x="8448779" y="4952458"/>
                </a:cubicBezTo>
                <a:close/>
                <a:moveTo>
                  <a:pt x="8527313" y="4952458"/>
                </a:moveTo>
                <a:cubicBezTo>
                  <a:pt x="8509526" y="4952458"/>
                  <a:pt x="8495097" y="4939180"/>
                  <a:pt x="8495097" y="4922806"/>
                </a:cubicBezTo>
                <a:cubicBezTo>
                  <a:pt x="8495097" y="4906431"/>
                  <a:pt x="8509526" y="4893154"/>
                  <a:pt x="8527313" y="4893154"/>
                </a:cubicBezTo>
                <a:cubicBezTo>
                  <a:pt x="8545101" y="4893154"/>
                  <a:pt x="8559518" y="4906431"/>
                  <a:pt x="8559518" y="4922806"/>
                </a:cubicBezTo>
                <a:cubicBezTo>
                  <a:pt x="8559518" y="4939180"/>
                  <a:pt x="8545101" y="4952458"/>
                  <a:pt x="8527313" y="4952458"/>
                </a:cubicBezTo>
                <a:close/>
                <a:moveTo>
                  <a:pt x="8605847" y="4952458"/>
                </a:moveTo>
                <a:cubicBezTo>
                  <a:pt x="8588059" y="4952458"/>
                  <a:pt x="8573630" y="4939180"/>
                  <a:pt x="8573630" y="4922806"/>
                </a:cubicBezTo>
                <a:cubicBezTo>
                  <a:pt x="8573630" y="4906431"/>
                  <a:pt x="8588059" y="4893154"/>
                  <a:pt x="8605847" y="4893154"/>
                </a:cubicBezTo>
                <a:cubicBezTo>
                  <a:pt x="8623634" y="4893154"/>
                  <a:pt x="8638051" y="4906431"/>
                  <a:pt x="8638051" y="4922806"/>
                </a:cubicBezTo>
                <a:cubicBezTo>
                  <a:pt x="8638051" y="4939180"/>
                  <a:pt x="8623634" y="4952458"/>
                  <a:pt x="8605847" y="4952458"/>
                </a:cubicBezTo>
                <a:close/>
                <a:moveTo>
                  <a:pt x="8684381" y="4952458"/>
                </a:moveTo>
                <a:cubicBezTo>
                  <a:pt x="8666594" y="4952458"/>
                  <a:pt x="8652165" y="4939180"/>
                  <a:pt x="8652165" y="4922806"/>
                </a:cubicBezTo>
                <a:cubicBezTo>
                  <a:pt x="8652165" y="4906431"/>
                  <a:pt x="8666594" y="4893154"/>
                  <a:pt x="8684381" y="4893154"/>
                </a:cubicBezTo>
                <a:cubicBezTo>
                  <a:pt x="8702168" y="4893154"/>
                  <a:pt x="8716585" y="4906431"/>
                  <a:pt x="8716585" y="4922806"/>
                </a:cubicBezTo>
                <a:cubicBezTo>
                  <a:pt x="8716585" y="4939180"/>
                  <a:pt x="8702168" y="4952458"/>
                  <a:pt x="8684381" y="4952458"/>
                </a:cubicBezTo>
                <a:close/>
                <a:moveTo>
                  <a:pt x="8762914" y="4952458"/>
                </a:moveTo>
                <a:cubicBezTo>
                  <a:pt x="8745127" y="4952458"/>
                  <a:pt x="8730698" y="4939180"/>
                  <a:pt x="8730698" y="4922806"/>
                </a:cubicBezTo>
                <a:cubicBezTo>
                  <a:pt x="8730698" y="4906431"/>
                  <a:pt x="8745127" y="4893154"/>
                  <a:pt x="8762914" y="4893154"/>
                </a:cubicBezTo>
                <a:cubicBezTo>
                  <a:pt x="8780701" y="4893154"/>
                  <a:pt x="8795118" y="4906431"/>
                  <a:pt x="8795118" y="4922806"/>
                </a:cubicBezTo>
                <a:cubicBezTo>
                  <a:pt x="8795118" y="4939180"/>
                  <a:pt x="8780701" y="4952458"/>
                  <a:pt x="8762914" y="4952458"/>
                </a:cubicBezTo>
                <a:close/>
                <a:moveTo>
                  <a:pt x="8841448" y="4952458"/>
                </a:moveTo>
                <a:cubicBezTo>
                  <a:pt x="8823661" y="4952458"/>
                  <a:pt x="8809232" y="4939180"/>
                  <a:pt x="8809232" y="4922806"/>
                </a:cubicBezTo>
                <a:cubicBezTo>
                  <a:pt x="8809232" y="4906431"/>
                  <a:pt x="8823661" y="4893154"/>
                  <a:pt x="8841448" y="4893154"/>
                </a:cubicBezTo>
                <a:cubicBezTo>
                  <a:pt x="8859236" y="4893154"/>
                  <a:pt x="8873653" y="4906431"/>
                  <a:pt x="8873653" y="4922806"/>
                </a:cubicBezTo>
                <a:cubicBezTo>
                  <a:pt x="8873653" y="4939180"/>
                  <a:pt x="8859236" y="4952458"/>
                  <a:pt x="8841448" y="4952458"/>
                </a:cubicBezTo>
                <a:close/>
                <a:moveTo>
                  <a:pt x="8919983" y="4952458"/>
                </a:moveTo>
                <a:cubicBezTo>
                  <a:pt x="8902195" y="4952458"/>
                  <a:pt x="8887766" y="4939180"/>
                  <a:pt x="8887766" y="4922806"/>
                </a:cubicBezTo>
                <a:cubicBezTo>
                  <a:pt x="8887766" y="4906431"/>
                  <a:pt x="8902195" y="4893154"/>
                  <a:pt x="8919983" y="4893154"/>
                </a:cubicBezTo>
                <a:cubicBezTo>
                  <a:pt x="8937770" y="4893154"/>
                  <a:pt x="8952187" y="4906431"/>
                  <a:pt x="8952187" y="4922806"/>
                </a:cubicBezTo>
                <a:cubicBezTo>
                  <a:pt x="8952187" y="4939180"/>
                  <a:pt x="8937770" y="4952458"/>
                  <a:pt x="8919983" y="4952458"/>
                </a:cubicBezTo>
                <a:close/>
                <a:moveTo>
                  <a:pt x="8998516" y="4952458"/>
                </a:moveTo>
                <a:cubicBezTo>
                  <a:pt x="8980729" y="4952458"/>
                  <a:pt x="8966300" y="4939180"/>
                  <a:pt x="8966300" y="4922806"/>
                </a:cubicBezTo>
                <a:cubicBezTo>
                  <a:pt x="8966300" y="4906431"/>
                  <a:pt x="8980729" y="4893154"/>
                  <a:pt x="8998516" y="4893154"/>
                </a:cubicBezTo>
                <a:cubicBezTo>
                  <a:pt x="9016303" y="4893154"/>
                  <a:pt x="9030720" y="4906431"/>
                  <a:pt x="9030720" y="4922806"/>
                </a:cubicBezTo>
                <a:cubicBezTo>
                  <a:pt x="9030720" y="4939180"/>
                  <a:pt x="9016303" y="4952458"/>
                  <a:pt x="8998516" y="4952458"/>
                </a:cubicBezTo>
                <a:close/>
                <a:moveTo>
                  <a:pt x="9077050" y="4952458"/>
                </a:moveTo>
                <a:cubicBezTo>
                  <a:pt x="9059263" y="4952458"/>
                  <a:pt x="9044834" y="4939180"/>
                  <a:pt x="9044834" y="4922806"/>
                </a:cubicBezTo>
                <a:cubicBezTo>
                  <a:pt x="9044834" y="4906431"/>
                  <a:pt x="9059263" y="4893154"/>
                  <a:pt x="9077050" y="4893154"/>
                </a:cubicBezTo>
                <a:cubicBezTo>
                  <a:pt x="9094837" y="4893154"/>
                  <a:pt x="9109254" y="4906431"/>
                  <a:pt x="9109254" y="4922806"/>
                </a:cubicBezTo>
                <a:cubicBezTo>
                  <a:pt x="9109254" y="4939180"/>
                  <a:pt x="9094837" y="4952458"/>
                  <a:pt x="9077050" y="4952458"/>
                </a:cubicBezTo>
                <a:close/>
                <a:moveTo>
                  <a:pt x="9155583" y="4952458"/>
                </a:moveTo>
                <a:cubicBezTo>
                  <a:pt x="9137796" y="4952458"/>
                  <a:pt x="9123367" y="4939180"/>
                  <a:pt x="9123367" y="4922806"/>
                </a:cubicBezTo>
                <a:cubicBezTo>
                  <a:pt x="9123367" y="4906431"/>
                  <a:pt x="9137796" y="4893154"/>
                  <a:pt x="9155583" y="4893154"/>
                </a:cubicBezTo>
                <a:cubicBezTo>
                  <a:pt x="9173371" y="4893154"/>
                  <a:pt x="9187788" y="4906431"/>
                  <a:pt x="9187788" y="4922806"/>
                </a:cubicBezTo>
                <a:cubicBezTo>
                  <a:pt x="9187788" y="4939180"/>
                  <a:pt x="9173371" y="4952458"/>
                  <a:pt x="9155583" y="4952458"/>
                </a:cubicBezTo>
                <a:close/>
                <a:moveTo>
                  <a:pt x="9234118" y="4952458"/>
                </a:moveTo>
                <a:cubicBezTo>
                  <a:pt x="9216330" y="4952458"/>
                  <a:pt x="9201901" y="4939180"/>
                  <a:pt x="9201901" y="4922806"/>
                </a:cubicBezTo>
                <a:cubicBezTo>
                  <a:pt x="9201901" y="4906431"/>
                  <a:pt x="9216330" y="4893154"/>
                  <a:pt x="9234118" y="4893154"/>
                </a:cubicBezTo>
                <a:cubicBezTo>
                  <a:pt x="9251905" y="4893154"/>
                  <a:pt x="9266322" y="4906431"/>
                  <a:pt x="9266322" y="4922806"/>
                </a:cubicBezTo>
                <a:cubicBezTo>
                  <a:pt x="9266322" y="4939180"/>
                  <a:pt x="9251905" y="4952458"/>
                  <a:pt x="9234118" y="4952458"/>
                </a:cubicBezTo>
                <a:close/>
                <a:moveTo>
                  <a:pt x="9312652" y="4952458"/>
                </a:moveTo>
                <a:cubicBezTo>
                  <a:pt x="9294865" y="4952458"/>
                  <a:pt x="9280436" y="4939180"/>
                  <a:pt x="9280436" y="4922806"/>
                </a:cubicBezTo>
                <a:cubicBezTo>
                  <a:pt x="9280436" y="4906431"/>
                  <a:pt x="9294865" y="4893154"/>
                  <a:pt x="9312652" y="4893154"/>
                </a:cubicBezTo>
                <a:cubicBezTo>
                  <a:pt x="9330439" y="4893154"/>
                  <a:pt x="9344856" y="4906431"/>
                  <a:pt x="9344856" y="4922806"/>
                </a:cubicBezTo>
                <a:cubicBezTo>
                  <a:pt x="9344856" y="4939180"/>
                  <a:pt x="9330439" y="4952458"/>
                  <a:pt x="9312652" y="4952458"/>
                </a:cubicBezTo>
                <a:close/>
                <a:moveTo>
                  <a:pt x="9391185" y="4952458"/>
                </a:moveTo>
                <a:cubicBezTo>
                  <a:pt x="9373398" y="4952458"/>
                  <a:pt x="9358969" y="4939180"/>
                  <a:pt x="9358969" y="4922806"/>
                </a:cubicBezTo>
                <a:cubicBezTo>
                  <a:pt x="9358969" y="4906431"/>
                  <a:pt x="9373398" y="4893154"/>
                  <a:pt x="9391185" y="4893154"/>
                </a:cubicBezTo>
                <a:cubicBezTo>
                  <a:pt x="9408972" y="4893154"/>
                  <a:pt x="9423389" y="4906431"/>
                  <a:pt x="9423389" y="4922806"/>
                </a:cubicBezTo>
                <a:cubicBezTo>
                  <a:pt x="9423389" y="4939180"/>
                  <a:pt x="9408972" y="4952458"/>
                  <a:pt x="9391185" y="4952458"/>
                </a:cubicBezTo>
                <a:close/>
                <a:moveTo>
                  <a:pt x="9469719" y="4952458"/>
                </a:moveTo>
                <a:cubicBezTo>
                  <a:pt x="9451932" y="4952458"/>
                  <a:pt x="9437503" y="4939180"/>
                  <a:pt x="9437503" y="4922806"/>
                </a:cubicBezTo>
                <a:cubicBezTo>
                  <a:pt x="9437503" y="4906431"/>
                  <a:pt x="9451932" y="4893154"/>
                  <a:pt x="9469719" y="4893154"/>
                </a:cubicBezTo>
                <a:cubicBezTo>
                  <a:pt x="9487507" y="4893154"/>
                  <a:pt x="9501924" y="4906431"/>
                  <a:pt x="9501924" y="4922806"/>
                </a:cubicBezTo>
                <a:cubicBezTo>
                  <a:pt x="9501924" y="4939180"/>
                  <a:pt x="9487507" y="4952458"/>
                  <a:pt x="9469719" y="4952458"/>
                </a:cubicBezTo>
                <a:close/>
                <a:moveTo>
                  <a:pt x="9548254" y="4952458"/>
                </a:moveTo>
                <a:cubicBezTo>
                  <a:pt x="9530466" y="4952458"/>
                  <a:pt x="9516037" y="4939180"/>
                  <a:pt x="9516037" y="4922806"/>
                </a:cubicBezTo>
                <a:cubicBezTo>
                  <a:pt x="9516037" y="4906431"/>
                  <a:pt x="9530466" y="4893154"/>
                  <a:pt x="9548254" y="4893154"/>
                </a:cubicBezTo>
                <a:cubicBezTo>
                  <a:pt x="9566041" y="4893154"/>
                  <a:pt x="9580458" y="4906431"/>
                  <a:pt x="9580458" y="4922806"/>
                </a:cubicBezTo>
                <a:cubicBezTo>
                  <a:pt x="9580458" y="4939180"/>
                  <a:pt x="9566041" y="4952458"/>
                  <a:pt x="9548254" y="4952458"/>
                </a:cubicBezTo>
                <a:close/>
                <a:moveTo>
                  <a:pt x="9626787" y="4952458"/>
                </a:moveTo>
                <a:cubicBezTo>
                  <a:pt x="9609000" y="4952458"/>
                  <a:pt x="9594571" y="4939180"/>
                  <a:pt x="9594571" y="4922806"/>
                </a:cubicBezTo>
                <a:cubicBezTo>
                  <a:pt x="9594571" y="4906431"/>
                  <a:pt x="9609000" y="4893154"/>
                  <a:pt x="9626787" y="4893154"/>
                </a:cubicBezTo>
                <a:cubicBezTo>
                  <a:pt x="9644574" y="4893154"/>
                  <a:pt x="9658991" y="4906431"/>
                  <a:pt x="9658991" y="4922806"/>
                </a:cubicBezTo>
                <a:cubicBezTo>
                  <a:pt x="9658991" y="4939180"/>
                  <a:pt x="9644574" y="4952458"/>
                  <a:pt x="9626787" y="4952458"/>
                </a:cubicBezTo>
                <a:close/>
                <a:moveTo>
                  <a:pt x="9705321" y="4952458"/>
                </a:moveTo>
                <a:cubicBezTo>
                  <a:pt x="9687534" y="4952458"/>
                  <a:pt x="9673105" y="4939180"/>
                  <a:pt x="9673105" y="4922806"/>
                </a:cubicBezTo>
                <a:cubicBezTo>
                  <a:pt x="9673105" y="4906431"/>
                  <a:pt x="9687534" y="4893154"/>
                  <a:pt x="9705321" y="4893154"/>
                </a:cubicBezTo>
                <a:cubicBezTo>
                  <a:pt x="9723108" y="4893154"/>
                  <a:pt x="9737525" y="4906431"/>
                  <a:pt x="9737525" y="4922806"/>
                </a:cubicBezTo>
                <a:cubicBezTo>
                  <a:pt x="9737525" y="4939180"/>
                  <a:pt x="9723108" y="4952458"/>
                  <a:pt x="9705321" y="4952458"/>
                </a:cubicBezTo>
                <a:close/>
                <a:moveTo>
                  <a:pt x="9783854" y="4952458"/>
                </a:moveTo>
                <a:cubicBezTo>
                  <a:pt x="9766067" y="4952458"/>
                  <a:pt x="9751638" y="4939180"/>
                  <a:pt x="9751638" y="4922806"/>
                </a:cubicBezTo>
                <a:cubicBezTo>
                  <a:pt x="9751638" y="4906431"/>
                  <a:pt x="9766067" y="4893154"/>
                  <a:pt x="9783854" y="4893154"/>
                </a:cubicBezTo>
                <a:cubicBezTo>
                  <a:pt x="9801642" y="4893154"/>
                  <a:pt x="9816059" y="4906431"/>
                  <a:pt x="9816059" y="4922806"/>
                </a:cubicBezTo>
                <a:cubicBezTo>
                  <a:pt x="9816059" y="4939180"/>
                  <a:pt x="9801642" y="4952458"/>
                  <a:pt x="9783854" y="4952458"/>
                </a:cubicBezTo>
                <a:close/>
                <a:moveTo>
                  <a:pt x="10019456" y="4952458"/>
                </a:moveTo>
                <a:cubicBezTo>
                  <a:pt x="10001669" y="4952458"/>
                  <a:pt x="9987240" y="4939180"/>
                  <a:pt x="9987240" y="4922806"/>
                </a:cubicBezTo>
                <a:cubicBezTo>
                  <a:pt x="9987240" y="4906431"/>
                  <a:pt x="10001669" y="4893154"/>
                  <a:pt x="10019456" y="4893154"/>
                </a:cubicBezTo>
                <a:cubicBezTo>
                  <a:pt x="10037243" y="4893154"/>
                  <a:pt x="10051660" y="4906431"/>
                  <a:pt x="10051660" y="4922806"/>
                </a:cubicBezTo>
                <a:cubicBezTo>
                  <a:pt x="10051660" y="4939180"/>
                  <a:pt x="10037243" y="4952458"/>
                  <a:pt x="10019456" y="4952458"/>
                </a:cubicBezTo>
                <a:close/>
                <a:moveTo>
                  <a:pt x="1851910" y="4880192"/>
                </a:moveTo>
                <a:cubicBezTo>
                  <a:pt x="1834123" y="4880192"/>
                  <a:pt x="1819700" y="4866915"/>
                  <a:pt x="1819700" y="4850540"/>
                </a:cubicBezTo>
                <a:cubicBezTo>
                  <a:pt x="1819700" y="4834165"/>
                  <a:pt x="1834123" y="4820888"/>
                  <a:pt x="1851910" y="4820888"/>
                </a:cubicBezTo>
                <a:cubicBezTo>
                  <a:pt x="1869697" y="4820888"/>
                  <a:pt x="1884120" y="4834165"/>
                  <a:pt x="1884120" y="4850540"/>
                </a:cubicBezTo>
                <a:cubicBezTo>
                  <a:pt x="1884120" y="4866915"/>
                  <a:pt x="1869697" y="4880192"/>
                  <a:pt x="1851910" y="4880192"/>
                </a:cubicBezTo>
                <a:close/>
                <a:moveTo>
                  <a:pt x="1930444" y="4880192"/>
                </a:moveTo>
                <a:cubicBezTo>
                  <a:pt x="1912657" y="4880192"/>
                  <a:pt x="1898234" y="4866915"/>
                  <a:pt x="1898234" y="4850540"/>
                </a:cubicBezTo>
                <a:cubicBezTo>
                  <a:pt x="1898234" y="4834165"/>
                  <a:pt x="1912657" y="4820888"/>
                  <a:pt x="1930444" y="4820888"/>
                </a:cubicBezTo>
                <a:cubicBezTo>
                  <a:pt x="1948232" y="4820888"/>
                  <a:pt x="1962655" y="4834165"/>
                  <a:pt x="1962655" y="4850540"/>
                </a:cubicBezTo>
                <a:cubicBezTo>
                  <a:pt x="1962655" y="4866915"/>
                  <a:pt x="1948232" y="4880192"/>
                  <a:pt x="1930444" y="4880192"/>
                </a:cubicBezTo>
                <a:close/>
                <a:moveTo>
                  <a:pt x="2008978" y="4880192"/>
                </a:moveTo>
                <a:cubicBezTo>
                  <a:pt x="1991190" y="4880192"/>
                  <a:pt x="1976767" y="4866915"/>
                  <a:pt x="1976767" y="4850540"/>
                </a:cubicBezTo>
                <a:cubicBezTo>
                  <a:pt x="1976767" y="4834165"/>
                  <a:pt x="1991190" y="4820888"/>
                  <a:pt x="2008978" y="4820888"/>
                </a:cubicBezTo>
                <a:cubicBezTo>
                  <a:pt x="2026765" y="4820888"/>
                  <a:pt x="2041188" y="4834165"/>
                  <a:pt x="2041188" y="4850540"/>
                </a:cubicBezTo>
                <a:cubicBezTo>
                  <a:pt x="2041188" y="4866915"/>
                  <a:pt x="2026765" y="4880192"/>
                  <a:pt x="2008978" y="4880192"/>
                </a:cubicBezTo>
                <a:close/>
                <a:moveTo>
                  <a:pt x="2087512" y="4880192"/>
                </a:moveTo>
                <a:cubicBezTo>
                  <a:pt x="2069725" y="4880192"/>
                  <a:pt x="2055302" y="4866915"/>
                  <a:pt x="2055302" y="4850540"/>
                </a:cubicBezTo>
                <a:cubicBezTo>
                  <a:pt x="2055302" y="4834165"/>
                  <a:pt x="2069725" y="4820888"/>
                  <a:pt x="2087512" y="4820888"/>
                </a:cubicBezTo>
                <a:cubicBezTo>
                  <a:pt x="2105299" y="4820888"/>
                  <a:pt x="2119722" y="4834165"/>
                  <a:pt x="2119722" y="4850540"/>
                </a:cubicBezTo>
                <a:cubicBezTo>
                  <a:pt x="2119722" y="4866915"/>
                  <a:pt x="2105299" y="4880192"/>
                  <a:pt x="2087512" y="4880192"/>
                </a:cubicBezTo>
                <a:close/>
                <a:moveTo>
                  <a:pt x="2166045" y="4880192"/>
                </a:moveTo>
                <a:cubicBezTo>
                  <a:pt x="2148258" y="4880192"/>
                  <a:pt x="2133835" y="4866915"/>
                  <a:pt x="2133835" y="4850540"/>
                </a:cubicBezTo>
                <a:cubicBezTo>
                  <a:pt x="2133835" y="4834165"/>
                  <a:pt x="2148258" y="4820888"/>
                  <a:pt x="2166045" y="4820888"/>
                </a:cubicBezTo>
                <a:cubicBezTo>
                  <a:pt x="2183832" y="4820888"/>
                  <a:pt x="2198255" y="4834165"/>
                  <a:pt x="2198255" y="4850540"/>
                </a:cubicBezTo>
                <a:cubicBezTo>
                  <a:pt x="2198255" y="4866915"/>
                  <a:pt x="2183832" y="4880192"/>
                  <a:pt x="2166045" y="4880192"/>
                </a:cubicBezTo>
                <a:close/>
                <a:moveTo>
                  <a:pt x="2323114" y="4880192"/>
                </a:moveTo>
                <a:cubicBezTo>
                  <a:pt x="2305326" y="4880192"/>
                  <a:pt x="2290903" y="4866915"/>
                  <a:pt x="2290903" y="4850540"/>
                </a:cubicBezTo>
                <a:cubicBezTo>
                  <a:pt x="2290903" y="4834165"/>
                  <a:pt x="2305326" y="4820888"/>
                  <a:pt x="2323114" y="4820888"/>
                </a:cubicBezTo>
                <a:cubicBezTo>
                  <a:pt x="2340901" y="4820888"/>
                  <a:pt x="2355324" y="4834165"/>
                  <a:pt x="2355324" y="4850540"/>
                </a:cubicBezTo>
                <a:cubicBezTo>
                  <a:pt x="2355324" y="4866915"/>
                  <a:pt x="2340901" y="4880192"/>
                  <a:pt x="2323114" y="4880192"/>
                </a:cubicBezTo>
                <a:close/>
                <a:moveTo>
                  <a:pt x="2401647" y="4880192"/>
                </a:moveTo>
                <a:cubicBezTo>
                  <a:pt x="2383860" y="4880192"/>
                  <a:pt x="2369437" y="4866915"/>
                  <a:pt x="2369437" y="4850540"/>
                </a:cubicBezTo>
                <a:cubicBezTo>
                  <a:pt x="2369437" y="4834165"/>
                  <a:pt x="2383860" y="4820888"/>
                  <a:pt x="2401647" y="4820888"/>
                </a:cubicBezTo>
                <a:cubicBezTo>
                  <a:pt x="2419434" y="4820888"/>
                  <a:pt x="2433857" y="4834165"/>
                  <a:pt x="2433857" y="4850540"/>
                </a:cubicBezTo>
                <a:cubicBezTo>
                  <a:pt x="2433857" y="4866915"/>
                  <a:pt x="2419434" y="4880192"/>
                  <a:pt x="2401647" y="4880192"/>
                </a:cubicBezTo>
                <a:close/>
                <a:moveTo>
                  <a:pt x="2480181" y="4880192"/>
                </a:moveTo>
                <a:cubicBezTo>
                  <a:pt x="2462394" y="4880192"/>
                  <a:pt x="2447971" y="4866915"/>
                  <a:pt x="2447971" y="4850540"/>
                </a:cubicBezTo>
                <a:cubicBezTo>
                  <a:pt x="2447971" y="4834165"/>
                  <a:pt x="2462394" y="4820888"/>
                  <a:pt x="2480181" y="4820888"/>
                </a:cubicBezTo>
                <a:cubicBezTo>
                  <a:pt x="2497968" y="4820888"/>
                  <a:pt x="2512391" y="4834165"/>
                  <a:pt x="2512391" y="4850540"/>
                </a:cubicBezTo>
                <a:cubicBezTo>
                  <a:pt x="2512391" y="4866915"/>
                  <a:pt x="2497968" y="4880192"/>
                  <a:pt x="2480181" y="4880192"/>
                </a:cubicBezTo>
                <a:close/>
                <a:moveTo>
                  <a:pt x="2558715" y="4880192"/>
                </a:moveTo>
                <a:cubicBezTo>
                  <a:pt x="2540928" y="4880192"/>
                  <a:pt x="2526505" y="4866915"/>
                  <a:pt x="2526505" y="4850540"/>
                </a:cubicBezTo>
                <a:cubicBezTo>
                  <a:pt x="2526505" y="4834165"/>
                  <a:pt x="2540928" y="4820888"/>
                  <a:pt x="2558715" y="4820888"/>
                </a:cubicBezTo>
                <a:cubicBezTo>
                  <a:pt x="2576503" y="4820888"/>
                  <a:pt x="2590926" y="4834165"/>
                  <a:pt x="2590926" y="4850540"/>
                </a:cubicBezTo>
                <a:cubicBezTo>
                  <a:pt x="2590926" y="4866915"/>
                  <a:pt x="2576503" y="4880192"/>
                  <a:pt x="2558715" y="4880192"/>
                </a:cubicBezTo>
                <a:close/>
                <a:moveTo>
                  <a:pt x="2637243" y="4880192"/>
                </a:moveTo>
                <a:cubicBezTo>
                  <a:pt x="2619455" y="4880192"/>
                  <a:pt x="2605032" y="4866915"/>
                  <a:pt x="2605032" y="4850540"/>
                </a:cubicBezTo>
                <a:cubicBezTo>
                  <a:pt x="2605032" y="4834165"/>
                  <a:pt x="2619455" y="4820888"/>
                  <a:pt x="2637243" y="4820888"/>
                </a:cubicBezTo>
                <a:cubicBezTo>
                  <a:pt x="2655030" y="4820888"/>
                  <a:pt x="2669453" y="4834165"/>
                  <a:pt x="2669453" y="4850540"/>
                </a:cubicBezTo>
                <a:cubicBezTo>
                  <a:pt x="2669453" y="4866915"/>
                  <a:pt x="2655030" y="4880192"/>
                  <a:pt x="2637243" y="4880192"/>
                </a:cubicBezTo>
                <a:close/>
                <a:moveTo>
                  <a:pt x="2715777" y="4880192"/>
                </a:moveTo>
                <a:cubicBezTo>
                  <a:pt x="2697990" y="4880192"/>
                  <a:pt x="2683566" y="4866915"/>
                  <a:pt x="2683566" y="4850540"/>
                </a:cubicBezTo>
                <a:cubicBezTo>
                  <a:pt x="2683566" y="4834165"/>
                  <a:pt x="2697990" y="4820888"/>
                  <a:pt x="2715777" y="4820888"/>
                </a:cubicBezTo>
                <a:cubicBezTo>
                  <a:pt x="2733564" y="4820888"/>
                  <a:pt x="2747987" y="4834165"/>
                  <a:pt x="2747987" y="4850540"/>
                </a:cubicBezTo>
                <a:cubicBezTo>
                  <a:pt x="2747987" y="4866915"/>
                  <a:pt x="2733564" y="4880192"/>
                  <a:pt x="2715777" y="4880192"/>
                </a:cubicBezTo>
                <a:close/>
                <a:moveTo>
                  <a:pt x="2794310" y="4880192"/>
                </a:moveTo>
                <a:cubicBezTo>
                  <a:pt x="2776523" y="4880192"/>
                  <a:pt x="2762100" y="4866915"/>
                  <a:pt x="2762100" y="4850540"/>
                </a:cubicBezTo>
                <a:cubicBezTo>
                  <a:pt x="2762100" y="4834165"/>
                  <a:pt x="2776523" y="4820888"/>
                  <a:pt x="2794310" y="4820888"/>
                </a:cubicBezTo>
                <a:cubicBezTo>
                  <a:pt x="2812097" y="4820888"/>
                  <a:pt x="2826520" y="4834165"/>
                  <a:pt x="2826520" y="4850540"/>
                </a:cubicBezTo>
                <a:cubicBezTo>
                  <a:pt x="2826520" y="4866915"/>
                  <a:pt x="2812097" y="4880192"/>
                  <a:pt x="2794310" y="4880192"/>
                </a:cubicBezTo>
                <a:close/>
                <a:moveTo>
                  <a:pt x="2872844" y="4880192"/>
                </a:moveTo>
                <a:cubicBezTo>
                  <a:pt x="2855057" y="4880192"/>
                  <a:pt x="2840634" y="4866915"/>
                  <a:pt x="2840634" y="4850540"/>
                </a:cubicBezTo>
                <a:cubicBezTo>
                  <a:pt x="2840634" y="4834165"/>
                  <a:pt x="2855057" y="4820888"/>
                  <a:pt x="2872844" y="4820888"/>
                </a:cubicBezTo>
                <a:cubicBezTo>
                  <a:pt x="2890632" y="4820888"/>
                  <a:pt x="2905055" y="4834165"/>
                  <a:pt x="2905055" y="4850540"/>
                </a:cubicBezTo>
                <a:cubicBezTo>
                  <a:pt x="2905055" y="4866915"/>
                  <a:pt x="2890632" y="4880192"/>
                  <a:pt x="2872844" y="4880192"/>
                </a:cubicBezTo>
                <a:close/>
                <a:moveTo>
                  <a:pt x="2951379" y="4880192"/>
                </a:moveTo>
                <a:cubicBezTo>
                  <a:pt x="2933591" y="4880192"/>
                  <a:pt x="2919168" y="4866915"/>
                  <a:pt x="2919168" y="4850540"/>
                </a:cubicBezTo>
                <a:cubicBezTo>
                  <a:pt x="2919168" y="4834165"/>
                  <a:pt x="2933591" y="4820888"/>
                  <a:pt x="2951379" y="4820888"/>
                </a:cubicBezTo>
                <a:cubicBezTo>
                  <a:pt x="2969166" y="4820888"/>
                  <a:pt x="2983589" y="4834165"/>
                  <a:pt x="2983589" y="4850540"/>
                </a:cubicBezTo>
                <a:cubicBezTo>
                  <a:pt x="2983589" y="4866915"/>
                  <a:pt x="2969166" y="4880192"/>
                  <a:pt x="2951379" y="4880192"/>
                </a:cubicBezTo>
                <a:close/>
                <a:moveTo>
                  <a:pt x="3108446" y="4880192"/>
                </a:moveTo>
                <a:cubicBezTo>
                  <a:pt x="3090659" y="4880192"/>
                  <a:pt x="3076236" y="4866915"/>
                  <a:pt x="3076236" y="4850540"/>
                </a:cubicBezTo>
                <a:cubicBezTo>
                  <a:pt x="3076236" y="4834165"/>
                  <a:pt x="3090659" y="4820888"/>
                  <a:pt x="3108446" y="4820888"/>
                </a:cubicBezTo>
                <a:cubicBezTo>
                  <a:pt x="3126233" y="4820888"/>
                  <a:pt x="3140656" y="4834165"/>
                  <a:pt x="3140656" y="4850540"/>
                </a:cubicBezTo>
                <a:cubicBezTo>
                  <a:pt x="3140656" y="4866915"/>
                  <a:pt x="3126233" y="4880192"/>
                  <a:pt x="3108446" y="4880192"/>
                </a:cubicBezTo>
                <a:close/>
                <a:moveTo>
                  <a:pt x="3186979" y="4880192"/>
                </a:moveTo>
                <a:cubicBezTo>
                  <a:pt x="3169192" y="4880192"/>
                  <a:pt x="3154769" y="4866915"/>
                  <a:pt x="3154769" y="4850540"/>
                </a:cubicBezTo>
                <a:cubicBezTo>
                  <a:pt x="3154769" y="4834165"/>
                  <a:pt x="3169192" y="4820888"/>
                  <a:pt x="3186979" y="4820888"/>
                </a:cubicBezTo>
                <a:cubicBezTo>
                  <a:pt x="3204767" y="4820888"/>
                  <a:pt x="3219190" y="4834165"/>
                  <a:pt x="3219190" y="4850540"/>
                </a:cubicBezTo>
                <a:cubicBezTo>
                  <a:pt x="3219190" y="4866915"/>
                  <a:pt x="3204767" y="4880192"/>
                  <a:pt x="3186979" y="4880192"/>
                </a:cubicBezTo>
                <a:close/>
                <a:moveTo>
                  <a:pt x="3344048" y="4880192"/>
                </a:moveTo>
                <a:cubicBezTo>
                  <a:pt x="3326261" y="4880192"/>
                  <a:pt x="3311837" y="4866915"/>
                  <a:pt x="3311837" y="4850540"/>
                </a:cubicBezTo>
                <a:cubicBezTo>
                  <a:pt x="3311837" y="4834165"/>
                  <a:pt x="3326261" y="4820888"/>
                  <a:pt x="3344048" y="4820888"/>
                </a:cubicBezTo>
                <a:cubicBezTo>
                  <a:pt x="3361835" y="4820888"/>
                  <a:pt x="3376258" y="4834165"/>
                  <a:pt x="3376258" y="4850540"/>
                </a:cubicBezTo>
                <a:cubicBezTo>
                  <a:pt x="3376258" y="4866915"/>
                  <a:pt x="3361835" y="4880192"/>
                  <a:pt x="3344048" y="4880192"/>
                </a:cubicBezTo>
                <a:close/>
                <a:moveTo>
                  <a:pt x="3422581" y="4880192"/>
                </a:moveTo>
                <a:cubicBezTo>
                  <a:pt x="3404794" y="4880192"/>
                  <a:pt x="3390371" y="4866915"/>
                  <a:pt x="3390371" y="4850540"/>
                </a:cubicBezTo>
                <a:cubicBezTo>
                  <a:pt x="3390371" y="4834165"/>
                  <a:pt x="3404794" y="4820888"/>
                  <a:pt x="3422581" y="4820888"/>
                </a:cubicBezTo>
                <a:cubicBezTo>
                  <a:pt x="3440368" y="4820888"/>
                  <a:pt x="3454791" y="4834165"/>
                  <a:pt x="3454791" y="4850540"/>
                </a:cubicBezTo>
                <a:cubicBezTo>
                  <a:pt x="3454791" y="4866915"/>
                  <a:pt x="3440368" y="4880192"/>
                  <a:pt x="3422581" y="4880192"/>
                </a:cubicBezTo>
                <a:close/>
                <a:moveTo>
                  <a:pt x="3501115" y="4880192"/>
                </a:moveTo>
                <a:cubicBezTo>
                  <a:pt x="3483328" y="4880192"/>
                  <a:pt x="3468905" y="4866915"/>
                  <a:pt x="3468905" y="4850540"/>
                </a:cubicBezTo>
                <a:cubicBezTo>
                  <a:pt x="3468905" y="4834165"/>
                  <a:pt x="3483328" y="4820888"/>
                  <a:pt x="3501115" y="4820888"/>
                </a:cubicBezTo>
                <a:cubicBezTo>
                  <a:pt x="3518903" y="4820888"/>
                  <a:pt x="3533326" y="4834165"/>
                  <a:pt x="3533326" y="4850540"/>
                </a:cubicBezTo>
                <a:cubicBezTo>
                  <a:pt x="3533326" y="4866915"/>
                  <a:pt x="3518903" y="4880192"/>
                  <a:pt x="3501115" y="4880192"/>
                </a:cubicBezTo>
                <a:close/>
                <a:moveTo>
                  <a:pt x="3658183" y="4880192"/>
                </a:moveTo>
                <a:cubicBezTo>
                  <a:pt x="3640396" y="4880192"/>
                  <a:pt x="3625972" y="4866915"/>
                  <a:pt x="3625972" y="4850540"/>
                </a:cubicBezTo>
                <a:cubicBezTo>
                  <a:pt x="3625972" y="4834165"/>
                  <a:pt x="3640396" y="4820888"/>
                  <a:pt x="3658183" y="4820888"/>
                </a:cubicBezTo>
                <a:cubicBezTo>
                  <a:pt x="3675970" y="4820888"/>
                  <a:pt x="3690393" y="4834165"/>
                  <a:pt x="3690393" y="4850540"/>
                </a:cubicBezTo>
                <a:cubicBezTo>
                  <a:pt x="3690393" y="4866915"/>
                  <a:pt x="3675970" y="4880192"/>
                  <a:pt x="3658183" y="4880192"/>
                </a:cubicBezTo>
                <a:close/>
                <a:moveTo>
                  <a:pt x="3736717" y="4880192"/>
                </a:moveTo>
                <a:cubicBezTo>
                  <a:pt x="3718930" y="4880192"/>
                  <a:pt x="3704507" y="4866915"/>
                  <a:pt x="3704507" y="4850540"/>
                </a:cubicBezTo>
                <a:cubicBezTo>
                  <a:pt x="3704507" y="4834165"/>
                  <a:pt x="3718930" y="4820888"/>
                  <a:pt x="3736717" y="4820888"/>
                </a:cubicBezTo>
                <a:cubicBezTo>
                  <a:pt x="3754504" y="4820888"/>
                  <a:pt x="3768927" y="4834165"/>
                  <a:pt x="3768927" y="4850540"/>
                </a:cubicBezTo>
                <a:cubicBezTo>
                  <a:pt x="3768927" y="4866915"/>
                  <a:pt x="3754504" y="4880192"/>
                  <a:pt x="3736717" y="4880192"/>
                </a:cubicBezTo>
                <a:close/>
                <a:moveTo>
                  <a:pt x="4207926" y="4880192"/>
                </a:moveTo>
                <a:cubicBezTo>
                  <a:pt x="4190138" y="4880192"/>
                  <a:pt x="4175715" y="4866915"/>
                  <a:pt x="4175715" y="4850540"/>
                </a:cubicBezTo>
                <a:cubicBezTo>
                  <a:pt x="4175715" y="4834165"/>
                  <a:pt x="4190138" y="4820888"/>
                  <a:pt x="4207926" y="4820888"/>
                </a:cubicBezTo>
                <a:cubicBezTo>
                  <a:pt x="4225713" y="4820888"/>
                  <a:pt x="4240136" y="4834165"/>
                  <a:pt x="4240136" y="4850540"/>
                </a:cubicBezTo>
                <a:cubicBezTo>
                  <a:pt x="4240136" y="4866915"/>
                  <a:pt x="4225713" y="4880192"/>
                  <a:pt x="4207926" y="4880192"/>
                </a:cubicBezTo>
                <a:close/>
                <a:moveTo>
                  <a:pt x="4286460" y="4880192"/>
                </a:moveTo>
                <a:cubicBezTo>
                  <a:pt x="4268673" y="4880192"/>
                  <a:pt x="4254250" y="4866915"/>
                  <a:pt x="4254250" y="4850540"/>
                </a:cubicBezTo>
                <a:cubicBezTo>
                  <a:pt x="4254250" y="4834165"/>
                  <a:pt x="4268673" y="4820888"/>
                  <a:pt x="4286460" y="4820888"/>
                </a:cubicBezTo>
                <a:cubicBezTo>
                  <a:pt x="4304247" y="4820888"/>
                  <a:pt x="4318670" y="4834165"/>
                  <a:pt x="4318670" y="4850540"/>
                </a:cubicBezTo>
                <a:cubicBezTo>
                  <a:pt x="4318670" y="4866915"/>
                  <a:pt x="4304247" y="4880192"/>
                  <a:pt x="4286460" y="4880192"/>
                </a:cubicBezTo>
                <a:close/>
                <a:moveTo>
                  <a:pt x="4364994" y="4880192"/>
                </a:moveTo>
                <a:cubicBezTo>
                  <a:pt x="4347207" y="4880192"/>
                  <a:pt x="4332784" y="4866915"/>
                  <a:pt x="4332784" y="4850540"/>
                </a:cubicBezTo>
                <a:cubicBezTo>
                  <a:pt x="4332784" y="4834165"/>
                  <a:pt x="4347207" y="4820888"/>
                  <a:pt x="4364994" y="4820888"/>
                </a:cubicBezTo>
                <a:cubicBezTo>
                  <a:pt x="4382781" y="4820888"/>
                  <a:pt x="4397204" y="4834165"/>
                  <a:pt x="4397204" y="4850540"/>
                </a:cubicBezTo>
                <a:cubicBezTo>
                  <a:pt x="4397204" y="4866915"/>
                  <a:pt x="4382781" y="4880192"/>
                  <a:pt x="4364994" y="4880192"/>
                </a:cubicBezTo>
                <a:close/>
                <a:moveTo>
                  <a:pt x="4757663" y="4880192"/>
                </a:moveTo>
                <a:cubicBezTo>
                  <a:pt x="4739876" y="4880192"/>
                  <a:pt x="4725453" y="4866915"/>
                  <a:pt x="4725453" y="4850540"/>
                </a:cubicBezTo>
                <a:cubicBezTo>
                  <a:pt x="4725453" y="4834165"/>
                  <a:pt x="4739876" y="4820888"/>
                  <a:pt x="4757663" y="4820888"/>
                </a:cubicBezTo>
                <a:cubicBezTo>
                  <a:pt x="4775451" y="4820888"/>
                  <a:pt x="4789874" y="4834165"/>
                  <a:pt x="4789874" y="4850540"/>
                </a:cubicBezTo>
                <a:cubicBezTo>
                  <a:pt x="4789874" y="4866915"/>
                  <a:pt x="4775451" y="4880192"/>
                  <a:pt x="4757663" y="4880192"/>
                </a:cubicBezTo>
                <a:close/>
                <a:moveTo>
                  <a:pt x="4836197" y="4880192"/>
                </a:moveTo>
                <a:cubicBezTo>
                  <a:pt x="4818409" y="4880192"/>
                  <a:pt x="4803986" y="4866915"/>
                  <a:pt x="4803986" y="4850540"/>
                </a:cubicBezTo>
                <a:cubicBezTo>
                  <a:pt x="4803986" y="4834165"/>
                  <a:pt x="4818409" y="4820888"/>
                  <a:pt x="4836197" y="4820888"/>
                </a:cubicBezTo>
                <a:cubicBezTo>
                  <a:pt x="4853984" y="4820888"/>
                  <a:pt x="4868407" y="4834165"/>
                  <a:pt x="4868407" y="4850540"/>
                </a:cubicBezTo>
                <a:cubicBezTo>
                  <a:pt x="4868407" y="4866915"/>
                  <a:pt x="4853984" y="4880192"/>
                  <a:pt x="4836197" y="4880192"/>
                </a:cubicBezTo>
                <a:close/>
                <a:moveTo>
                  <a:pt x="4914731" y="4880192"/>
                </a:moveTo>
                <a:cubicBezTo>
                  <a:pt x="4896944" y="4880192"/>
                  <a:pt x="4882521" y="4866915"/>
                  <a:pt x="4882521" y="4850540"/>
                </a:cubicBezTo>
                <a:cubicBezTo>
                  <a:pt x="4882521" y="4834165"/>
                  <a:pt x="4896944" y="4820888"/>
                  <a:pt x="4914731" y="4820888"/>
                </a:cubicBezTo>
                <a:cubicBezTo>
                  <a:pt x="4932518" y="4820888"/>
                  <a:pt x="4946941" y="4834165"/>
                  <a:pt x="4946941" y="4850540"/>
                </a:cubicBezTo>
                <a:cubicBezTo>
                  <a:pt x="4946941" y="4866915"/>
                  <a:pt x="4932518" y="4880192"/>
                  <a:pt x="4914731" y="4880192"/>
                </a:cubicBezTo>
                <a:close/>
                <a:moveTo>
                  <a:pt x="4993265" y="4880192"/>
                </a:moveTo>
                <a:cubicBezTo>
                  <a:pt x="4975478" y="4880192"/>
                  <a:pt x="4961055" y="4866915"/>
                  <a:pt x="4961055" y="4850540"/>
                </a:cubicBezTo>
                <a:cubicBezTo>
                  <a:pt x="4961055" y="4834165"/>
                  <a:pt x="4975478" y="4820888"/>
                  <a:pt x="4993265" y="4820888"/>
                </a:cubicBezTo>
                <a:cubicBezTo>
                  <a:pt x="5011052" y="4820888"/>
                  <a:pt x="5025475" y="4834165"/>
                  <a:pt x="5025475" y="4850540"/>
                </a:cubicBezTo>
                <a:cubicBezTo>
                  <a:pt x="5025475" y="4866915"/>
                  <a:pt x="5011052" y="4880192"/>
                  <a:pt x="4993265" y="4880192"/>
                </a:cubicBezTo>
                <a:close/>
                <a:moveTo>
                  <a:pt x="5071798" y="4880192"/>
                </a:moveTo>
                <a:cubicBezTo>
                  <a:pt x="5054011" y="4880192"/>
                  <a:pt x="5039588" y="4866915"/>
                  <a:pt x="5039588" y="4850540"/>
                </a:cubicBezTo>
                <a:cubicBezTo>
                  <a:pt x="5039588" y="4834165"/>
                  <a:pt x="5054011" y="4820888"/>
                  <a:pt x="5071798" y="4820888"/>
                </a:cubicBezTo>
                <a:cubicBezTo>
                  <a:pt x="5089586" y="4820888"/>
                  <a:pt x="5104009" y="4834165"/>
                  <a:pt x="5104009" y="4850540"/>
                </a:cubicBezTo>
                <a:cubicBezTo>
                  <a:pt x="5104009" y="4866915"/>
                  <a:pt x="5089586" y="4880192"/>
                  <a:pt x="5071798" y="4880192"/>
                </a:cubicBezTo>
                <a:close/>
                <a:moveTo>
                  <a:pt x="5150333" y="4880192"/>
                </a:moveTo>
                <a:cubicBezTo>
                  <a:pt x="5132545" y="4880192"/>
                  <a:pt x="5118122" y="4866915"/>
                  <a:pt x="5118122" y="4850540"/>
                </a:cubicBezTo>
                <a:cubicBezTo>
                  <a:pt x="5118122" y="4834165"/>
                  <a:pt x="5132545" y="4820888"/>
                  <a:pt x="5150333" y="4820888"/>
                </a:cubicBezTo>
                <a:cubicBezTo>
                  <a:pt x="5168120" y="4820888"/>
                  <a:pt x="5182543" y="4834165"/>
                  <a:pt x="5182543" y="4850540"/>
                </a:cubicBezTo>
                <a:cubicBezTo>
                  <a:pt x="5182543" y="4866915"/>
                  <a:pt x="5168120" y="4880192"/>
                  <a:pt x="5150333" y="4880192"/>
                </a:cubicBezTo>
                <a:close/>
                <a:moveTo>
                  <a:pt x="6406875" y="4880192"/>
                </a:moveTo>
                <a:cubicBezTo>
                  <a:pt x="6389087" y="4880192"/>
                  <a:pt x="6374658" y="4866915"/>
                  <a:pt x="6374658" y="4850540"/>
                </a:cubicBezTo>
                <a:cubicBezTo>
                  <a:pt x="6374658" y="4834165"/>
                  <a:pt x="6389087" y="4820888"/>
                  <a:pt x="6406875" y="4820888"/>
                </a:cubicBezTo>
                <a:cubicBezTo>
                  <a:pt x="6424662" y="4820888"/>
                  <a:pt x="6439079" y="4834165"/>
                  <a:pt x="6439079" y="4850540"/>
                </a:cubicBezTo>
                <a:cubicBezTo>
                  <a:pt x="6439079" y="4866915"/>
                  <a:pt x="6424662" y="4880192"/>
                  <a:pt x="6406875" y="4880192"/>
                </a:cubicBezTo>
                <a:close/>
                <a:moveTo>
                  <a:pt x="6485408" y="4880192"/>
                </a:moveTo>
                <a:cubicBezTo>
                  <a:pt x="6467621" y="4880192"/>
                  <a:pt x="6453191" y="4866915"/>
                  <a:pt x="6453191" y="4850540"/>
                </a:cubicBezTo>
                <a:cubicBezTo>
                  <a:pt x="6453191" y="4834165"/>
                  <a:pt x="6467621" y="4820888"/>
                  <a:pt x="6485408" y="4820888"/>
                </a:cubicBezTo>
                <a:cubicBezTo>
                  <a:pt x="6503195" y="4820888"/>
                  <a:pt x="6517612" y="4834165"/>
                  <a:pt x="6517612" y="4850540"/>
                </a:cubicBezTo>
                <a:cubicBezTo>
                  <a:pt x="6517612" y="4866915"/>
                  <a:pt x="6503195" y="4880192"/>
                  <a:pt x="6485408" y="4880192"/>
                </a:cubicBezTo>
                <a:close/>
                <a:moveTo>
                  <a:pt x="6563942" y="4880192"/>
                </a:moveTo>
                <a:cubicBezTo>
                  <a:pt x="6546155" y="4880192"/>
                  <a:pt x="6531726" y="4866915"/>
                  <a:pt x="6531726" y="4850540"/>
                </a:cubicBezTo>
                <a:cubicBezTo>
                  <a:pt x="6531726" y="4834165"/>
                  <a:pt x="6546155" y="4820888"/>
                  <a:pt x="6563942" y="4820888"/>
                </a:cubicBezTo>
                <a:cubicBezTo>
                  <a:pt x="6581729" y="4820888"/>
                  <a:pt x="6596146" y="4834165"/>
                  <a:pt x="6596146" y="4850540"/>
                </a:cubicBezTo>
                <a:cubicBezTo>
                  <a:pt x="6596146" y="4866915"/>
                  <a:pt x="6581729" y="4880192"/>
                  <a:pt x="6563942" y="4880192"/>
                </a:cubicBezTo>
                <a:close/>
                <a:moveTo>
                  <a:pt x="6642476" y="4880192"/>
                </a:moveTo>
                <a:cubicBezTo>
                  <a:pt x="6624689" y="4880192"/>
                  <a:pt x="6610260" y="4866915"/>
                  <a:pt x="6610260" y="4850540"/>
                </a:cubicBezTo>
                <a:cubicBezTo>
                  <a:pt x="6610260" y="4834165"/>
                  <a:pt x="6624689" y="4820888"/>
                  <a:pt x="6642476" y="4820888"/>
                </a:cubicBezTo>
                <a:cubicBezTo>
                  <a:pt x="6660264" y="4820888"/>
                  <a:pt x="6674681" y="4834165"/>
                  <a:pt x="6674681" y="4850540"/>
                </a:cubicBezTo>
                <a:cubicBezTo>
                  <a:pt x="6674681" y="4866915"/>
                  <a:pt x="6660264" y="4880192"/>
                  <a:pt x="6642476" y="4880192"/>
                </a:cubicBezTo>
                <a:close/>
                <a:moveTo>
                  <a:pt x="6721010" y="4880192"/>
                </a:moveTo>
                <a:cubicBezTo>
                  <a:pt x="6703222" y="4880192"/>
                  <a:pt x="6688793" y="4866915"/>
                  <a:pt x="6688793" y="4850540"/>
                </a:cubicBezTo>
                <a:cubicBezTo>
                  <a:pt x="6688793" y="4834165"/>
                  <a:pt x="6703222" y="4820888"/>
                  <a:pt x="6721010" y="4820888"/>
                </a:cubicBezTo>
                <a:cubicBezTo>
                  <a:pt x="6738797" y="4820888"/>
                  <a:pt x="6753214" y="4834165"/>
                  <a:pt x="6753214" y="4850540"/>
                </a:cubicBezTo>
                <a:cubicBezTo>
                  <a:pt x="6753214" y="4866915"/>
                  <a:pt x="6738797" y="4880192"/>
                  <a:pt x="6721010" y="4880192"/>
                </a:cubicBezTo>
                <a:close/>
                <a:moveTo>
                  <a:pt x="6956611" y="4880192"/>
                </a:moveTo>
                <a:cubicBezTo>
                  <a:pt x="6938824" y="4880192"/>
                  <a:pt x="6924395" y="4866915"/>
                  <a:pt x="6924395" y="4850540"/>
                </a:cubicBezTo>
                <a:cubicBezTo>
                  <a:pt x="6924395" y="4834165"/>
                  <a:pt x="6938824" y="4820888"/>
                  <a:pt x="6956611" y="4820888"/>
                </a:cubicBezTo>
                <a:cubicBezTo>
                  <a:pt x="6974399" y="4820888"/>
                  <a:pt x="6988816" y="4834165"/>
                  <a:pt x="6988816" y="4850540"/>
                </a:cubicBezTo>
                <a:cubicBezTo>
                  <a:pt x="6988816" y="4866915"/>
                  <a:pt x="6974399" y="4880192"/>
                  <a:pt x="6956611" y="4880192"/>
                </a:cubicBezTo>
                <a:close/>
                <a:moveTo>
                  <a:pt x="7113703" y="4880192"/>
                </a:moveTo>
                <a:cubicBezTo>
                  <a:pt x="7095916" y="4880192"/>
                  <a:pt x="7081487" y="4866915"/>
                  <a:pt x="7081487" y="4850540"/>
                </a:cubicBezTo>
                <a:cubicBezTo>
                  <a:pt x="7081487" y="4834165"/>
                  <a:pt x="7095916" y="4820888"/>
                  <a:pt x="7113703" y="4820888"/>
                </a:cubicBezTo>
                <a:cubicBezTo>
                  <a:pt x="7131490" y="4820888"/>
                  <a:pt x="7145907" y="4834165"/>
                  <a:pt x="7145907" y="4850540"/>
                </a:cubicBezTo>
                <a:cubicBezTo>
                  <a:pt x="7145907" y="4866915"/>
                  <a:pt x="7131490" y="4880192"/>
                  <a:pt x="7113703" y="4880192"/>
                </a:cubicBezTo>
                <a:close/>
                <a:moveTo>
                  <a:pt x="7192237" y="4880192"/>
                </a:moveTo>
                <a:cubicBezTo>
                  <a:pt x="7174450" y="4880192"/>
                  <a:pt x="7160021" y="4866915"/>
                  <a:pt x="7160021" y="4850540"/>
                </a:cubicBezTo>
                <a:cubicBezTo>
                  <a:pt x="7160021" y="4834165"/>
                  <a:pt x="7174450" y="4820888"/>
                  <a:pt x="7192237" y="4820888"/>
                </a:cubicBezTo>
                <a:cubicBezTo>
                  <a:pt x="7210024" y="4820888"/>
                  <a:pt x="7224441" y="4834165"/>
                  <a:pt x="7224441" y="4850540"/>
                </a:cubicBezTo>
                <a:cubicBezTo>
                  <a:pt x="7224441" y="4866915"/>
                  <a:pt x="7210024" y="4880192"/>
                  <a:pt x="7192237" y="4880192"/>
                </a:cubicBezTo>
                <a:close/>
                <a:moveTo>
                  <a:pt x="7270771" y="4880192"/>
                </a:moveTo>
                <a:cubicBezTo>
                  <a:pt x="7252984" y="4880192"/>
                  <a:pt x="7238555" y="4866915"/>
                  <a:pt x="7238555" y="4850540"/>
                </a:cubicBezTo>
                <a:cubicBezTo>
                  <a:pt x="7238555" y="4834165"/>
                  <a:pt x="7252984" y="4820888"/>
                  <a:pt x="7270771" y="4820888"/>
                </a:cubicBezTo>
                <a:cubicBezTo>
                  <a:pt x="7288559" y="4820888"/>
                  <a:pt x="7302976" y="4834165"/>
                  <a:pt x="7302976" y="4850540"/>
                </a:cubicBezTo>
                <a:cubicBezTo>
                  <a:pt x="7302976" y="4866915"/>
                  <a:pt x="7288559" y="4880192"/>
                  <a:pt x="7270771" y="4880192"/>
                </a:cubicBezTo>
                <a:close/>
                <a:moveTo>
                  <a:pt x="7349305" y="4880192"/>
                </a:moveTo>
                <a:cubicBezTo>
                  <a:pt x="7331517" y="4880192"/>
                  <a:pt x="7317088" y="4866915"/>
                  <a:pt x="7317088" y="4850540"/>
                </a:cubicBezTo>
                <a:cubicBezTo>
                  <a:pt x="7317088" y="4834165"/>
                  <a:pt x="7331517" y="4820888"/>
                  <a:pt x="7349305" y="4820888"/>
                </a:cubicBezTo>
                <a:cubicBezTo>
                  <a:pt x="7367092" y="4820888"/>
                  <a:pt x="7381509" y="4834165"/>
                  <a:pt x="7381509" y="4850540"/>
                </a:cubicBezTo>
                <a:cubicBezTo>
                  <a:pt x="7381509" y="4866915"/>
                  <a:pt x="7367092" y="4880192"/>
                  <a:pt x="7349305" y="4880192"/>
                </a:cubicBezTo>
                <a:close/>
                <a:moveTo>
                  <a:pt x="7427839" y="4880192"/>
                </a:moveTo>
                <a:cubicBezTo>
                  <a:pt x="7410052" y="4880192"/>
                  <a:pt x="7395623" y="4866915"/>
                  <a:pt x="7395623" y="4850540"/>
                </a:cubicBezTo>
                <a:cubicBezTo>
                  <a:pt x="7395623" y="4834165"/>
                  <a:pt x="7410052" y="4820888"/>
                  <a:pt x="7427839" y="4820888"/>
                </a:cubicBezTo>
                <a:cubicBezTo>
                  <a:pt x="7445626" y="4820888"/>
                  <a:pt x="7460043" y="4834165"/>
                  <a:pt x="7460043" y="4850540"/>
                </a:cubicBezTo>
                <a:cubicBezTo>
                  <a:pt x="7460043" y="4866915"/>
                  <a:pt x="7445626" y="4880192"/>
                  <a:pt x="7427839" y="4880192"/>
                </a:cubicBezTo>
                <a:close/>
                <a:moveTo>
                  <a:pt x="7506373" y="4880192"/>
                </a:moveTo>
                <a:cubicBezTo>
                  <a:pt x="7488586" y="4880192"/>
                  <a:pt x="7474157" y="4866915"/>
                  <a:pt x="7474157" y="4850540"/>
                </a:cubicBezTo>
                <a:cubicBezTo>
                  <a:pt x="7474157" y="4834165"/>
                  <a:pt x="7488586" y="4820888"/>
                  <a:pt x="7506373" y="4820888"/>
                </a:cubicBezTo>
                <a:cubicBezTo>
                  <a:pt x="7524160" y="4820888"/>
                  <a:pt x="7538577" y="4834165"/>
                  <a:pt x="7538577" y="4850540"/>
                </a:cubicBezTo>
                <a:cubicBezTo>
                  <a:pt x="7538577" y="4866915"/>
                  <a:pt x="7524160" y="4880192"/>
                  <a:pt x="7506373" y="4880192"/>
                </a:cubicBezTo>
                <a:close/>
                <a:moveTo>
                  <a:pt x="7663441" y="4880192"/>
                </a:moveTo>
                <a:cubicBezTo>
                  <a:pt x="7645653" y="4880192"/>
                  <a:pt x="7631224" y="4866915"/>
                  <a:pt x="7631224" y="4850540"/>
                </a:cubicBezTo>
                <a:cubicBezTo>
                  <a:pt x="7631224" y="4834165"/>
                  <a:pt x="7645653" y="4820888"/>
                  <a:pt x="7663441" y="4820888"/>
                </a:cubicBezTo>
                <a:cubicBezTo>
                  <a:pt x="7681228" y="4820888"/>
                  <a:pt x="7695645" y="4834165"/>
                  <a:pt x="7695645" y="4850540"/>
                </a:cubicBezTo>
                <a:cubicBezTo>
                  <a:pt x="7695645" y="4866915"/>
                  <a:pt x="7681228" y="4880192"/>
                  <a:pt x="7663441" y="4880192"/>
                </a:cubicBezTo>
                <a:close/>
                <a:moveTo>
                  <a:pt x="7741974" y="4880192"/>
                </a:moveTo>
                <a:cubicBezTo>
                  <a:pt x="7724187" y="4880192"/>
                  <a:pt x="7709758" y="4866915"/>
                  <a:pt x="7709758" y="4850540"/>
                </a:cubicBezTo>
                <a:cubicBezTo>
                  <a:pt x="7709758" y="4834165"/>
                  <a:pt x="7724187" y="4820888"/>
                  <a:pt x="7741974" y="4820888"/>
                </a:cubicBezTo>
                <a:cubicBezTo>
                  <a:pt x="7759761" y="4820888"/>
                  <a:pt x="7774178" y="4834165"/>
                  <a:pt x="7774178" y="4850540"/>
                </a:cubicBezTo>
                <a:cubicBezTo>
                  <a:pt x="7774178" y="4866915"/>
                  <a:pt x="7759761" y="4880192"/>
                  <a:pt x="7741974" y="4880192"/>
                </a:cubicBezTo>
                <a:close/>
                <a:moveTo>
                  <a:pt x="7820508" y="4880192"/>
                </a:moveTo>
                <a:cubicBezTo>
                  <a:pt x="7802721" y="4880192"/>
                  <a:pt x="7788292" y="4866915"/>
                  <a:pt x="7788292" y="4850540"/>
                </a:cubicBezTo>
                <a:cubicBezTo>
                  <a:pt x="7788292" y="4834165"/>
                  <a:pt x="7802721" y="4820888"/>
                  <a:pt x="7820508" y="4820888"/>
                </a:cubicBezTo>
                <a:cubicBezTo>
                  <a:pt x="7838295" y="4820888"/>
                  <a:pt x="7852712" y="4834165"/>
                  <a:pt x="7852712" y="4850540"/>
                </a:cubicBezTo>
                <a:cubicBezTo>
                  <a:pt x="7852712" y="4866915"/>
                  <a:pt x="7838295" y="4880192"/>
                  <a:pt x="7820508" y="4880192"/>
                </a:cubicBezTo>
                <a:close/>
                <a:moveTo>
                  <a:pt x="7899042" y="4880192"/>
                </a:moveTo>
                <a:cubicBezTo>
                  <a:pt x="7881255" y="4880192"/>
                  <a:pt x="7866826" y="4866915"/>
                  <a:pt x="7866826" y="4850540"/>
                </a:cubicBezTo>
                <a:cubicBezTo>
                  <a:pt x="7866826" y="4834165"/>
                  <a:pt x="7881255" y="4820888"/>
                  <a:pt x="7899042" y="4820888"/>
                </a:cubicBezTo>
                <a:cubicBezTo>
                  <a:pt x="7916830" y="4820888"/>
                  <a:pt x="7931247" y="4834165"/>
                  <a:pt x="7931247" y="4850540"/>
                </a:cubicBezTo>
                <a:cubicBezTo>
                  <a:pt x="7931247" y="4866915"/>
                  <a:pt x="7916830" y="4880192"/>
                  <a:pt x="7899042" y="4880192"/>
                </a:cubicBezTo>
                <a:close/>
                <a:moveTo>
                  <a:pt x="7977576" y="4880192"/>
                </a:moveTo>
                <a:cubicBezTo>
                  <a:pt x="7959788" y="4880192"/>
                  <a:pt x="7945359" y="4866915"/>
                  <a:pt x="7945359" y="4850540"/>
                </a:cubicBezTo>
                <a:cubicBezTo>
                  <a:pt x="7945359" y="4834165"/>
                  <a:pt x="7959788" y="4820888"/>
                  <a:pt x="7977576" y="4820888"/>
                </a:cubicBezTo>
                <a:cubicBezTo>
                  <a:pt x="7995363" y="4820888"/>
                  <a:pt x="8009780" y="4834165"/>
                  <a:pt x="8009780" y="4850540"/>
                </a:cubicBezTo>
                <a:cubicBezTo>
                  <a:pt x="8009780" y="4866915"/>
                  <a:pt x="7995363" y="4880192"/>
                  <a:pt x="7977576" y="4880192"/>
                </a:cubicBezTo>
                <a:close/>
                <a:moveTo>
                  <a:pt x="8056110" y="4880192"/>
                </a:moveTo>
                <a:cubicBezTo>
                  <a:pt x="8038323" y="4880192"/>
                  <a:pt x="8023894" y="4866915"/>
                  <a:pt x="8023894" y="4850540"/>
                </a:cubicBezTo>
                <a:cubicBezTo>
                  <a:pt x="8023894" y="4834165"/>
                  <a:pt x="8038323" y="4820888"/>
                  <a:pt x="8056110" y="4820888"/>
                </a:cubicBezTo>
                <a:cubicBezTo>
                  <a:pt x="8073897" y="4820888"/>
                  <a:pt x="8088314" y="4834165"/>
                  <a:pt x="8088314" y="4850540"/>
                </a:cubicBezTo>
                <a:cubicBezTo>
                  <a:pt x="8088314" y="4866915"/>
                  <a:pt x="8073897" y="4880192"/>
                  <a:pt x="8056110" y="4880192"/>
                </a:cubicBezTo>
                <a:close/>
                <a:moveTo>
                  <a:pt x="8134643" y="4880192"/>
                </a:moveTo>
                <a:cubicBezTo>
                  <a:pt x="8116856" y="4880192"/>
                  <a:pt x="8102427" y="4866915"/>
                  <a:pt x="8102427" y="4850540"/>
                </a:cubicBezTo>
                <a:cubicBezTo>
                  <a:pt x="8102427" y="4834165"/>
                  <a:pt x="8116856" y="4820888"/>
                  <a:pt x="8134643" y="4820888"/>
                </a:cubicBezTo>
                <a:cubicBezTo>
                  <a:pt x="8152430" y="4820888"/>
                  <a:pt x="8166847" y="4834165"/>
                  <a:pt x="8166847" y="4850540"/>
                </a:cubicBezTo>
                <a:cubicBezTo>
                  <a:pt x="8166847" y="4866915"/>
                  <a:pt x="8152430" y="4880192"/>
                  <a:pt x="8134643" y="4880192"/>
                </a:cubicBezTo>
                <a:close/>
                <a:moveTo>
                  <a:pt x="8213177" y="4880192"/>
                </a:moveTo>
                <a:cubicBezTo>
                  <a:pt x="8195390" y="4880192"/>
                  <a:pt x="8180961" y="4866915"/>
                  <a:pt x="8180961" y="4850540"/>
                </a:cubicBezTo>
                <a:cubicBezTo>
                  <a:pt x="8180961" y="4834165"/>
                  <a:pt x="8195390" y="4820888"/>
                  <a:pt x="8213177" y="4820888"/>
                </a:cubicBezTo>
                <a:cubicBezTo>
                  <a:pt x="8230965" y="4820888"/>
                  <a:pt x="8245382" y="4834165"/>
                  <a:pt x="8245382" y="4850540"/>
                </a:cubicBezTo>
                <a:cubicBezTo>
                  <a:pt x="8245382" y="4866915"/>
                  <a:pt x="8230965" y="4880192"/>
                  <a:pt x="8213177" y="4880192"/>
                </a:cubicBezTo>
                <a:close/>
                <a:moveTo>
                  <a:pt x="8291712" y="4880192"/>
                </a:moveTo>
                <a:cubicBezTo>
                  <a:pt x="8273924" y="4880192"/>
                  <a:pt x="8259495" y="4866915"/>
                  <a:pt x="8259495" y="4850540"/>
                </a:cubicBezTo>
                <a:cubicBezTo>
                  <a:pt x="8259495" y="4834165"/>
                  <a:pt x="8273924" y="4820888"/>
                  <a:pt x="8291712" y="4820888"/>
                </a:cubicBezTo>
                <a:cubicBezTo>
                  <a:pt x="8309499" y="4820888"/>
                  <a:pt x="8323916" y="4834165"/>
                  <a:pt x="8323916" y="4850540"/>
                </a:cubicBezTo>
                <a:cubicBezTo>
                  <a:pt x="8323916" y="4866915"/>
                  <a:pt x="8309499" y="4880192"/>
                  <a:pt x="8291712" y="4880192"/>
                </a:cubicBezTo>
                <a:close/>
                <a:moveTo>
                  <a:pt x="8370245" y="4880192"/>
                </a:moveTo>
                <a:cubicBezTo>
                  <a:pt x="8352458" y="4880192"/>
                  <a:pt x="8338029" y="4866915"/>
                  <a:pt x="8338029" y="4850540"/>
                </a:cubicBezTo>
                <a:cubicBezTo>
                  <a:pt x="8338029" y="4834165"/>
                  <a:pt x="8352458" y="4820888"/>
                  <a:pt x="8370245" y="4820888"/>
                </a:cubicBezTo>
                <a:cubicBezTo>
                  <a:pt x="8388032" y="4820888"/>
                  <a:pt x="8402449" y="4834165"/>
                  <a:pt x="8402449" y="4850540"/>
                </a:cubicBezTo>
                <a:cubicBezTo>
                  <a:pt x="8402449" y="4866915"/>
                  <a:pt x="8388032" y="4880192"/>
                  <a:pt x="8370245" y="4880192"/>
                </a:cubicBezTo>
                <a:close/>
                <a:moveTo>
                  <a:pt x="8448779" y="4880192"/>
                </a:moveTo>
                <a:cubicBezTo>
                  <a:pt x="8430992" y="4880192"/>
                  <a:pt x="8416563" y="4866915"/>
                  <a:pt x="8416563" y="4850540"/>
                </a:cubicBezTo>
                <a:cubicBezTo>
                  <a:pt x="8416563" y="4834165"/>
                  <a:pt x="8430992" y="4820888"/>
                  <a:pt x="8448779" y="4820888"/>
                </a:cubicBezTo>
                <a:cubicBezTo>
                  <a:pt x="8466566" y="4820888"/>
                  <a:pt x="8480983" y="4834165"/>
                  <a:pt x="8480983" y="4850540"/>
                </a:cubicBezTo>
                <a:cubicBezTo>
                  <a:pt x="8480983" y="4866915"/>
                  <a:pt x="8466566" y="4880192"/>
                  <a:pt x="8448779" y="4880192"/>
                </a:cubicBezTo>
                <a:close/>
                <a:moveTo>
                  <a:pt x="8527313" y="4880192"/>
                </a:moveTo>
                <a:cubicBezTo>
                  <a:pt x="8509526" y="4880192"/>
                  <a:pt x="8495097" y="4866915"/>
                  <a:pt x="8495097" y="4850540"/>
                </a:cubicBezTo>
                <a:cubicBezTo>
                  <a:pt x="8495097" y="4834165"/>
                  <a:pt x="8509526" y="4820888"/>
                  <a:pt x="8527313" y="4820888"/>
                </a:cubicBezTo>
                <a:cubicBezTo>
                  <a:pt x="8545101" y="4820888"/>
                  <a:pt x="8559518" y="4834165"/>
                  <a:pt x="8559518" y="4850540"/>
                </a:cubicBezTo>
                <a:cubicBezTo>
                  <a:pt x="8559518" y="4866915"/>
                  <a:pt x="8545101" y="4880192"/>
                  <a:pt x="8527313" y="4880192"/>
                </a:cubicBezTo>
                <a:close/>
                <a:moveTo>
                  <a:pt x="8605847" y="4880192"/>
                </a:moveTo>
                <a:cubicBezTo>
                  <a:pt x="8588059" y="4880192"/>
                  <a:pt x="8573630" y="4866915"/>
                  <a:pt x="8573630" y="4850540"/>
                </a:cubicBezTo>
                <a:cubicBezTo>
                  <a:pt x="8573630" y="4834165"/>
                  <a:pt x="8588059" y="4820888"/>
                  <a:pt x="8605847" y="4820888"/>
                </a:cubicBezTo>
                <a:cubicBezTo>
                  <a:pt x="8623634" y="4820888"/>
                  <a:pt x="8638051" y="4834165"/>
                  <a:pt x="8638051" y="4850540"/>
                </a:cubicBezTo>
                <a:cubicBezTo>
                  <a:pt x="8638051" y="4866915"/>
                  <a:pt x="8623634" y="4880192"/>
                  <a:pt x="8605847" y="4880192"/>
                </a:cubicBezTo>
                <a:close/>
                <a:moveTo>
                  <a:pt x="8684381" y="4880192"/>
                </a:moveTo>
                <a:cubicBezTo>
                  <a:pt x="8666594" y="4880192"/>
                  <a:pt x="8652165" y="4866915"/>
                  <a:pt x="8652165" y="4850540"/>
                </a:cubicBezTo>
                <a:cubicBezTo>
                  <a:pt x="8652165" y="4834165"/>
                  <a:pt x="8666594" y="4820888"/>
                  <a:pt x="8684381" y="4820888"/>
                </a:cubicBezTo>
                <a:cubicBezTo>
                  <a:pt x="8702168" y="4820888"/>
                  <a:pt x="8716585" y="4834165"/>
                  <a:pt x="8716585" y="4850540"/>
                </a:cubicBezTo>
                <a:cubicBezTo>
                  <a:pt x="8716585" y="4866915"/>
                  <a:pt x="8702168" y="4880192"/>
                  <a:pt x="8684381" y="4880192"/>
                </a:cubicBezTo>
                <a:close/>
                <a:moveTo>
                  <a:pt x="8762914" y="4880192"/>
                </a:moveTo>
                <a:cubicBezTo>
                  <a:pt x="8745127" y="4880192"/>
                  <a:pt x="8730698" y="4866915"/>
                  <a:pt x="8730698" y="4850540"/>
                </a:cubicBezTo>
                <a:cubicBezTo>
                  <a:pt x="8730698" y="4834165"/>
                  <a:pt x="8745127" y="4820888"/>
                  <a:pt x="8762914" y="4820888"/>
                </a:cubicBezTo>
                <a:cubicBezTo>
                  <a:pt x="8780701" y="4820888"/>
                  <a:pt x="8795118" y="4834165"/>
                  <a:pt x="8795118" y="4850540"/>
                </a:cubicBezTo>
                <a:cubicBezTo>
                  <a:pt x="8795118" y="4866915"/>
                  <a:pt x="8780701" y="4880192"/>
                  <a:pt x="8762914" y="4880192"/>
                </a:cubicBezTo>
                <a:close/>
                <a:moveTo>
                  <a:pt x="8841448" y="4880192"/>
                </a:moveTo>
                <a:cubicBezTo>
                  <a:pt x="8823661" y="4880192"/>
                  <a:pt x="8809232" y="4866915"/>
                  <a:pt x="8809232" y="4850540"/>
                </a:cubicBezTo>
                <a:cubicBezTo>
                  <a:pt x="8809232" y="4834165"/>
                  <a:pt x="8823661" y="4820888"/>
                  <a:pt x="8841448" y="4820888"/>
                </a:cubicBezTo>
                <a:cubicBezTo>
                  <a:pt x="8859236" y="4820888"/>
                  <a:pt x="8873653" y="4834165"/>
                  <a:pt x="8873653" y="4850540"/>
                </a:cubicBezTo>
                <a:cubicBezTo>
                  <a:pt x="8873653" y="4866915"/>
                  <a:pt x="8859236" y="4880192"/>
                  <a:pt x="8841448" y="4880192"/>
                </a:cubicBezTo>
                <a:close/>
                <a:moveTo>
                  <a:pt x="8919983" y="4880192"/>
                </a:moveTo>
                <a:cubicBezTo>
                  <a:pt x="8902195" y="4880192"/>
                  <a:pt x="8887766" y="4866915"/>
                  <a:pt x="8887766" y="4850540"/>
                </a:cubicBezTo>
                <a:cubicBezTo>
                  <a:pt x="8887766" y="4834165"/>
                  <a:pt x="8902195" y="4820888"/>
                  <a:pt x="8919983" y="4820888"/>
                </a:cubicBezTo>
                <a:cubicBezTo>
                  <a:pt x="8937770" y="4820888"/>
                  <a:pt x="8952187" y="4834165"/>
                  <a:pt x="8952187" y="4850540"/>
                </a:cubicBezTo>
                <a:cubicBezTo>
                  <a:pt x="8952187" y="4866915"/>
                  <a:pt x="8937770" y="4880192"/>
                  <a:pt x="8919983" y="4880192"/>
                </a:cubicBezTo>
                <a:close/>
                <a:moveTo>
                  <a:pt x="8998516" y="4880192"/>
                </a:moveTo>
                <a:cubicBezTo>
                  <a:pt x="8980729" y="4880192"/>
                  <a:pt x="8966300" y="4866915"/>
                  <a:pt x="8966300" y="4850540"/>
                </a:cubicBezTo>
                <a:cubicBezTo>
                  <a:pt x="8966300" y="4834165"/>
                  <a:pt x="8980729" y="4820888"/>
                  <a:pt x="8998516" y="4820888"/>
                </a:cubicBezTo>
                <a:cubicBezTo>
                  <a:pt x="9016303" y="4820888"/>
                  <a:pt x="9030720" y="4834165"/>
                  <a:pt x="9030720" y="4850540"/>
                </a:cubicBezTo>
                <a:cubicBezTo>
                  <a:pt x="9030720" y="4866915"/>
                  <a:pt x="9016303" y="4880192"/>
                  <a:pt x="8998516" y="4880192"/>
                </a:cubicBezTo>
                <a:close/>
                <a:moveTo>
                  <a:pt x="9077050" y="4880192"/>
                </a:moveTo>
                <a:cubicBezTo>
                  <a:pt x="9059263" y="4880192"/>
                  <a:pt x="9044834" y="4866915"/>
                  <a:pt x="9044834" y="4850540"/>
                </a:cubicBezTo>
                <a:cubicBezTo>
                  <a:pt x="9044834" y="4834165"/>
                  <a:pt x="9059263" y="4820888"/>
                  <a:pt x="9077050" y="4820888"/>
                </a:cubicBezTo>
                <a:cubicBezTo>
                  <a:pt x="9094837" y="4820888"/>
                  <a:pt x="9109254" y="4834165"/>
                  <a:pt x="9109254" y="4850540"/>
                </a:cubicBezTo>
                <a:cubicBezTo>
                  <a:pt x="9109254" y="4866915"/>
                  <a:pt x="9094837" y="4880192"/>
                  <a:pt x="9077050" y="4880192"/>
                </a:cubicBezTo>
                <a:close/>
                <a:moveTo>
                  <a:pt x="9155583" y="4880192"/>
                </a:moveTo>
                <a:cubicBezTo>
                  <a:pt x="9137796" y="4880192"/>
                  <a:pt x="9123367" y="4866915"/>
                  <a:pt x="9123367" y="4850540"/>
                </a:cubicBezTo>
                <a:cubicBezTo>
                  <a:pt x="9123367" y="4834165"/>
                  <a:pt x="9137796" y="4820888"/>
                  <a:pt x="9155583" y="4820888"/>
                </a:cubicBezTo>
                <a:cubicBezTo>
                  <a:pt x="9173371" y="4820888"/>
                  <a:pt x="9187788" y="4834165"/>
                  <a:pt x="9187788" y="4850540"/>
                </a:cubicBezTo>
                <a:cubicBezTo>
                  <a:pt x="9187788" y="4866915"/>
                  <a:pt x="9173371" y="4880192"/>
                  <a:pt x="9155583" y="4880192"/>
                </a:cubicBezTo>
                <a:close/>
                <a:moveTo>
                  <a:pt x="9234118" y="4880192"/>
                </a:moveTo>
                <a:cubicBezTo>
                  <a:pt x="9216330" y="4880192"/>
                  <a:pt x="9201901" y="4866915"/>
                  <a:pt x="9201901" y="4850540"/>
                </a:cubicBezTo>
                <a:cubicBezTo>
                  <a:pt x="9201901" y="4834165"/>
                  <a:pt x="9216330" y="4820888"/>
                  <a:pt x="9234118" y="4820888"/>
                </a:cubicBezTo>
                <a:cubicBezTo>
                  <a:pt x="9251905" y="4820888"/>
                  <a:pt x="9266322" y="4834165"/>
                  <a:pt x="9266322" y="4850540"/>
                </a:cubicBezTo>
                <a:cubicBezTo>
                  <a:pt x="9266322" y="4866915"/>
                  <a:pt x="9251905" y="4880192"/>
                  <a:pt x="9234118" y="4880192"/>
                </a:cubicBezTo>
                <a:close/>
                <a:moveTo>
                  <a:pt x="9312652" y="4880192"/>
                </a:moveTo>
                <a:cubicBezTo>
                  <a:pt x="9294865" y="4880192"/>
                  <a:pt x="9280436" y="4866915"/>
                  <a:pt x="9280436" y="4850540"/>
                </a:cubicBezTo>
                <a:cubicBezTo>
                  <a:pt x="9280436" y="4834165"/>
                  <a:pt x="9294865" y="4820888"/>
                  <a:pt x="9312652" y="4820888"/>
                </a:cubicBezTo>
                <a:cubicBezTo>
                  <a:pt x="9330439" y="4820888"/>
                  <a:pt x="9344856" y="4834165"/>
                  <a:pt x="9344856" y="4850540"/>
                </a:cubicBezTo>
                <a:cubicBezTo>
                  <a:pt x="9344856" y="4866915"/>
                  <a:pt x="9330439" y="4880192"/>
                  <a:pt x="9312652" y="4880192"/>
                </a:cubicBezTo>
                <a:close/>
                <a:moveTo>
                  <a:pt x="9391185" y="4880192"/>
                </a:moveTo>
                <a:cubicBezTo>
                  <a:pt x="9373398" y="4880192"/>
                  <a:pt x="9358969" y="4866915"/>
                  <a:pt x="9358969" y="4850540"/>
                </a:cubicBezTo>
                <a:cubicBezTo>
                  <a:pt x="9358969" y="4834165"/>
                  <a:pt x="9373398" y="4820888"/>
                  <a:pt x="9391185" y="4820888"/>
                </a:cubicBezTo>
                <a:cubicBezTo>
                  <a:pt x="9408972" y="4820888"/>
                  <a:pt x="9423389" y="4834165"/>
                  <a:pt x="9423389" y="4850540"/>
                </a:cubicBezTo>
                <a:cubicBezTo>
                  <a:pt x="9423389" y="4866915"/>
                  <a:pt x="9408972" y="4880192"/>
                  <a:pt x="9391185" y="4880192"/>
                </a:cubicBezTo>
                <a:close/>
                <a:moveTo>
                  <a:pt x="9469719" y="4880192"/>
                </a:moveTo>
                <a:cubicBezTo>
                  <a:pt x="9451932" y="4880192"/>
                  <a:pt x="9437503" y="4866915"/>
                  <a:pt x="9437503" y="4850540"/>
                </a:cubicBezTo>
                <a:cubicBezTo>
                  <a:pt x="9437503" y="4834165"/>
                  <a:pt x="9451932" y="4820888"/>
                  <a:pt x="9469719" y="4820888"/>
                </a:cubicBezTo>
                <a:cubicBezTo>
                  <a:pt x="9487507" y="4820888"/>
                  <a:pt x="9501924" y="4834165"/>
                  <a:pt x="9501924" y="4850540"/>
                </a:cubicBezTo>
                <a:cubicBezTo>
                  <a:pt x="9501924" y="4866915"/>
                  <a:pt x="9487507" y="4880192"/>
                  <a:pt x="9469719" y="4880192"/>
                </a:cubicBezTo>
                <a:close/>
                <a:moveTo>
                  <a:pt x="9548254" y="4880192"/>
                </a:moveTo>
                <a:cubicBezTo>
                  <a:pt x="9530466" y="4880192"/>
                  <a:pt x="9516037" y="4866915"/>
                  <a:pt x="9516037" y="4850540"/>
                </a:cubicBezTo>
                <a:cubicBezTo>
                  <a:pt x="9516037" y="4834165"/>
                  <a:pt x="9530466" y="4820888"/>
                  <a:pt x="9548254" y="4820888"/>
                </a:cubicBezTo>
                <a:cubicBezTo>
                  <a:pt x="9566041" y="4820888"/>
                  <a:pt x="9580458" y="4834165"/>
                  <a:pt x="9580458" y="4850540"/>
                </a:cubicBezTo>
                <a:cubicBezTo>
                  <a:pt x="9580458" y="4866915"/>
                  <a:pt x="9566041" y="4880192"/>
                  <a:pt x="9548254" y="4880192"/>
                </a:cubicBezTo>
                <a:close/>
                <a:moveTo>
                  <a:pt x="9626787" y="4880192"/>
                </a:moveTo>
                <a:cubicBezTo>
                  <a:pt x="9609000" y="4880192"/>
                  <a:pt x="9594571" y="4866915"/>
                  <a:pt x="9594571" y="4850540"/>
                </a:cubicBezTo>
                <a:cubicBezTo>
                  <a:pt x="9594571" y="4834165"/>
                  <a:pt x="9609000" y="4820888"/>
                  <a:pt x="9626787" y="4820888"/>
                </a:cubicBezTo>
                <a:cubicBezTo>
                  <a:pt x="9644574" y="4820888"/>
                  <a:pt x="9658991" y="4834165"/>
                  <a:pt x="9658991" y="4850540"/>
                </a:cubicBezTo>
                <a:cubicBezTo>
                  <a:pt x="9658991" y="4866915"/>
                  <a:pt x="9644574" y="4880192"/>
                  <a:pt x="9626787" y="4880192"/>
                </a:cubicBezTo>
                <a:close/>
                <a:moveTo>
                  <a:pt x="9705321" y="4880192"/>
                </a:moveTo>
                <a:cubicBezTo>
                  <a:pt x="9687534" y="4880192"/>
                  <a:pt x="9673105" y="4866915"/>
                  <a:pt x="9673105" y="4850540"/>
                </a:cubicBezTo>
                <a:cubicBezTo>
                  <a:pt x="9673105" y="4834165"/>
                  <a:pt x="9687534" y="4820888"/>
                  <a:pt x="9705321" y="4820888"/>
                </a:cubicBezTo>
                <a:cubicBezTo>
                  <a:pt x="9723108" y="4820888"/>
                  <a:pt x="9737525" y="4834165"/>
                  <a:pt x="9737525" y="4850540"/>
                </a:cubicBezTo>
                <a:cubicBezTo>
                  <a:pt x="9737525" y="4866915"/>
                  <a:pt x="9723108" y="4880192"/>
                  <a:pt x="9705321" y="4880192"/>
                </a:cubicBezTo>
                <a:close/>
                <a:moveTo>
                  <a:pt x="9783854" y="4880192"/>
                </a:moveTo>
                <a:cubicBezTo>
                  <a:pt x="9766067" y="4880192"/>
                  <a:pt x="9751638" y="4866915"/>
                  <a:pt x="9751638" y="4850540"/>
                </a:cubicBezTo>
                <a:cubicBezTo>
                  <a:pt x="9751638" y="4834165"/>
                  <a:pt x="9766067" y="4820888"/>
                  <a:pt x="9783854" y="4820888"/>
                </a:cubicBezTo>
                <a:cubicBezTo>
                  <a:pt x="9801642" y="4820888"/>
                  <a:pt x="9816059" y="4834165"/>
                  <a:pt x="9816059" y="4850540"/>
                </a:cubicBezTo>
                <a:cubicBezTo>
                  <a:pt x="9816059" y="4866915"/>
                  <a:pt x="9801642" y="4880192"/>
                  <a:pt x="9783854" y="4880192"/>
                </a:cubicBezTo>
                <a:close/>
                <a:moveTo>
                  <a:pt x="10019456" y="4880192"/>
                </a:moveTo>
                <a:cubicBezTo>
                  <a:pt x="10001669" y="4880192"/>
                  <a:pt x="9987240" y="4866915"/>
                  <a:pt x="9987240" y="4850540"/>
                </a:cubicBezTo>
                <a:cubicBezTo>
                  <a:pt x="9987240" y="4834165"/>
                  <a:pt x="10001669" y="4820888"/>
                  <a:pt x="10019456" y="4820888"/>
                </a:cubicBezTo>
                <a:cubicBezTo>
                  <a:pt x="10037243" y="4820888"/>
                  <a:pt x="10051660" y="4834165"/>
                  <a:pt x="10051660" y="4850540"/>
                </a:cubicBezTo>
                <a:cubicBezTo>
                  <a:pt x="10051660" y="4866915"/>
                  <a:pt x="10037243" y="4880192"/>
                  <a:pt x="10019456" y="4880192"/>
                </a:cubicBezTo>
                <a:close/>
                <a:moveTo>
                  <a:pt x="1930444" y="4807927"/>
                </a:moveTo>
                <a:cubicBezTo>
                  <a:pt x="1912657" y="4807927"/>
                  <a:pt x="1898234" y="4794650"/>
                  <a:pt x="1898234" y="4778275"/>
                </a:cubicBezTo>
                <a:cubicBezTo>
                  <a:pt x="1898234" y="4761901"/>
                  <a:pt x="1912657" y="4748623"/>
                  <a:pt x="1930444" y="4748623"/>
                </a:cubicBezTo>
                <a:cubicBezTo>
                  <a:pt x="1948232" y="4748623"/>
                  <a:pt x="1962655" y="4761901"/>
                  <a:pt x="1962655" y="4778275"/>
                </a:cubicBezTo>
                <a:cubicBezTo>
                  <a:pt x="1962655" y="4794650"/>
                  <a:pt x="1948232" y="4807927"/>
                  <a:pt x="1930444" y="4807927"/>
                </a:cubicBezTo>
                <a:close/>
                <a:moveTo>
                  <a:pt x="2401647" y="4807927"/>
                </a:moveTo>
                <a:cubicBezTo>
                  <a:pt x="2383860" y="4807927"/>
                  <a:pt x="2369437" y="4794650"/>
                  <a:pt x="2369437" y="4778275"/>
                </a:cubicBezTo>
                <a:cubicBezTo>
                  <a:pt x="2369437" y="4761901"/>
                  <a:pt x="2383860" y="4748623"/>
                  <a:pt x="2401647" y="4748623"/>
                </a:cubicBezTo>
                <a:cubicBezTo>
                  <a:pt x="2419434" y="4748623"/>
                  <a:pt x="2433857" y="4761901"/>
                  <a:pt x="2433857" y="4778275"/>
                </a:cubicBezTo>
                <a:cubicBezTo>
                  <a:pt x="2433857" y="4794650"/>
                  <a:pt x="2419434" y="4807927"/>
                  <a:pt x="2401647" y="4807927"/>
                </a:cubicBezTo>
                <a:close/>
                <a:moveTo>
                  <a:pt x="2480181" y="4807927"/>
                </a:moveTo>
                <a:cubicBezTo>
                  <a:pt x="2462394" y="4807927"/>
                  <a:pt x="2447971" y="4794650"/>
                  <a:pt x="2447971" y="4778275"/>
                </a:cubicBezTo>
                <a:cubicBezTo>
                  <a:pt x="2447971" y="4761901"/>
                  <a:pt x="2462394" y="4748623"/>
                  <a:pt x="2480181" y="4748623"/>
                </a:cubicBezTo>
                <a:cubicBezTo>
                  <a:pt x="2497968" y="4748623"/>
                  <a:pt x="2512391" y="4761901"/>
                  <a:pt x="2512391" y="4778275"/>
                </a:cubicBezTo>
                <a:cubicBezTo>
                  <a:pt x="2512391" y="4794650"/>
                  <a:pt x="2497968" y="4807927"/>
                  <a:pt x="2480181" y="4807927"/>
                </a:cubicBezTo>
                <a:close/>
                <a:moveTo>
                  <a:pt x="2558715" y="4807927"/>
                </a:moveTo>
                <a:cubicBezTo>
                  <a:pt x="2540928" y="4807927"/>
                  <a:pt x="2526505" y="4794650"/>
                  <a:pt x="2526505" y="4778275"/>
                </a:cubicBezTo>
                <a:cubicBezTo>
                  <a:pt x="2526505" y="4761901"/>
                  <a:pt x="2540928" y="4748623"/>
                  <a:pt x="2558715" y="4748623"/>
                </a:cubicBezTo>
                <a:cubicBezTo>
                  <a:pt x="2576503" y="4748623"/>
                  <a:pt x="2590926" y="4761901"/>
                  <a:pt x="2590926" y="4778275"/>
                </a:cubicBezTo>
                <a:cubicBezTo>
                  <a:pt x="2590926" y="4794650"/>
                  <a:pt x="2576503" y="4807927"/>
                  <a:pt x="2558715" y="4807927"/>
                </a:cubicBezTo>
                <a:close/>
                <a:moveTo>
                  <a:pt x="2637243" y="4807927"/>
                </a:moveTo>
                <a:cubicBezTo>
                  <a:pt x="2619455" y="4807927"/>
                  <a:pt x="2605032" y="4794650"/>
                  <a:pt x="2605032" y="4778275"/>
                </a:cubicBezTo>
                <a:cubicBezTo>
                  <a:pt x="2605032" y="4761901"/>
                  <a:pt x="2619455" y="4748623"/>
                  <a:pt x="2637243" y="4748623"/>
                </a:cubicBezTo>
                <a:cubicBezTo>
                  <a:pt x="2655030" y="4748623"/>
                  <a:pt x="2669453" y="4761901"/>
                  <a:pt x="2669453" y="4778275"/>
                </a:cubicBezTo>
                <a:cubicBezTo>
                  <a:pt x="2669453" y="4794650"/>
                  <a:pt x="2655030" y="4807927"/>
                  <a:pt x="2637243" y="4807927"/>
                </a:cubicBezTo>
                <a:close/>
                <a:moveTo>
                  <a:pt x="2715777" y="4807927"/>
                </a:moveTo>
                <a:cubicBezTo>
                  <a:pt x="2697990" y="4807927"/>
                  <a:pt x="2683566" y="4794650"/>
                  <a:pt x="2683566" y="4778275"/>
                </a:cubicBezTo>
                <a:cubicBezTo>
                  <a:pt x="2683566" y="4761901"/>
                  <a:pt x="2697990" y="4748623"/>
                  <a:pt x="2715777" y="4748623"/>
                </a:cubicBezTo>
                <a:cubicBezTo>
                  <a:pt x="2733564" y="4748623"/>
                  <a:pt x="2747987" y="4761901"/>
                  <a:pt x="2747987" y="4778275"/>
                </a:cubicBezTo>
                <a:cubicBezTo>
                  <a:pt x="2747987" y="4794650"/>
                  <a:pt x="2733564" y="4807927"/>
                  <a:pt x="2715777" y="4807927"/>
                </a:cubicBezTo>
                <a:close/>
                <a:moveTo>
                  <a:pt x="2794310" y="4807927"/>
                </a:moveTo>
                <a:cubicBezTo>
                  <a:pt x="2776523" y="4807927"/>
                  <a:pt x="2762100" y="4794650"/>
                  <a:pt x="2762100" y="4778275"/>
                </a:cubicBezTo>
                <a:cubicBezTo>
                  <a:pt x="2762100" y="4761901"/>
                  <a:pt x="2776523" y="4748623"/>
                  <a:pt x="2794310" y="4748623"/>
                </a:cubicBezTo>
                <a:cubicBezTo>
                  <a:pt x="2812097" y="4748623"/>
                  <a:pt x="2826520" y="4761901"/>
                  <a:pt x="2826520" y="4778275"/>
                </a:cubicBezTo>
                <a:cubicBezTo>
                  <a:pt x="2826520" y="4794650"/>
                  <a:pt x="2812097" y="4807927"/>
                  <a:pt x="2794310" y="4807927"/>
                </a:cubicBezTo>
                <a:close/>
                <a:moveTo>
                  <a:pt x="2872844" y="4807927"/>
                </a:moveTo>
                <a:cubicBezTo>
                  <a:pt x="2855057" y="4807927"/>
                  <a:pt x="2840634" y="4794650"/>
                  <a:pt x="2840634" y="4778275"/>
                </a:cubicBezTo>
                <a:cubicBezTo>
                  <a:pt x="2840634" y="4761901"/>
                  <a:pt x="2855057" y="4748623"/>
                  <a:pt x="2872844" y="4748623"/>
                </a:cubicBezTo>
                <a:cubicBezTo>
                  <a:pt x="2890632" y="4748623"/>
                  <a:pt x="2905055" y="4761901"/>
                  <a:pt x="2905055" y="4778275"/>
                </a:cubicBezTo>
                <a:cubicBezTo>
                  <a:pt x="2905055" y="4794650"/>
                  <a:pt x="2890632" y="4807927"/>
                  <a:pt x="2872844" y="4807927"/>
                </a:cubicBezTo>
                <a:close/>
                <a:moveTo>
                  <a:pt x="2951379" y="4807927"/>
                </a:moveTo>
                <a:cubicBezTo>
                  <a:pt x="2933591" y="4807927"/>
                  <a:pt x="2919168" y="4794650"/>
                  <a:pt x="2919168" y="4778275"/>
                </a:cubicBezTo>
                <a:cubicBezTo>
                  <a:pt x="2919168" y="4761901"/>
                  <a:pt x="2933591" y="4748623"/>
                  <a:pt x="2951379" y="4748623"/>
                </a:cubicBezTo>
                <a:cubicBezTo>
                  <a:pt x="2969166" y="4748623"/>
                  <a:pt x="2983589" y="4761901"/>
                  <a:pt x="2983589" y="4778275"/>
                </a:cubicBezTo>
                <a:cubicBezTo>
                  <a:pt x="2983589" y="4794650"/>
                  <a:pt x="2969166" y="4807927"/>
                  <a:pt x="2951379" y="4807927"/>
                </a:cubicBezTo>
                <a:close/>
                <a:moveTo>
                  <a:pt x="3029912" y="4807927"/>
                </a:moveTo>
                <a:cubicBezTo>
                  <a:pt x="3012125" y="4807927"/>
                  <a:pt x="2997701" y="4794650"/>
                  <a:pt x="2997701" y="4778275"/>
                </a:cubicBezTo>
                <a:cubicBezTo>
                  <a:pt x="2997701" y="4761901"/>
                  <a:pt x="3012125" y="4748623"/>
                  <a:pt x="3029912" y="4748623"/>
                </a:cubicBezTo>
                <a:cubicBezTo>
                  <a:pt x="3047699" y="4748623"/>
                  <a:pt x="3062122" y="4761901"/>
                  <a:pt x="3062122" y="4778275"/>
                </a:cubicBezTo>
                <a:cubicBezTo>
                  <a:pt x="3062122" y="4794650"/>
                  <a:pt x="3047699" y="4807927"/>
                  <a:pt x="3029912" y="4807927"/>
                </a:cubicBezTo>
                <a:close/>
                <a:moveTo>
                  <a:pt x="3265514" y="4807927"/>
                </a:moveTo>
                <a:cubicBezTo>
                  <a:pt x="3247726" y="4807927"/>
                  <a:pt x="3233303" y="4794650"/>
                  <a:pt x="3233303" y="4778275"/>
                </a:cubicBezTo>
                <a:cubicBezTo>
                  <a:pt x="3233303" y="4761901"/>
                  <a:pt x="3247726" y="4748623"/>
                  <a:pt x="3265514" y="4748623"/>
                </a:cubicBezTo>
                <a:cubicBezTo>
                  <a:pt x="3283301" y="4748623"/>
                  <a:pt x="3297724" y="4761901"/>
                  <a:pt x="3297724" y="4778275"/>
                </a:cubicBezTo>
                <a:cubicBezTo>
                  <a:pt x="3297724" y="4794650"/>
                  <a:pt x="3283301" y="4807927"/>
                  <a:pt x="3265514" y="4807927"/>
                </a:cubicBezTo>
                <a:close/>
                <a:moveTo>
                  <a:pt x="3344048" y="4807927"/>
                </a:moveTo>
                <a:cubicBezTo>
                  <a:pt x="3326261" y="4807927"/>
                  <a:pt x="3311837" y="4794650"/>
                  <a:pt x="3311837" y="4778275"/>
                </a:cubicBezTo>
                <a:cubicBezTo>
                  <a:pt x="3311837" y="4761901"/>
                  <a:pt x="3326261" y="4748623"/>
                  <a:pt x="3344048" y="4748623"/>
                </a:cubicBezTo>
                <a:cubicBezTo>
                  <a:pt x="3361835" y="4748623"/>
                  <a:pt x="3376258" y="4761901"/>
                  <a:pt x="3376258" y="4778275"/>
                </a:cubicBezTo>
                <a:cubicBezTo>
                  <a:pt x="3376258" y="4794650"/>
                  <a:pt x="3361835" y="4807927"/>
                  <a:pt x="3344048" y="4807927"/>
                </a:cubicBezTo>
                <a:close/>
                <a:moveTo>
                  <a:pt x="3422581" y="4807927"/>
                </a:moveTo>
                <a:cubicBezTo>
                  <a:pt x="3404794" y="4807927"/>
                  <a:pt x="3390371" y="4794650"/>
                  <a:pt x="3390371" y="4778275"/>
                </a:cubicBezTo>
                <a:cubicBezTo>
                  <a:pt x="3390371" y="4761901"/>
                  <a:pt x="3404794" y="4748623"/>
                  <a:pt x="3422581" y="4748623"/>
                </a:cubicBezTo>
                <a:cubicBezTo>
                  <a:pt x="3440368" y="4748623"/>
                  <a:pt x="3454791" y="4761901"/>
                  <a:pt x="3454791" y="4778275"/>
                </a:cubicBezTo>
                <a:cubicBezTo>
                  <a:pt x="3454791" y="4794650"/>
                  <a:pt x="3440368" y="4807927"/>
                  <a:pt x="3422581" y="4807927"/>
                </a:cubicBezTo>
                <a:close/>
                <a:moveTo>
                  <a:pt x="3579650" y="4807927"/>
                </a:moveTo>
                <a:cubicBezTo>
                  <a:pt x="3561862" y="4807927"/>
                  <a:pt x="3547439" y="4794650"/>
                  <a:pt x="3547439" y="4778275"/>
                </a:cubicBezTo>
                <a:cubicBezTo>
                  <a:pt x="3547439" y="4761901"/>
                  <a:pt x="3561862" y="4748623"/>
                  <a:pt x="3579650" y="4748623"/>
                </a:cubicBezTo>
                <a:cubicBezTo>
                  <a:pt x="3597437" y="4748623"/>
                  <a:pt x="3611860" y="4761901"/>
                  <a:pt x="3611860" y="4778275"/>
                </a:cubicBezTo>
                <a:cubicBezTo>
                  <a:pt x="3611860" y="4794650"/>
                  <a:pt x="3597437" y="4807927"/>
                  <a:pt x="3579650" y="4807927"/>
                </a:cubicBezTo>
                <a:close/>
                <a:moveTo>
                  <a:pt x="3658183" y="4807927"/>
                </a:moveTo>
                <a:cubicBezTo>
                  <a:pt x="3640396" y="4807927"/>
                  <a:pt x="3625972" y="4794650"/>
                  <a:pt x="3625972" y="4778275"/>
                </a:cubicBezTo>
                <a:cubicBezTo>
                  <a:pt x="3625972" y="4761901"/>
                  <a:pt x="3640396" y="4748623"/>
                  <a:pt x="3658183" y="4748623"/>
                </a:cubicBezTo>
                <a:cubicBezTo>
                  <a:pt x="3675970" y="4748623"/>
                  <a:pt x="3690393" y="4761901"/>
                  <a:pt x="3690393" y="4778275"/>
                </a:cubicBezTo>
                <a:cubicBezTo>
                  <a:pt x="3690393" y="4794650"/>
                  <a:pt x="3675970" y="4807927"/>
                  <a:pt x="3658183" y="4807927"/>
                </a:cubicBezTo>
                <a:close/>
                <a:moveTo>
                  <a:pt x="3815250" y="4807927"/>
                </a:moveTo>
                <a:cubicBezTo>
                  <a:pt x="3797463" y="4807927"/>
                  <a:pt x="3783040" y="4794650"/>
                  <a:pt x="3783040" y="4778275"/>
                </a:cubicBezTo>
                <a:cubicBezTo>
                  <a:pt x="3783040" y="4761901"/>
                  <a:pt x="3797463" y="4748623"/>
                  <a:pt x="3815250" y="4748623"/>
                </a:cubicBezTo>
                <a:cubicBezTo>
                  <a:pt x="3833038" y="4748623"/>
                  <a:pt x="3847461" y="4761901"/>
                  <a:pt x="3847461" y="4778275"/>
                </a:cubicBezTo>
                <a:cubicBezTo>
                  <a:pt x="3847461" y="4794650"/>
                  <a:pt x="3833038" y="4807927"/>
                  <a:pt x="3815250" y="4807927"/>
                </a:cubicBezTo>
                <a:close/>
                <a:moveTo>
                  <a:pt x="3893785" y="4807927"/>
                </a:moveTo>
                <a:cubicBezTo>
                  <a:pt x="3875997" y="4807927"/>
                  <a:pt x="3861574" y="4794650"/>
                  <a:pt x="3861574" y="4778275"/>
                </a:cubicBezTo>
                <a:cubicBezTo>
                  <a:pt x="3861574" y="4761901"/>
                  <a:pt x="3875997" y="4748623"/>
                  <a:pt x="3893785" y="4748623"/>
                </a:cubicBezTo>
                <a:cubicBezTo>
                  <a:pt x="3911572" y="4748623"/>
                  <a:pt x="3925995" y="4761901"/>
                  <a:pt x="3925995" y="4778275"/>
                </a:cubicBezTo>
                <a:cubicBezTo>
                  <a:pt x="3925995" y="4794650"/>
                  <a:pt x="3911572" y="4807927"/>
                  <a:pt x="3893785" y="4807927"/>
                </a:cubicBezTo>
                <a:close/>
                <a:moveTo>
                  <a:pt x="4050852" y="4807927"/>
                </a:moveTo>
                <a:cubicBezTo>
                  <a:pt x="4033065" y="4807927"/>
                  <a:pt x="4018642" y="4794650"/>
                  <a:pt x="4018642" y="4778275"/>
                </a:cubicBezTo>
                <a:cubicBezTo>
                  <a:pt x="4018642" y="4761901"/>
                  <a:pt x="4033065" y="4748623"/>
                  <a:pt x="4050852" y="4748623"/>
                </a:cubicBezTo>
                <a:cubicBezTo>
                  <a:pt x="4068639" y="4748623"/>
                  <a:pt x="4083062" y="4761901"/>
                  <a:pt x="4083062" y="4778275"/>
                </a:cubicBezTo>
                <a:cubicBezTo>
                  <a:pt x="4083062" y="4794650"/>
                  <a:pt x="4068639" y="4807927"/>
                  <a:pt x="4050852" y="4807927"/>
                </a:cubicBezTo>
                <a:close/>
                <a:moveTo>
                  <a:pt x="4129386" y="4807927"/>
                </a:moveTo>
                <a:cubicBezTo>
                  <a:pt x="4111599" y="4807927"/>
                  <a:pt x="4097176" y="4794650"/>
                  <a:pt x="4097176" y="4778275"/>
                </a:cubicBezTo>
                <a:cubicBezTo>
                  <a:pt x="4097176" y="4761901"/>
                  <a:pt x="4111599" y="4748623"/>
                  <a:pt x="4129386" y="4748623"/>
                </a:cubicBezTo>
                <a:cubicBezTo>
                  <a:pt x="4147174" y="4748623"/>
                  <a:pt x="4161597" y="4761901"/>
                  <a:pt x="4161597" y="4778275"/>
                </a:cubicBezTo>
                <a:cubicBezTo>
                  <a:pt x="4161597" y="4794650"/>
                  <a:pt x="4147174" y="4807927"/>
                  <a:pt x="4129386" y="4807927"/>
                </a:cubicBezTo>
                <a:close/>
                <a:moveTo>
                  <a:pt x="4207926" y="4807927"/>
                </a:moveTo>
                <a:cubicBezTo>
                  <a:pt x="4190138" y="4807927"/>
                  <a:pt x="4175715" y="4794650"/>
                  <a:pt x="4175715" y="4778275"/>
                </a:cubicBezTo>
                <a:cubicBezTo>
                  <a:pt x="4175715" y="4761901"/>
                  <a:pt x="4190138" y="4748623"/>
                  <a:pt x="4207926" y="4748623"/>
                </a:cubicBezTo>
                <a:cubicBezTo>
                  <a:pt x="4225713" y="4748623"/>
                  <a:pt x="4240136" y="4761901"/>
                  <a:pt x="4240136" y="4778275"/>
                </a:cubicBezTo>
                <a:cubicBezTo>
                  <a:pt x="4240136" y="4794650"/>
                  <a:pt x="4225713" y="4807927"/>
                  <a:pt x="4207926" y="4807927"/>
                </a:cubicBezTo>
                <a:close/>
                <a:moveTo>
                  <a:pt x="4286460" y="4807927"/>
                </a:moveTo>
                <a:cubicBezTo>
                  <a:pt x="4268673" y="4807927"/>
                  <a:pt x="4254250" y="4794650"/>
                  <a:pt x="4254250" y="4778275"/>
                </a:cubicBezTo>
                <a:cubicBezTo>
                  <a:pt x="4254250" y="4761901"/>
                  <a:pt x="4268673" y="4748623"/>
                  <a:pt x="4286460" y="4748623"/>
                </a:cubicBezTo>
                <a:cubicBezTo>
                  <a:pt x="4304247" y="4748623"/>
                  <a:pt x="4318670" y="4761901"/>
                  <a:pt x="4318670" y="4778275"/>
                </a:cubicBezTo>
                <a:cubicBezTo>
                  <a:pt x="4318670" y="4794650"/>
                  <a:pt x="4304247" y="4807927"/>
                  <a:pt x="4286460" y="4807927"/>
                </a:cubicBezTo>
                <a:close/>
                <a:moveTo>
                  <a:pt x="4443527" y="4807927"/>
                </a:moveTo>
                <a:cubicBezTo>
                  <a:pt x="4425740" y="4807927"/>
                  <a:pt x="4411317" y="4794650"/>
                  <a:pt x="4411317" y="4778275"/>
                </a:cubicBezTo>
                <a:cubicBezTo>
                  <a:pt x="4411317" y="4761901"/>
                  <a:pt x="4425740" y="4748623"/>
                  <a:pt x="4443527" y="4748623"/>
                </a:cubicBezTo>
                <a:cubicBezTo>
                  <a:pt x="4461315" y="4748623"/>
                  <a:pt x="4475738" y="4761901"/>
                  <a:pt x="4475738" y="4778275"/>
                </a:cubicBezTo>
                <a:cubicBezTo>
                  <a:pt x="4475738" y="4794650"/>
                  <a:pt x="4461315" y="4807927"/>
                  <a:pt x="4443527" y="4807927"/>
                </a:cubicBezTo>
                <a:close/>
                <a:moveTo>
                  <a:pt x="4679129" y="4807927"/>
                </a:moveTo>
                <a:cubicBezTo>
                  <a:pt x="4661342" y="4807927"/>
                  <a:pt x="4646919" y="4794650"/>
                  <a:pt x="4646919" y="4778275"/>
                </a:cubicBezTo>
                <a:cubicBezTo>
                  <a:pt x="4646919" y="4761901"/>
                  <a:pt x="4661342" y="4748623"/>
                  <a:pt x="4679129" y="4748623"/>
                </a:cubicBezTo>
                <a:cubicBezTo>
                  <a:pt x="4696916" y="4748623"/>
                  <a:pt x="4711339" y="4761901"/>
                  <a:pt x="4711339" y="4778275"/>
                </a:cubicBezTo>
                <a:cubicBezTo>
                  <a:pt x="4711339" y="4794650"/>
                  <a:pt x="4696916" y="4807927"/>
                  <a:pt x="4679129" y="4807927"/>
                </a:cubicBezTo>
                <a:close/>
                <a:moveTo>
                  <a:pt x="4757663" y="4807927"/>
                </a:moveTo>
                <a:cubicBezTo>
                  <a:pt x="4739876" y="4807927"/>
                  <a:pt x="4725453" y="4794650"/>
                  <a:pt x="4725453" y="4778275"/>
                </a:cubicBezTo>
                <a:cubicBezTo>
                  <a:pt x="4725453" y="4761901"/>
                  <a:pt x="4739876" y="4748623"/>
                  <a:pt x="4757663" y="4748623"/>
                </a:cubicBezTo>
                <a:cubicBezTo>
                  <a:pt x="4775451" y="4748623"/>
                  <a:pt x="4789874" y="4761901"/>
                  <a:pt x="4789874" y="4778275"/>
                </a:cubicBezTo>
                <a:cubicBezTo>
                  <a:pt x="4789874" y="4794650"/>
                  <a:pt x="4775451" y="4807927"/>
                  <a:pt x="4757663" y="4807927"/>
                </a:cubicBezTo>
                <a:close/>
                <a:moveTo>
                  <a:pt x="4836197" y="4807927"/>
                </a:moveTo>
                <a:cubicBezTo>
                  <a:pt x="4818409" y="4807927"/>
                  <a:pt x="4803986" y="4794650"/>
                  <a:pt x="4803986" y="4778275"/>
                </a:cubicBezTo>
                <a:cubicBezTo>
                  <a:pt x="4803986" y="4761901"/>
                  <a:pt x="4818409" y="4748623"/>
                  <a:pt x="4836197" y="4748623"/>
                </a:cubicBezTo>
                <a:cubicBezTo>
                  <a:pt x="4853984" y="4748623"/>
                  <a:pt x="4868407" y="4761901"/>
                  <a:pt x="4868407" y="4778275"/>
                </a:cubicBezTo>
                <a:cubicBezTo>
                  <a:pt x="4868407" y="4794650"/>
                  <a:pt x="4853984" y="4807927"/>
                  <a:pt x="4836197" y="4807927"/>
                </a:cubicBezTo>
                <a:close/>
                <a:moveTo>
                  <a:pt x="4914731" y="4807927"/>
                </a:moveTo>
                <a:cubicBezTo>
                  <a:pt x="4896944" y="4807927"/>
                  <a:pt x="4882521" y="4794650"/>
                  <a:pt x="4882521" y="4778275"/>
                </a:cubicBezTo>
                <a:cubicBezTo>
                  <a:pt x="4882521" y="4761901"/>
                  <a:pt x="4896944" y="4748623"/>
                  <a:pt x="4914731" y="4748623"/>
                </a:cubicBezTo>
                <a:cubicBezTo>
                  <a:pt x="4932518" y="4748623"/>
                  <a:pt x="4946941" y="4761901"/>
                  <a:pt x="4946941" y="4778275"/>
                </a:cubicBezTo>
                <a:cubicBezTo>
                  <a:pt x="4946941" y="4794650"/>
                  <a:pt x="4932518" y="4807927"/>
                  <a:pt x="4914731" y="4807927"/>
                </a:cubicBezTo>
                <a:close/>
                <a:moveTo>
                  <a:pt x="4993265" y="4807927"/>
                </a:moveTo>
                <a:cubicBezTo>
                  <a:pt x="4975478" y="4807927"/>
                  <a:pt x="4961055" y="4794650"/>
                  <a:pt x="4961055" y="4778275"/>
                </a:cubicBezTo>
                <a:cubicBezTo>
                  <a:pt x="4961055" y="4761901"/>
                  <a:pt x="4975478" y="4748623"/>
                  <a:pt x="4993265" y="4748623"/>
                </a:cubicBezTo>
                <a:cubicBezTo>
                  <a:pt x="5011052" y="4748623"/>
                  <a:pt x="5025475" y="4761901"/>
                  <a:pt x="5025475" y="4778275"/>
                </a:cubicBezTo>
                <a:cubicBezTo>
                  <a:pt x="5025475" y="4794650"/>
                  <a:pt x="5011052" y="4807927"/>
                  <a:pt x="4993265" y="4807927"/>
                </a:cubicBezTo>
                <a:close/>
                <a:moveTo>
                  <a:pt x="5071798" y="4807927"/>
                </a:moveTo>
                <a:cubicBezTo>
                  <a:pt x="5054011" y="4807927"/>
                  <a:pt x="5039588" y="4794650"/>
                  <a:pt x="5039588" y="4778275"/>
                </a:cubicBezTo>
                <a:cubicBezTo>
                  <a:pt x="5039588" y="4761901"/>
                  <a:pt x="5054011" y="4748623"/>
                  <a:pt x="5071798" y="4748623"/>
                </a:cubicBezTo>
                <a:cubicBezTo>
                  <a:pt x="5089586" y="4748623"/>
                  <a:pt x="5104009" y="4761901"/>
                  <a:pt x="5104009" y="4778275"/>
                </a:cubicBezTo>
                <a:cubicBezTo>
                  <a:pt x="5104009" y="4794650"/>
                  <a:pt x="5089586" y="4807927"/>
                  <a:pt x="5071798" y="4807927"/>
                </a:cubicBezTo>
                <a:close/>
                <a:moveTo>
                  <a:pt x="6328340" y="4807927"/>
                </a:moveTo>
                <a:cubicBezTo>
                  <a:pt x="6310553" y="4807927"/>
                  <a:pt x="6296124" y="4794650"/>
                  <a:pt x="6296124" y="4778275"/>
                </a:cubicBezTo>
                <a:cubicBezTo>
                  <a:pt x="6296124" y="4761901"/>
                  <a:pt x="6310553" y="4748623"/>
                  <a:pt x="6328340" y="4748623"/>
                </a:cubicBezTo>
                <a:cubicBezTo>
                  <a:pt x="6346128" y="4748623"/>
                  <a:pt x="6360545" y="4761901"/>
                  <a:pt x="6360545" y="4778275"/>
                </a:cubicBezTo>
                <a:cubicBezTo>
                  <a:pt x="6360545" y="4794650"/>
                  <a:pt x="6346128" y="4807927"/>
                  <a:pt x="6328340" y="4807927"/>
                </a:cubicBezTo>
                <a:close/>
                <a:moveTo>
                  <a:pt x="6406875" y="4807927"/>
                </a:moveTo>
                <a:cubicBezTo>
                  <a:pt x="6389087" y="4807927"/>
                  <a:pt x="6374658" y="4794650"/>
                  <a:pt x="6374658" y="4778275"/>
                </a:cubicBezTo>
                <a:cubicBezTo>
                  <a:pt x="6374658" y="4761901"/>
                  <a:pt x="6389087" y="4748623"/>
                  <a:pt x="6406875" y="4748623"/>
                </a:cubicBezTo>
                <a:cubicBezTo>
                  <a:pt x="6424662" y="4748623"/>
                  <a:pt x="6439079" y="4761901"/>
                  <a:pt x="6439079" y="4778275"/>
                </a:cubicBezTo>
                <a:cubicBezTo>
                  <a:pt x="6439079" y="4794650"/>
                  <a:pt x="6424662" y="4807927"/>
                  <a:pt x="6406875" y="4807927"/>
                </a:cubicBezTo>
                <a:close/>
                <a:moveTo>
                  <a:pt x="6485408" y="4807927"/>
                </a:moveTo>
                <a:cubicBezTo>
                  <a:pt x="6467621" y="4807927"/>
                  <a:pt x="6453191" y="4794650"/>
                  <a:pt x="6453191" y="4778275"/>
                </a:cubicBezTo>
                <a:cubicBezTo>
                  <a:pt x="6453191" y="4761901"/>
                  <a:pt x="6467621" y="4748623"/>
                  <a:pt x="6485408" y="4748623"/>
                </a:cubicBezTo>
                <a:cubicBezTo>
                  <a:pt x="6503195" y="4748623"/>
                  <a:pt x="6517612" y="4761901"/>
                  <a:pt x="6517612" y="4778275"/>
                </a:cubicBezTo>
                <a:cubicBezTo>
                  <a:pt x="6517612" y="4794650"/>
                  <a:pt x="6503195" y="4807927"/>
                  <a:pt x="6485408" y="4807927"/>
                </a:cubicBezTo>
                <a:close/>
                <a:moveTo>
                  <a:pt x="6563942" y="4807927"/>
                </a:moveTo>
                <a:cubicBezTo>
                  <a:pt x="6546155" y="4807927"/>
                  <a:pt x="6531726" y="4794650"/>
                  <a:pt x="6531726" y="4778275"/>
                </a:cubicBezTo>
                <a:cubicBezTo>
                  <a:pt x="6531726" y="4761901"/>
                  <a:pt x="6546155" y="4748623"/>
                  <a:pt x="6563942" y="4748623"/>
                </a:cubicBezTo>
                <a:cubicBezTo>
                  <a:pt x="6581729" y="4748623"/>
                  <a:pt x="6596146" y="4761901"/>
                  <a:pt x="6596146" y="4778275"/>
                </a:cubicBezTo>
                <a:cubicBezTo>
                  <a:pt x="6596146" y="4794650"/>
                  <a:pt x="6581729" y="4807927"/>
                  <a:pt x="6563942" y="4807927"/>
                </a:cubicBezTo>
                <a:close/>
                <a:moveTo>
                  <a:pt x="6642476" y="4807927"/>
                </a:moveTo>
                <a:cubicBezTo>
                  <a:pt x="6624689" y="4807927"/>
                  <a:pt x="6610260" y="4794650"/>
                  <a:pt x="6610260" y="4778275"/>
                </a:cubicBezTo>
                <a:cubicBezTo>
                  <a:pt x="6610260" y="4761901"/>
                  <a:pt x="6624689" y="4748623"/>
                  <a:pt x="6642476" y="4748623"/>
                </a:cubicBezTo>
                <a:cubicBezTo>
                  <a:pt x="6660264" y="4748623"/>
                  <a:pt x="6674681" y="4761901"/>
                  <a:pt x="6674681" y="4778275"/>
                </a:cubicBezTo>
                <a:cubicBezTo>
                  <a:pt x="6674681" y="4794650"/>
                  <a:pt x="6660264" y="4807927"/>
                  <a:pt x="6642476" y="4807927"/>
                </a:cubicBezTo>
                <a:close/>
                <a:moveTo>
                  <a:pt x="6721010" y="4807927"/>
                </a:moveTo>
                <a:cubicBezTo>
                  <a:pt x="6703222" y="4807927"/>
                  <a:pt x="6688793" y="4794650"/>
                  <a:pt x="6688793" y="4778275"/>
                </a:cubicBezTo>
                <a:cubicBezTo>
                  <a:pt x="6688793" y="4761901"/>
                  <a:pt x="6703222" y="4748623"/>
                  <a:pt x="6721010" y="4748623"/>
                </a:cubicBezTo>
                <a:cubicBezTo>
                  <a:pt x="6738797" y="4748623"/>
                  <a:pt x="6753214" y="4761901"/>
                  <a:pt x="6753214" y="4778275"/>
                </a:cubicBezTo>
                <a:cubicBezTo>
                  <a:pt x="6753214" y="4794650"/>
                  <a:pt x="6738797" y="4807927"/>
                  <a:pt x="6721010" y="4807927"/>
                </a:cubicBezTo>
                <a:close/>
                <a:moveTo>
                  <a:pt x="6799544" y="4807927"/>
                </a:moveTo>
                <a:cubicBezTo>
                  <a:pt x="6781757" y="4807927"/>
                  <a:pt x="6767327" y="4794650"/>
                  <a:pt x="6767327" y="4778275"/>
                </a:cubicBezTo>
                <a:cubicBezTo>
                  <a:pt x="6767327" y="4761901"/>
                  <a:pt x="6781757" y="4748623"/>
                  <a:pt x="6799544" y="4748623"/>
                </a:cubicBezTo>
                <a:cubicBezTo>
                  <a:pt x="6817331" y="4748623"/>
                  <a:pt x="6831748" y="4761901"/>
                  <a:pt x="6831748" y="4778275"/>
                </a:cubicBezTo>
                <a:cubicBezTo>
                  <a:pt x="6831748" y="4794650"/>
                  <a:pt x="6817331" y="4807927"/>
                  <a:pt x="6799544" y="4807927"/>
                </a:cubicBezTo>
                <a:close/>
                <a:moveTo>
                  <a:pt x="7035146" y="4807927"/>
                </a:moveTo>
                <a:cubicBezTo>
                  <a:pt x="7017358" y="4807927"/>
                  <a:pt x="7002929" y="4794650"/>
                  <a:pt x="7002929" y="4778275"/>
                </a:cubicBezTo>
                <a:cubicBezTo>
                  <a:pt x="7002929" y="4761901"/>
                  <a:pt x="7017358" y="4748623"/>
                  <a:pt x="7035146" y="4748623"/>
                </a:cubicBezTo>
                <a:cubicBezTo>
                  <a:pt x="7052933" y="4748623"/>
                  <a:pt x="7067350" y="4761901"/>
                  <a:pt x="7067350" y="4778275"/>
                </a:cubicBezTo>
                <a:cubicBezTo>
                  <a:pt x="7067350" y="4794650"/>
                  <a:pt x="7052933" y="4807927"/>
                  <a:pt x="7035146" y="4807927"/>
                </a:cubicBezTo>
                <a:close/>
                <a:moveTo>
                  <a:pt x="7113703" y="4807927"/>
                </a:moveTo>
                <a:cubicBezTo>
                  <a:pt x="7095916" y="4807927"/>
                  <a:pt x="7081487" y="4794650"/>
                  <a:pt x="7081487" y="4778275"/>
                </a:cubicBezTo>
                <a:cubicBezTo>
                  <a:pt x="7081487" y="4761901"/>
                  <a:pt x="7095916" y="4748623"/>
                  <a:pt x="7113703" y="4748623"/>
                </a:cubicBezTo>
                <a:cubicBezTo>
                  <a:pt x="7131490" y="4748623"/>
                  <a:pt x="7145907" y="4761901"/>
                  <a:pt x="7145907" y="4778275"/>
                </a:cubicBezTo>
                <a:cubicBezTo>
                  <a:pt x="7145907" y="4794650"/>
                  <a:pt x="7131490" y="4807927"/>
                  <a:pt x="7113703" y="4807927"/>
                </a:cubicBezTo>
                <a:close/>
                <a:moveTo>
                  <a:pt x="7192237" y="4807927"/>
                </a:moveTo>
                <a:cubicBezTo>
                  <a:pt x="7174450" y="4807927"/>
                  <a:pt x="7160021" y="4794650"/>
                  <a:pt x="7160021" y="4778275"/>
                </a:cubicBezTo>
                <a:cubicBezTo>
                  <a:pt x="7160021" y="4761901"/>
                  <a:pt x="7174450" y="4748623"/>
                  <a:pt x="7192237" y="4748623"/>
                </a:cubicBezTo>
                <a:cubicBezTo>
                  <a:pt x="7210024" y="4748623"/>
                  <a:pt x="7224441" y="4761901"/>
                  <a:pt x="7224441" y="4778275"/>
                </a:cubicBezTo>
                <a:cubicBezTo>
                  <a:pt x="7224441" y="4794650"/>
                  <a:pt x="7210024" y="4807927"/>
                  <a:pt x="7192237" y="4807927"/>
                </a:cubicBezTo>
                <a:close/>
                <a:moveTo>
                  <a:pt x="7270771" y="4807927"/>
                </a:moveTo>
                <a:cubicBezTo>
                  <a:pt x="7252984" y="4807927"/>
                  <a:pt x="7238555" y="4794650"/>
                  <a:pt x="7238555" y="4778275"/>
                </a:cubicBezTo>
                <a:cubicBezTo>
                  <a:pt x="7238555" y="4761901"/>
                  <a:pt x="7252984" y="4748623"/>
                  <a:pt x="7270771" y="4748623"/>
                </a:cubicBezTo>
                <a:cubicBezTo>
                  <a:pt x="7288559" y="4748623"/>
                  <a:pt x="7302976" y="4761901"/>
                  <a:pt x="7302976" y="4778275"/>
                </a:cubicBezTo>
                <a:cubicBezTo>
                  <a:pt x="7302976" y="4794650"/>
                  <a:pt x="7288559" y="4807927"/>
                  <a:pt x="7270771" y="4807927"/>
                </a:cubicBezTo>
                <a:close/>
                <a:moveTo>
                  <a:pt x="7349305" y="4807927"/>
                </a:moveTo>
                <a:cubicBezTo>
                  <a:pt x="7331517" y="4807927"/>
                  <a:pt x="7317088" y="4794650"/>
                  <a:pt x="7317088" y="4778275"/>
                </a:cubicBezTo>
                <a:cubicBezTo>
                  <a:pt x="7317088" y="4761901"/>
                  <a:pt x="7331517" y="4748623"/>
                  <a:pt x="7349305" y="4748623"/>
                </a:cubicBezTo>
                <a:cubicBezTo>
                  <a:pt x="7367092" y="4748623"/>
                  <a:pt x="7381509" y="4761901"/>
                  <a:pt x="7381509" y="4778275"/>
                </a:cubicBezTo>
                <a:cubicBezTo>
                  <a:pt x="7381509" y="4794650"/>
                  <a:pt x="7367092" y="4807927"/>
                  <a:pt x="7349305" y="4807927"/>
                </a:cubicBezTo>
                <a:close/>
                <a:moveTo>
                  <a:pt x="7427839" y="4807927"/>
                </a:moveTo>
                <a:cubicBezTo>
                  <a:pt x="7410052" y="4807927"/>
                  <a:pt x="7395623" y="4794650"/>
                  <a:pt x="7395623" y="4778275"/>
                </a:cubicBezTo>
                <a:cubicBezTo>
                  <a:pt x="7395623" y="4761901"/>
                  <a:pt x="7410052" y="4748623"/>
                  <a:pt x="7427839" y="4748623"/>
                </a:cubicBezTo>
                <a:cubicBezTo>
                  <a:pt x="7445626" y="4748623"/>
                  <a:pt x="7460043" y="4761901"/>
                  <a:pt x="7460043" y="4778275"/>
                </a:cubicBezTo>
                <a:cubicBezTo>
                  <a:pt x="7460043" y="4794650"/>
                  <a:pt x="7445626" y="4807927"/>
                  <a:pt x="7427839" y="4807927"/>
                </a:cubicBezTo>
                <a:close/>
                <a:moveTo>
                  <a:pt x="7506373" y="4807927"/>
                </a:moveTo>
                <a:cubicBezTo>
                  <a:pt x="7488586" y="4807927"/>
                  <a:pt x="7474157" y="4794650"/>
                  <a:pt x="7474157" y="4778275"/>
                </a:cubicBezTo>
                <a:cubicBezTo>
                  <a:pt x="7474157" y="4761901"/>
                  <a:pt x="7488586" y="4748623"/>
                  <a:pt x="7506373" y="4748623"/>
                </a:cubicBezTo>
                <a:cubicBezTo>
                  <a:pt x="7524160" y="4748623"/>
                  <a:pt x="7538577" y="4761901"/>
                  <a:pt x="7538577" y="4778275"/>
                </a:cubicBezTo>
                <a:cubicBezTo>
                  <a:pt x="7538577" y="4794650"/>
                  <a:pt x="7524160" y="4807927"/>
                  <a:pt x="7506373" y="4807927"/>
                </a:cubicBezTo>
                <a:close/>
                <a:moveTo>
                  <a:pt x="7584906" y="4807927"/>
                </a:moveTo>
                <a:cubicBezTo>
                  <a:pt x="7567119" y="4807927"/>
                  <a:pt x="7552690" y="4794650"/>
                  <a:pt x="7552690" y="4778275"/>
                </a:cubicBezTo>
                <a:cubicBezTo>
                  <a:pt x="7552690" y="4761901"/>
                  <a:pt x="7567119" y="4748623"/>
                  <a:pt x="7584906" y="4748623"/>
                </a:cubicBezTo>
                <a:cubicBezTo>
                  <a:pt x="7602694" y="4748623"/>
                  <a:pt x="7617111" y="4761901"/>
                  <a:pt x="7617111" y="4778275"/>
                </a:cubicBezTo>
                <a:cubicBezTo>
                  <a:pt x="7617111" y="4794650"/>
                  <a:pt x="7602694" y="4807927"/>
                  <a:pt x="7584906" y="4807927"/>
                </a:cubicBezTo>
                <a:close/>
                <a:moveTo>
                  <a:pt x="7663441" y="4807927"/>
                </a:moveTo>
                <a:cubicBezTo>
                  <a:pt x="7645653" y="4807927"/>
                  <a:pt x="7631224" y="4794650"/>
                  <a:pt x="7631224" y="4778275"/>
                </a:cubicBezTo>
                <a:cubicBezTo>
                  <a:pt x="7631224" y="4761901"/>
                  <a:pt x="7645653" y="4748623"/>
                  <a:pt x="7663441" y="4748623"/>
                </a:cubicBezTo>
                <a:cubicBezTo>
                  <a:pt x="7681228" y="4748623"/>
                  <a:pt x="7695645" y="4761901"/>
                  <a:pt x="7695645" y="4778275"/>
                </a:cubicBezTo>
                <a:cubicBezTo>
                  <a:pt x="7695645" y="4794650"/>
                  <a:pt x="7681228" y="4807927"/>
                  <a:pt x="7663441" y="4807927"/>
                </a:cubicBezTo>
                <a:close/>
                <a:moveTo>
                  <a:pt x="7741974" y="4807927"/>
                </a:moveTo>
                <a:cubicBezTo>
                  <a:pt x="7724187" y="4807927"/>
                  <a:pt x="7709758" y="4794650"/>
                  <a:pt x="7709758" y="4778275"/>
                </a:cubicBezTo>
                <a:cubicBezTo>
                  <a:pt x="7709758" y="4761901"/>
                  <a:pt x="7724187" y="4748623"/>
                  <a:pt x="7741974" y="4748623"/>
                </a:cubicBezTo>
                <a:cubicBezTo>
                  <a:pt x="7759761" y="4748623"/>
                  <a:pt x="7774178" y="4761901"/>
                  <a:pt x="7774178" y="4778275"/>
                </a:cubicBezTo>
                <a:cubicBezTo>
                  <a:pt x="7774178" y="4794650"/>
                  <a:pt x="7759761" y="4807927"/>
                  <a:pt x="7741974" y="4807927"/>
                </a:cubicBezTo>
                <a:close/>
                <a:moveTo>
                  <a:pt x="7820508" y="4807927"/>
                </a:moveTo>
                <a:cubicBezTo>
                  <a:pt x="7802721" y="4807927"/>
                  <a:pt x="7788292" y="4794650"/>
                  <a:pt x="7788292" y="4778275"/>
                </a:cubicBezTo>
                <a:cubicBezTo>
                  <a:pt x="7788292" y="4761901"/>
                  <a:pt x="7802721" y="4748623"/>
                  <a:pt x="7820508" y="4748623"/>
                </a:cubicBezTo>
                <a:cubicBezTo>
                  <a:pt x="7838295" y="4748623"/>
                  <a:pt x="7852712" y="4761901"/>
                  <a:pt x="7852712" y="4778275"/>
                </a:cubicBezTo>
                <a:cubicBezTo>
                  <a:pt x="7852712" y="4794650"/>
                  <a:pt x="7838295" y="4807927"/>
                  <a:pt x="7820508" y="4807927"/>
                </a:cubicBezTo>
                <a:close/>
                <a:moveTo>
                  <a:pt x="7899042" y="4807927"/>
                </a:moveTo>
                <a:cubicBezTo>
                  <a:pt x="7881255" y="4807927"/>
                  <a:pt x="7866826" y="4794650"/>
                  <a:pt x="7866826" y="4778275"/>
                </a:cubicBezTo>
                <a:cubicBezTo>
                  <a:pt x="7866826" y="4761901"/>
                  <a:pt x="7881255" y="4748623"/>
                  <a:pt x="7899042" y="4748623"/>
                </a:cubicBezTo>
                <a:cubicBezTo>
                  <a:pt x="7916830" y="4748623"/>
                  <a:pt x="7931247" y="4761901"/>
                  <a:pt x="7931247" y="4778275"/>
                </a:cubicBezTo>
                <a:cubicBezTo>
                  <a:pt x="7931247" y="4794650"/>
                  <a:pt x="7916830" y="4807927"/>
                  <a:pt x="7899042" y="4807927"/>
                </a:cubicBezTo>
                <a:close/>
                <a:moveTo>
                  <a:pt x="7977576" y="4807927"/>
                </a:moveTo>
                <a:cubicBezTo>
                  <a:pt x="7959788" y="4807927"/>
                  <a:pt x="7945359" y="4794650"/>
                  <a:pt x="7945359" y="4778275"/>
                </a:cubicBezTo>
                <a:cubicBezTo>
                  <a:pt x="7945359" y="4761901"/>
                  <a:pt x="7959788" y="4748623"/>
                  <a:pt x="7977576" y="4748623"/>
                </a:cubicBezTo>
                <a:cubicBezTo>
                  <a:pt x="7995363" y="4748623"/>
                  <a:pt x="8009780" y="4761901"/>
                  <a:pt x="8009780" y="4778275"/>
                </a:cubicBezTo>
                <a:cubicBezTo>
                  <a:pt x="8009780" y="4794650"/>
                  <a:pt x="7995363" y="4807927"/>
                  <a:pt x="7977576" y="4807927"/>
                </a:cubicBezTo>
                <a:close/>
                <a:moveTo>
                  <a:pt x="8056110" y="4807927"/>
                </a:moveTo>
                <a:cubicBezTo>
                  <a:pt x="8038323" y="4807927"/>
                  <a:pt x="8023894" y="4794650"/>
                  <a:pt x="8023894" y="4778275"/>
                </a:cubicBezTo>
                <a:cubicBezTo>
                  <a:pt x="8023894" y="4761901"/>
                  <a:pt x="8038323" y="4748623"/>
                  <a:pt x="8056110" y="4748623"/>
                </a:cubicBezTo>
                <a:cubicBezTo>
                  <a:pt x="8073897" y="4748623"/>
                  <a:pt x="8088314" y="4761901"/>
                  <a:pt x="8088314" y="4778275"/>
                </a:cubicBezTo>
                <a:cubicBezTo>
                  <a:pt x="8088314" y="4794650"/>
                  <a:pt x="8073897" y="4807927"/>
                  <a:pt x="8056110" y="4807927"/>
                </a:cubicBezTo>
                <a:close/>
                <a:moveTo>
                  <a:pt x="8134643" y="4807927"/>
                </a:moveTo>
                <a:cubicBezTo>
                  <a:pt x="8116856" y="4807927"/>
                  <a:pt x="8102427" y="4794650"/>
                  <a:pt x="8102427" y="4778275"/>
                </a:cubicBezTo>
                <a:cubicBezTo>
                  <a:pt x="8102427" y="4761901"/>
                  <a:pt x="8116856" y="4748623"/>
                  <a:pt x="8134643" y="4748623"/>
                </a:cubicBezTo>
                <a:cubicBezTo>
                  <a:pt x="8152430" y="4748623"/>
                  <a:pt x="8166847" y="4761901"/>
                  <a:pt x="8166847" y="4778275"/>
                </a:cubicBezTo>
                <a:cubicBezTo>
                  <a:pt x="8166847" y="4794650"/>
                  <a:pt x="8152430" y="4807927"/>
                  <a:pt x="8134643" y="4807927"/>
                </a:cubicBezTo>
                <a:close/>
                <a:moveTo>
                  <a:pt x="8213177" y="4807927"/>
                </a:moveTo>
                <a:cubicBezTo>
                  <a:pt x="8195390" y="4807927"/>
                  <a:pt x="8180961" y="4794650"/>
                  <a:pt x="8180961" y="4778275"/>
                </a:cubicBezTo>
                <a:cubicBezTo>
                  <a:pt x="8180961" y="4761901"/>
                  <a:pt x="8195390" y="4748623"/>
                  <a:pt x="8213177" y="4748623"/>
                </a:cubicBezTo>
                <a:cubicBezTo>
                  <a:pt x="8230965" y="4748623"/>
                  <a:pt x="8245382" y="4761901"/>
                  <a:pt x="8245382" y="4778275"/>
                </a:cubicBezTo>
                <a:cubicBezTo>
                  <a:pt x="8245382" y="4794650"/>
                  <a:pt x="8230965" y="4807927"/>
                  <a:pt x="8213177" y="4807927"/>
                </a:cubicBezTo>
                <a:close/>
                <a:moveTo>
                  <a:pt x="8291712" y="4807927"/>
                </a:moveTo>
                <a:cubicBezTo>
                  <a:pt x="8273924" y="4807927"/>
                  <a:pt x="8259495" y="4794650"/>
                  <a:pt x="8259495" y="4778275"/>
                </a:cubicBezTo>
                <a:cubicBezTo>
                  <a:pt x="8259495" y="4761901"/>
                  <a:pt x="8273924" y="4748623"/>
                  <a:pt x="8291712" y="4748623"/>
                </a:cubicBezTo>
                <a:cubicBezTo>
                  <a:pt x="8309499" y="4748623"/>
                  <a:pt x="8323916" y="4761901"/>
                  <a:pt x="8323916" y="4778275"/>
                </a:cubicBezTo>
                <a:cubicBezTo>
                  <a:pt x="8323916" y="4794650"/>
                  <a:pt x="8309499" y="4807927"/>
                  <a:pt x="8291712" y="4807927"/>
                </a:cubicBezTo>
                <a:close/>
                <a:moveTo>
                  <a:pt x="8370245" y="4807927"/>
                </a:moveTo>
                <a:cubicBezTo>
                  <a:pt x="8352458" y="4807927"/>
                  <a:pt x="8338029" y="4794650"/>
                  <a:pt x="8338029" y="4778275"/>
                </a:cubicBezTo>
                <a:cubicBezTo>
                  <a:pt x="8338029" y="4761901"/>
                  <a:pt x="8352458" y="4748623"/>
                  <a:pt x="8370245" y="4748623"/>
                </a:cubicBezTo>
                <a:cubicBezTo>
                  <a:pt x="8388032" y="4748623"/>
                  <a:pt x="8402449" y="4761901"/>
                  <a:pt x="8402449" y="4778275"/>
                </a:cubicBezTo>
                <a:cubicBezTo>
                  <a:pt x="8402449" y="4794650"/>
                  <a:pt x="8388032" y="4807927"/>
                  <a:pt x="8370245" y="4807927"/>
                </a:cubicBezTo>
                <a:close/>
                <a:moveTo>
                  <a:pt x="8448779" y="4807927"/>
                </a:moveTo>
                <a:cubicBezTo>
                  <a:pt x="8430992" y="4807927"/>
                  <a:pt x="8416563" y="4794650"/>
                  <a:pt x="8416563" y="4778275"/>
                </a:cubicBezTo>
                <a:cubicBezTo>
                  <a:pt x="8416563" y="4761901"/>
                  <a:pt x="8430992" y="4748623"/>
                  <a:pt x="8448779" y="4748623"/>
                </a:cubicBezTo>
                <a:cubicBezTo>
                  <a:pt x="8466566" y="4748623"/>
                  <a:pt x="8480983" y="4761901"/>
                  <a:pt x="8480983" y="4778275"/>
                </a:cubicBezTo>
                <a:cubicBezTo>
                  <a:pt x="8480983" y="4794650"/>
                  <a:pt x="8466566" y="4807927"/>
                  <a:pt x="8448779" y="4807927"/>
                </a:cubicBezTo>
                <a:close/>
                <a:moveTo>
                  <a:pt x="8527313" y="4807927"/>
                </a:moveTo>
                <a:cubicBezTo>
                  <a:pt x="8509526" y="4807927"/>
                  <a:pt x="8495097" y="4794650"/>
                  <a:pt x="8495097" y="4778275"/>
                </a:cubicBezTo>
                <a:cubicBezTo>
                  <a:pt x="8495097" y="4761901"/>
                  <a:pt x="8509526" y="4748623"/>
                  <a:pt x="8527313" y="4748623"/>
                </a:cubicBezTo>
                <a:cubicBezTo>
                  <a:pt x="8545101" y="4748623"/>
                  <a:pt x="8559518" y="4761901"/>
                  <a:pt x="8559518" y="4778275"/>
                </a:cubicBezTo>
                <a:cubicBezTo>
                  <a:pt x="8559518" y="4794650"/>
                  <a:pt x="8545101" y="4807927"/>
                  <a:pt x="8527313" y="4807927"/>
                </a:cubicBezTo>
                <a:close/>
                <a:moveTo>
                  <a:pt x="8605847" y="4807927"/>
                </a:moveTo>
                <a:cubicBezTo>
                  <a:pt x="8588059" y="4807927"/>
                  <a:pt x="8573630" y="4794650"/>
                  <a:pt x="8573630" y="4778275"/>
                </a:cubicBezTo>
                <a:cubicBezTo>
                  <a:pt x="8573630" y="4761901"/>
                  <a:pt x="8588059" y="4748623"/>
                  <a:pt x="8605847" y="4748623"/>
                </a:cubicBezTo>
                <a:cubicBezTo>
                  <a:pt x="8623634" y="4748623"/>
                  <a:pt x="8638051" y="4761901"/>
                  <a:pt x="8638051" y="4778275"/>
                </a:cubicBezTo>
                <a:cubicBezTo>
                  <a:pt x="8638051" y="4794650"/>
                  <a:pt x="8623634" y="4807927"/>
                  <a:pt x="8605847" y="4807927"/>
                </a:cubicBezTo>
                <a:close/>
                <a:moveTo>
                  <a:pt x="8684381" y="4807927"/>
                </a:moveTo>
                <a:cubicBezTo>
                  <a:pt x="8666594" y="4807927"/>
                  <a:pt x="8652165" y="4794650"/>
                  <a:pt x="8652165" y="4778275"/>
                </a:cubicBezTo>
                <a:cubicBezTo>
                  <a:pt x="8652165" y="4761901"/>
                  <a:pt x="8666594" y="4748623"/>
                  <a:pt x="8684381" y="4748623"/>
                </a:cubicBezTo>
                <a:cubicBezTo>
                  <a:pt x="8702168" y="4748623"/>
                  <a:pt x="8716585" y="4761901"/>
                  <a:pt x="8716585" y="4778275"/>
                </a:cubicBezTo>
                <a:cubicBezTo>
                  <a:pt x="8716585" y="4794650"/>
                  <a:pt x="8702168" y="4807927"/>
                  <a:pt x="8684381" y="4807927"/>
                </a:cubicBezTo>
                <a:close/>
                <a:moveTo>
                  <a:pt x="8762914" y="4807927"/>
                </a:moveTo>
                <a:cubicBezTo>
                  <a:pt x="8745127" y="4807927"/>
                  <a:pt x="8730698" y="4794650"/>
                  <a:pt x="8730698" y="4778275"/>
                </a:cubicBezTo>
                <a:cubicBezTo>
                  <a:pt x="8730698" y="4761901"/>
                  <a:pt x="8745127" y="4748623"/>
                  <a:pt x="8762914" y="4748623"/>
                </a:cubicBezTo>
                <a:cubicBezTo>
                  <a:pt x="8780701" y="4748623"/>
                  <a:pt x="8795118" y="4761901"/>
                  <a:pt x="8795118" y="4778275"/>
                </a:cubicBezTo>
                <a:cubicBezTo>
                  <a:pt x="8795118" y="4794650"/>
                  <a:pt x="8780701" y="4807927"/>
                  <a:pt x="8762914" y="4807927"/>
                </a:cubicBezTo>
                <a:close/>
                <a:moveTo>
                  <a:pt x="8841448" y="4807927"/>
                </a:moveTo>
                <a:cubicBezTo>
                  <a:pt x="8823661" y="4807927"/>
                  <a:pt x="8809232" y="4794650"/>
                  <a:pt x="8809232" y="4778275"/>
                </a:cubicBezTo>
                <a:cubicBezTo>
                  <a:pt x="8809232" y="4761901"/>
                  <a:pt x="8823661" y="4748623"/>
                  <a:pt x="8841448" y="4748623"/>
                </a:cubicBezTo>
                <a:cubicBezTo>
                  <a:pt x="8859236" y="4748623"/>
                  <a:pt x="8873653" y="4761901"/>
                  <a:pt x="8873653" y="4778275"/>
                </a:cubicBezTo>
                <a:cubicBezTo>
                  <a:pt x="8873653" y="4794650"/>
                  <a:pt x="8859236" y="4807927"/>
                  <a:pt x="8841448" y="4807927"/>
                </a:cubicBezTo>
                <a:close/>
                <a:moveTo>
                  <a:pt x="8919983" y="4807927"/>
                </a:moveTo>
                <a:cubicBezTo>
                  <a:pt x="8902195" y="4807927"/>
                  <a:pt x="8887766" y="4794650"/>
                  <a:pt x="8887766" y="4778275"/>
                </a:cubicBezTo>
                <a:cubicBezTo>
                  <a:pt x="8887766" y="4761901"/>
                  <a:pt x="8902195" y="4748623"/>
                  <a:pt x="8919983" y="4748623"/>
                </a:cubicBezTo>
                <a:cubicBezTo>
                  <a:pt x="8937770" y="4748623"/>
                  <a:pt x="8952187" y="4761901"/>
                  <a:pt x="8952187" y="4778275"/>
                </a:cubicBezTo>
                <a:cubicBezTo>
                  <a:pt x="8952187" y="4794650"/>
                  <a:pt x="8937770" y="4807927"/>
                  <a:pt x="8919983" y="4807927"/>
                </a:cubicBezTo>
                <a:close/>
                <a:moveTo>
                  <a:pt x="8998516" y="4807927"/>
                </a:moveTo>
                <a:cubicBezTo>
                  <a:pt x="8980729" y="4807927"/>
                  <a:pt x="8966300" y="4794650"/>
                  <a:pt x="8966300" y="4778275"/>
                </a:cubicBezTo>
                <a:cubicBezTo>
                  <a:pt x="8966300" y="4761901"/>
                  <a:pt x="8980729" y="4748623"/>
                  <a:pt x="8998516" y="4748623"/>
                </a:cubicBezTo>
                <a:cubicBezTo>
                  <a:pt x="9016303" y="4748623"/>
                  <a:pt x="9030720" y="4761901"/>
                  <a:pt x="9030720" y="4778275"/>
                </a:cubicBezTo>
                <a:cubicBezTo>
                  <a:pt x="9030720" y="4794650"/>
                  <a:pt x="9016303" y="4807927"/>
                  <a:pt x="8998516" y="4807927"/>
                </a:cubicBezTo>
                <a:close/>
                <a:moveTo>
                  <a:pt x="9077050" y="4807927"/>
                </a:moveTo>
                <a:cubicBezTo>
                  <a:pt x="9059263" y="4807927"/>
                  <a:pt x="9044834" y="4794650"/>
                  <a:pt x="9044834" y="4778275"/>
                </a:cubicBezTo>
                <a:cubicBezTo>
                  <a:pt x="9044834" y="4761901"/>
                  <a:pt x="9059263" y="4748623"/>
                  <a:pt x="9077050" y="4748623"/>
                </a:cubicBezTo>
                <a:cubicBezTo>
                  <a:pt x="9094837" y="4748623"/>
                  <a:pt x="9109254" y="4761901"/>
                  <a:pt x="9109254" y="4778275"/>
                </a:cubicBezTo>
                <a:cubicBezTo>
                  <a:pt x="9109254" y="4794650"/>
                  <a:pt x="9094837" y="4807927"/>
                  <a:pt x="9077050" y="4807927"/>
                </a:cubicBezTo>
                <a:close/>
                <a:moveTo>
                  <a:pt x="9155583" y="4807927"/>
                </a:moveTo>
                <a:cubicBezTo>
                  <a:pt x="9137796" y="4807927"/>
                  <a:pt x="9123367" y="4794650"/>
                  <a:pt x="9123367" y="4778275"/>
                </a:cubicBezTo>
                <a:cubicBezTo>
                  <a:pt x="9123367" y="4761901"/>
                  <a:pt x="9137796" y="4748623"/>
                  <a:pt x="9155583" y="4748623"/>
                </a:cubicBezTo>
                <a:cubicBezTo>
                  <a:pt x="9173371" y="4748623"/>
                  <a:pt x="9187788" y="4761901"/>
                  <a:pt x="9187788" y="4778275"/>
                </a:cubicBezTo>
                <a:cubicBezTo>
                  <a:pt x="9187788" y="4794650"/>
                  <a:pt x="9173371" y="4807927"/>
                  <a:pt x="9155583" y="4807927"/>
                </a:cubicBezTo>
                <a:close/>
                <a:moveTo>
                  <a:pt x="9234118" y="4807927"/>
                </a:moveTo>
                <a:cubicBezTo>
                  <a:pt x="9216330" y="4807927"/>
                  <a:pt x="9201901" y="4794650"/>
                  <a:pt x="9201901" y="4778275"/>
                </a:cubicBezTo>
                <a:cubicBezTo>
                  <a:pt x="9201901" y="4761901"/>
                  <a:pt x="9216330" y="4748623"/>
                  <a:pt x="9234118" y="4748623"/>
                </a:cubicBezTo>
                <a:cubicBezTo>
                  <a:pt x="9251905" y="4748623"/>
                  <a:pt x="9266322" y="4761901"/>
                  <a:pt x="9266322" y="4778275"/>
                </a:cubicBezTo>
                <a:cubicBezTo>
                  <a:pt x="9266322" y="4794650"/>
                  <a:pt x="9251905" y="4807927"/>
                  <a:pt x="9234118" y="4807927"/>
                </a:cubicBezTo>
                <a:close/>
                <a:moveTo>
                  <a:pt x="9312652" y="4807927"/>
                </a:moveTo>
                <a:cubicBezTo>
                  <a:pt x="9294865" y="4807927"/>
                  <a:pt x="9280436" y="4794650"/>
                  <a:pt x="9280436" y="4778275"/>
                </a:cubicBezTo>
                <a:cubicBezTo>
                  <a:pt x="9280436" y="4761901"/>
                  <a:pt x="9294865" y="4748623"/>
                  <a:pt x="9312652" y="4748623"/>
                </a:cubicBezTo>
                <a:cubicBezTo>
                  <a:pt x="9330439" y="4748623"/>
                  <a:pt x="9344856" y="4761901"/>
                  <a:pt x="9344856" y="4778275"/>
                </a:cubicBezTo>
                <a:cubicBezTo>
                  <a:pt x="9344856" y="4794650"/>
                  <a:pt x="9330439" y="4807927"/>
                  <a:pt x="9312652" y="4807927"/>
                </a:cubicBezTo>
                <a:close/>
                <a:moveTo>
                  <a:pt x="9391185" y="4807927"/>
                </a:moveTo>
                <a:cubicBezTo>
                  <a:pt x="9373398" y="4807927"/>
                  <a:pt x="9358969" y="4794650"/>
                  <a:pt x="9358969" y="4778275"/>
                </a:cubicBezTo>
                <a:cubicBezTo>
                  <a:pt x="9358969" y="4761901"/>
                  <a:pt x="9373398" y="4748623"/>
                  <a:pt x="9391185" y="4748623"/>
                </a:cubicBezTo>
                <a:cubicBezTo>
                  <a:pt x="9408972" y="4748623"/>
                  <a:pt x="9423389" y="4761901"/>
                  <a:pt x="9423389" y="4778275"/>
                </a:cubicBezTo>
                <a:cubicBezTo>
                  <a:pt x="9423389" y="4794650"/>
                  <a:pt x="9408972" y="4807927"/>
                  <a:pt x="9391185" y="4807927"/>
                </a:cubicBezTo>
                <a:close/>
                <a:moveTo>
                  <a:pt x="9469719" y="4807927"/>
                </a:moveTo>
                <a:cubicBezTo>
                  <a:pt x="9451932" y="4807927"/>
                  <a:pt x="9437503" y="4794650"/>
                  <a:pt x="9437503" y="4778275"/>
                </a:cubicBezTo>
                <a:cubicBezTo>
                  <a:pt x="9437503" y="4761901"/>
                  <a:pt x="9451932" y="4748623"/>
                  <a:pt x="9469719" y="4748623"/>
                </a:cubicBezTo>
                <a:cubicBezTo>
                  <a:pt x="9487507" y="4748623"/>
                  <a:pt x="9501924" y="4761901"/>
                  <a:pt x="9501924" y="4778275"/>
                </a:cubicBezTo>
                <a:cubicBezTo>
                  <a:pt x="9501924" y="4794650"/>
                  <a:pt x="9487507" y="4807927"/>
                  <a:pt x="9469719" y="4807927"/>
                </a:cubicBezTo>
                <a:close/>
                <a:moveTo>
                  <a:pt x="9548254" y="4807927"/>
                </a:moveTo>
                <a:cubicBezTo>
                  <a:pt x="9530466" y="4807927"/>
                  <a:pt x="9516037" y="4794650"/>
                  <a:pt x="9516037" y="4778275"/>
                </a:cubicBezTo>
                <a:cubicBezTo>
                  <a:pt x="9516037" y="4761901"/>
                  <a:pt x="9530466" y="4748623"/>
                  <a:pt x="9548254" y="4748623"/>
                </a:cubicBezTo>
                <a:cubicBezTo>
                  <a:pt x="9566041" y="4748623"/>
                  <a:pt x="9580458" y="4761901"/>
                  <a:pt x="9580458" y="4778275"/>
                </a:cubicBezTo>
                <a:cubicBezTo>
                  <a:pt x="9580458" y="4794650"/>
                  <a:pt x="9566041" y="4807927"/>
                  <a:pt x="9548254" y="4807927"/>
                </a:cubicBezTo>
                <a:close/>
                <a:moveTo>
                  <a:pt x="10019456" y="4807927"/>
                </a:moveTo>
                <a:cubicBezTo>
                  <a:pt x="10001669" y="4807927"/>
                  <a:pt x="9987240" y="4794650"/>
                  <a:pt x="9987240" y="4778275"/>
                </a:cubicBezTo>
                <a:cubicBezTo>
                  <a:pt x="9987240" y="4761901"/>
                  <a:pt x="10001669" y="4748623"/>
                  <a:pt x="10019456" y="4748623"/>
                </a:cubicBezTo>
                <a:cubicBezTo>
                  <a:pt x="10037243" y="4748623"/>
                  <a:pt x="10051660" y="4761901"/>
                  <a:pt x="10051660" y="4778275"/>
                </a:cubicBezTo>
                <a:cubicBezTo>
                  <a:pt x="10051660" y="4794650"/>
                  <a:pt x="10037243" y="4807927"/>
                  <a:pt x="10019456" y="4807927"/>
                </a:cubicBezTo>
                <a:close/>
                <a:moveTo>
                  <a:pt x="10097990" y="4807927"/>
                </a:moveTo>
                <a:cubicBezTo>
                  <a:pt x="10080203" y="4807927"/>
                  <a:pt x="10065774" y="4794650"/>
                  <a:pt x="10065774" y="4778275"/>
                </a:cubicBezTo>
                <a:cubicBezTo>
                  <a:pt x="10065774" y="4761901"/>
                  <a:pt x="10080203" y="4748623"/>
                  <a:pt x="10097990" y="4748623"/>
                </a:cubicBezTo>
                <a:cubicBezTo>
                  <a:pt x="10115778" y="4748623"/>
                  <a:pt x="10130195" y="4761901"/>
                  <a:pt x="10130195" y="4778275"/>
                </a:cubicBezTo>
                <a:cubicBezTo>
                  <a:pt x="10130195" y="4794650"/>
                  <a:pt x="10115778" y="4807927"/>
                  <a:pt x="10097990" y="4807927"/>
                </a:cubicBezTo>
                <a:close/>
                <a:moveTo>
                  <a:pt x="1773370" y="4735662"/>
                </a:moveTo>
                <a:cubicBezTo>
                  <a:pt x="1755583" y="4735662"/>
                  <a:pt x="1741159" y="4722384"/>
                  <a:pt x="1741159" y="4706009"/>
                </a:cubicBezTo>
                <a:cubicBezTo>
                  <a:pt x="1741159" y="4689635"/>
                  <a:pt x="1755583" y="4676357"/>
                  <a:pt x="1773370" y="4676357"/>
                </a:cubicBezTo>
                <a:cubicBezTo>
                  <a:pt x="1791157" y="4676357"/>
                  <a:pt x="1805580" y="4689635"/>
                  <a:pt x="1805580" y="4706009"/>
                </a:cubicBezTo>
                <a:cubicBezTo>
                  <a:pt x="1805580" y="4722384"/>
                  <a:pt x="1791157" y="4735662"/>
                  <a:pt x="1773370" y="4735662"/>
                </a:cubicBezTo>
                <a:close/>
                <a:moveTo>
                  <a:pt x="1851910" y="4735662"/>
                </a:moveTo>
                <a:cubicBezTo>
                  <a:pt x="1834123" y="4735662"/>
                  <a:pt x="1819700" y="4722384"/>
                  <a:pt x="1819700" y="4706009"/>
                </a:cubicBezTo>
                <a:cubicBezTo>
                  <a:pt x="1819700" y="4689635"/>
                  <a:pt x="1834123" y="4676357"/>
                  <a:pt x="1851910" y="4676357"/>
                </a:cubicBezTo>
                <a:cubicBezTo>
                  <a:pt x="1869697" y="4676357"/>
                  <a:pt x="1884120" y="4689635"/>
                  <a:pt x="1884120" y="4706009"/>
                </a:cubicBezTo>
                <a:cubicBezTo>
                  <a:pt x="1884120" y="4722384"/>
                  <a:pt x="1869697" y="4735662"/>
                  <a:pt x="1851910" y="4735662"/>
                </a:cubicBezTo>
                <a:close/>
                <a:moveTo>
                  <a:pt x="2480181" y="4735662"/>
                </a:moveTo>
                <a:cubicBezTo>
                  <a:pt x="2462394" y="4735662"/>
                  <a:pt x="2447971" y="4722384"/>
                  <a:pt x="2447971" y="4706009"/>
                </a:cubicBezTo>
                <a:cubicBezTo>
                  <a:pt x="2447971" y="4689635"/>
                  <a:pt x="2462394" y="4676357"/>
                  <a:pt x="2480181" y="4676357"/>
                </a:cubicBezTo>
                <a:cubicBezTo>
                  <a:pt x="2497968" y="4676357"/>
                  <a:pt x="2512391" y="4689635"/>
                  <a:pt x="2512391" y="4706009"/>
                </a:cubicBezTo>
                <a:cubicBezTo>
                  <a:pt x="2512391" y="4722384"/>
                  <a:pt x="2497968" y="4735662"/>
                  <a:pt x="2480181" y="4735662"/>
                </a:cubicBezTo>
                <a:close/>
                <a:moveTo>
                  <a:pt x="2558715" y="4735662"/>
                </a:moveTo>
                <a:cubicBezTo>
                  <a:pt x="2540928" y="4735662"/>
                  <a:pt x="2526505" y="4722384"/>
                  <a:pt x="2526505" y="4706009"/>
                </a:cubicBezTo>
                <a:cubicBezTo>
                  <a:pt x="2526505" y="4689635"/>
                  <a:pt x="2540928" y="4676357"/>
                  <a:pt x="2558715" y="4676357"/>
                </a:cubicBezTo>
                <a:cubicBezTo>
                  <a:pt x="2576503" y="4676357"/>
                  <a:pt x="2590926" y="4689635"/>
                  <a:pt x="2590926" y="4706009"/>
                </a:cubicBezTo>
                <a:cubicBezTo>
                  <a:pt x="2590926" y="4722384"/>
                  <a:pt x="2576503" y="4735662"/>
                  <a:pt x="2558715" y="4735662"/>
                </a:cubicBezTo>
                <a:close/>
                <a:moveTo>
                  <a:pt x="2637243" y="4735662"/>
                </a:moveTo>
                <a:cubicBezTo>
                  <a:pt x="2619455" y="4735662"/>
                  <a:pt x="2605032" y="4722384"/>
                  <a:pt x="2605032" y="4706009"/>
                </a:cubicBezTo>
                <a:cubicBezTo>
                  <a:pt x="2605032" y="4689635"/>
                  <a:pt x="2619455" y="4676357"/>
                  <a:pt x="2637243" y="4676357"/>
                </a:cubicBezTo>
                <a:cubicBezTo>
                  <a:pt x="2655030" y="4676357"/>
                  <a:pt x="2669453" y="4689635"/>
                  <a:pt x="2669453" y="4706009"/>
                </a:cubicBezTo>
                <a:cubicBezTo>
                  <a:pt x="2669453" y="4722384"/>
                  <a:pt x="2655030" y="4735662"/>
                  <a:pt x="2637243" y="4735662"/>
                </a:cubicBezTo>
                <a:close/>
                <a:moveTo>
                  <a:pt x="2715777" y="4735662"/>
                </a:moveTo>
                <a:cubicBezTo>
                  <a:pt x="2697990" y="4735662"/>
                  <a:pt x="2683566" y="4722384"/>
                  <a:pt x="2683566" y="4706009"/>
                </a:cubicBezTo>
                <a:cubicBezTo>
                  <a:pt x="2683566" y="4689635"/>
                  <a:pt x="2697990" y="4676357"/>
                  <a:pt x="2715777" y="4676357"/>
                </a:cubicBezTo>
                <a:cubicBezTo>
                  <a:pt x="2733564" y="4676357"/>
                  <a:pt x="2747987" y="4689635"/>
                  <a:pt x="2747987" y="4706009"/>
                </a:cubicBezTo>
                <a:cubicBezTo>
                  <a:pt x="2747987" y="4722384"/>
                  <a:pt x="2733564" y="4735662"/>
                  <a:pt x="2715777" y="4735662"/>
                </a:cubicBezTo>
                <a:close/>
                <a:moveTo>
                  <a:pt x="2794310" y="4735662"/>
                </a:moveTo>
                <a:cubicBezTo>
                  <a:pt x="2776523" y="4735662"/>
                  <a:pt x="2762100" y="4722384"/>
                  <a:pt x="2762100" y="4706009"/>
                </a:cubicBezTo>
                <a:cubicBezTo>
                  <a:pt x="2762100" y="4689635"/>
                  <a:pt x="2776523" y="4676357"/>
                  <a:pt x="2794310" y="4676357"/>
                </a:cubicBezTo>
                <a:cubicBezTo>
                  <a:pt x="2812097" y="4676357"/>
                  <a:pt x="2826520" y="4689635"/>
                  <a:pt x="2826520" y="4706009"/>
                </a:cubicBezTo>
                <a:cubicBezTo>
                  <a:pt x="2826520" y="4722384"/>
                  <a:pt x="2812097" y="4735662"/>
                  <a:pt x="2794310" y="4735662"/>
                </a:cubicBezTo>
                <a:close/>
                <a:moveTo>
                  <a:pt x="2872844" y="4735662"/>
                </a:moveTo>
                <a:cubicBezTo>
                  <a:pt x="2855057" y="4735662"/>
                  <a:pt x="2840634" y="4722384"/>
                  <a:pt x="2840634" y="4706009"/>
                </a:cubicBezTo>
                <a:cubicBezTo>
                  <a:pt x="2840634" y="4689635"/>
                  <a:pt x="2855057" y="4676357"/>
                  <a:pt x="2872844" y="4676357"/>
                </a:cubicBezTo>
                <a:cubicBezTo>
                  <a:pt x="2890632" y="4676357"/>
                  <a:pt x="2905055" y="4689635"/>
                  <a:pt x="2905055" y="4706009"/>
                </a:cubicBezTo>
                <a:cubicBezTo>
                  <a:pt x="2905055" y="4722384"/>
                  <a:pt x="2890632" y="4735662"/>
                  <a:pt x="2872844" y="4735662"/>
                </a:cubicBezTo>
                <a:close/>
                <a:moveTo>
                  <a:pt x="2951379" y="4735662"/>
                </a:moveTo>
                <a:cubicBezTo>
                  <a:pt x="2933591" y="4735662"/>
                  <a:pt x="2919168" y="4722384"/>
                  <a:pt x="2919168" y="4706009"/>
                </a:cubicBezTo>
                <a:cubicBezTo>
                  <a:pt x="2919168" y="4689635"/>
                  <a:pt x="2933591" y="4676357"/>
                  <a:pt x="2951379" y="4676357"/>
                </a:cubicBezTo>
                <a:cubicBezTo>
                  <a:pt x="2969166" y="4676357"/>
                  <a:pt x="2983589" y="4689635"/>
                  <a:pt x="2983589" y="4706009"/>
                </a:cubicBezTo>
                <a:cubicBezTo>
                  <a:pt x="2983589" y="4722384"/>
                  <a:pt x="2969166" y="4735662"/>
                  <a:pt x="2951379" y="4735662"/>
                </a:cubicBezTo>
                <a:close/>
                <a:moveTo>
                  <a:pt x="3108446" y="4735662"/>
                </a:moveTo>
                <a:cubicBezTo>
                  <a:pt x="3090659" y="4735662"/>
                  <a:pt x="3076236" y="4722384"/>
                  <a:pt x="3076236" y="4706009"/>
                </a:cubicBezTo>
                <a:cubicBezTo>
                  <a:pt x="3076236" y="4689635"/>
                  <a:pt x="3090659" y="4676357"/>
                  <a:pt x="3108446" y="4676357"/>
                </a:cubicBezTo>
                <a:cubicBezTo>
                  <a:pt x="3126233" y="4676357"/>
                  <a:pt x="3140656" y="4689635"/>
                  <a:pt x="3140656" y="4706009"/>
                </a:cubicBezTo>
                <a:cubicBezTo>
                  <a:pt x="3140656" y="4722384"/>
                  <a:pt x="3126233" y="4735662"/>
                  <a:pt x="3108446" y="4735662"/>
                </a:cubicBezTo>
                <a:close/>
                <a:moveTo>
                  <a:pt x="3186979" y="4735662"/>
                </a:moveTo>
                <a:cubicBezTo>
                  <a:pt x="3169192" y="4735662"/>
                  <a:pt x="3154769" y="4722384"/>
                  <a:pt x="3154769" y="4706009"/>
                </a:cubicBezTo>
                <a:cubicBezTo>
                  <a:pt x="3154769" y="4689635"/>
                  <a:pt x="3169192" y="4676357"/>
                  <a:pt x="3186979" y="4676357"/>
                </a:cubicBezTo>
                <a:cubicBezTo>
                  <a:pt x="3204767" y="4676357"/>
                  <a:pt x="3219190" y="4689635"/>
                  <a:pt x="3219190" y="4706009"/>
                </a:cubicBezTo>
                <a:cubicBezTo>
                  <a:pt x="3219190" y="4722384"/>
                  <a:pt x="3204767" y="4735662"/>
                  <a:pt x="3186979" y="4735662"/>
                </a:cubicBezTo>
                <a:close/>
                <a:moveTo>
                  <a:pt x="3265514" y="4735662"/>
                </a:moveTo>
                <a:cubicBezTo>
                  <a:pt x="3247726" y="4735662"/>
                  <a:pt x="3233303" y="4722384"/>
                  <a:pt x="3233303" y="4706009"/>
                </a:cubicBezTo>
                <a:cubicBezTo>
                  <a:pt x="3233303" y="4689635"/>
                  <a:pt x="3247726" y="4676357"/>
                  <a:pt x="3265514" y="4676357"/>
                </a:cubicBezTo>
                <a:cubicBezTo>
                  <a:pt x="3283301" y="4676357"/>
                  <a:pt x="3297724" y="4689635"/>
                  <a:pt x="3297724" y="4706009"/>
                </a:cubicBezTo>
                <a:cubicBezTo>
                  <a:pt x="3297724" y="4722384"/>
                  <a:pt x="3283301" y="4735662"/>
                  <a:pt x="3265514" y="4735662"/>
                </a:cubicBezTo>
                <a:close/>
                <a:moveTo>
                  <a:pt x="3344048" y="4735662"/>
                </a:moveTo>
                <a:cubicBezTo>
                  <a:pt x="3326261" y="4735662"/>
                  <a:pt x="3311837" y="4722384"/>
                  <a:pt x="3311837" y="4706009"/>
                </a:cubicBezTo>
                <a:cubicBezTo>
                  <a:pt x="3311837" y="4689635"/>
                  <a:pt x="3326261" y="4676357"/>
                  <a:pt x="3344048" y="4676357"/>
                </a:cubicBezTo>
                <a:cubicBezTo>
                  <a:pt x="3361835" y="4676357"/>
                  <a:pt x="3376258" y="4689635"/>
                  <a:pt x="3376258" y="4706009"/>
                </a:cubicBezTo>
                <a:cubicBezTo>
                  <a:pt x="3376258" y="4722384"/>
                  <a:pt x="3361835" y="4735662"/>
                  <a:pt x="3344048" y="4735662"/>
                </a:cubicBezTo>
                <a:close/>
                <a:moveTo>
                  <a:pt x="3422581" y="4735662"/>
                </a:moveTo>
                <a:cubicBezTo>
                  <a:pt x="3404794" y="4735662"/>
                  <a:pt x="3390371" y="4722384"/>
                  <a:pt x="3390371" y="4706009"/>
                </a:cubicBezTo>
                <a:cubicBezTo>
                  <a:pt x="3390371" y="4689635"/>
                  <a:pt x="3404794" y="4676357"/>
                  <a:pt x="3422581" y="4676357"/>
                </a:cubicBezTo>
                <a:cubicBezTo>
                  <a:pt x="3440368" y="4676357"/>
                  <a:pt x="3454791" y="4689635"/>
                  <a:pt x="3454791" y="4706009"/>
                </a:cubicBezTo>
                <a:cubicBezTo>
                  <a:pt x="3454791" y="4722384"/>
                  <a:pt x="3440368" y="4735662"/>
                  <a:pt x="3422581" y="4735662"/>
                </a:cubicBezTo>
                <a:close/>
                <a:moveTo>
                  <a:pt x="3501115" y="4735662"/>
                </a:moveTo>
                <a:cubicBezTo>
                  <a:pt x="3483328" y="4735662"/>
                  <a:pt x="3468905" y="4722384"/>
                  <a:pt x="3468905" y="4706009"/>
                </a:cubicBezTo>
                <a:cubicBezTo>
                  <a:pt x="3468905" y="4689635"/>
                  <a:pt x="3483328" y="4676357"/>
                  <a:pt x="3501115" y="4676357"/>
                </a:cubicBezTo>
                <a:cubicBezTo>
                  <a:pt x="3518903" y="4676357"/>
                  <a:pt x="3533326" y="4689635"/>
                  <a:pt x="3533326" y="4706009"/>
                </a:cubicBezTo>
                <a:cubicBezTo>
                  <a:pt x="3533326" y="4722384"/>
                  <a:pt x="3518903" y="4735662"/>
                  <a:pt x="3501115" y="4735662"/>
                </a:cubicBezTo>
                <a:close/>
                <a:moveTo>
                  <a:pt x="3579650" y="4735662"/>
                </a:moveTo>
                <a:cubicBezTo>
                  <a:pt x="3561862" y="4735662"/>
                  <a:pt x="3547439" y="4722384"/>
                  <a:pt x="3547439" y="4706009"/>
                </a:cubicBezTo>
                <a:cubicBezTo>
                  <a:pt x="3547439" y="4689635"/>
                  <a:pt x="3561862" y="4676357"/>
                  <a:pt x="3579650" y="4676357"/>
                </a:cubicBezTo>
                <a:cubicBezTo>
                  <a:pt x="3597437" y="4676357"/>
                  <a:pt x="3611860" y="4689635"/>
                  <a:pt x="3611860" y="4706009"/>
                </a:cubicBezTo>
                <a:cubicBezTo>
                  <a:pt x="3611860" y="4722384"/>
                  <a:pt x="3597437" y="4735662"/>
                  <a:pt x="3579650" y="4735662"/>
                </a:cubicBezTo>
                <a:close/>
                <a:moveTo>
                  <a:pt x="3893785" y="4735662"/>
                </a:moveTo>
                <a:cubicBezTo>
                  <a:pt x="3875997" y="4735662"/>
                  <a:pt x="3861574" y="4722384"/>
                  <a:pt x="3861574" y="4706009"/>
                </a:cubicBezTo>
                <a:cubicBezTo>
                  <a:pt x="3861574" y="4689635"/>
                  <a:pt x="3875997" y="4676357"/>
                  <a:pt x="3893785" y="4676357"/>
                </a:cubicBezTo>
                <a:cubicBezTo>
                  <a:pt x="3911572" y="4676357"/>
                  <a:pt x="3925995" y="4689635"/>
                  <a:pt x="3925995" y="4706009"/>
                </a:cubicBezTo>
                <a:cubicBezTo>
                  <a:pt x="3925995" y="4722384"/>
                  <a:pt x="3911572" y="4735662"/>
                  <a:pt x="3893785" y="4735662"/>
                </a:cubicBezTo>
                <a:close/>
                <a:moveTo>
                  <a:pt x="4207926" y="4735662"/>
                </a:moveTo>
                <a:cubicBezTo>
                  <a:pt x="4190138" y="4735662"/>
                  <a:pt x="4175715" y="4722384"/>
                  <a:pt x="4175715" y="4706009"/>
                </a:cubicBezTo>
                <a:cubicBezTo>
                  <a:pt x="4175715" y="4689635"/>
                  <a:pt x="4190138" y="4676357"/>
                  <a:pt x="4207926" y="4676357"/>
                </a:cubicBezTo>
                <a:cubicBezTo>
                  <a:pt x="4225713" y="4676357"/>
                  <a:pt x="4240136" y="4689635"/>
                  <a:pt x="4240136" y="4706009"/>
                </a:cubicBezTo>
                <a:cubicBezTo>
                  <a:pt x="4240136" y="4722384"/>
                  <a:pt x="4225713" y="4735662"/>
                  <a:pt x="4207926" y="4735662"/>
                </a:cubicBezTo>
                <a:close/>
                <a:moveTo>
                  <a:pt x="4286460" y="4735662"/>
                </a:moveTo>
                <a:cubicBezTo>
                  <a:pt x="4268673" y="4735662"/>
                  <a:pt x="4254250" y="4722384"/>
                  <a:pt x="4254250" y="4706009"/>
                </a:cubicBezTo>
                <a:cubicBezTo>
                  <a:pt x="4254250" y="4689635"/>
                  <a:pt x="4268673" y="4676357"/>
                  <a:pt x="4286460" y="4676357"/>
                </a:cubicBezTo>
                <a:cubicBezTo>
                  <a:pt x="4304247" y="4676357"/>
                  <a:pt x="4318670" y="4689635"/>
                  <a:pt x="4318670" y="4706009"/>
                </a:cubicBezTo>
                <a:cubicBezTo>
                  <a:pt x="4318670" y="4722384"/>
                  <a:pt x="4304247" y="4735662"/>
                  <a:pt x="4286460" y="4735662"/>
                </a:cubicBezTo>
                <a:close/>
                <a:moveTo>
                  <a:pt x="4757663" y="4735662"/>
                </a:moveTo>
                <a:cubicBezTo>
                  <a:pt x="4739876" y="4735662"/>
                  <a:pt x="4725453" y="4722384"/>
                  <a:pt x="4725453" y="4706009"/>
                </a:cubicBezTo>
                <a:cubicBezTo>
                  <a:pt x="4725453" y="4689635"/>
                  <a:pt x="4739876" y="4676357"/>
                  <a:pt x="4757663" y="4676357"/>
                </a:cubicBezTo>
                <a:cubicBezTo>
                  <a:pt x="4775451" y="4676357"/>
                  <a:pt x="4789874" y="4689635"/>
                  <a:pt x="4789874" y="4706009"/>
                </a:cubicBezTo>
                <a:cubicBezTo>
                  <a:pt x="4789874" y="4722384"/>
                  <a:pt x="4775451" y="4735662"/>
                  <a:pt x="4757663" y="4735662"/>
                </a:cubicBezTo>
                <a:close/>
                <a:moveTo>
                  <a:pt x="4836197" y="4735662"/>
                </a:moveTo>
                <a:cubicBezTo>
                  <a:pt x="4818409" y="4735662"/>
                  <a:pt x="4803986" y="4722384"/>
                  <a:pt x="4803986" y="4706009"/>
                </a:cubicBezTo>
                <a:cubicBezTo>
                  <a:pt x="4803986" y="4689635"/>
                  <a:pt x="4818409" y="4676357"/>
                  <a:pt x="4836197" y="4676357"/>
                </a:cubicBezTo>
                <a:cubicBezTo>
                  <a:pt x="4853984" y="4676357"/>
                  <a:pt x="4868407" y="4689635"/>
                  <a:pt x="4868407" y="4706009"/>
                </a:cubicBezTo>
                <a:cubicBezTo>
                  <a:pt x="4868407" y="4722384"/>
                  <a:pt x="4853984" y="4735662"/>
                  <a:pt x="4836197" y="4735662"/>
                </a:cubicBezTo>
                <a:close/>
                <a:moveTo>
                  <a:pt x="4914731" y="4735662"/>
                </a:moveTo>
                <a:cubicBezTo>
                  <a:pt x="4896944" y="4735662"/>
                  <a:pt x="4882521" y="4722384"/>
                  <a:pt x="4882521" y="4706009"/>
                </a:cubicBezTo>
                <a:cubicBezTo>
                  <a:pt x="4882521" y="4689635"/>
                  <a:pt x="4896944" y="4676357"/>
                  <a:pt x="4914731" y="4676357"/>
                </a:cubicBezTo>
                <a:cubicBezTo>
                  <a:pt x="4932518" y="4676357"/>
                  <a:pt x="4946941" y="4689635"/>
                  <a:pt x="4946941" y="4706009"/>
                </a:cubicBezTo>
                <a:cubicBezTo>
                  <a:pt x="4946941" y="4722384"/>
                  <a:pt x="4932518" y="4735662"/>
                  <a:pt x="4914731" y="4735662"/>
                </a:cubicBezTo>
                <a:close/>
                <a:moveTo>
                  <a:pt x="5385934" y="4735662"/>
                </a:moveTo>
                <a:cubicBezTo>
                  <a:pt x="5368147" y="4735662"/>
                  <a:pt x="5353724" y="4722384"/>
                  <a:pt x="5353724" y="4706009"/>
                </a:cubicBezTo>
                <a:cubicBezTo>
                  <a:pt x="5353724" y="4689635"/>
                  <a:pt x="5368147" y="4676357"/>
                  <a:pt x="5385934" y="4676357"/>
                </a:cubicBezTo>
                <a:cubicBezTo>
                  <a:pt x="5403722" y="4676357"/>
                  <a:pt x="5418145" y="4689635"/>
                  <a:pt x="5418145" y="4706009"/>
                </a:cubicBezTo>
                <a:cubicBezTo>
                  <a:pt x="5418145" y="4722384"/>
                  <a:pt x="5403722" y="4735662"/>
                  <a:pt x="5385934" y="4735662"/>
                </a:cubicBezTo>
                <a:close/>
                <a:moveTo>
                  <a:pt x="5543002" y="4735662"/>
                </a:moveTo>
                <a:cubicBezTo>
                  <a:pt x="5525215" y="4735662"/>
                  <a:pt x="5510792" y="4722384"/>
                  <a:pt x="5510792" y="4706009"/>
                </a:cubicBezTo>
                <a:cubicBezTo>
                  <a:pt x="5510792" y="4689635"/>
                  <a:pt x="5525215" y="4676357"/>
                  <a:pt x="5543002" y="4676357"/>
                </a:cubicBezTo>
                <a:cubicBezTo>
                  <a:pt x="5560789" y="4676357"/>
                  <a:pt x="5575212" y="4689635"/>
                  <a:pt x="5575212" y="4706009"/>
                </a:cubicBezTo>
                <a:cubicBezTo>
                  <a:pt x="5575212" y="4722384"/>
                  <a:pt x="5560789" y="4735662"/>
                  <a:pt x="5543002" y="4735662"/>
                </a:cubicBezTo>
                <a:close/>
                <a:moveTo>
                  <a:pt x="6249806" y="4735662"/>
                </a:moveTo>
                <a:cubicBezTo>
                  <a:pt x="6232019" y="4735662"/>
                  <a:pt x="6217590" y="4722384"/>
                  <a:pt x="6217590" y="4706009"/>
                </a:cubicBezTo>
                <a:cubicBezTo>
                  <a:pt x="6217590" y="4689635"/>
                  <a:pt x="6232019" y="4676357"/>
                  <a:pt x="6249806" y="4676357"/>
                </a:cubicBezTo>
                <a:cubicBezTo>
                  <a:pt x="6267593" y="4676357"/>
                  <a:pt x="6282010" y="4689635"/>
                  <a:pt x="6282010" y="4706009"/>
                </a:cubicBezTo>
                <a:cubicBezTo>
                  <a:pt x="6282010" y="4722384"/>
                  <a:pt x="6267593" y="4735662"/>
                  <a:pt x="6249806" y="4735662"/>
                </a:cubicBezTo>
                <a:close/>
                <a:moveTo>
                  <a:pt x="6328340" y="4735662"/>
                </a:moveTo>
                <a:cubicBezTo>
                  <a:pt x="6310553" y="4735662"/>
                  <a:pt x="6296124" y="4722384"/>
                  <a:pt x="6296124" y="4706009"/>
                </a:cubicBezTo>
                <a:cubicBezTo>
                  <a:pt x="6296124" y="4689635"/>
                  <a:pt x="6310553" y="4676357"/>
                  <a:pt x="6328340" y="4676357"/>
                </a:cubicBezTo>
                <a:cubicBezTo>
                  <a:pt x="6346128" y="4676357"/>
                  <a:pt x="6360545" y="4689635"/>
                  <a:pt x="6360545" y="4706009"/>
                </a:cubicBezTo>
                <a:cubicBezTo>
                  <a:pt x="6360545" y="4722384"/>
                  <a:pt x="6346128" y="4735662"/>
                  <a:pt x="6328340" y="4735662"/>
                </a:cubicBezTo>
                <a:close/>
                <a:moveTo>
                  <a:pt x="6406875" y="4735662"/>
                </a:moveTo>
                <a:cubicBezTo>
                  <a:pt x="6389087" y="4735662"/>
                  <a:pt x="6374658" y="4722384"/>
                  <a:pt x="6374658" y="4706009"/>
                </a:cubicBezTo>
                <a:cubicBezTo>
                  <a:pt x="6374658" y="4689635"/>
                  <a:pt x="6389087" y="4676357"/>
                  <a:pt x="6406875" y="4676357"/>
                </a:cubicBezTo>
                <a:cubicBezTo>
                  <a:pt x="6424662" y="4676357"/>
                  <a:pt x="6439079" y="4689635"/>
                  <a:pt x="6439079" y="4706009"/>
                </a:cubicBezTo>
                <a:cubicBezTo>
                  <a:pt x="6439079" y="4722384"/>
                  <a:pt x="6424662" y="4735662"/>
                  <a:pt x="6406875" y="4735662"/>
                </a:cubicBezTo>
                <a:close/>
                <a:moveTo>
                  <a:pt x="6563942" y="4735662"/>
                </a:moveTo>
                <a:cubicBezTo>
                  <a:pt x="6546155" y="4735662"/>
                  <a:pt x="6531726" y="4722384"/>
                  <a:pt x="6531726" y="4706009"/>
                </a:cubicBezTo>
                <a:cubicBezTo>
                  <a:pt x="6531726" y="4689635"/>
                  <a:pt x="6546155" y="4676357"/>
                  <a:pt x="6563942" y="4676357"/>
                </a:cubicBezTo>
                <a:cubicBezTo>
                  <a:pt x="6581729" y="4676357"/>
                  <a:pt x="6596146" y="4689635"/>
                  <a:pt x="6596146" y="4706009"/>
                </a:cubicBezTo>
                <a:cubicBezTo>
                  <a:pt x="6596146" y="4722384"/>
                  <a:pt x="6581729" y="4735662"/>
                  <a:pt x="6563942" y="4735662"/>
                </a:cubicBezTo>
                <a:close/>
                <a:moveTo>
                  <a:pt x="6642476" y="4735662"/>
                </a:moveTo>
                <a:cubicBezTo>
                  <a:pt x="6624689" y="4735662"/>
                  <a:pt x="6610260" y="4722384"/>
                  <a:pt x="6610260" y="4706009"/>
                </a:cubicBezTo>
                <a:cubicBezTo>
                  <a:pt x="6610260" y="4689635"/>
                  <a:pt x="6624689" y="4676357"/>
                  <a:pt x="6642476" y="4676357"/>
                </a:cubicBezTo>
                <a:cubicBezTo>
                  <a:pt x="6660264" y="4676357"/>
                  <a:pt x="6674681" y="4689635"/>
                  <a:pt x="6674681" y="4706009"/>
                </a:cubicBezTo>
                <a:cubicBezTo>
                  <a:pt x="6674681" y="4722384"/>
                  <a:pt x="6660264" y="4735662"/>
                  <a:pt x="6642476" y="4735662"/>
                </a:cubicBezTo>
                <a:close/>
                <a:moveTo>
                  <a:pt x="6956611" y="4735662"/>
                </a:moveTo>
                <a:cubicBezTo>
                  <a:pt x="6938824" y="4735662"/>
                  <a:pt x="6924395" y="4722384"/>
                  <a:pt x="6924395" y="4706009"/>
                </a:cubicBezTo>
                <a:cubicBezTo>
                  <a:pt x="6924395" y="4689635"/>
                  <a:pt x="6938824" y="4676357"/>
                  <a:pt x="6956611" y="4676357"/>
                </a:cubicBezTo>
                <a:cubicBezTo>
                  <a:pt x="6974399" y="4676357"/>
                  <a:pt x="6988816" y="4689635"/>
                  <a:pt x="6988816" y="4706009"/>
                </a:cubicBezTo>
                <a:cubicBezTo>
                  <a:pt x="6988816" y="4722384"/>
                  <a:pt x="6974399" y="4735662"/>
                  <a:pt x="6956611" y="4735662"/>
                </a:cubicBezTo>
                <a:close/>
                <a:moveTo>
                  <a:pt x="7035146" y="4735662"/>
                </a:moveTo>
                <a:cubicBezTo>
                  <a:pt x="7017358" y="4735662"/>
                  <a:pt x="7002929" y="4722384"/>
                  <a:pt x="7002929" y="4706009"/>
                </a:cubicBezTo>
                <a:cubicBezTo>
                  <a:pt x="7002929" y="4689635"/>
                  <a:pt x="7017358" y="4676357"/>
                  <a:pt x="7035146" y="4676357"/>
                </a:cubicBezTo>
                <a:cubicBezTo>
                  <a:pt x="7052933" y="4676357"/>
                  <a:pt x="7067350" y="4689635"/>
                  <a:pt x="7067350" y="4706009"/>
                </a:cubicBezTo>
                <a:cubicBezTo>
                  <a:pt x="7067350" y="4722384"/>
                  <a:pt x="7052933" y="4735662"/>
                  <a:pt x="7035146" y="4735662"/>
                </a:cubicBezTo>
                <a:close/>
                <a:moveTo>
                  <a:pt x="7113703" y="4735662"/>
                </a:moveTo>
                <a:cubicBezTo>
                  <a:pt x="7095916" y="4735662"/>
                  <a:pt x="7081487" y="4722384"/>
                  <a:pt x="7081487" y="4706009"/>
                </a:cubicBezTo>
                <a:cubicBezTo>
                  <a:pt x="7081487" y="4689635"/>
                  <a:pt x="7095916" y="4676357"/>
                  <a:pt x="7113703" y="4676357"/>
                </a:cubicBezTo>
                <a:cubicBezTo>
                  <a:pt x="7131490" y="4676357"/>
                  <a:pt x="7145907" y="4689635"/>
                  <a:pt x="7145907" y="4706009"/>
                </a:cubicBezTo>
                <a:cubicBezTo>
                  <a:pt x="7145907" y="4722384"/>
                  <a:pt x="7131490" y="4735662"/>
                  <a:pt x="7113703" y="4735662"/>
                </a:cubicBezTo>
                <a:close/>
                <a:moveTo>
                  <a:pt x="7192237" y="4735662"/>
                </a:moveTo>
                <a:cubicBezTo>
                  <a:pt x="7174450" y="4735662"/>
                  <a:pt x="7160021" y="4722384"/>
                  <a:pt x="7160021" y="4706009"/>
                </a:cubicBezTo>
                <a:cubicBezTo>
                  <a:pt x="7160021" y="4689635"/>
                  <a:pt x="7174450" y="4676357"/>
                  <a:pt x="7192237" y="4676357"/>
                </a:cubicBezTo>
                <a:cubicBezTo>
                  <a:pt x="7210024" y="4676357"/>
                  <a:pt x="7224441" y="4689635"/>
                  <a:pt x="7224441" y="4706009"/>
                </a:cubicBezTo>
                <a:cubicBezTo>
                  <a:pt x="7224441" y="4722384"/>
                  <a:pt x="7210024" y="4735662"/>
                  <a:pt x="7192237" y="4735662"/>
                </a:cubicBezTo>
                <a:close/>
                <a:moveTo>
                  <a:pt x="7270771" y="4735662"/>
                </a:moveTo>
                <a:cubicBezTo>
                  <a:pt x="7252984" y="4735662"/>
                  <a:pt x="7238555" y="4722384"/>
                  <a:pt x="7238555" y="4706009"/>
                </a:cubicBezTo>
                <a:cubicBezTo>
                  <a:pt x="7238555" y="4689635"/>
                  <a:pt x="7252984" y="4676357"/>
                  <a:pt x="7270771" y="4676357"/>
                </a:cubicBezTo>
                <a:cubicBezTo>
                  <a:pt x="7288559" y="4676357"/>
                  <a:pt x="7302976" y="4689635"/>
                  <a:pt x="7302976" y="4706009"/>
                </a:cubicBezTo>
                <a:cubicBezTo>
                  <a:pt x="7302976" y="4722384"/>
                  <a:pt x="7288559" y="4735662"/>
                  <a:pt x="7270771" y="4735662"/>
                </a:cubicBezTo>
                <a:close/>
                <a:moveTo>
                  <a:pt x="7349305" y="4735662"/>
                </a:moveTo>
                <a:cubicBezTo>
                  <a:pt x="7331517" y="4735662"/>
                  <a:pt x="7317088" y="4722384"/>
                  <a:pt x="7317088" y="4706009"/>
                </a:cubicBezTo>
                <a:cubicBezTo>
                  <a:pt x="7317088" y="4689635"/>
                  <a:pt x="7331517" y="4676357"/>
                  <a:pt x="7349305" y="4676357"/>
                </a:cubicBezTo>
                <a:cubicBezTo>
                  <a:pt x="7367092" y="4676357"/>
                  <a:pt x="7381509" y="4689635"/>
                  <a:pt x="7381509" y="4706009"/>
                </a:cubicBezTo>
                <a:cubicBezTo>
                  <a:pt x="7381509" y="4722384"/>
                  <a:pt x="7367092" y="4735662"/>
                  <a:pt x="7349305" y="4735662"/>
                </a:cubicBezTo>
                <a:close/>
                <a:moveTo>
                  <a:pt x="7427839" y="4735662"/>
                </a:moveTo>
                <a:cubicBezTo>
                  <a:pt x="7410052" y="4735662"/>
                  <a:pt x="7395623" y="4722384"/>
                  <a:pt x="7395623" y="4706009"/>
                </a:cubicBezTo>
                <a:cubicBezTo>
                  <a:pt x="7395623" y="4689635"/>
                  <a:pt x="7410052" y="4676357"/>
                  <a:pt x="7427839" y="4676357"/>
                </a:cubicBezTo>
                <a:cubicBezTo>
                  <a:pt x="7445626" y="4676357"/>
                  <a:pt x="7460043" y="4689635"/>
                  <a:pt x="7460043" y="4706009"/>
                </a:cubicBezTo>
                <a:cubicBezTo>
                  <a:pt x="7460043" y="4722384"/>
                  <a:pt x="7445626" y="4735662"/>
                  <a:pt x="7427839" y="4735662"/>
                </a:cubicBezTo>
                <a:close/>
                <a:moveTo>
                  <a:pt x="7506373" y="4735662"/>
                </a:moveTo>
                <a:cubicBezTo>
                  <a:pt x="7488586" y="4735662"/>
                  <a:pt x="7474157" y="4722384"/>
                  <a:pt x="7474157" y="4706009"/>
                </a:cubicBezTo>
                <a:cubicBezTo>
                  <a:pt x="7474157" y="4689635"/>
                  <a:pt x="7488586" y="4676357"/>
                  <a:pt x="7506373" y="4676357"/>
                </a:cubicBezTo>
                <a:cubicBezTo>
                  <a:pt x="7524160" y="4676357"/>
                  <a:pt x="7538577" y="4689635"/>
                  <a:pt x="7538577" y="4706009"/>
                </a:cubicBezTo>
                <a:cubicBezTo>
                  <a:pt x="7538577" y="4722384"/>
                  <a:pt x="7524160" y="4735662"/>
                  <a:pt x="7506373" y="4735662"/>
                </a:cubicBezTo>
                <a:close/>
                <a:moveTo>
                  <a:pt x="7584906" y="4735662"/>
                </a:moveTo>
                <a:cubicBezTo>
                  <a:pt x="7567119" y="4735662"/>
                  <a:pt x="7552690" y="4722384"/>
                  <a:pt x="7552690" y="4706009"/>
                </a:cubicBezTo>
                <a:cubicBezTo>
                  <a:pt x="7552690" y="4689635"/>
                  <a:pt x="7567119" y="4676357"/>
                  <a:pt x="7584906" y="4676357"/>
                </a:cubicBezTo>
                <a:cubicBezTo>
                  <a:pt x="7602694" y="4676357"/>
                  <a:pt x="7617111" y="4689635"/>
                  <a:pt x="7617111" y="4706009"/>
                </a:cubicBezTo>
                <a:cubicBezTo>
                  <a:pt x="7617111" y="4722384"/>
                  <a:pt x="7602694" y="4735662"/>
                  <a:pt x="7584906" y="4735662"/>
                </a:cubicBezTo>
                <a:close/>
                <a:moveTo>
                  <a:pt x="7663441" y="4735662"/>
                </a:moveTo>
                <a:cubicBezTo>
                  <a:pt x="7645653" y="4735662"/>
                  <a:pt x="7631224" y="4722384"/>
                  <a:pt x="7631224" y="4706009"/>
                </a:cubicBezTo>
                <a:cubicBezTo>
                  <a:pt x="7631224" y="4689635"/>
                  <a:pt x="7645653" y="4676357"/>
                  <a:pt x="7663441" y="4676357"/>
                </a:cubicBezTo>
                <a:cubicBezTo>
                  <a:pt x="7681228" y="4676357"/>
                  <a:pt x="7695645" y="4689635"/>
                  <a:pt x="7695645" y="4706009"/>
                </a:cubicBezTo>
                <a:cubicBezTo>
                  <a:pt x="7695645" y="4722384"/>
                  <a:pt x="7681228" y="4735662"/>
                  <a:pt x="7663441" y="4735662"/>
                </a:cubicBezTo>
                <a:close/>
                <a:moveTo>
                  <a:pt x="7741974" y="4735662"/>
                </a:moveTo>
                <a:cubicBezTo>
                  <a:pt x="7724187" y="4735662"/>
                  <a:pt x="7709758" y="4722384"/>
                  <a:pt x="7709758" y="4706009"/>
                </a:cubicBezTo>
                <a:cubicBezTo>
                  <a:pt x="7709758" y="4689635"/>
                  <a:pt x="7724187" y="4676357"/>
                  <a:pt x="7741974" y="4676357"/>
                </a:cubicBezTo>
                <a:cubicBezTo>
                  <a:pt x="7759761" y="4676357"/>
                  <a:pt x="7774178" y="4689635"/>
                  <a:pt x="7774178" y="4706009"/>
                </a:cubicBezTo>
                <a:cubicBezTo>
                  <a:pt x="7774178" y="4722384"/>
                  <a:pt x="7759761" y="4735662"/>
                  <a:pt x="7741974" y="4735662"/>
                </a:cubicBezTo>
                <a:close/>
                <a:moveTo>
                  <a:pt x="7820508" y="4735662"/>
                </a:moveTo>
                <a:cubicBezTo>
                  <a:pt x="7802721" y="4735662"/>
                  <a:pt x="7788292" y="4722384"/>
                  <a:pt x="7788292" y="4706009"/>
                </a:cubicBezTo>
                <a:cubicBezTo>
                  <a:pt x="7788292" y="4689635"/>
                  <a:pt x="7802721" y="4676357"/>
                  <a:pt x="7820508" y="4676357"/>
                </a:cubicBezTo>
                <a:cubicBezTo>
                  <a:pt x="7838295" y="4676357"/>
                  <a:pt x="7852712" y="4689635"/>
                  <a:pt x="7852712" y="4706009"/>
                </a:cubicBezTo>
                <a:cubicBezTo>
                  <a:pt x="7852712" y="4722384"/>
                  <a:pt x="7838295" y="4735662"/>
                  <a:pt x="7820508" y="4735662"/>
                </a:cubicBezTo>
                <a:close/>
                <a:moveTo>
                  <a:pt x="7899042" y="4735662"/>
                </a:moveTo>
                <a:cubicBezTo>
                  <a:pt x="7881255" y="4735662"/>
                  <a:pt x="7866826" y="4722384"/>
                  <a:pt x="7866826" y="4706009"/>
                </a:cubicBezTo>
                <a:cubicBezTo>
                  <a:pt x="7866826" y="4689635"/>
                  <a:pt x="7881255" y="4676357"/>
                  <a:pt x="7899042" y="4676357"/>
                </a:cubicBezTo>
                <a:cubicBezTo>
                  <a:pt x="7916830" y="4676357"/>
                  <a:pt x="7931247" y="4689635"/>
                  <a:pt x="7931247" y="4706009"/>
                </a:cubicBezTo>
                <a:cubicBezTo>
                  <a:pt x="7931247" y="4722384"/>
                  <a:pt x="7916830" y="4735662"/>
                  <a:pt x="7899042" y="4735662"/>
                </a:cubicBezTo>
                <a:close/>
                <a:moveTo>
                  <a:pt x="7977576" y="4735662"/>
                </a:moveTo>
                <a:cubicBezTo>
                  <a:pt x="7959788" y="4735662"/>
                  <a:pt x="7945359" y="4722384"/>
                  <a:pt x="7945359" y="4706009"/>
                </a:cubicBezTo>
                <a:cubicBezTo>
                  <a:pt x="7945359" y="4689635"/>
                  <a:pt x="7959788" y="4676357"/>
                  <a:pt x="7977576" y="4676357"/>
                </a:cubicBezTo>
                <a:cubicBezTo>
                  <a:pt x="7995363" y="4676357"/>
                  <a:pt x="8009780" y="4689635"/>
                  <a:pt x="8009780" y="4706009"/>
                </a:cubicBezTo>
                <a:cubicBezTo>
                  <a:pt x="8009780" y="4722384"/>
                  <a:pt x="7995363" y="4735662"/>
                  <a:pt x="7977576" y="4735662"/>
                </a:cubicBezTo>
                <a:close/>
                <a:moveTo>
                  <a:pt x="8056110" y="4735662"/>
                </a:moveTo>
                <a:cubicBezTo>
                  <a:pt x="8038323" y="4735662"/>
                  <a:pt x="8023894" y="4722384"/>
                  <a:pt x="8023894" y="4706009"/>
                </a:cubicBezTo>
                <a:cubicBezTo>
                  <a:pt x="8023894" y="4689635"/>
                  <a:pt x="8038323" y="4676357"/>
                  <a:pt x="8056110" y="4676357"/>
                </a:cubicBezTo>
                <a:cubicBezTo>
                  <a:pt x="8073897" y="4676357"/>
                  <a:pt x="8088314" y="4689635"/>
                  <a:pt x="8088314" y="4706009"/>
                </a:cubicBezTo>
                <a:cubicBezTo>
                  <a:pt x="8088314" y="4722384"/>
                  <a:pt x="8073897" y="4735662"/>
                  <a:pt x="8056110" y="4735662"/>
                </a:cubicBezTo>
                <a:close/>
                <a:moveTo>
                  <a:pt x="8134643" y="4735662"/>
                </a:moveTo>
                <a:cubicBezTo>
                  <a:pt x="8116856" y="4735662"/>
                  <a:pt x="8102427" y="4722384"/>
                  <a:pt x="8102427" y="4706009"/>
                </a:cubicBezTo>
                <a:cubicBezTo>
                  <a:pt x="8102427" y="4689635"/>
                  <a:pt x="8116856" y="4676357"/>
                  <a:pt x="8134643" y="4676357"/>
                </a:cubicBezTo>
                <a:cubicBezTo>
                  <a:pt x="8152430" y="4676357"/>
                  <a:pt x="8166847" y="4689635"/>
                  <a:pt x="8166847" y="4706009"/>
                </a:cubicBezTo>
                <a:cubicBezTo>
                  <a:pt x="8166847" y="4722384"/>
                  <a:pt x="8152430" y="4735662"/>
                  <a:pt x="8134643" y="4735662"/>
                </a:cubicBezTo>
                <a:close/>
                <a:moveTo>
                  <a:pt x="8213177" y="4735662"/>
                </a:moveTo>
                <a:cubicBezTo>
                  <a:pt x="8195390" y="4735662"/>
                  <a:pt x="8180961" y="4722384"/>
                  <a:pt x="8180961" y="4706009"/>
                </a:cubicBezTo>
                <a:cubicBezTo>
                  <a:pt x="8180961" y="4689635"/>
                  <a:pt x="8195390" y="4676357"/>
                  <a:pt x="8213177" y="4676357"/>
                </a:cubicBezTo>
                <a:cubicBezTo>
                  <a:pt x="8230965" y="4676357"/>
                  <a:pt x="8245382" y="4689635"/>
                  <a:pt x="8245382" y="4706009"/>
                </a:cubicBezTo>
                <a:cubicBezTo>
                  <a:pt x="8245382" y="4722384"/>
                  <a:pt x="8230965" y="4735662"/>
                  <a:pt x="8213177" y="4735662"/>
                </a:cubicBezTo>
                <a:close/>
                <a:moveTo>
                  <a:pt x="8291712" y="4735662"/>
                </a:moveTo>
                <a:cubicBezTo>
                  <a:pt x="8273924" y="4735662"/>
                  <a:pt x="8259495" y="4722384"/>
                  <a:pt x="8259495" y="4706009"/>
                </a:cubicBezTo>
                <a:cubicBezTo>
                  <a:pt x="8259495" y="4689635"/>
                  <a:pt x="8273924" y="4676357"/>
                  <a:pt x="8291712" y="4676357"/>
                </a:cubicBezTo>
                <a:cubicBezTo>
                  <a:pt x="8309499" y="4676357"/>
                  <a:pt x="8323916" y="4689635"/>
                  <a:pt x="8323916" y="4706009"/>
                </a:cubicBezTo>
                <a:cubicBezTo>
                  <a:pt x="8323916" y="4722384"/>
                  <a:pt x="8309499" y="4735662"/>
                  <a:pt x="8291712" y="4735662"/>
                </a:cubicBezTo>
                <a:close/>
                <a:moveTo>
                  <a:pt x="8370245" y="4735662"/>
                </a:moveTo>
                <a:cubicBezTo>
                  <a:pt x="8352458" y="4735662"/>
                  <a:pt x="8338029" y="4722384"/>
                  <a:pt x="8338029" y="4706009"/>
                </a:cubicBezTo>
                <a:cubicBezTo>
                  <a:pt x="8338029" y="4689635"/>
                  <a:pt x="8352458" y="4676357"/>
                  <a:pt x="8370245" y="4676357"/>
                </a:cubicBezTo>
                <a:cubicBezTo>
                  <a:pt x="8388032" y="4676357"/>
                  <a:pt x="8402449" y="4689635"/>
                  <a:pt x="8402449" y="4706009"/>
                </a:cubicBezTo>
                <a:cubicBezTo>
                  <a:pt x="8402449" y="4722384"/>
                  <a:pt x="8388032" y="4735662"/>
                  <a:pt x="8370245" y="4735662"/>
                </a:cubicBezTo>
                <a:close/>
                <a:moveTo>
                  <a:pt x="8448779" y="4735662"/>
                </a:moveTo>
                <a:cubicBezTo>
                  <a:pt x="8430992" y="4735662"/>
                  <a:pt x="8416563" y="4722384"/>
                  <a:pt x="8416563" y="4706009"/>
                </a:cubicBezTo>
                <a:cubicBezTo>
                  <a:pt x="8416563" y="4689635"/>
                  <a:pt x="8430992" y="4676357"/>
                  <a:pt x="8448779" y="4676357"/>
                </a:cubicBezTo>
                <a:cubicBezTo>
                  <a:pt x="8466566" y="4676357"/>
                  <a:pt x="8480983" y="4689635"/>
                  <a:pt x="8480983" y="4706009"/>
                </a:cubicBezTo>
                <a:cubicBezTo>
                  <a:pt x="8480983" y="4722384"/>
                  <a:pt x="8466566" y="4735662"/>
                  <a:pt x="8448779" y="4735662"/>
                </a:cubicBezTo>
                <a:close/>
                <a:moveTo>
                  <a:pt x="8527313" y="4735662"/>
                </a:moveTo>
                <a:cubicBezTo>
                  <a:pt x="8509526" y="4735662"/>
                  <a:pt x="8495097" y="4722384"/>
                  <a:pt x="8495097" y="4706009"/>
                </a:cubicBezTo>
                <a:cubicBezTo>
                  <a:pt x="8495097" y="4689635"/>
                  <a:pt x="8509526" y="4676357"/>
                  <a:pt x="8527313" y="4676357"/>
                </a:cubicBezTo>
                <a:cubicBezTo>
                  <a:pt x="8545101" y="4676357"/>
                  <a:pt x="8559518" y="4689635"/>
                  <a:pt x="8559518" y="4706009"/>
                </a:cubicBezTo>
                <a:cubicBezTo>
                  <a:pt x="8559518" y="4722384"/>
                  <a:pt x="8545101" y="4735662"/>
                  <a:pt x="8527313" y="4735662"/>
                </a:cubicBezTo>
                <a:close/>
                <a:moveTo>
                  <a:pt x="8605847" y="4735662"/>
                </a:moveTo>
                <a:cubicBezTo>
                  <a:pt x="8588059" y="4735662"/>
                  <a:pt x="8573630" y="4722384"/>
                  <a:pt x="8573630" y="4706009"/>
                </a:cubicBezTo>
                <a:cubicBezTo>
                  <a:pt x="8573630" y="4689635"/>
                  <a:pt x="8588059" y="4676357"/>
                  <a:pt x="8605847" y="4676357"/>
                </a:cubicBezTo>
                <a:cubicBezTo>
                  <a:pt x="8623634" y="4676357"/>
                  <a:pt x="8638051" y="4689635"/>
                  <a:pt x="8638051" y="4706009"/>
                </a:cubicBezTo>
                <a:cubicBezTo>
                  <a:pt x="8638051" y="4722384"/>
                  <a:pt x="8623634" y="4735662"/>
                  <a:pt x="8605847" y="4735662"/>
                </a:cubicBezTo>
                <a:close/>
                <a:moveTo>
                  <a:pt x="8684381" y="4735662"/>
                </a:moveTo>
                <a:cubicBezTo>
                  <a:pt x="8666594" y="4735662"/>
                  <a:pt x="8652165" y="4722384"/>
                  <a:pt x="8652165" y="4706009"/>
                </a:cubicBezTo>
                <a:cubicBezTo>
                  <a:pt x="8652165" y="4689635"/>
                  <a:pt x="8666594" y="4676357"/>
                  <a:pt x="8684381" y="4676357"/>
                </a:cubicBezTo>
                <a:cubicBezTo>
                  <a:pt x="8702168" y="4676357"/>
                  <a:pt x="8716585" y="4689635"/>
                  <a:pt x="8716585" y="4706009"/>
                </a:cubicBezTo>
                <a:cubicBezTo>
                  <a:pt x="8716585" y="4722384"/>
                  <a:pt x="8702168" y="4735662"/>
                  <a:pt x="8684381" y="4735662"/>
                </a:cubicBezTo>
                <a:close/>
                <a:moveTo>
                  <a:pt x="8762914" y="4735662"/>
                </a:moveTo>
                <a:cubicBezTo>
                  <a:pt x="8745127" y="4735662"/>
                  <a:pt x="8730698" y="4722384"/>
                  <a:pt x="8730698" y="4706009"/>
                </a:cubicBezTo>
                <a:cubicBezTo>
                  <a:pt x="8730698" y="4689635"/>
                  <a:pt x="8745127" y="4676357"/>
                  <a:pt x="8762914" y="4676357"/>
                </a:cubicBezTo>
                <a:cubicBezTo>
                  <a:pt x="8780701" y="4676357"/>
                  <a:pt x="8795118" y="4689635"/>
                  <a:pt x="8795118" y="4706009"/>
                </a:cubicBezTo>
                <a:cubicBezTo>
                  <a:pt x="8795118" y="4722384"/>
                  <a:pt x="8780701" y="4735662"/>
                  <a:pt x="8762914" y="4735662"/>
                </a:cubicBezTo>
                <a:close/>
                <a:moveTo>
                  <a:pt x="8841448" y="4735662"/>
                </a:moveTo>
                <a:cubicBezTo>
                  <a:pt x="8823661" y="4735662"/>
                  <a:pt x="8809232" y="4722384"/>
                  <a:pt x="8809232" y="4706009"/>
                </a:cubicBezTo>
                <a:cubicBezTo>
                  <a:pt x="8809232" y="4689635"/>
                  <a:pt x="8823661" y="4676357"/>
                  <a:pt x="8841448" y="4676357"/>
                </a:cubicBezTo>
                <a:cubicBezTo>
                  <a:pt x="8859236" y="4676357"/>
                  <a:pt x="8873653" y="4689635"/>
                  <a:pt x="8873653" y="4706009"/>
                </a:cubicBezTo>
                <a:cubicBezTo>
                  <a:pt x="8873653" y="4722384"/>
                  <a:pt x="8859236" y="4735662"/>
                  <a:pt x="8841448" y="4735662"/>
                </a:cubicBezTo>
                <a:close/>
                <a:moveTo>
                  <a:pt x="8919983" y="4735662"/>
                </a:moveTo>
                <a:cubicBezTo>
                  <a:pt x="8902195" y="4735662"/>
                  <a:pt x="8887766" y="4722384"/>
                  <a:pt x="8887766" y="4706009"/>
                </a:cubicBezTo>
                <a:cubicBezTo>
                  <a:pt x="8887766" y="4689635"/>
                  <a:pt x="8902195" y="4676357"/>
                  <a:pt x="8919983" y="4676357"/>
                </a:cubicBezTo>
                <a:cubicBezTo>
                  <a:pt x="8937770" y="4676357"/>
                  <a:pt x="8952187" y="4689635"/>
                  <a:pt x="8952187" y="4706009"/>
                </a:cubicBezTo>
                <a:cubicBezTo>
                  <a:pt x="8952187" y="4722384"/>
                  <a:pt x="8937770" y="4735662"/>
                  <a:pt x="8919983" y="4735662"/>
                </a:cubicBezTo>
                <a:close/>
                <a:moveTo>
                  <a:pt x="8998516" y="4735662"/>
                </a:moveTo>
                <a:cubicBezTo>
                  <a:pt x="8980729" y="4735662"/>
                  <a:pt x="8966300" y="4722384"/>
                  <a:pt x="8966300" y="4706009"/>
                </a:cubicBezTo>
                <a:cubicBezTo>
                  <a:pt x="8966300" y="4689635"/>
                  <a:pt x="8980729" y="4676357"/>
                  <a:pt x="8998516" y="4676357"/>
                </a:cubicBezTo>
                <a:cubicBezTo>
                  <a:pt x="9016303" y="4676357"/>
                  <a:pt x="9030720" y="4689635"/>
                  <a:pt x="9030720" y="4706009"/>
                </a:cubicBezTo>
                <a:cubicBezTo>
                  <a:pt x="9030720" y="4722384"/>
                  <a:pt x="9016303" y="4735662"/>
                  <a:pt x="8998516" y="4735662"/>
                </a:cubicBezTo>
                <a:close/>
                <a:moveTo>
                  <a:pt x="9077050" y="4735662"/>
                </a:moveTo>
                <a:cubicBezTo>
                  <a:pt x="9059263" y="4735662"/>
                  <a:pt x="9044834" y="4722384"/>
                  <a:pt x="9044834" y="4706009"/>
                </a:cubicBezTo>
                <a:cubicBezTo>
                  <a:pt x="9044834" y="4689635"/>
                  <a:pt x="9059263" y="4676357"/>
                  <a:pt x="9077050" y="4676357"/>
                </a:cubicBezTo>
                <a:cubicBezTo>
                  <a:pt x="9094837" y="4676357"/>
                  <a:pt x="9109254" y="4689635"/>
                  <a:pt x="9109254" y="4706009"/>
                </a:cubicBezTo>
                <a:cubicBezTo>
                  <a:pt x="9109254" y="4722384"/>
                  <a:pt x="9094837" y="4735662"/>
                  <a:pt x="9077050" y="4735662"/>
                </a:cubicBezTo>
                <a:close/>
                <a:moveTo>
                  <a:pt x="9155583" y="4735662"/>
                </a:moveTo>
                <a:cubicBezTo>
                  <a:pt x="9137796" y="4735662"/>
                  <a:pt x="9123367" y="4722384"/>
                  <a:pt x="9123367" y="4706009"/>
                </a:cubicBezTo>
                <a:cubicBezTo>
                  <a:pt x="9123367" y="4689635"/>
                  <a:pt x="9137796" y="4676357"/>
                  <a:pt x="9155583" y="4676357"/>
                </a:cubicBezTo>
                <a:cubicBezTo>
                  <a:pt x="9173371" y="4676357"/>
                  <a:pt x="9187788" y="4689635"/>
                  <a:pt x="9187788" y="4706009"/>
                </a:cubicBezTo>
                <a:cubicBezTo>
                  <a:pt x="9187788" y="4722384"/>
                  <a:pt x="9173371" y="4735662"/>
                  <a:pt x="9155583" y="4735662"/>
                </a:cubicBezTo>
                <a:close/>
                <a:moveTo>
                  <a:pt x="9234118" y="4735662"/>
                </a:moveTo>
                <a:cubicBezTo>
                  <a:pt x="9216330" y="4735662"/>
                  <a:pt x="9201901" y="4722384"/>
                  <a:pt x="9201901" y="4706009"/>
                </a:cubicBezTo>
                <a:cubicBezTo>
                  <a:pt x="9201901" y="4689635"/>
                  <a:pt x="9216330" y="4676357"/>
                  <a:pt x="9234118" y="4676357"/>
                </a:cubicBezTo>
                <a:cubicBezTo>
                  <a:pt x="9251905" y="4676357"/>
                  <a:pt x="9266322" y="4689635"/>
                  <a:pt x="9266322" y="4706009"/>
                </a:cubicBezTo>
                <a:cubicBezTo>
                  <a:pt x="9266322" y="4722384"/>
                  <a:pt x="9251905" y="4735662"/>
                  <a:pt x="9234118" y="4735662"/>
                </a:cubicBezTo>
                <a:close/>
                <a:moveTo>
                  <a:pt x="9312652" y="4735662"/>
                </a:moveTo>
                <a:cubicBezTo>
                  <a:pt x="9294865" y="4735662"/>
                  <a:pt x="9280436" y="4722384"/>
                  <a:pt x="9280436" y="4706009"/>
                </a:cubicBezTo>
                <a:cubicBezTo>
                  <a:pt x="9280436" y="4689635"/>
                  <a:pt x="9294865" y="4676357"/>
                  <a:pt x="9312652" y="4676357"/>
                </a:cubicBezTo>
                <a:cubicBezTo>
                  <a:pt x="9330439" y="4676357"/>
                  <a:pt x="9344856" y="4689635"/>
                  <a:pt x="9344856" y="4706009"/>
                </a:cubicBezTo>
                <a:cubicBezTo>
                  <a:pt x="9344856" y="4722384"/>
                  <a:pt x="9330439" y="4735662"/>
                  <a:pt x="9312652" y="4735662"/>
                </a:cubicBezTo>
                <a:close/>
                <a:moveTo>
                  <a:pt x="9391185" y="4735662"/>
                </a:moveTo>
                <a:cubicBezTo>
                  <a:pt x="9373398" y="4735662"/>
                  <a:pt x="9358969" y="4722384"/>
                  <a:pt x="9358969" y="4706009"/>
                </a:cubicBezTo>
                <a:cubicBezTo>
                  <a:pt x="9358969" y="4689635"/>
                  <a:pt x="9373398" y="4676357"/>
                  <a:pt x="9391185" y="4676357"/>
                </a:cubicBezTo>
                <a:cubicBezTo>
                  <a:pt x="9408972" y="4676357"/>
                  <a:pt x="9423389" y="4689635"/>
                  <a:pt x="9423389" y="4706009"/>
                </a:cubicBezTo>
                <a:cubicBezTo>
                  <a:pt x="9423389" y="4722384"/>
                  <a:pt x="9408972" y="4735662"/>
                  <a:pt x="9391185" y="4735662"/>
                </a:cubicBezTo>
                <a:close/>
                <a:moveTo>
                  <a:pt x="9469719" y="4735662"/>
                </a:moveTo>
                <a:cubicBezTo>
                  <a:pt x="9451932" y="4735662"/>
                  <a:pt x="9437503" y="4722384"/>
                  <a:pt x="9437503" y="4706009"/>
                </a:cubicBezTo>
                <a:cubicBezTo>
                  <a:pt x="9437503" y="4689635"/>
                  <a:pt x="9451932" y="4676357"/>
                  <a:pt x="9469719" y="4676357"/>
                </a:cubicBezTo>
                <a:cubicBezTo>
                  <a:pt x="9487507" y="4676357"/>
                  <a:pt x="9501924" y="4689635"/>
                  <a:pt x="9501924" y="4706009"/>
                </a:cubicBezTo>
                <a:cubicBezTo>
                  <a:pt x="9501924" y="4722384"/>
                  <a:pt x="9487507" y="4735662"/>
                  <a:pt x="9469719" y="4735662"/>
                </a:cubicBezTo>
                <a:close/>
                <a:moveTo>
                  <a:pt x="10019456" y="4735662"/>
                </a:moveTo>
                <a:cubicBezTo>
                  <a:pt x="10001669" y="4735662"/>
                  <a:pt x="9987240" y="4722384"/>
                  <a:pt x="9987240" y="4706009"/>
                </a:cubicBezTo>
                <a:cubicBezTo>
                  <a:pt x="9987240" y="4689635"/>
                  <a:pt x="10001669" y="4676357"/>
                  <a:pt x="10019456" y="4676357"/>
                </a:cubicBezTo>
                <a:cubicBezTo>
                  <a:pt x="10037243" y="4676357"/>
                  <a:pt x="10051660" y="4689635"/>
                  <a:pt x="10051660" y="4706009"/>
                </a:cubicBezTo>
                <a:cubicBezTo>
                  <a:pt x="10051660" y="4722384"/>
                  <a:pt x="10037243" y="4735662"/>
                  <a:pt x="10019456" y="4735662"/>
                </a:cubicBezTo>
                <a:close/>
                <a:moveTo>
                  <a:pt x="10097990" y="4735662"/>
                </a:moveTo>
                <a:cubicBezTo>
                  <a:pt x="10080203" y="4735662"/>
                  <a:pt x="10065774" y="4722384"/>
                  <a:pt x="10065774" y="4706009"/>
                </a:cubicBezTo>
                <a:cubicBezTo>
                  <a:pt x="10065774" y="4689635"/>
                  <a:pt x="10080203" y="4676357"/>
                  <a:pt x="10097990" y="4676357"/>
                </a:cubicBezTo>
                <a:cubicBezTo>
                  <a:pt x="10115778" y="4676357"/>
                  <a:pt x="10130195" y="4689635"/>
                  <a:pt x="10130195" y="4706009"/>
                </a:cubicBezTo>
                <a:cubicBezTo>
                  <a:pt x="10130195" y="4722384"/>
                  <a:pt x="10115778" y="4735662"/>
                  <a:pt x="10097990" y="4735662"/>
                </a:cubicBezTo>
                <a:close/>
                <a:moveTo>
                  <a:pt x="1616305" y="4663396"/>
                </a:moveTo>
                <a:cubicBezTo>
                  <a:pt x="1598518" y="4663396"/>
                  <a:pt x="1584095" y="4650118"/>
                  <a:pt x="1584095" y="4633744"/>
                </a:cubicBezTo>
                <a:cubicBezTo>
                  <a:pt x="1584095" y="4617369"/>
                  <a:pt x="1598518" y="4604092"/>
                  <a:pt x="1616305" y="4604092"/>
                </a:cubicBezTo>
                <a:cubicBezTo>
                  <a:pt x="1634093" y="4604092"/>
                  <a:pt x="1648516" y="4617369"/>
                  <a:pt x="1648516" y="4633744"/>
                </a:cubicBezTo>
                <a:cubicBezTo>
                  <a:pt x="1648516" y="4650118"/>
                  <a:pt x="1634093" y="4663396"/>
                  <a:pt x="1616305" y="4663396"/>
                </a:cubicBezTo>
                <a:close/>
                <a:moveTo>
                  <a:pt x="1694837" y="4663396"/>
                </a:moveTo>
                <a:cubicBezTo>
                  <a:pt x="1677049" y="4663396"/>
                  <a:pt x="1662626" y="4650118"/>
                  <a:pt x="1662626" y="4633744"/>
                </a:cubicBezTo>
                <a:cubicBezTo>
                  <a:pt x="1662626" y="4617369"/>
                  <a:pt x="1677049" y="4604092"/>
                  <a:pt x="1694837" y="4604092"/>
                </a:cubicBezTo>
                <a:cubicBezTo>
                  <a:pt x="1712624" y="4604092"/>
                  <a:pt x="1727047" y="4617369"/>
                  <a:pt x="1727047" y="4633744"/>
                </a:cubicBezTo>
                <a:cubicBezTo>
                  <a:pt x="1727047" y="4650118"/>
                  <a:pt x="1712624" y="4663396"/>
                  <a:pt x="1694837" y="4663396"/>
                </a:cubicBezTo>
                <a:close/>
                <a:moveTo>
                  <a:pt x="2480181" y="4663396"/>
                </a:moveTo>
                <a:cubicBezTo>
                  <a:pt x="2462394" y="4663396"/>
                  <a:pt x="2447971" y="4650118"/>
                  <a:pt x="2447971" y="4633744"/>
                </a:cubicBezTo>
                <a:cubicBezTo>
                  <a:pt x="2447971" y="4617369"/>
                  <a:pt x="2462394" y="4604092"/>
                  <a:pt x="2480181" y="4604092"/>
                </a:cubicBezTo>
                <a:cubicBezTo>
                  <a:pt x="2497968" y="4604092"/>
                  <a:pt x="2512391" y="4617369"/>
                  <a:pt x="2512391" y="4633744"/>
                </a:cubicBezTo>
                <a:cubicBezTo>
                  <a:pt x="2512391" y="4650118"/>
                  <a:pt x="2497968" y="4663396"/>
                  <a:pt x="2480181" y="4663396"/>
                </a:cubicBezTo>
                <a:close/>
                <a:moveTo>
                  <a:pt x="2558715" y="4663396"/>
                </a:moveTo>
                <a:cubicBezTo>
                  <a:pt x="2540928" y="4663396"/>
                  <a:pt x="2526505" y="4650118"/>
                  <a:pt x="2526505" y="4633744"/>
                </a:cubicBezTo>
                <a:cubicBezTo>
                  <a:pt x="2526505" y="4617369"/>
                  <a:pt x="2540928" y="4604092"/>
                  <a:pt x="2558715" y="4604092"/>
                </a:cubicBezTo>
                <a:cubicBezTo>
                  <a:pt x="2576503" y="4604092"/>
                  <a:pt x="2590926" y="4617369"/>
                  <a:pt x="2590926" y="4633744"/>
                </a:cubicBezTo>
                <a:cubicBezTo>
                  <a:pt x="2590926" y="4650118"/>
                  <a:pt x="2576503" y="4663396"/>
                  <a:pt x="2558715" y="4663396"/>
                </a:cubicBezTo>
                <a:close/>
                <a:moveTo>
                  <a:pt x="2637243" y="4663396"/>
                </a:moveTo>
                <a:cubicBezTo>
                  <a:pt x="2619455" y="4663396"/>
                  <a:pt x="2605032" y="4650118"/>
                  <a:pt x="2605032" y="4633744"/>
                </a:cubicBezTo>
                <a:cubicBezTo>
                  <a:pt x="2605032" y="4617369"/>
                  <a:pt x="2619455" y="4604092"/>
                  <a:pt x="2637243" y="4604092"/>
                </a:cubicBezTo>
                <a:cubicBezTo>
                  <a:pt x="2655030" y="4604092"/>
                  <a:pt x="2669453" y="4617369"/>
                  <a:pt x="2669453" y="4633744"/>
                </a:cubicBezTo>
                <a:cubicBezTo>
                  <a:pt x="2669453" y="4650118"/>
                  <a:pt x="2655030" y="4663396"/>
                  <a:pt x="2637243" y="4663396"/>
                </a:cubicBezTo>
                <a:close/>
                <a:moveTo>
                  <a:pt x="2715777" y="4663396"/>
                </a:moveTo>
                <a:cubicBezTo>
                  <a:pt x="2697990" y="4663396"/>
                  <a:pt x="2683566" y="4650118"/>
                  <a:pt x="2683566" y="4633744"/>
                </a:cubicBezTo>
                <a:cubicBezTo>
                  <a:pt x="2683566" y="4617369"/>
                  <a:pt x="2697990" y="4604092"/>
                  <a:pt x="2715777" y="4604092"/>
                </a:cubicBezTo>
                <a:cubicBezTo>
                  <a:pt x="2733564" y="4604092"/>
                  <a:pt x="2747987" y="4617369"/>
                  <a:pt x="2747987" y="4633744"/>
                </a:cubicBezTo>
                <a:cubicBezTo>
                  <a:pt x="2747987" y="4650118"/>
                  <a:pt x="2733564" y="4663396"/>
                  <a:pt x="2715777" y="4663396"/>
                </a:cubicBezTo>
                <a:close/>
                <a:moveTo>
                  <a:pt x="2794310" y="4663396"/>
                </a:moveTo>
                <a:cubicBezTo>
                  <a:pt x="2776523" y="4663396"/>
                  <a:pt x="2762100" y="4650118"/>
                  <a:pt x="2762100" y="4633744"/>
                </a:cubicBezTo>
                <a:cubicBezTo>
                  <a:pt x="2762100" y="4617369"/>
                  <a:pt x="2776523" y="4604092"/>
                  <a:pt x="2794310" y="4604092"/>
                </a:cubicBezTo>
                <a:cubicBezTo>
                  <a:pt x="2812097" y="4604092"/>
                  <a:pt x="2826520" y="4617369"/>
                  <a:pt x="2826520" y="4633744"/>
                </a:cubicBezTo>
                <a:cubicBezTo>
                  <a:pt x="2826520" y="4650118"/>
                  <a:pt x="2812097" y="4663396"/>
                  <a:pt x="2794310" y="4663396"/>
                </a:cubicBezTo>
                <a:close/>
                <a:moveTo>
                  <a:pt x="2872844" y="4663396"/>
                </a:moveTo>
                <a:cubicBezTo>
                  <a:pt x="2855057" y="4663396"/>
                  <a:pt x="2840634" y="4650118"/>
                  <a:pt x="2840634" y="4633744"/>
                </a:cubicBezTo>
                <a:cubicBezTo>
                  <a:pt x="2840634" y="4617369"/>
                  <a:pt x="2855057" y="4604092"/>
                  <a:pt x="2872844" y="4604092"/>
                </a:cubicBezTo>
                <a:cubicBezTo>
                  <a:pt x="2890632" y="4604092"/>
                  <a:pt x="2905055" y="4617369"/>
                  <a:pt x="2905055" y="4633744"/>
                </a:cubicBezTo>
                <a:cubicBezTo>
                  <a:pt x="2905055" y="4650118"/>
                  <a:pt x="2890632" y="4663396"/>
                  <a:pt x="2872844" y="4663396"/>
                </a:cubicBezTo>
                <a:close/>
                <a:moveTo>
                  <a:pt x="2951379" y="4663396"/>
                </a:moveTo>
                <a:cubicBezTo>
                  <a:pt x="2933591" y="4663396"/>
                  <a:pt x="2919168" y="4650118"/>
                  <a:pt x="2919168" y="4633744"/>
                </a:cubicBezTo>
                <a:cubicBezTo>
                  <a:pt x="2919168" y="4617369"/>
                  <a:pt x="2933591" y="4604092"/>
                  <a:pt x="2951379" y="4604092"/>
                </a:cubicBezTo>
                <a:cubicBezTo>
                  <a:pt x="2969166" y="4604092"/>
                  <a:pt x="2983589" y="4617369"/>
                  <a:pt x="2983589" y="4633744"/>
                </a:cubicBezTo>
                <a:cubicBezTo>
                  <a:pt x="2983589" y="4650118"/>
                  <a:pt x="2969166" y="4663396"/>
                  <a:pt x="2951379" y="4663396"/>
                </a:cubicBezTo>
                <a:close/>
                <a:moveTo>
                  <a:pt x="3029912" y="4663396"/>
                </a:moveTo>
                <a:cubicBezTo>
                  <a:pt x="3012125" y="4663396"/>
                  <a:pt x="2997701" y="4650118"/>
                  <a:pt x="2997701" y="4633744"/>
                </a:cubicBezTo>
                <a:cubicBezTo>
                  <a:pt x="2997701" y="4617369"/>
                  <a:pt x="3012125" y="4604092"/>
                  <a:pt x="3029912" y="4604092"/>
                </a:cubicBezTo>
                <a:cubicBezTo>
                  <a:pt x="3047699" y="4604092"/>
                  <a:pt x="3062122" y="4617369"/>
                  <a:pt x="3062122" y="4633744"/>
                </a:cubicBezTo>
                <a:cubicBezTo>
                  <a:pt x="3062122" y="4650118"/>
                  <a:pt x="3047699" y="4663396"/>
                  <a:pt x="3029912" y="4663396"/>
                </a:cubicBezTo>
                <a:close/>
                <a:moveTo>
                  <a:pt x="3108446" y="4663396"/>
                </a:moveTo>
                <a:cubicBezTo>
                  <a:pt x="3090659" y="4663396"/>
                  <a:pt x="3076236" y="4650118"/>
                  <a:pt x="3076236" y="4633744"/>
                </a:cubicBezTo>
                <a:cubicBezTo>
                  <a:pt x="3076236" y="4617369"/>
                  <a:pt x="3090659" y="4604092"/>
                  <a:pt x="3108446" y="4604092"/>
                </a:cubicBezTo>
                <a:cubicBezTo>
                  <a:pt x="3126233" y="4604092"/>
                  <a:pt x="3140656" y="4617369"/>
                  <a:pt x="3140656" y="4633744"/>
                </a:cubicBezTo>
                <a:cubicBezTo>
                  <a:pt x="3140656" y="4650118"/>
                  <a:pt x="3126233" y="4663396"/>
                  <a:pt x="3108446" y="4663396"/>
                </a:cubicBezTo>
                <a:close/>
                <a:moveTo>
                  <a:pt x="3186979" y="4663396"/>
                </a:moveTo>
                <a:cubicBezTo>
                  <a:pt x="3169192" y="4663396"/>
                  <a:pt x="3154769" y="4650118"/>
                  <a:pt x="3154769" y="4633744"/>
                </a:cubicBezTo>
                <a:cubicBezTo>
                  <a:pt x="3154769" y="4617369"/>
                  <a:pt x="3169192" y="4604092"/>
                  <a:pt x="3186979" y="4604092"/>
                </a:cubicBezTo>
                <a:cubicBezTo>
                  <a:pt x="3204767" y="4604092"/>
                  <a:pt x="3219190" y="4617369"/>
                  <a:pt x="3219190" y="4633744"/>
                </a:cubicBezTo>
                <a:cubicBezTo>
                  <a:pt x="3219190" y="4650118"/>
                  <a:pt x="3204767" y="4663396"/>
                  <a:pt x="3186979" y="4663396"/>
                </a:cubicBezTo>
                <a:close/>
                <a:moveTo>
                  <a:pt x="3265514" y="4663396"/>
                </a:moveTo>
                <a:cubicBezTo>
                  <a:pt x="3247726" y="4663396"/>
                  <a:pt x="3233303" y="4650118"/>
                  <a:pt x="3233303" y="4633744"/>
                </a:cubicBezTo>
                <a:cubicBezTo>
                  <a:pt x="3233303" y="4617369"/>
                  <a:pt x="3247726" y="4604092"/>
                  <a:pt x="3265514" y="4604092"/>
                </a:cubicBezTo>
                <a:cubicBezTo>
                  <a:pt x="3283301" y="4604092"/>
                  <a:pt x="3297724" y="4617369"/>
                  <a:pt x="3297724" y="4633744"/>
                </a:cubicBezTo>
                <a:cubicBezTo>
                  <a:pt x="3297724" y="4650118"/>
                  <a:pt x="3283301" y="4663396"/>
                  <a:pt x="3265514" y="4663396"/>
                </a:cubicBezTo>
                <a:close/>
                <a:moveTo>
                  <a:pt x="3344048" y="4663396"/>
                </a:moveTo>
                <a:cubicBezTo>
                  <a:pt x="3326261" y="4663396"/>
                  <a:pt x="3311837" y="4650118"/>
                  <a:pt x="3311837" y="4633744"/>
                </a:cubicBezTo>
                <a:cubicBezTo>
                  <a:pt x="3311837" y="4617369"/>
                  <a:pt x="3326261" y="4604092"/>
                  <a:pt x="3344048" y="4604092"/>
                </a:cubicBezTo>
                <a:cubicBezTo>
                  <a:pt x="3361835" y="4604092"/>
                  <a:pt x="3376258" y="4617369"/>
                  <a:pt x="3376258" y="4633744"/>
                </a:cubicBezTo>
                <a:cubicBezTo>
                  <a:pt x="3376258" y="4650118"/>
                  <a:pt x="3361835" y="4663396"/>
                  <a:pt x="3344048" y="4663396"/>
                </a:cubicBezTo>
                <a:close/>
                <a:moveTo>
                  <a:pt x="3501115" y="4663396"/>
                </a:moveTo>
                <a:cubicBezTo>
                  <a:pt x="3483328" y="4663396"/>
                  <a:pt x="3468905" y="4650118"/>
                  <a:pt x="3468905" y="4633744"/>
                </a:cubicBezTo>
                <a:cubicBezTo>
                  <a:pt x="3468905" y="4617369"/>
                  <a:pt x="3483328" y="4604092"/>
                  <a:pt x="3501115" y="4604092"/>
                </a:cubicBezTo>
                <a:cubicBezTo>
                  <a:pt x="3518903" y="4604092"/>
                  <a:pt x="3533326" y="4617369"/>
                  <a:pt x="3533326" y="4633744"/>
                </a:cubicBezTo>
                <a:cubicBezTo>
                  <a:pt x="3533326" y="4650118"/>
                  <a:pt x="3518903" y="4663396"/>
                  <a:pt x="3501115" y="4663396"/>
                </a:cubicBezTo>
                <a:close/>
                <a:moveTo>
                  <a:pt x="4050852" y="4663396"/>
                </a:moveTo>
                <a:cubicBezTo>
                  <a:pt x="4033065" y="4663396"/>
                  <a:pt x="4018642" y="4650118"/>
                  <a:pt x="4018642" y="4633744"/>
                </a:cubicBezTo>
                <a:cubicBezTo>
                  <a:pt x="4018642" y="4617369"/>
                  <a:pt x="4033065" y="4604092"/>
                  <a:pt x="4050852" y="4604092"/>
                </a:cubicBezTo>
                <a:cubicBezTo>
                  <a:pt x="4068639" y="4604092"/>
                  <a:pt x="4083062" y="4617369"/>
                  <a:pt x="4083062" y="4633744"/>
                </a:cubicBezTo>
                <a:cubicBezTo>
                  <a:pt x="4083062" y="4650118"/>
                  <a:pt x="4068639" y="4663396"/>
                  <a:pt x="4050852" y="4663396"/>
                </a:cubicBezTo>
                <a:close/>
                <a:moveTo>
                  <a:pt x="4286460" y="4663396"/>
                </a:moveTo>
                <a:cubicBezTo>
                  <a:pt x="4268673" y="4663396"/>
                  <a:pt x="4254250" y="4650118"/>
                  <a:pt x="4254250" y="4633744"/>
                </a:cubicBezTo>
                <a:cubicBezTo>
                  <a:pt x="4254250" y="4617369"/>
                  <a:pt x="4268673" y="4604092"/>
                  <a:pt x="4286460" y="4604092"/>
                </a:cubicBezTo>
                <a:cubicBezTo>
                  <a:pt x="4304247" y="4604092"/>
                  <a:pt x="4318670" y="4617369"/>
                  <a:pt x="4318670" y="4633744"/>
                </a:cubicBezTo>
                <a:cubicBezTo>
                  <a:pt x="4318670" y="4650118"/>
                  <a:pt x="4304247" y="4663396"/>
                  <a:pt x="4286460" y="4663396"/>
                </a:cubicBezTo>
                <a:close/>
                <a:moveTo>
                  <a:pt x="4757663" y="4663396"/>
                </a:moveTo>
                <a:cubicBezTo>
                  <a:pt x="4739876" y="4663396"/>
                  <a:pt x="4725453" y="4650118"/>
                  <a:pt x="4725453" y="4633744"/>
                </a:cubicBezTo>
                <a:cubicBezTo>
                  <a:pt x="4725453" y="4617369"/>
                  <a:pt x="4739876" y="4604092"/>
                  <a:pt x="4757663" y="4604092"/>
                </a:cubicBezTo>
                <a:cubicBezTo>
                  <a:pt x="4775451" y="4604092"/>
                  <a:pt x="4789874" y="4617369"/>
                  <a:pt x="4789874" y="4633744"/>
                </a:cubicBezTo>
                <a:cubicBezTo>
                  <a:pt x="4789874" y="4650118"/>
                  <a:pt x="4775451" y="4663396"/>
                  <a:pt x="4757663" y="4663396"/>
                </a:cubicBezTo>
                <a:close/>
                <a:moveTo>
                  <a:pt x="4836197" y="4663396"/>
                </a:moveTo>
                <a:cubicBezTo>
                  <a:pt x="4818409" y="4663396"/>
                  <a:pt x="4803986" y="4650118"/>
                  <a:pt x="4803986" y="4633744"/>
                </a:cubicBezTo>
                <a:cubicBezTo>
                  <a:pt x="4803986" y="4617369"/>
                  <a:pt x="4818409" y="4604092"/>
                  <a:pt x="4836197" y="4604092"/>
                </a:cubicBezTo>
                <a:cubicBezTo>
                  <a:pt x="4853984" y="4604092"/>
                  <a:pt x="4868407" y="4617369"/>
                  <a:pt x="4868407" y="4633744"/>
                </a:cubicBezTo>
                <a:cubicBezTo>
                  <a:pt x="4868407" y="4650118"/>
                  <a:pt x="4853984" y="4663396"/>
                  <a:pt x="4836197" y="4663396"/>
                </a:cubicBezTo>
                <a:close/>
                <a:moveTo>
                  <a:pt x="5464468" y="4663396"/>
                </a:moveTo>
                <a:cubicBezTo>
                  <a:pt x="5446680" y="4663396"/>
                  <a:pt x="5432257" y="4650118"/>
                  <a:pt x="5432257" y="4633744"/>
                </a:cubicBezTo>
                <a:cubicBezTo>
                  <a:pt x="5432257" y="4617369"/>
                  <a:pt x="5446680" y="4604092"/>
                  <a:pt x="5464468" y="4604092"/>
                </a:cubicBezTo>
                <a:cubicBezTo>
                  <a:pt x="5482255" y="4604092"/>
                  <a:pt x="5496678" y="4617369"/>
                  <a:pt x="5496678" y="4633744"/>
                </a:cubicBezTo>
                <a:cubicBezTo>
                  <a:pt x="5496678" y="4650118"/>
                  <a:pt x="5482255" y="4663396"/>
                  <a:pt x="5464468" y="4663396"/>
                </a:cubicBezTo>
                <a:close/>
                <a:moveTo>
                  <a:pt x="6249806" y="4663396"/>
                </a:moveTo>
                <a:cubicBezTo>
                  <a:pt x="6232019" y="4663396"/>
                  <a:pt x="6217590" y="4650118"/>
                  <a:pt x="6217590" y="4633744"/>
                </a:cubicBezTo>
                <a:cubicBezTo>
                  <a:pt x="6217590" y="4617369"/>
                  <a:pt x="6232019" y="4604092"/>
                  <a:pt x="6249806" y="4604092"/>
                </a:cubicBezTo>
                <a:cubicBezTo>
                  <a:pt x="6267593" y="4604092"/>
                  <a:pt x="6282010" y="4617369"/>
                  <a:pt x="6282010" y="4633744"/>
                </a:cubicBezTo>
                <a:cubicBezTo>
                  <a:pt x="6282010" y="4650118"/>
                  <a:pt x="6267593" y="4663396"/>
                  <a:pt x="6249806" y="4663396"/>
                </a:cubicBezTo>
                <a:close/>
                <a:moveTo>
                  <a:pt x="6328340" y="4663396"/>
                </a:moveTo>
                <a:cubicBezTo>
                  <a:pt x="6310553" y="4663396"/>
                  <a:pt x="6296124" y="4650118"/>
                  <a:pt x="6296124" y="4633744"/>
                </a:cubicBezTo>
                <a:cubicBezTo>
                  <a:pt x="6296124" y="4617369"/>
                  <a:pt x="6310553" y="4604092"/>
                  <a:pt x="6328340" y="4604092"/>
                </a:cubicBezTo>
                <a:cubicBezTo>
                  <a:pt x="6346128" y="4604092"/>
                  <a:pt x="6360545" y="4617369"/>
                  <a:pt x="6360545" y="4633744"/>
                </a:cubicBezTo>
                <a:cubicBezTo>
                  <a:pt x="6360545" y="4650118"/>
                  <a:pt x="6346128" y="4663396"/>
                  <a:pt x="6328340" y="4663396"/>
                </a:cubicBezTo>
                <a:close/>
                <a:moveTo>
                  <a:pt x="6563942" y="4663396"/>
                </a:moveTo>
                <a:cubicBezTo>
                  <a:pt x="6546155" y="4663396"/>
                  <a:pt x="6531726" y="4650118"/>
                  <a:pt x="6531726" y="4633744"/>
                </a:cubicBezTo>
                <a:cubicBezTo>
                  <a:pt x="6531726" y="4617369"/>
                  <a:pt x="6546155" y="4604092"/>
                  <a:pt x="6563942" y="4604092"/>
                </a:cubicBezTo>
                <a:cubicBezTo>
                  <a:pt x="6581729" y="4604092"/>
                  <a:pt x="6596146" y="4617369"/>
                  <a:pt x="6596146" y="4633744"/>
                </a:cubicBezTo>
                <a:cubicBezTo>
                  <a:pt x="6596146" y="4650118"/>
                  <a:pt x="6581729" y="4663396"/>
                  <a:pt x="6563942" y="4663396"/>
                </a:cubicBezTo>
                <a:close/>
                <a:moveTo>
                  <a:pt x="6642476" y="4663396"/>
                </a:moveTo>
                <a:cubicBezTo>
                  <a:pt x="6624689" y="4663396"/>
                  <a:pt x="6610260" y="4650118"/>
                  <a:pt x="6610260" y="4633744"/>
                </a:cubicBezTo>
                <a:cubicBezTo>
                  <a:pt x="6610260" y="4617369"/>
                  <a:pt x="6624689" y="4604092"/>
                  <a:pt x="6642476" y="4604092"/>
                </a:cubicBezTo>
                <a:cubicBezTo>
                  <a:pt x="6660264" y="4604092"/>
                  <a:pt x="6674681" y="4617369"/>
                  <a:pt x="6674681" y="4633744"/>
                </a:cubicBezTo>
                <a:cubicBezTo>
                  <a:pt x="6674681" y="4650118"/>
                  <a:pt x="6660264" y="4663396"/>
                  <a:pt x="6642476" y="4663396"/>
                </a:cubicBezTo>
                <a:close/>
                <a:moveTo>
                  <a:pt x="6721010" y="4663396"/>
                </a:moveTo>
                <a:cubicBezTo>
                  <a:pt x="6703222" y="4663396"/>
                  <a:pt x="6688793" y="4650118"/>
                  <a:pt x="6688793" y="4633744"/>
                </a:cubicBezTo>
                <a:cubicBezTo>
                  <a:pt x="6688793" y="4617369"/>
                  <a:pt x="6703222" y="4604092"/>
                  <a:pt x="6721010" y="4604092"/>
                </a:cubicBezTo>
                <a:cubicBezTo>
                  <a:pt x="6738797" y="4604092"/>
                  <a:pt x="6753214" y="4617369"/>
                  <a:pt x="6753214" y="4633744"/>
                </a:cubicBezTo>
                <a:cubicBezTo>
                  <a:pt x="6753214" y="4650118"/>
                  <a:pt x="6738797" y="4663396"/>
                  <a:pt x="6721010" y="4663396"/>
                </a:cubicBezTo>
                <a:close/>
                <a:moveTo>
                  <a:pt x="6878077" y="4663396"/>
                </a:moveTo>
                <a:cubicBezTo>
                  <a:pt x="6860290" y="4663396"/>
                  <a:pt x="6845861" y="4650118"/>
                  <a:pt x="6845861" y="4633744"/>
                </a:cubicBezTo>
                <a:cubicBezTo>
                  <a:pt x="6845861" y="4617369"/>
                  <a:pt x="6860290" y="4604092"/>
                  <a:pt x="6878077" y="4604092"/>
                </a:cubicBezTo>
                <a:cubicBezTo>
                  <a:pt x="6895864" y="4604092"/>
                  <a:pt x="6910281" y="4617369"/>
                  <a:pt x="6910281" y="4633744"/>
                </a:cubicBezTo>
                <a:cubicBezTo>
                  <a:pt x="6910281" y="4650118"/>
                  <a:pt x="6895864" y="4663396"/>
                  <a:pt x="6878077" y="4663396"/>
                </a:cubicBezTo>
                <a:close/>
                <a:moveTo>
                  <a:pt x="6956611" y="4663396"/>
                </a:moveTo>
                <a:cubicBezTo>
                  <a:pt x="6938824" y="4663396"/>
                  <a:pt x="6924395" y="4650118"/>
                  <a:pt x="6924395" y="4633744"/>
                </a:cubicBezTo>
                <a:cubicBezTo>
                  <a:pt x="6924395" y="4617369"/>
                  <a:pt x="6938824" y="4604092"/>
                  <a:pt x="6956611" y="4604092"/>
                </a:cubicBezTo>
                <a:cubicBezTo>
                  <a:pt x="6974399" y="4604092"/>
                  <a:pt x="6988816" y="4617369"/>
                  <a:pt x="6988816" y="4633744"/>
                </a:cubicBezTo>
                <a:cubicBezTo>
                  <a:pt x="6988816" y="4650118"/>
                  <a:pt x="6974399" y="4663396"/>
                  <a:pt x="6956611" y="4663396"/>
                </a:cubicBezTo>
                <a:close/>
                <a:moveTo>
                  <a:pt x="7035146" y="4663396"/>
                </a:moveTo>
                <a:cubicBezTo>
                  <a:pt x="7017358" y="4663396"/>
                  <a:pt x="7002929" y="4650118"/>
                  <a:pt x="7002929" y="4633744"/>
                </a:cubicBezTo>
                <a:cubicBezTo>
                  <a:pt x="7002929" y="4617369"/>
                  <a:pt x="7017358" y="4604092"/>
                  <a:pt x="7035146" y="4604092"/>
                </a:cubicBezTo>
                <a:cubicBezTo>
                  <a:pt x="7052933" y="4604092"/>
                  <a:pt x="7067350" y="4617369"/>
                  <a:pt x="7067350" y="4633744"/>
                </a:cubicBezTo>
                <a:cubicBezTo>
                  <a:pt x="7067350" y="4650118"/>
                  <a:pt x="7052933" y="4663396"/>
                  <a:pt x="7035146" y="4663396"/>
                </a:cubicBezTo>
                <a:close/>
                <a:moveTo>
                  <a:pt x="7113703" y="4663396"/>
                </a:moveTo>
                <a:cubicBezTo>
                  <a:pt x="7095916" y="4663396"/>
                  <a:pt x="7081487" y="4650118"/>
                  <a:pt x="7081487" y="4633744"/>
                </a:cubicBezTo>
                <a:cubicBezTo>
                  <a:pt x="7081487" y="4617369"/>
                  <a:pt x="7095916" y="4604092"/>
                  <a:pt x="7113703" y="4604092"/>
                </a:cubicBezTo>
                <a:cubicBezTo>
                  <a:pt x="7131490" y="4604092"/>
                  <a:pt x="7145907" y="4617369"/>
                  <a:pt x="7145907" y="4633744"/>
                </a:cubicBezTo>
                <a:cubicBezTo>
                  <a:pt x="7145907" y="4650118"/>
                  <a:pt x="7131490" y="4663396"/>
                  <a:pt x="7113703" y="4663396"/>
                </a:cubicBezTo>
                <a:close/>
                <a:moveTo>
                  <a:pt x="7192237" y="4663396"/>
                </a:moveTo>
                <a:cubicBezTo>
                  <a:pt x="7174450" y="4663396"/>
                  <a:pt x="7160021" y="4650118"/>
                  <a:pt x="7160021" y="4633744"/>
                </a:cubicBezTo>
                <a:cubicBezTo>
                  <a:pt x="7160021" y="4617369"/>
                  <a:pt x="7174450" y="4604092"/>
                  <a:pt x="7192237" y="4604092"/>
                </a:cubicBezTo>
                <a:cubicBezTo>
                  <a:pt x="7210024" y="4604092"/>
                  <a:pt x="7224441" y="4617369"/>
                  <a:pt x="7224441" y="4633744"/>
                </a:cubicBezTo>
                <a:cubicBezTo>
                  <a:pt x="7224441" y="4650118"/>
                  <a:pt x="7210024" y="4663396"/>
                  <a:pt x="7192237" y="4663396"/>
                </a:cubicBezTo>
                <a:close/>
                <a:moveTo>
                  <a:pt x="7270771" y="4663396"/>
                </a:moveTo>
                <a:cubicBezTo>
                  <a:pt x="7252984" y="4663396"/>
                  <a:pt x="7238555" y="4650118"/>
                  <a:pt x="7238555" y="4633744"/>
                </a:cubicBezTo>
                <a:cubicBezTo>
                  <a:pt x="7238555" y="4617369"/>
                  <a:pt x="7252984" y="4604092"/>
                  <a:pt x="7270771" y="4604092"/>
                </a:cubicBezTo>
                <a:cubicBezTo>
                  <a:pt x="7288559" y="4604092"/>
                  <a:pt x="7302976" y="4617369"/>
                  <a:pt x="7302976" y="4633744"/>
                </a:cubicBezTo>
                <a:cubicBezTo>
                  <a:pt x="7302976" y="4650118"/>
                  <a:pt x="7288559" y="4663396"/>
                  <a:pt x="7270771" y="4663396"/>
                </a:cubicBezTo>
                <a:close/>
                <a:moveTo>
                  <a:pt x="7349305" y="4663396"/>
                </a:moveTo>
                <a:cubicBezTo>
                  <a:pt x="7331517" y="4663396"/>
                  <a:pt x="7317088" y="4650118"/>
                  <a:pt x="7317088" y="4633744"/>
                </a:cubicBezTo>
                <a:cubicBezTo>
                  <a:pt x="7317088" y="4617369"/>
                  <a:pt x="7331517" y="4604092"/>
                  <a:pt x="7349305" y="4604092"/>
                </a:cubicBezTo>
                <a:cubicBezTo>
                  <a:pt x="7367092" y="4604092"/>
                  <a:pt x="7381509" y="4617369"/>
                  <a:pt x="7381509" y="4633744"/>
                </a:cubicBezTo>
                <a:cubicBezTo>
                  <a:pt x="7381509" y="4650118"/>
                  <a:pt x="7367092" y="4663396"/>
                  <a:pt x="7349305" y="4663396"/>
                </a:cubicBezTo>
                <a:close/>
                <a:moveTo>
                  <a:pt x="7427839" y="4663396"/>
                </a:moveTo>
                <a:cubicBezTo>
                  <a:pt x="7410052" y="4663396"/>
                  <a:pt x="7395623" y="4650118"/>
                  <a:pt x="7395623" y="4633744"/>
                </a:cubicBezTo>
                <a:cubicBezTo>
                  <a:pt x="7395623" y="4617369"/>
                  <a:pt x="7410052" y="4604092"/>
                  <a:pt x="7427839" y="4604092"/>
                </a:cubicBezTo>
                <a:cubicBezTo>
                  <a:pt x="7445626" y="4604092"/>
                  <a:pt x="7460043" y="4617369"/>
                  <a:pt x="7460043" y="4633744"/>
                </a:cubicBezTo>
                <a:cubicBezTo>
                  <a:pt x="7460043" y="4650118"/>
                  <a:pt x="7445626" y="4663396"/>
                  <a:pt x="7427839" y="4663396"/>
                </a:cubicBezTo>
                <a:close/>
                <a:moveTo>
                  <a:pt x="7506373" y="4663396"/>
                </a:moveTo>
                <a:cubicBezTo>
                  <a:pt x="7488586" y="4663396"/>
                  <a:pt x="7474157" y="4650118"/>
                  <a:pt x="7474157" y="4633744"/>
                </a:cubicBezTo>
                <a:cubicBezTo>
                  <a:pt x="7474157" y="4617369"/>
                  <a:pt x="7488586" y="4604092"/>
                  <a:pt x="7506373" y="4604092"/>
                </a:cubicBezTo>
                <a:cubicBezTo>
                  <a:pt x="7524160" y="4604092"/>
                  <a:pt x="7538577" y="4617369"/>
                  <a:pt x="7538577" y="4633744"/>
                </a:cubicBezTo>
                <a:cubicBezTo>
                  <a:pt x="7538577" y="4650118"/>
                  <a:pt x="7524160" y="4663396"/>
                  <a:pt x="7506373" y="4663396"/>
                </a:cubicBezTo>
                <a:close/>
                <a:moveTo>
                  <a:pt x="7584906" y="4663396"/>
                </a:moveTo>
                <a:cubicBezTo>
                  <a:pt x="7567119" y="4663396"/>
                  <a:pt x="7552690" y="4650118"/>
                  <a:pt x="7552690" y="4633744"/>
                </a:cubicBezTo>
                <a:cubicBezTo>
                  <a:pt x="7552690" y="4617369"/>
                  <a:pt x="7567119" y="4604092"/>
                  <a:pt x="7584906" y="4604092"/>
                </a:cubicBezTo>
                <a:cubicBezTo>
                  <a:pt x="7602694" y="4604092"/>
                  <a:pt x="7617111" y="4617369"/>
                  <a:pt x="7617111" y="4633744"/>
                </a:cubicBezTo>
                <a:cubicBezTo>
                  <a:pt x="7617111" y="4650118"/>
                  <a:pt x="7602694" y="4663396"/>
                  <a:pt x="7584906" y="4663396"/>
                </a:cubicBezTo>
                <a:close/>
                <a:moveTo>
                  <a:pt x="7663441" y="4663396"/>
                </a:moveTo>
                <a:cubicBezTo>
                  <a:pt x="7645653" y="4663396"/>
                  <a:pt x="7631224" y="4650118"/>
                  <a:pt x="7631224" y="4633744"/>
                </a:cubicBezTo>
                <a:cubicBezTo>
                  <a:pt x="7631224" y="4617369"/>
                  <a:pt x="7645653" y="4604092"/>
                  <a:pt x="7663441" y="4604092"/>
                </a:cubicBezTo>
                <a:cubicBezTo>
                  <a:pt x="7681228" y="4604092"/>
                  <a:pt x="7695645" y="4617369"/>
                  <a:pt x="7695645" y="4633744"/>
                </a:cubicBezTo>
                <a:cubicBezTo>
                  <a:pt x="7695645" y="4650118"/>
                  <a:pt x="7681228" y="4663396"/>
                  <a:pt x="7663441" y="4663396"/>
                </a:cubicBezTo>
                <a:close/>
                <a:moveTo>
                  <a:pt x="7741974" y="4663396"/>
                </a:moveTo>
                <a:cubicBezTo>
                  <a:pt x="7724187" y="4663396"/>
                  <a:pt x="7709758" y="4650118"/>
                  <a:pt x="7709758" y="4633744"/>
                </a:cubicBezTo>
                <a:cubicBezTo>
                  <a:pt x="7709758" y="4617369"/>
                  <a:pt x="7724187" y="4604092"/>
                  <a:pt x="7741974" y="4604092"/>
                </a:cubicBezTo>
                <a:cubicBezTo>
                  <a:pt x="7759761" y="4604092"/>
                  <a:pt x="7774178" y="4617369"/>
                  <a:pt x="7774178" y="4633744"/>
                </a:cubicBezTo>
                <a:cubicBezTo>
                  <a:pt x="7774178" y="4650118"/>
                  <a:pt x="7759761" y="4663396"/>
                  <a:pt x="7741974" y="4663396"/>
                </a:cubicBezTo>
                <a:close/>
                <a:moveTo>
                  <a:pt x="7820508" y="4663396"/>
                </a:moveTo>
                <a:cubicBezTo>
                  <a:pt x="7802721" y="4663396"/>
                  <a:pt x="7788292" y="4650118"/>
                  <a:pt x="7788292" y="4633744"/>
                </a:cubicBezTo>
                <a:cubicBezTo>
                  <a:pt x="7788292" y="4617369"/>
                  <a:pt x="7802721" y="4604092"/>
                  <a:pt x="7820508" y="4604092"/>
                </a:cubicBezTo>
                <a:cubicBezTo>
                  <a:pt x="7838295" y="4604092"/>
                  <a:pt x="7852712" y="4617369"/>
                  <a:pt x="7852712" y="4633744"/>
                </a:cubicBezTo>
                <a:cubicBezTo>
                  <a:pt x="7852712" y="4650118"/>
                  <a:pt x="7838295" y="4663396"/>
                  <a:pt x="7820508" y="4663396"/>
                </a:cubicBezTo>
                <a:close/>
                <a:moveTo>
                  <a:pt x="7899042" y="4663396"/>
                </a:moveTo>
                <a:cubicBezTo>
                  <a:pt x="7881255" y="4663396"/>
                  <a:pt x="7866826" y="4650118"/>
                  <a:pt x="7866826" y="4633744"/>
                </a:cubicBezTo>
                <a:cubicBezTo>
                  <a:pt x="7866826" y="4617369"/>
                  <a:pt x="7881255" y="4604092"/>
                  <a:pt x="7899042" y="4604092"/>
                </a:cubicBezTo>
                <a:cubicBezTo>
                  <a:pt x="7916830" y="4604092"/>
                  <a:pt x="7931247" y="4617369"/>
                  <a:pt x="7931247" y="4633744"/>
                </a:cubicBezTo>
                <a:cubicBezTo>
                  <a:pt x="7931247" y="4650118"/>
                  <a:pt x="7916830" y="4663396"/>
                  <a:pt x="7899042" y="4663396"/>
                </a:cubicBezTo>
                <a:close/>
                <a:moveTo>
                  <a:pt x="7977576" y="4663396"/>
                </a:moveTo>
                <a:cubicBezTo>
                  <a:pt x="7959788" y="4663396"/>
                  <a:pt x="7945359" y="4650118"/>
                  <a:pt x="7945359" y="4633744"/>
                </a:cubicBezTo>
                <a:cubicBezTo>
                  <a:pt x="7945359" y="4617369"/>
                  <a:pt x="7959788" y="4604092"/>
                  <a:pt x="7977576" y="4604092"/>
                </a:cubicBezTo>
                <a:cubicBezTo>
                  <a:pt x="7995363" y="4604092"/>
                  <a:pt x="8009780" y="4617369"/>
                  <a:pt x="8009780" y="4633744"/>
                </a:cubicBezTo>
                <a:cubicBezTo>
                  <a:pt x="8009780" y="4650118"/>
                  <a:pt x="7995363" y="4663396"/>
                  <a:pt x="7977576" y="4663396"/>
                </a:cubicBezTo>
                <a:close/>
                <a:moveTo>
                  <a:pt x="8056110" y="4663396"/>
                </a:moveTo>
                <a:cubicBezTo>
                  <a:pt x="8038323" y="4663396"/>
                  <a:pt x="8023894" y="4650118"/>
                  <a:pt x="8023894" y="4633744"/>
                </a:cubicBezTo>
                <a:cubicBezTo>
                  <a:pt x="8023894" y="4617369"/>
                  <a:pt x="8038323" y="4604092"/>
                  <a:pt x="8056110" y="4604092"/>
                </a:cubicBezTo>
                <a:cubicBezTo>
                  <a:pt x="8073897" y="4604092"/>
                  <a:pt x="8088314" y="4617369"/>
                  <a:pt x="8088314" y="4633744"/>
                </a:cubicBezTo>
                <a:cubicBezTo>
                  <a:pt x="8088314" y="4650118"/>
                  <a:pt x="8073897" y="4663396"/>
                  <a:pt x="8056110" y="4663396"/>
                </a:cubicBezTo>
                <a:close/>
                <a:moveTo>
                  <a:pt x="8134643" y="4663396"/>
                </a:moveTo>
                <a:cubicBezTo>
                  <a:pt x="8116856" y="4663396"/>
                  <a:pt x="8102427" y="4650118"/>
                  <a:pt x="8102427" y="4633744"/>
                </a:cubicBezTo>
                <a:cubicBezTo>
                  <a:pt x="8102427" y="4617369"/>
                  <a:pt x="8116856" y="4604092"/>
                  <a:pt x="8134643" y="4604092"/>
                </a:cubicBezTo>
                <a:cubicBezTo>
                  <a:pt x="8152430" y="4604092"/>
                  <a:pt x="8166847" y="4617369"/>
                  <a:pt x="8166847" y="4633744"/>
                </a:cubicBezTo>
                <a:cubicBezTo>
                  <a:pt x="8166847" y="4650118"/>
                  <a:pt x="8152430" y="4663396"/>
                  <a:pt x="8134643" y="4663396"/>
                </a:cubicBezTo>
                <a:close/>
                <a:moveTo>
                  <a:pt x="8213177" y="4663396"/>
                </a:moveTo>
                <a:cubicBezTo>
                  <a:pt x="8195390" y="4663396"/>
                  <a:pt x="8180961" y="4650118"/>
                  <a:pt x="8180961" y="4633744"/>
                </a:cubicBezTo>
                <a:cubicBezTo>
                  <a:pt x="8180961" y="4617369"/>
                  <a:pt x="8195390" y="4604092"/>
                  <a:pt x="8213177" y="4604092"/>
                </a:cubicBezTo>
                <a:cubicBezTo>
                  <a:pt x="8230965" y="4604092"/>
                  <a:pt x="8245382" y="4617369"/>
                  <a:pt x="8245382" y="4633744"/>
                </a:cubicBezTo>
                <a:cubicBezTo>
                  <a:pt x="8245382" y="4650118"/>
                  <a:pt x="8230965" y="4663396"/>
                  <a:pt x="8213177" y="4663396"/>
                </a:cubicBezTo>
                <a:close/>
                <a:moveTo>
                  <a:pt x="8291712" y="4663396"/>
                </a:moveTo>
                <a:cubicBezTo>
                  <a:pt x="8273924" y="4663396"/>
                  <a:pt x="8259495" y="4650118"/>
                  <a:pt x="8259495" y="4633744"/>
                </a:cubicBezTo>
                <a:cubicBezTo>
                  <a:pt x="8259495" y="4617369"/>
                  <a:pt x="8273924" y="4604092"/>
                  <a:pt x="8291712" y="4604092"/>
                </a:cubicBezTo>
                <a:cubicBezTo>
                  <a:pt x="8309499" y="4604092"/>
                  <a:pt x="8323916" y="4617369"/>
                  <a:pt x="8323916" y="4633744"/>
                </a:cubicBezTo>
                <a:cubicBezTo>
                  <a:pt x="8323916" y="4650118"/>
                  <a:pt x="8309499" y="4663396"/>
                  <a:pt x="8291712" y="4663396"/>
                </a:cubicBezTo>
                <a:close/>
                <a:moveTo>
                  <a:pt x="8370245" y="4663396"/>
                </a:moveTo>
                <a:cubicBezTo>
                  <a:pt x="8352458" y="4663396"/>
                  <a:pt x="8338029" y="4650118"/>
                  <a:pt x="8338029" y="4633744"/>
                </a:cubicBezTo>
                <a:cubicBezTo>
                  <a:pt x="8338029" y="4617369"/>
                  <a:pt x="8352458" y="4604092"/>
                  <a:pt x="8370245" y="4604092"/>
                </a:cubicBezTo>
                <a:cubicBezTo>
                  <a:pt x="8388032" y="4604092"/>
                  <a:pt x="8402449" y="4617369"/>
                  <a:pt x="8402449" y="4633744"/>
                </a:cubicBezTo>
                <a:cubicBezTo>
                  <a:pt x="8402449" y="4650118"/>
                  <a:pt x="8388032" y="4663396"/>
                  <a:pt x="8370245" y="4663396"/>
                </a:cubicBezTo>
                <a:close/>
                <a:moveTo>
                  <a:pt x="8448779" y="4663396"/>
                </a:moveTo>
                <a:cubicBezTo>
                  <a:pt x="8430992" y="4663396"/>
                  <a:pt x="8416563" y="4650118"/>
                  <a:pt x="8416563" y="4633744"/>
                </a:cubicBezTo>
                <a:cubicBezTo>
                  <a:pt x="8416563" y="4617369"/>
                  <a:pt x="8430992" y="4604092"/>
                  <a:pt x="8448779" y="4604092"/>
                </a:cubicBezTo>
                <a:cubicBezTo>
                  <a:pt x="8466566" y="4604092"/>
                  <a:pt x="8480983" y="4617369"/>
                  <a:pt x="8480983" y="4633744"/>
                </a:cubicBezTo>
                <a:cubicBezTo>
                  <a:pt x="8480983" y="4650118"/>
                  <a:pt x="8466566" y="4663396"/>
                  <a:pt x="8448779" y="4663396"/>
                </a:cubicBezTo>
                <a:close/>
                <a:moveTo>
                  <a:pt x="8527313" y="4663396"/>
                </a:moveTo>
                <a:cubicBezTo>
                  <a:pt x="8509526" y="4663396"/>
                  <a:pt x="8495097" y="4650118"/>
                  <a:pt x="8495097" y="4633744"/>
                </a:cubicBezTo>
                <a:cubicBezTo>
                  <a:pt x="8495097" y="4617369"/>
                  <a:pt x="8509526" y="4604092"/>
                  <a:pt x="8527313" y="4604092"/>
                </a:cubicBezTo>
                <a:cubicBezTo>
                  <a:pt x="8545101" y="4604092"/>
                  <a:pt x="8559518" y="4617369"/>
                  <a:pt x="8559518" y="4633744"/>
                </a:cubicBezTo>
                <a:cubicBezTo>
                  <a:pt x="8559518" y="4650118"/>
                  <a:pt x="8545101" y="4663396"/>
                  <a:pt x="8527313" y="4663396"/>
                </a:cubicBezTo>
                <a:close/>
                <a:moveTo>
                  <a:pt x="8605847" y="4663396"/>
                </a:moveTo>
                <a:cubicBezTo>
                  <a:pt x="8588059" y="4663396"/>
                  <a:pt x="8573630" y="4650118"/>
                  <a:pt x="8573630" y="4633744"/>
                </a:cubicBezTo>
                <a:cubicBezTo>
                  <a:pt x="8573630" y="4617369"/>
                  <a:pt x="8588059" y="4604092"/>
                  <a:pt x="8605847" y="4604092"/>
                </a:cubicBezTo>
                <a:cubicBezTo>
                  <a:pt x="8623634" y="4604092"/>
                  <a:pt x="8638051" y="4617369"/>
                  <a:pt x="8638051" y="4633744"/>
                </a:cubicBezTo>
                <a:cubicBezTo>
                  <a:pt x="8638051" y="4650118"/>
                  <a:pt x="8623634" y="4663396"/>
                  <a:pt x="8605847" y="4663396"/>
                </a:cubicBezTo>
                <a:close/>
                <a:moveTo>
                  <a:pt x="8684381" y="4663396"/>
                </a:moveTo>
                <a:cubicBezTo>
                  <a:pt x="8666594" y="4663396"/>
                  <a:pt x="8652165" y="4650118"/>
                  <a:pt x="8652165" y="4633744"/>
                </a:cubicBezTo>
                <a:cubicBezTo>
                  <a:pt x="8652165" y="4617369"/>
                  <a:pt x="8666594" y="4604092"/>
                  <a:pt x="8684381" y="4604092"/>
                </a:cubicBezTo>
                <a:cubicBezTo>
                  <a:pt x="8702168" y="4604092"/>
                  <a:pt x="8716585" y="4617369"/>
                  <a:pt x="8716585" y="4633744"/>
                </a:cubicBezTo>
                <a:cubicBezTo>
                  <a:pt x="8716585" y="4650118"/>
                  <a:pt x="8702168" y="4663396"/>
                  <a:pt x="8684381" y="4663396"/>
                </a:cubicBezTo>
                <a:close/>
                <a:moveTo>
                  <a:pt x="8762914" y="4663396"/>
                </a:moveTo>
                <a:cubicBezTo>
                  <a:pt x="8745127" y="4663396"/>
                  <a:pt x="8730698" y="4650118"/>
                  <a:pt x="8730698" y="4633744"/>
                </a:cubicBezTo>
                <a:cubicBezTo>
                  <a:pt x="8730698" y="4617369"/>
                  <a:pt x="8745127" y="4604092"/>
                  <a:pt x="8762914" y="4604092"/>
                </a:cubicBezTo>
                <a:cubicBezTo>
                  <a:pt x="8780701" y="4604092"/>
                  <a:pt x="8795118" y="4617369"/>
                  <a:pt x="8795118" y="4633744"/>
                </a:cubicBezTo>
                <a:cubicBezTo>
                  <a:pt x="8795118" y="4650118"/>
                  <a:pt x="8780701" y="4663396"/>
                  <a:pt x="8762914" y="4663396"/>
                </a:cubicBezTo>
                <a:close/>
                <a:moveTo>
                  <a:pt x="8841448" y="4663396"/>
                </a:moveTo>
                <a:cubicBezTo>
                  <a:pt x="8823661" y="4663396"/>
                  <a:pt x="8809232" y="4650118"/>
                  <a:pt x="8809232" y="4633744"/>
                </a:cubicBezTo>
                <a:cubicBezTo>
                  <a:pt x="8809232" y="4617369"/>
                  <a:pt x="8823661" y="4604092"/>
                  <a:pt x="8841448" y="4604092"/>
                </a:cubicBezTo>
                <a:cubicBezTo>
                  <a:pt x="8859236" y="4604092"/>
                  <a:pt x="8873653" y="4617369"/>
                  <a:pt x="8873653" y="4633744"/>
                </a:cubicBezTo>
                <a:cubicBezTo>
                  <a:pt x="8873653" y="4650118"/>
                  <a:pt x="8859236" y="4663396"/>
                  <a:pt x="8841448" y="4663396"/>
                </a:cubicBezTo>
                <a:close/>
                <a:moveTo>
                  <a:pt x="8919983" y="4663396"/>
                </a:moveTo>
                <a:cubicBezTo>
                  <a:pt x="8902195" y="4663396"/>
                  <a:pt x="8887766" y="4650118"/>
                  <a:pt x="8887766" y="4633744"/>
                </a:cubicBezTo>
                <a:cubicBezTo>
                  <a:pt x="8887766" y="4617369"/>
                  <a:pt x="8902195" y="4604092"/>
                  <a:pt x="8919983" y="4604092"/>
                </a:cubicBezTo>
                <a:cubicBezTo>
                  <a:pt x="8937770" y="4604092"/>
                  <a:pt x="8952187" y="4617369"/>
                  <a:pt x="8952187" y="4633744"/>
                </a:cubicBezTo>
                <a:cubicBezTo>
                  <a:pt x="8952187" y="4650118"/>
                  <a:pt x="8937770" y="4663396"/>
                  <a:pt x="8919983" y="4663396"/>
                </a:cubicBezTo>
                <a:close/>
                <a:moveTo>
                  <a:pt x="8998516" y="4663396"/>
                </a:moveTo>
                <a:cubicBezTo>
                  <a:pt x="8980729" y="4663396"/>
                  <a:pt x="8966300" y="4650118"/>
                  <a:pt x="8966300" y="4633744"/>
                </a:cubicBezTo>
                <a:cubicBezTo>
                  <a:pt x="8966300" y="4617369"/>
                  <a:pt x="8980729" y="4604092"/>
                  <a:pt x="8998516" y="4604092"/>
                </a:cubicBezTo>
                <a:cubicBezTo>
                  <a:pt x="9016303" y="4604092"/>
                  <a:pt x="9030720" y="4617369"/>
                  <a:pt x="9030720" y="4633744"/>
                </a:cubicBezTo>
                <a:cubicBezTo>
                  <a:pt x="9030720" y="4650118"/>
                  <a:pt x="9016303" y="4663396"/>
                  <a:pt x="8998516" y="4663396"/>
                </a:cubicBezTo>
                <a:close/>
                <a:moveTo>
                  <a:pt x="9077050" y="4663396"/>
                </a:moveTo>
                <a:cubicBezTo>
                  <a:pt x="9059263" y="4663396"/>
                  <a:pt x="9044834" y="4650118"/>
                  <a:pt x="9044834" y="4633744"/>
                </a:cubicBezTo>
                <a:cubicBezTo>
                  <a:pt x="9044834" y="4617369"/>
                  <a:pt x="9059263" y="4604092"/>
                  <a:pt x="9077050" y="4604092"/>
                </a:cubicBezTo>
                <a:cubicBezTo>
                  <a:pt x="9094837" y="4604092"/>
                  <a:pt x="9109254" y="4617369"/>
                  <a:pt x="9109254" y="4633744"/>
                </a:cubicBezTo>
                <a:cubicBezTo>
                  <a:pt x="9109254" y="4650118"/>
                  <a:pt x="9094837" y="4663396"/>
                  <a:pt x="9077050" y="4663396"/>
                </a:cubicBezTo>
                <a:close/>
                <a:moveTo>
                  <a:pt x="9155583" y="4663396"/>
                </a:moveTo>
                <a:cubicBezTo>
                  <a:pt x="9137796" y="4663396"/>
                  <a:pt x="9123367" y="4650118"/>
                  <a:pt x="9123367" y="4633744"/>
                </a:cubicBezTo>
                <a:cubicBezTo>
                  <a:pt x="9123367" y="4617369"/>
                  <a:pt x="9137796" y="4604092"/>
                  <a:pt x="9155583" y="4604092"/>
                </a:cubicBezTo>
                <a:cubicBezTo>
                  <a:pt x="9173371" y="4604092"/>
                  <a:pt x="9187788" y="4617369"/>
                  <a:pt x="9187788" y="4633744"/>
                </a:cubicBezTo>
                <a:cubicBezTo>
                  <a:pt x="9187788" y="4650118"/>
                  <a:pt x="9173371" y="4663396"/>
                  <a:pt x="9155583" y="4663396"/>
                </a:cubicBezTo>
                <a:close/>
                <a:moveTo>
                  <a:pt x="9234118" y="4663396"/>
                </a:moveTo>
                <a:cubicBezTo>
                  <a:pt x="9216330" y="4663396"/>
                  <a:pt x="9201901" y="4650118"/>
                  <a:pt x="9201901" y="4633744"/>
                </a:cubicBezTo>
                <a:cubicBezTo>
                  <a:pt x="9201901" y="4617369"/>
                  <a:pt x="9216330" y="4604092"/>
                  <a:pt x="9234118" y="4604092"/>
                </a:cubicBezTo>
                <a:cubicBezTo>
                  <a:pt x="9251905" y="4604092"/>
                  <a:pt x="9266322" y="4617369"/>
                  <a:pt x="9266322" y="4633744"/>
                </a:cubicBezTo>
                <a:cubicBezTo>
                  <a:pt x="9266322" y="4650118"/>
                  <a:pt x="9251905" y="4663396"/>
                  <a:pt x="9234118" y="4663396"/>
                </a:cubicBezTo>
                <a:close/>
                <a:moveTo>
                  <a:pt x="9312652" y="4663396"/>
                </a:moveTo>
                <a:cubicBezTo>
                  <a:pt x="9294865" y="4663396"/>
                  <a:pt x="9280436" y="4650118"/>
                  <a:pt x="9280436" y="4633744"/>
                </a:cubicBezTo>
                <a:cubicBezTo>
                  <a:pt x="9280436" y="4617369"/>
                  <a:pt x="9294865" y="4604092"/>
                  <a:pt x="9312652" y="4604092"/>
                </a:cubicBezTo>
                <a:cubicBezTo>
                  <a:pt x="9330439" y="4604092"/>
                  <a:pt x="9344856" y="4617369"/>
                  <a:pt x="9344856" y="4633744"/>
                </a:cubicBezTo>
                <a:cubicBezTo>
                  <a:pt x="9344856" y="4650118"/>
                  <a:pt x="9330439" y="4663396"/>
                  <a:pt x="9312652" y="4663396"/>
                </a:cubicBezTo>
                <a:close/>
                <a:moveTo>
                  <a:pt x="9391185" y="4663396"/>
                </a:moveTo>
                <a:cubicBezTo>
                  <a:pt x="9373398" y="4663396"/>
                  <a:pt x="9358969" y="4650118"/>
                  <a:pt x="9358969" y="4633744"/>
                </a:cubicBezTo>
                <a:cubicBezTo>
                  <a:pt x="9358969" y="4617369"/>
                  <a:pt x="9373398" y="4604092"/>
                  <a:pt x="9391185" y="4604092"/>
                </a:cubicBezTo>
                <a:cubicBezTo>
                  <a:pt x="9408972" y="4604092"/>
                  <a:pt x="9423389" y="4617369"/>
                  <a:pt x="9423389" y="4633744"/>
                </a:cubicBezTo>
                <a:cubicBezTo>
                  <a:pt x="9423389" y="4650118"/>
                  <a:pt x="9408972" y="4663396"/>
                  <a:pt x="9391185" y="4663396"/>
                </a:cubicBezTo>
                <a:close/>
                <a:moveTo>
                  <a:pt x="9469719" y="4663396"/>
                </a:moveTo>
                <a:cubicBezTo>
                  <a:pt x="9451932" y="4663396"/>
                  <a:pt x="9437503" y="4650118"/>
                  <a:pt x="9437503" y="4633744"/>
                </a:cubicBezTo>
                <a:cubicBezTo>
                  <a:pt x="9437503" y="4617369"/>
                  <a:pt x="9451932" y="4604092"/>
                  <a:pt x="9469719" y="4604092"/>
                </a:cubicBezTo>
                <a:cubicBezTo>
                  <a:pt x="9487507" y="4604092"/>
                  <a:pt x="9501924" y="4617369"/>
                  <a:pt x="9501924" y="4633744"/>
                </a:cubicBezTo>
                <a:cubicBezTo>
                  <a:pt x="9501924" y="4650118"/>
                  <a:pt x="9487507" y="4663396"/>
                  <a:pt x="9469719" y="4663396"/>
                </a:cubicBezTo>
                <a:close/>
                <a:moveTo>
                  <a:pt x="10019456" y="4663396"/>
                </a:moveTo>
                <a:cubicBezTo>
                  <a:pt x="10001669" y="4663396"/>
                  <a:pt x="9987240" y="4650118"/>
                  <a:pt x="9987240" y="4633744"/>
                </a:cubicBezTo>
                <a:cubicBezTo>
                  <a:pt x="9987240" y="4617369"/>
                  <a:pt x="10001669" y="4604092"/>
                  <a:pt x="10019456" y="4604092"/>
                </a:cubicBezTo>
                <a:cubicBezTo>
                  <a:pt x="10037243" y="4604092"/>
                  <a:pt x="10051660" y="4617369"/>
                  <a:pt x="10051660" y="4633744"/>
                </a:cubicBezTo>
                <a:cubicBezTo>
                  <a:pt x="10051660" y="4650118"/>
                  <a:pt x="10037243" y="4663396"/>
                  <a:pt x="10019456" y="4663396"/>
                </a:cubicBezTo>
                <a:close/>
                <a:moveTo>
                  <a:pt x="10097990" y="4663396"/>
                </a:moveTo>
                <a:cubicBezTo>
                  <a:pt x="10080203" y="4663396"/>
                  <a:pt x="10065774" y="4650118"/>
                  <a:pt x="10065774" y="4633744"/>
                </a:cubicBezTo>
                <a:cubicBezTo>
                  <a:pt x="10065774" y="4617369"/>
                  <a:pt x="10080203" y="4604092"/>
                  <a:pt x="10097990" y="4604092"/>
                </a:cubicBezTo>
                <a:cubicBezTo>
                  <a:pt x="10115778" y="4604092"/>
                  <a:pt x="10130195" y="4617369"/>
                  <a:pt x="10130195" y="4633744"/>
                </a:cubicBezTo>
                <a:cubicBezTo>
                  <a:pt x="10130195" y="4650118"/>
                  <a:pt x="10115778" y="4663396"/>
                  <a:pt x="10097990" y="4663396"/>
                </a:cubicBezTo>
                <a:close/>
                <a:moveTo>
                  <a:pt x="10176524" y="4663396"/>
                </a:moveTo>
                <a:cubicBezTo>
                  <a:pt x="10158736" y="4663396"/>
                  <a:pt x="10144307" y="4650118"/>
                  <a:pt x="10144307" y="4633744"/>
                </a:cubicBezTo>
                <a:cubicBezTo>
                  <a:pt x="10144307" y="4617369"/>
                  <a:pt x="10158736" y="4604092"/>
                  <a:pt x="10176524" y="4604092"/>
                </a:cubicBezTo>
                <a:cubicBezTo>
                  <a:pt x="10194311" y="4604092"/>
                  <a:pt x="10208728" y="4617369"/>
                  <a:pt x="10208728" y="4633744"/>
                </a:cubicBezTo>
                <a:cubicBezTo>
                  <a:pt x="10208728" y="4650118"/>
                  <a:pt x="10194311" y="4663396"/>
                  <a:pt x="10176524" y="4663396"/>
                </a:cubicBezTo>
                <a:close/>
                <a:moveTo>
                  <a:pt x="10333592" y="4663396"/>
                </a:moveTo>
                <a:cubicBezTo>
                  <a:pt x="10315805" y="4663396"/>
                  <a:pt x="10301376" y="4650118"/>
                  <a:pt x="10301376" y="4633744"/>
                </a:cubicBezTo>
                <a:cubicBezTo>
                  <a:pt x="10301376" y="4617369"/>
                  <a:pt x="10315805" y="4604092"/>
                  <a:pt x="10333592" y="4604092"/>
                </a:cubicBezTo>
                <a:cubicBezTo>
                  <a:pt x="10351379" y="4604092"/>
                  <a:pt x="10365796" y="4617369"/>
                  <a:pt x="10365796" y="4633744"/>
                </a:cubicBezTo>
                <a:cubicBezTo>
                  <a:pt x="10365796" y="4650118"/>
                  <a:pt x="10351379" y="4663396"/>
                  <a:pt x="10333592" y="4663396"/>
                </a:cubicBezTo>
                <a:close/>
                <a:moveTo>
                  <a:pt x="1302170" y="4591131"/>
                </a:moveTo>
                <a:cubicBezTo>
                  <a:pt x="1284383" y="4591131"/>
                  <a:pt x="1269960" y="4577854"/>
                  <a:pt x="1269960" y="4561479"/>
                </a:cubicBezTo>
                <a:cubicBezTo>
                  <a:pt x="1269960" y="4545104"/>
                  <a:pt x="1284383" y="4531827"/>
                  <a:pt x="1302170" y="4531827"/>
                </a:cubicBezTo>
                <a:cubicBezTo>
                  <a:pt x="1319958" y="4531827"/>
                  <a:pt x="1334381" y="4545104"/>
                  <a:pt x="1334381" y="4561479"/>
                </a:cubicBezTo>
                <a:cubicBezTo>
                  <a:pt x="1334381" y="4577854"/>
                  <a:pt x="1319958" y="4591131"/>
                  <a:pt x="1302170" y="4591131"/>
                </a:cubicBezTo>
                <a:close/>
                <a:moveTo>
                  <a:pt x="1380704" y="4591131"/>
                </a:moveTo>
                <a:cubicBezTo>
                  <a:pt x="1362916" y="4591131"/>
                  <a:pt x="1348493" y="4577854"/>
                  <a:pt x="1348493" y="4561479"/>
                </a:cubicBezTo>
                <a:cubicBezTo>
                  <a:pt x="1348493" y="4545104"/>
                  <a:pt x="1362916" y="4531827"/>
                  <a:pt x="1380704" y="4531827"/>
                </a:cubicBezTo>
                <a:cubicBezTo>
                  <a:pt x="1398491" y="4531827"/>
                  <a:pt x="1412914" y="4545104"/>
                  <a:pt x="1412914" y="4561479"/>
                </a:cubicBezTo>
                <a:cubicBezTo>
                  <a:pt x="1412914" y="4577854"/>
                  <a:pt x="1398491" y="4591131"/>
                  <a:pt x="1380704" y="4591131"/>
                </a:cubicBezTo>
                <a:close/>
                <a:moveTo>
                  <a:pt x="1459238" y="4591131"/>
                </a:moveTo>
                <a:cubicBezTo>
                  <a:pt x="1441451" y="4591131"/>
                  <a:pt x="1427027" y="4577854"/>
                  <a:pt x="1427027" y="4561479"/>
                </a:cubicBezTo>
                <a:cubicBezTo>
                  <a:pt x="1427027" y="4545104"/>
                  <a:pt x="1441451" y="4531827"/>
                  <a:pt x="1459238" y="4531827"/>
                </a:cubicBezTo>
                <a:cubicBezTo>
                  <a:pt x="1477025" y="4531827"/>
                  <a:pt x="1491448" y="4545104"/>
                  <a:pt x="1491448" y="4561479"/>
                </a:cubicBezTo>
                <a:cubicBezTo>
                  <a:pt x="1491448" y="4577854"/>
                  <a:pt x="1477025" y="4591131"/>
                  <a:pt x="1459238" y="4591131"/>
                </a:cubicBezTo>
                <a:close/>
                <a:moveTo>
                  <a:pt x="1537772" y="4591131"/>
                </a:moveTo>
                <a:cubicBezTo>
                  <a:pt x="1519985" y="4591131"/>
                  <a:pt x="1505562" y="4577854"/>
                  <a:pt x="1505562" y="4561479"/>
                </a:cubicBezTo>
                <a:cubicBezTo>
                  <a:pt x="1505562" y="4545104"/>
                  <a:pt x="1519985" y="4531827"/>
                  <a:pt x="1537772" y="4531827"/>
                </a:cubicBezTo>
                <a:cubicBezTo>
                  <a:pt x="1555559" y="4531827"/>
                  <a:pt x="1569982" y="4545104"/>
                  <a:pt x="1569982" y="4561479"/>
                </a:cubicBezTo>
                <a:cubicBezTo>
                  <a:pt x="1569982" y="4577854"/>
                  <a:pt x="1555559" y="4591131"/>
                  <a:pt x="1537772" y="4591131"/>
                </a:cubicBezTo>
                <a:close/>
                <a:moveTo>
                  <a:pt x="2480181" y="4591131"/>
                </a:moveTo>
                <a:cubicBezTo>
                  <a:pt x="2462394" y="4591131"/>
                  <a:pt x="2447971" y="4577854"/>
                  <a:pt x="2447971" y="4561479"/>
                </a:cubicBezTo>
                <a:cubicBezTo>
                  <a:pt x="2447971" y="4545104"/>
                  <a:pt x="2462394" y="4531827"/>
                  <a:pt x="2480181" y="4531827"/>
                </a:cubicBezTo>
                <a:cubicBezTo>
                  <a:pt x="2497968" y="4531827"/>
                  <a:pt x="2512391" y="4545104"/>
                  <a:pt x="2512391" y="4561479"/>
                </a:cubicBezTo>
                <a:cubicBezTo>
                  <a:pt x="2512391" y="4577854"/>
                  <a:pt x="2497968" y="4591131"/>
                  <a:pt x="2480181" y="4591131"/>
                </a:cubicBezTo>
                <a:close/>
                <a:moveTo>
                  <a:pt x="2558715" y="4591131"/>
                </a:moveTo>
                <a:cubicBezTo>
                  <a:pt x="2540928" y="4591131"/>
                  <a:pt x="2526505" y="4577854"/>
                  <a:pt x="2526505" y="4561479"/>
                </a:cubicBezTo>
                <a:cubicBezTo>
                  <a:pt x="2526505" y="4545104"/>
                  <a:pt x="2540928" y="4531827"/>
                  <a:pt x="2558715" y="4531827"/>
                </a:cubicBezTo>
                <a:cubicBezTo>
                  <a:pt x="2576503" y="4531827"/>
                  <a:pt x="2590926" y="4545104"/>
                  <a:pt x="2590926" y="4561479"/>
                </a:cubicBezTo>
                <a:cubicBezTo>
                  <a:pt x="2590926" y="4577854"/>
                  <a:pt x="2576503" y="4591131"/>
                  <a:pt x="2558715" y="4591131"/>
                </a:cubicBezTo>
                <a:close/>
                <a:moveTo>
                  <a:pt x="2637243" y="4591131"/>
                </a:moveTo>
                <a:cubicBezTo>
                  <a:pt x="2619455" y="4591131"/>
                  <a:pt x="2605032" y="4577854"/>
                  <a:pt x="2605032" y="4561479"/>
                </a:cubicBezTo>
                <a:cubicBezTo>
                  <a:pt x="2605032" y="4545104"/>
                  <a:pt x="2619455" y="4531827"/>
                  <a:pt x="2637243" y="4531827"/>
                </a:cubicBezTo>
                <a:cubicBezTo>
                  <a:pt x="2655030" y="4531827"/>
                  <a:pt x="2669453" y="4545104"/>
                  <a:pt x="2669453" y="4561479"/>
                </a:cubicBezTo>
                <a:cubicBezTo>
                  <a:pt x="2669453" y="4577854"/>
                  <a:pt x="2655030" y="4591131"/>
                  <a:pt x="2637243" y="4591131"/>
                </a:cubicBezTo>
                <a:close/>
                <a:moveTo>
                  <a:pt x="2715777" y="4591131"/>
                </a:moveTo>
                <a:cubicBezTo>
                  <a:pt x="2697990" y="4591131"/>
                  <a:pt x="2683566" y="4577854"/>
                  <a:pt x="2683566" y="4561479"/>
                </a:cubicBezTo>
                <a:cubicBezTo>
                  <a:pt x="2683566" y="4545104"/>
                  <a:pt x="2697990" y="4531827"/>
                  <a:pt x="2715777" y="4531827"/>
                </a:cubicBezTo>
                <a:cubicBezTo>
                  <a:pt x="2733564" y="4531827"/>
                  <a:pt x="2747987" y="4545104"/>
                  <a:pt x="2747987" y="4561479"/>
                </a:cubicBezTo>
                <a:cubicBezTo>
                  <a:pt x="2747987" y="4577854"/>
                  <a:pt x="2733564" y="4591131"/>
                  <a:pt x="2715777" y="4591131"/>
                </a:cubicBezTo>
                <a:close/>
                <a:moveTo>
                  <a:pt x="2794310" y="4591131"/>
                </a:moveTo>
                <a:cubicBezTo>
                  <a:pt x="2776523" y="4591131"/>
                  <a:pt x="2762100" y="4577854"/>
                  <a:pt x="2762100" y="4561479"/>
                </a:cubicBezTo>
                <a:cubicBezTo>
                  <a:pt x="2762100" y="4545104"/>
                  <a:pt x="2776523" y="4531827"/>
                  <a:pt x="2794310" y="4531827"/>
                </a:cubicBezTo>
                <a:cubicBezTo>
                  <a:pt x="2812097" y="4531827"/>
                  <a:pt x="2826520" y="4545104"/>
                  <a:pt x="2826520" y="4561479"/>
                </a:cubicBezTo>
                <a:cubicBezTo>
                  <a:pt x="2826520" y="4577854"/>
                  <a:pt x="2812097" y="4591131"/>
                  <a:pt x="2794310" y="4591131"/>
                </a:cubicBezTo>
                <a:close/>
                <a:moveTo>
                  <a:pt x="2872844" y="4591131"/>
                </a:moveTo>
                <a:cubicBezTo>
                  <a:pt x="2855057" y="4591131"/>
                  <a:pt x="2840634" y="4577854"/>
                  <a:pt x="2840634" y="4561479"/>
                </a:cubicBezTo>
                <a:cubicBezTo>
                  <a:pt x="2840634" y="4545104"/>
                  <a:pt x="2855057" y="4531827"/>
                  <a:pt x="2872844" y="4531827"/>
                </a:cubicBezTo>
                <a:cubicBezTo>
                  <a:pt x="2890632" y="4531827"/>
                  <a:pt x="2905055" y="4545104"/>
                  <a:pt x="2905055" y="4561479"/>
                </a:cubicBezTo>
                <a:cubicBezTo>
                  <a:pt x="2905055" y="4577854"/>
                  <a:pt x="2890632" y="4591131"/>
                  <a:pt x="2872844" y="4591131"/>
                </a:cubicBezTo>
                <a:close/>
                <a:moveTo>
                  <a:pt x="2951379" y="4591131"/>
                </a:moveTo>
                <a:cubicBezTo>
                  <a:pt x="2933591" y="4591131"/>
                  <a:pt x="2919168" y="4577854"/>
                  <a:pt x="2919168" y="4561479"/>
                </a:cubicBezTo>
                <a:cubicBezTo>
                  <a:pt x="2919168" y="4545104"/>
                  <a:pt x="2933591" y="4531827"/>
                  <a:pt x="2951379" y="4531827"/>
                </a:cubicBezTo>
                <a:cubicBezTo>
                  <a:pt x="2969166" y="4531827"/>
                  <a:pt x="2983589" y="4545104"/>
                  <a:pt x="2983589" y="4561479"/>
                </a:cubicBezTo>
                <a:cubicBezTo>
                  <a:pt x="2983589" y="4577854"/>
                  <a:pt x="2969166" y="4591131"/>
                  <a:pt x="2951379" y="4591131"/>
                </a:cubicBezTo>
                <a:close/>
                <a:moveTo>
                  <a:pt x="3029912" y="4591131"/>
                </a:moveTo>
                <a:cubicBezTo>
                  <a:pt x="3012125" y="4591131"/>
                  <a:pt x="2997701" y="4577854"/>
                  <a:pt x="2997701" y="4561479"/>
                </a:cubicBezTo>
                <a:cubicBezTo>
                  <a:pt x="2997701" y="4545104"/>
                  <a:pt x="3012125" y="4531827"/>
                  <a:pt x="3029912" y="4531827"/>
                </a:cubicBezTo>
                <a:cubicBezTo>
                  <a:pt x="3047699" y="4531827"/>
                  <a:pt x="3062122" y="4545104"/>
                  <a:pt x="3062122" y="4561479"/>
                </a:cubicBezTo>
                <a:cubicBezTo>
                  <a:pt x="3062122" y="4577854"/>
                  <a:pt x="3047699" y="4591131"/>
                  <a:pt x="3029912" y="4591131"/>
                </a:cubicBezTo>
                <a:close/>
                <a:moveTo>
                  <a:pt x="3108446" y="4591131"/>
                </a:moveTo>
                <a:cubicBezTo>
                  <a:pt x="3090659" y="4591131"/>
                  <a:pt x="3076236" y="4577854"/>
                  <a:pt x="3076236" y="4561479"/>
                </a:cubicBezTo>
                <a:cubicBezTo>
                  <a:pt x="3076236" y="4545104"/>
                  <a:pt x="3090659" y="4531827"/>
                  <a:pt x="3108446" y="4531827"/>
                </a:cubicBezTo>
                <a:cubicBezTo>
                  <a:pt x="3126233" y="4531827"/>
                  <a:pt x="3140656" y="4545104"/>
                  <a:pt x="3140656" y="4561479"/>
                </a:cubicBezTo>
                <a:cubicBezTo>
                  <a:pt x="3140656" y="4577854"/>
                  <a:pt x="3126233" y="4591131"/>
                  <a:pt x="3108446" y="4591131"/>
                </a:cubicBezTo>
                <a:close/>
                <a:moveTo>
                  <a:pt x="3186979" y="4591131"/>
                </a:moveTo>
                <a:cubicBezTo>
                  <a:pt x="3169192" y="4591131"/>
                  <a:pt x="3154769" y="4577854"/>
                  <a:pt x="3154769" y="4561479"/>
                </a:cubicBezTo>
                <a:cubicBezTo>
                  <a:pt x="3154769" y="4545104"/>
                  <a:pt x="3169192" y="4531827"/>
                  <a:pt x="3186979" y="4531827"/>
                </a:cubicBezTo>
                <a:cubicBezTo>
                  <a:pt x="3204767" y="4531827"/>
                  <a:pt x="3219190" y="4545104"/>
                  <a:pt x="3219190" y="4561479"/>
                </a:cubicBezTo>
                <a:cubicBezTo>
                  <a:pt x="3219190" y="4577854"/>
                  <a:pt x="3204767" y="4591131"/>
                  <a:pt x="3186979" y="4591131"/>
                </a:cubicBezTo>
                <a:close/>
                <a:moveTo>
                  <a:pt x="3344048" y="4591131"/>
                </a:moveTo>
                <a:cubicBezTo>
                  <a:pt x="3326261" y="4591131"/>
                  <a:pt x="3311837" y="4577854"/>
                  <a:pt x="3311837" y="4561479"/>
                </a:cubicBezTo>
                <a:cubicBezTo>
                  <a:pt x="3311837" y="4545104"/>
                  <a:pt x="3326261" y="4531827"/>
                  <a:pt x="3344048" y="4531827"/>
                </a:cubicBezTo>
                <a:cubicBezTo>
                  <a:pt x="3361835" y="4531827"/>
                  <a:pt x="3376258" y="4545104"/>
                  <a:pt x="3376258" y="4561479"/>
                </a:cubicBezTo>
                <a:cubicBezTo>
                  <a:pt x="3376258" y="4577854"/>
                  <a:pt x="3361835" y="4591131"/>
                  <a:pt x="3344048" y="4591131"/>
                </a:cubicBezTo>
                <a:close/>
                <a:moveTo>
                  <a:pt x="3422581" y="4591131"/>
                </a:moveTo>
                <a:cubicBezTo>
                  <a:pt x="3404794" y="4591131"/>
                  <a:pt x="3390371" y="4577854"/>
                  <a:pt x="3390371" y="4561479"/>
                </a:cubicBezTo>
                <a:cubicBezTo>
                  <a:pt x="3390371" y="4545104"/>
                  <a:pt x="3404794" y="4531827"/>
                  <a:pt x="3422581" y="4531827"/>
                </a:cubicBezTo>
                <a:cubicBezTo>
                  <a:pt x="3440368" y="4531827"/>
                  <a:pt x="3454791" y="4545104"/>
                  <a:pt x="3454791" y="4561479"/>
                </a:cubicBezTo>
                <a:cubicBezTo>
                  <a:pt x="3454791" y="4577854"/>
                  <a:pt x="3440368" y="4591131"/>
                  <a:pt x="3422581" y="4591131"/>
                </a:cubicBezTo>
                <a:close/>
                <a:moveTo>
                  <a:pt x="3501115" y="4591131"/>
                </a:moveTo>
                <a:cubicBezTo>
                  <a:pt x="3483328" y="4591131"/>
                  <a:pt x="3468905" y="4577854"/>
                  <a:pt x="3468905" y="4561479"/>
                </a:cubicBezTo>
                <a:cubicBezTo>
                  <a:pt x="3468905" y="4545104"/>
                  <a:pt x="3483328" y="4531827"/>
                  <a:pt x="3501115" y="4531827"/>
                </a:cubicBezTo>
                <a:cubicBezTo>
                  <a:pt x="3518903" y="4531827"/>
                  <a:pt x="3533326" y="4545104"/>
                  <a:pt x="3533326" y="4561479"/>
                </a:cubicBezTo>
                <a:cubicBezTo>
                  <a:pt x="3533326" y="4577854"/>
                  <a:pt x="3518903" y="4591131"/>
                  <a:pt x="3501115" y="4591131"/>
                </a:cubicBezTo>
                <a:close/>
                <a:moveTo>
                  <a:pt x="4050852" y="4591131"/>
                </a:moveTo>
                <a:cubicBezTo>
                  <a:pt x="4033065" y="4591131"/>
                  <a:pt x="4018642" y="4577854"/>
                  <a:pt x="4018642" y="4561479"/>
                </a:cubicBezTo>
                <a:cubicBezTo>
                  <a:pt x="4018642" y="4545104"/>
                  <a:pt x="4033065" y="4531827"/>
                  <a:pt x="4050852" y="4531827"/>
                </a:cubicBezTo>
                <a:cubicBezTo>
                  <a:pt x="4068639" y="4531827"/>
                  <a:pt x="4083062" y="4545104"/>
                  <a:pt x="4083062" y="4561479"/>
                </a:cubicBezTo>
                <a:cubicBezTo>
                  <a:pt x="4083062" y="4577854"/>
                  <a:pt x="4068639" y="4591131"/>
                  <a:pt x="4050852" y="4591131"/>
                </a:cubicBezTo>
                <a:close/>
                <a:moveTo>
                  <a:pt x="4129386" y="4591131"/>
                </a:moveTo>
                <a:cubicBezTo>
                  <a:pt x="4111599" y="4591131"/>
                  <a:pt x="4097176" y="4577854"/>
                  <a:pt x="4097176" y="4561479"/>
                </a:cubicBezTo>
                <a:cubicBezTo>
                  <a:pt x="4097176" y="4545104"/>
                  <a:pt x="4111599" y="4531827"/>
                  <a:pt x="4129386" y="4531827"/>
                </a:cubicBezTo>
                <a:cubicBezTo>
                  <a:pt x="4147174" y="4531827"/>
                  <a:pt x="4161597" y="4545104"/>
                  <a:pt x="4161597" y="4561479"/>
                </a:cubicBezTo>
                <a:cubicBezTo>
                  <a:pt x="4161597" y="4577854"/>
                  <a:pt x="4147174" y="4591131"/>
                  <a:pt x="4129386" y="4591131"/>
                </a:cubicBezTo>
                <a:close/>
                <a:moveTo>
                  <a:pt x="4757663" y="4591131"/>
                </a:moveTo>
                <a:cubicBezTo>
                  <a:pt x="4739876" y="4591131"/>
                  <a:pt x="4725453" y="4577854"/>
                  <a:pt x="4725453" y="4561479"/>
                </a:cubicBezTo>
                <a:cubicBezTo>
                  <a:pt x="4725453" y="4545104"/>
                  <a:pt x="4739876" y="4531827"/>
                  <a:pt x="4757663" y="4531827"/>
                </a:cubicBezTo>
                <a:cubicBezTo>
                  <a:pt x="4775451" y="4531827"/>
                  <a:pt x="4789874" y="4545104"/>
                  <a:pt x="4789874" y="4561479"/>
                </a:cubicBezTo>
                <a:cubicBezTo>
                  <a:pt x="4789874" y="4577854"/>
                  <a:pt x="4775451" y="4591131"/>
                  <a:pt x="4757663" y="4591131"/>
                </a:cubicBezTo>
                <a:close/>
                <a:moveTo>
                  <a:pt x="4836197" y="4591131"/>
                </a:moveTo>
                <a:cubicBezTo>
                  <a:pt x="4818409" y="4591131"/>
                  <a:pt x="4803986" y="4577854"/>
                  <a:pt x="4803986" y="4561479"/>
                </a:cubicBezTo>
                <a:cubicBezTo>
                  <a:pt x="4803986" y="4545104"/>
                  <a:pt x="4818409" y="4531827"/>
                  <a:pt x="4836197" y="4531827"/>
                </a:cubicBezTo>
                <a:cubicBezTo>
                  <a:pt x="4853984" y="4531827"/>
                  <a:pt x="4868407" y="4545104"/>
                  <a:pt x="4868407" y="4561479"/>
                </a:cubicBezTo>
                <a:cubicBezTo>
                  <a:pt x="4868407" y="4577854"/>
                  <a:pt x="4853984" y="4591131"/>
                  <a:pt x="4836197" y="4591131"/>
                </a:cubicBezTo>
                <a:close/>
                <a:moveTo>
                  <a:pt x="6171273" y="4591131"/>
                </a:moveTo>
                <a:cubicBezTo>
                  <a:pt x="6153486" y="4591131"/>
                  <a:pt x="6139056" y="4577854"/>
                  <a:pt x="6139056" y="4561479"/>
                </a:cubicBezTo>
                <a:cubicBezTo>
                  <a:pt x="6139056" y="4545104"/>
                  <a:pt x="6153486" y="4531827"/>
                  <a:pt x="6171273" y="4531827"/>
                </a:cubicBezTo>
                <a:cubicBezTo>
                  <a:pt x="6189060" y="4531827"/>
                  <a:pt x="6203477" y="4545104"/>
                  <a:pt x="6203477" y="4561479"/>
                </a:cubicBezTo>
                <a:cubicBezTo>
                  <a:pt x="6203477" y="4577854"/>
                  <a:pt x="6189060" y="4591131"/>
                  <a:pt x="6171273" y="4591131"/>
                </a:cubicBezTo>
                <a:close/>
                <a:moveTo>
                  <a:pt x="6249806" y="4591131"/>
                </a:moveTo>
                <a:cubicBezTo>
                  <a:pt x="6232019" y="4591131"/>
                  <a:pt x="6217590" y="4577854"/>
                  <a:pt x="6217590" y="4561479"/>
                </a:cubicBezTo>
                <a:cubicBezTo>
                  <a:pt x="6217590" y="4545104"/>
                  <a:pt x="6232019" y="4531827"/>
                  <a:pt x="6249806" y="4531827"/>
                </a:cubicBezTo>
                <a:cubicBezTo>
                  <a:pt x="6267593" y="4531827"/>
                  <a:pt x="6282010" y="4545104"/>
                  <a:pt x="6282010" y="4561479"/>
                </a:cubicBezTo>
                <a:cubicBezTo>
                  <a:pt x="6282010" y="4577854"/>
                  <a:pt x="6267593" y="4591131"/>
                  <a:pt x="6249806" y="4591131"/>
                </a:cubicBezTo>
                <a:close/>
                <a:moveTo>
                  <a:pt x="6328340" y="4591131"/>
                </a:moveTo>
                <a:cubicBezTo>
                  <a:pt x="6310553" y="4591131"/>
                  <a:pt x="6296124" y="4577854"/>
                  <a:pt x="6296124" y="4561479"/>
                </a:cubicBezTo>
                <a:cubicBezTo>
                  <a:pt x="6296124" y="4545104"/>
                  <a:pt x="6310553" y="4531827"/>
                  <a:pt x="6328340" y="4531827"/>
                </a:cubicBezTo>
                <a:cubicBezTo>
                  <a:pt x="6346128" y="4531827"/>
                  <a:pt x="6360545" y="4545104"/>
                  <a:pt x="6360545" y="4561479"/>
                </a:cubicBezTo>
                <a:cubicBezTo>
                  <a:pt x="6360545" y="4577854"/>
                  <a:pt x="6346128" y="4591131"/>
                  <a:pt x="6328340" y="4591131"/>
                </a:cubicBezTo>
                <a:close/>
                <a:moveTo>
                  <a:pt x="6485408" y="4591131"/>
                </a:moveTo>
                <a:cubicBezTo>
                  <a:pt x="6467621" y="4591131"/>
                  <a:pt x="6453191" y="4577854"/>
                  <a:pt x="6453191" y="4561479"/>
                </a:cubicBezTo>
                <a:cubicBezTo>
                  <a:pt x="6453191" y="4545104"/>
                  <a:pt x="6467621" y="4531827"/>
                  <a:pt x="6485408" y="4531827"/>
                </a:cubicBezTo>
                <a:cubicBezTo>
                  <a:pt x="6503195" y="4531827"/>
                  <a:pt x="6517612" y="4545104"/>
                  <a:pt x="6517612" y="4561479"/>
                </a:cubicBezTo>
                <a:cubicBezTo>
                  <a:pt x="6517612" y="4577854"/>
                  <a:pt x="6503195" y="4591131"/>
                  <a:pt x="6485408" y="4591131"/>
                </a:cubicBezTo>
                <a:close/>
                <a:moveTo>
                  <a:pt x="6721010" y="4591131"/>
                </a:moveTo>
                <a:cubicBezTo>
                  <a:pt x="6703222" y="4591131"/>
                  <a:pt x="6688793" y="4577854"/>
                  <a:pt x="6688793" y="4561479"/>
                </a:cubicBezTo>
                <a:cubicBezTo>
                  <a:pt x="6688793" y="4545104"/>
                  <a:pt x="6703222" y="4531827"/>
                  <a:pt x="6721010" y="4531827"/>
                </a:cubicBezTo>
                <a:cubicBezTo>
                  <a:pt x="6738797" y="4531827"/>
                  <a:pt x="6753214" y="4545104"/>
                  <a:pt x="6753214" y="4561479"/>
                </a:cubicBezTo>
                <a:cubicBezTo>
                  <a:pt x="6753214" y="4577854"/>
                  <a:pt x="6738797" y="4591131"/>
                  <a:pt x="6721010" y="4591131"/>
                </a:cubicBezTo>
                <a:close/>
                <a:moveTo>
                  <a:pt x="6878077" y="4591131"/>
                </a:moveTo>
                <a:cubicBezTo>
                  <a:pt x="6860290" y="4591131"/>
                  <a:pt x="6845861" y="4577854"/>
                  <a:pt x="6845861" y="4561479"/>
                </a:cubicBezTo>
                <a:cubicBezTo>
                  <a:pt x="6845861" y="4545104"/>
                  <a:pt x="6860290" y="4531827"/>
                  <a:pt x="6878077" y="4531827"/>
                </a:cubicBezTo>
                <a:cubicBezTo>
                  <a:pt x="6895864" y="4531827"/>
                  <a:pt x="6910281" y="4545104"/>
                  <a:pt x="6910281" y="4561479"/>
                </a:cubicBezTo>
                <a:cubicBezTo>
                  <a:pt x="6910281" y="4577854"/>
                  <a:pt x="6895864" y="4591131"/>
                  <a:pt x="6878077" y="4591131"/>
                </a:cubicBezTo>
                <a:close/>
                <a:moveTo>
                  <a:pt x="6956611" y="4591131"/>
                </a:moveTo>
                <a:cubicBezTo>
                  <a:pt x="6938824" y="4591131"/>
                  <a:pt x="6924395" y="4577854"/>
                  <a:pt x="6924395" y="4561479"/>
                </a:cubicBezTo>
                <a:cubicBezTo>
                  <a:pt x="6924395" y="4545104"/>
                  <a:pt x="6938824" y="4531827"/>
                  <a:pt x="6956611" y="4531827"/>
                </a:cubicBezTo>
                <a:cubicBezTo>
                  <a:pt x="6974399" y="4531827"/>
                  <a:pt x="6988816" y="4545104"/>
                  <a:pt x="6988816" y="4561479"/>
                </a:cubicBezTo>
                <a:cubicBezTo>
                  <a:pt x="6988816" y="4577854"/>
                  <a:pt x="6974399" y="4591131"/>
                  <a:pt x="6956611" y="4591131"/>
                </a:cubicBezTo>
                <a:close/>
                <a:moveTo>
                  <a:pt x="7035146" y="4591131"/>
                </a:moveTo>
                <a:cubicBezTo>
                  <a:pt x="7017358" y="4591131"/>
                  <a:pt x="7002929" y="4577854"/>
                  <a:pt x="7002929" y="4561479"/>
                </a:cubicBezTo>
                <a:cubicBezTo>
                  <a:pt x="7002929" y="4545104"/>
                  <a:pt x="7017358" y="4531827"/>
                  <a:pt x="7035146" y="4531827"/>
                </a:cubicBezTo>
                <a:cubicBezTo>
                  <a:pt x="7052933" y="4531827"/>
                  <a:pt x="7067350" y="4545104"/>
                  <a:pt x="7067350" y="4561479"/>
                </a:cubicBezTo>
                <a:cubicBezTo>
                  <a:pt x="7067350" y="4577854"/>
                  <a:pt x="7052933" y="4591131"/>
                  <a:pt x="7035146" y="4591131"/>
                </a:cubicBezTo>
                <a:close/>
                <a:moveTo>
                  <a:pt x="7113703" y="4591131"/>
                </a:moveTo>
                <a:cubicBezTo>
                  <a:pt x="7095916" y="4591131"/>
                  <a:pt x="7081487" y="4577854"/>
                  <a:pt x="7081487" y="4561479"/>
                </a:cubicBezTo>
                <a:cubicBezTo>
                  <a:pt x="7081487" y="4545104"/>
                  <a:pt x="7095916" y="4531827"/>
                  <a:pt x="7113703" y="4531827"/>
                </a:cubicBezTo>
                <a:cubicBezTo>
                  <a:pt x="7131490" y="4531827"/>
                  <a:pt x="7145907" y="4545104"/>
                  <a:pt x="7145907" y="4561479"/>
                </a:cubicBezTo>
                <a:cubicBezTo>
                  <a:pt x="7145907" y="4577854"/>
                  <a:pt x="7131490" y="4591131"/>
                  <a:pt x="7113703" y="4591131"/>
                </a:cubicBezTo>
                <a:close/>
                <a:moveTo>
                  <a:pt x="7192237" y="4591131"/>
                </a:moveTo>
                <a:cubicBezTo>
                  <a:pt x="7174450" y="4591131"/>
                  <a:pt x="7160021" y="4577854"/>
                  <a:pt x="7160021" y="4561479"/>
                </a:cubicBezTo>
                <a:cubicBezTo>
                  <a:pt x="7160021" y="4545104"/>
                  <a:pt x="7174450" y="4531827"/>
                  <a:pt x="7192237" y="4531827"/>
                </a:cubicBezTo>
                <a:cubicBezTo>
                  <a:pt x="7210024" y="4531827"/>
                  <a:pt x="7224441" y="4545104"/>
                  <a:pt x="7224441" y="4561479"/>
                </a:cubicBezTo>
                <a:cubicBezTo>
                  <a:pt x="7224441" y="4577854"/>
                  <a:pt x="7210024" y="4591131"/>
                  <a:pt x="7192237" y="4591131"/>
                </a:cubicBezTo>
                <a:close/>
                <a:moveTo>
                  <a:pt x="7270771" y="4591131"/>
                </a:moveTo>
                <a:cubicBezTo>
                  <a:pt x="7252984" y="4591131"/>
                  <a:pt x="7238555" y="4577854"/>
                  <a:pt x="7238555" y="4561479"/>
                </a:cubicBezTo>
                <a:cubicBezTo>
                  <a:pt x="7238555" y="4545104"/>
                  <a:pt x="7252984" y="4531827"/>
                  <a:pt x="7270771" y="4531827"/>
                </a:cubicBezTo>
                <a:cubicBezTo>
                  <a:pt x="7288559" y="4531827"/>
                  <a:pt x="7302976" y="4545104"/>
                  <a:pt x="7302976" y="4561479"/>
                </a:cubicBezTo>
                <a:cubicBezTo>
                  <a:pt x="7302976" y="4577854"/>
                  <a:pt x="7288559" y="4591131"/>
                  <a:pt x="7270771" y="4591131"/>
                </a:cubicBezTo>
                <a:close/>
                <a:moveTo>
                  <a:pt x="7349305" y="4591131"/>
                </a:moveTo>
                <a:cubicBezTo>
                  <a:pt x="7331517" y="4591131"/>
                  <a:pt x="7317088" y="4577854"/>
                  <a:pt x="7317088" y="4561479"/>
                </a:cubicBezTo>
                <a:cubicBezTo>
                  <a:pt x="7317088" y="4545104"/>
                  <a:pt x="7331517" y="4531827"/>
                  <a:pt x="7349305" y="4531827"/>
                </a:cubicBezTo>
                <a:cubicBezTo>
                  <a:pt x="7367092" y="4531827"/>
                  <a:pt x="7381509" y="4545104"/>
                  <a:pt x="7381509" y="4561479"/>
                </a:cubicBezTo>
                <a:cubicBezTo>
                  <a:pt x="7381509" y="4577854"/>
                  <a:pt x="7367092" y="4591131"/>
                  <a:pt x="7349305" y="4591131"/>
                </a:cubicBezTo>
                <a:close/>
                <a:moveTo>
                  <a:pt x="7427839" y="4591131"/>
                </a:moveTo>
                <a:cubicBezTo>
                  <a:pt x="7410052" y="4591131"/>
                  <a:pt x="7395623" y="4577854"/>
                  <a:pt x="7395623" y="4561479"/>
                </a:cubicBezTo>
                <a:cubicBezTo>
                  <a:pt x="7395623" y="4545104"/>
                  <a:pt x="7410052" y="4531827"/>
                  <a:pt x="7427839" y="4531827"/>
                </a:cubicBezTo>
                <a:cubicBezTo>
                  <a:pt x="7445626" y="4531827"/>
                  <a:pt x="7460043" y="4545104"/>
                  <a:pt x="7460043" y="4561479"/>
                </a:cubicBezTo>
                <a:cubicBezTo>
                  <a:pt x="7460043" y="4577854"/>
                  <a:pt x="7445626" y="4591131"/>
                  <a:pt x="7427839" y="4591131"/>
                </a:cubicBezTo>
                <a:close/>
                <a:moveTo>
                  <a:pt x="7506373" y="4591131"/>
                </a:moveTo>
                <a:cubicBezTo>
                  <a:pt x="7488586" y="4591131"/>
                  <a:pt x="7474157" y="4577854"/>
                  <a:pt x="7474157" y="4561479"/>
                </a:cubicBezTo>
                <a:cubicBezTo>
                  <a:pt x="7474157" y="4545104"/>
                  <a:pt x="7488586" y="4531827"/>
                  <a:pt x="7506373" y="4531827"/>
                </a:cubicBezTo>
                <a:cubicBezTo>
                  <a:pt x="7524160" y="4531827"/>
                  <a:pt x="7538577" y="4545104"/>
                  <a:pt x="7538577" y="4561479"/>
                </a:cubicBezTo>
                <a:cubicBezTo>
                  <a:pt x="7538577" y="4577854"/>
                  <a:pt x="7524160" y="4591131"/>
                  <a:pt x="7506373" y="4591131"/>
                </a:cubicBezTo>
                <a:close/>
                <a:moveTo>
                  <a:pt x="7584906" y="4591131"/>
                </a:moveTo>
                <a:cubicBezTo>
                  <a:pt x="7567119" y="4591131"/>
                  <a:pt x="7552690" y="4577854"/>
                  <a:pt x="7552690" y="4561479"/>
                </a:cubicBezTo>
                <a:cubicBezTo>
                  <a:pt x="7552690" y="4545104"/>
                  <a:pt x="7567119" y="4531827"/>
                  <a:pt x="7584906" y="4531827"/>
                </a:cubicBezTo>
                <a:cubicBezTo>
                  <a:pt x="7602694" y="4531827"/>
                  <a:pt x="7617111" y="4545104"/>
                  <a:pt x="7617111" y="4561479"/>
                </a:cubicBezTo>
                <a:cubicBezTo>
                  <a:pt x="7617111" y="4577854"/>
                  <a:pt x="7602694" y="4591131"/>
                  <a:pt x="7584906" y="4591131"/>
                </a:cubicBezTo>
                <a:close/>
                <a:moveTo>
                  <a:pt x="7663441" y="4591131"/>
                </a:moveTo>
                <a:cubicBezTo>
                  <a:pt x="7645653" y="4591131"/>
                  <a:pt x="7631224" y="4577854"/>
                  <a:pt x="7631224" y="4561479"/>
                </a:cubicBezTo>
                <a:cubicBezTo>
                  <a:pt x="7631224" y="4545104"/>
                  <a:pt x="7645653" y="4531827"/>
                  <a:pt x="7663441" y="4531827"/>
                </a:cubicBezTo>
                <a:cubicBezTo>
                  <a:pt x="7681228" y="4531827"/>
                  <a:pt x="7695645" y="4545104"/>
                  <a:pt x="7695645" y="4561479"/>
                </a:cubicBezTo>
                <a:cubicBezTo>
                  <a:pt x="7695645" y="4577854"/>
                  <a:pt x="7681228" y="4591131"/>
                  <a:pt x="7663441" y="4591131"/>
                </a:cubicBezTo>
                <a:close/>
                <a:moveTo>
                  <a:pt x="7741974" y="4591131"/>
                </a:moveTo>
                <a:cubicBezTo>
                  <a:pt x="7724187" y="4591131"/>
                  <a:pt x="7709758" y="4577854"/>
                  <a:pt x="7709758" y="4561479"/>
                </a:cubicBezTo>
                <a:cubicBezTo>
                  <a:pt x="7709758" y="4545104"/>
                  <a:pt x="7724187" y="4531827"/>
                  <a:pt x="7741974" y="4531827"/>
                </a:cubicBezTo>
                <a:cubicBezTo>
                  <a:pt x="7759761" y="4531827"/>
                  <a:pt x="7774178" y="4545104"/>
                  <a:pt x="7774178" y="4561479"/>
                </a:cubicBezTo>
                <a:cubicBezTo>
                  <a:pt x="7774178" y="4577854"/>
                  <a:pt x="7759761" y="4591131"/>
                  <a:pt x="7741974" y="4591131"/>
                </a:cubicBezTo>
                <a:close/>
                <a:moveTo>
                  <a:pt x="7820508" y="4591131"/>
                </a:moveTo>
                <a:cubicBezTo>
                  <a:pt x="7802721" y="4591131"/>
                  <a:pt x="7788292" y="4577854"/>
                  <a:pt x="7788292" y="4561479"/>
                </a:cubicBezTo>
                <a:cubicBezTo>
                  <a:pt x="7788292" y="4545104"/>
                  <a:pt x="7802721" y="4531827"/>
                  <a:pt x="7820508" y="4531827"/>
                </a:cubicBezTo>
                <a:cubicBezTo>
                  <a:pt x="7838295" y="4531827"/>
                  <a:pt x="7852712" y="4545104"/>
                  <a:pt x="7852712" y="4561479"/>
                </a:cubicBezTo>
                <a:cubicBezTo>
                  <a:pt x="7852712" y="4577854"/>
                  <a:pt x="7838295" y="4591131"/>
                  <a:pt x="7820508" y="4591131"/>
                </a:cubicBezTo>
                <a:close/>
                <a:moveTo>
                  <a:pt x="7899042" y="4591131"/>
                </a:moveTo>
                <a:cubicBezTo>
                  <a:pt x="7881255" y="4591131"/>
                  <a:pt x="7866826" y="4577854"/>
                  <a:pt x="7866826" y="4561479"/>
                </a:cubicBezTo>
                <a:cubicBezTo>
                  <a:pt x="7866826" y="4545104"/>
                  <a:pt x="7881255" y="4531827"/>
                  <a:pt x="7899042" y="4531827"/>
                </a:cubicBezTo>
                <a:cubicBezTo>
                  <a:pt x="7916830" y="4531827"/>
                  <a:pt x="7931247" y="4545104"/>
                  <a:pt x="7931247" y="4561479"/>
                </a:cubicBezTo>
                <a:cubicBezTo>
                  <a:pt x="7931247" y="4577854"/>
                  <a:pt x="7916830" y="4591131"/>
                  <a:pt x="7899042" y="4591131"/>
                </a:cubicBezTo>
                <a:close/>
                <a:moveTo>
                  <a:pt x="7977576" y="4591131"/>
                </a:moveTo>
                <a:cubicBezTo>
                  <a:pt x="7959788" y="4591131"/>
                  <a:pt x="7945359" y="4577854"/>
                  <a:pt x="7945359" y="4561479"/>
                </a:cubicBezTo>
                <a:cubicBezTo>
                  <a:pt x="7945359" y="4545104"/>
                  <a:pt x="7959788" y="4531827"/>
                  <a:pt x="7977576" y="4531827"/>
                </a:cubicBezTo>
                <a:cubicBezTo>
                  <a:pt x="7995363" y="4531827"/>
                  <a:pt x="8009780" y="4545104"/>
                  <a:pt x="8009780" y="4561479"/>
                </a:cubicBezTo>
                <a:cubicBezTo>
                  <a:pt x="8009780" y="4577854"/>
                  <a:pt x="7995363" y="4591131"/>
                  <a:pt x="7977576" y="4591131"/>
                </a:cubicBezTo>
                <a:close/>
                <a:moveTo>
                  <a:pt x="8056110" y="4591131"/>
                </a:moveTo>
                <a:cubicBezTo>
                  <a:pt x="8038323" y="4591131"/>
                  <a:pt x="8023894" y="4577854"/>
                  <a:pt x="8023894" y="4561479"/>
                </a:cubicBezTo>
                <a:cubicBezTo>
                  <a:pt x="8023894" y="4545104"/>
                  <a:pt x="8038323" y="4531827"/>
                  <a:pt x="8056110" y="4531827"/>
                </a:cubicBezTo>
                <a:cubicBezTo>
                  <a:pt x="8073897" y="4531827"/>
                  <a:pt x="8088314" y="4545104"/>
                  <a:pt x="8088314" y="4561479"/>
                </a:cubicBezTo>
                <a:cubicBezTo>
                  <a:pt x="8088314" y="4577854"/>
                  <a:pt x="8073897" y="4591131"/>
                  <a:pt x="8056110" y="4591131"/>
                </a:cubicBezTo>
                <a:close/>
                <a:moveTo>
                  <a:pt x="8134643" y="4591131"/>
                </a:moveTo>
                <a:cubicBezTo>
                  <a:pt x="8116856" y="4591131"/>
                  <a:pt x="8102427" y="4577854"/>
                  <a:pt x="8102427" y="4561479"/>
                </a:cubicBezTo>
                <a:cubicBezTo>
                  <a:pt x="8102427" y="4545104"/>
                  <a:pt x="8116856" y="4531827"/>
                  <a:pt x="8134643" y="4531827"/>
                </a:cubicBezTo>
                <a:cubicBezTo>
                  <a:pt x="8152430" y="4531827"/>
                  <a:pt x="8166847" y="4545104"/>
                  <a:pt x="8166847" y="4561479"/>
                </a:cubicBezTo>
                <a:cubicBezTo>
                  <a:pt x="8166847" y="4577854"/>
                  <a:pt x="8152430" y="4591131"/>
                  <a:pt x="8134643" y="4591131"/>
                </a:cubicBezTo>
                <a:close/>
                <a:moveTo>
                  <a:pt x="8213177" y="4591131"/>
                </a:moveTo>
                <a:cubicBezTo>
                  <a:pt x="8195390" y="4591131"/>
                  <a:pt x="8180961" y="4577854"/>
                  <a:pt x="8180961" y="4561479"/>
                </a:cubicBezTo>
                <a:cubicBezTo>
                  <a:pt x="8180961" y="4545104"/>
                  <a:pt x="8195390" y="4531827"/>
                  <a:pt x="8213177" y="4531827"/>
                </a:cubicBezTo>
                <a:cubicBezTo>
                  <a:pt x="8230965" y="4531827"/>
                  <a:pt x="8245382" y="4545104"/>
                  <a:pt x="8245382" y="4561479"/>
                </a:cubicBezTo>
                <a:cubicBezTo>
                  <a:pt x="8245382" y="4577854"/>
                  <a:pt x="8230965" y="4591131"/>
                  <a:pt x="8213177" y="4591131"/>
                </a:cubicBezTo>
                <a:close/>
                <a:moveTo>
                  <a:pt x="8291712" y="4591131"/>
                </a:moveTo>
                <a:cubicBezTo>
                  <a:pt x="8273924" y="4591131"/>
                  <a:pt x="8259495" y="4577854"/>
                  <a:pt x="8259495" y="4561479"/>
                </a:cubicBezTo>
                <a:cubicBezTo>
                  <a:pt x="8259495" y="4545104"/>
                  <a:pt x="8273924" y="4531827"/>
                  <a:pt x="8291712" y="4531827"/>
                </a:cubicBezTo>
                <a:cubicBezTo>
                  <a:pt x="8309499" y="4531827"/>
                  <a:pt x="8323916" y="4545104"/>
                  <a:pt x="8323916" y="4561479"/>
                </a:cubicBezTo>
                <a:cubicBezTo>
                  <a:pt x="8323916" y="4577854"/>
                  <a:pt x="8309499" y="4591131"/>
                  <a:pt x="8291712" y="4591131"/>
                </a:cubicBezTo>
                <a:close/>
                <a:moveTo>
                  <a:pt x="8370245" y="4591131"/>
                </a:moveTo>
                <a:cubicBezTo>
                  <a:pt x="8352458" y="4591131"/>
                  <a:pt x="8338029" y="4577854"/>
                  <a:pt x="8338029" y="4561479"/>
                </a:cubicBezTo>
                <a:cubicBezTo>
                  <a:pt x="8338029" y="4545104"/>
                  <a:pt x="8352458" y="4531827"/>
                  <a:pt x="8370245" y="4531827"/>
                </a:cubicBezTo>
                <a:cubicBezTo>
                  <a:pt x="8388032" y="4531827"/>
                  <a:pt x="8402449" y="4545104"/>
                  <a:pt x="8402449" y="4561479"/>
                </a:cubicBezTo>
                <a:cubicBezTo>
                  <a:pt x="8402449" y="4577854"/>
                  <a:pt x="8388032" y="4591131"/>
                  <a:pt x="8370245" y="4591131"/>
                </a:cubicBezTo>
                <a:close/>
                <a:moveTo>
                  <a:pt x="8448779" y="4591131"/>
                </a:moveTo>
                <a:cubicBezTo>
                  <a:pt x="8430992" y="4591131"/>
                  <a:pt x="8416563" y="4577854"/>
                  <a:pt x="8416563" y="4561479"/>
                </a:cubicBezTo>
                <a:cubicBezTo>
                  <a:pt x="8416563" y="4545104"/>
                  <a:pt x="8430992" y="4531827"/>
                  <a:pt x="8448779" y="4531827"/>
                </a:cubicBezTo>
                <a:cubicBezTo>
                  <a:pt x="8466566" y="4531827"/>
                  <a:pt x="8480983" y="4545104"/>
                  <a:pt x="8480983" y="4561479"/>
                </a:cubicBezTo>
                <a:cubicBezTo>
                  <a:pt x="8480983" y="4577854"/>
                  <a:pt x="8466566" y="4591131"/>
                  <a:pt x="8448779" y="4591131"/>
                </a:cubicBezTo>
                <a:close/>
                <a:moveTo>
                  <a:pt x="8527313" y="4591131"/>
                </a:moveTo>
                <a:cubicBezTo>
                  <a:pt x="8509526" y="4591131"/>
                  <a:pt x="8495097" y="4577854"/>
                  <a:pt x="8495097" y="4561479"/>
                </a:cubicBezTo>
                <a:cubicBezTo>
                  <a:pt x="8495097" y="4545104"/>
                  <a:pt x="8509526" y="4531827"/>
                  <a:pt x="8527313" y="4531827"/>
                </a:cubicBezTo>
                <a:cubicBezTo>
                  <a:pt x="8545101" y="4531827"/>
                  <a:pt x="8559518" y="4545104"/>
                  <a:pt x="8559518" y="4561479"/>
                </a:cubicBezTo>
                <a:cubicBezTo>
                  <a:pt x="8559518" y="4577854"/>
                  <a:pt x="8545101" y="4591131"/>
                  <a:pt x="8527313" y="4591131"/>
                </a:cubicBezTo>
                <a:close/>
                <a:moveTo>
                  <a:pt x="8605847" y="4591131"/>
                </a:moveTo>
                <a:cubicBezTo>
                  <a:pt x="8588059" y="4591131"/>
                  <a:pt x="8573630" y="4577854"/>
                  <a:pt x="8573630" y="4561479"/>
                </a:cubicBezTo>
                <a:cubicBezTo>
                  <a:pt x="8573630" y="4545104"/>
                  <a:pt x="8588059" y="4531827"/>
                  <a:pt x="8605847" y="4531827"/>
                </a:cubicBezTo>
                <a:cubicBezTo>
                  <a:pt x="8623634" y="4531827"/>
                  <a:pt x="8638051" y="4545104"/>
                  <a:pt x="8638051" y="4561479"/>
                </a:cubicBezTo>
                <a:cubicBezTo>
                  <a:pt x="8638051" y="4577854"/>
                  <a:pt x="8623634" y="4591131"/>
                  <a:pt x="8605847" y="4591131"/>
                </a:cubicBezTo>
                <a:close/>
                <a:moveTo>
                  <a:pt x="8684381" y="4591131"/>
                </a:moveTo>
                <a:cubicBezTo>
                  <a:pt x="8666594" y="4591131"/>
                  <a:pt x="8652165" y="4577854"/>
                  <a:pt x="8652165" y="4561479"/>
                </a:cubicBezTo>
                <a:cubicBezTo>
                  <a:pt x="8652165" y="4545104"/>
                  <a:pt x="8666594" y="4531827"/>
                  <a:pt x="8684381" y="4531827"/>
                </a:cubicBezTo>
                <a:cubicBezTo>
                  <a:pt x="8702168" y="4531827"/>
                  <a:pt x="8716585" y="4545104"/>
                  <a:pt x="8716585" y="4561479"/>
                </a:cubicBezTo>
                <a:cubicBezTo>
                  <a:pt x="8716585" y="4577854"/>
                  <a:pt x="8702168" y="4591131"/>
                  <a:pt x="8684381" y="4591131"/>
                </a:cubicBezTo>
                <a:close/>
                <a:moveTo>
                  <a:pt x="8762914" y="4591131"/>
                </a:moveTo>
                <a:cubicBezTo>
                  <a:pt x="8745127" y="4591131"/>
                  <a:pt x="8730698" y="4577854"/>
                  <a:pt x="8730698" y="4561479"/>
                </a:cubicBezTo>
                <a:cubicBezTo>
                  <a:pt x="8730698" y="4545104"/>
                  <a:pt x="8745127" y="4531827"/>
                  <a:pt x="8762914" y="4531827"/>
                </a:cubicBezTo>
                <a:cubicBezTo>
                  <a:pt x="8780701" y="4531827"/>
                  <a:pt x="8795118" y="4545104"/>
                  <a:pt x="8795118" y="4561479"/>
                </a:cubicBezTo>
                <a:cubicBezTo>
                  <a:pt x="8795118" y="4577854"/>
                  <a:pt x="8780701" y="4591131"/>
                  <a:pt x="8762914" y="4591131"/>
                </a:cubicBezTo>
                <a:close/>
                <a:moveTo>
                  <a:pt x="8841448" y="4591131"/>
                </a:moveTo>
                <a:cubicBezTo>
                  <a:pt x="8823661" y="4591131"/>
                  <a:pt x="8809232" y="4577854"/>
                  <a:pt x="8809232" y="4561479"/>
                </a:cubicBezTo>
                <a:cubicBezTo>
                  <a:pt x="8809232" y="4545104"/>
                  <a:pt x="8823661" y="4531827"/>
                  <a:pt x="8841448" y="4531827"/>
                </a:cubicBezTo>
                <a:cubicBezTo>
                  <a:pt x="8859236" y="4531827"/>
                  <a:pt x="8873653" y="4545104"/>
                  <a:pt x="8873653" y="4561479"/>
                </a:cubicBezTo>
                <a:cubicBezTo>
                  <a:pt x="8873653" y="4577854"/>
                  <a:pt x="8859236" y="4591131"/>
                  <a:pt x="8841448" y="4591131"/>
                </a:cubicBezTo>
                <a:close/>
                <a:moveTo>
                  <a:pt x="8919983" y="4591131"/>
                </a:moveTo>
                <a:cubicBezTo>
                  <a:pt x="8902195" y="4591131"/>
                  <a:pt x="8887766" y="4577854"/>
                  <a:pt x="8887766" y="4561479"/>
                </a:cubicBezTo>
                <a:cubicBezTo>
                  <a:pt x="8887766" y="4545104"/>
                  <a:pt x="8902195" y="4531827"/>
                  <a:pt x="8919983" y="4531827"/>
                </a:cubicBezTo>
                <a:cubicBezTo>
                  <a:pt x="8937770" y="4531827"/>
                  <a:pt x="8952187" y="4545104"/>
                  <a:pt x="8952187" y="4561479"/>
                </a:cubicBezTo>
                <a:cubicBezTo>
                  <a:pt x="8952187" y="4577854"/>
                  <a:pt x="8937770" y="4591131"/>
                  <a:pt x="8919983" y="4591131"/>
                </a:cubicBezTo>
                <a:close/>
                <a:moveTo>
                  <a:pt x="8998516" y="4591131"/>
                </a:moveTo>
                <a:cubicBezTo>
                  <a:pt x="8980729" y="4591131"/>
                  <a:pt x="8966300" y="4577854"/>
                  <a:pt x="8966300" y="4561479"/>
                </a:cubicBezTo>
                <a:cubicBezTo>
                  <a:pt x="8966300" y="4545104"/>
                  <a:pt x="8980729" y="4531827"/>
                  <a:pt x="8998516" y="4531827"/>
                </a:cubicBezTo>
                <a:cubicBezTo>
                  <a:pt x="9016303" y="4531827"/>
                  <a:pt x="9030720" y="4545104"/>
                  <a:pt x="9030720" y="4561479"/>
                </a:cubicBezTo>
                <a:cubicBezTo>
                  <a:pt x="9030720" y="4577854"/>
                  <a:pt x="9016303" y="4591131"/>
                  <a:pt x="8998516" y="4591131"/>
                </a:cubicBezTo>
                <a:close/>
                <a:moveTo>
                  <a:pt x="9077050" y="4591131"/>
                </a:moveTo>
                <a:cubicBezTo>
                  <a:pt x="9059263" y="4591131"/>
                  <a:pt x="9044834" y="4577854"/>
                  <a:pt x="9044834" y="4561479"/>
                </a:cubicBezTo>
                <a:cubicBezTo>
                  <a:pt x="9044834" y="4545104"/>
                  <a:pt x="9059263" y="4531827"/>
                  <a:pt x="9077050" y="4531827"/>
                </a:cubicBezTo>
                <a:cubicBezTo>
                  <a:pt x="9094837" y="4531827"/>
                  <a:pt x="9109254" y="4545104"/>
                  <a:pt x="9109254" y="4561479"/>
                </a:cubicBezTo>
                <a:cubicBezTo>
                  <a:pt x="9109254" y="4577854"/>
                  <a:pt x="9094837" y="4591131"/>
                  <a:pt x="9077050" y="4591131"/>
                </a:cubicBezTo>
                <a:close/>
                <a:moveTo>
                  <a:pt x="9155583" y="4591131"/>
                </a:moveTo>
                <a:cubicBezTo>
                  <a:pt x="9137796" y="4591131"/>
                  <a:pt x="9123367" y="4577854"/>
                  <a:pt x="9123367" y="4561479"/>
                </a:cubicBezTo>
                <a:cubicBezTo>
                  <a:pt x="9123367" y="4545104"/>
                  <a:pt x="9137796" y="4531827"/>
                  <a:pt x="9155583" y="4531827"/>
                </a:cubicBezTo>
                <a:cubicBezTo>
                  <a:pt x="9173371" y="4531827"/>
                  <a:pt x="9187788" y="4545104"/>
                  <a:pt x="9187788" y="4561479"/>
                </a:cubicBezTo>
                <a:cubicBezTo>
                  <a:pt x="9187788" y="4577854"/>
                  <a:pt x="9173371" y="4591131"/>
                  <a:pt x="9155583" y="4591131"/>
                </a:cubicBezTo>
                <a:close/>
                <a:moveTo>
                  <a:pt x="9234118" y="4591131"/>
                </a:moveTo>
                <a:cubicBezTo>
                  <a:pt x="9216330" y="4591131"/>
                  <a:pt x="9201901" y="4577854"/>
                  <a:pt x="9201901" y="4561479"/>
                </a:cubicBezTo>
                <a:cubicBezTo>
                  <a:pt x="9201901" y="4545104"/>
                  <a:pt x="9216330" y="4531827"/>
                  <a:pt x="9234118" y="4531827"/>
                </a:cubicBezTo>
                <a:cubicBezTo>
                  <a:pt x="9251905" y="4531827"/>
                  <a:pt x="9266322" y="4545104"/>
                  <a:pt x="9266322" y="4561479"/>
                </a:cubicBezTo>
                <a:cubicBezTo>
                  <a:pt x="9266322" y="4577854"/>
                  <a:pt x="9251905" y="4591131"/>
                  <a:pt x="9234118" y="4591131"/>
                </a:cubicBezTo>
                <a:close/>
                <a:moveTo>
                  <a:pt x="9312652" y="4591131"/>
                </a:moveTo>
                <a:cubicBezTo>
                  <a:pt x="9294865" y="4591131"/>
                  <a:pt x="9280436" y="4577854"/>
                  <a:pt x="9280436" y="4561479"/>
                </a:cubicBezTo>
                <a:cubicBezTo>
                  <a:pt x="9280436" y="4545104"/>
                  <a:pt x="9294865" y="4531827"/>
                  <a:pt x="9312652" y="4531827"/>
                </a:cubicBezTo>
                <a:cubicBezTo>
                  <a:pt x="9330439" y="4531827"/>
                  <a:pt x="9344856" y="4545104"/>
                  <a:pt x="9344856" y="4561479"/>
                </a:cubicBezTo>
                <a:cubicBezTo>
                  <a:pt x="9344856" y="4577854"/>
                  <a:pt x="9330439" y="4591131"/>
                  <a:pt x="9312652" y="4591131"/>
                </a:cubicBezTo>
                <a:close/>
                <a:moveTo>
                  <a:pt x="9391185" y="4591131"/>
                </a:moveTo>
                <a:cubicBezTo>
                  <a:pt x="9373398" y="4591131"/>
                  <a:pt x="9358969" y="4577854"/>
                  <a:pt x="9358969" y="4561479"/>
                </a:cubicBezTo>
                <a:cubicBezTo>
                  <a:pt x="9358969" y="4545104"/>
                  <a:pt x="9373398" y="4531827"/>
                  <a:pt x="9391185" y="4531827"/>
                </a:cubicBezTo>
                <a:cubicBezTo>
                  <a:pt x="9408972" y="4531827"/>
                  <a:pt x="9423389" y="4545104"/>
                  <a:pt x="9423389" y="4561479"/>
                </a:cubicBezTo>
                <a:cubicBezTo>
                  <a:pt x="9423389" y="4577854"/>
                  <a:pt x="9408972" y="4591131"/>
                  <a:pt x="9391185" y="4591131"/>
                </a:cubicBezTo>
                <a:close/>
                <a:moveTo>
                  <a:pt x="9469719" y="4591131"/>
                </a:moveTo>
                <a:cubicBezTo>
                  <a:pt x="9451932" y="4591131"/>
                  <a:pt x="9437503" y="4577854"/>
                  <a:pt x="9437503" y="4561479"/>
                </a:cubicBezTo>
                <a:cubicBezTo>
                  <a:pt x="9437503" y="4545104"/>
                  <a:pt x="9451932" y="4531827"/>
                  <a:pt x="9469719" y="4531827"/>
                </a:cubicBezTo>
                <a:cubicBezTo>
                  <a:pt x="9487507" y="4531827"/>
                  <a:pt x="9501924" y="4545104"/>
                  <a:pt x="9501924" y="4561479"/>
                </a:cubicBezTo>
                <a:cubicBezTo>
                  <a:pt x="9501924" y="4577854"/>
                  <a:pt x="9487507" y="4591131"/>
                  <a:pt x="9469719" y="4591131"/>
                </a:cubicBezTo>
                <a:close/>
                <a:moveTo>
                  <a:pt x="10097990" y="4591131"/>
                </a:moveTo>
                <a:cubicBezTo>
                  <a:pt x="10080203" y="4591131"/>
                  <a:pt x="10065774" y="4577854"/>
                  <a:pt x="10065774" y="4561479"/>
                </a:cubicBezTo>
                <a:cubicBezTo>
                  <a:pt x="10065774" y="4545104"/>
                  <a:pt x="10080203" y="4531827"/>
                  <a:pt x="10097990" y="4531827"/>
                </a:cubicBezTo>
                <a:cubicBezTo>
                  <a:pt x="10115778" y="4531827"/>
                  <a:pt x="10130195" y="4545104"/>
                  <a:pt x="10130195" y="4561479"/>
                </a:cubicBezTo>
                <a:cubicBezTo>
                  <a:pt x="10130195" y="4577854"/>
                  <a:pt x="10115778" y="4591131"/>
                  <a:pt x="10097990" y="4591131"/>
                </a:cubicBezTo>
                <a:close/>
                <a:moveTo>
                  <a:pt x="2558715" y="4518865"/>
                </a:moveTo>
                <a:cubicBezTo>
                  <a:pt x="2540928" y="4518865"/>
                  <a:pt x="2526505" y="4505588"/>
                  <a:pt x="2526505" y="4489213"/>
                </a:cubicBezTo>
                <a:cubicBezTo>
                  <a:pt x="2526505" y="4472839"/>
                  <a:pt x="2540928" y="4459561"/>
                  <a:pt x="2558715" y="4459561"/>
                </a:cubicBezTo>
                <a:cubicBezTo>
                  <a:pt x="2576503" y="4459561"/>
                  <a:pt x="2590926" y="4472839"/>
                  <a:pt x="2590926" y="4489213"/>
                </a:cubicBezTo>
                <a:cubicBezTo>
                  <a:pt x="2590926" y="4505588"/>
                  <a:pt x="2576503" y="4518865"/>
                  <a:pt x="2558715" y="4518865"/>
                </a:cubicBezTo>
                <a:close/>
                <a:moveTo>
                  <a:pt x="2637243" y="4518865"/>
                </a:moveTo>
                <a:cubicBezTo>
                  <a:pt x="2619455" y="4518865"/>
                  <a:pt x="2605032" y="4505588"/>
                  <a:pt x="2605032" y="4489213"/>
                </a:cubicBezTo>
                <a:cubicBezTo>
                  <a:pt x="2605032" y="4472839"/>
                  <a:pt x="2619455" y="4459561"/>
                  <a:pt x="2637243" y="4459561"/>
                </a:cubicBezTo>
                <a:cubicBezTo>
                  <a:pt x="2655030" y="4459561"/>
                  <a:pt x="2669453" y="4472839"/>
                  <a:pt x="2669453" y="4489213"/>
                </a:cubicBezTo>
                <a:cubicBezTo>
                  <a:pt x="2669453" y="4505588"/>
                  <a:pt x="2655030" y="4518865"/>
                  <a:pt x="2637243" y="4518865"/>
                </a:cubicBezTo>
                <a:close/>
                <a:moveTo>
                  <a:pt x="2715777" y="4518865"/>
                </a:moveTo>
                <a:cubicBezTo>
                  <a:pt x="2697990" y="4518865"/>
                  <a:pt x="2683566" y="4505588"/>
                  <a:pt x="2683566" y="4489213"/>
                </a:cubicBezTo>
                <a:cubicBezTo>
                  <a:pt x="2683566" y="4472839"/>
                  <a:pt x="2697990" y="4459561"/>
                  <a:pt x="2715777" y="4459561"/>
                </a:cubicBezTo>
                <a:cubicBezTo>
                  <a:pt x="2733564" y="4459561"/>
                  <a:pt x="2747987" y="4472839"/>
                  <a:pt x="2747987" y="4489213"/>
                </a:cubicBezTo>
                <a:cubicBezTo>
                  <a:pt x="2747987" y="4505588"/>
                  <a:pt x="2733564" y="4518865"/>
                  <a:pt x="2715777" y="4518865"/>
                </a:cubicBezTo>
                <a:close/>
                <a:moveTo>
                  <a:pt x="2794310" y="4518865"/>
                </a:moveTo>
                <a:cubicBezTo>
                  <a:pt x="2776523" y="4518865"/>
                  <a:pt x="2762100" y="4505588"/>
                  <a:pt x="2762100" y="4489213"/>
                </a:cubicBezTo>
                <a:cubicBezTo>
                  <a:pt x="2762100" y="4472839"/>
                  <a:pt x="2776523" y="4459561"/>
                  <a:pt x="2794310" y="4459561"/>
                </a:cubicBezTo>
                <a:cubicBezTo>
                  <a:pt x="2812097" y="4459561"/>
                  <a:pt x="2826520" y="4472839"/>
                  <a:pt x="2826520" y="4489213"/>
                </a:cubicBezTo>
                <a:cubicBezTo>
                  <a:pt x="2826520" y="4505588"/>
                  <a:pt x="2812097" y="4518865"/>
                  <a:pt x="2794310" y="4518865"/>
                </a:cubicBezTo>
                <a:close/>
                <a:moveTo>
                  <a:pt x="2872844" y="4518865"/>
                </a:moveTo>
                <a:cubicBezTo>
                  <a:pt x="2855057" y="4518865"/>
                  <a:pt x="2840634" y="4505588"/>
                  <a:pt x="2840634" y="4489213"/>
                </a:cubicBezTo>
                <a:cubicBezTo>
                  <a:pt x="2840634" y="4472839"/>
                  <a:pt x="2855057" y="4459561"/>
                  <a:pt x="2872844" y="4459561"/>
                </a:cubicBezTo>
                <a:cubicBezTo>
                  <a:pt x="2890632" y="4459561"/>
                  <a:pt x="2905055" y="4472839"/>
                  <a:pt x="2905055" y="4489213"/>
                </a:cubicBezTo>
                <a:cubicBezTo>
                  <a:pt x="2905055" y="4505588"/>
                  <a:pt x="2890632" y="4518865"/>
                  <a:pt x="2872844" y="4518865"/>
                </a:cubicBezTo>
                <a:close/>
                <a:moveTo>
                  <a:pt x="2951379" y="4518865"/>
                </a:moveTo>
                <a:cubicBezTo>
                  <a:pt x="2933591" y="4518865"/>
                  <a:pt x="2919168" y="4505588"/>
                  <a:pt x="2919168" y="4489213"/>
                </a:cubicBezTo>
                <a:cubicBezTo>
                  <a:pt x="2919168" y="4472839"/>
                  <a:pt x="2933591" y="4459561"/>
                  <a:pt x="2951379" y="4459561"/>
                </a:cubicBezTo>
                <a:cubicBezTo>
                  <a:pt x="2969166" y="4459561"/>
                  <a:pt x="2983589" y="4472839"/>
                  <a:pt x="2983589" y="4489213"/>
                </a:cubicBezTo>
                <a:cubicBezTo>
                  <a:pt x="2983589" y="4505588"/>
                  <a:pt x="2969166" y="4518865"/>
                  <a:pt x="2951379" y="4518865"/>
                </a:cubicBezTo>
                <a:close/>
                <a:moveTo>
                  <a:pt x="3029912" y="4518865"/>
                </a:moveTo>
                <a:cubicBezTo>
                  <a:pt x="3012125" y="4518865"/>
                  <a:pt x="2997701" y="4505588"/>
                  <a:pt x="2997701" y="4489213"/>
                </a:cubicBezTo>
                <a:cubicBezTo>
                  <a:pt x="2997701" y="4472839"/>
                  <a:pt x="3012125" y="4459561"/>
                  <a:pt x="3029912" y="4459561"/>
                </a:cubicBezTo>
                <a:cubicBezTo>
                  <a:pt x="3047699" y="4459561"/>
                  <a:pt x="3062122" y="4472839"/>
                  <a:pt x="3062122" y="4489213"/>
                </a:cubicBezTo>
                <a:cubicBezTo>
                  <a:pt x="3062122" y="4505588"/>
                  <a:pt x="3047699" y="4518865"/>
                  <a:pt x="3029912" y="4518865"/>
                </a:cubicBezTo>
                <a:close/>
                <a:moveTo>
                  <a:pt x="3108446" y="4518865"/>
                </a:moveTo>
                <a:cubicBezTo>
                  <a:pt x="3090659" y="4518865"/>
                  <a:pt x="3076236" y="4505588"/>
                  <a:pt x="3076236" y="4489213"/>
                </a:cubicBezTo>
                <a:cubicBezTo>
                  <a:pt x="3076236" y="4472839"/>
                  <a:pt x="3090659" y="4459561"/>
                  <a:pt x="3108446" y="4459561"/>
                </a:cubicBezTo>
                <a:cubicBezTo>
                  <a:pt x="3126233" y="4459561"/>
                  <a:pt x="3140656" y="4472839"/>
                  <a:pt x="3140656" y="4489213"/>
                </a:cubicBezTo>
                <a:cubicBezTo>
                  <a:pt x="3140656" y="4505588"/>
                  <a:pt x="3126233" y="4518865"/>
                  <a:pt x="3108446" y="4518865"/>
                </a:cubicBezTo>
                <a:close/>
                <a:moveTo>
                  <a:pt x="3186979" y="4518865"/>
                </a:moveTo>
                <a:cubicBezTo>
                  <a:pt x="3169192" y="4518865"/>
                  <a:pt x="3154769" y="4505588"/>
                  <a:pt x="3154769" y="4489213"/>
                </a:cubicBezTo>
                <a:cubicBezTo>
                  <a:pt x="3154769" y="4472839"/>
                  <a:pt x="3169192" y="4459561"/>
                  <a:pt x="3186979" y="4459561"/>
                </a:cubicBezTo>
                <a:cubicBezTo>
                  <a:pt x="3204767" y="4459561"/>
                  <a:pt x="3219190" y="4472839"/>
                  <a:pt x="3219190" y="4489213"/>
                </a:cubicBezTo>
                <a:cubicBezTo>
                  <a:pt x="3219190" y="4505588"/>
                  <a:pt x="3204767" y="4518865"/>
                  <a:pt x="3186979" y="4518865"/>
                </a:cubicBezTo>
                <a:close/>
                <a:moveTo>
                  <a:pt x="3265514" y="4518865"/>
                </a:moveTo>
                <a:cubicBezTo>
                  <a:pt x="3247726" y="4518865"/>
                  <a:pt x="3233303" y="4505588"/>
                  <a:pt x="3233303" y="4489213"/>
                </a:cubicBezTo>
                <a:cubicBezTo>
                  <a:pt x="3233303" y="4472839"/>
                  <a:pt x="3247726" y="4459561"/>
                  <a:pt x="3265514" y="4459561"/>
                </a:cubicBezTo>
                <a:cubicBezTo>
                  <a:pt x="3283301" y="4459561"/>
                  <a:pt x="3297724" y="4472839"/>
                  <a:pt x="3297724" y="4489213"/>
                </a:cubicBezTo>
                <a:cubicBezTo>
                  <a:pt x="3297724" y="4505588"/>
                  <a:pt x="3283301" y="4518865"/>
                  <a:pt x="3265514" y="4518865"/>
                </a:cubicBezTo>
                <a:close/>
                <a:moveTo>
                  <a:pt x="3344048" y="4518865"/>
                </a:moveTo>
                <a:cubicBezTo>
                  <a:pt x="3326261" y="4518865"/>
                  <a:pt x="3311837" y="4505588"/>
                  <a:pt x="3311837" y="4489213"/>
                </a:cubicBezTo>
                <a:cubicBezTo>
                  <a:pt x="3311837" y="4472839"/>
                  <a:pt x="3326261" y="4459561"/>
                  <a:pt x="3344048" y="4459561"/>
                </a:cubicBezTo>
                <a:cubicBezTo>
                  <a:pt x="3361835" y="4459561"/>
                  <a:pt x="3376258" y="4472839"/>
                  <a:pt x="3376258" y="4489213"/>
                </a:cubicBezTo>
                <a:cubicBezTo>
                  <a:pt x="3376258" y="4505588"/>
                  <a:pt x="3361835" y="4518865"/>
                  <a:pt x="3344048" y="4518865"/>
                </a:cubicBezTo>
                <a:close/>
                <a:moveTo>
                  <a:pt x="3501115" y="4518865"/>
                </a:moveTo>
                <a:cubicBezTo>
                  <a:pt x="3483328" y="4518865"/>
                  <a:pt x="3468905" y="4505588"/>
                  <a:pt x="3468905" y="4489213"/>
                </a:cubicBezTo>
                <a:cubicBezTo>
                  <a:pt x="3468905" y="4472839"/>
                  <a:pt x="3483328" y="4459561"/>
                  <a:pt x="3501115" y="4459561"/>
                </a:cubicBezTo>
                <a:cubicBezTo>
                  <a:pt x="3518903" y="4459561"/>
                  <a:pt x="3533326" y="4472839"/>
                  <a:pt x="3533326" y="4489213"/>
                </a:cubicBezTo>
                <a:cubicBezTo>
                  <a:pt x="3533326" y="4505588"/>
                  <a:pt x="3518903" y="4518865"/>
                  <a:pt x="3501115" y="4518865"/>
                </a:cubicBezTo>
                <a:close/>
                <a:moveTo>
                  <a:pt x="3972319" y="4518865"/>
                </a:moveTo>
                <a:cubicBezTo>
                  <a:pt x="3954532" y="4518865"/>
                  <a:pt x="3940108" y="4505588"/>
                  <a:pt x="3940108" y="4489213"/>
                </a:cubicBezTo>
                <a:cubicBezTo>
                  <a:pt x="3940108" y="4472839"/>
                  <a:pt x="3954532" y="4459561"/>
                  <a:pt x="3972319" y="4459561"/>
                </a:cubicBezTo>
                <a:cubicBezTo>
                  <a:pt x="3990106" y="4459561"/>
                  <a:pt x="4004529" y="4472839"/>
                  <a:pt x="4004529" y="4489213"/>
                </a:cubicBezTo>
                <a:cubicBezTo>
                  <a:pt x="4004529" y="4505588"/>
                  <a:pt x="3990106" y="4518865"/>
                  <a:pt x="3972319" y="4518865"/>
                </a:cubicBezTo>
                <a:close/>
                <a:moveTo>
                  <a:pt x="4050852" y="4518865"/>
                </a:moveTo>
                <a:cubicBezTo>
                  <a:pt x="4033065" y="4518865"/>
                  <a:pt x="4018642" y="4505588"/>
                  <a:pt x="4018642" y="4489213"/>
                </a:cubicBezTo>
                <a:cubicBezTo>
                  <a:pt x="4018642" y="4472839"/>
                  <a:pt x="4033065" y="4459561"/>
                  <a:pt x="4050852" y="4459561"/>
                </a:cubicBezTo>
                <a:cubicBezTo>
                  <a:pt x="4068639" y="4459561"/>
                  <a:pt x="4083062" y="4472839"/>
                  <a:pt x="4083062" y="4489213"/>
                </a:cubicBezTo>
                <a:cubicBezTo>
                  <a:pt x="4083062" y="4505588"/>
                  <a:pt x="4068639" y="4518865"/>
                  <a:pt x="4050852" y="4518865"/>
                </a:cubicBezTo>
                <a:close/>
                <a:moveTo>
                  <a:pt x="4129386" y="4518865"/>
                </a:moveTo>
                <a:cubicBezTo>
                  <a:pt x="4111599" y="4518865"/>
                  <a:pt x="4097176" y="4505588"/>
                  <a:pt x="4097176" y="4489213"/>
                </a:cubicBezTo>
                <a:cubicBezTo>
                  <a:pt x="4097176" y="4472839"/>
                  <a:pt x="4111599" y="4459561"/>
                  <a:pt x="4129386" y="4459561"/>
                </a:cubicBezTo>
                <a:cubicBezTo>
                  <a:pt x="4147174" y="4459561"/>
                  <a:pt x="4161597" y="4472839"/>
                  <a:pt x="4161597" y="4489213"/>
                </a:cubicBezTo>
                <a:cubicBezTo>
                  <a:pt x="4161597" y="4505588"/>
                  <a:pt x="4147174" y="4518865"/>
                  <a:pt x="4129386" y="4518865"/>
                </a:cubicBezTo>
                <a:close/>
                <a:moveTo>
                  <a:pt x="4286460" y="4518865"/>
                </a:moveTo>
                <a:cubicBezTo>
                  <a:pt x="4268673" y="4518865"/>
                  <a:pt x="4254250" y="4505588"/>
                  <a:pt x="4254250" y="4489213"/>
                </a:cubicBezTo>
                <a:cubicBezTo>
                  <a:pt x="4254250" y="4472839"/>
                  <a:pt x="4268673" y="4459561"/>
                  <a:pt x="4286460" y="4459561"/>
                </a:cubicBezTo>
                <a:cubicBezTo>
                  <a:pt x="4304247" y="4459561"/>
                  <a:pt x="4318670" y="4472839"/>
                  <a:pt x="4318670" y="4489213"/>
                </a:cubicBezTo>
                <a:cubicBezTo>
                  <a:pt x="4318670" y="4505588"/>
                  <a:pt x="4304247" y="4518865"/>
                  <a:pt x="4286460" y="4518865"/>
                </a:cubicBezTo>
                <a:close/>
                <a:moveTo>
                  <a:pt x="6092739" y="4518865"/>
                </a:moveTo>
                <a:cubicBezTo>
                  <a:pt x="6074951" y="4518865"/>
                  <a:pt x="6060522" y="4505588"/>
                  <a:pt x="6060522" y="4489213"/>
                </a:cubicBezTo>
                <a:cubicBezTo>
                  <a:pt x="6060522" y="4472839"/>
                  <a:pt x="6074951" y="4459561"/>
                  <a:pt x="6092739" y="4459561"/>
                </a:cubicBezTo>
                <a:cubicBezTo>
                  <a:pt x="6110526" y="4459561"/>
                  <a:pt x="6124943" y="4472839"/>
                  <a:pt x="6124943" y="4489213"/>
                </a:cubicBezTo>
                <a:cubicBezTo>
                  <a:pt x="6124943" y="4505588"/>
                  <a:pt x="6110526" y="4518865"/>
                  <a:pt x="6092739" y="4518865"/>
                </a:cubicBezTo>
                <a:close/>
                <a:moveTo>
                  <a:pt x="6171273" y="4518865"/>
                </a:moveTo>
                <a:cubicBezTo>
                  <a:pt x="6153486" y="4518865"/>
                  <a:pt x="6139056" y="4505588"/>
                  <a:pt x="6139056" y="4489213"/>
                </a:cubicBezTo>
                <a:cubicBezTo>
                  <a:pt x="6139056" y="4472839"/>
                  <a:pt x="6153486" y="4459561"/>
                  <a:pt x="6171273" y="4459561"/>
                </a:cubicBezTo>
                <a:cubicBezTo>
                  <a:pt x="6189060" y="4459561"/>
                  <a:pt x="6203477" y="4472839"/>
                  <a:pt x="6203477" y="4489213"/>
                </a:cubicBezTo>
                <a:cubicBezTo>
                  <a:pt x="6203477" y="4505588"/>
                  <a:pt x="6189060" y="4518865"/>
                  <a:pt x="6171273" y="4518865"/>
                </a:cubicBezTo>
                <a:close/>
                <a:moveTo>
                  <a:pt x="6249806" y="4518865"/>
                </a:moveTo>
                <a:cubicBezTo>
                  <a:pt x="6232019" y="4518865"/>
                  <a:pt x="6217590" y="4505588"/>
                  <a:pt x="6217590" y="4489213"/>
                </a:cubicBezTo>
                <a:cubicBezTo>
                  <a:pt x="6217590" y="4472839"/>
                  <a:pt x="6232019" y="4459561"/>
                  <a:pt x="6249806" y="4459561"/>
                </a:cubicBezTo>
                <a:cubicBezTo>
                  <a:pt x="6267593" y="4459561"/>
                  <a:pt x="6282010" y="4472839"/>
                  <a:pt x="6282010" y="4489213"/>
                </a:cubicBezTo>
                <a:cubicBezTo>
                  <a:pt x="6282010" y="4505588"/>
                  <a:pt x="6267593" y="4518865"/>
                  <a:pt x="6249806" y="4518865"/>
                </a:cubicBezTo>
                <a:close/>
                <a:moveTo>
                  <a:pt x="6485408" y="4518865"/>
                </a:moveTo>
                <a:cubicBezTo>
                  <a:pt x="6467621" y="4518865"/>
                  <a:pt x="6453191" y="4505588"/>
                  <a:pt x="6453191" y="4489213"/>
                </a:cubicBezTo>
                <a:cubicBezTo>
                  <a:pt x="6453191" y="4472839"/>
                  <a:pt x="6467621" y="4459561"/>
                  <a:pt x="6485408" y="4459561"/>
                </a:cubicBezTo>
                <a:cubicBezTo>
                  <a:pt x="6503195" y="4459561"/>
                  <a:pt x="6517612" y="4472839"/>
                  <a:pt x="6517612" y="4489213"/>
                </a:cubicBezTo>
                <a:cubicBezTo>
                  <a:pt x="6517612" y="4505588"/>
                  <a:pt x="6503195" y="4518865"/>
                  <a:pt x="6485408" y="4518865"/>
                </a:cubicBezTo>
                <a:close/>
                <a:moveTo>
                  <a:pt x="6563942" y="4518865"/>
                </a:moveTo>
                <a:cubicBezTo>
                  <a:pt x="6546155" y="4518865"/>
                  <a:pt x="6531726" y="4505588"/>
                  <a:pt x="6531726" y="4489213"/>
                </a:cubicBezTo>
                <a:cubicBezTo>
                  <a:pt x="6531726" y="4472839"/>
                  <a:pt x="6546155" y="4459561"/>
                  <a:pt x="6563942" y="4459561"/>
                </a:cubicBezTo>
                <a:cubicBezTo>
                  <a:pt x="6581729" y="4459561"/>
                  <a:pt x="6596146" y="4472839"/>
                  <a:pt x="6596146" y="4489213"/>
                </a:cubicBezTo>
                <a:cubicBezTo>
                  <a:pt x="6596146" y="4505588"/>
                  <a:pt x="6581729" y="4518865"/>
                  <a:pt x="6563942" y="4518865"/>
                </a:cubicBezTo>
                <a:close/>
                <a:moveTo>
                  <a:pt x="6642476" y="4518865"/>
                </a:moveTo>
                <a:cubicBezTo>
                  <a:pt x="6624689" y="4518865"/>
                  <a:pt x="6610260" y="4505588"/>
                  <a:pt x="6610260" y="4489213"/>
                </a:cubicBezTo>
                <a:cubicBezTo>
                  <a:pt x="6610260" y="4472839"/>
                  <a:pt x="6624689" y="4459561"/>
                  <a:pt x="6642476" y="4459561"/>
                </a:cubicBezTo>
                <a:cubicBezTo>
                  <a:pt x="6660264" y="4459561"/>
                  <a:pt x="6674681" y="4472839"/>
                  <a:pt x="6674681" y="4489213"/>
                </a:cubicBezTo>
                <a:cubicBezTo>
                  <a:pt x="6674681" y="4505588"/>
                  <a:pt x="6660264" y="4518865"/>
                  <a:pt x="6642476" y="4518865"/>
                </a:cubicBezTo>
                <a:close/>
                <a:moveTo>
                  <a:pt x="6799544" y="4518865"/>
                </a:moveTo>
                <a:cubicBezTo>
                  <a:pt x="6781757" y="4518865"/>
                  <a:pt x="6767327" y="4505588"/>
                  <a:pt x="6767327" y="4489213"/>
                </a:cubicBezTo>
                <a:cubicBezTo>
                  <a:pt x="6767327" y="4472839"/>
                  <a:pt x="6781757" y="4459561"/>
                  <a:pt x="6799544" y="4459561"/>
                </a:cubicBezTo>
                <a:cubicBezTo>
                  <a:pt x="6817331" y="4459561"/>
                  <a:pt x="6831748" y="4472839"/>
                  <a:pt x="6831748" y="4489213"/>
                </a:cubicBezTo>
                <a:cubicBezTo>
                  <a:pt x="6831748" y="4505588"/>
                  <a:pt x="6817331" y="4518865"/>
                  <a:pt x="6799544" y="4518865"/>
                </a:cubicBezTo>
                <a:close/>
                <a:moveTo>
                  <a:pt x="6878077" y="4518865"/>
                </a:moveTo>
                <a:cubicBezTo>
                  <a:pt x="6860290" y="4518865"/>
                  <a:pt x="6845861" y="4505588"/>
                  <a:pt x="6845861" y="4489213"/>
                </a:cubicBezTo>
                <a:cubicBezTo>
                  <a:pt x="6845861" y="4472839"/>
                  <a:pt x="6860290" y="4459561"/>
                  <a:pt x="6878077" y="4459561"/>
                </a:cubicBezTo>
                <a:cubicBezTo>
                  <a:pt x="6895864" y="4459561"/>
                  <a:pt x="6910281" y="4472839"/>
                  <a:pt x="6910281" y="4489213"/>
                </a:cubicBezTo>
                <a:cubicBezTo>
                  <a:pt x="6910281" y="4505588"/>
                  <a:pt x="6895864" y="4518865"/>
                  <a:pt x="6878077" y="4518865"/>
                </a:cubicBezTo>
                <a:close/>
                <a:moveTo>
                  <a:pt x="6956611" y="4518865"/>
                </a:moveTo>
                <a:cubicBezTo>
                  <a:pt x="6938824" y="4518865"/>
                  <a:pt x="6924395" y="4505588"/>
                  <a:pt x="6924395" y="4489213"/>
                </a:cubicBezTo>
                <a:cubicBezTo>
                  <a:pt x="6924395" y="4472839"/>
                  <a:pt x="6938824" y="4459561"/>
                  <a:pt x="6956611" y="4459561"/>
                </a:cubicBezTo>
                <a:cubicBezTo>
                  <a:pt x="6974399" y="4459561"/>
                  <a:pt x="6988816" y="4472839"/>
                  <a:pt x="6988816" y="4489213"/>
                </a:cubicBezTo>
                <a:cubicBezTo>
                  <a:pt x="6988816" y="4505588"/>
                  <a:pt x="6974399" y="4518865"/>
                  <a:pt x="6956611" y="4518865"/>
                </a:cubicBezTo>
                <a:close/>
                <a:moveTo>
                  <a:pt x="7035146" y="4518865"/>
                </a:moveTo>
                <a:cubicBezTo>
                  <a:pt x="7017358" y="4518865"/>
                  <a:pt x="7002929" y="4505588"/>
                  <a:pt x="7002929" y="4489213"/>
                </a:cubicBezTo>
                <a:cubicBezTo>
                  <a:pt x="7002929" y="4472839"/>
                  <a:pt x="7017358" y="4459561"/>
                  <a:pt x="7035146" y="4459561"/>
                </a:cubicBezTo>
                <a:cubicBezTo>
                  <a:pt x="7052933" y="4459561"/>
                  <a:pt x="7067350" y="4472839"/>
                  <a:pt x="7067350" y="4489213"/>
                </a:cubicBezTo>
                <a:cubicBezTo>
                  <a:pt x="7067350" y="4505588"/>
                  <a:pt x="7052933" y="4518865"/>
                  <a:pt x="7035146" y="4518865"/>
                </a:cubicBezTo>
                <a:close/>
                <a:moveTo>
                  <a:pt x="7113703" y="4518865"/>
                </a:moveTo>
                <a:cubicBezTo>
                  <a:pt x="7095916" y="4518865"/>
                  <a:pt x="7081487" y="4505588"/>
                  <a:pt x="7081487" y="4489213"/>
                </a:cubicBezTo>
                <a:cubicBezTo>
                  <a:pt x="7081487" y="4472839"/>
                  <a:pt x="7095916" y="4459561"/>
                  <a:pt x="7113703" y="4459561"/>
                </a:cubicBezTo>
                <a:cubicBezTo>
                  <a:pt x="7131490" y="4459561"/>
                  <a:pt x="7145907" y="4472839"/>
                  <a:pt x="7145907" y="4489213"/>
                </a:cubicBezTo>
                <a:cubicBezTo>
                  <a:pt x="7145907" y="4505588"/>
                  <a:pt x="7131490" y="4518865"/>
                  <a:pt x="7113703" y="4518865"/>
                </a:cubicBezTo>
                <a:close/>
                <a:moveTo>
                  <a:pt x="7192237" y="4518865"/>
                </a:moveTo>
                <a:cubicBezTo>
                  <a:pt x="7174450" y="4518865"/>
                  <a:pt x="7160021" y="4505588"/>
                  <a:pt x="7160021" y="4489213"/>
                </a:cubicBezTo>
                <a:cubicBezTo>
                  <a:pt x="7160021" y="4472839"/>
                  <a:pt x="7174450" y="4459561"/>
                  <a:pt x="7192237" y="4459561"/>
                </a:cubicBezTo>
                <a:cubicBezTo>
                  <a:pt x="7210024" y="4459561"/>
                  <a:pt x="7224441" y="4472839"/>
                  <a:pt x="7224441" y="4489213"/>
                </a:cubicBezTo>
                <a:cubicBezTo>
                  <a:pt x="7224441" y="4505588"/>
                  <a:pt x="7210024" y="4518865"/>
                  <a:pt x="7192237" y="4518865"/>
                </a:cubicBezTo>
                <a:close/>
                <a:moveTo>
                  <a:pt x="7270771" y="4518865"/>
                </a:moveTo>
                <a:cubicBezTo>
                  <a:pt x="7252984" y="4518865"/>
                  <a:pt x="7238555" y="4505588"/>
                  <a:pt x="7238555" y="4489213"/>
                </a:cubicBezTo>
                <a:cubicBezTo>
                  <a:pt x="7238555" y="4472839"/>
                  <a:pt x="7252984" y="4459561"/>
                  <a:pt x="7270771" y="4459561"/>
                </a:cubicBezTo>
                <a:cubicBezTo>
                  <a:pt x="7288559" y="4459561"/>
                  <a:pt x="7302976" y="4472839"/>
                  <a:pt x="7302976" y="4489213"/>
                </a:cubicBezTo>
                <a:cubicBezTo>
                  <a:pt x="7302976" y="4505588"/>
                  <a:pt x="7288559" y="4518865"/>
                  <a:pt x="7270771" y="4518865"/>
                </a:cubicBezTo>
                <a:close/>
                <a:moveTo>
                  <a:pt x="7349305" y="4518865"/>
                </a:moveTo>
                <a:cubicBezTo>
                  <a:pt x="7331517" y="4518865"/>
                  <a:pt x="7317088" y="4505588"/>
                  <a:pt x="7317088" y="4489213"/>
                </a:cubicBezTo>
                <a:cubicBezTo>
                  <a:pt x="7317088" y="4472839"/>
                  <a:pt x="7331517" y="4459561"/>
                  <a:pt x="7349305" y="4459561"/>
                </a:cubicBezTo>
                <a:cubicBezTo>
                  <a:pt x="7367092" y="4459561"/>
                  <a:pt x="7381509" y="4472839"/>
                  <a:pt x="7381509" y="4489213"/>
                </a:cubicBezTo>
                <a:cubicBezTo>
                  <a:pt x="7381509" y="4505588"/>
                  <a:pt x="7367092" y="4518865"/>
                  <a:pt x="7349305" y="4518865"/>
                </a:cubicBezTo>
                <a:close/>
                <a:moveTo>
                  <a:pt x="7427839" y="4518865"/>
                </a:moveTo>
                <a:cubicBezTo>
                  <a:pt x="7410052" y="4518865"/>
                  <a:pt x="7395623" y="4505588"/>
                  <a:pt x="7395623" y="4489213"/>
                </a:cubicBezTo>
                <a:cubicBezTo>
                  <a:pt x="7395623" y="4472839"/>
                  <a:pt x="7410052" y="4459561"/>
                  <a:pt x="7427839" y="4459561"/>
                </a:cubicBezTo>
                <a:cubicBezTo>
                  <a:pt x="7445626" y="4459561"/>
                  <a:pt x="7460043" y="4472839"/>
                  <a:pt x="7460043" y="4489213"/>
                </a:cubicBezTo>
                <a:cubicBezTo>
                  <a:pt x="7460043" y="4505588"/>
                  <a:pt x="7445626" y="4518865"/>
                  <a:pt x="7427839" y="4518865"/>
                </a:cubicBezTo>
                <a:close/>
                <a:moveTo>
                  <a:pt x="7506373" y="4518865"/>
                </a:moveTo>
                <a:cubicBezTo>
                  <a:pt x="7488586" y="4518865"/>
                  <a:pt x="7474157" y="4505588"/>
                  <a:pt x="7474157" y="4489213"/>
                </a:cubicBezTo>
                <a:cubicBezTo>
                  <a:pt x="7474157" y="4472839"/>
                  <a:pt x="7488586" y="4459561"/>
                  <a:pt x="7506373" y="4459561"/>
                </a:cubicBezTo>
                <a:cubicBezTo>
                  <a:pt x="7524160" y="4459561"/>
                  <a:pt x="7538577" y="4472839"/>
                  <a:pt x="7538577" y="4489213"/>
                </a:cubicBezTo>
                <a:cubicBezTo>
                  <a:pt x="7538577" y="4505588"/>
                  <a:pt x="7524160" y="4518865"/>
                  <a:pt x="7506373" y="4518865"/>
                </a:cubicBezTo>
                <a:close/>
                <a:moveTo>
                  <a:pt x="7584906" y="4518865"/>
                </a:moveTo>
                <a:cubicBezTo>
                  <a:pt x="7567119" y="4518865"/>
                  <a:pt x="7552690" y="4505588"/>
                  <a:pt x="7552690" y="4489213"/>
                </a:cubicBezTo>
                <a:cubicBezTo>
                  <a:pt x="7552690" y="4472839"/>
                  <a:pt x="7567119" y="4459561"/>
                  <a:pt x="7584906" y="4459561"/>
                </a:cubicBezTo>
                <a:cubicBezTo>
                  <a:pt x="7602694" y="4459561"/>
                  <a:pt x="7617111" y="4472839"/>
                  <a:pt x="7617111" y="4489213"/>
                </a:cubicBezTo>
                <a:cubicBezTo>
                  <a:pt x="7617111" y="4505588"/>
                  <a:pt x="7602694" y="4518865"/>
                  <a:pt x="7584906" y="4518865"/>
                </a:cubicBezTo>
                <a:close/>
                <a:moveTo>
                  <a:pt x="7663441" y="4518865"/>
                </a:moveTo>
                <a:cubicBezTo>
                  <a:pt x="7645653" y="4518865"/>
                  <a:pt x="7631224" y="4505588"/>
                  <a:pt x="7631224" y="4489213"/>
                </a:cubicBezTo>
                <a:cubicBezTo>
                  <a:pt x="7631224" y="4472839"/>
                  <a:pt x="7645653" y="4459561"/>
                  <a:pt x="7663441" y="4459561"/>
                </a:cubicBezTo>
                <a:cubicBezTo>
                  <a:pt x="7681228" y="4459561"/>
                  <a:pt x="7695645" y="4472839"/>
                  <a:pt x="7695645" y="4489213"/>
                </a:cubicBezTo>
                <a:cubicBezTo>
                  <a:pt x="7695645" y="4505588"/>
                  <a:pt x="7681228" y="4518865"/>
                  <a:pt x="7663441" y="4518865"/>
                </a:cubicBezTo>
                <a:close/>
                <a:moveTo>
                  <a:pt x="7741974" y="4518865"/>
                </a:moveTo>
                <a:cubicBezTo>
                  <a:pt x="7724187" y="4518865"/>
                  <a:pt x="7709758" y="4505588"/>
                  <a:pt x="7709758" y="4489213"/>
                </a:cubicBezTo>
                <a:cubicBezTo>
                  <a:pt x="7709758" y="4472839"/>
                  <a:pt x="7724187" y="4459561"/>
                  <a:pt x="7741974" y="4459561"/>
                </a:cubicBezTo>
                <a:cubicBezTo>
                  <a:pt x="7759761" y="4459561"/>
                  <a:pt x="7774178" y="4472839"/>
                  <a:pt x="7774178" y="4489213"/>
                </a:cubicBezTo>
                <a:cubicBezTo>
                  <a:pt x="7774178" y="4505588"/>
                  <a:pt x="7759761" y="4518865"/>
                  <a:pt x="7741974" y="4518865"/>
                </a:cubicBezTo>
                <a:close/>
                <a:moveTo>
                  <a:pt x="7820508" y="4518865"/>
                </a:moveTo>
                <a:cubicBezTo>
                  <a:pt x="7802721" y="4518865"/>
                  <a:pt x="7788292" y="4505588"/>
                  <a:pt x="7788292" y="4489213"/>
                </a:cubicBezTo>
                <a:cubicBezTo>
                  <a:pt x="7788292" y="4472839"/>
                  <a:pt x="7802721" y="4459561"/>
                  <a:pt x="7820508" y="4459561"/>
                </a:cubicBezTo>
                <a:cubicBezTo>
                  <a:pt x="7838295" y="4459561"/>
                  <a:pt x="7852712" y="4472839"/>
                  <a:pt x="7852712" y="4489213"/>
                </a:cubicBezTo>
                <a:cubicBezTo>
                  <a:pt x="7852712" y="4505588"/>
                  <a:pt x="7838295" y="4518865"/>
                  <a:pt x="7820508" y="4518865"/>
                </a:cubicBezTo>
                <a:close/>
                <a:moveTo>
                  <a:pt x="7899042" y="4518865"/>
                </a:moveTo>
                <a:cubicBezTo>
                  <a:pt x="7881255" y="4518865"/>
                  <a:pt x="7866826" y="4505588"/>
                  <a:pt x="7866826" y="4489213"/>
                </a:cubicBezTo>
                <a:cubicBezTo>
                  <a:pt x="7866826" y="4472839"/>
                  <a:pt x="7881255" y="4459561"/>
                  <a:pt x="7899042" y="4459561"/>
                </a:cubicBezTo>
                <a:cubicBezTo>
                  <a:pt x="7916830" y="4459561"/>
                  <a:pt x="7931247" y="4472839"/>
                  <a:pt x="7931247" y="4489213"/>
                </a:cubicBezTo>
                <a:cubicBezTo>
                  <a:pt x="7931247" y="4505588"/>
                  <a:pt x="7916830" y="4518865"/>
                  <a:pt x="7899042" y="4518865"/>
                </a:cubicBezTo>
                <a:close/>
                <a:moveTo>
                  <a:pt x="7977576" y="4518865"/>
                </a:moveTo>
                <a:cubicBezTo>
                  <a:pt x="7959788" y="4518865"/>
                  <a:pt x="7945359" y="4505588"/>
                  <a:pt x="7945359" y="4489213"/>
                </a:cubicBezTo>
                <a:cubicBezTo>
                  <a:pt x="7945359" y="4472839"/>
                  <a:pt x="7959788" y="4459561"/>
                  <a:pt x="7977576" y="4459561"/>
                </a:cubicBezTo>
                <a:cubicBezTo>
                  <a:pt x="7995363" y="4459561"/>
                  <a:pt x="8009780" y="4472839"/>
                  <a:pt x="8009780" y="4489213"/>
                </a:cubicBezTo>
                <a:cubicBezTo>
                  <a:pt x="8009780" y="4505588"/>
                  <a:pt x="7995363" y="4518865"/>
                  <a:pt x="7977576" y="4518865"/>
                </a:cubicBezTo>
                <a:close/>
                <a:moveTo>
                  <a:pt x="8056110" y="4518865"/>
                </a:moveTo>
                <a:cubicBezTo>
                  <a:pt x="8038323" y="4518865"/>
                  <a:pt x="8023894" y="4505588"/>
                  <a:pt x="8023894" y="4489213"/>
                </a:cubicBezTo>
                <a:cubicBezTo>
                  <a:pt x="8023894" y="4472839"/>
                  <a:pt x="8038323" y="4459561"/>
                  <a:pt x="8056110" y="4459561"/>
                </a:cubicBezTo>
                <a:cubicBezTo>
                  <a:pt x="8073897" y="4459561"/>
                  <a:pt x="8088314" y="4472839"/>
                  <a:pt x="8088314" y="4489213"/>
                </a:cubicBezTo>
                <a:cubicBezTo>
                  <a:pt x="8088314" y="4505588"/>
                  <a:pt x="8073897" y="4518865"/>
                  <a:pt x="8056110" y="4518865"/>
                </a:cubicBezTo>
                <a:close/>
                <a:moveTo>
                  <a:pt x="8134643" y="4518865"/>
                </a:moveTo>
                <a:cubicBezTo>
                  <a:pt x="8116856" y="4518865"/>
                  <a:pt x="8102427" y="4505588"/>
                  <a:pt x="8102427" y="4489213"/>
                </a:cubicBezTo>
                <a:cubicBezTo>
                  <a:pt x="8102427" y="4472839"/>
                  <a:pt x="8116856" y="4459561"/>
                  <a:pt x="8134643" y="4459561"/>
                </a:cubicBezTo>
                <a:cubicBezTo>
                  <a:pt x="8152430" y="4459561"/>
                  <a:pt x="8166847" y="4472839"/>
                  <a:pt x="8166847" y="4489213"/>
                </a:cubicBezTo>
                <a:cubicBezTo>
                  <a:pt x="8166847" y="4505588"/>
                  <a:pt x="8152430" y="4518865"/>
                  <a:pt x="8134643" y="4518865"/>
                </a:cubicBezTo>
                <a:close/>
                <a:moveTo>
                  <a:pt x="8213177" y="4518865"/>
                </a:moveTo>
                <a:cubicBezTo>
                  <a:pt x="8195390" y="4518865"/>
                  <a:pt x="8180961" y="4505588"/>
                  <a:pt x="8180961" y="4489213"/>
                </a:cubicBezTo>
                <a:cubicBezTo>
                  <a:pt x="8180961" y="4472839"/>
                  <a:pt x="8195390" y="4459561"/>
                  <a:pt x="8213177" y="4459561"/>
                </a:cubicBezTo>
                <a:cubicBezTo>
                  <a:pt x="8230965" y="4459561"/>
                  <a:pt x="8245382" y="4472839"/>
                  <a:pt x="8245382" y="4489213"/>
                </a:cubicBezTo>
                <a:cubicBezTo>
                  <a:pt x="8245382" y="4505588"/>
                  <a:pt x="8230965" y="4518865"/>
                  <a:pt x="8213177" y="4518865"/>
                </a:cubicBezTo>
                <a:close/>
                <a:moveTo>
                  <a:pt x="8291712" y="4518865"/>
                </a:moveTo>
                <a:cubicBezTo>
                  <a:pt x="8273924" y="4518865"/>
                  <a:pt x="8259495" y="4505588"/>
                  <a:pt x="8259495" y="4489213"/>
                </a:cubicBezTo>
                <a:cubicBezTo>
                  <a:pt x="8259495" y="4472839"/>
                  <a:pt x="8273924" y="4459561"/>
                  <a:pt x="8291712" y="4459561"/>
                </a:cubicBezTo>
                <a:cubicBezTo>
                  <a:pt x="8309499" y="4459561"/>
                  <a:pt x="8323916" y="4472839"/>
                  <a:pt x="8323916" y="4489213"/>
                </a:cubicBezTo>
                <a:cubicBezTo>
                  <a:pt x="8323916" y="4505588"/>
                  <a:pt x="8309499" y="4518865"/>
                  <a:pt x="8291712" y="4518865"/>
                </a:cubicBezTo>
                <a:close/>
                <a:moveTo>
                  <a:pt x="8370245" y="4518865"/>
                </a:moveTo>
                <a:cubicBezTo>
                  <a:pt x="8352458" y="4518865"/>
                  <a:pt x="8338029" y="4505588"/>
                  <a:pt x="8338029" y="4489213"/>
                </a:cubicBezTo>
                <a:cubicBezTo>
                  <a:pt x="8338029" y="4472839"/>
                  <a:pt x="8352458" y="4459561"/>
                  <a:pt x="8370245" y="4459561"/>
                </a:cubicBezTo>
                <a:cubicBezTo>
                  <a:pt x="8388032" y="4459561"/>
                  <a:pt x="8402449" y="4472839"/>
                  <a:pt x="8402449" y="4489213"/>
                </a:cubicBezTo>
                <a:cubicBezTo>
                  <a:pt x="8402449" y="4505588"/>
                  <a:pt x="8388032" y="4518865"/>
                  <a:pt x="8370245" y="4518865"/>
                </a:cubicBezTo>
                <a:close/>
                <a:moveTo>
                  <a:pt x="8448779" y="4518865"/>
                </a:moveTo>
                <a:cubicBezTo>
                  <a:pt x="8430992" y="4518865"/>
                  <a:pt x="8416563" y="4505588"/>
                  <a:pt x="8416563" y="4489213"/>
                </a:cubicBezTo>
                <a:cubicBezTo>
                  <a:pt x="8416563" y="4472839"/>
                  <a:pt x="8430992" y="4459561"/>
                  <a:pt x="8448779" y="4459561"/>
                </a:cubicBezTo>
                <a:cubicBezTo>
                  <a:pt x="8466566" y="4459561"/>
                  <a:pt x="8480983" y="4472839"/>
                  <a:pt x="8480983" y="4489213"/>
                </a:cubicBezTo>
                <a:cubicBezTo>
                  <a:pt x="8480983" y="4505588"/>
                  <a:pt x="8466566" y="4518865"/>
                  <a:pt x="8448779" y="4518865"/>
                </a:cubicBezTo>
                <a:close/>
                <a:moveTo>
                  <a:pt x="8527313" y="4518865"/>
                </a:moveTo>
                <a:cubicBezTo>
                  <a:pt x="8509526" y="4518865"/>
                  <a:pt x="8495097" y="4505588"/>
                  <a:pt x="8495097" y="4489213"/>
                </a:cubicBezTo>
                <a:cubicBezTo>
                  <a:pt x="8495097" y="4472839"/>
                  <a:pt x="8509526" y="4459561"/>
                  <a:pt x="8527313" y="4459561"/>
                </a:cubicBezTo>
                <a:cubicBezTo>
                  <a:pt x="8545101" y="4459561"/>
                  <a:pt x="8559518" y="4472839"/>
                  <a:pt x="8559518" y="4489213"/>
                </a:cubicBezTo>
                <a:cubicBezTo>
                  <a:pt x="8559518" y="4505588"/>
                  <a:pt x="8545101" y="4518865"/>
                  <a:pt x="8527313" y="4518865"/>
                </a:cubicBezTo>
                <a:close/>
                <a:moveTo>
                  <a:pt x="8605847" y="4518865"/>
                </a:moveTo>
                <a:cubicBezTo>
                  <a:pt x="8588059" y="4518865"/>
                  <a:pt x="8573630" y="4505588"/>
                  <a:pt x="8573630" y="4489213"/>
                </a:cubicBezTo>
                <a:cubicBezTo>
                  <a:pt x="8573630" y="4472839"/>
                  <a:pt x="8588059" y="4459561"/>
                  <a:pt x="8605847" y="4459561"/>
                </a:cubicBezTo>
                <a:cubicBezTo>
                  <a:pt x="8623634" y="4459561"/>
                  <a:pt x="8638051" y="4472839"/>
                  <a:pt x="8638051" y="4489213"/>
                </a:cubicBezTo>
                <a:cubicBezTo>
                  <a:pt x="8638051" y="4505588"/>
                  <a:pt x="8623634" y="4518865"/>
                  <a:pt x="8605847" y="4518865"/>
                </a:cubicBezTo>
                <a:close/>
                <a:moveTo>
                  <a:pt x="8684381" y="4518865"/>
                </a:moveTo>
                <a:cubicBezTo>
                  <a:pt x="8666594" y="4518865"/>
                  <a:pt x="8652165" y="4505588"/>
                  <a:pt x="8652165" y="4489213"/>
                </a:cubicBezTo>
                <a:cubicBezTo>
                  <a:pt x="8652165" y="4472839"/>
                  <a:pt x="8666594" y="4459561"/>
                  <a:pt x="8684381" y="4459561"/>
                </a:cubicBezTo>
                <a:cubicBezTo>
                  <a:pt x="8702168" y="4459561"/>
                  <a:pt x="8716585" y="4472839"/>
                  <a:pt x="8716585" y="4489213"/>
                </a:cubicBezTo>
                <a:cubicBezTo>
                  <a:pt x="8716585" y="4505588"/>
                  <a:pt x="8702168" y="4518865"/>
                  <a:pt x="8684381" y="4518865"/>
                </a:cubicBezTo>
                <a:close/>
                <a:moveTo>
                  <a:pt x="8762914" y="4518865"/>
                </a:moveTo>
                <a:cubicBezTo>
                  <a:pt x="8745127" y="4518865"/>
                  <a:pt x="8730698" y="4505588"/>
                  <a:pt x="8730698" y="4489213"/>
                </a:cubicBezTo>
                <a:cubicBezTo>
                  <a:pt x="8730698" y="4472839"/>
                  <a:pt x="8745127" y="4459561"/>
                  <a:pt x="8762914" y="4459561"/>
                </a:cubicBezTo>
                <a:cubicBezTo>
                  <a:pt x="8780701" y="4459561"/>
                  <a:pt x="8795118" y="4472839"/>
                  <a:pt x="8795118" y="4489213"/>
                </a:cubicBezTo>
                <a:cubicBezTo>
                  <a:pt x="8795118" y="4505588"/>
                  <a:pt x="8780701" y="4518865"/>
                  <a:pt x="8762914" y="4518865"/>
                </a:cubicBezTo>
                <a:close/>
                <a:moveTo>
                  <a:pt x="8841448" y="4518865"/>
                </a:moveTo>
                <a:cubicBezTo>
                  <a:pt x="8823661" y="4518865"/>
                  <a:pt x="8809232" y="4505588"/>
                  <a:pt x="8809232" y="4489213"/>
                </a:cubicBezTo>
                <a:cubicBezTo>
                  <a:pt x="8809232" y="4472839"/>
                  <a:pt x="8823661" y="4459561"/>
                  <a:pt x="8841448" y="4459561"/>
                </a:cubicBezTo>
                <a:cubicBezTo>
                  <a:pt x="8859236" y="4459561"/>
                  <a:pt x="8873653" y="4472839"/>
                  <a:pt x="8873653" y="4489213"/>
                </a:cubicBezTo>
                <a:cubicBezTo>
                  <a:pt x="8873653" y="4505588"/>
                  <a:pt x="8859236" y="4518865"/>
                  <a:pt x="8841448" y="4518865"/>
                </a:cubicBezTo>
                <a:close/>
                <a:moveTo>
                  <a:pt x="8919983" y="4518865"/>
                </a:moveTo>
                <a:cubicBezTo>
                  <a:pt x="8902195" y="4518865"/>
                  <a:pt x="8887766" y="4505588"/>
                  <a:pt x="8887766" y="4489213"/>
                </a:cubicBezTo>
                <a:cubicBezTo>
                  <a:pt x="8887766" y="4472839"/>
                  <a:pt x="8902195" y="4459561"/>
                  <a:pt x="8919983" y="4459561"/>
                </a:cubicBezTo>
                <a:cubicBezTo>
                  <a:pt x="8937770" y="4459561"/>
                  <a:pt x="8952187" y="4472839"/>
                  <a:pt x="8952187" y="4489213"/>
                </a:cubicBezTo>
                <a:cubicBezTo>
                  <a:pt x="8952187" y="4505588"/>
                  <a:pt x="8937770" y="4518865"/>
                  <a:pt x="8919983" y="4518865"/>
                </a:cubicBezTo>
                <a:close/>
                <a:moveTo>
                  <a:pt x="8998516" y="4518865"/>
                </a:moveTo>
                <a:cubicBezTo>
                  <a:pt x="8980729" y="4518865"/>
                  <a:pt x="8966300" y="4505588"/>
                  <a:pt x="8966300" y="4489213"/>
                </a:cubicBezTo>
                <a:cubicBezTo>
                  <a:pt x="8966300" y="4472839"/>
                  <a:pt x="8980729" y="4459561"/>
                  <a:pt x="8998516" y="4459561"/>
                </a:cubicBezTo>
                <a:cubicBezTo>
                  <a:pt x="9016303" y="4459561"/>
                  <a:pt x="9030720" y="4472839"/>
                  <a:pt x="9030720" y="4489213"/>
                </a:cubicBezTo>
                <a:cubicBezTo>
                  <a:pt x="9030720" y="4505588"/>
                  <a:pt x="9016303" y="4518865"/>
                  <a:pt x="8998516" y="4518865"/>
                </a:cubicBezTo>
                <a:close/>
                <a:moveTo>
                  <a:pt x="9077050" y="4518865"/>
                </a:moveTo>
                <a:cubicBezTo>
                  <a:pt x="9059263" y="4518865"/>
                  <a:pt x="9044834" y="4505588"/>
                  <a:pt x="9044834" y="4489213"/>
                </a:cubicBezTo>
                <a:cubicBezTo>
                  <a:pt x="9044834" y="4472839"/>
                  <a:pt x="9059263" y="4459561"/>
                  <a:pt x="9077050" y="4459561"/>
                </a:cubicBezTo>
                <a:cubicBezTo>
                  <a:pt x="9094837" y="4459561"/>
                  <a:pt x="9109254" y="4472839"/>
                  <a:pt x="9109254" y="4489213"/>
                </a:cubicBezTo>
                <a:cubicBezTo>
                  <a:pt x="9109254" y="4505588"/>
                  <a:pt x="9094837" y="4518865"/>
                  <a:pt x="9077050" y="4518865"/>
                </a:cubicBezTo>
                <a:close/>
                <a:moveTo>
                  <a:pt x="9155583" y="4518865"/>
                </a:moveTo>
                <a:cubicBezTo>
                  <a:pt x="9137796" y="4518865"/>
                  <a:pt x="9123367" y="4505588"/>
                  <a:pt x="9123367" y="4489213"/>
                </a:cubicBezTo>
                <a:cubicBezTo>
                  <a:pt x="9123367" y="4472839"/>
                  <a:pt x="9137796" y="4459561"/>
                  <a:pt x="9155583" y="4459561"/>
                </a:cubicBezTo>
                <a:cubicBezTo>
                  <a:pt x="9173371" y="4459561"/>
                  <a:pt x="9187788" y="4472839"/>
                  <a:pt x="9187788" y="4489213"/>
                </a:cubicBezTo>
                <a:cubicBezTo>
                  <a:pt x="9187788" y="4505588"/>
                  <a:pt x="9173371" y="4518865"/>
                  <a:pt x="9155583" y="4518865"/>
                </a:cubicBezTo>
                <a:close/>
                <a:moveTo>
                  <a:pt x="9234118" y="4518865"/>
                </a:moveTo>
                <a:cubicBezTo>
                  <a:pt x="9216330" y="4518865"/>
                  <a:pt x="9201901" y="4505588"/>
                  <a:pt x="9201901" y="4489213"/>
                </a:cubicBezTo>
                <a:cubicBezTo>
                  <a:pt x="9201901" y="4472839"/>
                  <a:pt x="9216330" y="4459561"/>
                  <a:pt x="9234118" y="4459561"/>
                </a:cubicBezTo>
                <a:cubicBezTo>
                  <a:pt x="9251905" y="4459561"/>
                  <a:pt x="9266322" y="4472839"/>
                  <a:pt x="9266322" y="4489213"/>
                </a:cubicBezTo>
                <a:cubicBezTo>
                  <a:pt x="9266322" y="4505588"/>
                  <a:pt x="9251905" y="4518865"/>
                  <a:pt x="9234118" y="4518865"/>
                </a:cubicBezTo>
                <a:close/>
                <a:moveTo>
                  <a:pt x="9312652" y="4518865"/>
                </a:moveTo>
                <a:cubicBezTo>
                  <a:pt x="9294865" y="4518865"/>
                  <a:pt x="9280436" y="4505588"/>
                  <a:pt x="9280436" y="4489213"/>
                </a:cubicBezTo>
                <a:cubicBezTo>
                  <a:pt x="9280436" y="4472839"/>
                  <a:pt x="9294865" y="4459561"/>
                  <a:pt x="9312652" y="4459561"/>
                </a:cubicBezTo>
                <a:cubicBezTo>
                  <a:pt x="9330439" y="4459561"/>
                  <a:pt x="9344856" y="4472839"/>
                  <a:pt x="9344856" y="4489213"/>
                </a:cubicBezTo>
                <a:cubicBezTo>
                  <a:pt x="9344856" y="4505588"/>
                  <a:pt x="9330439" y="4518865"/>
                  <a:pt x="9312652" y="4518865"/>
                </a:cubicBezTo>
                <a:close/>
                <a:moveTo>
                  <a:pt x="9391185" y="4518865"/>
                </a:moveTo>
                <a:cubicBezTo>
                  <a:pt x="9373398" y="4518865"/>
                  <a:pt x="9358969" y="4505588"/>
                  <a:pt x="9358969" y="4489213"/>
                </a:cubicBezTo>
                <a:cubicBezTo>
                  <a:pt x="9358969" y="4472839"/>
                  <a:pt x="9373398" y="4459561"/>
                  <a:pt x="9391185" y="4459561"/>
                </a:cubicBezTo>
                <a:cubicBezTo>
                  <a:pt x="9408972" y="4459561"/>
                  <a:pt x="9423389" y="4472839"/>
                  <a:pt x="9423389" y="4489213"/>
                </a:cubicBezTo>
                <a:cubicBezTo>
                  <a:pt x="9423389" y="4505588"/>
                  <a:pt x="9408972" y="4518865"/>
                  <a:pt x="9391185" y="4518865"/>
                </a:cubicBezTo>
                <a:close/>
                <a:moveTo>
                  <a:pt x="9469719" y="4518865"/>
                </a:moveTo>
                <a:cubicBezTo>
                  <a:pt x="9451932" y="4518865"/>
                  <a:pt x="9437503" y="4505588"/>
                  <a:pt x="9437503" y="4489213"/>
                </a:cubicBezTo>
                <a:cubicBezTo>
                  <a:pt x="9437503" y="4472839"/>
                  <a:pt x="9451932" y="4459561"/>
                  <a:pt x="9469719" y="4459561"/>
                </a:cubicBezTo>
                <a:cubicBezTo>
                  <a:pt x="9487507" y="4459561"/>
                  <a:pt x="9501924" y="4472839"/>
                  <a:pt x="9501924" y="4489213"/>
                </a:cubicBezTo>
                <a:cubicBezTo>
                  <a:pt x="9501924" y="4505588"/>
                  <a:pt x="9487507" y="4518865"/>
                  <a:pt x="9469719" y="4518865"/>
                </a:cubicBezTo>
                <a:close/>
                <a:moveTo>
                  <a:pt x="10097990" y="4518865"/>
                </a:moveTo>
                <a:cubicBezTo>
                  <a:pt x="10080203" y="4518865"/>
                  <a:pt x="10065774" y="4505588"/>
                  <a:pt x="10065774" y="4489213"/>
                </a:cubicBezTo>
                <a:cubicBezTo>
                  <a:pt x="10065774" y="4472839"/>
                  <a:pt x="10080203" y="4459561"/>
                  <a:pt x="10097990" y="4459561"/>
                </a:cubicBezTo>
                <a:cubicBezTo>
                  <a:pt x="10115778" y="4459561"/>
                  <a:pt x="10130195" y="4472839"/>
                  <a:pt x="10130195" y="4489213"/>
                </a:cubicBezTo>
                <a:cubicBezTo>
                  <a:pt x="10130195" y="4505588"/>
                  <a:pt x="10115778" y="4518865"/>
                  <a:pt x="10097990" y="4518865"/>
                </a:cubicBezTo>
                <a:close/>
                <a:moveTo>
                  <a:pt x="2558715" y="4446600"/>
                </a:moveTo>
                <a:cubicBezTo>
                  <a:pt x="2540928" y="4446600"/>
                  <a:pt x="2526505" y="4433322"/>
                  <a:pt x="2526505" y="4416947"/>
                </a:cubicBezTo>
                <a:cubicBezTo>
                  <a:pt x="2526505" y="4400573"/>
                  <a:pt x="2540928" y="4387295"/>
                  <a:pt x="2558715" y="4387295"/>
                </a:cubicBezTo>
                <a:cubicBezTo>
                  <a:pt x="2576503" y="4387295"/>
                  <a:pt x="2590926" y="4400573"/>
                  <a:pt x="2590926" y="4416947"/>
                </a:cubicBezTo>
                <a:cubicBezTo>
                  <a:pt x="2590926" y="4433322"/>
                  <a:pt x="2576503" y="4446600"/>
                  <a:pt x="2558715" y="4446600"/>
                </a:cubicBezTo>
                <a:close/>
                <a:moveTo>
                  <a:pt x="2637243" y="4446600"/>
                </a:moveTo>
                <a:cubicBezTo>
                  <a:pt x="2619455" y="4446600"/>
                  <a:pt x="2605032" y="4433322"/>
                  <a:pt x="2605032" y="4416947"/>
                </a:cubicBezTo>
                <a:cubicBezTo>
                  <a:pt x="2605032" y="4400573"/>
                  <a:pt x="2619455" y="4387295"/>
                  <a:pt x="2637243" y="4387295"/>
                </a:cubicBezTo>
                <a:cubicBezTo>
                  <a:pt x="2655030" y="4387295"/>
                  <a:pt x="2669453" y="4400573"/>
                  <a:pt x="2669453" y="4416947"/>
                </a:cubicBezTo>
                <a:cubicBezTo>
                  <a:pt x="2669453" y="4433322"/>
                  <a:pt x="2655030" y="4446600"/>
                  <a:pt x="2637243" y="4446600"/>
                </a:cubicBezTo>
                <a:close/>
                <a:moveTo>
                  <a:pt x="2715777" y="4446600"/>
                </a:moveTo>
                <a:cubicBezTo>
                  <a:pt x="2697990" y="4446600"/>
                  <a:pt x="2683566" y="4433322"/>
                  <a:pt x="2683566" y="4416947"/>
                </a:cubicBezTo>
                <a:cubicBezTo>
                  <a:pt x="2683566" y="4400573"/>
                  <a:pt x="2697990" y="4387295"/>
                  <a:pt x="2715777" y="4387295"/>
                </a:cubicBezTo>
                <a:cubicBezTo>
                  <a:pt x="2733564" y="4387295"/>
                  <a:pt x="2747987" y="4400573"/>
                  <a:pt x="2747987" y="4416947"/>
                </a:cubicBezTo>
                <a:cubicBezTo>
                  <a:pt x="2747987" y="4433322"/>
                  <a:pt x="2733564" y="4446600"/>
                  <a:pt x="2715777" y="4446600"/>
                </a:cubicBezTo>
                <a:close/>
                <a:moveTo>
                  <a:pt x="2794310" y="4446600"/>
                </a:moveTo>
                <a:cubicBezTo>
                  <a:pt x="2776523" y="4446600"/>
                  <a:pt x="2762100" y="4433322"/>
                  <a:pt x="2762100" y="4416947"/>
                </a:cubicBezTo>
                <a:cubicBezTo>
                  <a:pt x="2762100" y="4400573"/>
                  <a:pt x="2776523" y="4387295"/>
                  <a:pt x="2794310" y="4387295"/>
                </a:cubicBezTo>
                <a:cubicBezTo>
                  <a:pt x="2812097" y="4387295"/>
                  <a:pt x="2826520" y="4400573"/>
                  <a:pt x="2826520" y="4416947"/>
                </a:cubicBezTo>
                <a:cubicBezTo>
                  <a:pt x="2826520" y="4433322"/>
                  <a:pt x="2812097" y="4446600"/>
                  <a:pt x="2794310" y="4446600"/>
                </a:cubicBezTo>
                <a:close/>
                <a:moveTo>
                  <a:pt x="2872844" y="4446600"/>
                </a:moveTo>
                <a:cubicBezTo>
                  <a:pt x="2855057" y="4446600"/>
                  <a:pt x="2840634" y="4433322"/>
                  <a:pt x="2840634" y="4416947"/>
                </a:cubicBezTo>
                <a:cubicBezTo>
                  <a:pt x="2840634" y="4400573"/>
                  <a:pt x="2855057" y="4387295"/>
                  <a:pt x="2872844" y="4387295"/>
                </a:cubicBezTo>
                <a:cubicBezTo>
                  <a:pt x="2890632" y="4387295"/>
                  <a:pt x="2905055" y="4400573"/>
                  <a:pt x="2905055" y="4416947"/>
                </a:cubicBezTo>
                <a:cubicBezTo>
                  <a:pt x="2905055" y="4433322"/>
                  <a:pt x="2890632" y="4446600"/>
                  <a:pt x="2872844" y="4446600"/>
                </a:cubicBezTo>
                <a:close/>
                <a:moveTo>
                  <a:pt x="2951379" y="4446600"/>
                </a:moveTo>
                <a:cubicBezTo>
                  <a:pt x="2933591" y="4446600"/>
                  <a:pt x="2919168" y="4433322"/>
                  <a:pt x="2919168" y="4416947"/>
                </a:cubicBezTo>
                <a:cubicBezTo>
                  <a:pt x="2919168" y="4400573"/>
                  <a:pt x="2933591" y="4387295"/>
                  <a:pt x="2951379" y="4387295"/>
                </a:cubicBezTo>
                <a:cubicBezTo>
                  <a:pt x="2969166" y="4387295"/>
                  <a:pt x="2983589" y="4400573"/>
                  <a:pt x="2983589" y="4416947"/>
                </a:cubicBezTo>
                <a:cubicBezTo>
                  <a:pt x="2983589" y="4433322"/>
                  <a:pt x="2969166" y="4446600"/>
                  <a:pt x="2951379" y="4446600"/>
                </a:cubicBezTo>
                <a:close/>
                <a:moveTo>
                  <a:pt x="3029912" y="4446600"/>
                </a:moveTo>
                <a:cubicBezTo>
                  <a:pt x="3012125" y="4446600"/>
                  <a:pt x="2997701" y="4433322"/>
                  <a:pt x="2997701" y="4416947"/>
                </a:cubicBezTo>
                <a:cubicBezTo>
                  <a:pt x="2997701" y="4400573"/>
                  <a:pt x="3012125" y="4387295"/>
                  <a:pt x="3029912" y="4387295"/>
                </a:cubicBezTo>
                <a:cubicBezTo>
                  <a:pt x="3047699" y="4387295"/>
                  <a:pt x="3062122" y="4400573"/>
                  <a:pt x="3062122" y="4416947"/>
                </a:cubicBezTo>
                <a:cubicBezTo>
                  <a:pt x="3062122" y="4433322"/>
                  <a:pt x="3047699" y="4446600"/>
                  <a:pt x="3029912" y="4446600"/>
                </a:cubicBezTo>
                <a:close/>
                <a:moveTo>
                  <a:pt x="3108446" y="4446600"/>
                </a:moveTo>
                <a:cubicBezTo>
                  <a:pt x="3090659" y="4446600"/>
                  <a:pt x="3076236" y="4433322"/>
                  <a:pt x="3076236" y="4416947"/>
                </a:cubicBezTo>
                <a:cubicBezTo>
                  <a:pt x="3076236" y="4400573"/>
                  <a:pt x="3090659" y="4387295"/>
                  <a:pt x="3108446" y="4387295"/>
                </a:cubicBezTo>
                <a:cubicBezTo>
                  <a:pt x="3126233" y="4387295"/>
                  <a:pt x="3140656" y="4400573"/>
                  <a:pt x="3140656" y="4416947"/>
                </a:cubicBezTo>
                <a:cubicBezTo>
                  <a:pt x="3140656" y="4433322"/>
                  <a:pt x="3126233" y="4446600"/>
                  <a:pt x="3108446" y="4446600"/>
                </a:cubicBezTo>
                <a:close/>
                <a:moveTo>
                  <a:pt x="3186979" y="4446600"/>
                </a:moveTo>
                <a:cubicBezTo>
                  <a:pt x="3169192" y="4446600"/>
                  <a:pt x="3154769" y="4433322"/>
                  <a:pt x="3154769" y="4416947"/>
                </a:cubicBezTo>
                <a:cubicBezTo>
                  <a:pt x="3154769" y="4400573"/>
                  <a:pt x="3169192" y="4387295"/>
                  <a:pt x="3186979" y="4387295"/>
                </a:cubicBezTo>
                <a:cubicBezTo>
                  <a:pt x="3204767" y="4387295"/>
                  <a:pt x="3219190" y="4400573"/>
                  <a:pt x="3219190" y="4416947"/>
                </a:cubicBezTo>
                <a:cubicBezTo>
                  <a:pt x="3219190" y="4433322"/>
                  <a:pt x="3204767" y="4446600"/>
                  <a:pt x="3186979" y="4446600"/>
                </a:cubicBezTo>
                <a:close/>
                <a:moveTo>
                  <a:pt x="3265514" y="4446600"/>
                </a:moveTo>
                <a:cubicBezTo>
                  <a:pt x="3247726" y="4446600"/>
                  <a:pt x="3233303" y="4433322"/>
                  <a:pt x="3233303" y="4416947"/>
                </a:cubicBezTo>
                <a:cubicBezTo>
                  <a:pt x="3233303" y="4400573"/>
                  <a:pt x="3247726" y="4387295"/>
                  <a:pt x="3265514" y="4387295"/>
                </a:cubicBezTo>
                <a:cubicBezTo>
                  <a:pt x="3283301" y="4387295"/>
                  <a:pt x="3297724" y="4400573"/>
                  <a:pt x="3297724" y="4416947"/>
                </a:cubicBezTo>
                <a:cubicBezTo>
                  <a:pt x="3297724" y="4433322"/>
                  <a:pt x="3283301" y="4446600"/>
                  <a:pt x="3265514" y="4446600"/>
                </a:cubicBezTo>
                <a:close/>
                <a:moveTo>
                  <a:pt x="3344048" y="4446600"/>
                </a:moveTo>
                <a:cubicBezTo>
                  <a:pt x="3326261" y="4446600"/>
                  <a:pt x="3311837" y="4433322"/>
                  <a:pt x="3311837" y="4416947"/>
                </a:cubicBezTo>
                <a:cubicBezTo>
                  <a:pt x="3311837" y="4400573"/>
                  <a:pt x="3326261" y="4387295"/>
                  <a:pt x="3344048" y="4387295"/>
                </a:cubicBezTo>
                <a:cubicBezTo>
                  <a:pt x="3361835" y="4387295"/>
                  <a:pt x="3376258" y="4400573"/>
                  <a:pt x="3376258" y="4416947"/>
                </a:cubicBezTo>
                <a:cubicBezTo>
                  <a:pt x="3376258" y="4433322"/>
                  <a:pt x="3361835" y="4446600"/>
                  <a:pt x="3344048" y="4446600"/>
                </a:cubicBezTo>
                <a:close/>
                <a:moveTo>
                  <a:pt x="3422581" y="4446600"/>
                </a:moveTo>
                <a:cubicBezTo>
                  <a:pt x="3404794" y="4446600"/>
                  <a:pt x="3390371" y="4433322"/>
                  <a:pt x="3390371" y="4416947"/>
                </a:cubicBezTo>
                <a:cubicBezTo>
                  <a:pt x="3390371" y="4400573"/>
                  <a:pt x="3404794" y="4387295"/>
                  <a:pt x="3422581" y="4387295"/>
                </a:cubicBezTo>
                <a:cubicBezTo>
                  <a:pt x="3440368" y="4387295"/>
                  <a:pt x="3454791" y="4400573"/>
                  <a:pt x="3454791" y="4416947"/>
                </a:cubicBezTo>
                <a:cubicBezTo>
                  <a:pt x="3454791" y="4433322"/>
                  <a:pt x="3440368" y="4446600"/>
                  <a:pt x="3422581" y="4446600"/>
                </a:cubicBezTo>
                <a:close/>
                <a:moveTo>
                  <a:pt x="3501115" y="4446600"/>
                </a:moveTo>
                <a:cubicBezTo>
                  <a:pt x="3483328" y="4446600"/>
                  <a:pt x="3468905" y="4433322"/>
                  <a:pt x="3468905" y="4416947"/>
                </a:cubicBezTo>
                <a:cubicBezTo>
                  <a:pt x="3468905" y="4400573"/>
                  <a:pt x="3483328" y="4387295"/>
                  <a:pt x="3501115" y="4387295"/>
                </a:cubicBezTo>
                <a:cubicBezTo>
                  <a:pt x="3518903" y="4387295"/>
                  <a:pt x="3533326" y="4400573"/>
                  <a:pt x="3533326" y="4416947"/>
                </a:cubicBezTo>
                <a:cubicBezTo>
                  <a:pt x="3533326" y="4433322"/>
                  <a:pt x="3518903" y="4446600"/>
                  <a:pt x="3501115" y="4446600"/>
                </a:cubicBezTo>
                <a:close/>
                <a:moveTo>
                  <a:pt x="3579650" y="4446600"/>
                </a:moveTo>
                <a:cubicBezTo>
                  <a:pt x="3561862" y="4446600"/>
                  <a:pt x="3547439" y="4433322"/>
                  <a:pt x="3547439" y="4416947"/>
                </a:cubicBezTo>
                <a:cubicBezTo>
                  <a:pt x="3547439" y="4400573"/>
                  <a:pt x="3561862" y="4387295"/>
                  <a:pt x="3579650" y="4387295"/>
                </a:cubicBezTo>
                <a:cubicBezTo>
                  <a:pt x="3597437" y="4387295"/>
                  <a:pt x="3611860" y="4400573"/>
                  <a:pt x="3611860" y="4416947"/>
                </a:cubicBezTo>
                <a:cubicBezTo>
                  <a:pt x="3611860" y="4433322"/>
                  <a:pt x="3597437" y="4446600"/>
                  <a:pt x="3579650" y="4446600"/>
                </a:cubicBezTo>
                <a:close/>
                <a:moveTo>
                  <a:pt x="3972319" y="4446600"/>
                </a:moveTo>
                <a:cubicBezTo>
                  <a:pt x="3954532" y="4446600"/>
                  <a:pt x="3940108" y="4433322"/>
                  <a:pt x="3940108" y="4416947"/>
                </a:cubicBezTo>
                <a:cubicBezTo>
                  <a:pt x="3940108" y="4400573"/>
                  <a:pt x="3954532" y="4387295"/>
                  <a:pt x="3972319" y="4387295"/>
                </a:cubicBezTo>
                <a:cubicBezTo>
                  <a:pt x="3990106" y="4387295"/>
                  <a:pt x="4004529" y="4400573"/>
                  <a:pt x="4004529" y="4416947"/>
                </a:cubicBezTo>
                <a:cubicBezTo>
                  <a:pt x="4004529" y="4433322"/>
                  <a:pt x="3990106" y="4446600"/>
                  <a:pt x="3972319" y="4446600"/>
                </a:cubicBezTo>
                <a:close/>
                <a:moveTo>
                  <a:pt x="4050852" y="4446600"/>
                </a:moveTo>
                <a:cubicBezTo>
                  <a:pt x="4033065" y="4446600"/>
                  <a:pt x="4018642" y="4433322"/>
                  <a:pt x="4018642" y="4416947"/>
                </a:cubicBezTo>
                <a:cubicBezTo>
                  <a:pt x="4018642" y="4400573"/>
                  <a:pt x="4033065" y="4387295"/>
                  <a:pt x="4050852" y="4387295"/>
                </a:cubicBezTo>
                <a:cubicBezTo>
                  <a:pt x="4068639" y="4387295"/>
                  <a:pt x="4083062" y="4400573"/>
                  <a:pt x="4083062" y="4416947"/>
                </a:cubicBezTo>
                <a:cubicBezTo>
                  <a:pt x="4083062" y="4433322"/>
                  <a:pt x="4068639" y="4446600"/>
                  <a:pt x="4050852" y="4446600"/>
                </a:cubicBezTo>
                <a:close/>
                <a:moveTo>
                  <a:pt x="4129386" y="4446600"/>
                </a:moveTo>
                <a:cubicBezTo>
                  <a:pt x="4111599" y="4446600"/>
                  <a:pt x="4097176" y="4433322"/>
                  <a:pt x="4097176" y="4416947"/>
                </a:cubicBezTo>
                <a:cubicBezTo>
                  <a:pt x="4097176" y="4400573"/>
                  <a:pt x="4111599" y="4387295"/>
                  <a:pt x="4129386" y="4387295"/>
                </a:cubicBezTo>
                <a:cubicBezTo>
                  <a:pt x="4147174" y="4387295"/>
                  <a:pt x="4161597" y="4400573"/>
                  <a:pt x="4161597" y="4416947"/>
                </a:cubicBezTo>
                <a:cubicBezTo>
                  <a:pt x="4161597" y="4433322"/>
                  <a:pt x="4147174" y="4446600"/>
                  <a:pt x="4129386" y="4446600"/>
                </a:cubicBezTo>
                <a:close/>
                <a:moveTo>
                  <a:pt x="4207926" y="4446600"/>
                </a:moveTo>
                <a:cubicBezTo>
                  <a:pt x="4190138" y="4446600"/>
                  <a:pt x="4175715" y="4433322"/>
                  <a:pt x="4175715" y="4416947"/>
                </a:cubicBezTo>
                <a:cubicBezTo>
                  <a:pt x="4175715" y="4400573"/>
                  <a:pt x="4190138" y="4387295"/>
                  <a:pt x="4207926" y="4387295"/>
                </a:cubicBezTo>
                <a:cubicBezTo>
                  <a:pt x="4225713" y="4387295"/>
                  <a:pt x="4240136" y="4400573"/>
                  <a:pt x="4240136" y="4416947"/>
                </a:cubicBezTo>
                <a:cubicBezTo>
                  <a:pt x="4240136" y="4433322"/>
                  <a:pt x="4225713" y="4446600"/>
                  <a:pt x="4207926" y="4446600"/>
                </a:cubicBezTo>
                <a:close/>
                <a:moveTo>
                  <a:pt x="4286460" y="4446600"/>
                </a:moveTo>
                <a:cubicBezTo>
                  <a:pt x="4268673" y="4446600"/>
                  <a:pt x="4254250" y="4433322"/>
                  <a:pt x="4254250" y="4416947"/>
                </a:cubicBezTo>
                <a:cubicBezTo>
                  <a:pt x="4254250" y="4400573"/>
                  <a:pt x="4268673" y="4387295"/>
                  <a:pt x="4286460" y="4387295"/>
                </a:cubicBezTo>
                <a:cubicBezTo>
                  <a:pt x="4304247" y="4387295"/>
                  <a:pt x="4318670" y="4400573"/>
                  <a:pt x="4318670" y="4416947"/>
                </a:cubicBezTo>
                <a:cubicBezTo>
                  <a:pt x="4318670" y="4433322"/>
                  <a:pt x="4304247" y="4446600"/>
                  <a:pt x="4286460" y="4446600"/>
                </a:cubicBezTo>
                <a:close/>
                <a:moveTo>
                  <a:pt x="6092739" y="4446600"/>
                </a:moveTo>
                <a:cubicBezTo>
                  <a:pt x="6074951" y="4446600"/>
                  <a:pt x="6060522" y="4433322"/>
                  <a:pt x="6060522" y="4416947"/>
                </a:cubicBezTo>
                <a:cubicBezTo>
                  <a:pt x="6060522" y="4400573"/>
                  <a:pt x="6074951" y="4387295"/>
                  <a:pt x="6092739" y="4387295"/>
                </a:cubicBezTo>
                <a:cubicBezTo>
                  <a:pt x="6110526" y="4387295"/>
                  <a:pt x="6124943" y="4400573"/>
                  <a:pt x="6124943" y="4416947"/>
                </a:cubicBezTo>
                <a:cubicBezTo>
                  <a:pt x="6124943" y="4433322"/>
                  <a:pt x="6110526" y="4446600"/>
                  <a:pt x="6092739" y="4446600"/>
                </a:cubicBezTo>
                <a:close/>
                <a:moveTo>
                  <a:pt x="6249806" y="4446600"/>
                </a:moveTo>
                <a:cubicBezTo>
                  <a:pt x="6232019" y="4446600"/>
                  <a:pt x="6217590" y="4433322"/>
                  <a:pt x="6217590" y="4416947"/>
                </a:cubicBezTo>
                <a:cubicBezTo>
                  <a:pt x="6217590" y="4400573"/>
                  <a:pt x="6232019" y="4387295"/>
                  <a:pt x="6249806" y="4387295"/>
                </a:cubicBezTo>
                <a:cubicBezTo>
                  <a:pt x="6267593" y="4387295"/>
                  <a:pt x="6282010" y="4400573"/>
                  <a:pt x="6282010" y="4416947"/>
                </a:cubicBezTo>
                <a:cubicBezTo>
                  <a:pt x="6282010" y="4433322"/>
                  <a:pt x="6267593" y="4446600"/>
                  <a:pt x="6249806" y="4446600"/>
                </a:cubicBezTo>
                <a:close/>
                <a:moveTo>
                  <a:pt x="6328340" y="4446600"/>
                </a:moveTo>
                <a:cubicBezTo>
                  <a:pt x="6310553" y="4446600"/>
                  <a:pt x="6296124" y="4433322"/>
                  <a:pt x="6296124" y="4416947"/>
                </a:cubicBezTo>
                <a:cubicBezTo>
                  <a:pt x="6296124" y="4400573"/>
                  <a:pt x="6310553" y="4387295"/>
                  <a:pt x="6328340" y="4387295"/>
                </a:cubicBezTo>
                <a:cubicBezTo>
                  <a:pt x="6346128" y="4387295"/>
                  <a:pt x="6360545" y="4400573"/>
                  <a:pt x="6360545" y="4416947"/>
                </a:cubicBezTo>
                <a:cubicBezTo>
                  <a:pt x="6360545" y="4433322"/>
                  <a:pt x="6346128" y="4446600"/>
                  <a:pt x="6328340" y="4446600"/>
                </a:cubicBezTo>
                <a:close/>
                <a:moveTo>
                  <a:pt x="6563942" y="4446600"/>
                </a:moveTo>
                <a:cubicBezTo>
                  <a:pt x="6546155" y="4446600"/>
                  <a:pt x="6531726" y="4433322"/>
                  <a:pt x="6531726" y="4416947"/>
                </a:cubicBezTo>
                <a:cubicBezTo>
                  <a:pt x="6531726" y="4400573"/>
                  <a:pt x="6546155" y="4387295"/>
                  <a:pt x="6563942" y="4387295"/>
                </a:cubicBezTo>
                <a:cubicBezTo>
                  <a:pt x="6581729" y="4387295"/>
                  <a:pt x="6596146" y="4400573"/>
                  <a:pt x="6596146" y="4416947"/>
                </a:cubicBezTo>
                <a:cubicBezTo>
                  <a:pt x="6596146" y="4433322"/>
                  <a:pt x="6581729" y="4446600"/>
                  <a:pt x="6563942" y="4446600"/>
                </a:cubicBezTo>
                <a:close/>
                <a:moveTo>
                  <a:pt x="6642476" y="4446600"/>
                </a:moveTo>
                <a:cubicBezTo>
                  <a:pt x="6624689" y="4446600"/>
                  <a:pt x="6610260" y="4433322"/>
                  <a:pt x="6610260" y="4416947"/>
                </a:cubicBezTo>
                <a:cubicBezTo>
                  <a:pt x="6610260" y="4400573"/>
                  <a:pt x="6624689" y="4387295"/>
                  <a:pt x="6642476" y="4387295"/>
                </a:cubicBezTo>
                <a:cubicBezTo>
                  <a:pt x="6660264" y="4387295"/>
                  <a:pt x="6674681" y="4400573"/>
                  <a:pt x="6674681" y="4416947"/>
                </a:cubicBezTo>
                <a:cubicBezTo>
                  <a:pt x="6674681" y="4433322"/>
                  <a:pt x="6660264" y="4446600"/>
                  <a:pt x="6642476" y="4446600"/>
                </a:cubicBezTo>
                <a:close/>
                <a:moveTo>
                  <a:pt x="6721010" y="4446600"/>
                </a:moveTo>
                <a:cubicBezTo>
                  <a:pt x="6703222" y="4446600"/>
                  <a:pt x="6688793" y="4433322"/>
                  <a:pt x="6688793" y="4416947"/>
                </a:cubicBezTo>
                <a:cubicBezTo>
                  <a:pt x="6688793" y="4400573"/>
                  <a:pt x="6703222" y="4387295"/>
                  <a:pt x="6721010" y="4387295"/>
                </a:cubicBezTo>
                <a:cubicBezTo>
                  <a:pt x="6738797" y="4387295"/>
                  <a:pt x="6753214" y="4400573"/>
                  <a:pt x="6753214" y="4416947"/>
                </a:cubicBezTo>
                <a:cubicBezTo>
                  <a:pt x="6753214" y="4433322"/>
                  <a:pt x="6738797" y="4446600"/>
                  <a:pt x="6721010" y="4446600"/>
                </a:cubicBezTo>
                <a:close/>
                <a:moveTo>
                  <a:pt x="6799544" y="4446600"/>
                </a:moveTo>
                <a:cubicBezTo>
                  <a:pt x="6781757" y="4446600"/>
                  <a:pt x="6767327" y="4433322"/>
                  <a:pt x="6767327" y="4416947"/>
                </a:cubicBezTo>
                <a:cubicBezTo>
                  <a:pt x="6767327" y="4400573"/>
                  <a:pt x="6781757" y="4387295"/>
                  <a:pt x="6799544" y="4387295"/>
                </a:cubicBezTo>
                <a:cubicBezTo>
                  <a:pt x="6817331" y="4387295"/>
                  <a:pt x="6831748" y="4400573"/>
                  <a:pt x="6831748" y="4416947"/>
                </a:cubicBezTo>
                <a:cubicBezTo>
                  <a:pt x="6831748" y="4433322"/>
                  <a:pt x="6817331" y="4446600"/>
                  <a:pt x="6799544" y="4446600"/>
                </a:cubicBezTo>
                <a:close/>
                <a:moveTo>
                  <a:pt x="6956611" y="4446600"/>
                </a:moveTo>
                <a:cubicBezTo>
                  <a:pt x="6938824" y="4446600"/>
                  <a:pt x="6924395" y="4433322"/>
                  <a:pt x="6924395" y="4416947"/>
                </a:cubicBezTo>
                <a:cubicBezTo>
                  <a:pt x="6924395" y="4400573"/>
                  <a:pt x="6938824" y="4387295"/>
                  <a:pt x="6956611" y="4387295"/>
                </a:cubicBezTo>
                <a:cubicBezTo>
                  <a:pt x="6974399" y="4387295"/>
                  <a:pt x="6988816" y="4400573"/>
                  <a:pt x="6988816" y="4416947"/>
                </a:cubicBezTo>
                <a:cubicBezTo>
                  <a:pt x="6988816" y="4433322"/>
                  <a:pt x="6974399" y="4446600"/>
                  <a:pt x="6956611" y="4446600"/>
                </a:cubicBezTo>
                <a:close/>
                <a:moveTo>
                  <a:pt x="7035146" y="4446600"/>
                </a:moveTo>
                <a:cubicBezTo>
                  <a:pt x="7017358" y="4446600"/>
                  <a:pt x="7002929" y="4433322"/>
                  <a:pt x="7002929" y="4416947"/>
                </a:cubicBezTo>
                <a:cubicBezTo>
                  <a:pt x="7002929" y="4400573"/>
                  <a:pt x="7017358" y="4387295"/>
                  <a:pt x="7035146" y="4387295"/>
                </a:cubicBezTo>
                <a:cubicBezTo>
                  <a:pt x="7052933" y="4387295"/>
                  <a:pt x="7067350" y="4400573"/>
                  <a:pt x="7067350" y="4416947"/>
                </a:cubicBezTo>
                <a:cubicBezTo>
                  <a:pt x="7067350" y="4433322"/>
                  <a:pt x="7052933" y="4446600"/>
                  <a:pt x="7035146" y="4446600"/>
                </a:cubicBezTo>
                <a:close/>
                <a:moveTo>
                  <a:pt x="7113703" y="4446600"/>
                </a:moveTo>
                <a:cubicBezTo>
                  <a:pt x="7095916" y="4446600"/>
                  <a:pt x="7081487" y="4433322"/>
                  <a:pt x="7081487" y="4416947"/>
                </a:cubicBezTo>
                <a:cubicBezTo>
                  <a:pt x="7081487" y="4400573"/>
                  <a:pt x="7095916" y="4387295"/>
                  <a:pt x="7113703" y="4387295"/>
                </a:cubicBezTo>
                <a:cubicBezTo>
                  <a:pt x="7131490" y="4387295"/>
                  <a:pt x="7145907" y="4400573"/>
                  <a:pt x="7145907" y="4416947"/>
                </a:cubicBezTo>
                <a:cubicBezTo>
                  <a:pt x="7145907" y="4433322"/>
                  <a:pt x="7131490" y="4446600"/>
                  <a:pt x="7113703" y="4446600"/>
                </a:cubicBezTo>
                <a:close/>
                <a:moveTo>
                  <a:pt x="7192237" y="4446600"/>
                </a:moveTo>
                <a:cubicBezTo>
                  <a:pt x="7174450" y="4446600"/>
                  <a:pt x="7160021" y="4433322"/>
                  <a:pt x="7160021" y="4416947"/>
                </a:cubicBezTo>
                <a:cubicBezTo>
                  <a:pt x="7160021" y="4400573"/>
                  <a:pt x="7174450" y="4387295"/>
                  <a:pt x="7192237" y="4387295"/>
                </a:cubicBezTo>
                <a:cubicBezTo>
                  <a:pt x="7210024" y="4387295"/>
                  <a:pt x="7224441" y="4400573"/>
                  <a:pt x="7224441" y="4416947"/>
                </a:cubicBezTo>
                <a:cubicBezTo>
                  <a:pt x="7224441" y="4433322"/>
                  <a:pt x="7210024" y="4446600"/>
                  <a:pt x="7192237" y="4446600"/>
                </a:cubicBezTo>
                <a:close/>
                <a:moveTo>
                  <a:pt x="7270771" y="4446600"/>
                </a:moveTo>
                <a:cubicBezTo>
                  <a:pt x="7252984" y="4446600"/>
                  <a:pt x="7238555" y="4433322"/>
                  <a:pt x="7238555" y="4416947"/>
                </a:cubicBezTo>
                <a:cubicBezTo>
                  <a:pt x="7238555" y="4400573"/>
                  <a:pt x="7252984" y="4387295"/>
                  <a:pt x="7270771" y="4387295"/>
                </a:cubicBezTo>
                <a:cubicBezTo>
                  <a:pt x="7288559" y="4387295"/>
                  <a:pt x="7302976" y="4400573"/>
                  <a:pt x="7302976" y="4416947"/>
                </a:cubicBezTo>
                <a:cubicBezTo>
                  <a:pt x="7302976" y="4433322"/>
                  <a:pt x="7288559" y="4446600"/>
                  <a:pt x="7270771" y="4446600"/>
                </a:cubicBezTo>
                <a:close/>
                <a:moveTo>
                  <a:pt x="7349305" y="4446600"/>
                </a:moveTo>
                <a:cubicBezTo>
                  <a:pt x="7331517" y="4446600"/>
                  <a:pt x="7317088" y="4433322"/>
                  <a:pt x="7317088" y="4416947"/>
                </a:cubicBezTo>
                <a:cubicBezTo>
                  <a:pt x="7317088" y="4400573"/>
                  <a:pt x="7331517" y="4387295"/>
                  <a:pt x="7349305" y="4387295"/>
                </a:cubicBezTo>
                <a:cubicBezTo>
                  <a:pt x="7367092" y="4387295"/>
                  <a:pt x="7381509" y="4400573"/>
                  <a:pt x="7381509" y="4416947"/>
                </a:cubicBezTo>
                <a:cubicBezTo>
                  <a:pt x="7381509" y="4433322"/>
                  <a:pt x="7367092" y="4446600"/>
                  <a:pt x="7349305" y="4446600"/>
                </a:cubicBezTo>
                <a:close/>
                <a:moveTo>
                  <a:pt x="7427839" y="4446600"/>
                </a:moveTo>
                <a:cubicBezTo>
                  <a:pt x="7410052" y="4446600"/>
                  <a:pt x="7395623" y="4433322"/>
                  <a:pt x="7395623" y="4416947"/>
                </a:cubicBezTo>
                <a:cubicBezTo>
                  <a:pt x="7395623" y="4400573"/>
                  <a:pt x="7410052" y="4387295"/>
                  <a:pt x="7427839" y="4387295"/>
                </a:cubicBezTo>
                <a:cubicBezTo>
                  <a:pt x="7445626" y="4387295"/>
                  <a:pt x="7460043" y="4400573"/>
                  <a:pt x="7460043" y="4416947"/>
                </a:cubicBezTo>
                <a:cubicBezTo>
                  <a:pt x="7460043" y="4433322"/>
                  <a:pt x="7445626" y="4446600"/>
                  <a:pt x="7427839" y="4446600"/>
                </a:cubicBezTo>
                <a:close/>
                <a:moveTo>
                  <a:pt x="7506373" y="4446600"/>
                </a:moveTo>
                <a:cubicBezTo>
                  <a:pt x="7488586" y="4446600"/>
                  <a:pt x="7474157" y="4433322"/>
                  <a:pt x="7474157" y="4416947"/>
                </a:cubicBezTo>
                <a:cubicBezTo>
                  <a:pt x="7474157" y="4400573"/>
                  <a:pt x="7488586" y="4387295"/>
                  <a:pt x="7506373" y="4387295"/>
                </a:cubicBezTo>
                <a:cubicBezTo>
                  <a:pt x="7524160" y="4387295"/>
                  <a:pt x="7538577" y="4400573"/>
                  <a:pt x="7538577" y="4416947"/>
                </a:cubicBezTo>
                <a:cubicBezTo>
                  <a:pt x="7538577" y="4433322"/>
                  <a:pt x="7524160" y="4446600"/>
                  <a:pt x="7506373" y="4446600"/>
                </a:cubicBezTo>
                <a:close/>
                <a:moveTo>
                  <a:pt x="7584906" y="4446600"/>
                </a:moveTo>
                <a:cubicBezTo>
                  <a:pt x="7567119" y="4446600"/>
                  <a:pt x="7552690" y="4433322"/>
                  <a:pt x="7552690" y="4416947"/>
                </a:cubicBezTo>
                <a:cubicBezTo>
                  <a:pt x="7552690" y="4400573"/>
                  <a:pt x="7567119" y="4387295"/>
                  <a:pt x="7584906" y="4387295"/>
                </a:cubicBezTo>
                <a:cubicBezTo>
                  <a:pt x="7602694" y="4387295"/>
                  <a:pt x="7617111" y="4400573"/>
                  <a:pt x="7617111" y="4416947"/>
                </a:cubicBezTo>
                <a:cubicBezTo>
                  <a:pt x="7617111" y="4433322"/>
                  <a:pt x="7602694" y="4446600"/>
                  <a:pt x="7584906" y="4446600"/>
                </a:cubicBezTo>
                <a:close/>
                <a:moveTo>
                  <a:pt x="7663441" y="4446600"/>
                </a:moveTo>
                <a:cubicBezTo>
                  <a:pt x="7645653" y="4446600"/>
                  <a:pt x="7631224" y="4433322"/>
                  <a:pt x="7631224" y="4416947"/>
                </a:cubicBezTo>
                <a:cubicBezTo>
                  <a:pt x="7631224" y="4400573"/>
                  <a:pt x="7645653" y="4387295"/>
                  <a:pt x="7663441" y="4387295"/>
                </a:cubicBezTo>
                <a:cubicBezTo>
                  <a:pt x="7681228" y="4387295"/>
                  <a:pt x="7695645" y="4400573"/>
                  <a:pt x="7695645" y="4416947"/>
                </a:cubicBezTo>
                <a:cubicBezTo>
                  <a:pt x="7695645" y="4433322"/>
                  <a:pt x="7681228" y="4446600"/>
                  <a:pt x="7663441" y="4446600"/>
                </a:cubicBezTo>
                <a:close/>
                <a:moveTo>
                  <a:pt x="7741974" y="4446600"/>
                </a:moveTo>
                <a:cubicBezTo>
                  <a:pt x="7724187" y="4446600"/>
                  <a:pt x="7709758" y="4433322"/>
                  <a:pt x="7709758" y="4416947"/>
                </a:cubicBezTo>
                <a:cubicBezTo>
                  <a:pt x="7709758" y="4400573"/>
                  <a:pt x="7724187" y="4387295"/>
                  <a:pt x="7741974" y="4387295"/>
                </a:cubicBezTo>
                <a:cubicBezTo>
                  <a:pt x="7759761" y="4387295"/>
                  <a:pt x="7774178" y="4400573"/>
                  <a:pt x="7774178" y="4416947"/>
                </a:cubicBezTo>
                <a:cubicBezTo>
                  <a:pt x="7774178" y="4433322"/>
                  <a:pt x="7759761" y="4446600"/>
                  <a:pt x="7741974" y="4446600"/>
                </a:cubicBezTo>
                <a:close/>
                <a:moveTo>
                  <a:pt x="7820508" y="4446600"/>
                </a:moveTo>
                <a:cubicBezTo>
                  <a:pt x="7802721" y="4446600"/>
                  <a:pt x="7788292" y="4433322"/>
                  <a:pt x="7788292" y="4416947"/>
                </a:cubicBezTo>
                <a:cubicBezTo>
                  <a:pt x="7788292" y="4400573"/>
                  <a:pt x="7802721" y="4387295"/>
                  <a:pt x="7820508" y="4387295"/>
                </a:cubicBezTo>
                <a:cubicBezTo>
                  <a:pt x="7838295" y="4387295"/>
                  <a:pt x="7852712" y="4400573"/>
                  <a:pt x="7852712" y="4416947"/>
                </a:cubicBezTo>
                <a:cubicBezTo>
                  <a:pt x="7852712" y="4433322"/>
                  <a:pt x="7838295" y="4446600"/>
                  <a:pt x="7820508" y="4446600"/>
                </a:cubicBezTo>
                <a:close/>
                <a:moveTo>
                  <a:pt x="7899042" y="4446600"/>
                </a:moveTo>
                <a:cubicBezTo>
                  <a:pt x="7881255" y="4446600"/>
                  <a:pt x="7866826" y="4433322"/>
                  <a:pt x="7866826" y="4416947"/>
                </a:cubicBezTo>
                <a:cubicBezTo>
                  <a:pt x="7866826" y="4400573"/>
                  <a:pt x="7881255" y="4387295"/>
                  <a:pt x="7899042" y="4387295"/>
                </a:cubicBezTo>
                <a:cubicBezTo>
                  <a:pt x="7916830" y="4387295"/>
                  <a:pt x="7931247" y="4400573"/>
                  <a:pt x="7931247" y="4416947"/>
                </a:cubicBezTo>
                <a:cubicBezTo>
                  <a:pt x="7931247" y="4433322"/>
                  <a:pt x="7916830" y="4446600"/>
                  <a:pt x="7899042" y="4446600"/>
                </a:cubicBezTo>
                <a:close/>
                <a:moveTo>
                  <a:pt x="7977576" y="4446600"/>
                </a:moveTo>
                <a:cubicBezTo>
                  <a:pt x="7959788" y="4446600"/>
                  <a:pt x="7945359" y="4433322"/>
                  <a:pt x="7945359" y="4416947"/>
                </a:cubicBezTo>
                <a:cubicBezTo>
                  <a:pt x="7945359" y="4400573"/>
                  <a:pt x="7959788" y="4387295"/>
                  <a:pt x="7977576" y="4387295"/>
                </a:cubicBezTo>
                <a:cubicBezTo>
                  <a:pt x="7995363" y="4387295"/>
                  <a:pt x="8009780" y="4400573"/>
                  <a:pt x="8009780" y="4416947"/>
                </a:cubicBezTo>
                <a:cubicBezTo>
                  <a:pt x="8009780" y="4433322"/>
                  <a:pt x="7995363" y="4446600"/>
                  <a:pt x="7977576" y="4446600"/>
                </a:cubicBezTo>
                <a:close/>
                <a:moveTo>
                  <a:pt x="8056110" y="4446600"/>
                </a:moveTo>
                <a:cubicBezTo>
                  <a:pt x="8038323" y="4446600"/>
                  <a:pt x="8023894" y="4433322"/>
                  <a:pt x="8023894" y="4416947"/>
                </a:cubicBezTo>
                <a:cubicBezTo>
                  <a:pt x="8023894" y="4400573"/>
                  <a:pt x="8038323" y="4387295"/>
                  <a:pt x="8056110" y="4387295"/>
                </a:cubicBezTo>
                <a:cubicBezTo>
                  <a:pt x="8073897" y="4387295"/>
                  <a:pt x="8088314" y="4400573"/>
                  <a:pt x="8088314" y="4416947"/>
                </a:cubicBezTo>
                <a:cubicBezTo>
                  <a:pt x="8088314" y="4433322"/>
                  <a:pt x="8073897" y="4446600"/>
                  <a:pt x="8056110" y="4446600"/>
                </a:cubicBezTo>
                <a:close/>
                <a:moveTo>
                  <a:pt x="8134643" y="4446600"/>
                </a:moveTo>
                <a:cubicBezTo>
                  <a:pt x="8116856" y="4446600"/>
                  <a:pt x="8102427" y="4433322"/>
                  <a:pt x="8102427" y="4416947"/>
                </a:cubicBezTo>
                <a:cubicBezTo>
                  <a:pt x="8102427" y="4400573"/>
                  <a:pt x="8116856" y="4387295"/>
                  <a:pt x="8134643" y="4387295"/>
                </a:cubicBezTo>
                <a:cubicBezTo>
                  <a:pt x="8152430" y="4387295"/>
                  <a:pt x="8166847" y="4400573"/>
                  <a:pt x="8166847" y="4416947"/>
                </a:cubicBezTo>
                <a:cubicBezTo>
                  <a:pt x="8166847" y="4433322"/>
                  <a:pt x="8152430" y="4446600"/>
                  <a:pt x="8134643" y="4446600"/>
                </a:cubicBezTo>
                <a:close/>
                <a:moveTo>
                  <a:pt x="8213177" y="4446600"/>
                </a:moveTo>
                <a:cubicBezTo>
                  <a:pt x="8195390" y="4446600"/>
                  <a:pt x="8180961" y="4433322"/>
                  <a:pt x="8180961" y="4416947"/>
                </a:cubicBezTo>
                <a:cubicBezTo>
                  <a:pt x="8180961" y="4400573"/>
                  <a:pt x="8195390" y="4387295"/>
                  <a:pt x="8213177" y="4387295"/>
                </a:cubicBezTo>
                <a:cubicBezTo>
                  <a:pt x="8230965" y="4387295"/>
                  <a:pt x="8245382" y="4400573"/>
                  <a:pt x="8245382" y="4416947"/>
                </a:cubicBezTo>
                <a:cubicBezTo>
                  <a:pt x="8245382" y="4433322"/>
                  <a:pt x="8230965" y="4446600"/>
                  <a:pt x="8213177" y="4446600"/>
                </a:cubicBezTo>
                <a:close/>
                <a:moveTo>
                  <a:pt x="8291712" y="4446600"/>
                </a:moveTo>
                <a:cubicBezTo>
                  <a:pt x="8273924" y="4446600"/>
                  <a:pt x="8259495" y="4433322"/>
                  <a:pt x="8259495" y="4416947"/>
                </a:cubicBezTo>
                <a:cubicBezTo>
                  <a:pt x="8259495" y="4400573"/>
                  <a:pt x="8273924" y="4387295"/>
                  <a:pt x="8291712" y="4387295"/>
                </a:cubicBezTo>
                <a:cubicBezTo>
                  <a:pt x="8309499" y="4387295"/>
                  <a:pt x="8323916" y="4400573"/>
                  <a:pt x="8323916" y="4416947"/>
                </a:cubicBezTo>
                <a:cubicBezTo>
                  <a:pt x="8323916" y="4433322"/>
                  <a:pt x="8309499" y="4446600"/>
                  <a:pt x="8291712" y="4446600"/>
                </a:cubicBezTo>
                <a:close/>
                <a:moveTo>
                  <a:pt x="8370245" y="4446600"/>
                </a:moveTo>
                <a:cubicBezTo>
                  <a:pt x="8352458" y="4446600"/>
                  <a:pt x="8338029" y="4433322"/>
                  <a:pt x="8338029" y="4416947"/>
                </a:cubicBezTo>
                <a:cubicBezTo>
                  <a:pt x="8338029" y="4400573"/>
                  <a:pt x="8352458" y="4387295"/>
                  <a:pt x="8370245" y="4387295"/>
                </a:cubicBezTo>
                <a:cubicBezTo>
                  <a:pt x="8388032" y="4387295"/>
                  <a:pt x="8402449" y="4400573"/>
                  <a:pt x="8402449" y="4416947"/>
                </a:cubicBezTo>
                <a:cubicBezTo>
                  <a:pt x="8402449" y="4433322"/>
                  <a:pt x="8388032" y="4446600"/>
                  <a:pt x="8370245" y="4446600"/>
                </a:cubicBezTo>
                <a:close/>
                <a:moveTo>
                  <a:pt x="8448779" y="4446600"/>
                </a:moveTo>
                <a:cubicBezTo>
                  <a:pt x="8430992" y="4446600"/>
                  <a:pt x="8416563" y="4433322"/>
                  <a:pt x="8416563" y="4416947"/>
                </a:cubicBezTo>
                <a:cubicBezTo>
                  <a:pt x="8416563" y="4400573"/>
                  <a:pt x="8430992" y="4387295"/>
                  <a:pt x="8448779" y="4387295"/>
                </a:cubicBezTo>
                <a:cubicBezTo>
                  <a:pt x="8466566" y="4387295"/>
                  <a:pt x="8480983" y="4400573"/>
                  <a:pt x="8480983" y="4416947"/>
                </a:cubicBezTo>
                <a:cubicBezTo>
                  <a:pt x="8480983" y="4433322"/>
                  <a:pt x="8466566" y="4446600"/>
                  <a:pt x="8448779" y="4446600"/>
                </a:cubicBezTo>
                <a:close/>
                <a:moveTo>
                  <a:pt x="8527313" y="4446600"/>
                </a:moveTo>
                <a:cubicBezTo>
                  <a:pt x="8509526" y="4446600"/>
                  <a:pt x="8495097" y="4433322"/>
                  <a:pt x="8495097" y="4416947"/>
                </a:cubicBezTo>
                <a:cubicBezTo>
                  <a:pt x="8495097" y="4400573"/>
                  <a:pt x="8509526" y="4387295"/>
                  <a:pt x="8527313" y="4387295"/>
                </a:cubicBezTo>
                <a:cubicBezTo>
                  <a:pt x="8545101" y="4387295"/>
                  <a:pt x="8559518" y="4400573"/>
                  <a:pt x="8559518" y="4416947"/>
                </a:cubicBezTo>
                <a:cubicBezTo>
                  <a:pt x="8559518" y="4433322"/>
                  <a:pt x="8545101" y="4446600"/>
                  <a:pt x="8527313" y="4446600"/>
                </a:cubicBezTo>
                <a:close/>
                <a:moveTo>
                  <a:pt x="8684381" y="4446600"/>
                </a:moveTo>
                <a:cubicBezTo>
                  <a:pt x="8666594" y="4446600"/>
                  <a:pt x="8652165" y="4433322"/>
                  <a:pt x="8652165" y="4416947"/>
                </a:cubicBezTo>
                <a:cubicBezTo>
                  <a:pt x="8652165" y="4400573"/>
                  <a:pt x="8666594" y="4387295"/>
                  <a:pt x="8684381" y="4387295"/>
                </a:cubicBezTo>
                <a:cubicBezTo>
                  <a:pt x="8702168" y="4387295"/>
                  <a:pt x="8716585" y="4400573"/>
                  <a:pt x="8716585" y="4416947"/>
                </a:cubicBezTo>
                <a:cubicBezTo>
                  <a:pt x="8716585" y="4433322"/>
                  <a:pt x="8702168" y="4446600"/>
                  <a:pt x="8684381" y="4446600"/>
                </a:cubicBezTo>
                <a:close/>
                <a:moveTo>
                  <a:pt x="8762914" y="4446600"/>
                </a:moveTo>
                <a:cubicBezTo>
                  <a:pt x="8745127" y="4446600"/>
                  <a:pt x="8730698" y="4433322"/>
                  <a:pt x="8730698" y="4416947"/>
                </a:cubicBezTo>
                <a:cubicBezTo>
                  <a:pt x="8730698" y="4400573"/>
                  <a:pt x="8745127" y="4387295"/>
                  <a:pt x="8762914" y="4387295"/>
                </a:cubicBezTo>
                <a:cubicBezTo>
                  <a:pt x="8780701" y="4387295"/>
                  <a:pt x="8795118" y="4400573"/>
                  <a:pt x="8795118" y="4416947"/>
                </a:cubicBezTo>
                <a:cubicBezTo>
                  <a:pt x="8795118" y="4433322"/>
                  <a:pt x="8780701" y="4446600"/>
                  <a:pt x="8762914" y="4446600"/>
                </a:cubicBezTo>
                <a:close/>
                <a:moveTo>
                  <a:pt x="8841448" y="4446600"/>
                </a:moveTo>
                <a:cubicBezTo>
                  <a:pt x="8823661" y="4446600"/>
                  <a:pt x="8809232" y="4433322"/>
                  <a:pt x="8809232" y="4416947"/>
                </a:cubicBezTo>
                <a:cubicBezTo>
                  <a:pt x="8809232" y="4400573"/>
                  <a:pt x="8823661" y="4387295"/>
                  <a:pt x="8841448" y="4387295"/>
                </a:cubicBezTo>
                <a:cubicBezTo>
                  <a:pt x="8859236" y="4387295"/>
                  <a:pt x="8873653" y="4400573"/>
                  <a:pt x="8873653" y="4416947"/>
                </a:cubicBezTo>
                <a:cubicBezTo>
                  <a:pt x="8873653" y="4433322"/>
                  <a:pt x="8859236" y="4446600"/>
                  <a:pt x="8841448" y="4446600"/>
                </a:cubicBezTo>
                <a:close/>
                <a:moveTo>
                  <a:pt x="8919983" y="4446600"/>
                </a:moveTo>
                <a:cubicBezTo>
                  <a:pt x="8902195" y="4446600"/>
                  <a:pt x="8887766" y="4433322"/>
                  <a:pt x="8887766" y="4416947"/>
                </a:cubicBezTo>
                <a:cubicBezTo>
                  <a:pt x="8887766" y="4400573"/>
                  <a:pt x="8902195" y="4387295"/>
                  <a:pt x="8919983" y="4387295"/>
                </a:cubicBezTo>
                <a:cubicBezTo>
                  <a:pt x="8937770" y="4387295"/>
                  <a:pt x="8952187" y="4400573"/>
                  <a:pt x="8952187" y="4416947"/>
                </a:cubicBezTo>
                <a:cubicBezTo>
                  <a:pt x="8952187" y="4433322"/>
                  <a:pt x="8937770" y="4446600"/>
                  <a:pt x="8919983" y="4446600"/>
                </a:cubicBezTo>
                <a:close/>
                <a:moveTo>
                  <a:pt x="8998516" y="4446600"/>
                </a:moveTo>
                <a:cubicBezTo>
                  <a:pt x="8980729" y="4446600"/>
                  <a:pt x="8966300" y="4433322"/>
                  <a:pt x="8966300" y="4416947"/>
                </a:cubicBezTo>
                <a:cubicBezTo>
                  <a:pt x="8966300" y="4400573"/>
                  <a:pt x="8980729" y="4387295"/>
                  <a:pt x="8998516" y="4387295"/>
                </a:cubicBezTo>
                <a:cubicBezTo>
                  <a:pt x="9016303" y="4387295"/>
                  <a:pt x="9030720" y="4400573"/>
                  <a:pt x="9030720" y="4416947"/>
                </a:cubicBezTo>
                <a:cubicBezTo>
                  <a:pt x="9030720" y="4433322"/>
                  <a:pt x="9016303" y="4446600"/>
                  <a:pt x="8998516" y="4446600"/>
                </a:cubicBezTo>
                <a:close/>
                <a:moveTo>
                  <a:pt x="9077050" y="4446600"/>
                </a:moveTo>
                <a:cubicBezTo>
                  <a:pt x="9059263" y="4446600"/>
                  <a:pt x="9044834" y="4433322"/>
                  <a:pt x="9044834" y="4416947"/>
                </a:cubicBezTo>
                <a:cubicBezTo>
                  <a:pt x="9044834" y="4400573"/>
                  <a:pt x="9059263" y="4387295"/>
                  <a:pt x="9077050" y="4387295"/>
                </a:cubicBezTo>
                <a:cubicBezTo>
                  <a:pt x="9094837" y="4387295"/>
                  <a:pt x="9109254" y="4400573"/>
                  <a:pt x="9109254" y="4416947"/>
                </a:cubicBezTo>
                <a:cubicBezTo>
                  <a:pt x="9109254" y="4433322"/>
                  <a:pt x="9094837" y="4446600"/>
                  <a:pt x="9077050" y="4446600"/>
                </a:cubicBezTo>
                <a:close/>
                <a:moveTo>
                  <a:pt x="9155583" y="4446600"/>
                </a:moveTo>
                <a:cubicBezTo>
                  <a:pt x="9137796" y="4446600"/>
                  <a:pt x="9123367" y="4433322"/>
                  <a:pt x="9123367" y="4416947"/>
                </a:cubicBezTo>
                <a:cubicBezTo>
                  <a:pt x="9123367" y="4400573"/>
                  <a:pt x="9137796" y="4387295"/>
                  <a:pt x="9155583" y="4387295"/>
                </a:cubicBezTo>
                <a:cubicBezTo>
                  <a:pt x="9173371" y="4387295"/>
                  <a:pt x="9187788" y="4400573"/>
                  <a:pt x="9187788" y="4416947"/>
                </a:cubicBezTo>
                <a:cubicBezTo>
                  <a:pt x="9187788" y="4433322"/>
                  <a:pt x="9173371" y="4446600"/>
                  <a:pt x="9155583" y="4446600"/>
                </a:cubicBezTo>
                <a:close/>
                <a:moveTo>
                  <a:pt x="9234118" y="4446600"/>
                </a:moveTo>
                <a:cubicBezTo>
                  <a:pt x="9216330" y="4446600"/>
                  <a:pt x="9201901" y="4433322"/>
                  <a:pt x="9201901" y="4416947"/>
                </a:cubicBezTo>
                <a:cubicBezTo>
                  <a:pt x="9201901" y="4400573"/>
                  <a:pt x="9216330" y="4387295"/>
                  <a:pt x="9234118" y="4387295"/>
                </a:cubicBezTo>
                <a:cubicBezTo>
                  <a:pt x="9251905" y="4387295"/>
                  <a:pt x="9266322" y="4400573"/>
                  <a:pt x="9266322" y="4416947"/>
                </a:cubicBezTo>
                <a:cubicBezTo>
                  <a:pt x="9266322" y="4433322"/>
                  <a:pt x="9251905" y="4446600"/>
                  <a:pt x="9234118" y="4446600"/>
                </a:cubicBezTo>
                <a:close/>
                <a:moveTo>
                  <a:pt x="9312652" y="4446600"/>
                </a:moveTo>
                <a:cubicBezTo>
                  <a:pt x="9294865" y="4446600"/>
                  <a:pt x="9280436" y="4433322"/>
                  <a:pt x="9280436" y="4416947"/>
                </a:cubicBezTo>
                <a:cubicBezTo>
                  <a:pt x="9280436" y="4400573"/>
                  <a:pt x="9294865" y="4387295"/>
                  <a:pt x="9312652" y="4387295"/>
                </a:cubicBezTo>
                <a:cubicBezTo>
                  <a:pt x="9330439" y="4387295"/>
                  <a:pt x="9344856" y="4400573"/>
                  <a:pt x="9344856" y="4416947"/>
                </a:cubicBezTo>
                <a:cubicBezTo>
                  <a:pt x="9344856" y="4433322"/>
                  <a:pt x="9330439" y="4446600"/>
                  <a:pt x="9312652" y="4446600"/>
                </a:cubicBezTo>
                <a:close/>
                <a:moveTo>
                  <a:pt x="9391185" y="4446600"/>
                </a:moveTo>
                <a:cubicBezTo>
                  <a:pt x="9373398" y="4446600"/>
                  <a:pt x="9358969" y="4433322"/>
                  <a:pt x="9358969" y="4416947"/>
                </a:cubicBezTo>
                <a:cubicBezTo>
                  <a:pt x="9358969" y="4400573"/>
                  <a:pt x="9373398" y="4387295"/>
                  <a:pt x="9391185" y="4387295"/>
                </a:cubicBezTo>
                <a:cubicBezTo>
                  <a:pt x="9408972" y="4387295"/>
                  <a:pt x="9423389" y="4400573"/>
                  <a:pt x="9423389" y="4416947"/>
                </a:cubicBezTo>
                <a:cubicBezTo>
                  <a:pt x="9423389" y="4433322"/>
                  <a:pt x="9408972" y="4446600"/>
                  <a:pt x="9391185" y="4446600"/>
                </a:cubicBezTo>
                <a:close/>
                <a:moveTo>
                  <a:pt x="9469719" y="4446600"/>
                </a:moveTo>
                <a:cubicBezTo>
                  <a:pt x="9451932" y="4446600"/>
                  <a:pt x="9437503" y="4433322"/>
                  <a:pt x="9437503" y="4416947"/>
                </a:cubicBezTo>
                <a:cubicBezTo>
                  <a:pt x="9437503" y="4400573"/>
                  <a:pt x="9451932" y="4387295"/>
                  <a:pt x="9469719" y="4387295"/>
                </a:cubicBezTo>
                <a:cubicBezTo>
                  <a:pt x="9487507" y="4387295"/>
                  <a:pt x="9501924" y="4400573"/>
                  <a:pt x="9501924" y="4416947"/>
                </a:cubicBezTo>
                <a:cubicBezTo>
                  <a:pt x="9501924" y="4433322"/>
                  <a:pt x="9487507" y="4446600"/>
                  <a:pt x="9469719" y="4446600"/>
                </a:cubicBezTo>
                <a:close/>
                <a:moveTo>
                  <a:pt x="9548254" y="4446600"/>
                </a:moveTo>
                <a:cubicBezTo>
                  <a:pt x="9530466" y="4446600"/>
                  <a:pt x="9516037" y="4433322"/>
                  <a:pt x="9516037" y="4416947"/>
                </a:cubicBezTo>
                <a:cubicBezTo>
                  <a:pt x="9516037" y="4400573"/>
                  <a:pt x="9530466" y="4387295"/>
                  <a:pt x="9548254" y="4387295"/>
                </a:cubicBezTo>
                <a:cubicBezTo>
                  <a:pt x="9566041" y="4387295"/>
                  <a:pt x="9580458" y="4400573"/>
                  <a:pt x="9580458" y="4416947"/>
                </a:cubicBezTo>
                <a:cubicBezTo>
                  <a:pt x="9580458" y="4433322"/>
                  <a:pt x="9566041" y="4446600"/>
                  <a:pt x="9548254" y="4446600"/>
                </a:cubicBezTo>
                <a:close/>
                <a:moveTo>
                  <a:pt x="9626787" y="4446600"/>
                </a:moveTo>
                <a:cubicBezTo>
                  <a:pt x="9609000" y="4446600"/>
                  <a:pt x="9594571" y="4433322"/>
                  <a:pt x="9594571" y="4416947"/>
                </a:cubicBezTo>
                <a:cubicBezTo>
                  <a:pt x="9594571" y="4400573"/>
                  <a:pt x="9609000" y="4387295"/>
                  <a:pt x="9626787" y="4387295"/>
                </a:cubicBezTo>
                <a:cubicBezTo>
                  <a:pt x="9644574" y="4387295"/>
                  <a:pt x="9658991" y="4400573"/>
                  <a:pt x="9658991" y="4416947"/>
                </a:cubicBezTo>
                <a:cubicBezTo>
                  <a:pt x="9658991" y="4433322"/>
                  <a:pt x="9644574" y="4446600"/>
                  <a:pt x="9626787" y="4446600"/>
                </a:cubicBezTo>
                <a:close/>
                <a:moveTo>
                  <a:pt x="9705321" y="4446600"/>
                </a:moveTo>
                <a:cubicBezTo>
                  <a:pt x="9687534" y="4446600"/>
                  <a:pt x="9673105" y="4433322"/>
                  <a:pt x="9673105" y="4416947"/>
                </a:cubicBezTo>
                <a:cubicBezTo>
                  <a:pt x="9673105" y="4400573"/>
                  <a:pt x="9687534" y="4387295"/>
                  <a:pt x="9705321" y="4387295"/>
                </a:cubicBezTo>
                <a:cubicBezTo>
                  <a:pt x="9723108" y="4387295"/>
                  <a:pt x="9737525" y="4400573"/>
                  <a:pt x="9737525" y="4416947"/>
                </a:cubicBezTo>
                <a:cubicBezTo>
                  <a:pt x="9737525" y="4433322"/>
                  <a:pt x="9723108" y="4446600"/>
                  <a:pt x="9705321" y="4446600"/>
                </a:cubicBezTo>
                <a:close/>
                <a:moveTo>
                  <a:pt x="10097990" y="4446600"/>
                </a:moveTo>
                <a:cubicBezTo>
                  <a:pt x="10080203" y="4446600"/>
                  <a:pt x="10065774" y="4433322"/>
                  <a:pt x="10065774" y="4416947"/>
                </a:cubicBezTo>
                <a:cubicBezTo>
                  <a:pt x="10065774" y="4400573"/>
                  <a:pt x="10080203" y="4387295"/>
                  <a:pt x="10097990" y="4387295"/>
                </a:cubicBezTo>
                <a:cubicBezTo>
                  <a:pt x="10115778" y="4387295"/>
                  <a:pt x="10130195" y="4400573"/>
                  <a:pt x="10130195" y="4416947"/>
                </a:cubicBezTo>
                <a:cubicBezTo>
                  <a:pt x="10130195" y="4433322"/>
                  <a:pt x="10115778" y="4446600"/>
                  <a:pt x="10097990" y="4446600"/>
                </a:cubicBezTo>
                <a:close/>
                <a:moveTo>
                  <a:pt x="2558715" y="4374334"/>
                </a:moveTo>
                <a:cubicBezTo>
                  <a:pt x="2540928" y="4374334"/>
                  <a:pt x="2526505" y="4361056"/>
                  <a:pt x="2526505" y="4344682"/>
                </a:cubicBezTo>
                <a:cubicBezTo>
                  <a:pt x="2526505" y="4328307"/>
                  <a:pt x="2540928" y="4315030"/>
                  <a:pt x="2558715" y="4315030"/>
                </a:cubicBezTo>
                <a:cubicBezTo>
                  <a:pt x="2576503" y="4315030"/>
                  <a:pt x="2590926" y="4328307"/>
                  <a:pt x="2590926" y="4344682"/>
                </a:cubicBezTo>
                <a:cubicBezTo>
                  <a:pt x="2590926" y="4361056"/>
                  <a:pt x="2576503" y="4374334"/>
                  <a:pt x="2558715" y="4374334"/>
                </a:cubicBezTo>
                <a:close/>
                <a:moveTo>
                  <a:pt x="2637243" y="4374334"/>
                </a:moveTo>
                <a:cubicBezTo>
                  <a:pt x="2619455" y="4374334"/>
                  <a:pt x="2605032" y="4361056"/>
                  <a:pt x="2605032" y="4344682"/>
                </a:cubicBezTo>
                <a:cubicBezTo>
                  <a:pt x="2605032" y="4328307"/>
                  <a:pt x="2619455" y="4315030"/>
                  <a:pt x="2637243" y="4315030"/>
                </a:cubicBezTo>
                <a:cubicBezTo>
                  <a:pt x="2655030" y="4315030"/>
                  <a:pt x="2669453" y="4328307"/>
                  <a:pt x="2669453" y="4344682"/>
                </a:cubicBezTo>
                <a:cubicBezTo>
                  <a:pt x="2669453" y="4361056"/>
                  <a:pt x="2655030" y="4374334"/>
                  <a:pt x="2637243" y="4374334"/>
                </a:cubicBezTo>
                <a:close/>
                <a:moveTo>
                  <a:pt x="2715777" y="4374334"/>
                </a:moveTo>
                <a:cubicBezTo>
                  <a:pt x="2697990" y="4374334"/>
                  <a:pt x="2683566" y="4361056"/>
                  <a:pt x="2683566" y="4344682"/>
                </a:cubicBezTo>
                <a:cubicBezTo>
                  <a:pt x="2683566" y="4328307"/>
                  <a:pt x="2697990" y="4315030"/>
                  <a:pt x="2715777" y="4315030"/>
                </a:cubicBezTo>
                <a:cubicBezTo>
                  <a:pt x="2733564" y="4315030"/>
                  <a:pt x="2747987" y="4328307"/>
                  <a:pt x="2747987" y="4344682"/>
                </a:cubicBezTo>
                <a:cubicBezTo>
                  <a:pt x="2747987" y="4361056"/>
                  <a:pt x="2733564" y="4374334"/>
                  <a:pt x="2715777" y="4374334"/>
                </a:cubicBezTo>
                <a:close/>
                <a:moveTo>
                  <a:pt x="2794310" y="4374334"/>
                </a:moveTo>
                <a:cubicBezTo>
                  <a:pt x="2776523" y="4374334"/>
                  <a:pt x="2762100" y="4361056"/>
                  <a:pt x="2762100" y="4344682"/>
                </a:cubicBezTo>
                <a:cubicBezTo>
                  <a:pt x="2762100" y="4328307"/>
                  <a:pt x="2776523" y="4315030"/>
                  <a:pt x="2794310" y="4315030"/>
                </a:cubicBezTo>
                <a:cubicBezTo>
                  <a:pt x="2812097" y="4315030"/>
                  <a:pt x="2826520" y="4328307"/>
                  <a:pt x="2826520" y="4344682"/>
                </a:cubicBezTo>
                <a:cubicBezTo>
                  <a:pt x="2826520" y="4361056"/>
                  <a:pt x="2812097" y="4374334"/>
                  <a:pt x="2794310" y="4374334"/>
                </a:cubicBezTo>
                <a:close/>
                <a:moveTo>
                  <a:pt x="2872844" y="4374334"/>
                </a:moveTo>
                <a:cubicBezTo>
                  <a:pt x="2855057" y="4374334"/>
                  <a:pt x="2840634" y="4361056"/>
                  <a:pt x="2840634" y="4344682"/>
                </a:cubicBezTo>
                <a:cubicBezTo>
                  <a:pt x="2840634" y="4328307"/>
                  <a:pt x="2855057" y="4315030"/>
                  <a:pt x="2872844" y="4315030"/>
                </a:cubicBezTo>
                <a:cubicBezTo>
                  <a:pt x="2890632" y="4315030"/>
                  <a:pt x="2905055" y="4328307"/>
                  <a:pt x="2905055" y="4344682"/>
                </a:cubicBezTo>
                <a:cubicBezTo>
                  <a:pt x="2905055" y="4361056"/>
                  <a:pt x="2890632" y="4374334"/>
                  <a:pt x="2872844" y="4374334"/>
                </a:cubicBezTo>
                <a:close/>
                <a:moveTo>
                  <a:pt x="2951379" y="4374334"/>
                </a:moveTo>
                <a:cubicBezTo>
                  <a:pt x="2933591" y="4374334"/>
                  <a:pt x="2919168" y="4361056"/>
                  <a:pt x="2919168" y="4344682"/>
                </a:cubicBezTo>
                <a:cubicBezTo>
                  <a:pt x="2919168" y="4328307"/>
                  <a:pt x="2933591" y="4315030"/>
                  <a:pt x="2951379" y="4315030"/>
                </a:cubicBezTo>
                <a:cubicBezTo>
                  <a:pt x="2969166" y="4315030"/>
                  <a:pt x="2983589" y="4328307"/>
                  <a:pt x="2983589" y="4344682"/>
                </a:cubicBezTo>
                <a:cubicBezTo>
                  <a:pt x="2983589" y="4361056"/>
                  <a:pt x="2969166" y="4374334"/>
                  <a:pt x="2951379" y="4374334"/>
                </a:cubicBezTo>
                <a:close/>
                <a:moveTo>
                  <a:pt x="3029912" y="4374334"/>
                </a:moveTo>
                <a:cubicBezTo>
                  <a:pt x="3012125" y="4374334"/>
                  <a:pt x="2997701" y="4361056"/>
                  <a:pt x="2997701" y="4344682"/>
                </a:cubicBezTo>
                <a:cubicBezTo>
                  <a:pt x="2997701" y="4328307"/>
                  <a:pt x="3012125" y="4315030"/>
                  <a:pt x="3029912" y="4315030"/>
                </a:cubicBezTo>
                <a:cubicBezTo>
                  <a:pt x="3047699" y="4315030"/>
                  <a:pt x="3062122" y="4328307"/>
                  <a:pt x="3062122" y="4344682"/>
                </a:cubicBezTo>
                <a:cubicBezTo>
                  <a:pt x="3062122" y="4361056"/>
                  <a:pt x="3047699" y="4374334"/>
                  <a:pt x="3029912" y="4374334"/>
                </a:cubicBezTo>
                <a:close/>
                <a:moveTo>
                  <a:pt x="3108446" y="4374334"/>
                </a:moveTo>
                <a:cubicBezTo>
                  <a:pt x="3090659" y="4374334"/>
                  <a:pt x="3076236" y="4361056"/>
                  <a:pt x="3076236" y="4344682"/>
                </a:cubicBezTo>
                <a:cubicBezTo>
                  <a:pt x="3076236" y="4328307"/>
                  <a:pt x="3090659" y="4315030"/>
                  <a:pt x="3108446" y="4315030"/>
                </a:cubicBezTo>
                <a:cubicBezTo>
                  <a:pt x="3126233" y="4315030"/>
                  <a:pt x="3140656" y="4328307"/>
                  <a:pt x="3140656" y="4344682"/>
                </a:cubicBezTo>
                <a:cubicBezTo>
                  <a:pt x="3140656" y="4361056"/>
                  <a:pt x="3126233" y="4374334"/>
                  <a:pt x="3108446" y="4374334"/>
                </a:cubicBezTo>
                <a:close/>
                <a:moveTo>
                  <a:pt x="3186979" y="4374334"/>
                </a:moveTo>
                <a:cubicBezTo>
                  <a:pt x="3169192" y="4374334"/>
                  <a:pt x="3154769" y="4361056"/>
                  <a:pt x="3154769" y="4344682"/>
                </a:cubicBezTo>
                <a:cubicBezTo>
                  <a:pt x="3154769" y="4328307"/>
                  <a:pt x="3169192" y="4315030"/>
                  <a:pt x="3186979" y="4315030"/>
                </a:cubicBezTo>
                <a:cubicBezTo>
                  <a:pt x="3204767" y="4315030"/>
                  <a:pt x="3219190" y="4328307"/>
                  <a:pt x="3219190" y="4344682"/>
                </a:cubicBezTo>
                <a:cubicBezTo>
                  <a:pt x="3219190" y="4361056"/>
                  <a:pt x="3204767" y="4374334"/>
                  <a:pt x="3186979" y="4374334"/>
                </a:cubicBezTo>
                <a:close/>
                <a:moveTo>
                  <a:pt x="3265514" y="4374334"/>
                </a:moveTo>
                <a:cubicBezTo>
                  <a:pt x="3247726" y="4374334"/>
                  <a:pt x="3233303" y="4361056"/>
                  <a:pt x="3233303" y="4344682"/>
                </a:cubicBezTo>
                <a:cubicBezTo>
                  <a:pt x="3233303" y="4328307"/>
                  <a:pt x="3247726" y="4315030"/>
                  <a:pt x="3265514" y="4315030"/>
                </a:cubicBezTo>
                <a:cubicBezTo>
                  <a:pt x="3283301" y="4315030"/>
                  <a:pt x="3297724" y="4328307"/>
                  <a:pt x="3297724" y="4344682"/>
                </a:cubicBezTo>
                <a:cubicBezTo>
                  <a:pt x="3297724" y="4361056"/>
                  <a:pt x="3283301" y="4374334"/>
                  <a:pt x="3265514" y="4374334"/>
                </a:cubicBezTo>
                <a:close/>
                <a:moveTo>
                  <a:pt x="3422581" y="4374334"/>
                </a:moveTo>
                <a:cubicBezTo>
                  <a:pt x="3404794" y="4374334"/>
                  <a:pt x="3390371" y="4361056"/>
                  <a:pt x="3390371" y="4344682"/>
                </a:cubicBezTo>
                <a:cubicBezTo>
                  <a:pt x="3390371" y="4328307"/>
                  <a:pt x="3404794" y="4315030"/>
                  <a:pt x="3422581" y="4315030"/>
                </a:cubicBezTo>
                <a:cubicBezTo>
                  <a:pt x="3440368" y="4315030"/>
                  <a:pt x="3454791" y="4328307"/>
                  <a:pt x="3454791" y="4344682"/>
                </a:cubicBezTo>
                <a:cubicBezTo>
                  <a:pt x="3454791" y="4361056"/>
                  <a:pt x="3440368" y="4374334"/>
                  <a:pt x="3422581" y="4374334"/>
                </a:cubicBezTo>
                <a:close/>
                <a:moveTo>
                  <a:pt x="3579650" y="4374334"/>
                </a:moveTo>
                <a:cubicBezTo>
                  <a:pt x="3561862" y="4374334"/>
                  <a:pt x="3547439" y="4361056"/>
                  <a:pt x="3547439" y="4344682"/>
                </a:cubicBezTo>
                <a:cubicBezTo>
                  <a:pt x="3547439" y="4328307"/>
                  <a:pt x="3561862" y="4315030"/>
                  <a:pt x="3579650" y="4315030"/>
                </a:cubicBezTo>
                <a:cubicBezTo>
                  <a:pt x="3597437" y="4315030"/>
                  <a:pt x="3611860" y="4328307"/>
                  <a:pt x="3611860" y="4344682"/>
                </a:cubicBezTo>
                <a:cubicBezTo>
                  <a:pt x="3611860" y="4361056"/>
                  <a:pt x="3597437" y="4374334"/>
                  <a:pt x="3579650" y="4374334"/>
                </a:cubicBezTo>
                <a:close/>
                <a:moveTo>
                  <a:pt x="3658183" y="4374334"/>
                </a:moveTo>
                <a:cubicBezTo>
                  <a:pt x="3640396" y="4374334"/>
                  <a:pt x="3625972" y="4361056"/>
                  <a:pt x="3625972" y="4344682"/>
                </a:cubicBezTo>
                <a:cubicBezTo>
                  <a:pt x="3625972" y="4328307"/>
                  <a:pt x="3640396" y="4315030"/>
                  <a:pt x="3658183" y="4315030"/>
                </a:cubicBezTo>
                <a:cubicBezTo>
                  <a:pt x="3675970" y="4315030"/>
                  <a:pt x="3690393" y="4328307"/>
                  <a:pt x="3690393" y="4344682"/>
                </a:cubicBezTo>
                <a:cubicBezTo>
                  <a:pt x="3690393" y="4361056"/>
                  <a:pt x="3675970" y="4374334"/>
                  <a:pt x="3658183" y="4374334"/>
                </a:cubicBezTo>
                <a:close/>
                <a:moveTo>
                  <a:pt x="3736717" y="4374334"/>
                </a:moveTo>
                <a:cubicBezTo>
                  <a:pt x="3718930" y="4374334"/>
                  <a:pt x="3704507" y="4361056"/>
                  <a:pt x="3704507" y="4344682"/>
                </a:cubicBezTo>
                <a:cubicBezTo>
                  <a:pt x="3704507" y="4328307"/>
                  <a:pt x="3718930" y="4315030"/>
                  <a:pt x="3736717" y="4315030"/>
                </a:cubicBezTo>
                <a:cubicBezTo>
                  <a:pt x="3754504" y="4315030"/>
                  <a:pt x="3768927" y="4328307"/>
                  <a:pt x="3768927" y="4344682"/>
                </a:cubicBezTo>
                <a:cubicBezTo>
                  <a:pt x="3768927" y="4361056"/>
                  <a:pt x="3754504" y="4374334"/>
                  <a:pt x="3736717" y="4374334"/>
                </a:cubicBezTo>
                <a:close/>
                <a:moveTo>
                  <a:pt x="3972319" y="4374334"/>
                </a:moveTo>
                <a:cubicBezTo>
                  <a:pt x="3954532" y="4374334"/>
                  <a:pt x="3940108" y="4361056"/>
                  <a:pt x="3940108" y="4344682"/>
                </a:cubicBezTo>
                <a:cubicBezTo>
                  <a:pt x="3940108" y="4328307"/>
                  <a:pt x="3954532" y="4315030"/>
                  <a:pt x="3972319" y="4315030"/>
                </a:cubicBezTo>
                <a:cubicBezTo>
                  <a:pt x="3990106" y="4315030"/>
                  <a:pt x="4004529" y="4328307"/>
                  <a:pt x="4004529" y="4344682"/>
                </a:cubicBezTo>
                <a:cubicBezTo>
                  <a:pt x="4004529" y="4361056"/>
                  <a:pt x="3990106" y="4374334"/>
                  <a:pt x="3972319" y="4374334"/>
                </a:cubicBezTo>
                <a:close/>
                <a:moveTo>
                  <a:pt x="4050852" y="4374334"/>
                </a:moveTo>
                <a:cubicBezTo>
                  <a:pt x="4033065" y="4374334"/>
                  <a:pt x="4018642" y="4361056"/>
                  <a:pt x="4018642" y="4344682"/>
                </a:cubicBezTo>
                <a:cubicBezTo>
                  <a:pt x="4018642" y="4328307"/>
                  <a:pt x="4033065" y="4315030"/>
                  <a:pt x="4050852" y="4315030"/>
                </a:cubicBezTo>
                <a:cubicBezTo>
                  <a:pt x="4068639" y="4315030"/>
                  <a:pt x="4083062" y="4328307"/>
                  <a:pt x="4083062" y="4344682"/>
                </a:cubicBezTo>
                <a:cubicBezTo>
                  <a:pt x="4083062" y="4361056"/>
                  <a:pt x="4068639" y="4374334"/>
                  <a:pt x="4050852" y="4374334"/>
                </a:cubicBezTo>
                <a:close/>
                <a:moveTo>
                  <a:pt x="4129386" y="4374334"/>
                </a:moveTo>
                <a:cubicBezTo>
                  <a:pt x="4111599" y="4374334"/>
                  <a:pt x="4097176" y="4361056"/>
                  <a:pt x="4097176" y="4344682"/>
                </a:cubicBezTo>
                <a:cubicBezTo>
                  <a:pt x="4097176" y="4328307"/>
                  <a:pt x="4111599" y="4315030"/>
                  <a:pt x="4129386" y="4315030"/>
                </a:cubicBezTo>
                <a:cubicBezTo>
                  <a:pt x="4147174" y="4315030"/>
                  <a:pt x="4161597" y="4328307"/>
                  <a:pt x="4161597" y="4344682"/>
                </a:cubicBezTo>
                <a:cubicBezTo>
                  <a:pt x="4161597" y="4361056"/>
                  <a:pt x="4147174" y="4374334"/>
                  <a:pt x="4129386" y="4374334"/>
                </a:cubicBezTo>
                <a:close/>
                <a:moveTo>
                  <a:pt x="4207926" y="4374334"/>
                </a:moveTo>
                <a:cubicBezTo>
                  <a:pt x="4190138" y="4374334"/>
                  <a:pt x="4175715" y="4361056"/>
                  <a:pt x="4175715" y="4344682"/>
                </a:cubicBezTo>
                <a:cubicBezTo>
                  <a:pt x="4175715" y="4328307"/>
                  <a:pt x="4190138" y="4315030"/>
                  <a:pt x="4207926" y="4315030"/>
                </a:cubicBezTo>
                <a:cubicBezTo>
                  <a:pt x="4225713" y="4315030"/>
                  <a:pt x="4240136" y="4328307"/>
                  <a:pt x="4240136" y="4344682"/>
                </a:cubicBezTo>
                <a:cubicBezTo>
                  <a:pt x="4240136" y="4361056"/>
                  <a:pt x="4225713" y="4374334"/>
                  <a:pt x="4207926" y="4374334"/>
                </a:cubicBezTo>
                <a:close/>
                <a:moveTo>
                  <a:pt x="4286460" y="4374334"/>
                </a:moveTo>
                <a:cubicBezTo>
                  <a:pt x="4268673" y="4374334"/>
                  <a:pt x="4254250" y="4361056"/>
                  <a:pt x="4254250" y="4344682"/>
                </a:cubicBezTo>
                <a:cubicBezTo>
                  <a:pt x="4254250" y="4328307"/>
                  <a:pt x="4268673" y="4315030"/>
                  <a:pt x="4286460" y="4315030"/>
                </a:cubicBezTo>
                <a:cubicBezTo>
                  <a:pt x="4304247" y="4315030"/>
                  <a:pt x="4318670" y="4328307"/>
                  <a:pt x="4318670" y="4344682"/>
                </a:cubicBezTo>
                <a:cubicBezTo>
                  <a:pt x="4318670" y="4361056"/>
                  <a:pt x="4304247" y="4374334"/>
                  <a:pt x="4286460" y="4374334"/>
                </a:cubicBezTo>
                <a:close/>
                <a:moveTo>
                  <a:pt x="5778604" y="4374334"/>
                </a:moveTo>
                <a:cubicBezTo>
                  <a:pt x="5760816" y="4374334"/>
                  <a:pt x="5746393" y="4361056"/>
                  <a:pt x="5746393" y="4344682"/>
                </a:cubicBezTo>
                <a:cubicBezTo>
                  <a:pt x="5746393" y="4328307"/>
                  <a:pt x="5760816" y="4315030"/>
                  <a:pt x="5778604" y="4315030"/>
                </a:cubicBezTo>
                <a:cubicBezTo>
                  <a:pt x="5796391" y="4315030"/>
                  <a:pt x="5810814" y="4328307"/>
                  <a:pt x="5810814" y="4344682"/>
                </a:cubicBezTo>
                <a:cubicBezTo>
                  <a:pt x="5810814" y="4361056"/>
                  <a:pt x="5796391" y="4374334"/>
                  <a:pt x="5778604" y="4374334"/>
                </a:cubicBezTo>
                <a:close/>
                <a:moveTo>
                  <a:pt x="6249806" y="4374334"/>
                </a:moveTo>
                <a:cubicBezTo>
                  <a:pt x="6232019" y="4374334"/>
                  <a:pt x="6217590" y="4361056"/>
                  <a:pt x="6217590" y="4344682"/>
                </a:cubicBezTo>
                <a:cubicBezTo>
                  <a:pt x="6217590" y="4328307"/>
                  <a:pt x="6232019" y="4315030"/>
                  <a:pt x="6249806" y="4315030"/>
                </a:cubicBezTo>
                <a:cubicBezTo>
                  <a:pt x="6267593" y="4315030"/>
                  <a:pt x="6282010" y="4328307"/>
                  <a:pt x="6282010" y="4344682"/>
                </a:cubicBezTo>
                <a:cubicBezTo>
                  <a:pt x="6282010" y="4361056"/>
                  <a:pt x="6267593" y="4374334"/>
                  <a:pt x="6249806" y="4374334"/>
                </a:cubicBezTo>
                <a:close/>
                <a:moveTo>
                  <a:pt x="6485408" y="4374334"/>
                </a:moveTo>
                <a:cubicBezTo>
                  <a:pt x="6467621" y="4374334"/>
                  <a:pt x="6453191" y="4361056"/>
                  <a:pt x="6453191" y="4344682"/>
                </a:cubicBezTo>
                <a:cubicBezTo>
                  <a:pt x="6453191" y="4328307"/>
                  <a:pt x="6467621" y="4315030"/>
                  <a:pt x="6485408" y="4315030"/>
                </a:cubicBezTo>
                <a:cubicBezTo>
                  <a:pt x="6503195" y="4315030"/>
                  <a:pt x="6517612" y="4328307"/>
                  <a:pt x="6517612" y="4344682"/>
                </a:cubicBezTo>
                <a:cubicBezTo>
                  <a:pt x="6517612" y="4361056"/>
                  <a:pt x="6503195" y="4374334"/>
                  <a:pt x="6485408" y="4374334"/>
                </a:cubicBezTo>
                <a:close/>
                <a:moveTo>
                  <a:pt x="6563942" y="4374334"/>
                </a:moveTo>
                <a:cubicBezTo>
                  <a:pt x="6546155" y="4374334"/>
                  <a:pt x="6531726" y="4361056"/>
                  <a:pt x="6531726" y="4344682"/>
                </a:cubicBezTo>
                <a:cubicBezTo>
                  <a:pt x="6531726" y="4328307"/>
                  <a:pt x="6546155" y="4315030"/>
                  <a:pt x="6563942" y="4315030"/>
                </a:cubicBezTo>
                <a:cubicBezTo>
                  <a:pt x="6581729" y="4315030"/>
                  <a:pt x="6596146" y="4328307"/>
                  <a:pt x="6596146" y="4344682"/>
                </a:cubicBezTo>
                <a:cubicBezTo>
                  <a:pt x="6596146" y="4361056"/>
                  <a:pt x="6581729" y="4374334"/>
                  <a:pt x="6563942" y="4374334"/>
                </a:cubicBezTo>
                <a:close/>
                <a:moveTo>
                  <a:pt x="6642476" y="4374334"/>
                </a:moveTo>
                <a:cubicBezTo>
                  <a:pt x="6624689" y="4374334"/>
                  <a:pt x="6610260" y="4361056"/>
                  <a:pt x="6610260" y="4344682"/>
                </a:cubicBezTo>
                <a:cubicBezTo>
                  <a:pt x="6610260" y="4328307"/>
                  <a:pt x="6624689" y="4315030"/>
                  <a:pt x="6642476" y="4315030"/>
                </a:cubicBezTo>
                <a:cubicBezTo>
                  <a:pt x="6660264" y="4315030"/>
                  <a:pt x="6674681" y="4328307"/>
                  <a:pt x="6674681" y="4344682"/>
                </a:cubicBezTo>
                <a:cubicBezTo>
                  <a:pt x="6674681" y="4361056"/>
                  <a:pt x="6660264" y="4374334"/>
                  <a:pt x="6642476" y="4374334"/>
                </a:cubicBezTo>
                <a:close/>
                <a:moveTo>
                  <a:pt x="6721010" y="4374334"/>
                </a:moveTo>
                <a:cubicBezTo>
                  <a:pt x="6703222" y="4374334"/>
                  <a:pt x="6688793" y="4361056"/>
                  <a:pt x="6688793" y="4344682"/>
                </a:cubicBezTo>
                <a:cubicBezTo>
                  <a:pt x="6688793" y="4328307"/>
                  <a:pt x="6703222" y="4315030"/>
                  <a:pt x="6721010" y="4315030"/>
                </a:cubicBezTo>
                <a:cubicBezTo>
                  <a:pt x="6738797" y="4315030"/>
                  <a:pt x="6753214" y="4328307"/>
                  <a:pt x="6753214" y="4344682"/>
                </a:cubicBezTo>
                <a:cubicBezTo>
                  <a:pt x="6753214" y="4361056"/>
                  <a:pt x="6738797" y="4374334"/>
                  <a:pt x="6721010" y="4374334"/>
                </a:cubicBezTo>
                <a:close/>
                <a:moveTo>
                  <a:pt x="6799544" y="4374334"/>
                </a:moveTo>
                <a:cubicBezTo>
                  <a:pt x="6781757" y="4374334"/>
                  <a:pt x="6767327" y="4361056"/>
                  <a:pt x="6767327" y="4344682"/>
                </a:cubicBezTo>
                <a:cubicBezTo>
                  <a:pt x="6767327" y="4328307"/>
                  <a:pt x="6781757" y="4315030"/>
                  <a:pt x="6799544" y="4315030"/>
                </a:cubicBezTo>
                <a:cubicBezTo>
                  <a:pt x="6817331" y="4315030"/>
                  <a:pt x="6831748" y="4328307"/>
                  <a:pt x="6831748" y="4344682"/>
                </a:cubicBezTo>
                <a:cubicBezTo>
                  <a:pt x="6831748" y="4361056"/>
                  <a:pt x="6817331" y="4374334"/>
                  <a:pt x="6799544" y="4374334"/>
                </a:cubicBezTo>
                <a:close/>
                <a:moveTo>
                  <a:pt x="6878077" y="4374334"/>
                </a:moveTo>
                <a:cubicBezTo>
                  <a:pt x="6860290" y="4374334"/>
                  <a:pt x="6845861" y="4361056"/>
                  <a:pt x="6845861" y="4344682"/>
                </a:cubicBezTo>
                <a:cubicBezTo>
                  <a:pt x="6845861" y="4328307"/>
                  <a:pt x="6860290" y="4315030"/>
                  <a:pt x="6878077" y="4315030"/>
                </a:cubicBezTo>
                <a:cubicBezTo>
                  <a:pt x="6895864" y="4315030"/>
                  <a:pt x="6910281" y="4328307"/>
                  <a:pt x="6910281" y="4344682"/>
                </a:cubicBezTo>
                <a:cubicBezTo>
                  <a:pt x="6910281" y="4361056"/>
                  <a:pt x="6895864" y="4374334"/>
                  <a:pt x="6878077" y="4374334"/>
                </a:cubicBezTo>
                <a:close/>
                <a:moveTo>
                  <a:pt x="6956611" y="4374334"/>
                </a:moveTo>
                <a:cubicBezTo>
                  <a:pt x="6938824" y="4374334"/>
                  <a:pt x="6924395" y="4361056"/>
                  <a:pt x="6924395" y="4344682"/>
                </a:cubicBezTo>
                <a:cubicBezTo>
                  <a:pt x="6924395" y="4328307"/>
                  <a:pt x="6938824" y="4315030"/>
                  <a:pt x="6956611" y="4315030"/>
                </a:cubicBezTo>
                <a:cubicBezTo>
                  <a:pt x="6974399" y="4315030"/>
                  <a:pt x="6988816" y="4328307"/>
                  <a:pt x="6988816" y="4344682"/>
                </a:cubicBezTo>
                <a:cubicBezTo>
                  <a:pt x="6988816" y="4361056"/>
                  <a:pt x="6974399" y="4374334"/>
                  <a:pt x="6956611" y="4374334"/>
                </a:cubicBezTo>
                <a:close/>
                <a:moveTo>
                  <a:pt x="7035146" y="4374334"/>
                </a:moveTo>
                <a:cubicBezTo>
                  <a:pt x="7017358" y="4374334"/>
                  <a:pt x="7002929" y="4361056"/>
                  <a:pt x="7002929" y="4344682"/>
                </a:cubicBezTo>
                <a:cubicBezTo>
                  <a:pt x="7002929" y="4328307"/>
                  <a:pt x="7017358" y="4315030"/>
                  <a:pt x="7035146" y="4315030"/>
                </a:cubicBezTo>
                <a:cubicBezTo>
                  <a:pt x="7052933" y="4315030"/>
                  <a:pt x="7067350" y="4328307"/>
                  <a:pt x="7067350" y="4344682"/>
                </a:cubicBezTo>
                <a:cubicBezTo>
                  <a:pt x="7067350" y="4361056"/>
                  <a:pt x="7052933" y="4374334"/>
                  <a:pt x="7035146" y="4374334"/>
                </a:cubicBezTo>
                <a:close/>
                <a:moveTo>
                  <a:pt x="7113703" y="4374334"/>
                </a:moveTo>
                <a:cubicBezTo>
                  <a:pt x="7095916" y="4374334"/>
                  <a:pt x="7081487" y="4361056"/>
                  <a:pt x="7081487" y="4344682"/>
                </a:cubicBezTo>
                <a:cubicBezTo>
                  <a:pt x="7081487" y="4328307"/>
                  <a:pt x="7095916" y="4315030"/>
                  <a:pt x="7113703" y="4315030"/>
                </a:cubicBezTo>
                <a:cubicBezTo>
                  <a:pt x="7131490" y="4315030"/>
                  <a:pt x="7145907" y="4328307"/>
                  <a:pt x="7145907" y="4344682"/>
                </a:cubicBezTo>
                <a:cubicBezTo>
                  <a:pt x="7145907" y="4361056"/>
                  <a:pt x="7131490" y="4374334"/>
                  <a:pt x="7113703" y="4374334"/>
                </a:cubicBezTo>
                <a:close/>
                <a:moveTo>
                  <a:pt x="7192237" y="4374334"/>
                </a:moveTo>
                <a:cubicBezTo>
                  <a:pt x="7174450" y="4374334"/>
                  <a:pt x="7160021" y="4361056"/>
                  <a:pt x="7160021" y="4344682"/>
                </a:cubicBezTo>
                <a:cubicBezTo>
                  <a:pt x="7160021" y="4328307"/>
                  <a:pt x="7174450" y="4315030"/>
                  <a:pt x="7192237" y="4315030"/>
                </a:cubicBezTo>
                <a:cubicBezTo>
                  <a:pt x="7210024" y="4315030"/>
                  <a:pt x="7224441" y="4328307"/>
                  <a:pt x="7224441" y="4344682"/>
                </a:cubicBezTo>
                <a:cubicBezTo>
                  <a:pt x="7224441" y="4361056"/>
                  <a:pt x="7210024" y="4374334"/>
                  <a:pt x="7192237" y="4374334"/>
                </a:cubicBezTo>
                <a:close/>
                <a:moveTo>
                  <a:pt x="7270771" y="4374334"/>
                </a:moveTo>
                <a:cubicBezTo>
                  <a:pt x="7252984" y="4374334"/>
                  <a:pt x="7238555" y="4361056"/>
                  <a:pt x="7238555" y="4344682"/>
                </a:cubicBezTo>
                <a:cubicBezTo>
                  <a:pt x="7238555" y="4328307"/>
                  <a:pt x="7252984" y="4315030"/>
                  <a:pt x="7270771" y="4315030"/>
                </a:cubicBezTo>
                <a:cubicBezTo>
                  <a:pt x="7288559" y="4315030"/>
                  <a:pt x="7302976" y="4328307"/>
                  <a:pt x="7302976" y="4344682"/>
                </a:cubicBezTo>
                <a:cubicBezTo>
                  <a:pt x="7302976" y="4361056"/>
                  <a:pt x="7288559" y="4374334"/>
                  <a:pt x="7270771" y="4374334"/>
                </a:cubicBezTo>
                <a:close/>
                <a:moveTo>
                  <a:pt x="7349305" y="4374334"/>
                </a:moveTo>
                <a:cubicBezTo>
                  <a:pt x="7331517" y="4374334"/>
                  <a:pt x="7317088" y="4361056"/>
                  <a:pt x="7317088" y="4344682"/>
                </a:cubicBezTo>
                <a:cubicBezTo>
                  <a:pt x="7317088" y="4328307"/>
                  <a:pt x="7331517" y="4315030"/>
                  <a:pt x="7349305" y="4315030"/>
                </a:cubicBezTo>
                <a:cubicBezTo>
                  <a:pt x="7367092" y="4315030"/>
                  <a:pt x="7381509" y="4328307"/>
                  <a:pt x="7381509" y="4344682"/>
                </a:cubicBezTo>
                <a:cubicBezTo>
                  <a:pt x="7381509" y="4361056"/>
                  <a:pt x="7367092" y="4374334"/>
                  <a:pt x="7349305" y="4374334"/>
                </a:cubicBezTo>
                <a:close/>
                <a:moveTo>
                  <a:pt x="7427839" y="4374334"/>
                </a:moveTo>
                <a:cubicBezTo>
                  <a:pt x="7410052" y="4374334"/>
                  <a:pt x="7395623" y="4361056"/>
                  <a:pt x="7395623" y="4344682"/>
                </a:cubicBezTo>
                <a:cubicBezTo>
                  <a:pt x="7395623" y="4328307"/>
                  <a:pt x="7410052" y="4315030"/>
                  <a:pt x="7427839" y="4315030"/>
                </a:cubicBezTo>
                <a:cubicBezTo>
                  <a:pt x="7445626" y="4315030"/>
                  <a:pt x="7460043" y="4328307"/>
                  <a:pt x="7460043" y="4344682"/>
                </a:cubicBezTo>
                <a:cubicBezTo>
                  <a:pt x="7460043" y="4361056"/>
                  <a:pt x="7445626" y="4374334"/>
                  <a:pt x="7427839" y="4374334"/>
                </a:cubicBezTo>
                <a:close/>
                <a:moveTo>
                  <a:pt x="7506373" y="4374334"/>
                </a:moveTo>
                <a:cubicBezTo>
                  <a:pt x="7488586" y="4374334"/>
                  <a:pt x="7474157" y="4361056"/>
                  <a:pt x="7474157" y="4344682"/>
                </a:cubicBezTo>
                <a:cubicBezTo>
                  <a:pt x="7474157" y="4328307"/>
                  <a:pt x="7488586" y="4315030"/>
                  <a:pt x="7506373" y="4315030"/>
                </a:cubicBezTo>
                <a:cubicBezTo>
                  <a:pt x="7524160" y="4315030"/>
                  <a:pt x="7538577" y="4328307"/>
                  <a:pt x="7538577" y="4344682"/>
                </a:cubicBezTo>
                <a:cubicBezTo>
                  <a:pt x="7538577" y="4361056"/>
                  <a:pt x="7524160" y="4374334"/>
                  <a:pt x="7506373" y="4374334"/>
                </a:cubicBezTo>
                <a:close/>
                <a:moveTo>
                  <a:pt x="7584906" y="4374334"/>
                </a:moveTo>
                <a:cubicBezTo>
                  <a:pt x="7567119" y="4374334"/>
                  <a:pt x="7552690" y="4361056"/>
                  <a:pt x="7552690" y="4344682"/>
                </a:cubicBezTo>
                <a:cubicBezTo>
                  <a:pt x="7552690" y="4328307"/>
                  <a:pt x="7567119" y="4315030"/>
                  <a:pt x="7584906" y="4315030"/>
                </a:cubicBezTo>
                <a:cubicBezTo>
                  <a:pt x="7602694" y="4315030"/>
                  <a:pt x="7617111" y="4328307"/>
                  <a:pt x="7617111" y="4344682"/>
                </a:cubicBezTo>
                <a:cubicBezTo>
                  <a:pt x="7617111" y="4361056"/>
                  <a:pt x="7602694" y="4374334"/>
                  <a:pt x="7584906" y="4374334"/>
                </a:cubicBezTo>
                <a:close/>
                <a:moveTo>
                  <a:pt x="7663441" y="4374334"/>
                </a:moveTo>
                <a:cubicBezTo>
                  <a:pt x="7645653" y="4374334"/>
                  <a:pt x="7631224" y="4361056"/>
                  <a:pt x="7631224" y="4344682"/>
                </a:cubicBezTo>
                <a:cubicBezTo>
                  <a:pt x="7631224" y="4328307"/>
                  <a:pt x="7645653" y="4315030"/>
                  <a:pt x="7663441" y="4315030"/>
                </a:cubicBezTo>
                <a:cubicBezTo>
                  <a:pt x="7681228" y="4315030"/>
                  <a:pt x="7695645" y="4328307"/>
                  <a:pt x="7695645" y="4344682"/>
                </a:cubicBezTo>
                <a:cubicBezTo>
                  <a:pt x="7695645" y="4361056"/>
                  <a:pt x="7681228" y="4374334"/>
                  <a:pt x="7663441" y="4374334"/>
                </a:cubicBezTo>
                <a:close/>
                <a:moveTo>
                  <a:pt x="7741974" y="4374334"/>
                </a:moveTo>
                <a:cubicBezTo>
                  <a:pt x="7724187" y="4374334"/>
                  <a:pt x="7709758" y="4361056"/>
                  <a:pt x="7709758" y="4344682"/>
                </a:cubicBezTo>
                <a:cubicBezTo>
                  <a:pt x="7709758" y="4328307"/>
                  <a:pt x="7724187" y="4315030"/>
                  <a:pt x="7741974" y="4315030"/>
                </a:cubicBezTo>
                <a:cubicBezTo>
                  <a:pt x="7759761" y="4315030"/>
                  <a:pt x="7774178" y="4328307"/>
                  <a:pt x="7774178" y="4344682"/>
                </a:cubicBezTo>
                <a:cubicBezTo>
                  <a:pt x="7774178" y="4361056"/>
                  <a:pt x="7759761" y="4374334"/>
                  <a:pt x="7741974" y="4374334"/>
                </a:cubicBezTo>
                <a:close/>
                <a:moveTo>
                  <a:pt x="7820508" y="4374334"/>
                </a:moveTo>
                <a:cubicBezTo>
                  <a:pt x="7802721" y="4374334"/>
                  <a:pt x="7788292" y="4361056"/>
                  <a:pt x="7788292" y="4344682"/>
                </a:cubicBezTo>
                <a:cubicBezTo>
                  <a:pt x="7788292" y="4328307"/>
                  <a:pt x="7802721" y="4315030"/>
                  <a:pt x="7820508" y="4315030"/>
                </a:cubicBezTo>
                <a:cubicBezTo>
                  <a:pt x="7838295" y="4315030"/>
                  <a:pt x="7852712" y="4328307"/>
                  <a:pt x="7852712" y="4344682"/>
                </a:cubicBezTo>
                <a:cubicBezTo>
                  <a:pt x="7852712" y="4361056"/>
                  <a:pt x="7838295" y="4374334"/>
                  <a:pt x="7820508" y="4374334"/>
                </a:cubicBezTo>
                <a:close/>
                <a:moveTo>
                  <a:pt x="7899042" y="4374334"/>
                </a:moveTo>
                <a:cubicBezTo>
                  <a:pt x="7881255" y="4374334"/>
                  <a:pt x="7866826" y="4361056"/>
                  <a:pt x="7866826" y="4344682"/>
                </a:cubicBezTo>
                <a:cubicBezTo>
                  <a:pt x="7866826" y="4328307"/>
                  <a:pt x="7881255" y="4315030"/>
                  <a:pt x="7899042" y="4315030"/>
                </a:cubicBezTo>
                <a:cubicBezTo>
                  <a:pt x="7916830" y="4315030"/>
                  <a:pt x="7931247" y="4328307"/>
                  <a:pt x="7931247" y="4344682"/>
                </a:cubicBezTo>
                <a:cubicBezTo>
                  <a:pt x="7931247" y="4361056"/>
                  <a:pt x="7916830" y="4374334"/>
                  <a:pt x="7899042" y="4374334"/>
                </a:cubicBezTo>
                <a:close/>
                <a:moveTo>
                  <a:pt x="7977576" y="4374334"/>
                </a:moveTo>
                <a:cubicBezTo>
                  <a:pt x="7959788" y="4374334"/>
                  <a:pt x="7945359" y="4361056"/>
                  <a:pt x="7945359" y="4344682"/>
                </a:cubicBezTo>
                <a:cubicBezTo>
                  <a:pt x="7945359" y="4328307"/>
                  <a:pt x="7959788" y="4315030"/>
                  <a:pt x="7977576" y="4315030"/>
                </a:cubicBezTo>
                <a:cubicBezTo>
                  <a:pt x="7995363" y="4315030"/>
                  <a:pt x="8009780" y="4328307"/>
                  <a:pt x="8009780" y="4344682"/>
                </a:cubicBezTo>
                <a:cubicBezTo>
                  <a:pt x="8009780" y="4361056"/>
                  <a:pt x="7995363" y="4374334"/>
                  <a:pt x="7977576" y="4374334"/>
                </a:cubicBezTo>
                <a:close/>
                <a:moveTo>
                  <a:pt x="8056110" y="4374334"/>
                </a:moveTo>
                <a:cubicBezTo>
                  <a:pt x="8038323" y="4374334"/>
                  <a:pt x="8023894" y="4361056"/>
                  <a:pt x="8023894" y="4344682"/>
                </a:cubicBezTo>
                <a:cubicBezTo>
                  <a:pt x="8023894" y="4328307"/>
                  <a:pt x="8038323" y="4315030"/>
                  <a:pt x="8056110" y="4315030"/>
                </a:cubicBezTo>
                <a:cubicBezTo>
                  <a:pt x="8073897" y="4315030"/>
                  <a:pt x="8088314" y="4328307"/>
                  <a:pt x="8088314" y="4344682"/>
                </a:cubicBezTo>
                <a:cubicBezTo>
                  <a:pt x="8088314" y="4361056"/>
                  <a:pt x="8073897" y="4374334"/>
                  <a:pt x="8056110" y="4374334"/>
                </a:cubicBezTo>
                <a:close/>
                <a:moveTo>
                  <a:pt x="8134643" y="4374334"/>
                </a:moveTo>
                <a:cubicBezTo>
                  <a:pt x="8116856" y="4374334"/>
                  <a:pt x="8102427" y="4361056"/>
                  <a:pt x="8102427" y="4344682"/>
                </a:cubicBezTo>
                <a:cubicBezTo>
                  <a:pt x="8102427" y="4328307"/>
                  <a:pt x="8116856" y="4315030"/>
                  <a:pt x="8134643" y="4315030"/>
                </a:cubicBezTo>
                <a:cubicBezTo>
                  <a:pt x="8152430" y="4315030"/>
                  <a:pt x="8166847" y="4328307"/>
                  <a:pt x="8166847" y="4344682"/>
                </a:cubicBezTo>
                <a:cubicBezTo>
                  <a:pt x="8166847" y="4361056"/>
                  <a:pt x="8152430" y="4374334"/>
                  <a:pt x="8134643" y="4374334"/>
                </a:cubicBezTo>
                <a:close/>
                <a:moveTo>
                  <a:pt x="8213177" y="4374334"/>
                </a:moveTo>
                <a:cubicBezTo>
                  <a:pt x="8195390" y="4374334"/>
                  <a:pt x="8180961" y="4361056"/>
                  <a:pt x="8180961" y="4344682"/>
                </a:cubicBezTo>
                <a:cubicBezTo>
                  <a:pt x="8180961" y="4328307"/>
                  <a:pt x="8195390" y="4315030"/>
                  <a:pt x="8213177" y="4315030"/>
                </a:cubicBezTo>
                <a:cubicBezTo>
                  <a:pt x="8230965" y="4315030"/>
                  <a:pt x="8245382" y="4328307"/>
                  <a:pt x="8245382" y="4344682"/>
                </a:cubicBezTo>
                <a:cubicBezTo>
                  <a:pt x="8245382" y="4361056"/>
                  <a:pt x="8230965" y="4374334"/>
                  <a:pt x="8213177" y="4374334"/>
                </a:cubicBezTo>
                <a:close/>
                <a:moveTo>
                  <a:pt x="8291712" y="4374334"/>
                </a:moveTo>
                <a:cubicBezTo>
                  <a:pt x="8273924" y="4374334"/>
                  <a:pt x="8259495" y="4361056"/>
                  <a:pt x="8259495" y="4344682"/>
                </a:cubicBezTo>
                <a:cubicBezTo>
                  <a:pt x="8259495" y="4328307"/>
                  <a:pt x="8273924" y="4315030"/>
                  <a:pt x="8291712" y="4315030"/>
                </a:cubicBezTo>
                <a:cubicBezTo>
                  <a:pt x="8309499" y="4315030"/>
                  <a:pt x="8323916" y="4328307"/>
                  <a:pt x="8323916" y="4344682"/>
                </a:cubicBezTo>
                <a:cubicBezTo>
                  <a:pt x="8323916" y="4361056"/>
                  <a:pt x="8309499" y="4374334"/>
                  <a:pt x="8291712" y="4374334"/>
                </a:cubicBezTo>
                <a:close/>
                <a:moveTo>
                  <a:pt x="8370245" y="4374334"/>
                </a:moveTo>
                <a:cubicBezTo>
                  <a:pt x="8352458" y="4374334"/>
                  <a:pt x="8338029" y="4361056"/>
                  <a:pt x="8338029" y="4344682"/>
                </a:cubicBezTo>
                <a:cubicBezTo>
                  <a:pt x="8338029" y="4328307"/>
                  <a:pt x="8352458" y="4315030"/>
                  <a:pt x="8370245" y="4315030"/>
                </a:cubicBezTo>
                <a:cubicBezTo>
                  <a:pt x="8388032" y="4315030"/>
                  <a:pt x="8402449" y="4328307"/>
                  <a:pt x="8402449" y="4344682"/>
                </a:cubicBezTo>
                <a:cubicBezTo>
                  <a:pt x="8402449" y="4361056"/>
                  <a:pt x="8388032" y="4374334"/>
                  <a:pt x="8370245" y="4374334"/>
                </a:cubicBezTo>
                <a:close/>
                <a:moveTo>
                  <a:pt x="8448779" y="4374334"/>
                </a:moveTo>
                <a:cubicBezTo>
                  <a:pt x="8430992" y="4374334"/>
                  <a:pt x="8416563" y="4361056"/>
                  <a:pt x="8416563" y="4344682"/>
                </a:cubicBezTo>
                <a:cubicBezTo>
                  <a:pt x="8416563" y="4328307"/>
                  <a:pt x="8430992" y="4315030"/>
                  <a:pt x="8448779" y="4315030"/>
                </a:cubicBezTo>
                <a:cubicBezTo>
                  <a:pt x="8466566" y="4315030"/>
                  <a:pt x="8480983" y="4328307"/>
                  <a:pt x="8480983" y="4344682"/>
                </a:cubicBezTo>
                <a:cubicBezTo>
                  <a:pt x="8480983" y="4361056"/>
                  <a:pt x="8466566" y="4374334"/>
                  <a:pt x="8448779" y="4374334"/>
                </a:cubicBezTo>
                <a:close/>
                <a:moveTo>
                  <a:pt x="8527313" y="4374334"/>
                </a:moveTo>
                <a:cubicBezTo>
                  <a:pt x="8509526" y="4374334"/>
                  <a:pt x="8495097" y="4361056"/>
                  <a:pt x="8495097" y="4344682"/>
                </a:cubicBezTo>
                <a:cubicBezTo>
                  <a:pt x="8495097" y="4328307"/>
                  <a:pt x="8509526" y="4315030"/>
                  <a:pt x="8527313" y="4315030"/>
                </a:cubicBezTo>
                <a:cubicBezTo>
                  <a:pt x="8545101" y="4315030"/>
                  <a:pt x="8559518" y="4328307"/>
                  <a:pt x="8559518" y="4344682"/>
                </a:cubicBezTo>
                <a:cubicBezTo>
                  <a:pt x="8559518" y="4361056"/>
                  <a:pt x="8545101" y="4374334"/>
                  <a:pt x="8527313" y="4374334"/>
                </a:cubicBezTo>
                <a:close/>
                <a:moveTo>
                  <a:pt x="8605847" y="4374334"/>
                </a:moveTo>
                <a:cubicBezTo>
                  <a:pt x="8588059" y="4374334"/>
                  <a:pt x="8573630" y="4361056"/>
                  <a:pt x="8573630" y="4344682"/>
                </a:cubicBezTo>
                <a:cubicBezTo>
                  <a:pt x="8573630" y="4328307"/>
                  <a:pt x="8588059" y="4315030"/>
                  <a:pt x="8605847" y="4315030"/>
                </a:cubicBezTo>
                <a:cubicBezTo>
                  <a:pt x="8623634" y="4315030"/>
                  <a:pt x="8638051" y="4328307"/>
                  <a:pt x="8638051" y="4344682"/>
                </a:cubicBezTo>
                <a:cubicBezTo>
                  <a:pt x="8638051" y="4361056"/>
                  <a:pt x="8623634" y="4374334"/>
                  <a:pt x="8605847" y="4374334"/>
                </a:cubicBezTo>
                <a:close/>
                <a:moveTo>
                  <a:pt x="8684381" y="4374334"/>
                </a:moveTo>
                <a:cubicBezTo>
                  <a:pt x="8666594" y="4374334"/>
                  <a:pt x="8652165" y="4361056"/>
                  <a:pt x="8652165" y="4344682"/>
                </a:cubicBezTo>
                <a:cubicBezTo>
                  <a:pt x="8652165" y="4328307"/>
                  <a:pt x="8666594" y="4315030"/>
                  <a:pt x="8684381" y="4315030"/>
                </a:cubicBezTo>
                <a:cubicBezTo>
                  <a:pt x="8702168" y="4315030"/>
                  <a:pt x="8716585" y="4328307"/>
                  <a:pt x="8716585" y="4344682"/>
                </a:cubicBezTo>
                <a:cubicBezTo>
                  <a:pt x="8716585" y="4361056"/>
                  <a:pt x="8702168" y="4374334"/>
                  <a:pt x="8684381" y="4374334"/>
                </a:cubicBezTo>
                <a:close/>
                <a:moveTo>
                  <a:pt x="8841448" y="4374334"/>
                </a:moveTo>
                <a:cubicBezTo>
                  <a:pt x="8823661" y="4374334"/>
                  <a:pt x="8809232" y="4361056"/>
                  <a:pt x="8809232" y="4344682"/>
                </a:cubicBezTo>
                <a:cubicBezTo>
                  <a:pt x="8809232" y="4328307"/>
                  <a:pt x="8823661" y="4315030"/>
                  <a:pt x="8841448" y="4315030"/>
                </a:cubicBezTo>
                <a:cubicBezTo>
                  <a:pt x="8859236" y="4315030"/>
                  <a:pt x="8873653" y="4328307"/>
                  <a:pt x="8873653" y="4344682"/>
                </a:cubicBezTo>
                <a:cubicBezTo>
                  <a:pt x="8873653" y="4361056"/>
                  <a:pt x="8859236" y="4374334"/>
                  <a:pt x="8841448" y="4374334"/>
                </a:cubicBezTo>
                <a:close/>
                <a:moveTo>
                  <a:pt x="8919983" y="4374334"/>
                </a:moveTo>
                <a:cubicBezTo>
                  <a:pt x="8902195" y="4374334"/>
                  <a:pt x="8887766" y="4361056"/>
                  <a:pt x="8887766" y="4344682"/>
                </a:cubicBezTo>
                <a:cubicBezTo>
                  <a:pt x="8887766" y="4328307"/>
                  <a:pt x="8902195" y="4315030"/>
                  <a:pt x="8919983" y="4315030"/>
                </a:cubicBezTo>
                <a:cubicBezTo>
                  <a:pt x="8937770" y="4315030"/>
                  <a:pt x="8952187" y="4328307"/>
                  <a:pt x="8952187" y="4344682"/>
                </a:cubicBezTo>
                <a:cubicBezTo>
                  <a:pt x="8952187" y="4361056"/>
                  <a:pt x="8937770" y="4374334"/>
                  <a:pt x="8919983" y="4374334"/>
                </a:cubicBezTo>
                <a:close/>
                <a:moveTo>
                  <a:pt x="8998516" y="4374334"/>
                </a:moveTo>
                <a:cubicBezTo>
                  <a:pt x="8980729" y="4374334"/>
                  <a:pt x="8966300" y="4361056"/>
                  <a:pt x="8966300" y="4344682"/>
                </a:cubicBezTo>
                <a:cubicBezTo>
                  <a:pt x="8966300" y="4328307"/>
                  <a:pt x="8980729" y="4315030"/>
                  <a:pt x="8998516" y="4315030"/>
                </a:cubicBezTo>
                <a:cubicBezTo>
                  <a:pt x="9016303" y="4315030"/>
                  <a:pt x="9030720" y="4328307"/>
                  <a:pt x="9030720" y="4344682"/>
                </a:cubicBezTo>
                <a:cubicBezTo>
                  <a:pt x="9030720" y="4361056"/>
                  <a:pt x="9016303" y="4374334"/>
                  <a:pt x="8998516" y="4374334"/>
                </a:cubicBezTo>
                <a:close/>
                <a:moveTo>
                  <a:pt x="9077050" y="4374334"/>
                </a:moveTo>
                <a:cubicBezTo>
                  <a:pt x="9059263" y="4374334"/>
                  <a:pt x="9044834" y="4361056"/>
                  <a:pt x="9044834" y="4344682"/>
                </a:cubicBezTo>
                <a:cubicBezTo>
                  <a:pt x="9044834" y="4328307"/>
                  <a:pt x="9059263" y="4315030"/>
                  <a:pt x="9077050" y="4315030"/>
                </a:cubicBezTo>
                <a:cubicBezTo>
                  <a:pt x="9094837" y="4315030"/>
                  <a:pt x="9109254" y="4328307"/>
                  <a:pt x="9109254" y="4344682"/>
                </a:cubicBezTo>
                <a:cubicBezTo>
                  <a:pt x="9109254" y="4361056"/>
                  <a:pt x="9094837" y="4374334"/>
                  <a:pt x="9077050" y="4374334"/>
                </a:cubicBezTo>
                <a:close/>
                <a:moveTo>
                  <a:pt x="9155583" y="4374334"/>
                </a:moveTo>
                <a:cubicBezTo>
                  <a:pt x="9137796" y="4374334"/>
                  <a:pt x="9123367" y="4361056"/>
                  <a:pt x="9123367" y="4344682"/>
                </a:cubicBezTo>
                <a:cubicBezTo>
                  <a:pt x="9123367" y="4328307"/>
                  <a:pt x="9137796" y="4315030"/>
                  <a:pt x="9155583" y="4315030"/>
                </a:cubicBezTo>
                <a:cubicBezTo>
                  <a:pt x="9173371" y="4315030"/>
                  <a:pt x="9187788" y="4328307"/>
                  <a:pt x="9187788" y="4344682"/>
                </a:cubicBezTo>
                <a:cubicBezTo>
                  <a:pt x="9187788" y="4361056"/>
                  <a:pt x="9173371" y="4374334"/>
                  <a:pt x="9155583" y="4374334"/>
                </a:cubicBezTo>
                <a:close/>
                <a:moveTo>
                  <a:pt x="9234118" y="4374334"/>
                </a:moveTo>
                <a:cubicBezTo>
                  <a:pt x="9216330" y="4374334"/>
                  <a:pt x="9201901" y="4361056"/>
                  <a:pt x="9201901" y="4344682"/>
                </a:cubicBezTo>
                <a:cubicBezTo>
                  <a:pt x="9201901" y="4328307"/>
                  <a:pt x="9216330" y="4315030"/>
                  <a:pt x="9234118" y="4315030"/>
                </a:cubicBezTo>
                <a:cubicBezTo>
                  <a:pt x="9251905" y="4315030"/>
                  <a:pt x="9266322" y="4328307"/>
                  <a:pt x="9266322" y="4344682"/>
                </a:cubicBezTo>
                <a:cubicBezTo>
                  <a:pt x="9266322" y="4361056"/>
                  <a:pt x="9251905" y="4374334"/>
                  <a:pt x="9234118" y="4374334"/>
                </a:cubicBezTo>
                <a:close/>
                <a:moveTo>
                  <a:pt x="9312652" y="4374334"/>
                </a:moveTo>
                <a:cubicBezTo>
                  <a:pt x="9294865" y="4374334"/>
                  <a:pt x="9280436" y="4361056"/>
                  <a:pt x="9280436" y="4344682"/>
                </a:cubicBezTo>
                <a:cubicBezTo>
                  <a:pt x="9280436" y="4328307"/>
                  <a:pt x="9294865" y="4315030"/>
                  <a:pt x="9312652" y="4315030"/>
                </a:cubicBezTo>
                <a:cubicBezTo>
                  <a:pt x="9330439" y="4315030"/>
                  <a:pt x="9344856" y="4328307"/>
                  <a:pt x="9344856" y="4344682"/>
                </a:cubicBezTo>
                <a:cubicBezTo>
                  <a:pt x="9344856" y="4361056"/>
                  <a:pt x="9330439" y="4374334"/>
                  <a:pt x="9312652" y="4374334"/>
                </a:cubicBezTo>
                <a:close/>
                <a:moveTo>
                  <a:pt x="9391185" y="4374334"/>
                </a:moveTo>
                <a:cubicBezTo>
                  <a:pt x="9373398" y="4374334"/>
                  <a:pt x="9358969" y="4361056"/>
                  <a:pt x="9358969" y="4344682"/>
                </a:cubicBezTo>
                <a:cubicBezTo>
                  <a:pt x="9358969" y="4328307"/>
                  <a:pt x="9373398" y="4315030"/>
                  <a:pt x="9391185" y="4315030"/>
                </a:cubicBezTo>
                <a:cubicBezTo>
                  <a:pt x="9408972" y="4315030"/>
                  <a:pt x="9423389" y="4328307"/>
                  <a:pt x="9423389" y="4344682"/>
                </a:cubicBezTo>
                <a:cubicBezTo>
                  <a:pt x="9423389" y="4361056"/>
                  <a:pt x="9408972" y="4374334"/>
                  <a:pt x="9391185" y="4374334"/>
                </a:cubicBezTo>
                <a:close/>
                <a:moveTo>
                  <a:pt x="9469719" y="4374334"/>
                </a:moveTo>
                <a:cubicBezTo>
                  <a:pt x="9451932" y="4374334"/>
                  <a:pt x="9437503" y="4361056"/>
                  <a:pt x="9437503" y="4344682"/>
                </a:cubicBezTo>
                <a:cubicBezTo>
                  <a:pt x="9437503" y="4328307"/>
                  <a:pt x="9451932" y="4315030"/>
                  <a:pt x="9469719" y="4315030"/>
                </a:cubicBezTo>
                <a:cubicBezTo>
                  <a:pt x="9487507" y="4315030"/>
                  <a:pt x="9501924" y="4328307"/>
                  <a:pt x="9501924" y="4344682"/>
                </a:cubicBezTo>
                <a:cubicBezTo>
                  <a:pt x="9501924" y="4361056"/>
                  <a:pt x="9487507" y="4374334"/>
                  <a:pt x="9469719" y="4374334"/>
                </a:cubicBezTo>
                <a:close/>
                <a:moveTo>
                  <a:pt x="9548254" y="4374334"/>
                </a:moveTo>
                <a:cubicBezTo>
                  <a:pt x="9530466" y="4374334"/>
                  <a:pt x="9516037" y="4361056"/>
                  <a:pt x="9516037" y="4344682"/>
                </a:cubicBezTo>
                <a:cubicBezTo>
                  <a:pt x="9516037" y="4328307"/>
                  <a:pt x="9530466" y="4315030"/>
                  <a:pt x="9548254" y="4315030"/>
                </a:cubicBezTo>
                <a:cubicBezTo>
                  <a:pt x="9566041" y="4315030"/>
                  <a:pt x="9580458" y="4328307"/>
                  <a:pt x="9580458" y="4344682"/>
                </a:cubicBezTo>
                <a:cubicBezTo>
                  <a:pt x="9580458" y="4361056"/>
                  <a:pt x="9566041" y="4374334"/>
                  <a:pt x="9548254" y="4374334"/>
                </a:cubicBezTo>
                <a:close/>
                <a:moveTo>
                  <a:pt x="9626787" y="4374334"/>
                </a:moveTo>
                <a:cubicBezTo>
                  <a:pt x="9609000" y="4374334"/>
                  <a:pt x="9594571" y="4361056"/>
                  <a:pt x="9594571" y="4344682"/>
                </a:cubicBezTo>
                <a:cubicBezTo>
                  <a:pt x="9594571" y="4328307"/>
                  <a:pt x="9609000" y="4315030"/>
                  <a:pt x="9626787" y="4315030"/>
                </a:cubicBezTo>
                <a:cubicBezTo>
                  <a:pt x="9644574" y="4315030"/>
                  <a:pt x="9658991" y="4328307"/>
                  <a:pt x="9658991" y="4344682"/>
                </a:cubicBezTo>
                <a:cubicBezTo>
                  <a:pt x="9658991" y="4361056"/>
                  <a:pt x="9644574" y="4374334"/>
                  <a:pt x="9626787" y="4374334"/>
                </a:cubicBezTo>
                <a:close/>
                <a:moveTo>
                  <a:pt x="9783854" y="4374334"/>
                </a:moveTo>
                <a:cubicBezTo>
                  <a:pt x="9766067" y="4374334"/>
                  <a:pt x="9751638" y="4361056"/>
                  <a:pt x="9751638" y="4344682"/>
                </a:cubicBezTo>
                <a:cubicBezTo>
                  <a:pt x="9751638" y="4328307"/>
                  <a:pt x="9766067" y="4315030"/>
                  <a:pt x="9783854" y="4315030"/>
                </a:cubicBezTo>
                <a:cubicBezTo>
                  <a:pt x="9801642" y="4315030"/>
                  <a:pt x="9816059" y="4328307"/>
                  <a:pt x="9816059" y="4344682"/>
                </a:cubicBezTo>
                <a:cubicBezTo>
                  <a:pt x="9816059" y="4361056"/>
                  <a:pt x="9801642" y="4374334"/>
                  <a:pt x="9783854" y="4374334"/>
                </a:cubicBezTo>
                <a:close/>
                <a:moveTo>
                  <a:pt x="2637243" y="4302069"/>
                </a:moveTo>
                <a:cubicBezTo>
                  <a:pt x="2619455" y="4302069"/>
                  <a:pt x="2605032" y="4288792"/>
                  <a:pt x="2605032" y="4272417"/>
                </a:cubicBezTo>
                <a:cubicBezTo>
                  <a:pt x="2605032" y="4256042"/>
                  <a:pt x="2619455" y="4242765"/>
                  <a:pt x="2637243" y="4242765"/>
                </a:cubicBezTo>
                <a:cubicBezTo>
                  <a:pt x="2655030" y="4242765"/>
                  <a:pt x="2669453" y="4256042"/>
                  <a:pt x="2669453" y="4272417"/>
                </a:cubicBezTo>
                <a:cubicBezTo>
                  <a:pt x="2669453" y="4288792"/>
                  <a:pt x="2655030" y="4302069"/>
                  <a:pt x="2637243" y="4302069"/>
                </a:cubicBezTo>
                <a:close/>
                <a:moveTo>
                  <a:pt x="2715777" y="4302069"/>
                </a:moveTo>
                <a:cubicBezTo>
                  <a:pt x="2697990" y="4302069"/>
                  <a:pt x="2683566" y="4288792"/>
                  <a:pt x="2683566" y="4272417"/>
                </a:cubicBezTo>
                <a:cubicBezTo>
                  <a:pt x="2683566" y="4256042"/>
                  <a:pt x="2697990" y="4242765"/>
                  <a:pt x="2715777" y="4242765"/>
                </a:cubicBezTo>
                <a:cubicBezTo>
                  <a:pt x="2733564" y="4242765"/>
                  <a:pt x="2747987" y="4256042"/>
                  <a:pt x="2747987" y="4272417"/>
                </a:cubicBezTo>
                <a:cubicBezTo>
                  <a:pt x="2747987" y="4288792"/>
                  <a:pt x="2733564" y="4302069"/>
                  <a:pt x="2715777" y="4302069"/>
                </a:cubicBezTo>
                <a:close/>
                <a:moveTo>
                  <a:pt x="2794310" y="4302069"/>
                </a:moveTo>
                <a:cubicBezTo>
                  <a:pt x="2776523" y="4302069"/>
                  <a:pt x="2762100" y="4288792"/>
                  <a:pt x="2762100" y="4272417"/>
                </a:cubicBezTo>
                <a:cubicBezTo>
                  <a:pt x="2762100" y="4256042"/>
                  <a:pt x="2776523" y="4242765"/>
                  <a:pt x="2794310" y="4242765"/>
                </a:cubicBezTo>
                <a:cubicBezTo>
                  <a:pt x="2812097" y="4242765"/>
                  <a:pt x="2826520" y="4256042"/>
                  <a:pt x="2826520" y="4272417"/>
                </a:cubicBezTo>
                <a:cubicBezTo>
                  <a:pt x="2826520" y="4288792"/>
                  <a:pt x="2812097" y="4302069"/>
                  <a:pt x="2794310" y="4302069"/>
                </a:cubicBezTo>
                <a:close/>
                <a:moveTo>
                  <a:pt x="2872844" y="4302069"/>
                </a:moveTo>
                <a:cubicBezTo>
                  <a:pt x="2855057" y="4302069"/>
                  <a:pt x="2840634" y="4288792"/>
                  <a:pt x="2840634" y="4272417"/>
                </a:cubicBezTo>
                <a:cubicBezTo>
                  <a:pt x="2840634" y="4256042"/>
                  <a:pt x="2855057" y="4242765"/>
                  <a:pt x="2872844" y="4242765"/>
                </a:cubicBezTo>
                <a:cubicBezTo>
                  <a:pt x="2890632" y="4242765"/>
                  <a:pt x="2905055" y="4256042"/>
                  <a:pt x="2905055" y="4272417"/>
                </a:cubicBezTo>
                <a:cubicBezTo>
                  <a:pt x="2905055" y="4288792"/>
                  <a:pt x="2890632" y="4302069"/>
                  <a:pt x="2872844" y="4302069"/>
                </a:cubicBezTo>
                <a:close/>
                <a:moveTo>
                  <a:pt x="2951379" y="4302069"/>
                </a:moveTo>
                <a:cubicBezTo>
                  <a:pt x="2933591" y="4302069"/>
                  <a:pt x="2919168" y="4288792"/>
                  <a:pt x="2919168" y="4272417"/>
                </a:cubicBezTo>
                <a:cubicBezTo>
                  <a:pt x="2919168" y="4256042"/>
                  <a:pt x="2933591" y="4242765"/>
                  <a:pt x="2951379" y="4242765"/>
                </a:cubicBezTo>
                <a:cubicBezTo>
                  <a:pt x="2969166" y="4242765"/>
                  <a:pt x="2983589" y="4256042"/>
                  <a:pt x="2983589" y="4272417"/>
                </a:cubicBezTo>
                <a:cubicBezTo>
                  <a:pt x="2983589" y="4288792"/>
                  <a:pt x="2969166" y="4302069"/>
                  <a:pt x="2951379" y="4302069"/>
                </a:cubicBezTo>
                <a:close/>
                <a:moveTo>
                  <a:pt x="3029912" y="4302069"/>
                </a:moveTo>
                <a:cubicBezTo>
                  <a:pt x="3012125" y="4302069"/>
                  <a:pt x="2997701" y="4288792"/>
                  <a:pt x="2997701" y="4272417"/>
                </a:cubicBezTo>
                <a:cubicBezTo>
                  <a:pt x="2997701" y="4256042"/>
                  <a:pt x="3012125" y="4242765"/>
                  <a:pt x="3029912" y="4242765"/>
                </a:cubicBezTo>
                <a:cubicBezTo>
                  <a:pt x="3047699" y="4242765"/>
                  <a:pt x="3062122" y="4256042"/>
                  <a:pt x="3062122" y="4272417"/>
                </a:cubicBezTo>
                <a:cubicBezTo>
                  <a:pt x="3062122" y="4288792"/>
                  <a:pt x="3047699" y="4302069"/>
                  <a:pt x="3029912" y="4302069"/>
                </a:cubicBezTo>
                <a:close/>
                <a:moveTo>
                  <a:pt x="3108446" y="4302069"/>
                </a:moveTo>
                <a:cubicBezTo>
                  <a:pt x="3090659" y="4302069"/>
                  <a:pt x="3076236" y="4288792"/>
                  <a:pt x="3076236" y="4272417"/>
                </a:cubicBezTo>
                <a:cubicBezTo>
                  <a:pt x="3076236" y="4256042"/>
                  <a:pt x="3090659" y="4242765"/>
                  <a:pt x="3108446" y="4242765"/>
                </a:cubicBezTo>
                <a:cubicBezTo>
                  <a:pt x="3126233" y="4242765"/>
                  <a:pt x="3140656" y="4256042"/>
                  <a:pt x="3140656" y="4272417"/>
                </a:cubicBezTo>
                <a:cubicBezTo>
                  <a:pt x="3140656" y="4288792"/>
                  <a:pt x="3126233" y="4302069"/>
                  <a:pt x="3108446" y="4302069"/>
                </a:cubicBezTo>
                <a:close/>
                <a:moveTo>
                  <a:pt x="3186979" y="4302069"/>
                </a:moveTo>
                <a:cubicBezTo>
                  <a:pt x="3169192" y="4302069"/>
                  <a:pt x="3154769" y="4288792"/>
                  <a:pt x="3154769" y="4272417"/>
                </a:cubicBezTo>
                <a:cubicBezTo>
                  <a:pt x="3154769" y="4256042"/>
                  <a:pt x="3169192" y="4242765"/>
                  <a:pt x="3186979" y="4242765"/>
                </a:cubicBezTo>
                <a:cubicBezTo>
                  <a:pt x="3204767" y="4242765"/>
                  <a:pt x="3219190" y="4256042"/>
                  <a:pt x="3219190" y="4272417"/>
                </a:cubicBezTo>
                <a:cubicBezTo>
                  <a:pt x="3219190" y="4288792"/>
                  <a:pt x="3204767" y="4302069"/>
                  <a:pt x="3186979" y="4302069"/>
                </a:cubicBezTo>
                <a:close/>
                <a:moveTo>
                  <a:pt x="3265514" y="4302069"/>
                </a:moveTo>
                <a:cubicBezTo>
                  <a:pt x="3247726" y="4302069"/>
                  <a:pt x="3233303" y="4288792"/>
                  <a:pt x="3233303" y="4272417"/>
                </a:cubicBezTo>
                <a:cubicBezTo>
                  <a:pt x="3233303" y="4256042"/>
                  <a:pt x="3247726" y="4242765"/>
                  <a:pt x="3265514" y="4242765"/>
                </a:cubicBezTo>
                <a:cubicBezTo>
                  <a:pt x="3283301" y="4242765"/>
                  <a:pt x="3297724" y="4256042"/>
                  <a:pt x="3297724" y="4272417"/>
                </a:cubicBezTo>
                <a:cubicBezTo>
                  <a:pt x="3297724" y="4288792"/>
                  <a:pt x="3283301" y="4302069"/>
                  <a:pt x="3265514" y="4302069"/>
                </a:cubicBezTo>
                <a:close/>
                <a:moveTo>
                  <a:pt x="3422581" y="4302069"/>
                </a:moveTo>
                <a:cubicBezTo>
                  <a:pt x="3404794" y="4302069"/>
                  <a:pt x="3390371" y="4288792"/>
                  <a:pt x="3390371" y="4272417"/>
                </a:cubicBezTo>
                <a:cubicBezTo>
                  <a:pt x="3390371" y="4256042"/>
                  <a:pt x="3404794" y="4242765"/>
                  <a:pt x="3422581" y="4242765"/>
                </a:cubicBezTo>
                <a:cubicBezTo>
                  <a:pt x="3440368" y="4242765"/>
                  <a:pt x="3454791" y="4256042"/>
                  <a:pt x="3454791" y="4272417"/>
                </a:cubicBezTo>
                <a:cubicBezTo>
                  <a:pt x="3454791" y="4288792"/>
                  <a:pt x="3440368" y="4302069"/>
                  <a:pt x="3422581" y="4302069"/>
                </a:cubicBezTo>
                <a:close/>
                <a:moveTo>
                  <a:pt x="3501115" y="4302069"/>
                </a:moveTo>
                <a:cubicBezTo>
                  <a:pt x="3483328" y="4302069"/>
                  <a:pt x="3468905" y="4288792"/>
                  <a:pt x="3468905" y="4272417"/>
                </a:cubicBezTo>
                <a:cubicBezTo>
                  <a:pt x="3468905" y="4256042"/>
                  <a:pt x="3483328" y="4242765"/>
                  <a:pt x="3501115" y="4242765"/>
                </a:cubicBezTo>
                <a:cubicBezTo>
                  <a:pt x="3518903" y="4242765"/>
                  <a:pt x="3533326" y="4256042"/>
                  <a:pt x="3533326" y="4272417"/>
                </a:cubicBezTo>
                <a:cubicBezTo>
                  <a:pt x="3533326" y="4288792"/>
                  <a:pt x="3518903" y="4302069"/>
                  <a:pt x="3501115" y="4302069"/>
                </a:cubicBezTo>
                <a:close/>
                <a:moveTo>
                  <a:pt x="3579650" y="4302069"/>
                </a:moveTo>
                <a:cubicBezTo>
                  <a:pt x="3561862" y="4302069"/>
                  <a:pt x="3547439" y="4288792"/>
                  <a:pt x="3547439" y="4272417"/>
                </a:cubicBezTo>
                <a:cubicBezTo>
                  <a:pt x="3547439" y="4256042"/>
                  <a:pt x="3561862" y="4242765"/>
                  <a:pt x="3579650" y="4242765"/>
                </a:cubicBezTo>
                <a:cubicBezTo>
                  <a:pt x="3597437" y="4242765"/>
                  <a:pt x="3611860" y="4256042"/>
                  <a:pt x="3611860" y="4272417"/>
                </a:cubicBezTo>
                <a:cubicBezTo>
                  <a:pt x="3611860" y="4288792"/>
                  <a:pt x="3597437" y="4302069"/>
                  <a:pt x="3579650" y="4302069"/>
                </a:cubicBezTo>
                <a:close/>
                <a:moveTo>
                  <a:pt x="3658183" y="4302069"/>
                </a:moveTo>
                <a:cubicBezTo>
                  <a:pt x="3640396" y="4302069"/>
                  <a:pt x="3625972" y="4288792"/>
                  <a:pt x="3625972" y="4272417"/>
                </a:cubicBezTo>
                <a:cubicBezTo>
                  <a:pt x="3625972" y="4256042"/>
                  <a:pt x="3640396" y="4242765"/>
                  <a:pt x="3658183" y="4242765"/>
                </a:cubicBezTo>
                <a:cubicBezTo>
                  <a:pt x="3675970" y="4242765"/>
                  <a:pt x="3690393" y="4256042"/>
                  <a:pt x="3690393" y="4272417"/>
                </a:cubicBezTo>
                <a:cubicBezTo>
                  <a:pt x="3690393" y="4288792"/>
                  <a:pt x="3675970" y="4302069"/>
                  <a:pt x="3658183" y="4302069"/>
                </a:cubicBezTo>
                <a:close/>
                <a:moveTo>
                  <a:pt x="3736717" y="4302069"/>
                </a:moveTo>
                <a:cubicBezTo>
                  <a:pt x="3718930" y="4302069"/>
                  <a:pt x="3704507" y="4288792"/>
                  <a:pt x="3704507" y="4272417"/>
                </a:cubicBezTo>
                <a:cubicBezTo>
                  <a:pt x="3704507" y="4256042"/>
                  <a:pt x="3718930" y="4242765"/>
                  <a:pt x="3736717" y="4242765"/>
                </a:cubicBezTo>
                <a:cubicBezTo>
                  <a:pt x="3754504" y="4242765"/>
                  <a:pt x="3768927" y="4256042"/>
                  <a:pt x="3768927" y="4272417"/>
                </a:cubicBezTo>
                <a:cubicBezTo>
                  <a:pt x="3768927" y="4288792"/>
                  <a:pt x="3754504" y="4302069"/>
                  <a:pt x="3736717" y="4302069"/>
                </a:cubicBezTo>
                <a:close/>
                <a:moveTo>
                  <a:pt x="3893785" y="4302069"/>
                </a:moveTo>
                <a:cubicBezTo>
                  <a:pt x="3875997" y="4302069"/>
                  <a:pt x="3861574" y="4288792"/>
                  <a:pt x="3861574" y="4272417"/>
                </a:cubicBezTo>
                <a:cubicBezTo>
                  <a:pt x="3861574" y="4256042"/>
                  <a:pt x="3875997" y="4242765"/>
                  <a:pt x="3893785" y="4242765"/>
                </a:cubicBezTo>
                <a:cubicBezTo>
                  <a:pt x="3911572" y="4242765"/>
                  <a:pt x="3925995" y="4256042"/>
                  <a:pt x="3925995" y="4272417"/>
                </a:cubicBezTo>
                <a:cubicBezTo>
                  <a:pt x="3925995" y="4288792"/>
                  <a:pt x="3911572" y="4302069"/>
                  <a:pt x="3893785" y="4302069"/>
                </a:cubicBezTo>
                <a:close/>
                <a:moveTo>
                  <a:pt x="3972319" y="4302069"/>
                </a:moveTo>
                <a:cubicBezTo>
                  <a:pt x="3954532" y="4302069"/>
                  <a:pt x="3940108" y="4288792"/>
                  <a:pt x="3940108" y="4272417"/>
                </a:cubicBezTo>
                <a:cubicBezTo>
                  <a:pt x="3940108" y="4256042"/>
                  <a:pt x="3954532" y="4242765"/>
                  <a:pt x="3972319" y="4242765"/>
                </a:cubicBezTo>
                <a:cubicBezTo>
                  <a:pt x="3990106" y="4242765"/>
                  <a:pt x="4004529" y="4256042"/>
                  <a:pt x="4004529" y="4272417"/>
                </a:cubicBezTo>
                <a:cubicBezTo>
                  <a:pt x="4004529" y="4288792"/>
                  <a:pt x="3990106" y="4302069"/>
                  <a:pt x="3972319" y="4302069"/>
                </a:cubicBezTo>
                <a:close/>
                <a:moveTo>
                  <a:pt x="4050852" y="4302069"/>
                </a:moveTo>
                <a:cubicBezTo>
                  <a:pt x="4033065" y="4302069"/>
                  <a:pt x="4018642" y="4288792"/>
                  <a:pt x="4018642" y="4272417"/>
                </a:cubicBezTo>
                <a:cubicBezTo>
                  <a:pt x="4018642" y="4256042"/>
                  <a:pt x="4033065" y="4242765"/>
                  <a:pt x="4050852" y="4242765"/>
                </a:cubicBezTo>
                <a:cubicBezTo>
                  <a:pt x="4068639" y="4242765"/>
                  <a:pt x="4083062" y="4256042"/>
                  <a:pt x="4083062" y="4272417"/>
                </a:cubicBezTo>
                <a:cubicBezTo>
                  <a:pt x="4083062" y="4288792"/>
                  <a:pt x="4068639" y="4302069"/>
                  <a:pt x="4050852" y="4302069"/>
                </a:cubicBezTo>
                <a:close/>
                <a:moveTo>
                  <a:pt x="4129386" y="4302069"/>
                </a:moveTo>
                <a:cubicBezTo>
                  <a:pt x="4111599" y="4302069"/>
                  <a:pt x="4097176" y="4288792"/>
                  <a:pt x="4097176" y="4272417"/>
                </a:cubicBezTo>
                <a:cubicBezTo>
                  <a:pt x="4097176" y="4256042"/>
                  <a:pt x="4111599" y="4242765"/>
                  <a:pt x="4129386" y="4242765"/>
                </a:cubicBezTo>
                <a:cubicBezTo>
                  <a:pt x="4147174" y="4242765"/>
                  <a:pt x="4161597" y="4256042"/>
                  <a:pt x="4161597" y="4272417"/>
                </a:cubicBezTo>
                <a:cubicBezTo>
                  <a:pt x="4161597" y="4288792"/>
                  <a:pt x="4147174" y="4302069"/>
                  <a:pt x="4129386" y="4302069"/>
                </a:cubicBezTo>
                <a:close/>
                <a:moveTo>
                  <a:pt x="4207926" y="4302069"/>
                </a:moveTo>
                <a:cubicBezTo>
                  <a:pt x="4190138" y="4302069"/>
                  <a:pt x="4175715" y="4288792"/>
                  <a:pt x="4175715" y="4272417"/>
                </a:cubicBezTo>
                <a:cubicBezTo>
                  <a:pt x="4175715" y="4256042"/>
                  <a:pt x="4190138" y="4242765"/>
                  <a:pt x="4207926" y="4242765"/>
                </a:cubicBezTo>
                <a:cubicBezTo>
                  <a:pt x="4225713" y="4242765"/>
                  <a:pt x="4240136" y="4256042"/>
                  <a:pt x="4240136" y="4272417"/>
                </a:cubicBezTo>
                <a:cubicBezTo>
                  <a:pt x="4240136" y="4288792"/>
                  <a:pt x="4225713" y="4302069"/>
                  <a:pt x="4207926" y="4302069"/>
                </a:cubicBezTo>
                <a:close/>
                <a:moveTo>
                  <a:pt x="4286460" y="4302069"/>
                </a:moveTo>
                <a:cubicBezTo>
                  <a:pt x="4268673" y="4302069"/>
                  <a:pt x="4254250" y="4288792"/>
                  <a:pt x="4254250" y="4272417"/>
                </a:cubicBezTo>
                <a:cubicBezTo>
                  <a:pt x="4254250" y="4256042"/>
                  <a:pt x="4268673" y="4242765"/>
                  <a:pt x="4286460" y="4242765"/>
                </a:cubicBezTo>
                <a:cubicBezTo>
                  <a:pt x="4304247" y="4242765"/>
                  <a:pt x="4318670" y="4256042"/>
                  <a:pt x="4318670" y="4272417"/>
                </a:cubicBezTo>
                <a:cubicBezTo>
                  <a:pt x="4318670" y="4288792"/>
                  <a:pt x="4304247" y="4302069"/>
                  <a:pt x="4286460" y="4302069"/>
                </a:cubicBezTo>
                <a:close/>
                <a:moveTo>
                  <a:pt x="4364994" y="4302069"/>
                </a:moveTo>
                <a:cubicBezTo>
                  <a:pt x="4347207" y="4302069"/>
                  <a:pt x="4332784" y="4288792"/>
                  <a:pt x="4332784" y="4272417"/>
                </a:cubicBezTo>
                <a:cubicBezTo>
                  <a:pt x="4332784" y="4256042"/>
                  <a:pt x="4347207" y="4242765"/>
                  <a:pt x="4364994" y="4242765"/>
                </a:cubicBezTo>
                <a:cubicBezTo>
                  <a:pt x="4382781" y="4242765"/>
                  <a:pt x="4397204" y="4256042"/>
                  <a:pt x="4397204" y="4272417"/>
                </a:cubicBezTo>
                <a:cubicBezTo>
                  <a:pt x="4397204" y="4288792"/>
                  <a:pt x="4382781" y="4302069"/>
                  <a:pt x="4364994" y="4302069"/>
                </a:cubicBezTo>
                <a:close/>
                <a:moveTo>
                  <a:pt x="5857137" y="4302069"/>
                </a:moveTo>
                <a:cubicBezTo>
                  <a:pt x="5839350" y="4302069"/>
                  <a:pt x="5824927" y="4288792"/>
                  <a:pt x="5824927" y="4272417"/>
                </a:cubicBezTo>
                <a:cubicBezTo>
                  <a:pt x="5824927" y="4256042"/>
                  <a:pt x="5839350" y="4242765"/>
                  <a:pt x="5857137" y="4242765"/>
                </a:cubicBezTo>
                <a:cubicBezTo>
                  <a:pt x="5874924" y="4242765"/>
                  <a:pt x="5889347" y="4256042"/>
                  <a:pt x="5889347" y="4272417"/>
                </a:cubicBezTo>
                <a:cubicBezTo>
                  <a:pt x="5889347" y="4288792"/>
                  <a:pt x="5874924" y="4302069"/>
                  <a:pt x="5857137" y="4302069"/>
                </a:cubicBezTo>
                <a:close/>
                <a:moveTo>
                  <a:pt x="6171273" y="4302069"/>
                </a:moveTo>
                <a:cubicBezTo>
                  <a:pt x="6153480" y="4302069"/>
                  <a:pt x="6139056" y="4288792"/>
                  <a:pt x="6139056" y="4272417"/>
                </a:cubicBezTo>
                <a:cubicBezTo>
                  <a:pt x="6139056" y="4256042"/>
                  <a:pt x="6153480" y="4242765"/>
                  <a:pt x="6171273" y="4242765"/>
                </a:cubicBezTo>
                <a:cubicBezTo>
                  <a:pt x="6189060" y="4242765"/>
                  <a:pt x="6203477" y="4256042"/>
                  <a:pt x="6203477" y="4272417"/>
                </a:cubicBezTo>
                <a:cubicBezTo>
                  <a:pt x="6203477" y="4288792"/>
                  <a:pt x="6189060" y="4302069"/>
                  <a:pt x="6171273" y="4302069"/>
                </a:cubicBezTo>
                <a:close/>
                <a:moveTo>
                  <a:pt x="6485408" y="4302069"/>
                </a:moveTo>
                <a:cubicBezTo>
                  <a:pt x="6467621" y="4302069"/>
                  <a:pt x="6453191" y="4288792"/>
                  <a:pt x="6453191" y="4272417"/>
                </a:cubicBezTo>
                <a:cubicBezTo>
                  <a:pt x="6453191" y="4256042"/>
                  <a:pt x="6467621" y="4242765"/>
                  <a:pt x="6485408" y="4242765"/>
                </a:cubicBezTo>
                <a:cubicBezTo>
                  <a:pt x="6503195" y="4242765"/>
                  <a:pt x="6517612" y="4256042"/>
                  <a:pt x="6517612" y="4272417"/>
                </a:cubicBezTo>
                <a:cubicBezTo>
                  <a:pt x="6517612" y="4288792"/>
                  <a:pt x="6503195" y="4302069"/>
                  <a:pt x="6485408" y="4302069"/>
                </a:cubicBezTo>
                <a:close/>
                <a:moveTo>
                  <a:pt x="6563942" y="4302069"/>
                </a:moveTo>
                <a:cubicBezTo>
                  <a:pt x="6546155" y="4302069"/>
                  <a:pt x="6531726" y="4288792"/>
                  <a:pt x="6531726" y="4272417"/>
                </a:cubicBezTo>
                <a:cubicBezTo>
                  <a:pt x="6531726" y="4256042"/>
                  <a:pt x="6546155" y="4242765"/>
                  <a:pt x="6563942" y="4242765"/>
                </a:cubicBezTo>
                <a:cubicBezTo>
                  <a:pt x="6581729" y="4242765"/>
                  <a:pt x="6596146" y="4256042"/>
                  <a:pt x="6596146" y="4272417"/>
                </a:cubicBezTo>
                <a:cubicBezTo>
                  <a:pt x="6596146" y="4288792"/>
                  <a:pt x="6581729" y="4302069"/>
                  <a:pt x="6563942" y="4302069"/>
                </a:cubicBezTo>
                <a:close/>
                <a:moveTo>
                  <a:pt x="6642476" y="4302069"/>
                </a:moveTo>
                <a:cubicBezTo>
                  <a:pt x="6624689" y="4302069"/>
                  <a:pt x="6610260" y="4288792"/>
                  <a:pt x="6610260" y="4272417"/>
                </a:cubicBezTo>
                <a:cubicBezTo>
                  <a:pt x="6610260" y="4256042"/>
                  <a:pt x="6624689" y="4242765"/>
                  <a:pt x="6642476" y="4242765"/>
                </a:cubicBezTo>
                <a:cubicBezTo>
                  <a:pt x="6660264" y="4242765"/>
                  <a:pt x="6674681" y="4256042"/>
                  <a:pt x="6674681" y="4272417"/>
                </a:cubicBezTo>
                <a:cubicBezTo>
                  <a:pt x="6674681" y="4288792"/>
                  <a:pt x="6660264" y="4302069"/>
                  <a:pt x="6642476" y="4302069"/>
                </a:cubicBezTo>
                <a:close/>
                <a:moveTo>
                  <a:pt x="6721010" y="4302069"/>
                </a:moveTo>
                <a:cubicBezTo>
                  <a:pt x="6703222" y="4302069"/>
                  <a:pt x="6688793" y="4288792"/>
                  <a:pt x="6688793" y="4272417"/>
                </a:cubicBezTo>
                <a:cubicBezTo>
                  <a:pt x="6688793" y="4256042"/>
                  <a:pt x="6703222" y="4242765"/>
                  <a:pt x="6721010" y="4242765"/>
                </a:cubicBezTo>
                <a:cubicBezTo>
                  <a:pt x="6738797" y="4242765"/>
                  <a:pt x="6753214" y="4256042"/>
                  <a:pt x="6753214" y="4272417"/>
                </a:cubicBezTo>
                <a:cubicBezTo>
                  <a:pt x="6753214" y="4288792"/>
                  <a:pt x="6738797" y="4302069"/>
                  <a:pt x="6721010" y="4302069"/>
                </a:cubicBezTo>
                <a:close/>
                <a:moveTo>
                  <a:pt x="6799544" y="4302069"/>
                </a:moveTo>
                <a:cubicBezTo>
                  <a:pt x="6781757" y="4302069"/>
                  <a:pt x="6767327" y="4288792"/>
                  <a:pt x="6767327" y="4272417"/>
                </a:cubicBezTo>
                <a:cubicBezTo>
                  <a:pt x="6767327" y="4256042"/>
                  <a:pt x="6781757" y="4242765"/>
                  <a:pt x="6799544" y="4242765"/>
                </a:cubicBezTo>
                <a:cubicBezTo>
                  <a:pt x="6817331" y="4242765"/>
                  <a:pt x="6831748" y="4256042"/>
                  <a:pt x="6831748" y="4272417"/>
                </a:cubicBezTo>
                <a:cubicBezTo>
                  <a:pt x="6831748" y="4288792"/>
                  <a:pt x="6817331" y="4302069"/>
                  <a:pt x="6799544" y="4302069"/>
                </a:cubicBezTo>
                <a:close/>
                <a:moveTo>
                  <a:pt x="6878077" y="4302069"/>
                </a:moveTo>
                <a:cubicBezTo>
                  <a:pt x="6860290" y="4302069"/>
                  <a:pt x="6845861" y="4288792"/>
                  <a:pt x="6845861" y="4272417"/>
                </a:cubicBezTo>
                <a:cubicBezTo>
                  <a:pt x="6845861" y="4256042"/>
                  <a:pt x="6860290" y="4242765"/>
                  <a:pt x="6878077" y="4242765"/>
                </a:cubicBezTo>
                <a:cubicBezTo>
                  <a:pt x="6895864" y="4242765"/>
                  <a:pt x="6910281" y="4256042"/>
                  <a:pt x="6910281" y="4272417"/>
                </a:cubicBezTo>
                <a:cubicBezTo>
                  <a:pt x="6910281" y="4288792"/>
                  <a:pt x="6895864" y="4302069"/>
                  <a:pt x="6878077" y="4302069"/>
                </a:cubicBezTo>
                <a:close/>
                <a:moveTo>
                  <a:pt x="6956611" y="4302069"/>
                </a:moveTo>
                <a:cubicBezTo>
                  <a:pt x="6938824" y="4302069"/>
                  <a:pt x="6924395" y="4288792"/>
                  <a:pt x="6924395" y="4272417"/>
                </a:cubicBezTo>
                <a:cubicBezTo>
                  <a:pt x="6924395" y="4256042"/>
                  <a:pt x="6938824" y="4242765"/>
                  <a:pt x="6956611" y="4242765"/>
                </a:cubicBezTo>
                <a:cubicBezTo>
                  <a:pt x="6974399" y="4242765"/>
                  <a:pt x="6988816" y="4256042"/>
                  <a:pt x="6988816" y="4272417"/>
                </a:cubicBezTo>
                <a:cubicBezTo>
                  <a:pt x="6988816" y="4288792"/>
                  <a:pt x="6974399" y="4302069"/>
                  <a:pt x="6956611" y="4302069"/>
                </a:cubicBezTo>
                <a:close/>
                <a:moveTo>
                  <a:pt x="7035146" y="4302069"/>
                </a:moveTo>
                <a:cubicBezTo>
                  <a:pt x="7017358" y="4302069"/>
                  <a:pt x="7002929" y="4288792"/>
                  <a:pt x="7002929" y="4272417"/>
                </a:cubicBezTo>
                <a:cubicBezTo>
                  <a:pt x="7002929" y="4256042"/>
                  <a:pt x="7017358" y="4242765"/>
                  <a:pt x="7035146" y="4242765"/>
                </a:cubicBezTo>
                <a:cubicBezTo>
                  <a:pt x="7052933" y="4242765"/>
                  <a:pt x="7067350" y="4256042"/>
                  <a:pt x="7067350" y="4272417"/>
                </a:cubicBezTo>
                <a:cubicBezTo>
                  <a:pt x="7067350" y="4288792"/>
                  <a:pt x="7052933" y="4302069"/>
                  <a:pt x="7035146" y="4302069"/>
                </a:cubicBezTo>
                <a:close/>
                <a:moveTo>
                  <a:pt x="7113703" y="4302069"/>
                </a:moveTo>
                <a:cubicBezTo>
                  <a:pt x="7095916" y="4302069"/>
                  <a:pt x="7081487" y="4288792"/>
                  <a:pt x="7081487" y="4272417"/>
                </a:cubicBezTo>
                <a:cubicBezTo>
                  <a:pt x="7081487" y="4256042"/>
                  <a:pt x="7095916" y="4242765"/>
                  <a:pt x="7113703" y="4242765"/>
                </a:cubicBezTo>
                <a:cubicBezTo>
                  <a:pt x="7131490" y="4242765"/>
                  <a:pt x="7145907" y="4256042"/>
                  <a:pt x="7145907" y="4272417"/>
                </a:cubicBezTo>
                <a:cubicBezTo>
                  <a:pt x="7145907" y="4288792"/>
                  <a:pt x="7131490" y="4302069"/>
                  <a:pt x="7113703" y="4302069"/>
                </a:cubicBezTo>
                <a:close/>
                <a:moveTo>
                  <a:pt x="7192237" y="4302069"/>
                </a:moveTo>
                <a:cubicBezTo>
                  <a:pt x="7174450" y="4302069"/>
                  <a:pt x="7160021" y="4288792"/>
                  <a:pt x="7160021" y="4272417"/>
                </a:cubicBezTo>
                <a:cubicBezTo>
                  <a:pt x="7160021" y="4256042"/>
                  <a:pt x="7174450" y="4242765"/>
                  <a:pt x="7192237" y="4242765"/>
                </a:cubicBezTo>
                <a:cubicBezTo>
                  <a:pt x="7210024" y="4242765"/>
                  <a:pt x="7224441" y="4256042"/>
                  <a:pt x="7224441" y="4272417"/>
                </a:cubicBezTo>
                <a:cubicBezTo>
                  <a:pt x="7224441" y="4288792"/>
                  <a:pt x="7210024" y="4302069"/>
                  <a:pt x="7192237" y="4302069"/>
                </a:cubicBezTo>
                <a:close/>
                <a:moveTo>
                  <a:pt x="7270771" y="4302069"/>
                </a:moveTo>
                <a:cubicBezTo>
                  <a:pt x="7252984" y="4302069"/>
                  <a:pt x="7238555" y="4288792"/>
                  <a:pt x="7238555" y="4272417"/>
                </a:cubicBezTo>
                <a:cubicBezTo>
                  <a:pt x="7238555" y="4256042"/>
                  <a:pt x="7252984" y="4242765"/>
                  <a:pt x="7270771" y="4242765"/>
                </a:cubicBezTo>
                <a:cubicBezTo>
                  <a:pt x="7288559" y="4242765"/>
                  <a:pt x="7302976" y="4256042"/>
                  <a:pt x="7302976" y="4272417"/>
                </a:cubicBezTo>
                <a:cubicBezTo>
                  <a:pt x="7302976" y="4288792"/>
                  <a:pt x="7288559" y="4302069"/>
                  <a:pt x="7270771" y="4302069"/>
                </a:cubicBezTo>
                <a:close/>
                <a:moveTo>
                  <a:pt x="7349305" y="4302069"/>
                </a:moveTo>
                <a:cubicBezTo>
                  <a:pt x="7331517" y="4302069"/>
                  <a:pt x="7317088" y="4288792"/>
                  <a:pt x="7317088" y="4272417"/>
                </a:cubicBezTo>
                <a:cubicBezTo>
                  <a:pt x="7317088" y="4256042"/>
                  <a:pt x="7331517" y="4242765"/>
                  <a:pt x="7349305" y="4242765"/>
                </a:cubicBezTo>
                <a:cubicBezTo>
                  <a:pt x="7367092" y="4242765"/>
                  <a:pt x="7381509" y="4256042"/>
                  <a:pt x="7381509" y="4272417"/>
                </a:cubicBezTo>
                <a:cubicBezTo>
                  <a:pt x="7381509" y="4288792"/>
                  <a:pt x="7367092" y="4302069"/>
                  <a:pt x="7349305" y="4302069"/>
                </a:cubicBezTo>
                <a:close/>
                <a:moveTo>
                  <a:pt x="7427839" y="4302069"/>
                </a:moveTo>
                <a:cubicBezTo>
                  <a:pt x="7410052" y="4302069"/>
                  <a:pt x="7395623" y="4288792"/>
                  <a:pt x="7395623" y="4272417"/>
                </a:cubicBezTo>
                <a:cubicBezTo>
                  <a:pt x="7395623" y="4256042"/>
                  <a:pt x="7410052" y="4242765"/>
                  <a:pt x="7427839" y="4242765"/>
                </a:cubicBezTo>
                <a:cubicBezTo>
                  <a:pt x="7445626" y="4242765"/>
                  <a:pt x="7460043" y="4256042"/>
                  <a:pt x="7460043" y="4272417"/>
                </a:cubicBezTo>
                <a:cubicBezTo>
                  <a:pt x="7460043" y="4288792"/>
                  <a:pt x="7445626" y="4302069"/>
                  <a:pt x="7427839" y="4302069"/>
                </a:cubicBezTo>
                <a:close/>
                <a:moveTo>
                  <a:pt x="7506373" y="4302069"/>
                </a:moveTo>
                <a:cubicBezTo>
                  <a:pt x="7488586" y="4302069"/>
                  <a:pt x="7474157" y="4288792"/>
                  <a:pt x="7474157" y="4272417"/>
                </a:cubicBezTo>
                <a:cubicBezTo>
                  <a:pt x="7474157" y="4256042"/>
                  <a:pt x="7488586" y="4242765"/>
                  <a:pt x="7506373" y="4242765"/>
                </a:cubicBezTo>
                <a:cubicBezTo>
                  <a:pt x="7524160" y="4242765"/>
                  <a:pt x="7538577" y="4256042"/>
                  <a:pt x="7538577" y="4272417"/>
                </a:cubicBezTo>
                <a:cubicBezTo>
                  <a:pt x="7538577" y="4288792"/>
                  <a:pt x="7524160" y="4302069"/>
                  <a:pt x="7506373" y="4302069"/>
                </a:cubicBezTo>
                <a:close/>
                <a:moveTo>
                  <a:pt x="7584906" y="4302069"/>
                </a:moveTo>
                <a:cubicBezTo>
                  <a:pt x="7567119" y="4302069"/>
                  <a:pt x="7552690" y="4288792"/>
                  <a:pt x="7552690" y="4272417"/>
                </a:cubicBezTo>
                <a:cubicBezTo>
                  <a:pt x="7552690" y="4256042"/>
                  <a:pt x="7567119" y="4242765"/>
                  <a:pt x="7584906" y="4242765"/>
                </a:cubicBezTo>
                <a:cubicBezTo>
                  <a:pt x="7602694" y="4242765"/>
                  <a:pt x="7617111" y="4256042"/>
                  <a:pt x="7617111" y="4272417"/>
                </a:cubicBezTo>
                <a:cubicBezTo>
                  <a:pt x="7617111" y="4288792"/>
                  <a:pt x="7602694" y="4302069"/>
                  <a:pt x="7584906" y="4302069"/>
                </a:cubicBezTo>
                <a:close/>
                <a:moveTo>
                  <a:pt x="7663441" y="4302069"/>
                </a:moveTo>
                <a:cubicBezTo>
                  <a:pt x="7645653" y="4302069"/>
                  <a:pt x="7631224" y="4288792"/>
                  <a:pt x="7631224" y="4272417"/>
                </a:cubicBezTo>
                <a:cubicBezTo>
                  <a:pt x="7631224" y="4256042"/>
                  <a:pt x="7645653" y="4242765"/>
                  <a:pt x="7663441" y="4242765"/>
                </a:cubicBezTo>
                <a:cubicBezTo>
                  <a:pt x="7681228" y="4242765"/>
                  <a:pt x="7695645" y="4256042"/>
                  <a:pt x="7695645" y="4272417"/>
                </a:cubicBezTo>
                <a:cubicBezTo>
                  <a:pt x="7695645" y="4288792"/>
                  <a:pt x="7681228" y="4302069"/>
                  <a:pt x="7663441" y="4302069"/>
                </a:cubicBezTo>
                <a:close/>
                <a:moveTo>
                  <a:pt x="7741974" y="4302069"/>
                </a:moveTo>
                <a:cubicBezTo>
                  <a:pt x="7724187" y="4302069"/>
                  <a:pt x="7709758" y="4288792"/>
                  <a:pt x="7709758" y="4272417"/>
                </a:cubicBezTo>
                <a:cubicBezTo>
                  <a:pt x="7709758" y="4256042"/>
                  <a:pt x="7724187" y="4242765"/>
                  <a:pt x="7741974" y="4242765"/>
                </a:cubicBezTo>
                <a:cubicBezTo>
                  <a:pt x="7759761" y="4242765"/>
                  <a:pt x="7774178" y="4256042"/>
                  <a:pt x="7774178" y="4272417"/>
                </a:cubicBezTo>
                <a:cubicBezTo>
                  <a:pt x="7774178" y="4288792"/>
                  <a:pt x="7759761" y="4302069"/>
                  <a:pt x="7741974" y="4302069"/>
                </a:cubicBezTo>
                <a:close/>
                <a:moveTo>
                  <a:pt x="7820508" y="4302069"/>
                </a:moveTo>
                <a:cubicBezTo>
                  <a:pt x="7802721" y="4302069"/>
                  <a:pt x="7788292" y="4288792"/>
                  <a:pt x="7788292" y="4272417"/>
                </a:cubicBezTo>
                <a:cubicBezTo>
                  <a:pt x="7788292" y="4256042"/>
                  <a:pt x="7802721" y="4242765"/>
                  <a:pt x="7820508" y="4242765"/>
                </a:cubicBezTo>
                <a:cubicBezTo>
                  <a:pt x="7838295" y="4242765"/>
                  <a:pt x="7852712" y="4256042"/>
                  <a:pt x="7852712" y="4272417"/>
                </a:cubicBezTo>
                <a:cubicBezTo>
                  <a:pt x="7852712" y="4288792"/>
                  <a:pt x="7838295" y="4302069"/>
                  <a:pt x="7820508" y="4302069"/>
                </a:cubicBezTo>
                <a:close/>
                <a:moveTo>
                  <a:pt x="7899042" y="4302069"/>
                </a:moveTo>
                <a:cubicBezTo>
                  <a:pt x="7881255" y="4302069"/>
                  <a:pt x="7866826" y="4288792"/>
                  <a:pt x="7866826" y="4272417"/>
                </a:cubicBezTo>
                <a:cubicBezTo>
                  <a:pt x="7866826" y="4256042"/>
                  <a:pt x="7881255" y="4242765"/>
                  <a:pt x="7899042" y="4242765"/>
                </a:cubicBezTo>
                <a:cubicBezTo>
                  <a:pt x="7916830" y="4242765"/>
                  <a:pt x="7931247" y="4256042"/>
                  <a:pt x="7931247" y="4272417"/>
                </a:cubicBezTo>
                <a:cubicBezTo>
                  <a:pt x="7931247" y="4288792"/>
                  <a:pt x="7916830" y="4302069"/>
                  <a:pt x="7899042" y="4302069"/>
                </a:cubicBezTo>
                <a:close/>
                <a:moveTo>
                  <a:pt x="7977576" y="4302069"/>
                </a:moveTo>
                <a:cubicBezTo>
                  <a:pt x="7959788" y="4302069"/>
                  <a:pt x="7945359" y="4288792"/>
                  <a:pt x="7945359" y="4272417"/>
                </a:cubicBezTo>
                <a:cubicBezTo>
                  <a:pt x="7945359" y="4256042"/>
                  <a:pt x="7959788" y="4242765"/>
                  <a:pt x="7977576" y="4242765"/>
                </a:cubicBezTo>
                <a:cubicBezTo>
                  <a:pt x="7995363" y="4242765"/>
                  <a:pt x="8009780" y="4256042"/>
                  <a:pt x="8009780" y="4272417"/>
                </a:cubicBezTo>
                <a:cubicBezTo>
                  <a:pt x="8009780" y="4288792"/>
                  <a:pt x="7995363" y="4302069"/>
                  <a:pt x="7977576" y="4302069"/>
                </a:cubicBezTo>
                <a:close/>
                <a:moveTo>
                  <a:pt x="8056110" y="4302069"/>
                </a:moveTo>
                <a:cubicBezTo>
                  <a:pt x="8038323" y="4302069"/>
                  <a:pt x="8023894" y="4288792"/>
                  <a:pt x="8023894" y="4272417"/>
                </a:cubicBezTo>
                <a:cubicBezTo>
                  <a:pt x="8023894" y="4256042"/>
                  <a:pt x="8038323" y="4242765"/>
                  <a:pt x="8056110" y="4242765"/>
                </a:cubicBezTo>
                <a:cubicBezTo>
                  <a:pt x="8073897" y="4242765"/>
                  <a:pt x="8088314" y="4256042"/>
                  <a:pt x="8088314" y="4272417"/>
                </a:cubicBezTo>
                <a:cubicBezTo>
                  <a:pt x="8088314" y="4288792"/>
                  <a:pt x="8073897" y="4302069"/>
                  <a:pt x="8056110" y="4302069"/>
                </a:cubicBezTo>
                <a:close/>
                <a:moveTo>
                  <a:pt x="8134643" y="4302069"/>
                </a:moveTo>
                <a:cubicBezTo>
                  <a:pt x="8116856" y="4302069"/>
                  <a:pt x="8102427" y="4288792"/>
                  <a:pt x="8102427" y="4272417"/>
                </a:cubicBezTo>
                <a:cubicBezTo>
                  <a:pt x="8102427" y="4256042"/>
                  <a:pt x="8116856" y="4242765"/>
                  <a:pt x="8134643" y="4242765"/>
                </a:cubicBezTo>
                <a:cubicBezTo>
                  <a:pt x="8152430" y="4242765"/>
                  <a:pt x="8166847" y="4256042"/>
                  <a:pt x="8166847" y="4272417"/>
                </a:cubicBezTo>
                <a:cubicBezTo>
                  <a:pt x="8166847" y="4288792"/>
                  <a:pt x="8152430" y="4302069"/>
                  <a:pt x="8134643" y="4302069"/>
                </a:cubicBezTo>
                <a:close/>
                <a:moveTo>
                  <a:pt x="8213177" y="4302069"/>
                </a:moveTo>
                <a:cubicBezTo>
                  <a:pt x="8195390" y="4302069"/>
                  <a:pt x="8180961" y="4288792"/>
                  <a:pt x="8180961" y="4272417"/>
                </a:cubicBezTo>
                <a:cubicBezTo>
                  <a:pt x="8180961" y="4256042"/>
                  <a:pt x="8195390" y="4242765"/>
                  <a:pt x="8213177" y="4242765"/>
                </a:cubicBezTo>
                <a:cubicBezTo>
                  <a:pt x="8230965" y="4242765"/>
                  <a:pt x="8245382" y="4256042"/>
                  <a:pt x="8245382" y="4272417"/>
                </a:cubicBezTo>
                <a:cubicBezTo>
                  <a:pt x="8245382" y="4288792"/>
                  <a:pt x="8230965" y="4302069"/>
                  <a:pt x="8213177" y="4302069"/>
                </a:cubicBezTo>
                <a:close/>
                <a:moveTo>
                  <a:pt x="8291712" y="4302069"/>
                </a:moveTo>
                <a:cubicBezTo>
                  <a:pt x="8273924" y="4302069"/>
                  <a:pt x="8259495" y="4288792"/>
                  <a:pt x="8259495" y="4272417"/>
                </a:cubicBezTo>
                <a:cubicBezTo>
                  <a:pt x="8259495" y="4256042"/>
                  <a:pt x="8273924" y="4242765"/>
                  <a:pt x="8291712" y="4242765"/>
                </a:cubicBezTo>
                <a:cubicBezTo>
                  <a:pt x="8309499" y="4242765"/>
                  <a:pt x="8323916" y="4256042"/>
                  <a:pt x="8323916" y="4272417"/>
                </a:cubicBezTo>
                <a:cubicBezTo>
                  <a:pt x="8323916" y="4288792"/>
                  <a:pt x="8309499" y="4302069"/>
                  <a:pt x="8291712" y="4302069"/>
                </a:cubicBezTo>
                <a:close/>
                <a:moveTo>
                  <a:pt x="8370245" y="4302069"/>
                </a:moveTo>
                <a:cubicBezTo>
                  <a:pt x="8352458" y="4302069"/>
                  <a:pt x="8338029" y="4288792"/>
                  <a:pt x="8338029" y="4272417"/>
                </a:cubicBezTo>
                <a:cubicBezTo>
                  <a:pt x="8338029" y="4256042"/>
                  <a:pt x="8352458" y="4242765"/>
                  <a:pt x="8370245" y="4242765"/>
                </a:cubicBezTo>
                <a:cubicBezTo>
                  <a:pt x="8388032" y="4242765"/>
                  <a:pt x="8402449" y="4256042"/>
                  <a:pt x="8402449" y="4272417"/>
                </a:cubicBezTo>
                <a:cubicBezTo>
                  <a:pt x="8402449" y="4288792"/>
                  <a:pt x="8388032" y="4302069"/>
                  <a:pt x="8370245" y="4302069"/>
                </a:cubicBezTo>
                <a:close/>
                <a:moveTo>
                  <a:pt x="8448779" y="4302069"/>
                </a:moveTo>
                <a:cubicBezTo>
                  <a:pt x="8430992" y="4302069"/>
                  <a:pt x="8416563" y="4288792"/>
                  <a:pt x="8416563" y="4272417"/>
                </a:cubicBezTo>
                <a:cubicBezTo>
                  <a:pt x="8416563" y="4256042"/>
                  <a:pt x="8430992" y="4242765"/>
                  <a:pt x="8448779" y="4242765"/>
                </a:cubicBezTo>
                <a:cubicBezTo>
                  <a:pt x="8466566" y="4242765"/>
                  <a:pt x="8480983" y="4256042"/>
                  <a:pt x="8480983" y="4272417"/>
                </a:cubicBezTo>
                <a:cubicBezTo>
                  <a:pt x="8480983" y="4288792"/>
                  <a:pt x="8466566" y="4302069"/>
                  <a:pt x="8448779" y="4302069"/>
                </a:cubicBezTo>
                <a:close/>
                <a:moveTo>
                  <a:pt x="8527313" y="4302069"/>
                </a:moveTo>
                <a:cubicBezTo>
                  <a:pt x="8509526" y="4302069"/>
                  <a:pt x="8495097" y="4288792"/>
                  <a:pt x="8495097" y="4272417"/>
                </a:cubicBezTo>
                <a:cubicBezTo>
                  <a:pt x="8495097" y="4256042"/>
                  <a:pt x="8509526" y="4242765"/>
                  <a:pt x="8527313" y="4242765"/>
                </a:cubicBezTo>
                <a:cubicBezTo>
                  <a:pt x="8545101" y="4242765"/>
                  <a:pt x="8559518" y="4256042"/>
                  <a:pt x="8559518" y="4272417"/>
                </a:cubicBezTo>
                <a:cubicBezTo>
                  <a:pt x="8559518" y="4288792"/>
                  <a:pt x="8545101" y="4302069"/>
                  <a:pt x="8527313" y="4302069"/>
                </a:cubicBezTo>
                <a:close/>
                <a:moveTo>
                  <a:pt x="8605847" y="4302069"/>
                </a:moveTo>
                <a:cubicBezTo>
                  <a:pt x="8588059" y="4302069"/>
                  <a:pt x="8573630" y="4288792"/>
                  <a:pt x="8573630" y="4272417"/>
                </a:cubicBezTo>
                <a:cubicBezTo>
                  <a:pt x="8573630" y="4256042"/>
                  <a:pt x="8588059" y="4242765"/>
                  <a:pt x="8605847" y="4242765"/>
                </a:cubicBezTo>
                <a:cubicBezTo>
                  <a:pt x="8623634" y="4242765"/>
                  <a:pt x="8638051" y="4256042"/>
                  <a:pt x="8638051" y="4272417"/>
                </a:cubicBezTo>
                <a:cubicBezTo>
                  <a:pt x="8638051" y="4288792"/>
                  <a:pt x="8623634" y="4302069"/>
                  <a:pt x="8605847" y="4302069"/>
                </a:cubicBezTo>
                <a:close/>
                <a:moveTo>
                  <a:pt x="8841448" y="4302069"/>
                </a:moveTo>
                <a:cubicBezTo>
                  <a:pt x="8823661" y="4302069"/>
                  <a:pt x="8809232" y="4288792"/>
                  <a:pt x="8809232" y="4272417"/>
                </a:cubicBezTo>
                <a:cubicBezTo>
                  <a:pt x="8809232" y="4256042"/>
                  <a:pt x="8823661" y="4242765"/>
                  <a:pt x="8841448" y="4242765"/>
                </a:cubicBezTo>
                <a:cubicBezTo>
                  <a:pt x="8859236" y="4242765"/>
                  <a:pt x="8873653" y="4256042"/>
                  <a:pt x="8873653" y="4272417"/>
                </a:cubicBezTo>
                <a:cubicBezTo>
                  <a:pt x="8873653" y="4288792"/>
                  <a:pt x="8859236" y="4302069"/>
                  <a:pt x="8841448" y="4302069"/>
                </a:cubicBezTo>
                <a:close/>
                <a:moveTo>
                  <a:pt x="8919983" y="4302069"/>
                </a:moveTo>
                <a:cubicBezTo>
                  <a:pt x="8902195" y="4302069"/>
                  <a:pt x="8887766" y="4288792"/>
                  <a:pt x="8887766" y="4272417"/>
                </a:cubicBezTo>
                <a:cubicBezTo>
                  <a:pt x="8887766" y="4256042"/>
                  <a:pt x="8902195" y="4242765"/>
                  <a:pt x="8919983" y="4242765"/>
                </a:cubicBezTo>
                <a:cubicBezTo>
                  <a:pt x="8937770" y="4242765"/>
                  <a:pt x="8952187" y="4256042"/>
                  <a:pt x="8952187" y="4272417"/>
                </a:cubicBezTo>
                <a:cubicBezTo>
                  <a:pt x="8952187" y="4288792"/>
                  <a:pt x="8937770" y="4302069"/>
                  <a:pt x="8919983" y="4302069"/>
                </a:cubicBezTo>
                <a:close/>
                <a:moveTo>
                  <a:pt x="8998516" y="4302069"/>
                </a:moveTo>
                <a:cubicBezTo>
                  <a:pt x="8980729" y="4302069"/>
                  <a:pt x="8966300" y="4288792"/>
                  <a:pt x="8966300" y="4272417"/>
                </a:cubicBezTo>
                <a:cubicBezTo>
                  <a:pt x="8966300" y="4256042"/>
                  <a:pt x="8980729" y="4242765"/>
                  <a:pt x="8998516" y="4242765"/>
                </a:cubicBezTo>
                <a:cubicBezTo>
                  <a:pt x="9016303" y="4242765"/>
                  <a:pt x="9030720" y="4256042"/>
                  <a:pt x="9030720" y="4272417"/>
                </a:cubicBezTo>
                <a:cubicBezTo>
                  <a:pt x="9030720" y="4288792"/>
                  <a:pt x="9016303" y="4302069"/>
                  <a:pt x="8998516" y="4302069"/>
                </a:cubicBezTo>
                <a:close/>
                <a:moveTo>
                  <a:pt x="9077050" y="4302069"/>
                </a:moveTo>
                <a:cubicBezTo>
                  <a:pt x="9059263" y="4302069"/>
                  <a:pt x="9044834" y="4288792"/>
                  <a:pt x="9044834" y="4272417"/>
                </a:cubicBezTo>
                <a:cubicBezTo>
                  <a:pt x="9044834" y="4256042"/>
                  <a:pt x="9059263" y="4242765"/>
                  <a:pt x="9077050" y="4242765"/>
                </a:cubicBezTo>
                <a:cubicBezTo>
                  <a:pt x="9094837" y="4242765"/>
                  <a:pt x="9109254" y="4256042"/>
                  <a:pt x="9109254" y="4272417"/>
                </a:cubicBezTo>
                <a:cubicBezTo>
                  <a:pt x="9109254" y="4288792"/>
                  <a:pt x="9094837" y="4302069"/>
                  <a:pt x="9077050" y="4302069"/>
                </a:cubicBezTo>
                <a:close/>
                <a:moveTo>
                  <a:pt x="9155583" y="4302069"/>
                </a:moveTo>
                <a:cubicBezTo>
                  <a:pt x="9137796" y="4302069"/>
                  <a:pt x="9123367" y="4288792"/>
                  <a:pt x="9123367" y="4272417"/>
                </a:cubicBezTo>
                <a:cubicBezTo>
                  <a:pt x="9123367" y="4256042"/>
                  <a:pt x="9137796" y="4242765"/>
                  <a:pt x="9155583" y="4242765"/>
                </a:cubicBezTo>
                <a:cubicBezTo>
                  <a:pt x="9173371" y="4242765"/>
                  <a:pt x="9187788" y="4256042"/>
                  <a:pt x="9187788" y="4272417"/>
                </a:cubicBezTo>
                <a:cubicBezTo>
                  <a:pt x="9187788" y="4288792"/>
                  <a:pt x="9173371" y="4302069"/>
                  <a:pt x="9155583" y="4302069"/>
                </a:cubicBezTo>
                <a:close/>
                <a:moveTo>
                  <a:pt x="9234118" y="4302069"/>
                </a:moveTo>
                <a:cubicBezTo>
                  <a:pt x="9216330" y="4302069"/>
                  <a:pt x="9201901" y="4288792"/>
                  <a:pt x="9201901" y="4272417"/>
                </a:cubicBezTo>
                <a:cubicBezTo>
                  <a:pt x="9201901" y="4256042"/>
                  <a:pt x="9216330" y="4242765"/>
                  <a:pt x="9234118" y="4242765"/>
                </a:cubicBezTo>
                <a:cubicBezTo>
                  <a:pt x="9251905" y="4242765"/>
                  <a:pt x="9266322" y="4256042"/>
                  <a:pt x="9266322" y="4272417"/>
                </a:cubicBezTo>
                <a:cubicBezTo>
                  <a:pt x="9266322" y="4288792"/>
                  <a:pt x="9251905" y="4302069"/>
                  <a:pt x="9234118" y="4302069"/>
                </a:cubicBezTo>
                <a:close/>
                <a:moveTo>
                  <a:pt x="9312652" y="4302069"/>
                </a:moveTo>
                <a:cubicBezTo>
                  <a:pt x="9294865" y="4302069"/>
                  <a:pt x="9280436" y="4288792"/>
                  <a:pt x="9280436" y="4272417"/>
                </a:cubicBezTo>
                <a:cubicBezTo>
                  <a:pt x="9280436" y="4256042"/>
                  <a:pt x="9294865" y="4242765"/>
                  <a:pt x="9312652" y="4242765"/>
                </a:cubicBezTo>
                <a:cubicBezTo>
                  <a:pt x="9330439" y="4242765"/>
                  <a:pt x="9344856" y="4256042"/>
                  <a:pt x="9344856" y="4272417"/>
                </a:cubicBezTo>
                <a:cubicBezTo>
                  <a:pt x="9344856" y="4288792"/>
                  <a:pt x="9330439" y="4302069"/>
                  <a:pt x="9312652" y="4302069"/>
                </a:cubicBezTo>
                <a:close/>
                <a:moveTo>
                  <a:pt x="9391185" y="4302069"/>
                </a:moveTo>
                <a:cubicBezTo>
                  <a:pt x="9373398" y="4302069"/>
                  <a:pt x="9358969" y="4288792"/>
                  <a:pt x="9358969" y="4272417"/>
                </a:cubicBezTo>
                <a:cubicBezTo>
                  <a:pt x="9358969" y="4256042"/>
                  <a:pt x="9373398" y="4242765"/>
                  <a:pt x="9391185" y="4242765"/>
                </a:cubicBezTo>
                <a:cubicBezTo>
                  <a:pt x="9408972" y="4242765"/>
                  <a:pt x="9423389" y="4256042"/>
                  <a:pt x="9423389" y="4272417"/>
                </a:cubicBezTo>
                <a:cubicBezTo>
                  <a:pt x="9423389" y="4288792"/>
                  <a:pt x="9408972" y="4302069"/>
                  <a:pt x="9391185" y="4302069"/>
                </a:cubicBezTo>
                <a:close/>
                <a:moveTo>
                  <a:pt x="9469719" y="4302069"/>
                </a:moveTo>
                <a:cubicBezTo>
                  <a:pt x="9451932" y="4302069"/>
                  <a:pt x="9437503" y="4288792"/>
                  <a:pt x="9437503" y="4272417"/>
                </a:cubicBezTo>
                <a:cubicBezTo>
                  <a:pt x="9437503" y="4256042"/>
                  <a:pt x="9451932" y="4242765"/>
                  <a:pt x="9469719" y="4242765"/>
                </a:cubicBezTo>
                <a:cubicBezTo>
                  <a:pt x="9487507" y="4242765"/>
                  <a:pt x="9501924" y="4256042"/>
                  <a:pt x="9501924" y="4272417"/>
                </a:cubicBezTo>
                <a:cubicBezTo>
                  <a:pt x="9501924" y="4288792"/>
                  <a:pt x="9487507" y="4302069"/>
                  <a:pt x="9469719" y="4302069"/>
                </a:cubicBezTo>
                <a:close/>
                <a:moveTo>
                  <a:pt x="9548254" y="4302069"/>
                </a:moveTo>
                <a:cubicBezTo>
                  <a:pt x="9530466" y="4302069"/>
                  <a:pt x="9516037" y="4288792"/>
                  <a:pt x="9516037" y="4272417"/>
                </a:cubicBezTo>
                <a:cubicBezTo>
                  <a:pt x="9516037" y="4256042"/>
                  <a:pt x="9530466" y="4242765"/>
                  <a:pt x="9548254" y="4242765"/>
                </a:cubicBezTo>
                <a:cubicBezTo>
                  <a:pt x="9566041" y="4242765"/>
                  <a:pt x="9580458" y="4256042"/>
                  <a:pt x="9580458" y="4272417"/>
                </a:cubicBezTo>
                <a:cubicBezTo>
                  <a:pt x="9580458" y="4288792"/>
                  <a:pt x="9566041" y="4302069"/>
                  <a:pt x="9548254" y="4302069"/>
                </a:cubicBezTo>
                <a:close/>
                <a:moveTo>
                  <a:pt x="9626787" y="4302069"/>
                </a:moveTo>
                <a:cubicBezTo>
                  <a:pt x="9609000" y="4302069"/>
                  <a:pt x="9594571" y="4288792"/>
                  <a:pt x="9594571" y="4272417"/>
                </a:cubicBezTo>
                <a:cubicBezTo>
                  <a:pt x="9594571" y="4256042"/>
                  <a:pt x="9609000" y="4242765"/>
                  <a:pt x="9626787" y="4242765"/>
                </a:cubicBezTo>
                <a:cubicBezTo>
                  <a:pt x="9644574" y="4242765"/>
                  <a:pt x="9658991" y="4256042"/>
                  <a:pt x="9658991" y="4272417"/>
                </a:cubicBezTo>
                <a:cubicBezTo>
                  <a:pt x="9658991" y="4288792"/>
                  <a:pt x="9644574" y="4302069"/>
                  <a:pt x="9626787" y="4302069"/>
                </a:cubicBezTo>
                <a:close/>
                <a:moveTo>
                  <a:pt x="9705321" y="4302069"/>
                </a:moveTo>
                <a:cubicBezTo>
                  <a:pt x="9687534" y="4302069"/>
                  <a:pt x="9673105" y="4288792"/>
                  <a:pt x="9673105" y="4272417"/>
                </a:cubicBezTo>
                <a:cubicBezTo>
                  <a:pt x="9673105" y="4256042"/>
                  <a:pt x="9687534" y="4242765"/>
                  <a:pt x="9705321" y="4242765"/>
                </a:cubicBezTo>
                <a:cubicBezTo>
                  <a:pt x="9723108" y="4242765"/>
                  <a:pt x="9737525" y="4256042"/>
                  <a:pt x="9737525" y="4272417"/>
                </a:cubicBezTo>
                <a:cubicBezTo>
                  <a:pt x="9737525" y="4288792"/>
                  <a:pt x="9723108" y="4302069"/>
                  <a:pt x="9705321" y="4302069"/>
                </a:cubicBezTo>
                <a:close/>
                <a:moveTo>
                  <a:pt x="9783854" y="4302069"/>
                </a:moveTo>
                <a:cubicBezTo>
                  <a:pt x="9766067" y="4302069"/>
                  <a:pt x="9751638" y="4288792"/>
                  <a:pt x="9751638" y="4272417"/>
                </a:cubicBezTo>
                <a:cubicBezTo>
                  <a:pt x="9751638" y="4256042"/>
                  <a:pt x="9766067" y="4242765"/>
                  <a:pt x="9783854" y="4242765"/>
                </a:cubicBezTo>
                <a:cubicBezTo>
                  <a:pt x="9801642" y="4242765"/>
                  <a:pt x="9816059" y="4256042"/>
                  <a:pt x="9816059" y="4272417"/>
                </a:cubicBezTo>
                <a:cubicBezTo>
                  <a:pt x="9816059" y="4288792"/>
                  <a:pt x="9801642" y="4302069"/>
                  <a:pt x="9783854" y="4302069"/>
                </a:cubicBezTo>
                <a:close/>
                <a:moveTo>
                  <a:pt x="10097990" y="4302069"/>
                </a:moveTo>
                <a:cubicBezTo>
                  <a:pt x="10080203" y="4302069"/>
                  <a:pt x="10065774" y="4288792"/>
                  <a:pt x="10065774" y="4272417"/>
                </a:cubicBezTo>
                <a:cubicBezTo>
                  <a:pt x="10065774" y="4256042"/>
                  <a:pt x="10080203" y="4242765"/>
                  <a:pt x="10097990" y="4242765"/>
                </a:cubicBezTo>
                <a:cubicBezTo>
                  <a:pt x="10115778" y="4242765"/>
                  <a:pt x="10130195" y="4256042"/>
                  <a:pt x="10130195" y="4272417"/>
                </a:cubicBezTo>
                <a:cubicBezTo>
                  <a:pt x="10130195" y="4288792"/>
                  <a:pt x="10115778" y="4302069"/>
                  <a:pt x="10097990" y="4302069"/>
                </a:cubicBezTo>
                <a:close/>
                <a:moveTo>
                  <a:pt x="2637243" y="4229803"/>
                </a:moveTo>
                <a:cubicBezTo>
                  <a:pt x="2619455" y="4229803"/>
                  <a:pt x="2605032" y="4216526"/>
                  <a:pt x="2605032" y="4200151"/>
                </a:cubicBezTo>
                <a:cubicBezTo>
                  <a:pt x="2605032" y="4183777"/>
                  <a:pt x="2619455" y="4170499"/>
                  <a:pt x="2637243" y="4170499"/>
                </a:cubicBezTo>
                <a:cubicBezTo>
                  <a:pt x="2655030" y="4170499"/>
                  <a:pt x="2669453" y="4183777"/>
                  <a:pt x="2669453" y="4200151"/>
                </a:cubicBezTo>
                <a:cubicBezTo>
                  <a:pt x="2669453" y="4216526"/>
                  <a:pt x="2655030" y="4229803"/>
                  <a:pt x="2637243" y="4229803"/>
                </a:cubicBezTo>
                <a:close/>
                <a:moveTo>
                  <a:pt x="2715777" y="4229803"/>
                </a:moveTo>
                <a:cubicBezTo>
                  <a:pt x="2697990" y="4229803"/>
                  <a:pt x="2683566" y="4216526"/>
                  <a:pt x="2683566" y="4200151"/>
                </a:cubicBezTo>
                <a:cubicBezTo>
                  <a:pt x="2683566" y="4183777"/>
                  <a:pt x="2697990" y="4170499"/>
                  <a:pt x="2715777" y="4170499"/>
                </a:cubicBezTo>
                <a:cubicBezTo>
                  <a:pt x="2733564" y="4170499"/>
                  <a:pt x="2747987" y="4183777"/>
                  <a:pt x="2747987" y="4200151"/>
                </a:cubicBezTo>
                <a:cubicBezTo>
                  <a:pt x="2747987" y="4216526"/>
                  <a:pt x="2733564" y="4229803"/>
                  <a:pt x="2715777" y="4229803"/>
                </a:cubicBezTo>
                <a:close/>
                <a:moveTo>
                  <a:pt x="2794310" y="4229803"/>
                </a:moveTo>
                <a:cubicBezTo>
                  <a:pt x="2776523" y="4229803"/>
                  <a:pt x="2762100" y="4216526"/>
                  <a:pt x="2762100" y="4200151"/>
                </a:cubicBezTo>
                <a:cubicBezTo>
                  <a:pt x="2762100" y="4183777"/>
                  <a:pt x="2776523" y="4170499"/>
                  <a:pt x="2794310" y="4170499"/>
                </a:cubicBezTo>
                <a:cubicBezTo>
                  <a:pt x="2812097" y="4170499"/>
                  <a:pt x="2826520" y="4183777"/>
                  <a:pt x="2826520" y="4200151"/>
                </a:cubicBezTo>
                <a:cubicBezTo>
                  <a:pt x="2826520" y="4216526"/>
                  <a:pt x="2812097" y="4229803"/>
                  <a:pt x="2794310" y="4229803"/>
                </a:cubicBezTo>
                <a:close/>
                <a:moveTo>
                  <a:pt x="2872844" y="4229803"/>
                </a:moveTo>
                <a:cubicBezTo>
                  <a:pt x="2855057" y="4229803"/>
                  <a:pt x="2840634" y="4216526"/>
                  <a:pt x="2840634" y="4200151"/>
                </a:cubicBezTo>
                <a:cubicBezTo>
                  <a:pt x="2840634" y="4183777"/>
                  <a:pt x="2855057" y="4170499"/>
                  <a:pt x="2872844" y="4170499"/>
                </a:cubicBezTo>
                <a:cubicBezTo>
                  <a:pt x="2890632" y="4170499"/>
                  <a:pt x="2905055" y="4183777"/>
                  <a:pt x="2905055" y="4200151"/>
                </a:cubicBezTo>
                <a:cubicBezTo>
                  <a:pt x="2905055" y="4216526"/>
                  <a:pt x="2890632" y="4229803"/>
                  <a:pt x="2872844" y="4229803"/>
                </a:cubicBezTo>
                <a:close/>
                <a:moveTo>
                  <a:pt x="2951379" y="4229803"/>
                </a:moveTo>
                <a:cubicBezTo>
                  <a:pt x="2933591" y="4229803"/>
                  <a:pt x="2919168" y="4216526"/>
                  <a:pt x="2919168" y="4200151"/>
                </a:cubicBezTo>
                <a:cubicBezTo>
                  <a:pt x="2919168" y="4183777"/>
                  <a:pt x="2933591" y="4170499"/>
                  <a:pt x="2951379" y="4170499"/>
                </a:cubicBezTo>
                <a:cubicBezTo>
                  <a:pt x="2969166" y="4170499"/>
                  <a:pt x="2983589" y="4183777"/>
                  <a:pt x="2983589" y="4200151"/>
                </a:cubicBezTo>
                <a:cubicBezTo>
                  <a:pt x="2983589" y="4216526"/>
                  <a:pt x="2969166" y="4229803"/>
                  <a:pt x="2951379" y="4229803"/>
                </a:cubicBezTo>
                <a:close/>
                <a:moveTo>
                  <a:pt x="3029912" y="4229803"/>
                </a:moveTo>
                <a:cubicBezTo>
                  <a:pt x="3012125" y="4229803"/>
                  <a:pt x="2997701" y="4216526"/>
                  <a:pt x="2997701" y="4200151"/>
                </a:cubicBezTo>
                <a:cubicBezTo>
                  <a:pt x="2997701" y="4183777"/>
                  <a:pt x="3012125" y="4170499"/>
                  <a:pt x="3029912" y="4170499"/>
                </a:cubicBezTo>
                <a:cubicBezTo>
                  <a:pt x="3047699" y="4170499"/>
                  <a:pt x="3062122" y="4183777"/>
                  <a:pt x="3062122" y="4200151"/>
                </a:cubicBezTo>
                <a:cubicBezTo>
                  <a:pt x="3062122" y="4216526"/>
                  <a:pt x="3047699" y="4229803"/>
                  <a:pt x="3029912" y="4229803"/>
                </a:cubicBezTo>
                <a:close/>
                <a:moveTo>
                  <a:pt x="3108446" y="4229803"/>
                </a:moveTo>
                <a:cubicBezTo>
                  <a:pt x="3090659" y="4229803"/>
                  <a:pt x="3076236" y="4216526"/>
                  <a:pt x="3076236" y="4200151"/>
                </a:cubicBezTo>
                <a:cubicBezTo>
                  <a:pt x="3076236" y="4183777"/>
                  <a:pt x="3090659" y="4170499"/>
                  <a:pt x="3108446" y="4170499"/>
                </a:cubicBezTo>
                <a:cubicBezTo>
                  <a:pt x="3126233" y="4170499"/>
                  <a:pt x="3140656" y="4183777"/>
                  <a:pt x="3140656" y="4200151"/>
                </a:cubicBezTo>
                <a:cubicBezTo>
                  <a:pt x="3140656" y="4216526"/>
                  <a:pt x="3126233" y="4229803"/>
                  <a:pt x="3108446" y="4229803"/>
                </a:cubicBezTo>
                <a:close/>
                <a:moveTo>
                  <a:pt x="3186979" y="4229803"/>
                </a:moveTo>
                <a:cubicBezTo>
                  <a:pt x="3169192" y="4229803"/>
                  <a:pt x="3154769" y="4216526"/>
                  <a:pt x="3154769" y="4200151"/>
                </a:cubicBezTo>
                <a:cubicBezTo>
                  <a:pt x="3154769" y="4183777"/>
                  <a:pt x="3169192" y="4170499"/>
                  <a:pt x="3186979" y="4170499"/>
                </a:cubicBezTo>
                <a:cubicBezTo>
                  <a:pt x="3204767" y="4170499"/>
                  <a:pt x="3219190" y="4183777"/>
                  <a:pt x="3219190" y="4200151"/>
                </a:cubicBezTo>
                <a:cubicBezTo>
                  <a:pt x="3219190" y="4216526"/>
                  <a:pt x="3204767" y="4229803"/>
                  <a:pt x="3186979" y="4229803"/>
                </a:cubicBezTo>
                <a:close/>
                <a:moveTo>
                  <a:pt x="3265514" y="4229803"/>
                </a:moveTo>
                <a:cubicBezTo>
                  <a:pt x="3247726" y="4229803"/>
                  <a:pt x="3233303" y="4216526"/>
                  <a:pt x="3233303" y="4200151"/>
                </a:cubicBezTo>
                <a:cubicBezTo>
                  <a:pt x="3233303" y="4183777"/>
                  <a:pt x="3247726" y="4170499"/>
                  <a:pt x="3265514" y="4170499"/>
                </a:cubicBezTo>
                <a:cubicBezTo>
                  <a:pt x="3283301" y="4170499"/>
                  <a:pt x="3297724" y="4183777"/>
                  <a:pt x="3297724" y="4200151"/>
                </a:cubicBezTo>
                <a:cubicBezTo>
                  <a:pt x="3297724" y="4216526"/>
                  <a:pt x="3283301" y="4229803"/>
                  <a:pt x="3265514" y="4229803"/>
                </a:cubicBezTo>
                <a:close/>
                <a:moveTo>
                  <a:pt x="3422581" y="4229803"/>
                </a:moveTo>
                <a:cubicBezTo>
                  <a:pt x="3404794" y="4229803"/>
                  <a:pt x="3390371" y="4216526"/>
                  <a:pt x="3390371" y="4200151"/>
                </a:cubicBezTo>
                <a:cubicBezTo>
                  <a:pt x="3390371" y="4183777"/>
                  <a:pt x="3404794" y="4170499"/>
                  <a:pt x="3422581" y="4170499"/>
                </a:cubicBezTo>
                <a:cubicBezTo>
                  <a:pt x="3440368" y="4170499"/>
                  <a:pt x="3454791" y="4183777"/>
                  <a:pt x="3454791" y="4200151"/>
                </a:cubicBezTo>
                <a:cubicBezTo>
                  <a:pt x="3454791" y="4216526"/>
                  <a:pt x="3440368" y="4229803"/>
                  <a:pt x="3422581" y="4229803"/>
                </a:cubicBezTo>
                <a:close/>
                <a:moveTo>
                  <a:pt x="3658183" y="4229803"/>
                </a:moveTo>
                <a:cubicBezTo>
                  <a:pt x="3640396" y="4229803"/>
                  <a:pt x="3625972" y="4216526"/>
                  <a:pt x="3625972" y="4200151"/>
                </a:cubicBezTo>
                <a:cubicBezTo>
                  <a:pt x="3625972" y="4183777"/>
                  <a:pt x="3640396" y="4170499"/>
                  <a:pt x="3658183" y="4170499"/>
                </a:cubicBezTo>
                <a:cubicBezTo>
                  <a:pt x="3675970" y="4170499"/>
                  <a:pt x="3690393" y="4183777"/>
                  <a:pt x="3690393" y="4200151"/>
                </a:cubicBezTo>
                <a:cubicBezTo>
                  <a:pt x="3690393" y="4216526"/>
                  <a:pt x="3675970" y="4229803"/>
                  <a:pt x="3658183" y="4229803"/>
                </a:cubicBezTo>
                <a:close/>
                <a:moveTo>
                  <a:pt x="3736717" y="4229803"/>
                </a:moveTo>
                <a:cubicBezTo>
                  <a:pt x="3718930" y="4229803"/>
                  <a:pt x="3704507" y="4216526"/>
                  <a:pt x="3704507" y="4200151"/>
                </a:cubicBezTo>
                <a:cubicBezTo>
                  <a:pt x="3704507" y="4183777"/>
                  <a:pt x="3718930" y="4170499"/>
                  <a:pt x="3736717" y="4170499"/>
                </a:cubicBezTo>
                <a:cubicBezTo>
                  <a:pt x="3754504" y="4170499"/>
                  <a:pt x="3768927" y="4183777"/>
                  <a:pt x="3768927" y="4200151"/>
                </a:cubicBezTo>
                <a:cubicBezTo>
                  <a:pt x="3768927" y="4216526"/>
                  <a:pt x="3754504" y="4229803"/>
                  <a:pt x="3736717" y="4229803"/>
                </a:cubicBezTo>
                <a:close/>
                <a:moveTo>
                  <a:pt x="3893785" y="4229803"/>
                </a:moveTo>
                <a:cubicBezTo>
                  <a:pt x="3875997" y="4229803"/>
                  <a:pt x="3861574" y="4216526"/>
                  <a:pt x="3861574" y="4200151"/>
                </a:cubicBezTo>
                <a:cubicBezTo>
                  <a:pt x="3861574" y="4183777"/>
                  <a:pt x="3875997" y="4170499"/>
                  <a:pt x="3893785" y="4170499"/>
                </a:cubicBezTo>
                <a:cubicBezTo>
                  <a:pt x="3911572" y="4170499"/>
                  <a:pt x="3925995" y="4183777"/>
                  <a:pt x="3925995" y="4200151"/>
                </a:cubicBezTo>
                <a:cubicBezTo>
                  <a:pt x="3925995" y="4216526"/>
                  <a:pt x="3911572" y="4229803"/>
                  <a:pt x="3893785" y="4229803"/>
                </a:cubicBezTo>
                <a:close/>
                <a:moveTo>
                  <a:pt x="3972319" y="4229803"/>
                </a:moveTo>
                <a:cubicBezTo>
                  <a:pt x="3954532" y="4229803"/>
                  <a:pt x="3940108" y="4216526"/>
                  <a:pt x="3940108" y="4200151"/>
                </a:cubicBezTo>
                <a:cubicBezTo>
                  <a:pt x="3940108" y="4183777"/>
                  <a:pt x="3954532" y="4170499"/>
                  <a:pt x="3972319" y="4170499"/>
                </a:cubicBezTo>
                <a:cubicBezTo>
                  <a:pt x="3990106" y="4170499"/>
                  <a:pt x="4004529" y="4183777"/>
                  <a:pt x="4004529" y="4200151"/>
                </a:cubicBezTo>
                <a:cubicBezTo>
                  <a:pt x="4004529" y="4216526"/>
                  <a:pt x="3990106" y="4229803"/>
                  <a:pt x="3972319" y="4229803"/>
                </a:cubicBezTo>
                <a:close/>
                <a:moveTo>
                  <a:pt x="4050852" y="4229803"/>
                </a:moveTo>
                <a:cubicBezTo>
                  <a:pt x="4033065" y="4229803"/>
                  <a:pt x="4018642" y="4216526"/>
                  <a:pt x="4018642" y="4200151"/>
                </a:cubicBezTo>
                <a:cubicBezTo>
                  <a:pt x="4018642" y="4183777"/>
                  <a:pt x="4033065" y="4170499"/>
                  <a:pt x="4050852" y="4170499"/>
                </a:cubicBezTo>
                <a:cubicBezTo>
                  <a:pt x="4068639" y="4170499"/>
                  <a:pt x="4083062" y="4183777"/>
                  <a:pt x="4083062" y="4200151"/>
                </a:cubicBezTo>
                <a:cubicBezTo>
                  <a:pt x="4083062" y="4216526"/>
                  <a:pt x="4068639" y="4229803"/>
                  <a:pt x="4050852" y="4229803"/>
                </a:cubicBezTo>
                <a:close/>
                <a:moveTo>
                  <a:pt x="4129386" y="4229803"/>
                </a:moveTo>
                <a:cubicBezTo>
                  <a:pt x="4111599" y="4229803"/>
                  <a:pt x="4097176" y="4216526"/>
                  <a:pt x="4097176" y="4200151"/>
                </a:cubicBezTo>
                <a:cubicBezTo>
                  <a:pt x="4097176" y="4183777"/>
                  <a:pt x="4111599" y="4170499"/>
                  <a:pt x="4129386" y="4170499"/>
                </a:cubicBezTo>
                <a:cubicBezTo>
                  <a:pt x="4147174" y="4170499"/>
                  <a:pt x="4161597" y="4183777"/>
                  <a:pt x="4161597" y="4200151"/>
                </a:cubicBezTo>
                <a:cubicBezTo>
                  <a:pt x="4161597" y="4216526"/>
                  <a:pt x="4147174" y="4229803"/>
                  <a:pt x="4129386" y="4229803"/>
                </a:cubicBezTo>
                <a:close/>
                <a:moveTo>
                  <a:pt x="4207926" y="4229803"/>
                </a:moveTo>
                <a:cubicBezTo>
                  <a:pt x="4190138" y="4229803"/>
                  <a:pt x="4175715" y="4216526"/>
                  <a:pt x="4175715" y="4200151"/>
                </a:cubicBezTo>
                <a:cubicBezTo>
                  <a:pt x="4175715" y="4183777"/>
                  <a:pt x="4190138" y="4170499"/>
                  <a:pt x="4207926" y="4170499"/>
                </a:cubicBezTo>
                <a:cubicBezTo>
                  <a:pt x="4225713" y="4170499"/>
                  <a:pt x="4240136" y="4183777"/>
                  <a:pt x="4240136" y="4200151"/>
                </a:cubicBezTo>
                <a:cubicBezTo>
                  <a:pt x="4240136" y="4216526"/>
                  <a:pt x="4225713" y="4229803"/>
                  <a:pt x="4207926" y="4229803"/>
                </a:cubicBezTo>
                <a:close/>
                <a:moveTo>
                  <a:pt x="4286460" y="4229803"/>
                </a:moveTo>
                <a:cubicBezTo>
                  <a:pt x="4268673" y="4229803"/>
                  <a:pt x="4254250" y="4216526"/>
                  <a:pt x="4254250" y="4200151"/>
                </a:cubicBezTo>
                <a:cubicBezTo>
                  <a:pt x="4254250" y="4183777"/>
                  <a:pt x="4268673" y="4170499"/>
                  <a:pt x="4286460" y="4170499"/>
                </a:cubicBezTo>
                <a:cubicBezTo>
                  <a:pt x="4304247" y="4170499"/>
                  <a:pt x="4318670" y="4183777"/>
                  <a:pt x="4318670" y="4200151"/>
                </a:cubicBezTo>
                <a:cubicBezTo>
                  <a:pt x="4318670" y="4216526"/>
                  <a:pt x="4304247" y="4229803"/>
                  <a:pt x="4286460" y="4229803"/>
                </a:cubicBezTo>
                <a:close/>
                <a:moveTo>
                  <a:pt x="4364994" y="4229803"/>
                </a:moveTo>
                <a:cubicBezTo>
                  <a:pt x="4347207" y="4229803"/>
                  <a:pt x="4332784" y="4216526"/>
                  <a:pt x="4332784" y="4200151"/>
                </a:cubicBezTo>
                <a:cubicBezTo>
                  <a:pt x="4332784" y="4183777"/>
                  <a:pt x="4347207" y="4170499"/>
                  <a:pt x="4364994" y="4170499"/>
                </a:cubicBezTo>
                <a:cubicBezTo>
                  <a:pt x="4382781" y="4170499"/>
                  <a:pt x="4397204" y="4183777"/>
                  <a:pt x="4397204" y="4200151"/>
                </a:cubicBezTo>
                <a:cubicBezTo>
                  <a:pt x="4397204" y="4216526"/>
                  <a:pt x="4382781" y="4229803"/>
                  <a:pt x="4364994" y="4229803"/>
                </a:cubicBezTo>
                <a:close/>
                <a:moveTo>
                  <a:pt x="4443527" y="4229803"/>
                </a:moveTo>
                <a:cubicBezTo>
                  <a:pt x="4425740" y="4229803"/>
                  <a:pt x="4411317" y="4216526"/>
                  <a:pt x="4411317" y="4200151"/>
                </a:cubicBezTo>
                <a:cubicBezTo>
                  <a:pt x="4411317" y="4183777"/>
                  <a:pt x="4425740" y="4170499"/>
                  <a:pt x="4443527" y="4170499"/>
                </a:cubicBezTo>
                <a:cubicBezTo>
                  <a:pt x="4461315" y="4170499"/>
                  <a:pt x="4475738" y="4183777"/>
                  <a:pt x="4475738" y="4200151"/>
                </a:cubicBezTo>
                <a:cubicBezTo>
                  <a:pt x="4475738" y="4216526"/>
                  <a:pt x="4461315" y="4229803"/>
                  <a:pt x="4443527" y="4229803"/>
                </a:cubicBezTo>
                <a:close/>
                <a:moveTo>
                  <a:pt x="5700069" y="4229803"/>
                </a:moveTo>
                <a:cubicBezTo>
                  <a:pt x="5682282" y="4229803"/>
                  <a:pt x="5667859" y="4216526"/>
                  <a:pt x="5667859" y="4200151"/>
                </a:cubicBezTo>
                <a:cubicBezTo>
                  <a:pt x="5667859" y="4183777"/>
                  <a:pt x="5682282" y="4170499"/>
                  <a:pt x="5700069" y="4170499"/>
                </a:cubicBezTo>
                <a:cubicBezTo>
                  <a:pt x="5717857" y="4170499"/>
                  <a:pt x="5732280" y="4183777"/>
                  <a:pt x="5732280" y="4200151"/>
                </a:cubicBezTo>
                <a:cubicBezTo>
                  <a:pt x="5732280" y="4216526"/>
                  <a:pt x="5717857" y="4229803"/>
                  <a:pt x="5700069" y="4229803"/>
                </a:cubicBezTo>
                <a:close/>
                <a:moveTo>
                  <a:pt x="5857137" y="4229803"/>
                </a:moveTo>
                <a:cubicBezTo>
                  <a:pt x="5839350" y="4229803"/>
                  <a:pt x="5824927" y="4216526"/>
                  <a:pt x="5824927" y="4200151"/>
                </a:cubicBezTo>
                <a:cubicBezTo>
                  <a:pt x="5824927" y="4183777"/>
                  <a:pt x="5839350" y="4170499"/>
                  <a:pt x="5857137" y="4170499"/>
                </a:cubicBezTo>
                <a:cubicBezTo>
                  <a:pt x="5874924" y="4170499"/>
                  <a:pt x="5889347" y="4183777"/>
                  <a:pt x="5889347" y="4200151"/>
                </a:cubicBezTo>
                <a:cubicBezTo>
                  <a:pt x="5889347" y="4216526"/>
                  <a:pt x="5874924" y="4229803"/>
                  <a:pt x="5857137" y="4229803"/>
                </a:cubicBezTo>
                <a:close/>
                <a:moveTo>
                  <a:pt x="6171273" y="4229803"/>
                </a:moveTo>
                <a:cubicBezTo>
                  <a:pt x="6153480" y="4229803"/>
                  <a:pt x="6139056" y="4216526"/>
                  <a:pt x="6139056" y="4200151"/>
                </a:cubicBezTo>
                <a:cubicBezTo>
                  <a:pt x="6139056" y="4183777"/>
                  <a:pt x="6153480" y="4170499"/>
                  <a:pt x="6171273" y="4170499"/>
                </a:cubicBezTo>
                <a:cubicBezTo>
                  <a:pt x="6189060" y="4170499"/>
                  <a:pt x="6203477" y="4183777"/>
                  <a:pt x="6203477" y="4200151"/>
                </a:cubicBezTo>
                <a:cubicBezTo>
                  <a:pt x="6203477" y="4216526"/>
                  <a:pt x="6189060" y="4229803"/>
                  <a:pt x="6171273" y="4229803"/>
                </a:cubicBezTo>
                <a:close/>
                <a:moveTo>
                  <a:pt x="6249806" y="4229803"/>
                </a:moveTo>
                <a:cubicBezTo>
                  <a:pt x="6232019" y="4229803"/>
                  <a:pt x="6217590" y="4216526"/>
                  <a:pt x="6217590" y="4200151"/>
                </a:cubicBezTo>
                <a:cubicBezTo>
                  <a:pt x="6217590" y="4183777"/>
                  <a:pt x="6232019" y="4170499"/>
                  <a:pt x="6249806" y="4170499"/>
                </a:cubicBezTo>
                <a:cubicBezTo>
                  <a:pt x="6267593" y="4170499"/>
                  <a:pt x="6282010" y="4183777"/>
                  <a:pt x="6282010" y="4200151"/>
                </a:cubicBezTo>
                <a:cubicBezTo>
                  <a:pt x="6282010" y="4216526"/>
                  <a:pt x="6267593" y="4229803"/>
                  <a:pt x="6249806" y="4229803"/>
                </a:cubicBezTo>
                <a:close/>
                <a:moveTo>
                  <a:pt x="6328340" y="4229803"/>
                </a:moveTo>
                <a:cubicBezTo>
                  <a:pt x="6310553" y="4229803"/>
                  <a:pt x="6296124" y="4216526"/>
                  <a:pt x="6296124" y="4200151"/>
                </a:cubicBezTo>
                <a:cubicBezTo>
                  <a:pt x="6296124" y="4183777"/>
                  <a:pt x="6310553" y="4170499"/>
                  <a:pt x="6328340" y="4170499"/>
                </a:cubicBezTo>
                <a:cubicBezTo>
                  <a:pt x="6346128" y="4170499"/>
                  <a:pt x="6360545" y="4183777"/>
                  <a:pt x="6360545" y="4200151"/>
                </a:cubicBezTo>
                <a:cubicBezTo>
                  <a:pt x="6360545" y="4216526"/>
                  <a:pt x="6346128" y="4229803"/>
                  <a:pt x="6328340" y="4229803"/>
                </a:cubicBezTo>
                <a:close/>
                <a:moveTo>
                  <a:pt x="6406875" y="4229803"/>
                </a:moveTo>
                <a:cubicBezTo>
                  <a:pt x="6389087" y="4229803"/>
                  <a:pt x="6374658" y="4216526"/>
                  <a:pt x="6374658" y="4200151"/>
                </a:cubicBezTo>
                <a:cubicBezTo>
                  <a:pt x="6374658" y="4183777"/>
                  <a:pt x="6389087" y="4170499"/>
                  <a:pt x="6406875" y="4170499"/>
                </a:cubicBezTo>
                <a:cubicBezTo>
                  <a:pt x="6424662" y="4170499"/>
                  <a:pt x="6439079" y="4183777"/>
                  <a:pt x="6439079" y="4200151"/>
                </a:cubicBezTo>
                <a:cubicBezTo>
                  <a:pt x="6439079" y="4216526"/>
                  <a:pt x="6424662" y="4229803"/>
                  <a:pt x="6406875" y="4229803"/>
                </a:cubicBezTo>
                <a:close/>
                <a:moveTo>
                  <a:pt x="6485408" y="4229803"/>
                </a:moveTo>
                <a:cubicBezTo>
                  <a:pt x="6467621" y="4229803"/>
                  <a:pt x="6453191" y="4216526"/>
                  <a:pt x="6453191" y="4200151"/>
                </a:cubicBezTo>
                <a:cubicBezTo>
                  <a:pt x="6453191" y="4183777"/>
                  <a:pt x="6467621" y="4170499"/>
                  <a:pt x="6485408" y="4170499"/>
                </a:cubicBezTo>
                <a:cubicBezTo>
                  <a:pt x="6503195" y="4170499"/>
                  <a:pt x="6517612" y="4183777"/>
                  <a:pt x="6517612" y="4200151"/>
                </a:cubicBezTo>
                <a:cubicBezTo>
                  <a:pt x="6517612" y="4216526"/>
                  <a:pt x="6503195" y="4229803"/>
                  <a:pt x="6485408" y="4229803"/>
                </a:cubicBezTo>
                <a:close/>
                <a:moveTo>
                  <a:pt x="6563942" y="4229803"/>
                </a:moveTo>
                <a:cubicBezTo>
                  <a:pt x="6546155" y="4229803"/>
                  <a:pt x="6531726" y="4216526"/>
                  <a:pt x="6531726" y="4200151"/>
                </a:cubicBezTo>
                <a:cubicBezTo>
                  <a:pt x="6531726" y="4183777"/>
                  <a:pt x="6546155" y="4170499"/>
                  <a:pt x="6563942" y="4170499"/>
                </a:cubicBezTo>
                <a:cubicBezTo>
                  <a:pt x="6581729" y="4170499"/>
                  <a:pt x="6596146" y="4183777"/>
                  <a:pt x="6596146" y="4200151"/>
                </a:cubicBezTo>
                <a:cubicBezTo>
                  <a:pt x="6596146" y="4216526"/>
                  <a:pt x="6581729" y="4229803"/>
                  <a:pt x="6563942" y="4229803"/>
                </a:cubicBezTo>
                <a:close/>
                <a:moveTo>
                  <a:pt x="6642476" y="4229803"/>
                </a:moveTo>
                <a:cubicBezTo>
                  <a:pt x="6624689" y="4229803"/>
                  <a:pt x="6610260" y="4216526"/>
                  <a:pt x="6610260" y="4200151"/>
                </a:cubicBezTo>
                <a:cubicBezTo>
                  <a:pt x="6610260" y="4183777"/>
                  <a:pt x="6624689" y="4170499"/>
                  <a:pt x="6642476" y="4170499"/>
                </a:cubicBezTo>
                <a:cubicBezTo>
                  <a:pt x="6660264" y="4170499"/>
                  <a:pt x="6674681" y="4183777"/>
                  <a:pt x="6674681" y="4200151"/>
                </a:cubicBezTo>
                <a:cubicBezTo>
                  <a:pt x="6674681" y="4216526"/>
                  <a:pt x="6660264" y="4229803"/>
                  <a:pt x="6642476" y="4229803"/>
                </a:cubicBezTo>
                <a:close/>
                <a:moveTo>
                  <a:pt x="6721010" y="4229803"/>
                </a:moveTo>
                <a:cubicBezTo>
                  <a:pt x="6703222" y="4229803"/>
                  <a:pt x="6688793" y="4216526"/>
                  <a:pt x="6688793" y="4200151"/>
                </a:cubicBezTo>
                <a:cubicBezTo>
                  <a:pt x="6688793" y="4183777"/>
                  <a:pt x="6703222" y="4170499"/>
                  <a:pt x="6721010" y="4170499"/>
                </a:cubicBezTo>
                <a:cubicBezTo>
                  <a:pt x="6738797" y="4170499"/>
                  <a:pt x="6753214" y="4183777"/>
                  <a:pt x="6753214" y="4200151"/>
                </a:cubicBezTo>
                <a:cubicBezTo>
                  <a:pt x="6753214" y="4216526"/>
                  <a:pt x="6738797" y="4229803"/>
                  <a:pt x="6721010" y="4229803"/>
                </a:cubicBezTo>
                <a:close/>
                <a:moveTo>
                  <a:pt x="6799544" y="4229803"/>
                </a:moveTo>
                <a:cubicBezTo>
                  <a:pt x="6781757" y="4229803"/>
                  <a:pt x="6767327" y="4216526"/>
                  <a:pt x="6767327" y="4200151"/>
                </a:cubicBezTo>
                <a:cubicBezTo>
                  <a:pt x="6767327" y="4183777"/>
                  <a:pt x="6781757" y="4170499"/>
                  <a:pt x="6799544" y="4170499"/>
                </a:cubicBezTo>
                <a:cubicBezTo>
                  <a:pt x="6817331" y="4170499"/>
                  <a:pt x="6831748" y="4183777"/>
                  <a:pt x="6831748" y="4200151"/>
                </a:cubicBezTo>
                <a:cubicBezTo>
                  <a:pt x="6831748" y="4216526"/>
                  <a:pt x="6817331" y="4229803"/>
                  <a:pt x="6799544" y="4229803"/>
                </a:cubicBezTo>
                <a:close/>
                <a:moveTo>
                  <a:pt x="6878077" y="4229803"/>
                </a:moveTo>
                <a:cubicBezTo>
                  <a:pt x="6860290" y="4229803"/>
                  <a:pt x="6845861" y="4216526"/>
                  <a:pt x="6845861" y="4200151"/>
                </a:cubicBezTo>
                <a:cubicBezTo>
                  <a:pt x="6845861" y="4183777"/>
                  <a:pt x="6860290" y="4170499"/>
                  <a:pt x="6878077" y="4170499"/>
                </a:cubicBezTo>
                <a:cubicBezTo>
                  <a:pt x="6895864" y="4170499"/>
                  <a:pt x="6910281" y="4183777"/>
                  <a:pt x="6910281" y="4200151"/>
                </a:cubicBezTo>
                <a:cubicBezTo>
                  <a:pt x="6910281" y="4216526"/>
                  <a:pt x="6895864" y="4229803"/>
                  <a:pt x="6878077" y="4229803"/>
                </a:cubicBezTo>
                <a:close/>
                <a:moveTo>
                  <a:pt x="6956611" y="4229803"/>
                </a:moveTo>
                <a:cubicBezTo>
                  <a:pt x="6938824" y="4229803"/>
                  <a:pt x="6924395" y="4216526"/>
                  <a:pt x="6924395" y="4200151"/>
                </a:cubicBezTo>
                <a:cubicBezTo>
                  <a:pt x="6924395" y="4183777"/>
                  <a:pt x="6938824" y="4170499"/>
                  <a:pt x="6956611" y="4170499"/>
                </a:cubicBezTo>
                <a:cubicBezTo>
                  <a:pt x="6974399" y="4170499"/>
                  <a:pt x="6988816" y="4183777"/>
                  <a:pt x="6988816" y="4200151"/>
                </a:cubicBezTo>
                <a:cubicBezTo>
                  <a:pt x="6988816" y="4216526"/>
                  <a:pt x="6974399" y="4229803"/>
                  <a:pt x="6956611" y="4229803"/>
                </a:cubicBezTo>
                <a:close/>
                <a:moveTo>
                  <a:pt x="7035146" y="4229803"/>
                </a:moveTo>
                <a:cubicBezTo>
                  <a:pt x="7017358" y="4229803"/>
                  <a:pt x="7002929" y="4216526"/>
                  <a:pt x="7002929" y="4200151"/>
                </a:cubicBezTo>
                <a:cubicBezTo>
                  <a:pt x="7002929" y="4183777"/>
                  <a:pt x="7017358" y="4170499"/>
                  <a:pt x="7035146" y="4170499"/>
                </a:cubicBezTo>
                <a:cubicBezTo>
                  <a:pt x="7052933" y="4170499"/>
                  <a:pt x="7067350" y="4183777"/>
                  <a:pt x="7067350" y="4200151"/>
                </a:cubicBezTo>
                <a:cubicBezTo>
                  <a:pt x="7067350" y="4216526"/>
                  <a:pt x="7052933" y="4229803"/>
                  <a:pt x="7035146" y="4229803"/>
                </a:cubicBezTo>
                <a:close/>
                <a:moveTo>
                  <a:pt x="7113703" y="4229803"/>
                </a:moveTo>
                <a:cubicBezTo>
                  <a:pt x="7095916" y="4229803"/>
                  <a:pt x="7081487" y="4216526"/>
                  <a:pt x="7081487" y="4200151"/>
                </a:cubicBezTo>
                <a:cubicBezTo>
                  <a:pt x="7081487" y="4183777"/>
                  <a:pt x="7095916" y="4170499"/>
                  <a:pt x="7113703" y="4170499"/>
                </a:cubicBezTo>
                <a:cubicBezTo>
                  <a:pt x="7131490" y="4170499"/>
                  <a:pt x="7145907" y="4183777"/>
                  <a:pt x="7145907" y="4200151"/>
                </a:cubicBezTo>
                <a:cubicBezTo>
                  <a:pt x="7145907" y="4216526"/>
                  <a:pt x="7131490" y="4229803"/>
                  <a:pt x="7113703" y="4229803"/>
                </a:cubicBezTo>
                <a:close/>
                <a:moveTo>
                  <a:pt x="7192237" y="4229803"/>
                </a:moveTo>
                <a:cubicBezTo>
                  <a:pt x="7174450" y="4229803"/>
                  <a:pt x="7160021" y="4216526"/>
                  <a:pt x="7160021" y="4200151"/>
                </a:cubicBezTo>
                <a:cubicBezTo>
                  <a:pt x="7160021" y="4183777"/>
                  <a:pt x="7174450" y="4170499"/>
                  <a:pt x="7192237" y="4170499"/>
                </a:cubicBezTo>
                <a:cubicBezTo>
                  <a:pt x="7210024" y="4170499"/>
                  <a:pt x="7224441" y="4183777"/>
                  <a:pt x="7224441" y="4200151"/>
                </a:cubicBezTo>
                <a:cubicBezTo>
                  <a:pt x="7224441" y="4216526"/>
                  <a:pt x="7210024" y="4229803"/>
                  <a:pt x="7192237" y="4229803"/>
                </a:cubicBezTo>
                <a:close/>
                <a:moveTo>
                  <a:pt x="7270771" y="4229803"/>
                </a:moveTo>
                <a:cubicBezTo>
                  <a:pt x="7252984" y="4229803"/>
                  <a:pt x="7238555" y="4216526"/>
                  <a:pt x="7238555" y="4200151"/>
                </a:cubicBezTo>
                <a:cubicBezTo>
                  <a:pt x="7238555" y="4183777"/>
                  <a:pt x="7252984" y="4170499"/>
                  <a:pt x="7270771" y="4170499"/>
                </a:cubicBezTo>
                <a:cubicBezTo>
                  <a:pt x="7288559" y="4170499"/>
                  <a:pt x="7302976" y="4183777"/>
                  <a:pt x="7302976" y="4200151"/>
                </a:cubicBezTo>
                <a:cubicBezTo>
                  <a:pt x="7302976" y="4216526"/>
                  <a:pt x="7288559" y="4229803"/>
                  <a:pt x="7270771" y="4229803"/>
                </a:cubicBezTo>
                <a:close/>
                <a:moveTo>
                  <a:pt x="7349305" y="4229803"/>
                </a:moveTo>
                <a:cubicBezTo>
                  <a:pt x="7331517" y="4229803"/>
                  <a:pt x="7317088" y="4216526"/>
                  <a:pt x="7317088" y="4200151"/>
                </a:cubicBezTo>
                <a:cubicBezTo>
                  <a:pt x="7317088" y="4183777"/>
                  <a:pt x="7331517" y="4170499"/>
                  <a:pt x="7349305" y="4170499"/>
                </a:cubicBezTo>
                <a:cubicBezTo>
                  <a:pt x="7367092" y="4170499"/>
                  <a:pt x="7381509" y="4183777"/>
                  <a:pt x="7381509" y="4200151"/>
                </a:cubicBezTo>
                <a:cubicBezTo>
                  <a:pt x="7381509" y="4216526"/>
                  <a:pt x="7367092" y="4229803"/>
                  <a:pt x="7349305" y="4229803"/>
                </a:cubicBezTo>
                <a:close/>
                <a:moveTo>
                  <a:pt x="7427839" y="4229803"/>
                </a:moveTo>
                <a:cubicBezTo>
                  <a:pt x="7410052" y="4229803"/>
                  <a:pt x="7395623" y="4216526"/>
                  <a:pt x="7395623" y="4200151"/>
                </a:cubicBezTo>
                <a:cubicBezTo>
                  <a:pt x="7395623" y="4183777"/>
                  <a:pt x="7410052" y="4170499"/>
                  <a:pt x="7427839" y="4170499"/>
                </a:cubicBezTo>
                <a:cubicBezTo>
                  <a:pt x="7445626" y="4170499"/>
                  <a:pt x="7460043" y="4183777"/>
                  <a:pt x="7460043" y="4200151"/>
                </a:cubicBezTo>
                <a:cubicBezTo>
                  <a:pt x="7460043" y="4216526"/>
                  <a:pt x="7445626" y="4229803"/>
                  <a:pt x="7427839" y="4229803"/>
                </a:cubicBezTo>
                <a:close/>
                <a:moveTo>
                  <a:pt x="7506373" y="4229803"/>
                </a:moveTo>
                <a:cubicBezTo>
                  <a:pt x="7488586" y="4229803"/>
                  <a:pt x="7474157" y="4216526"/>
                  <a:pt x="7474157" y="4200151"/>
                </a:cubicBezTo>
                <a:cubicBezTo>
                  <a:pt x="7474157" y="4183777"/>
                  <a:pt x="7488586" y="4170499"/>
                  <a:pt x="7506373" y="4170499"/>
                </a:cubicBezTo>
                <a:cubicBezTo>
                  <a:pt x="7524160" y="4170499"/>
                  <a:pt x="7538577" y="4183777"/>
                  <a:pt x="7538577" y="4200151"/>
                </a:cubicBezTo>
                <a:cubicBezTo>
                  <a:pt x="7538577" y="4216526"/>
                  <a:pt x="7524160" y="4229803"/>
                  <a:pt x="7506373" y="4229803"/>
                </a:cubicBezTo>
                <a:close/>
                <a:moveTo>
                  <a:pt x="7584906" y="4229803"/>
                </a:moveTo>
                <a:cubicBezTo>
                  <a:pt x="7567119" y="4229803"/>
                  <a:pt x="7552690" y="4216526"/>
                  <a:pt x="7552690" y="4200151"/>
                </a:cubicBezTo>
                <a:cubicBezTo>
                  <a:pt x="7552690" y="4183777"/>
                  <a:pt x="7567119" y="4170499"/>
                  <a:pt x="7584906" y="4170499"/>
                </a:cubicBezTo>
                <a:cubicBezTo>
                  <a:pt x="7602694" y="4170499"/>
                  <a:pt x="7617111" y="4183777"/>
                  <a:pt x="7617111" y="4200151"/>
                </a:cubicBezTo>
                <a:cubicBezTo>
                  <a:pt x="7617111" y="4216526"/>
                  <a:pt x="7602694" y="4229803"/>
                  <a:pt x="7584906" y="4229803"/>
                </a:cubicBezTo>
                <a:close/>
                <a:moveTo>
                  <a:pt x="7663441" y="4229803"/>
                </a:moveTo>
                <a:cubicBezTo>
                  <a:pt x="7645653" y="4229803"/>
                  <a:pt x="7631224" y="4216526"/>
                  <a:pt x="7631224" y="4200151"/>
                </a:cubicBezTo>
                <a:cubicBezTo>
                  <a:pt x="7631224" y="4183777"/>
                  <a:pt x="7645653" y="4170499"/>
                  <a:pt x="7663441" y="4170499"/>
                </a:cubicBezTo>
                <a:cubicBezTo>
                  <a:pt x="7681228" y="4170499"/>
                  <a:pt x="7695645" y="4183777"/>
                  <a:pt x="7695645" y="4200151"/>
                </a:cubicBezTo>
                <a:cubicBezTo>
                  <a:pt x="7695645" y="4216526"/>
                  <a:pt x="7681228" y="4229803"/>
                  <a:pt x="7663441" y="4229803"/>
                </a:cubicBezTo>
                <a:close/>
                <a:moveTo>
                  <a:pt x="7741974" y="4229803"/>
                </a:moveTo>
                <a:cubicBezTo>
                  <a:pt x="7724187" y="4229803"/>
                  <a:pt x="7709758" y="4216526"/>
                  <a:pt x="7709758" y="4200151"/>
                </a:cubicBezTo>
                <a:cubicBezTo>
                  <a:pt x="7709758" y="4183777"/>
                  <a:pt x="7724187" y="4170499"/>
                  <a:pt x="7741974" y="4170499"/>
                </a:cubicBezTo>
                <a:cubicBezTo>
                  <a:pt x="7759761" y="4170499"/>
                  <a:pt x="7774178" y="4183777"/>
                  <a:pt x="7774178" y="4200151"/>
                </a:cubicBezTo>
                <a:cubicBezTo>
                  <a:pt x="7774178" y="4216526"/>
                  <a:pt x="7759761" y="4229803"/>
                  <a:pt x="7741974" y="4229803"/>
                </a:cubicBezTo>
                <a:close/>
                <a:moveTo>
                  <a:pt x="7820508" y="4229803"/>
                </a:moveTo>
                <a:cubicBezTo>
                  <a:pt x="7802721" y="4229803"/>
                  <a:pt x="7788292" y="4216526"/>
                  <a:pt x="7788292" y="4200151"/>
                </a:cubicBezTo>
                <a:cubicBezTo>
                  <a:pt x="7788292" y="4183777"/>
                  <a:pt x="7802721" y="4170499"/>
                  <a:pt x="7820508" y="4170499"/>
                </a:cubicBezTo>
                <a:cubicBezTo>
                  <a:pt x="7838295" y="4170499"/>
                  <a:pt x="7852712" y="4183777"/>
                  <a:pt x="7852712" y="4200151"/>
                </a:cubicBezTo>
                <a:cubicBezTo>
                  <a:pt x="7852712" y="4216526"/>
                  <a:pt x="7838295" y="4229803"/>
                  <a:pt x="7820508" y="4229803"/>
                </a:cubicBezTo>
                <a:close/>
                <a:moveTo>
                  <a:pt x="7899042" y="4229803"/>
                </a:moveTo>
                <a:cubicBezTo>
                  <a:pt x="7881255" y="4229803"/>
                  <a:pt x="7866826" y="4216526"/>
                  <a:pt x="7866826" y="4200151"/>
                </a:cubicBezTo>
                <a:cubicBezTo>
                  <a:pt x="7866826" y="4183777"/>
                  <a:pt x="7881255" y="4170499"/>
                  <a:pt x="7899042" y="4170499"/>
                </a:cubicBezTo>
                <a:cubicBezTo>
                  <a:pt x="7916830" y="4170499"/>
                  <a:pt x="7931247" y="4183777"/>
                  <a:pt x="7931247" y="4200151"/>
                </a:cubicBezTo>
                <a:cubicBezTo>
                  <a:pt x="7931247" y="4216526"/>
                  <a:pt x="7916830" y="4229803"/>
                  <a:pt x="7899042" y="4229803"/>
                </a:cubicBezTo>
                <a:close/>
                <a:moveTo>
                  <a:pt x="7977576" y="4229803"/>
                </a:moveTo>
                <a:cubicBezTo>
                  <a:pt x="7959788" y="4229803"/>
                  <a:pt x="7945359" y="4216526"/>
                  <a:pt x="7945359" y="4200151"/>
                </a:cubicBezTo>
                <a:cubicBezTo>
                  <a:pt x="7945359" y="4183777"/>
                  <a:pt x="7959788" y="4170499"/>
                  <a:pt x="7977576" y="4170499"/>
                </a:cubicBezTo>
                <a:cubicBezTo>
                  <a:pt x="7995363" y="4170499"/>
                  <a:pt x="8009780" y="4183777"/>
                  <a:pt x="8009780" y="4200151"/>
                </a:cubicBezTo>
                <a:cubicBezTo>
                  <a:pt x="8009780" y="4216526"/>
                  <a:pt x="7995363" y="4229803"/>
                  <a:pt x="7977576" y="4229803"/>
                </a:cubicBezTo>
                <a:close/>
                <a:moveTo>
                  <a:pt x="8056110" y="4229803"/>
                </a:moveTo>
                <a:cubicBezTo>
                  <a:pt x="8038323" y="4229803"/>
                  <a:pt x="8023894" y="4216526"/>
                  <a:pt x="8023894" y="4200151"/>
                </a:cubicBezTo>
                <a:cubicBezTo>
                  <a:pt x="8023894" y="4183777"/>
                  <a:pt x="8038323" y="4170499"/>
                  <a:pt x="8056110" y="4170499"/>
                </a:cubicBezTo>
                <a:cubicBezTo>
                  <a:pt x="8073897" y="4170499"/>
                  <a:pt x="8088314" y="4183777"/>
                  <a:pt x="8088314" y="4200151"/>
                </a:cubicBezTo>
                <a:cubicBezTo>
                  <a:pt x="8088314" y="4216526"/>
                  <a:pt x="8073897" y="4229803"/>
                  <a:pt x="8056110" y="4229803"/>
                </a:cubicBezTo>
                <a:close/>
                <a:moveTo>
                  <a:pt x="8134643" y="4229803"/>
                </a:moveTo>
                <a:cubicBezTo>
                  <a:pt x="8116856" y="4229803"/>
                  <a:pt x="8102427" y="4216526"/>
                  <a:pt x="8102427" y="4200151"/>
                </a:cubicBezTo>
                <a:cubicBezTo>
                  <a:pt x="8102427" y="4183777"/>
                  <a:pt x="8116856" y="4170499"/>
                  <a:pt x="8134643" y="4170499"/>
                </a:cubicBezTo>
                <a:cubicBezTo>
                  <a:pt x="8152430" y="4170499"/>
                  <a:pt x="8166847" y="4183777"/>
                  <a:pt x="8166847" y="4200151"/>
                </a:cubicBezTo>
                <a:cubicBezTo>
                  <a:pt x="8166847" y="4216526"/>
                  <a:pt x="8152430" y="4229803"/>
                  <a:pt x="8134643" y="4229803"/>
                </a:cubicBezTo>
                <a:close/>
                <a:moveTo>
                  <a:pt x="8213177" y="4229803"/>
                </a:moveTo>
                <a:cubicBezTo>
                  <a:pt x="8195390" y="4229803"/>
                  <a:pt x="8180961" y="4216526"/>
                  <a:pt x="8180961" y="4200151"/>
                </a:cubicBezTo>
                <a:cubicBezTo>
                  <a:pt x="8180961" y="4183777"/>
                  <a:pt x="8195390" y="4170499"/>
                  <a:pt x="8213177" y="4170499"/>
                </a:cubicBezTo>
                <a:cubicBezTo>
                  <a:pt x="8230965" y="4170499"/>
                  <a:pt x="8245382" y="4183777"/>
                  <a:pt x="8245382" y="4200151"/>
                </a:cubicBezTo>
                <a:cubicBezTo>
                  <a:pt x="8245382" y="4216526"/>
                  <a:pt x="8230965" y="4229803"/>
                  <a:pt x="8213177" y="4229803"/>
                </a:cubicBezTo>
                <a:close/>
                <a:moveTo>
                  <a:pt x="8291712" y="4229803"/>
                </a:moveTo>
                <a:cubicBezTo>
                  <a:pt x="8273924" y="4229803"/>
                  <a:pt x="8259495" y="4216526"/>
                  <a:pt x="8259495" y="4200151"/>
                </a:cubicBezTo>
                <a:cubicBezTo>
                  <a:pt x="8259495" y="4183777"/>
                  <a:pt x="8273924" y="4170499"/>
                  <a:pt x="8291712" y="4170499"/>
                </a:cubicBezTo>
                <a:cubicBezTo>
                  <a:pt x="8309499" y="4170499"/>
                  <a:pt x="8323916" y="4183777"/>
                  <a:pt x="8323916" y="4200151"/>
                </a:cubicBezTo>
                <a:cubicBezTo>
                  <a:pt x="8323916" y="4216526"/>
                  <a:pt x="8309499" y="4229803"/>
                  <a:pt x="8291712" y="4229803"/>
                </a:cubicBezTo>
                <a:close/>
                <a:moveTo>
                  <a:pt x="8370245" y="4229803"/>
                </a:moveTo>
                <a:cubicBezTo>
                  <a:pt x="8352458" y="4229803"/>
                  <a:pt x="8338029" y="4216526"/>
                  <a:pt x="8338029" y="4200151"/>
                </a:cubicBezTo>
                <a:cubicBezTo>
                  <a:pt x="8338029" y="4183777"/>
                  <a:pt x="8352458" y="4170499"/>
                  <a:pt x="8370245" y="4170499"/>
                </a:cubicBezTo>
                <a:cubicBezTo>
                  <a:pt x="8388032" y="4170499"/>
                  <a:pt x="8402449" y="4183777"/>
                  <a:pt x="8402449" y="4200151"/>
                </a:cubicBezTo>
                <a:cubicBezTo>
                  <a:pt x="8402449" y="4216526"/>
                  <a:pt x="8388032" y="4229803"/>
                  <a:pt x="8370245" y="4229803"/>
                </a:cubicBezTo>
                <a:close/>
                <a:moveTo>
                  <a:pt x="8448779" y="4229803"/>
                </a:moveTo>
                <a:cubicBezTo>
                  <a:pt x="8430992" y="4229803"/>
                  <a:pt x="8416563" y="4216526"/>
                  <a:pt x="8416563" y="4200151"/>
                </a:cubicBezTo>
                <a:cubicBezTo>
                  <a:pt x="8416563" y="4183777"/>
                  <a:pt x="8430992" y="4170499"/>
                  <a:pt x="8448779" y="4170499"/>
                </a:cubicBezTo>
                <a:cubicBezTo>
                  <a:pt x="8466566" y="4170499"/>
                  <a:pt x="8480983" y="4183777"/>
                  <a:pt x="8480983" y="4200151"/>
                </a:cubicBezTo>
                <a:cubicBezTo>
                  <a:pt x="8480983" y="4216526"/>
                  <a:pt x="8466566" y="4229803"/>
                  <a:pt x="8448779" y="4229803"/>
                </a:cubicBezTo>
                <a:close/>
                <a:moveTo>
                  <a:pt x="8527313" y="4229803"/>
                </a:moveTo>
                <a:cubicBezTo>
                  <a:pt x="8509526" y="4229803"/>
                  <a:pt x="8495097" y="4216526"/>
                  <a:pt x="8495097" y="4200151"/>
                </a:cubicBezTo>
                <a:cubicBezTo>
                  <a:pt x="8495097" y="4183777"/>
                  <a:pt x="8509526" y="4170499"/>
                  <a:pt x="8527313" y="4170499"/>
                </a:cubicBezTo>
                <a:cubicBezTo>
                  <a:pt x="8545101" y="4170499"/>
                  <a:pt x="8559518" y="4183777"/>
                  <a:pt x="8559518" y="4200151"/>
                </a:cubicBezTo>
                <a:cubicBezTo>
                  <a:pt x="8559518" y="4216526"/>
                  <a:pt x="8545101" y="4229803"/>
                  <a:pt x="8527313" y="4229803"/>
                </a:cubicBezTo>
                <a:close/>
                <a:moveTo>
                  <a:pt x="8684381" y="4229803"/>
                </a:moveTo>
                <a:cubicBezTo>
                  <a:pt x="8666594" y="4229803"/>
                  <a:pt x="8652165" y="4216526"/>
                  <a:pt x="8652165" y="4200151"/>
                </a:cubicBezTo>
                <a:cubicBezTo>
                  <a:pt x="8652165" y="4183777"/>
                  <a:pt x="8666594" y="4170499"/>
                  <a:pt x="8684381" y="4170499"/>
                </a:cubicBezTo>
                <a:cubicBezTo>
                  <a:pt x="8702168" y="4170499"/>
                  <a:pt x="8716585" y="4183777"/>
                  <a:pt x="8716585" y="4200151"/>
                </a:cubicBezTo>
                <a:cubicBezTo>
                  <a:pt x="8716585" y="4216526"/>
                  <a:pt x="8702168" y="4229803"/>
                  <a:pt x="8684381" y="4229803"/>
                </a:cubicBezTo>
                <a:close/>
                <a:moveTo>
                  <a:pt x="8762914" y="4229803"/>
                </a:moveTo>
                <a:cubicBezTo>
                  <a:pt x="8745127" y="4229803"/>
                  <a:pt x="8730698" y="4216526"/>
                  <a:pt x="8730698" y="4200151"/>
                </a:cubicBezTo>
                <a:cubicBezTo>
                  <a:pt x="8730698" y="4183777"/>
                  <a:pt x="8745127" y="4170499"/>
                  <a:pt x="8762914" y="4170499"/>
                </a:cubicBezTo>
                <a:cubicBezTo>
                  <a:pt x="8780701" y="4170499"/>
                  <a:pt x="8795118" y="4183777"/>
                  <a:pt x="8795118" y="4200151"/>
                </a:cubicBezTo>
                <a:cubicBezTo>
                  <a:pt x="8795118" y="4216526"/>
                  <a:pt x="8780701" y="4229803"/>
                  <a:pt x="8762914" y="4229803"/>
                </a:cubicBezTo>
                <a:close/>
                <a:moveTo>
                  <a:pt x="8841448" y="4229803"/>
                </a:moveTo>
                <a:cubicBezTo>
                  <a:pt x="8823661" y="4229803"/>
                  <a:pt x="8809232" y="4216526"/>
                  <a:pt x="8809232" y="4200151"/>
                </a:cubicBezTo>
                <a:cubicBezTo>
                  <a:pt x="8809232" y="4183777"/>
                  <a:pt x="8823661" y="4170499"/>
                  <a:pt x="8841448" y="4170499"/>
                </a:cubicBezTo>
                <a:cubicBezTo>
                  <a:pt x="8859236" y="4170499"/>
                  <a:pt x="8873653" y="4183777"/>
                  <a:pt x="8873653" y="4200151"/>
                </a:cubicBezTo>
                <a:cubicBezTo>
                  <a:pt x="8873653" y="4216526"/>
                  <a:pt x="8859236" y="4229803"/>
                  <a:pt x="8841448" y="4229803"/>
                </a:cubicBezTo>
                <a:close/>
                <a:moveTo>
                  <a:pt x="8919983" y="4229803"/>
                </a:moveTo>
                <a:cubicBezTo>
                  <a:pt x="8902195" y="4229803"/>
                  <a:pt x="8887766" y="4216526"/>
                  <a:pt x="8887766" y="4200151"/>
                </a:cubicBezTo>
                <a:cubicBezTo>
                  <a:pt x="8887766" y="4183777"/>
                  <a:pt x="8902195" y="4170499"/>
                  <a:pt x="8919983" y="4170499"/>
                </a:cubicBezTo>
                <a:cubicBezTo>
                  <a:pt x="8937770" y="4170499"/>
                  <a:pt x="8952187" y="4183777"/>
                  <a:pt x="8952187" y="4200151"/>
                </a:cubicBezTo>
                <a:cubicBezTo>
                  <a:pt x="8952187" y="4216526"/>
                  <a:pt x="8937770" y="4229803"/>
                  <a:pt x="8919983" y="4229803"/>
                </a:cubicBezTo>
                <a:close/>
                <a:moveTo>
                  <a:pt x="8998516" y="4229803"/>
                </a:moveTo>
                <a:cubicBezTo>
                  <a:pt x="8980729" y="4229803"/>
                  <a:pt x="8966300" y="4216526"/>
                  <a:pt x="8966300" y="4200151"/>
                </a:cubicBezTo>
                <a:cubicBezTo>
                  <a:pt x="8966300" y="4183777"/>
                  <a:pt x="8980729" y="4170499"/>
                  <a:pt x="8998516" y="4170499"/>
                </a:cubicBezTo>
                <a:cubicBezTo>
                  <a:pt x="9016303" y="4170499"/>
                  <a:pt x="9030720" y="4183777"/>
                  <a:pt x="9030720" y="4200151"/>
                </a:cubicBezTo>
                <a:cubicBezTo>
                  <a:pt x="9030720" y="4216526"/>
                  <a:pt x="9016303" y="4229803"/>
                  <a:pt x="8998516" y="4229803"/>
                </a:cubicBezTo>
                <a:close/>
                <a:moveTo>
                  <a:pt x="9077050" y="4229803"/>
                </a:moveTo>
                <a:cubicBezTo>
                  <a:pt x="9059263" y="4229803"/>
                  <a:pt x="9044834" y="4216526"/>
                  <a:pt x="9044834" y="4200151"/>
                </a:cubicBezTo>
                <a:cubicBezTo>
                  <a:pt x="9044834" y="4183777"/>
                  <a:pt x="9059263" y="4170499"/>
                  <a:pt x="9077050" y="4170499"/>
                </a:cubicBezTo>
                <a:cubicBezTo>
                  <a:pt x="9094837" y="4170499"/>
                  <a:pt x="9109254" y="4183777"/>
                  <a:pt x="9109254" y="4200151"/>
                </a:cubicBezTo>
                <a:cubicBezTo>
                  <a:pt x="9109254" y="4216526"/>
                  <a:pt x="9094837" y="4229803"/>
                  <a:pt x="9077050" y="4229803"/>
                </a:cubicBezTo>
                <a:close/>
                <a:moveTo>
                  <a:pt x="9155583" y="4229803"/>
                </a:moveTo>
                <a:cubicBezTo>
                  <a:pt x="9137796" y="4229803"/>
                  <a:pt x="9123367" y="4216526"/>
                  <a:pt x="9123367" y="4200151"/>
                </a:cubicBezTo>
                <a:cubicBezTo>
                  <a:pt x="9123367" y="4183777"/>
                  <a:pt x="9137796" y="4170499"/>
                  <a:pt x="9155583" y="4170499"/>
                </a:cubicBezTo>
                <a:cubicBezTo>
                  <a:pt x="9173371" y="4170499"/>
                  <a:pt x="9187788" y="4183777"/>
                  <a:pt x="9187788" y="4200151"/>
                </a:cubicBezTo>
                <a:cubicBezTo>
                  <a:pt x="9187788" y="4216526"/>
                  <a:pt x="9173371" y="4229803"/>
                  <a:pt x="9155583" y="4229803"/>
                </a:cubicBezTo>
                <a:close/>
                <a:moveTo>
                  <a:pt x="9234118" y="4229803"/>
                </a:moveTo>
                <a:cubicBezTo>
                  <a:pt x="9216330" y="4229803"/>
                  <a:pt x="9201901" y="4216526"/>
                  <a:pt x="9201901" y="4200151"/>
                </a:cubicBezTo>
                <a:cubicBezTo>
                  <a:pt x="9201901" y="4183777"/>
                  <a:pt x="9216330" y="4170499"/>
                  <a:pt x="9234118" y="4170499"/>
                </a:cubicBezTo>
                <a:cubicBezTo>
                  <a:pt x="9251905" y="4170499"/>
                  <a:pt x="9266322" y="4183777"/>
                  <a:pt x="9266322" y="4200151"/>
                </a:cubicBezTo>
                <a:cubicBezTo>
                  <a:pt x="9266322" y="4216526"/>
                  <a:pt x="9251905" y="4229803"/>
                  <a:pt x="9234118" y="4229803"/>
                </a:cubicBezTo>
                <a:close/>
                <a:moveTo>
                  <a:pt x="9312652" y="4229803"/>
                </a:moveTo>
                <a:cubicBezTo>
                  <a:pt x="9294865" y="4229803"/>
                  <a:pt x="9280436" y="4216526"/>
                  <a:pt x="9280436" y="4200151"/>
                </a:cubicBezTo>
                <a:cubicBezTo>
                  <a:pt x="9280436" y="4183777"/>
                  <a:pt x="9294865" y="4170499"/>
                  <a:pt x="9312652" y="4170499"/>
                </a:cubicBezTo>
                <a:cubicBezTo>
                  <a:pt x="9330439" y="4170499"/>
                  <a:pt x="9344856" y="4183777"/>
                  <a:pt x="9344856" y="4200151"/>
                </a:cubicBezTo>
                <a:cubicBezTo>
                  <a:pt x="9344856" y="4216526"/>
                  <a:pt x="9330439" y="4229803"/>
                  <a:pt x="9312652" y="4229803"/>
                </a:cubicBezTo>
                <a:close/>
                <a:moveTo>
                  <a:pt x="9391185" y="4229803"/>
                </a:moveTo>
                <a:cubicBezTo>
                  <a:pt x="9373398" y="4229803"/>
                  <a:pt x="9358969" y="4216526"/>
                  <a:pt x="9358969" y="4200151"/>
                </a:cubicBezTo>
                <a:cubicBezTo>
                  <a:pt x="9358969" y="4183777"/>
                  <a:pt x="9373398" y="4170499"/>
                  <a:pt x="9391185" y="4170499"/>
                </a:cubicBezTo>
                <a:cubicBezTo>
                  <a:pt x="9408972" y="4170499"/>
                  <a:pt x="9423389" y="4183777"/>
                  <a:pt x="9423389" y="4200151"/>
                </a:cubicBezTo>
                <a:cubicBezTo>
                  <a:pt x="9423389" y="4216526"/>
                  <a:pt x="9408972" y="4229803"/>
                  <a:pt x="9391185" y="4229803"/>
                </a:cubicBezTo>
                <a:close/>
                <a:moveTo>
                  <a:pt x="9469719" y="4229803"/>
                </a:moveTo>
                <a:cubicBezTo>
                  <a:pt x="9451932" y="4229803"/>
                  <a:pt x="9437503" y="4216526"/>
                  <a:pt x="9437503" y="4200151"/>
                </a:cubicBezTo>
                <a:cubicBezTo>
                  <a:pt x="9437503" y="4183777"/>
                  <a:pt x="9451932" y="4170499"/>
                  <a:pt x="9469719" y="4170499"/>
                </a:cubicBezTo>
                <a:cubicBezTo>
                  <a:pt x="9487507" y="4170499"/>
                  <a:pt x="9501924" y="4183777"/>
                  <a:pt x="9501924" y="4200151"/>
                </a:cubicBezTo>
                <a:cubicBezTo>
                  <a:pt x="9501924" y="4216526"/>
                  <a:pt x="9487507" y="4229803"/>
                  <a:pt x="9469719" y="4229803"/>
                </a:cubicBezTo>
                <a:close/>
                <a:moveTo>
                  <a:pt x="9548254" y="4229803"/>
                </a:moveTo>
                <a:cubicBezTo>
                  <a:pt x="9530466" y="4229803"/>
                  <a:pt x="9516037" y="4216526"/>
                  <a:pt x="9516037" y="4200151"/>
                </a:cubicBezTo>
                <a:cubicBezTo>
                  <a:pt x="9516037" y="4183777"/>
                  <a:pt x="9530466" y="4170499"/>
                  <a:pt x="9548254" y="4170499"/>
                </a:cubicBezTo>
                <a:cubicBezTo>
                  <a:pt x="9566041" y="4170499"/>
                  <a:pt x="9580458" y="4183777"/>
                  <a:pt x="9580458" y="4200151"/>
                </a:cubicBezTo>
                <a:cubicBezTo>
                  <a:pt x="9580458" y="4216526"/>
                  <a:pt x="9566041" y="4229803"/>
                  <a:pt x="9548254" y="4229803"/>
                </a:cubicBezTo>
                <a:close/>
                <a:moveTo>
                  <a:pt x="9626787" y="4229803"/>
                </a:moveTo>
                <a:cubicBezTo>
                  <a:pt x="9609000" y="4229803"/>
                  <a:pt x="9594571" y="4216526"/>
                  <a:pt x="9594571" y="4200151"/>
                </a:cubicBezTo>
                <a:cubicBezTo>
                  <a:pt x="9594571" y="4183777"/>
                  <a:pt x="9609000" y="4170499"/>
                  <a:pt x="9626787" y="4170499"/>
                </a:cubicBezTo>
                <a:cubicBezTo>
                  <a:pt x="9644574" y="4170499"/>
                  <a:pt x="9658991" y="4183777"/>
                  <a:pt x="9658991" y="4200151"/>
                </a:cubicBezTo>
                <a:cubicBezTo>
                  <a:pt x="9658991" y="4216526"/>
                  <a:pt x="9644574" y="4229803"/>
                  <a:pt x="9626787" y="4229803"/>
                </a:cubicBezTo>
                <a:close/>
                <a:moveTo>
                  <a:pt x="9783854" y="4229803"/>
                </a:moveTo>
                <a:cubicBezTo>
                  <a:pt x="9766067" y="4229803"/>
                  <a:pt x="9751638" y="4216526"/>
                  <a:pt x="9751638" y="4200151"/>
                </a:cubicBezTo>
                <a:cubicBezTo>
                  <a:pt x="9751638" y="4183777"/>
                  <a:pt x="9766067" y="4170499"/>
                  <a:pt x="9783854" y="4170499"/>
                </a:cubicBezTo>
                <a:cubicBezTo>
                  <a:pt x="9801642" y="4170499"/>
                  <a:pt x="9816059" y="4183777"/>
                  <a:pt x="9816059" y="4200151"/>
                </a:cubicBezTo>
                <a:cubicBezTo>
                  <a:pt x="9816059" y="4216526"/>
                  <a:pt x="9801642" y="4229803"/>
                  <a:pt x="9783854" y="4229803"/>
                </a:cubicBezTo>
                <a:close/>
                <a:moveTo>
                  <a:pt x="2637243" y="4157538"/>
                </a:moveTo>
                <a:cubicBezTo>
                  <a:pt x="2619455" y="4157538"/>
                  <a:pt x="2605032" y="4144260"/>
                  <a:pt x="2605032" y="4127885"/>
                </a:cubicBezTo>
                <a:cubicBezTo>
                  <a:pt x="2605032" y="4111511"/>
                  <a:pt x="2619455" y="4098233"/>
                  <a:pt x="2637243" y="4098233"/>
                </a:cubicBezTo>
                <a:cubicBezTo>
                  <a:pt x="2655030" y="4098233"/>
                  <a:pt x="2669453" y="4111511"/>
                  <a:pt x="2669453" y="4127885"/>
                </a:cubicBezTo>
                <a:cubicBezTo>
                  <a:pt x="2669453" y="4144260"/>
                  <a:pt x="2655030" y="4157538"/>
                  <a:pt x="2637243" y="4157538"/>
                </a:cubicBezTo>
                <a:close/>
                <a:moveTo>
                  <a:pt x="2715777" y="4157538"/>
                </a:moveTo>
                <a:cubicBezTo>
                  <a:pt x="2697990" y="4157538"/>
                  <a:pt x="2683566" y="4144260"/>
                  <a:pt x="2683566" y="4127885"/>
                </a:cubicBezTo>
                <a:cubicBezTo>
                  <a:pt x="2683566" y="4111511"/>
                  <a:pt x="2697990" y="4098233"/>
                  <a:pt x="2715777" y="4098233"/>
                </a:cubicBezTo>
                <a:cubicBezTo>
                  <a:pt x="2733564" y="4098233"/>
                  <a:pt x="2747987" y="4111511"/>
                  <a:pt x="2747987" y="4127885"/>
                </a:cubicBezTo>
                <a:cubicBezTo>
                  <a:pt x="2747987" y="4144260"/>
                  <a:pt x="2733564" y="4157538"/>
                  <a:pt x="2715777" y="4157538"/>
                </a:cubicBezTo>
                <a:close/>
                <a:moveTo>
                  <a:pt x="2794310" y="4157538"/>
                </a:moveTo>
                <a:cubicBezTo>
                  <a:pt x="2776523" y="4157538"/>
                  <a:pt x="2762100" y="4144260"/>
                  <a:pt x="2762100" y="4127885"/>
                </a:cubicBezTo>
                <a:cubicBezTo>
                  <a:pt x="2762100" y="4111511"/>
                  <a:pt x="2776523" y="4098233"/>
                  <a:pt x="2794310" y="4098233"/>
                </a:cubicBezTo>
                <a:cubicBezTo>
                  <a:pt x="2812097" y="4098233"/>
                  <a:pt x="2826520" y="4111511"/>
                  <a:pt x="2826520" y="4127885"/>
                </a:cubicBezTo>
                <a:cubicBezTo>
                  <a:pt x="2826520" y="4144260"/>
                  <a:pt x="2812097" y="4157538"/>
                  <a:pt x="2794310" y="4157538"/>
                </a:cubicBezTo>
                <a:close/>
                <a:moveTo>
                  <a:pt x="2872844" y="4157538"/>
                </a:moveTo>
                <a:cubicBezTo>
                  <a:pt x="2855057" y="4157538"/>
                  <a:pt x="2840634" y="4144260"/>
                  <a:pt x="2840634" y="4127885"/>
                </a:cubicBezTo>
                <a:cubicBezTo>
                  <a:pt x="2840634" y="4111511"/>
                  <a:pt x="2855057" y="4098233"/>
                  <a:pt x="2872844" y="4098233"/>
                </a:cubicBezTo>
                <a:cubicBezTo>
                  <a:pt x="2890632" y="4098233"/>
                  <a:pt x="2905055" y="4111511"/>
                  <a:pt x="2905055" y="4127885"/>
                </a:cubicBezTo>
                <a:cubicBezTo>
                  <a:pt x="2905055" y="4144260"/>
                  <a:pt x="2890632" y="4157538"/>
                  <a:pt x="2872844" y="4157538"/>
                </a:cubicBezTo>
                <a:close/>
                <a:moveTo>
                  <a:pt x="2951379" y="4157538"/>
                </a:moveTo>
                <a:cubicBezTo>
                  <a:pt x="2933591" y="4157538"/>
                  <a:pt x="2919168" y="4144260"/>
                  <a:pt x="2919168" y="4127885"/>
                </a:cubicBezTo>
                <a:cubicBezTo>
                  <a:pt x="2919168" y="4111511"/>
                  <a:pt x="2933591" y="4098233"/>
                  <a:pt x="2951379" y="4098233"/>
                </a:cubicBezTo>
                <a:cubicBezTo>
                  <a:pt x="2969166" y="4098233"/>
                  <a:pt x="2983589" y="4111511"/>
                  <a:pt x="2983589" y="4127885"/>
                </a:cubicBezTo>
                <a:cubicBezTo>
                  <a:pt x="2983589" y="4144260"/>
                  <a:pt x="2969166" y="4157538"/>
                  <a:pt x="2951379" y="4157538"/>
                </a:cubicBezTo>
                <a:close/>
                <a:moveTo>
                  <a:pt x="3029912" y="4157538"/>
                </a:moveTo>
                <a:cubicBezTo>
                  <a:pt x="3012125" y="4157538"/>
                  <a:pt x="2997701" y="4144260"/>
                  <a:pt x="2997701" y="4127885"/>
                </a:cubicBezTo>
                <a:cubicBezTo>
                  <a:pt x="2997701" y="4111511"/>
                  <a:pt x="3012125" y="4098233"/>
                  <a:pt x="3029912" y="4098233"/>
                </a:cubicBezTo>
                <a:cubicBezTo>
                  <a:pt x="3047699" y="4098233"/>
                  <a:pt x="3062122" y="4111511"/>
                  <a:pt x="3062122" y="4127885"/>
                </a:cubicBezTo>
                <a:cubicBezTo>
                  <a:pt x="3062122" y="4144260"/>
                  <a:pt x="3047699" y="4157538"/>
                  <a:pt x="3029912" y="4157538"/>
                </a:cubicBezTo>
                <a:close/>
                <a:moveTo>
                  <a:pt x="3108446" y="4157538"/>
                </a:moveTo>
                <a:cubicBezTo>
                  <a:pt x="3090659" y="4157538"/>
                  <a:pt x="3076236" y="4144260"/>
                  <a:pt x="3076236" y="4127885"/>
                </a:cubicBezTo>
                <a:cubicBezTo>
                  <a:pt x="3076236" y="4111511"/>
                  <a:pt x="3090659" y="4098233"/>
                  <a:pt x="3108446" y="4098233"/>
                </a:cubicBezTo>
                <a:cubicBezTo>
                  <a:pt x="3126233" y="4098233"/>
                  <a:pt x="3140656" y="4111511"/>
                  <a:pt x="3140656" y="4127885"/>
                </a:cubicBezTo>
                <a:cubicBezTo>
                  <a:pt x="3140656" y="4144260"/>
                  <a:pt x="3126233" y="4157538"/>
                  <a:pt x="3108446" y="4157538"/>
                </a:cubicBezTo>
                <a:close/>
                <a:moveTo>
                  <a:pt x="3186979" y="4157538"/>
                </a:moveTo>
                <a:cubicBezTo>
                  <a:pt x="3169192" y="4157538"/>
                  <a:pt x="3154769" y="4144260"/>
                  <a:pt x="3154769" y="4127885"/>
                </a:cubicBezTo>
                <a:cubicBezTo>
                  <a:pt x="3154769" y="4111511"/>
                  <a:pt x="3169192" y="4098233"/>
                  <a:pt x="3186979" y="4098233"/>
                </a:cubicBezTo>
                <a:cubicBezTo>
                  <a:pt x="3204767" y="4098233"/>
                  <a:pt x="3219190" y="4111511"/>
                  <a:pt x="3219190" y="4127885"/>
                </a:cubicBezTo>
                <a:cubicBezTo>
                  <a:pt x="3219190" y="4144260"/>
                  <a:pt x="3204767" y="4157538"/>
                  <a:pt x="3186979" y="4157538"/>
                </a:cubicBezTo>
                <a:close/>
                <a:moveTo>
                  <a:pt x="3265514" y="4157538"/>
                </a:moveTo>
                <a:cubicBezTo>
                  <a:pt x="3247726" y="4157538"/>
                  <a:pt x="3233303" y="4144260"/>
                  <a:pt x="3233303" y="4127885"/>
                </a:cubicBezTo>
                <a:cubicBezTo>
                  <a:pt x="3233303" y="4111511"/>
                  <a:pt x="3247726" y="4098233"/>
                  <a:pt x="3265514" y="4098233"/>
                </a:cubicBezTo>
                <a:cubicBezTo>
                  <a:pt x="3283301" y="4098233"/>
                  <a:pt x="3297724" y="4111511"/>
                  <a:pt x="3297724" y="4127885"/>
                </a:cubicBezTo>
                <a:cubicBezTo>
                  <a:pt x="3297724" y="4144260"/>
                  <a:pt x="3283301" y="4157538"/>
                  <a:pt x="3265514" y="4157538"/>
                </a:cubicBezTo>
                <a:close/>
                <a:moveTo>
                  <a:pt x="3344048" y="4157538"/>
                </a:moveTo>
                <a:cubicBezTo>
                  <a:pt x="3326261" y="4157538"/>
                  <a:pt x="3311837" y="4144260"/>
                  <a:pt x="3311837" y="4127885"/>
                </a:cubicBezTo>
                <a:cubicBezTo>
                  <a:pt x="3311837" y="4111511"/>
                  <a:pt x="3326261" y="4098233"/>
                  <a:pt x="3344048" y="4098233"/>
                </a:cubicBezTo>
                <a:cubicBezTo>
                  <a:pt x="3361835" y="4098233"/>
                  <a:pt x="3376258" y="4111511"/>
                  <a:pt x="3376258" y="4127885"/>
                </a:cubicBezTo>
                <a:cubicBezTo>
                  <a:pt x="3376258" y="4144260"/>
                  <a:pt x="3361835" y="4157538"/>
                  <a:pt x="3344048" y="4157538"/>
                </a:cubicBezTo>
                <a:close/>
                <a:moveTo>
                  <a:pt x="3422581" y="4157538"/>
                </a:moveTo>
                <a:cubicBezTo>
                  <a:pt x="3404794" y="4157538"/>
                  <a:pt x="3390371" y="4144260"/>
                  <a:pt x="3390371" y="4127885"/>
                </a:cubicBezTo>
                <a:cubicBezTo>
                  <a:pt x="3390371" y="4111511"/>
                  <a:pt x="3404794" y="4098233"/>
                  <a:pt x="3422581" y="4098233"/>
                </a:cubicBezTo>
                <a:cubicBezTo>
                  <a:pt x="3440368" y="4098233"/>
                  <a:pt x="3454791" y="4111511"/>
                  <a:pt x="3454791" y="4127885"/>
                </a:cubicBezTo>
                <a:cubicBezTo>
                  <a:pt x="3454791" y="4144260"/>
                  <a:pt x="3440368" y="4157538"/>
                  <a:pt x="3422581" y="4157538"/>
                </a:cubicBezTo>
                <a:close/>
                <a:moveTo>
                  <a:pt x="3501115" y="4157538"/>
                </a:moveTo>
                <a:cubicBezTo>
                  <a:pt x="3483328" y="4157538"/>
                  <a:pt x="3468905" y="4144260"/>
                  <a:pt x="3468905" y="4127885"/>
                </a:cubicBezTo>
                <a:cubicBezTo>
                  <a:pt x="3468905" y="4111511"/>
                  <a:pt x="3483328" y="4098233"/>
                  <a:pt x="3501115" y="4098233"/>
                </a:cubicBezTo>
                <a:cubicBezTo>
                  <a:pt x="3518903" y="4098233"/>
                  <a:pt x="3533326" y="4111511"/>
                  <a:pt x="3533326" y="4127885"/>
                </a:cubicBezTo>
                <a:cubicBezTo>
                  <a:pt x="3533326" y="4144260"/>
                  <a:pt x="3518903" y="4157538"/>
                  <a:pt x="3501115" y="4157538"/>
                </a:cubicBezTo>
                <a:close/>
                <a:moveTo>
                  <a:pt x="3579650" y="4157538"/>
                </a:moveTo>
                <a:cubicBezTo>
                  <a:pt x="3561862" y="4157538"/>
                  <a:pt x="3547439" y="4144260"/>
                  <a:pt x="3547439" y="4127885"/>
                </a:cubicBezTo>
                <a:cubicBezTo>
                  <a:pt x="3547439" y="4111511"/>
                  <a:pt x="3561862" y="4098233"/>
                  <a:pt x="3579650" y="4098233"/>
                </a:cubicBezTo>
                <a:cubicBezTo>
                  <a:pt x="3597437" y="4098233"/>
                  <a:pt x="3611860" y="4111511"/>
                  <a:pt x="3611860" y="4127885"/>
                </a:cubicBezTo>
                <a:cubicBezTo>
                  <a:pt x="3611860" y="4144260"/>
                  <a:pt x="3597437" y="4157538"/>
                  <a:pt x="3579650" y="4157538"/>
                </a:cubicBezTo>
                <a:close/>
                <a:moveTo>
                  <a:pt x="3658183" y="4157538"/>
                </a:moveTo>
                <a:cubicBezTo>
                  <a:pt x="3640396" y="4157538"/>
                  <a:pt x="3625972" y="4144260"/>
                  <a:pt x="3625972" y="4127885"/>
                </a:cubicBezTo>
                <a:cubicBezTo>
                  <a:pt x="3625972" y="4111511"/>
                  <a:pt x="3640396" y="4098233"/>
                  <a:pt x="3658183" y="4098233"/>
                </a:cubicBezTo>
                <a:cubicBezTo>
                  <a:pt x="3675970" y="4098233"/>
                  <a:pt x="3690393" y="4111511"/>
                  <a:pt x="3690393" y="4127885"/>
                </a:cubicBezTo>
                <a:cubicBezTo>
                  <a:pt x="3690393" y="4144260"/>
                  <a:pt x="3675970" y="4157538"/>
                  <a:pt x="3658183" y="4157538"/>
                </a:cubicBezTo>
                <a:close/>
                <a:moveTo>
                  <a:pt x="3736717" y="4157538"/>
                </a:moveTo>
                <a:cubicBezTo>
                  <a:pt x="3718930" y="4157538"/>
                  <a:pt x="3704507" y="4144260"/>
                  <a:pt x="3704507" y="4127885"/>
                </a:cubicBezTo>
                <a:cubicBezTo>
                  <a:pt x="3704507" y="4111511"/>
                  <a:pt x="3718930" y="4098233"/>
                  <a:pt x="3736717" y="4098233"/>
                </a:cubicBezTo>
                <a:cubicBezTo>
                  <a:pt x="3754504" y="4098233"/>
                  <a:pt x="3768927" y="4111511"/>
                  <a:pt x="3768927" y="4127885"/>
                </a:cubicBezTo>
                <a:cubicBezTo>
                  <a:pt x="3768927" y="4144260"/>
                  <a:pt x="3754504" y="4157538"/>
                  <a:pt x="3736717" y="4157538"/>
                </a:cubicBezTo>
                <a:close/>
                <a:moveTo>
                  <a:pt x="3815250" y="4157538"/>
                </a:moveTo>
                <a:cubicBezTo>
                  <a:pt x="3797463" y="4157538"/>
                  <a:pt x="3783040" y="4144260"/>
                  <a:pt x="3783040" y="4127885"/>
                </a:cubicBezTo>
                <a:cubicBezTo>
                  <a:pt x="3783040" y="4111511"/>
                  <a:pt x="3797463" y="4098233"/>
                  <a:pt x="3815250" y="4098233"/>
                </a:cubicBezTo>
                <a:cubicBezTo>
                  <a:pt x="3833038" y="4098233"/>
                  <a:pt x="3847461" y="4111511"/>
                  <a:pt x="3847461" y="4127885"/>
                </a:cubicBezTo>
                <a:cubicBezTo>
                  <a:pt x="3847461" y="4144260"/>
                  <a:pt x="3833038" y="4157538"/>
                  <a:pt x="3815250" y="4157538"/>
                </a:cubicBezTo>
                <a:close/>
                <a:moveTo>
                  <a:pt x="3893785" y="4157538"/>
                </a:moveTo>
                <a:cubicBezTo>
                  <a:pt x="3875997" y="4157538"/>
                  <a:pt x="3861574" y="4144260"/>
                  <a:pt x="3861574" y="4127885"/>
                </a:cubicBezTo>
                <a:cubicBezTo>
                  <a:pt x="3861574" y="4111511"/>
                  <a:pt x="3875997" y="4098233"/>
                  <a:pt x="3893785" y="4098233"/>
                </a:cubicBezTo>
                <a:cubicBezTo>
                  <a:pt x="3911572" y="4098233"/>
                  <a:pt x="3925995" y="4111511"/>
                  <a:pt x="3925995" y="4127885"/>
                </a:cubicBezTo>
                <a:cubicBezTo>
                  <a:pt x="3925995" y="4144260"/>
                  <a:pt x="3911572" y="4157538"/>
                  <a:pt x="3893785" y="4157538"/>
                </a:cubicBezTo>
                <a:close/>
                <a:moveTo>
                  <a:pt x="3972319" y="4157538"/>
                </a:moveTo>
                <a:cubicBezTo>
                  <a:pt x="3954532" y="4157538"/>
                  <a:pt x="3940108" y="4144260"/>
                  <a:pt x="3940108" y="4127885"/>
                </a:cubicBezTo>
                <a:cubicBezTo>
                  <a:pt x="3940108" y="4111511"/>
                  <a:pt x="3954532" y="4098233"/>
                  <a:pt x="3972319" y="4098233"/>
                </a:cubicBezTo>
                <a:cubicBezTo>
                  <a:pt x="3990106" y="4098233"/>
                  <a:pt x="4004529" y="4111511"/>
                  <a:pt x="4004529" y="4127885"/>
                </a:cubicBezTo>
                <a:cubicBezTo>
                  <a:pt x="4004529" y="4144260"/>
                  <a:pt x="3990106" y="4157538"/>
                  <a:pt x="3972319" y="4157538"/>
                </a:cubicBezTo>
                <a:close/>
                <a:moveTo>
                  <a:pt x="4050852" y="4157538"/>
                </a:moveTo>
                <a:cubicBezTo>
                  <a:pt x="4033065" y="4157538"/>
                  <a:pt x="4018642" y="4144260"/>
                  <a:pt x="4018642" y="4127885"/>
                </a:cubicBezTo>
                <a:cubicBezTo>
                  <a:pt x="4018642" y="4111511"/>
                  <a:pt x="4033065" y="4098233"/>
                  <a:pt x="4050852" y="4098233"/>
                </a:cubicBezTo>
                <a:cubicBezTo>
                  <a:pt x="4068639" y="4098233"/>
                  <a:pt x="4083062" y="4111511"/>
                  <a:pt x="4083062" y="4127885"/>
                </a:cubicBezTo>
                <a:cubicBezTo>
                  <a:pt x="4083062" y="4144260"/>
                  <a:pt x="4068639" y="4157538"/>
                  <a:pt x="4050852" y="4157538"/>
                </a:cubicBezTo>
                <a:close/>
                <a:moveTo>
                  <a:pt x="4129386" y="4157538"/>
                </a:moveTo>
                <a:cubicBezTo>
                  <a:pt x="4111599" y="4157538"/>
                  <a:pt x="4097176" y="4144260"/>
                  <a:pt x="4097176" y="4127885"/>
                </a:cubicBezTo>
                <a:cubicBezTo>
                  <a:pt x="4097176" y="4111511"/>
                  <a:pt x="4111599" y="4098233"/>
                  <a:pt x="4129386" y="4098233"/>
                </a:cubicBezTo>
                <a:cubicBezTo>
                  <a:pt x="4147174" y="4098233"/>
                  <a:pt x="4161597" y="4111511"/>
                  <a:pt x="4161597" y="4127885"/>
                </a:cubicBezTo>
                <a:cubicBezTo>
                  <a:pt x="4161597" y="4144260"/>
                  <a:pt x="4147174" y="4157538"/>
                  <a:pt x="4129386" y="4157538"/>
                </a:cubicBezTo>
                <a:close/>
                <a:moveTo>
                  <a:pt x="5857137" y="4157538"/>
                </a:moveTo>
                <a:cubicBezTo>
                  <a:pt x="5839350" y="4157538"/>
                  <a:pt x="5824927" y="4144260"/>
                  <a:pt x="5824927" y="4127885"/>
                </a:cubicBezTo>
                <a:cubicBezTo>
                  <a:pt x="5824927" y="4111511"/>
                  <a:pt x="5839350" y="4098233"/>
                  <a:pt x="5857137" y="4098233"/>
                </a:cubicBezTo>
                <a:cubicBezTo>
                  <a:pt x="5874924" y="4098233"/>
                  <a:pt x="5889347" y="4111511"/>
                  <a:pt x="5889347" y="4127885"/>
                </a:cubicBezTo>
                <a:cubicBezTo>
                  <a:pt x="5889347" y="4144260"/>
                  <a:pt x="5874924" y="4157538"/>
                  <a:pt x="5857137" y="4157538"/>
                </a:cubicBezTo>
                <a:close/>
                <a:moveTo>
                  <a:pt x="5935671" y="4157538"/>
                </a:moveTo>
                <a:cubicBezTo>
                  <a:pt x="5917884" y="4157538"/>
                  <a:pt x="5903461" y="4144260"/>
                  <a:pt x="5903461" y="4127885"/>
                </a:cubicBezTo>
                <a:cubicBezTo>
                  <a:pt x="5903461" y="4111511"/>
                  <a:pt x="5917884" y="4098233"/>
                  <a:pt x="5935671" y="4098233"/>
                </a:cubicBezTo>
                <a:cubicBezTo>
                  <a:pt x="5953458" y="4098233"/>
                  <a:pt x="5967881" y="4111511"/>
                  <a:pt x="5967881" y="4127885"/>
                </a:cubicBezTo>
                <a:cubicBezTo>
                  <a:pt x="5967881" y="4144260"/>
                  <a:pt x="5953458" y="4157538"/>
                  <a:pt x="5935671" y="4157538"/>
                </a:cubicBezTo>
                <a:close/>
                <a:moveTo>
                  <a:pt x="6092739" y="4157538"/>
                </a:moveTo>
                <a:cubicBezTo>
                  <a:pt x="6074951" y="4157538"/>
                  <a:pt x="6060528" y="4144260"/>
                  <a:pt x="6060528" y="4127885"/>
                </a:cubicBezTo>
                <a:cubicBezTo>
                  <a:pt x="6060528" y="4111511"/>
                  <a:pt x="6074951" y="4098233"/>
                  <a:pt x="6092739" y="4098233"/>
                </a:cubicBezTo>
                <a:cubicBezTo>
                  <a:pt x="6110526" y="4098233"/>
                  <a:pt x="6124949" y="4111511"/>
                  <a:pt x="6124949" y="4127885"/>
                </a:cubicBezTo>
                <a:cubicBezTo>
                  <a:pt x="6124949" y="4144260"/>
                  <a:pt x="6110526" y="4157538"/>
                  <a:pt x="6092739" y="4157538"/>
                </a:cubicBezTo>
                <a:close/>
                <a:moveTo>
                  <a:pt x="6171273" y="4157538"/>
                </a:moveTo>
                <a:cubicBezTo>
                  <a:pt x="6153480" y="4157538"/>
                  <a:pt x="6139056" y="4144260"/>
                  <a:pt x="6139056" y="4127885"/>
                </a:cubicBezTo>
                <a:cubicBezTo>
                  <a:pt x="6139056" y="4111511"/>
                  <a:pt x="6153480" y="4098233"/>
                  <a:pt x="6171273" y="4098233"/>
                </a:cubicBezTo>
                <a:cubicBezTo>
                  <a:pt x="6189060" y="4098233"/>
                  <a:pt x="6203477" y="4111511"/>
                  <a:pt x="6203477" y="4127885"/>
                </a:cubicBezTo>
                <a:cubicBezTo>
                  <a:pt x="6203477" y="4144260"/>
                  <a:pt x="6189060" y="4157538"/>
                  <a:pt x="6171273" y="4157538"/>
                </a:cubicBezTo>
                <a:close/>
                <a:moveTo>
                  <a:pt x="6249806" y="4157538"/>
                </a:moveTo>
                <a:cubicBezTo>
                  <a:pt x="6232019" y="4157538"/>
                  <a:pt x="6217590" y="4144260"/>
                  <a:pt x="6217590" y="4127885"/>
                </a:cubicBezTo>
                <a:cubicBezTo>
                  <a:pt x="6217590" y="4111511"/>
                  <a:pt x="6232019" y="4098233"/>
                  <a:pt x="6249806" y="4098233"/>
                </a:cubicBezTo>
                <a:cubicBezTo>
                  <a:pt x="6267593" y="4098233"/>
                  <a:pt x="6282010" y="4111511"/>
                  <a:pt x="6282010" y="4127885"/>
                </a:cubicBezTo>
                <a:cubicBezTo>
                  <a:pt x="6282010" y="4144260"/>
                  <a:pt x="6267593" y="4157538"/>
                  <a:pt x="6249806" y="4157538"/>
                </a:cubicBezTo>
                <a:close/>
                <a:moveTo>
                  <a:pt x="6328340" y="4157538"/>
                </a:moveTo>
                <a:cubicBezTo>
                  <a:pt x="6310553" y="4157538"/>
                  <a:pt x="6296124" y="4144260"/>
                  <a:pt x="6296124" y="4127885"/>
                </a:cubicBezTo>
                <a:cubicBezTo>
                  <a:pt x="6296124" y="4111511"/>
                  <a:pt x="6310553" y="4098233"/>
                  <a:pt x="6328340" y="4098233"/>
                </a:cubicBezTo>
                <a:cubicBezTo>
                  <a:pt x="6346128" y="4098233"/>
                  <a:pt x="6360545" y="4111511"/>
                  <a:pt x="6360545" y="4127885"/>
                </a:cubicBezTo>
                <a:cubicBezTo>
                  <a:pt x="6360545" y="4144260"/>
                  <a:pt x="6346128" y="4157538"/>
                  <a:pt x="6328340" y="4157538"/>
                </a:cubicBezTo>
                <a:close/>
                <a:moveTo>
                  <a:pt x="6406875" y="4157538"/>
                </a:moveTo>
                <a:cubicBezTo>
                  <a:pt x="6389087" y="4157538"/>
                  <a:pt x="6374658" y="4144260"/>
                  <a:pt x="6374658" y="4127885"/>
                </a:cubicBezTo>
                <a:cubicBezTo>
                  <a:pt x="6374658" y="4111511"/>
                  <a:pt x="6389087" y="4098233"/>
                  <a:pt x="6406875" y="4098233"/>
                </a:cubicBezTo>
                <a:cubicBezTo>
                  <a:pt x="6424662" y="4098233"/>
                  <a:pt x="6439079" y="4111511"/>
                  <a:pt x="6439079" y="4127885"/>
                </a:cubicBezTo>
                <a:cubicBezTo>
                  <a:pt x="6439079" y="4144260"/>
                  <a:pt x="6424662" y="4157538"/>
                  <a:pt x="6406875" y="4157538"/>
                </a:cubicBezTo>
                <a:close/>
                <a:moveTo>
                  <a:pt x="6485408" y="4157538"/>
                </a:moveTo>
                <a:cubicBezTo>
                  <a:pt x="6467621" y="4157538"/>
                  <a:pt x="6453191" y="4144260"/>
                  <a:pt x="6453191" y="4127885"/>
                </a:cubicBezTo>
                <a:cubicBezTo>
                  <a:pt x="6453191" y="4111511"/>
                  <a:pt x="6467621" y="4098233"/>
                  <a:pt x="6485408" y="4098233"/>
                </a:cubicBezTo>
                <a:cubicBezTo>
                  <a:pt x="6503195" y="4098233"/>
                  <a:pt x="6517612" y="4111511"/>
                  <a:pt x="6517612" y="4127885"/>
                </a:cubicBezTo>
                <a:cubicBezTo>
                  <a:pt x="6517612" y="4144260"/>
                  <a:pt x="6503195" y="4157538"/>
                  <a:pt x="6485408" y="4157538"/>
                </a:cubicBezTo>
                <a:close/>
                <a:moveTo>
                  <a:pt x="6563942" y="4157538"/>
                </a:moveTo>
                <a:cubicBezTo>
                  <a:pt x="6546155" y="4157538"/>
                  <a:pt x="6531726" y="4144260"/>
                  <a:pt x="6531726" y="4127885"/>
                </a:cubicBezTo>
                <a:cubicBezTo>
                  <a:pt x="6531726" y="4111511"/>
                  <a:pt x="6546155" y="4098233"/>
                  <a:pt x="6563942" y="4098233"/>
                </a:cubicBezTo>
                <a:cubicBezTo>
                  <a:pt x="6581729" y="4098233"/>
                  <a:pt x="6596146" y="4111511"/>
                  <a:pt x="6596146" y="4127885"/>
                </a:cubicBezTo>
                <a:cubicBezTo>
                  <a:pt x="6596146" y="4144260"/>
                  <a:pt x="6581729" y="4157538"/>
                  <a:pt x="6563942" y="4157538"/>
                </a:cubicBezTo>
                <a:close/>
                <a:moveTo>
                  <a:pt x="6642476" y="4157538"/>
                </a:moveTo>
                <a:cubicBezTo>
                  <a:pt x="6624689" y="4157538"/>
                  <a:pt x="6610260" y="4144260"/>
                  <a:pt x="6610260" y="4127885"/>
                </a:cubicBezTo>
                <a:cubicBezTo>
                  <a:pt x="6610260" y="4111511"/>
                  <a:pt x="6624689" y="4098233"/>
                  <a:pt x="6642476" y="4098233"/>
                </a:cubicBezTo>
                <a:cubicBezTo>
                  <a:pt x="6660264" y="4098233"/>
                  <a:pt x="6674681" y="4111511"/>
                  <a:pt x="6674681" y="4127885"/>
                </a:cubicBezTo>
                <a:cubicBezTo>
                  <a:pt x="6674681" y="4144260"/>
                  <a:pt x="6660264" y="4157538"/>
                  <a:pt x="6642476" y="4157538"/>
                </a:cubicBezTo>
                <a:close/>
                <a:moveTo>
                  <a:pt x="6721010" y="4157538"/>
                </a:moveTo>
                <a:cubicBezTo>
                  <a:pt x="6703222" y="4157538"/>
                  <a:pt x="6688793" y="4144260"/>
                  <a:pt x="6688793" y="4127885"/>
                </a:cubicBezTo>
                <a:cubicBezTo>
                  <a:pt x="6688793" y="4111511"/>
                  <a:pt x="6703222" y="4098233"/>
                  <a:pt x="6721010" y="4098233"/>
                </a:cubicBezTo>
                <a:cubicBezTo>
                  <a:pt x="6738797" y="4098233"/>
                  <a:pt x="6753214" y="4111511"/>
                  <a:pt x="6753214" y="4127885"/>
                </a:cubicBezTo>
                <a:cubicBezTo>
                  <a:pt x="6753214" y="4144260"/>
                  <a:pt x="6738797" y="4157538"/>
                  <a:pt x="6721010" y="4157538"/>
                </a:cubicBezTo>
                <a:close/>
                <a:moveTo>
                  <a:pt x="6799544" y="4157538"/>
                </a:moveTo>
                <a:cubicBezTo>
                  <a:pt x="6781757" y="4157538"/>
                  <a:pt x="6767327" y="4144260"/>
                  <a:pt x="6767327" y="4127885"/>
                </a:cubicBezTo>
                <a:cubicBezTo>
                  <a:pt x="6767327" y="4111511"/>
                  <a:pt x="6781757" y="4098233"/>
                  <a:pt x="6799544" y="4098233"/>
                </a:cubicBezTo>
                <a:cubicBezTo>
                  <a:pt x="6817331" y="4098233"/>
                  <a:pt x="6831748" y="4111511"/>
                  <a:pt x="6831748" y="4127885"/>
                </a:cubicBezTo>
                <a:cubicBezTo>
                  <a:pt x="6831748" y="4144260"/>
                  <a:pt x="6817331" y="4157538"/>
                  <a:pt x="6799544" y="4157538"/>
                </a:cubicBezTo>
                <a:close/>
                <a:moveTo>
                  <a:pt x="6878077" y="4157538"/>
                </a:moveTo>
                <a:cubicBezTo>
                  <a:pt x="6860290" y="4157538"/>
                  <a:pt x="6845861" y="4144260"/>
                  <a:pt x="6845861" y="4127885"/>
                </a:cubicBezTo>
                <a:cubicBezTo>
                  <a:pt x="6845861" y="4111511"/>
                  <a:pt x="6860290" y="4098233"/>
                  <a:pt x="6878077" y="4098233"/>
                </a:cubicBezTo>
                <a:cubicBezTo>
                  <a:pt x="6895864" y="4098233"/>
                  <a:pt x="6910281" y="4111511"/>
                  <a:pt x="6910281" y="4127885"/>
                </a:cubicBezTo>
                <a:cubicBezTo>
                  <a:pt x="6910281" y="4144260"/>
                  <a:pt x="6895864" y="4157538"/>
                  <a:pt x="6878077" y="4157538"/>
                </a:cubicBezTo>
                <a:close/>
                <a:moveTo>
                  <a:pt x="6956611" y="4157538"/>
                </a:moveTo>
                <a:cubicBezTo>
                  <a:pt x="6938824" y="4157538"/>
                  <a:pt x="6924395" y="4144260"/>
                  <a:pt x="6924395" y="4127885"/>
                </a:cubicBezTo>
                <a:cubicBezTo>
                  <a:pt x="6924395" y="4111511"/>
                  <a:pt x="6938824" y="4098233"/>
                  <a:pt x="6956611" y="4098233"/>
                </a:cubicBezTo>
                <a:cubicBezTo>
                  <a:pt x="6974399" y="4098233"/>
                  <a:pt x="6988816" y="4111511"/>
                  <a:pt x="6988816" y="4127885"/>
                </a:cubicBezTo>
                <a:cubicBezTo>
                  <a:pt x="6988816" y="4144260"/>
                  <a:pt x="6974399" y="4157538"/>
                  <a:pt x="6956611" y="4157538"/>
                </a:cubicBezTo>
                <a:close/>
                <a:moveTo>
                  <a:pt x="7035146" y="4157538"/>
                </a:moveTo>
                <a:cubicBezTo>
                  <a:pt x="7017358" y="4157538"/>
                  <a:pt x="7002929" y="4144260"/>
                  <a:pt x="7002929" y="4127885"/>
                </a:cubicBezTo>
                <a:cubicBezTo>
                  <a:pt x="7002929" y="4111511"/>
                  <a:pt x="7017358" y="4098233"/>
                  <a:pt x="7035146" y="4098233"/>
                </a:cubicBezTo>
                <a:cubicBezTo>
                  <a:pt x="7052933" y="4098233"/>
                  <a:pt x="7067350" y="4111511"/>
                  <a:pt x="7067350" y="4127885"/>
                </a:cubicBezTo>
                <a:cubicBezTo>
                  <a:pt x="7067350" y="4144260"/>
                  <a:pt x="7052933" y="4157538"/>
                  <a:pt x="7035146" y="4157538"/>
                </a:cubicBezTo>
                <a:close/>
                <a:moveTo>
                  <a:pt x="7113703" y="4157538"/>
                </a:moveTo>
                <a:cubicBezTo>
                  <a:pt x="7095916" y="4157538"/>
                  <a:pt x="7081487" y="4144260"/>
                  <a:pt x="7081487" y="4127885"/>
                </a:cubicBezTo>
                <a:cubicBezTo>
                  <a:pt x="7081487" y="4111511"/>
                  <a:pt x="7095916" y="4098233"/>
                  <a:pt x="7113703" y="4098233"/>
                </a:cubicBezTo>
                <a:cubicBezTo>
                  <a:pt x="7131490" y="4098233"/>
                  <a:pt x="7145907" y="4111511"/>
                  <a:pt x="7145907" y="4127885"/>
                </a:cubicBezTo>
                <a:cubicBezTo>
                  <a:pt x="7145907" y="4144260"/>
                  <a:pt x="7131490" y="4157538"/>
                  <a:pt x="7113703" y="4157538"/>
                </a:cubicBezTo>
                <a:close/>
                <a:moveTo>
                  <a:pt x="7192237" y="4157538"/>
                </a:moveTo>
                <a:cubicBezTo>
                  <a:pt x="7174450" y="4157538"/>
                  <a:pt x="7160021" y="4144260"/>
                  <a:pt x="7160021" y="4127885"/>
                </a:cubicBezTo>
                <a:cubicBezTo>
                  <a:pt x="7160021" y="4111511"/>
                  <a:pt x="7174450" y="4098233"/>
                  <a:pt x="7192237" y="4098233"/>
                </a:cubicBezTo>
                <a:cubicBezTo>
                  <a:pt x="7210024" y="4098233"/>
                  <a:pt x="7224441" y="4111511"/>
                  <a:pt x="7224441" y="4127885"/>
                </a:cubicBezTo>
                <a:cubicBezTo>
                  <a:pt x="7224441" y="4144260"/>
                  <a:pt x="7210024" y="4157538"/>
                  <a:pt x="7192237" y="4157538"/>
                </a:cubicBezTo>
                <a:close/>
                <a:moveTo>
                  <a:pt x="7270771" y="4157538"/>
                </a:moveTo>
                <a:cubicBezTo>
                  <a:pt x="7252984" y="4157538"/>
                  <a:pt x="7238555" y="4144260"/>
                  <a:pt x="7238555" y="4127885"/>
                </a:cubicBezTo>
                <a:cubicBezTo>
                  <a:pt x="7238555" y="4111511"/>
                  <a:pt x="7252984" y="4098233"/>
                  <a:pt x="7270771" y="4098233"/>
                </a:cubicBezTo>
                <a:cubicBezTo>
                  <a:pt x="7288559" y="4098233"/>
                  <a:pt x="7302976" y="4111511"/>
                  <a:pt x="7302976" y="4127885"/>
                </a:cubicBezTo>
                <a:cubicBezTo>
                  <a:pt x="7302976" y="4144260"/>
                  <a:pt x="7288559" y="4157538"/>
                  <a:pt x="7270771" y="4157538"/>
                </a:cubicBezTo>
                <a:close/>
                <a:moveTo>
                  <a:pt x="7349305" y="4157538"/>
                </a:moveTo>
                <a:cubicBezTo>
                  <a:pt x="7331517" y="4157538"/>
                  <a:pt x="7317088" y="4144260"/>
                  <a:pt x="7317088" y="4127885"/>
                </a:cubicBezTo>
                <a:cubicBezTo>
                  <a:pt x="7317088" y="4111511"/>
                  <a:pt x="7331517" y="4098233"/>
                  <a:pt x="7349305" y="4098233"/>
                </a:cubicBezTo>
                <a:cubicBezTo>
                  <a:pt x="7367092" y="4098233"/>
                  <a:pt x="7381509" y="4111511"/>
                  <a:pt x="7381509" y="4127885"/>
                </a:cubicBezTo>
                <a:cubicBezTo>
                  <a:pt x="7381509" y="4144260"/>
                  <a:pt x="7367092" y="4157538"/>
                  <a:pt x="7349305" y="4157538"/>
                </a:cubicBezTo>
                <a:close/>
                <a:moveTo>
                  <a:pt x="7427839" y="4157538"/>
                </a:moveTo>
                <a:cubicBezTo>
                  <a:pt x="7410052" y="4157538"/>
                  <a:pt x="7395623" y="4144260"/>
                  <a:pt x="7395623" y="4127885"/>
                </a:cubicBezTo>
                <a:cubicBezTo>
                  <a:pt x="7395623" y="4111511"/>
                  <a:pt x="7410052" y="4098233"/>
                  <a:pt x="7427839" y="4098233"/>
                </a:cubicBezTo>
                <a:cubicBezTo>
                  <a:pt x="7445626" y="4098233"/>
                  <a:pt x="7460043" y="4111511"/>
                  <a:pt x="7460043" y="4127885"/>
                </a:cubicBezTo>
                <a:cubicBezTo>
                  <a:pt x="7460043" y="4144260"/>
                  <a:pt x="7445626" y="4157538"/>
                  <a:pt x="7427839" y="4157538"/>
                </a:cubicBezTo>
                <a:close/>
                <a:moveTo>
                  <a:pt x="7506373" y="4157538"/>
                </a:moveTo>
                <a:cubicBezTo>
                  <a:pt x="7488586" y="4157538"/>
                  <a:pt x="7474157" y="4144260"/>
                  <a:pt x="7474157" y="4127885"/>
                </a:cubicBezTo>
                <a:cubicBezTo>
                  <a:pt x="7474157" y="4111511"/>
                  <a:pt x="7488586" y="4098233"/>
                  <a:pt x="7506373" y="4098233"/>
                </a:cubicBezTo>
                <a:cubicBezTo>
                  <a:pt x="7524160" y="4098233"/>
                  <a:pt x="7538577" y="4111511"/>
                  <a:pt x="7538577" y="4127885"/>
                </a:cubicBezTo>
                <a:cubicBezTo>
                  <a:pt x="7538577" y="4144260"/>
                  <a:pt x="7524160" y="4157538"/>
                  <a:pt x="7506373" y="4157538"/>
                </a:cubicBezTo>
                <a:close/>
                <a:moveTo>
                  <a:pt x="7584906" y="4157538"/>
                </a:moveTo>
                <a:cubicBezTo>
                  <a:pt x="7567119" y="4157538"/>
                  <a:pt x="7552690" y="4144260"/>
                  <a:pt x="7552690" y="4127885"/>
                </a:cubicBezTo>
                <a:cubicBezTo>
                  <a:pt x="7552690" y="4111511"/>
                  <a:pt x="7567119" y="4098233"/>
                  <a:pt x="7584906" y="4098233"/>
                </a:cubicBezTo>
                <a:cubicBezTo>
                  <a:pt x="7602694" y="4098233"/>
                  <a:pt x="7617111" y="4111511"/>
                  <a:pt x="7617111" y="4127885"/>
                </a:cubicBezTo>
                <a:cubicBezTo>
                  <a:pt x="7617111" y="4144260"/>
                  <a:pt x="7602694" y="4157538"/>
                  <a:pt x="7584906" y="4157538"/>
                </a:cubicBezTo>
                <a:close/>
                <a:moveTo>
                  <a:pt x="7663441" y="4157538"/>
                </a:moveTo>
                <a:cubicBezTo>
                  <a:pt x="7645653" y="4157538"/>
                  <a:pt x="7631224" y="4144260"/>
                  <a:pt x="7631224" y="4127885"/>
                </a:cubicBezTo>
                <a:cubicBezTo>
                  <a:pt x="7631224" y="4111511"/>
                  <a:pt x="7645653" y="4098233"/>
                  <a:pt x="7663441" y="4098233"/>
                </a:cubicBezTo>
                <a:cubicBezTo>
                  <a:pt x="7681228" y="4098233"/>
                  <a:pt x="7695645" y="4111511"/>
                  <a:pt x="7695645" y="4127885"/>
                </a:cubicBezTo>
                <a:cubicBezTo>
                  <a:pt x="7695645" y="4144260"/>
                  <a:pt x="7681228" y="4157538"/>
                  <a:pt x="7663441" y="4157538"/>
                </a:cubicBezTo>
                <a:close/>
                <a:moveTo>
                  <a:pt x="7741974" y="4157538"/>
                </a:moveTo>
                <a:cubicBezTo>
                  <a:pt x="7724187" y="4157538"/>
                  <a:pt x="7709758" y="4144260"/>
                  <a:pt x="7709758" y="4127885"/>
                </a:cubicBezTo>
                <a:cubicBezTo>
                  <a:pt x="7709758" y="4111511"/>
                  <a:pt x="7724187" y="4098233"/>
                  <a:pt x="7741974" y="4098233"/>
                </a:cubicBezTo>
                <a:cubicBezTo>
                  <a:pt x="7759761" y="4098233"/>
                  <a:pt x="7774178" y="4111511"/>
                  <a:pt x="7774178" y="4127885"/>
                </a:cubicBezTo>
                <a:cubicBezTo>
                  <a:pt x="7774178" y="4144260"/>
                  <a:pt x="7759761" y="4157538"/>
                  <a:pt x="7741974" y="4157538"/>
                </a:cubicBezTo>
                <a:close/>
                <a:moveTo>
                  <a:pt x="7820508" y="4157538"/>
                </a:moveTo>
                <a:cubicBezTo>
                  <a:pt x="7802721" y="4157538"/>
                  <a:pt x="7788292" y="4144260"/>
                  <a:pt x="7788292" y="4127885"/>
                </a:cubicBezTo>
                <a:cubicBezTo>
                  <a:pt x="7788292" y="4111511"/>
                  <a:pt x="7802721" y="4098233"/>
                  <a:pt x="7820508" y="4098233"/>
                </a:cubicBezTo>
                <a:cubicBezTo>
                  <a:pt x="7838295" y="4098233"/>
                  <a:pt x="7852712" y="4111511"/>
                  <a:pt x="7852712" y="4127885"/>
                </a:cubicBezTo>
                <a:cubicBezTo>
                  <a:pt x="7852712" y="4144260"/>
                  <a:pt x="7838295" y="4157538"/>
                  <a:pt x="7820508" y="4157538"/>
                </a:cubicBezTo>
                <a:close/>
                <a:moveTo>
                  <a:pt x="7899042" y="4157538"/>
                </a:moveTo>
                <a:cubicBezTo>
                  <a:pt x="7881255" y="4157538"/>
                  <a:pt x="7866826" y="4144260"/>
                  <a:pt x="7866826" y="4127885"/>
                </a:cubicBezTo>
                <a:cubicBezTo>
                  <a:pt x="7866826" y="4111511"/>
                  <a:pt x="7881255" y="4098233"/>
                  <a:pt x="7899042" y="4098233"/>
                </a:cubicBezTo>
                <a:cubicBezTo>
                  <a:pt x="7916830" y="4098233"/>
                  <a:pt x="7931247" y="4111511"/>
                  <a:pt x="7931247" y="4127885"/>
                </a:cubicBezTo>
                <a:cubicBezTo>
                  <a:pt x="7931247" y="4144260"/>
                  <a:pt x="7916830" y="4157538"/>
                  <a:pt x="7899042" y="4157538"/>
                </a:cubicBezTo>
                <a:close/>
                <a:moveTo>
                  <a:pt x="7977576" y="4157538"/>
                </a:moveTo>
                <a:cubicBezTo>
                  <a:pt x="7959788" y="4157538"/>
                  <a:pt x="7945359" y="4144260"/>
                  <a:pt x="7945359" y="4127885"/>
                </a:cubicBezTo>
                <a:cubicBezTo>
                  <a:pt x="7945359" y="4111511"/>
                  <a:pt x="7959788" y="4098233"/>
                  <a:pt x="7977576" y="4098233"/>
                </a:cubicBezTo>
                <a:cubicBezTo>
                  <a:pt x="7995363" y="4098233"/>
                  <a:pt x="8009780" y="4111511"/>
                  <a:pt x="8009780" y="4127885"/>
                </a:cubicBezTo>
                <a:cubicBezTo>
                  <a:pt x="8009780" y="4144260"/>
                  <a:pt x="7995363" y="4157538"/>
                  <a:pt x="7977576" y="4157538"/>
                </a:cubicBezTo>
                <a:close/>
                <a:moveTo>
                  <a:pt x="8056110" y="4157538"/>
                </a:moveTo>
                <a:cubicBezTo>
                  <a:pt x="8038323" y="4157538"/>
                  <a:pt x="8023894" y="4144260"/>
                  <a:pt x="8023894" y="4127885"/>
                </a:cubicBezTo>
                <a:cubicBezTo>
                  <a:pt x="8023894" y="4111511"/>
                  <a:pt x="8038323" y="4098233"/>
                  <a:pt x="8056110" y="4098233"/>
                </a:cubicBezTo>
                <a:cubicBezTo>
                  <a:pt x="8073897" y="4098233"/>
                  <a:pt x="8088314" y="4111511"/>
                  <a:pt x="8088314" y="4127885"/>
                </a:cubicBezTo>
                <a:cubicBezTo>
                  <a:pt x="8088314" y="4144260"/>
                  <a:pt x="8073897" y="4157538"/>
                  <a:pt x="8056110" y="4157538"/>
                </a:cubicBezTo>
                <a:close/>
                <a:moveTo>
                  <a:pt x="8134643" y="4157538"/>
                </a:moveTo>
                <a:cubicBezTo>
                  <a:pt x="8116856" y="4157538"/>
                  <a:pt x="8102427" y="4144260"/>
                  <a:pt x="8102427" y="4127885"/>
                </a:cubicBezTo>
                <a:cubicBezTo>
                  <a:pt x="8102427" y="4111511"/>
                  <a:pt x="8116856" y="4098233"/>
                  <a:pt x="8134643" y="4098233"/>
                </a:cubicBezTo>
                <a:cubicBezTo>
                  <a:pt x="8152430" y="4098233"/>
                  <a:pt x="8166847" y="4111511"/>
                  <a:pt x="8166847" y="4127885"/>
                </a:cubicBezTo>
                <a:cubicBezTo>
                  <a:pt x="8166847" y="4144260"/>
                  <a:pt x="8152430" y="4157538"/>
                  <a:pt x="8134643" y="4157538"/>
                </a:cubicBezTo>
                <a:close/>
                <a:moveTo>
                  <a:pt x="8213177" y="4157538"/>
                </a:moveTo>
                <a:cubicBezTo>
                  <a:pt x="8195390" y="4157538"/>
                  <a:pt x="8180961" y="4144260"/>
                  <a:pt x="8180961" y="4127885"/>
                </a:cubicBezTo>
                <a:cubicBezTo>
                  <a:pt x="8180961" y="4111511"/>
                  <a:pt x="8195390" y="4098233"/>
                  <a:pt x="8213177" y="4098233"/>
                </a:cubicBezTo>
                <a:cubicBezTo>
                  <a:pt x="8230965" y="4098233"/>
                  <a:pt x="8245382" y="4111511"/>
                  <a:pt x="8245382" y="4127885"/>
                </a:cubicBezTo>
                <a:cubicBezTo>
                  <a:pt x="8245382" y="4144260"/>
                  <a:pt x="8230965" y="4157538"/>
                  <a:pt x="8213177" y="4157538"/>
                </a:cubicBezTo>
                <a:close/>
                <a:moveTo>
                  <a:pt x="8291712" y="4157538"/>
                </a:moveTo>
                <a:cubicBezTo>
                  <a:pt x="8273924" y="4157538"/>
                  <a:pt x="8259495" y="4144260"/>
                  <a:pt x="8259495" y="4127885"/>
                </a:cubicBezTo>
                <a:cubicBezTo>
                  <a:pt x="8259495" y="4111511"/>
                  <a:pt x="8273924" y="4098233"/>
                  <a:pt x="8291712" y="4098233"/>
                </a:cubicBezTo>
                <a:cubicBezTo>
                  <a:pt x="8309499" y="4098233"/>
                  <a:pt x="8323916" y="4111511"/>
                  <a:pt x="8323916" y="4127885"/>
                </a:cubicBezTo>
                <a:cubicBezTo>
                  <a:pt x="8323916" y="4144260"/>
                  <a:pt x="8309499" y="4157538"/>
                  <a:pt x="8291712" y="4157538"/>
                </a:cubicBezTo>
                <a:close/>
                <a:moveTo>
                  <a:pt x="8370245" y="4157538"/>
                </a:moveTo>
                <a:cubicBezTo>
                  <a:pt x="8352458" y="4157538"/>
                  <a:pt x="8338029" y="4144260"/>
                  <a:pt x="8338029" y="4127885"/>
                </a:cubicBezTo>
                <a:cubicBezTo>
                  <a:pt x="8338029" y="4111511"/>
                  <a:pt x="8352458" y="4098233"/>
                  <a:pt x="8370245" y="4098233"/>
                </a:cubicBezTo>
                <a:cubicBezTo>
                  <a:pt x="8388032" y="4098233"/>
                  <a:pt x="8402449" y="4111511"/>
                  <a:pt x="8402449" y="4127885"/>
                </a:cubicBezTo>
                <a:cubicBezTo>
                  <a:pt x="8402449" y="4144260"/>
                  <a:pt x="8388032" y="4157538"/>
                  <a:pt x="8370245" y="4157538"/>
                </a:cubicBezTo>
                <a:close/>
                <a:moveTo>
                  <a:pt x="8448779" y="4157538"/>
                </a:moveTo>
                <a:cubicBezTo>
                  <a:pt x="8430992" y="4157538"/>
                  <a:pt x="8416563" y="4144260"/>
                  <a:pt x="8416563" y="4127885"/>
                </a:cubicBezTo>
                <a:cubicBezTo>
                  <a:pt x="8416563" y="4111511"/>
                  <a:pt x="8430992" y="4098233"/>
                  <a:pt x="8448779" y="4098233"/>
                </a:cubicBezTo>
                <a:cubicBezTo>
                  <a:pt x="8466566" y="4098233"/>
                  <a:pt x="8480983" y="4111511"/>
                  <a:pt x="8480983" y="4127885"/>
                </a:cubicBezTo>
                <a:cubicBezTo>
                  <a:pt x="8480983" y="4144260"/>
                  <a:pt x="8466566" y="4157538"/>
                  <a:pt x="8448779" y="4157538"/>
                </a:cubicBezTo>
                <a:close/>
                <a:moveTo>
                  <a:pt x="8527313" y="4157538"/>
                </a:moveTo>
                <a:cubicBezTo>
                  <a:pt x="8509526" y="4157538"/>
                  <a:pt x="8495097" y="4144260"/>
                  <a:pt x="8495097" y="4127885"/>
                </a:cubicBezTo>
                <a:cubicBezTo>
                  <a:pt x="8495097" y="4111511"/>
                  <a:pt x="8509526" y="4098233"/>
                  <a:pt x="8527313" y="4098233"/>
                </a:cubicBezTo>
                <a:cubicBezTo>
                  <a:pt x="8545101" y="4098233"/>
                  <a:pt x="8559518" y="4111511"/>
                  <a:pt x="8559518" y="4127885"/>
                </a:cubicBezTo>
                <a:cubicBezTo>
                  <a:pt x="8559518" y="4144260"/>
                  <a:pt x="8545101" y="4157538"/>
                  <a:pt x="8527313" y="4157538"/>
                </a:cubicBezTo>
                <a:close/>
                <a:moveTo>
                  <a:pt x="8605847" y="4157538"/>
                </a:moveTo>
                <a:cubicBezTo>
                  <a:pt x="8588059" y="4157538"/>
                  <a:pt x="8573630" y="4144260"/>
                  <a:pt x="8573630" y="4127885"/>
                </a:cubicBezTo>
                <a:cubicBezTo>
                  <a:pt x="8573630" y="4111511"/>
                  <a:pt x="8588059" y="4098233"/>
                  <a:pt x="8605847" y="4098233"/>
                </a:cubicBezTo>
                <a:cubicBezTo>
                  <a:pt x="8623634" y="4098233"/>
                  <a:pt x="8638051" y="4111511"/>
                  <a:pt x="8638051" y="4127885"/>
                </a:cubicBezTo>
                <a:cubicBezTo>
                  <a:pt x="8638051" y="4144260"/>
                  <a:pt x="8623634" y="4157538"/>
                  <a:pt x="8605847" y="4157538"/>
                </a:cubicBezTo>
                <a:close/>
                <a:moveTo>
                  <a:pt x="8684381" y="4157538"/>
                </a:moveTo>
                <a:cubicBezTo>
                  <a:pt x="8666594" y="4157538"/>
                  <a:pt x="8652165" y="4144260"/>
                  <a:pt x="8652165" y="4127885"/>
                </a:cubicBezTo>
                <a:cubicBezTo>
                  <a:pt x="8652165" y="4111511"/>
                  <a:pt x="8666594" y="4098233"/>
                  <a:pt x="8684381" y="4098233"/>
                </a:cubicBezTo>
                <a:cubicBezTo>
                  <a:pt x="8702168" y="4098233"/>
                  <a:pt x="8716585" y="4111511"/>
                  <a:pt x="8716585" y="4127885"/>
                </a:cubicBezTo>
                <a:cubicBezTo>
                  <a:pt x="8716585" y="4144260"/>
                  <a:pt x="8702168" y="4157538"/>
                  <a:pt x="8684381" y="4157538"/>
                </a:cubicBezTo>
                <a:close/>
                <a:moveTo>
                  <a:pt x="8762914" y="4157538"/>
                </a:moveTo>
                <a:cubicBezTo>
                  <a:pt x="8745127" y="4157538"/>
                  <a:pt x="8730698" y="4144260"/>
                  <a:pt x="8730698" y="4127885"/>
                </a:cubicBezTo>
                <a:cubicBezTo>
                  <a:pt x="8730698" y="4111511"/>
                  <a:pt x="8745127" y="4098233"/>
                  <a:pt x="8762914" y="4098233"/>
                </a:cubicBezTo>
                <a:cubicBezTo>
                  <a:pt x="8780701" y="4098233"/>
                  <a:pt x="8795118" y="4111511"/>
                  <a:pt x="8795118" y="4127885"/>
                </a:cubicBezTo>
                <a:cubicBezTo>
                  <a:pt x="8795118" y="4144260"/>
                  <a:pt x="8780701" y="4157538"/>
                  <a:pt x="8762914" y="4157538"/>
                </a:cubicBezTo>
                <a:close/>
                <a:moveTo>
                  <a:pt x="8841448" y="4157538"/>
                </a:moveTo>
                <a:cubicBezTo>
                  <a:pt x="8823661" y="4157538"/>
                  <a:pt x="8809232" y="4144260"/>
                  <a:pt x="8809232" y="4127885"/>
                </a:cubicBezTo>
                <a:cubicBezTo>
                  <a:pt x="8809232" y="4111511"/>
                  <a:pt x="8823661" y="4098233"/>
                  <a:pt x="8841448" y="4098233"/>
                </a:cubicBezTo>
                <a:cubicBezTo>
                  <a:pt x="8859236" y="4098233"/>
                  <a:pt x="8873653" y="4111511"/>
                  <a:pt x="8873653" y="4127885"/>
                </a:cubicBezTo>
                <a:cubicBezTo>
                  <a:pt x="8873653" y="4144260"/>
                  <a:pt x="8859236" y="4157538"/>
                  <a:pt x="8841448" y="4157538"/>
                </a:cubicBezTo>
                <a:close/>
                <a:moveTo>
                  <a:pt x="8919983" y="4157538"/>
                </a:moveTo>
                <a:cubicBezTo>
                  <a:pt x="8902195" y="4157538"/>
                  <a:pt x="8887766" y="4144260"/>
                  <a:pt x="8887766" y="4127885"/>
                </a:cubicBezTo>
                <a:cubicBezTo>
                  <a:pt x="8887766" y="4111511"/>
                  <a:pt x="8902195" y="4098233"/>
                  <a:pt x="8919983" y="4098233"/>
                </a:cubicBezTo>
                <a:cubicBezTo>
                  <a:pt x="8937770" y="4098233"/>
                  <a:pt x="8952187" y="4111511"/>
                  <a:pt x="8952187" y="4127885"/>
                </a:cubicBezTo>
                <a:cubicBezTo>
                  <a:pt x="8952187" y="4144260"/>
                  <a:pt x="8937770" y="4157538"/>
                  <a:pt x="8919983" y="4157538"/>
                </a:cubicBezTo>
                <a:close/>
                <a:moveTo>
                  <a:pt x="8998516" y="4157538"/>
                </a:moveTo>
                <a:cubicBezTo>
                  <a:pt x="8980729" y="4157538"/>
                  <a:pt x="8966300" y="4144260"/>
                  <a:pt x="8966300" y="4127885"/>
                </a:cubicBezTo>
                <a:cubicBezTo>
                  <a:pt x="8966300" y="4111511"/>
                  <a:pt x="8980729" y="4098233"/>
                  <a:pt x="8998516" y="4098233"/>
                </a:cubicBezTo>
                <a:cubicBezTo>
                  <a:pt x="9016303" y="4098233"/>
                  <a:pt x="9030720" y="4111511"/>
                  <a:pt x="9030720" y="4127885"/>
                </a:cubicBezTo>
                <a:cubicBezTo>
                  <a:pt x="9030720" y="4144260"/>
                  <a:pt x="9016303" y="4157538"/>
                  <a:pt x="8998516" y="4157538"/>
                </a:cubicBezTo>
                <a:close/>
                <a:moveTo>
                  <a:pt x="9077050" y="4157538"/>
                </a:moveTo>
                <a:cubicBezTo>
                  <a:pt x="9059263" y="4157538"/>
                  <a:pt x="9044834" y="4144260"/>
                  <a:pt x="9044834" y="4127885"/>
                </a:cubicBezTo>
                <a:cubicBezTo>
                  <a:pt x="9044834" y="4111511"/>
                  <a:pt x="9059263" y="4098233"/>
                  <a:pt x="9077050" y="4098233"/>
                </a:cubicBezTo>
                <a:cubicBezTo>
                  <a:pt x="9094837" y="4098233"/>
                  <a:pt x="9109254" y="4111511"/>
                  <a:pt x="9109254" y="4127885"/>
                </a:cubicBezTo>
                <a:cubicBezTo>
                  <a:pt x="9109254" y="4144260"/>
                  <a:pt x="9094837" y="4157538"/>
                  <a:pt x="9077050" y="4157538"/>
                </a:cubicBezTo>
                <a:close/>
                <a:moveTo>
                  <a:pt x="9155583" y="4157538"/>
                </a:moveTo>
                <a:cubicBezTo>
                  <a:pt x="9137796" y="4157538"/>
                  <a:pt x="9123367" y="4144260"/>
                  <a:pt x="9123367" y="4127885"/>
                </a:cubicBezTo>
                <a:cubicBezTo>
                  <a:pt x="9123367" y="4111511"/>
                  <a:pt x="9137796" y="4098233"/>
                  <a:pt x="9155583" y="4098233"/>
                </a:cubicBezTo>
                <a:cubicBezTo>
                  <a:pt x="9173371" y="4098233"/>
                  <a:pt x="9187788" y="4111511"/>
                  <a:pt x="9187788" y="4127885"/>
                </a:cubicBezTo>
                <a:cubicBezTo>
                  <a:pt x="9187788" y="4144260"/>
                  <a:pt x="9173371" y="4157538"/>
                  <a:pt x="9155583" y="4157538"/>
                </a:cubicBezTo>
                <a:close/>
                <a:moveTo>
                  <a:pt x="9234118" y="4157538"/>
                </a:moveTo>
                <a:cubicBezTo>
                  <a:pt x="9216330" y="4157538"/>
                  <a:pt x="9201901" y="4144260"/>
                  <a:pt x="9201901" y="4127885"/>
                </a:cubicBezTo>
                <a:cubicBezTo>
                  <a:pt x="9201901" y="4111511"/>
                  <a:pt x="9216330" y="4098233"/>
                  <a:pt x="9234118" y="4098233"/>
                </a:cubicBezTo>
                <a:cubicBezTo>
                  <a:pt x="9251905" y="4098233"/>
                  <a:pt x="9266322" y="4111511"/>
                  <a:pt x="9266322" y="4127885"/>
                </a:cubicBezTo>
                <a:cubicBezTo>
                  <a:pt x="9266322" y="4144260"/>
                  <a:pt x="9251905" y="4157538"/>
                  <a:pt x="9234118" y="4157538"/>
                </a:cubicBezTo>
                <a:close/>
                <a:moveTo>
                  <a:pt x="9312652" y="4157538"/>
                </a:moveTo>
                <a:cubicBezTo>
                  <a:pt x="9294865" y="4157538"/>
                  <a:pt x="9280436" y="4144260"/>
                  <a:pt x="9280436" y="4127885"/>
                </a:cubicBezTo>
                <a:cubicBezTo>
                  <a:pt x="9280436" y="4111511"/>
                  <a:pt x="9294865" y="4098233"/>
                  <a:pt x="9312652" y="4098233"/>
                </a:cubicBezTo>
                <a:cubicBezTo>
                  <a:pt x="9330439" y="4098233"/>
                  <a:pt x="9344856" y="4111511"/>
                  <a:pt x="9344856" y="4127885"/>
                </a:cubicBezTo>
                <a:cubicBezTo>
                  <a:pt x="9344856" y="4144260"/>
                  <a:pt x="9330439" y="4157538"/>
                  <a:pt x="9312652" y="4157538"/>
                </a:cubicBezTo>
                <a:close/>
                <a:moveTo>
                  <a:pt x="9391185" y="4157538"/>
                </a:moveTo>
                <a:cubicBezTo>
                  <a:pt x="9373398" y="4157538"/>
                  <a:pt x="9358969" y="4144260"/>
                  <a:pt x="9358969" y="4127885"/>
                </a:cubicBezTo>
                <a:cubicBezTo>
                  <a:pt x="9358969" y="4111511"/>
                  <a:pt x="9373398" y="4098233"/>
                  <a:pt x="9391185" y="4098233"/>
                </a:cubicBezTo>
                <a:cubicBezTo>
                  <a:pt x="9408972" y="4098233"/>
                  <a:pt x="9423389" y="4111511"/>
                  <a:pt x="9423389" y="4127885"/>
                </a:cubicBezTo>
                <a:cubicBezTo>
                  <a:pt x="9423389" y="4144260"/>
                  <a:pt x="9408972" y="4157538"/>
                  <a:pt x="9391185" y="4157538"/>
                </a:cubicBezTo>
                <a:close/>
                <a:moveTo>
                  <a:pt x="9469719" y="4157538"/>
                </a:moveTo>
                <a:cubicBezTo>
                  <a:pt x="9451932" y="4157538"/>
                  <a:pt x="9437503" y="4144260"/>
                  <a:pt x="9437503" y="4127885"/>
                </a:cubicBezTo>
                <a:cubicBezTo>
                  <a:pt x="9437503" y="4111511"/>
                  <a:pt x="9451932" y="4098233"/>
                  <a:pt x="9469719" y="4098233"/>
                </a:cubicBezTo>
                <a:cubicBezTo>
                  <a:pt x="9487507" y="4098233"/>
                  <a:pt x="9501924" y="4111511"/>
                  <a:pt x="9501924" y="4127885"/>
                </a:cubicBezTo>
                <a:cubicBezTo>
                  <a:pt x="9501924" y="4144260"/>
                  <a:pt x="9487507" y="4157538"/>
                  <a:pt x="9469719" y="4157538"/>
                </a:cubicBezTo>
                <a:close/>
                <a:moveTo>
                  <a:pt x="9548254" y="4157538"/>
                </a:moveTo>
                <a:cubicBezTo>
                  <a:pt x="9530466" y="4157538"/>
                  <a:pt x="9516037" y="4144260"/>
                  <a:pt x="9516037" y="4127885"/>
                </a:cubicBezTo>
                <a:cubicBezTo>
                  <a:pt x="9516037" y="4111511"/>
                  <a:pt x="9530466" y="4098233"/>
                  <a:pt x="9548254" y="4098233"/>
                </a:cubicBezTo>
                <a:cubicBezTo>
                  <a:pt x="9566041" y="4098233"/>
                  <a:pt x="9580458" y="4111511"/>
                  <a:pt x="9580458" y="4127885"/>
                </a:cubicBezTo>
                <a:cubicBezTo>
                  <a:pt x="9580458" y="4144260"/>
                  <a:pt x="9566041" y="4157538"/>
                  <a:pt x="9548254" y="4157538"/>
                </a:cubicBezTo>
                <a:close/>
                <a:moveTo>
                  <a:pt x="9626787" y="4157538"/>
                </a:moveTo>
                <a:cubicBezTo>
                  <a:pt x="9609000" y="4157538"/>
                  <a:pt x="9594571" y="4144260"/>
                  <a:pt x="9594571" y="4127885"/>
                </a:cubicBezTo>
                <a:cubicBezTo>
                  <a:pt x="9594571" y="4111511"/>
                  <a:pt x="9609000" y="4098233"/>
                  <a:pt x="9626787" y="4098233"/>
                </a:cubicBezTo>
                <a:cubicBezTo>
                  <a:pt x="9644574" y="4098233"/>
                  <a:pt x="9658991" y="4111511"/>
                  <a:pt x="9658991" y="4127885"/>
                </a:cubicBezTo>
                <a:cubicBezTo>
                  <a:pt x="9658991" y="4144260"/>
                  <a:pt x="9644574" y="4157538"/>
                  <a:pt x="9626787" y="4157538"/>
                </a:cubicBezTo>
                <a:close/>
                <a:moveTo>
                  <a:pt x="10019456" y="4157538"/>
                </a:moveTo>
                <a:cubicBezTo>
                  <a:pt x="10001669" y="4157538"/>
                  <a:pt x="9987240" y="4144260"/>
                  <a:pt x="9987240" y="4127885"/>
                </a:cubicBezTo>
                <a:cubicBezTo>
                  <a:pt x="9987240" y="4111511"/>
                  <a:pt x="10001669" y="4098233"/>
                  <a:pt x="10019456" y="4098233"/>
                </a:cubicBezTo>
                <a:cubicBezTo>
                  <a:pt x="10037243" y="4098233"/>
                  <a:pt x="10051660" y="4111511"/>
                  <a:pt x="10051660" y="4127885"/>
                </a:cubicBezTo>
                <a:cubicBezTo>
                  <a:pt x="10051660" y="4144260"/>
                  <a:pt x="10037243" y="4157538"/>
                  <a:pt x="10019456" y="4157538"/>
                </a:cubicBezTo>
                <a:close/>
                <a:moveTo>
                  <a:pt x="2558715" y="4085273"/>
                </a:moveTo>
                <a:cubicBezTo>
                  <a:pt x="2540928" y="4085273"/>
                  <a:pt x="2526505" y="4071995"/>
                  <a:pt x="2526505" y="4055621"/>
                </a:cubicBezTo>
                <a:cubicBezTo>
                  <a:pt x="2526505" y="4039246"/>
                  <a:pt x="2540928" y="4025969"/>
                  <a:pt x="2558715" y="4025969"/>
                </a:cubicBezTo>
                <a:cubicBezTo>
                  <a:pt x="2576503" y="4025969"/>
                  <a:pt x="2590926" y="4039246"/>
                  <a:pt x="2590926" y="4055621"/>
                </a:cubicBezTo>
                <a:cubicBezTo>
                  <a:pt x="2590926" y="4071995"/>
                  <a:pt x="2576503" y="4085273"/>
                  <a:pt x="2558715" y="4085273"/>
                </a:cubicBezTo>
                <a:close/>
                <a:moveTo>
                  <a:pt x="2637243" y="4085273"/>
                </a:moveTo>
                <a:cubicBezTo>
                  <a:pt x="2619455" y="4085273"/>
                  <a:pt x="2605032" y="4071995"/>
                  <a:pt x="2605032" y="4055621"/>
                </a:cubicBezTo>
                <a:cubicBezTo>
                  <a:pt x="2605032" y="4039246"/>
                  <a:pt x="2619455" y="4025969"/>
                  <a:pt x="2637243" y="4025969"/>
                </a:cubicBezTo>
                <a:cubicBezTo>
                  <a:pt x="2655030" y="4025969"/>
                  <a:pt x="2669453" y="4039246"/>
                  <a:pt x="2669453" y="4055621"/>
                </a:cubicBezTo>
                <a:cubicBezTo>
                  <a:pt x="2669453" y="4071995"/>
                  <a:pt x="2655030" y="4085273"/>
                  <a:pt x="2637243" y="4085273"/>
                </a:cubicBezTo>
                <a:close/>
                <a:moveTo>
                  <a:pt x="2715777" y="4085273"/>
                </a:moveTo>
                <a:cubicBezTo>
                  <a:pt x="2697990" y="4085273"/>
                  <a:pt x="2683566" y="4071995"/>
                  <a:pt x="2683566" y="4055621"/>
                </a:cubicBezTo>
                <a:cubicBezTo>
                  <a:pt x="2683566" y="4039246"/>
                  <a:pt x="2697990" y="4025969"/>
                  <a:pt x="2715777" y="4025969"/>
                </a:cubicBezTo>
                <a:cubicBezTo>
                  <a:pt x="2733564" y="4025969"/>
                  <a:pt x="2747987" y="4039246"/>
                  <a:pt x="2747987" y="4055621"/>
                </a:cubicBezTo>
                <a:cubicBezTo>
                  <a:pt x="2747987" y="4071995"/>
                  <a:pt x="2733564" y="4085273"/>
                  <a:pt x="2715777" y="4085273"/>
                </a:cubicBezTo>
                <a:close/>
                <a:moveTo>
                  <a:pt x="2794310" y="4085273"/>
                </a:moveTo>
                <a:cubicBezTo>
                  <a:pt x="2776523" y="4085273"/>
                  <a:pt x="2762100" y="4071995"/>
                  <a:pt x="2762100" y="4055621"/>
                </a:cubicBezTo>
                <a:cubicBezTo>
                  <a:pt x="2762100" y="4039246"/>
                  <a:pt x="2776523" y="4025969"/>
                  <a:pt x="2794310" y="4025969"/>
                </a:cubicBezTo>
                <a:cubicBezTo>
                  <a:pt x="2812097" y="4025969"/>
                  <a:pt x="2826520" y="4039246"/>
                  <a:pt x="2826520" y="4055621"/>
                </a:cubicBezTo>
                <a:cubicBezTo>
                  <a:pt x="2826520" y="4071995"/>
                  <a:pt x="2812097" y="4085273"/>
                  <a:pt x="2794310" y="4085273"/>
                </a:cubicBezTo>
                <a:close/>
                <a:moveTo>
                  <a:pt x="2872844" y="4085273"/>
                </a:moveTo>
                <a:cubicBezTo>
                  <a:pt x="2855057" y="4085273"/>
                  <a:pt x="2840634" y="4071995"/>
                  <a:pt x="2840634" y="4055621"/>
                </a:cubicBezTo>
                <a:cubicBezTo>
                  <a:pt x="2840634" y="4039246"/>
                  <a:pt x="2855057" y="4025969"/>
                  <a:pt x="2872844" y="4025969"/>
                </a:cubicBezTo>
                <a:cubicBezTo>
                  <a:pt x="2890632" y="4025969"/>
                  <a:pt x="2905055" y="4039246"/>
                  <a:pt x="2905055" y="4055621"/>
                </a:cubicBezTo>
                <a:cubicBezTo>
                  <a:pt x="2905055" y="4071995"/>
                  <a:pt x="2890632" y="4085273"/>
                  <a:pt x="2872844" y="4085273"/>
                </a:cubicBezTo>
                <a:close/>
                <a:moveTo>
                  <a:pt x="2951379" y="4085273"/>
                </a:moveTo>
                <a:cubicBezTo>
                  <a:pt x="2933591" y="4085273"/>
                  <a:pt x="2919168" y="4071995"/>
                  <a:pt x="2919168" y="4055621"/>
                </a:cubicBezTo>
                <a:cubicBezTo>
                  <a:pt x="2919168" y="4039246"/>
                  <a:pt x="2933591" y="4025969"/>
                  <a:pt x="2951379" y="4025969"/>
                </a:cubicBezTo>
                <a:cubicBezTo>
                  <a:pt x="2969166" y="4025969"/>
                  <a:pt x="2983589" y="4039246"/>
                  <a:pt x="2983589" y="4055621"/>
                </a:cubicBezTo>
                <a:cubicBezTo>
                  <a:pt x="2983589" y="4071995"/>
                  <a:pt x="2969166" y="4085273"/>
                  <a:pt x="2951379" y="4085273"/>
                </a:cubicBezTo>
                <a:close/>
                <a:moveTo>
                  <a:pt x="3029912" y="4085273"/>
                </a:moveTo>
                <a:cubicBezTo>
                  <a:pt x="3012125" y="4085273"/>
                  <a:pt x="2997701" y="4071995"/>
                  <a:pt x="2997701" y="4055621"/>
                </a:cubicBezTo>
                <a:cubicBezTo>
                  <a:pt x="2997701" y="4039246"/>
                  <a:pt x="3012125" y="4025969"/>
                  <a:pt x="3029912" y="4025969"/>
                </a:cubicBezTo>
                <a:cubicBezTo>
                  <a:pt x="3047699" y="4025969"/>
                  <a:pt x="3062122" y="4039246"/>
                  <a:pt x="3062122" y="4055621"/>
                </a:cubicBezTo>
                <a:cubicBezTo>
                  <a:pt x="3062122" y="4071995"/>
                  <a:pt x="3047699" y="4085273"/>
                  <a:pt x="3029912" y="4085273"/>
                </a:cubicBezTo>
                <a:close/>
                <a:moveTo>
                  <a:pt x="3108446" y="4085273"/>
                </a:moveTo>
                <a:cubicBezTo>
                  <a:pt x="3090659" y="4085273"/>
                  <a:pt x="3076236" y="4071995"/>
                  <a:pt x="3076236" y="4055621"/>
                </a:cubicBezTo>
                <a:cubicBezTo>
                  <a:pt x="3076236" y="4039246"/>
                  <a:pt x="3090659" y="4025969"/>
                  <a:pt x="3108446" y="4025969"/>
                </a:cubicBezTo>
                <a:cubicBezTo>
                  <a:pt x="3126233" y="4025969"/>
                  <a:pt x="3140656" y="4039246"/>
                  <a:pt x="3140656" y="4055621"/>
                </a:cubicBezTo>
                <a:cubicBezTo>
                  <a:pt x="3140656" y="4071995"/>
                  <a:pt x="3126233" y="4085273"/>
                  <a:pt x="3108446" y="4085273"/>
                </a:cubicBezTo>
                <a:close/>
                <a:moveTo>
                  <a:pt x="3186979" y="4085273"/>
                </a:moveTo>
                <a:cubicBezTo>
                  <a:pt x="3169192" y="4085273"/>
                  <a:pt x="3154769" y="4071995"/>
                  <a:pt x="3154769" y="4055621"/>
                </a:cubicBezTo>
                <a:cubicBezTo>
                  <a:pt x="3154769" y="4039246"/>
                  <a:pt x="3169192" y="4025969"/>
                  <a:pt x="3186979" y="4025969"/>
                </a:cubicBezTo>
                <a:cubicBezTo>
                  <a:pt x="3204767" y="4025969"/>
                  <a:pt x="3219190" y="4039246"/>
                  <a:pt x="3219190" y="4055621"/>
                </a:cubicBezTo>
                <a:cubicBezTo>
                  <a:pt x="3219190" y="4071995"/>
                  <a:pt x="3204767" y="4085273"/>
                  <a:pt x="3186979" y="4085273"/>
                </a:cubicBezTo>
                <a:close/>
                <a:moveTo>
                  <a:pt x="3265514" y="4085273"/>
                </a:moveTo>
                <a:cubicBezTo>
                  <a:pt x="3247726" y="4085273"/>
                  <a:pt x="3233303" y="4071995"/>
                  <a:pt x="3233303" y="4055621"/>
                </a:cubicBezTo>
                <a:cubicBezTo>
                  <a:pt x="3233303" y="4039246"/>
                  <a:pt x="3247726" y="4025969"/>
                  <a:pt x="3265514" y="4025969"/>
                </a:cubicBezTo>
                <a:cubicBezTo>
                  <a:pt x="3283301" y="4025969"/>
                  <a:pt x="3297724" y="4039246"/>
                  <a:pt x="3297724" y="4055621"/>
                </a:cubicBezTo>
                <a:cubicBezTo>
                  <a:pt x="3297724" y="4071995"/>
                  <a:pt x="3283301" y="4085273"/>
                  <a:pt x="3265514" y="4085273"/>
                </a:cubicBezTo>
                <a:close/>
                <a:moveTo>
                  <a:pt x="3344048" y="4085273"/>
                </a:moveTo>
                <a:cubicBezTo>
                  <a:pt x="3326261" y="4085273"/>
                  <a:pt x="3311837" y="4071995"/>
                  <a:pt x="3311837" y="4055621"/>
                </a:cubicBezTo>
                <a:cubicBezTo>
                  <a:pt x="3311837" y="4039246"/>
                  <a:pt x="3326261" y="4025969"/>
                  <a:pt x="3344048" y="4025969"/>
                </a:cubicBezTo>
                <a:cubicBezTo>
                  <a:pt x="3361835" y="4025969"/>
                  <a:pt x="3376258" y="4039246"/>
                  <a:pt x="3376258" y="4055621"/>
                </a:cubicBezTo>
                <a:cubicBezTo>
                  <a:pt x="3376258" y="4071995"/>
                  <a:pt x="3361835" y="4085273"/>
                  <a:pt x="3344048" y="4085273"/>
                </a:cubicBezTo>
                <a:close/>
                <a:moveTo>
                  <a:pt x="3422581" y="4085273"/>
                </a:moveTo>
                <a:cubicBezTo>
                  <a:pt x="3404794" y="4085273"/>
                  <a:pt x="3390371" y="4071995"/>
                  <a:pt x="3390371" y="4055621"/>
                </a:cubicBezTo>
                <a:cubicBezTo>
                  <a:pt x="3390371" y="4039246"/>
                  <a:pt x="3404794" y="4025969"/>
                  <a:pt x="3422581" y="4025969"/>
                </a:cubicBezTo>
                <a:cubicBezTo>
                  <a:pt x="3440368" y="4025969"/>
                  <a:pt x="3454791" y="4039246"/>
                  <a:pt x="3454791" y="4055621"/>
                </a:cubicBezTo>
                <a:cubicBezTo>
                  <a:pt x="3454791" y="4071995"/>
                  <a:pt x="3440368" y="4085273"/>
                  <a:pt x="3422581" y="4085273"/>
                </a:cubicBezTo>
                <a:close/>
                <a:moveTo>
                  <a:pt x="3658183" y="4085273"/>
                </a:moveTo>
                <a:cubicBezTo>
                  <a:pt x="3640396" y="4085273"/>
                  <a:pt x="3625972" y="4071995"/>
                  <a:pt x="3625972" y="4055621"/>
                </a:cubicBezTo>
                <a:cubicBezTo>
                  <a:pt x="3625972" y="4039246"/>
                  <a:pt x="3640396" y="4025969"/>
                  <a:pt x="3658183" y="4025969"/>
                </a:cubicBezTo>
                <a:cubicBezTo>
                  <a:pt x="3675970" y="4025969"/>
                  <a:pt x="3690393" y="4039246"/>
                  <a:pt x="3690393" y="4055621"/>
                </a:cubicBezTo>
                <a:cubicBezTo>
                  <a:pt x="3690393" y="4071995"/>
                  <a:pt x="3675970" y="4085273"/>
                  <a:pt x="3658183" y="4085273"/>
                </a:cubicBezTo>
                <a:close/>
                <a:moveTo>
                  <a:pt x="3736717" y="4085273"/>
                </a:moveTo>
                <a:cubicBezTo>
                  <a:pt x="3718930" y="4085273"/>
                  <a:pt x="3704507" y="4071995"/>
                  <a:pt x="3704507" y="4055621"/>
                </a:cubicBezTo>
                <a:cubicBezTo>
                  <a:pt x="3704507" y="4039246"/>
                  <a:pt x="3718930" y="4025969"/>
                  <a:pt x="3736717" y="4025969"/>
                </a:cubicBezTo>
                <a:cubicBezTo>
                  <a:pt x="3754504" y="4025969"/>
                  <a:pt x="3768927" y="4039246"/>
                  <a:pt x="3768927" y="4055621"/>
                </a:cubicBezTo>
                <a:cubicBezTo>
                  <a:pt x="3768927" y="4071995"/>
                  <a:pt x="3754504" y="4085273"/>
                  <a:pt x="3736717" y="4085273"/>
                </a:cubicBezTo>
                <a:close/>
                <a:moveTo>
                  <a:pt x="3815250" y="4085273"/>
                </a:moveTo>
                <a:cubicBezTo>
                  <a:pt x="3797463" y="4085273"/>
                  <a:pt x="3783040" y="4071995"/>
                  <a:pt x="3783040" y="4055621"/>
                </a:cubicBezTo>
                <a:cubicBezTo>
                  <a:pt x="3783040" y="4039246"/>
                  <a:pt x="3797463" y="4025969"/>
                  <a:pt x="3815250" y="4025969"/>
                </a:cubicBezTo>
                <a:cubicBezTo>
                  <a:pt x="3833038" y="4025969"/>
                  <a:pt x="3847461" y="4039246"/>
                  <a:pt x="3847461" y="4055621"/>
                </a:cubicBezTo>
                <a:cubicBezTo>
                  <a:pt x="3847461" y="4071995"/>
                  <a:pt x="3833038" y="4085273"/>
                  <a:pt x="3815250" y="4085273"/>
                </a:cubicBezTo>
                <a:close/>
                <a:moveTo>
                  <a:pt x="3893785" y="4085273"/>
                </a:moveTo>
                <a:cubicBezTo>
                  <a:pt x="3875997" y="4085273"/>
                  <a:pt x="3861574" y="4071995"/>
                  <a:pt x="3861574" y="4055621"/>
                </a:cubicBezTo>
                <a:cubicBezTo>
                  <a:pt x="3861574" y="4039246"/>
                  <a:pt x="3875997" y="4025969"/>
                  <a:pt x="3893785" y="4025969"/>
                </a:cubicBezTo>
                <a:cubicBezTo>
                  <a:pt x="3911572" y="4025969"/>
                  <a:pt x="3925995" y="4039246"/>
                  <a:pt x="3925995" y="4055621"/>
                </a:cubicBezTo>
                <a:cubicBezTo>
                  <a:pt x="3925995" y="4071995"/>
                  <a:pt x="3911572" y="4085273"/>
                  <a:pt x="3893785" y="4085273"/>
                </a:cubicBezTo>
                <a:close/>
                <a:moveTo>
                  <a:pt x="3972319" y="4085273"/>
                </a:moveTo>
                <a:cubicBezTo>
                  <a:pt x="3954532" y="4085273"/>
                  <a:pt x="3940108" y="4071995"/>
                  <a:pt x="3940108" y="4055621"/>
                </a:cubicBezTo>
                <a:cubicBezTo>
                  <a:pt x="3940108" y="4039246"/>
                  <a:pt x="3954532" y="4025969"/>
                  <a:pt x="3972319" y="4025969"/>
                </a:cubicBezTo>
                <a:cubicBezTo>
                  <a:pt x="3990106" y="4025969"/>
                  <a:pt x="4004529" y="4039246"/>
                  <a:pt x="4004529" y="4055621"/>
                </a:cubicBezTo>
                <a:cubicBezTo>
                  <a:pt x="4004529" y="4071995"/>
                  <a:pt x="3990106" y="4085273"/>
                  <a:pt x="3972319" y="4085273"/>
                </a:cubicBezTo>
                <a:close/>
                <a:moveTo>
                  <a:pt x="4129386" y="4085273"/>
                </a:moveTo>
                <a:cubicBezTo>
                  <a:pt x="4111599" y="4085273"/>
                  <a:pt x="4097176" y="4071995"/>
                  <a:pt x="4097176" y="4055621"/>
                </a:cubicBezTo>
                <a:cubicBezTo>
                  <a:pt x="4097176" y="4039246"/>
                  <a:pt x="4111599" y="4025969"/>
                  <a:pt x="4129386" y="4025969"/>
                </a:cubicBezTo>
                <a:cubicBezTo>
                  <a:pt x="4147174" y="4025969"/>
                  <a:pt x="4161597" y="4039246"/>
                  <a:pt x="4161597" y="4055621"/>
                </a:cubicBezTo>
                <a:cubicBezTo>
                  <a:pt x="4161597" y="4071995"/>
                  <a:pt x="4147174" y="4085273"/>
                  <a:pt x="4129386" y="4085273"/>
                </a:cubicBezTo>
                <a:close/>
                <a:moveTo>
                  <a:pt x="4364994" y="4085273"/>
                </a:moveTo>
                <a:cubicBezTo>
                  <a:pt x="4347207" y="4085273"/>
                  <a:pt x="4332784" y="4071995"/>
                  <a:pt x="4332784" y="4055621"/>
                </a:cubicBezTo>
                <a:cubicBezTo>
                  <a:pt x="4332784" y="4039246"/>
                  <a:pt x="4347207" y="4025969"/>
                  <a:pt x="4364994" y="4025969"/>
                </a:cubicBezTo>
                <a:cubicBezTo>
                  <a:pt x="4382781" y="4025969"/>
                  <a:pt x="4397204" y="4039246"/>
                  <a:pt x="4397204" y="4055621"/>
                </a:cubicBezTo>
                <a:cubicBezTo>
                  <a:pt x="4397204" y="4071995"/>
                  <a:pt x="4382781" y="4085273"/>
                  <a:pt x="4364994" y="4085273"/>
                </a:cubicBezTo>
                <a:close/>
                <a:moveTo>
                  <a:pt x="4443527" y="4085273"/>
                </a:moveTo>
                <a:cubicBezTo>
                  <a:pt x="4425740" y="4085273"/>
                  <a:pt x="4411317" y="4071995"/>
                  <a:pt x="4411317" y="4055621"/>
                </a:cubicBezTo>
                <a:cubicBezTo>
                  <a:pt x="4411317" y="4039246"/>
                  <a:pt x="4425740" y="4025969"/>
                  <a:pt x="4443527" y="4025969"/>
                </a:cubicBezTo>
                <a:cubicBezTo>
                  <a:pt x="4461315" y="4025969"/>
                  <a:pt x="4475738" y="4039246"/>
                  <a:pt x="4475738" y="4055621"/>
                </a:cubicBezTo>
                <a:cubicBezTo>
                  <a:pt x="4475738" y="4071995"/>
                  <a:pt x="4461315" y="4085273"/>
                  <a:pt x="4443527" y="4085273"/>
                </a:cubicBezTo>
                <a:close/>
                <a:moveTo>
                  <a:pt x="6014205" y="4085273"/>
                </a:moveTo>
                <a:cubicBezTo>
                  <a:pt x="5996418" y="4085273"/>
                  <a:pt x="5981995" y="4071995"/>
                  <a:pt x="5981995" y="4055621"/>
                </a:cubicBezTo>
                <a:cubicBezTo>
                  <a:pt x="5981995" y="4039246"/>
                  <a:pt x="5996418" y="4025969"/>
                  <a:pt x="6014205" y="4025969"/>
                </a:cubicBezTo>
                <a:cubicBezTo>
                  <a:pt x="6031993" y="4025969"/>
                  <a:pt x="6046416" y="4039246"/>
                  <a:pt x="6046416" y="4055621"/>
                </a:cubicBezTo>
                <a:cubicBezTo>
                  <a:pt x="6046416" y="4071995"/>
                  <a:pt x="6031993" y="4085273"/>
                  <a:pt x="6014205" y="4085273"/>
                </a:cubicBezTo>
                <a:close/>
                <a:moveTo>
                  <a:pt x="6092739" y="4085273"/>
                </a:moveTo>
                <a:cubicBezTo>
                  <a:pt x="6074951" y="4085273"/>
                  <a:pt x="6060528" y="4071995"/>
                  <a:pt x="6060528" y="4055621"/>
                </a:cubicBezTo>
                <a:cubicBezTo>
                  <a:pt x="6060528" y="4039246"/>
                  <a:pt x="6074951" y="4025969"/>
                  <a:pt x="6092739" y="4025969"/>
                </a:cubicBezTo>
                <a:cubicBezTo>
                  <a:pt x="6110526" y="4025969"/>
                  <a:pt x="6124949" y="4039246"/>
                  <a:pt x="6124949" y="4055621"/>
                </a:cubicBezTo>
                <a:cubicBezTo>
                  <a:pt x="6124949" y="4071995"/>
                  <a:pt x="6110526" y="4085273"/>
                  <a:pt x="6092739" y="4085273"/>
                </a:cubicBezTo>
                <a:close/>
                <a:moveTo>
                  <a:pt x="6171273" y="4085273"/>
                </a:moveTo>
                <a:cubicBezTo>
                  <a:pt x="6153480" y="4085273"/>
                  <a:pt x="6139056" y="4071995"/>
                  <a:pt x="6139056" y="4055621"/>
                </a:cubicBezTo>
                <a:cubicBezTo>
                  <a:pt x="6139056" y="4039246"/>
                  <a:pt x="6153480" y="4025969"/>
                  <a:pt x="6171273" y="4025969"/>
                </a:cubicBezTo>
                <a:cubicBezTo>
                  <a:pt x="6189060" y="4025969"/>
                  <a:pt x="6203477" y="4039246"/>
                  <a:pt x="6203477" y="4055621"/>
                </a:cubicBezTo>
                <a:cubicBezTo>
                  <a:pt x="6203477" y="4071995"/>
                  <a:pt x="6189060" y="4085273"/>
                  <a:pt x="6171273" y="4085273"/>
                </a:cubicBezTo>
                <a:close/>
                <a:moveTo>
                  <a:pt x="6249806" y="4085273"/>
                </a:moveTo>
                <a:cubicBezTo>
                  <a:pt x="6232019" y="4085273"/>
                  <a:pt x="6217590" y="4071995"/>
                  <a:pt x="6217590" y="4055621"/>
                </a:cubicBezTo>
                <a:cubicBezTo>
                  <a:pt x="6217590" y="4039246"/>
                  <a:pt x="6232019" y="4025969"/>
                  <a:pt x="6249806" y="4025969"/>
                </a:cubicBezTo>
                <a:cubicBezTo>
                  <a:pt x="6267593" y="4025969"/>
                  <a:pt x="6282010" y="4039246"/>
                  <a:pt x="6282010" y="4055621"/>
                </a:cubicBezTo>
                <a:cubicBezTo>
                  <a:pt x="6282010" y="4071995"/>
                  <a:pt x="6267593" y="4085273"/>
                  <a:pt x="6249806" y="4085273"/>
                </a:cubicBezTo>
                <a:close/>
                <a:moveTo>
                  <a:pt x="6328340" y="4085273"/>
                </a:moveTo>
                <a:cubicBezTo>
                  <a:pt x="6310553" y="4085273"/>
                  <a:pt x="6296124" y="4071995"/>
                  <a:pt x="6296124" y="4055621"/>
                </a:cubicBezTo>
                <a:cubicBezTo>
                  <a:pt x="6296124" y="4039246"/>
                  <a:pt x="6310553" y="4025969"/>
                  <a:pt x="6328340" y="4025969"/>
                </a:cubicBezTo>
                <a:cubicBezTo>
                  <a:pt x="6346128" y="4025969"/>
                  <a:pt x="6360545" y="4039246"/>
                  <a:pt x="6360545" y="4055621"/>
                </a:cubicBezTo>
                <a:cubicBezTo>
                  <a:pt x="6360545" y="4071995"/>
                  <a:pt x="6346128" y="4085273"/>
                  <a:pt x="6328340" y="4085273"/>
                </a:cubicBezTo>
                <a:close/>
                <a:moveTo>
                  <a:pt x="6406875" y="4085273"/>
                </a:moveTo>
                <a:cubicBezTo>
                  <a:pt x="6389087" y="4085273"/>
                  <a:pt x="6374658" y="4071995"/>
                  <a:pt x="6374658" y="4055621"/>
                </a:cubicBezTo>
                <a:cubicBezTo>
                  <a:pt x="6374658" y="4039246"/>
                  <a:pt x="6389087" y="4025969"/>
                  <a:pt x="6406875" y="4025969"/>
                </a:cubicBezTo>
                <a:cubicBezTo>
                  <a:pt x="6424662" y="4025969"/>
                  <a:pt x="6439079" y="4039246"/>
                  <a:pt x="6439079" y="4055621"/>
                </a:cubicBezTo>
                <a:cubicBezTo>
                  <a:pt x="6439079" y="4071995"/>
                  <a:pt x="6424662" y="4085273"/>
                  <a:pt x="6406875" y="4085273"/>
                </a:cubicBezTo>
                <a:close/>
                <a:moveTo>
                  <a:pt x="6485408" y="4085273"/>
                </a:moveTo>
                <a:cubicBezTo>
                  <a:pt x="6467621" y="4085273"/>
                  <a:pt x="6453191" y="4071995"/>
                  <a:pt x="6453191" y="4055621"/>
                </a:cubicBezTo>
                <a:cubicBezTo>
                  <a:pt x="6453191" y="4039246"/>
                  <a:pt x="6467621" y="4025969"/>
                  <a:pt x="6485408" y="4025969"/>
                </a:cubicBezTo>
                <a:cubicBezTo>
                  <a:pt x="6503195" y="4025969"/>
                  <a:pt x="6517612" y="4039246"/>
                  <a:pt x="6517612" y="4055621"/>
                </a:cubicBezTo>
                <a:cubicBezTo>
                  <a:pt x="6517612" y="4071995"/>
                  <a:pt x="6503195" y="4085273"/>
                  <a:pt x="6485408" y="4085273"/>
                </a:cubicBezTo>
                <a:close/>
                <a:moveTo>
                  <a:pt x="6563942" y="4085273"/>
                </a:moveTo>
                <a:cubicBezTo>
                  <a:pt x="6546155" y="4085273"/>
                  <a:pt x="6531726" y="4071995"/>
                  <a:pt x="6531726" y="4055621"/>
                </a:cubicBezTo>
                <a:cubicBezTo>
                  <a:pt x="6531726" y="4039246"/>
                  <a:pt x="6546155" y="4025969"/>
                  <a:pt x="6563942" y="4025969"/>
                </a:cubicBezTo>
                <a:cubicBezTo>
                  <a:pt x="6581729" y="4025969"/>
                  <a:pt x="6596146" y="4039246"/>
                  <a:pt x="6596146" y="4055621"/>
                </a:cubicBezTo>
                <a:cubicBezTo>
                  <a:pt x="6596146" y="4071995"/>
                  <a:pt x="6581729" y="4085273"/>
                  <a:pt x="6563942" y="4085273"/>
                </a:cubicBezTo>
                <a:close/>
                <a:moveTo>
                  <a:pt x="6642476" y="4085273"/>
                </a:moveTo>
                <a:cubicBezTo>
                  <a:pt x="6624689" y="4085273"/>
                  <a:pt x="6610260" y="4071995"/>
                  <a:pt x="6610260" y="4055621"/>
                </a:cubicBezTo>
                <a:cubicBezTo>
                  <a:pt x="6610260" y="4039246"/>
                  <a:pt x="6624689" y="4025969"/>
                  <a:pt x="6642476" y="4025969"/>
                </a:cubicBezTo>
                <a:cubicBezTo>
                  <a:pt x="6660264" y="4025969"/>
                  <a:pt x="6674681" y="4039246"/>
                  <a:pt x="6674681" y="4055621"/>
                </a:cubicBezTo>
                <a:cubicBezTo>
                  <a:pt x="6674681" y="4071995"/>
                  <a:pt x="6660264" y="4085273"/>
                  <a:pt x="6642476" y="4085273"/>
                </a:cubicBezTo>
                <a:close/>
                <a:moveTo>
                  <a:pt x="6721010" y="4085273"/>
                </a:moveTo>
                <a:cubicBezTo>
                  <a:pt x="6703222" y="4085273"/>
                  <a:pt x="6688793" y="4071995"/>
                  <a:pt x="6688793" y="4055621"/>
                </a:cubicBezTo>
                <a:cubicBezTo>
                  <a:pt x="6688793" y="4039246"/>
                  <a:pt x="6703222" y="4025969"/>
                  <a:pt x="6721010" y="4025969"/>
                </a:cubicBezTo>
                <a:cubicBezTo>
                  <a:pt x="6738797" y="4025969"/>
                  <a:pt x="6753214" y="4039246"/>
                  <a:pt x="6753214" y="4055621"/>
                </a:cubicBezTo>
                <a:cubicBezTo>
                  <a:pt x="6753214" y="4071995"/>
                  <a:pt x="6738797" y="4085273"/>
                  <a:pt x="6721010" y="4085273"/>
                </a:cubicBezTo>
                <a:close/>
                <a:moveTo>
                  <a:pt x="6799544" y="4085273"/>
                </a:moveTo>
                <a:cubicBezTo>
                  <a:pt x="6781757" y="4085273"/>
                  <a:pt x="6767327" y="4071995"/>
                  <a:pt x="6767327" y="4055621"/>
                </a:cubicBezTo>
                <a:cubicBezTo>
                  <a:pt x="6767327" y="4039246"/>
                  <a:pt x="6781757" y="4025969"/>
                  <a:pt x="6799544" y="4025969"/>
                </a:cubicBezTo>
                <a:cubicBezTo>
                  <a:pt x="6817331" y="4025969"/>
                  <a:pt x="6831748" y="4039246"/>
                  <a:pt x="6831748" y="4055621"/>
                </a:cubicBezTo>
                <a:cubicBezTo>
                  <a:pt x="6831748" y="4071995"/>
                  <a:pt x="6817331" y="4085273"/>
                  <a:pt x="6799544" y="4085273"/>
                </a:cubicBezTo>
                <a:close/>
                <a:moveTo>
                  <a:pt x="6878077" y="4085273"/>
                </a:moveTo>
                <a:cubicBezTo>
                  <a:pt x="6860290" y="4085273"/>
                  <a:pt x="6845861" y="4071995"/>
                  <a:pt x="6845861" y="4055621"/>
                </a:cubicBezTo>
                <a:cubicBezTo>
                  <a:pt x="6845861" y="4039246"/>
                  <a:pt x="6860290" y="4025969"/>
                  <a:pt x="6878077" y="4025969"/>
                </a:cubicBezTo>
                <a:cubicBezTo>
                  <a:pt x="6895864" y="4025969"/>
                  <a:pt x="6910281" y="4039246"/>
                  <a:pt x="6910281" y="4055621"/>
                </a:cubicBezTo>
                <a:cubicBezTo>
                  <a:pt x="6910281" y="4071995"/>
                  <a:pt x="6895864" y="4085273"/>
                  <a:pt x="6878077" y="4085273"/>
                </a:cubicBezTo>
                <a:close/>
                <a:moveTo>
                  <a:pt x="6956611" y="4085273"/>
                </a:moveTo>
                <a:cubicBezTo>
                  <a:pt x="6938824" y="4085273"/>
                  <a:pt x="6924395" y="4071995"/>
                  <a:pt x="6924395" y="4055621"/>
                </a:cubicBezTo>
                <a:cubicBezTo>
                  <a:pt x="6924395" y="4039246"/>
                  <a:pt x="6938824" y="4025969"/>
                  <a:pt x="6956611" y="4025969"/>
                </a:cubicBezTo>
                <a:cubicBezTo>
                  <a:pt x="6974399" y="4025969"/>
                  <a:pt x="6988816" y="4039246"/>
                  <a:pt x="6988816" y="4055621"/>
                </a:cubicBezTo>
                <a:cubicBezTo>
                  <a:pt x="6988816" y="4071995"/>
                  <a:pt x="6974399" y="4085273"/>
                  <a:pt x="6956611" y="4085273"/>
                </a:cubicBezTo>
                <a:close/>
                <a:moveTo>
                  <a:pt x="7035146" y="4085273"/>
                </a:moveTo>
                <a:cubicBezTo>
                  <a:pt x="7017358" y="4085273"/>
                  <a:pt x="7002929" y="4071995"/>
                  <a:pt x="7002929" y="4055621"/>
                </a:cubicBezTo>
                <a:cubicBezTo>
                  <a:pt x="7002929" y="4039246"/>
                  <a:pt x="7017358" y="4025969"/>
                  <a:pt x="7035146" y="4025969"/>
                </a:cubicBezTo>
                <a:cubicBezTo>
                  <a:pt x="7052933" y="4025969"/>
                  <a:pt x="7067350" y="4039246"/>
                  <a:pt x="7067350" y="4055621"/>
                </a:cubicBezTo>
                <a:cubicBezTo>
                  <a:pt x="7067350" y="4071995"/>
                  <a:pt x="7052933" y="4085273"/>
                  <a:pt x="7035146" y="4085273"/>
                </a:cubicBezTo>
                <a:close/>
                <a:moveTo>
                  <a:pt x="7113703" y="4085273"/>
                </a:moveTo>
                <a:cubicBezTo>
                  <a:pt x="7095916" y="4085273"/>
                  <a:pt x="7081487" y="4071995"/>
                  <a:pt x="7081487" y="4055621"/>
                </a:cubicBezTo>
                <a:cubicBezTo>
                  <a:pt x="7081487" y="4039246"/>
                  <a:pt x="7095916" y="4025969"/>
                  <a:pt x="7113703" y="4025969"/>
                </a:cubicBezTo>
                <a:cubicBezTo>
                  <a:pt x="7131490" y="4025969"/>
                  <a:pt x="7145907" y="4039246"/>
                  <a:pt x="7145907" y="4055621"/>
                </a:cubicBezTo>
                <a:cubicBezTo>
                  <a:pt x="7145907" y="4071995"/>
                  <a:pt x="7131490" y="4085273"/>
                  <a:pt x="7113703" y="4085273"/>
                </a:cubicBezTo>
                <a:close/>
                <a:moveTo>
                  <a:pt x="7192237" y="4085273"/>
                </a:moveTo>
                <a:cubicBezTo>
                  <a:pt x="7174450" y="4085273"/>
                  <a:pt x="7160021" y="4071995"/>
                  <a:pt x="7160021" y="4055621"/>
                </a:cubicBezTo>
                <a:cubicBezTo>
                  <a:pt x="7160021" y="4039246"/>
                  <a:pt x="7174450" y="4025969"/>
                  <a:pt x="7192237" y="4025969"/>
                </a:cubicBezTo>
                <a:cubicBezTo>
                  <a:pt x="7210024" y="4025969"/>
                  <a:pt x="7224441" y="4039246"/>
                  <a:pt x="7224441" y="4055621"/>
                </a:cubicBezTo>
                <a:cubicBezTo>
                  <a:pt x="7224441" y="4071995"/>
                  <a:pt x="7210024" y="4085273"/>
                  <a:pt x="7192237" y="4085273"/>
                </a:cubicBezTo>
                <a:close/>
                <a:moveTo>
                  <a:pt x="7270771" y="4085273"/>
                </a:moveTo>
                <a:cubicBezTo>
                  <a:pt x="7252984" y="4085273"/>
                  <a:pt x="7238555" y="4071995"/>
                  <a:pt x="7238555" y="4055621"/>
                </a:cubicBezTo>
                <a:cubicBezTo>
                  <a:pt x="7238555" y="4039246"/>
                  <a:pt x="7252984" y="4025969"/>
                  <a:pt x="7270771" y="4025969"/>
                </a:cubicBezTo>
                <a:cubicBezTo>
                  <a:pt x="7288559" y="4025969"/>
                  <a:pt x="7302976" y="4039246"/>
                  <a:pt x="7302976" y="4055621"/>
                </a:cubicBezTo>
                <a:cubicBezTo>
                  <a:pt x="7302976" y="4071995"/>
                  <a:pt x="7288559" y="4085273"/>
                  <a:pt x="7270771" y="4085273"/>
                </a:cubicBezTo>
                <a:close/>
                <a:moveTo>
                  <a:pt x="7349305" y="4085273"/>
                </a:moveTo>
                <a:cubicBezTo>
                  <a:pt x="7331517" y="4085273"/>
                  <a:pt x="7317088" y="4071995"/>
                  <a:pt x="7317088" y="4055621"/>
                </a:cubicBezTo>
                <a:cubicBezTo>
                  <a:pt x="7317088" y="4039246"/>
                  <a:pt x="7331517" y="4025969"/>
                  <a:pt x="7349305" y="4025969"/>
                </a:cubicBezTo>
                <a:cubicBezTo>
                  <a:pt x="7367092" y="4025969"/>
                  <a:pt x="7381509" y="4039246"/>
                  <a:pt x="7381509" y="4055621"/>
                </a:cubicBezTo>
                <a:cubicBezTo>
                  <a:pt x="7381509" y="4071995"/>
                  <a:pt x="7367092" y="4085273"/>
                  <a:pt x="7349305" y="4085273"/>
                </a:cubicBezTo>
                <a:close/>
                <a:moveTo>
                  <a:pt x="7427839" y="4085273"/>
                </a:moveTo>
                <a:cubicBezTo>
                  <a:pt x="7410052" y="4085273"/>
                  <a:pt x="7395623" y="4071995"/>
                  <a:pt x="7395623" y="4055621"/>
                </a:cubicBezTo>
                <a:cubicBezTo>
                  <a:pt x="7395623" y="4039246"/>
                  <a:pt x="7410052" y="4025969"/>
                  <a:pt x="7427839" y="4025969"/>
                </a:cubicBezTo>
                <a:cubicBezTo>
                  <a:pt x="7445626" y="4025969"/>
                  <a:pt x="7460043" y="4039246"/>
                  <a:pt x="7460043" y="4055621"/>
                </a:cubicBezTo>
                <a:cubicBezTo>
                  <a:pt x="7460043" y="4071995"/>
                  <a:pt x="7445626" y="4085273"/>
                  <a:pt x="7427839" y="4085273"/>
                </a:cubicBezTo>
                <a:close/>
                <a:moveTo>
                  <a:pt x="7506373" y="4085273"/>
                </a:moveTo>
                <a:cubicBezTo>
                  <a:pt x="7488586" y="4085273"/>
                  <a:pt x="7474157" y="4071995"/>
                  <a:pt x="7474157" y="4055621"/>
                </a:cubicBezTo>
                <a:cubicBezTo>
                  <a:pt x="7474157" y="4039246"/>
                  <a:pt x="7488586" y="4025969"/>
                  <a:pt x="7506373" y="4025969"/>
                </a:cubicBezTo>
                <a:cubicBezTo>
                  <a:pt x="7524160" y="4025969"/>
                  <a:pt x="7538577" y="4039246"/>
                  <a:pt x="7538577" y="4055621"/>
                </a:cubicBezTo>
                <a:cubicBezTo>
                  <a:pt x="7538577" y="4071995"/>
                  <a:pt x="7524160" y="4085273"/>
                  <a:pt x="7506373" y="4085273"/>
                </a:cubicBezTo>
                <a:close/>
                <a:moveTo>
                  <a:pt x="7584906" y="4085273"/>
                </a:moveTo>
                <a:cubicBezTo>
                  <a:pt x="7567119" y="4085273"/>
                  <a:pt x="7552690" y="4071995"/>
                  <a:pt x="7552690" y="4055621"/>
                </a:cubicBezTo>
                <a:cubicBezTo>
                  <a:pt x="7552690" y="4039246"/>
                  <a:pt x="7567119" y="4025969"/>
                  <a:pt x="7584906" y="4025969"/>
                </a:cubicBezTo>
                <a:cubicBezTo>
                  <a:pt x="7602694" y="4025969"/>
                  <a:pt x="7617111" y="4039246"/>
                  <a:pt x="7617111" y="4055621"/>
                </a:cubicBezTo>
                <a:cubicBezTo>
                  <a:pt x="7617111" y="4071995"/>
                  <a:pt x="7602694" y="4085273"/>
                  <a:pt x="7584906" y="4085273"/>
                </a:cubicBezTo>
                <a:close/>
                <a:moveTo>
                  <a:pt x="7663441" y="4085273"/>
                </a:moveTo>
                <a:cubicBezTo>
                  <a:pt x="7645653" y="4085273"/>
                  <a:pt x="7631224" y="4071995"/>
                  <a:pt x="7631224" y="4055621"/>
                </a:cubicBezTo>
                <a:cubicBezTo>
                  <a:pt x="7631224" y="4039246"/>
                  <a:pt x="7645653" y="4025969"/>
                  <a:pt x="7663441" y="4025969"/>
                </a:cubicBezTo>
                <a:cubicBezTo>
                  <a:pt x="7681228" y="4025969"/>
                  <a:pt x="7695645" y="4039246"/>
                  <a:pt x="7695645" y="4055621"/>
                </a:cubicBezTo>
                <a:cubicBezTo>
                  <a:pt x="7695645" y="4071995"/>
                  <a:pt x="7681228" y="4085273"/>
                  <a:pt x="7663441" y="4085273"/>
                </a:cubicBezTo>
                <a:close/>
                <a:moveTo>
                  <a:pt x="7741974" y="4085273"/>
                </a:moveTo>
                <a:cubicBezTo>
                  <a:pt x="7724187" y="4085273"/>
                  <a:pt x="7709758" y="4071995"/>
                  <a:pt x="7709758" y="4055621"/>
                </a:cubicBezTo>
                <a:cubicBezTo>
                  <a:pt x="7709758" y="4039246"/>
                  <a:pt x="7724187" y="4025969"/>
                  <a:pt x="7741974" y="4025969"/>
                </a:cubicBezTo>
                <a:cubicBezTo>
                  <a:pt x="7759761" y="4025969"/>
                  <a:pt x="7774178" y="4039246"/>
                  <a:pt x="7774178" y="4055621"/>
                </a:cubicBezTo>
                <a:cubicBezTo>
                  <a:pt x="7774178" y="4071995"/>
                  <a:pt x="7759761" y="4085273"/>
                  <a:pt x="7741974" y="4085273"/>
                </a:cubicBezTo>
                <a:close/>
                <a:moveTo>
                  <a:pt x="7820508" y="4085273"/>
                </a:moveTo>
                <a:cubicBezTo>
                  <a:pt x="7802721" y="4085273"/>
                  <a:pt x="7788292" y="4071995"/>
                  <a:pt x="7788292" y="4055621"/>
                </a:cubicBezTo>
                <a:cubicBezTo>
                  <a:pt x="7788292" y="4039246"/>
                  <a:pt x="7802721" y="4025969"/>
                  <a:pt x="7820508" y="4025969"/>
                </a:cubicBezTo>
                <a:cubicBezTo>
                  <a:pt x="7838295" y="4025969"/>
                  <a:pt x="7852712" y="4039246"/>
                  <a:pt x="7852712" y="4055621"/>
                </a:cubicBezTo>
                <a:cubicBezTo>
                  <a:pt x="7852712" y="4071995"/>
                  <a:pt x="7838295" y="4085273"/>
                  <a:pt x="7820508" y="4085273"/>
                </a:cubicBezTo>
                <a:close/>
                <a:moveTo>
                  <a:pt x="7899042" y="4085273"/>
                </a:moveTo>
                <a:cubicBezTo>
                  <a:pt x="7881255" y="4085273"/>
                  <a:pt x="7866826" y="4071995"/>
                  <a:pt x="7866826" y="4055621"/>
                </a:cubicBezTo>
                <a:cubicBezTo>
                  <a:pt x="7866826" y="4039246"/>
                  <a:pt x="7881255" y="4025969"/>
                  <a:pt x="7899042" y="4025969"/>
                </a:cubicBezTo>
                <a:cubicBezTo>
                  <a:pt x="7916830" y="4025969"/>
                  <a:pt x="7931247" y="4039246"/>
                  <a:pt x="7931247" y="4055621"/>
                </a:cubicBezTo>
                <a:cubicBezTo>
                  <a:pt x="7931247" y="4071995"/>
                  <a:pt x="7916830" y="4085273"/>
                  <a:pt x="7899042" y="4085273"/>
                </a:cubicBezTo>
                <a:close/>
                <a:moveTo>
                  <a:pt x="7977576" y="4085273"/>
                </a:moveTo>
                <a:cubicBezTo>
                  <a:pt x="7959788" y="4085273"/>
                  <a:pt x="7945359" y="4071995"/>
                  <a:pt x="7945359" y="4055621"/>
                </a:cubicBezTo>
                <a:cubicBezTo>
                  <a:pt x="7945359" y="4039246"/>
                  <a:pt x="7959788" y="4025969"/>
                  <a:pt x="7977576" y="4025969"/>
                </a:cubicBezTo>
                <a:cubicBezTo>
                  <a:pt x="7995363" y="4025969"/>
                  <a:pt x="8009780" y="4039246"/>
                  <a:pt x="8009780" y="4055621"/>
                </a:cubicBezTo>
                <a:cubicBezTo>
                  <a:pt x="8009780" y="4071995"/>
                  <a:pt x="7995363" y="4085273"/>
                  <a:pt x="7977576" y="4085273"/>
                </a:cubicBezTo>
                <a:close/>
                <a:moveTo>
                  <a:pt x="8056110" y="4085273"/>
                </a:moveTo>
                <a:cubicBezTo>
                  <a:pt x="8038323" y="4085273"/>
                  <a:pt x="8023894" y="4071995"/>
                  <a:pt x="8023894" y="4055621"/>
                </a:cubicBezTo>
                <a:cubicBezTo>
                  <a:pt x="8023894" y="4039246"/>
                  <a:pt x="8038323" y="4025969"/>
                  <a:pt x="8056110" y="4025969"/>
                </a:cubicBezTo>
                <a:cubicBezTo>
                  <a:pt x="8073897" y="4025969"/>
                  <a:pt x="8088314" y="4039246"/>
                  <a:pt x="8088314" y="4055621"/>
                </a:cubicBezTo>
                <a:cubicBezTo>
                  <a:pt x="8088314" y="4071995"/>
                  <a:pt x="8073897" y="4085273"/>
                  <a:pt x="8056110" y="4085273"/>
                </a:cubicBezTo>
                <a:close/>
                <a:moveTo>
                  <a:pt x="8134643" y="4085273"/>
                </a:moveTo>
                <a:cubicBezTo>
                  <a:pt x="8116856" y="4085273"/>
                  <a:pt x="8102427" y="4071995"/>
                  <a:pt x="8102427" y="4055621"/>
                </a:cubicBezTo>
                <a:cubicBezTo>
                  <a:pt x="8102427" y="4039246"/>
                  <a:pt x="8116856" y="4025969"/>
                  <a:pt x="8134643" y="4025969"/>
                </a:cubicBezTo>
                <a:cubicBezTo>
                  <a:pt x="8152430" y="4025969"/>
                  <a:pt x="8166847" y="4039246"/>
                  <a:pt x="8166847" y="4055621"/>
                </a:cubicBezTo>
                <a:cubicBezTo>
                  <a:pt x="8166847" y="4071995"/>
                  <a:pt x="8152430" y="4085273"/>
                  <a:pt x="8134643" y="4085273"/>
                </a:cubicBezTo>
                <a:close/>
                <a:moveTo>
                  <a:pt x="8213177" y="4085273"/>
                </a:moveTo>
                <a:cubicBezTo>
                  <a:pt x="8195390" y="4085273"/>
                  <a:pt x="8180961" y="4071995"/>
                  <a:pt x="8180961" y="4055621"/>
                </a:cubicBezTo>
                <a:cubicBezTo>
                  <a:pt x="8180961" y="4039246"/>
                  <a:pt x="8195390" y="4025969"/>
                  <a:pt x="8213177" y="4025969"/>
                </a:cubicBezTo>
                <a:cubicBezTo>
                  <a:pt x="8230965" y="4025969"/>
                  <a:pt x="8245382" y="4039246"/>
                  <a:pt x="8245382" y="4055621"/>
                </a:cubicBezTo>
                <a:cubicBezTo>
                  <a:pt x="8245382" y="4071995"/>
                  <a:pt x="8230965" y="4085273"/>
                  <a:pt x="8213177" y="4085273"/>
                </a:cubicBezTo>
                <a:close/>
                <a:moveTo>
                  <a:pt x="8291712" y="4085273"/>
                </a:moveTo>
                <a:cubicBezTo>
                  <a:pt x="8273924" y="4085273"/>
                  <a:pt x="8259495" y="4071995"/>
                  <a:pt x="8259495" y="4055621"/>
                </a:cubicBezTo>
                <a:cubicBezTo>
                  <a:pt x="8259495" y="4039246"/>
                  <a:pt x="8273924" y="4025969"/>
                  <a:pt x="8291712" y="4025969"/>
                </a:cubicBezTo>
                <a:cubicBezTo>
                  <a:pt x="8309499" y="4025969"/>
                  <a:pt x="8323916" y="4039246"/>
                  <a:pt x="8323916" y="4055621"/>
                </a:cubicBezTo>
                <a:cubicBezTo>
                  <a:pt x="8323916" y="4071995"/>
                  <a:pt x="8309499" y="4085273"/>
                  <a:pt x="8291712" y="4085273"/>
                </a:cubicBezTo>
                <a:close/>
                <a:moveTo>
                  <a:pt x="8370245" y="4085273"/>
                </a:moveTo>
                <a:cubicBezTo>
                  <a:pt x="8352458" y="4085273"/>
                  <a:pt x="8338029" y="4071995"/>
                  <a:pt x="8338029" y="4055621"/>
                </a:cubicBezTo>
                <a:cubicBezTo>
                  <a:pt x="8338029" y="4039246"/>
                  <a:pt x="8352458" y="4025969"/>
                  <a:pt x="8370245" y="4025969"/>
                </a:cubicBezTo>
                <a:cubicBezTo>
                  <a:pt x="8388032" y="4025969"/>
                  <a:pt x="8402449" y="4039246"/>
                  <a:pt x="8402449" y="4055621"/>
                </a:cubicBezTo>
                <a:cubicBezTo>
                  <a:pt x="8402449" y="4071995"/>
                  <a:pt x="8388032" y="4085273"/>
                  <a:pt x="8370245" y="4085273"/>
                </a:cubicBezTo>
                <a:close/>
                <a:moveTo>
                  <a:pt x="8448779" y="4085273"/>
                </a:moveTo>
                <a:cubicBezTo>
                  <a:pt x="8430992" y="4085273"/>
                  <a:pt x="8416563" y="4071995"/>
                  <a:pt x="8416563" y="4055621"/>
                </a:cubicBezTo>
                <a:cubicBezTo>
                  <a:pt x="8416563" y="4039246"/>
                  <a:pt x="8430992" y="4025969"/>
                  <a:pt x="8448779" y="4025969"/>
                </a:cubicBezTo>
                <a:cubicBezTo>
                  <a:pt x="8466566" y="4025969"/>
                  <a:pt x="8480983" y="4039246"/>
                  <a:pt x="8480983" y="4055621"/>
                </a:cubicBezTo>
                <a:cubicBezTo>
                  <a:pt x="8480983" y="4071995"/>
                  <a:pt x="8466566" y="4085273"/>
                  <a:pt x="8448779" y="4085273"/>
                </a:cubicBezTo>
                <a:close/>
                <a:moveTo>
                  <a:pt x="8527313" y="4085273"/>
                </a:moveTo>
                <a:cubicBezTo>
                  <a:pt x="8509526" y="4085273"/>
                  <a:pt x="8495097" y="4071995"/>
                  <a:pt x="8495097" y="4055621"/>
                </a:cubicBezTo>
                <a:cubicBezTo>
                  <a:pt x="8495097" y="4039246"/>
                  <a:pt x="8509526" y="4025969"/>
                  <a:pt x="8527313" y="4025969"/>
                </a:cubicBezTo>
                <a:cubicBezTo>
                  <a:pt x="8545101" y="4025969"/>
                  <a:pt x="8559518" y="4039246"/>
                  <a:pt x="8559518" y="4055621"/>
                </a:cubicBezTo>
                <a:cubicBezTo>
                  <a:pt x="8559518" y="4071995"/>
                  <a:pt x="8545101" y="4085273"/>
                  <a:pt x="8527313" y="4085273"/>
                </a:cubicBezTo>
                <a:close/>
                <a:moveTo>
                  <a:pt x="8605847" y="4085273"/>
                </a:moveTo>
                <a:cubicBezTo>
                  <a:pt x="8588059" y="4085273"/>
                  <a:pt x="8573630" y="4071995"/>
                  <a:pt x="8573630" y="4055621"/>
                </a:cubicBezTo>
                <a:cubicBezTo>
                  <a:pt x="8573630" y="4039246"/>
                  <a:pt x="8588059" y="4025969"/>
                  <a:pt x="8605847" y="4025969"/>
                </a:cubicBezTo>
                <a:cubicBezTo>
                  <a:pt x="8623634" y="4025969"/>
                  <a:pt x="8638051" y="4039246"/>
                  <a:pt x="8638051" y="4055621"/>
                </a:cubicBezTo>
                <a:cubicBezTo>
                  <a:pt x="8638051" y="4071995"/>
                  <a:pt x="8623634" y="4085273"/>
                  <a:pt x="8605847" y="4085273"/>
                </a:cubicBezTo>
                <a:close/>
                <a:moveTo>
                  <a:pt x="8684381" y="4085273"/>
                </a:moveTo>
                <a:cubicBezTo>
                  <a:pt x="8666594" y="4085273"/>
                  <a:pt x="8652165" y="4071995"/>
                  <a:pt x="8652165" y="4055621"/>
                </a:cubicBezTo>
                <a:cubicBezTo>
                  <a:pt x="8652165" y="4039246"/>
                  <a:pt x="8666594" y="4025969"/>
                  <a:pt x="8684381" y="4025969"/>
                </a:cubicBezTo>
                <a:cubicBezTo>
                  <a:pt x="8702168" y="4025969"/>
                  <a:pt x="8716585" y="4039246"/>
                  <a:pt x="8716585" y="4055621"/>
                </a:cubicBezTo>
                <a:cubicBezTo>
                  <a:pt x="8716585" y="4071995"/>
                  <a:pt x="8702168" y="4085273"/>
                  <a:pt x="8684381" y="4085273"/>
                </a:cubicBezTo>
                <a:close/>
                <a:moveTo>
                  <a:pt x="8762914" y="4085273"/>
                </a:moveTo>
                <a:cubicBezTo>
                  <a:pt x="8745127" y="4085273"/>
                  <a:pt x="8730698" y="4071995"/>
                  <a:pt x="8730698" y="4055621"/>
                </a:cubicBezTo>
                <a:cubicBezTo>
                  <a:pt x="8730698" y="4039246"/>
                  <a:pt x="8745127" y="4025969"/>
                  <a:pt x="8762914" y="4025969"/>
                </a:cubicBezTo>
                <a:cubicBezTo>
                  <a:pt x="8780701" y="4025969"/>
                  <a:pt x="8795118" y="4039246"/>
                  <a:pt x="8795118" y="4055621"/>
                </a:cubicBezTo>
                <a:cubicBezTo>
                  <a:pt x="8795118" y="4071995"/>
                  <a:pt x="8780701" y="4085273"/>
                  <a:pt x="8762914" y="4085273"/>
                </a:cubicBezTo>
                <a:close/>
                <a:moveTo>
                  <a:pt x="8841448" y="4085273"/>
                </a:moveTo>
                <a:cubicBezTo>
                  <a:pt x="8823661" y="4085273"/>
                  <a:pt x="8809232" y="4071995"/>
                  <a:pt x="8809232" y="4055621"/>
                </a:cubicBezTo>
                <a:cubicBezTo>
                  <a:pt x="8809232" y="4039246"/>
                  <a:pt x="8823661" y="4025969"/>
                  <a:pt x="8841448" y="4025969"/>
                </a:cubicBezTo>
                <a:cubicBezTo>
                  <a:pt x="8859236" y="4025969"/>
                  <a:pt x="8873653" y="4039246"/>
                  <a:pt x="8873653" y="4055621"/>
                </a:cubicBezTo>
                <a:cubicBezTo>
                  <a:pt x="8873653" y="4071995"/>
                  <a:pt x="8859236" y="4085273"/>
                  <a:pt x="8841448" y="4085273"/>
                </a:cubicBezTo>
                <a:close/>
                <a:moveTo>
                  <a:pt x="8919983" y="4085273"/>
                </a:moveTo>
                <a:cubicBezTo>
                  <a:pt x="8902195" y="4085273"/>
                  <a:pt x="8887766" y="4071995"/>
                  <a:pt x="8887766" y="4055621"/>
                </a:cubicBezTo>
                <a:cubicBezTo>
                  <a:pt x="8887766" y="4039246"/>
                  <a:pt x="8902195" y="4025969"/>
                  <a:pt x="8919983" y="4025969"/>
                </a:cubicBezTo>
                <a:cubicBezTo>
                  <a:pt x="8937770" y="4025969"/>
                  <a:pt x="8952187" y="4039246"/>
                  <a:pt x="8952187" y="4055621"/>
                </a:cubicBezTo>
                <a:cubicBezTo>
                  <a:pt x="8952187" y="4071995"/>
                  <a:pt x="8937770" y="4085273"/>
                  <a:pt x="8919983" y="4085273"/>
                </a:cubicBezTo>
                <a:close/>
                <a:moveTo>
                  <a:pt x="8998516" y="4085273"/>
                </a:moveTo>
                <a:cubicBezTo>
                  <a:pt x="8980729" y="4085273"/>
                  <a:pt x="8966300" y="4071995"/>
                  <a:pt x="8966300" y="4055621"/>
                </a:cubicBezTo>
                <a:cubicBezTo>
                  <a:pt x="8966300" y="4039246"/>
                  <a:pt x="8980729" y="4025969"/>
                  <a:pt x="8998516" y="4025969"/>
                </a:cubicBezTo>
                <a:cubicBezTo>
                  <a:pt x="9016303" y="4025969"/>
                  <a:pt x="9030720" y="4039246"/>
                  <a:pt x="9030720" y="4055621"/>
                </a:cubicBezTo>
                <a:cubicBezTo>
                  <a:pt x="9030720" y="4071995"/>
                  <a:pt x="9016303" y="4085273"/>
                  <a:pt x="8998516" y="4085273"/>
                </a:cubicBezTo>
                <a:close/>
                <a:moveTo>
                  <a:pt x="9077050" y="4085273"/>
                </a:moveTo>
                <a:cubicBezTo>
                  <a:pt x="9059263" y="4085273"/>
                  <a:pt x="9044834" y="4071995"/>
                  <a:pt x="9044834" y="4055621"/>
                </a:cubicBezTo>
                <a:cubicBezTo>
                  <a:pt x="9044834" y="4039246"/>
                  <a:pt x="9059263" y="4025969"/>
                  <a:pt x="9077050" y="4025969"/>
                </a:cubicBezTo>
                <a:cubicBezTo>
                  <a:pt x="9094837" y="4025969"/>
                  <a:pt x="9109254" y="4039246"/>
                  <a:pt x="9109254" y="4055621"/>
                </a:cubicBezTo>
                <a:cubicBezTo>
                  <a:pt x="9109254" y="4071995"/>
                  <a:pt x="9094837" y="4085273"/>
                  <a:pt x="9077050" y="4085273"/>
                </a:cubicBezTo>
                <a:close/>
                <a:moveTo>
                  <a:pt x="9155583" y="4085273"/>
                </a:moveTo>
                <a:cubicBezTo>
                  <a:pt x="9137796" y="4085273"/>
                  <a:pt x="9123367" y="4071995"/>
                  <a:pt x="9123367" y="4055621"/>
                </a:cubicBezTo>
                <a:cubicBezTo>
                  <a:pt x="9123367" y="4039246"/>
                  <a:pt x="9137796" y="4025969"/>
                  <a:pt x="9155583" y="4025969"/>
                </a:cubicBezTo>
                <a:cubicBezTo>
                  <a:pt x="9173371" y="4025969"/>
                  <a:pt x="9187788" y="4039246"/>
                  <a:pt x="9187788" y="4055621"/>
                </a:cubicBezTo>
                <a:cubicBezTo>
                  <a:pt x="9187788" y="4071995"/>
                  <a:pt x="9173371" y="4085273"/>
                  <a:pt x="9155583" y="4085273"/>
                </a:cubicBezTo>
                <a:close/>
                <a:moveTo>
                  <a:pt x="9234118" y="4085273"/>
                </a:moveTo>
                <a:cubicBezTo>
                  <a:pt x="9216330" y="4085273"/>
                  <a:pt x="9201901" y="4071995"/>
                  <a:pt x="9201901" y="4055621"/>
                </a:cubicBezTo>
                <a:cubicBezTo>
                  <a:pt x="9201901" y="4039246"/>
                  <a:pt x="9216330" y="4025969"/>
                  <a:pt x="9234118" y="4025969"/>
                </a:cubicBezTo>
                <a:cubicBezTo>
                  <a:pt x="9251905" y="4025969"/>
                  <a:pt x="9266322" y="4039246"/>
                  <a:pt x="9266322" y="4055621"/>
                </a:cubicBezTo>
                <a:cubicBezTo>
                  <a:pt x="9266322" y="4071995"/>
                  <a:pt x="9251905" y="4085273"/>
                  <a:pt x="9234118" y="4085273"/>
                </a:cubicBezTo>
                <a:close/>
                <a:moveTo>
                  <a:pt x="9312652" y="4085273"/>
                </a:moveTo>
                <a:cubicBezTo>
                  <a:pt x="9294865" y="4085273"/>
                  <a:pt x="9280436" y="4071995"/>
                  <a:pt x="9280436" y="4055621"/>
                </a:cubicBezTo>
                <a:cubicBezTo>
                  <a:pt x="9280436" y="4039246"/>
                  <a:pt x="9294865" y="4025969"/>
                  <a:pt x="9312652" y="4025969"/>
                </a:cubicBezTo>
                <a:cubicBezTo>
                  <a:pt x="9330439" y="4025969"/>
                  <a:pt x="9344856" y="4039246"/>
                  <a:pt x="9344856" y="4055621"/>
                </a:cubicBezTo>
                <a:cubicBezTo>
                  <a:pt x="9344856" y="4071995"/>
                  <a:pt x="9330439" y="4085273"/>
                  <a:pt x="9312652" y="4085273"/>
                </a:cubicBezTo>
                <a:close/>
                <a:moveTo>
                  <a:pt x="9391185" y="4085273"/>
                </a:moveTo>
                <a:cubicBezTo>
                  <a:pt x="9373398" y="4085273"/>
                  <a:pt x="9358969" y="4071995"/>
                  <a:pt x="9358969" y="4055621"/>
                </a:cubicBezTo>
                <a:cubicBezTo>
                  <a:pt x="9358969" y="4039246"/>
                  <a:pt x="9373398" y="4025969"/>
                  <a:pt x="9391185" y="4025969"/>
                </a:cubicBezTo>
                <a:cubicBezTo>
                  <a:pt x="9408972" y="4025969"/>
                  <a:pt x="9423389" y="4039246"/>
                  <a:pt x="9423389" y="4055621"/>
                </a:cubicBezTo>
                <a:cubicBezTo>
                  <a:pt x="9423389" y="4071995"/>
                  <a:pt x="9408972" y="4085273"/>
                  <a:pt x="9391185" y="4085273"/>
                </a:cubicBezTo>
                <a:close/>
                <a:moveTo>
                  <a:pt x="9469719" y="4085273"/>
                </a:moveTo>
                <a:cubicBezTo>
                  <a:pt x="9451932" y="4085273"/>
                  <a:pt x="9437503" y="4071995"/>
                  <a:pt x="9437503" y="4055621"/>
                </a:cubicBezTo>
                <a:cubicBezTo>
                  <a:pt x="9437503" y="4039246"/>
                  <a:pt x="9451932" y="4025969"/>
                  <a:pt x="9469719" y="4025969"/>
                </a:cubicBezTo>
                <a:cubicBezTo>
                  <a:pt x="9487507" y="4025969"/>
                  <a:pt x="9501924" y="4039246"/>
                  <a:pt x="9501924" y="4055621"/>
                </a:cubicBezTo>
                <a:cubicBezTo>
                  <a:pt x="9501924" y="4071995"/>
                  <a:pt x="9487507" y="4085273"/>
                  <a:pt x="9469719" y="4085273"/>
                </a:cubicBezTo>
                <a:close/>
                <a:moveTo>
                  <a:pt x="9548254" y="4085273"/>
                </a:moveTo>
                <a:cubicBezTo>
                  <a:pt x="9530466" y="4085273"/>
                  <a:pt x="9516037" y="4071995"/>
                  <a:pt x="9516037" y="4055621"/>
                </a:cubicBezTo>
                <a:cubicBezTo>
                  <a:pt x="9516037" y="4039246"/>
                  <a:pt x="9530466" y="4025969"/>
                  <a:pt x="9548254" y="4025969"/>
                </a:cubicBezTo>
                <a:cubicBezTo>
                  <a:pt x="9566041" y="4025969"/>
                  <a:pt x="9580458" y="4039246"/>
                  <a:pt x="9580458" y="4055621"/>
                </a:cubicBezTo>
                <a:cubicBezTo>
                  <a:pt x="9580458" y="4071995"/>
                  <a:pt x="9566041" y="4085273"/>
                  <a:pt x="9548254" y="4085273"/>
                </a:cubicBezTo>
                <a:close/>
                <a:moveTo>
                  <a:pt x="9626787" y="4085273"/>
                </a:moveTo>
                <a:cubicBezTo>
                  <a:pt x="9609000" y="4085273"/>
                  <a:pt x="9594571" y="4071995"/>
                  <a:pt x="9594571" y="4055621"/>
                </a:cubicBezTo>
                <a:cubicBezTo>
                  <a:pt x="9594571" y="4039246"/>
                  <a:pt x="9609000" y="4025969"/>
                  <a:pt x="9626787" y="4025969"/>
                </a:cubicBezTo>
                <a:cubicBezTo>
                  <a:pt x="9644574" y="4025969"/>
                  <a:pt x="9658991" y="4039246"/>
                  <a:pt x="9658991" y="4055621"/>
                </a:cubicBezTo>
                <a:cubicBezTo>
                  <a:pt x="9658991" y="4071995"/>
                  <a:pt x="9644574" y="4085273"/>
                  <a:pt x="9626787" y="4085273"/>
                </a:cubicBezTo>
                <a:close/>
                <a:moveTo>
                  <a:pt x="9862389" y="4085273"/>
                </a:moveTo>
                <a:cubicBezTo>
                  <a:pt x="9844601" y="4085273"/>
                  <a:pt x="9830172" y="4071995"/>
                  <a:pt x="9830172" y="4055621"/>
                </a:cubicBezTo>
                <a:cubicBezTo>
                  <a:pt x="9830172" y="4039246"/>
                  <a:pt x="9844601" y="4025969"/>
                  <a:pt x="9862389" y="4025969"/>
                </a:cubicBezTo>
                <a:cubicBezTo>
                  <a:pt x="9880176" y="4025969"/>
                  <a:pt x="9894593" y="4039246"/>
                  <a:pt x="9894593" y="4055621"/>
                </a:cubicBezTo>
                <a:cubicBezTo>
                  <a:pt x="9894593" y="4071995"/>
                  <a:pt x="9880176" y="4085273"/>
                  <a:pt x="9862389" y="4085273"/>
                </a:cubicBezTo>
                <a:close/>
                <a:moveTo>
                  <a:pt x="9940923" y="4085273"/>
                </a:moveTo>
                <a:cubicBezTo>
                  <a:pt x="9923136" y="4085273"/>
                  <a:pt x="9908707" y="4071995"/>
                  <a:pt x="9908707" y="4055621"/>
                </a:cubicBezTo>
                <a:cubicBezTo>
                  <a:pt x="9908707" y="4039246"/>
                  <a:pt x="9923136" y="4025969"/>
                  <a:pt x="9940923" y="4025969"/>
                </a:cubicBezTo>
                <a:cubicBezTo>
                  <a:pt x="9958710" y="4025969"/>
                  <a:pt x="9973127" y="4039246"/>
                  <a:pt x="9973127" y="4055621"/>
                </a:cubicBezTo>
                <a:cubicBezTo>
                  <a:pt x="9973127" y="4071995"/>
                  <a:pt x="9958710" y="4085273"/>
                  <a:pt x="9940923" y="4085273"/>
                </a:cubicBezTo>
                <a:close/>
                <a:moveTo>
                  <a:pt x="2558715" y="4013007"/>
                </a:moveTo>
                <a:cubicBezTo>
                  <a:pt x="2540928" y="4013007"/>
                  <a:pt x="2526505" y="3999730"/>
                  <a:pt x="2526505" y="3983355"/>
                </a:cubicBezTo>
                <a:cubicBezTo>
                  <a:pt x="2526505" y="3966980"/>
                  <a:pt x="2540928" y="3953703"/>
                  <a:pt x="2558715" y="3953703"/>
                </a:cubicBezTo>
                <a:cubicBezTo>
                  <a:pt x="2576503" y="3953703"/>
                  <a:pt x="2590926" y="3966980"/>
                  <a:pt x="2590926" y="3983355"/>
                </a:cubicBezTo>
                <a:cubicBezTo>
                  <a:pt x="2590926" y="3999730"/>
                  <a:pt x="2576503" y="4013007"/>
                  <a:pt x="2558715" y="4013007"/>
                </a:cubicBezTo>
                <a:close/>
                <a:moveTo>
                  <a:pt x="2637243" y="4013007"/>
                </a:moveTo>
                <a:cubicBezTo>
                  <a:pt x="2619455" y="4013007"/>
                  <a:pt x="2605032" y="3999730"/>
                  <a:pt x="2605032" y="3983355"/>
                </a:cubicBezTo>
                <a:cubicBezTo>
                  <a:pt x="2605032" y="3966980"/>
                  <a:pt x="2619455" y="3953703"/>
                  <a:pt x="2637243" y="3953703"/>
                </a:cubicBezTo>
                <a:cubicBezTo>
                  <a:pt x="2655030" y="3953703"/>
                  <a:pt x="2669453" y="3966980"/>
                  <a:pt x="2669453" y="3983355"/>
                </a:cubicBezTo>
                <a:cubicBezTo>
                  <a:pt x="2669453" y="3999730"/>
                  <a:pt x="2655030" y="4013007"/>
                  <a:pt x="2637243" y="4013007"/>
                </a:cubicBezTo>
                <a:close/>
                <a:moveTo>
                  <a:pt x="2715777" y="4013007"/>
                </a:moveTo>
                <a:cubicBezTo>
                  <a:pt x="2697990" y="4013007"/>
                  <a:pt x="2683566" y="3999730"/>
                  <a:pt x="2683566" y="3983355"/>
                </a:cubicBezTo>
                <a:cubicBezTo>
                  <a:pt x="2683566" y="3966980"/>
                  <a:pt x="2697990" y="3953703"/>
                  <a:pt x="2715777" y="3953703"/>
                </a:cubicBezTo>
                <a:cubicBezTo>
                  <a:pt x="2733564" y="3953703"/>
                  <a:pt x="2747987" y="3966980"/>
                  <a:pt x="2747987" y="3983355"/>
                </a:cubicBezTo>
                <a:cubicBezTo>
                  <a:pt x="2747987" y="3999730"/>
                  <a:pt x="2733564" y="4013007"/>
                  <a:pt x="2715777" y="4013007"/>
                </a:cubicBezTo>
                <a:close/>
                <a:moveTo>
                  <a:pt x="2794310" y="4013007"/>
                </a:moveTo>
                <a:cubicBezTo>
                  <a:pt x="2776523" y="4013007"/>
                  <a:pt x="2762100" y="3999730"/>
                  <a:pt x="2762100" y="3983355"/>
                </a:cubicBezTo>
                <a:cubicBezTo>
                  <a:pt x="2762100" y="3966980"/>
                  <a:pt x="2776523" y="3953703"/>
                  <a:pt x="2794310" y="3953703"/>
                </a:cubicBezTo>
                <a:cubicBezTo>
                  <a:pt x="2812097" y="3953703"/>
                  <a:pt x="2826520" y="3966980"/>
                  <a:pt x="2826520" y="3983355"/>
                </a:cubicBezTo>
                <a:cubicBezTo>
                  <a:pt x="2826520" y="3999730"/>
                  <a:pt x="2812097" y="4013007"/>
                  <a:pt x="2794310" y="4013007"/>
                </a:cubicBezTo>
                <a:close/>
                <a:moveTo>
                  <a:pt x="2872844" y="4013007"/>
                </a:moveTo>
                <a:cubicBezTo>
                  <a:pt x="2855057" y="4013007"/>
                  <a:pt x="2840634" y="3999730"/>
                  <a:pt x="2840634" y="3983355"/>
                </a:cubicBezTo>
                <a:cubicBezTo>
                  <a:pt x="2840634" y="3966980"/>
                  <a:pt x="2855057" y="3953703"/>
                  <a:pt x="2872844" y="3953703"/>
                </a:cubicBezTo>
                <a:cubicBezTo>
                  <a:pt x="2890632" y="3953703"/>
                  <a:pt x="2905055" y="3966980"/>
                  <a:pt x="2905055" y="3983355"/>
                </a:cubicBezTo>
                <a:cubicBezTo>
                  <a:pt x="2905055" y="3999730"/>
                  <a:pt x="2890632" y="4013007"/>
                  <a:pt x="2872844" y="4013007"/>
                </a:cubicBezTo>
                <a:close/>
                <a:moveTo>
                  <a:pt x="2951379" y="4013007"/>
                </a:moveTo>
                <a:cubicBezTo>
                  <a:pt x="2933591" y="4013007"/>
                  <a:pt x="2919168" y="3999730"/>
                  <a:pt x="2919168" y="3983355"/>
                </a:cubicBezTo>
                <a:cubicBezTo>
                  <a:pt x="2919168" y="3966980"/>
                  <a:pt x="2933591" y="3953703"/>
                  <a:pt x="2951379" y="3953703"/>
                </a:cubicBezTo>
                <a:cubicBezTo>
                  <a:pt x="2969166" y="3953703"/>
                  <a:pt x="2983589" y="3966980"/>
                  <a:pt x="2983589" y="3983355"/>
                </a:cubicBezTo>
                <a:cubicBezTo>
                  <a:pt x="2983589" y="3999730"/>
                  <a:pt x="2969166" y="4013007"/>
                  <a:pt x="2951379" y="4013007"/>
                </a:cubicBezTo>
                <a:close/>
                <a:moveTo>
                  <a:pt x="3029912" y="4013007"/>
                </a:moveTo>
                <a:cubicBezTo>
                  <a:pt x="3012125" y="4013007"/>
                  <a:pt x="2997701" y="3999730"/>
                  <a:pt x="2997701" y="3983355"/>
                </a:cubicBezTo>
                <a:cubicBezTo>
                  <a:pt x="2997701" y="3966980"/>
                  <a:pt x="3012125" y="3953703"/>
                  <a:pt x="3029912" y="3953703"/>
                </a:cubicBezTo>
                <a:cubicBezTo>
                  <a:pt x="3047699" y="3953703"/>
                  <a:pt x="3062122" y="3966980"/>
                  <a:pt x="3062122" y="3983355"/>
                </a:cubicBezTo>
                <a:cubicBezTo>
                  <a:pt x="3062122" y="3999730"/>
                  <a:pt x="3047699" y="4013007"/>
                  <a:pt x="3029912" y="4013007"/>
                </a:cubicBezTo>
                <a:close/>
                <a:moveTo>
                  <a:pt x="3108446" y="4013007"/>
                </a:moveTo>
                <a:cubicBezTo>
                  <a:pt x="3090659" y="4013007"/>
                  <a:pt x="3076236" y="3999730"/>
                  <a:pt x="3076236" y="3983355"/>
                </a:cubicBezTo>
                <a:cubicBezTo>
                  <a:pt x="3076236" y="3966980"/>
                  <a:pt x="3090659" y="3953703"/>
                  <a:pt x="3108446" y="3953703"/>
                </a:cubicBezTo>
                <a:cubicBezTo>
                  <a:pt x="3126233" y="3953703"/>
                  <a:pt x="3140656" y="3966980"/>
                  <a:pt x="3140656" y="3983355"/>
                </a:cubicBezTo>
                <a:cubicBezTo>
                  <a:pt x="3140656" y="3999730"/>
                  <a:pt x="3126233" y="4013007"/>
                  <a:pt x="3108446" y="4013007"/>
                </a:cubicBezTo>
                <a:close/>
                <a:moveTo>
                  <a:pt x="3186979" y="4013007"/>
                </a:moveTo>
                <a:cubicBezTo>
                  <a:pt x="3169192" y="4013007"/>
                  <a:pt x="3154769" y="3999730"/>
                  <a:pt x="3154769" y="3983355"/>
                </a:cubicBezTo>
                <a:cubicBezTo>
                  <a:pt x="3154769" y="3966980"/>
                  <a:pt x="3169192" y="3953703"/>
                  <a:pt x="3186979" y="3953703"/>
                </a:cubicBezTo>
                <a:cubicBezTo>
                  <a:pt x="3204767" y="3953703"/>
                  <a:pt x="3219190" y="3966980"/>
                  <a:pt x="3219190" y="3983355"/>
                </a:cubicBezTo>
                <a:cubicBezTo>
                  <a:pt x="3219190" y="3999730"/>
                  <a:pt x="3204767" y="4013007"/>
                  <a:pt x="3186979" y="4013007"/>
                </a:cubicBezTo>
                <a:close/>
                <a:moveTo>
                  <a:pt x="3265514" y="4013007"/>
                </a:moveTo>
                <a:cubicBezTo>
                  <a:pt x="3247726" y="4013007"/>
                  <a:pt x="3233303" y="3999730"/>
                  <a:pt x="3233303" y="3983355"/>
                </a:cubicBezTo>
                <a:cubicBezTo>
                  <a:pt x="3233303" y="3966980"/>
                  <a:pt x="3247726" y="3953703"/>
                  <a:pt x="3265514" y="3953703"/>
                </a:cubicBezTo>
                <a:cubicBezTo>
                  <a:pt x="3283301" y="3953703"/>
                  <a:pt x="3297724" y="3966980"/>
                  <a:pt x="3297724" y="3983355"/>
                </a:cubicBezTo>
                <a:cubicBezTo>
                  <a:pt x="3297724" y="3999730"/>
                  <a:pt x="3283301" y="4013007"/>
                  <a:pt x="3265514" y="4013007"/>
                </a:cubicBezTo>
                <a:close/>
                <a:moveTo>
                  <a:pt x="3344048" y="4013007"/>
                </a:moveTo>
                <a:cubicBezTo>
                  <a:pt x="3326261" y="4013007"/>
                  <a:pt x="3311837" y="3999730"/>
                  <a:pt x="3311837" y="3983355"/>
                </a:cubicBezTo>
                <a:cubicBezTo>
                  <a:pt x="3311837" y="3966980"/>
                  <a:pt x="3326261" y="3953703"/>
                  <a:pt x="3344048" y="3953703"/>
                </a:cubicBezTo>
                <a:cubicBezTo>
                  <a:pt x="3361835" y="3953703"/>
                  <a:pt x="3376258" y="3966980"/>
                  <a:pt x="3376258" y="3983355"/>
                </a:cubicBezTo>
                <a:cubicBezTo>
                  <a:pt x="3376258" y="3999730"/>
                  <a:pt x="3361835" y="4013007"/>
                  <a:pt x="3344048" y="4013007"/>
                </a:cubicBezTo>
                <a:close/>
                <a:moveTo>
                  <a:pt x="3422581" y="4013007"/>
                </a:moveTo>
                <a:cubicBezTo>
                  <a:pt x="3404794" y="4013007"/>
                  <a:pt x="3390371" y="3999730"/>
                  <a:pt x="3390371" y="3983355"/>
                </a:cubicBezTo>
                <a:cubicBezTo>
                  <a:pt x="3390371" y="3966980"/>
                  <a:pt x="3404794" y="3953703"/>
                  <a:pt x="3422581" y="3953703"/>
                </a:cubicBezTo>
                <a:cubicBezTo>
                  <a:pt x="3440368" y="3953703"/>
                  <a:pt x="3454791" y="3966980"/>
                  <a:pt x="3454791" y="3983355"/>
                </a:cubicBezTo>
                <a:cubicBezTo>
                  <a:pt x="3454791" y="3999730"/>
                  <a:pt x="3440368" y="4013007"/>
                  <a:pt x="3422581" y="4013007"/>
                </a:cubicBezTo>
                <a:close/>
                <a:moveTo>
                  <a:pt x="3501115" y="4013007"/>
                </a:moveTo>
                <a:cubicBezTo>
                  <a:pt x="3483328" y="4013007"/>
                  <a:pt x="3468905" y="3999730"/>
                  <a:pt x="3468905" y="3983355"/>
                </a:cubicBezTo>
                <a:cubicBezTo>
                  <a:pt x="3468905" y="3966980"/>
                  <a:pt x="3483328" y="3953703"/>
                  <a:pt x="3501115" y="3953703"/>
                </a:cubicBezTo>
                <a:cubicBezTo>
                  <a:pt x="3518903" y="3953703"/>
                  <a:pt x="3533326" y="3966980"/>
                  <a:pt x="3533326" y="3983355"/>
                </a:cubicBezTo>
                <a:cubicBezTo>
                  <a:pt x="3533326" y="3999730"/>
                  <a:pt x="3518903" y="4013007"/>
                  <a:pt x="3501115" y="4013007"/>
                </a:cubicBezTo>
                <a:close/>
                <a:moveTo>
                  <a:pt x="3658183" y="4013007"/>
                </a:moveTo>
                <a:cubicBezTo>
                  <a:pt x="3640396" y="4013007"/>
                  <a:pt x="3625972" y="3999730"/>
                  <a:pt x="3625972" y="3983355"/>
                </a:cubicBezTo>
                <a:cubicBezTo>
                  <a:pt x="3625972" y="3966980"/>
                  <a:pt x="3640396" y="3953703"/>
                  <a:pt x="3658183" y="3953703"/>
                </a:cubicBezTo>
                <a:cubicBezTo>
                  <a:pt x="3675970" y="3953703"/>
                  <a:pt x="3690393" y="3966980"/>
                  <a:pt x="3690393" y="3983355"/>
                </a:cubicBezTo>
                <a:cubicBezTo>
                  <a:pt x="3690393" y="3999730"/>
                  <a:pt x="3675970" y="4013007"/>
                  <a:pt x="3658183" y="4013007"/>
                </a:cubicBezTo>
                <a:close/>
                <a:moveTo>
                  <a:pt x="3815250" y="4013007"/>
                </a:moveTo>
                <a:cubicBezTo>
                  <a:pt x="3797463" y="4013007"/>
                  <a:pt x="3783040" y="3999730"/>
                  <a:pt x="3783040" y="3983355"/>
                </a:cubicBezTo>
                <a:cubicBezTo>
                  <a:pt x="3783040" y="3966980"/>
                  <a:pt x="3797463" y="3953703"/>
                  <a:pt x="3815250" y="3953703"/>
                </a:cubicBezTo>
                <a:cubicBezTo>
                  <a:pt x="3833038" y="3953703"/>
                  <a:pt x="3847461" y="3966980"/>
                  <a:pt x="3847461" y="3983355"/>
                </a:cubicBezTo>
                <a:cubicBezTo>
                  <a:pt x="3847461" y="3999730"/>
                  <a:pt x="3833038" y="4013007"/>
                  <a:pt x="3815250" y="4013007"/>
                </a:cubicBezTo>
                <a:close/>
                <a:moveTo>
                  <a:pt x="3893785" y="4013007"/>
                </a:moveTo>
                <a:cubicBezTo>
                  <a:pt x="3875997" y="4013007"/>
                  <a:pt x="3861574" y="3999730"/>
                  <a:pt x="3861574" y="3983355"/>
                </a:cubicBezTo>
                <a:cubicBezTo>
                  <a:pt x="3861574" y="3966980"/>
                  <a:pt x="3875997" y="3953703"/>
                  <a:pt x="3893785" y="3953703"/>
                </a:cubicBezTo>
                <a:cubicBezTo>
                  <a:pt x="3911572" y="3953703"/>
                  <a:pt x="3925995" y="3966980"/>
                  <a:pt x="3925995" y="3983355"/>
                </a:cubicBezTo>
                <a:cubicBezTo>
                  <a:pt x="3925995" y="3999730"/>
                  <a:pt x="3911572" y="4013007"/>
                  <a:pt x="3893785" y="4013007"/>
                </a:cubicBezTo>
                <a:close/>
                <a:moveTo>
                  <a:pt x="3972319" y="4013007"/>
                </a:moveTo>
                <a:cubicBezTo>
                  <a:pt x="3954532" y="4013007"/>
                  <a:pt x="3940108" y="3999730"/>
                  <a:pt x="3940108" y="3983355"/>
                </a:cubicBezTo>
                <a:cubicBezTo>
                  <a:pt x="3940108" y="3966980"/>
                  <a:pt x="3954532" y="3953703"/>
                  <a:pt x="3972319" y="3953703"/>
                </a:cubicBezTo>
                <a:cubicBezTo>
                  <a:pt x="3990106" y="3953703"/>
                  <a:pt x="4004529" y="3966980"/>
                  <a:pt x="4004529" y="3983355"/>
                </a:cubicBezTo>
                <a:cubicBezTo>
                  <a:pt x="4004529" y="3999730"/>
                  <a:pt x="3990106" y="4013007"/>
                  <a:pt x="3972319" y="4013007"/>
                </a:cubicBezTo>
                <a:close/>
                <a:moveTo>
                  <a:pt x="4050852" y="4013007"/>
                </a:moveTo>
                <a:cubicBezTo>
                  <a:pt x="4033065" y="4013007"/>
                  <a:pt x="4018642" y="3999730"/>
                  <a:pt x="4018642" y="3983355"/>
                </a:cubicBezTo>
                <a:cubicBezTo>
                  <a:pt x="4018642" y="3966980"/>
                  <a:pt x="4033065" y="3953703"/>
                  <a:pt x="4050852" y="3953703"/>
                </a:cubicBezTo>
                <a:cubicBezTo>
                  <a:pt x="4068639" y="3953703"/>
                  <a:pt x="4083062" y="3966980"/>
                  <a:pt x="4083062" y="3983355"/>
                </a:cubicBezTo>
                <a:cubicBezTo>
                  <a:pt x="4083062" y="3999730"/>
                  <a:pt x="4068639" y="4013007"/>
                  <a:pt x="4050852" y="4013007"/>
                </a:cubicBezTo>
                <a:close/>
                <a:moveTo>
                  <a:pt x="4129386" y="4013007"/>
                </a:moveTo>
                <a:cubicBezTo>
                  <a:pt x="4111599" y="4013007"/>
                  <a:pt x="4097176" y="3999730"/>
                  <a:pt x="4097176" y="3983355"/>
                </a:cubicBezTo>
                <a:cubicBezTo>
                  <a:pt x="4097176" y="3966980"/>
                  <a:pt x="4111599" y="3953703"/>
                  <a:pt x="4129386" y="3953703"/>
                </a:cubicBezTo>
                <a:cubicBezTo>
                  <a:pt x="4147174" y="3953703"/>
                  <a:pt x="4161597" y="3966980"/>
                  <a:pt x="4161597" y="3983355"/>
                </a:cubicBezTo>
                <a:cubicBezTo>
                  <a:pt x="4161597" y="3999730"/>
                  <a:pt x="4147174" y="4013007"/>
                  <a:pt x="4129386" y="4013007"/>
                </a:cubicBezTo>
                <a:close/>
                <a:moveTo>
                  <a:pt x="4286460" y="4013007"/>
                </a:moveTo>
                <a:cubicBezTo>
                  <a:pt x="4268673" y="4013007"/>
                  <a:pt x="4254250" y="3999730"/>
                  <a:pt x="4254250" y="3983355"/>
                </a:cubicBezTo>
                <a:cubicBezTo>
                  <a:pt x="4254250" y="3966980"/>
                  <a:pt x="4268673" y="3953703"/>
                  <a:pt x="4286460" y="3953703"/>
                </a:cubicBezTo>
                <a:cubicBezTo>
                  <a:pt x="4304247" y="3953703"/>
                  <a:pt x="4318670" y="3966980"/>
                  <a:pt x="4318670" y="3983355"/>
                </a:cubicBezTo>
                <a:cubicBezTo>
                  <a:pt x="4318670" y="3999730"/>
                  <a:pt x="4304247" y="4013007"/>
                  <a:pt x="4286460" y="4013007"/>
                </a:cubicBezTo>
                <a:close/>
                <a:moveTo>
                  <a:pt x="5857137" y="4013007"/>
                </a:moveTo>
                <a:cubicBezTo>
                  <a:pt x="5839350" y="4013007"/>
                  <a:pt x="5824927" y="3999730"/>
                  <a:pt x="5824927" y="3983355"/>
                </a:cubicBezTo>
                <a:cubicBezTo>
                  <a:pt x="5824927" y="3966980"/>
                  <a:pt x="5839350" y="3953703"/>
                  <a:pt x="5857137" y="3953703"/>
                </a:cubicBezTo>
                <a:cubicBezTo>
                  <a:pt x="5874924" y="3953703"/>
                  <a:pt x="5889347" y="3966980"/>
                  <a:pt x="5889347" y="3983355"/>
                </a:cubicBezTo>
                <a:cubicBezTo>
                  <a:pt x="5889347" y="3999730"/>
                  <a:pt x="5874924" y="4013007"/>
                  <a:pt x="5857137" y="4013007"/>
                </a:cubicBezTo>
                <a:close/>
                <a:moveTo>
                  <a:pt x="5935671" y="4013007"/>
                </a:moveTo>
                <a:cubicBezTo>
                  <a:pt x="5917884" y="4013007"/>
                  <a:pt x="5903461" y="3999730"/>
                  <a:pt x="5903461" y="3983355"/>
                </a:cubicBezTo>
                <a:cubicBezTo>
                  <a:pt x="5903461" y="3966980"/>
                  <a:pt x="5917884" y="3953703"/>
                  <a:pt x="5935671" y="3953703"/>
                </a:cubicBezTo>
                <a:cubicBezTo>
                  <a:pt x="5953458" y="3953703"/>
                  <a:pt x="5967881" y="3966980"/>
                  <a:pt x="5967881" y="3983355"/>
                </a:cubicBezTo>
                <a:cubicBezTo>
                  <a:pt x="5967881" y="3999730"/>
                  <a:pt x="5953458" y="4013007"/>
                  <a:pt x="5935671" y="4013007"/>
                </a:cubicBezTo>
                <a:close/>
                <a:moveTo>
                  <a:pt x="6014205" y="4013007"/>
                </a:moveTo>
                <a:cubicBezTo>
                  <a:pt x="5996418" y="4013007"/>
                  <a:pt x="5981995" y="3999730"/>
                  <a:pt x="5981995" y="3983355"/>
                </a:cubicBezTo>
                <a:cubicBezTo>
                  <a:pt x="5981995" y="3966980"/>
                  <a:pt x="5996418" y="3953703"/>
                  <a:pt x="6014205" y="3953703"/>
                </a:cubicBezTo>
                <a:cubicBezTo>
                  <a:pt x="6031993" y="3953703"/>
                  <a:pt x="6046416" y="3966980"/>
                  <a:pt x="6046416" y="3983355"/>
                </a:cubicBezTo>
                <a:cubicBezTo>
                  <a:pt x="6046416" y="3999730"/>
                  <a:pt x="6031993" y="4013007"/>
                  <a:pt x="6014205" y="4013007"/>
                </a:cubicBezTo>
                <a:close/>
                <a:moveTo>
                  <a:pt x="6092739" y="4013007"/>
                </a:moveTo>
                <a:cubicBezTo>
                  <a:pt x="6074951" y="4013007"/>
                  <a:pt x="6060528" y="3999730"/>
                  <a:pt x="6060528" y="3983355"/>
                </a:cubicBezTo>
                <a:cubicBezTo>
                  <a:pt x="6060528" y="3966980"/>
                  <a:pt x="6074951" y="3953703"/>
                  <a:pt x="6092739" y="3953703"/>
                </a:cubicBezTo>
                <a:cubicBezTo>
                  <a:pt x="6110526" y="3953703"/>
                  <a:pt x="6124949" y="3966980"/>
                  <a:pt x="6124949" y="3983355"/>
                </a:cubicBezTo>
                <a:cubicBezTo>
                  <a:pt x="6124949" y="3999730"/>
                  <a:pt x="6110526" y="4013007"/>
                  <a:pt x="6092739" y="4013007"/>
                </a:cubicBezTo>
                <a:close/>
                <a:moveTo>
                  <a:pt x="6171273" y="4013007"/>
                </a:moveTo>
                <a:cubicBezTo>
                  <a:pt x="6153480" y="4013007"/>
                  <a:pt x="6139056" y="3999730"/>
                  <a:pt x="6139056" y="3983355"/>
                </a:cubicBezTo>
                <a:cubicBezTo>
                  <a:pt x="6139056" y="3966980"/>
                  <a:pt x="6153480" y="3953703"/>
                  <a:pt x="6171273" y="3953703"/>
                </a:cubicBezTo>
                <a:cubicBezTo>
                  <a:pt x="6189060" y="3953703"/>
                  <a:pt x="6203477" y="3966980"/>
                  <a:pt x="6203477" y="3983355"/>
                </a:cubicBezTo>
                <a:cubicBezTo>
                  <a:pt x="6203477" y="3999730"/>
                  <a:pt x="6189060" y="4013007"/>
                  <a:pt x="6171273" y="4013007"/>
                </a:cubicBezTo>
                <a:close/>
                <a:moveTo>
                  <a:pt x="6249806" y="4013007"/>
                </a:moveTo>
                <a:cubicBezTo>
                  <a:pt x="6232019" y="4013007"/>
                  <a:pt x="6217590" y="3999730"/>
                  <a:pt x="6217590" y="3983355"/>
                </a:cubicBezTo>
                <a:cubicBezTo>
                  <a:pt x="6217590" y="3966980"/>
                  <a:pt x="6232019" y="3953703"/>
                  <a:pt x="6249806" y="3953703"/>
                </a:cubicBezTo>
                <a:cubicBezTo>
                  <a:pt x="6267593" y="3953703"/>
                  <a:pt x="6282010" y="3966980"/>
                  <a:pt x="6282010" y="3983355"/>
                </a:cubicBezTo>
                <a:cubicBezTo>
                  <a:pt x="6282010" y="3999730"/>
                  <a:pt x="6267593" y="4013007"/>
                  <a:pt x="6249806" y="4013007"/>
                </a:cubicBezTo>
                <a:close/>
                <a:moveTo>
                  <a:pt x="6328340" y="4013007"/>
                </a:moveTo>
                <a:cubicBezTo>
                  <a:pt x="6310553" y="4013007"/>
                  <a:pt x="6296124" y="3999730"/>
                  <a:pt x="6296124" y="3983355"/>
                </a:cubicBezTo>
                <a:cubicBezTo>
                  <a:pt x="6296124" y="3966980"/>
                  <a:pt x="6310553" y="3953703"/>
                  <a:pt x="6328340" y="3953703"/>
                </a:cubicBezTo>
                <a:cubicBezTo>
                  <a:pt x="6346128" y="3953703"/>
                  <a:pt x="6360545" y="3966980"/>
                  <a:pt x="6360545" y="3983355"/>
                </a:cubicBezTo>
                <a:cubicBezTo>
                  <a:pt x="6360545" y="3999730"/>
                  <a:pt x="6346128" y="4013007"/>
                  <a:pt x="6328340" y="4013007"/>
                </a:cubicBezTo>
                <a:close/>
                <a:moveTo>
                  <a:pt x="6406875" y="4013007"/>
                </a:moveTo>
                <a:cubicBezTo>
                  <a:pt x="6389087" y="4013007"/>
                  <a:pt x="6374658" y="3999730"/>
                  <a:pt x="6374658" y="3983355"/>
                </a:cubicBezTo>
                <a:cubicBezTo>
                  <a:pt x="6374658" y="3966980"/>
                  <a:pt x="6389087" y="3953703"/>
                  <a:pt x="6406875" y="3953703"/>
                </a:cubicBezTo>
                <a:cubicBezTo>
                  <a:pt x="6424662" y="3953703"/>
                  <a:pt x="6439079" y="3966980"/>
                  <a:pt x="6439079" y="3983355"/>
                </a:cubicBezTo>
                <a:cubicBezTo>
                  <a:pt x="6439079" y="3999730"/>
                  <a:pt x="6424662" y="4013007"/>
                  <a:pt x="6406875" y="4013007"/>
                </a:cubicBezTo>
                <a:close/>
                <a:moveTo>
                  <a:pt x="6485408" y="4013007"/>
                </a:moveTo>
                <a:cubicBezTo>
                  <a:pt x="6467621" y="4013007"/>
                  <a:pt x="6453191" y="3999730"/>
                  <a:pt x="6453191" y="3983355"/>
                </a:cubicBezTo>
                <a:cubicBezTo>
                  <a:pt x="6453191" y="3966980"/>
                  <a:pt x="6467621" y="3953703"/>
                  <a:pt x="6485408" y="3953703"/>
                </a:cubicBezTo>
                <a:cubicBezTo>
                  <a:pt x="6503195" y="3953703"/>
                  <a:pt x="6517612" y="3966980"/>
                  <a:pt x="6517612" y="3983355"/>
                </a:cubicBezTo>
                <a:cubicBezTo>
                  <a:pt x="6517612" y="3999730"/>
                  <a:pt x="6503195" y="4013007"/>
                  <a:pt x="6485408" y="4013007"/>
                </a:cubicBezTo>
                <a:close/>
                <a:moveTo>
                  <a:pt x="6563942" y="4013007"/>
                </a:moveTo>
                <a:cubicBezTo>
                  <a:pt x="6546155" y="4013007"/>
                  <a:pt x="6531726" y="3999730"/>
                  <a:pt x="6531726" y="3983355"/>
                </a:cubicBezTo>
                <a:cubicBezTo>
                  <a:pt x="6531726" y="3966980"/>
                  <a:pt x="6546155" y="3953703"/>
                  <a:pt x="6563942" y="3953703"/>
                </a:cubicBezTo>
                <a:cubicBezTo>
                  <a:pt x="6581729" y="3953703"/>
                  <a:pt x="6596146" y="3966980"/>
                  <a:pt x="6596146" y="3983355"/>
                </a:cubicBezTo>
                <a:cubicBezTo>
                  <a:pt x="6596146" y="3999730"/>
                  <a:pt x="6581729" y="4013007"/>
                  <a:pt x="6563942" y="4013007"/>
                </a:cubicBezTo>
                <a:close/>
                <a:moveTo>
                  <a:pt x="6642476" y="4013007"/>
                </a:moveTo>
                <a:cubicBezTo>
                  <a:pt x="6624689" y="4013007"/>
                  <a:pt x="6610260" y="3999730"/>
                  <a:pt x="6610260" y="3983355"/>
                </a:cubicBezTo>
                <a:cubicBezTo>
                  <a:pt x="6610260" y="3966980"/>
                  <a:pt x="6624689" y="3953703"/>
                  <a:pt x="6642476" y="3953703"/>
                </a:cubicBezTo>
                <a:cubicBezTo>
                  <a:pt x="6660264" y="3953703"/>
                  <a:pt x="6674681" y="3966980"/>
                  <a:pt x="6674681" y="3983355"/>
                </a:cubicBezTo>
                <a:cubicBezTo>
                  <a:pt x="6674681" y="3999730"/>
                  <a:pt x="6660264" y="4013007"/>
                  <a:pt x="6642476" y="4013007"/>
                </a:cubicBezTo>
                <a:close/>
                <a:moveTo>
                  <a:pt x="6721010" y="4013007"/>
                </a:moveTo>
                <a:cubicBezTo>
                  <a:pt x="6703222" y="4013007"/>
                  <a:pt x="6688793" y="3999730"/>
                  <a:pt x="6688793" y="3983355"/>
                </a:cubicBezTo>
                <a:cubicBezTo>
                  <a:pt x="6688793" y="3966980"/>
                  <a:pt x="6703222" y="3953703"/>
                  <a:pt x="6721010" y="3953703"/>
                </a:cubicBezTo>
                <a:cubicBezTo>
                  <a:pt x="6738797" y="3953703"/>
                  <a:pt x="6753214" y="3966980"/>
                  <a:pt x="6753214" y="3983355"/>
                </a:cubicBezTo>
                <a:cubicBezTo>
                  <a:pt x="6753214" y="3999730"/>
                  <a:pt x="6738797" y="4013007"/>
                  <a:pt x="6721010" y="4013007"/>
                </a:cubicBezTo>
                <a:close/>
                <a:moveTo>
                  <a:pt x="6878077" y="4013007"/>
                </a:moveTo>
                <a:cubicBezTo>
                  <a:pt x="6860290" y="4013007"/>
                  <a:pt x="6845861" y="3999730"/>
                  <a:pt x="6845861" y="3983355"/>
                </a:cubicBezTo>
                <a:cubicBezTo>
                  <a:pt x="6845861" y="3966980"/>
                  <a:pt x="6860290" y="3953703"/>
                  <a:pt x="6878077" y="3953703"/>
                </a:cubicBezTo>
                <a:cubicBezTo>
                  <a:pt x="6895864" y="3953703"/>
                  <a:pt x="6910281" y="3966980"/>
                  <a:pt x="6910281" y="3983355"/>
                </a:cubicBezTo>
                <a:cubicBezTo>
                  <a:pt x="6910281" y="3999730"/>
                  <a:pt x="6895864" y="4013007"/>
                  <a:pt x="6878077" y="4013007"/>
                </a:cubicBezTo>
                <a:close/>
                <a:moveTo>
                  <a:pt x="7035146" y="4013007"/>
                </a:moveTo>
                <a:cubicBezTo>
                  <a:pt x="7017358" y="4013007"/>
                  <a:pt x="7002929" y="3999730"/>
                  <a:pt x="7002929" y="3983355"/>
                </a:cubicBezTo>
                <a:cubicBezTo>
                  <a:pt x="7002929" y="3966980"/>
                  <a:pt x="7017358" y="3953703"/>
                  <a:pt x="7035146" y="3953703"/>
                </a:cubicBezTo>
                <a:cubicBezTo>
                  <a:pt x="7052933" y="3953703"/>
                  <a:pt x="7067350" y="3966980"/>
                  <a:pt x="7067350" y="3983355"/>
                </a:cubicBezTo>
                <a:cubicBezTo>
                  <a:pt x="7067350" y="3999730"/>
                  <a:pt x="7052933" y="4013007"/>
                  <a:pt x="7035146" y="4013007"/>
                </a:cubicBezTo>
                <a:close/>
                <a:moveTo>
                  <a:pt x="7113703" y="4013007"/>
                </a:moveTo>
                <a:cubicBezTo>
                  <a:pt x="7095916" y="4013007"/>
                  <a:pt x="7081487" y="3999730"/>
                  <a:pt x="7081487" y="3983355"/>
                </a:cubicBezTo>
                <a:cubicBezTo>
                  <a:pt x="7081487" y="3966980"/>
                  <a:pt x="7095916" y="3953703"/>
                  <a:pt x="7113703" y="3953703"/>
                </a:cubicBezTo>
                <a:cubicBezTo>
                  <a:pt x="7131490" y="3953703"/>
                  <a:pt x="7145907" y="3966980"/>
                  <a:pt x="7145907" y="3983355"/>
                </a:cubicBezTo>
                <a:cubicBezTo>
                  <a:pt x="7145907" y="3999730"/>
                  <a:pt x="7131490" y="4013007"/>
                  <a:pt x="7113703" y="4013007"/>
                </a:cubicBezTo>
                <a:close/>
                <a:moveTo>
                  <a:pt x="7192237" y="4013007"/>
                </a:moveTo>
                <a:cubicBezTo>
                  <a:pt x="7174450" y="4013007"/>
                  <a:pt x="7160021" y="3999730"/>
                  <a:pt x="7160021" y="3983355"/>
                </a:cubicBezTo>
                <a:cubicBezTo>
                  <a:pt x="7160021" y="3966980"/>
                  <a:pt x="7174450" y="3953703"/>
                  <a:pt x="7192237" y="3953703"/>
                </a:cubicBezTo>
                <a:cubicBezTo>
                  <a:pt x="7210024" y="3953703"/>
                  <a:pt x="7224441" y="3966980"/>
                  <a:pt x="7224441" y="3983355"/>
                </a:cubicBezTo>
                <a:cubicBezTo>
                  <a:pt x="7224441" y="3999730"/>
                  <a:pt x="7210024" y="4013007"/>
                  <a:pt x="7192237" y="4013007"/>
                </a:cubicBezTo>
                <a:close/>
                <a:moveTo>
                  <a:pt x="7427839" y="4013007"/>
                </a:moveTo>
                <a:cubicBezTo>
                  <a:pt x="7410052" y="4013007"/>
                  <a:pt x="7395623" y="3999730"/>
                  <a:pt x="7395623" y="3983355"/>
                </a:cubicBezTo>
                <a:cubicBezTo>
                  <a:pt x="7395623" y="3966980"/>
                  <a:pt x="7410052" y="3953703"/>
                  <a:pt x="7427839" y="3953703"/>
                </a:cubicBezTo>
                <a:cubicBezTo>
                  <a:pt x="7445626" y="3953703"/>
                  <a:pt x="7460043" y="3966980"/>
                  <a:pt x="7460043" y="3983355"/>
                </a:cubicBezTo>
                <a:cubicBezTo>
                  <a:pt x="7460043" y="3999730"/>
                  <a:pt x="7445626" y="4013007"/>
                  <a:pt x="7427839" y="4013007"/>
                </a:cubicBezTo>
                <a:close/>
                <a:moveTo>
                  <a:pt x="7506373" y="4013007"/>
                </a:moveTo>
                <a:cubicBezTo>
                  <a:pt x="7488586" y="4013007"/>
                  <a:pt x="7474157" y="3999730"/>
                  <a:pt x="7474157" y="3983355"/>
                </a:cubicBezTo>
                <a:cubicBezTo>
                  <a:pt x="7474157" y="3966980"/>
                  <a:pt x="7488586" y="3953703"/>
                  <a:pt x="7506373" y="3953703"/>
                </a:cubicBezTo>
                <a:cubicBezTo>
                  <a:pt x="7524160" y="3953703"/>
                  <a:pt x="7538577" y="3966980"/>
                  <a:pt x="7538577" y="3983355"/>
                </a:cubicBezTo>
                <a:cubicBezTo>
                  <a:pt x="7538577" y="3999730"/>
                  <a:pt x="7524160" y="4013007"/>
                  <a:pt x="7506373" y="4013007"/>
                </a:cubicBezTo>
                <a:close/>
                <a:moveTo>
                  <a:pt x="7584906" y="4013007"/>
                </a:moveTo>
                <a:cubicBezTo>
                  <a:pt x="7567119" y="4013007"/>
                  <a:pt x="7552690" y="3999730"/>
                  <a:pt x="7552690" y="3983355"/>
                </a:cubicBezTo>
                <a:cubicBezTo>
                  <a:pt x="7552690" y="3966980"/>
                  <a:pt x="7567119" y="3953703"/>
                  <a:pt x="7584906" y="3953703"/>
                </a:cubicBezTo>
                <a:cubicBezTo>
                  <a:pt x="7602694" y="3953703"/>
                  <a:pt x="7617111" y="3966980"/>
                  <a:pt x="7617111" y="3983355"/>
                </a:cubicBezTo>
                <a:cubicBezTo>
                  <a:pt x="7617111" y="3999730"/>
                  <a:pt x="7602694" y="4013007"/>
                  <a:pt x="7584906" y="4013007"/>
                </a:cubicBezTo>
                <a:close/>
                <a:moveTo>
                  <a:pt x="7663441" y="4013007"/>
                </a:moveTo>
                <a:cubicBezTo>
                  <a:pt x="7645653" y="4013007"/>
                  <a:pt x="7631224" y="3999730"/>
                  <a:pt x="7631224" y="3983355"/>
                </a:cubicBezTo>
                <a:cubicBezTo>
                  <a:pt x="7631224" y="3966980"/>
                  <a:pt x="7645653" y="3953703"/>
                  <a:pt x="7663441" y="3953703"/>
                </a:cubicBezTo>
                <a:cubicBezTo>
                  <a:pt x="7681228" y="3953703"/>
                  <a:pt x="7695645" y="3966980"/>
                  <a:pt x="7695645" y="3983355"/>
                </a:cubicBezTo>
                <a:cubicBezTo>
                  <a:pt x="7695645" y="3999730"/>
                  <a:pt x="7681228" y="4013007"/>
                  <a:pt x="7663441" y="4013007"/>
                </a:cubicBezTo>
                <a:close/>
                <a:moveTo>
                  <a:pt x="7741974" y="4013007"/>
                </a:moveTo>
                <a:cubicBezTo>
                  <a:pt x="7724187" y="4013007"/>
                  <a:pt x="7709758" y="3999730"/>
                  <a:pt x="7709758" y="3983355"/>
                </a:cubicBezTo>
                <a:cubicBezTo>
                  <a:pt x="7709758" y="3966980"/>
                  <a:pt x="7724187" y="3953703"/>
                  <a:pt x="7741974" y="3953703"/>
                </a:cubicBezTo>
                <a:cubicBezTo>
                  <a:pt x="7759761" y="3953703"/>
                  <a:pt x="7774178" y="3966980"/>
                  <a:pt x="7774178" y="3983355"/>
                </a:cubicBezTo>
                <a:cubicBezTo>
                  <a:pt x="7774178" y="3999730"/>
                  <a:pt x="7759761" y="4013007"/>
                  <a:pt x="7741974" y="4013007"/>
                </a:cubicBezTo>
                <a:close/>
                <a:moveTo>
                  <a:pt x="7820508" y="4013007"/>
                </a:moveTo>
                <a:cubicBezTo>
                  <a:pt x="7802721" y="4013007"/>
                  <a:pt x="7788292" y="3999730"/>
                  <a:pt x="7788292" y="3983355"/>
                </a:cubicBezTo>
                <a:cubicBezTo>
                  <a:pt x="7788292" y="3966980"/>
                  <a:pt x="7802721" y="3953703"/>
                  <a:pt x="7820508" y="3953703"/>
                </a:cubicBezTo>
                <a:cubicBezTo>
                  <a:pt x="7838295" y="3953703"/>
                  <a:pt x="7852712" y="3966980"/>
                  <a:pt x="7852712" y="3983355"/>
                </a:cubicBezTo>
                <a:cubicBezTo>
                  <a:pt x="7852712" y="3999730"/>
                  <a:pt x="7838295" y="4013007"/>
                  <a:pt x="7820508" y="4013007"/>
                </a:cubicBezTo>
                <a:close/>
                <a:moveTo>
                  <a:pt x="7899042" y="4013007"/>
                </a:moveTo>
                <a:cubicBezTo>
                  <a:pt x="7881255" y="4013007"/>
                  <a:pt x="7866826" y="3999730"/>
                  <a:pt x="7866826" y="3983355"/>
                </a:cubicBezTo>
                <a:cubicBezTo>
                  <a:pt x="7866826" y="3966980"/>
                  <a:pt x="7881255" y="3953703"/>
                  <a:pt x="7899042" y="3953703"/>
                </a:cubicBezTo>
                <a:cubicBezTo>
                  <a:pt x="7916830" y="3953703"/>
                  <a:pt x="7931247" y="3966980"/>
                  <a:pt x="7931247" y="3983355"/>
                </a:cubicBezTo>
                <a:cubicBezTo>
                  <a:pt x="7931247" y="3999730"/>
                  <a:pt x="7916830" y="4013007"/>
                  <a:pt x="7899042" y="4013007"/>
                </a:cubicBezTo>
                <a:close/>
                <a:moveTo>
                  <a:pt x="8056110" y="4013007"/>
                </a:moveTo>
                <a:cubicBezTo>
                  <a:pt x="8038323" y="4013007"/>
                  <a:pt x="8023894" y="3999730"/>
                  <a:pt x="8023894" y="3983355"/>
                </a:cubicBezTo>
                <a:cubicBezTo>
                  <a:pt x="8023894" y="3966980"/>
                  <a:pt x="8038323" y="3953703"/>
                  <a:pt x="8056110" y="3953703"/>
                </a:cubicBezTo>
                <a:cubicBezTo>
                  <a:pt x="8073897" y="3953703"/>
                  <a:pt x="8088314" y="3966980"/>
                  <a:pt x="8088314" y="3983355"/>
                </a:cubicBezTo>
                <a:cubicBezTo>
                  <a:pt x="8088314" y="3999730"/>
                  <a:pt x="8073897" y="4013007"/>
                  <a:pt x="8056110" y="4013007"/>
                </a:cubicBezTo>
                <a:close/>
                <a:moveTo>
                  <a:pt x="8134643" y="4013007"/>
                </a:moveTo>
                <a:cubicBezTo>
                  <a:pt x="8116856" y="4013007"/>
                  <a:pt x="8102427" y="3999730"/>
                  <a:pt x="8102427" y="3983355"/>
                </a:cubicBezTo>
                <a:cubicBezTo>
                  <a:pt x="8102427" y="3966980"/>
                  <a:pt x="8116856" y="3953703"/>
                  <a:pt x="8134643" y="3953703"/>
                </a:cubicBezTo>
                <a:cubicBezTo>
                  <a:pt x="8152430" y="3953703"/>
                  <a:pt x="8166847" y="3966980"/>
                  <a:pt x="8166847" y="3983355"/>
                </a:cubicBezTo>
                <a:cubicBezTo>
                  <a:pt x="8166847" y="3999730"/>
                  <a:pt x="8152430" y="4013007"/>
                  <a:pt x="8134643" y="4013007"/>
                </a:cubicBezTo>
                <a:close/>
                <a:moveTo>
                  <a:pt x="8213177" y="4013007"/>
                </a:moveTo>
                <a:cubicBezTo>
                  <a:pt x="8195390" y="4013007"/>
                  <a:pt x="8180961" y="3999730"/>
                  <a:pt x="8180961" y="3983355"/>
                </a:cubicBezTo>
                <a:cubicBezTo>
                  <a:pt x="8180961" y="3966980"/>
                  <a:pt x="8195390" y="3953703"/>
                  <a:pt x="8213177" y="3953703"/>
                </a:cubicBezTo>
                <a:cubicBezTo>
                  <a:pt x="8230965" y="3953703"/>
                  <a:pt x="8245382" y="3966980"/>
                  <a:pt x="8245382" y="3983355"/>
                </a:cubicBezTo>
                <a:cubicBezTo>
                  <a:pt x="8245382" y="3999730"/>
                  <a:pt x="8230965" y="4013007"/>
                  <a:pt x="8213177" y="4013007"/>
                </a:cubicBezTo>
                <a:close/>
                <a:moveTo>
                  <a:pt x="8291712" y="4013007"/>
                </a:moveTo>
                <a:cubicBezTo>
                  <a:pt x="8273924" y="4013007"/>
                  <a:pt x="8259495" y="3999730"/>
                  <a:pt x="8259495" y="3983355"/>
                </a:cubicBezTo>
                <a:cubicBezTo>
                  <a:pt x="8259495" y="3966980"/>
                  <a:pt x="8273924" y="3953703"/>
                  <a:pt x="8291712" y="3953703"/>
                </a:cubicBezTo>
                <a:cubicBezTo>
                  <a:pt x="8309499" y="3953703"/>
                  <a:pt x="8323916" y="3966980"/>
                  <a:pt x="8323916" y="3983355"/>
                </a:cubicBezTo>
                <a:cubicBezTo>
                  <a:pt x="8323916" y="3999730"/>
                  <a:pt x="8309499" y="4013007"/>
                  <a:pt x="8291712" y="4013007"/>
                </a:cubicBezTo>
                <a:close/>
                <a:moveTo>
                  <a:pt x="8370245" y="4013007"/>
                </a:moveTo>
                <a:cubicBezTo>
                  <a:pt x="8352458" y="4013007"/>
                  <a:pt x="8338029" y="3999730"/>
                  <a:pt x="8338029" y="3983355"/>
                </a:cubicBezTo>
                <a:cubicBezTo>
                  <a:pt x="8338029" y="3966980"/>
                  <a:pt x="8352458" y="3953703"/>
                  <a:pt x="8370245" y="3953703"/>
                </a:cubicBezTo>
                <a:cubicBezTo>
                  <a:pt x="8388032" y="3953703"/>
                  <a:pt x="8402449" y="3966980"/>
                  <a:pt x="8402449" y="3983355"/>
                </a:cubicBezTo>
                <a:cubicBezTo>
                  <a:pt x="8402449" y="3999730"/>
                  <a:pt x="8388032" y="4013007"/>
                  <a:pt x="8370245" y="4013007"/>
                </a:cubicBezTo>
                <a:close/>
                <a:moveTo>
                  <a:pt x="8448779" y="4013007"/>
                </a:moveTo>
                <a:cubicBezTo>
                  <a:pt x="8430992" y="4013007"/>
                  <a:pt x="8416563" y="3999730"/>
                  <a:pt x="8416563" y="3983355"/>
                </a:cubicBezTo>
                <a:cubicBezTo>
                  <a:pt x="8416563" y="3966980"/>
                  <a:pt x="8430992" y="3953703"/>
                  <a:pt x="8448779" y="3953703"/>
                </a:cubicBezTo>
                <a:cubicBezTo>
                  <a:pt x="8466566" y="3953703"/>
                  <a:pt x="8480983" y="3966980"/>
                  <a:pt x="8480983" y="3983355"/>
                </a:cubicBezTo>
                <a:cubicBezTo>
                  <a:pt x="8480983" y="3999730"/>
                  <a:pt x="8466566" y="4013007"/>
                  <a:pt x="8448779" y="4013007"/>
                </a:cubicBezTo>
                <a:close/>
                <a:moveTo>
                  <a:pt x="8527313" y="4013007"/>
                </a:moveTo>
                <a:cubicBezTo>
                  <a:pt x="8509526" y="4013007"/>
                  <a:pt x="8495097" y="3999730"/>
                  <a:pt x="8495097" y="3983355"/>
                </a:cubicBezTo>
                <a:cubicBezTo>
                  <a:pt x="8495097" y="3966980"/>
                  <a:pt x="8509526" y="3953703"/>
                  <a:pt x="8527313" y="3953703"/>
                </a:cubicBezTo>
                <a:cubicBezTo>
                  <a:pt x="8545101" y="3953703"/>
                  <a:pt x="8559518" y="3966980"/>
                  <a:pt x="8559518" y="3983355"/>
                </a:cubicBezTo>
                <a:cubicBezTo>
                  <a:pt x="8559518" y="3999730"/>
                  <a:pt x="8545101" y="4013007"/>
                  <a:pt x="8527313" y="4013007"/>
                </a:cubicBezTo>
                <a:close/>
                <a:moveTo>
                  <a:pt x="8605847" y="4013007"/>
                </a:moveTo>
                <a:cubicBezTo>
                  <a:pt x="8588059" y="4013007"/>
                  <a:pt x="8573630" y="3999730"/>
                  <a:pt x="8573630" y="3983355"/>
                </a:cubicBezTo>
                <a:cubicBezTo>
                  <a:pt x="8573630" y="3966980"/>
                  <a:pt x="8588059" y="3953703"/>
                  <a:pt x="8605847" y="3953703"/>
                </a:cubicBezTo>
                <a:cubicBezTo>
                  <a:pt x="8623634" y="3953703"/>
                  <a:pt x="8638051" y="3966980"/>
                  <a:pt x="8638051" y="3983355"/>
                </a:cubicBezTo>
                <a:cubicBezTo>
                  <a:pt x="8638051" y="3999730"/>
                  <a:pt x="8623634" y="4013007"/>
                  <a:pt x="8605847" y="4013007"/>
                </a:cubicBezTo>
                <a:close/>
                <a:moveTo>
                  <a:pt x="8684381" y="4013007"/>
                </a:moveTo>
                <a:cubicBezTo>
                  <a:pt x="8666594" y="4013007"/>
                  <a:pt x="8652165" y="3999730"/>
                  <a:pt x="8652165" y="3983355"/>
                </a:cubicBezTo>
                <a:cubicBezTo>
                  <a:pt x="8652165" y="3966980"/>
                  <a:pt x="8666594" y="3953703"/>
                  <a:pt x="8684381" y="3953703"/>
                </a:cubicBezTo>
                <a:cubicBezTo>
                  <a:pt x="8702168" y="3953703"/>
                  <a:pt x="8716585" y="3966980"/>
                  <a:pt x="8716585" y="3983355"/>
                </a:cubicBezTo>
                <a:cubicBezTo>
                  <a:pt x="8716585" y="3999730"/>
                  <a:pt x="8702168" y="4013007"/>
                  <a:pt x="8684381" y="4013007"/>
                </a:cubicBezTo>
                <a:close/>
                <a:moveTo>
                  <a:pt x="8762914" y="4013007"/>
                </a:moveTo>
                <a:cubicBezTo>
                  <a:pt x="8745127" y="4013007"/>
                  <a:pt x="8730698" y="3999730"/>
                  <a:pt x="8730698" y="3983355"/>
                </a:cubicBezTo>
                <a:cubicBezTo>
                  <a:pt x="8730698" y="3966980"/>
                  <a:pt x="8745127" y="3953703"/>
                  <a:pt x="8762914" y="3953703"/>
                </a:cubicBezTo>
                <a:cubicBezTo>
                  <a:pt x="8780701" y="3953703"/>
                  <a:pt x="8795118" y="3966980"/>
                  <a:pt x="8795118" y="3983355"/>
                </a:cubicBezTo>
                <a:cubicBezTo>
                  <a:pt x="8795118" y="3999730"/>
                  <a:pt x="8780701" y="4013007"/>
                  <a:pt x="8762914" y="4013007"/>
                </a:cubicBezTo>
                <a:close/>
                <a:moveTo>
                  <a:pt x="8841448" y="4013007"/>
                </a:moveTo>
                <a:cubicBezTo>
                  <a:pt x="8823661" y="4013007"/>
                  <a:pt x="8809232" y="3999730"/>
                  <a:pt x="8809232" y="3983355"/>
                </a:cubicBezTo>
                <a:cubicBezTo>
                  <a:pt x="8809232" y="3966980"/>
                  <a:pt x="8823661" y="3953703"/>
                  <a:pt x="8841448" y="3953703"/>
                </a:cubicBezTo>
                <a:cubicBezTo>
                  <a:pt x="8859236" y="3953703"/>
                  <a:pt x="8873653" y="3966980"/>
                  <a:pt x="8873653" y="3983355"/>
                </a:cubicBezTo>
                <a:cubicBezTo>
                  <a:pt x="8873653" y="3999730"/>
                  <a:pt x="8859236" y="4013007"/>
                  <a:pt x="8841448" y="4013007"/>
                </a:cubicBezTo>
                <a:close/>
                <a:moveTo>
                  <a:pt x="8919983" y="4013007"/>
                </a:moveTo>
                <a:cubicBezTo>
                  <a:pt x="8902195" y="4013007"/>
                  <a:pt x="8887766" y="3999730"/>
                  <a:pt x="8887766" y="3983355"/>
                </a:cubicBezTo>
                <a:cubicBezTo>
                  <a:pt x="8887766" y="3966980"/>
                  <a:pt x="8902195" y="3953703"/>
                  <a:pt x="8919983" y="3953703"/>
                </a:cubicBezTo>
                <a:cubicBezTo>
                  <a:pt x="8937770" y="3953703"/>
                  <a:pt x="8952187" y="3966980"/>
                  <a:pt x="8952187" y="3983355"/>
                </a:cubicBezTo>
                <a:cubicBezTo>
                  <a:pt x="8952187" y="3999730"/>
                  <a:pt x="8937770" y="4013007"/>
                  <a:pt x="8919983" y="4013007"/>
                </a:cubicBezTo>
                <a:close/>
                <a:moveTo>
                  <a:pt x="8998516" y="4013007"/>
                </a:moveTo>
                <a:cubicBezTo>
                  <a:pt x="8980729" y="4013007"/>
                  <a:pt x="8966300" y="3999730"/>
                  <a:pt x="8966300" y="3983355"/>
                </a:cubicBezTo>
                <a:cubicBezTo>
                  <a:pt x="8966300" y="3966980"/>
                  <a:pt x="8980729" y="3953703"/>
                  <a:pt x="8998516" y="3953703"/>
                </a:cubicBezTo>
                <a:cubicBezTo>
                  <a:pt x="9016303" y="3953703"/>
                  <a:pt x="9030720" y="3966980"/>
                  <a:pt x="9030720" y="3983355"/>
                </a:cubicBezTo>
                <a:cubicBezTo>
                  <a:pt x="9030720" y="3999730"/>
                  <a:pt x="9016303" y="4013007"/>
                  <a:pt x="8998516" y="4013007"/>
                </a:cubicBezTo>
                <a:close/>
                <a:moveTo>
                  <a:pt x="9077050" y="4013007"/>
                </a:moveTo>
                <a:cubicBezTo>
                  <a:pt x="9059263" y="4013007"/>
                  <a:pt x="9044834" y="3999730"/>
                  <a:pt x="9044834" y="3983355"/>
                </a:cubicBezTo>
                <a:cubicBezTo>
                  <a:pt x="9044834" y="3966980"/>
                  <a:pt x="9059263" y="3953703"/>
                  <a:pt x="9077050" y="3953703"/>
                </a:cubicBezTo>
                <a:cubicBezTo>
                  <a:pt x="9094837" y="3953703"/>
                  <a:pt x="9109254" y="3966980"/>
                  <a:pt x="9109254" y="3983355"/>
                </a:cubicBezTo>
                <a:cubicBezTo>
                  <a:pt x="9109254" y="3999730"/>
                  <a:pt x="9094837" y="4013007"/>
                  <a:pt x="9077050" y="4013007"/>
                </a:cubicBezTo>
                <a:close/>
                <a:moveTo>
                  <a:pt x="9155583" y="4013007"/>
                </a:moveTo>
                <a:cubicBezTo>
                  <a:pt x="9137796" y="4013007"/>
                  <a:pt x="9123367" y="3999730"/>
                  <a:pt x="9123367" y="3983355"/>
                </a:cubicBezTo>
                <a:cubicBezTo>
                  <a:pt x="9123367" y="3966980"/>
                  <a:pt x="9137796" y="3953703"/>
                  <a:pt x="9155583" y="3953703"/>
                </a:cubicBezTo>
                <a:cubicBezTo>
                  <a:pt x="9173371" y="3953703"/>
                  <a:pt x="9187788" y="3966980"/>
                  <a:pt x="9187788" y="3983355"/>
                </a:cubicBezTo>
                <a:cubicBezTo>
                  <a:pt x="9187788" y="3999730"/>
                  <a:pt x="9173371" y="4013007"/>
                  <a:pt x="9155583" y="4013007"/>
                </a:cubicBezTo>
                <a:close/>
                <a:moveTo>
                  <a:pt x="9234118" y="4013007"/>
                </a:moveTo>
                <a:cubicBezTo>
                  <a:pt x="9216330" y="4013007"/>
                  <a:pt x="9201901" y="3999730"/>
                  <a:pt x="9201901" y="3983355"/>
                </a:cubicBezTo>
                <a:cubicBezTo>
                  <a:pt x="9201901" y="3966980"/>
                  <a:pt x="9216330" y="3953703"/>
                  <a:pt x="9234118" y="3953703"/>
                </a:cubicBezTo>
                <a:cubicBezTo>
                  <a:pt x="9251905" y="3953703"/>
                  <a:pt x="9266322" y="3966980"/>
                  <a:pt x="9266322" y="3983355"/>
                </a:cubicBezTo>
                <a:cubicBezTo>
                  <a:pt x="9266322" y="3999730"/>
                  <a:pt x="9251905" y="4013007"/>
                  <a:pt x="9234118" y="4013007"/>
                </a:cubicBezTo>
                <a:close/>
                <a:moveTo>
                  <a:pt x="9312652" y="4013007"/>
                </a:moveTo>
                <a:cubicBezTo>
                  <a:pt x="9294865" y="4013007"/>
                  <a:pt x="9280436" y="3999730"/>
                  <a:pt x="9280436" y="3983355"/>
                </a:cubicBezTo>
                <a:cubicBezTo>
                  <a:pt x="9280436" y="3966980"/>
                  <a:pt x="9294865" y="3953703"/>
                  <a:pt x="9312652" y="3953703"/>
                </a:cubicBezTo>
                <a:cubicBezTo>
                  <a:pt x="9330439" y="3953703"/>
                  <a:pt x="9344856" y="3966980"/>
                  <a:pt x="9344856" y="3983355"/>
                </a:cubicBezTo>
                <a:cubicBezTo>
                  <a:pt x="9344856" y="3999730"/>
                  <a:pt x="9330439" y="4013007"/>
                  <a:pt x="9312652" y="4013007"/>
                </a:cubicBezTo>
                <a:close/>
                <a:moveTo>
                  <a:pt x="9391185" y="4013007"/>
                </a:moveTo>
                <a:cubicBezTo>
                  <a:pt x="9373398" y="4013007"/>
                  <a:pt x="9358969" y="3999730"/>
                  <a:pt x="9358969" y="3983355"/>
                </a:cubicBezTo>
                <a:cubicBezTo>
                  <a:pt x="9358969" y="3966980"/>
                  <a:pt x="9373398" y="3953703"/>
                  <a:pt x="9391185" y="3953703"/>
                </a:cubicBezTo>
                <a:cubicBezTo>
                  <a:pt x="9408972" y="3953703"/>
                  <a:pt x="9423389" y="3966980"/>
                  <a:pt x="9423389" y="3983355"/>
                </a:cubicBezTo>
                <a:cubicBezTo>
                  <a:pt x="9423389" y="3999730"/>
                  <a:pt x="9408972" y="4013007"/>
                  <a:pt x="9391185" y="4013007"/>
                </a:cubicBezTo>
                <a:close/>
                <a:moveTo>
                  <a:pt x="9469719" y="4013007"/>
                </a:moveTo>
                <a:cubicBezTo>
                  <a:pt x="9451932" y="4013007"/>
                  <a:pt x="9437503" y="3999730"/>
                  <a:pt x="9437503" y="3983355"/>
                </a:cubicBezTo>
                <a:cubicBezTo>
                  <a:pt x="9437503" y="3966980"/>
                  <a:pt x="9451932" y="3953703"/>
                  <a:pt x="9469719" y="3953703"/>
                </a:cubicBezTo>
                <a:cubicBezTo>
                  <a:pt x="9487507" y="3953703"/>
                  <a:pt x="9501924" y="3966980"/>
                  <a:pt x="9501924" y="3983355"/>
                </a:cubicBezTo>
                <a:cubicBezTo>
                  <a:pt x="9501924" y="3999730"/>
                  <a:pt x="9487507" y="4013007"/>
                  <a:pt x="9469719" y="4013007"/>
                </a:cubicBezTo>
                <a:close/>
                <a:moveTo>
                  <a:pt x="9862389" y="4013007"/>
                </a:moveTo>
                <a:cubicBezTo>
                  <a:pt x="9844601" y="4013007"/>
                  <a:pt x="9830172" y="3999730"/>
                  <a:pt x="9830172" y="3983355"/>
                </a:cubicBezTo>
                <a:cubicBezTo>
                  <a:pt x="9830172" y="3966980"/>
                  <a:pt x="9844601" y="3953703"/>
                  <a:pt x="9862389" y="3953703"/>
                </a:cubicBezTo>
                <a:cubicBezTo>
                  <a:pt x="9880176" y="3953703"/>
                  <a:pt x="9894593" y="3966980"/>
                  <a:pt x="9894593" y="3983355"/>
                </a:cubicBezTo>
                <a:cubicBezTo>
                  <a:pt x="9894593" y="3999730"/>
                  <a:pt x="9880176" y="4013007"/>
                  <a:pt x="9862389" y="4013007"/>
                </a:cubicBezTo>
                <a:close/>
                <a:moveTo>
                  <a:pt x="2558715" y="3940741"/>
                </a:moveTo>
                <a:cubicBezTo>
                  <a:pt x="2540928" y="3940741"/>
                  <a:pt x="2526505" y="3927464"/>
                  <a:pt x="2526505" y="3911089"/>
                </a:cubicBezTo>
                <a:cubicBezTo>
                  <a:pt x="2526505" y="3894715"/>
                  <a:pt x="2540928" y="3881437"/>
                  <a:pt x="2558715" y="3881437"/>
                </a:cubicBezTo>
                <a:cubicBezTo>
                  <a:pt x="2576503" y="3881437"/>
                  <a:pt x="2590926" y="3894715"/>
                  <a:pt x="2590926" y="3911089"/>
                </a:cubicBezTo>
                <a:cubicBezTo>
                  <a:pt x="2590926" y="3927464"/>
                  <a:pt x="2576503" y="3940741"/>
                  <a:pt x="2558715" y="3940741"/>
                </a:cubicBezTo>
                <a:close/>
                <a:moveTo>
                  <a:pt x="2637243" y="3940741"/>
                </a:moveTo>
                <a:cubicBezTo>
                  <a:pt x="2619455" y="3940741"/>
                  <a:pt x="2605032" y="3927464"/>
                  <a:pt x="2605032" y="3911089"/>
                </a:cubicBezTo>
                <a:cubicBezTo>
                  <a:pt x="2605032" y="3894715"/>
                  <a:pt x="2619455" y="3881437"/>
                  <a:pt x="2637243" y="3881437"/>
                </a:cubicBezTo>
                <a:cubicBezTo>
                  <a:pt x="2655030" y="3881437"/>
                  <a:pt x="2669453" y="3894715"/>
                  <a:pt x="2669453" y="3911089"/>
                </a:cubicBezTo>
                <a:cubicBezTo>
                  <a:pt x="2669453" y="3927464"/>
                  <a:pt x="2655030" y="3940741"/>
                  <a:pt x="2637243" y="3940741"/>
                </a:cubicBezTo>
                <a:close/>
                <a:moveTo>
                  <a:pt x="2715777" y="3940741"/>
                </a:moveTo>
                <a:cubicBezTo>
                  <a:pt x="2697990" y="3940741"/>
                  <a:pt x="2683566" y="3927464"/>
                  <a:pt x="2683566" y="3911089"/>
                </a:cubicBezTo>
                <a:cubicBezTo>
                  <a:pt x="2683566" y="3894715"/>
                  <a:pt x="2697990" y="3881437"/>
                  <a:pt x="2715777" y="3881437"/>
                </a:cubicBezTo>
                <a:cubicBezTo>
                  <a:pt x="2733564" y="3881437"/>
                  <a:pt x="2747987" y="3894715"/>
                  <a:pt x="2747987" y="3911089"/>
                </a:cubicBezTo>
                <a:cubicBezTo>
                  <a:pt x="2747987" y="3927464"/>
                  <a:pt x="2733564" y="3940741"/>
                  <a:pt x="2715777" y="3940741"/>
                </a:cubicBezTo>
                <a:close/>
                <a:moveTo>
                  <a:pt x="2794310" y="3940741"/>
                </a:moveTo>
                <a:cubicBezTo>
                  <a:pt x="2776523" y="3940741"/>
                  <a:pt x="2762100" y="3927464"/>
                  <a:pt x="2762100" y="3911089"/>
                </a:cubicBezTo>
                <a:cubicBezTo>
                  <a:pt x="2762100" y="3894715"/>
                  <a:pt x="2776523" y="3881437"/>
                  <a:pt x="2794310" y="3881437"/>
                </a:cubicBezTo>
                <a:cubicBezTo>
                  <a:pt x="2812097" y="3881437"/>
                  <a:pt x="2826520" y="3894715"/>
                  <a:pt x="2826520" y="3911089"/>
                </a:cubicBezTo>
                <a:cubicBezTo>
                  <a:pt x="2826520" y="3927464"/>
                  <a:pt x="2812097" y="3940741"/>
                  <a:pt x="2794310" y="3940741"/>
                </a:cubicBezTo>
                <a:close/>
                <a:moveTo>
                  <a:pt x="2872844" y="3940741"/>
                </a:moveTo>
                <a:cubicBezTo>
                  <a:pt x="2855057" y="3940741"/>
                  <a:pt x="2840634" y="3927464"/>
                  <a:pt x="2840634" y="3911089"/>
                </a:cubicBezTo>
                <a:cubicBezTo>
                  <a:pt x="2840634" y="3894715"/>
                  <a:pt x="2855057" y="3881437"/>
                  <a:pt x="2872844" y="3881437"/>
                </a:cubicBezTo>
                <a:cubicBezTo>
                  <a:pt x="2890632" y="3881437"/>
                  <a:pt x="2905055" y="3894715"/>
                  <a:pt x="2905055" y="3911089"/>
                </a:cubicBezTo>
                <a:cubicBezTo>
                  <a:pt x="2905055" y="3927464"/>
                  <a:pt x="2890632" y="3940741"/>
                  <a:pt x="2872844" y="3940741"/>
                </a:cubicBezTo>
                <a:close/>
                <a:moveTo>
                  <a:pt x="2951379" y="3940741"/>
                </a:moveTo>
                <a:cubicBezTo>
                  <a:pt x="2933591" y="3940741"/>
                  <a:pt x="2919168" y="3927464"/>
                  <a:pt x="2919168" y="3911089"/>
                </a:cubicBezTo>
                <a:cubicBezTo>
                  <a:pt x="2919168" y="3894715"/>
                  <a:pt x="2933591" y="3881437"/>
                  <a:pt x="2951379" y="3881437"/>
                </a:cubicBezTo>
                <a:cubicBezTo>
                  <a:pt x="2969166" y="3881437"/>
                  <a:pt x="2983589" y="3894715"/>
                  <a:pt x="2983589" y="3911089"/>
                </a:cubicBezTo>
                <a:cubicBezTo>
                  <a:pt x="2983589" y="3927464"/>
                  <a:pt x="2969166" y="3940741"/>
                  <a:pt x="2951379" y="3940741"/>
                </a:cubicBezTo>
                <a:close/>
                <a:moveTo>
                  <a:pt x="3029912" y="3940741"/>
                </a:moveTo>
                <a:cubicBezTo>
                  <a:pt x="3012125" y="3940741"/>
                  <a:pt x="2997701" y="3927464"/>
                  <a:pt x="2997701" y="3911089"/>
                </a:cubicBezTo>
                <a:cubicBezTo>
                  <a:pt x="2997701" y="3894715"/>
                  <a:pt x="3012125" y="3881437"/>
                  <a:pt x="3029912" y="3881437"/>
                </a:cubicBezTo>
                <a:cubicBezTo>
                  <a:pt x="3047699" y="3881437"/>
                  <a:pt x="3062122" y="3894715"/>
                  <a:pt x="3062122" y="3911089"/>
                </a:cubicBezTo>
                <a:cubicBezTo>
                  <a:pt x="3062122" y="3927464"/>
                  <a:pt x="3047699" y="3940741"/>
                  <a:pt x="3029912" y="3940741"/>
                </a:cubicBezTo>
                <a:close/>
                <a:moveTo>
                  <a:pt x="3108446" y="3940741"/>
                </a:moveTo>
                <a:cubicBezTo>
                  <a:pt x="3090659" y="3940741"/>
                  <a:pt x="3076236" y="3927464"/>
                  <a:pt x="3076236" y="3911089"/>
                </a:cubicBezTo>
                <a:cubicBezTo>
                  <a:pt x="3076236" y="3894715"/>
                  <a:pt x="3090659" y="3881437"/>
                  <a:pt x="3108446" y="3881437"/>
                </a:cubicBezTo>
                <a:cubicBezTo>
                  <a:pt x="3126233" y="3881437"/>
                  <a:pt x="3140656" y="3894715"/>
                  <a:pt x="3140656" y="3911089"/>
                </a:cubicBezTo>
                <a:cubicBezTo>
                  <a:pt x="3140656" y="3927464"/>
                  <a:pt x="3126233" y="3940741"/>
                  <a:pt x="3108446" y="3940741"/>
                </a:cubicBezTo>
                <a:close/>
                <a:moveTo>
                  <a:pt x="3186979" y="3940741"/>
                </a:moveTo>
                <a:cubicBezTo>
                  <a:pt x="3169192" y="3940741"/>
                  <a:pt x="3154769" y="3927464"/>
                  <a:pt x="3154769" y="3911089"/>
                </a:cubicBezTo>
                <a:cubicBezTo>
                  <a:pt x="3154769" y="3894715"/>
                  <a:pt x="3169192" y="3881437"/>
                  <a:pt x="3186979" y="3881437"/>
                </a:cubicBezTo>
                <a:cubicBezTo>
                  <a:pt x="3204767" y="3881437"/>
                  <a:pt x="3219190" y="3894715"/>
                  <a:pt x="3219190" y="3911089"/>
                </a:cubicBezTo>
                <a:cubicBezTo>
                  <a:pt x="3219190" y="3927464"/>
                  <a:pt x="3204767" y="3940741"/>
                  <a:pt x="3186979" y="3940741"/>
                </a:cubicBezTo>
                <a:close/>
                <a:moveTo>
                  <a:pt x="3265514" y="3940741"/>
                </a:moveTo>
                <a:cubicBezTo>
                  <a:pt x="3247726" y="3940741"/>
                  <a:pt x="3233303" y="3927464"/>
                  <a:pt x="3233303" y="3911089"/>
                </a:cubicBezTo>
                <a:cubicBezTo>
                  <a:pt x="3233303" y="3894715"/>
                  <a:pt x="3247726" y="3881437"/>
                  <a:pt x="3265514" y="3881437"/>
                </a:cubicBezTo>
                <a:cubicBezTo>
                  <a:pt x="3283301" y="3881437"/>
                  <a:pt x="3297724" y="3894715"/>
                  <a:pt x="3297724" y="3911089"/>
                </a:cubicBezTo>
                <a:cubicBezTo>
                  <a:pt x="3297724" y="3927464"/>
                  <a:pt x="3283301" y="3940741"/>
                  <a:pt x="3265514" y="3940741"/>
                </a:cubicBezTo>
                <a:close/>
                <a:moveTo>
                  <a:pt x="3344048" y="3940741"/>
                </a:moveTo>
                <a:cubicBezTo>
                  <a:pt x="3326261" y="3940741"/>
                  <a:pt x="3311837" y="3927464"/>
                  <a:pt x="3311837" y="3911089"/>
                </a:cubicBezTo>
                <a:cubicBezTo>
                  <a:pt x="3311837" y="3894715"/>
                  <a:pt x="3326261" y="3881437"/>
                  <a:pt x="3344048" y="3881437"/>
                </a:cubicBezTo>
                <a:cubicBezTo>
                  <a:pt x="3361835" y="3881437"/>
                  <a:pt x="3376258" y="3894715"/>
                  <a:pt x="3376258" y="3911089"/>
                </a:cubicBezTo>
                <a:cubicBezTo>
                  <a:pt x="3376258" y="3927464"/>
                  <a:pt x="3361835" y="3940741"/>
                  <a:pt x="3344048" y="3940741"/>
                </a:cubicBezTo>
                <a:close/>
                <a:moveTo>
                  <a:pt x="3422581" y="3940741"/>
                </a:moveTo>
                <a:cubicBezTo>
                  <a:pt x="3404794" y="3940741"/>
                  <a:pt x="3390371" y="3927464"/>
                  <a:pt x="3390371" y="3911089"/>
                </a:cubicBezTo>
                <a:cubicBezTo>
                  <a:pt x="3390371" y="3894715"/>
                  <a:pt x="3404794" y="3881437"/>
                  <a:pt x="3422581" y="3881437"/>
                </a:cubicBezTo>
                <a:cubicBezTo>
                  <a:pt x="3440368" y="3881437"/>
                  <a:pt x="3454791" y="3894715"/>
                  <a:pt x="3454791" y="3911089"/>
                </a:cubicBezTo>
                <a:cubicBezTo>
                  <a:pt x="3454791" y="3927464"/>
                  <a:pt x="3440368" y="3940741"/>
                  <a:pt x="3422581" y="3940741"/>
                </a:cubicBezTo>
                <a:close/>
                <a:moveTo>
                  <a:pt x="3501115" y="3940741"/>
                </a:moveTo>
                <a:cubicBezTo>
                  <a:pt x="3483328" y="3940741"/>
                  <a:pt x="3468905" y="3927464"/>
                  <a:pt x="3468905" y="3911089"/>
                </a:cubicBezTo>
                <a:cubicBezTo>
                  <a:pt x="3468905" y="3894715"/>
                  <a:pt x="3483328" y="3881437"/>
                  <a:pt x="3501115" y="3881437"/>
                </a:cubicBezTo>
                <a:cubicBezTo>
                  <a:pt x="3518903" y="3881437"/>
                  <a:pt x="3533326" y="3894715"/>
                  <a:pt x="3533326" y="3911089"/>
                </a:cubicBezTo>
                <a:cubicBezTo>
                  <a:pt x="3533326" y="3927464"/>
                  <a:pt x="3518903" y="3940741"/>
                  <a:pt x="3501115" y="3940741"/>
                </a:cubicBezTo>
                <a:close/>
                <a:moveTo>
                  <a:pt x="3658183" y="3940741"/>
                </a:moveTo>
                <a:cubicBezTo>
                  <a:pt x="3640396" y="3940741"/>
                  <a:pt x="3625972" y="3927464"/>
                  <a:pt x="3625972" y="3911089"/>
                </a:cubicBezTo>
                <a:cubicBezTo>
                  <a:pt x="3625972" y="3894715"/>
                  <a:pt x="3640396" y="3881437"/>
                  <a:pt x="3658183" y="3881437"/>
                </a:cubicBezTo>
                <a:cubicBezTo>
                  <a:pt x="3675970" y="3881437"/>
                  <a:pt x="3690393" y="3894715"/>
                  <a:pt x="3690393" y="3911089"/>
                </a:cubicBezTo>
                <a:cubicBezTo>
                  <a:pt x="3690393" y="3927464"/>
                  <a:pt x="3675970" y="3940741"/>
                  <a:pt x="3658183" y="3940741"/>
                </a:cubicBezTo>
                <a:close/>
                <a:moveTo>
                  <a:pt x="3893785" y="3940741"/>
                </a:moveTo>
                <a:cubicBezTo>
                  <a:pt x="3875997" y="3940741"/>
                  <a:pt x="3861574" y="3927464"/>
                  <a:pt x="3861574" y="3911089"/>
                </a:cubicBezTo>
                <a:cubicBezTo>
                  <a:pt x="3861574" y="3894715"/>
                  <a:pt x="3875997" y="3881437"/>
                  <a:pt x="3893785" y="3881437"/>
                </a:cubicBezTo>
                <a:cubicBezTo>
                  <a:pt x="3911572" y="3881437"/>
                  <a:pt x="3925995" y="3894715"/>
                  <a:pt x="3925995" y="3911089"/>
                </a:cubicBezTo>
                <a:cubicBezTo>
                  <a:pt x="3925995" y="3927464"/>
                  <a:pt x="3911572" y="3940741"/>
                  <a:pt x="3893785" y="3940741"/>
                </a:cubicBezTo>
                <a:close/>
                <a:moveTo>
                  <a:pt x="3972319" y="3940741"/>
                </a:moveTo>
                <a:cubicBezTo>
                  <a:pt x="3954532" y="3940741"/>
                  <a:pt x="3940108" y="3927464"/>
                  <a:pt x="3940108" y="3911089"/>
                </a:cubicBezTo>
                <a:cubicBezTo>
                  <a:pt x="3940108" y="3894715"/>
                  <a:pt x="3954532" y="3881437"/>
                  <a:pt x="3972319" y="3881437"/>
                </a:cubicBezTo>
                <a:cubicBezTo>
                  <a:pt x="3990106" y="3881437"/>
                  <a:pt x="4004529" y="3894715"/>
                  <a:pt x="4004529" y="3911089"/>
                </a:cubicBezTo>
                <a:cubicBezTo>
                  <a:pt x="4004529" y="3927464"/>
                  <a:pt x="3990106" y="3940741"/>
                  <a:pt x="3972319" y="3940741"/>
                </a:cubicBezTo>
                <a:close/>
                <a:moveTo>
                  <a:pt x="4207926" y="3940741"/>
                </a:moveTo>
                <a:cubicBezTo>
                  <a:pt x="4190138" y="3940741"/>
                  <a:pt x="4175715" y="3927464"/>
                  <a:pt x="4175715" y="3911089"/>
                </a:cubicBezTo>
                <a:cubicBezTo>
                  <a:pt x="4175715" y="3894715"/>
                  <a:pt x="4190138" y="3881437"/>
                  <a:pt x="4207926" y="3881437"/>
                </a:cubicBezTo>
                <a:cubicBezTo>
                  <a:pt x="4225713" y="3881437"/>
                  <a:pt x="4240136" y="3894715"/>
                  <a:pt x="4240136" y="3911089"/>
                </a:cubicBezTo>
                <a:cubicBezTo>
                  <a:pt x="4240136" y="3927464"/>
                  <a:pt x="4225713" y="3940741"/>
                  <a:pt x="4207926" y="3940741"/>
                </a:cubicBezTo>
                <a:close/>
                <a:moveTo>
                  <a:pt x="5935671" y="3940741"/>
                </a:moveTo>
                <a:cubicBezTo>
                  <a:pt x="5917884" y="3940741"/>
                  <a:pt x="5903461" y="3927464"/>
                  <a:pt x="5903461" y="3911089"/>
                </a:cubicBezTo>
                <a:cubicBezTo>
                  <a:pt x="5903461" y="3894715"/>
                  <a:pt x="5917884" y="3881437"/>
                  <a:pt x="5935671" y="3881437"/>
                </a:cubicBezTo>
                <a:cubicBezTo>
                  <a:pt x="5953458" y="3881437"/>
                  <a:pt x="5967881" y="3894715"/>
                  <a:pt x="5967881" y="3911089"/>
                </a:cubicBezTo>
                <a:cubicBezTo>
                  <a:pt x="5967881" y="3927464"/>
                  <a:pt x="5953458" y="3940741"/>
                  <a:pt x="5935671" y="3940741"/>
                </a:cubicBezTo>
                <a:close/>
                <a:moveTo>
                  <a:pt x="6014205" y="3940741"/>
                </a:moveTo>
                <a:cubicBezTo>
                  <a:pt x="5996418" y="3940741"/>
                  <a:pt x="5981995" y="3927464"/>
                  <a:pt x="5981995" y="3911089"/>
                </a:cubicBezTo>
                <a:cubicBezTo>
                  <a:pt x="5981995" y="3894715"/>
                  <a:pt x="5996418" y="3881437"/>
                  <a:pt x="6014205" y="3881437"/>
                </a:cubicBezTo>
                <a:cubicBezTo>
                  <a:pt x="6031993" y="3881437"/>
                  <a:pt x="6046416" y="3894715"/>
                  <a:pt x="6046416" y="3911089"/>
                </a:cubicBezTo>
                <a:cubicBezTo>
                  <a:pt x="6046416" y="3927464"/>
                  <a:pt x="6031993" y="3940741"/>
                  <a:pt x="6014205" y="3940741"/>
                </a:cubicBezTo>
                <a:close/>
                <a:moveTo>
                  <a:pt x="6092739" y="3940741"/>
                </a:moveTo>
                <a:cubicBezTo>
                  <a:pt x="6074951" y="3940741"/>
                  <a:pt x="6060528" y="3927464"/>
                  <a:pt x="6060528" y="3911089"/>
                </a:cubicBezTo>
                <a:cubicBezTo>
                  <a:pt x="6060528" y="3894715"/>
                  <a:pt x="6074951" y="3881437"/>
                  <a:pt x="6092739" y="3881437"/>
                </a:cubicBezTo>
                <a:cubicBezTo>
                  <a:pt x="6110526" y="3881437"/>
                  <a:pt x="6124949" y="3894715"/>
                  <a:pt x="6124949" y="3911089"/>
                </a:cubicBezTo>
                <a:cubicBezTo>
                  <a:pt x="6124949" y="3927464"/>
                  <a:pt x="6110526" y="3940741"/>
                  <a:pt x="6092739" y="3940741"/>
                </a:cubicBezTo>
                <a:close/>
                <a:moveTo>
                  <a:pt x="6171273" y="3940741"/>
                </a:moveTo>
                <a:cubicBezTo>
                  <a:pt x="6153480" y="3940741"/>
                  <a:pt x="6139056" y="3927464"/>
                  <a:pt x="6139056" y="3911089"/>
                </a:cubicBezTo>
                <a:cubicBezTo>
                  <a:pt x="6139056" y="3894715"/>
                  <a:pt x="6153480" y="3881437"/>
                  <a:pt x="6171273" y="3881437"/>
                </a:cubicBezTo>
                <a:cubicBezTo>
                  <a:pt x="6189060" y="3881437"/>
                  <a:pt x="6203477" y="3894715"/>
                  <a:pt x="6203477" y="3911089"/>
                </a:cubicBezTo>
                <a:cubicBezTo>
                  <a:pt x="6203477" y="3927464"/>
                  <a:pt x="6189060" y="3940741"/>
                  <a:pt x="6171273" y="3940741"/>
                </a:cubicBezTo>
                <a:close/>
                <a:moveTo>
                  <a:pt x="6249806" y="3940741"/>
                </a:moveTo>
                <a:cubicBezTo>
                  <a:pt x="6232019" y="3940741"/>
                  <a:pt x="6217590" y="3927464"/>
                  <a:pt x="6217590" y="3911089"/>
                </a:cubicBezTo>
                <a:cubicBezTo>
                  <a:pt x="6217590" y="3894715"/>
                  <a:pt x="6232019" y="3881437"/>
                  <a:pt x="6249806" y="3881437"/>
                </a:cubicBezTo>
                <a:cubicBezTo>
                  <a:pt x="6267593" y="3881437"/>
                  <a:pt x="6282010" y="3894715"/>
                  <a:pt x="6282010" y="3911089"/>
                </a:cubicBezTo>
                <a:cubicBezTo>
                  <a:pt x="6282010" y="3927464"/>
                  <a:pt x="6267593" y="3940741"/>
                  <a:pt x="6249806" y="3940741"/>
                </a:cubicBezTo>
                <a:close/>
                <a:moveTo>
                  <a:pt x="6406875" y="3940741"/>
                </a:moveTo>
                <a:cubicBezTo>
                  <a:pt x="6389087" y="3940741"/>
                  <a:pt x="6374658" y="3927464"/>
                  <a:pt x="6374658" y="3911089"/>
                </a:cubicBezTo>
                <a:cubicBezTo>
                  <a:pt x="6374658" y="3894715"/>
                  <a:pt x="6389087" y="3881437"/>
                  <a:pt x="6406875" y="3881437"/>
                </a:cubicBezTo>
                <a:cubicBezTo>
                  <a:pt x="6424662" y="3881437"/>
                  <a:pt x="6439079" y="3894715"/>
                  <a:pt x="6439079" y="3911089"/>
                </a:cubicBezTo>
                <a:cubicBezTo>
                  <a:pt x="6439079" y="3927464"/>
                  <a:pt x="6424662" y="3940741"/>
                  <a:pt x="6406875" y="3940741"/>
                </a:cubicBezTo>
                <a:close/>
                <a:moveTo>
                  <a:pt x="6485408" y="3940741"/>
                </a:moveTo>
                <a:cubicBezTo>
                  <a:pt x="6467621" y="3940741"/>
                  <a:pt x="6453191" y="3927464"/>
                  <a:pt x="6453191" y="3911089"/>
                </a:cubicBezTo>
                <a:cubicBezTo>
                  <a:pt x="6453191" y="3894715"/>
                  <a:pt x="6467621" y="3881437"/>
                  <a:pt x="6485408" y="3881437"/>
                </a:cubicBezTo>
                <a:cubicBezTo>
                  <a:pt x="6503195" y="3881437"/>
                  <a:pt x="6517612" y="3894715"/>
                  <a:pt x="6517612" y="3911089"/>
                </a:cubicBezTo>
                <a:cubicBezTo>
                  <a:pt x="6517612" y="3927464"/>
                  <a:pt x="6503195" y="3940741"/>
                  <a:pt x="6485408" y="3940741"/>
                </a:cubicBezTo>
                <a:close/>
                <a:moveTo>
                  <a:pt x="6563942" y="3940741"/>
                </a:moveTo>
                <a:cubicBezTo>
                  <a:pt x="6546155" y="3940741"/>
                  <a:pt x="6531726" y="3927464"/>
                  <a:pt x="6531726" y="3911089"/>
                </a:cubicBezTo>
                <a:cubicBezTo>
                  <a:pt x="6531726" y="3894715"/>
                  <a:pt x="6546155" y="3881437"/>
                  <a:pt x="6563942" y="3881437"/>
                </a:cubicBezTo>
                <a:cubicBezTo>
                  <a:pt x="6581729" y="3881437"/>
                  <a:pt x="6596146" y="3894715"/>
                  <a:pt x="6596146" y="3911089"/>
                </a:cubicBezTo>
                <a:cubicBezTo>
                  <a:pt x="6596146" y="3927464"/>
                  <a:pt x="6581729" y="3940741"/>
                  <a:pt x="6563942" y="3940741"/>
                </a:cubicBezTo>
                <a:close/>
                <a:moveTo>
                  <a:pt x="6642476" y="3940741"/>
                </a:moveTo>
                <a:cubicBezTo>
                  <a:pt x="6624689" y="3940741"/>
                  <a:pt x="6610260" y="3927464"/>
                  <a:pt x="6610260" y="3911089"/>
                </a:cubicBezTo>
                <a:cubicBezTo>
                  <a:pt x="6610260" y="3894715"/>
                  <a:pt x="6624689" y="3881437"/>
                  <a:pt x="6642476" y="3881437"/>
                </a:cubicBezTo>
                <a:cubicBezTo>
                  <a:pt x="6660264" y="3881437"/>
                  <a:pt x="6674681" y="3894715"/>
                  <a:pt x="6674681" y="3911089"/>
                </a:cubicBezTo>
                <a:cubicBezTo>
                  <a:pt x="6674681" y="3927464"/>
                  <a:pt x="6660264" y="3940741"/>
                  <a:pt x="6642476" y="3940741"/>
                </a:cubicBezTo>
                <a:close/>
                <a:moveTo>
                  <a:pt x="6878077" y="3940741"/>
                </a:moveTo>
                <a:cubicBezTo>
                  <a:pt x="6860290" y="3940741"/>
                  <a:pt x="6845861" y="3927464"/>
                  <a:pt x="6845861" y="3911089"/>
                </a:cubicBezTo>
                <a:cubicBezTo>
                  <a:pt x="6845861" y="3894715"/>
                  <a:pt x="6860290" y="3881437"/>
                  <a:pt x="6878077" y="3881437"/>
                </a:cubicBezTo>
                <a:cubicBezTo>
                  <a:pt x="6895864" y="3881437"/>
                  <a:pt x="6910281" y="3894715"/>
                  <a:pt x="6910281" y="3911089"/>
                </a:cubicBezTo>
                <a:cubicBezTo>
                  <a:pt x="6910281" y="3927464"/>
                  <a:pt x="6895864" y="3940741"/>
                  <a:pt x="6878077" y="3940741"/>
                </a:cubicBezTo>
                <a:close/>
                <a:moveTo>
                  <a:pt x="6956611" y="3940741"/>
                </a:moveTo>
                <a:cubicBezTo>
                  <a:pt x="6938824" y="3940741"/>
                  <a:pt x="6924395" y="3927464"/>
                  <a:pt x="6924395" y="3911089"/>
                </a:cubicBezTo>
                <a:cubicBezTo>
                  <a:pt x="6924395" y="3894715"/>
                  <a:pt x="6938824" y="3881437"/>
                  <a:pt x="6956611" y="3881437"/>
                </a:cubicBezTo>
                <a:cubicBezTo>
                  <a:pt x="6974399" y="3881437"/>
                  <a:pt x="6988816" y="3894715"/>
                  <a:pt x="6988816" y="3911089"/>
                </a:cubicBezTo>
                <a:cubicBezTo>
                  <a:pt x="6988816" y="3927464"/>
                  <a:pt x="6974399" y="3940741"/>
                  <a:pt x="6956611" y="3940741"/>
                </a:cubicBezTo>
                <a:close/>
                <a:moveTo>
                  <a:pt x="7035146" y="3940741"/>
                </a:moveTo>
                <a:cubicBezTo>
                  <a:pt x="7017358" y="3940741"/>
                  <a:pt x="7002929" y="3927464"/>
                  <a:pt x="7002929" y="3911089"/>
                </a:cubicBezTo>
                <a:cubicBezTo>
                  <a:pt x="7002929" y="3894715"/>
                  <a:pt x="7017358" y="3881437"/>
                  <a:pt x="7035146" y="3881437"/>
                </a:cubicBezTo>
                <a:cubicBezTo>
                  <a:pt x="7052933" y="3881437"/>
                  <a:pt x="7067350" y="3894715"/>
                  <a:pt x="7067350" y="3911089"/>
                </a:cubicBezTo>
                <a:cubicBezTo>
                  <a:pt x="7067350" y="3927464"/>
                  <a:pt x="7052933" y="3940741"/>
                  <a:pt x="7035146" y="3940741"/>
                </a:cubicBezTo>
                <a:close/>
                <a:moveTo>
                  <a:pt x="7113703" y="3940741"/>
                </a:moveTo>
                <a:cubicBezTo>
                  <a:pt x="7095916" y="3940741"/>
                  <a:pt x="7081487" y="3927464"/>
                  <a:pt x="7081487" y="3911089"/>
                </a:cubicBezTo>
                <a:cubicBezTo>
                  <a:pt x="7081487" y="3894715"/>
                  <a:pt x="7095916" y="3881437"/>
                  <a:pt x="7113703" y="3881437"/>
                </a:cubicBezTo>
                <a:cubicBezTo>
                  <a:pt x="7131490" y="3881437"/>
                  <a:pt x="7145907" y="3894715"/>
                  <a:pt x="7145907" y="3911089"/>
                </a:cubicBezTo>
                <a:cubicBezTo>
                  <a:pt x="7145907" y="3927464"/>
                  <a:pt x="7131490" y="3940741"/>
                  <a:pt x="7113703" y="3940741"/>
                </a:cubicBezTo>
                <a:close/>
                <a:moveTo>
                  <a:pt x="7349305" y="3940741"/>
                </a:moveTo>
                <a:cubicBezTo>
                  <a:pt x="7331517" y="3940741"/>
                  <a:pt x="7317088" y="3927464"/>
                  <a:pt x="7317088" y="3911089"/>
                </a:cubicBezTo>
                <a:cubicBezTo>
                  <a:pt x="7317088" y="3894715"/>
                  <a:pt x="7331517" y="3881437"/>
                  <a:pt x="7349305" y="3881437"/>
                </a:cubicBezTo>
                <a:cubicBezTo>
                  <a:pt x="7367092" y="3881437"/>
                  <a:pt x="7381509" y="3894715"/>
                  <a:pt x="7381509" y="3911089"/>
                </a:cubicBezTo>
                <a:cubicBezTo>
                  <a:pt x="7381509" y="3927464"/>
                  <a:pt x="7367092" y="3940741"/>
                  <a:pt x="7349305" y="3940741"/>
                </a:cubicBezTo>
                <a:close/>
                <a:moveTo>
                  <a:pt x="7427839" y="3940741"/>
                </a:moveTo>
                <a:cubicBezTo>
                  <a:pt x="7410052" y="3940741"/>
                  <a:pt x="7395623" y="3927464"/>
                  <a:pt x="7395623" y="3911089"/>
                </a:cubicBezTo>
                <a:cubicBezTo>
                  <a:pt x="7395623" y="3894715"/>
                  <a:pt x="7410052" y="3881437"/>
                  <a:pt x="7427839" y="3881437"/>
                </a:cubicBezTo>
                <a:cubicBezTo>
                  <a:pt x="7445626" y="3881437"/>
                  <a:pt x="7460043" y="3894715"/>
                  <a:pt x="7460043" y="3911089"/>
                </a:cubicBezTo>
                <a:cubicBezTo>
                  <a:pt x="7460043" y="3927464"/>
                  <a:pt x="7445626" y="3940741"/>
                  <a:pt x="7427839" y="3940741"/>
                </a:cubicBezTo>
                <a:close/>
                <a:moveTo>
                  <a:pt x="7506373" y="3940741"/>
                </a:moveTo>
                <a:cubicBezTo>
                  <a:pt x="7488586" y="3940741"/>
                  <a:pt x="7474157" y="3927464"/>
                  <a:pt x="7474157" y="3911089"/>
                </a:cubicBezTo>
                <a:cubicBezTo>
                  <a:pt x="7474157" y="3894715"/>
                  <a:pt x="7488586" y="3881437"/>
                  <a:pt x="7506373" y="3881437"/>
                </a:cubicBezTo>
                <a:cubicBezTo>
                  <a:pt x="7524160" y="3881437"/>
                  <a:pt x="7538577" y="3894715"/>
                  <a:pt x="7538577" y="3911089"/>
                </a:cubicBezTo>
                <a:cubicBezTo>
                  <a:pt x="7538577" y="3927464"/>
                  <a:pt x="7524160" y="3940741"/>
                  <a:pt x="7506373" y="3940741"/>
                </a:cubicBezTo>
                <a:close/>
                <a:moveTo>
                  <a:pt x="7663441" y="3940741"/>
                </a:moveTo>
                <a:cubicBezTo>
                  <a:pt x="7645653" y="3940741"/>
                  <a:pt x="7631224" y="3927464"/>
                  <a:pt x="7631224" y="3911089"/>
                </a:cubicBezTo>
                <a:cubicBezTo>
                  <a:pt x="7631224" y="3894715"/>
                  <a:pt x="7645653" y="3881437"/>
                  <a:pt x="7663441" y="3881437"/>
                </a:cubicBezTo>
                <a:cubicBezTo>
                  <a:pt x="7681228" y="3881437"/>
                  <a:pt x="7695645" y="3894715"/>
                  <a:pt x="7695645" y="3911089"/>
                </a:cubicBezTo>
                <a:cubicBezTo>
                  <a:pt x="7695645" y="3927464"/>
                  <a:pt x="7681228" y="3940741"/>
                  <a:pt x="7663441" y="3940741"/>
                </a:cubicBezTo>
                <a:close/>
                <a:moveTo>
                  <a:pt x="7741974" y="3940741"/>
                </a:moveTo>
                <a:cubicBezTo>
                  <a:pt x="7724187" y="3940741"/>
                  <a:pt x="7709758" y="3927464"/>
                  <a:pt x="7709758" y="3911089"/>
                </a:cubicBezTo>
                <a:cubicBezTo>
                  <a:pt x="7709758" y="3894715"/>
                  <a:pt x="7724187" y="3881437"/>
                  <a:pt x="7741974" y="3881437"/>
                </a:cubicBezTo>
                <a:cubicBezTo>
                  <a:pt x="7759761" y="3881437"/>
                  <a:pt x="7774178" y="3894715"/>
                  <a:pt x="7774178" y="3911089"/>
                </a:cubicBezTo>
                <a:cubicBezTo>
                  <a:pt x="7774178" y="3927464"/>
                  <a:pt x="7759761" y="3940741"/>
                  <a:pt x="7741974" y="3940741"/>
                </a:cubicBezTo>
                <a:close/>
                <a:moveTo>
                  <a:pt x="7820508" y="3940741"/>
                </a:moveTo>
                <a:cubicBezTo>
                  <a:pt x="7802721" y="3940741"/>
                  <a:pt x="7788292" y="3927464"/>
                  <a:pt x="7788292" y="3911089"/>
                </a:cubicBezTo>
                <a:cubicBezTo>
                  <a:pt x="7788292" y="3894715"/>
                  <a:pt x="7802721" y="3881437"/>
                  <a:pt x="7820508" y="3881437"/>
                </a:cubicBezTo>
                <a:cubicBezTo>
                  <a:pt x="7838295" y="3881437"/>
                  <a:pt x="7852712" y="3894715"/>
                  <a:pt x="7852712" y="3911089"/>
                </a:cubicBezTo>
                <a:cubicBezTo>
                  <a:pt x="7852712" y="3927464"/>
                  <a:pt x="7838295" y="3940741"/>
                  <a:pt x="7820508" y="3940741"/>
                </a:cubicBezTo>
                <a:close/>
                <a:moveTo>
                  <a:pt x="7899042" y="3940741"/>
                </a:moveTo>
                <a:cubicBezTo>
                  <a:pt x="7881255" y="3940741"/>
                  <a:pt x="7866826" y="3927464"/>
                  <a:pt x="7866826" y="3911089"/>
                </a:cubicBezTo>
                <a:cubicBezTo>
                  <a:pt x="7866826" y="3894715"/>
                  <a:pt x="7881255" y="3881437"/>
                  <a:pt x="7899042" y="3881437"/>
                </a:cubicBezTo>
                <a:cubicBezTo>
                  <a:pt x="7916830" y="3881437"/>
                  <a:pt x="7931247" y="3894715"/>
                  <a:pt x="7931247" y="3911089"/>
                </a:cubicBezTo>
                <a:cubicBezTo>
                  <a:pt x="7931247" y="3927464"/>
                  <a:pt x="7916830" y="3940741"/>
                  <a:pt x="7899042" y="3940741"/>
                </a:cubicBezTo>
                <a:close/>
                <a:moveTo>
                  <a:pt x="7977576" y="3940741"/>
                </a:moveTo>
                <a:cubicBezTo>
                  <a:pt x="7959788" y="3940741"/>
                  <a:pt x="7945359" y="3927464"/>
                  <a:pt x="7945359" y="3911089"/>
                </a:cubicBezTo>
                <a:cubicBezTo>
                  <a:pt x="7945359" y="3894715"/>
                  <a:pt x="7959788" y="3881437"/>
                  <a:pt x="7977576" y="3881437"/>
                </a:cubicBezTo>
                <a:cubicBezTo>
                  <a:pt x="7995363" y="3881437"/>
                  <a:pt x="8009780" y="3894715"/>
                  <a:pt x="8009780" y="3911089"/>
                </a:cubicBezTo>
                <a:cubicBezTo>
                  <a:pt x="8009780" y="3927464"/>
                  <a:pt x="7995363" y="3940741"/>
                  <a:pt x="7977576" y="3940741"/>
                </a:cubicBezTo>
                <a:close/>
                <a:moveTo>
                  <a:pt x="8056110" y="3940741"/>
                </a:moveTo>
                <a:cubicBezTo>
                  <a:pt x="8038323" y="3940741"/>
                  <a:pt x="8023894" y="3927464"/>
                  <a:pt x="8023894" y="3911089"/>
                </a:cubicBezTo>
                <a:cubicBezTo>
                  <a:pt x="8023894" y="3894715"/>
                  <a:pt x="8038323" y="3881437"/>
                  <a:pt x="8056110" y="3881437"/>
                </a:cubicBezTo>
                <a:cubicBezTo>
                  <a:pt x="8073897" y="3881437"/>
                  <a:pt x="8088314" y="3894715"/>
                  <a:pt x="8088314" y="3911089"/>
                </a:cubicBezTo>
                <a:cubicBezTo>
                  <a:pt x="8088314" y="3927464"/>
                  <a:pt x="8073897" y="3940741"/>
                  <a:pt x="8056110" y="3940741"/>
                </a:cubicBezTo>
                <a:close/>
                <a:moveTo>
                  <a:pt x="8134643" y="3940741"/>
                </a:moveTo>
                <a:cubicBezTo>
                  <a:pt x="8116856" y="3940741"/>
                  <a:pt x="8102427" y="3927464"/>
                  <a:pt x="8102427" y="3911089"/>
                </a:cubicBezTo>
                <a:cubicBezTo>
                  <a:pt x="8102427" y="3894715"/>
                  <a:pt x="8116856" y="3881437"/>
                  <a:pt x="8134643" y="3881437"/>
                </a:cubicBezTo>
                <a:cubicBezTo>
                  <a:pt x="8152430" y="3881437"/>
                  <a:pt x="8166847" y="3894715"/>
                  <a:pt x="8166847" y="3911089"/>
                </a:cubicBezTo>
                <a:cubicBezTo>
                  <a:pt x="8166847" y="3927464"/>
                  <a:pt x="8152430" y="3940741"/>
                  <a:pt x="8134643" y="3940741"/>
                </a:cubicBezTo>
                <a:close/>
                <a:moveTo>
                  <a:pt x="8213177" y="3940741"/>
                </a:moveTo>
                <a:cubicBezTo>
                  <a:pt x="8195390" y="3940741"/>
                  <a:pt x="8180961" y="3927464"/>
                  <a:pt x="8180961" y="3911089"/>
                </a:cubicBezTo>
                <a:cubicBezTo>
                  <a:pt x="8180961" y="3894715"/>
                  <a:pt x="8195390" y="3881437"/>
                  <a:pt x="8213177" y="3881437"/>
                </a:cubicBezTo>
                <a:cubicBezTo>
                  <a:pt x="8230965" y="3881437"/>
                  <a:pt x="8245382" y="3894715"/>
                  <a:pt x="8245382" y="3911089"/>
                </a:cubicBezTo>
                <a:cubicBezTo>
                  <a:pt x="8245382" y="3927464"/>
                  <a:pt x="8230965" y="3940741"/>
                  <a:pt x="8213177" y="3940741"/>
                </a:cubicBezTo>
                <a:close/>
                <a:moveTo>
                  <a:pt x="8291712" y="3940741"/>
                </a:moveTo>
                <a:cubicBezTo>
                  <a:pt x="8273924" y="3940741"/>
                  <a:pt x="8259495" y="3927464"/>
                  <a:pt x="8259495" y="3911089"/>
                </a:cubicBezTo>
                <a:cubicBezTo>
                  <a:pt x="8259495" y="3894715"/>
                  <a:pt x="8273924" y="3881437"/>
                  <a:pt x="8291712" y="3881437"/>
                </a:cubicBezTo>
                <a:cubicBezTo>
                  <a:pt x="8309499" y="3881437"/>
                  <a:pt x="8323916" y="3894715"/>
                  <a:pt x="8323916" y="3911089"/>
                </a:cubicBezTo>
                <a:cubicBezTo>
                  <a:pt x="8323916" y="3927464"/>
                  <a:pt x="8309499" y="3940741"/>
                  <a:pt x="8291712" y="3940741"/>
                </a:cubicBezTo>
                <a:close/>
                <a:moveTo>
                  <a:pt x="8370245" y="3940741"/>
                </a:moveTo>
                <a:cubicBezTo>
                  <a:pt x="8352458" y="3940741"/>
                  <a:pt x="8338029" y="3927464"/>
                  <a:pt x="8338029" y="3911089"/>
                </a:cubicBezTo>
                <a:cubicBezTo>
                  <a:pt x="8338029" y="3894715"/>
                  <a:pt x="8352458" y="3881437"/>
                  <a:pt x="8370245" y="3881437"/>
                </a:cubicBezTo>
                <a:cubicBezTo>
                  <a:pt x="8388032" y="3881437"/>
                  <a:pt x="8402449" y="3894715"/>
                  <a:pt x="8402449" y="3911089"/>
                </a:cubicBezTo>
                <a:cubicBezTo>
                  <a:pt x="8402449" y="3927464"/>
                  <a:pt x="8388032" y="3940741"/>
                  <a:pt x="8370245" y="3940741"/>
                </a:cubicBezTo>
                <a:close/>
                <a:moveTo>
                  <a:pt x="8448779" y="3940741"/>
                </a:moveTo>
                <a:cubicBezTo>
                  <a:pt x="8430992" y="3940741"/>
                  <a:pt x="8416563" y="3927464"/>
                  <a:pt x="8416563" y="3911089"/>
                </a:cubicBezTo>
                <a:cubicBezTo>
                  <a:pt x="8416563" y="3894715"/>
                  <a:pt x="8430992" y="3881437"/>
                  <a:pt x="8448779" y="3881437"/>
                </a:cubicBezTo>
                <a:cubicBezTo>
                  <a:pt x="8466566" y="3881437"/>
                  <a:pt x="8480983" y="3894715"/>
                  <a:pt x="8480983" y="3911089"/>
                </a:cubicBezTo>
                <a:cubicBezTo>
                  <a:pt x="8480983" y="3927464"/>
                  <a:pt x="8466566" y="3940741"/>
                  <a:pt x="8448779" y="3940741"/>
                </a:cubicBezTo>
                <a:close/>
                <a:moveTo>
                  <a:pt x="8527313" y="3940741"/>
                </a:moveTo>
                <a:cubicBezTo>
                  <a:pt x="8509526" y="3940741"/>
                  <a:pt x="8495097" y="3927464"/>
                  <a:pt x="8495097" y="3911089"/>
                </a:cubicBezTo>
                <a:cubicBezTo>
                  <a:pt x="8495097" y="3894715"/>
                  <a:pt x="8509526" y="3881437"/>
                  <a:pt x="8527313" y="3881437"/>
                </a:cubicBezTo>
                <a:cubicBezTo>
                  <a:pt x="8545101" y="3881437"/>
                  <a:pt x="8559518" y="3894715"/>
                  <a:pt x="8559518" y="3911089"/>
                </a:cubicBezTo>
                <a:cubicBezTo>
                  <a:pt x="8559518" y="3927464"/>
                  <a:pt x="8545101" y="3940741"/>
                  <a:pt x="8527313" y="3940741"/>
                </a:cubicBezTo>
                <a:close/>
                <a:moveTo>
                  <a:pt x="8605847" y="3940741"/>
                </a:moveTo>
                <a:cubicBezTo>
                  <a:pt x="8588059" y="3940741"/>
                  <a:pt x="8573630" y="3927464"/>
                  <a:pt x="8573630" y="3911089"/>
                </a:cubicBezTo>
                <a:cubicBezTo>
                  <a:pt x="8573630" y="3894715"/>
                  <a:pt x="8588059" y="3881437"/>
                  <a:pt x="8605847" y="3881437"/>
                </a:cubicBezTo>
                <a:cubicBezTo>
                  <a:pt x="8623634" y="3881437"/>
                  <a:pt x="8638051" y="3894715"/>
                  <a:pt x="8638051" y="3911089"/>
                </a:cubicBezTo>
                <a:cubicBezTo>
                  <a:pt x="8638051" y="3927464"/>
                  <a:pt x="8623634" y="3940741"/>
                  <a:pt x="8605847" y="3940741"/>
                </a:cubicBezTo>
                <a:close/>
                <a:moveTo>
                  <a:pt x="8684381" y="3940741"/>
                </a:moveTo>
                <a:cubicBezTo>
                  <a:pt x="8666594" y="3940741"/>
                  <a:pt x="8652165" y="3927464"/>
                  <a:pt x="8652165" y="3911089"/>
                </a:cubicBezTo>
                <a:cubicBezTo>
                  <a:pt x="8652165" y="3894715"/>
                  <a:pt x="8666594" y="3881437"/>
                  <a:pt x="8684381" y="3881437"/>
                </a:cubicBezTo>
                <a:cubicBezTo>
                  <a:pt x="8702168" y="3881437"/>
                  <a:pt x="8716585" y="3894715"/>
                  <a:pt x="8716585" y="3911089"/>
                </a:cubicBezTo>
                <a:cubicBezTo>
                  <a:pt x="8716585" y="3927464"/>
                  <a:pt x="8702168" y="3940741"/>
                  <a:pt x="8684381" y="3940741"/>
                </a:cubicBezTo>
                <a:close/>
                <a:moveTo>
                  <a:pt x="8762914" y="3940741"/>
                </a:moveTo>
                <a:cubicBezTo>
                  <a:pt x="8745127" y="3940741"/>
                  <a:pt x="8730698" y="3927464"/>
                  <a:pt x="8730698" y="3911089"/>
                </a:cubicBezTo>
                <a:cubicBezTo>
                  <a:pt x="8730698" y="3894715"/>
                  <a:pt x="8745127" y="3881437"/>
                  <a:pt x="8762914" y="3881437"/>
                </a:cubicBezTo>
                <a:cubicBezTo>
                  <a:pt x="8780701" y="3881437"/>
                  <a:pt x="8795118" y="3894715"/>
                  <a:pt x="8795118" y="3911089"/>
                </a:cubicBezTo>
                <a:cubicBezTo>
                  <a:pt x="8795118" y="3927464"/>
                  <a:pt x="8780701" y="3940741"/>
                  <a:pt x="8762914" y="3940741"/>
                </a:cubicBezTo>
                <a:close/>
                <a:moveTo>
                  <a:pt x="8841448" y="3940741"/>
                </a:moveTo>
                <a:cubicBezTo>
                  <a:pt x="8823661" y="3940741"/>
                  <a:pt x="8809232" y="3927464"/>
                  <a:pt x="8809232" y="3911089"/>
                </a:cubicBezTo>
                <a:cubicBezTo>
                  <a:pt x="8809232" y="3894715"/>
                  <a:pt x="8823661" y="3881437"/>
                  <a:pt x="8841448" y="3881437"/>
                </a:cubicBezTo>
                <a:cubicBezTo>
                  <a:pt x="8859236" y="3881437"/>
                  <a:pt x="8873653" y="3894715"/>
                  <a:pt x="8873653" y="3911089"/>
                </a:cubicBezTo>
                <a:cubicBezTo>
                  <a:pt x="8873653" y="3927464"/>
                  <a:pt x="8859236" y="3940741"/>
                  <a:pt x="8841448" y="3940741"/>
                </a:cubicBezTo>
                <a:close/>
                <a:moveTo>
                  <a:pt x="8919983" y="3940741"/>
                </a:moveTo>
                <a:cubicBezTo>
                  <a:pt x="8902195" y="3940741"/>
                  <a:pt x="8887766" y="3927464"/>
                  <a:pt x="8887766" y="3911089"/>
                </a:cubicBezTo>
                <a:cubicBezTo>
                  <a:pt x="8887766" y="3894715"/>
                  <a:pt x="8902195" y="3881437"/>
                  <a:pt x="8919983" y="3881437"/>
                </a:cubicBezTo>
                <a:cubicBezTo>
                  <a:pt x="8937770" y="3881437"/>
                  <a:pt x="8952187" y="3894715"/>
                  <a:pt x="8952187" y="3911089"/>
                </a:cubicBezTo>
                <a:cubicBezTo>
                  <a:pt x="8952187" y="3927464"/>
                  <a:pt x="8937770" y="3940741"/>
                  <a:pt x="8919983" y="3940741"/>
                </a:cubicBezTo>
                <a:close/>
                <a:moveTo>
                  <a:pt x="8998516" y="3940741"/>
                </a:moveTo>
                <a:cubicBezTo>
                  <a:pt x="8980729" y="3940741"/>
                  <a:pt x="8966300" y="3927464"/>
                  <a:pt x="8966300" y="3911089"/>
                </a:cubicBezTo>
                <a:cubicBezTo>
                  <a:pt x="8966300" y="3894715"/>
                  <a:pt x="8980729" y="3881437"/>
                  <a:pt x="8998516" y="3881437"/>
                </a:cubicBezTo>
                <a:cubicBezTo>
                  <a:pt x="9016303" y="3881437"/>
                  <a:pt x="9030720" y="3894715"/>
                  <a:pt x="9030720" y="3911089"/>
                </a:cubicBezTo>
                <a:cubicBezTo>
                  <a:pt x="9030720" y="3927464"/>
                  <a:pt x="9016303" y="3940741"/>
                  <a:pt x="8998516" y="3940741"/>
                </a:cubicBezTo>
                <a:close/>
                <a:moveTo>
                  <a:pt x="9077050" y="3940741"/>
                </a:moveTo>
                <a:cubicBezTo>
                  <a:pt x="9059263" y="3940741"/>
                  <a:pt x="9044834" y="3927464"/>
                  <a:pt x="9044834" y="3911089"/>
                </a:cubicBezTo>
                <a:cubicBezTo>
                  <a:pt x="9044834" y="3894715"/>
                  <a:pt x="9059263" y="3881437"/>
                  <a:pt x="9077050" y="3881437"/>
                </a:cubicBezTo>
                <a:cubicBezTo>
                  <a:pt x="9094837" y="3881437"/>
                  <a:pt x="9109254" y="3894715"/>
                  <a:pt x="9109254" y="3911089"/>
                </a:cubicBezTo>
                <a:cubicBezTo>
                  <a:pt x="9109254" y="3927464"/>
                  <a:pt x="9094837" y="3940741"/>
                  <a:pt x="9077050" y="3940741"/>
                </a:cubicBezTo>
                <a:close/>
                <a:moveTo>
                  <a:pt x="9155583" y="3940741"/>
                </a:moveTo>
                <a:cubicBezTo>
                  <a:pt x="9137796" y="3940741"/>
                  <a:pt x="9123367" y="3927464"/>
                  <a:pt x="9123367" y="3911089"/>
                </a:cubicBezTo>
                <a:cubicBezTo>
                  <a:pt x="9123367" y="3894715"/>
                  <a:pt x="9137796" y="3881437"/>
                  <a:pt x="9155583" y="3881437"/>
                </a:cubicBezTo>
                <a:cubicBezTo>
                  <a:pt x="9173371" y="3881437"/>
                  <a:pt x="9187788" y="3894715"/>
                  <a:pt x="9187788" y="3911089"/>
                </a:cubicBezTo>
                <a:cubicBezTo>
                  <a:pt x="9187788" y="3927464"/>
                  <a:pt x="9173371" y="3940741"/>
                  <a:pt x="9155583" y="3940741"/>
                </a:cubicBezTo>
                <a:close/>
                <a:moveTo>
                  <a:pt x="9234118" y="3940741"/>
                </a:moveTo>
                <a:cubicBezTo>
                  <a:pt x="9216330" y="3940741"/>
                  <a:pt x="9201901" y="3927464"/>
                  <a:pt x="9201901" y="3911089"/>
                </a:cubicBezTo>
                <a:cubicBezTo>
                  <a:pt x="9201901" y="3894715"/>
                  <a:pt x="9216330" y="3881437"/>
                  <a:pt x="9234118" y="3881437"/>
                </a:cubicBezTo>
                <a:cubicBezTo>
                  <a:pt x="9251905" y="3881437"/>
                  <a:pt x="9266322" y="3894715"/>
                  <a:pt x="9266322" y="3911089"/>
                </a:cubicBezTo>
                <a:cubicBezTo>
                  <a:pt x="9266322" y="3927464"/>
                  <a:pt x="9251905" y="3940741"/>
                  <a:pt x="9234118" y="3940741"/>
                </a:cubicBezTo>
                <a:close/>
                <a:moveTo>
                  <a:pt x="9312652" y="3940741"/>
                </a:moveTo>
                <a:cubicBezTo>
                  <a:pt x="9294865" y="3940741"/>
                  <a:pt x="9280436" y="3927464"/>
                  <a:pt x="9280436" y="3911089"/>
                </a:cubicBezTo>
                <a:cubicBezTo>
                  <a:pt x="9280436" y="3894715"/>
                  <a:pt x="9294865" y="3881437"/>
                  <a:pt x="9312652" y="3881437"/>
                </a:cubicBezTo>
                <a:cubicBezTo>
                  <a:pt x="9330439" y="3881437"/>
                  <a:pt x="9344856" y="3894715"/>
                  <a:pt x="9344856" y="3911089"/>
                </a:cubicBezTo>
                <a:cubicBezTo>
                  <a:pt x="9344856" y="3927464"/>
                  <a:pt x="9330439" y="3940741"/>
                  <a:pt x="9312652" y="3940741"/>
                </a:cubicBezTo>
                <a:close/>
                <a:moveTo>
                  <a:pt x="9391185" y="3940741"/>
                </a:moveTo>
                <a:cubicBezTo>
                  <a:pt x="9373398" y="3940741"/>
                  <a:pt x="9358969" y="3927464"/>
                  <a:pt x="9358969" y="3911089"/>
                </a:cubicBezTo>
                <a:cubicBezTo>
                  <a:pt x="9358969" y="3894715"/>
                  <a:pt x="9373398" y="3881437"/>
                  <a:pt x="9391185" y="3881437"/>
                </a:cubicBezTo>
                <a:cubicBezTo>
                  <a:pt x="9408972" y="3881437"/>
                  <a:pt x="9423389" y="3894715"/>
                  <a:pt x="9423389" y="3911089"/>
                </a:cubicBezTo>
                <a:cubicBezTo>
                  <a:pt x="9423389" y="3927464"/>
                  <a:pt x="9408972" y="3940741"/>
                  <a:pt x="9391185" y="3940741"/>
                </a:cubicBezTo>
                <a:close/>
                <a:moveTo>
                  <a:pt x="9469719" y="3940741"/>
                </a:moveTo>
                <a:cubicBezTo>
                  <a:pt x="9451932" y="3940741"/>
                  <a:pt x="9437503" y="3927464"/>
                  <a:pt x="9437503" y="3911089"/>
                </a:cubicBezTo>
                <a:cubicBezTo>
                  <a:pt x="9437503" y="3894715"/>
                  <a:pt x="9451932" y="3881437"/>
                  <a:pt x="9469719" y="3881437"/>
                </a:cubicBezTo>
                <a:cubicBezTo>
                  <a:pt x="9487507" y="3881437"/>
                  <a:pt x="9501924" y="3894715"/>
                  <a:pt x="9501924" y="3911089"/>
                </a:cubicBezTo>
                <a:cubicBezTo>
                  <a:pt x="9501924" y="3927464"/>
                  <a:pt x="9487507" y="3940741"/>
                  <a:pt x="9469719" y="3940741"/>
                </a:cubicBezTo>
                <a:close/>
                <a:moveTo>
                  <a:pt x="9862389" y="3940741"/>
                </a:moveTo>
                <a:cubicBezTo>
                  <a:pt x="9844601" y="3940741"/>
                  <a:pt x="9830172" y="3927464"/>
                  <a:pt x="9830172" y="3911089"/>
                </a:cubicBezTo>
                <a:cubicBezTo>
                  <a:pt x="9830172" y="3894715"/>
                  <a:pt x="9844601" y="3881437"/>
                  <a:pt x="9862389" y="3881437"/>
                </a:cubicBezTo>
                <a:cubicBezTo>
                  <a:pt x="9880176" y="3881437"/>
                  <a:pt x="9894593" y="3894715"/>
                  <a:pt x="9894593" y="3911089"/>
                </a:cubicBezTo>
                <a:cubicBezTo>
                  <a:pt x="9894593" y="3927464"/>
                  <a:pt x="9880176" y="3940741"/>
                  <a:pt x="9862389" y="3940741"/>
                </a:cubicBezTo>
                <a:close/>
                <a:moveTo>
                  <a:pt x="2480181" y="3868477"/>
                </a:moveTo>
                <a:cubicBezTo>
                  <a:pt x="2462394" y="3868477"/>
                  <a:pt x="2447971" y="3855199"/>
                  <a:pt x="2447971" y="3838824"/>
                </a:cubicBezTo>
                <a:cubicBezTo>
                  <a:pt x="2447971" y="3822450"/>
                  <a:pt x="2462394" y="3809172"/>
                  <a:pt x="2480181" y="3809172"/>
                </a:cubicBezTo>
                <a:cubicBezTo>
                  <a:pt x="2497968" y="3809172"/>
                  <a:pt x="2512391" y="3822450"/>
                  <a:pt x="2512391" y="3838824"/>
                </a:cubicBezTo>
                <a:cubicBezTo>
                  <a:pt x="2512391" y="3855199"/>
                  <a:pt x="2497968" y="3868477"/>
                  <a:pt x="2480181" y="3868477"/>
                </a:cubicBezTo>
                <a:close/>
                <a:moveTo>
                  <a:pt x="2558715" y="3868477"/>
                </a:moveTo>
                <a:cubicBezTo>
                  <a:pt x="2540928" y="3868477"/>
                  <a:pt x="2526505" y="3855199"/>
                  <a:pt x="2526505" y="3838824"/>
                </a:cubicBezTo>
                <a:cubicBezTo>
                  <a:pt x="2526505" y="3822450"/>
                  <a:pt x="2540928" y="3809172"/>
                  <a:pt x="2558715" y="3809172"/>
                </a:cubicBezTo>
                <a:cubicBezTo>
                  <a:pt x="2576503" y="3809172"/>
                  <a:pt x="2590926" y="3822450"/>
                  <a:pt x="2590926" y="3838824"/>
                </a:cubicBezTo>
                <a:cubicBezTo>
                  <a:pt x="2590926" y="3855199"/>
                  <a:pt x="2576503" y="3868477"/>
                  <a:pt x="2558715" y="3868477"/>
                </a:cubicBezTo>
                <a:close/>
                <a:moveTo>
                  <a:pt x="2637243" y="3868477"/>
                </a:moveTo>
                <a:cubicBezTo>
                  <a:pt x="2619455" y="3868477"/>
                  <a:pt x="2605032" y="3855199"/>
                  <a:pt x="2605032" y="3838824"/>
                </a:cubicBezTo>
                <a:cubicBezTo>
                  <a:pt x="2605032" y="3822450"/>
                  <a:pt x="2619455" y="3809172"/>
                  <a:pt x="2637243" y="3809172"/>
                </a:cubicBezTo>
                <a:cubicBezTo>
                  <a:pt x="2655030" y="3809172"/>
                  <a:pt x="2669453" y="3822450"/>
                  <a:pt x="2669453" y="3838824"/>
                </a:cubicBezTo>
                <a:cubicBezTo>
                  <a:pt x="2669453" y="3855199"/>
                  <a:pt x="2655030" y="3868477"/>
                  <a:pt x="2637243" y="3868477"/>
                </a:cubicBezTo>
                <a:close/>
                <a:moveTo>
                  <a:pt x="2715777" y="3868477"/>
                </a:moveTo>
                <a:cubicBezTo>
                  <a:pt x="2697990" y="3868477"/>
                  <a:pt x="2683566" y="3855199"/>
                  <a:pt x="2683566" y="3838824"/>
                </a:cubicBezTo>
                <a:cubicBezTo>
                  <a:pt x="2683566" y="3822450"/>
                  <a:pt x="2697990" y="3809172"/>
                  <a:pt x="2715777" y="3809172"/>
                </a:cubicBezTo>
                <a:cubicBezTo>
                  <a:pt x="2733564" y="3809172"/>
                  <a:pt x="2747987" y="3822450"/>
                  <a:pt x="2747987" y="3838824"/>
                </a:cubicBezTo>
                <a:cubicBezTo>
                  <a:pt x="2747987" y="3855199"/>
                  <a:pt x="2733564" y="3868477"/>
                  <a:pt x="2715777" y="3868477"/>
                </a:cubicBezTo>
                <a:close/>
                <a:moveTo>
                  <a:pt x="2794310" y="3868477"/>
                </a:moveTo>
                <a:cubicBezTo>
                  <a:pt x="2776523" y="3868477"/>
                  <a:pt x="2762100" y="3855199"/>
                  <a:pt x="2762100" y="3838824"/>
                </a:cubicBezTo>
                <a:cubicBezTo>
                  <a:pt x="2762100" y="3822450"/>
                  <a:pt x="2776523" y="3809172"/>
                  <a:pt x="2794310" y="3809172"/>
                </a:cubicBezTo>
                <a:cubicBezTo>
                  <a:pt x="2812097" y="3809172"/>
                  <a:pt x="2826520" y="3822450"/>
                  <a:pt x="2826520" y="3838824"/>
                </a:cubicBezTo>
                <a:cubicBezTo>
                  <a:pt x="2826520" y="3855199"/>
                  <a:pt x="2812097" y="3868477"/>
                  <a:pt x="2794310" y="3868477"/>
                </a:cubicBezTo>
                <a:close/>
                <a:moveTo>
                  <a:pt x="2872844" y="3868477"/>
                </a:moveTo>
                <a:cubicBezTo>
                  <a:pt x="2855057" y="3868477"/>
                  <a:pt x="2840634" y="3855199"/>
                  <a:pt x="2840634" y="3838824"/>
                </a:cubicBezTo>
                <a:cubicBezTo>
                  <a:pt x="2840634" y="3822450"/>
                  <a:pt x="2855057" y="3809172"/>
                  <a:pt x="2872844" y="3809172"/>
                </a:cubicBezTo>
                <a:cubicBezTo>
                  <a:pt x="2890632" y="3809172"/>
                  <a:pt x="2905055" y="3822450"/>
                  <a:pt x="2905055" y="3838824"/>
                </a:cubicBezTo>
                <a:cubicBezTo>
                  <a:pt x="2905055" y="3855199"/>
                  <a:pt x="2890632" y="3868477"/>
                  <a:pt x="2872844" y="3868477"/>
                </a:cubicBezTo>
                <a:close/>
                <a:moveTo>
                  <a:pt x="2951379" y="3868477"/>
                </a:moveTo>
                <a:cubicBezTo>
                  <a:pt x="2933591" y="3868477"/>
                  <a:pt x="2919168" y="3855199"/>
                  <a:pt x="2919168" y="3838824"/>
                </a:cubicBezTo>
                <a:cubicBezTo>
                  <a:pt x="2919168" y="3822450"/>
                  <a:pt x="2933591" y="3809172"/>
                  <a:pt x="2951379" y="3809172"/>
                </a:cubicBezTo>
                <a:cubicBezTo>
                  <a:pt x="2969166" y="3809172"/>
                  <a:pt x="2983589" y="3822450"/>
                  <a:pt x="2983589" y="3838824"/>
                </a:cubicBezTo>
                <a:cubicBezTo>
                  <a:pt x="2983589" y="3855199"/>
                  <a:pt x="2969166" y="3868477"/>
                  <a:pt x="2951379" y="3868477"/>
                </a:cubicBezTo>
                <a:close/>
                <a:moveTo>
                  <a:pt x="3029912" y="3868477"/>
                </a:moveTo>
                <a:cubicBezTo>
                  <a:pt x="3012125" y="3868477"/>
                  <a:pt x="2997701" y="3855199"/>
                  <a:pt x="2997701" y="3838824"/>
                </a:cubicBezTo>
                <a:cubicBezTo>
                  <a:pt x="2997701" y="3822450"/>
                  <a:pt x="3012125" y="3809172"/>
                  <a:pt x="3029912" y="3809172"/>
                </a:cubicBezTo>
                <a:cubicBezTo>
                  <a:pt x="3047699" y="3809172"/>
                  <a:pt x="3062122" y="3822450"/>
                  <a:pt x="3062122" y="3838824"/>
                </a:cubicBezTo>
                <a:cubicBezTo>
                  <a:pt x="3062122" y="3855199"/>
                  <a:pt x="3047699" y="3868477"/>
                  <a:pt x="3029912" y="3868477"/>
                </a:cubicBezTo>
                <a:close/>
                <a:moveTo>
                  <a:pt x="3108446" y="3868477"/>
                </a:moveTo>
                <a:cubicBezTo>
                  <a:pt x="3090659" y="3868477"/>
                  <a:pt x="3076236" y="3855199"/>
                  <a:pt x="3076236" y="3838824"/>
                </a:cubicBezTo>
                <a:cubicBezTo>
                  <a:pt x="3076236" y="3822450"/>
                  <a:pt x="3090659" y="3809172"/>
                  <a:pt x="3108446" y="3809172"/>
                </a:cubicBezTo>
                <a:cubicBezTo>
                  <a:pt x="3126233" y="3809172"/>
                  <a:pt x="3140656" y="3822450"/>
                  <a:pt x="3140656" y="3838824"/>
                </a:cubicBezTo>
                <a:cubicBezTo>
                  <a:pt x="3140656" y="3855199"/>
                  <a:pt x="3126233" y="3868477"/>
                  <a:pt x="3108446" y="3868477"/>
                </a:cubicBezTo>
                <a:close/>
                <a:moveTo>
                  <a:pt x="3186979" y="3868477"/>
                </a:moveTo>
                <a:cubicBezTo>
                  <a:pt x="3169192" y="3868477"/>
                  <a:pt x="3154769" y="3855199"/>
                  <a:pt x="3154769" y="3838824"/>
                </a:cubicBezTo>
                <a:cubicBezTo>
                  <a:pt x="3154769" y="3822450"/>
                  <a:pt x="3169192" y="3809172"/>
                  <a:pt x="3186979" y="3809172"/>
                </a:cubicBezTo>
                <a:cubicBezTo>
                  <a:pt x="3204767" y="3809172"/>
                  <a:pt x="3219190" y="3822450"/>
                  <a:pt x="3219190" y="3838824"/>
                </a:cubicBezTo>
                <a:cubicBezTo>
                  <a:pt x="3219190" y="3855199"/>
                  <a:pt x="3204767" y="3868477"/>
                  <a:pt x="3186979" y="3868477"/>
                </a:cubicBezTo>
                <a:close/>
                <a:moveTo>
                  <a:pt x="3265514" y="3868477"/>
                </a:moveTo>
                <a:cubicBezTo>
                  <a:pt x="3247726" y="3868477"/>
                  <a:pt x="3233303" y="3855199"/>
                  <a:pt x="3233303" y="3838824"/>
                </a:cubicBezTo>
                <a:cubicBezTo>
                  <a:pt x="3233303" y="3822450"/>
                  <a:pt x="3247726" y="3809172"/>
                  <a:pt x="3265514" y="3809172"/>
                </a:cubicBezTo>
                <a:cubicBezTo>
                  <a:pt x="3283301" y="3809172"/>
                  <a:pt x="3297724" y="3822450"/>
                  <a:pt x="3297724" y="3838824"/>
                </a:cubicBezTo>
                <a:cubicBezTo>
                  <a:pt x="3297724" y="3855199"/>
                  <a:pt x="3283301" y="3868477"/>
                  <a:pt x="3265514" y="3868477"/>
                </a:cubicBezTo>
                <a:close/>
                <a:moveTo>
                  <a:pt x="3344048" y="3868477"/>
                </a:moveTo>
                <a:cubicBezTo>
                  <a:pt x="3326261" y="3868477"/>
                  <a:pt x="3311837" y="3855199"/>
                  <a:pt x="3311837" y="3838824"/>
                </a:cubicBezTo>
                <a:cubicBezTo>
                  <a:pt x="3311837" y="3822450"/>
                  <a:pt x="3326261" y="3809172"/>
                  <a:pt x="3344048" y="3809172"/>
                </a:cubicBezTo>
                <a:cubicBezTo>
                  <a:pt x="3361835" y="3809172"/>
                  <a:pt x="3376258" y="3822450"/>
                  <a:pt x="3376258" y="3838824"/>
                </a:cubicBezTo>
                <a:cubicBezTo>
                  <a:pt x="3376258" y="3855199"/>
                  <a:pt x="3361835" y="3868477"/>
                  <a:pt x="3344048" y="3868477"/>
                </a:cubicBezTo>
                <a:close/>
                <a:moveTo>
                  <a:pt x="3422581" y="3868477"/>
                </a:moveTo>
                <a:cubicBezTo>
                  <a:pt x="3404794" y="3868477"/>
                  <a:pt x="3390371" y="3855199"/>
                  <a:pt x="3390371" y="3838824"/>
                </a:cubicBezTo>
                <a:cubicBezTo>
                  <a:pt x="3390371" y="3822450"/>
                  <a:pt x="3404794" y="3809172"/>
                  <a:pt x="3422581" y="3809172"/>
                </a:cubicBezTo>
                <a:cubicBezTo>
                  <a:pt x="3440368" y="3809172"/>
                  <a:pt x="3454791" y="3822450"/>
                  <a:pt x="3454791" y="3838824"/>
                </a:cubicBezTo>
                <a:cubicBezTo>
                  <a:pt x="3454791" y="3855199"/>
                  <a:pt x="3440368" y="3868477"/>
                  <a:pt x="3422581" y="3868477"/>
                </a:cubicBezTo>
                <a:close/>
                <a:moveTo>
                  <a:pt x="3501115" y="3868477"/>
                </a:moveTo>
                <a:cubicBezTo>
                  <a:pt x="3483328" y="3868477"/>
                  <a:pt x="3468905" y="3855199"/>
                  <a:pt x="3468905" y="3838824"/>
                </a:cubicBezTo>
                <a:cubicBezTo>
                  <a:pt x="3468905" y="3822450"/>
                  <a:pt x="3483328" y="3809172"/>
                  <a:pt x="3501115" y="3809172"/>
                </a:cubicBezTo>
                <a:cubicBezTo>
                  <a:pt x="3518903" y="3809172"/>
                  <a:pt x="3533326" y="3822450"/>
                  <a:pt x="3533326" y="3838824"/>
                </a:cubicBezTo>
                <a:cubicBezTo>
                  <a:pt x="3533326" y="3855199"/>
                  <a:pt x="3518903" y="3868477"/>
                  <a:pt x="3501115" y="3868477"/>
                </a:cubicBezTo>
                <a:close/>
                <a:moveTo>
                  <a:pt x="3579650" y="3868477"/>
                </a:moveTo>
                <a:cubicBezTo>
                  <a:pt x="3561862" y="3868477"/>
                  <a:pt x="3547439" y="3855199"/>
                  <a:pt x="3547439" y="3838824"/>
                </a:cubicBezTo>
                <a:cubicBezTo>
                  <a:pt x="3547439" y="3822450"/>
                  <a:pt x="3561862" y="3809172"/>
                  <a:pt x="3579650" y="3809172"/>
                </a:cubicBezTo>
                <a:cubicBezTo>
                  <a:pt x="3597437" y="3809172"/>
                  <a:pt x="3611860" y="3822450"/>
                  <a:pt x="3611860" y="3838824"/>
                </a:cubicBezTo>
                <a:cubicBezTo>
                  <a:pt x="3611860" y="3855199"/>
                  <a:pt x="3597437" y="3868477"/>
                  <a:pt x="3579650" y="3868477"/>
                </a:cubicBezTo>
                <a:close/>
                <a:moveTo>
                  <a:pt x="3736717" y="3868477"/>
                </a:moveTo>
                <a:cubicBezTo>
                  <a:pt x="3718930" y="3868477"/>
                  <a:pt x="3704507" y="3855199"/>
                  <a:pt x="3704507" y="3838824"/>
                </a:cubicBezTo>
                <a:cubicBezTo>
                  <a:pt x="3704507" y="3822450"/>
                  <a:pt x="3718930" y="3809172"/>
                  <a:pt x="3736717" y="3809172"/>
                </a:cubicBezTo>
                <a:cubicBezTo>
                  <a:pt x="3754504" y="3809172"/>
                  <a:pt x="3768927" y="3822450"/>
                  <a:pt x="3768927" y="3838824"/>
                </a:cubicBezTo>
                <a:cubicBezTo>
                  <a:pt x="3768927" y="3855199"/>
                  <a:pt x="3754504" y="3868477"/>
                  <a:pt x="3736717" y="3868477"/>
                </a:cubicBezTo>
                <a:close/>
                <a:moveTo>
                  <a:pt x="3815250" y="3868477"/>
                </a:moveTo>
                <a:cubicBezTo>
                  <a:pt x="3797463" y="3868477"/>
                  <a:pt x="3783040" y="3855199"/>
                  <a:pt x="3783040" y="3838824"/>
                </a:cubicBezTo>
                <a:cubicBezTo>
                  <a:pt x="3783040" y="3822450"/>
                  <a:pt x="3797463" y="3809172"/>
                  <a:pt x="3815250" y="3809172"/>
                </a:cubicBezTo>
                <a:cubicBezTo>
                  <a:pt x="3833038" y="3809172"/>
                  <a:pt x="3847461" y="3822450"/>
                  <a:pt x="3847461" y="3838824"/>
                </a:cubicBezTo>
                <a:cubicBezTo>
                  <a:pt x="3847461" y="3855199"/>
                  <a:pt x="3833038" y="3868477"/>
                  <a:pt x="3815250" y="3868477"/>
                </a:cubicBezTo>
                <a:close/>
                <a:moveTo>
                  <a:pt x="3893785" y="3868477"/>
                </a:moveTo>
                <a:cubicBezTo>
                  <a:pt x="3875997" y="3868477"/>
                  <a:pt x="3861574" y="3855199"/>
                  <a:pt x="3861574" y="3838824"/>
                </a:cubicBezTo>
                <a:cubicBezTo>
                  <a:pt x="3861574" y="3822450"/>
                  <a:pt x="3875997" y="3809172"/>
                  <a:pt x="3893785" y="3809172"/>
                </a:cubicBezTo>
                <a:cubicBezTo>
                  <a:pt x="3911572" y="3809172"/>
                  <a:pt x="3925995" y="3822450"/>
                  <a:pt x="3925995" y="3838824"/>
                </a:cubicBezTo>
                <a:cubicBezTo>
                  <a:pt x="3925995" y="3855199"/>
                  <a:pt x="3911572" y="3868477"/>
                  <a:pt x="3893785" y="3868477"/>
                </a:cubicBezTo>
                <a:close/>
                <a:moveTo>
                  <a:pt x="5778604" y="3868477"/>
                </a:moveTo>
                <a:cubicBezTo>
                  <a:pt x="5760816" y="3868477"/>
                  <a:pt x="5746393" y="3855199"/>
                  <a:pt x="5746393" y="3838824"/>
                </a:cubicBezTo>
                <a:cubicBezTo>
                  <a:pt x="5746393" y="3822450"/>
                  <a:pt x="5760816" y="3809172"/>
                  <a:pt x="5778604" y="3809172"/>
                </a:cubicBezTo>
                <a:cubicBezTo>
                  <a:pt x="5796391" y="3809172"/>
                  <a:pt x="5810814" y="3822450"/>
                  <a:pt x="5810814" y="3838824"/>
                </a:cubicBezTo>
                <a:cubicBezTo>
                  <a:pt x="5810814" y="3855199"/>
                  <a:pt x="5796391" y="3868477"/>
                  <a:pt x="5778604" y="3868477"/>
                </a:cubicBezTo>
                <a:close/>
                <a:moveTo>
                  <a:pt x="5857137" y="3868477"/>
                </a:moveTo>
                <a:cubicBezTo>
                  <a:pt x="5839350" y="3868477"/>
                  <a:pt x="5824927" y="3855199"/>
                  <a:pt x="5824927" y="3838824"/>
                </a:cubicBezTo>
                <a:cubicBezTo>
                  <a:pt x="5824927" y="3822450"/>
                  <a:pt x="5839350" y="3809172"/>
                  <a:pt x="5857137" y="3809172"/>
                </a:cubicBezTo>
                <a:cubicBezTo>
                  <a:pt x="5874924" y="3809172"/>
                  <a:pt x="5889347" y="3822450"/>
                  <a:pt x="5889347" y="3838824"/>
                </a:cubicBezTo>
                <a:cubicBezTo>
                  <a:pt x="5889347" y="3855199"/>
                  <a:pt x="5874924" y="3868477"/>
                  <a:pt x="5857137" y="3868477"/>
                </a:cubicBezTo>
                <a:close/>
                <a:moveTo>
                  <a:pt x="5935671" y="3868477"/>
                </a:moveTo>
                <a:cubicBezTo>
                  <a:pt x="5917884" y="3868477"/>
                  <a:pt x="5903461" y="3855199"/>
                  <a:pt x="5903461" y="3838824"/>
                </a:cubicBezTo>
                <a:cubicBezTo>
                  <a:pt x="5903461" y="3822450"/>
                  <a:pt x="5917884" y="3809172"/>
                  <a:pt x="5935671" y="3809172"/>
                </a:cubicBezTo>
                <a:cubicBezTo>
                  <a:pt x="5953458" y="3809172"/>
                  <a:pt x="5967881" y="3822450"/>
                  <a:pt x="5967881" y="3838824"/>
                </a:cubicBezTo>
                <a:cubicBezTo>
                  <a:pt x="5967881" y="3855199"/>
                  <a:pt x="5953458" y="3868477"/>
                  <a:pt x="5935671" y="3868477"/>
                </a:cubicBezTo>
                <a:close/>
                <a:moveTo>
                  <a:pt x="6092739" y="3868477"/>
                </a:moveTo>
                <a:cubicBezTo>
                  <a:pt x="6074951" y="3868477"/>
                  <a:pt x="6060528" y="3855199"/>
                  <a:pt x="6060528" y="3838824"/>
                </a:cubicBezTo>
                <a:cubicBezTo>
                  <a:pt x="6060528" y="3822450"/>
                  <a:pt x="6074951" y="3809172"/>
                  <a:pt x="6092739" y="3809172"/>
                </a:cubicBezTo>
                <a:cubicBezTo>
                  <a:pt x="6110526" y="3809172"/>
                  <a:pt x="6124949" y="3822450"/>
                  <a:pt x="6124949" y="3838824"/>
                </a:cubicBezTo>
                <a:cubicBezTo>
                  <a:pt x="6124949" y="3855199"/>
                  <a:pt x="6110526" y="3868477"/>
                  <a:pt x="6092739" y="3868477"/>
                </a:cubicBezTo>
                <a:close/>
                <a:moveTo>
                  <a:pt x="6249806" y="3868477"/>
                </a:moveTo>
                <a:cubicBezTo>
                  <a:pt x="6232019" y="3868477"/>
                  <a:pt x="6217590" y="3855199"/>
                  <a:pt x="6217590" y="3838824"/>
                </a:cubicBezTo>
                <a:cubicBezTo>
                  <a:pt x="6217590" y="3822450"/>
                  <a:pt x="6232019" y="3809172"/>
                  <a:pt x="6249806" y="3809172"/>
                </a:cubicBezTo>
                <a:cubicBezTo>
                  <a:pt x="6267593" y="3809172"/>
                  <a:pt x="6282010" y="3822450"/>
                  <a:pt x="6282010" y="3838824"/>
                </a:cubicBezTo>
                <a:cubicBezTo>
                  <a:pt x="6282010" y="3855199"/>
                  <a:pt x="6267593" y="3868477"/>
                  <a:pt x="6249806" y="3868477"/>
                </a:cubicBezTo>
                <a:close/>
                <a:moveTo>
                  <a:pt x="6485408" y="3868477"/>
                </a:moveTo>
                <a:cubicBezTo>
                  <a:pt x="6467621" y="3868477"/>
                  <a:pt x="6453191" y="3855199"/>
                  <a:pt x="6453191" y="3838824"/>
                </a:cubicBezTo>
                <a:cubicBezTo>
                  <a:pt x="6453191" y="3822450"/>
                  <a:pt x="6467621" y="3809172"/>
                  <a:pt x="6485408" y="3809172"/>
                </a:cubicBezTo>
                <a:cubicBezTo>
                  <a:pt x="6503195" y="3809172"/>
                  <a:pt x="6517612" y="3822450"/>
                  <a:pt x="6517612" y="3838824"/>
                </a:cubicBezTo>
                <a:cubicBezTo>
                  <a:pt x="6517612" y="3855199"/>
                  <a:pt x="6503195" y="3868477"/>
                  <a:pt x="6485408" y="3868477"/>
                </a:cubicBezTo>
                <a:close/>
                <a:moveTo>
                  <a:pt x="6563942" y="3868477"/>
                </a:moveTo>
                <a:cubicBezTo>
                  <a:pt x="6546155" y="3868477"/>
                  <a:pt x="6531726" y="3855199"/>
                  <a:pt x="6531726" y="3838824"/>
                </a:cubicBezTo>
                <a:cubicBezTo>
                  <a:pt x="6531726" y="3822450"/>
                  <a:pt x="6546155" y="3809172"/>
                  <a:pt x="6563942" y="3809172"/>
                </a:cubicBezTo>
                <a:cubicBezTo>
                  <a:pt x="6581729" y="3809172"/>
                  <a:pt x="6596146" y="3822450"/>
                  <a:pt x="6596146" y="3838824"/>
                </a:cubicBezTo>
                <a:cubicBezTo>
                  <a:pt x="6596146" y="3855199"/>
                  <a:pt x="6581729" y="3868477"/>
                  <a:pt x="6563942" y="3868477"/>
                </a:cubicBezTo>
                <a:close/>
                <a:moveTo>
                  <a:pt x="6642476" y="3868477"/>
                </a:moveTo>
                <a:cubicBezTo>
                  <a:pt x="6624689" y="3868477"/>
                  <a:pt x="6610260" y="3855199"/>
                  <a:pt x="6610260" y="3838824"/>
                </a:cubicBezTo>
                <a:cubicBezTo>
                  <a:pt x="6610260" y="3822450"/>
                  <a:pt x="6624689" y="3809172"/>
                  <a:pt x="6642476" y="3809172"/>
                </a:cubicBezTo>
                <a:cubicBezTo>
                  <a:pt x="6660264" y="3809172"/>
                  <a:pt x="6674681" y="3822450"/>
                  <a:pt x="6674681" y="3838824"/>
                </a:cubicBezTo>
                <a:cubicBezTo>
                  <a:pt x="6674681" y="3855199"/>
                  <a:pt x="6660264" y="3868477"/>
                  <a:pt x="6642476" y="3868477"/>
                </a:cubicBezTo>
                <a:close/>
                <a:moveTo>
                  <a:pt x="7113703" y="3868477"/>
                </a:moveTo>
                <a:cubicBezTo>
                  <a:pt x="7095916" y="3868477"/>
                  <a:pt x="7081487" y="3855199"/>
                  <a:pt x="7081487" y="3838824"/>
                </a:cubicBezTo>
                <a:cubicBezTo>
                  <a:pt x="7081487" y="3822450"/>
                  <a:pt x="7095916" y="3809172"/>
                  <a:pt x="7113703" y="3809172"/>
                </a:cubicBezTo>
                <a:cubicBezTo>
                  <a:pt x="7131490" y="3809172"/>
                  <a:pt x="7145907" y="3822450"/>
                  <a:pt x="7145907" y="3838824"/>
                </a:cubicBezTo>
                <a:cubicBezTo>
                  <a:pt x="7145907" y="3855199"/>
                  <a:pt x="7131490" y="3868477"/>
                  <a:pt x="7113703" y="3868477"/>
                </a:cubicBezTo>
                <a:close/>
                <a:moveTo>
                  <a:pt x="7192237" y="3868477"/>
                </a:moveTo>
                <a:cubicBezTo>
                  <a:pt x="7174450" y="3868477"/>
                  <a:pt x="7160021" y="3855199"/>
                  <a:pt x="7160021" y="3838824"/>
                </a:cubicBezTo>
                <a:cubicBezTo>
                  <a:pt x="7160021" y="3822450"/>
                  <a:pt x="7174450" y="3809172"/>
                  <a:pt x="7192237" y="3809172"/>
                </a:cubicBezTo>
                <a:cubicBezTo>
                  <a:pt x="7210024" y="3809172"/>
                  <a:pt x="7224441" y="3822450"/>
                  <a:pt x="7224441" y="3838824"/>
                </a:cubicBezTo>
                <a:cubicBezTo>
                  <a:pt x="7224441" y="3855199"/>
                  <a:pt x="7210024" y="3868477"/>
                  <a:pt x="7192237" y="3868477"/>
                </a:cubicBezTo>
                <a:close/>
                <a:moveTo>
                  <a:pt x="7427839" y="3868477"/>
                </a:moveTo>
                <a:cubicBezTo>
                  <a:pt x="7410052" y="3868477"/>
                  <a:pt x="7395623" y="3855199"/>
                  <a:pt x="7395623" y="3838824"/>
                </a:cubicBezTo>
                <a:cubicBezTo>
                  <a:pt x="7395623" y="3822450"/>
                  <a:pt x="7410052" y="3809172"/>
                  <a:pt x="7427839" y="3809172"/>
                </a:cubicBezTo>
                <a:cubicBezTo>
                  <a:pt x="7445626" y="3809172"/>
                  <a:pt x="7460043" y="3822450"/>
                  <a:pt x="7460043" y="3838824"/>
                </a:cubicBezTo>
                <a:cubicBezTo>
                  <a:pt x="7460043" y="3855199"/>
                  <a:pt x="7445626" y="3868477"/>
                  <a:pt x="7427839" y="3868477"/>
                </a:cubicBezTo>
                <a:close/>
                <a:moveTo>
                  <a:pt x="7506373" y="3868477"/>
                </a:moveTo>
                <a:cubicBezTo>
                  <a:pt x="7488586" y="3868477"/>
                  <a:pt x="7474157" y="3855199"/>
                  <a:pt x="7474157" y="3838824"/>
                </a:cubicBezTo>
                <a:cubicBezTo>
                  <a:pt x="7474157" y="3822450"/>
                  <a:pt x="7488586" y="3809172"/>
                  <a:pt x="7506373" y="3809172"/>
                </a:cubicBezTo>
                <a:cubicBezTo>
                  <a:pt x="7524160" y="3809172"/>
                  <a:pt x="7538577" y="3822450"/>
                  <a:pt x="7538577" y="3838824"/>
                </a:cubicBezTo>
                <a:cubicBezTo>
                  <a:pt x="7538577" y="3855199"/>
                  <a:pt x="7524160" y="3868477"/>
                  <a:pt x="7506373" y="3868477"/>
                </a:cubicBezTo>
                <a:close/>
                <a:moveTo>
                  <a:pt x="7584906" y="3868477"/>
                </a:moveTo>
                <a:cubicBezTo>
                  <a:pt x="7567119" y="3868477"/>
                  <a:pt x="7552690" y="3855199"/>
                  <a:pt x="7552690" y="3838824"/>
                </a:cubicBezTo>
                <a:cubicBezTo>
                  <a:pt x="7552690" y="3822450"/>
                  <a:pt x="7567119" y="3809172"/>
                  <a:pt x="7584906" y="3809172"/>
                </a:cubicBezTo>
                <a:cubicBezTo>
                  <a:pt x="7602694" y="3809172"/>
                  <a:pt x="7617111" y="3822450"/>
                  <a:pt x="7617111" y="3838824"/>
                </a:cubicBezTo>
                <a:cubicBezTo>
                  <a:pt x="7617111" y="3855199"/>
                  <a:pt x="7602694" y="3868477"/>
                  <a:pt x="7584906" y="3868477"/>
                </a:cubicBezTo>
                <a:close/>
                <a:moveTo>
                  <a:pt x="7663441" y="3868477"/>
                </a:moveTo>
                <a:cubicBezTo>
                  <a:pt x="7645653" y="3868477"/>
                  <a:pt x="7631224" y="3855199"/>
                  <a:pt x="7631224" y="3838824"/>
                </a:cubicBezTo>
                <a:cubicBezTo>
                  <a:pt x="7631224" y="3822450"/>
                  <a:pt x="7645653" y="3809172"/>
                  <a:pt x="7663441" y="3809172"/>
                </a:cubicBezTo>
                <a:cubicBezTo>
                  <a:pt x="7681228" y="3809172"/>
                  <a:pt x="7695645" y="3822450"/>
                  <a:pt x="7695645" y="3838824"/>
                </a:cubicBezTo>
                <a:cubicBezTo>
                  <a:pt x="7695645" y="3855199"/>
                  <a:pt x="7681228" y="3868477"/>
                  <a:pt x="7663441" y="3868477"/>
                </a:cubicBezTo>
                <a:close/>
                <a:moveTo>
                  <a:pt x="7741974" y="3868477"/>
                </a:moveTo>
                <a:cubicBezTo>
                  <a:pt x="7724187" y="3868477"/>
                  <a:pt x="7709758" y="3855199"/>
                  <a:pt x="7709758" y="3838824"/>
                </a:cubicBezTo>
                <a:cubicBezTo>
                  <a:pt x="7709758" y="3822450"/>
                  <a:pt x="7724187" y="3809172"/>
                  <a:pt x="7741974" y="3809172"/>
                </a:cubicBezTo>
                <a:cubicBezTo>
                  <a:pt x="7759761" y="3809172"/>
                  <a:pt x="7774178" y="3822450"/>
                  <a:pt x="7774178" y="3838824"/>
                </a:cubicBezTo>
                <a:cubicBezTo>
                  <a:pt x="7774178" y="3855199"/>
                  <a:pt x="7759761" y="3868477"/>
                  <a:pt x="7741974" y="3868477"/>
                </a:cubicBezTo>
                <a:close/>
                <a:moveTo>
                  <a:pt x="7820508" y="3868477"/>
                </a:moveTo>
                <a:cubicBezTo>
                  <a:pt x="7802721" y="3868477"/>
                  <a:pt x="7788292" y="3855199"/>
                  <a:pt x="7788292" y="3838824"/>
                </a:cubicBezTo>
                <a:cubicBezTo>
                  <a:pt x="7788292" y="3822450"/>
                  <a:pt x="7802721" y="3809172"/>
                  <a:pt x="7820508" y="3809172"/>
                </a:cubicBezTo>
                <a:cubicBezTo>
                  <a:pt x="7838295" y="3809172"/>
                  <a:pt x="7852712" y="3822450"/>
                  <a:pt x="7852712" y="3838824"/>
                </a:cubicBezTo>
                <a:cubicBezTo>
                  <a:pt x="7852712" y="3855199"/>
                  <a:pt x="7838295" y="3868477"/>
                  <a:pt x="7820508" y="3868477"/>
                </a:cubicBezTo>
                <a:close/>
                <a:moveTo>
                  <a:pt x="7899042" y="3868477"/>
                </a:moveTo>
                <a:cubicBezTo>
                  <a:pt x="7881255" y="3868477"/>
                  <a:pt x="7866826" y="3855199"/>
                  <a:pt x="7866826" y="3838824"/>
                </a:cubicBezTo>
                <a:cubicBezTo>
                  <a:pt x="7866826" y="3822450"/>
                  <a:pt x="7881255" y="3809172"/>
                  <a:pt x="7899042" y="3809172"/>
                </a:cubicBezTo>
                <a:cubicBezTo>
                  <a:pt x="7916830" y="3809172"/>
                  <a:pt x="7931247" y="3822450"/>
                  <a:pt x="7931247" y="3838824"/>
                </a:cubicBezTo>
                <a:cubicBezTo>
                  <a:pt x="7931247" y="3855199"/>
                  <a:pt x="7916830" y="3868477"/>
                  <a:pt x="7899042" y="3868477"/>
                </a:cubicBezTo>
                <a:close/>
                <a:moveTo>
                  <a:pt x="7977576" y="3868477"/>
                </a:moveTo>
                <a:cubicBezTo>
                  <a:pt x="7959788" y="3868477"/>
                  <a:pt x="7945359" y="3855199"/>
                  <a:pt x="7945359" y="3838824"/>
                </a:cubicBezTo>
                <a:cubicBezTo>
                  <a:pt x="7945359" y="3822450"/>
                  <a:pt x="7959788" y="3809172"/>
                  <a:pt x="7977576" y="3809172"/>
                </a:cubicBezTo>
                <a:cubicBezTo>
                  <a:pt x="7995363" y="3809172"/>
                  <a:pt x="8009780" y="3822450"/>
                  <a:pt x="8009780" y="3838824"/>
                </a:cubicBezTo>
                <a:cubicBezTo>
                  <a:pt x="8009780" y="3855199"/>
                  <a:pt x="7995363" y="3868477"/>
                  <a:pt x="7977576" y="3868477"/>
                </a:cubicBezTo>
                <a:close/>
                <a:moveTo>
                  <a:pt x="8056110" y="3868477"/>
                </a:moveTo>
                <a:cubicBezTo>
                  <a:pt x="8038323" y="3868477"/>
                  <a:pt x="8023894" y="3855199"/>
                  <a:pt x="8023894" y="3838824"/>
                </a:cubicBezTo>
                <a:cubicBezTo>
                  <a:pt x="8023894" y="3822450"/>
                  <a:pt x="8038323" y="3809172"/>
                  <a:pt x="8056110" y="3809172"/>
                </a:cubicBezTo>
                <a:cubicBezTo>
                  <a:pt x="8073897" y="3809172"/>
                  <a:pt x="8088314" y="3822450"/>
                  <a:pt x="8088314" y="3838824"/>
                </a:cubicBezTo>
                <a:cubicBezTo>
                  <a:pt x="8088314" y="3855199"/>
                  <a:pt x="8073897" y="3868477"/>
                  <a:pt x="8056110" y="3868477"/>
                </a:cubicBezTo>
                <a:close/>
                <a:moveTo>
                  <a:pt x="8134643" y="3868477"/>
                </a:moveTo>
                <a:cubicBezTo>
                  <a:pt x="8116856" y="3868477"/>
                  <a:pt x="8102427" y="3855199"/>
                  <a:pt x="8102427" y="3838824"/>
                </a:cubicBezTo>
                <a:cubicBezTo>
                  <a:pt x="8102427" y="3822450"/>
                  <a:pt x="8116856" y="3809172"/>
                  <a:pt x="8134643" y="3809172"/>
                </a:cubicBezTo>
                <a:cubicBezTo>
                  <a:pt x="8152430" y="3809172"/>
                  <a:pt x="8166847" y="3822450"/>
                  <a:pt x="8166847" y="3838824"/>
                </a:cubicBezTo>
                <a:cubicBezTo>
                  <a:pt x="8166847" y="3855199"/>
                  <a:pt x="8152430" y="3868477"/>
                  <a:pt x="8134643" y="3868477"/>
                </a:cubicBezTo>
                <a:close/>
                <a:moveTo>
                  <a:pt x="8213177" y="3868477"/>
                </a:moveTo>
                <a:cubicBezTo>
                  <a:pt x="8195390" y="3868477"/>
                  <a:pt x="8180961" y="3855199"/>
                  <a:pt x="8180961" y="3838824"/>
                </a:cubicBezTo>
                <a:cubicBezTo>
                  <a:pt x="8180961" y="3822450"/>
                  <a:pt x="8195390" y="3809172"/>
                  <a:pt x="8213177" y="3809172"/>
                </a:cubicBezTo>
                <a:cubicBezTo>
                  <a:pt x="8230965" y="3809172"/>
                  <a:pt x="8245382" y="3822450"/>
                  <a:pt x="8245382" y="3838824"/>
                </a:cubicBezTo>
                <a:cubicBezTo>
                  <a:pt x="8245382" y="3855199"/>
                  <a:pt x="8230965" y="3868477"/>
                  <a:pt x="8213177" y="3868477"/>
                </a:cubicBezTo>
                <a:close/>
                <a:moveTo>
                  <a:pt x="8291712" y="3868477"/>
                </a:moveTo>
                <a:cubicBezTo>
                  <a:pt x="8273924" y="3868477"/>
                  <a:pt x="8259495" y="3855199"/>
                  <a:pt x="8259495" y="3838824"/>
                </a:cubicBezTo>
                <a:cubicBezTo>
                  <a:pt x="8259495" y="3822450"/>
                  <a:pt x="8273924" y="3809172"/>
                  <a:pt x="8291712" y="3809172"/>
                </a:cubicBezTo>
                <a:cubicBezTo>
                  <a:pt x="8309499" y="3809172"/>
                  <a:pt x="8323916" y="3822450"/>
                  <a:pt x="8323916" y="3838824"/>
                </a:cubicBezTo>
                <a:cubicBezTo>
                  <a:pt x="8323916" y="3855199"/>
                  <a:pt x="8309499" y="3868477"/>
                  <a:pt x="8291712" y="3868477"/>
                </a:cubicBezTo>
                <a:close/>
                <a:moveTo>
                  <a:pt x="8370245" y="3868477"/>
                </a:moveTo>
                <a:cubicBezTo>
                  <a:pt x="8352458" y="3868477"/>
                  <a:pt x="8338029" y="3855199"/>
                  <a:pt x="8338029" y="3838824"/>
                </a:cubicBezTo>
                <a:cubicBezTo>
                  <a:pt x="8338029" y="3822450"/>
                  <a:pt x="8352458" y="3809172"/>
                  <a:pt x="8370245" y="3809172"/>
                </a:cubicBezTo>
                <a:cubicBezTo>
                  <a:pt x="8388032" y="3809172"/>
                  <a:pt x="8402449" y="3822450"/>
                  <a:pt x="8402449" y="3838824"/>
                </a:cubicBezTo>
                <a:cubicBezTo>
                  <a:pt x="8402449" y="3855199"/>
                  <a:pt x="8388032" y="3868477"/>
                  <a:pt x="8370245" y="3868477"/>
                </a:cubicBezTo>
                <a:close/>
                <a:moveTo>
                  <a:pt x="8448779" y="3868477"/>
                </a:moveTo>
                <a:cubicBezTo>
                  <a:pt x="8430992" y="3868477"/>
                  <a:pt x="8416563" y="3855199"/>
                  <a:pt x="8416563" y="3838824"/>
                </a:cubicBezTo>
                <a:cubicBezTo>
                  <a:pt x="8416563" y="3822450"/>
                  <a:pt x="8430992" y="3809172"/>
                  <a:pt x="8448779" y="3809172"/>
                </a:cubicBezTo>
                <a:cubicBezTo>
                  <a:pt x="8466566" y="3809172"/>
                  <a:pt x="8480983" y="3822450"/>
                  <a:pt x="8480983" y="3838824"/>
                </a:cubicBezTo>
                <a:cubicBezTo>
                  <a:pt x="8480983" y="3855199"/>
                  <a:pt x="8466566" y="3868477"/>
                  <a:pt x="8448779" y="3868477"/>
                </a:cubicBezTo>
                <a:close/>
                <a:moveTo>
                  <a:pt x="8527313" y="3868477"/>
                </a:moveTo>
                <a:cubicBezTo>
                  <a:pt x="8509526" y="3868477"/>
                  <a:pt x="8495097" y="3855199"/>
                  <a:pt x="8495097" y="3838824"/>
                </a:cubicBezTo>
                <a:cubicBezTo>
                  <a:pt x="8495097" y="3822450"/>
                  <a:pt x="8509526" y="3809172"/>
                  <a:pt x="8527313" y="3809172"/>
                </a:cubicBezTo>
                <a:cubicBezTo>
                  <a:pt x="8545101" y="3809172"/>
                  <a:pt x="8559518" y="3822450"/>
                  <a:pt x="8559518" y="3838824"/>
                </a:cubicBezTo>
                <a:cubicBezTo>
                  <a:pt x="8559518" y="3855199"/>
                  <a:pt x="8545101" y="3868477"/>
                  <a:pt x="8527313" y="3868477"/>
                </a:cubicBezTo>
                <a:close/>
                <a:moveTo>
                  <a:pt x="8605847" y="3868477"/>
                </a:moveTo>
                <a:cubicBezTo>
                  <a:pt x="8588059" y="3868477"/>
                  <a:pt x="8573630" y="3855199"/>
                  <a:pt x="8573630" y="3838824"/>
                </a:cubicBezTo>
                <a:cubicBezTo>
                  <a:pt x="8573630" y="3822450"/>
                  <a:pt x="8588059" y="3809172"/>
                  <a:pt x="8605847" y="3809172"/>
                </a:cubicBezTo>
                <a:cubicBezTo>
                  <a:pt x="8623634" y="3809172"/>
                  <a:pt x="8638051" y="3822450"/>
                  <a:pt x="8638051" y="3838824"/>
                </a:cubicBezTo>
                <a:cubicBezTo>
                  <a:pt x="8638051" y="3855199"/>
                  <a:pt x="8623634" y="3868477"/>
                  <a:pt x="8605847" y="3868477"/>
                </a:cubicBezTo>
                <a:close/>
                <a:moveTo>
                  <a:pt x="8684381" y="3868477"/>
                </a:moveTo>
                <a:cubicBezTo>
                  <a:pt x="8666594" y="3868477"/>
                  <a:pt x="8652165" y="3855199"/>
                  <a:pt x="8652165" y="3838824"/>
                </a:cubicBezTo>
                <a:cubicBezTo>
                  <a:pt x="8652165" y="3822450"/>
                  <a:pt x="8666594" y="3809172"/>
                  <a:pt x="8684381" y="3809172"/>
                </a:cubicBezTo>
                <a:cubicBezTo>
                  <a:pt x="8702168" y="3809172"/>
                  <a:pt x="8716585" y="3822450"/>
                  <a:pt x="8716585" y="3838824"/>
                </a:cubicBezTo>
                <a:cubicBezTo>
                  <a:pt x="8716585" y="3855199"/>
                  <a:pt x="8702168" y="3868477"/>
                  <a:pt x="8684381" y="3868477"/>
                </a:cubicBezTo>
                <a:close/>
                <a:moveTo>
                  <a:pt x="8762914" y="3868477"/>
                </a:moveTo>
                <a:cubicBezTo>
                  <a:pt x="8745127" y="3868477"/>
                  <a:pt x="8730698" y="3855199"/>
                  <a:pt x="8730698" y="3838824"/>
                </a:cubicBezTo>
                <a:cubicBezTo>
                  <a:pt x="8730698" y="3822450"/>
                  <a:pt x="8745127" y="3809172"/>
                  <a:pt x="8762914" y="3809172"/>
                </a:cubicBezTo>
                <a:cubicBezTo>
                  <a:pt x="8780701" y="3809172"/>
                  <a:pt x="8795118" y="3822450"/>
                  <a:pt x="8795118" y="3838824"/>
                </a:cubicBezTo>
                <a:cubicBezTo>
                  <a:pt x="8795118" y="3855199"/>
                  <a:pt x="8780701" y="3868477"/>
                  <a:pt x="8762914" y="3868477"/>
                </a:cubicBezTo>
                <a:close/>
                <a:moveTo>
                  <a:pt x="8841448" y="3868477"/>
                </a:moveTo>
                <a:cubicBezTo>
                  <a:pt x="8823661" y="3868477"/>
                  <a:pt x="8809232" y="3855199"/>
                  <a:pt x="8809232" y="3838824"/>
                </a:cubicBezTo>
                <a:cubicBezTo>
                  <a:pt x="8809232" y="3822450"/>
                  <a:pt x="8823661" y="3809172"/>
                  <a:pt x="8841448" y="3809172"/>
                </a:cubicBezTo>
                <a:cubicBezTo>
                  <a:pt x="8859236" y="3809172"/>
                  <a:pt x="8873653" y="3822450"/>
                  <a:pt x="8873653" y="3838824"/>
                </a:cubicBezTo>
                <a:cubicBezTo>
                  <a:pt x="8873653" y="3855199"/>
                  <a:pt x="8859236" y="3868477"/>
                  <a:pt x="8841448" y="3868477"/>
                </a:cubicBezTo>
                <a:close/>
                <a:moveTo>
                  <a:pt x="8919983" y="3868477"/>
                </a:moveTo>
                <a:cubicBezTo>
                  <a:pt x="8902195" y="3868477"/>
                  <a:pt x="8887766" y="3855199"/>
                  <a:pt x="8887766" y="3838824"/>
                </a:cubicBezTo>
                <a:cubicBezTo>
                  <a:pt x="8887766" y="3822450"/>
                  <a:pt x="8902195" y="3809172"/>
                  <a:pt x="8919983" y="3809172"/>
                </a:cubicBezTo>
                <a:cubicBezTo>
                  <a:pt x="8937770" y="3809172"/>
                  <a:pt x="8952187" y="3822450"/>
                  <a:pt x="8952187" y="3838824"/>
                </a:cubicBezTo>
                <a:cubicBezTo>
                  <a:pt x="8952187" y="3855199"/>
                  <a:pt x="8937770" y="3868477"/>
                  <a:pt x="8919983" y="3868477"/>
                </a:cubicBezTo>
                <a:close/>
                <a:moveTo>
                  <a:pt x="8998516" y="3868477"/>
                </a:moveTo>
                <a:cubicBezTo>
                  <a:pt x="8980729" y="3868477"/>
                  <a:pt x="8966300" y="3855199"/>
                  <a:pt x="8966300" y="3838824"/>
                </a:cubicBezTo>
                <a:cubicBezTo>
                  <a:pt x="8966300" y="3822450"/>
                  <a:pt x="8980729" y="3809172"/>
                  <a:pt x="8998516" y="3809172"/>
                </a:cubicBezTo>
                <a:cubicBezTo>
                  <a:pt x="9016303" y="3809172"/>
                  <a:pt x="9030720" y="3822450"/>
                  <a:pt x="9030720" y="3838824"/>
                </a:cubicBezTo>
                <a:cubicBezTo>
                  <a:pt x="9030720" y="3855199"/>
                  <a:pt x="9016303" y="3868477"/>
                  <a:pt x="8998516" y="3868477"/>
                </a:cubicBezTo>
                <a:close/>
                <a:moveTo>
                  <a:pt x="9077050" y="3868477"/>
                </a:moveTo>
                <a:cubicBezTo>
                  <a:pt x="9059263" y="3868477"/>
                  <a:pt x="9044834" y="3855199"/>
                  <a:pt x="9044834" y="3838824"/>
                </a:cubicBezTo>
                <a:cubicBezTo>
                  <a:pt x="9044834" y="3822450"/>
                  <a:pt x="9059263" y="3809172"/>
                  <a:pt x="9077050" y="3809172"/>
                </a:cubicBezTo>
                <a:cubicBezTo>
                  <a:pt x="9094837" y="3809172"/>
                  <a:pt x="9109254" y="3822450"/>
                  <a:pt x="9109254" y="3838824"/>
                </a:cubicBezTo>
                <a:cubicBezTo>
                  <a:pt x="9109254" y="3855199"/>
                  <a:pt x="9094837" y="3868477"/>
                  <a:pt x="9077050" y="3868477"/>
                </a:cubicBezTo>
                <a:close/>
                <a:moveTo>
                  <a:pt x="9155583" y="3868477"/>
                </a:moveTo>
                <a:cubicBezTo>
                  <a:pt x="9137796" y="3868477"/>
                  <a:pt x="9123367" y="3855199"/>
                  <a:pt x="9123367" y="3838824"/>
                </a:cubicBezTo>
                <a:cubicBezTo>
                  <a:pt x="9123367" y="3822450"/>
                  <a:pt x="9137796" y="3809172"/>
                  <a:pt x="9155583" y="3809172"/>
                </a:cubicBezTo>
                <a:cubicBezTo>
                  <a:pt x="9173371" y="3809172"/>
                  <a:pt x="9187788" y="3822450"/>
                  <a:pt x="9187788" y="3838824"/>
                </a:cubicBezTo>
                <a:cubicBezTo>
                  <a:pt x="9187788" y="3855199"/>
                  <a:pt x="9173371" y="3868477"/>
                  <a:pt x="9155583" y="3868477"/>
                </a:cubicBezTo>
                <a:close/>
                <a:moveTo>
                  <a:pt x="9234118" y="3868477"/>
                </a:moveTo>
                <a:cubicBezTo>
                  <a:pt x="9216330" y="3868477"/>
                  <a:pt x="9201901" y="3855199"/>
                  <a:pt x="9201901" y="3838824"/>
                </a:cubicBezTo>
                <a:cubicBezTo>
                  <a:pt x="9201901" y="3822450"/>
                  <a:pt x="9216330" y="3809172"/>
                  <a:pt x="9234118" y="3809172"/>
                </a:cubicBezTo>
                <a:cubicBezTo>
                  <a:pt x="9251905" y="3809172"/>
                  <a:pt x="9266322" y="3822450"/>
                  <a:pt x="9266322" y="3838824"/>
                </a:cubicBezTo>
                <a:cubicBezTo>
                  <a:pt x="9266322" y="3855199"/>
                  <a:pt x="9251905" y="3868477"/>
                  <a:pt x="9234118" y="3868477"/>
                </a:cubicBezTo>
                <a:close/>
                <a:moveTo>
                  <a:pt x="9469719" y="3868477"/>
                </a:moveTo>
                <a:cubicBezTo>
                  <a:pt x="9451932" y="3868477"/>
                  <a:pt x="9437503" y="3855199"/>
                  <a:pt x="9437503" y="3838824"/>
                </a:cubicBezTo>
                <a:cubicBezTo>
                  <a:pt x="9437503" y="3822450"/>
                  <a:pt x="9451932" y="3809172"/>
                  <a:pt x="9469719" y="3809172"/>
                </a:cubicBezTo>
                <a:cubicBezTo>
                  <a:pt x="9487507" y="3809172"/>
                  <a:pt x="9501924" y="3822450"/>
                  <a:pt x="9501924" y="3838824"/>
                </a:cubicBezTo>
                <a:cubicBezTo>
                  <a:pt x="9501924" y="3855199"/>
                  <a:pt x="9487507" y="3868477"/>
                  <a:pt x="9469719" y="3868477"/>
                </a:cubicBezTo>
                <a:close/>
                <a:moveTo>
                  <a:pt x="9862389" y="3868477"/>
                </a:moveTo>
                <a:cubicBezTo>
                  <a:pt x="9844601" y="3868477"/>
                  <a:pt x="9830172" y="3855199"/>
                  <a:pt x="9830172" y="3838824"/>
                </a:cubicBezTo>
                <a:cubicBezTo>
                  <a:pt x="9830172" y="3822450"/>
                  <a:pt x="9844601" y="3809172"/>
                  <a:pt x="9862389" y="3809172"/>
                </a:cubicBezTo>
                <a:cubicBezTo>
                  <a:pt x="9880176" y="3809172"/>
                  <a:pt x="9894593" y="3822450"/>
                  <a:pt x="9894593" y="3838824"/>
                </a:cubicBezTo>
                <a:cubicBezTo>
                  <a:pt x="9894593" y="3855199"/>
                  <a:pt x="9880176" y="3868477"/>
                  <a:pt x="9862389" y="3868477"/>
                </a:cubicBezTo>
                <a:close/>
                <a:moveTo>
                  <a:pt x="2558715" y="3796211"/>
                </a:moveTo>
                <a:cubicBezTo>
                  <a:pt x="2540928" y="3796211"/>
                  <a:pt x="2526505" y="3782933"/>
                  <a:pt x="2526505" y="3766559"/>
                </a:cubicBezTo>
                <a:cubicBezTo>
                  <a:pt x="2526505" y="3750184"/>
                  <a:pt x="2540928" y="3736907"/>
                  <a:pt x="2558715" y="3736907"/>
                </a:cubicBezTo>
                <a:cubicBezTo>
                  <a:pt x="2576503" y="3736907"/>
                  <a:pt x="2590926" y="3750184"/>
                  <a:pt x="2590926" y="3766559"/>
                </a:cubicBezTo>
                <a:cubicBezTo>
                  <a:pt x="2590926" y="3782933"/>
                  <a:pt x="2576503" y="3796211"/>
                  <a:pt x="2558715" y="3796211"/>
                </a:cubicBezTo>
                <a:close/>
                <a:moveTo>
                  <a:pt x="2637243" y="3796211"/>
                </a:moveTo>
                <a:cubicBezTo>
                  <a:pt x="2619455" y="3796211"/>
                  <a:pt x="2605032" y="3782933"/>
                  <a:pt x="2605032" y="3766559"/>
                </a:cubicBezTo>
                <a:cubicBezTo>
                  <a:pt x="2605032" y="3750184"/>
                  <a:pt x="2619455" y="3736907"/>
                  <a:pt x="2637243" y="3736907"/>
                </a:cubicBezTo>
                <a:cubicBezTo>
                  <a:pt x="2655030" y="3736907"/>
                  <a:pt x="2669453" y="3750184"/>
                  <a:pt x="2669453" y="3766559"/>
                </a:cubicBezTo>
                <a:cubicBezTo>
                  <a:pt x="2669453" y="3782933"/>
                  <a:pt x="2655030" y="3796211"/>
                  <a:pt x="2637243" y="3796211"/>
                </a:cubicBezTo>
                <a:close/>
                <a:moveTo>
                  <a:pt x="2715777" y="3796211"/>
                </a:moveTo>
                <a:cubicBezTo>
                  <a:pt x="2697990" y="3796211"/>
                  <a:pt x="2683566" y="3782933"/>
                  <a:pt x="2683566" y="3766559"/>
                </a:cubicBezTo>
                <a:cubicBezTo>
                  <a:pt x="2683566" y="3750184"/>
                  <a:pt x="2697990" y="3736907"/>
                  <a:pt x="2715777" y="3736907"/>
                </a:cubicBezTo>
                <a:cubicBezTo>
                  <a:pt x="2733564" y="3736907"/>
                  <a:pt x="2747987" y="3750184"/>
                  <a:pt x="2747987" y="3766559"/>
                </a:cubicBezTo>
                <a:cubicBezTo>
                  <a:pt x="2747987" y="3782933"/>
                  <a:pt x="2733564" y="3796211"/>
                  <a:pt x="2715777" y="3796211"/>
                </a:cubicBezTo>
                <a:close/>
                <a:moveTo>
                  <a:pt x="2794310" y="3796211"/>
                </a:moveTo>
                <a:cubicBezTo>
                  <a:pt x="2776523" y="3796211"/>
                  <a:pt x="2762100" y="3782933"/>
                  <a:pt x="2762100" y="3766559"/>
                </a:cubicBezTo>
                <a:cubicBezTo>
                  <a:pt x="2762100" y="3750184"/>
                  <a:pt x="2776523" y="3736907"/>
                  <a:pt x="2794310" y="3736907"/>
                </a:cubicBezTo>
                <a:cubicBezTo>
                  <a:pt x="2812097" y="3736907"/>
                  <a:pt x="2826520" y="3750184"/>
                  <a:pt x="2826520" y="3766559"/>
                </a:cubicBezTo>
                <a:cubicBezTo>
                  <a:pt x="2826520" y="3782933"/>
                  <a:pt x="2812097" y="3796211"/>
                  <a:pt x="2794310" y="3796211"/>
                </a:cubicBezTo>
                <a:close/>
                <a:moveTo>
                  <a:pt x="2872844" y="3796211"/>
                </a:moveTo>
                <a:cubicBezTo>
                  <a:pt x="2855057" y="3796211"/>
                  <a:pt x="2840634" y="3782933"/>
                  <a:pt x="2840634" y="3766559"/>
                </a:cubicBezTo>
                <a:cubicBezTo>
                  <a:pt x="2840634" y="3750184"/>
                  <a:pt x="2855057" y="3736907"/>
                  <a:pt x="2872844" y="3736907"/>
                </a:cubicBezTo>
                <a:cubicBezTo>
                  <a:pt x="2890632" y="3736907"/>
                  <a:pt x="2905055" y="3750184"/>
                  <a:pt x="2905055" y="3766559"/>
                </a:cubicBezTo>
                <a:cubicBezTo>
                  <a:pt x="2905055" y="3782933"/>
                  <a:pt x="2890632" y="3796211"/>
                  <a:pt x="2872844" y="3796211"/>
                </a:cubicBezTo>
                <a:close/>
                <a:moveTo>
                  <a:pt x="2951379" y="3796211"/>
                </a:moveTo>
                <a:cubicBezTo>
                  <a:pt x="2933591" y="3796211"/>
                  <a:pt x="2919168" y="3782933"/>
                  <a:pt x="2919168" y="3766559"/>
                </a:cubicBezTo>
                <a:cubicBezTo>
                  <a:pt x="2919168" y="3750184"/>
                  <a:pt x="2933591" y="3736907"/>
                  <a:pt x="2951379" y="3736907"/>
                </a:cubicBezTo>
                <a:cubicBezTo>
                  <a:pt x="2969166" y="3736907"/>
                  <a:pt x="2983589" y="3750184"/>
                  <a:pt x="2983589" y="3766559"/>
                </a:cubicBezTo>
                <a:cubicBezTo>
                  <a:pt x="2983589" y="3782933"/>
                  <a:pt x="2969166" y="3796211"/>
                  <a:pt x="2951379" y="3796211"/>
                </a:cubicBezTo>
                <a:close/>
                <a:moveTo>
                  <a:pt x="3029912" y="3796211"/>
                </a:moveTo>
                <a:cubicBezTo>
                  <a:pt x="3012125" y="3796211"/>
                  <a:pt x="2997701" y="3782933"/>
                  <a:pt x="2997701" y="3766559"/>
                </a:cubicBezTo>
                <a:cubicBezTo>
                  <a:pt x="2997701" y="3750184"/>
                  <a:pt x="3012125" y="3736907"/>
                  <a:pt x="3029912" y="3736907"/>
                </a:cubicBezTo>
                <a:cubicBezTo>
                  <a:pt x="3047699" y="3736907"/>
                  <a:pt x="3062122" y="3750184"/>
                  <a:pt x="3062122" y="3766559"/>
                </a:cubicBezTo>
                <a:cubicBezTo>
                  <a:pt x="3062122" y="3782933"/>
                  <a:pt x="3047699" y="3796211"/>
                  <a:pt x="3029912" y="3796211"/>
                </a:cubicBezTo>
                <a:close/>
                <a:moveTo>
                  <a:pt x="3108446" y="3796211"/>
                </a:moveTo>
                <a:cubicBezTo>
                  <a:pt x="3090659" y="3796211"/>
                  <a:pt x="3076236" y="3782933"/>
                  <a:pt x="3076236" y="3766559"/>
                </a:cubicBezTo>
                <a:cubicBezTo>
                  <a:pt x="3076236" y="3750184"/>
                  <a:pt x="3090659" y="3736907"/>
                  <a:pt x="3108446" y="3736907"/>
                </a:cubicBezTo>
                <a:cubicBezTo>
                  <a:pt x="3126233" y="3736907"/>
                  <a:pt x="3140656" y="3750184"/>
                  <a:pt x="3140656" y="3766559"/>
                </a:cubicBezTo>
                <a:cubicBezTo>
                  <a:pt x="3140656" y="3782933"/>
                  <a:pt x="3126233" y="3796211"/>
                  <a:pt x="3108446" y="3796211"/>
                </a:cubicBezTo>
                <a:close/>
                <a:moveTo>
                  <a:pt x="3186979" y="3796211"/>
                </a:moveTo>
                <a:cubicBezTo>
                  <a:pt x="3169192" y="3796211"/>
                  <a:pt x="3154769" y="3782933"/>
                  <a:pt x="3154769" y="3766559"/>
                </a:cubicBezTo>
                <a:cubicBezTo>
                  <a:pt x="3154769" y="3750184"/>
                  <a:pt x="3169192" y="3736907"/>
                  <a:pt x="3186979" y="3736907"/>
                </a:cubicBezTo>
                <a:cubicBezTo>
                  <a:pt x="3204767" y="3736907"/>
                  <a:pt x="3219190" y="3750184"/>
                  <a:pt x="3219190" y="3766559"/>
                </a:cubicBezTo>
                <a:cubicBezTo>
                  <a:pt x="3219190" y="3782933"/>
                  <a:pt x="3204767" y="3796211"/>
                  <a:pt x="3186979" y="3796211"/>
                </a:cubicBezTo>
                <a:close/>
                <a:moveTo>
                  <a:pt x="3265514" y="3796211"/>
                </a:moveTo>
                <a:cubicBezTo>
                  <a:pt x="3247726" y="3796211"/>
                  <a:pt x="3233303" y="3782933"/>
                  <a:pt x="3233303" y="3766559"/>
                </a:cubicBezTo>
                <a:cubicBezTo>
                  <a:pt x="3233303" y="3750184"/>
                  <a:pt x="3247726" y="3736907"/>
                  <a:pt x="3265514" y="3736907"/>
                </a:cubicBezTo>
                <a:cubicBezTo>
                  <a:pt x="3283301" y="3736907"/>
                  <a:pt x="3297724" y="3750184"/>
                  <a:pt x="3297724" y="3766559"/>
                </a:cubicBezTo>
                <a:cubicBezTo>
                  <a:pt x="3297724" y="3782933"/>
                  <a:pt x="3283301" y="3796211"/>
                  <a:pt x="3265514" y="3796211"/>
                </a:cubicBezTo>
                <a:close/>
                <a:moveTo>
                  <a:pt x="3344048" y="3796211"/>
                </a:moveTo>
                <a:cubicBezTo>
                  <a:pt x="3326261" y="3796211"/>
                  <a:pt x="3311837" y="3782933"/>
                  <a:pt x="3311837" y="3766559"/>
                </a:cubicBezTo>
                <a:cubicBezTo>
                  <a:pt x="3311837" y="3750184"/>
                  <a:pt x="3326261" y="3736907"/>
                  <a:pt x="3344048" y="3736907"/>
                </a:cubicBezTo>
                <a:cubicBezTo>
                  <a:pt x="3361835" y="3736907"/>
                  <a:pt x="3376258" y="3750184"/>
                  <a:pt x="3376258" y="3766559"/>
                </a:cubicBezTo>
                <a:cubicBezTo>
                  <a:pt x="3376258" y="3782933"/>
                  <a:pt x="3361835" y="3796211"/>
                  <a:pt x="3344048" y="3796211"/>
                </a:cubicBezTo>
                <a:close/>
                <a:moveTo>
                  <a:pt x="3422581" y="3796211"/>
                </a:moveTo>
                <a:cubicBezTo>
                  <a:pt x="3404794" y="3796211"/>
                  <a:pt x="3390371" y="3782933"/>
                  <a:pt x="3390371" y="3766559"/>
                </a:cubicBezTo>
                <a:cubicBezTo>
                  <a:pt x="3390371" y="3750184"/>
                  <a:pt x="3404794" y="3736907"/>
                  <a:pt x="3422581" y="3736907"/>
                </a:cubicBezTo>
                <a:cubicBezTo>
                  <a:pt x="3440368" y="3736907"/>
                  <a:pt x="3454791" y="3750184"/>
                  <a:pt x="3454791" y="3766559"/>
                </a:cubicBezTo>
                <a:cubicBezTo>
                  <a:pt x="3454791" y="3782933"/>
                  <a:pt x="3440368" y="3796211"/>
                  <a:pt x="3422581" y="3796211"/>
                </a:cubicBezTo>
                <a:close/>
                <a:moveTo>
                  <a:pt x="3501115" y="3796211"/>
                </a:moveTo>
                <a:cubicBezTo>
                  <a:pt x="3483328" y="3796211"/>
                  <a:pt x="3468905" y="3782933"/>
                  <a:pt x="3468905" y="3766559"/>
                </a:cubicBezTo>
                <a:cubicBezTo>
                  <a:pt x="3468905" y="3750184"/>
                  <a:pt x="3483328" y="3736907"/>
                  <a:pt x="3501115" y="3736907"/>
                </a:cubicBezTo>
                <a:cubicBezTo>
                  <a:pt x="3518903" y="3736907"/>
                  <a:pt x="3533326" y="3750184"/>
                  <a:pt x="3533326" y="3766559"/>
                </a:cubicBezTo>
                <a:cubicBezTo>
                  <a:pt x="3533326" y="3782933"/>
                  <a:pt x="3518903" y="3796211"/>
                  <a:pt x="3501115" y="3796211"/>
                </a:cubicBezTo>
                <a:close/>
                <a:moveTo>
                  <a:pt x="3579650" y="3796211"/>
                </a:moveTo>
                <a:cubicBezTo>
                  <a:pt x="3561862" y="3796211"/>
                  <a:pt x="3547439" y="3782933"/>
                  <a:pt x="3547439" y="3766559"/>
                </a:cubicBezTo>
                <a:cubicBezTo>
                  <a:pt x="3547439" y="3750184"/>
                  <a:pt x="3561862" y="3736907"/>
                  <a:pt x="3579650" y="3736907"/>
                </a:cubicBezTo>
                <a:cubicBezTo>
                  <a:pt x="3597437" y="3736907"/>
                  <a:pt x="3611860" y="3750184"/>
                  <a:pt x="3611860" y="3766559"/>
                </a:cubicBezTo>
                <a:cubicBezTo>
                  <a:pt x="3611860" y="3782933"/>
                  <a:pt x="3597437" y="3796211"/>
                  <a:pt x="3579650" y="3796211"/>
                </a:cubicBezTo>
                <a:close/>
                <a:moveTo>
                  <a:pt x="3658183" y="3796211"/>
                </a:moveTo>
                <a:cubicBezTo>
                  <a:pt x="3640396" y="3796211"/>
                  <a:pt x="3625972" y="3782933"/>
                  <a:pt x="3625972" y="3766559"/>
                </a:cubicBezTo>
                <a:cubicBezTo>
                  <a:pt x="3625972" y="3750184"/>
                  <a:pt x="3640396" y="3736907"/>
                  <a:pt x="3658183" y="3736907"/>
                </a:cubicBezTo>
                <a:cubicBezTo>
                  <a:pt x="3675970" y="3736907"/>
                  <a:pt x="3690393" y="3750184"/>
                  <a:pt x="3690393" y="3766559"/>
                </a:cubicBezTo>
                <a:cubicBezTo>
                  <a:pt x="3690393" y="3782933"/>
                  <a:pt x="3675970" y="3796211"/>
                  <a:pt x="3658183" y="3796211"/>
                </a:cubicBezTo>
                <a:close/>
                <a:moveTo>
                  <a:pt x="3736717" y="3796211"/>
                </a:moveTo>
                <a:cubicBezTo>
                  <a:pt x="3718930" y="3796211"/>
                  <a:pt x="3704507" y="3782933"/>
                  <a:pt x="3704507" y="3766559"/>
                </a:cubicBezTo>
                <a:cubicBezTo>
                  <a:pt x="3704507" y="3750184"/>
                  <a:pt x="3718930" y="3736907"/>
                  <a:pt x="3736717" y="3736907"/>
                </a:cubicBezTo>
                <a:cubicBezTo>
                  <a:pt x="3754504" y="3736907"/>
                  <a:pt x="3768927" y="3750184"/>
                  <a:pt x="3768927" y="3766559"/>
                </a:cubicBezTo>
                <a:cubicBezTo>
                  <a:pt x="3768927" y="3782933"/>
                  <a:pt x="3754504" y="3796211"/>
                  <a:pt x="3736717" y="3796211"/>
                </a:cubicBezTo>
                <a:close/>
                <a:moveTo>
                  <a:pt x="3815250" y="3796211"/>
                </a:moveTo>
                <a:cubicBezTo>
                  <a:pt x="3797463" y="3796211"/>
                  <a:pt x="3783040" y="3782933"/>
                  <a:pt x="3783040" y="3766559"/>
                </a:cubicBezTo>
                <a:cubicBezTo>
                  <a:pt x="3783040" y="3750184"/>
                  <a:pt x="3797463" y="3736907"/>
                  <a:pt x="3815250" y="3736907"/>
                </a:cubicBezTo>
                <a:cubicBezTo>
                  <a:pt x="3833038" y="3736907"/>
                  <a:pt x="3847461" y="3750184"/>
                  <a:pt x="3847461" y="3766559"/>
                </a:cubicBezTo>
                <a:cubicBezTo>
                  <a:pt x="3847461" y="3782933"/>
                  <a:pt x="3833038" y="3796211"/>
                  <a:pt x="3815250" y="3796211"/>
                </a:cubicBezTo>
                <a:close/>
                <a:moveTo>
                  <a:pt x="3893785" y="3796211"/>
                </a:moveTo>
                <a:cubicBezTo>
                  <a:pt x="3875997" y="3796211"/>
                  <a:pt x="3861574" y="3782933"/>
                  <a:pt x="3861574" y="3766559"/>
                </a:cubicBezTo>
                <a:cubicBezTo>
                  <a:pt x="3861574" y="3750184"/>
                  <a:pt x="3875997" y="3736907"/>
                  <a:pt x="3893785" y="3736907"/>
                </a:cubicBezTo>
                <a:cubicBezTo>
                  <a:pt x="3911572" y="3736907"/>
                  <a:pt x="3925995" y="3750184"/>
                  <a:pt x="3925995" y="3766559"/>
                </a:cubicBezTo>
                <a:cubicBezTo>
                  <a:pt x="3925995" y="3782933"/>
                  <a:pt x="3911572" y="3796211"/>
                  <a:pt x="3893785" y="3796211"/>
                </a:cubicBezTo>
                <a:close/>
                <a:moveTo>
                  <a:pt x="5700069" y="3796211"/>
                </a:moveTo>
                <a:cubicBezTo>
                  <a:pt x="5682282" y="3796211"/>
                  <a:pt x="5667859" y="3782933"/>
                  <a:pt x="5667859" y="3766559"/>
                </a:cubicBezTo>
                <a:cubicBezTo>
                  <a:pt x="5667859" y="3750184"/>
                  <a:pt x="5682282" y="3736907"/>
                  <a:pt x="5700069" y="3736907"/>
                </a:cubicBezTo>
                <a:cubicBezTo>
                  <a:pt x="5717857" y="3736907"/>
                  <a:pt x="5732280" y="3750184"/>
                  <a:pt x="5732280" y="3766559"/>
                </a:cubicBezTo>
                <a:cubicBezTo>
                  <a:pt x="5732280" y="3782933"/>
                  <a:pt x="5717857" y="3796211"/>
                  <a:pt x="5700069" y="3796211"/>
                </a:cubicBezTo>
                <a:close/>
                <a:moveTo>
                  <a:pt x="5778604" y="3796211"/>
                </a:moveTo>
                <a:cubicBezTo>
                  <a:pt x="5760816" y="3796211"/>
                  <a:pt x="5746393" y="3782933"/>
                  <a:pt x="5746393" y="3766559"/>
                </a:cubicBezTo>
                <a:cubicBezTo>
                  <a:pt x="5746393" y="3750184"/>
                  <a:pt x="5760816" y="3736907"/>
                  <a:pt x="5778604" y="3736907"/>
                </a:cubicBezTo>
                <a:cubicBezTo>
                  <a:pt x="5796391" y="3736907"/>
                  <a:pt x="5810814" y="3750184"/>
                  <a:pt x="5810814" y="3766559"/>
                </a:cubicBezTo>
                <a:cubicBezTo>
                  <a:pt x="5810814" y="3782933"/>
                  <a:pt x="5796391" y="3796211"/>
                  <a:pt x="5778604" y="3796211"/>
                </a:cubicBezTo>
                <a:close/>
                <a:moveTo>
                  <a:pt x="5857137" y="3796211"/>
                </a:moveTo>
                <a:cubicBezTo>
                  <a:pt x="5839350" y="3796211"/>
                  <a:pt x="5824927" y="3782933"/>
                  <a:pt x="5824927" y="3766559"/>
                </a:cubicBezTo>
                <a:cubicBezTo>
                  <a:pt x="5824927" y="3750184"/>
                  <a:pt x="5839350" y="3736907"/>
                  <a:pt x="5857137" y="3736907"/>
                </a:cubicBezTo>
                <a:cubicBezTo>
                  <a:pt x="5874924" y="3736907"/>
                  <a:pt x="5889347" y="3750184"/>
                  <a:pt x="5889347" y="3766559"/>
                </a:cubicBezTo>
                <a:cubicBezTo>
                  <a:pt x="5889347" y="3782933"/>
                  <a:pt x="5874924" y="3796211"/>
                  <a:pt x="5857137" y="3796211"/>
                </a:cubicBezTo>
                <a:close/>
                <a:moveTo>
                  <a:pt x="5935671" y="3796211"/>
                </a:moveTo>
                <a:cubicBezTo>
                  <a:pt x="5917884" y="3796211"/>
                  <a:pt x="5903461" y="3782933"/>
                  <a:pt x="5903461" y="3766559"/>
                </a:cubicBezTo>
                <a:cubicBezTo>
                  <a:pt x="5903461" y="3750184"/>
                  <a:pt x="5917884" y="3736907"/>
                  <a:pt x="5935671" y="3736907"/>
                </a:cubicBezTo>
                <a:cubicBezTo>
                  <a:pt x="5953458" y="3736907"/>
                  <a:pt x="5967881" y="3750184"/>
                  <a:pt x="5967881" y="3766559"/>
                </a:cubicBezTo>
                <a:cubicBezTo>
                  <a:pt x="5967881" y="3782933"/>
                  <a:pt x="5953458" y="3796211"/>
                  <a:pt x="5935671" y="3796211"/>
                </a:cubicBezTo>
                <a:close/>
                <a:moveTo>
                  <a:pt x="6171273" y="3796211"/>
                </a:moveTo>
                <a:cubicBezTo>
                  <a:pt x="6153480" y="3796211"/>
                  <a:pt x="6139056" y="3782933"/>
                  <a:pt x="6139056" y="3766559"/>
                </a:cubicBezTo>
                <a:cubicBezTo>
                  <a:pt x="6139056" y="3750184"/>
                  <a:pt x="6153480" y="3736907"/>
                  <a:pt x="6171273" y="3736907"/>
                </a:cubicBezTo>
                <a:cubicBezTo>
                  <a:pt x="6189060" y="3736907"/>
                  <a:pt x="6203477" y="3750184"/>
                  <a:pt x="6203477" y="3766559"/>
                </a:cubicBezTo>
                <a:cubicBezTo>
                  <a:pt x="6203477" y="3782933"/>
                  <a:pt x="6189060" y="3796211"/>
                  <a:pt x="6171273" y="3796211"/>
                </a:cubicBezTo>
                <a:close/>
                <a:moveTo>
                  <a:pt x="6328340" y="3796211"/>
                </a:moveTo>
                <a:cubicBezTo>
                  <a:pt x="6310553" y="3796211"/>
                  <a:pt x="6296124" y="3782933"/>
                  <a:pt x="6296124" y="3766559"/>
                </a:cubicBezTo>
                <a:cubicBezTo>
                  <a:pt x="6296124" y="3750184"/>
                  <a:pt x="6310553" y="3736907"/>
                  <a:pt x="6328340" y="3736907"/>
                </a:cubicBezTo>
                <a:cubicBezTo>
                  <a:pt x="6346128" y="3736907"/>
                  <a:pt x="6360545" y="3750184"/>
                  <a:pt x="6360545" y="3766559"/>
                </a:cubicBezTo>
                <a:cubicBezTo>
                  <a:pt x="6360545" y="3782933"/>
                  <a:pt x="6346128" y="3796211"/>
                  <a:pt x="6328340" y="3796211"/>
                </a:cubicBezTo>
                <a:close/>
                <a:moveTo>
                  <a:pt x="6485408" y="3796211"/>
                </a:moveTo>
                <a:cubicBezTo>
                  <a:pt x="6467621" y="3796211"/>
                  <a:pt x="6453191" y="3782933"/>
                  <a:pt x="6453191" y="3766559"/>
                </a:cubicBezTo>
                <a:cubicBezTo>
                  <a:pt x="6453191" y="3750184"/>
                  <a:pt x="6467621" y="3736907"/>
                  <a:pt x="6485408" y="3736907"/>
                </a:cubicBezTo>
                <a:cubicBezTo>
                  <a:pt x="6503195" y="3736907"/>
                  <a:pt x="6517612" y="3750184"/>
                  <a:pt x="6517612" y="3766559"/>
                </a:cubicBezTo>
                <a:cubicBezTo>
                  <a:pt x="6517612" y="3782933"/>
                  <a:pt x="6503195" y="3796211"/>
                  <a:pt x="6485408" y="3796211"/>
                </a:cubicBezTo>
                <a:close/>
                <a:moveTo>
                  <a:pt x="6642476" y="3796211"/>
                </a:moveTo>
                <a:cubicBezTo>
                  <a:pt x="6624689" y="3796211"/>
                  <a:pt x="6610260" y="3782933"/>
                  <a:pt x="6610260" y="3766559"/>
                </a:cubicBezTo>
                <a:cubicBezTo>
                  <a:pt x="6610260" y="3750184"/>
                  <a:pt x="6624689" y="3736907"/>
                  <a:pt x="6642476" y="3736907"/>
                </a:cubicBezTo>
                <a:cubicBezTo>
                  <a:pt x="6660264" y="3736907"/>
                  <a:pt x="6674681" y="3750184"/>
                  <a:pt x="6674681" y="3766559"/>
                </a:cubicBezTo>
                <a:cubicBezTo>
                  <a:pt x="6674681" y="3782933"/>
                  <a:pt x="6660264" y="3796211"/>
                  <a:pt x="6642476" y="3796211"/>
                </a:cubicBezTo>
                <a:close/>
                <a:moveTo>
                  <a:pt x="6799544" y="3796211"/>
                </a:moveTo>
                <a:cubicBezTo>
                  <a:pt x="6781757" y="3796211"/>
                  <a:pt x="6767327" y="3782933"/>
                  <a:pt x="6767327" y="3766559"/>
                </a:cubicBezTo>
                <a:cubicBezTo>
                  <a:pt x="6767327" y="3750184"/>
                  <a:pt x="6781757" y="3736907"/>
                  <a:pt x="6799544" y="3736907"/>
                </a:cubicBezTo>
                <a:cubicBezTo>
                  <a:pt x="6817331" y="3736907"/>
                  <a:pt x="6831748" y="3750184"/>
                  <a:pt x="6831748" y="3766559"/>
                </a:cubicBezTo>
                <a:cubicBezTo>
                  <a:pt x="6831748" y="3782933"/>
                  <a:pt x="6817331" y="3796211"/>
                  <a:pt x="6799544" y="3796211"/>
                </a:cubicBezTo>
                <a:close/>
                <a:moveTo>
                  <a:pt x="6878077" y="3796211"/>
                </a:moveTo>
                <a:cubicBezTo>
                  <a:pt x="6860290" y="3796211"/>
                  <a:pt x="6845861" y="3782933"/>
                  <a:pt x="6845861" y="3766559"/>
                </a:cubicBezTo>
                <a:cubicBezTo>
                  <a:pt x="6845861" y="3750184"/>
                  <a:pt x="6860290" y="3736907"/>
                  <a:pt x="6878077" y="3736907"/>
                </a:cubicBezTo>
                <a:cubicBezTo>
                  <a:pt x="6895864" y="3736907"/>
                  <a:pt x="6910281" y="3750184"/>
                  <a:pt x="6910281" y="3766559"/>
                </a:cubicBezTo>
                <a:cubicBezTo>
                  <a:pt x="6910281" y="3782933"/>
                  <a:pt x="6895864" y="3796211"/>
                  <a:pt x="6878077" y="3796211"/>
                </a:cubicBezTo>
                <a:close/>
                <a:moveTo>
                  <a:pt x="6956611" y="3796211"/>
                </a:moveTo>
                <a:cubicBezTo>
                  <a:pt x="6938824" y="3796211"/>
                  <a:pt x="6924395" y="3782933"/>
                  <a:pt x="6924395" y="3766559"/>
                </a:cubicBezTo>
                <a:cubicBezTo>
                  <a:pt x="6924395" y="3750184"/>
                  <a:pt x="6938824" y="3736907"/>
                  <a:pt x="6956611" y="3736907"/>
                </a:cubicBezTo>
                <a:cubicBezTo>
                  <a:pt x="6974399" y="3736907"/>
                  <a:pt x="6988816" y="3750184"/>
                  <a:pt x="6988816" y="3766559"/>
                </a:cubicBezTo>
                <a:cubicBezTo>
                  <a:pt x="6988816" y="3782933"/>
                  <a:pt x="6974399" y="3796211"/>
                  <a:pt x="6956611" y="3796211"/>
                </a:cubicBezTo>
                <a:close/>
                <a:moveTo>
                  <a:pt x="7113703" y="3796211"/>
                </a:moveTo>
                <a:cubicBezTo>
                  <a:pt x="7095916" y="3796211"/>
                  <a:pt x="7081487" y="3782933"/>
                  <a:pt x="7081487" y="3766559"/>
                </a:cubicBezTo>
                <a:cubicBezTo>
                  <a:pt x="7081487" y="3750184"/>
                  <a:pt x="7095916" y="3736907"/>
                  <a:pt x="7113703" y="3736907"/>
                </a:cubicBezTo>
                <a:cubicBezTo>
                  <a:pt x="7131490" y="3736907"/>
                  <a:pt x="7145907" y="3750184"/>
                  <a:pt x="7145907" y="3766559"/>
                </a:cubicBezTo>
                <a:cubicBezTo>
                  <a:pt x="7145907" y="3782933"/>
                  <a:pt x="7131490" y="3796211"/>
                  <a:pt x="7113703" y="3796211"/>
                </a:cubicBezTo>
                <a:close/>
                <a:moveTo>
                  <a:pt x="7192237" y="3796211"/>
                </a:moveTo>
                <a:cubicBezTo>
                  <a:pt x="7174450" y="3796211"/>
                  <a:pt x="7160021" y="3782933"/>
                  <a:pt x="7160021" y="3766559"/>
                </a:cubicBezTo>
                <a:cubicBezTo>
                  <a:pt x="7160021" y="3750184"/>
                  <a:pt x="7174450" y="3736907"/>
                  <a:pt x="7192237" y="3736907"/>
                </a:cubicBezTo>
                <a:cubicBezTo>
                  <a:pt x="7210024" y="3736907"/>
                  <a:pt x="7224441" y="3750184"/>
                  <a:pt x="7224441" y="3766559"/>
                </a:cubicBezTo>
                <a:cubicBezTo>
                  <a:pt x="7224441" y="3782933"/>
                  <a:pt x="7210024" y="3796211"/>
                  <a:pt x="7192237" y="3796211"/>
                </a:cubicBezTo>
                <a:close/>
                <a:moveTo>
                  <a:pt x="7270771" y="3796211"/>
                </a:moveTo>
                <a:cubicBezTo>
                  <a:pt x="7252984" y="3796211"/>
                  <a:pt x="7238555" y="3782933"/>
                  <a:pt x="7238555" y="3766559"/>
                </a:cubicBezTo>
                <a:cubicBezTo>
                  <a:pt x="7238555" y="3750184"/>
                  <a:pt x="7252984" y="3736907"/>
                  <a:pt x="7270771" y="3736907"/>
                </a:cubicBezTo>
                <a:cubicBezTo>
                  <a:pt x="7288559" y="3736907"/>
                  <a:pt x="7302976" y="3750184"/>
                  <a:pt x="7302976" y="3766559"/>
                </a:cubicBezTo>
                <a:cubicBezTo>
                  <a:pt x="7302976" y="3782933"/>
                  <a:pt x="7288559" y="3796211"/>
                  <a:pt x="7270771" y="3796211"/>
                </a:cubicBezTo>
                <a:close/>
                <a:moveTo>
                  <a:pt x="7427839" y="3796211"/>
                </a:moveTo>
                <a:cubicBezTo>
                  <a:pt x="7410052" y="3796211"/>
                  <a:pt x="7395623" y="3782933"/>
                  <a:pt x="7395623" y="3766559"/>
                </a:cubicBezTo>
                <a:cubicBezTo>
                  <a:pt x="7395623" y="3750184"/>
                  <a:pt x="7410052" y="3736907"/>
                  <a:pt x="7427839" y="3736907"/>
                </a:cubicBezTo>
                <a:cubicBezTo>
                  <a:pt x="7445626" y="3736907"/>
                  <a:pt x="7460043" y="3750184"/>
                  <a:pt x="7460043" y="3766559"/>
                </a:cubicBezTo>
                <a:cubicBezTo>
                  <a:pt x="7460043" y="3782933"/>
                  <a:pt x="7445626" y="3796211"/>
                  <a:pt x="7427839" y="3796211"/>
                </a:cubicBezTo>
                <a:close/>
                <a:moveTo>
                  <a:pt x="7506373" y="3796211"/>
                </a:moveTo>
                <a:cubicBezTo>
                  <a:pt x="7488586" y="3796211"/>
                  <a:pt x="7474157" y="3782933"/>
                  <a:pt x="7474157" y="3766559"/>
                </a:cubicBezTo>
                <a:cubicBezTo>
                  <a:pt x="7474157" y="3750184"/>
                  <a:pt x="7488586" y="3736907"/>
                  <a:pt x="7506373" y="3736907"/>
                </a:cubicBezTo>
                <a:cubicBezTo>
                  <a:pt x="7524160" y="3736907"/>
                  <a:pt x="7538577" y="3750184"/>
                  <a:pt x="7538577" y="3766559"/>
                </a:cubicBezTo>
                <a:cubicBezTo>
                  <a:pt x="7538577" y="3782933"/>
                  <a:pt x="7524160" y="3796211"/>
                  <a:pt x="7506373" y="3796211"/>
                </a:cubicBezTo>
                <a:close/>
                <a:moveTo>
                  <a:pt x="7584906" y="3796211"/>
                </a:moveTo>
                <a:cubicBezTo>
                  <a:pt x="7567119" y="3796211"/>
                  <a:pt x="7552690" y="3782933"/>
                  <a:pt x="7552690" y="3766559"/>
                </a:cubicBezTo>
                <a:cubicBezTo>
                  <a:pt x="7552690" y="3750184"/>
                  <a:pt x="7567119" y="3736907"/>
                  <a:pt x="7584906" y="3736907"/>
                </a:cubicBezTo>
                <a:cubicBezTo>
                  <a:pt x="7602694" y="3736907"/>
                  <a:pt x="7617111" y="3750184"/>
                  <a:pt x="7617111" y="3766559"/>
                </a:cubicBezTo>
                <a:cubicBezTo>
                  <a:pt x="7617111" y="3782933"/>
                  <a:pt x="7602694" y="3796211"/>
                  <a:pt x="7584906" y="3796211"/>
                </a:cubicBezTo>
                <a:close/>
                <a:moveTo>
                  <a:pt x="7663441" y="3796211"/>
                </a:moveTo>
                <a:cubicBezTo>
                  <a:pt x="7645653" y="3796211"/>
                  <a:pt x="7631224" y="3782933"/>
                  <a:pt x="7631224" y="3766559"/>
                </a:cubicBezTo>
                <a:cubicBezTo>
                  <a:pt x="7631224" y="3750184"/>
                  <a:pt x="7645653" y="3736907"/>
                  <a:pt x="7663441" y="3736907"/>
                </a:cubicBezTo>
                <a:cubicBezTo>
                  <a:pt x="7681228" y="3736907"/>
                  <a:pt x="7695645" y="3750184"/>
                  <a:pt x="7695645" y="3766559"/>
                </a:cubicBezTo>
                <a:cubicBezTo>
                  <a:pt x="7695645" y="3782933"/>
                  <a:pt x="7681228" y="3796211"/>
                  <a:pt x="7663441" y="3796211"/>
                </a:cubicBezTo>
                <a:close/>
                <a:moveTo>
                  <a:pt x="7741974" y="3796211"/>
                </a:moveTo>
                <a:cubicBezTo>
                  <a:pt x="7724187" y="3796211"/>
                  <a:pt x="7709758" y="3782933"/>
                  <a:pt x="7709758" y="3766559"/>
                </a:cubicBezTo>
                <a:cubicBezTo>
                  <a:pt x="7709758" y="3750184"/>
                  <a:pt x="7724187" y="3736907"/>
                  <a:pt x="7741974" y="3736907"/>
                </a:cubicBezTo>
                <a:cubicBezTo>
                  <a:pt x="7759761" y="3736907"/>
                  <a:pt x="7774178" y="3750184"/>
                  <a:pt x="7774178" y="3766559"/>
                </a:cubicBezTo>
                <a:cubicBezTo>
                  <a:pt x="7774178" y="3782933"/>
                  <a:pt x="7759761" y="3796211"/>
                  <a:pt x="7741974" y="3796211"/>
                </a:cubicBezTo>
                <a:close/>
                <a:moveTo>
                  <a:pt x="7820508" y="3796211"/>
                </a:moveTo>
                <a:cubicBezTo>
                  <a:pt x="7802721" y="3796211"/>
                  <a:pt x="7788292" y="3782933"/>
                  <a:pt x="7788292" y="3766559"/>
                </a:cubicBezTo>
                <a:cubicBezTo>
                  <a:pt x="7788292" y="3750184"/>
                  <a:pt x="7802721" y="3736907"/>
                  <a:pt x="7820508" y="3736907"/>
                </a:cubicBezTo>
                <a:cubicBezTo>
                  <a:pt x="7838295" y="3736907"/>
                  <a:pt x="7852712" y="3750184"/>
                  <a:pt x="7852712" y="3766559"/>
                </a:cubicBezTo>
                <a:cubicBezTo>
                  <a:pt x="7852712" y="3782933"/>
                  <a:pt x="7838295" y="3796211"/>
                  <a:pt x="7820508" y="3796211"/>
                </a:cubicBezTo>
                <a:close/>
                <a:moveTo>
                  <a:pt x="7899042" y="3796211"/>
                </a:moveTo>
                <a:cubicBezTo>
                  <a:pt x="7881255" y="3796211"/>
                  <a:pt x="7866826" y="3782933"/>
                  <a:pt x="7866826" y="3766559"/>
                </a:cubicBezTo>
                <a:cubicBezTo>
                  <a:pt x="7866826" y="3750184"/>
                  <a:pt x="7881255" y="3736907"/>
                  <a:pt x="7899042" y="3736907"/>
                </a:cubicBezTo>
                <a:cubicBezTo>
                  <a:pt x="7916830" y="3736907"/>
                  <a:pt x="7931247" y="3750184"/>
                  <a:pt x="7931247" y="3766559"/>
                </a:cubicBezTo>
                <a:cubicBezTo>
                  <a:pt x="7931247" y="3782933"/>
                  <a:pt x="7916830" y="3796211"/>
                  <a:pt x="7899042" y="3796211"/>
                </a:cubicBezTo>
                <a:close/>
                <a:moveTo>
                  <a:pt x="7977576" y="3796211"/>
                </a:moveTo>
                <a:cubicBezTo>
                  <a:pt x="7959788" y="3796211"/>
                  <a:pt x="7945359" y="3782933"/>
                  <a:pt x="7945359" y="3766559"/>
                </a:cubicBezTo>
                <a:cubicBezTo>
                  <a:pt x="7945359" y="3750184"/>
                  <a:pt x="7959788" y="3736907"/>
                  <a:pt x="7977576" y="3736907"/>
                </a:cubicBezTo>
                <a:cubicBezTo>
                  <a:pt x="7995363" y="3736907"/>
                  <a:pt x="8009780" y="3750184"/>
                  <a:pt x="8009780" y="3766559"/>
                </a:cubicBezTo>
                <a:cubicBezTo>
                  <a:pt x="8009780" y="3782933"/>
                  <a:pt x="7995363" y="3796211"/>
                  <a:pt x="7977576" y="3796211"/>
                </a:cubicBezTo>
                <a:close/>
                <a:moveTo>
                  <a:pt x="8056110" y="3796211"/>
                </a:moveTo>
                <a:cubicBezTo>
                  <a:pt x="8038323" y="3796211"/>
                  <a:pt x="8023894" y="3782933"/>
                  <a:pt x="8023894" y="3766559"/>
                </a:cubicBezTo>
                <a:cubicBezTo>
                  <a:pt x="8023894" y="3750184"/>
                  <a:pt x="8038323" y="3736907"/>
                  <a:pt x="8056110" y="3736907"/>
                </a:cubicBezTo>
                <a:cubicBezTo>
                  <a:pt x="8073897" y="3736907"/>
                  <a:pt x="8088314" y="3750184"/>
                  <a:pt x="8088314" y="3766559"/>
                </a:cubicBezTo>
                <a:cubicBezTo>
                  <a:pt x="8088314" y="3782933"/>
                  <a:pt x="8073897" y="3796211"/>
                  <a:pt x="8056110" y="3796211"/>
                </a:cubicBezTo>
                <a:close/>
                <a:moveTo>
                  <a:pt x="8134643" y="3796211"/>
                </a:moveTo>
                <a:cubicBezTo>
                  <a:pt x="8116856" y="3796211"/>
                  <a:pt x="8102427" y="3782933"/>
                  <a:pt x="8102427" y="3766559"/>
                </a:cubicBezTo>
                <a:cubicBezTo>
                  <a:pt x="8102427" y="3750184"/>
                  <a:pt x="8116856" y="3736907"/>
                  <a:pt x="8134643" y="3736907"/>
                </a:cubicBezTo>
                <a:cubicBezTo>
                  <a:pt x="8152430" y="3736907"/>
                  <a:pt x="8166847" y="3750184"/>
                  <a:pt x="8166847" y="3766559"/>
                </a:cubicBezTo>
                <a:cubicBezTo>
                  <a:pt x="8166847" y="3782933"/>
                  <a:pt x="8152430" y="3796211"/>
                  <a:pt x="8134643" y="3796211"/>
                </a:cubicBezTo>
                <a:close/>
                <a:moveTo>
                  <a:pt x="8213177" y="3796211"/>
                </a:moveTo>
                <a:cubicBezTo>
                  <a:pt x="8195390" y="3796211"/>
                  <a:pt x="8180961" y="3782933"/>
                  <a:pt x="8180961" y="3766559"/>
                </a:cubicBezTo>
                <a:cubicBezTo>
                  <a:pt x="8180961" y="3750184"/>
                  <a:pt x="8195390" y="3736907"/>
                  <a:pt x="8213177" y="3736907"/>
                </a:cubicBezTo>
                <a:cubicBezTo>
                  <a:pt x="8230965" y="3736907"/>
                  <a:pt x="8245382" y="3750184"/>
                  <a:pt x="8245382" y="3766559"/>
                </a:cubicBezTo>
                <a:cubicBezTo>
                  <a:pt x="8245382" y="3782933"/>
                  <a:pt x="8230965" y="3796211"/>
                  <a:pt x="8213177" y="3796211"/>
                </a:cubicBezTo>
                <a:close/>
                <a:moveTo>
                  <a:pt x="8291712" y="3796211"/>
                </a:moveTo>
                <a:cubicBezTo>
                  <a:pt x="8273924" y="3796211"/>
                  <a:pt x="8259495" y="3782933"/>
                  <a:pt x="8259495" y="3766559"/>
                </a:cubicBezTo>
                <a:cubicBezTo>
                  <a:pt x="8259495" y="3750184"/>
                  <a:pt x="8273924" y="3736907"/>
                  <a:pt x="8291712" y="3736907"/>
                </a:cubicBezTo>
                <a:cubicBezTo>
                  <a:pt x="8309499" y="3736907"/>
                  <a:pt x="8323916" y="3750184"/>
                  <a:pt x="8323916" y="3766559"/>
                </a:cubicBezTo>
                <a:cubicBezTo>
                  <a:pt x="8323916" y="3782933"/>
                  <a:pt x="8309499" y="3796211"/>
                  <a:pt x="8291712" y="3796211"/>
                </a:cubicBezTo>
                <a:close/>
                <a:moveTo>
                  <a:pt x="8370245" y="3796211"/>
                </a:moveTo>
                <a:cubicBezTo>
                  <a:pt x="8352458" y="3796211"/>
                  <a:pt x="8338029" y="3782933"/>
                  <a:pt x="8338029" y="3766559"/>
                </a:cubicBezTo>
                <a:cubicBezTo>
                  <a:pt x="8338029" y="3750184"/>
                  <a:pt x="8352458" y="3736907"/>
                  <a:pt x="8370245" y="3736907"/>
                </a:cubicBezTo>
                <a:cubicBezTo>
                  <a:pt x="8388032" y="3736907"/>
                  <a:pt x="8402449" y="3750184"/>
                  <a:pt x="8402449" y="3766559"/>
                </a:cubicBezTo>
                <a:cubicBezTo>
                  <a:pt x="8402449" y="3782933"/>
                  <a:pt x="8388032" y="3796211"/>
                  <a:pt x="8370245" y="3796211"/>
                </a:cubicBezTo>
                <a:close/>
                <a:moveTo>
                  <a:pt x="8448779" y="3796211"/>
                </a:moveTo>
                <a:cubicBezTo>
                  <a:pt x="8430992" y="3796211"/>
                  <a:pt x="8416563" y="3782933"/>
                  <a:pt x="8416563" y="3766559"/>
                </a:cubicBezTo>
                <a:cubicBezTo>
                  <a:pt x="8416563" y="3750184"/>
                  <a:pt x="8430992" y="3736907"/>
                  <a:pt x="8448779" y="3736907"/>
                </a:cubicBezTo>
                <a:cubicBezTo>
                  <a:pt x="8466566" y="3736907"/>
                  <a:pt x="8480983" y="3750184"/>
                  <a:pt x="8480983" y="3766559"/>
                </a:cubicBezTo>
                <a:cubicBezTo>
                  <a:pt x="8480983" y="3782933"/>
                  <a:pt x="8466566" y="3796211"/>
                  <a:pt x="8448779" y="3796211"/>
                </a:cubicBezTo>
                <a:close/>
                <a:moveTo>
                  <a:pt x="8527313" y="3796211"/>
                </a:moveTo>
                <a:cubicBezTo>
                  <a:pt x="8509526" y="3796211"/>
                  <a:pt x="8495097" y="3782933"/>
                  <a:pt x="8495097" y="3766559"/>
                </a:cubicBezTo>
                <a:cubicBezTo>
                  <a:pt x="8495097" y="3750184"/>
                  <a:pt x="8509526" y="3736907"/>
                  <a:pt x="8527313" y="3736907"/>
                </a:cubicBezTo>
                <a:cubicBezTo>
                  <a:pt x="8545101" y="3736907"/>
                  <a:pt x="8559518" y="3750184"/>
                  <a:pt x="8559518" y="3766559"/>
                </a:cubicBezTo>
                <a:cubicBezTo>
                  <a:pt x="8559518" y="3782933"/>
                  <a:pt x="8545101" y="3796211"/>
                  <a:pt x="8527313" y="3796211"/>
                </a:cubicBezTo>
                <a:close/>
                <a:moveTo>
                  <a:pt x="8605847" y="3796211"/>
                </a:moveTo>
                <a:cubicBezTo>
                  <a:pt x="8588059" y="3796211"/>
                  <a:pt x="8573630" y="3782933"/>
                  <a:pt x="8573630" y="3766559"/>
                </a:cubicBezTo>
                <a:cubicBezTo>
                  <a:pt x="8573630" y="3750184"/>
                  <a:pt x="8588059" y="3736907"/>
                  <a:pt x="8605847" y="3736907"/>
                </a:cubicBezTo>
                <a:cubicBezTo>
                  <a:pt x="8623634" y="3736907"/>
                  <a:pt x="8638051" y="3750184"/>
                  <a:pt x="8638051" y="3766559"/>
                </a:cubicBezTo>
                <a:cubicBezTo>
                  <a:pt x="8638051" y="3782933"/>
                  <a:pt x="8623634" y="3796211"/>
                  <a:pt x="8605847" y="3796211"/>
                </a:cubicBezTo>
                <a:close/>
                <a:moveTo>
                  <a:pt x="8684381" y="3796211"/>
                </a:moveTo>
                <a:cubicBezTo>
                  <a:pt x="8666594" y="3796211"/>
                  <a:pt x="8652165" y="3782933"/>
                  <a:pt x="8652165" y="3766559"/>
                </a:cubicBezTo>
                <a:cubicBezTo>
                  <a:pt x="8652165" y="3750184"/>
                  <a:pt x="8666594" y="3736907"/>
                  <a:pt x="8684381" y="3736907"/>
                </a:cubicBezTo>
                <a:cubicBezTo>
                  <a:pt x="8702168" y="3736907"/>
                  <a:pt x="8716585" y="3750184"/>
                  <a:pt x="8716585" y="3766559"/>
                </a:cubicBezTo>
                <a:cubicBezTo>
                  <a:pt x="8716585" y="3782933"/>
                  <a:pt x="8702168" y="3796211"/>
                  <a:pt x="8684381" y="3796211"/>
                </a:cubicBezTo>
                <a:close/>
                <a:moveTo>
                  <a:pt x="8762914" y="3796211"/>
                </a:moveTo>
                <a:cubicBezTo>
                  <a:pt x="8745127" y="3796211"/>
                  <a:pt x="8730698" y="3782933"/>
                  <a:pt x="8730698" y="3766559"/>
                </a:cubicBezTo>
                <a:cubicBezTo>
                  <a:pt x="8730698" y="3750184"/>
                  <a:pt x="8745127" y="3736907"/>
                  <a:pt x="8762914" y="3736907"/>
                </a:cubicBezTo>
                <a:cubicBezTo>
                  <a:pt x="8780701" y="3736907"/>
                  <a:pt x="8795118" y="3750184"/>
                  <a:pt x="8795118" y="3766559"/>
                </a:cubicBezTo>
                <a:cubicBezTo>
                  <a:pt x="8795118" y="3782933"/>
                  <a:pt x="8780701" y="3796211"/>
                  <a:pt x="8762914" y="3796211"/>
                </a:cubicBezTo>
                <a:close/>
                <a:moveTo>
                  <a:pt x="8841448" y="3796211"/>
                </a:moveTo>
                <a:cubicBezTo>
                  <a:pt x="8823661" y="3796211"/>
                  <a:pt x="8809232" y="3782933"/>
                  <a:pt x="8809232" y="3766559"/>
                </a:cubicBezTo>
                <a:cubicBezTo>
                  <a:pt x="8809232" y="3750184"/>
                  <a:pt x="8823661" y="3736907"/>
                  <a:pt x="8841448" y="3736907"/>
                </a:cubicBezTo>
                <a:cubicBezTo>
                  <a:pt x="8859236" y="3736907"/>
                  <a:pt x="8873653" y="3750184"/>
                  <a:pt x="8873653" y="3766559"/>
                </a:cubicBezTo>
                <a:cubicBezTo>
                  <a:pt x="8873653" y="3782933"/>
                  <a:pt x="8859236" y="3796211"/>
                  <a:pt x="8841448" y="3796211"/>
                </a:cubicBezTo>
                <a:close/>
                <a:moveTo>
                  <a:pt x="8919983" y="3796211"/>
                </a:moveTo>
                <a:cubicBezTo>
                  <a:pt x="8902195" y="3796211"/>
                  <a:pt x="8887766" y="3782933"/>
                  <a:pt x="8887766" y="3766559"/>
                </a:cubicBezTo>
                <a:cubicBezTo>
                  <a:pt x="8887766" y="3750184"/>
                  <a:pt x="8902195" y="3736907"/>
                  <a:pt x="8919983" y="3736907"/>
                </a:cubicBezTo>
                <a:cubicBezTo>
                  <a:pt x="8937770" y="3736907"/>
                  <a:pt x="8952187" y="3750184"/>
                  <a:pt x="8952187" y="3766559"/>
                </a:cubicBezTo>
                <a:cubicBezTo>
                  <a:pt x="8952187" y="3782933"/>
                  <a:pt x="8937770" y="3796211"/>
                  <a:pt x="8919983" y="3796211"/>
                </a:cubicBezTo>
                <a:close/>
                <a:moveTo>
                  <a:pt x="8998516" y="3796211"/>
                </a:moveTo>
                <a:cubicBezTo>
                  <a:pt x="8980729" y="3796211"/>
                  <a:pt x="8966300" y="3782933"/>
                  <a:pt x="8966300" y="3766559"/>
                </a:cubicBezTo>
                <a:cubicBezTo>
                  <a:pt x="8966300" y="3750184"/>
                  <a:pt x="8980729" y="3736907"/>
                  <a:pt x="8998516" y="3736907"/>
                </a:cubicBezTo>
                <a:cubicBezTo>
                  <a:pt x="9016303" y="3736907"/>
                  <a:pt x="9030720" y="3750184"/>
                  <a:pt x="9030720" y="3766559"/>
                </a:cubicBezTo>
                <a:cubicBezTo>
                  <a:pt x="9030720" y="3782933"/>
                  <a:pt x="9016303" y="3796211"/>
                  <a:pt x="8998516" y="3796211"/>
                </a:cubicBezTo>
                <a:close/>
                <a:moveTo>
                  <a:pt x="9077050" y="3796211"/>
                </a:moveTo>
                <a:cubicBezTo>
                  <a:pt x="9059263" y="3796211"/>
                  <a:pt x="9044834" y="3782933"/>
                  <a:pt x="9044834" y="3766559"/>
                </a:cubicBezTo>
                <a:cubicBezTo>
                  <a:pt x="9044834" y="3750184"/>
                  <a:pt x="9059263" y="3736907"/>
                  <a:pt x="9077050" y="3736907"/>
                </a:cubicBezTo>
                <a:cubicBezTo>
                  <a:pt x="9094837" y="3736907"/>
                  <a:pt x="9109254" y="3750184"/>
                  <a:pt x="9109254" y="3766559"/>
                </a:cubicBezTo>
                <a:cubicBezTo>
                  <a:pt x="9109254" y="3782933"/>
                  <a:pt x="9094837" y="3796211"/>
                  <a:pt x="9077050" y="3796211"/>
                </a:cubicBezTo>
                <a:close/>
                <a:moveTo>
                  <a:pt x="9155583" y="3796211"/>
                </a:moveTo>
                <a:cubicBezTo>
                  <a:pt x="9137796" y="3796211"/>
                  <a:pt x="9123367" y="3782933"/>
                  <a:pt x="9123367" y="3766559"/>
                </a:cubicBezTo>
                <a:cubicBezTo>
                  <a:pt x="9123367" y="3750184"/>
                  <a:pt x="9137796" y="3736907"/>
                  <a:pt x="9155583" y="3736907"/>
                </a:cubicBezTo>
                <a:cubicBezTo>
                  <a:pt x="9173371" y="3736907"/>
                  <a:pt x="9187788" y="3750184"/>
                  <a:pt x="9187788" y="3766559"/>
                </a:cubicBezTo>
                <a:cubicBezTo>
                  <a:pt x="9187788" y="3782933"/>
                  <a:pt x="9173371" y="3796211"/>
                  <a:pt x="9155583" y="3796211"/>
                </a:cubicBezTo>
                <a:close/>
                <a:moveTo>
                  <a:pt x="9548254" y="3796211"/>
                </a:moveTo>
                <a:cubicBezTo>
                  <a:pt x="9530466" y="3796211"/>
                  <a:pt x="9516037" y="3782933"/>
                  <a:pt x="9516037" y="3766559"/>
                </a:cubicBezTo>
                <a:cubicBezTo>
                  <a:pt x="9516037" y="3750184"/>
                  <a:pt x="9530466" y="3736907"/>
                  <a:pt x="9548254" y="3736907"/>
                </a:cubicBezTo>
                <a:cubicBezTo>
                  <a:pt x="9566041" y="3736907"/>
                  <a:pt x="9580458" y="3750184"/>
                  <a:pt x="9580458" y="3766559"/>
                </a:cubicBezTo>
                <a:cubicBezTo>
                  <a:pt x="9580458" y="3782933"/>
                  <a:pt x="9566041" y="3796211"/>
                  <a:pt x="9548254" y="3796211"/>
                </a:cubicBezTo>
                <a:close/>
                <a:moveTo>
                  <a:pt x="9862389" y="3796211"/>
                </a:moveTo>
                <a:cubicBezTo>
                  <a:pt x="9844601" y="3796211"/>
                  <a:pt x="9830172" y="3782933"/>
                  <a:pt x="9830172" y="3766559"/>
                </a:cubicBezTo>
                <a:cubicBezTo>
                  <a:pt x="9830172" y="3750184"/>
                  <a:pt x="9844601" y="3736907"/>
                  <a:pt x="9862389" y="3736907"/>
                </a:cubicBezTo>
                <a:cubicBezTo>
                  <a:pt x="9880176" y="3736907"/>
                  <a:pt x="9894593" y="3750184"/>
                  <a:pt x="9894593" y="3766559"/>
                </a:cubicBezTo>
                <a:cubicBezTo>
                  <a:pt x="9894593" y="3782933"/>
                  <a:pt x="9880176" y="3796211"/>
                  <a:pt x="9862389" y="3796211"/>
                </a:cubicBezTo>
                <a:close/>
                <a:moveTo>
                  <a:pt x="2558715" y="3723945"/>
                </a:moveTo>
                <a:cubicBezTo>
                  <a:pt x="2540928" y="3723945"/>
                  <a:pt x="2526505" y="3710668"/>
                  <a:pt x="2526505" y="3694293"/>
                </a:cubicBezTo>
                <a:cubicBezTo>
                  <a:pt x="2526505" y="3677918"/>
                  <a:pt x="2540928" y="3664641"/>
                  <a:pt x="2558715" y="3664641"/>
                </a:cubicBezTo>
                <a:cubicBezTo>
                  <a:pt x="2576503" y="3664641"/>
                  <a:pt x="2590926" y="3677918"/>
                  <a:pt x="2590926" y="3694293"/>
                </a:cubicBezTo>
                <a:cubicBezTo>
                  <a:pt x="2590926" y="3710668"/>
                  <a:pt x="2576503" y="3723945"/>
                  <a:pt x="2558715" y="3723945"/>
                </a:cubicBezTo>
                <a:close/>
                <a:moveTo>
                  <a:pt x="2637243" y="3723945"/>
                </a:moveTo>
                <a:cubicBezTo>
                  <a:pt x="2619455" y="3723945"/>
                  <a:pt x="2605032" y="3710668"/>
                  <a:pt x="2605032" y="3694293"/>
                </a:cubicBezTo>
                <a:cubicBezTo>
                  <a:pt x="2605032" y="3677918"/>
                  <a:pt x="2619455" y="3664641"/>
                  <a:pt x="2637243" y="3664641"/>
                </a:cubicBezTo>
                <a:cubicBezTo>
                  <a:pt x="2655030" y="3664641"/>
                  <a:pt x="2669453" y="3677918"/>
                  <a:pt x="2669453" y="3694293"/>
                </a:cubicBezTo>
                <a:cubicBezTo>
                  <a:pt x="2669453" y="3710668"/>
                  <a:pt x="2655030" y="3723945"/>
                  <a:pt x="2637243" y="3723945"/>
                </a:cubicBezTo>
                <a:close/>
                <a:moveTo>
                  <a:pt x="2715777" y="3723945"/>
                </a:moveTo>
                <a:cubicBezTo>
                  <a:pt x="2697990" y="3723945"/>
                  <a:pt x="2683566" y="3710668"/>
                  <a:pt x="2683566" y="3694293"/>
                </a:cubicBezTo>
                <a:cubicBezTo>
                  <a:pt x="2683566" y="3677918"/>
                  <a:pt x="2697990" y="3664641"/>
                  <a:pt x="2715777" y="3664641"/>
                </a:cubicBezTo>
                <a:cubicBezTo>
                  <a:pt x="2733564" y="3664641"/>
                  <a:pt x="2747987" y="3677918"/>
                  <a:pt x="2747987" y="3694293"/>
                </a:cubicBezTo>
                <a:cubicBezTo>
                  <a:pt x="2747987" y="3710668"/>
                  <a:pt x="2733564" y="3723945"/>
                  <a:pt x="2715777" y="3723945"/>
                </a:cubicBezTo>
                <a:close/>
                <a:moveTo>
                  <a:pt x="2794310" y="3723945"/>
                </a:moveTo>
                <a:cubicBezTo>
                  <a:pt x="2776523" y="3723945"/>
                  <a:pt x="2762100" y="3710668"/>
                  <a:pt x="2762100" y="3694293"/>
                </a:cubicBezTo>
                <a:cubicBezTo>
                  <a:pt x="2762100" y="3677918"/>
                  <a:pt x="2776523" y="3664641"/>
                  <a:pt x="2794310" y="3664641"/>
                </a:cubicBezTo>
                <a:cubicBezTo>
                  <a:pt x="2812097" y="3664641"/>
                  <a:pt x="2826520" y="3677918"/>
                  <a:pt x="2826520" y="3694293"/>
                </a:cubicBezTo>
                <a:cubicBezTo>
                  <a:pt x="2826520" y="3710668"/>
                  <a:pt x="2812097" y="3723945"/>
                  <a:pt x="2794310" y="3723945"/>
                </a:cubicBezTo>
                <a:close/>
                <a:moveTo>
                  <a:pt x="2872844" y="3723945"/>
                </a:moveTo>
                <a:cubicBezTo>
                  <a:pt x="2855057" y="3723945"/>
                  <a:pt x="2840634" y="3710668"/>
                  <a:pt x="2840634" y="3694293"/>
                </a:cubicBezTo>
                <a:cubicBezTo>
                  <a:pt x="2840634" y="3677918"/>
                  <a:pt x="2855057" y="3664641"/>
                  <a:pt x="2872844" y="3664641"/>
                </a:cubicBezTo>
                <a:cubicBezTo>
                  <a:pt x="2890632" y="3664641"/>
                  <a:pt x="2905055" y="3677918"/>
                  <a:pt x="2905055" y="3694293"/>
                </a:cubicBezTo>
                <a:cubicBezTo>
                  <a:pt x="2905055" y="3710668"/>
                  <a:pt x="2890632" y="3723945"/>
                  <a:pt x="2872844" y="3723945"/>
                </a:cubicBezTo>
                <a:close/>
                <a:moveTo>
                  <a:pt x="2951379" y="3723945"/>
                </a:moveTo>
                <a:cubicBezTo>
                  <a:pt x="2933591" y="3723945"/>
                  <a:pt x="2919168" y="3710668"/>
                  <a:pt x="2919168" y="3694293"/>
                </a:cubicBezTo>
                <a:cubicBezTo>
                  <a:pt x="2919168" y="3677918"/>
                  <a:pt x="2933591" y="3664641"/>
                  <a:pt x="2951379" y="3664641"/>
                </a:cubicBezTo>
                <a:cubicBezTo>
                  <a:pt x="2969166" y="3664641"/>
                  <a:pt x="2983589" y="3677918"/>
                  <a:pt x="2983589" y="3694293"/>
                </a:cubicBezTo>
                <a:cubicBezTo>
                  <a:pt x="2983589" y="3710668"/>
                  <a:pt x="2969166" y="3723945"/>
                  <a:pt x="2951379" y="3723945"/>
                </a:cubicBezTo>
                <a:close/>
                <a:moveTo>
                  <a:pt x="3029912" y="3723945"/>
                </a:moveTo>
                <a:cubicBezTo>
                  <a:pt x="3012125" y="3723945"/>
                  <a:pt x="2997701" y="3710668"/>
                  <a:pt x="2997701" y="3694293"/>
                </a:cubicBezTo>
                <a:cubicBezTo>
                  <a:pt x="2997701" y="3677918"/>
                  <a:pt x="3012125" y="3664641"/>
                  <a:pt x="3029912" y="3664641"/>
                </a:cubicBezTo>
                <a:cubicBezTo>
                  <a:pt x="3047699" y="3664641"/>
                  <a:pt x="3062122" y="3677918"/>
                  <a:pt x="3062122" y="3694293"/>
                </a:cubicBezTo>
                <a:cubicBezTo>
                  <a:pt x="3062122" y="3710668"/>
                  <a:pt x="3047699" y="3723945"/>
                  <a:pt x="3029912" y="3723945"/>
                </a:cubicBezTo>
                <a:close/>
                <a:moveTo>
                  <a:pt x="3108446" y="3723945"/>
                </a:moveTo>
                <a:cubicBezTo>
                  <a:pt x="3090659" y="3723945"/>
                  <a:pt x="3076236" y="3710668"/>
                  <a:pt x="3076236" y="3694293"/>
                </a:cubicBezTo>
                <a:cubicBezTo>
                  <a:pt x="3076236" y="3677918"/>
                  <a:pt x="3090659" y="3664641"/>
                  <a:pt x="3108446" y="3664641"/>
                </a:cubicBezTo>
                <a:cubicBezTo>
                  <a:pt x="3126233" y="3664641"/>
                  <a:pt x="3140656" y="3677918"/>
                  <a:pt x="3140656" y="3694293"/>
                </a:cubicBezTo>
                <a:cubicBezTo>
                  <a:pt x="3140656" y="3710668"/>
                  <a:pt x="3126233" y="3723945"/>
                  <a:pt x="3108446" y="3723945"/>
                </a:cubicBezTo>
                <a:close/>
                <a:moveTo>
                  <a:pt x="3186979" y="3723945"/>
                </a:moveTo>
                <a:cubicBezTo>
                  <a:pt x="3169192" y="3723945"/>
                  <a:pt x="3154769" y="3710668"/>
                  <a:pt x="3154769" y="3694293"/>
                </a:cubicBezTo>
                <a:cubicBezTo>
                  <a:pt x="3154769" y="3677918"/>
                  <a:pt x="3169192" y="3664641"/>
                  <a:pt x="3186979" y="3664641"/>
                </a:cubicBezTo>
                <a:cubicBezTo>
                  <a:pt x="3204767" y="3664641"/>
                  <a:pt x="3219190" y="3677918"/>
                  <a:pt x="3219190" y="3694293"/>
                </a:cubicBezTo>
                <a:cubicBezTo>
                  <a:pt x="3219190" y="3710668"/>
                  <a:pt x="3204767" y="3723945"/>
                  <a:pt x="3186979" y="3723945"/>
                </a:cubicBezTo>
                <a:close/>
                <a:moveTo>
                  <a:pt x="3265514" y="3723945"/>
                </a:moveTo>
                <a:cubicBezTo>
                  <a:pt x="3247726" y="3723945"/>
                  <a:pt x="3233303" y="3710668"/>
                  <a:pt x="3233303" y="3694293"/>
                </a:cubicBezTo>
                <a:cubicBezTo>
                  <a:pt x="3233303" y="3677918"/>
                  <a:pt x="3247726" y="3664641"/>
                  <a:pt x="3265514" y="3664641"/>
                </a:cubicBezTo>
                <a:cubicBezTo>
                  <a:pt x="3283301" y="3664641"/>
                  <a:pt x="3297724" y="3677918"/>
                  <a:pt x="3297724" y="3694293"/>
                </a:cubicBezTo>
                <a:cubicBezTo>
                  <a:pt x="3297724" y="3710668"/>
                  <a:pt x="3283301" y="3723945"/>
                  <a:pt x="3265514" y="3723945"/>
                </a:cubicBezTo>
                <a:close/>
                <a:moveTo>
                  <a:pt x="3344048" y="3723945"/>
                </a:moveTo>
                <a:cubicBezTo>
                  <a:pt x="3326261" y="3723945"/>
                  <a:pt x="3311837" y="3710668"/>
                  <a:pt x="3311837" y="3694293"/>
                </a:cubicBezTo>
                <a:cubicBezTo>
                  <a:pt x="3311837" y="3677918"/>
                  <a:pt x="3326261" y="3664641"/>
                  <a:pt x="3344048" y="3664641"/>
                </a:cubicBezTo>
                <a:cubicBezTo>
                  <a:pt x="3361835" y="3664641"/>
                  <a:pt x="3376258" y="3677918"/>
                  <a:pt x="3376258" y="3694293"/>
                </a:cubicBezTo>
                <a:cubicBezTo>
                  <a:pt x="3376258" y="3710668"/>
                  <a:pt x="3361835" y="3723945"/>
                  <a:pt x="3344048" y="3723945"/>
                </a:cubicBezTo>
                <a:close/>
                <a:moveTo>
                  <a:pt x="3422581" y="3723945"/>
                </a:moveTo>
                <a:cubicBezTo>
                  <a:pt x="3404794" y="3723945"/>
                  <a:pt x="3390371" y="3710668"/>
                  <a:pt x="3390371" y="3694293"/>
                </a:cubicBezTo>
                <a:cubicBezTo>
                  <a:pt x="3390371" y="3677918"/>
                  <a:pt x="3404794" y="3664641"/>
                  <a:pt x="3422581" y="3664641"/>
                </a:cubicBezTo>
                <a:cubicBezTo>
                  <a:pt x="3440368" y="3664641"/>
                  <a:pt x="3454791" y="3677918"/>
                  <a:pt x="3454791" y="3694293"/>
                </a:cubicBezTo>
                <a:cubicBezTo>
                  <a:pt x="3454791" y="3710668"/>
                  <a:pt x="3440368" y="3723945"/>
                  <a:pt x="3422581" y="3723945"/>
                </a:cubicBezTo>
                <a:close/>
                <a:moveTo>
                  <a:pt x="3501115" y="3723945"/>
                </a:moveTo>
                <a:cubicBezTo>
                  <a:pt x="3483328" y="3723945"/>
                  <a:pt x="3468905" y="3710668"/>
                  <a:pt x="3468905" y="3694293"/>
                </a:cubicBezTo>
                <a:cubicBezTo>
                  <a:pt x="3468905" y="3677918"/>
                  <a:pt x="3483328" y="3664641"/>
                  <a:pt x="3501115" y="3664641"/>
                </a:cubicBezTo>
                <a:cubicBezTo>
                  <a:pt x="3518903" y="3664641"/>
                  <a:pt x="3533326" y="3677918"/>
                  <a:pt x="3533326" y="3694293"/>
                </a:cubicBezTo>
                <a:cubicBezTo>
                  <a:pt x="3533326" y="3710668"/>
                  <a:pt x="3518903" y="3723945"/>
                  <a:pt x="3501115" y="3723945"/>
                </a:cubicBezTo>
                <a:close/>
                <a:moveTo>
                  <a:pt x="3579650" y="3723945"/>
                </a:moveTo>
                <a:cubicBezTo>
                  <a:pt x="3561862" y="3723945"/>
                  <a:pt x="3547439" y="3710668"/>
                  <a:pt x="3547439" y="3694293"/>
                </a:cubicBezTo>
                <a:cubicBezTo>
                  <a:pt x="3547439" y="3677918"/>
                  <a:pt x="3561862" y="3664641"/>
                  <a:pt x="3579650" y="3664641"/>
                </a:cubicBezTo>
                <a:cubicBezTo>
                  <a:pt x="3597437" y="3664641"/>
                  <a:pt x="3611860" y="3677918"/>
                  <a:pt x="3611860" y="3694293"/>
                </a:cubicBezTo>
                <a:cubicBezTo>
                  <a:pt x="3611860" y="3710668"/>
                  <a:pt x="3597437" y="3723945"/>
                  <a:pt x="3579650" y="3723945"/>
                </a:cubicBezTo>
                <a:close/>
                <a:moveTo>
                  <a:pt x="3658183" y="3723945"/>
                </a:moveTo>
                <a:cubicBezTo>
                  <a:pt x="3640396" y="3723945"/>
                  <a:pt x="3625972" y="3710668"/>
                  <a:pt x="3625972" y="3694293"/>
                </a:cubicBezTo>
                <a:cubicBezTo>
                  <a:pt x="3625972" y="3677918"/>
                  <a:pt x="3640396" y="3664641"/>
                  <a:pt x="3658183" y="3664641"/>
                </a:cubicBezTo>
                <a:cubicBezTo>
                  <a:pt x="3675970" y="3664641"/>
                  <a:pt x="3690393" y="3677918"/>
                  <a:pt x="3690393" y="3694293"/>
                </a:cubicBezTo>
                <a:cubicBezTo>
                  <a:pt x="3690393" y="3710668"/>
                  <a:pt x="3675970" y="3723945"/>
                  <a:pt x="3658183" y="3723945"/>
                </a:cubicBezTo>
                <a:close/>
                <a:moveTo>
                  <a:pt x="3736717" y="3723945"/>
                </a:moveTo>
                <a:cubicBezTo>
                  <a:pt x="3718930" y="3723945"/>
                  <a:pt x="3704507" y="3710668"/>
                  <a:pt x="3704507" y="3694293"/>
                </a:cubicBezTo>
                <a:cubicBezTo>
                  <a:pt x="3704507" y="3677918"/>
                  <a:pt x="3718930" y="3664641"/>
                  <a:pt x="3736717" y="3664641"/>
                </a:cubicBezTo>
                <a:cubicBezTo>
                  <a:pt x="3754504" y="3664641"/>
                  <a:pt x="3768927" y="3677918"/>
                  <a:pt x="3768927" y="3694293"/>
                </a:cubicBezTo>
                <a:cubicBezTo>
                  <a:pt x="3768927" y="3710668"/>
                  <a:pt x="3754504" y="3723945"/>
                  <a:pt x="3736717" y="3723945"/>
                </a:cubicBezTo>
                <a:close/>
                <a:moveTo>
                  <a:pt x="3815250" y="3723945"/>
                </a:moveTo>
                <a:cubicBezTo>
                  <a:pt x="3797463" y="3723945"/>
                  <a:pt x="3783040" y="3710668"/>
                  <a:pt x="3783040" y="3694293"/>
                </a:cubicBezTo>
                <a:cubicBezTo>
                  <a:pt x="3783040" y="3677918"/>
                  <a:pt x="3797463" y="3664641"/>
                  <a:pt x="3815250" y="3664641"/>
                </a:cubicBezTo>
                <a:cubicBezTo>
                  <a:pt x="3833038" y="3664641"/>
                  <a:pt x="3847461" y="3677918"/>
                  <a:pt x="3847461" y="3694293"/>
                </a:cubicBezTo>
                <a:cubicBezTo>
                  <a:pt x="3847461" y="3710668"/>
                  <a:pt x="3833038" y="3723945"/>
                  <a:pt x="3815250" y="3723945"/>
                </a:cubicBezTo>
                <a:close/>
                <a:moveTo>
                  <a:pt x="5700069" y="3723945"/>
                </a:moveTo>
                <a:cubicBezTo>
                  <a:pt x="5682282" y="3723945"/>
                  <a:pt x="5667859" y="3710668"/>
                  <a:pt x="5667859" y="3694293"/>
                </a:cubicBezTo>
                <a:cubicBezTo>
                  <a:pt x="5667859" y="3677918"/>
                  <a:pt x="5682282" y="3664641"/>
                  <a:pt x="5700069" y="3664641"/>
                </a:cubicBezTo>
                <a:cubicBezTo>
                  <a:pt x="5717857" y="3664641"/>
                  <a:pt x="5732280" y="3677918"/>
                  <a:pt x="5732280" y="3694293"/>
                </a:cubicBezTo>
                <a:cubicBezTo>
                  <a:pt x="5732280" y="3710668"/>
                  <a:pt x="5717857" y="3723945"/>
                  <a:pt x="5700069" y="3723945"/>
                </a:cubicBezTo>
                <a:close/>
                <a:moveTo>
                  <a:pt x="5778604" y="3723945"/>
                </a:moveTo>
                <a:cubicBezTo>
                  <a:pt x="5760816" y="3723945"/>
                  <a:pt x="5746393" y="3710668"/>
                  <a:pt x="5746393" y="3694293"/>
                </a:cubicBezTo>
                <a:cubicBezTo>
                  <a:pt x="5746393" y="3677918"/>
                  <a:pt x="5760816" y="3664641"/>
                  <a:pt x="5778604" y="3664641"/>
                </a:cubicBezTo>
                <a:cubicBezTo>
                  <a:pt x="5796391" y="3664641"/>
                  <a:pt x="5810814" y="3677918"/>
                  <a:pt x="5810814" y="3694293"/>
                </a:cubicBezTo>
                <a:cubicBezTo>
                  <a:pt x="5810814" y="3710668"/>
                  <a:pt x="5796391" y="3723945"/>
                  <a:pt x="5778604" y="3723945"/>
                </a:cubicBezTo>
                <a:close/>
                <a:moveTo>
                  <a:pt x="5857137" y="3723945"/>
                </a:moveTo>
                <a:cubicBezTo>
                  <a:pt x="5839350" y="3723945"/>
                  <a:pt x="5824927" y="3710668"/>
                  <a:pt x="5824927" y="3694293"/>
                </a:cubicBezTo>
                <a:cubicBezTo>
                  <a:pt x="5824927" y="3677918"/>
                  <a:pt x="5839350" y="3664641"/>
                  <a:pt x="5857137" y="3664641"/>
                </a:cubicBezTo>
                <a:cubicBezTo>
                  <a:pt x="5874924" y="3664641"/>
                  <a:pt x="5889347" y="3677918"/>
                  <a:pt x="5889347" y="3694293"/>
                </a:cubicBezTo>
                <a:cubicBezTo>
                  <a:pt x="5889347" y="3710668"/>
                  <a:pt x="5874924" y="3723945"/>
                  <a:pt x="5857137" y="3723945"/>
                </a:cubicBezTo>
                <a:close/>
                <a:moveTo>
                  <a:pt x="6406875" y="3723945"/>
                </a:moveTo>
                <a:cubicBezTo>
                  <a:pt x="6389087" y="3723945"/>
                  <a:pt x="6374658" y="3710668"/>
                  <a:pt x="6374658" y="3694293"/>
                </a:cubicBezTo>
                <a:cubicBezTo>
                  <a:pt x="6374658" y="3677918"/>
                  <a:pt x="6389087" y="3664641"/>
                  <a:pt x="6406875" y="3664641"/>
                </a:cubicBezTo>
                <a:cubicBezTo>
                  <a:pt x="6424662" y="3664641"/>
                  <a:pt x="6439079" y="3677918"/>
                  <a:pt x="6439079" y="3694293"/>
                </a:cubicBezTo>
                <a:cubicBezTo>
                  <a:pt x="6439079" y="3710668"/>
                  <a:pt x="6424662" y="3723945"/>
                  <a:pt x="6406875" y="3723945"/>
                </a:cubicBezTo>
                <a:close/>
                <a:moveTo>
                  <a:pt x="6563942" y="3723945"/>
                </a:moveTo>
                <a:cubicBezTo>
                  <a:pt x="6546155" y="3723945"/>
                  <a:pt x="6531726" y="3710668"/>
                  <a:pt x="6531726" y="3694293"/>
                </a:cubicBezTo>
                <a:cubicBezTo>
                  <a:pt x="6531726" y="3677918"/>
                  <a:pt x="6546155" y="3664641"/>
                  <a:pt x="6563942" y="3664641"/>
                </a:cubicBezTo>
                <a:cubicBezTo>
                  <a:pt x="6581729" y="3664641"/>
                  <a:pt x="6596146" y="3677918"/>
                  <a:pt x="6596146" y="3694293"/>
                </a:cubicBezTo>
                <a:cubicBezTo>
                  <a:pt x="6596146" y="3710668"/>
                  <a:pt x="6581729" y="3723945"/>
                  <a:pt x="6563942" y="3723945"/>
                </a:cubicBezTo>
                <a:close/>
                <a:moveTo>
                  <a:pt x="6721010" y="3723945"/>
                </a:moveTo>
                <a:cubicBezTo>
                  <a:pt x="6703222" y="3723945"/>
                  <a:pt x="6688793" y="3710668"/>
                  <a:pt x="6688793" y="3694293"/>
                </a:cubicBezTo>
                <a:cubicBezTo>
                  <a:pt x="6688793" y="3677918"/>
                  <a:pt x="6703222" y="3664641"/>
                  <a:pt x="6721010" y="3664641"/>
                </a:cubicBezTo>
                <a:cubicBezTo>
                  <a:pt x="6738797" y="3664641"/>
                  <a:pt x="6753214" y="3677918"/>
                  <a:pt x="6753214" y="3694293"/>
                </a:cubicBezTo>
                <a:cubicBezTo>
                  <a:pt x="6753214" y="3710668"/>
                  <a:pt x="6738797" y="3723945"/>
                  <a:pt x="6721010" y="3723945"/>
                </a:cubicBezTo>
                <a:close/>
                <a:moveTo>
                  <a:pt x="6799544" y="3723945"/>
                </a:moveTo>
                <a:cubicBezTo>
                  <a:pt x="6781757" y="3723945"/>
                  <a:pt x="6767327" y="3710668"/>
                  <a:pt x="6767327" y="3694293"/>
                </a:cubicBezTo>
                <a:cubicBezTo>
                  <a:pt x="6767327" y="3677918"/>
                  <a:pt x="6781757" y="3664641"/>
                  <a:pt x="6799544" y="3664641"/>
                </a:cubicBezTo>
                <a:cubicBezTo>
                  <a:pt x="6817331" y="3664641"/>
                  <a:pt x="6831748" y="3677918"/>
                  <a:pt x="6831748" y="3694293"/>
                </a:cubicBezTo>
                <a:cubicBezTo>
                  <a:pt x="6831748" y="3710668"/>
                  <a:pt x="6817331" y="3723945"/>
                  <a:pt x="6799544" y="3723945"/>
                </a:cubicBezTo>
                <a:close/>
                <a:moveTo>
                  <a:pt x="6878077" y="3723945"/>
                </a:moveTo>
                <a:cubicBezTo>
                  <a:pt x="6860290" y="3723945"/>
                  <a:pt x="6845861" y="3710668"/>
                  <a:pt x="6845861" y="3694293"/>
                </a:cubicBezTo>
                <a:cubicBezTo>
                  <a:pt x="6845861" y="3677918"/>
                  <a:pt x="6860290" y="3664641"/>
                  <a:pt x="6878077" y="3664641"/>
                </a:cubicBezTo>
                <a:cubicBezTo>
                  <a:pt x="6895864" y="3664641"/>
                  <a:pt x="6910281" y="3677918"/>
                  <a:pt x="6910281" y="3694293"/>
                </a:cubicBezTo>
                <a:cubicBezTo>
                  <a:pt x="6910281" y="3710668"/>
                  <a:pt x="6895864" y="3723945"/>
                  <a:pt x="6878077" y="3723945"/>
                </a:cubicBezTo>
                <a:close/>
                <a:moveTo>
                  <a:pt x="6956611" y="3723945"/>
                </a:moveTo>
                <a:cubicBezTo>
                  <a:pt x="6938824" y="3723945"/>
                  <a:pt x="6924395" y="3710668"/>
                  <a:pt x="6924395" y="3694293"/>
                </a:cubicBezTo>
                <a:cubicBezTo>
                  <a:pt x="6924395" y="3677918"/>
                  <a:pt x="6938824" y="3664641"/>
                  <a:pt x="6956611" y="3664641"/>
                </a:cubicBezTo>
                <a:cubicBezTo>
                  <a:pt x="6974399" y="3664641"/>
                  <a:pt x="6988816" y="3677918"/>
                  <a:pt x="6988816" y="3694293"/>
                </a:cubicBezTo>
                <a:cubicBezTo>
                  <a:pt x="6988816" y="3710668"/>
                  <a:pt x="6974399" y="3723945"/>
                  <a:pt x="6956611" y="3723945"/>
                </a:cubicBezTo>
                <a:close/>
                <a:moveTo>
                  <a:pt x="7035146" y="3723945"/>
                </a:moveTo>
                <a:cubicBezTo>
                  <a:pt x="7017358" y="3723945"/>
                  <a:pt x="7002929" y="3710668"/>
                  <a:pt x="7002929" y="3694293"/>
                </a:cubicBezTo>
                <a:cubicBezTo>
                  <a:pt x="7002929" y="3677918"/>
                  <a:pt x="7017358" y="3664641"/>
                  <a:pt x="7035146" y="3664641"/>
                </a:cubicBezTo>
                <a:cubicBezTo>
                  <a:pt x="7052933" y="3664641"/>
                  <a:pt x="7067350" y="3677918"/>
                  <a:pt x="7067350" y="3694293"/>
                </a:cubicBezTo>
                <a:cubicBezTo>
                  <a:pt x="7067350" y="3710668"/>
                  <a:pt x="7052933" y="3723945"/>
                  <a:pt x="7035146" y="3723945"/>
                </a:cubicBezTo>
                <a:close/>
                <a:moveTo>
                  <a:pt x="7113703" y="3723945"/>
                </a:moveTo>
                <a:cubicBezTo>
                  <a:pt x="7095916" y="3723945"/>
                  <a:pt x="7081487" y="3710668"/>
                  <a:pt x="7081487" y="3694293"/>
                </a:cubicBezTo>
                <a:cubicBezTo>
                  <a:pt x="7081487" y="3677918"/>
                  <a:pt x="7095916" y="3664641"/>
                  <a:pt x="7113703" y="3664641"/>
                </a:cubicBezTo>
                <a:cubicBezTo>
                  <a:pt x="7131490" y="3664641"/>
                  <a:pt x="7145907" y="3677918"/>
                  <a:pt x="7145907" y="3694293"/>
                </a:cubicBezTo>
                <a:cubicBezTo>
                  <a:pt x="7145907" y="3710668"/>
                  <a:pt x="7131490" y="3723945"/>
                  <a:pt x="7113703" y="3723945"/>
                </a:cubicBezTo>
                <a:close/>
                <a:moveTo>
                  <a:pt x="7192237" y="3723945"/>
                </a:moveTo>
                <a:cubicBezTo>
                  <a:pt x="7174450" y="3723945"/>
                  <a:pt x="7160021" y="3710668"/>
                  <a:pt x="7160021" y="3694293"/>
                </a:cubicBezTo>
                <a:cubicBezTo>
                  <a:pt x="7160021" y="3677918"/>
                  <a:pt x="7174450" y="3664641"/>
                  <a:pt x="7192237" y="3664641"/>
                </a:cubicBezTo>
                <a:cubicBezTo>
                  <a:pt x="7210024" y="3664641"/>
                  <a:pt x="7224441" y="3677918"/>
                  <a:pt x="7224441" y="3694293"/>
                </a:cubicBezTo>
                <a:cubicBezTo>
                  <a:pt x="7224441" y="3710668"/>
                  <a:pt x="7210024" y="3723945"/>
                  <a:pt x="7192237" y="3723945"/>
                </a:cubicBezTo>
                <a:close/>
                <a:moveTo>
                  <a:pt x="7506373" y="3723945"/>
                </a:moveTo>
                <a:cubicBezTo>
                  <a:pt x="7488586" y="3723945"/>
                  <a:pt x="7474157" y="3710668"/>
                  <a:pt x="7474157" y="3694293"/>
                </a:cubicBezTo>
                <a:cubicBezTo>
                  <a:pt x="7474157" y="3677918"/>
                  <a:pt x="7488586" y="3664641"/>
                  <a:pt x="7506373" y="3664641"/>
                </a:cubicBezTo>
                <a:cubicBezTo>
                  <a:pt x="7524160" y="3664641"/>
                  <a:pt x="7538577" y="3677918"/>
                  <a:pt x="7538577" y="3694293"/>
                </a:cubicBezTo>
                <a:cubicBezTo>
                  <a:pt x="7538577" y="3710668"/>
                  <a:pt x="7524160" y="3723945"/>
                  <a:pt x="7506373" y="3723945"/>
                </a:cubicBezTo>
                <a:close/>
                <a:moveTo>
                  <a:pt x="7584906" y="3723945"/>
                </a:moveTo>
                <a:cubicBezTo>
                  <a:pt x="7567119" y="3723945"/>
                  <a:pt x="7552690" y="3710668"/>
                  <a:pt x="7552690" y="3694293"/>
                </a:cubicBezTo>
                <a:cubicBezTo>
                  <a:pt x="7552690" y="3677918"/>
                  <a:pt x="7567119" y="3664641"/>
                  <a:pt x="7584906" y="3664641"/>
                </a:cubicBezTo>
                <a:cubicBezTo>
                  <a:pt x="7602694" y="3664641"/>
                  <a:pt x="7617111" y="3677918"/>
                  <a:pt x="7617111" y="3694293"/>
                </a:cubicBezTo>
                <a:cubicBezTo>
                  <a:pt x="7617111" y="3710668"/>
                  <a:pt x="7602694" y="3723945"/>
                  <a:pt x="7584906" y="3723945"/>
                </a:cubicBezTo>
                <a:close/>
                <a:moveTo>
                  <a:pt x="7663441" y="3723945"/>
                </a:moveTo>
                <a:cubicBezTo>
                  <a:pt x="7645653" y="3723945"/>
                  <a:pt x="7631224" y="3710668"/>
                  <a:pt x="7631224" y="3694293"/>
                </a:cubicBezTo>
                <a:cubicBezTo>
                  <a:pt x="7631224" y="3677918"/>
                  <a:pt x="7645653" y="3664641"/>
                  <a:pt x="7663441" y="3664641"/>
                </a:cubicBezTo>
                <a:cubicBezTo>
                  <a:pt x="7681228" y="3664641"/>
                  <a:pt x="7695645" y="3677918"/>
                  <a:pt x="7695645" y="3694293"/>
                </a:cubicBezTo>
                <a:cubicBezTo>
                  <a:pt x="7695645" y="3710668"/>
                  <a:pt x="7681228" y="3723945"/>
                  <a:pt x="7663441" y="3723945"/>
                </a:cubicBezTo>
                <a:close/>
                <a:moveTo>
                  <a:pt x="7742941" y="3723945"/>
                </a:moveTo>
                <a:cubicBezTo>
                  <a:pt x="7725154" y="3723945"/>
                  <a:pt x="7710725" y="3710668"/>
                  <a:pt x="7710725" y="3694293"/>
                </a:cubicBezTo>
                <a:cubicBezTo>
                  <a:pt x="7710725" y="3677918"/>
                  <a:pt x="7725154" y="3664641"/>
                  <a:pt x="7742941" y="3664641"/>
                </a:cubicBezTo>
                <a:cubicBezTo>
                  <a:pt x="7760728" y="3664641"/>
                  <a:pt x="7775145" y="3677918"/>
                  <a:pt x="7775145" y="3694293"/>
                </a:cubicBezTo>
                <a:cubicBezTo>
                  <a:pt x="7775145" y="3710668"/>
                  <a:pt x="7760728" y="3723945"/>
                  <a:pt x="7742941" y="3723945"/>
                </a:cubicBezTo>
                <a:close/>
                <a:moveTo>
                  <a:pt x="7821474" y="3723945"/>
                </a:moveTo>
                <a:cubicBezTo>
                  <a:pt x="7803687" y="3723945"/>
                  <a:pt x="7789258" y="3710668"/>
                  <a:pt x="7789258" y="3694293"/>
                </a:cubicBezTo>
                <a:cubicBezTo>
                  <a:pt x="7789258" y="3677918"/>
                  <a:pt x="7803687" y="3664641"/>
                  <a:pt x="7821474" y="3664641"/>
                </a:cubicBezTo>
                <a:cubicBezTo>
                  <a:pt x="7839262" y="3664641"/>
                  <a:pt x="7853679" y="3677918"/>
                  <a:pt x="7853679" y="3694293"/>
                </a:cubicBezTo>
                <a:cubicBezTo>
                  <a:pt x="7853679" y="3710668"/>
                  <a:pt x="7839262" y="3723945"/>
                  <a:pt x="7821474" y="3723945"/>
                </a:cubicBezTo>
                <a:close/>
                <a:moveTo>
                  <a:pt x="7898498" y="3723945"/>
                </a:moveTo>
                <a:cubicBezTo>
                  <a:pt x="7880711" y="3723945"/>
                  <a:pt x="7866282" y="3710668"/>
                  <a:pt x="7866282" y="3694293"/>
                </a:cubicBezTo>
                <a:cubicBezTo>
                  <a:pt x="7866282" y="3677918"/>
                  <a:pt x="7880711" y="3664641"/>
                  <a:pt x="7898498" y="3664641"/>
                </a:cubicBezTo>
                <a:cubicBezTo>
                  <a:pt x="7916286" y="3664641"/>
                  <a:pt x="7930703" y="3677918"/>
                  <a:pt x="7930703" y="3694293"/>
                </a:cubicBezTo>
                <a:cubicBezTo>
                  <a:pt x="7930703" y="3710668"/>
                  <a:pt x="7916286" y="3723945"/>
                  <a:pt x="7898498" y="3723945"/>
                </a:cubicBezTo>
                <a:close/>
                <a:moveTo>
                  <a:pt x="7977033" y="3723945"/>
                </a:moveTo>
                <a:cubicBezTo>
                  <a:pt x="7959245" y="3723945"/>
                  <a:pt x="7944816" y="3710668"/>
                  <a:pt x="7944816" y="3694293"/>
                </a:cubicBezTo>
                <a:cubicBezTo>
                  <a:pt x="7944816" y="3677918"/>
                  <a:pt x="7959245" y="3664641"/>
                  <a:pt x="7977033" y="3664641"/>
                </a:cubicBezTo>
                <a:cubicBezTo>
                  <a:pt x="7994820" y="3664641"/>
                  <a:pt x="8009237" y="3677918"/>
                  <a:pt x="8009237" y="3694293"/>
                </a:cubicBezTo>
                <a:cubicBezTo>
                  <a:pt x="8009237" y="3710668"/>
                  <a:pt x="7994820" y="3723945"/>
                  <a:pt x="7977033" y="3723945"/>
                </a:cubicBezTo>
                <a:close/>
                <a:moveTo>
                  <a:pt x="8055566" y="3723945"/>
                </a:moveTo>
                <a:cubicBezTo>
                  <a:pt x="8037779" y="3723945"/>
                  <a:pt x="8023349" y="3710668"/>
                  <a:pt x="8023349" y="3694293"/>
                </a:cubicBezTo>
                <a:cubicBezTo>
                  <a:pt x="8023349" y="3677918"/>
                  <a:pt x="8037779" y="3664641"/>
                  <a:pt x="8055566" y="3664641"/>
                </a:cubicBezTo>
                <a:cubicBezTo>
                  <a:pt x="8073353" y="3664641"/>
                  <a:pt x="8087770" y="3677918"/>
                  <a:pt x="8087770" y="3694293"/>
                </a:cubicBezTo>
                <a:cubicBezTo>
                  <a:pt x="8087770" y="3710668"/>
                  <a:pt x="8073353" y="3723945"/>
                  <a:pt x="8055566" y="3723945"/>
                </a:cubicBezTo>
                <a:close/>
                <a:moveTo>
                  <a:pt x="8135127" y="3723945"/>
                </a:moveTo>
                <a:cubicBezTo>
                  <a:pt x="8117340" y="3723945"/>
                  <a:pt x="8102911" y="3710668"/>
                  <a:pt x="8102911" y="3694293"/>
                </a:cubicBezTo>
                <a:cubicBezTo>
                  <a:pt x="8102911" y="3677918"/>
                  <a:pt x="8117340" y="3664641"/>
                  <a:pt x="8135127" y="3664641"/>
                </a:cubicBezTo>
                <a:cubicBezTo>
                  <a:pt x="8152915" y="3664641"/>
                  <a:pt x="8167332" y="3677918"/>
                  <a:pt x="8167332" y="3694293"/>
                </a:cubicBezTo>
                <a:cubicBezTo>
                  <a:pt x="8167332" y="3710668"/>
                  <a:pt x="8152915" y="3723945"/>
                  <a:pt x="8135127" y="3723945"/>
                </a:cubicBezTo>
                <a:close/>
                <a:moveTo>
                  <a:pt x="8213660" y="3723945"/>
                </a:moveTo>
                <a:cubicBezTo>
                  <a:pt x="8195873" y="3723945"/>
                  <a:pt x="8181444" y="3710668"/>
                  <a:pt x="8181444" y="3694293"/>
                </a:cubicBezTo>
                <a:cubicBezTo>
                  <a:pt x="8181444" y="3677918"/>
                  <a:pt x="8195873" y="3664641"/>
                  <a:pt x="8213660" y="3664641"/>
                </a:cubicBezTo>
                <a:cubicBezTo>
                  <a:pt x="8231448" y="3664641"/>
                  <a:pt x="8245865" y="3677918"/>
                  <a:pt x="8245865" y="3694293"/>
                </a:cubicBezTo>
                <a:cubicBezTo>
                  <a:pt x="8245865" y="3710668"/>
                  <a:pt x="8231448" y="3723945"/>
                  <a:pt x="8213660" y="3723945"/>
                </a:cubicBezTo>
                <a:close/>
                <a:moveTo>
                  <a:pt x="8291712" y="3723945"/>
                </a:moveTo>
                <a:cubicBezTo>
                  <a:pt x="8273924" y="3723945"/>
                  <a:pt x="8259495" y="3710668"/>
                  <a:pt x="8259495" y="3694293"/>
                </a:cubicBezTo>
                <a:cubicBezTo>
                  <a:pt x="8259495" y="3677918"/>
                  <a:pt x="8273924" y="3664641"/>
                  <a:pt x="8291712" y="3664641"/>
                </a:cubicBezTo>
                <a:cubicBezTo>
                  <a:pt x="8309499" y="3664641"/>
                  <a:pt x="8323916" y="3677918"/>
                  <a:pt x="8323916" y="3694293"/>
                </a:cubicBezTo>
                <a:cubicBezTo>
                  <a:pt x="8323916" y="3710668"/>
                  <a:pt x="8309499" y="3723945"/>
                  <a:pt x="8291712" y="3723945"/>
                </a:cubicBezTo>
                <a:close/>
                <a:moveTo>
                  <a:pt x="8370245" y="3723945"/>
                </a:moveTo>
                <a:cubicBezTo>
                  <a:pt x="8352458" y="3723945"/>
                  <a:pt x="8338029" y="3710668"/>
                  <a:pt x="8338029" y="3694293"/>
                </a:cubicBezTo>
                <a:cubicBezTo>
                  <a:pt x="8338029" y="3677918"/>
                  <a:pt x="8352458" y="3664641"/>
                  <a:pt x="8370245" y="3664641"/>
                </a:cubicBezTo>
                <a:cubicBezTo>
                  <a:pt x="8388032" y="3664641"/>
                  <a:pt x="8402449" y="3677918"/>
                  <a:pt x="8402449" y="3694293"/>
                </a:cubicBezTo>
                <a:cubicBezTo>
                  <a:pt x="8402449" y="3710668"/>
                  <a:pt x="8388032" y="3723945"/>
                  <a:pt x="8370245" y="3723945"/>
                </a:cubicBezTo>
                <a:close/>
                <a:moveTo>
                  <a:pt x="8448779" y="3723945"/>
                </a:moveTo>
                <a:cubicBezTo>
                  <a:pt x="8430992" y="3723945"/>
                  <a:pt x="8416563" y="3710668"/>
                  <a:pt x="8416563" y="3694293"/>
                </a:cubicBezTo>
                <a:cubicBezTo>
                  <a:pt x="8416563" y="3677918"/>
                  <a:pt x="8430992" y="3664641"/>
                  <a:pt x="8448779" y="3664641"/>
                </a:cubicBezTo>
                <a:cubicBezTo>
                  <a:pt x="8466566" y="3664641"/>
                  <a:pt x="8480983" y="3677918"/>
                  <a:pt x="8480983" y="3694293"/>
                </a:cubicBezTo>
                <a:cubicBezTo>
                  <a:pt x="8480983" y="3710668"/>
                  <a:pt x="8466566" y="3723945"/>
                  <a:pt x="8448779" y="3723945"/>
                </a:cubicBezTo>
                <a:close/>
                <a:moveTo>
                  <a:pt x="8527313" y="3723945"/>
                </a:moveTo>
                <a:cubicBezTo>
                  <a:pt x="8509526" y="3723945"/>
                  <a:pt x="8495097" y="3710668"/>
                  <a:pt x="8495097" y="3694293"/>
                </a:cubicBezTo>
                <a:cubicBezTo>
                  <a:pt x="8495097" y="3677918"/>
                  <a:pt x="8509526" y="3664641"/>
                  <a:pt x="8527313" y="3664641"/>
                </a:cubicBezTo>
                <a:cubicBezTo>
                  <a:pt x="8545101" y="3664641"/>
                  <a:pt x="8559518" y="3677918"/>
                  <a:pt x="8559518" y="3694293"/>
                </a:cubicBezTo>
                <a:cubicBezTo>
                  <a:pt x="8559518" y="3710668"/>
                  <a:pt x="8545101" y="3723945"/>
                  <a:pt x="8527313" y="3723945"/>
                </a:cubicBezTo>
                <a:close/>
                <a:moveTo>
                  <a:pt x="8605847" y="3723945"/>
                </a:moveTo>
                <a:cubicBezTo>
                  <a:pt x="8588059" y="3723945"/>
                  <a:pt x="8573630" y="3710668"/>
                  <a:pt x="8573630" y="3694293"/>
                </a:cubicBezTo>
                <a:cubicBezTo>
                  <a:pt x="8573630" y="3677918"/>
                  <a:pt x="8588059" y="3664641"/>
                  <a:pt x="8605847" y="3664641"/>
                </a:cubicBezTo>
                <a:cubicBezTo>
                  <a:pt x="8623634" y="3664641"/>
                  <a:pt x="8638051" y="3677918"/>
                  <a:pt x="8638051" y="3694293"/>
                </a:cubicBezTo>
                <a:cubicBezTo>
                  <a:pt x="8638051" y="3710668"/>
                  <a:pt x="8623634" y="3723945"/>
                  <a:pt x="8605847" y="3723945"/>
                </a:cubicBezTo>
                <a:close/>
                <a:moveTo>
                  <a:pt x="8684381" y="3723945"/>
                </a:moveTo>
                <a:cubicBezTo>
                  <a:pt x="8666594" y="3723945"/>
                  <a:pt x="8652165" y="3710668"/>
                  <a:pt x="8652165" y="3694293"/>
                </a:cubicBezTo>
                <a:cubicBezTo>
                  <a:pt x="8652165" y="3677918"/>
                  <a:pt x="8666594" y="3664641"/>
                  <a:pt x="8684381" y="3664641"/>
                </a:cubicBezTo>
                <a:cubicBezTo>
                  <a:pt x="8702168" y="3664641"/>
                  <a:pt x="8716585" y="3677918"/>
                  <a:pt x="8716585" y="3694293"/>
                </a:cubicBezTo>
                <a:cubicBezTo>
                  <a:pt x="8716585" y="3710668"/>
                  <a:pt x="8702168" y="3723945"/>
                  <a:pt x="8684381" y="3723945"/>
                </a:cubicBezTo>
                <a:close/>
                <a:moveTo>
                  <a:pt x="8762914" y="3723945"/>
                </a:moveTo>
                <a:cubicBezTo>
                  <a:pt x="8745127" y="3723945"/>
                  <a:pt x="8730698" y="3710668"/>
                  <a:pt x="8730698" y="3694293"/>
                </a:cubicBezTo>
                <a:cubicBezTo>
                  <a:pt x="8730698" y="3677918"/>
                  <a:pt x="8745127" y="3664641"/>
                  <a:pt x="8762914" y="3664641"/>
                </a:cubicBezTo>
                <a:cubicBezTo>
                  <a:pt x="8780701" y="3664641"/>
                  <a:pt x="8795118" y="3677918"/>
                  <a:pt x="8795118" y="3694293"/>
                </a:cubicBezTo>
                <a:cubicBezTo>
                  <a:pt x="8795118" y="3710668"/>
                  <a:pt x="8780701" y="3723945"/>
                  <a:pt x="8762914" y="3723945"/>
                </a:cubicBezTo>
                <a:close/>
                <a:moveTo>
                  <a:pt x="8841448" y="3723945"/>
                </a:moveTo>
                <a:cubicBezTo>
                  <a:pt x="8823661" y="3723945"/>
                  <a:pt x="8809232" y="3710668"/>
                  <a:pt x="8809232" y="3694293"/>
                </a:cubicBezTo>
                <a:cubicBezTo>
                  <a:pt x="8809232" y="3677918"/>
                  <a:pt x="8823661" y="3664641"/>
                  <a:pt x="8841448" y="3664641"/>
                </a:cubicBezTo>
                <a:cubicBezTo>
                  <a:pt x="8859236" y="3664641"/>
                  <a:pt x="8873653" y="3677918"/>
                  <a:pt x="8873653" y="3694293"/>
                </a:cubicBezTo>
                <a:cubicBezTo>
                  <a:pt x="8873653" y="3710668"/>
                  <a:pt x="8859236" y="3723945"/>
                  <a:pt x="8841448" y="3723945"/>
                </a:cubicBezTo>
                <a:close/>
                <a:moveTo>
                  <a:pt x="8919983" y="3723945"/>
                </a:moveTo>
                <a:cubicBezTo>
                  <a:pt x="8902195" y="3723945"/>
                  <a:pt x="8887766" y="3710668"/>
                  <a:pt x="8887766" y="3694293"/>
                </a:cubicBezTo>
                <a:cubicBezTo>
                  <a:pt x="8887766" y="3677918"/>
                  <a:pt x="8902195" y="3664641"/>
                  <a:pt x="8919983" y="3664641"/>
                </a:cubicBezTo>
                <a:cubicBezTo>
                  <a:pt x="8937770" y="3664641"/>
                  <a:pt x="8952187" y="3677918"/>
                  <a:pt x="8952187" y="3694293"/>
                </a:cubicBezTo>
                <a:cubicBezTo>
                  <a:pt x="8952187" y="3710668"/>
                  <a:pt x="8937770" y="3723945"/>
                  <a:pt x="8919983" y="3723945"/>
                </a:cubicBezTo>
                <a:close/>
                <a:moveTo>
                  <a:pt x="8998516" y="3723945"/>
                </a:moveTo>
                <a:cubicBezTo>
                  <a:pt x="8980729" y="3723945"/>
                  <a:pt x="8966300" y="3710668"/>
                  <a:pt x="8966300" y="3694293"/>
                </a:cubicBezTo>
                <a:cubicBezTo>
                  <a:pt x="8966300" y="3677918"/>
                  <a:pt x="8980729" y="3664641"/>
                  <a:pt x="8998516" y="3664641"/>
                </a:cubicBezTo>
                <a:cubicBezTo>
                  <a:pt x="9016303" y="3664641"/>
                  <a:pt x="9030720" y="3677918"/>
                  <a:pt x="9030720" y="3694293"/>
                </a:cubicBezTo>
                <a:cubicBezTo>
                  <a:pt x="9030720" y="3710668"/>
                  <a:pt x="9016303" y="3723945"/>
                  <a:pt x="8998516" y="3723945"/>
                </a:cubicBezTo>
                <a:close/>
                <a:moveTo>
                  <a:pt x="9077050" y="3723945"/>
                </a:moveTo>
                <a:cubicBezTo>
                  <a:pt x="9059263" y="3723945"/>
                  <a:pt x="9044834" y="3710668"/>
                  <a:pt x="9044834" y="3694293"/>
                </a:cubicBezTo>
                <a:cubicBezTo>
                  <a:pt x="9044834" y="3677918"/>
                  <a:pt x="9059263" y="3664641"/>
                  <a:pt x="9077050" y="3664641"/>
                </a:cubicBezTo>
                <a:cubicBezTo>
                  <a:pt x="9094837" y="3664641"/>
                  <a:pt x="9109254" y="3677918"/>
                  <a:pt x="9109254" y="3694293"/>
                </a:cubicBezTo>
                <a:cubicBezTo>
                  <a:pt x="9109254" y="3710668"/>
                  <a:pt x="9094837" y="3723945"/>
                  <a:pt x="9077050" y="3723945"/>
                </a:cubicBezTo>
                <a:close/>
                <a:moveTo>
                  <a:pt x="9155583" y="3723945"/>
                </a:moveTo>
                <a:cubicBezTo>
                  <a:pt x="9137796" y="3723945"/>
                  <a:pt x="9123367" y="3710668"/>
                  <a:pt x="9123367" y="3694293"/>
                </a:cubicBezTo>
                <a:cubicBezTo>
                  <a:pt x="9123367" y="3677918"/>
                  <a:pt x="9137796" y="3664641"/>
                  <a:pt x="9155583" y="3664641"/>
                </a:cubicBezTo>
                <a:cubicBezTo>
                  <a:pt x="9173371" y="3664641"/>
                  <a:pt x="9187788" y="3677918"/>
                  <a:pt x="9187788" y="3694293"/>
                </a:cubicBezTo>
                <a:cubicBezTo>
                  <a:pt x="9187788" y="3710668"/>
                  <a:pt x="9173371" y="3723945"/>
                  <a:pt x="9155583" y="3723945"/>
                </a:cubicBezTo>
                <a:close/>
                <a:moveTo>
                  <a:pt x="9234118" y="3723945"/>
                </a:moveTo>
                <a:cubicBezTo>
                  <a:pt x="9216330" y="3723945"/>
                  <a:pt x="9201901" y="3710668"/>
                  <a:pt x="9201901" y="3694293"/>
                </a:cubicBezTo>
                <a:cubicBezTo>
                  <a:pt x="9201901" y="3677918"/>
                  <a:pt x="9216330" y="3664641"/>
                  <a:pt x="9234118" y="3664641"/>
                </a:cubicBezTo>
                <a:cubicBezTo>
                  <a:pt x="9251905" y="3664641"/>
                  <a:pt x="9266322" y="3677918"/>
                  <a:pt x="9266322" y="3694293"/>
                </a:cubicBezTo>
                <a:cubicBezTo>
                  <a:pt x="9266322" y="3710668"/>
                  <a:pt x="9251905" y="3723945"/>
                  <a:pt x="9234118" y="3723945"/>
                </a:cubicBezTo>
                <a:close/>
                <a:moveTo>
                  <a:pt x="9312652" y="3723945"/>
                </a:moveTo>
                <a:cubicBezTo>
                  <a:pt x="9294865" y="3723945"/>
                  <a:pt x="9280436" y="3710668"/>
                  <a:pt x="9280436" y="3694293"/>
                </a:cubicBezTo>
                <a:cubicBezTo>
                  <a:pt x="9280436" y="3677918"/>
                  <a:pt x="9294865" y="3664641"/>
                  <a:pt x="9312652" y="3664641"/>
                </a:cubicBezTo>
                <a:cubicBezTo>
                  <a:pt x="9330439" y="3664641"/>
                  <a:pt x="9344856" y="3677918"/>
                  <a:pt x="9344856" y="3694293"/>
                </a:cubicBezTo>
                <a:cubicBezTo>
                  <a:pt x="9344856" y="3710668"/>
                  <a:pt x="9330439" y="3723945"/>
                  <a:pt x="9312652" y="3723945"/>
                </a:cubicBezTo>
                <a:close/>
                <a:moveTo>
                  <a:pt x="9548254" y="3723945"/>
                </a:moveTo>
                <a:cubicBezTo>
                  <a:pt x="9530466" y="3723945"/>
                  <a:pt x="9516037" y="3710668"/>
                  <a:pt x="9516037" y="3694293"/>
                </a:cubicBezTo>
                <a:cubicBezTo>
                  <a:pt x="9516037" y="3677918"/>
                  <a:pt x="9530466" y="3664641"/>
                  <a:pt x="9548254" y="3664641"/>
                </a:cubicBezTo>
                <a:cubicBezTo>
                  <a:pt x="9566041" y="3664641"/>
                  <a:pt x="9580458" y="3677918"/>
                  <a:pt x="9580458" y="3694293"/>
                </a:cubicBezTo>
                <a:cubicBezTo>
                  <a:pt x="9580458" y="3710668"/>
                  <a:pt x="9566041" y="3723945"/>
                  <a:pt x="9548254" y="3723945"/>
                </a:cubicBezTo>
                <a:close/>
                <a:moveTo>
                  <a:pt x="9783854" y="3723945"/>
                </a:moveTo>
                <a:cubicBezTo>
                  <a:pt x="9766067" y="3723945"/>
                  <a:pt x="9751638" y="3710668"/>
                  <a:pt x="9751638" y="3694293"/>
                </a:cubicBezTo>
                <a:cubicBezTo>
                  <a:pt x="9751638" y="3677918"/>
                  <a:pt x="9766067" y="3664641"/>
                  <a:pt x="9783854" y="3664641"/>
                </a:cubicBezTo>
                <a:cubicBezTo>
                  <a:pt x="9801642" y="3664641"/>
                  <a:pt x="9816059" y="3677918"/>
                  <a:pt x="9816059" y="3694293"/>
                </a:cubicBezTo>
                <a:cubicBezTo>
                  <a:pt x="9816059" y="3710668"/>
                  <a:pt x="9801642" y="3723945"/>
                  <a:pt x="9783854" y="3723945"/>
                </a:cubicBezTo>
                <a:close/>
                <a:moveTo>
                  <a:pt x="2637243" y="3651679"/>
                </a:moveTo>
                <a:cubicBezTo>
                  <a:pt x="2619455" y="3651679"/>
                  <a:pt x="2605032" y="3638402"/>
                  <a:pt x="2605032" y="3622027"/>
                </a:cubicBezTo>
                <a:cubicBezTo>
                  <a:pt x="2605032" y="3605653"/>
                  <a:pt x="2619455" y="3592375"/>
                  <a:pt x="2637243" y="3592375"/>
                </a:cubicBezTo>
                <a:cubicBezTo>
                  <a:pt x="2655030" y="3592375"/>
                  <a:pt x="2669453" y="3605653"/>
                  <a:pt x="2669453" y="3622027"/>
                </a:cubicBezTo>
                <a:cubicBezTo>
                  <a:pt x="2669453" y="3638402"/>
                  <a:pt x="2655030" y="3651679"/>
                  <a:pt x="2637243" y="3651679"/>
                </a:cubicBezTo>
                <a:close/>
                <a:moveTo>
                  <a:pt x="2715777" y="3651679"/>
                </a:moveTo>
                <a:cubicBezTo>
                  <a:pt x="2697990" y="3651679"/>
                  <a:pt x="2683566" y="3638402"/>
                  <a:pt x="2683566" y="3622027"/>
                </a:cubicBezTo>
                <a:cubicBezTo>
                  <a:pt x="2683566" y="3605653"/>
                  <a:pt x="2697990" y="3592375"/>
                  <a:pt x="2715777" y="3592375"/>
                </a:cubicBezTo>
                <a:cubicBezTo>
                  <a:pt x="2733564" y="3592375"/>
                  <a:pt x="2747987" y="3605653"/>
                  <a:pt x="2747987" y="3622027"/>
                </a:cubicBezTo>
                <a:cubicBezTo>
                  <a:pt x="2747987" y="3638402"/>
                  <a:pt x="2733564" y="3651679"/>
                  <a:pt x="2715777" y="3651679"/>
                </a:cubicBezTo>
                <a:close/>
                <a:moveTo>
                  <a:pt x="2794310" y="3651679"/>
                </a:moveTo>
                <a:cubicBezTo>
                  <a:pt x="2776523" y="3651679"/>
                  <a:pt x="2762100" y="3638402"/>
                  <a:pt x="2762100" y="3622027"/>
                </a:cubicBezTo>
                <a:cubicBezTo>
                  <a:pt x="2762100" y="3605653"/>
                  <a:pt x="2776523" y="3592375"/>
                  <a:pt x="2794310" y="3592375"/>
                </a:cubicBezTo>
                <a:cubicBezTo>
                  <a:pt x="2812097" y="3592375"/>
                  <a:pt x="2826520" y="3605653"/>
                  <a:pt x="2826520" y="3622027"/>
                </a:cubicBezTo>
                <a:cubicBezTo>
                  <a:pt x="2826520" y="3638402"/>
                  <a:pt x="2812097" y="3651679"/>
                  <a:pt x="2794310" y="3651679"/>
                </a:cubicBezTo>
                <a:close/>
                <a:moveTo>
                  <a:pt x="2872844" y="3651679"/>
                </a:moveTo>
                <a:cubicBezTo>
                  <a:pt x="2855057" y="3651679"/>
                  <a:pt x="2840634" y="3638402"/>
                  <a:pt x="2840634" y="3622027"/>
                </a:cubicBezTo>
                <a:cubicBezTo>
                  <a:pt x="2840634" y="3605653"/>
                  <a:pt x="2855057" y="3592375"/>
                  <a:pt x="2872844" y="3592375"/>
                </a:cubicBezTo>
                <a:cubicBezTo>
                  <a:pt x="2890632" y="3592375"/>
                  <a:pt x="2905055" y="3605653"/>
                  <a:pt x="2905055" y="3622027"/>
                </a:cubicBezTo>
                <a:cubicBezTo>
                  <a:pt x="2905055" y="3638402"/>
                  <a:pt x="2890632" y="3651679"/>
                  <a:pt x="2872844" y="3651679"/>
                </a:cubicBezTo>
                <a:close/>
                <a:moveTo>
                  <a:pt x="2951379" y="3651679"/>
                </a:moveTo>
                <a:cubicBezTo>
                  <a:pt x="2933591" y="3651679"/>
                  <a:pt x="2919168" y="3638402"/>
                  <a:pt x="2919168" y="3622027"/>
                </a:cubicBezTo>
                <a:cubicBezTo>
                  <a:pt x="2919168" y="3605653"/>
                  <a:pt x="2933591" y="3592375"/>
                  <a:pt x="2951379" y="3592375"/>
                </a:cubicBezTo>
                <a:cubicBezTo>
                  <a:pt x="2969166" y="3592375"/>
                  <a:pt x="2983589" y="3605653"/>
                  <a:pt x="2983589" y="3622027"/>
                </a:cubicBezTo>
                <a:cubicBezTo>
                  <a:pt x="2983589" y="3638402"/>
                  <a:pt x="2969166" y="3651679"/>
                  <a:pt x="2951379" y="3651679"/>
                </a:cubicBezTo>
                <a:close/>
                <a:moveTo>
                  <a:pt x="3029912" y="3651679"/>
                </a:moveTo>
                <a:cubicBezTo>
                  <a:pt x="3012125" y="3651679"/>
                  <a:pt x="2997701" y="3638402"/>
                  <a:pt x="2997701" y="3622027"/>
                </a:cubicBezTo>
                <a:cubicBezTo>
                  <a:pt x="2997701" y="3605653"/>
                  <a:pt x="3012125" y="3592375"/>
                  <a:pt x="3029912" y="3592375"/>
                </a:cubicBezTo>
                <a:cubicBezTo>
                  <a:pt x="3047699" y="3592375"/>
                  <a:pt x="3062122" y="3605653"/>
                  <a:pt x="3062122" y="3622027"/>
                </a:cubicBezTo>
                <a:cubicBezTo>
                  <a:pt x="3062122" y="3638402"/>
                  <a:pt x="3047699" y="3651679"/>
                  <a:pt x="3029912" y="3651679"/>
                </a:cubicBezTo>
                <a:close/>
                <a:moveTo>
                  <a:pt x="3108446" y="3651679"/>
                </a:moveTo>
                <a:cubicBezTo>
                  <a:pt x="3090659" y="3651679"/>
                  <a:pt x="3076236" y="3638402"/>
                  <a:pt x="3076236" y="3622027"/>
                </a:cubicBezTo>
                <a:cubicBezTo>
                  <a:pt x="3076236" y="3605653"/>
                  <a:pt x="3090659" y="3592375"/>
                  <a:pt x="3108446" y="3592375"/>
                </a:cubicBezTo>
                <a:cubicBezTo>
                  <a:pt x="3126233" y="3592375"/>
                  <a:pt x="3140656" y="3605653"/>
                  <a:pt x="3140656" y="3622027"/>
                </a:cubicBezTo>
                <a:cubicBezTo>
                  <a:pt x="3140656" y="3638402"/>
                  <a:pt x="3126233" y="3651679"/>
                  <a:pt x="3108446" y="3651679"/>
                </a:cubicBezTo>
                <a:close/>
                <a:moveTo>
                  <a:pt x="3186979" y="3651679"/>
                </a:moveTo>
                <a:cubicBezTo>
                  <a:pt x="3169192" y="3651679"/>
                  <a:pt x="3154769" y="3638402"/>
                  <a:pt x="3154769" y="3622027"/>
                </a:cubicBezTo>
                <a:cubicBezTo>
                  <a:pt x="3154769" y="3605653"/>
                  <a:pt x="3169192" y="3592375"/>
                  <a:pt x="3186979" y="3592375"/>
                </a:cubicBezTo>
                <a:cubicBezTo>
                  <a:pt x="3204767" y="3592375"/>
                  <a:pt x="3219190" y="3605653"/>
                  <a:pt x="3219190" y="3622027"/>
                </a:cubicBezTo>
                <a:cubicBezTo>
                  <a:pt x="3219190" y="3638402"/>
                  <a:pt x="3204767" y="3651679"/>
                  <a:pt x="3186979" y="3651679"/>
                </a:cubicBezTo>
                <a:close/>
                <a:moveTo>
                  <a:pt x="3265514" y="3651679"/>
                </a:moveTo>
                <a:cubicBezTo>
                  <a:pt x="3247726" y="3651679"/>
                  <a:pt x="3233303" y="3638402"/>
                  <a:pt x="3233303" y="3622027"/>
                </a:cubicBezTo>
                <a:cubicBezTo>
                  <a:pt x="3233303" y="3605653"/>
                  <a:pt x="3247726" y="3592375"/>
                  <a:pt x="3265514" y="3592375"/>
                </a:cubicBezTo>
                <a:cubicBezTo>
                  <a:pt x="3283301" y="3592375"/>
                  <a:pt x="3297724" y="3605653"/>
                  <a:pt x="3297724" y="3622027"/>
                </a:cubicBezTo>
                <a:cubicBezTo>
                  <a:pt x="3297724" y="3638402"/>
                  <a:pt x="3283301" y="3651679"/>
                  <a:pt x="3265514" y="3651679"/>
                </a:cubicBezTo>
                <a:close/>
                <a:moveTo>
                  <a:pt x="3344048" y="3651679"/>
                </a:moveTo>
                <a:cubicBezTo>
                  <a:pt x="3326261" y="3651679"/>
                  <a:pt x="3311837" y="3638402"/>
                  <a:pt x="3311837" y="3622027"/>
                </a:cubicBezTo>
                <a:cubicBezTo>
                  <a:pt x="3311837" y="3605653"/>
                  <a:pt x="3326261" y="3592375"/>
                  <a:pt x="3344048" y="3592375"/>
                </a:cubicBezTo>
                <a:cubicBezTo>
                  <a:pt x="3361835" y="3592375"/>
                  <a:pt x="3376258" y="3605653"/>
                  <a:pt x="3376258" y="3622027"/>
                </a:cubicBezTo>
                <a:cubicBezTo>
                  <a:pt x="3376258" y="3638402"/>
                  <a:pt x="3361835" y="3651679"/>
                  <a:pt x="3344048" y="3651679"/>
                </a:cubicBezTo>
                <a:close/>
                <a:moveTo>
                  <a:pt x="3422581" y="3651679"/>
                </a:moveTo>
                <a:cubicBezTo>
                  <a:pt x="3404794" y="3651679"/>
                  <a:pt x="3390371" y="3638402"/>
                  <a:pt x="3390371" y="3622027"/>
                </a:cubicBezTo>
                <a:cubicBezTo>
                  <a:pt x="3390371" y="3605653"/>
                  <a:pt x="3404794" y="3592375"/>
                  <a:pt x="3422581" y="3592375"/>
                </a:cubicBezTo>
                <a:cubicBezTo>
                  <a:pt x="3440368" y="3592375"/>
                  <a:pt x="3454791" y="3605653"/>
                  <a:pt x="3454791" y="3622027"/>
                </a:cubicBezTo>
                <a:cubicBezTo>
                  <a:pt x="3454791" y="3638402"/>
                  <a:pt x="3440368" y="3651679"/>
                  <a:pt x="3422581" y="3651679"/>
                </a:cubicBezTo>
                <a:close/>
                <a:moveTo>
                  <a:pt x="3501115" y="3651679"/>
                </a:moveTo>
                <a:cubicBezTo>
                  <a:pt x="3483328" y="3651679"/>
                  <a:pt x="3468905" y="3638402"/>
                  <a:pt x="3468905" y="3622027"/>
                </a:cubicBezTo>
                <a:cubicBezTo>
                  <a:pt x="3468905" y="3605653"/>
                  <a:pt x="3483328" y="3592375"/>
                  <a:pt x="3501115" y="3592375"/>
                </a:cubicBezTo>
                <a:cubicBezTo>
                  <a:pt x="3518903" y="3592375"/>
                  <a:pt x="3533326" y="3605653"/>
                  <a:pt x="3533326" y="3622027"/>
                </a:cubicBezTo>
                <a:cubicBezTo>
                  <a:pt x="3533326" y="3638402"/>
                  <a:pt x="3518903" y="3651679"/>
                  <a:pt x="3501115" y="3651679"/>
                </a:cubicBezTo>
                <a:close/>
                <a:moveTo>
                  <a:pt x="3579650" y="3651679"/>
                </a:moveTo>
                <a:cubicBezTo>
                  <a:pt x="3561862" y="3651679"/>
                  <a:pt x="3547439" y="3638402"/>
                  <a:pt x="3547439" y="3622027"/>
                </a:cubicBezTo>
                <a:cubicBezTo>
                  <a:pt x="3547439" y="3605653"/>
                  <a:pt x="3561862" y="3592375"/>
                  <a:pt x="3579650" y="3592375"/>
                </a:cubicBezTo>
                <a:cubicBezTo>
                  <a:pt x="3597437" y="3592375"/>
                  <a:pt x="3611860" y="3605653"/>
                  <a:pt x="3611860" y="3622027"/>
                </a:cubicBezTo>
                <a:cubicBezTo>
                  <a:pt x="3611860" y="3638402"/>
                  <a:pt x="3597437" y="3651679"/>
                  <a:pt x="3579650" y="3651679"/>
                </a:cubicBezTo>
                <a:close/>
                <a:moveTo>
                  <a:pt x="3658183" y="3651679"/>
                </a:moveTo>
                <a:cubicBezTo>
                  <a:pt x="3640396" y="3651679"/>
                  <a:pt x="3625972" y="3638402"/>
                  <a:pt x="3625972" y="3622027"/>
                </a:cubicBezTo>
                <a:cubicBezTo>
                  <a:pt x="3625972" y="3605653"/>
                  <a:pt x="3640396" y="3592375"/>
                  <a:pt x="3658183" y="3592375"/>
                </a:cubicBezTo>
                <a:cubicBezTo>
                  <a:pt x="3675970" y="3592375"/>
                  <a:pt x="3690393" y="3605653"/>
                  <a:pt x="3690393" y="3622027"/>
                </a:cubicBezTo>
                <a:cubicBezTo>
                  <a:pt x="3690393" y="3638402"/>
                  <a:pt x="3675970" y="3651679"/>
                  <a:pt x="3658183" y="3651679"/>
                </a:cubicBezTo>
                <a:close/>
                <a:moveTo>
                  <a:pt x="3736717" y="3651679"/>
                </a:moveTo>
                <a:cubicBezTo>
                  <a:pt x="3718930" y="3651679"/>
                  <a:pt x="3704507" y="3638402"/>
                  <a:pt x="3704507" y="3622027"/>
                </a:cubicBezTo>
                <a:cubicBezTo>
                  <a:pt x="3704507" y="3605653"/>
                  <a:pt x="3718930" y="3592375"/>
                  <a:pt x="3736717" y="3592375"/>
                </a:cubicBezTo>
                <a:cubicBezTo>
                  <a:pt x="3754504" y="3592375"/>
                  <a:pt x="3768927" y="3605653"/>
                  <a:pt x="3768927" y="3622027"/>
                </a:cubicBezTo>
                <a:cubicBezTo>
                  <a:pt x="3768927" y="3638402"/>
                  <a:pt x="3754504" y="3651679"/>
                  <a:pt x="3736717" y="3651679"/>
                </a:cubicBezTo>
                <a:close/>
                <a:moveTo>
                  <a:pt x="5778604" y="3651679"/>
                </a:moveTo>
                <a:cubicBezTo>
                  <a:pt x="5760816" y="3651679"/>
                  <a:pt x="5746393" y="3638402"/>
                  <a:pt x="5746393" y="3622027"/>
                </a:cubicBezTo>
                <a:cubicBezTo>
                  <a:pt x="5746393" y="3605653"/>
                  <a:pt x="5760816" y="3592375"/>
                  <a:pt x="5778604" y="3592375"/>
                </a:cubicBezTo>
                <a:cubicBezTo>
                  <a:pt x="5796391" y="3592375"/>
                  <a:pt x="5810814" y="3605653"/>
                  <a:pt x="5810814" y="3622027"/>
                </a:cubicBezTo>
                <a:cubicBezTo>
                  <a:pt x="5810814" y="3638402"/>
                  <a:pt x="5796391" y="3651679"/>
                  <a:pt x="5778604" y="3651679"/>
                </a:cubicBezTo>
                <a:close/>
                <a:moveTo>
                  <a:pt x="6092739" y="3651679"/>
                </a:moveTo>
                <a:cubicBezTo>
                  <a:pt x="6074951" y="3651679"/>
                  <a:pt x="6060522" y="3638402"/>
                  <a:pt x="6060522" y="3622027"/>
                </a:cubicBezTo>
                <a:cubicBezTo>
                  <a:pt x="6060522" y="3605653"/>
                  <a:pt x="6074951" y="3592375"/>
                  <a:pt x="6092739" y="3592375"/>
                </a:cubicBezTo>
                <a:cubicBezTo>
                  <a:pt x="6110526" y="3592375"/>
                  <a:pt x="6124943" y="3605653"/>
                  <a:pt x="6124943" y="3622027"/>
                </a:cubicBezTo>
                <a:cubicBezTo>
                  <a:pt x="6124943" y="3638402"/>
                  <a:pt x="6110526" y="3651679"/>
                  <a:pt x="6092739" y="3651679"/>
                </a:cubicBezTo>
                <a:close/>
                <a:moveTo>
                  <a:pt x="6171273" y="3651679"/>
                </a:moveTo>
                <a:cubicBezTo>
                  <a:pt x="6153486" y="3651679"/>
                  <a:pt x="6139056" y="3638402"/>
                  <a:pt x="6139056" y="3622027"/>
                </a:cubicBezTo>
                <a:cubicBezTo>
                  <a:pt x="6139056" y="3605653"/>
                  <a:pt x="6153486" y="3592375"/>
                  <a:pt x="6171273" y="3592375"/>
                </a:cubicBezTo>
                <a:cubicBezTo>
                  <a:pt x="6189060" y="3592375"/>
                  <a:pt x="6203477" y="3605653"/>
                  <a:pt x="6203477" y="3622027"/>
                </a:cubicBezTo>
                <a:cubicBezTo>
                  <a:pt x="6203477" y="3638402"/>
                  <a:pt x="6189060" y="3651679"/>
                  <a:pt x="6171273" y="3651679"/>
                </a:cubicBezTo>
                <a:close/>
                <a:moveTo>
                  <a:pt x="6328340" y="3651679"/>
                </a:moveTo>
                <a:cubicBezTo>
                  <a:pt x="6310553" y="3651679"/>
                  <a:pt x="6296124" y="3638402"/>
                  <a:pt x="6296124" y="3622027"/>
                </a:cubicBezTo>
                <a:cubicBezTo>
                  <a:pt x="6296124" y="3605653"/>
                  <a:pt x="6310553" y="3592375"/>
                  <a:pt x="6328340" y="3592375"/>
                </a:cubicBezTo>
                <a:cubicBezTo>
                  <a:pt x="6346128" y="3592375"/>
                  <a:pt x="6360545" y="3605653"/>
                  <a:pt x="6360545" y="3622027"/>
                </a:cubicBezTo>
                <a:cubicBezTo>
                  <a:pt x="6360545" y="3638402"/>
                  <a:pt x="6346128" y="3651679"/>
                  <a:pt x="6328340" y="3651679"/>
                </a:cubicBezTo>
                <a:close/>
                <a:moveTo>
                  <a:pt x="6956611" y="3651679"/>
                </a:moveTo>
                <a:cubicBezTo>
                  <a:pt x="6938824" y="3651679"/>
                  <a:pt x="6924395" y="3638402"/>
                  <a:pt x="6924395" y="3622027"/>
                </a:cubicBezTo>
                <a:cubicBezTo>
                  <a:pt x="6924395" y="3605653"/>
                  <a:pt x="6938824" y="3592375"/>
                  <a:pt x="6956611" y="3592375"/>
                </a:cubicBezTo>
                <a:cubicBezTo>
                  <a:pt x="6974399" y="3592375"/>
                  <a:pt x="6988816" y="3605653"/>
                  <a:pt x="6988816" y="3622027"/>
                </a:cubicBezTo>
                <a:cubicBezTo>
                  <a:pt x="6988816" y="3638402"/>
                  <a:pt x="6974399" y="3651679"/>
                  <a:pt x="6956611" y="3651679"/>
                </a:cubicBezTo>
                <a:close/>
                <a:moveTo>
                  <a:pt x="7035146" y="3651679"/>
                </a:moveTo>
                <a:cubicBezTo>
                  <a:pt x="7017358" y="3651679"/>
                  <a:pt x="7002929" y="3638402"/>
                  <a:pt x="7002929" y="3622027"/>
                </a:cubicBezTo>
                <a:cubicBezTo>
                  <a:pt x="7002929" y="3605653"/>
                  <a:pt x="7017358" y="3592375"/>
                  <a:pt x="7035146" y="3592375"/>
                </a:cubicBezTo>
                <a:cubicBezTo>
                  <a:pt x="7052933" y="3592375"/>
                  <a:pt x="7067350" y="3605653"/>
                  <a:pt x="7067350" y="3622027"/>
                </a:cubicBezTo>
                <a:cubicBezTo>
                  <a:pt x="7067350" y="3638402"/>
                  <a:pt x="7052933" y="3651679"/>
                  <a:pt x="7035146" y="3651679"/>
                </a:cubicBezTo>
                <a:close/>
                <a:moveTo>
                  <a:pt x="7113703" y="3651679"/>
                </a:moveTo>
                <a:cubicBezTo>
                  <a:pt x="7095916" y="3651679"/>
                  <a:pt x="7081487" y="3638402"/>
                  <a:pt x="7081487" y="3622027"/>
                </a:cubicBezTo>
                <a:cubicBezTo>
                  <a:pt x="7081487" y="3605653"/>
                  <a:pt x="7095916" y="3592375"/>
                  <a:pt x="7113703" y="3592375"/>
                </a:cubicBezTo>
                <a:cubicBezTo>
                  <a:pt x="7131490" y="3592375"/>
                  <a:pt x="7145907" y="3605653"/>
                  <a:pt x="7145907" y="3622027"/>
                </a:cubicBezTo>
                <a:cubicBezTo>
                  <a:pt x="7145907" y="3638402"/>
                  <a:pt x="7131490" y="3651679"/>
                  <a:pt x="7113703" y="3651679"/>
                </a:cubicBezTo>
                <a:close/>
                <a:moveTo>
                  <a:pt x="7192237" y="3651679"/>
                </a:moveTo>
                <a:cubicBezTo>
                  <a:pt x="7174450" y="3651679"/>
                  <a:pt x="7160021" y="3638402"/>
                  <a:pt x="7160021" y="3622027"/>
                </a:cubicBezTo>
                <a:cubicBezTo>
                  <a:pt x="7160021" y="3605653"/>
                  <a:pt x="7174450" y="3592375"/>
                  <a:pt x="7192237" y="3592375"/>
                </a:cubicBezTo>
                <a:cubicBezTo>
                  <a:pt x="7210024" y="3592375"/>
                  <a:pt x="7224441" y="3605653"/>
                  <a:pt x="7224441" y="3622027"/>
                </a:cubicBezTo>
                <a:cubicBezTo>
                  <a:pt x="7224441" y="3638402"/>
                  <a:pt x="7210024" y="3651679"/>
                  <a:pt x="7192237" y="3651679"/>
                </a:cubicBezTo>
                <a:close/>
                <a:moveTo>
                  <a:pt x="7270771" y="3651679"/>
                </a:moveTo>
                <a:cubicBezTo>
                  <a:pt x="7252984" y="3651679"/>
                  <a:pt x="7238555" y="3638402"/>
                  <a:pt x="7238555" y="3622027"/>
                </a:cubicBezTo>
                <a:cubicBezTo>
                  <a:pt x="7238555" y="3605653"/>
                  <a:pt x="7252984" y="3592375"/>
                  <a:pt x="7270771" y="3592375"/>
                </a:cubicBezTo>
                <a:cubicBezTo>
                  <a:pt x="7288559" y="3592375"/>
                  <a:pt x="7302976" y="3605653"/>
                  <a:pt x="7302976" y="3622027"/>
                </a:cubicBezTo>
                <a:cubicBezTo>
                  <a:pt x="7302976" y="3638402"/>
                  <a:pt x="7288559" y="3651679"/>
                  <a:pt x="7270771" y="3651679"/>
                </a:cubicBezTo>
                <a:close/>
                <a:moveTo>
                  <a:pt x="7349305" y="3651679"/>
                </a:moveTo>
                <a:cubicBezTo>
                  <a:pt x="7331517" y="3651679"/>
                  <a:pt x="7317088" y="3638402"/>
                  <a:pt x="7317088" y="3622027"/>
                </a:cubicBezTo>
                <a:cubicBezTo>
                  <a:pt x="7317088" y="3605653"/>
                  <a:pt x="7331517" y="3592375"/>
                  <a:pt x="7349305" y="3592375"/>
                </a:cubicBezTo>
                <a:cubicBezTo>
                  <a:pt x="7367092" y="3592375"/>
                  <a:pt x="7381509" y="3605653"/>
                  <a:pt x="7381509" y="3622027"/>
                </a:cubicBezTo>
                <a:cubicBezTo>
                  <a:pt x="7381509" y="3638402"/>
                  <a:pt x="7367092" y="3651679"/>
                  <a:pt x="7349305" y="3651679"/>
                </a:cubicBezTo>
                <a:close/>
                <a:moveTo>
                  <a:pt x="7427839" y="3651679"/>
                </a:moveTo>
                <a:cubicBezTo>
                  <a:pt x="7410052" y="3651679"/>
                  <a:pt x="7395623" y="3638402"/>
                  <a:pt x="7395623" y="3622027"/>
                </a:cubicBezTo>
                <a:cubicBezTo>
                  <a:pt x="7395623" y="3605653"/>
                  <a:pt x="7410052" y="3592375"/>
                  <a:pt x="7427839" y="3592375"/>
                </a:cubicBezTo>
                <a:cubicBezTo>
                  <a:pt x="7445626" y="3592375"/>
                  <a:pt x="7460043" y="3605653"/>
                  <a:pt x="7460043" y="3622027"/>
                </a:cubicBezTo>
                <a:cubicBezTo>
                  <a:pt x="7460043" y="3638402"/>
                  <a:pt x="7445626" y="3651679"/>
                  <a:pt x="7427839" y="3651679"/>
                </a:cubicBezTo>
                <a:close/>
                <a:moveTo>
                  <a:pt x="7506373" y="3651679"/>
                </a:moveTo>
                <a:cubicBezTo>
                  <a:pt x="7488586" y="3651679"/>
                  <a:pt x="7474157" y="3638402"/>
                  <a:pt x="7474157" y="3622027"/>
                </a:cubicBezTo>
                <a:cubicBezTo>
                  <a:pt x="7474157" y="3605653"/>
                  <a:pt x="7488586" y="3592375"/>
                  <a:pt x="7506373" y="3592375"/>
                </a:cubicBezTo>
                <a:cubicBezTo>
                  <a:pt x="7524160" y="3592375"/>
                  <a:pt x="7538577" y="3605653"/>
                  <a:pt x="7538577" y="3622027"/>
                </a:cubicBezTo>
                <a:cubicBezTo>
                  <a:pt x="7538577" y="3638402"/>
                  <a:pt x="7524160" y="3651679"/>
                  <a:pt x="7506373" y="3651679"/>
                </a:cubicBezTo>
                <a:close/>
                <a:moveTo>
                  <a:pt x="7584906" y="3651679"/>
                </a:moveTo>
                <a:cubicBezTo>
                  <a:pt x="7567119" y="3651679"/>
                  <a:pt x="7552690" y="3638402"/>
                  <a:pt x="7552690" y="3622027"/>
                </a:cubicBezTo>
                <a:cubicBezTo>
                  <a:pt x="7552690" y="3605653"/>
                  <a:pt x="7567119" y="3592375"/>
                  <a:pt x="7584906" y="3592375"/>
                </a:cubicBezTo>
                <a:cubicBezTo>
                  <a:pt x="7602694" y="3592375"/>
                  <a:pt x="7617111" y="3605653"/>
                  <a:pt x="7617111" y="3622027"/>
                </a:cubicBezTo>
                <a:cubicBezTo>
                  <a:pt x="7617111" y="3638402"/>
                  <a:pt x="7602694" y="3651679"/>
                  <a:pt x="7584906" y="3651679"/>
                </a:cubicBezTo>
                <a:close/>
                <a:moveTo>
                  <a:pt x="7663441" y="3651679"/>
                </a:moveTo>
                <a:cubicBezTo>
                  <a:pt x="7645653" y="3651679"/>
                  <a:pt x="7631224" y="3638402"/>
                  <a:pt x="7631224" y="3622027"/>
                </a:cubicBezTo>
                <a:cubicBezTo>
                  <a:pt x="7631224" y="3605653"/>
                  <a:pt x="7645653" y="3592375"/>
                  <a:pt x="7663441" y="3592375"/>
                </a:cubicBezTo>
                <a:cubicBezTo>
                  <a:pt x="7681228" y="3592375"/>
                  <a:pt x="7695645" y="3605653"/>
                  <a:pt x="7695645" y="3622027"/>
                </a:cubicBezTo>
                <a:cubicBezTo>
                  <a:pt x="7695645" y="3638402"/>
                  <a:pt x="7681228" y="3651679"/>
                  <a:pt x="7663441" y="3651679"/>
                </a:cubicBezTo>
                <a:close/>
                <a:moveTo>
                  <a:pt x="7742941" y="3651679"/>
                </a:moveTo>
                <a:cubicBezTo>
                  <a:pt x="7725154" y="3651679"/>
                  <a:pt x="7710725" y="3638402"/>
                  <a:pt x="7710725" y="3622027"/>
                </a:cubicBezTo>
                <a:cubicBezTo>
                  <a:pt x="7710725" y="3605653"/>
                  <a:pt x="7725154" y="3592375"/>
                  <a:pt x="7742941" y="3592375"/>
                </a:cubicBezTo>
                <a:cubicBezTo>
                  <a:pt x="7760728" y="3592375"/>
                  <a:pt x="7775145" y="3605653"/>
                  <a:pt x="7775145" y="3622027"/>
                </a:cubicBezTo>
                <a:cubicBezTo>
                  <a:pt x="7775145" y="3638402"/>
                  <a:pt x="7760728" y="3651679"/>
                  <a:pt x="7742941" y="3651679"/>
                </a:cubicBezTo>
                <a:close/>
                <a:moveTo>
                  <a:pt x="7821474" y="3651679"/>
                </a:moveTo>
                <a:cubicBezTo>
                  <a:pt x="7803687" y="3651679"/>
                  <a:pt x="7789258" y="3638402"/>
                  <a:pt x="7789258" y="3622027"/>
                </a:cubicBezTo>
                <a:cubicBezTo>
                  <a:pt x="7789258" y="3605653"/>
                  <a:pt x="7803687" y="3592375"/>
                  <a:pt x="7821474" y="3592375"/>
                </a:cubicBezTo>
                <a:cubicBezTo>
                  <a:pt x="7839262" y="3592375"/>
                  <a:pt x="7853679" y="3605653"/>
                  <a:pt x="7853679" y="3622027"/>
                </a:cubicBezTo>
                <a:cubicBezTo>
                  <a:pt x="7853679" y="3638402"/>
                  <a:pt x="7839262" y="3651679"/>
                  <a:pt x="7821474" y="3651679"/>
                </a:cubicBezTo>
                <a:close/>
                <a:moveTo>
                  <a:pt x="7898498" y="3651679"/>
                </a:moveTo>
                <a:cubicBezTo>
                  <a:pt x="7880711" y="3651679"/>
                  <a:pt x="7866282" y="3638402"/>
                  <a:pt x="7866282" y="3622027"/>
                </a:cubicBezTo>
                <a:cubicBezTo>
                  <a:pt x="7866282" y="3605653"/>
                  <a:pt x="7880711" y="3592375"/>
                  <a:pt x="7898498" y="3592375"/>
                </a:cubicBezTo>
                <a:cubicBezTo>
                  <a:pt x="7916286" y="3592375"/>
                  <a:pt x="7930703" y="3605653"/>
                  <a:pt x="7930703" y="3622027"/>
                </a:cubicBezTo>
                <a:cubicBezTo>
                  <a:pt x="7930703" y="3638402"/>
                  <a:pt x="7916286" y="3651679"/>
                  <a:pt x="7898498" y="3651679"/>
                </a:cubicBezTo>
                <a:close/>
                <a:moveTo>
                  <a:pt x="7977033" y="3651679"/>
                </a:moveTo>
                <a:cubicBezTo>
                  <a:pt x="7959245" y="3651679"/>
                  <a:pt x="7944816" y="3638402"/>
                  <a:pt x="7944816" y="3622027"/>
                </a:cubicBezTo>
                <a:cubicBezTo>
                  <a:pt x="7944816" y="3605653"/>
                  <a:pt x="7959245" y="3592375"/>
                  <a:pt x="7977033" y="3592375"/>
                </a:cubicBezTo>
                <a:cubicBezTo>
                  <a:pt x="7994820" y="3592375"/>
                  <a:pt x="8009237" y="3605653"/>
                  <a:pt x="8009237" y="3622027"/>
                </a:cubicBezTo>
                <a:cubicBezTo>
                  <a:pt x="8009237" y="3638402"/>
                  <a:pt x="7994820" y="3651679"/>
                  <a:pt x="7977033" y="3651679"/>
                </a:cubicBezTo>
                <a:close/>
                <a:moveTo>
                  <a:pt x="8055566" y="3651679"/>
                </a:moveTo>
                <a:cubicBezTo>
                  <a:pt x="8037779" y="3651679"/>
                  <a:pt x="8023349" y="3638402"/>
                  <a:pt x="8023349" y="3622027"/>
                </a:cubicBezTo>
                <a:cubicBezTo>
                  <a:pt x="8023349" y="3605653"/>
                  <a:pt x="8037779" y="3592375"/>
                  <a:pt x="8055566" y="3592375"/>
                </a:cubicBezTo>
                <a:cubicBezTo>
                  <a:pt x="8073353" y="3592375"/>
                  <a:pt x="8087770" y="3605653"/>
                  <a:pt x="8087770" y="3622027"/>
                </a:cubicBezTo>
                <a:cubicBezTo>
                  <a:pt x="8087770" y="3638402"/>
                  <a:pt x="8073353" y="3651679"/>
                  <a:pt x="8055566" y="3651679"/>
                </a:cubicBezTo>
                <a:close/>
                <a:moveTo>
                  <a:pt x="8135127" y="3651679"/>
                </a:moveTo>
                <a:cubicBezTo>
                  <a:pt x="8117340" y="3651679"/>
                  <a:pt x="8102911" y="3638402"/>
                  <a:pt x="8102911" y="3622027"/>
                </a:cubicBezTo>
                <a:cubicBezTo>
                  <a:pt x="8102911" y="3605653"/>
                  <a:pt x="8117340" y="3592375"/>
                  <a:pt x="8135127" y="3592375"/>
                </a:cubicBezTo>
                <a:cubicBezTo>
                  <a:pt x="8152915" y="3592375"/>
                  <a:pt x="8167332" y="3605653"/>
                  <a:pt x="8167332" y="3622027"/>
                </a:cubicBezTo>
                <a:cubicBezTo>
                  <a:pt x="8167332" y="3638402"/>
                  <a:pt x="8152915" y="3651679"/>
                  <a:pt x="8135127" y="3651679"/>
                </a:cubicBezTo>
                <a:close/>
                <a:moveTo>
                  <a:pt x="8213660" y="3651679"/>
                </a:moveTo>
                <a:cubicBezTo>
                  <a:pt x="8195873" y="3651679"/>
                  <a:pt x="8181444" y="3638402"/>
                  <a:pt x="8181444" y="3622027"/>
                </a:cubicBezTo>
                <a:cubicBezTo>
                  <a:pt x="8181444" y="3605653"/>
                  <a:pt x="8195873" y="3592375"/>
                  <a:pt x="8213660" y="3592375"/>
                </a:cubicBezTo>
                <a:cubicBezTo>
                  <a:pt x="8231448" y="3592375"/>
                  <a:pt x="8245865" y="3605653"/>
                  <a:pt x="8245865" y="3622027"/>
                </a:cubicBezTo>
                <a:cubicBezTo>
                  <a:pt x="8245865" y="3638402"/>
                  <a:pt x="8231448" y="3651679"/>
                  <a:pt x="8213660" y="3651679"/>
                </a:cubicBezTo>
                <a:close/>
                <a:moveTo>
                  <a:pt x="8291712" y="3651679"/>
                </a:moveTo>
                <a:cubicBezTo>
                  <a:pt x="8273924" y="3651679"/>
                  <a:pt x="8259495" y="3638402"/>
                  <a:pt x="8259495" y="3622027"/>
                </a:cubicBezTo>
                <a:cubicBezTo>
                  <a:pt x="8259495" y="3605653"/>
                  <a:pt x="8273924" y="3592375"/>
                  <a:pt x="8291712" y="3592375"/>
                </a:cubicBezTo>
                <a:cubicBezTo>
                  <a:pt x="8309499" y="3592375"/>
                  <a:pt x="8323916" y="3605653"/>
                  <a:pt x="8323916" y="3622027"/>
                </a:cubicBezTo>
                <a:cubicBezTo>
                  <a:pt x="8323916" y="3638402"/>
                  <a:pt x="8309499" y="3651679"/>
                  <a:pt x="8291712" y="3651679"/>
                </a:cubicBezTo>
                <a:close/>
                <a:moveTo>
                  <a:pt x="8370245" y="3651679"/>
                </a:moveTo>
                <a:cubicBezTo>
                  <a:pt x="8352458" y="3651679"/>
                  <a:pt x="8338029" y="3638402"/>
                  <a:pt x="8338029" y="3622027"/>
                </a:cubicBezTo>
                <a:cubicBezTo>
                  <a:pt x="8338029" y="3605653"/>
                  <a:pt x="8352458" y="3592375"/>
                  <a:pt x="8370245" y="3592375"/>
                </a:cubicBezTo>
                <a:cubicBezTo>
                  <a:pt x="8388032" y="3592375"/>
                  <a:pt x="8402449" y="3605653"/>
                  <a:pt x="8402449" y="3622027"/>
                </a:cubicBezTo>
                <a:cubicBezTo>
                  <a:pt x="8402449" y="3638402"/>
                  <a:pt x="8388032" y="3651679"/>
                  <a:pt x="8370245" y="3651679"/>
                </a:cubicBezTo>
                <a:close/>
                <a:moveTo>
                  <a:pt x="8448779" y="3651679"/>
                </a:moveTo>
                <a:cubicBezTo>
                  <a:pt x="8430992" y="3651679"/>
                  <a:pt x="8416563" y="3638402"/>
                  <a:pt x="8416563" y="3622027"/>
                </a:cubicBezTo>
                <a:cubicBezTo>
                  <a:pt x="8416563" y="3605653"/>
                  <a:pt x="8430992" y="3592375"/>
                  <a:pt x="8448779" y="3592375"/>
                </a:cubicBezTo>
                <a:cubicBezTo>
                  <a:pt x="8466566" y="3592375"/>
                  <a:pt x="8480983" y="3605653"/>
                  <a:pt x="8480983" y="3622027"/>
                </a:cubicBezTo>
                <a:cubicBezTo>
                  <a:pt x="8480983" y="3638402"/>
                  <a:pt x="8466566" y="3651679"/>
                  <a:pt x="8448779" y="3651679"/>
                </a:cubicBezTo>
                <a:close/>
                <a:moveTo>
                  <a:pt x="8527313" y="3651679"/>
                </a:moveTo>
                <a:cubicBezTo>
                  <a:pt x="8509526" y="3651679"/>
                  <a:pt x="8495097" y="3638402"/>
                  <a:pt x="8495097" y="3622027"/>
                </a:cubicBezTo>
                <a:cubicBezTo>
                  <a:pt x="8495097" y="3605653"/>
                  <a:pt x="8509526" y="3592375"/>
                  <a:pt x="8527313" y="3592375"/>
                </a:cubicBezTo>
                <a:cubicBezTo>
                  <a:pt x="8545101" y="3592375"/>
                  <a:pt x="8559518" y="3605653"/>
                  <a:pt x="8559518" y="3622027"/>
                </a:cubicBezTo>
                <a:cubicBezTo>
                  <a:pt x="8559518" y="3638402"/>
                  <a:pt x="8545101" y="3651679"/>
                  <a:pt x="8527313" y="3651679"/>
                </a:cubicBezTo>
                <a:close/>
                <a:moveTo>
                  <a:pt x="8605847" y="3651679"/>
                </a:moveTo>
                <a:cubicBezTo>
                  <a:pt x="8588059" y="3651679"/>
                  <a:pt x="8573630" y="3638402"/>
                  <a:pt x="8573630" y="3622027"/>
                </a:cubicBezTo>
                <a:cubicBezTo>
                  <a:pt x="8573630" y="3605653"/>
                  <a:pt x="8588059" y="3592375"/>
                  <a:pt x="8605847" y="3592375"/>
                </a:cubicBezTo>
                <a:cubicBezTo>
                  <a:pt x="8623634" y="3592375"/>
                  <a:pt x="8638051" y="3605653"/>
                  <a:pt x="8638051" y="3622027"/>
                </a:cubicBezTo>
                <a:cubicBezTo>
                  <a:pt x="8638051" y="3638402"/>
                  <a:pt x="8623634" y="3651679"/>
                  <a:pt x="8605847" y="3651679"/>
                </a:cubicBezTo>
                <a:close/>
                <a:moveTo>
                  <a:pt x="8684381" y="3651679"/>
                </a:moveTo>
                <a:cubicBezTo>
                  <a:pt x="8666594" y="3651679"/>
                  <a:pt x="8652165" y="3638402"/>
                  <a:pt x="8652165" y="3622027"/>
                </a:cubicBezTo>
                <a:cubicBezTo>
                  <a:pt x="8652165" y="3605653"/>
                  <a:pt x="8666594" y="3592375"/>
                  <a:pt x="8684381" y="3592375"/>
                </a:cubicBezTo>
                <a:cubicBezTo>
                  <a:pt x="8702168" y="3592375"/>
                  <a:pt x="8716585" y="3605653"/>
                  <a:pt x="8716585" y="3622027"/>
                </a:cubicBezTo>
                <a:cubicBezTo>
                  <a:pt x="8716585" y="3638402"/>
                  <a:pt x="8702168" y="3651679"/>
                  <a:pt x="8684381" y="3651679"/>
                </a:cubicBezTo>
                <a:close/>
                <a:moveTo>
                  <a:pt x="8762914" y="3651679"/>
                </a:moveTo>
                <a:cubicBezTo>
                  <a:pt x="8745127" y="3651679"/>
                  <a:pt x="8730698" y="3638402"/>
                  <a:pt x="8730698" y="3622027"/>
                </a:cubicBezTo>
                <a:cubicBezTo>
                  <a:pt x="8730698" y="3605653"/>
                  <a:pt x="8745127" y="3592375"/>
                  <a:pt x="8762914" y="3592375"/>
                </a:cubicBezTo>
                <a:cubicBezTo>
                  <a:pt x="8780701" y="3592375"/>
                  <a:pt x="8795118" y="3605653"/>
                  <a:pt x="8795118" y="3622027"/>
                </a:cubicBezTo>
                <a:cubicBezTo>
                  <a:pt x="8795118" y="3638402"/>
                  <a:pt x="8780701" y="3651679"/>
                  <a:pt x="8762914" y="3651679"/>
                </a:cubicBezTo>
                <a:close/>
                <a:moveTo>
                  <a:pt x="8841448" y="3651679"/>
                </a:moveTo>
                <a:cubicBezTo>
                  <a:pt x="8823661" y="3651679"/>
                  <a:pt x="8809232" y="3638402"/>
                  <a:pt x="8809232" y="3622027"/>
                </a:cubicBezTo>
                <a:cubicBezTo>
                  <a:pt x="8809232" y="3605653"/>
                  <a:pt x="8823661" y="3592375"/>
                  <a:pt x="8841448" y="3592375"/>
                </a:cubicBezTo>
                <a:cubicBezTo>
                  <a:pt x="8859236" y="3592375"/>
                  <a:pt x="8873653" y="3605653"/>
                  <a:pt x="8873653" y="3622027"/>
                </a:cubicBezTo>
                <a:cubicBezTo>
                  <a:pt x="8873653" y="3638402"/>
                  <a:pt x="8859236" y="3651679"/>
                  <a:pt x="8841448" y="3651679"/>
                </a:cubicBezTo>
                <a:close/>
                <a:moveTo>
                  <a:pt x="8919983" y="3651679"/>
                </a:moveTo>
                <a:cubicBezTo>
                  <a:pt x="8902195" y="3651679"/>
                  <a:pt x="8887766" y="3638402"/>
                  <a:pt x="8887766" y="3622027"/>
                </a:cubicBezTo>
                <a:cubicBezTo>
                  <a:pt x="8887766" y="3605653"/>
                  <a:pt x="8902195" y="3592375"/>
                  <a:pt x="8919983" y="3592375"/>
                </a:cubicBezTo>
                <a:cubicBezTo>
                  <a:pt x="8937770" y="3592375"/>
                  <a:pt x="8952187" y="3605653"/>
                  <a:pt x="8952187" y="3622027"/>
                </a:cubicBezTo>
                <a:cubicBezTo>
                  <a:pt x="8952187" y="3638402"/>
                  <a:pt x="8937770" y="3651679"/>
                  <a:pt x="8919983" y="3651679"/>
                </a:cubicBezTo>
                <a:close/>
                <a:moveTo>
                  <a:pt x="8998516" y="3651679"/>
                </a:moveTo>
                <a:cubicBezTo>
                  <a:pt x="8980729" y="3651679"/>
                  <a:pt x="8966300" y="3638402"/>
                  <a:pt x="8966300" y="3622027"/>
                </a:cubicBezTo>
                <a:cubicBezTo>
                  <a:pt x="8966300" y="3605653"/>
                  <a:pt x="8980729" y="3592375"/>
                  <a:pt x="8998516" y="3592375"/>
                </a:cubicBezTo>
                <a:cubicBezTo>
                  <a:pt x="9016303" y="3592375"/>
                  <a:pt x="9030720" y="3605653"/>
                  <a:pt x="9030720" y="3622027"/>
                </a:cubicBezTo>
                <a:cubicBezTo>
                  <a:pt x="9030720" y="3638402"/>
                  <a:pt x="9016303" y="3651679"/>
                  <a:pt x="8998516" y="3651679"/>
                </a:cubicBezTo>
                <a:close/>
                <a:moveTo>
                  <a:pt x="9077050" y="3651679"/>
                </a:moveTo>
                <a:cubicBezTo>
                  <a:pt x="9059263" y="3651679"/>
                  <a:pt x="9044834" y="3638402"/>
                  <a:pt x="9044834" y="3622027"/>
                </a:cubicBezTo>
                <a:cubicBezTo>
                  <a:pt x="9044834" y="3605653"/>
                  <a:pt x="9059263" y="3592375"/>
                  <a:pt x="9077050" y="3592375"/>
                </a:cubicBezTo>
                <a:cubicBezTo>
                  <a:pt x="9094837" y="3592375"/>
                  <a:pt x="9109254" y="3605653"/>
                  <a:pt x="9109254" y="3622027"/>
                </a:cubicBezTo>
                <a:cubicBezTo>
                  <a:pt x="9109254" y="3638402"/>
                  <a:pt x="9094837" y="3651679"/>
                  <a:pt x="9077050" y="3651679"/>
                </a:cubicBezTo>
                <a:close/>
                <a:moveTo>
                  <a:pt x="9155583" y="3651679"/>
                </a:moveTo>
                <a:cubicBezTo>
                  <a:pt x="9137796" y="3651679"/>
                  <a:pt x="9123367" y="3638402"/>
                  <a:pt x="9123367" y="3622027"/>
                </a:cubicBezTo>
                <a:cubicBezTo>
                  <a:pt x="9123367" y="3605653"/>
                  <a:pt x="9137796" y="3592375"/>
                  <a:pt x="9155583" y="3592375"/>
                </a:cubicBezTo>
                <a:cubicBezTo>
                  <a:pt x="9173371" y="3592375"/>
                  <a:pt x="9187788" y="3605653"/>
                  <a:pt x="9187788" y="3622027"/>
                </a:cubicBezTo>
                <a:cubicBezTo>
                  <a:pt x="9187788" y="3638402"/>
                  <a:pt x="9173371" y="3651679"/>
                  <a:pt x="9155583" y="3651679"/>
                </a:cubicBezTo>
                <a:close/>
                <a:moveTo>
                  <a:pt x="9234118" y="3651679"/>
                </a:moveTo>
                <a:cubicBezTo>
                  <a:pt x="9216330" y="3651679"/>
                  <a:pt x="9201901" y="3638402"/>
                  <a:pt x="9201901" y="3622027"/>
                </a:cubicBezTo>
                <a:cubicBezTo>
                  <a:pt x="9201901" y="3605653"/>
                  <a:pt x="9216330" y="3592375"/>
                  <a:pt x="9234118" y="3592375"/>
                </a:cubicBezTo>
                <a:cubicBezTo>
                  <a:pt x="9251905" y="3592375"/>
                  <a:pt x="9266322" y="3605653"/>
                  <a:pt x="9266322" y="3622027"/>
                </a:cubicBezTo>
                <a:cubicBezTo>
                  <a:pt x="9266322" y="3638402"/>
                  <a:pt x="9251905" y="3651679"/>
                  <a:pt x="9234118" y="3651679"/>
                </a:cubicBezTo>
                <a:close/>
                <a:moveTo>
                  <a:pt x="9705321" y="3651679"/>
                </a:moveTo>
                <a:cubicBezTo>
                  <a:pt x="9687534" y="3651679"/>
                  <a:pt x="9673105" y="3638402"/>
                  <a:pt x="9673105" y="3622027"/>
                </a:cubicBezTo>
                <a:cubicBezTo>
                  <a:pt x="9673105" y="3605653"/>
                  <a:pt x="9687534" y="3592375"/>
                  <a:pt x="9705321" y="3592375"/>
                </a:cubicBezTo>
                <a:cubicBezTo>
                  <a:pt x="9723108" y="3592375"/>
                  <a:pt x="9737525" y="3605653"/>
                  <a:pt x="9737525" y="3622027"/>
                </a:cubicBezTo>
                <a:cubicBezTo>
                  <a:pt x="9737525" y="3638402"/>
                  <a:pt x="9723108" y="3651679"/>
                  <a:pt x="9705321" y="3651679"/>
                </a:cubicBezTo>
                <a:close/>
                <a:moveTo>
                  <a:pt x="2637243" y="3579415"/>
                </a:moveTo>
                <a:cubicBezTo>
                  <a:pt x="2619455" y="3579415"/>
                  <a:pt x="2605032" y="3566137"/>
                  <a:pt x="2605032" y="3549762"/>
                </a:cubicBezTo>
                <a:cubicBezTo>
                  <a:pt x="2605032" y="3533388"/>
                  <a:pt x="2619455" y="3520110"/>
                  <a:pt x="2637243" y="3520110"/>
                </a:cubicBezTo>
                <a:cubicBezTo>
                  <a:pt x="2655030" y="3520110"/>
                  <a:pt x="2669453" y="3533388"/>
                  <a:pt x="2669453" y="3549762"/>
                </a:cubicBezTo>
                <a:cubicBezTo>
                  <a:pt x="2669453" y="3566137"/>
                  <a:pt x="2655030" y="3579415"/>
                  <a:pt x="2637243" y="3579415"/>
                </a:cubicBezTo>
                <a:close/>
                <a:moveTo>
                  <a:pt x="2715777" y="3579415"/>
                </a:moveTo>
                <a:cubicBezTo>
                  <a:pt x="2697990" y="3579415"/>
                  <a:pt x="2683566" y="3566137"/>
                  <a:pt x="2683566" y="3549762"/>
                </a:cubicBezTo>
                <a:cubicBezTo>
                  <a:pt x="2683566" y="3533388"/>
                  <a:pt x="2697990" y="3520110"/>
                  <a:pt x="2715777" y="3520110"/>
                </a:cubicBezTo>
                <a:cubicBezTo>
                  <a:pt x="2733564" y="3520110"/>
                  <a:pt x="2747987" y="3533388"/>
                  <a:pt x="2747987" y="3549762"/>
                </a:cubicBezTo>
                <a:cubicBezTo>
                  <a:pt x="2747987" y="3566137"/>
                  <a:pt x="2733564" y="3579415"/>
                  <a:pt x="2715777" y="3579415"/>
                </a:cubicBezTo>
                <a:close/>
                <a:moveTo>
                  <a:pt x="2794310" y="3579415"/>
                </a:moveTo>
                <a:cubicBezTo>
                  <a:pt x="2776523" y="3579415"/>
                  <a:pt x="2762100" y="3566137"/>
                  <a:pt x="2762100" y="3549762"/>
                </a:cubicBezTo>
                <a:cubicBezTo>
                  <a:pt x="2762100" y="3533388"/>
                  <a:pt x="2776523" y="3520110"/>
                  <a:pt x="2794310" y="3520110"/>
                </a:cubicBezTo>
                <a:cubicBezTo>
                  <a:pt x="2812097" y="3520110"/>
                  <a:pt x="2826520" y="3533388"/>
                  <a:pt x="2826520" y="3549762"/>
                </a:cubicBezTo>
                <a:cubicBezTo>
                  <a:pt x="2826520" y="3566137"/>
                  <a:pt x="2812097" y="3579415"/>
                  <a:pt x="2794310" y="3579415"/>
                </a:cubicBezTo>
                <a:close/>
                <a:moveTo>
                  <a:pt x="2872844" y="3579415"/>
                </a:moveTo>
                <a:cubicBezTo>
                  <a:pt x="2855057" y="3579415"/>
                  <a:pt x="2840634" y="3566137"/>
                  <a:pt x="2840634" y="3549762"/>
                </a:cubicBezTo>
                <a:cubicBezTo>
                  <a:pt x="2840634" y="3533388"/>
                  <a:pt x="2855057" y="3520110"/>
                  <a:pt x="2872844" y="3520110"/>
                </a:cubicBezTo>
                <a:cubicBezTo>
                  <a:pt x="2890632" y="3520110"/>
                  <a:pt x="2905055" y="3533388"/>
                  <a:pt x="2905055" y="3549762"/>
                </a:cubicBezTo>
                <a:cubicBezTo>
                  <a:pt x="2905055" y="3566137"/>
                  <a:pt x="2890632" y="3579415"/>
                  <a:pt x="2872844" y="3579415"/>
                </a:cubicBezTo>
                <a:close/>
                <a:moveTo>
                  <a:pt x="2951379" y="3579415"/>
                </a:moveTo>
                <a:cubicBezTo>
                  <a:pt x="2933591" y="3579415"/>
                  <a:pt x="2919168" y="3566137"/>
                  <a:pt x="2919168" y="3549762"/>
                </a:cubicBezTo>
                <a:cubicBezTo>
                  <a:pt x="2919168" y="3533388"/>
                  <a:pt x="2933591" y="3520110"/>
                  <a:pt x="2951379" y="3520110"/>
                </a:cubicBezTo>
                <a:cubicBezTo>
                  <a:pt x="2969166" y="3520110"/>
                  <a:pt x="2983589" y="3533388"/>
                  <a:pt x="2983589" y="3549762"/>
                </a:cubicBezTo>
                <a:cubicBezTo>
                  <a:pt x="2983589" y="3566137"/>
                  <a:pt x="2969166" y="3579415"/>
                  <a:pt x="2951379" y="3579415"/>
                </a:cubicBezTo>
                <a:close/>
                <a:moveTo>
                  <a:pt x="3029912" y="3579415"/>
                </a:moveTo>
                <a:cubicBezTo>
                  <a:pt x="3012125" y="3579415"/>
                  <a:pt x="2997701" y="3566137"/>
                  <a:pt x="2997701" y="3549762"/>
                </a:cubicBezTo>
                <a:cubicBezTo>
                  <a:pt x="2997701" y="3533388"/>
                  <a:pt x="3012125" y="3520110"/>
                  <a:pt x="3029912" y="3520110"/>
                </a:cubicBezTo>
                <a:cubicBezTo>
                  <a:pt x="3047699" y="3520110"/>
                  <a:pt x="3062122" y="3533388"/>
                  <a:pt x="3062122" y="3549762"/>
                </a:cubicBezTo>
                <a:cubicBezTo>
                  <a:pt x="3062122" y="3566137"/>
                  <a:pt x="3047699" y="3579415"/>
                  <a:pt x="3029912" y="3579415"/>
                </a:cubicBezTo>
                <a:close/>
                <a:moveTo>
                  <a:pt x="3108446" y="3579415"/>
                </a:moveTo>
                <a:cubicBezTo>
                  <a:pt x="3090659" y="3579415"/>
                  <a:pt x="3076236" y="3566137"/>
                  <a:pt x="3076236" y="3549762"/>
                </a:cubicBezTo>
                <a:cubicBezTo>
                  <a:pt x="3076236" y="3533388"/>
                  <a:pt x="3090659" y="3520110"/>
                  <a:pt x="3108446" y="3520110"/>
                </a:cubicBezTo>
                <a:cubicBezTo>
                  <a:pt x="3126233" y="3520110"/>
                  <a:pt x="3140656" y="3533388"/>
                  <a:pt x="3140656" y="3549762"/>
                </a:cubicBezTo>
                <a:cubicBezTo>
                  <a:pt x="3140656" y="3566137"/>
                  <a:pt x="3126233" y="3579415"/>
                  <a:pt x="3108446" y="3579415"/>
                </a:cubicBezTo>
                <a:close/>
                <a:moveTo>
                  <a:pt x="3186979" y="3579415"/>
                </a:moveTo>
                <a:cubicBezTo>
                  <a:pt x="3169192" y="3579415"/>
                  <a:pt x="3154769" y="3566137"/>
                  <a:pt x="3154769" y="3549762"/>
                </a:cubicBezTo>
                <a:cubicBezTo>
                  <a:pt x="3154769" y="3533388"/>
                  <a:pt x="3169192" y="3520110"/>
                  <a:pt x="3186979" y="3520110"/>
                </a:cubicBezTo>
                <a:cubicBezTo>
                  <a:pt x="3204767" y="3520110"/>
                  <a:pt x="3219190" y="3533388"/>
                  <a:pt x="3219190" y="3549762"/>
                </a:cubicBezTo>
                <a:cubicBezTo>
                  <a:pt x="3219190" y="3566137"/>
                  <a:pt x="3204767" y="3579415"/>
                  <a:pt x="3186979" y="3579415"/>
                </a:cubicBezTo>
                <a:close/>
                <a:moveTo>
                  <a:pt x="3265514" y="3579415"/>
                </a:moveTo>
                <a:cubicBezTo>
                  <a:pt x="3247726" y="3579415"/>
                  <a:pt x="3233303" y="3566137"/>
                  <a:pt x="3233303" y="3549762"/>
                </a:cubicBezTo>
                <a:cubicBezTo>
                  <a:pt x="3233303" y="3533388"/>
                  <a:pt x="3247726" y="3520110"/>
                  <a:pt x="3265514" y="3520110"/>
                </a:cubicBezTo>
                <a:cubicBezTo>
                  <a:pt x="3283301" y="3520110"/>
                  <a:pt x="3297724" y="3533388"/>
                  <a:pt x="3297724" y="3549762"/>
                </a:cubicBezTo>
                <a:cubicBezTo>
                  <a:pt x="3297724" y="3566137"/>
                  <a:pt x="3283301" y="3579415"/>
                  <a:pt x="3265514" y="3579415"/>
                </a:cubicBezTo>
                <a:close/>
                <a:moveTo>
                  <a:pt x="3344048" y="3579415"/>
                </a:moveTo>
                <a:cubicBezTo>
                  <a:pt x="3326261" y="3579415"/>
                  <a:pt x="3311837" y="3566137"/>
                  <a:pt x="3311837" y="3549762"/>
                </a:cubicBezTo>
                <a:cubicBezTo>
                  <a:pt x="3311837" y="3533388"/>
                  <a:pt x="3326261" y="3520110"/>
                  <a:pt x="3344048" y="3520110"/>
                </a:cubicBezTo>
                <a:cubicBezTo>
                  <a:pt x="3361835" y="3520110"/>
                  <a:pt x="3376258" y="3533388"/>
                  <a:pt x="3376258" y="3549762"/>
                </a:cubicBezTo>
                <a:cubicBezTo>
                  <a:pt x="3376258" y="3566137"/>
                  <a:pt x="3361835" y="3579415"/>
                  <a:pt x="3344048" y="3579415"/>
                </a:cubicBezTo>
                <a:close/>
                <a:moveTo>
                  <a:pt x="3422581" y="3579415"/>
                </a:moveTo>
                <a:cubicBezTo>
                  <a:pt x="3404794" y="3579415"/>
                  <a:pt x="3390371" y="3566137"/>
                  <a:pt x="3390371" y="3549762"/>
                </a:cubicBezTo>
                <a:cubicBezTo>
                  <a:pt x="3390371" y="3533388"/>
                  <a:pt x="3404794" y="3520110"/>
                  <a:pt x="3422581" y="3520110"/>
                </a:cubicBezTo>
                <a:cubicBezTo>
                  <a:pt x="3440368" y="3520110"/>
                  <a:pt x="3454791" y="3533388"/>
                  <a:pt x="3454791" y="3549762"/>
                </a:cubicBezTo>
                <a:cubicBezTo>
                  <a:pt x="3454791" y="3566137"/>
                  <a:pt x="3440368" y="3579415"/>
                  <a:pt x="3422581" y="3579415"/>
                </a:cubicBezTo>
                <a:close/>
                <a:moveTo>
                  <a:pt x="3501115" y="3579415"/>
                </a:moveTo>
                <a:cubicBezTo>
                  <a:pt x="3483328" y="3579415"/>
                  <a:pt x="3468905" y="3566137"/>
                  <a:pt x="3468905" y="3549762"/>
                </a:cubicBezTo>
                <a:cubicBezTo>
                  <a:pt x="3468905" y="3533388"/>
                  <a:pt x="3483328" y="3520110"/>
                  <a:pt x="3501115" y="3520110"/>
                </a:cubicBezTo>
                <a:cubicBezTo>
                  <a:pt x="3518903" y="3520110"/>
                  <a:pt x="3533326" y="3533388"/>
                  <a:pt x="3533326" y="3549762"/>
                </a:cubicBezTo>
                <a:cubicBezTo>
                  <a:pt x="3533326" y="3566137"/>
                  <a:pt x="3518903" y="3579415"/>
                  <a:pt x="3501115" y="3579415"/>
                </a:cubicBezTo>
                <a:close/>
                <a:moveTo>
                  <a:pt x="3579650" y="3579415"/>
                </a:moveTo>
                <a:cubicBezTo>
                  <a:pt x="3561862" y="3579415"/>
                  <a:pt x="3547439" y="3566137"/>
                  <a:pt x="3547439" y="3549762"/>
                </a:cubicBezTo>
                <a:cubicBezTo>
                  <a:pt x="3547439" y="3533388"/>
                  <a:pt x="3561862" y="3520110"/>
                  <a:pt x="3579650" y="3520110"/>
                </a:cubicBezTo>
                <a:cubicBezTo>
                  <a:pt x="3597437" y="3520110"/>
                  <a:pt x="3611860" y="3533388"/>
                  <a:pt x="3611860" y="3549762"/>
                </a:cubicBezTo>
                <a:cubicBezTo>
                  <a:pt x="3611860" y="3566137"/>
                  <a:pt x="3597437" y="3579415"/>
                  <a:pt x="3579650" y="3579415"/>
                </a:cubicBezTo>
                <a:close/>
                <a:moveTo>
                  <a:pt x="3658183" y="3579415"/>
                </a:moveTo>
                <a:cubicBezTo>
                  <a:pt x="3640396" y="3579415"/>
                  <a:pt x="3625972" y="3566137"/>
                  <a:pt x="3625972" y="3549762"/>
                </a:cubicBezTo>
                <a:cubicBezTo>
                  <a:pt x="3625972" y="3533388"/>
                  <a:pt x="3640396" y="3520110"/>
                  <a:pt x="3658183" y="3520110"/>
                </a:cubicBezTo>
                <a:cubicBezTo>
                  <a:pt x="3675970" y="3520110"/>
                  <a:pt x="3690393" y="3533388"/>
                  <a:pt x="3690393" y="3549762"/>
                </a:cubicBezTo>
                <a:cubicBezTo>
                  <a:pt x="3690393" y="3566137"/>
                  <a:pt x="3675970" y="3579415"/>
                  <a:pt x="3658183" y="3579415"/>
                </a:cubicBezTo>
                <a:close/>
                <a:moveTo>
                  <a:pt x="5778604" y="3579415"/>
                </a:moveTo>
                <a:cubicBezTo>
                  <a:pt x="5760816" y="3579415"/>
                  <a:pt x="5746387" y="3566137"/>
                  <a:pt x="5746387" y="3549762"/>
                </a:cubicBezTo>
                <a:cubicBezTo>
                  <a:pt x="5746387" y="3533388"/>
                  <a:pt x="5760816" y="3520110"/>
                  <a:pt x="5778604" y="3520110"/>
                </a:cubicBezTo>
                <a:cubicBezTo>
                  <a:pt x="5796391" y="3520110"/>
                  <a:pt x="5810808" y="3533388"/>
                  <a:pt x="5810808" y="3549762"/>
                </a:cubicBezTo>
                <a:cubicBezTo>
                  <a:pt x="5810808" y="3566137"/>
                  <a:pt x="5796391" y="3579415"/>
                  <a:pt x="5778604" y="3579415"/>
                </a:cubicBezTo>
                <a:close/>
                <a:moveTo>
                  <a:pt x="5857137" y="3579415"/>
                </a:moveTo>
                <a:cubicBezTo>
                  <a:pt x="5839350" y="3579415"/>
                  <a:pt x="5824920" y="3566137"/>
                  <a:pt x="5824920" y="3549762"/>
                </a:cubicBezTo>
                <a:cubicBezTo>
                  <a:pt x="5824920" y="3533388"/>
                  <a:pt x="5839350" y="3520110"/>
                  <a:pt x="5857137" y="3520110"/>
                </a:cubicBezTo>
                <a:cubicBezTo>
                  <a:pt x="5874924" y="3520110"/>
                  <a:pt x="5889341" y="3533388"/>
                  <a:pt x="5889341" y="3549762"/>
                </a:cubicBezTo>
                <a:cubicBezTo>
                  <a:pt x="5889341" y="3566137"/>
                  <a:pt x="5874924" y="3579415"/>
                  <a:pt x="5857137" y="3579415"/>
                </a:cubicBezTo>
                <a:close/>
                <a:moveTo>
                  <a:pt x="5935671" y="3579415"/>
                </a:moveTo>
                <a:cubicBezTo>
                  <a:pt x="5917884" y="3579415"/>
                  <a:pt x="5903455" y="3566137"/>
                  <a:pt x="5903455" y="3549762"/>
                </a:cubicBezTo>
                <a:cubicBezTo>
                  <a:pt x="5903455" y="3533388"/>
                  <a:pt x="5917884" y="3520110"/>
                  <a:pt x="5935671" y="3520110"/>
                </a:cubicBezTo>
                <a:cubicBezTo>
                  <a:pt x="5953458" y="3520110"/>
                  <a:pt x="5967875" y="3533388"/>
                  <a:pt x="5967875" y="3549762"/>
                </a:cubicBezTo>
                <a:cubicBezTo>
                  <a:pt x="5967875" y="3566137"/>
                  <a:pt x="5953458" y="3579415"/>
                  <a:pt x="5935671" y="3579415"/>
                </a:cubicBezTo>
                <a:close/>
                <a:moveTo>
                  <a:pt x="6014205" y="3579415"/>
                </a:moveTo>
                <a:cubicBezTo>
                  <a:pt x="5996418" y="3579415"/>
                  <a:pt x="5981989" y="3566137"/>
                  <a:pt x="5981989" y="3549762"/>
                </a:cubicBezTo>
                <a:cubicBezTo>
                  <a:pt x="5981989" y="3533388"/>
                  <a:pt x="5996418" y="3520110"/>
                  <a:pt x="6014205" y="3520110"/>
                </a:cubicBezTo>
                <a:cubicBezTo>
                  <a:pt x="6031993" y="3520110"/>
                  <a:pt x="6046410" y="3533388"/>
                  <a:pt x="6046410" y="3549762"/>
                </a:cubicBezTo>
                <a:cubicBezTo>
                  <a:pt x="6046410" y="3566137"/>
                  <a:pt x="6031993" y="3579415"/>
                  <a:pt x="6014205" y="3579415"/>
                </a:cubicBezTo>
                <a:close/>
                <a:moveTo>
                  <a:pt x="6092739" y="3579415"/>
                </a:moveTo>
                <a:cubicBezTo>
                  <a:pt x="6074951" y="3579415"/>
                  <a:pt x="6060522" y="3566137"/>
                  <a:pt x="6060522" y="3549762"/>
                </a:cubicBezTo>
                <a:cubicBezTo>
                  <a:pt x="6060522" y="3533388"/>
                  <a:pt x="6074951" y="3520110"/>
                  <a:pt x="6092739" y="3520110"/>
                </a:cubicBezTo>
                <a:cubicBezTo>
                  <a:pt x="6110526" y="3520110"/>
                  <a:pt x="6124943" y="3533388"/>
                  <a:pt x="6124943" y="3549762"/>
                </a:cubicBezTo>
                <a:cubicBezTo>
                  <a:pt x="6124943" y="3566137"/>
                  <a:pt x="6110526" y="3579415"/>
                  <a:pt x="6092739" y="3579415"/>
                </a:cubicBezTo>
                <a:close/>
                <a:moveTo>
                  <a:pt x="6171273" y="3579415"/>
                </a:moveTo>
                <a:cubicBezTo>
                  <a:pt x="6153486" y="3579415"/>
                  <a:pt x="6139056" y="3566137"/>
                  <a:pt x="6139056" y="3549762"/>
                </a:cubicBezTo>
                <a:cubicBezTo>
                  <a:pt x="6139056" y="3533388"/>
                  <a:pt x="6153486" y="3520110"/>
                  <a:pt x="6171273" y="3520110"/>
                </a:cubicBezTo>
                <a:cubicBezTo>
                  <a:pt x="6189060" y="3520110"/>
                  <a:pt x="6203477" y="3533388"/>
                  <a:pt x="6203477" y="3549762"/>
                </a:cubicBezTo>
                <a:cubicBezTo>
                  <a:pt x="6203477" y="3566137"/>
                  <a:pt x="6189060" y="3579415"/>
                  <a:pt x="6171273" y="3579415"/>
                </a:cubicBezTo>
                <a:close/>
                <a:moveTo>
                  <a:pt x="6878077" y="3579415"/>
                </a:moveTo>
                <a:cubicBezTo>
                  <a:pt x="6860290" y="3579415"/>
                  <a:pt x="6845861" y="3566137"/>
                  <a:pt x="6845861" y="3549762"/>
                </a:cubicBezTo>
                <a:cubicBezTo>
                  <a:pt x="6845861" y="3533388"/>
                  <a:pt x="6860290" y="3520110"/>
                  <a:pt x="6878077" y="3520110"/>
                </a:cubicBezTo>
                <a:cubicBezTo>
                  <a:pt x="6895864" y="3520110"/>
                  <a:pt x="6910281" y="3533388"/>
                  <a:pt x="6910281" y="3549762"/>
                </a:cubicBezTo>
                <a:cubicBezTo>
                  <a:pt x="6910281" y="3566137"/>
                  <a:pt x="6895864" y="3579415"/>
                  <a:pt x="6878077" y="3579415"/>
                </a:cubicBezTo>
                <a:close/>
                <a:moveTo>
                  <a:pt x="6956611" y="3579415"/>
                </a:moveTo>
                <a:cubicBezTo>
                  <a:pt x="6938824" y="3579415"/>
                  <a:pt x="6924395" y="3566137"/>
                  <a:pt x="6924395" y="3549762"/>
                </a:cubicBezTo>
                <a:cubicBezTo>
                  <a:pt x="6924395" y="3533388"/>
                  <a:pt x="6938824" y="3520110"/>
                  <a:pt x="6956611" y="3520110"/>
                </a:cubicBezTo>
                <a:cubicBezTo>
                  <a:pt x="6974399" y="3520110"/>
                  <a:pt x="6988816" y="3533388"/>
                  <a:pt x="6988816" y="3549762"/>
                </a:cubicBezTo>
                <a:cubicBezTo>
                  <a:pt x="6988816" y="3566137"/>
                  <a:pt x="6974399" y="3579415"/>
                  <a:pt x="6956611" y="3579415"/>
                </a:cubicBezTo>
                <a:close/>
                <a:moveTo>
                  <a:pt x="7035146" y="3579415"/>
                </a:moveTo>
                <a:cubicBezTo>
                  <a:pt x="7017358" y="3579415"/>
                  <a:pt x="7002929" y="3566137"/>
                  <a:pt x="7002929" y="3549762"/>
                </a:cubicBezTo>
                <a:cubicBezTo>
                  <a:pt x="7002929" y="3533388"/>
                  <a:pt x="7017358" y="3520110"/>
                  <a:pt x="7035146" y="3520110"/>
                </a:cubicBezTo>
                <a:cubicBezTo>
                  <a:pt x="7052933" y="3520110"/>
                  <a:pt x="7067350" y="3533388"/>
                  <a:pt x="7067350" y="3549762"/>
                </a:cubicBezTo>
                <a:cubicBezTo>
                  <a:pt x="7067350" y="3566137"/>
                  <a:pt x="7052933" y="3579415"/>
                  <a:pt x="7035146" y="3579415"/>
                </a:cubicBezTo>
                <a:close/>
                <a:moveTo>
                  <a:pt x="7113703" y="3579415"/>
                </a:moveTo>
                <a:cubicBezTo>
                  <a:pt x="7095916" y="3579415"/>
                  <a:pt x="7081487" y="3566137"/>
                  <a:pt x="7081487" y="3549762"/>
                </a:cubicBezTo>
                <a:cubicBezTo>
                  <a:pt x="7081487" y="3533388"/>
                  <a:pt x="7095916" y="3520110"/>
                  <a:pt x="7113703" y="3520110"/>
                </a:cubicBezTo>
                <a:cubicBezTo>
                  <a:pt x="7131490" y="3520110"/>
                  <a:pt x="7145907" y="3533388"/>
                  <a:pt x="7145907" y="3549762"/>
                </a:cubicBezTo>
                <a:cubicBezTo>
                  <a:pt x="7145907" y="3566137"/>
                  <a:pt x="7131490" y="3579415"/>
                  <a:pt x="7113703" y="3579415"/>
                </a:cubicBezTo>
                <a:close/>
                <a:moveTo>
                  <a:pt x="7192237" y="3579415"/>
                </a:moveTo>
                <a:cubicBezTo>
                  <a:pt x="7174450" y="3579415"/>
                  <a:pt x="7160021" y="3566137"/>
                  <a:pt x="7160021" y="3549762"/>
                </a:cubicBezTo>
                <a:cubicBezTo>
                  <a:pt x="7160021" y="3533388"/>
                  <a:pt x="7174450" y="3520110"/>
                  <a:pt x="7192237" y="3520110"/>
                </a:cubicBezTo>
                <a:cubicBezTo>
                  <a:pt x="7210024" y="3520110"/>
                  <a:pt x="7224441" y="3533388"/>
                  <a:pt x="7224441" y="3549762"/>
                </a:cubicBezTo>
                <a:cubicBezTo>
                  <a:pt x="7224441" y="3566137"/>
                  <a:pt x="7210024" y="3579415"/>
                  <a:pt x="7192237" y="3579415"/>
                </a:cubicBezTo>
                <a:close/>
                <a:moveTo>
                  <a:pt x="7270771" y="3579415"/>
                </a:moveTo>
                <a:cubicBezTo>
                  <a:pt x="7252984" y="3579415"/>
                  <a:pt x="7238555" y="3566137"/>
                  <a:pt x="7238555" y="3549762"/>
                </a:cubicBezTo>
                <a:cubicBezTo>
                  <a:pt x="7238555" y="3533388"/>
                  <a:pt x="7252984" y="3520110"/>
                  <a:pt x="7270771" y="3520110"/>
                </a:cubicBezTo>
                <a:cubicBezTo>
                  <a:pt x="7288559" y="3520110"/>
                  <a:pt x="7302976" y="3533388"/>
                  <a:pt x="7302976" y="3549762"/>
                </a:cubicBezTo>
                <a:cubicBezTo>
                  <a:pt x="7302976" y="3566137"/>
                  <a:pt x="7288559" y="3579415"/>
                  <a:pt x="7270771" y="3579415"/>
                </a:cubicBezTo>
                <a:close/>
                <a:moveTo>
                  <a:pt x="7349305" y="3579415"/>
                </a:moveTo>
                <a:cubicBezTo>
                  <a:pt x="7331517" y="3579415"/>
                  <a:pt x="7317088" y="3566137"/>
                  <a:pt x="7317088" y="3549762"/>
                </a:cubicBezTo>
                <a:cubicBezTo>
                  <a:pt x="7317088" y="3533388"/>
                  <a:pt x="7331517" y="3520110"/>
                  <a:pt x="7349305" y="3520110"/>
                </a:cubicBezTo>
                <a:cubicBezTo>
                  <a:pt x="7367092" y="3520110"/>
                  <a:pt x="7381509" y="3533388"/>
                  <a:pt x="7381509" y="3549762"/>
                </a:cubicBezTo>
                <a:cubicBezTo>
                  <a:pt x="7381509" y="3566137"/>
                  <a:pt x="7367092" y="3579415"/>
                  <a:pt x="7349305" y="3579415"/>
                </a:cubicBezTo>
                <a:close/>
                <a:moveTo>
                  <a:pt x="7427839" y="3579415"/>
                </a:moveTo>
                <a:cubicBezTo>
                  <a:pt x="7410052" y="3579415"/>
                  <a:pt x="7395623" y="3566137"/>
                  <a:pt x="7395623" y="3549762"/>
                </a:cubicBezTo>
                <a:cubicBezTo>
                  <a:pt x="7395623" y="3533388"/>
                  <a:pt x="7410052" y="3520110"/>
                  <a:pt x="7427839" y="3520110"/>
                </a:cubicBezTo>
                <a:cubicBezTo>
                  <a:pt x="7445626" y="3520110"/>
                  <a:pt x="7460043" y="3533388"/>
                  <a:pt x="7460043" y="3549762"/>
                </a:cubicBezTo>
                <a:cubicBezTo>
                  <a:pt x="7460043" y="3566137"/>
                  <a:pt x="7445626" y="3579415"/>
                  <a:pt x="7427839" y="3579415"/>
                </a:cubicBezTo>
                <a:close/>
                <a:moveTo>
                  <a:pt x="7506373" y="3579415"/>
                </a:moveTo>
                <a:cubicBezTo>
                  <a:pt x="7488586" y="3579415"/>
                  <a:pt x="7474157" y="3566137"/>
                  <a:pt x="7474157" y="3549762"/>
                </a:cubicBezTo>
                <a:cubicBezTo>
                  <a:pt x="7474157" y="3533388"/>
                  <a:pt x="7488586" y="3520110"/>
                  <a:pt x="7506373" y="3520110"/>
                </a:cubicBezTo>
                <a:cubicBezTo>
                  <a:pt x="7524160" y="3520110"/>
                  <a:pt x="7538577" y="3533388"/>
                  <a:pt x="7538577" y="3549762"/>
                </a:cubicBezTo>
                <a:cubicBezTo>
                  <a:pt x="7538577" y="3566137"/>
                  <a:pt x="7524160" y="3579415"/>
                  <a:pt x="7506373" y="3579415"/>
                </a:cubicBezTo>
                <a:close/>
                <a:moveTo>
                  <a:pt x="7584906" y="3579415"/>
                </a:moveTo>
                <a:cubicBezTo>
                  <a:pt x="7567119" y="3579415"/>
                  <a:pt x="7552690" y="3566137"/>
                  <a:pt x="7552690" y="3549762"/>
                </a:cubicBezTo>
                <a:cubicBezTo>
                  <a:pt x="7552690" y="3533388"/>
                  <a:pt x="7567119" y="3520110"/>
                  <a:pt x="7584906" y="3520110"/>
                </a:cubicBezTo>
                <a:cubicBezTo>
                  <a:pt x="7602694" y="3520110"/>
                  <a:pt x="7617111" y="3533388"/>
                  <a:pt x="7617111" y="3549762"/>
                </a:cubicBezTo>
                <a:cubicBezTo>
                  <a:pt x="7617111" y="3566137"/>
                  <a:pt x="7602694" y="3579415"/>
                  <a:pt x="7584906" y="3579415"/>
                </a:cubicBezTo>
                <a:close/>
                <a:moveTo>
                  <a:pt x="7663441" y="3579415"/>
                </a:moveTo>
                <a:cubicBezTo>
                  <a:pt x="7645653" y="3579415"/>
                  <a:pt x="7631224" y="3566137"/>
                  <a:pt x="7631224" y="3549762"/>
                </a:cubicBezTo>
                <a:cubicBezTo>
                  <a:pt x="7631224" y="3533388"/>
                  <a:pt x="7645653" y="3520110"/>
                  <a:pt x="7663441" y="3520110"/>
                </a:cubicBezTo>
                <a:cubicBezTo>
                  <a:pt x="7681228" y="3520110"/>
                  <a:pt x="7695645" y="3533388"/>
                  <a:pt x="7695645" y="3549762"/>
                </a:cubicBezTo>
                <a:cubicBezTo>
                  <a:pt x="7695645" y="3566137"/>
                  <a:pt x="7681228" y="3579415"/>
                  <a:pt x="7663441" y="3579415"/>
                </a:cubicBezTo>
                <a:close/>
                <a:moveTo>
                  <a:pt x="7741974" y="3579415"/>
                </a:moveTo>
                <a:cubicBezTo>
                  <a:pt x="7724187" y="3579415"/>
                  <a:pt x="7709758" y="3566137"/>
                  <a:pt x="7709758" y="3549762"/>
                </a:cubicBezTo>
                <a:cubicBezTo>
                  <a:pt x="7709758" y="3533388"/>
                  <a:pt x="7724187" y="3520110"/>
                  <a:pt x="7741974" y="3520110"/>
                </a:cubicBezTo>
                <a:cubicBezTo>
                  <a:pt x="7759761" y="3520110"/>
                  <a:pt x="7774178" y="3533388"/>
                  <a:pt x="7774178" y="3549762"/>
                </a:cubicBezTo>
                <a:cubicBezTo>
                  <a:pt x="7774178" y="3566137"/>
                  <a:pt x="7759761" y="3579415"/>
                  <a:pt x="7741974" y="3579415"/>
                </a:cubicBezTo>
                <a:close/>
                <a:moveTo>
                  <a:pt x="7820508" y="3579415"/>
                </a:moveTo>
                <a:cubicBezTo>
                  <a:pt x="7802721" y="3579415"/>
                  <a:pt x="7788292" y="3566137"/>
                  <a:pt x="7788292" y="3549762"/>
                </a:cubicBezTo>
                <a:cubicBezTo>
                  <a:pt x="7788292" y="3533388"/>
                  <a:pt x="7802721" y="3520110"/>
                  <a:pt x="7820508" y="3520110"/>
                </a:cubicBezTo>
                <a:cubicBezTo>
                  <a:pt x="7838295" y="3520110"/>
                  <a:pt x="7852712" y="3533388"/>
                  <a:pt x="7852712" y="3549762"/>
                </a:cubicBezTo>
                <a:cubicBezTo>
                  <a:pt x="7852712" y="3566137"/>
                  <a:pt x="7838295" y="3579415"/>
                  <a:pt x="7820508" y="3579415"/>
                </a:cubicBezTo>
                <a:close/>
                <a:moveTo>
                  <a:pt x="7899042" y="3579415"/>
                </a:moveTo>
                <a:cubicBezTo>
                  <a:pt x="7881255" y="3579415"/>
                  <a:pt x="7866826" y="3566137"/>
                  <a:pt x="7866826" y="3549762"/>
                </a:cubicBezTo>
                <a:cubicBezTo>
                  <a:pt x="7866826" y="3533388"/>
                  <a:pt x="7881255" y="3520110"/>
                  <a:pt x="7899042" y="3520110"/>
                </a:cubicBezTo>
                <a:cubicBezTo>
                  <a:pt x="7916830" y="3520110"/>
                  <a:pt x="7931247" y="3533388"/>
                  <a:pt x="7931247" y="3549762"/>
                </a:cubicBezTo>
                <a:cubicBezTo>
                  <a:pt x="7931247" y="3566137"/>
                  <a:pt x="7916830" y="3579415"/>
                  <a:pt x="7899042" y="3579415"/>
                </a:cubicBezTo>
                <a:close/>
                <a:moveTo>
                  <a:pt x="7977576" y="3579415"/>
                </a:moveTo>
                <a:cubicBezTo>
                  <a:pt x="7959788" y="3579415"/>
                  <a:pt x="7945359" y="3566137"/>
                  <a:pt x="7945359" y="3549762"/>
                </a:cubicBezTo>
                <a:cubicBezTo>
                  <a:pt x="7945359" y="3533388"/>
                  <a:pt x="7959788" y="3520110"/>
                  <a:pt x="7977576" y="3520110"/>
                </a:cubicBezTo>
                <a:cubicBezTo>
                  <a:pt x="7995363" y="3520110"/>
                  <a:pt x="8009780" y="3533388"/>
                  <a:pt x="8009780" y="3549762"/>
                </a:cubicBezTo>
                <a:cubicBezTo>
                  <a:pt x="8009780" y="3566137"/>
                  <a:pt x="7995363" y="3579415"/>
                  <a:pt x="7977576" y="3579415"/>
                </a:cubicBezTo>
                <a:close/>
                <a:moveTo>
                  <a:pt x="8056110" y="3579415"/>
                </a:moveTo>
                <a:cubicBezTo>
                  <a:pt x="8038323" y="3579415"/>
                  <a:pt x="8023894" y="3566137"/>
                  <a:pt x="8023894" y="3549762"/>
                </a:cubicBezTo>
                <a:cubicBezTo>
                  <a:pt x="8023894" y="3533388"/>
                  <a:pt x="8038323" y="3520110"/>
                  <a:pt x="8056110" y="3520110"/>
                </a:cubicBezTo>
                <a:cubicBezTo>
                  <a:pt x="8073897" y="3520110"/>
                  <a:pt x="8088314" y="3533388"/>
                  <a:pt x="8088314" y="3549762"/>
                </a:cubicBezTo>
                <a:cubicBezTo>
                  <a:pt x="8088314" y="3566137"/>
                  <a:pt x="8073897" y="3579415"/>
                  <a:pt x="8056110" y="3579415"/>
                </a:cubicBezTo>
                <a:close/>
                <a:moveTo>
                  <a:pt x="8134643" y="3579415"/>
                </a:moveTo>
                <a:cubicBezTo>
                  <a:pt x="8116856" y="3579415"/>
                  <a:pt x="8102427" y="3566137"/>
                  <a:pt x="8102427" y="3549762"/>
                </a:cubicBezTo>
                <a:cubicBezTo>
                  <a:pt x="8102427" y="3533388"/>
                  <a:pt x="8116856" y="3520110"/>
                  <a:pt x="8134643" y="3520110"/>
                </a:cubicBezTo>
                <a:cubicBezTo>
                  <a:pt x="8152430" y="3520110"/>
                  <a:pt x="8166847" y="3533388"/>
                  <a:pt x="8166847" y="3549762"/>
                </a:cubicBezTo>
                <a:cubicBezTo>
                  <a:pt x="8166847" y="3566137"/>
                  <a:pt x="8152430" y="3579415"/>
                  <a:pt x="8134643" y="3579415"/>
                </a:cubicBezTo>
                <a:close/>
                <a:moveTo>
                  <a:pt x="8213177" y="3579415"/>
                </a:moveTo>
                <a:cubicBezTo>
                  <a:pt x="8195390" y="3579415"/>
                  <a:pt x="8180961" y="3566137"/>
                  <a:pt x="8180961" y="3549762"/>
                </a:cubicBezTo>
                <a:cubicBezTo>
                  <a:pt x="8180961" y="3533388"/>
                  <a:pt x="8195390" y="3520110"/>
                  <a:pt x="8213177" y="3520110"/>
                </a:cubicBezTo>
                <a:cubicBezTo>
                  <a:pt x="8230965" y="3520110"/>
                  <a:pt x="8245382" y="3533388"/>
                  <a:pt x="8245382" y="3549762"/>
                </a:cubicBezTo>
                <a:cubicBezTo>
                  <a:pt x="8245382" y="3566137"/>
                  <a:pt x="8230965" y="3579415"/>
                  <a:pt x="8213177" y="3579415"/>
                </a:cubicBezTo>
                <a:close/>
                <a:moveTo>
                  <a:pt x="8291712" y="3579415"/>
                </a:moveTo>
                <a:cubicBezTo>
                  <a:pt x="8273924" y="3579415"/>
                  <a:pt x="8259495" y="3566137"/>
                  <a:pt x="8259495" y="3549762"/>
                </a:cubicBezTo>
                <a:cubicBezTo>
                  <a:pt x="8259495" y="3533388"/>
                  <a:pt x="8273924" y="3520110"/>
                  <a:pt x="8291712" y="3520110"/>
                </a:cubicBezTo>
                <a:cubicBezTo>
                  <a:pt x="8309499" y="3520110"/>
                  <a:pt x="8323916" y="3533388"/>
                  <a:pt x="8323916" y="3549762"/>
                </a:cubicBezTo>
                <a:cubicBezTo>
                  <a:pt x="8323916" y="3566137"/>
                  <a:pt x="8309499" y="3579415"/>
                  <a:pt x="8291712" y="3579415"/>
                </a:cubicBezTo>
                <a:close/>
                <a:moveTo>
                  <a:pt x="8370245" y="3579415"/>
                </a:moveTo>
                <a:cubicBezTo>
                  <a:pt x="8352458" y="3579415"/>
                  <a:pt x="8338029" y="3566137"/>
                  <a:pt x="8338029" y="3549762"/>
                </a:cubicBezTo>
                <a:cubicBezTo>
                  <a:pt x="8338029" y="3533388"/>
                  <a:pt x="8352458" y="3520110"/>
                  <a:pt x="8370245" y="3520110"/>
                </a:cubicBezTo>
                <a:cubicBezTo>
                  <a:pt x="8388032" y="3520110"/>
                  <a:pt x="8402449" y="3533388"/>
                  <a:pt x="8402449" y="3549762"/>
                </a:cubicBezTo>
                <a:cubicBezTo>
                  <a:pt x="8402449" y="3566137"/>
                  <a:pt x="8388032" y="3579415"/>
                  <a:pt x="8370245" y="3579415"/>
                </a:cubicBezTo>
                <a:close/>
                <a:moveTo>
                  <a:pt x="8448779" y="3579415"/>
                </a:moveTo>
                <a:cubicBezTo>
                  <a:pt x="8430992" y="3579415"/>
                  <a:pt x="8416563" y="3566137"/>
                  <a:pt x="8416563" y="3549762"/>
                </a:cubicBezTo>
                <a:cubicBezTo>
                  <a:pt x="8416563" y="3533388"/>
                  <a:pt x="8430992" y="3520110"/>
                  <a:pt x="8448779" y="3520110"/>
                </a:cubicBezTo>
                <a:cubicBezTo>
                  <a:pt x="8466566" y="3520110"/>
                  <a:pt x="8480983" y="3533388"/>
                  <a:pt x="8480983" y="3549762"/>
                </a:cubicBezTo>
                <a:cubicBezTo>
                  <a:pt x="8480983" y="3566137"/>
                  <a:pt x="8466566" y="3579415"/>
                  <a:pt x="8448779" y="3579415"/>
                </a:cubicBezTo>
                <a:close/>
                <a:moveTo>
                  <a:pt x="8527313" y="3579415"/>
                </a:moveTo>
                <a:cubicBezTo>
                  <a:pt x="8509526" y="3579415"/>
                  <a:pt x="8495097" y="3566137"/>
                  <a:pt x="8495097" y="3549762"/>
                </a:cubicBezTo>
                <a:cubicBezTo>
                  <a:pt x="8495097" y="3533388"/>
                  <a:pt x="8509526" y="3520110"/>
                  <a:pt x="8527313" y="3520110"/>
                </a:cubicBezTo>
                <a:cubicBezTo>
                  <a:pt x="8545101" y="3520110"/>
                  <a:pt x="8559518" y="3533388"/>
                  <a:pt x="8559518" y="3549762"/>
                </a:cubicBezTo>
                <a:cubicBezTo>
                  <a:pt x="8559518" y="3566137"/>
                  <a:pt x="8545101" y="3579415"/>
                  <a:pt x="8527313" y="3579415"/>
                </a:cubicBezTo>
                <a:close/>
                <a:moveTo>
                  <a:pt x="8605847" y="3579415"/>
                </a:moveTo>
                <a:cubicBezTo>
                  <a:pt x="8588059" y="3579415"/>
                  <a:pt x="8573630" y="3566137"/>
                  <a:pt x="8573630" y="3549762"/>
                </a:cubicBezTo>
                <a:cubicBezTo>
                  <a:pt x="8573630" y="3533388"/>
                  <a:pt x="8588059" y="3520110"/>
                  <a:pt x="8605847" y="3520110"/>
                </a:cubicBezTo>
                <a:cubicBezTo>
                  <a:pt x="8623634" y="3520110"/>
                  <a:pt x="8638051" y="3533388"/>
                  <a:pt x="8638051" y="3549762"/>
                </a:cubicBezTo>
                <a:cubicBezTo>
                  <a:pt x="8638051" y="3566137"/>
                  <a:pt x="8623634" y="3579415"/>
                  <a:pt x="8605847" y="3579415"/>
                </a:cubicBezTo>
                <a:close/>
                <a:moveTo>
                  <a:pt x="8684381" y="3579415"/>
                </a:moveTo>
                <a:cubicBezTo>
                  <a:pt x="8666594" y="3579415"/>
                  <a:pt x="8652165" y="3566137"/>
                  <a:pt x="8652165" y="3549762"/>
                </a:cubicBezTo>
                <a:cubicBezTo>
                  <a:pt x="8652165" y="3533388"/>
                  <a:pt x="8666594" y="3520110"/>
                  <a:pt x="8684381" y="3520110"/>
                </a:cubicBezTo>
                <a:cubicBezTo>
                  <a:pt x="8702168" y="3520110"/>
                  <a:pt x="8716585" y="3533388"/>
                  <a:pt x="8716585" y="3549762"/>
                </a:cubicBezTo>
                <a:cubicBezTo>
                  <a:pt x="8716585" y="3566137"/>
                  <a:pt x="8702168" y="3579415"/>
                  <a:pt x="8684381" y="3579415"/>
                </a:cubicBezTo>
                <a:close/>
                <a:moveTo>
                  <a:pt x="8762914" y="3579415"/>
                </a:moveTo>
                <a:cubicBezTo>
                  <a:pt x="8745127" y="3579415"/>
                  <a:pt x="8730698" y="3566137"/>
                  <a:pt x="8730698" y="3549762"/>
                </a:cubicBezTo>
                <a:cubicBezTo>
                  <a:pt x="8730698" y="3533388"/>
                  <a:pt x="8745127" y="3520110"/>
                  <a:pt x="8762914" y="3520110"/>
                </a:cubicBezTo>
                <a:cubicBezTo>
                  <a:pt x="8780701" y="3520110"/>
                  <a:pt x="8795118" y="3533388"/>
                  <a:pt x="8795118" y="3549762"/>
                </a:cubicBezTo>
                <a:cubicBezTo>
                  <a:pt x="8795118" y="3566137"/>
                  <a:pt x="8780701" y="3579415"/>
                  <a:pt x="8762914" y="3579415"/>
                </a:cubicBezTo>
                <a:close/>
                <a:moveTo>
                  <a:pt x="8841448" y="3579415"/>
                </a:moveTo>
                <a:cubicBezTo>
                  <a:pt x="8823661" y="3579415"/>
                  <a:pt x="8809232" y="3566137"/>
                  <a:pt x="8809232" y="3549762"/>
                </a:cubicBezTo>
                <a:cubicBezTo>
                  <a:pt x="8809232" y="3533388"/>
                  <a:pt x="8823661" y="3520110"/>
                  <a:pt x="8841448" y="3520110"/>
                </a:cubicBezTo>
                <a:cubicBezTo>
                  <a:pt x="8859236" y="3520110"/>
                  <a:pt x="8873653" y="3533388"/>
                  <a:pt x="8873653" y="3549762"/>
                </a:cubicBezTo>
                <a:cubicBezTo>
                  <a:pt x="8873653" y="3566137"/>
                  <a:pt x="8859236" y="3579415"/>
                  <a:pt x="8841448" y="3579415"/>
                </a:cubicBezTo>
                <a:close/>
                <a:moveTo>
                  <a:pt x="8919983" y="3579415"/>
                </a:moveTo>
                <a:cubicBezTo>
                  <a:pt x="8902195" y="3579415"/>
                  <a:pt x="8887766" y="3566137"/>
                  <a:pt x="8887766" y="3549762"/>
                </a:cubicBezTo>
                <a:cubicBezTo>
                  <a:pt x="8887766" y="3533388"/>
                  <a:pt x="8902195" y="3520110"/>
                  <a:pt x="8919983" y="3520110"/>
                </a:cubicBezTo>
                <a:cubicBezTo>
                  <a:pt x="8937770" y="3520110"/>
                  <a:pt x="8952187" y="3533388"/>
                  <a:pt x="8952187" y="3549762"/>
                </a:cubicBezTo>
                <a:cubicBezTo>
                  <a:pt x="8952187" y="3566137"/>
                  <a:pt x="8937770" y="3579415"/>
                  <a:pt x="8919983" y="3579415"/>
                </a:cubicBezTo>
                <a:close/>
                <a:moveTo>
                  <a:pt x="8998516" y="3579415"/>
                </a:moveTo>
                <a:cubicBezTo>
                  <a:pt x="8980729" y="3579415"/>
                  <a:pt x="8966300" y="3566137"/>
                  <a:pt x="8966300" y="3549762"/>
                </a:cubicBezTo>
                <a:cubicBezTo>
                  <a:pt x="8966300" y="3533388"/>
                  <a:pt x="8980729" y="3520110"/>
                  <a:pt x="8998516" y="3520110"/>
                </a:cubicBezTo>
                <a:cubicBezTo>
                  <a:pt x="9016303" y="3520110"/>
                  <a:pt x="9030720" y="3533388"/>
                  <a:pt x="9030720" y="3549762"/>
                </a:cubicBezTo>
                <a:cubicBezTo>
                  <a:pt x="9030720" y="3566137"/>
                  <a:pt x="9016303" y="3579415"/>
                  <a:pt x="8998516" y="3579415"/>
                </a:cubicBezTo>
                <a:close/>
                <a:moveTo>
                  <a:pt x="9077050" y="3579415"/>
                </a:moveTo>
                <a:cubicBezTo>
                  <a:pt x="9059263" y="3579415"/>
                  <a:pt x="9044834" y="3566137"/>
                  <a:pt x="9044834" y="3549762"/>
                </a:cubicBezTo>
                <a:cubicBezTo>
                  <a:pt x="9044834" y="3533388"/>
                  <a:pt x="9059263" y="3520110"/>
                  <a:pt x="9077050" y="3520110"/>
                </a:cubicBezTo>
                <a:cubicBezTo>
                  <a:pt x="9094837" y="3520110"/>
                  <a:pt x="9109254" y="3533388"/>
                  <a:pt x="9109254" y="3549762"/>
                </a:cubicBezTo>
                <a:cubicBezTo>
                  <a:pt x="9109254" y="3566137"/>
                  <a:pt x="9094837" y="3579415"/>
                  <a:pt x="9077050" y="3579415"/>
                </a:cubicBezTo>
                <a:close/>
                <a:moveTo>
                  <a:pt x="9155583" y="3579415"/>
                </a:moveTo>
                <a:cubicBezTo>
                  <a:pt x="9137796" y="3579415"/>
                  <a:pt x="9123367" y="3566137"/>
                  <a:pt x="9123367" y="3549762"/>
                </a:cubicBezTo>
                <a:cubicBezTo>
                  <a:pt x="9123367" y="3533388"/>
                  <a:pt x="9137796" y="3520110"/>
                  <a:pt x="9155583" y="3520110"/>
                </a:cubicBezTo>
                <a:cubicBezTo>
                  <a:pt x="9173371" y="3520110"/>
                  <a:pt x="9187788" y="3533388"/>
                  <a:pt x="9187788" y="3549762"/>
                </a:cubicBezTo>
                <a:cubicBezTo>
                  <a:pt x="9187788" y="3566137"/>
                  <a:pt x="9173371" y="3579415"/>
                  <a:pt x="9155583" y="3579415"/>
                </a:cubicBezTo>
                <a:close/>
                <a:moveTo>
                  <a:pt x="9234118" y="3579415"/>
                </a:moveTo>
                <a:cubicBezTo>
                  <a:pt x="9216330" y="3579415"/>
                  <a:pt x="9201901" y="3566137"/>
                  <a:pt x="9201901" y="3549762"/>
                </a:cubicBezTo>
                <a:cubicBezTo>
                  <a:pt x="9201901" y="3533388"/>
                  <a:pt x="9216330" y="3520110"/>
                  <a:pt x="9234118" y="3520110"/>
                </a:cubicBezTo>
                <a:cubicBezTo>
                  <a:pt x="9251905" y="3520110"/>
                  <a:pt x="9266322" y="3533388"/>
                  <a:pt x="9266322" y="3549762"/>
                </a:cubicBezTo>
                <a:cubicBezTo>
                  <a:pt x="9266322" y="3566137"/>
                  <a:pt x="9251905" y="3579415"/>
                  <a:pt x="9234118" y="3579415"/>
                </a:cubicBezTo>
                <a:close/>
                <a:moveTo>
                  <a:pt x="9312652" y="3579415"/>
                </a:moveTo>
                <a:cubicBezTo>
                  <a:pt x="9294865" y="3579415"/>
                  <a:pt x="9280436" y="3566137"/>
                  <a:pt x="9280436" y="3549762"/>
                </a:cubicBezTo>
                <a:cubicBezTo>
                  <a:pt x="9280436" y="3533388"/>
                  <a:pt x="9294865" y="3520110"/>
                  <a:pt x="9312652" y="3520110"/>
                </a:cubicBezTo>
                <a:cubicBezTo>
                  <a:pt x="9330439" y="3520110"/>
                  <a:pt x="9344856" y="3533388"/>
                  <a:pt x="9344856" y="3549762"/>
                </a:cubicBezTo>
                <a:cubicBezTo>
                  <a:pt x="9344856" y="3566137"/>
                  <a:pt x="9330439" y="3579415"/>
                  <a:pt x="9312652" y="3579415"/>
                </a:cubicBezTo>
                <a:close/>
                <a:moveTo>
                  <a:pt x="9626787" y="3579415"/>
                </a:moveTo>
                <a:cubicBezTo>
                  <a:pt x="9609000" y="3579415"/>
                  <a:pt x="9594571" y="3566137"/>
                  <a:pt x="9594571" y="3549762"/>
                </a:cubicBezTo>
                <a:cubicBezTo>
                  <a:pt x="9594571" y="3533388"/>
                  <a:pt x="9609000" y="3520110"/>
                  <a:pt x="9626787" y="3520110"/>
                </a:cubicBezTo>
                <a:cubicBezTo>
                  <a:pt x="9644574" y="3520110"/>
                  <a:pt x="9658991" y="3533388"/>
                  <a:pt x="9658991" y="3549762"/>
                </a:cubicBezTo>
                <a:cubicBezTo>
                  <a:pt x="9658991" y="3566137"/>
                  <a:pt x="9644574" y="3579415"/>
                  <a:pt x="9626787" y="3579415"/>
                </a:cubicBezTo>
                <a:close/>
                <a:moveTo>
                  <a:pt x="2637243" y="3507149"/>
                </a:moveTo>
                <a:cubicBezTo>
                  <a:pt x="2619455" y="3507149"/>
                  <a:pt x="2605032" y="3493871"/>
                  <a:pt x="2605032" y="3477497"/>
                </a:cubicBezTo>
                <a:cubicBezTo>
                  <a:pt x="2605032" y="3461122"/>
                  <a:pt x="2619455" y="3447845"/>
                  <a:pt x="2637243" y="3447845"/>
                </a:cubicBezTo>
                <a:cubicBezTo>
                  <a:pt x="2655030" y="3447845"/>
                  <a:pt x="2669453" y="3461122"/>
                  <a:pt x="2669453" y="3477497"/>
                </a:cubicBezTo>
                <a:cubicBezTo>
                  <a:pt x="2669453" y="3493871"/>
                  <a:pt x="2655030" y="3507149"/>
                  <a:pt x="2637243" y="3507149"/>
                </a:cubicBezTo>
                <a:close/>
                <a:moveTo>
                  <a:pt x="2794310" y="3507149"/>
                </a:moveTo>
                <a:cubicBezTo>
                  <a:pt x="2776523" y="3507149"/>
                  <a:pt x="2762100" y="3493871"/>
                  <a:pt x="2762100" y="3477497"/>
                </a:cubicBezTo>
                <a:cubicBezTo>
                  <a:pt x="2762100" y="3461122"/>
                  <a:pt x="2776523" y="3447845"/>
                  <a:pt x="2794310" y="3447845"/>
                </a:cubicBezTo>
                <a:cubicBezTo>
                  <a:pt x="2812097" y="3447845"/>
                  <a:pt x="2826520" y="3461122"/>
                  <a:pt x="2826520" y="3477497"/>
                </a:cubicBezTo>
                <a:cubicBezTo>
                  <a:pt x="2826520" y="3493871"/>
                  <a:pt x="2812097" y="3507149"/>
                  <a:pt x="2794310" y="3507149"/>
                </a:cubicBezTo>
                <a:close/>
                <a:moveTo>
                  <a:pt x="2872844" y="3507149"/>
                </a:moveTo>
                <a:cubicBezTo>
                  <a:pt x="2855057" y="3507149"/>
                  <a:pt x="2840634" y="3493871"/>
                  <a:pt x="2840634" y="3477497"/>
                </a:cubicBezTo>
                <a:cubicBezTo>
                  <a:pt x="2840634" y="3461122"/>
                  <a:pt x="2855057" y="3447845"/>
                  <a:pt x="2872844" y="3447845"/>
                </a:cubicBezTo>
                <a:cubicBezTo>
                  <a:pt x="2890632" y="3447845"/>
                  <a:pt x="2905055" y="3461122"/>
                  <a:pt x="2905055" y="3477497"/>
                </a:cubicBezTo>
                <a:cubicBezTo>
                  <a:pt x="2905055" y="3493871"/>
                  <a:pt x="2890632" y="3507149"/>
                  <a:pt x="2872844" y="3507149"/>
                </a:cubicBezTo>
                <a:close/>
                <a:moveTo>
                  <a:pt x="2951379" y="3507149"/>
                </a:moveTo>
                <a:cubicBezTo>
                  <a:pt x="2933591" y="3507149"/>
                  <a:pt x="2919168" y="3493871"/>
                  <a:pt x="2919168" y="3477497"/>
                </a:cubicBezTo>
                <a:cubicBezTo>
                  <a:pt x="2919168" y="3461122"/>
                  <a:pt x="2933591" y="3447845"/>
                  <a:pt x="2951379" y="3447845"/>
                </a:cubicBezTo>
                <a:cubicBezTo>
                  <a:pt x="2969166" y="3447845"/>
                  <a:pt x="2983589" y="3461122"/>
                  <a:pt x="2983589" y="3477497"/>
                </a:cubicBezTo>
                <a:cubicBezTo>
                  <a:pt x="2983589" y="3493871"/>
                  <a:pt x="2969166" y="3507149"/>
                  <a:pt x="2951379" y="3507149"/>
                </a:cubicBezTo>
                <a:close/>
                <a:moveTo>
                  <a:pt x="3029912" y="3507149"/>
                </a:moveTo>
                <a:cubicBezTo>
                  <a:pt x="3012125" y="3507149"/>
                  <a:pt x="2997701" y="3493871"/>
                  <a:pt x="2997701" y="3477497"/>
                </a:cubicBezTo>
                <a:cubicBezTo>
                  <a:pt x="2997701" y="3461122"/>
                  <a:pt x="3012125" y="3447845"/>
                  <a:pt x="3029912" y="3447845"/>
                </a:cubicBezTo>
                <a:cubicBezTo>
                  <a:pt x="3047699" y="3447845"/>
                  <a:pt x="3062122" y="3461122"/>
                  <a:pt x="3062122" y="3477497"/>
                </a:cubicBezTo>
                <a:cubicBezTo>
                  <a:pt x="3062122" y="3493871"/>
                  <a:pt x="3047699" y="3507149"/>
                  <a:pt x="3029912" y="3507149"/>
                </a:cubicBezTo>
                <a:close/>
                <a:moveTo>
                  <a:pt x="3108446" y="3507149"/>
                </a:moveTo>
                <a:cubicBezTo>
                  <a:pt x="3090659" y="3507149"/>
                  <a:pt x="3076236" y="3493871"/>
                  <a:pt x="3076236" y="3477497"/>
                </a:cubicBezTo>
                <a:cubicBezTo>
                  <a:pt x="3076236" y="3461122"/>
                  <a:pt x="3090659" y="3447845"/>
                  <a:pt x="3108446" y="3447845"/>
                </a:cubicBezTo>
                <a:cubicBezTo>
                  <a:pt x="3126233" y="3447845"/>
                  <a:pt x="3140656" y="3461122"/>
                  <a:pt x="3140656" y="3477497"/>
                </a:cubicBezTo>
                <a:cubicBezTo>
                  <a:pt x="3140656" y="3493871"/>
                  <a:pt x="3126233" y="3507149"/>
                  <a:pt x="3108446" y="3507149"/>
                </a:cubicBezTo>
                <a:close/>
                <a:moveTo>
                  <a:pt x="3186979" y="3507149"/>
                </a:moveTo>
                <a:cubicBezTo>
                  <a:pt x="3169192" y="3507149"/>
                  <a:pt x="3154769" y="3493871"/>
                  <a:pt x="3154769" y="3477497"/>
                </a:cubicBezTo>
                <a:cubicBezTo>
                  <a:pt x="3154769" y="3461122"/>
                  <a:pt x="3169192" y="3447845"/>
                  <a:pt x="3186979" y="3447845"/>
                </a:cubicBezTo>
                <a:cubicBezTo>
                  <a:pt x="3204767" y="3447845"/>
                  <a:pt x="3219190" y="3461122"/>
                  <a:pt x="3219190" y="3477497"/>
                </a:cubicBezTo>
                <a:cubicBezTo>
                  <a:pt x="3219190" y="3493871"/>
                  <a:pt x="3204767" y="3507149"/>
                  <a:pt x="3186979" y="3507149"/>
                </a:cubicBezTo>
                <a:close/>
                <a:moveTo>
                  <a:pt x="3265514" y="3507149"/>
                </a:moveTo>
                <a:cubicBezTo>
                  <a:pt x="3247726" y="3507149"/>
                  <a:pt x="3233303" y="3493871"/>
                  <a:pt x="3233303" y="3477497"/>
                </a:cubicBezTo>
                <a:cubicBezTo>
                  <a:pt x="3233303" y="3461122"/>
                  <a:pt x="3247726" y="3447845"/>
                  <a:pt x="3265514" y="3447845"/>
                </a:cubicBezTo>
                <a:cubicBezTo>
                  <a:pt x="3283301" y="3447845"/>
                  <a:pt x="3297724" y="3461122"/>
                  <a:pt x="3297724" y="3477497"/>
                </a:cubicBezTo>
                <a:cubicBezTo>
                  <a:pt x="3297724" y="3493871"/>
                  <a:pt x="3283301" y="3507149"/>
                  <a:pt x="3265514" y="3507149"/>
                </a:cubicBezTo>
                <a:close/>
                <a:moveTo>
                  <a:pt x="3344048" y="3507149"/>
                </a:moveTo>
                <a:cubicBezTo>
                  <a:pt x="3326261" y="3507149"/>
                  <a:pt x="3311837" y="3493871"/>
                  <a:pt x="3311837" y="3477497"/>
                </a:cubicBezTo>
                <a:cubicBezTo>
                  <a:pt x="3311837" y="3461122"/>
                  <a:pt x="3326261" y="3447845"/>
                  <a:pt x="3344048" y="3447845"/>
                </a:cubicBezTo>
                <a:cubicBezTo>
                  <a:pt x="3361835" y="3447845"/>
                  <a:pt x="3376258" y="3461122"/>
                  <a:pt x="3376258" y="3477497"/>
                </a:cubicBezTo>
                <a:cubicBezTo>
                  <a:pt x="3376258" y="3493871"/>
                  <a:pt x="3361835" y="3507149"/>
                  <a:pt x="3344048" y="3507149"/>
                </a:cubicBezTo>
                <a:close/>
                <a:moveTo>
                  <a:pt x="3422581" y="3507149"/>
                </a:moveTo>
                <a:cubicBezTo>
                  <a:pt x="3404794" y="3507149"/>
                  <a:pt x="3390371" y="3493871"/>
                  <a:pt x="3390371" y="3477497"/>
                </a:cubicBezTo>
                <a:cubicBezTo>
                  <a:pt x="3390371" y="3461122"/>
                  <a:pt x="3404794" y="3447845"/>
                  <a:pt x="3422581" y="3447845"/>
                </a:cubicBezTo>
                <a:cubicBezTo>
                  <a:pt x="3440368" y="3447845"/>
                  <a:pt x="3454791" y="3461122"/>
                  <a:pt x="3454791" y="3477497"/>
                </a:cubicBezTo>
                <a:cubicBezTo>
                  <a:pt x="3454791" y="3493871"/>
                  <a:pt x="3440368" y="3507149"/>
                  <a:pt x="3422581" y="3507149"/>
                </a:cubicBezTo>
                <a:close/>
                <a:moveTo>
                  <a:pt x="3501115" y="3507149"/>
                </a:moveTo>
                <a:cubicBezTo>
                  <a:pt x="3483328" y="3507149"/>
                  <a:pt x="3468905" y="3493871"/>
                  <a:pt x="3468905" y="3477497"/>
                </a:cubicBezTo>
                <a:cubicBezTo>
                  <a:pt x="3468905" y="3461122"/>
                  <a:pt x="3483328" y="3447845"/>
                  <a:pt x="3501115" y="3447845"/>
                </a:cubicBezTo>
                <a:cubicBezTo>
                  <a:pt x="3518903" y="3447845"/>
                  <a:pt x="3533326" y="3461122"/>
                  <a:pt x="3533326" y="3477497"/>
                </a:cubicBezTo>
                <a:cubicBezTo>
                  <a:pt x="3533326" y="3493871"/>
                  <a:pt x="3518903" y="3507149"/>
                  <a:pt x="3501115" y="3507149"/>
                </a:cubicBezTo>
                <a:close/>
                <a:moveTo>
                  <a:pt x="3579650" y="3507149"/>
                </a:moveTo>
                <a:cubicBezTo>
                  <a:pt x="3561862" y="3507149"/>
                  <a:pt x="3547439" y="3493871"/>
                  <a:pt x="3547439" y="3477497"/>
                </a:cubicBezTo>
                <a:cubicBezTo>
                  <a:pt x="3547439" y="3461122"/>
                  <a:pt x="3561862" y="3447845"/>
                  <a:pt x="3579650" y="3447845"/>
                </a:cubicBezTo>
                <a:cubicBezTo>
                  <a:pt x="3597437" y="3447845"/>
                  <a:pt x="3611860" y="3461122"/>
                  <a:pt x="3611860" y="3477497"/>
                </a:cubicBezTo>
                <a:cubicBezTo>
                  <a:pt x="3611860" y="3493871"/>
                  <a:pt x="3597437" y="3507149"/>
                  <a:pt x="3579650" y="3507149"/>
                </a:cubicBezTo>
                <a:close/>
                <a:moveTo>
                  <a:pt x="5700069" y="3507149"/>
                </a:moveTo>
                <a:cubicBezTo>
                  <a:pt x="5682282" y="3507149"/>
                  <a:pt x="5667853" y="3493871"/>
                  <a:pt x="5667853" y="3477497"/>
                </a:cubicBezTo>
                <a:cubicBezTo>
                  <a:pt x="5667853" y="3461122"/>
                  <a:pt x="5682282" y="3447845"/>
                  <a:pt x="5700069" y="3447845"/>
                </a:cubicBezTo>
                <a:cubicBezTo>
                  <a:pt x="5717857" y="3447845"/>
                  <a:pt x="5732274" y="3461122"/>
                  <a:pt x="5732274" y="3477497"/>
                </a:cubicBezTo>
                <a:cubicBezTo>
                  <a:pt x="5732274" y="3493871"/>
                  <a:pt x="5717857" y="3507149"/>
                  <a:pt x="5700069" y="3507149"/>
                </a:cubicBezTo>
                <a:close/>
                <a:moveTo>
                  <a:pt x="5778604" y="3507149"/>
                </a:moveTo>
                <a:cubicBezTo>
                  <a:pt x="5760816" y="3507149"/>
                  <a:pt x="5746387" y="3493871"/>
                  <a:pt x="5746387" y="3477497"/>
                </a:cubicBezTo>
                <a:cubicBezTo>
                  <a:pt x="5746387" y="3461122"/>
                  <a:pt x="5760816" y="3447845"/>
                  <a:pt x="5778604" y="3447845"/>
                </a:cubicBezTo>
                <a:cubicBezTo>
                  <a:pt x="5796391" y="3447845"/>
                  <a:pt x="5810808" y="3461122"/>
                  <a:pt x="5810808" y="3477497"/>
                </a:cubicBezTo>
                <a:cubicBezTo>
                  <a:pt x="5810808" y="3493871"/>
                  <a:pt x="5796391" y="3507149"/>
                  <a:pt x="5778604" y="3507149"/>
                </a:cubicBezTo>
                <a:close/>
                <a:moveTo>
                  <a:pt x="5857137" y="3507149"/>
                </a:moveTo>
                <a:cubicBezTo>
                  <a:pt x="5839350" y="3507149"/>
                  <a:pt x="5824920" y="3493871"/>
                  <a:pt x="5824920" y="3477497"/>
                </a:cubicBezTo>
                <a:cubicBezTo>
                  <a:pt x="5824920" y="3461122"/>
                  <a:pt x="5839350" y="3447845"/>
                  <a:pt x="5857137" y="3447845"/>
                </a:cubicBezTo>
                <a:cubicBezTo>
                  <a:pt x="5874924" y="3447845"/>
                  <a:pt x="5889341" y="3461122"/>
                  <a:pt x="5889341" y="3477497"/>
                </a:cubicBezTo>
                <a:cubicBezTo>
                  <a:pt x="5889341" y="3493871"/>
                  <a:pt x="5874924" y="3507149"/>
                  <a:pt x="5857137" y="3507149"/>
                </a:cubicBezTo>
                <a:close/>
                <a:moveTo>
                  <a:pt x="5935671" y="3507149"/>
                </a:moveTo>
                <a:cubicBezTo>
                  <a:pt x="5917884" y="3507149"/>
                  <a:pt x="5903455" y="3493871"/>
                  <a:pt x="5903455" y="3477497"/>
                </a:cubicBezTo>
                <a:cubicBezTo>
                  <a:pt x="5903455" y="3461122"/>
                  <a:pt x="5917884" y="3447845"/>
                  <a:pt x="5935671" y="3447845"/>
                </a:cubicBezTo>
                <a:cubicBezTo>
                  <a:pt x="5953458" y="3447845"/>
                  <a:pt x="5967875" y="3461122"/>
                  <a:pt x="5967875" y="3477497"/>
                </a:cubicBezTo>
                <a:cubicBezTo>
                  <a:pt x="5967875" y="3493871"/>
                  <a:pt x="5953458" y="3507149"/>
                  <a:pt x="5935671" y="3507149"/>
                </a:cubicBezTo>
                <a:close/>
                <a:moveTo>
                  <a:pt x="6014205" y="3507149"/>
                </a:moveTo>
                <a:cubicBezTo>
                  <a:pt x="5996418" y="3507149"/>
                  <a:pt x="5981989" y="3493871"/>
                  <a:pt x="5981989" y="3477497"/>
                </a:cubicBezTo>
                <a:cubicBezTo>
                  <a:pt x="5981989" y="3461122"/>
                  <a:pt x="5996418" y="3447845"/>
                  <a:pt x="6014205" y="3447845"/>
                </a:cubicBezTo>
                <a:cubicBezTo>
                  <a:pt x="6031993" y="3447845"/>
                  <a:pt x="6046410" y="3461122"/>
                  <a:pt x="6046410" y="3477497"/>
                </a:cubicBezTo>
                <a:cubicBezTo>
                  <a:pt x="6046410" y="3493871"/>
                  <a:pt x="6031993" y="3507149"/>
                  <a:pt x="6014205" y="3507149"/>
                </a:cubicBezTo>
                <a:close/>
                <a:moveTo>
                  <a:pt x="6092739" y="3507149"/>
                </a:moveTo>
                <a:cubicBezTo>
                  <a:pt x="6074951" y="3507149"/>
                  <a:pt x="6060522" y="3493871"/>
                  <a:pt x="6060522" y="3477497"/>
                </a:cubicBezTo>
                <a:cubicBezTo>
                  <a:pt x="6060522" y="3461122"/>
                  <a:pt x="6074951" y="3447845"/>
                  <a:pt x="6092739" y="3447845"/>
                </a:cubicBezTo>
                <a:cubicBezTo>
                  <a:pt x="6110526" y="3447845"/>
                  <a:pt x="6124943" y="3461122"/>
                  <a:pt x="6124943" y="3477497"/>
                </a:cubicBezTo>
                <a:cubicBezTo>
                  <a:pt x="6124943" y="3493871"/>
                  <a:pt x="6110526" y="3507149"/>
                  <a:pt x="6092739" y="3507149"/>
                </a:cubicBezTo>
                <a:close/>
                <a:moveTo>
                  <a:pt x="6171273" y="3507149"/>
                </a:moveTo>
                <a:cubicBezTo>
                  <a:pt x="6153486" y="3507149"/>
                  <a:pt x="6139056" y="3493871"/>
                  <a:pt x="6139056" y="3477497"/>
                </a:cubicBezTo>
                <a:cubicBezTo>
                  <a:pt x="6139056" y="3461122"/>
                  <a:pt x="6153486" y="3447845"/>
                  <a:pt x="6171273" y="3447845"/>
                </a:cubicBezTo>
                <a:cubicBezTo>
                  <a:pt x="6189060" y="3447845"/>
                  <a:pt x="6203477" y="3461122"/>
                  <a:pt x="6203477" y="3477497"/>
                </a:cubicBezTo>
                <a:cubicBezTo>
                  <a:pt x="6203477" y="3493871"/>
                  <a:pt x="6189060" y="3507149"/>
                  <a:pt x="6171273" y="3507149"/>
                </a:cubicBezTo>
                <a:close/>
                <a:moveTo>
                  <a:pt x="6249806" y="3507149"/>
                </a:moveTo>
                <a:cubicBezTo>
                  <a:pt x="6232019" y="3507149"/>
                  <a:pt x="6217590" y="3493871"/>
                  <a:pt x="6217590" y="3477497"/>
                </a:cubicBezTo>
                <a:cubicBezTo>
                  <a:pt x="6217590" y="3461122"/>
                  <a:pt x="6232019" y="3447845"/>
                  <a:pt x="6249806" y="3447845"/>
                </a:cubicBezTo>
                <a:cubicBezTo>
                  <a:pt x="6267593" y="3447845"/>
                  <a:pt x="6282010" y="3461122"/>
                  <a:pt x="6282010" y="3477497"/>
                </a:cubicBezTo>
                <a:cubicBezTo>
                  <a:pt x="6282010" y="3493871"/>
                  <a:pt x="6267593" y="3507149"/>
                  <a:pt x="6249806" y="3507149"/>
                </a:cubicBezTo>
                <a:close/>
                <a:moveTo>
                  <a:pt x="6328340" y="3507149"/>
                </a:moveTo>
                <a:cubicBezTo>
                  <a:pt x="6310553" y="3507149"/>
                  <a:pt x="6296124" y="3493871"/>
                  <a:pt x="6296124" y="3477497"/>
                </a:cubicBezTo>
                <a:cubicBezTo>
                  <a:pt x="6296124" y="3461122"/>
                  <a:pt x="6310553" y="3447845"/>
                  <a:pt x="6328340" y="3447845"/>
                </a:cubicBezTo>
                <a:cubicBezTo>
                  <a:pt x="6346128" y="3447845"/>
                  <a:pt x="6360545" y="3461122"/>
                  <a:pt x="6360545" y="3477497"/>
                </a:cubicBezTo>
                <a:cubicBezTo>
                  <a:pt x="6360545" y="3493871"/>
                  <a:pt x="6346128" y="3507149"/>
                  <a:pt x="6328340" y="3507149"/>
                </a:cubicBezTo>
                <a:close/>
                <a:moveTo>
                  <a:pt x="6563942" y="3507149"/>
                </a:moveTo>
                <a:cubicBezTo>
                  <a:pt x="6546155" y="3507149"/>
                  <a:pt x="6531726" y="3493871"/>
                  <a:pt x="6531726" y="3477497"/>
                </a:cubicBezTo>
                <a:cubicBezTo>
                  <a:pt x="6531726" y="3461122"/>
                  <a:pt x="6546155" y="3447845"/>
                  <a:pt x="6563942" y="3447845"/>
                </a:cubicBezTo>
                <a:cubicBezTo>
                  <a:pt x="6581729" y="3447845"/>
                  <a:pt x="6596146" y="3461122"/>
                  <a:pt x="6596146" y="3477497"/>
                </a:cubicBezTo>
                <a:cubicBezTo>
                  <a:pt x="6596146" y="3493871"/>
                  <a:pt x="6581729" y="3507149"/>
                  <a:pt x="6563942" y="3507149"/>
                </a:cubicBezTo>
                <a:close/>
                <a:moveTo>
                  <a:pt x="6956611" y="3507149"/>
                </a:moveTo>
                <a:cubicBezTo>
                  <a:pt x="6938824" y="3507149"/>
                  <a:pt x="6924395" y="3493871"/>
                  <a:pt x="6924395" y="3477497"/>
                </a:cubicBezTo>
                <a:cubicBezTo>
                  <a:pt x="6924395" y="3461122"/>
                  <a:pt x="6938824" y="3447845"/>
                  <a:pt x="6956611" y="3447845"/>
                </a:cubicBezTo>
                <a:cubicBezTo>
                  <a:pt x="6974399" y="3447845"/>
                  <a:pt x="6988816" y="3461122"/>
                  <a:pt x="6988816" y="3477497"/>
                </a:cubicBezTo>
                <a:cubicBezTo>
                  <a:pt x="6988816" y="3493871"/>
                  <a:pt x="6974399" y="3507149"/>
                  <a:pt x="6956611" y="3507149"/>
                </a:cubicBezTo>
                <a:close/>
                <a:moveTo>
                  <a:pt x="7035146" y="3507149"/>
                </a:moveTo>
                <a:cubicBezTo>
                  <a:pt x="7017358" y="3507149"/>
                  <a:pt x="7002929" y="3493871"/>
                  <a:pt x="7002929" y="3477497"/>
                </a:cubicBezTo>
                <a:cubicBezTo>
                  <a:pt x="7002929" y="3461122"/>
                  <a:pt x="7017358" y="3447845"/>
                  <a:pt x="7035146" y="3447845"/>
                </a:cubicBezTo>
                <a:cubicBezTo>
                  <a:pt x="7052933" y="3447845"/>
                  <a:pt x="7067350" y="3461122"/>
                  <a:pt x="7067350" y="3477497"/>
                </a:cubicBezTo>
                <a:cubicBezTo>
                  <a:pt x="7067350" y="3493871"/>
                  <a:pt x="7052933" y="3507149"/>
                  <a:pt x="7035146" y="3507149"/>
                </a:cubicBezTo>
                <a:close/>
                <a:moveTo>
                  <a:pt x="7113703" y="3507149"/>
                </a:moveTo>
                <a:cubicBezTo>
                  <a:pt x="7095916" y="3507149"/>
                  <a:pt x="7081487" y="3493871"/>
                  <a:pt x="7081487" y="3477497"/>
                </a:cubicBezTo>
                <a:cubicBezTo>
                  <a:pt x="7081487" y="3461122"/>
                  <a:pt x="7095916" y="3447845"/>
                  <a:pt x="7113703" y="3447845"/>
                </a:cubicBezTo>
                <a:cubicBezTo>
                  <a:pt x="7131490" y="3447845"/>
                  <a:pt x="7145907" y="3461122"/>
                  <a:pt x="7145907" y="3477497"/>
                </a:cubicBezTo>
                <a:cubicBezTo>
                  <a:pt x="7145907" y="3493871"/>
                  <a:pt x="7131490" y="3507149"/>
                  <a:pt x="7113703" y="3507149"/>
                </a:cubicBezTo>
                <a:close/>
                <a:moveTo>
                  <a:pt x="7192237" y="3507149"/>
                </a:moveTo>
                <a:cubicBezTo>
                  <a:pt x="7174450" y="3507149"/>
                  <a:pt x="7160021" y="3493871"/>
                  <a:pt x="7160021" y="3477497"/>
                </a:cubicBezTo>
                <a:cubicBezTo>
                  <a:pt x="7160021" y="3461122"/>
                  <a:pt x="7174450" y="3447845"/>
                  <a:pt x="7192237" y="3447845"/>
                </a:cubicBezTo>
                <a:cubicBezTo>
                  <a:pt x="7210024" y="3447845"/>
                  <a:pt x="7224441" y="3461122"/>
                  <a:pt x="7224441" y="3477497"/>
                </a:cubicBezTo>
                <a:cubicBezTo>
                  <a:pt x="7224441" y="3493871"/>
                  <a:pt x="7210024" y="3507149"/>
                  <a:pt x="7192237" y="3507149"/>
                </a:cubicBezTo>
                <a:close/>
                <a:moveTo>
                  <a:pt x="7270771" y="3507149"/>
                </a:moveTo>
                <a:cubicBezTo>
                  <a:pt x="7252984" y="3507149"/>
                  <a:pt x="7238555" y="3493871"/>
                  <a:pt x="7238555" y="3477497"/>
                </a:cubicBezTo>
                <a:cubicBezTo>
                  <a:pt x="7238555" y="3461122"/>
                  <a:pt x="7252984" y="3447845"/>
                  <a:pt x="7270771" y="3447845"/>
                </a:cubicBezTo>
                <a:cubicBezTo>
                  <a:pt x="7288559" y="3447845"/>
                  <a:pt x="7302976" y="3461122"/>
                  <a:pt x="7302976" y="3477497"/>
                </a:cubicBezTo>
                <a:cubicBezTo>
                  <a:pt x="7302976" y="3493871"/>
                  <a:pt x="7288559" y="3507149"/>
                  <a:pt x="7270771" y="3507149"/>
                </a:cubicBezTo>
                <a:close/>
                <a:moveTo>
                  <a:pt x="7349305" y="3507149"/>
                </a:moveTo>
                <a:cubicBezTo>
                  <a:pt x="7331517" y="3507149"/>
                  <a:pt x="7317088" y="3493871"/>
                  <a:pt x="7317088" y="3477497"/>
                </a:cubicBezTo>
                <a:cubicBezTo>
                  <a:pt x="7317088" y="3461122"/>
                  <a:pt x="7331517" y="3447845"/>
                  <a:pt x="7349305" y="3447845"/>
                </a:cubicBezTo>
                <a:cubicBezTo>
                  <a:pt x="7367092" y="3447845"/>
                  <a:pt x="7381509" y="3461122"/>
                  <a:pt x="7381509" y="3477497"/>
                </a:cubicBezTo>
                <a:cubicBezTo>
                  <a:pt x="7381509" y="3493871"/>
                  <a:pt x="7367092" y="3507149"/>
                  <a:pt x="7349305" y="3507149"/>
                </a:cubicBezTo>
                <a:close/>
                <a:moveTo>
                  <a:pt x="7427839" y="3507149"/>
                </a:moveTo>
                <a:cubicBezTo>
                  <a:pt x="7410052" y="3507149"/>
                  <a:pt x="7395623" y="3493871"/>
                  <a:pt x="7395623" y="3477497"/>
                </a:cubicBezTo>
                <a:cubicBezTo>
                  <a:pt x="7395623" y="3461122"/>
                  <a:pt x="7410052" y="3447845"/>
                  <a:pt x="7427839" y="3447845"/>
                </a:cubicBezTo>
                <a:cubicBezTo>
                  <a:pt x="7445626" y="3447845"/>
                  <a:pt x="7460043" y="3461122"/>
                  <a:pt x="7460043" y="3477497"/>
                </a:cubicBezTo>
                <a:cubicBezTo>
                  <a:pt x="7460043" y="3493871"/>
                  <a:pt x="7445626" y="3507149"/>
                  <a:pt x="7427839" y="3507149"/>
                </a:cubicBezTo>
                <a:close/>
                <a:moveTo>
                  <a:pt x="7506373" y="3507149"/>
                </a:moveTo>
                <a:cubicBezTo>
                  <a:pt x="7488586" y="3507149"/>
                  <a:pt x="7474157" y="3493871"/>
                  <a:pt x="7474157" y="3477497"/>
                </a:cubicBezTo>
                <a:cubicBezTo>
                  <a:pt x="7474157" y="3461122"/>
                  <a:pt x="7488586" y="3447845"/>
                  <a:pt x="7506373" y="3447845"/>
                </a:cubicBezTo>
                <a:cubicBezTo>
                  <a:pt x="7524160" y="3447845"/>
                  <a:pt x="7538577" y="3461122"/>
                  <a:pt x="7538577" y="3477497"/>
                </a:cubicBezTo>
                <a:cubicBezTo>
                  <a:pt x="7538577" y="3493871"/>
                  <a:pt x="7524160" y="3507149"/>
                  <a:pt x="7506373" y="3507149"/>
                </a:cubicBezTo>
                <a:close/>
                <a:moveTo>
                  <a:pt x="7663441" y="3507149"/>
                </a:moveTo>
                <a:cubicBezTo>
                  <a:pt x="7645653" y="3507149"/>
                  <a:pt x="7631224" y="3493871"/>
                  <a:pt x="7631224" y="3477497"/>
                </a:cubicBezTo>
                <a:cubicBezTo>
                  <a:pt x="7631224" y="3461122"/>
                  <a:pt x="7645653" y="3447845"/>
                  <a:pt x="7663441" y="3447845"/>
                </a:cubicBezTo>
                <a:cubicBezTo>
                  <a:pt x="7681228" y="3447845"/>
                  <a:pt x="7695645" y="3461122"/>
                  <a:pt x="7695645" y="3477497"/>
                </a:cubicBezTo>
                <a:cubicBezTo>
                  <a:pt x="7695645" y="3493871"/>
                  <a:pt x="7681228" y="3507149"/>
                  <a:pt x="7663441" y="3507149"/>
                </a:cubicBezTo>
                <a:close/>
                <a:moveTo>
                  <a:pt x="7741974" y="3507149"/>
                </a:moveTo>
                <a:cubicBezTo>
                  <a:pt x="7724187" y="3507149"/>
                  <a:pt x="7709758" y="3493871"/>
                  <a:pt x="7709758" y="3477497"/>
                </a:cubicBezTo>
                <a:cubicBezTo>
                  <a:pt x="7709758" y="3461122"/>
                  <a:pt x="7724187" y="3447845"/>
                  <a:pt x="7741974" y="3447845"/>
                </a:cubicBezTo>
                <a:cubicBezTo>
                  <a:pt x="7759761" y="3447845"/>
                  <a:pt x="7774178" y="3461122"/>
                  <a:pt x="7774178" y="3477497"/>
                </a:cubicBezTo>
                <a:cubicBezTo>
                  <a:pt x="7774178" y="3493871"/>
                  <a:pt x="7759761" y="3507149"/>
                  <a:pt x="7741974" y="3507149"/>
                </a:cubicBezTo>
                <a:close/>
                <a:moveTo>
                  <a:pt x="7820508" y="3507149"/>
                </a:moveTo>
                <a:cubicBezTo>
                  <a:pt x="7802721" y="3507149"/>
                  <a:pt x="7788292" y="3493871"/>
                  <a:pt x="7788292" y="3477497"/>
                </a:cubicBezTo>
                <a:cubicBezTo>
                  <a:pt x="7788292" y="3461122"/>
                  <a:pt x="7802721" y="3447845"/>
                  <a:pt x="7820508" y="3447845"/>
                </a:cubicBezTo>
                <a:cubicBezTo>
                  <a:pt x="7838295" y="3447845"/>
                  <a:pt x="7852712" y="3461122"/>
                  <a:pt x="7852712" y="3477497"/>
                </a:cubicBezTo>
                <a:cubicBezTo>
                  <a:pt x="7852712" y="3493871"/>
                  <a:pt x="7838295" y="3507149"/>
                  <a:pt x="7820508" y="3507149"/>
                </a:cubicBezTo>
                <a:close/>
                <a:moveTo>
                  <a:pt x="7899042" y="3507149"/>
                </a:moveTo>
                <a:cubicBezTo>
                  <a:pt x="7881255" y="3507149"/>
                  <a:pt x="7866826" y="3493871"/>
                  <a:pt x="7866826" y="3477497"/>
                </a:cubicBezTo>
                <a:cubicBezTo>
                  <a:pt x="7866826" y="3461122"/>
                  <a:pt x="7881255" y="3447845"/>
                  <a:pt x="7899042" y="3447845"/>
                </a:cubicBezTo>
                <a:cubicBezTo>
                  <a:pt x="7916830" y="3447845"/>
                  <a:pt x="7931247" y="3461122"/>
                  <a:pt x="7931247" y="3477497"/>
                </a:cubicBezTo>
                <a:cubicBezTo>
                  <a:pt x="7931247" y="3493871"/>
                  <a:pt x="7916830" y="3507149"/>
                  <a:pt x="7899042" y="3507149"/>
                </a:cubicBezTo>
                <a:close/>
                <a:moveTo>
                  <a:pt x="7977576" y="3507149"/>
                </a:moveTo>
                <a:cubicBezTo>
                  <a:pt x="7959788" y="3507149"/>
                  <a:pt x="7945359" y="3493871"/>
                  <a:pt x="7945359" y="3477497"/>
                </a:cubicBezTo>
                <a:cubicBezTo>
                  <a:pt x="7945359" y="3461122"/>
                  <a:pt x="7959788" y="3447845"/>
                  <a:pt x="7977576" y="3447845"/>
                </a:cubicBezTo>
                <a:cubicBezTo>
                  <a:pt x="7995363" y="3447845"/>
                  <a:pt x="8009780" y="3461122"/>
                  <a:pt x="8009780" y="3477497"/>
                </a:cubicBezTo>
                <a:cubicBezTo>
                  <a:pt x="8009780" y="3493871"/>
                  <a:pt x="7995363" y="3507149"/>
                  <a:pt x="7977576" y="3507149"/>
                </a:cubicBezTo>
                <a:close/>
                <a:moveTo>
                  <a:pt x="8056110" y="3507149"/>
                </a:moveTo>
                <a:cubicBezTo>
                  <a:pt x="8038323" y="3507149"/>
                  <a:pt x="8023894" y="3493871"/>
                  <a:pt x="8023894" y="3477497"/>
                </a:cubicBezTo>
                <a:cubicBezTo>
                  <a:pt x="8023894" y="3461122"/>
                  <a:pt x="8038323" y="3447845"/>
                  <a:pt x="8056110" y="3447845"/>
                </a:cubicBezTo>
                <a:cubicBezTo>
                  <a:pt x="8073897" y="3447845"/>
                  <a:pt x="8088314" y="3461122"/>
                  <a:pt x="8088314" y="3477497"/>
                </a:cubicBezTo>
                <a:cubicBezTo>
                  <a:pt x="8088314" y="3493871"/>
                  <a:pt x="8073897" y="3507149"/>
                  <a:pt x="8056110" y="3507149"/>
                </a:cubicBezTo>
                <a:close/>
                <a:moveTo>
                  <a:pt x="8134643" y="3507149"/>
                </a:moveTo>
                <a:cubicBezTo>
                  <a:pt x="8116856" y="3507149"/>
                  <a:pt x="8102427" y="3493871"/>
                  <a:pt x="8102427" y="3477497"/>
                </a:cubicBezTo>
                <a:cubicBezTo>
                  <a:pt x="8102427" y="3461122"/>
                  <a:pt x="8116856" y="3447845"/>
                  <a:pt x="8134643" y="3447845"/>
                </a:cubicBezTo>
                <a:cubicBezTo>
                  <a:pt x="8152430" y="3447845"/>
                  <a:pt x="8166847" y="3461122"/>
                  <a:pt x="8166847" y="3477497"/>
                </a:cubicBezTo>
                <a:cubicBezTo>
                  <a:pt x="8166847" y="3493871"/>
                  <a:pt x="8152430" y="3507149"/>
                  <a:pt x="8134643" y="3507149"/>
                </a:cubicBezTo>
                <a:close/>
                <a:moveTo>
                  <a:pt x="8213177" y="3507149"/>
                </a:moveTo>
                <a:cubicBezTo>
                  <a:pt x="8195390" y="3507149"/>
                  <a:pt x="8180961" y="3493871"/>
                  <a:pt x="8180961" y="3477497"/>
                </a:cubicBezTo>
                <a:cubicBezTo>
                  <a:pt x="8180961" y="3461122"/>
                  <a:pt x="8195390" y="3447845"/>
                  <a:pt x="8213177" y="3447845"/>
                </a:cubicBezTo>
                <a:cubicBezTo>
                  <a:pt x="8230965" y="3447845"/>
                  <a:pt x="8245382" y="3461122"/>
                  <a:pt x="8245382" y="3477497"/>
                </a:cubicBezTo>
                <a:cubicBezTo>
                  <a:pt x="8245382" y="3493871"/>
                  <a:pt x="8230965" y="3507149"/>
                  <a:pt x="8213177" y="3507149"/>
                </a:cubicBezTo>
                <a:close/>
                <a:moveTo>
                  <a:pt x="8291712" y="3507149"/>
                </a:moveTo>
                <a:cubicBezTo>
                  <a:pt x="8273924" y="3507149"/>
                  <a:pt x="8259495" y="3493871"/>
                  <a:pt x="8259495" y="3477497"/>
                </a:cubicBezTo>
                <a:cubicBezTo>
                  <a:pt x="8259495" y="3461122"/>
                  <a:pt x="8273924" y="3447845"/>
                  <a:pt x="8291712" y="3447845"/>
                </a:cubicBezTo>
                <a:cubicBezTo>
                  <a:pt x="8309499" y="3447845"/>
                  <a:pt x="8323916" y="3461122"/>
                  <a:pt x="8323916" y="3477497"/>
                </a:cubicBezTo>
                <a:cubicBezTo>
                  <a:pt x="8323916" y="3493871"/>
                  <a:pt x="8309499" y="3507149"/>
                  <a:pt x="8291712" y="3507149"/>
                </a:cubicBezTo>
                <a:close/>
                <a:moveTo>
                  <a:pt x="8370245" y="3507149"/>
                </a:moveTo>
                <a:cubicBezTo>
                  <a:pt x="8352458" y="3507149"/>
                  <a:pt x="8338029" y="3493871"/>
                  <a:pt x="8338029" y="3477497"/>
                </a:cubicBezTo>
                <a:cubicBezTo>
                  <a:pt x="8338029" y="3461122"/>
                  <a:pt x="8352458" y="3447845"/>
                  <a:pt x="8370245" y="3447845"/>
                </a:cubicBezTo>
                <a:cubicBezTo>
                  <a:pt x="8388032" y="3447845"/>
                  <a:pt x="8402449" y="3461122"/>
                  <a:pt x="8402449" y="3477497"/>
                </a:cubicBezTo>
                <a:cubicBezTo>
                  <a:pt x="8402449" y="3493871"/>
                  <a:pt x="8388032" y="3507149"/>
                  <a:pt x="8370245" y="3507149"/>
                </a:cubicBezTo>
                <a:close/>
                <a:moveTo>
                  <a:pt x="8448779" y="3507149"/>
                </a:moveTo>
                <a:cubicBezTo>
                  <a:pt x="8430992" y="3507149"/>
                  <a:pt x="8416563" y="3493871"/>
                  <a:pt x="8416563" y="3477497"/>
                </a:cubicBezTo>
                <a:cubicBezTo>
                  <a:pt x="8416563" y="3461122"/>
                  <a:pt x="8430992" y="3447845"/>
                  <a:pt x="8448779" y="3447845"/>
                </a:cubicBezTo>
                <a:cubicBezTo>
                  <a:pt x="8466566" y="3447845"/>
                  <a:pt x="8480983" y="3461122"/>
                  <a:pt x="8480983" y="3477497"/>
                </a:cubicBezTo>
                <a:cubicBezTo>
                  <a:pt x="8480983" y="3493871"/>
                  <a:pt x="8466566" y="3507149"/>
                  <a:pt x="8448779" y="3507149"/>
                </a:cubicBezTo>
                <a:close/>
                <a:moveTo>
                  <a:pt x="8527313" y="3507149"/>
                </a:moveTo>
                <a:cubicBezTo>
                  <a:pt x="8509526" y="3507149"/>
                  <a:pt x="8495097" y="3493871"/>
                  <a:pt x="8495097" y="3477497"/>
                </a:cubicBezTo>
                <a:cubicBezTo>
                  <a:pt x="8495097" y="3461122"/>
                  <a:pt x="8509526" y="3447845"/>
                  <a:pt x="8527313" y="3447845"/>
                </a:cubicBezTo>
                <a:cubicBezTo>
                  <a:pt x="8545101" y="3447845"/>
                  <a:pt x="8559518" y="3461122"/>
                  <a:pt x="8559518" y="3477497"/>
                </a:cubicBezTo>
                <a:cubicBezTo>
                  <a:pt x="8559518" y="3493871"/>
                  <a:pt x="8545101" y="3507149"/>
                  <a:pt x="8527313" y="3507149"/>
                </a:cubicBezTo>
                <a:close/>
                <a:moveTo>
                  <a:pt x="8605847" y="3507149"/>
                </a:moveTo>
                <a:cubicBezTo>
                  <a:pt x="8588059" y="3507149"/>
                  <a:pt x="8573630" y="3493871"/>
                  <a:pt x="8573630" y="3477497"/>
                </a:cubicBezTo>
                <a:cubicBezTo>
                  <a:pt x="8573630" y="3461122"/>
                  <a:pt x="8588059" y="3447845"/>
                  <a:pt x="8605847" y="3447845"/>
                </a:cubicBezTo>
                <a:cubicBezTo>
                  <a:pt x="8623634" y="3447845"/>
                  <a:pt x="8638051" y="3461122"/>
                  <a:pt x="8638051" y="3477497"/>
                </a:cubicBezTo>
                <a:cubicBezTo>
                  <a:pt x="8638051" y="3493871"/>
                  <a:pt x="8623634" y="3507149"/>
                  <a:pt x="8605847" y="3507149"/>
                </a:cubicBezTo>
                <a:close/>
                <a:moveTo>
                  <a:pt x="8684381" y="3507149"/>
                </a:moveTo>
                <a:cubicBezTo>
                  <a:pt x="8666594" y="3507149"/>
                  <a:pt x="8652165" y="3493871"/>
                  <a:pt x="8652165" y="3477497"/>
                </a:cubicBezTo>
                <a:cubicBezTo>
                  <a:pt x="8652165" y="3461122"/>
                  <a:pt x="8666594" y="3447845"/>
                  <a:pt x="8684381" y="3447845"/>
                </a:cubicBezTo>
                <a:cubicBezTo>
                  <a:pt x="8702168" y="3447845"/>
                  <a:pt x="8716585" y="3461122"/>
                  <a:pt x="8716585" y="3477497"/>
                </a:cubicBezTo>
                <a:cubicBezTo>
                  <a:pt x="8716585" y="3493871"/>
                  <a:pt x="8702168" y="3507149"/>
                  <a:pt x="8684381" y="3507149"/>
                </a:cubicBezTo>
                <a:close/>
                <a:moveTo>
                  <a:pt x="8762914" y="3507149"/>
                </a:moveTo>
                <a:cubicBezTo>
                  <a:pt x="8745127" y="3507149"/>
                  <a:pt x="8730698" y="3493871"/>
                  <a:pt x="8730698" y="3477497"/>
                </a:cubicBezTo>
                <a:cubicBezTo>
                  <a:pt x="8730698" y="3461122"/>
                  <a:pt x="8745127" y="3447845"/>
                  <a:pt x="8762914" y="3447845"/>
                </a:cubicBezTo>
                <a:cubicBezTo>
                  <a:pt x="8780701" y="3447845"/>
                  <a:pt x="8795118" y="3461122"/>
                  <a:pt x="8795118" y="3477497"/>
                </a:cubicBezTo>
                <a:cubicBezTo>
                  <a:pt x="8795118" y="3493871"/>
                  <a:pt x="8780701" y="3507149"/>
                  <a:pt x="8762914" y="3507149"/>
                </a:cubicBezTo>
                <a:close/>
                <a:moveTo>
                  <a:pt x="8841448" y="3507149"/>
                </a:moveTo>
                <a:cubicBezTo>
                  <a:pt x="8823661" y="3507149"/>
                  <a:pt x="8809232" y="3493871"/>
                  <a:pt x="8809232" y="3477497"/>
                </a:cubicBezTo>
                <a:cubicBezTo>
                  <a:pt x="8809232" y="3461122"/>
                  <a:pt x="8823661" y="3447845"/>
                  <a:pt x="8841448" y="3447845"/>
                </a:cubicBezTo>
                <a:cubicBezTo>
                  <a:pt x="8859236" y="3447845"/>
                  <a:pt x="8873653" y="3461122"/>
                  <a:pt x="8873653" y="3477497"/>
                </a:cubicBezTo>
                <a:cubicBezTo>
                  <a:pt x="8873653" y="3493871"/>
                  <a:pt x="8859236" y="3507149"/>
                  <a:pt x="8841448" y="3507149"/>
                </a:cubicBezTo>
                <a:close/>
                <a:moveTo>
                  <a:pt x="8919983" y="3507149"/>
                </a:moveTo>
                <a:cubicBezTo>
                  <a:pt x="8902195" y="3507149"/>
                  <a:pt x="8887766" y="3493871"/>
                  <a:pt x="8887766" y="3477497"/>
                </a:cubicBezTo>
                <a:cubicBezTo>
                  <a:pt x="8887766" y="3461122"/>
                  <a:pt x="8902195" y="3447845"/>
                  <a:pt x="8919983" y="3447845"/>
                </a:cubicBezTo>
                <a:cubicBezTo>
                  <a:pt x="8937770" y="3447845"/>
                  <a:pt x="8952187" y="3461122"/>
                  <a:pt x="8952187" y="3477497"/>
                </a:cubicBezTo>
                <a:cubicBezTo>
                  <a:pt x="8952187" y="3493871"/>
                  <a:pt x="8937770" y="3507149"/>
                  <a:pt x="8919983" y="3507149"/>
                </a:cubicBezTo>
                <a:close/>
                <a:moveTo>
                  <a:pt x="8998516" y="3507149"/>
                </a:moveTo>
                <a:cubicBezTo>
                  <a:pt x="8980729" y="3507149"/>
                  <a:pt x="8966300" y="3493871"/>
                  <a:pt x="8966300" y="3477497"/>
                </a:cubicBezTo>
                <a:cubicBezTo>
                  <a:pt x="8966300" y="3461122"/>
                  <a:pt x="8980729" y="3447845"/>
                  <a:pt x="8998516" y="3447845"/>
                </a:cubicBezTo>
                <a:cubicBezTo>
                  <a:pt x="9016303" y="3447845"/>
                  <a:pt x="9030720" y="3461122"/>
                  <a:pt x="9030720" y="3477497"/>
                </a:cubicBezTo>
                <a:cubicBezTo>
                  <a:pt x="9030720" y="3493871"/>
                  <a:pt x="9016303" y="3507149"/>
                  <a:pt x="8998516" y="3507149"/>
                </a:cubicBezTo>
                <a:close/>
                <a:moveTo>
                  <a:pt x="9077050" y="3507149"/>
                </a:moveTo>
                <a:cubicBezTo>
                  <a:pt x="9059263" y="3507149"/>
                  <a:pt x="9044834" y="3493871"/>
                  <a:pt x="9044834" y="3477497"/>
                </a:cubicBezTo>
                <a:cubicBezTo>
                  <a:pt x="9044834" y="3461122"/>
                  <a:pt x="9059263" y="3447845"/>
                  <a:pt x="9077050" y="3447845"/>
                </a:cubicBezTo>
                <a:cubicBezTo>
                  <a:pt x="9094837" y="3447845"/>
                  <a:pt x="9109254" y="3461122"/>
                  <a:pt x="9109254" y="3477497"/>
                </a:cubicBezTo>
                <a:cubicBezTo>
                  <a:pt x="9109254" y="3493871"/>
                  <a:pt x="9094837" y="3507149"/>
                  <a:pt x="9077050" y="3507149"/>
                </a:cubicBezTo>
                <a:close/>
                <a:moveTo>
                  <a:pt x="9155583" y="3507149"/>
                </a:moveTo>
                <a:cubicBezTo>
                  <a:pt x="9137796" y="3507149"/>
                  <a:pt x="9123367" y="3493871"/>
                  <a:pt x="9123367" y="3477497"/>
                </a:cubicBezTo>
                <a:cubicBezTo>
                  <a:pt x="9123367" y="3461122"/>
                  <a:pt x="9137796" y="3447845"/>
                  <a:pt x="9155583" y="3447845"/>
                </a:cubicBezTo>
                <a:cubicBezTo>
                  <a:pt x="9173371" y="3447845"/>
                  <a:pt x="9187788" y="3461122"/>
                  <a:pt x="9187788" y="3477497"/>
                </a:cubicBezTo>
                <a:cubicBezTo>
                  <a:pt x="9187788" y="3493871"/>
                  <a:pt x="9173371" y="3507149"/>
                  <a:pt x="9155583" y="3507149"/>
                </a:cubicBezTo>
                <a:close/>
                <a:moveTo>
                  <a:pt x="9234118" y="3507149"/>
                </a:moveTo>
                <a:cubicBezTo>
                  <a:pt x="9216330" y="3507149"/>
                  <a:pt x="9201901" y="3493871"/>
                  <a:pt x="9201901" y="3477497"/>
                </a:cubicBezTo>
                <a:cubicBezTo>
                  <a:pt x="9201901" y="3461122"/>
                  <a:pt x="9216330" y="3447845"/>
                  <a:pt x="9234118" y="3447845"/>
                </a:cubicBezTo>
                <a:cubicBezTo>
                  <a:pt x="9251905" y="3447845"/>
                  <a:pt x="9266322" y="3461122"/>
                  <a:pt x="9266322" y="3477497"/>
                </a:cubicBezTo>
                <a:cubicBezTo>
                  <a:pt x="9266322" y="3493871"/>
                  <a:pt x="9251905" y="3507149"/>
                  <a:pt x="9234118" y="3507149"/>
                </a:cubicBezTo>
                <a:close/>
                <a:moveTo>
                  <a:pt x="9312652" y="3507149"/>
                </a:moveTo>
                <a:cubicBezTo>
                  <a:pt x="9294865" y="3507149"/>
                  <a:pt x="9280436" y="3493871"/>
                  <a:pt x="9280436" y="3477497"/>
                </a:cubicBezTo>
                <a:cubicBezTo>
                  <a:pt x="9280436" y="3461122"/>
                  <a:pt x="9294865" y="3447845"/>
                  <a:pt x="9312652" y="3447845"/>
                </a:cubicBezTo>
                <a:cubicBezTo>
                  <a:pt x="9330439" y="3447845"/>
                  <a:pt x="9344856" y="3461122"/>
                  <a:pt x="9344856" y="3477497"/>
                </a:cubicBezTo>
                <a:cubicBezTo>
                  <a:pt x="9344856" y="3493871"/>
                  <a:pt x="9330439" y="3507149"/>
                  <a:pt x="9312652" y="3507149"/>
                </a:cubicBezTo>
                <a:close/>
                <a:moveTo>
                  <a:pt x="9391185" y="3507149"/>
                </a:moveTo>
                <a:cubicBezTo>
                  <a:pt x="9373398" y="3507149"/>
                  <a:pt x="9358969" y="3493871"/>
                  <a:pt x="9358969" y="3477497"/>
                </a:cubicBezTo>
                <a:cubicBezTo>
                  <a:pt x="9358969" y="3461122"/>
                  <a:pt x="9373398" y="3447845"/>
                  <a:pt x="9391185" y="3447845"/>
                </a:cubicBezTo>
                <a:cubicBezTo>
                  <a:pt x="9408972" y="3447845"/>
                  <a:pt x="9423389" y="3461122"/>
                  <a:pt x="9423389" y="3477497"/>
                </a:cubicBezTo>
                <a:cubicBezTo>
                  <a:pt x="9423389" y="3493871"/>
                  <a:pt x="9408972" y="3507149"/>
                  <a:pt x="9391185" y="3507149"/>
                </a:cubicBezTo>
                <a:close/>
                <a:moveTo>
                  <a:pt x="2637243" y="3434883"/>
                </a:moveTo>
                <a:cubicBezTo>
                  <a:pt x="2619455" y="3434883"/>
                  <a:pt x="2605032" y="3421606"/>
                  <a:pt x="2605032" y="3405231"/>
                </a:cubicBezTo>
                <a:cubicBezTo>
                  <a:pt x="2605032" y="3388856"/>
                  <a:pt x="2619455" y="3375579"/>
                  <a:pt x="2637243" y="3375579"/>
                </a:cubicBezTo>
                <a:cubicBezTo>
                  <a:pt x="2655030" y="3375579"/>
                  <a:pt x="2669453" y="3388856"/>
                  <a:pt x="2669453" y="3405231"/>
                </a:cubicBezTo>
                <a:cubicBezTo>
                  <a:pt x="2669453" y="3421606"/>
                  <a:pt x="2655030" y="3434883"/>
                  <a:pt x="2637243" y="3434883"/>
                </a:cubicBezTo>
                <a:close/>
                <a:moveTo>
                  <a:pt x="2715777" y="3434883"/>
                </a:moveTo>
                <a:cubicBezTo>
                  <a:pt x="2697990" y="3434883"/>
                  <a:pt x="2683566" y="3421606"/>
                  <a:pt x="2683566" y="3405231"/>
                </a:cubicBezTo>
                <a:cubicBezTo>
                  <a:pt x="2683566" y="3388856"/>
                  <a:pt x="2697990" y="3375579"/>
                  <a:pt x="2715777" y="3375579"/>
                </a:cubicBezTo>
                <a:cubicBezTo>
                  <a:pt x="2733564" y="3375579"/>
                  <a:pt x="2747987" y="3388856"/>
                  <a:pt x="2747987" y="3405231"/>
                </a:cubicBezTo>
                <a:cubicBezTo>
                  <a:pt x="2747987" y="3421606"/>
                  <a:pt x="2733564" y="3434883"/>
                  <a:pt x="2715777" y="3434883"/>
                </a:cubicBezTo>
                <a:close/>
                <a:moveTo>
                  <a:pt x="2794310" y="3434883"/>
                </a:moveTo>
                <a:cubicBezTo>
                  <a:pt x="2776523" y="3434883"/>
                  <a:pt x="2762100" y="3421606"/>
                  <a:pt x="2762100" y="3405231"/>
                </a:cubicBezTo>
                <a:cubicBezTo>
                  <a:pt x="2762100" y="3388856"/>
                  <a:pt x="2776523" y="3375579"/>
                  <a:pt x="2794310" y="3375579"/>
                </a:cubicBezTo>
                <a:cubicBezTo>
                  <a:pt x="2812097" y="3375579"/>
                  <a:pt x="2826520" y="3388856"/>
                  <a:pt x="2826520" y="3405231"/>
                </a:cubicBezTo>
                <a:cubicBezTo>
                  <a:pt x="2826520" y="3421606"/>
                  <a:pt x="2812097" y="3434883"/>
                  <a:pt x="2794310" y="3434883"/>
                </a:cubicBezTo>
                <a:close/>
                <a:moveTo>
                  <a:pt x="2872844" y="3434883"/>
                </a:moveTo>
                <a:cubicBezTo>
                  <a:pt x="2855057" y="3434883"/>
                  <a:pt x="2840634" y="3421606"/>
                  <a:pt x="2840634" y="3405231"/>
                </a:cubicBezTo>
                <a:cubicBezTo>
                  <a:pt x="2840634" y="3388856"/>
                  <a:pt x="2855057" y="3375579"/>
                  <a:pt x="2872844" y="3375579"/>
                </a:cubicBezTo>
                <a:cubicBezTo>
                  <a:pt x="2890632" y="3375579"/>
                  <a:pt x="2905055" y="3388856"/>
                  <a:pt x="2905055" y="3405231"/>
                </a:cubicBezTo>
                <a:cubicBezTo>
                  <a:pt x="2905055" y="3421606"/>
                  <a:pt x="2890632" y="3434883"/>
                  <a:pt x="2872844" y="3434883"/>
                </a:cubicBezTo>
                <a:close/>
                <a:moveTo>
                  <a:pt x="2951379" y="3434883"/>
                </a:moveTo>
                <a:cubicBezTo>
                  <a:pt x="2933591" y="3434883"/>
                  <a:pt x="2919168" y="3421606"/>
                  <a:pt x="2919168" y="3405231"/>
                </a:cubicBezTo>
                <a:cubicBezTo>
                  <a:pt x="2919168" y="3388856"/>
                  <a:pt x="2933591" y="3375579"/>
                  <a:pt x="2951379" y="3375579"/>
                </a:cubicBezTo>
                <a:cubicBezTo>
                  <a:pt x="2969166" y="3375579"/>
                  <a:pt x="2983589" y="3388856"/>
                  <a:pt x="2983589" y="3405231"/>
                </a:cubicBezTo>
                <a:cubicBezTo>
                  <a:pt x="2983589" y="3421606"/>
                  <a:pt x="2969166" y="3434883"/>
                  <a:pt x="2951379" y="3434883"/>
                </a:cubicBezTo>
                <a:close/>
                <a:moveTo>
                  <a:pt x="3029912" y="3434883"/>
                </a:moveTo>
                <a:cubicBezTo>
                  <a:pt x="3012125" y="3434883"/>
                  <a:pt x="2997701" y="3421606"/>
                  <a:pt x="2997701" y="3405231"/>
                </a:cubicBezTo>
                <a:cubicBezTo>
                  <a:pt x="2997701" y="3388856"/>
                  <a:pt x="3012125" y="3375579"/>
                  <a:pt x="3029912" y="3375579"/>
                </a:cubicBezTo>
                <a:cubicBezTo>
                  <a:pt x="3047699" y="3375579"/>
                  <a:pt x="3062122" y="3388856"/>
                  <a:pt x="3062122" y="3405231"/>
                </a:cubicBezTo>
                <a:cubicBezTo>
                  <a:pt x="3062122" y="3421606"/>
                  <a:pt x="3047699" y="3434883"/>
                  <a:pt x="3029912" y="3434883"/>
                </a:cubicBezTo>
                <a:close/>
                <a:moveTo>
                  <a:pt x="3108446" y="3434883"/>
                </a:moveTo>
                <a:cubicBezTo>
                  <a:pt x="3090659" y="3434883"/>
                  <a:pt x="3076236" y="3421606"/>
                  <a:pt x="3076236" y="3405231"/>
                </a:cubicBezTo>
                <a:cubicBezTo>
                  <a:pt x="3076236" y="3388856"/>
                  <a:pt x="3090659" y="3375579"/>
                  <a:pt x="3108446" y="3375579"/>
                </a:cubicBezTo>
                <a:cubicBezTo>
                  <a:pt x="3126233" y="3375579"/>
                  <a:pt x="3140656" y="3388856"/>
                  <a:pt x="3140656" y="3405231"/>
                </a:cubicBezTo>
                <a:cubicBezTo>
                  <a:pt x="3140656" y="3421606"/>
                  <a:pt x="3126233" y="3434883"/>
                  <a:pt x="3108446" y="3434883"/>
                </a:cubicBezTo>
                <a:close/>
                <a:moveTo>
                  <a:pt x="3186979" y="3434883"/>
                </a:moveTo>
                <a:cubicBezTo>
                  <a:pt x="3169192" y="3434883"/>
                  <a:pt x="3154769" y="3421606"/>
                  <a:pt x="3154769" y="3405231"/>
                </a:cubicBezTo>
                <a:cubicBezTo>
                  <a:pt x="3154769" y="3388856"/>
                  <a:pt x="3169192" y="3375579"/>
                  <a:pt x="3186979" y="3375579"/>
                </a:cubicBezTo>
                <a:cubicBezTo>
                  <a:pt x="3204767" y="3375579"/>
                  <a:pt x="3219190" y="3388856"/>
                  <a:pt x="3219190" y="3405231"/>
                </a:cubicBezTo>
                <a:cubicBezTo>
                  <a:pt x="3219190" y="3421606"/>
                  <a:pt x="3204767" y="3434883"/>
                  <a:pt x="3186979" y="3434883"/>
                </a:cubicBezTo>
                <a:close/>
                <a:moveTo>
                  <a:pt x="3579650" y="3434883"/>
                </a:moveTo>
                <a:cubicBezTo>
                  <a:pt x="3561862" y="3434883"/>
                  <a:pt x="3547439" y="3421606"/>
                  <a:pt x="3547439" y="3405231"/>
                </a:cubicBezTo>
                <a:cubicBezTo>
                  <a:pt x="3547439" y="3388856"/>
                  <a:pt x="3561862" y="3375579"/>
                  <a:pt x="3579650" y="3375579"/>
                </a:cubicBezTo>
                <a:cubicBezTo>
                  <a:pt x="3597437" y="3375579"/>
                  <a:pt x="3611860" y="3388856"/>
                  <a:pt x="3611860" y="3405231"/>
                </a:cubicBezTo>
                <a:cubicBezTo>
                  <a:pt x="3611860" y="3421606"/>
                  <a:pt x="3597437" y="3434883"/>
                  <a:pt x="3579650" y="3434883"/>
                </a:cubicBezTo>
                <a:close/>
                <a:moveTo>
                  <a:pt x="5700069" y="3434883"/>
                </a:moveTo>
                <a:cubicBezTo>
                  <a:pt x="5682282" y="3434883"/>
                  <a:pt x="5667853" y="3421606"/>
                  <a:pt x="5667853" y="3405231"/>
                </a:cubicBezTo>
                <a:cubicBezTo>
                  <a:pt x="5667853" y="3388856"/>
                  <a:pt x="5682282" y="3375579"/>
                  <a:pt x="5700069" y="3375579"/>
                </a:cubicBezTo>
                <a:cubicBezTo>
                  <a:pt x="5717857" y="3375579"/>
                  <a:pt x="5732274" y="3388856"/>
                  <a:pt x="5732274" y="3405231"/>
                </a:cubicBezTo>
                <a:cubicBezTo>
                  <a:pt x="5732274" y="3421606"/>
                  <a:pt x="5717857" y="3434883"/>
                  <a:pt x="5700069" y="3434883"/>
                </a:cubicBezTo>
                <a:close/>
                <a:moveTo>
                  <a:pt x="5778604" y="3434883"/>
                </a:moveTo>
                <a:cubicBezTo>
                  <a:pt x="5760816" y="3434883"/>
                  <a:pt x="5746387" y="3421606"/>
                  <a:pt x="5746387" y="3405231"/>
                </a:cubicBezTo>
                <a:cubicBezTo>
                  <a:pt x="5746387" y="3388856"/>
                  <a:pt x="5760816" y="3375579"/>
                  <a:pt x="5778604" y="3375579"/>
                </a:cubicBezTo>
                <a:cubicBezTo>
                  <a:pt x="5796391" y="3375579"/>
                  <a:pt x="5810808" y="3388856"/>
                  <a:pt x="5810808" y="3405231"/>
                </a:cubicBezTo>
                <a:cubicBezTo>
                  <a:pt x="5810808" y="3421606"/>
                  <a:pt x="5796391" y="3434883"/>
                  <a:pt x="5778604" y="3434883"/>
                </a:cubicBezTo>
                <a:close/>
                <a:moveTo>
                  <a:pt x="5857137" y="3434883"/>
                </a:moveTo>
                <a:cubicBezTo>
                  <a:pt x="5839350" y="3434883"/>
                  <a:pt x="5824920" y="3421606"/>
                  <a:pt x="5824920" y="3405231"/>
                </a:cubicBezTo>
                <a:cubicBezTo>
                  <a:pt x="5824920" y="3388856"/>
                  <a:pt x="5839350" y="3375579"/>
                  <a:pt x="5857137" y="3375579"/>
                </a:cubicBezTo>
                <a:cubicBezTo>
                  <a:pt x="5874924" y="3375579"/>
                  <a:pt x="5889341" y="3388856"/>
                  <a:pt x="5889341" y="3405231"/>
                </a:cubicBezTo>
                <a:cubicBezTo>
                  <a:pt x="5889341" y="3421606"/>
                  <a:pt x="5874924" y="3434883"/>
                  <a:pt x="5857137" y="3434883"/>
                </a:cubicBezTo>
                <a:close/>
                <a:moveTo>
                  <a:pt x="5935671" y="3434883"/>
                </a:moveTo>
                <a:cubicBezTo>
                  <a:pt x="5917884" y="3434883"/>
                  <a:pt x="5903455" y="3421606"/>
                  <a:pt x="5903455" y="3405231"/>
                </a:cubicBezTo>
                <a:cubicBezTo>
                  <a:pt x="5903455" y="3388856"/>
                  <a:pt x="5917884" y="3375579"/>
                  <a:pt x="5935671" y="3375579"/>
                </a:cubicBezTo>
                <a:cubicBezTo>
                  <a:pt x="5953458" y="3375579"/>
                  <a:pt x="5967875" y="3388856"/>
                  <a:pt x="5967875" y="3405231"/>
                </a:cubicBezTo>
                <a:cubicBezTo>
                  <a:pt x="5967875" y="3421606"/>
                  <a:pt x="5953458" y="3434883"/>
                  <a:pt x="5935671" y="3434883"/>
                </a:cubicBezTo>
                <a:close/>
                <a:moveTo>
                  <a:pt x="6014205" y="3434883"/>
                </a:moveTo>
                <a:cubicBezTo>
                  <a:pt x="5996418" y="3434883"/>
                  <a:pt x="5981989" y="3421606"/>
                  <a:pt x="5981989" y="3405231"/>
                </a:cubicBezTo>
                <a:cubicBezTo>
                  <a:pt x="5981989" y="3388856"/>
                  <a:pt x="5996418" y="3375579"/>
                  <a:pt x="6014205" y="3375579"/>
                </a:cubicBezTo>
                <a:cubicBezTo>
                  <a:pt x="6031993" y="3375579"/>
                  <a:pt x="6046410" y="3388856"/>
                  <a:pt x="6046410" y="3405231"/>
                </a:cubicBezTo>
                <a:cubicBezTo>
                  <a:pt x="6046410" y="3421606"/>
                  <a:pt x="6031993" y="3434883"/>
                  <a:pt x="6014205" y="3434883"/>
                </a:cubicBezTo>
                <a:close/>
                <a:moveTo>
                  <a:pt x="6092739" y="3434883"/>
                </a:moveTo>
                <a:cubicBezTo>
                  <a:pt x="6074951" y="3434883"/>
                  <a:pt x="6060522" y="3421606"/>
                  <a:pt x="6060522" y="3405231"/>
                </a:cubicBezTo>
                <a:cubicBezTo>
                  <a:pt x="6060522" y="3388856"/>
                  <a:pt x="6074951" y="3375579"/>
                  <a:pt x="6092739" y="3375579"/>
                </a:cubicBezTo>
                <a:cubicBezTo>
                  <a:pt x="6110526" y="3375579"/>
                  <a:pt x="6124943" y="3388856"/>
                  <a:pt x="6124943" y="3405231"/>
                </a:cubicBezTo>
                <a:cubicBezTo>
                  <a:pt x="6124943" y="3421606"/>
                  <a:pt x="6110526" y="3434883"/>
                  <a:pt x="6092739" y="3434883"/>
                </a:cubicBezTo>
                <a:close/>
                <a:moveTo>
                  <a:pt x="6171273" y="3434883"/>
                </a:moveTo>
                <a:cubicBezTo>
                  <a:pt x="6153486" y="3434883"/>
                  <a:pt x="6139056" y="3421606"/>
                  <a:pt x="6139056" y="3405231"/>
                </a:cubicBezTo>
                <a:cubicBezTo>
                  <a:pt x="6139056" y="3388856"/>
                  <a:pt x="6153486" y="3375579"/>
                  <a:pt x="6171273" y="3375579"/>
                </a:cubicBezTo>
                <a:cubicBezTo>
                  <a:pt x="6189060" y="3375579"/>
                  <a:pt x="6203477" y="3388856"/>
                  <a:pt x="6203477" y="3405231"/>
                </a:cubicBezTo>
                <a:cubicBezTo>
                  <a:pt x="6203477" y="3421606"/>
                  <a:pt x="6189060" y="3434883"/>
                  <a:pt x="6171273" y="3434883"/>
                </a:cubicBezTo>
                <a:close/>
                <a:moveTo>
                  <a:pt x="6249806" y="3434883"/>
                </a:moveTo>
                <a:cubicBezTo>
                  <a:pt x="6232019" y="3434883"/>
                  <a:pt x="6217590" y="3421606"/>
                  <a:pt x="6217590" y="3405231"/>
                </a:cubicBezTo>
                <a:cubicBezTo>
                  <a:pt x="6217590" y="3388856"/>
                  <a:pt x="6232019" y="3375579"/>
                  <a:pt x="6249806" y="3375579"/>
                </a:cubicBezTo>
                <a:cubicBezTo>
                  <a:pt x="6267593" y="3375579"/>
                  <a:pt x="6282010" y="3388856"/>
                  <a:pt x="6282010" y="3405231"/>
                </a:cubicBezTo>
                <a:cubicBezTo>
                  <a:pt x="6282010" y="3421606"/>
                  <a:pt x="6267593" y="3434883"/>
                  <a:pt x="6249806" y="3434883"/>
                </a:cubicBezTo>
                <a:close/>
                <a:moveTo>
                  <a:pt x="6328340" y="3434883"/>
                </a:moveTo>
                <a:cubicBezTo>
                  <a:pt x="6310553" y="3434883"/>
                  <a:pt x="6296124" y="3421606"/>
                  <a:pt x="6296124" y="3405231"/>
                </a:cubicBezTo>
                <a:cubicBezTo>
                  <a:pt x="6296124" y="3388856"/>
                  <a:pt x="6310553" y="3375579"/>
                  <a:pt x="6328340" y="3375579"/>
                </a:cubicBezTo>
                <a:cubicBezTo>
                  <a:pt x="6346128" y="3375579"/>
                  <a:pt x="6360545" y="3388856"/>
                  <a:pt x="6360545" y="3405231"/>
                </a:cubicBezTo>
                <a:cubicBezTo>
                  <a:pt x="6360545" y="3421606"/>
                  <a:pt x="6346128" y="3434883"/>
                  <a:pt x="6328340" y="3434883"/>
                </a:cubicBezTo>
                <a:close/>
                <a:moveTo>
                  <a:pt x="6406875" y="3434883"/>
                </a:moveTo>
                <a:cubicBezTo>
                  <a:pt x="6389087" y="3434883"/>
                  <a:pt x="6374658" y="3421606"/>
                  <a:pt x="6374658" y="3405231"/>
                </a:cubicBezTo>
                <a:cubicBezTo>
                  <a:pt x="6374658" y="3388856"/>
                  <a:pt x="6389087" y="3375579"/>
                  <a:pt x="6406875" y="3375579"/>
                </a:cubicBezTo>
                <a:cubicBezTo>
                  <a:pt x="6424662" y="3375579"/>
                  <a:pt x="6439079" y="3388856"/>
                  <a:pt x="6439079" y="3405231"/>
                </a:cubicBezTo>
                <a:cubicBezTo>
                  <a:pt x="6439079" y="3421606"/>
                  <a:pt x="6424662" y="3434883"/>
                  <a:pt x="6406875" y="3434883"/>
                </a:cubicBezTo>
                <a:close/>
                <a:moveTo>
                  <a:pt x="6485408" y="3434883"/>
                </a:moveTo>
                <a:cubicBezTo>
                  <a:pt x="6467621" y="3434883"/>
                  <a:pt x="6453191" y="3421606"/>
                  <a:pt x="6453191" y="3405231"/>
                </a:cubicBezTo>
                <a:cubicBezTo>
                  <a:pt x="6453191" y="3388856"/>
                  <a:pt x="6467621" y="3375579"/>
                  <a:pt x="6485408" y="3375579"/>
                </a:cubicBezTo>
                <a:cubicBezTo>
                  <a:pt x="6503195" y="3375579"/>
                  <a:pt x="6517612" y="3388856"/>
                  <a:pt x="6517612" y="3405231"/>
                </a:cubicBezTo>
                <a:cubicBezTo>
                  <a:pt x="6517612" y="3421606"/>
                  <a:pt x="6503195" y="3434883"/>
                  <a:pt x="6485408" y="3434883"/>
                </a:cubicBezTo>
                <a:close/>
                <a:moveTo>
                  <a:pt x="6563942" y="3434883"/>
                </a:moveTo>
                <a:cubicBezTo>
                  <a:pt x="6546155" y="3434883"/>
                  <a:pt x="6531726" y="3421606"/>
                  <a:pt x="6531726" y="3405231"/>
                </a:cubicBezTo>
                <a:cubicBezTo>
                  <a:pt x="6531726" y="3388856"/>
                  <a:pt x="6546155" y="3375579"/>
                  <a:pt x="6563942" y="3375579"/>
                </a:cubicBezTo>
                <a:cubicBezTo>
                  <a:pt x="6581729" y="3375579"/>
                  <a:pt x="6596146" y="3388856"/>
                  <a:pt x="6596146" y="3405231"/>
                </a:cubicBezTo>
                <a:cubicBezTo>
                  <a:pt x="6596146" y="3421606"/>
                  <a:pt x="6581729" y="3434883"/>
                  <a:pt x="6563942" y="3434883"/>
                </a:cubicBezTo>
                <a:close/>
                <a:moveTo>
                  <a:pt x="6642476" y="3434883"/>
                </a:moveTo>
                <a:cubicBezTo>
                  <a:pt x="6624689" y="3434883"/>
                  <a:pt x="6610260" y="3421606"/>
                  <a:pt x="6610260" y="3405231"/>
                </a:cubicBezTo>
                <a:cubicBezTo>
                  <a:pt x="6610260" y="3388856"/>
                  <a:pt x="6624689" y="3375579"/>
                  <a:pt x="6642476" y="3375579"/>
                </a:cubicBezTo>
                <a:cubicBezTo>
                  <a:pt x="6660264" y="3375579"/>
                  <a:pt x="6674681" y="3388856"/>
                  <a:pt x="6674681" y="3405231"/>
                </a:cubicBezTo>
                <a:cubicBezTo>
                  <a:pt x="6674681" y="3421606"/>
                  <a:pt x="6660264" y="3434883"/>
                  <a:pt x="6642476" y="3434883"/>
                </a:cubicBezTo>
                <a:close/>
                <a:moveTo>
                  <a:pt x="6721010" y="3434883"/>
                </a:moveTo>
                <a:cubicBezTo>
                  <a:pt x="6703222" y="3434883"/>
                  <a:pt x="6688793" y="3421606"/>
                  <a:pt x="6688793" y="3405231"/>
                </a:cubicBezTo>
                <a:cubicBezTo>
                  <a:pt x="6688793" y="3388856"/>
                  <a:pt x="6703222" y="3375579"/>
                  <a:pt x="6721010" y="3375579"/>
                </a:cubicBezTo>
                <a:cubicBezTo>
                  <a:pt x="6738797" y="3375579"/>
                  <a:pt x="6753214" y="3388856"/>
                  <a:pt x="6753214" y="3405231"/>
                </a:cubicBezTo>
                <a:cubicBezTo>
                  <a:pt x="6753214" y="3421606"/>
                  <a:pt x="6738797" y="3434883"/>
                  <a:pt x="6721010" y="3434883"/>
                </a:cubicBezTo>
                <a:close/>
                <a:moveTo>
                  <a:pt x="6799544" y="3434883"/>
                </a:moveTo>
                <a:cubicBezTo>
                  <a:pt x="6781757" y="3434883"/>
                  <a:pt x="6767327" y="3421606"/>
                  <a:pt x="6767327" y="3405231"/>
                </a:cubicBezTo>
                <a:cubicBezTo>
                  <a:pt x="6767327" y="3388856"/>
                  <a:pt x="6781757" y="3375579"/>
                  <a:pt x="6799544" y="3375579"/>
                </a:cubicBezTo>
                <a:cubicBezTo>
                  <a:pt x="6817331" y="3375579"/>
                  <a:pt x="6831748" y="3388856"/>
                  <a:pt x="6831748" y="3405231"/>
                </a:cubicBezTo>
                <a:cubicBezTo>
                  <a:pt x="6831748" y="3421606"/>
                  <a:pt x="6817331" y="3434883"/>
                  <a:pt x="6799544" y="3434883"/>
                </a:cubicBezTo>
                <a:close/>
                <a:moveTo>
                  <a:pt x="6878077" y="3434883"/>
                </a:moveTo>
                <a:cubicBezTo>
                  <a:pt x="6860290" y="3434883"/>
                  <a:pt x="6845861" y="3421606"/>
                  <a:pt x="6845861" y="3405231"/>
                </a:cubicBezTo>
                <a:cubicBezTo>
                  <a:pt x="6845861" y="3388856"/>
                  <a:pt x="6860290" y="3375579"/>
                  <a:pt x="6878077" y="3375579"/>
                </a:cubicBezTo>
                <a:cubicBezTo>
                  <a:pt x="6895864" y="3375579"/>
                  <a:pt x="6910281" y="3388856"/>
                  <a:pt x="6910281" y="3405231"/>
                </a:cubicBezTo>
                <a:cubicBezTo>
                  <a:pt x="6910281" y="3421606"/>
                  <a:pt x="6895864" y="3434883"/>
                  <a:pt x="6878077" y="3434883"/>
                </a:cubicBezTo>
                <a:close/>
                <a:moveTo>
                  <a:pt x="6956611" y="3434883"/>
                </a:moveTo>
                <a:cubicBezTo>
                  <a:pt x="6938824" y="3434883"/>
                  <a:pt x="6924395" y="3421606"/>
                  <a:pt x="6924395" y="3405231"/>
                </a:cubicBezTo>
                <a:cubicBezTo>
                  <a:pt x="6924395" y="3388856"/>
                  <a:pt x="6938824" y="3375579"/>
                  <a:pt x="6956611" y="3375579"/>
                </a:cubicBezTo>
                <a:cubicBezTo>
                  <a:pt x="6974399" y="3375579"/>
                  <a:pt x="6988816" y="3388856"/>
                  <a:pt x="6988816" y="3405231"/>
                </a:cubicBezTo>
                <a:cubicBezTo>
                  <a:pt x="6988816" y="3421606"/>
                  <a:pt x="6974399" y="3434883"/>
                  <a:pt x="6956611" y="3434883"/>
                </a:cubicBezTo>
                <a:close/>
                <a:moveTo>
                  <a:pt x="7035146" y="3434883"/>
                </a:moveTo>
                <a:cubicBezTo>
                  <a:pt x="7017358" y="3434883"/>
                  <a:pt x="7002929" y="3421606"/>
                  <a:pt x="7002929" y="3405231"/>
                </a:cubicBezTo>
                <a:cubicBezTo>
                  <a:pt x="7002929" y="3388856"/>
                  <a:pt x="7017358" y="3375579"/>
                  <a:pt x="7035146" y="3375579"/>
                </a:cubicBezTo>
                <a:cubicBezTo>
                  <a:pt x="7052933" y="3375579"/>
                  <a:pt x="7067350" y="3388856"/>
                  <a:pt x="7067350" y="3405231"/>
                </a:cubicBezTo>
                <a:cubicBezTo>
                  <a:pt x="7067350" y="3421606"/>
                  <a:pt x="7052933" y="3434883"/>
                  <a:pt x="7035146" y="3434883"/>
                </a:cubicBezTo>
                <a:close/>
                <a:moveTo>
                  <a:pt x="7113703" y="3434883"/>
                </a:moveTo>
                <a:cubicBezTo>
                  <a:pt x="7095916" y="3434883"/>
                  <a:pt x="7081487" y="3421606"/>
                  <a:pt x="7081487" y="3405231"/>
                </a:cubicBezTo>
                <a:cubicBezTo>
                  <a:pt x="7081487" y="3388856"/>
                  <a:pt x="7095916" y="3375579"/>
                  <a:pt x="7113703" y="3375579"/>
                </a:cubicBezTo>
                <a:cubicBezTo>
                  <a:pt x="7131490" y="3375579"/>
                  <a:pt x="7145907" y="3388856"/>
                  <a:pt x="7145907" y="3405231"/>
                </a:cubicBezTo>
                <a:cubicBezTo>
                  <a:pt x="7145907" y="3421606"/>
                  <a:pt x="7131490" y="3434883"/>
                  <a:pt x="7113703" y="3434883"/>
                </a:cubicBezTo>
                <a:close/>
                <a:moveTo>
                  <a:pt x="7192237" y="3434883"/>
                </a:moveTo>
                <a:cubicBezTo>
                  <a:pt x="7174450" y="3434883"/>
                  <a:pt x="7160021" y="3421606"/>
                  <a:pt x="7160021" y="3405231"/>
                </a:cubicBezTo>
                <a:cubicBezTo>
                  <a:pt x="7160021" y="3388856"/>
                  <a:pt x="7174450" y="3375579"/>
                  <a:pt x="7192237" y="3375579"/>
                </a:cubicBezTo>
                <a:cubicBezTo>
                  <a:pt x="7210024" y="3375579"/>
                  <a:pt x="7224441" y="3388856"/>
                  <a:pt x="7224441" y="3405231"/>
                </a:cubicBezTo>
                <a:cubicBezTo>
                  <a:pt x="7224441" y="3421606"/>
                  <a:pt x="7210024" y="3434883"/>
                  <a:pt x="7192237" y="3434883"/>
                </a:cubicBezTo>
                <a:close/>
                <a:moveTo>
                  <a:pt x="7270771" y="3434883"/>
                </a:moveTo>
                <a:cubicBezTo>
                  <a:pt x="7252984" y="3434883"/>
                  <a:pt x="7238555" y="3421606"/>
                  <a:pt x="7238555" y="3405231"/>
                </a:cubicBezTo>
                <a:cubicBezTo>
                  <a:pt x="7238555" y="3388856"/>
                  <a:pt x="7252984" y="3375579"/>
                  <a:pt x="7270771" y="3375579"/>
                </a:cubicBezTo>
                <a:cubicBezTo>
                  <a:pt x="7288559" y="3375579"/>
                  <a:pt x="7302976" y="3388856"/>
                  <a:pt x="7302976" y="3405231"/>
                </a:cubicBezTo>
                <a:cubicBezTo>
                  <a:pt x="7302976" y="3421606"/>
                  <a:pt x="7288559" y="3434883"/>
                  <a:pt x="7270771" y="3434883"/>
                </a:cubicBezTo>
                <a:close/>
                <a:moveTo>
                  <a:pt x="7427839" y="3434883"/>
                </a:moveTo>
                <a:cubicBezTo>
                  <a:pt x="7410052" y="3434883"/>
                  <a:pt x="7395623" y="3421606"/>
                  <a:pt x="7395623" y="3405231"/>
                </a:cubicBezTo>
                <a:cubicBezTo>
                  <a:pt x="7395623" y="3388856"/>
                  <a:pt x="7410052" y="3375579"/>
                  <a:pt x="7427839" y="3375579"/>
                </a:cubicBezTo>
                <a:cubicBezTo>
                  <a:pt x="7445626" y="3375579"/>
                  <a:pt x="7460043" y="3388856"/>
                  <a:pt x="7460043" y="3405231"/>
                </a:cubicBezTo>
                <a:cubicBezTo>
                  <a:pt x="7460043" y="3421606"/>
                  <a:pt x="7445626" y="3434883"/>
                  <a:pt x="7427839" y="3434883"/>
                </a:cubicBezTo>
                <a:close/>
                <a:moveTo>
                  <a:pt x="7506373" y="3434883"/>
                </a:moveTo>
                <a:cubicBezTo>
                  <a:pt x="7488586" y="3434883"/>
                  <a:pt x="7474157" y="3421606"/>
                  <a:pt x="7474157" y="3405231"/>
                </a:cubicBezTo>
                <a:cubicBezTo>
                  <a:pt x="7474157" y="3388856"/>
                  <a:pt x="7488586" y="3375579"/>
                  <a:pt x="7506373" y="3375579"/>
                </a:cubicBezTo>
                <a:cubicBezTo>
                  <a:pt x="7524160" y="3375579"/>
                  <a:pt x="7538577" y="3388856"/>
                  <a:pt x="7538577" y="3405231"/>
                </a:cubicBezTo>
                <a:cubicBezTo>
                  <a:pt x="7538577" y="3421606"/>
                  <a:pt x="7524160" y="3434883"/>
                  <a:pt x="7506373" y="3434883"/>
                </a:cubicBezTo>
                <a:close/>
                <a:moveTo>
                  <a:pt x="7584906" y="3434883"/>
                </a:moveTo>
                <a:cubicBezTo>
                  <a:pt x="7567119" y="3434883"/>
                  <a:pt x="7552690" y="3421606"/>
                  <a:pt x="7552690" y="3405231"/>
                </a:cubicBezTo>
                <a:cubicBezTo>
                  <a:pt x="7552690" y="3388856"/>
                  <a:pt x="7567119" y="3375579"/>
                  <a:pt x="7584906" y="3375579"/>
                </a:cubicBezTo>
                <a:cubicBezTo>
                  <a:pt x="7602694" y="3375579"/>
                  <a:pt x="7617111" y="3388856"/>
                  <a:pt x="7617111" y="3405231"/>
                </a:cubicBezTo>
                <a:cubicBezTo>
                  <a:pt x="7617111" y="3421606"/>
                  <a:pt x="7602694" y="3434883"/>
                  <a:pt x="7584906" y="3434883"/>
                </a:cubicBezTo>
                <a:close/>
                <a:moveTo>
                  <a:pt x="7663441" y="3434883"/>
                </a:moveTo>
                <a:cubicBezTo>
                  <a:pt x="7645653" y="3434883"/>
                  <a:pt x="7631224" y="3421606"/>
                  <a:pt x="7631224" y="3405231"/>
                </a:cubicBezTo>
                <a:cubicBezTo>
                  <a:pt x="7631224" y="3388856"/>
                  <a:pt x="7645653" y="3375579"/>
                  <a:pt x="7663441" y="3375579"/>
                </a:cubicBezTo>
                <a:cubicBezTo>
                  <a:pt x="7681228" y="3375579"/>
                  <a:pt x="7695645" y="3388856"/>
                  <a:pt x="7695645" y="3405231"/>
                </a:cubicBezTo>
                <a:cubicBezTo>
                  <a:pt x="7695645" y="3421606"/>
                  <a:pt x="7681228" y="3434883"/>
                  <a:pt x="7663441" y="3434883"/>
                </a:cubicBezTo>
                <a:close/>
                <a:moveTo>
                  <a:pt x="7741974" y="3434883"/>
                </a:moveTo>
                <a:cubicBezTo>
                  <a:pt x="7724187" y="3434883"/>
                  <a:pt x="7709758" y="3421606"/>
                  <a:pt x="7709758" y="3405231"/>
                </a:cubicBezTo>
                <a:cubicBezTo>
                  <a:pt x="7709758" y="3388856"/>
                  <a:pt x="7724187" y="3375579"/>
                  <a:pt x="7741974" y="3375579"/>
                </a:cubicBezTo>
                <a:cubicBezTo>
                  <a:pt x="7759761" y="3375579"/>
                  <a:pt x="7774178" y="3388856"/>
                  <a:pt x="7774178" y="3405231"/>
                </a:cubicBezTo>
                <a:cubicBezTo>
                  <a:pt x="7774178" y="3421606"/>
                  <a:pt x="7759761" y="3434883"/>
                  <a:pt x="7741974" y="3434883"/>
                </a:cubicBezTo>
                <a:close/>
                <a:moveTo>
                  <a:pt x="7820508" y="3434883"/>
                </a:moveTo>
                <a:cubicBezTo>
                  <a:pt x="7802721" y="3434883"/>
                  <a:pt x="7788292" y="3421606"/>
                  <a:pt x="7788292" y="3405231"/>
                </a:cubicBezTo>
                <a:cubicBezTo>
                  <a:pt x="7788292" y="3388856"/>
                  <a:pt x="7802721" y="3375579"/>
                  <a:pt x="7820508" y="3375579"/>
                </a:cubicBezTo>
                <a:cubicBezTo>
                  <a:pt x="7838295" y="3375579"/>
                  <a:pt x="7852712" y="3388856"/>
                  <a:pt x="7852712" y="3405231"/>
                </a:cubicBezTo>
                <a:cubicBezTo>
                  <a:pt x="7852712" y="3421606"/>
                  <a:pt x="7838295" y="3434883"/>
                  <a:pt x="7820508" y="3434883"/>
                </a:cubicBezTo>
                <a:close/>
                <a:moveTo>
                  <a:pt x="7899042" y="3434883"/>
                </a:moveTo>
                <a:cubicBezTo>
                  <a:pt x="7881255" y="3434883"/>
                  <a:pt x="7866826" y="3421606"/>
                  <a:pt x="7866826" y="3405231"/>
                </a:cubicBezTo>
                <a:cubicBezTo>
                  <a:pt x="7866826" y="3388856"/>
                  <a:pt x="7881255" y="3375579"/>
                  <a:pt x="7899042" y="3375579"/>
                </a:cubicBezTo>
                <a:cubicBezTo>
                  <a:pt x="7916830" y="3375579"/>
                  <a:pt x="7931247" y="3388856"/>
                  <a:pt x="7931247" y="3405231"/>
                </a:cubicBezTo>
                <a:cubicBezTo>
                  <a:pt x="7931247" y="3421606"/>
                  <a:pt x="7916830" y="3434883"/>
                  <a:pt x="7899042" y="3434883"/>
                </a:cubicBezTo>
                <a:close/>
                <a:moveTo>
                  <a:pt x="7977576" y="3434883"/>
                </a:moveTo>
                <a:cubicBezTo>
                  <a:pt x="7959788" y="3434883"/>
                  <a:pt x="7945359" y="3421606"/>
                  <a:pt x="7945359" y="3405231"/>
                </a:cubicBezTo>
                <a:cubicBezTo>
                  <a:pt x="7945359" y="3388856"/>
                  <a:pt x="7959788" y="3375579"/>
                  <a:pt x="7977576" y="3375579"/>
                </a:cubicBezTo>
                <a:cubicBezTo>
                  <a:pt x="7995363" y="3375579"/>
                  <a:pt x="8009780" y="3388856"/>
                  <a:pt x="8009780" y="3405231"/>
                </a:cubicBezTo>
                <a:cubicBezTo>
                  <a:pt x="8009780" y="3421606"/>
                  <a:pt x="7995363" y="3434883"/>
                  <a:pt x="7977576" y="3434883"/>
                </a:cubicBezTo>
                <a:close/>
                <a:moveTo>
                  <a:pt x="8056110" y="3434883"/>
                </a:moveTo>
                <a:cubicBezTo>
                  <a:pt x="8038323" y="3434883"/>
                  <a:pt x="8023894" y="3421606"/>
                  <a:pt x="8023894" y="3405231"/>
                </a:cubicBezTo>
                <a:cubicBezTo>
                  <a:pt x="8023894" y="3388856"/>
                  <a:pt x="8038323" y="3375579"/>
                  <a:pt x="8056110" y="3375579"/>
                </a:cubicBezTo>
                <a:cubicBezTo>
                  <a:pt x="8073897" y="3375579"/>
                  <a:pt x="8088314" y="3388856"/>
                  <a:pt x="8088314" y="3405231"/>
                </a:cubicBezTo>
                <a:cubicBezTo>
                  <a:pt x="8088314" y="3421606"/>
                  <a:pt x="8073897" y="3434883"/>
                  <a:pt x="8056110" y="3434883"/>
                </a:cubicBezTo>
                <a:close/>
                <a:moveTo>
                  <a:pt x="8134643" y="3434883"/>
                </a:moveTo>
                <a:cubicBezTo>
                  <a:pt x="8116856" y="3434883"/>
                  <a:pt x="8102427" y="3421606"/>
                  <a:pt x="8102427" y="3405231"/>
                </a:cubicBezTo>
                <a:cubicBezTo>
                  <a:pt x="8102427" y="3388856"/>
                  <a:pt x="8116856" y="3375579"/>
                  <a:pt x="8134643" y="3375579"/>
                </a:cubicBezTo>
                <a:cubicBezTo>
                  <a:pt x="8152430" y="3375579"/>
                  <a:pt x="8166847" y="3388856"/>
                  <a:pt x="8166847" y="3405231"/>
                </a:cubicBezTo>
                <a:cubicBezTo>
                  <a:pt x="8166847" y="3421606"/>
                  <a:pt x="8152430" y="3434883"/>
                  <a:pt x="8134643" y="3434883"/>
                </a:cubicBezTo>
                <a:close/>
                <a:moveTo>
                  <a:pt x="8213177" y="3434883"/>
                </a:moveTo>
                <a:cubicBezTo>
                  <a:pt x="8195390" y="3434883"/>
                  <a:pt x="8180961" y="3421606"/>
                  <a:pt x="8180961" y="3405231"/>
                </a:cubicBezTo>
                <a:cubicBezTo>
                  <a:pt x="8180961" y="3388856"/>
                  <a:pt x="8195390" y="3375579"/>
                  <a:pt x="8213177" y="3375579"/>
                </a:cubicBezTo>
                <a:cubicBezTo>
                  <a:pt x="8230965" y="3375579"/>
                  <a:pt x="8245382" y="3388856"/>
                  <a:pt x="8245382" y="3405231"/>
                </a:cubicBezTo>
                <a:cubicBezTo>
                  <a:pt x="8245382" y="3421606"/>
                  <a:pt x="8230965" y="3434883"/>
                  <a:pt x="8213177" y="3434883"/>
                </a:cubicBezTo>
                <a:close/>
                <a:moveTo>
                  <a:pt x="8291712" y="3434883"/>
                </a:moveTo>
                <a:cubicBezTo>
                  <a:pt x="8273924" y="3434883"/>
                  <a:pt x="8259495" y="3421606"/>
                  <a:pt x="8259495" y="3405231"/>
                </a:cubicBezTo>
                <a:cubicBezTo>
                  <a:pt x="8259495" y="3388856"/>
                  <a:pt x="8273924" y="3375579"/>
                  <a:pt x="8291712" y="3375579"/>
                </a:cubicBezTo>
                <a:cubicBezTo>
                  <a:pt x="8309499" y="3375579"/>
                  <a:pt x="8323916" y="3388856"/>
                  <a:pt x="8323916" y="3405231"/>
                </a:cubicBezTo>
                <a:cubicBezTo>
                  <a:pt x="8323916" y="3421606"/>
                  <a:pt x="8309499" y="3434883"/>
                  <a:pt x="8291712" y="3434883"/>
                </a:cubicBezTo>
                <a:close/>
                <a:moveTo>
                  <a:pt x="8370245" y="3434883"/>
                </a:moveTo>
                <a:cubicBezTo>
                  <a:pt x="8352458" y="3434883"/>
                  <a:pt x="8338029" y="3421606"/>
                  <a:pt x="8338029" y="3405231"/>
                </a:cubicBezTo>
                <a:cubicBezTo>
                  <a:pt x="8338029" y="3388856"/>
                  <a:pt x="8352458" y="3375579"/>
                  <a:pt x="8370245" y="3375579"/>
                </a:cubicBezTo>
                <a:cubicBezTo>
                  <a:pt x="8388032" y="3375579"/>
                  <a:pt x="8402449" y="3388856"/>
                  <a:pt x="8402449" y="3405231"/>
                </a:cubicBezTo>
                <a:cubicBezTo>
                  <a:pt x="8402449" y="3421606"/>
                  <a:pt x="8388032" y="3434883"/>
                  <a:pt x="8370245" y="3434883"/>
                </a:cubicBezTo>
                <a:close/>
                <a:moveTo>
                  <a:pt x="8448779" y="3434883"/>
                </a:moveTo>
                <a:cubicBezTo>
                  <a:pt x="8430992" y="3434883"/>
                  <a:pt x="8416563" y="3421606"/>
                  <a:pt x="8416563" y="3405231"/>
                </a:cubicBezTo>
                <a:cubicBezTo>
                  <a:pt x="8416563" y="3388856"/>
                  <a:pt x="8430992" y="3375579"/>
                  <a:pt x="8448779" y="3375579"/>
                </a:cubicBezTo>
                <a:cubicBezTo>
                  <a:pt x="8466566" y="3375579"/>
                  <a:pt x="8480983" y="3388856"/>
                  <a:pt x="8480983" y="3405231"/>
                </a:cubicBezTo>
                <a:cubicBezTo>
                  <a:pt x="8480983" y="3421606"/>
                  <a:pt x="8466566" y="3434883"/>
                  <a:pt x="8448779" y="3434883"/>
                </a:cubicBezTo>
                <a:close/>
                <a:moveTo>
                  <a:pt x="8527313" y="3434883"/>
                </a:moveTo>
                <a:cubicBezTo>
                  <a:pt x="8509526" y="3434883"/>
                  <a:pt x="8495097" y="3421606"/>
                  <a:pt x="8495097" y="3405231"/>
                </a:cubicBezTo>
                <a:cubicBezTo>
                  <a:pt x="8495097" y="3388856"/>
                  <a:pt x="8509526" y="3375579"/>
                  <a:pt x="8527313" y="3375579"/>
                </a:cubicBezTo>
                <a:cubicBezTo>
                  <a:pt x="8545101" y="3375579"/>
                  <a:pt x="8559518" y="3388856"/>
                  <a:pt x="8559518" y="3405231"/>
                </a:cubicBezTo>
                <a:cubicBezTo>
                  <a:pt x="8559518" y="3421606"/>
                  <a:pt x="8545101" y="3434883"/>
                  <a:pt x="8527313" y="3434883"/>
                </a:cubicBezTo>
                <a:close/>
                <a:moveTo>
                  <a:pt x="8605847" y="3434883"/>
                </a:moveTo>
                <a:cubicBezTo>
                  <a:pt x="8588059" y="3434883"/>
                  <a:pt x="8573630" y="3421606"/>
                  <a:pt x="8573630" y="3405231"/>
                </a:cubicBezTo>
                <a:cubicBezTo>
                  <a:pt x="8573630" y="3388856"/>
                  <a:pt x="8588059" y="3375579"/>
                  <a:pt x="8605847" y="3375579"/>
                </a:cubicBezTo>
                <a:cubicBezTo>
                  <a:pt x="8623634" y="3375579"/>
                  <a:pt x="8638051" y="3388856"/>
                  <a:pt x="8638051" y="3405231"/>
                </a:cubicBezTo>
                <a:cubicBezTo>
                  <a:pt x="8638051" y="3421606"/>
                  <a:pt x="8623634" y="3434883"/>
                  <a:pt x="8605847" y="3434883"/>
                </a:cubicBezTo>
                <a:close/>
                <a:moveTo>
                  <a:pt x="8684381" y="3434883"/>
                </a:moveTo>
                <a:cubicBezTo>
                  <a:pt x="8666594" y="3434883"/>
                  <a:pt x="8652165" y="3421606"/>
                  <a:pt x="8652165" y="3405231"/>
                </a:cubicBezTo>
                <a:cubicBezTo>
                  <a:pt x="8652165" y="3388856"/>
                  <a:pt x="8666594" y="3375579"/>
                  <a:pt x="8684381" y="3375579"/>
                </a:cubicBezTo>
                <a:cubicBezTo>
                  <a:pt x="8702168" y="3375579"/>
                  <a:pt x="8716585" y="3388856"/>
                  <a:pt x="8716585" y="3405231"/>
                </a:cubicBezTo>
                <a:cubicBezTo>
                  <a:pt x="8716585" y="3421606"/>
                  <a:pt x="8702168" y="3434883"/>
                  <a:pt x="8684381" y="3434883"/>
                </a:cubicBezTo>
                <a:close/>
                <a:moveTo>
                  <a:pt x="8762914" y="3434883"/>
                </a:moveTo>
                <a:cubicBezTo>
                  <a:pt x="8745127" y="3434883"/>
                  <a:pt x="8730698" y="3421606"/>
                  <a:pt x="8730698" y="3405231"/>
                </a:cubicBezTo>
                <a:cubicBezTo>
                  <a:pt x="8730698" y="3388856"/>
                  <a:pt x="8745127" y="3375579"/>
                  <a:pt x="8762914" y="3375579"/>
                </a:cubicBezTo>
                <a:cubicBezTo>
                  <a:pt x="8780701" y="3375579"/>
                  <a:pt x="8795118" y="3388856"/>
                  <a:pt x="8795118" y="3405231"/>
                </a:cubicBezTo>
                <a:cubicBezTo>
                  <a:pt x="8795118" y="3421606"/>
                  <a:pt x="8780701" y="3434883"/>
                  <a:pt x="8762914" y="3434883"/>
                </a:cubicBezTo>
                <a:close/>
                <a:moveTo>
                  <a:pt x="8841448" y="3434883"/>
                </a:moveTo>
                <a:cubicBezTo>
                  <a:pt x="8823661" y="3434883"/>
                  <a:pt x="8809232" y="3421606"/>
                  <a:pt x="8809232" y="3405231"/>
                </a:cubicBezTo>
                <a:cubicBezTo>
                  <a:pt x="8809232" y="3388856"/>
                  <a:pt x="8823661" y="3375579"/>
                  <a:pt x="8841448" y="3375579"/>
                </a:cubicBezTo>
                <a:cubicBezTo>
                  <a:pt x="8859236" y="3375579"/>
                  <a:pt x="8873653" y="3388856"/>
                  <a:pt x="8873653" y="3405231"/>
                </a:cubicBezTo>
                <a:cubicBezTo>
                  <a:pt x="8873653" y="3421606"/>
                  <a:pt x="8859236" y="3434883"/>
                  <a:pt x="8841448" y="3434883"/>
                </a:cubicBezTo>
                <a:close/>
                <a:moveTo>
                  <a:pt x="8919983" y="3434883"/>
                </a:moveTo>
                <a:cubicBezTo>
                  <a:pt x="8902195" y="3434883"/>
                  <a:pt x="8887766" y="3421606"/>
                  <a:pt x="8887766" y="3405231"/>
                </a:cubicBezTo>
                <a:cubicBezTo>
                  <a:pt x="8887766" y="3388856"/>
                  <a:pt x="8902195" y="3375579"/>
                  <a:pt x="8919983" y="3375579"/>
                </a:cubicBezTo>
                <a:cubicBezTo>
                  <a:pt x="8937770" y="3375579"/>
                  <a:pt x="8952187" y="3388856"/>
                  <a:pt x="8952187" y="3405231"/>
                </a:cubicBezTo>
                <a:cubicBezTo>
                  <a:pt x="8952187" y="3421606"/>
                  <a:pt x="8937770" y="3434883"/>
                  <a:pt x="8919983" y="3434883"/>
                </a:cubicBezTo>
                <a:close/>
                <a:moveTo>
                  <a:pt x="8998516" y="3434883"/>
                </a:moveTo>
                <a:cubicBezTo>
                  <a:pt x="8980729" y="3434883"/>
                  <a:pt x="8966300" y="3421606"/>
                  <a:pt x="8966300" y="3405231"/>
                </a:cubicBezTo>
                <a:cubicBezTo>
                  <a:pt x="8966300" y="3388856"/>
                  <a:pt x="8980729" y="3375579"/>
                  <a:pt x="8998516" y="3375579"/>
                </a:cubicBezTo>
                <a:cubicBezTo>
                  <a:pt x="9016303" y="3375579"/>
                  <a:pt x="9030720" y="3388856"/>
                  <a:pt x="9030720" y="3405231"/>
                </a:cubicBezTo>
                <a:cubicBezTo>
                  <a:pt x="9030720" y="3421606"/>
                  <a:pt x="9016303" y="3434883"/>
                  <a:pt x="8998516" y="3434883"/>
                </a:cubicBezTo>
                <a:close/>
                <a:moveTo>
                  <a:pt x="9077050" y="3434883"/>
                </a:moveTo>
                <a:cubicBezTo>
                  <a:pt x="9059263" y="3434883"/>
                  <a:pt x="9044834" y="3421606"/>
                  <a:pt x="9044834" y="3405231"/>
                </a:cubicBezTo>
                <a:cubicBezTo>
                  <a:pt x="9044834" y="3388856"/>
                  <a:pt x="9059263" y="3375579"/>
                  <a:pt x="9077050" y="3375579"/>
                </a:cubicBezTo>
                <a:cubicBezTo>
                  <a:pt x="9094837" y="3375579"/>
                  <a:pt x="9109254" y="3388856"/>
                  <a:pt x="9109254" y="3405231"/>
                </a:cubicBezTo>
                <a:cubicBezTo>
                  <a:pt x="9109254" y="3421606"/>
                  <a:pt x="9094837" y="3434883"/>
                  <a:pt x="9077050" y="3434883"/>
                </a:cubicBezTo>
                <a:close/>
                <a:moveTo>
                  <a:pt x="9155583" y="3434883"/>
                </a:moveTo>
                <a:cubicBezTo>
                  <a:pt x="9137796" y="3434883"/>
                  <a:pt x="9123367" y="3421606"/>
                  <a:pt x="9123367" y="3405231"/>
                </a:cubicBezTo>
                <a:cubicBezTo>
                  <a:pt x="9123367" y="3388856"/>
                  <a:pt x="9137796" y="3375579"/>
                  <a:pt x="9155583" y="3375579"/>
                </a:cubicBezTo>
                <a:cubicBezTo>
                  <a:pt x="9173371" y="3375579"/>
                  <a:pt x="9187788" y="3388856"/>
                  <a:pt x="9187788" y="3405231"/>
                </a:cubicBezTo>
                <a:cubicBezTo>
                  <a:pt x="9187788" y="3421606"/>
                  <a:pt x="9173371" y="3434883"/>
                  <a:pt x="9155583" y="3434883"/>
                </a:cubicBezTo>
                <a:close/>
                <a:moveTo>
                  <a:pt x="9234118" y="3434883"/>
                </a:moveTo>
                <a:cubicBezTo>
                  <a:pt x="9216330" y="3434883"/>
                  <a:pt x="9201901" y="3421606"/>
                  <a:pt x="9201901" y="3405231"/>
                </a:cubicBezTo>
                <a:cubicBezTo>
                  <a:pt x="9201901" y="3388856"/>
                  <a:pt x="9216330" y="3375579"/>
                  <a:pt x="9234118" y="3375579"/>
                </a:cubicBezTo>
                <a:cubicBezTo>
                  <a:pt x="9251905" y="3375579"/>
                  <a:pt x="9266322" y="3388856"/>
                  <a:pt x="9266322" y="3405231"/>
                </a:cubicBezTo>
                <a:cubicBezTo>
                  <a:pt x="9266322" y="3421606"/>
                  <a:pt x="9251905" y="3434883"/>
                  <a:pt x="9234118" y="3434883"/>
                </a:cubicBezTo>
                <a:close/>
                <a:moveTo>
                  <a:pt x="9312652" y="3434883"/>
                </a:moveTo>
                <a:cubicBezTo>
                  <a:pt x="9294865" y="3434883"/>
                  <a:pt x="9280436" y="3421606"/>
                  <a:pt x="9280436" y="3405231"/>
                </a:cubicBezTo>
                <a:cubicBezTo>
                  <a:pt x="9280436" y="3388856"/>
                  <a:pt x="9294865" y="3375579"/>
                  <a:pt x="9312652" y="3375579"/>
                </a:cubicBezTo>
                <a:cubicBezTo>
                  <a:pt x="9330439" y="3375579"/>
                  <a:pt x="9344856" y="3388856"/>
                  <a:pt x="9344856" y="3405231"/>
                </a:cubicBezTo>
                <a:cubicBezTo>
                  <a:pt x="9344856" y="3421606"/>
                  <a:pt x="9330439" y="3434883"/>
                  <a:pt x="9312652" y="3434883"/>
                </a:cubicBezTo>
                <a:close/>
                <a:moveTo>
                  <a:pt x="2715777" y="3362618"/>
                </a:moveTo>
                <a:cubicBezTo>
                  <a:pt x="2697990" y="3362618"/>
                  <a:pt x="2683566" y="3349341"/>
                  <a:pt x="2683566" y="3332966"/>
                </a:cubicBezTo>
                <a:cubicBezTo>
                  <a:pt x="2683566" y="3316592"/>
                  <a:pt x="2697990" y="3303314"/>
                  <a:pt x="2715777" y="3303314"/>
                </a:cubicBezTo>
                <a:cubicBezTo>
                  <a:pt x="2733564" y="3303314"/>
                  <a:pt x="2747987" y="3316592"/>
                  <a:pt x="2747987" y="3332966"/>
                </a:cubicBezTo>
                <a:cubicBezTo>
                  <a:pt x="2747987" y="3349341"/>
                  <a:pt x="2733564" y="3362618"/>
                  <a:pt x="2715777" y="3362618"/>
                </a:cubicBezTo>
                <a:close/>
                <a:moveTo>
                  <a:pt x="2872844" y="3362618"/>
                </a:moveTo>
                <a:cubicBezTo>
                  <a:pt x="2855057" y="3362618"/>
                  <a:pt x="2840634" y="3349341"/>
                  <a:pt x="2840634" y="3332966"/>
                </a:cubicBezTo>
                <a:cubicBezTo>
                  <a:pt x="2840634" y="3316592"/>
                  <a:pt x="2855057" y="3303314"/>
                  <a:pt x="2872844" y="3303314"/>
                </a:cubicBezTo>
                <a:cubicBezTo>
                  <a:pt x="2890632" y="3303314"/>
                  <a:pt x="2905055" y="3316592"/>
                  <a:pt x="2905055" y="3332966"/>
                </a:cubicBezTo>
                <a:cubicBezTo>
                  <a:pt x="2905055" y="3349341"/>
                  <a:pt x="2890632" y="3362618"/>
                  <a:pt x="2872844" y="3362618"/>
                </a:cubicBezTo>
                <a:close/>
                <a:moveTo>
                  <a:pt x="2951379" y="3362618"/>
                </a:moveTo>
                <a:cubicBezTo>
                  <a:pt x="2933591" y="3362618"/>
                  <a:pt x="2919168" y="3349341"/>
                  <a:pt x="2919168" y="3332966"/>
                </a:cubicBezTo>
                <a:cubicBezTo>
                  <a:pt x="2919168" y="3316592"/>
                  <a:pt x="2933591" y="3303314"/>
                  <a:pt x="2951379" y="3303314"/>
                </a:cubicBezTo>
                <a:cubicBezTo>
                  <a:pt x="2969166" y="3303314"/>
                  <a:pt x="2983589" y="3316592"/>
                  <a:pt x="2983589" y="3332966"/>
                </a:cubicBezTo>
                <a:cubicBezTo>
                  <a:pt x="2983589" y="3349341"/>
                  <a:pt x="2969166" y="3362618"/>
                  <a:pt x="2951379" y="3362618"/>
                </a:cubicBezTo>
                <a:close/>
                <a:moveTo>
                  <a:pt x="3029912" y="3362618"/>
                </a:moveTo>
                <a:cubicBezTo>
                  <a:pt x="3012125" y="3362618"/>
                  <a:pt x="2997701" y="3349341"/>
                  <a:pt x="2997701" y="3332966"/>
                </a:cubicBezTo>
                <a:cubicBezTo>
                  <a:pt x="2997701" y="3316592"/>
                  <a:pt x="3012125" y="3303314"/>
                  <a:pt x="3029912" y="3303314"/>
                </a:cubicBezTo>
                <a:cubicBezTo>
                  <a:pt x="3047699" y="3303314"/>
                  <a:pt x="3062122" y="3316592"/>
                  <a:pt x="3062122" y="3332966"/>
                </a:cubicBezTo>
                <a:cubicBezTo>
                  <a:pt x="3062122" y="3349341"/>
                  <a:pt x="3047699" y="3362618"/>
                  <a:pt x="3029912" y="3362618"/>
                </a:cubicBezTo>
                <a:close/>
                <a:moveTo>
                  <a:pt x="3108446" y="3362618"/>
                </a:moveTo>
                <a:cubicBezTo>
                  <a:pt x="3090659" y="3362618"/>
                  <a:pt x="3076236" y="3349341"/>
                  <a:pt x="3076236" y="3332966"/>
                </a:cubicBezTo>
                <a:cubicBezTo>
                  <a:pt x="3076236" y="3316592"/>
                  <a:pt x="3090659" y="3303314"/>
                  <a:pt x="3108446" y="3303314"/>
                </a:cubicBezTo>
                <a:cubicBezTo>
                  <a:pt x="3126233" y="3303314"/>
                  <a:pt x="3140656" y="3316592"/>
                  <a:pt x="3140656" y="3332966"/>
                </a:cubicBezTo>
                <a:cubicBezTo>
                  <a:pt x="3140656" y="3349341"/>
                  <a:pt x="3126233" y="3362618"/>
                  <a:pt x="3108446" y="3362618"/>
                </a:cubicBezTo>
                <a:close/>
                <a:moveTo>
                  <a:pt x="3658183" y="3362618"/>
                </a:moveTo>
                <a:cubicBezTo>
                  <a:pt x="3640396" y="3362618"/>
                  <a:pt x="3625972" y="3349341"/>
                  <a:pt x="3625972" y="3332966"/>
                </a:cubicBezTo>
                <a:cubicBezTo>
                  <a:pt x="3625972" y="3316592"/>
                  <a:pt x="3640396" y="3303314"/>
                  <a:pt x="3658183" y="3303314"/>
                </a:cubicBezTo>
                <a:cubicBezTo>
                  <a:pt x="3675970" y="3303314"/>
                  <a:pt x="3690393" y="3316592"/>
                  <a:pt x="3690393" y="3332966"/>
                </a:cubicBezTo>
                <a:cubicBezTo>
                  <a:pt x="3690393" y="3349341"/>
                  <a:pt x="3675970" y="3362618"/>
                  <a:pt x="3658183" y="3362618"/>
                </a:cubicBezTo>
                <a:close/>
                <a:moveTo>
                  <a:pt x="5621536" y="3362618"/>
                </a:moveTo>
                <a:cubicBezTo>
                  <a:pt x="5603749" y="3362618"/>
                  <a:pt x="5589320" y="3349341"/>
                  <a:pt x="5589320" y="3332966"/>
                </a:cubicBezTo>
                <a:cubicBezTo>
                  <a:pt x="5589320" y="3316592"/>
                  <a:pt x="5603749" y="3303314"/>
                  <a:pt x="5621536" y="3303314"/>
                </a:cubicBezTo>
                <a:cubicBezTo>
                  <a:pt x="5639323" y="3303314"/>
                  <a:pt x="5653740" y="3316592"/>
                  <a:pt x="5653740" y="3332966"/>
                </a:cubicBezTo>
                <a:cubicBezTo>
                  <a:pt x="5653740" y="3349341"/>
                  <a:pt x="5639323" y="3362618"/>
                  <a:pt x="5621536" y="3362618"/>
                </a:cubicBezTo>
                <a:close/>
                <a:moveTo>
                  <a:pt x="5700069" y="3362618"/>
                </a:moveTo>
                <a:cubicBezTo>
                  <a:pt x="5682282" y="3362618"/>
                  <a:pt x="5667853" y="3349341"/>
                  <a:pt x="5667853" y="3332966"/>
                </a:cubicBezTo>
                <a:cubicBezTo>
                  <a:pt x="5667853" y="3316592"/>
                  <a:pt x="5682282" y="3303314"/>
                  <a:pt x="5700069" y="3303314"/>
                </a:cubicBezTo>
                <a:cubicBezTo>
                  <a:pt x="5717857" y="3303314"/>
                  <a:pt x="5732274" y="3316592"/>
                  <a:pt x="5732274" y="3332966"/>
                </a:cubicBezTo>
                <a:cubicBezTo>
                  <a:pt x="5732274" y="3349341"/>
                  <a:pt x="5717857" y="3362618"/>
                  <a:pt x="5700069" y="3362618"/>
                </a:cubicBezTo>
                <a:close/>
                <a:moveTo>
                  <a:pt x="5778604" y="3362618"/>
                </a:moveTo>
                <a:cubicBezTo>
                  <a:pt x="5760816" y="3362618"/>
                  <a:pt x="5746387" y="3349341"/>
                  <a:pt x="5746387" y="3332966"/>
                </a:cubicBezTo>
                <a:cubicBezTo>
                  <a:pt x="5746387" y="3316592"/>
                  <a:pt x="5760816" y="3303314"/>
                  <a:pt x="5778604" y="3303314"/>
                </a:cubicBezTo>
                <a:cubicBezTo>
                  <a:pt x="5796391" y="3303314"/>
                  <a:pt x="5810808" y="3316592"/>
                  <a:pt x="5810808" y="3332966"/>
                </a:cubicBezTo>
                <a:cubicBezTo>
                  <a:pt x="5810808" y="3349341"/>
                  <a:pt x="5796391" y="3362618"/>
                  <a:pt x="5778604" y="3362618"/>
                </a:cubicBezTo>
                <a:close/>
                <a:moveTo>
                  <a:pt x="5857137" y="3362618"/>
                </a:moveTo>
                <a:cubicBezTo>
                  <a:pt x="5839350" y="3362618"/>
                  <a:pt x="5824920" y="3349341"/>
                  <a:pt x="5824920" y="3332966"/>
                </a:cubicBezTo>
                <a:cubicBezTo>
                  <a:pt x="5824920" y="3316592"/>
                  <a:pt x="5839350" y="3303314"/>
                  <a:pt x="5857137" y="3303314"/>
                </a:cubicBezTo>
                <a:cubicBezTo>
                  <a:pt x="5874924" y="3303314"/>
                  <a:pt x="5889341" y="3316592"/>
                  <a:pt x="5889341" y="3332966"/>
                </a:cubicBezTo>
                <a:cubicBezTo>
                  <a:pt x="5889341" y="3349341"/>
                  <a:pt x="5874924" y="3362618"/>
                  <a:pt x="5857137" y="3362618"/>
                </a:cubicBezTo>
                <a:close/>
                <a:moveTo>
                  <a:pt x="5935671" y="3362618"/>
                </a:moveTo>
                <a:cubicBezTo>
                  <a:pt x="5917884" y="3362618"/>
                  <a:pt x="5903455" y="3349341"/>
                  <a:pt x="5903455" y="3332966"/>
                </a:cubicBezTo>
                <a:cubicBezTo>
                  <a:pt x="5903455" y="3316592"/>
                  <a:pt x="5917884" y="3303314"/>
                  <a:pt x="5935671" y="3303314"/>
                </a:cubicBezTo>
                <a:cubicBezTo>
                  <a:pt x="5953458" y="3303314"/>
                  <a:pt x="5967875" y="3316592"/>
                  <a:pt x="5967875" y="3332966"/>
                </a:cubicBezTo>
                <a:cubicBezTo>
                  <a:pt x="5967875" y="3349341"/>
                  <a:pt x="5953458" y="3362618"/>
                  <a:pt x="5935671" y="3362618"/>
                </a:cubicBezTo>
                <a:close/>
                <a:moveTo>
                  <a:pt x="6014205" y="3362618"/>
                </a:moveTo>
                <a:cubicBezTo>
                  <a:pt x="5996418" y="3362618"/>
                  <a:pt x="5981989" y="3349341"/>
                  <a:pt x="5981989" y="3332966"/>
                </a:cubicBezTo>
                <a:cubicBezTo>
                  <a:pt x="5981989" y="3316592"/>
                  <a:pt x="5996418" y="3303314"/>
                  <a:pt x="6014205" y="3303314"/>
                </a:cubicBezTo>
                <a:cubicBezTo>
                  <a:pt x="6031993" y="3303314"/>
                  <a:pt x="6046410" y="3316592"/>
                  <a:pt x="6046410" y="3332966"/>
                </a:cubicBezTo>
                <a:cubicBezTo>
                  <a:pt x="6046410" y="3349341"/>
                  <a:pt x="6031993" y="3362618"/>
                  <a:pt x="6014205" y="3362618"/>
                </a:cubicBezTo>
                <a:close/>
                <a:moveTo>
                  <a:pt x="6092739" y="3362618"/>
                </a:moveTo>
                <a:cubicBezTo>
                  <a:pt x="6074951" y="3362618"/>
                  <a:pt x="6060522" y="3349341"/>
                  <a:pt x="6060522" y="3332966"/>
                </a:cubicBezTo>
                <a:cubicBezTo>
                  <a:pt x="6060522" y="3316592"/>
                  <a:pt x="6074951" y="3303314"/>
                  <a:pt x="6092739" y="3303314"/>
                </a:cubicBezTo>
                <a:cubicBezTo>
                  <a:pt x="6110526" y="3303314"/>
                  <a:pt x="6124943" y="3316592"/>
                  <a:pt x="6124943" y="3332966"/>
                </a:cubicBezTo>
                <a:cubicBezTo>
                  <a:pt x="6124943" y="3349341"/>
                  <a:pt x="6110526" y="3362618"/>
                  <a:pt x="6092739" y="3362618"/>
                </a:cubicBezTo>
                <a:close/>
                <a:moveTo>
                  <a:pt x="6171273" y="3362618"/>
                </a:moveTo>
                <a:cubicBezTo>
                  <a:pt x="6153486" y="3362618"/>
                  <a:pt x="6139056" y="3349341"/>
                  <a:pt x="6139056" y="3332966"/>
                </a:cubicBezTo>
                <a:cubicBezTo>
                  <a:pt x="6139056" y="3316592"/>
                  <a:pt x="6153486" y="3303314"/>
                  <a:pt x="6171273" y="3303314"/>
                </a:cubicBezTo>
                <a:cubicBezTo>
                  <a:pt x="6189060" y="3303314"/>
                  <a:pt x="6203477" y="3316592"/>
                  <a:pt x="6203477" y="3332966"/>
                </a:cubicBezTo>
                <a:cubicBezTo>
                  <a:pt x="6203477" y="3349341"/>
                  <a:pt x="6189060" y="3362618"/>
                  <a:pt x="6171273" y="3362618"/>
                </a:cubicBezTo>
                <a:close/>
                <a:moveTo>
                  <a:pt x="6249806" y="3362618"/>
                </a:moveTo>
                <a:cubicBezTo>
                  <a:pt x="6232019" y="3362618"/>
                  <a:pt x="6217590" y="3349341"/>
                  <a:pt x="6217590" y="3332966"/>
                </a:cubicBezTo>
                <a:cubicBezTo>
                  <a:pt x="6217590" y="3316592"/>
                  <a:pt x="6232019" y="3303314"/>
                  <a:pt x="6249806" y="3303314"/>
                </a:cubicBezTo>
                <a:cubicBezTo>
                  <a:pt x="6267593" y="3303314"/>
                  <a:pt x="6282010" y="3316592"/>
                  <a:pt x="6282010" y="3332966"/>
                </a:cubicBezTo>
                <a:cubicBezTo>
                  <a:pt x="6282010" y="3349341"/>
                  <a:pt x="6267593" y="3362618"/>
                  <a:pt x="6249806" y="3362618"/>
                </a:cubicBezTo>
                <a:close/>
                <a:moveTo>
                  <a:pt x="6328340" y="3362618"/>
                </a:moveTo>
                <a:cubicBezTo>
                  <a:pt x="6310553" y="3362618"/>
                  <a:pt x="6296124" y="3349341"/>
                  <a:pt x="6296124" y="3332966"/>
                </a:cubicBezTo>
                <a:cubicBezTo>
                  <a:pt x="6296124" y="3316592"/>
                  <a:pt x="6310553" y="3303314"/>
                  <a:pt x="6328340" y="3303314"/>
                </a:cubicBezTo>
                <a:cubicBezTo>
                  <a:pt x="6346128" y="3303314"/>
                  <a:pt x="6360545" y="3316592"/>
                  <a:pt x="6360545" y="3332966"/>
                </a:cubicBezTo>
                <a:cubicBezTo>
                  <a:pt x="6360545" y="3349341"/>
                  <a:pt x="6346128" y="3362618"/>
                  <a:pt x="6328340" y="3362618"/>
                </a:cubicBezTo>
                <a:close/>
                <a:moveTo>
                  <a:pt x="6406875" y="3362618"/>
                </a:moveTo>
                <a:cubicBezTo>
                  <a:pt x="6389087" y="3362618"/>
                  <a:pt x="6374658" y="3349341"/>
                  <a:pt x="6374658" y="3332966"/>
                </a:cubicBezTo>
                <a:cubicBezTo>
                  <a:pt x="6374658" y="3316592"/>
                  <a:pt x="6389087" y="3303314"/>
                  <a:pt x="6406875" y="3303314"/>
                </a:cubicBezTo>
                <a:cubicBezTo>
                  <a:pt x="6424662" y="3303314"/>
                  <a:pt x="6439079" y="3316592"/>
                  <a:pt x="6439079" y="3332966"/>
                </a:cubicBezTo>
                <a:cubicBezTo>
                  <a:pt x="6439079" y="3349341"/>
                  <a:pt x="6424662" y="3362618"/>
                  <a:pt x="6406875" y="3362618"/>
                </a:cubicBezTo>
                <a:close/>
                <a:moveTo>
                  <a:pt x="6485408" y="3362618"/>
                </a:moveTo>
                <a:cubicBezTo>
                  <a:pt x="6467621" y="3362618"/>
                  <a:pt x="6453191" y="3349341"/>
                  <a:pt x="6453191" y="3332966"/>
                </a:cubicBezTo>
                <a:cubicBezTo>
                  <a:pt x="6453191" y="3316592"/>
                  <a:pt x="6467621" y="3303314"/>
                  <a:pt x="6485408" y="3303314"/>
                </a:cubicBezTo>
                <a:cubicBezTo>
                  <a:pt x="6503195" y="3303314"/>
                  <a:pt x="6517612" y="3316592"/>
                  <a:pt x="6517612" y="3332966"/>
                </a:cubicBezTo>
                <a:cubicBezTo>
                  <a:pt x="6517612" y="3349341"/>
                  <a:pt x="6503195" y="3362618"/>
                  <a:pt x="6485408" y="3362618"/>
                </a:cubicBezTo>
                <a:close/>
                <a:moveTo>
                  <a:pt x="6563942" y="3362618"/>
                </a:moveTo>
                <a:cubicBezTo>
                  <a:pt x="6546155" y="3362618"/>
                  <a:pt x="6531726" y="3349341"/>
                  <a:pt x="6531726" y="3332966"/>
                </a:cubicBezTo>
                <a:cubicBezTo>
                  <a:pt x="6531726" y="3316592"/>
                  <a:pt x="6546155" y="3303314"/>
                  <a:pt x="6563942" y="3303314"/>
                </a:cubicBezTo>
                <a:cubicBezTo>
                  <a:pt x="6581729" y="3303314"/>
                  <a:pt x="6596146" y="3316592"/>
                  <a:pt x="6596146" y="3332966"/>
                </a:cubicBezTo>
                <a:cubicBezTo>
                  <a:pt x="6596146" y="3349341"/>
                  <a:pt x="6581729" y="3362618"/>
                  <a:pt x="6563942" y="3362618"/>
                </a:cubicBezTo>
                <a:close/>
                <a:moveTo>
                  <a:pt x="6642476" y="3362618"/>
                </a:moveTo>
                <a:cubicBezTo>
                  <a:pt x="6624689" y="3362618"/>
                  <a:pt x="6610260" y="3349341"/>
                  <a:pt x="6610260" y="3332966"/>
                </a:cubicBezTo>
                <a:cubicBezTo>
                  <a:pt x="6610260" y="3316592"/>
                  <a:pt x="6624689" y="3303314"/>
                  <a:pt x="6642476" y="3303314"/>
                </a:cubicBezTo>
                <a:cubicBezTo>
                  <a:pt x="6660264" y="3303314"/>
                  <a:pt x="6674681" y="3316592"/>
                  <a:pt x="6674681" y="3332966"/>
                </a:cubicBezTo>
                <a:cubicBezTo>
                  <a:pt x="6674681" y="3349341"/>
                  <a:pt x="6660264" y="3362618"/>
                  <a:pt x="6642476" y="3362618"/>
                </a:cubicBezTo>
                <a:close/>
                <a:moveTo>
                  <a:pt x="6721010" y="3362618"/>
                </a:moveTo>
                <a:cubicBezTo>
                  <a:pt x="6703222" y="3362618"/>
                  <a:pt x="6688793" y="3349341"/>
                  <a:pt x="6688793" y="3332966"/>
                </a:cubicBezTo>
                <a:cubicBezTo>
                  <a:pt x="6688793" y="3316592"/>
                  <a:pt x="6703222" y="3303314"/>
                  <a:pt x="6721010" y="3303314"/>
                </a:cubicBezTo>
                <a:cubicBezTo>
                  <a:pt x="6738797" y="3303314"/>
                  <a:pt x="6753214" y="3316592"/>
                  <a:pt x="6753214" y="3332966"/>
                </a:cubicBezTo>
                <a:cubicBezTo>
                  <a:pt x="6753214" y="3349341"/>
                  <a:pt x="6738797" y="3362618"/>
                  <a:pt x="6721010" y="3362618"/>
                </a:cubicBezTo>
                <a:close/>
                <a:moveTo>
                  <a:pt x="6799544" y="3362618"/>
                </a:moveTo>
                <a:cubicBezTo>
                  <a:pt x="6781757" y="3362618"/>
                  <a:pt x="6767327" y="3349341"/>
                  <a:pt x="6767327" y="3332966"/>
                </a:cubicBezTo>
                <a:cubicBezTo>
                  <a:pt x="6767327" y="3316592"/>
                  <a:pt x="6781757" y="3303314"/>
                  <a:pt x="6799544" y="3303314"/>
                </a:cubicBezTo>
                <a:cubicBezTo>
                  <a:pt x="6817331" y="3303314"/>
                  <a:pt x="6831748" y="3316592"/>
                  <a:pt x="6831748" y="3332966"/>
                </a:cubicBezTo>
                <a:cubicBezTo>
                  <a:pt x="6831748" y="3349341"/>
                  <a:pt x="6817331" y="3362618"/>
                  <a:pt x="6799544" y="3362618"/>
                </a:cubicBezTo>
                <a:close/>
                <a:moveTo>
                  <a:pt x="6878077" y="3362618"/>
                </a:moveTo>
                <a:cubicBezTo>
                  <a:pt x="6860290" y="3362618"/>
                  <a:pt x="6845861" y="3349341"/>
                  <a:pt x="6845861" y="3332966"/>
                </a:cubicBezTo>
                <a:cubicBezTo>
                  <a:pt x="6845861" y="3316592"/>
                  <a:pt x="6860290" y="3303314"/>
                  <a:pt x="6878077" y="3303314"/>
                </a:cubicBezTo>
                <a:cubicBezTo>
                  <a:pt x="6895864" y="3303314"/>
                  <a:pt x="6910281" y="3316592"/>
                  <a:pt x="6910281" y="3332966"/>
                </a:cubicBezTo>
                <a:cubicBezTo>
                  <a:pt x="6910281" y="3349341"/>
                  <a:pt x="6895864" y="3362618"/>
                  <a:pt x="6878077" y="3362618"/>
                </a:cubicBezTo>
                <a:close/>
                <a:moveTo>
                  <a:pt x="7035146" y="3362618"/>
                </a:moveTo>
                <a:cubicBezTo>
                  <a:pt x="7017358" y="3362618"/>
                  <a:pt x="7002929" y="3349341"/>
                  <a:pt x="7002929" y="3332966"/>
                </a:cubicBezTo>
                <a:cubicBezTo>
                  <a:pt x="7002929" y="3316592"/>
                  <a:pt x="7017358" y="3303314"/>
                  <a:pt x="7035146" y="3303314"/>
                </a:cubicBezTo>
                <a:cubicBezTo>
                  <a:pt x="7052933" y="3303314"/>
                  <a:pt x="7067350" y="3316592"/>
                  <a:pt x="7067350" y="3332966"/>
                </a:cubicBezTo>
                <a:cubicBezTo>
                  <a:pt x="7067350" y="3349341"/>
                  <a:pt x="7052933" y="3362618"/>
                  <a:pt x="7035146" y="3362618"/>
                </a:cubicBezTo>
                <a:close/>
                <a:moveTo>
                  <a:pt x="7113703" y="3362618"/>
                </a:moveTo>
                <a:cubicBezTo>
                  <a:pt x="7095916" y="3362618"/>
                  <a:pt x="7081487" y="3349341"/>
                  <a:pt x="7081487" y="3332966"/>
                </a:cubicBezTo>
                <a:cubicBezTo>
                  <a:pt x="7081487" y="3316592"/>
                  <a:pt x="7095916" y="3303314"/>
                  <a:pt x="7113703" y="3303314"/>
                </a:cubicBezTo>
                <a:cubicBezTo>
                  <a:pt x="7131490" y="3303314"/>
                  <a:pt x="7145907" y="3316592"/>
                  <a:pt x="7145907" y="3332966"/>
                </a:cubicBezTo>
                <a:cubicBezTo>
                  <a:pt x="7145907" y="3349341"/>
                  <a:pt x="7131490" y="3362618"/>
                  <a:pt x="7113703" y="3362618"/>
                </a:cubicBezTo>
                <a:close/>
                <a:moveTo>
                  <a:pt x="7192237" y="3362618"/>
                </a:moveTo>
                <a:cubicBezTo>
                  <a:pt x="7174450" y="3362618"/>
                  <a:pt x="7160021" y="3349341"/>
                  <a:pt x="7160021" y="3332966"/>
                </a:cubicBezTo>
                <a:cubicBezTo>
                  <a:pt x="7160021" y="3316592"/>
                  <a:pt x="7174450" y="3303314"/>
                  <a:pt x="7192237" y="3303314"/>
                </a:cubicBezTo>
                <a:cubicBezTo>
                  <a:pt x="7210024" y="3303314"/>
                  <a:pt x="7224441" y="3316592"/>
                  <a:pt x="7224441" y="3332966"/>
                </a:cubicBezTo>
                <a:cubicBezTo>
                  <a:pt x="7224441" y="3349341"/>
                  <a:pt x="7210024" y="3362618"/>
                  <a:pt x="7192237" y="3362618"/>
                </a:cubicBezTo>
                <a:close/>
                <a:moveTo>
                  <a:pt x="7270771" y="3362618"/>
                </a:moveTo>
                <a:cubicBezTo>
                  <a:pt x="7252984" y="3362618"/>
                  <a:pt x="7238555" y="3349341"/>
                  <a:pt x="7238555" y="3332966"/>
                </a:cubicBezTo>
                <a:cubicBezTo>
                  <a:pt x="7238555" y="3316592"/>
                  <a:pt x="7252984" y="3303314"/>
                  <a:pt x="7270771" y="3303314"/>
                </a:cubicBezTo>
                <a:cubicBezTo>
                  <a:pt x="7288559" y="3303314"/>
                  <a:pt x="7302976" y="3316592"/>
                  <a:pt x="7302976" y="3332966"/>
                </a:cubicBezTo>
                <a:cubicBezTo>
                  <a:pt x="7302976" y="3349341"/>
                  <a:pt x="7288559" y="3362618"/>
                  <a:pt x="7270771" y="3362618"/>
                </a:cubicBezTo>
                <a:close/>
                <a:moveTo>
                  <a:pt x="7663441" y="3362618"/>
                </a:moveTo>
                <a:cubicBezTo>
                  <a:pt x="7645653" y="3362618"/>
                  <a:pt x="7631224" y="3349341"/>
                  <a:pt x="7631224" y="3332966"/>
                </a:cubicBezTo>
                <a:cubicBezTo>
                  <a:pt x="7631224" y="3316592"/>
                  <a:pt x="7645653" y="3303314"/>
                  <a:pt x="7663441" y="3303314"/>
                </a:cubicBezTo>
                <a:cubicBezTo>
                  <a:pt x="7681228" y="3303314"/>
                  <a:pt x="7695645" y="3316592"/>
                  <a:pt x="7695645" y="3332966"/>
                </a:cubicBezTo>
                <a:cubicBezTo>
                  <a:pt x="7695645" y="3349341"/>
                  <a:pt x="7681228" y="3362618"/>
                  <a:pt x="7663441" y="3362618"/>
                </a:cubicBezTo>
                <a:close/>
                <a:moveTo>
                  <a:pt x="7741974" y="3362618"/>
                </a:moveTo>
                <a:cubicBezTo>
                  <a:pt x="7724187" y="3362618"/>
                  <a:pt x="7709758" y="3349341"/>
                  <a:pt x="7709758" y="3332966"/>
                </a:cubicBezTo>
                <a:cubicBezTo>
                  <a:pt x="7709758" y="3316592"/>
                  <a:pt x="7724187" y="3303314"/>
                  <a:pt x="7741974" y="3303314"/>
                </a:cubicBezTo>
                <a:cubicBezTo>
                  <a:pt x="7759761" y="3303314"/>
                  <a:pt x="7774178" y="3316592"/>
                  <a:pt x="7774178" y="3332966"/>
                </a:cubicBezTo>
                <a:cubicBezTo>
                  <a:pt x="7774178" y="3349341"/>
                  <a:pt x="7759761" y="3362618"/>
                  <a:pt x="7741974" y="3362618"/>
                </a:cubicBezTo>
                <a:close/>
                <a:moveTo>
                  <a:pt x="7820508" y="3362618"/>
                </a:moveTo>
                <a:cubicBezTo>
                  <a:pt x="7802721" y="3362618"/>
                  <a:pt x="7788292" y="3349341"/>
                  <a:pt x="7788292" y="3332966"/>
                </a:cubicBezTo>
                <a:cubicBezTo>
                  <a:pt x="7788292" y="3316592"/>
                  <a:pt x="7802721" y="3303314"/>
                  <a:pt x="7820508" y="3303314"/>
                </a:cubicBezTo>
                <a:cubicBezTo>
                  <a:pt x="7838295" y="3303314"/>
                  <a:pt x="7852712" y="3316592"/>
                  <a:pt x="7852712" y="3332966"/>
                </a:cubicBezTo>
                <a:cubicBezTo>
                  <a:pt x="7852712" y="3349341"/>
                  <a:pt x="7838295" y="3362618"/>
                  <a:pt x="7820508" y="3362618"/>
                </a:cubicBezTo>
                <a:close/>
                <a:moveTo>
                  <a:pt x="7899042" y="3362618"/>
                </a:moveTo>
                <a:cubicBezTo>
                  <a:pt x="7881255" y="3362618"/>
                  <a:pt x="7866826" y="3349341"/>
                  <a:pt x="7866826" y="3332966"/>
                </a:cubicBezTo>
                <a:cubicBezTo>
                  <a:pt x="7866826" y="3316592"/>
                  <a:pt x="7881255" y="3303314"/>
                  <a:pt x="7899042" y="3303314"/>
                </a:cubicBezTo>
                <a:cubicBezTo>
                  <a:pt x="7916830" y="3303314"/>
                  <a:pt x="7931247" y="3316592"/>
                  <a:pt x="7931247" y="3332966"/>
                </a:cubicBezTo>
                <a:cubicBezTo>
                  <a:pt x="7931247" y="3349341"/>
                  <a:pt x="7916830" y="3362618"/>
                  <a:pt x="7899042" y="3362618"/>
                </a:cubicBezTo>
                <a:close/>
                <a:moveTo>
                  <a:pt x="7977576" y="3362618"/>
                </a:moveTo>
                <a:cubicBezTo>
                  <a:pt x="7959788" y="3362618"/>
                  <a:pt x="7945359" y="3349341"/>
                  <a:pt x="7945359" y="3332966"/>
                </a:cubicBezTo>
                <a:cubicBezTo>
                  <a:pt x="7945359" y="3316592"/>
                  <a:pt x="7959788" y="3303314"/>
                  <a:pt x="7977576" y="3303314"/>
                </a:cubicBezTo>
                <a:cubicBezTo>
                  <a:pt x="7995363" y="3303314"/>
                  <a:pt x="8009780" y="3316592"/>
                  <a:pt x="8009780" y="3332966"/>
                </a:cubicBezTo>
                <a:cubicBezTo>
                  <a:pt x="8009780" y="3349341"/>
                  <a:pt x="7995363" y="3362618"/>
                  <a:pt x="7977576" y="3362618"/>
                </a:cubicBezTo>
                <a:close/>
                <a:moveTo>
                  <a:pt x="8056110" y="3362618"/>
                </a:moveTo>
                <a:cubicBezTo>
                  <a:pt x="8038323" y="3362618"/>
                  <a:pt x="8023894" y="3349341"/>
                  <a:pt x="8023894" y="3332966"/>
                </a:cubicBezTo>
                <a:cubicBezTo>
                  <a:pt x="8023894" y="3316592"/>
                  <a:pt x="8038323" y="3303314"/>
                  <a:pt x="8056110" y="3303314"/>
                </a:cubicBezTo>
                <a:cubicBezTo>
                  <a:pt x="8073897" y="3303314"/>
                  <a:pt x="8088314" y="3316592"/>
                  <a:pt x="8088314" y="3332966"/>
                </a:cubicBezTo>
                <a:cubicBezTo>
                  <a:pt x="8088314" y="3349341"/>
                  <a:pt x="8073897" y="3362618"/>
                  <a:pt x="8056110" y="3362618"/>
                </a:cubicBezTo>
                <a:close/>
                <a:moveTo>
                  <a:pt x="8134643" y="3362618"/>
                </a:moveTo>
                <a:cubicBezTo>
                  <a:pt x="8116856" y="3362618"/>
                  <a:pt x="8102427" y="3349341"/>
                  <a:pt x="8102427" y="3332966"/>
                </a:cubicBezTo>
                <a:cubicBezTo>
                  <a:pt x="8102427" y="3316592"/>
                  <a:pt x="8116856" y="3303314"/>
                  <a:pt x="8134643" y="3303314"/>
                </a:cubicBezTo>
                <a:cubicBezTo>
                  <a:pt x="8152430" y="3303314"/>
                  <a:pt x="8166847" y="3316592"/>
                  <a:pt x="8166847" y="3332966"/>
                </a:cubicBezTo>
                <a:cubicBezTo>
                  <a:pt x="8166847" y="3349341"/>
                  <a:pt x="8152430" y="3362618"/>
                  <a:pt x="8134643" y="3362618"/>
                </a:cubicBezTo>
                <a:close/>
                <a:moveTo>
                  <a:pt x="8213177" y="3362618"/>
                </a:moveTo>
                <a:cubicBezTo>
                  <a:pt x="8195390" y="3362618"/>
                  <a:pt x="8180961" y="3349341"/>
                  <a:pt x="8180961" y="3332966"/>
                </a:cubicBezTo>
                <a:cubicBezTo>
                  <a:pt x="8180961" y="3316592"/>
                  <a:pt x="8195390" y="3303314"/>
                  <a:pt x="8213177" y="3303314"/>
                </a:cubicBezTo>
                <a:cubicBezTo>
                  <a:pt x="8230965" y="3303314"/>
                  <a:pt x="8245382" y="3316592"/>
                  <a:pt x="8245382" y="3332966"/>
                </a:cubicBezTo>
                <a:cubicBezTo>
                  <a:pt x="8245382" y="3349341"/>
                  <a:pt x="8230965" y="3362618"/>
                  <a:pt x="8213177" y="3362618"/>
                </a:cubicBezTo>
                <a:close/>
                <a:moveTo>
                  <a:pt x="8291712" y="3362618"/>
                </a:moveTo>
                <a:cubicBezTo>
                  <a:pt x="8273924" y="3362618"/>
                  <a:pt x="8259495" y="3349341"/>
                  <a:pt x="8259495" y="3332966"/>
                </a:cubicBezTo>
                <a:cubicBezTo>
                  <a:pt x="8259495" y="3316592"/>
                  <a:pt x="8273924" y="3303314"/>
                  <a:pt x="8291712" y="3303314"/>
                </a:cubicBezTo>
                <a:cubicBezTo>
                  <a:pt x="8309499" y="3303314"/>
                  <a:pt x="8323916" y="3316592"/>
                  <a:pt x="8323916" y="3332966"/>
                </a:cubicBezTo>
                <a:cubicBezTo>
                  <a:pt x="8323916" y="3349341"/>
                  <a:pt x="8309499" y="3362618"/>
                  <a:pt x="8291712" y="3362618"/>
                </a:cubicBezTo>
                <a:close/>
                <a:moveTo>
                  <a:pt x="8370245" y="3362618"/>
                </a:moveTo>
                <a:cubicBezTo>
                  <a:pt x="8352458" y="3362618"/>
                  <a:pt x="8338029" y="3349341"/>
                  <a:pt x="8338029" y="3332966"/>
                </a:cubicBezTo>
                <a:cubicBezTo>
                  <a:pt x="8338029" y="3316592"/>
                  <a:pt x="8352458" y="3303314"/>
                  <a:pt x="8370245" y="3303314"/>
                </a:cubicBezTo>
                <a:cubicBezTo>
                  <a:pt x="8388032" y="3303314"/>
                  <a:pt x="8402449" y="3316592"/>
                  <a:pt x="8402449" y="3332966"/>
                </a:cubicBezTo>
                <a:cubicBezTo>
                  <a:pt x="8402449" y="3349341"/>
                  <a:pt x="8388032" y="3362618"/>
                  <a:pt x="8370245" y="3362618"/>
                </a:cubicBezTo>
                <a:close/>
                <a:moveTo>
                  <a:pt x="8448779" y="3362618"/>
                </a:moveTo>
                <a:cubicBezTo>
                  <a:pt x="8430992" y="3362618"/>
                  <a:pt x="8416563" y="3349341"/>
                  <a:pt x="8416563" y="3332966"/>
                </a:cubicBezTo>
                <a:cubicBezTo>
                  <a:pt x="8416563" y="3316592"/>
                  <a:pt x="8430992" y="3303314"/>
                  <a:pt x="8448779" y="3303314"/>
                </a:cubicBezTo>
                <a:cubicBezTo>
                  <a:pt x="8466566" y="3303314"/>
                  <a:pt x="8480983" y="3316592"/>
                  <a:pt x="8480983" y="3332966"/>
                </a:cubicBezTo>
                <a:cubicBezTo>
                  <a:pt x="8480983" y="3349341"/>
                  <a:pt x="8466566" y="3362618"/>
                  <a:pt x="8448779" y="3362618"/>
                </a:cubicBezTo>
                <a:close/>
                <a:moveTo>
                  <a:pt x="8527313" y="3362618"/>
                </a:moveTo>
                <a:cubicBezTo>
                  <a:pt x="8509526" y="3362618"/>
                  <a:pt x="8495097" y="3349341"/>
                  <a:pt x="8495097" y="3332966"/>
                </a:cubicBezTo>
                <a:cubicBezTo>
                  <a:pt x="8495097" y="3316592"/>
                  <a:pt x="8509526" y="3303314"/>
                  <a:pt x="8527313" y="3303314"/>
                </a:cubicBezTo>
                <a:cubicBezTo>
                  <a:pt x="8545101" y="3303314"/>
                  <a:pt x="8559518" y="3316592"/>
                  <a:pt x="8559518" y="3332966"/>
                </a:cubicBezTo>
                <a:cubicBezTo>
                  <a:pt x="8559518" y="3349341"/>
                  <a:pt x="8545101" y="3362618"/>
                  <a:pt x="8527313" y="3362618"/>
                </a:cubicBezTo>
                <a:close/>
                <a:moveTo>
                  <a:pt x="8605847" y="3362618"/>
                </a:moveTo>
                <a:cubicBezTo>
                  <a:pt x="8588059" y="3362618"/>
                  <a:pt x="8573630" y="3349341"/>
                  <a:pt x="8573630" y="3332966"/>
                </a:cubicBezTo>
                <a:cubicBezTo>
                  <a:pt x="8573630" y="3316592"/>
                  <a:pt x="8588059" y="3303314"/>
                  <a:pt x="8605847" y="3303314"/>
                </a:cubicBezTo>
                <a:cubicBezTo>
                  <a:pt x="8623634" y="3303314"/>
                  <a:pt x="8638051" y="3316592"/>
                  <a:pt x="8638051" y="3332966"/>
                </a:cubicBezTo>
                <a:cubicBezTo>
                  <a:pt x="8638051" y="3349341"/>
                  <a:pt x="8623634" y="3362618"/>
                  <a:pt x="8605847" y="3362618"/>
                </a:cubicBezTo>
                <a:close/>
                <a:moveTo>
                  <a:pt x="8684381" y="3362618"/>
                </a:moveTo>
                <a:cubicBezTo>
                  <a:pt x="8666594" y="3362618"/>
                  <a:pt x="8652165" y="3349341"/>
                  <a:pt x="8652165" y="3332966"/>
                </a:cubicBezTo>
                <a:cubicBezTo>
                  <a:pt x="8652165" y="3316592"/>
                  <a:pt x="8666594" y="3303314"/>
                  <a:pt x="8684381" y="3303314"/>
                </a:cubicBezTo>
                <a:cubicBezTo>
                  <a:pt x="8702168" y="3303314"/>
                  <a:pt x="8716585" y="3316592"/>
                  <a:pt x="8716585" y="3332966"/>
                </a:cubicBezTo>
                <a:cubicBezTo>
                  <a:pt x="8716585" y="3349341"/>
                  <a:pt x="8702168" y="3362618"/>
                  <a:pt x="8684381" y="3362618"/>
                </a:cubicBezTo>
                <a:close/>
                <a:moveTo>
                  <a:pt x="8762914" y="3362618"/>
                </a:moveTo>
                <a:cubicBezTo>
                  <a:pt x="8745127" y="3362618"/>
                  <a:pt x="8730698" y="3349341"/>
                  <a:pt x="8730698" y="3332966"/>
                </a:cubicBezTo>
                <a:cubicBezTo>
                  <a:pt x="8730698" y="3316592"/>
                  <a:pt x="8745127" y="3303314"/>
                  <a:pt x="8762914" y="3303314"/>
                </a:cubicBezTo>
                <a:cubicBezTo>
                  <a:pt x="8780701" y="3303314"/>
                  <a:pt x="8795118" y="3316592"/>
                  <a:pt x="8795118" y="3332966"/>
                </a:cubicBezTo>
                <a:cubicBezTo>
                  <a:pt x="8795118" y="3349341"/>
                  <a:pt x="8780701" y="3362618"/>
                  <a:pt x="8762914" y="3362618"/>
                </a:cubicBezTo>
                <a:close/>
                <a:moveTo>
                  <a:pt x="8841448" y="3362618"/>
                </a:moveTo>
                <a:cubicBezTo>
                  <a:pt x="8823661" y="3362618"/>
                  <a:pt x="8809232" y="3349341"/>
                  <a:pt x="8809232" y="3332966"/>
                </a:cubicBezTo>
                <a:cubicBezTo>
                  <a:pt x="8809232" y="3316592"/>
                  <a:pt x="8823661" y="3303314"/>
                  <a:pt x="8841448" y="3303314"/>
                </a:cubicBezTo>
                <a:cubicBezTo>
                  <a:pt x="8859236" y="3303314"/>
                  <a:pt x="8873653" y="3316592"/>
                  <a:pt x="8873653" y="3332966"/>
                </a:cubicBezTo>
                <a:cubicBezTo>
                  <a:pt x="8873653" y="3349341"/>
                  <a:pt x="8859236" y="3362618"/>
                  <a:pt x="8841448" y="3362618"/>
                </a:cubicBezTo>
                <a:close/>
                <a:moveTo>
                  <a:pt x="8919983" y="3362618"/>
                </a:moveTo>
                <a:cubicBezTo>
                  <a:pt x="8902195" y="3362618"/>
                  <a:pt x="8887766" y="3349341"/>
                  <a:pt x="8887766" y="3332966"/>
                </a:cubicBezTo>
                <a:cubicBezTo>
                  <a:pt x="8887766" y="3316592"/>
                  <a:pt x="8902195" y="3303314"/>
                  <a:pt x="8919983" y="3303314"/>
                </a:cubicBezTo>
                <a:cubicBezTo>
                  <a:pt x="8937770" y="3303314"/>
                  <a:pt x="8952187" y="3316592"/>
                  <a:pt x="8952187" y="3332966"/>
                </a:cubicBezTo>
                <a:cubicBezTo>
                  <a:pt x="8952187" y="3349341"/>
                  <a:pt x="8937770" y="3362618"/>
                  <a:pt x="8919983" y="3362618"/>
                </a:cubicBezTo>
                <a:close/>
                <a:moveTo>
                  <a:pt x="8998516" y="3362618"/>
                </a:moveTo>
                <a:cubicBezTo>
                  <a:pt x="8980729" y="3362618"/>
                  <a:pt x="8966300" y="3349341"/>
                  <a:pt x="8966300" y="3332966"/>
                </a:cubicBezTo>
                <a:cubicBezTo>
                  <a:pt x="8966300" y="3316592"/>
                  <a:pt x="8980729" y="3303314"/>
                  <a:pt x="8998516" y="3303314"/>
                </a:cubicBezTo>
                <a:cubicBezTo>
                  <a:pt x="9016303" y="3303314"/>
                  <a:pt x="9030720" y="3316592"/>
                  <a:pt x="9030720" y="3332966"/>
                </a:cubicBezTo>
                <a:cubicBezTo>
                  <a:pt x="9030720" y="3349341"/>
                  <a:pt x="9016303" y="3362618"/>
                  <a:pt x="8998516" y="3362618"/>
                </a:cubicBezTo>
                <a:close/>
                <a:moveTo>
                  <a:pt x="9077050" y="3362618"/>
                </a:moveTo>
                <a:cubicBezTo>
                  <a:pt x="9059263" y="3362618"/>
                  <a:pt x="9044834" y="3349341"/>
                  <a:pt x="9044834" y="3332966"/>
                </a:cubicBezTo>
                <a:cubicBezTo>
                  <a:pt x="9044834" y="3316592"/>
                  <a:pt x="9059263" y="3303314"/>
                  <a:pt x="9077050" y="3303314"/>
                </a:cubicBezTo>
                <a:cubicBezTo>
                  <a:pt x="9094837" y="3303314"/>
                  <a:pt x="9109254" y="3316592"/>
                  <a:pt x="9109254" y="3332966"/>
                </a:cubicBezTo>
                <a:cubicBezTo>
                  <a:pt x="9109254" y="3349341"/>
                  <a:pt x="9094837" y="3362618"/>
                  <a:pt x="9077050" y="3362618"/>
                </a:cubicBezTo>
                <a:close/>
                <a:moveTo>
                  <a:pt x="9155583" y="3362618"/>
                </a:moveTo>
                <a:cubicBezTo>
                  <a:pt x="9137796" y="3362618"/>
                  <a:pt x="9123367" y="3349341"/>
                  <a:pt x="9123367" y="3332966"/>
                </a:cubicBezTo>
                <a:cubicBezTo>
                  <a:pt x="9123367" y="3316592"/>
                  <a:pt x="9137796" y="3303314"/>
                  <a:pt x="9155583" y="3303314"/>
                </a:cubicBezTo>
                <a:cubicBezTo>
                  <a:pt x="9173371" y="3303314"/>
                  <a:pt x="9187788" y="3316592"/>
                  <a:pt x="9187788" y="3332966"/>
                </a:cubicBezTo>
                <a:cubicBezTo>
                  <a:pt x="9187788" y="3349341"/>
                  <a:pt x="9173371" y="3362618"/>
                  <a:pt x="9155583" y="3362618"/>
                </a:cubicBezTo>
                <a:close/>
                <a:moveTo>
                  <a:pt x="9234118" y="3362618"/>
                </a:moveTo>
                <a:cubicBezTo>
                  <a:pt x="9216330" y="3362618"/>
                  <a:pt x="9201901" y="3349341"/>
                  <a:pt x="9201901" y="3332966"/>
                </a:cubicBezTo>
                <a:cubicBezTo>
                  <a:pt x="9201901" y="3316592"/>
                  <a:pt x="9216330" y="3303314"/>
                  <a:pt x="9234118" y="3303314"/>
                </a:cubicBezTo>
                <a:cubicBezTo>
                  <a:pt x="9251905" y="3303314"/>
                  <a:pt x="9266322" y="3316592"/>
                  <a:pt x="9266322" y="3332966"/>
                </a:cubicBezTo>
                <a:cubicBezTo>
                  <a:pt x="9266322" y="3349341"/>
                  <a:pt x="9251905" y="3362618"/>
                  <a:pt x="9234118" y="3362618"/>
                </a:cubicBezTo>
                <a:close/>
                <a:moveTo>
                  <a:pt x="9312652" y="3362618"/>
                </a:moveTo>
                <a:cubicBezTo>
                  <a:pt x="9294865" y="3362618"/>
                  <a:pt x="9280436" y="3349341"/>
                  <a:pt x="9280436" y="3332966"/>
                </a:cubicBezTo>
                <a:cubicBezTo>
                  <a:pt x="9280436" y="3316592"/>
                  <a:pt x="9294865" y="3303314"/>
                  <a:pt x="9312652" y="3303314"/>
                </a:cubicBezTo>
                <a:cubicBezTo>
                  <a:pt x="9330439" y="3303314"/>
                  <a:pt x="9344856" y="3316592"/>
                  <a:pt x="9344856" y="3332966"/>
                </a:cubicBezTo>
                <a:cubicBezTo>
                  <a:pt x="9344856" y="3349341"/>
                  <a:pt x="9330439" y="3362618"/>
                  <a:pt x="9312652" y="3362618"/>
                </a:cubicBezTo>
                <a:close/>
                <a:moveTo>
                  <a:pt x="1380704" y="3290353"/>
                </a:moveTo>
                <a:cubicBezTo>
                  <a:pt x="1362916" y="3290353"/>
                  <a:pt x="1348493" y="3277075"/>
                  <a:pt x="1348493" y="3260700"/>
                </a:cubicBezTo>
                <a:cubicBezTo>
                  <a:pt x="1348493" y="3244326"/>
                  <a:pt x="1362916" y="3231048"/>
                  <a:pt x="1380704" y="3231048"/>
                </a:cubicBezTo>
                <a:cubicBezTo>
                  <a:pt x="1398491" y="3231048"/>
                  <a:pt x="1412914" y="3244326"/>
                  <a:pt x="1412914" y="3260700"/>
                </a:cubicBezTo>
                <a:cubicBezTo>
                  <a:pt x="1412914" y="3277075"/>
                  <a:pt x="1398491" y="3290353"/>
                  <a:pt x="1380704" y="3290353"/>
                </a:cubicBezTo>
                <a:close/>
                <a:moveTo>
                  <a:pt x="2794310" y="3290353"/>
                </a:moveTo>
                <a:cubicBezTo>
                  <a:pt x="2776523" y="3290353"/>
                  <a:pt x="2762100" y="3277075"/>
                  <a:pt x="2762100" y="3260700"/>
                </a:cubicBezTo>
                <a:cubicBezTo>
                  <a:pt x="2762100" y="3244326"/>
                  <a:pt x="2776523" y="3231048"/>
                  <a:pt x="2794310" y="3231048"/>
                </a:cubicBezTo>
                <a:cubicBezTo>
                  <a:pt x="2812097" y="3231048"/>
                  <a:pt x="2826520" y="3244326"/>
                  <a:pt x="2826520" y="3260700"/>
                </a:cubicBezTo>
                <a:cubicBezTo>
                  <a:pt x="2826520" y="3277075"/>
                  <a:pt x="2812097" y="3290353"/>
                  <a:pt x="2794310" y="3290353"/>
                </a:cubicBezTo>
                <a:close/>
                <a:moveTo>
                  <a:pt x="2951379" y="3290353"/>
                </a:moveTo>
                <a:cubicBezTo>
                  <a:pt x="2933591" y="3290353"/>
                  <a:pt x="2919168" y="3277075"/>
                  <a:pt x="2919168" y="3260700"/>
                </a:cubicBezTo>
                <a:cubicBezTo>
                  <a:pt x="2919168" y="3244326"/>
                  <a:pt x="2933591" y="3231048"/>
                  <a:pt x="2951379" y="3231048"/>
                </a:cubicBezTo>
                <a:cubicBezTo>
                  <a:pt x="2969166" y="3231048"/>
                  <a:pt x="2983589" y="3244326"/>
                  <a:pt x="2983589" y="3260700"/>
                </a:cubicBezTo>
                <a:cubicBezTo>
                  <a:pt x="2983589" y="3277075"/>
                  <a:pt x="2969166" y="3290353"/>
                  <a:pt x="2951379" y="3290353"/>
                </a:cubicBezTo>
                <a:close/>
                <a:moveTo>
                  <a:pt x="3029912" y="3290353"/>
                </a:moveTo>
                <a:cubicBezTo>
                  <a:pt x="3012125" y="3290353"/>
                  <a:pt x="2997701" y="3277075"/>
                  <a:pt x="2997701" y="3260700"/>
                </a:cubicBezTo>
                <a:cubicBezTo>
                  <a:pt x="2997701" y="3244326"/>
                  <a:pt x="3012125" y="3231048"/>
                  <a:pt x="3029912" y="3231048"/>
                </a:cubicBezTo>
                <a:cubicBezTo>
                  <a:pt x="3047699" y="3231048"/>
                  <a:pt x="3062122" y="3244326"/>
                  <a:pt x="3062122" y="3260700"/>
                </a:cubicBezTo>
                <a:cubicBezTo>
                  <a:pt x="3062122" y="3277075"/>
                  <a:pt x="3047699" y="3290353"/>
                  <a:pt x="3029912" y="3290353"/>
                </a:cubicBezTo>
                <a:close/>
                <a:moveTo>
                  <a:pt x="3108446" y="3290353"/>
                </a:moveTo>
                <a:cubicBezTo>
                  <a:pt x="3090659" y="3290353"/>
                  <a:pt x="3076236" y="3277075"/>
                  <a:pt x="3076236" y="3260700"/>
                </a:cubicBezTo>
                <a:cubicBezTo>
                  <a:pt x="3076236" y="3244326"/>
                  <a:pt x="3090659" y="3231048"/>
                  <a:pt x="3108446" y="3231048"/>
                </a:cubicBezTo>
                <a:cubicBezTo>
                  <a:pt x="3126233" y="3231048"/>
                  <a:pt x="3140656" y="3244326"/>
                  <a:pt x="3140656" y="3260700"/>
                </a:cubicBezTo>
                <a:cubicBezTo>
                  <a:pt x="3140656" y="3277075"/>
                  <a:pt x="3126233" y="3290353"/>
                  <a:pt x="3108446" y="3290353"/>
                </a:cubicBezTo>
                <a:close/>
                <a:moveTo>
                  <a:pt x="3815250" y="3290353"/>
                </a:moveTo>
                <a:cubicBezTo>
                  <a:pt x="3797463" y="3290353"/>
                  <a:pt x="3783040" y="3277075"/>
                  <a:pt x="3783040" y="3260700"/>
                </a:cubicBezTo>
                <a:cubicBezTo>
                  <a:pt x="3783040" y="3244326"/>
                  <a:pt x="3797463" y="3231048"/>
                  <a:pt x="3815250" y="3231048"/>
                </a:cubicBezTo>
                <a:cubicBezTo>
                  <a:pt x="3833038" y="3231048"/>
                  <a:pt x="3847461" y="3244326"/>
                  <a:pt x="3847461" y="3260700"/>
                </a:cubicBezTo>
                <a:cubicBezTo>
                  <a:pt x="3847461" y="3277075"/>
                  <a:pt x="3833038" y="3290353"/>
                  <a:pt x="3815250" y="3290353"/>
                </a:cubicBezTo>
                <a:close/>
                <a:moveTo>
                  <a:pt x="5543002" y="3290353"/>
                </a:moveTo>
                <a:cubicBezTo>
                  <a:pt x="5525215" y="3290353"/>
                  <a:pt x="5510785" y="3277075"/>
                  <a:pt x="5510785" y="3260700"/>
                </a:cubicBezTo>
                <a:cubicBezTo>
                  <a:pt x="5510785" y="3244326"/>
                  <a:pt x="5525215" y="3231048"/>
                  <a:pt x="5543002" y="3231048"/>
                </a:cubicBezTo>
                <a:cubicBezTo>
                  <a:pt x="5560789" y="3231048"/>
                  <a:pt x="5575206" y="3244326"/>
                  <a:pt x="5575206" y="3260700"/>
                </a:cubicBezTo>
                <a:cubicBezTo>
                  <a:pt x="5575206" y="3277075"/>
                  <a:pt x="5560789" y="3290353"/>
                  <a:pt x="5543002" y="3290353"/>
                </a:cubicBezTo>
                <a:close/>
                <a:moveTo>
                  <a:pt x="5621536" y="3290353"/>
                </a:moveTo>
                <a:cubicBezTo>
                  <a:pt x="5603749" y="3290353"/>
                  <a:pt x="5589320" y="3277075"/>
                  <a:pt x="5589320" y="3260700"/>
                </a:cubicBezTo>
                <a:cubicBezTo>
                  <a:pt x="5589320" y="3244326"/>
                  <a:pt x="5603749" y="3231048"/>
                  <a:pt x="5621536" y="3231048"/>
                </a:cubicBezTo>
                <a:cubicBezTo>
                  <a:pt x="5639323" y="3231048"/>
                  <a:pt x="5653740" y="3244326"/>
                  <a:pt x="5653740" y="3260700"/>
                </a:cubicBezTo>
                <a:cubicBezTo>
                  <a:pt x="5653740" y="3277075"/>
                  <a:pt x="5639323" y="3290353"/>
                  <a:pt x="5621536" y="3290353"/>
                </a:cubicBezTo>
                <a:close/>
                <a:moveTo>
                  <a:pt x="5700069" y="3290353"/>
                </a:moveTo>
                <a:cubicBezTo>
                  <a:pt x="5682282" y="3290353"/>
                  <a:pt x="5667853" y="3277075"/>
                  <a:pt x="5667853" y="3260700"/>
                </a:cubicBezTo>
                <a:cubicBezTo>
                  <a:pt x="5667853" y="3244326"/>
                  <a:pt x="5682282" y="3231048"/>
                  <a:pt x="5700069" y="3231048"/>
                </a:cubicBezTo>
                <a:cubicBezTo>
                  <a:pt x="5717857" y="3231048"/>
                  <a:pt x="5732274" y="3244326"/>
                  <a:pt x="5732274" y="3260700"/>
                </a:cubicBezTo>
                <a:cubicBezTo>
                  <a:pt x="5732274" y="3277075"/>
                  <a:pt x="5717857" y="3290353"/>
                  <a:pt x="5700069" y="3290353"/>
                </a:cubicBezTo>
                <a:close/>
                <a:moveTo>
                  <a:pt x="5778604" y="3290353"/>
                </a:moveTo>
                <a:cubicBezTo>
                  <a:pt x="5760816" y="3290353"/>
                  <a:pt x="5746387" y="3277075"/>
                  <a:pt x="5746387" y="3260700"/>
                </a:cubicBezTo>
                <a:cubicBezTo>
                  <a:pt x="5746387" y="3244326"/>
                  <a:pt x="5760816" y="3231048"/>
                  <a:pt x="5778604" y="3231048"/>
                </a:cubicBezTo>
                <a:cubicBezTo>
                  <a:pt x="5796391" y="3231048"/>
                  <a:pt x="5810808" y="3244326"/>
                  <a:pt x="5810808" y="3260700"/>
                </a:cubicBezTo>
                <a:cubicBezTo>
                  <a:pt x="5810808" y="3277075"/>
                  <a:pt x="5796391" y="3290353"/>
                  <a:pt x="5778604" y="3290353"/>
                </a:cubicBezTo>
                <a:close/>
                <a:moveTo>
                  <a:pt x="5857137" y="3290353"/>
                </a:moveTo>
                <a:cubicBezTo>
                  <a:pt x="5839350" y="3290353"/>
                  <a:pt x="5824920" y="3277075"/>
                  <a:pt x="5824920" y="3260700"/>
                </a:cubicBezTo>
                <a:cubicBezTo>
                  <a:pt x="5824920" y="3244326"/>
                  <a:pt x="5839350" y="3231048"/>
                  <a:pt x="5857137" y="3231048"/>
                </a:cubicBezTo>
                <a:cubicBezTo>
                  <a:pt x="5874924" y="3231048"/>
                  <a:pt x="5889341" y="3244326"/>
                  <a:pt x="5889341" y="3260700"/>
                </a:cubicBezTo>
                <a:cubicBezTo>
                  <a:pt x="5889341" y="3277075"/>
                  <a:pt x="5874924" y="3290353"/>
                  <a:pt x="5857137" y="3290353"/>
                </a:cubicBezTo>
                <a:close/>
                <a:moveTo>
                  <a:pt x="5935671" y="3290353"/>
                </a:moveTo>
                <a:cubicBezTo>
                  <a:pt x="5917884" y="3290353"/>
                  <a:pt x="5903455" y="3277075"/>
                  <a:pt x="5903455" y="3260700"/>
                </a:cubicBezTo>
                <a:cubicBezTo>
                  <a:pt x="5903455" y="3244326"/>
                  <a:pt x="5917884" y="3231048"/>
                  <a:pt x="5935671" y="3231048"/>
                </a:cubicBezTo>
                <a:cubicBezTo>
                  <a:pt x="5953458" y="3231048"/>
                  <a:pt x="5967875" y="3244326"/>
                  <a:pt x="5967875" y="3260700"/>
                </a:cubicBezTo>
                <a:cubicBezTo>
                  <a:pt x="5967875" y="3277075"/>
                  <a:pt x="5953458" y="3290353"/>
                  <a:pt x="5935671" y="3290353"/>
                </a:cubicBezTo>
                <a:close/>
                <a:moveTo>
                  <a:pt x="6014205" y="3290353"/>
                </a:moveTo>
                <a:cubicBezTo>
                  <a:pt x="5996418" y="3290353"/>
                  <a:pt x="5981989" y="3277075"/>
                  <a:pt x="5981989" y="3260700"/>
                </a:cubicBezTo>
                <a:cubicBezTo>
                  <a:pt x="5981989" y="3244326"/>
                  <a:pt x="5996418" y="3231048"/>
                  <a:pt x="6014205" y="3231048"/>
                </a:cubicBezTo>
                <a:cubicBezTo>
                  <a:pt x="6031993" y="3231048"/>
                  <a:pt x="6046410" y="3244326"/>
                  <a:pt x="6046410" y="3260700"/>
                </a:cubicBezTo>
                <a:cubicBezTo>
                  <a:pt x="6046410" y="3277075"/>
                  <a:pt x="6031993" y="3290353"/>
                  <a:pt x="6014205" y="3290353"/>
                </a:cubicBezTo>
                <a:close/>
                <a:moveTo>
                  <a:pt x="6092739" y="3290353"/>
                </a:moveTo>
                <a:cubicBezTo>
                  <a:pt x="6074951" y="3290353"/>
                  <a:pt x="6060522" y="3277075"/>
                  <a:pt x="6060522" y="3260700"/>
                </a:cubicBezTo>
                <a:cubicBezTo>
                  <a:pt x="6060522" y="3244326"/>
                  <a:pt x="6074951" y="3231048"/>
                  <a:pt x="6092739" y="3231048"/>
                </a:cubicBezTo>
                <a:cubicBezTo>
                  <a:pt x="6110526" y="3231048"/>
                  <a:pt x="6124943" y="3244326"/>
                  <a:pt x="6124943" y="3260700"/>
                </a:cubicBezTo>
                <a:cubicBezTo>
                  <a:pt x="6124943" y="3277075"/>
                  <a:pt x="6110526" y="3290353"/>
                  <a:pt x="6092739" y="3290353"/>
                </a:cubicBezTo>
                <a:close/>
                <a:moveTo>
                  <a:pt x="6171273" y="3290353"/>
                </a:moveTo>
                <a:cubicBezTo>
                  <a:pt x="6153486" y="3290353"/>
                  <a:pt x="6139056" y="3277075"/>
                  <a:pt x="6139056" y="3260700"/>
                </a:cubicBezTo>
                <a:cubicBezTo>
                  <a:pt x="6139056" y="3244326"/>
                  <a:pt x="6153486" y="3231048"/>
                  <a:pt x="6171273" y="3231048"/>
                </a:cubicBezTo>
                <a:cubicBezTo>
                  <a:pt x="6189060" y="3231048"/>
                  <a:pt x="6203477" y="3244326"/>
                  <a:pt x="6203477" y="3260700"/>
                </a:cubicBezTo>
                <a:cubicBezTo>
                  <a:pt x="6203477" y="3277075"/>
                  <a:pt x="6189060" y="3290353"/>
                  <a:pt x="6171273" y="3290353"/>
                </a:cubicBezTo>
                <a:close/>
                <a:moveTo>
                  <a:pt x="6249806" y="3290353"/>
                </a:moveTo>
                <a:cubicBezTo>
                  <a:pt x="6232019" y="3290353"/>
                  <a:pt x="6217590" y="3277075"/>
                  <a:pt x="6217590" y="3260700"/>
                </a:cubicBezTo>
                <a:cubicBezTo>
                  <a:pt x="6217590" y="3244326"/>
                  <a:pt x="6232019" y="3231048"/>
                  <a:pt x="6249806" y="3231048"/>
                </a:cubicBezTo>
                <a:cubicBezTo>
                  <a:pt x="6267593" y="3231048"/>
                  <a:pt x="6282010" y="3244326"/>
                  <a:pt x="6282010" y="3260700"/>
                </a:cubicBezTo>
                <a:cubicBezTo>
                  <a:pt x="6282010" y="3277075"/>
                  <a:pt x="6267593" y="3290353"/>
                  <a:pt x="6249806" y="3290353"/>
                </a:cubicBezTo>
                <a:close/>
                <a:moveTo>
                  <a:pt x="6328340" y="3290353"/>
                </a:moveTo>
                <a:cubicBezTo>
                  <a:pt x="6310553" y="3290353"/>
                  <a:pt x="6296124" y="3277075"/>
                  <a:pt x="6296124" y="3260700"/>
                </a:cubicBezTo>
                <a:cubicBezTo>
                  <a:pt x="6296124" y="3244326"/>
                  <a:pt x="6310553" y="3231048"/>
                  <a:pt x="6328340" y="3231048"/>
                </a:cubicBezTo>
                <a:cubicBezTo>
                  <a:pt x="6346128" y="3231048"/>
                  <a:pt x="6360545" y="3244326"/>
                  <a:pt x="6360545" y="3260700"/>
                </a:cubicBezTo>
                <a:cubicBezTo>
                  <a:pt x="6360545" y="3277075"/>
                  <a:pt x="6346128" y="3290353"/>
                  <a:pt x="6328340" y="3290353"/>
                </a:cubicBezTo>
                <a:close/>
                <a:moveTo>
                  <a:pt x="6406875" y="3290353"/>
                </a:moveTo>
                <a:cubicBezTo>
                  <a:pt x="6389087" y="3290353"/>
                  <a:pt x="6374658" y="3277075"/>
                  <a:pt x="6374658" y="3260700"/>
                </a:cubicBezTo>
                <a:cubicBezTo>
                  <a:pt x="6374658" y="3244326"/>
                  <a:pt x="6389087" y="3231048"/>
                  <a:pt x="6406875" y="3231048"/>
                </a:cubicBezTo>
                <a:cubicBezTo>
                  <a:pt x="6424662" y="3231048"/>
                  <a:pt x="6439079" y="3244326"/>
                  <a:pt x="6439079" y="3260700"/>
                </a:cubicBezTo>
                <a:cubicBezTo>
                  <a:pt x="6439079" y="3277075"/>
                  <a:pt x="6424662" y="3290353"/>
                  <a:pt x="6406875" y="3290353"/>
                </a:cubicBezTo>
                <a:close/>
                <a:moveTo>
                  <a:pt x="6485408" y="3290353"/>
                </a:moveTo>
                <a:cubicBezTo>
                  <a:pt x="6467621" y="3290353"/>
                  <a:pt x="6453191" y="3277075"/>
                  <a:pt x="6453191" y="3260700"/>
                </a:cubicBezTo>
                <a:cubicBezTo>
                  <a:pt x="6453191" y="3244326"/>
                  <a:pt x="6467621" y="3231048"/>
                  <a:pt x="6485408" y="3231048"/>
                </a:cubicBezTo>
                <a:cubicBezTo>
                  <a:pt x="6503195" y="3231048"/>
                  <a:pt x="6517612" y="3244326"/>
                  <a:pt x="6517612" y="3260700"/>
                </a:cubicBezTo>
                <a:cubicBezTo>
                  <a:pt x="6517612" y="3277075"/>
                  <a:pt x="6503195" y="3290353"/>
                  <a:pt x="6485408" y="3290353"/>
                </a:cubicBezTo>
                <a:close/>
                <a:moveTo>
                  <a:pt x="6563942" y="3290353"/>
                </a:moveTo>
                <a:cubicBezTo>
                  <a:pt x="6546155" y="3290353"/>
                  <a:pt x="6531726" y="3277075"/>
                  <a:pt x="6531726" y="3260700"/>
                </a:cubicBezTo>
                <a:cubicBezTo>
                  <a:pt x="6531726" y="3244326"/>
                  <a:pt x="6546155" y="3231048"/>
                  <a:pt x="6563942" y="3231048"/>
                </a:cubicBezTo>
                <a:cubicBezTo>
                  <a:pt x="6581729" y="3231048"/>
                  <a:pt x="6596146" y="3244326"/>
                  <a:pt x="6596146" y="3260700"/>
                </a:cubicBezTo>
                <a:cubicBezTo>
                  <a:pt x="6596146" y="3277075"/>
                  <a:pt x="6581729" y="3290353"/>
                  <a:pt x="6563942" y="3290353"/>
                </a:cubicBezTo>
                <a:close/>
                <a:moveTo>
                  <a:pt x="6642476" y="3290353"/>
                </a:moveTo>
                <a:cubicBezTo>
                  <a:pt x="6624689" y="3290353"/>
                  <a:pt x="6610260" y="3277075"/>
                  <a:pt x="6610260" y="3260700"/>
                </a:cubicBezTo>
                <a:cubicBezTo>
                  <a:pt x="6610260" y="3244326"/>
                  <a:pt x="6624689" y="3231048"/>
                  <a:pt x="6642476" y="3231048"/>
                </a:cubicBezTo>
                <a:cubicBezTo>
                  <a:pt x="6660264" y="3231048"/>
                  <a:pt x="6674681" y="3244326"/>
                  <a:pt x="6674681" y="3260700"/>
                </a:cubicBezTo>
                <a:cubicBezTo>
                  <a:pt x="6674681" y="3277075"/>
                  <a:pt x="6660264" y="3290353"/>
                  <a:pt x="6642476" y="3290353"/>
                </a:cubicBezTo>
                <a:close/>
                <a:moveTo>
                  <a:pt x="6721010" y="3290353"/>
                </a:moveTo>
                <a:cubicBezTo>
                  <a:pt x="6703222" y="3290353"/>
                  <a:pt x="6688793" y="3277075"/>
                  <a:pt x="6688793" y="3260700"/>
                </a:cubicBezTo>
                <a:cubicBezTo>
                  <a:pt x="6688793" y="3244326"/>
                  <a:pt x="6703222" y="3231048"/>
                  <a:pt x="6721010" y="3231048"/>
                </a:cubicBezTo>
                <a:cubicBezTo>
                  <a:pt x="6738797" y="3231048"/>
                  <a:pt x="6753214" y="3244326"/>
                  <a:pt x="6753214" y="3260700"/>
                </a:cubicBezTo>
                <a:cubicBezTo>
                  <a:pt x="6753214" y="3277075"/>
                  <a:pt x="6738797" y="3290353"/>
                  <a:pt x="6721010" y="3290353"/>
                </a:cubicBezTo>
                <a:close/>
                <a:moveTo>
                  <a:pt x="6799544" y="3290353"/>
                </a:moveTo>
                <a:cubicBezTo>
                  <a:pt x="6781757" y="3290353"/>
                  <a:pt x="6767327" y="3277075"/>
                  <a:pt x="6767327" y="3260700"/>
                </a:cubicBezTo>
                <a:cubicBezTo>
                  <a:pt x="6767327" y="3244326"/>
                  <a:pt x="6781757" y="3231048"/>
                  <a:pt x="6799544" y="3231048"/>
                </a:cubicBezTo>
                <a:cubicBezTo>
                  <a:pt x="6817331" y="3231048"/>
                  <a:pt x="6831748" y="3244326"/>
                  <a:pt x="6831748" y="3260700"/>
                </a:cubicBezTo>
                <a:cubicBezTo>
                  <a:pt x="6831748" y="3277075"/>
                  <a:pt x="6817331" y="3290353"/>
                  <a:pt x="6799544" y="3290353"/>
                </a:cubicBezTo>
                <a:close/>
                <a:moveTo>
                  <a:pt x="6878077" y="3290353"/>
                </a:moveTo>
                <a:cubicBezTo>
                  <a:pt x="6860290" y="3290353"/>
                  <a:pt x="6845861" y="3277075"/>
                  <a:pt x="6845861" y="3260700"/>
                </a:cubicBezTo>
                <a:cubicBezTo>
                  <a:pt x="6845861" y="3244326"/>
                  <a:pt x="6860290" y="3231048"/>
                  <a:pt x="6878077" y="3231048"/>
                </a:cubicBezTo>
                <a:cubicBezTo>
                  <a:pt x="6895864" y="3231048"/>
                  <a:pt x="6910281" y="3244326"/>
                  <a:pt x="6910281" y="3260700"/>
                </a:cubicBezTo>
                <a:cubicBezTo>
                  <a:pt x="6910281" y="3277075"/>
                  <a:pt x="6895864" y="3290353"/>
                  <a:pt x="6878077" y="3290353"/>
                </a:cubicBezTo>
                <a:close/>
                <a:moveTo>
                  <a:pt x="7113703" y="3290353"/>
                </a:moveTo>
                <a:cubicBezTo>
                  <a:pt x="7095916" y="3290353"/>
                  <a:pt x="7081487" y="3277075"/>
                  <a:pt x="7081487" y="3260700"/>
                </a:cubicBezTo>
                <a:cubicBezTo>
                  <a:pt x="7081487" y="3244326"/>
                  <a:pt x="7095916" y="3231048"/>
                  <a:pt x="7113703" y="3231048"/>
                </a:cubicBezTo>
                <a:cubicBezTo>
                  <a:pt x="7131490" y="3231048"/>
                  <a:pt x="7145907" y="3244326"/>
                  <a:pt x="7145907" y="3260700"/>
                </a:cubicBezTo>
                <a:cubicBezTo>
                  <a:pt x="7145907" y="3277075"/>
                  <a:pt x="7131490" y="3290353"/>
                  <a:pt x="7113703" y="3290353"/>
                </a:cubicBezTo>
                <a:close/>
                <a:moveTo>
                  <a:pt x="7192237" y="3290353"/>
                </a:moveTo>
                <a:cubicBezTo>
                  <a:pt x="7174450" y="3290353"/>
                  <a:pt x="7160021" y="3277075"/>
                  <a:pt x="7160021" y="3260700"/>
                </a:cubicBezTo>
                <a:cubicBezTo>
                  <a:pt x="7160021" y="3244326"/>
                  <a:pt x="7174450" y="3231048"/>
                  <a:pt x="7192237" y="3231048"/>
                </a:cubicBezTo>
                <a:cubicBezTo>
                  <a:pt x="7210024" y="3231048"/>
                  <a:pt x="7224441" y="3244326"/>
                  <a:pt x="7224441" y="3260700"/>
                </a:cubicBezTo>
                <a:cubicBezTo>
                  <a:pt x="7224441" y="3277075"/>
                  <a:pt x="7210024" y="3290353"/>
                  <a:pt x="7192237" y="3290353"/>
                </a:cubicBezTo>
                <a:close/>
                <a:moveTo>
                  <a:pt x="7270771" y="3290353"/>
                </a:moveTo>
                <a:cubicBezTo>
                  <a:pt x="7252984" y="3290353"/>
                  <a:pt x="7238555" y="3277075"/>
                  <a:pt x="7238555" y="3260700"/>
                </a:cubicBezTo>
                <a:cubicBezTo>
                  <a:pt x="7238555" y="3244326"/>
                  <a:pt x="7252984" y="3231048"/>
                  <a:pt x="7270771" y="3231048"/>
                </a:cubicBezTo>
                <a:cubicBezTo>
                  <a:pt x="7288559" y="3231048"/>
                  <a:pt x="7302976" y="3244326"/>
                  <a:pt x="7302976" y="3260700"/>
                </a:cubicBezTo>
                <a:cubicBezTo>
                  <a:pt x="7302976" y="3277075"/>
                  <a:pt x="7288559" y="3290353"/>
                  <a:pt x="7270771" y="3290353"/>
                </a:cubicBezTo>
                <a:close/>
                <a:moveTo>
                  <a:pt x="7349305" y="3290353"/>
                </a:moveTo>
                <a:cubicBezTo>
                  <a:pt x="7331517" y="3290353"/>
                  <a:pt x="7317088" y="3277075"/>
                  <a:pt x="7317088" y="3260700"/>
                </a:cubicBezTo>
                <a:cubicBezTo>
                  <a:pt x="7317088" y="3244326"/>
                  <a:pt x="7331517" y="3231048"/>
                  <a:pt x="7349305" y="3231048"/>
                </a:cubicBezTo>
                <a:cubicBezTo>
                  <a:pt x="7367092" y="3231048"/>
                  <a:pt x="7381509" y="3244326"/>
                  <a:pt x="7381509" y="3260700"/>
                </a:cubicBezTo>
                <a:cubicBezTo>
                  <a:pt x="7381509" y="3277075"/>
                  <a:pt x="7367092" y="3290353"/>
                  <a:pt x="7349305" y="3290353"/>
                </a:cubicBezTo>
                <a:close/>
                <a:moveTo>
                  <a:pt x="7506373" y="3290353"/>
                </a:moveTo>
                <a:cubicBezTo>
                  <a:pt x="7488586" y="3290353"/>
                  <a:pt x="7474157" y="3277075"/>
                  <a:pt x="7474157" y="3260700"/>
                </a:cubicBezTo>
                <a:cubicBezTo>
                  <a:pt x="7474157" y="3244326"/>
                  <a:pt x="7488586" y="3231048"/>
                  <a:pt x="7506373" y="3231048"/>
                </a:cubicBezTo>
                <a:cubicBezTo>
                  <a:pt x="7524160" y="3231048"/>
                  <a:pt x="7538577" y="3244326"/>
                  <a:pt x="7538577" y="3260700"/>
                </a:cubicBezTo>
                <a:cubicBezTo>
                  <a:pt x="7538577" y="3277075"/>
                  <a:pt x="7524160" y="3290353"/>
                  <a:pt x="7506373" y="3290353"/>
                </a:cubicBezTo>
                <a:close/>
                <a:moveTo>
                  <a:pt x="7899042" y="3290353"/>
                </a:moveTo>
                <a:cubicBezTo>
                  <a:pt x="7881255" y="3290353"/>
                  <a:pt x="7866826" y="3277075"/>
                  <a:pt x="7866826" y="3260700"/>
                </a:cubicBezTo>
                <a:cubicBezTo>
                  <a:pt x="7866826" y="3244326"/>
                  <a:pt x="7881255" y="3231048"/>
                  <a:pt x="7899042" y="3231048"/>
                </a:cubicBezTo>
                <a:cubicBezTo>
                  <a:pt x="7916830" y="3231048"/>
                  <a:pt x="7931247" y="3244326"/>
                  <a:pt x="7931247" y="3260700"/>
                </a:cubicBezTo>
                <a:cubicBezTo>
                  <a:pt x="7931247" y="3277075"/>
                  <a:pt x="7916830" y="3290353"/>
                  <a:pt x="7899042" y="3290353"/>
                </a:cubicBezTo>
                <a:close/>
                <a:moveTo>
                  <a:pt x="7977576" y="3290353"/>
                </a:moveTo>
                <a:cubicBezTo>
                  <a:pt x="7959788" y="3290353"/>
                  <a:pt x="7945359" y="3277075"/>
                  <a:pt x="7945359" y="3260700"/>
                </a:cubicBezTo>
                <a:cubicBezTo>
                  <a:pt x="7945359" y="3244326"/>
                  <a:pt x="7959788" y="3231048"/>
                  <a:pt x="7977576" y="3231048"/>
                </a:cubicBezTo>
                <a:cubicBezTo>
                  <a:pt x="7995363" y="3231048"/>
                  <a:pt x="8009780" y="3244326"/>
                  <a:pt x="8009780" y="3260700"/>
                </a:cubicBezTo>
                <a:cubicBezTo>
                  <a:pt x="8009780" y="3277075"/>
                  <a:pt x="7995363" y="3290353"/>
                  <a:pt x="7977576" y="3290353"/>
                </a:cubicBezTo>
                <a:close/>
                <a:moveTo>
                  <a:pt x="8056110" y="3290353"/>
                </a:moveTo>
                <a:cubicBezTo>
                  <a:pt x="8038323" y="3290353"/>
                  <a:pt x="8023894" y="3277075"/>
                  <a:pt x="8023894" y="3260700"/>
                </a:cubicBezTo>
                <a:cubicBezTo>
                  <a:pt x="8023894" y="3244326"/>
                  <a:pt x="8038323" y="3231048"/>
                  <a:pt x="8056110" y="3231048"/>
                </a:cubicBezTo>
                <a:cubicBezTo>
                  <a:pt x="8073897" y="3231048"/>
                  <a:pt x="8088314" y="3244326"/>
                  <a:pt x="8088314" y="3260700"/>
                </a:cubicBezTo>
                <a:cubicBezTo>
                  <a:pt x="8088314" y="3277075"/>
                  <a:pt x="8073897" y="3290353"/>
                  <a:pt x="8056110" y="3290353"/>
                </a:cubicBezTo>
                <a:close/>
                <a:moveTo>
                  <a:pt x="8134643" y="3290353"/>
                </a:moveTo>
                <a:cubicBezTo>
                  <a:pt x="8116856" y="3290353"/>
                  <a:pt x="8102427" y="3277075"/>
                  <a:pt x="8102427" y="3260700"/>
                </a:cubicBezTo>
                <a:cubicBezTo>
                  <a:pt x="8102427" y="3244326"/>
                  <a:pt x="8116856" y="3231048"/>
                  <a:pt x="8134643" y="3231048"/>
                </a:cubicBezTo>
                <a:cubicBezTo>
                  <a:pt x="8152430" y="3231048"/>
                  <a:pt x="8166847" y="3244326"/>
                  <a:pt x="8166847" y="3260700"/>
                </a:cubicBezTo>
                <a:cubicBezTo>
                  <a:pt x="8166847" y="3277075"/>
                  <a:pt x="8152430" y="3290353"/>
                  <a:pt x="8134643" y="3290353"/>
                </a:cubicBezTo>
                <a:close/>
                <a:moveTo>
                  <a:pt x="8213177" y="3290353"/>
                </a:moveTo>
                <a:cubicBezTo>
                  <a:pt x="8195390" y="3290353"/>
                  <a:pt x="8180961" y="3277075"/>
                  <a:pt x="8180961" y="3260700"/>
                </a:cubicBezTo>
                <a:cubicBezTo>
                  <a:pt x="8180961" y="3244326"/>
                  <a:pt x="8195390" y="3231048"/>
                  <a:pt x="8213177" y="3231048"/>
                </a:cubicBezTo>
                <a:cubicBezTo>
                  <a:pt x="8230965" y="3231048"/>
                  <a:pt x="8245382" y="3244326"/>
                  <a:pt x="8245382" y="3260700"/>
                </a:cubicBezTo>
                <a:cubicBezTo>
                  <a:pt x="8245382" y="3277075"/>
                  <a:pt x="8230965" y="3290353"/>
                  <a:pt x="8213177" y="3290353"/>
                </a:cubicBezTo>
                <a:close/>
                <a:moveTo>
                  <a:pt x="8291712" y="3290353"/>
                </a:moveTo>
                <a:cubicBezTo>
                  <a:pt x="8273924" y="3290353"/>
                  <a:pt x="8259495" y="3277075"/>
                  <a:pt x="8259495" y="3260700"/>
                </a:cubicBezTo>
                <a:cubicBezTo>
                  <a:pt x="8259495" y="3244326"/>
                  <a:pt x="8273924" y="3231048"/>
                  <a:pt x="8291712" y="3231048"/>
                </a:cubicBezTo>
                <a:cubicBezTo>
                  <a:pt x="8309499" y="3231048"/>
                  <a:pt x="8323916" y="3244326"/>
                  <a:pt x="8323916" y="3260700"/>
                </a:cubicBezTo>
                <a:cubicBezTo>
                  <a:pt x="8323916" y="3277075"/>
                  <a:pt x="8309499" y="3290353"/>
                  <a:pt x="8291712" y="3290353"/>
                </a:cubicBezTo>
                <a:close/>
                <a:moveTo>
                  <a:pt x="8370245" y="3290353"/>
                </a:moveTo>
                <a:cubicBezTo>
                  <a:pt x="8352458" y="3290353"/>
                  <a:pt x="8338029" y="3277075"/>
                  <a:pt x="8338029" y="3260700"/>
                </a:cubicBezTo>
                <a:cubicBezTo>
                  <a:pt x="8338029" y="3244326"/>
                  <a:pt x="8352458" y="3231048"/>
                  <a:pt x="8370245" y="3231048"/>
                </a:cubicBezTo>
                <a:cubicBezTo>
                  <a:pt x="8388032" y="3231048"/>
                  <a:pt x="8402449" y="3244326"/>
                  <a:pt x="8402449" y="3260700"/>
                </a:cubicBezTo>
                <a:cubicBezTo>
                  <a:pt x="8402449" y="3277075"/>
                  <a:pt x="8388032" y="3290353"/>
                  <a:pt x="8370245" y="3290353"/>
                </a:cubicBezTo>
                <a:close/>
                <a:moveTo>
                  <a:pt x="8448779" y="3290353"/>
                </a:moveTo>
                <a:cubicBezTo>
                  <a:pt x="8430992" y="3290353"/>
                  <a:pt x="8416563" y="3277075"/>
                  <a:pt x="8416563" y="3260700"/>
                </a:cubicBezTo>
                <a:cubicBezTo>
                  <a:pt x="8416563" y="3244326"/>
                  <a:pt x="8430992" y="3231048"/>
                  <a:pt x="8448779" y="3231048"/>
                </a:cubicBezTo>
                <a:cubicBezTo>
                  <a:pt x="8466566" y="3231048"/>
                  <a:pt x="8480983" y="3244326"/>
                  <a:pt x="8480983" y="3260700"/>
                </a:cubicBezTo>
                <a:cubicBezTo>
                  <a:pt x="8480983" y="3277075"/>
                  <a:pt x="8466566" y="3290353"/>
                  <a:pt x="8448779" y="3290353"/>
                </a:cubicBezTo>
                <a:close/>
                <a:moveTo>
                  <a:pt x="8527313" y="3290353"/>
                </a:moveTo>
                <a:cubicBezTo>
                  <a:pt x="8509526" y="3290353"/>
                  <a:pt x="8495097" y="3277075"/>
                  <a:pt x="8495097" y="3260700"/>
                </a:cubicBezTo>
                <a:cubicBezTo>
                  <a:pt x="8495097" y="3244326"/>
                  <a:pt x="8509526" y="3231048"/>
                  <a:pt x="8527313" y="3231048"/>
                </a:cubicBezTo>
                <a:cubicBezTo>
                  <a:pt x="8545101" y="3231048"/>
                  <a:pt x="8559518" y="3244326"/>
                  <a:pt x="8559518" y="3260700"/>
                </a:cubicBezTo>
                <a:cubicBezTo>
                  <a:pt x="8559518" y="3277075"/>
                  <a:pt x="8545101" y="3290353"/>
                  <a:pt x="8527313" y="3290353"/>
                </a:cubicBezTo>
                <a:close/>
                <a:moveTo>
                  <a:pt x="8605847" y="3290353"/>
                </a:moveTo>
                <a:cubicBezTo>
                  <a:pt x="8588059" y="3290353"/>
                  <a:pt x="8573630" y="3277075"/>
                  <a:pt x="8573630" y="3260700"/>
                </a:cubicBezTo>
                <a:cubicBezTo>
                  <a:pt x="8573630" y="3244326"/>
                  <a:pt x="8588059" y="3231048"/>
                  <a:pt x="8605847" y="3231048"/>
                </a:cubicBezTo>
                <a:cubicBezTo>
                  <a:pt x="8623634" y="3231048"/>
                  <a:pt x="8638051" y="3244326"/>
                  <a:pt x="8638051" y="3260700"/>
                </a:cubicBezTo>
                <a:cubicBezTo>
                  <a:pt x="8638051" y="3277075"/>
                  <a:pt x="8623634" y="3290353"/>
                  <a:pt x="8605847" y="3290353"/>
                </a:cubicBezTo>
                <a:close/>
                <a:moveTo>
                  <a:pt x="8684381" y="3290353"/>
                </a:moveTo>
                <a:cubicBezTo>
                  <a:pt x="8666594" y="3290353"/>
                  <a:pt x="8652165" y="3277075"/>
                  <a:pt x="8652165" y="3260700"/>
                </a:cubicBezTo>
                <a:cubicBezTo>
                  <a:pt x="8652165" y="3244326"/>
                  <a:pt x="8666594" y="3231048"/>
                  <a:pt x="8684381" y="3231048"/>
                </a:cubicBezTo>
                <a:cubicBezTo>
                  <a:pt x="8702168" y="3231048"/>
                  <a:pt x="8716585" y="3244326"/>
                  <a:pt x="8716585" y="3260700"/>
                </a:cubicBezTo>
                <a:cubicBezTo>
                  <a:pt x="8716585" y="3277075"/>
                  <a:pt x="8702168" y="3290353"/>
                  <a:pt x="8684381" y="3290353"/>
                </a:cubicBezTo>
                <a:close/>
                <a:moveTo>
                  <a:pt x="8762914" y="3290353"/>
                </a:moveTo>
                <a:cubicBezTo>
                  <a:pt x="8745127" y="3290353"/>
                  <a:pt x="8730698" y="3277075"/>
                  <a:pt x="8730698" y="3260700"/>
                </a:cubicBezTo>
                <a:cubicBezTo>
                  <a:pt x="8730698" y="3244326"/>
                  <a:pt x="8745127" y="3231048"/>
                  <a:pt x="8762914" y="3231048"/>
                </a:cubicBezTo>
                <a:cubicBezTo>
                  <a:pt x="8780701" y="3231048"/>
                  <a:pt x="8795118" y="3244326"/>
                  <a:pt x="8795118" y="3260700"/>
                </a:cubicBezTo>
                <a:cubicBezTo>
                  <a:pt x="8795118" y="3277075"/>
                  <a:pt x="8780701" y="3290353"/>
                  <a:pt x="8762914" y="3290353"/>
                </a:cubicBezTo>
                <a:close/>
                <a:moveTo>
                  <a:pt x="8841448" y="3290353"/>
                </a:moveTo>
                <a:cubicBezTo>
                  <a:pt x="8823661" y="3290353"/>
                  <a:pt x="8809232" y="3277075"/>
                  <a:pt x="8809232" y="3260700"/>
                </a:cubicBezTo>
                <a:cubicBezTo>
                  <a:pt x="8809232" y="3244326"/>
                  <a:pt x="8823661" y="3231048"/>
                  <a:pt x="8841448" y="3231048"/>
                </a:cubicBezTo>
                <a:cubicBezTo>
                  <a:pt x="8859236" y="3231048"/>
                  <a:pt x="8873653" y="3244326"/>
                  <a:pt x="8873653" y="3260700"/>
                </a:cubicBezTo>
                <a:cubicBezTo>
                  <a:pt x="8873653" y="3277075"/>
                  <a:pt x="8859236" y="3290353"/>
                  <a:pt x="8841448" y="3290353"/>
                </a:cubicBezTo>
                <a:close/>
                <a:moveTo>
                  <a:pt x="8919983" y="3290353"/>
                </a:moveTo>
                <a:cubicBezTo>
                  <a:pt x="8902195" y="3290353"/>
                  <a:pt x="8887766" y="3277075"/>
                  <a:pt x="8887766" y="3260700"/>
                </a:cubicBezTo>
                <a:cubicBezTo>
                  <a:pt x="8887766" y="3244326"/>
                  <a:pt x="8902195" y="3231048"/>
                  <a:pt x="8919983" y="3231048"/>
                </a:cubicBezTo>
                <a:cubicBezTo>
                  <a:pt x="8937770" y="3231048"/>
                  <a:pt x="8952187" y="3244326"/>
                  <a:pt x="8952187" y="3260700"/>
                </a:cubicBezTo>
                <a:cubicBezTo>
                  <a:pt x="8952187" y="3277075"/>
                  <a:pt x="8937770" y="3290353"/>
                  <a:pt x="8919983" y="3290353"/>
                </a:cubicBezTo>
                <a:close/>
                <a:moveTo>
                  <a:pt x="8998516" y="3290353"/>
                </a:moveTo>
                <a:cubicBezTo>
                  <a:pt x="8980729" y="3290353"/>
                  <a:pt x="8966300" y="3277075"/>
                  <a:pt x="8966300" y="3260700"/>
                </a:cubicBezTo>
                <a:cubicBezTo>
                  <a:pt x="8966300" y="3244326"/>
                  <a:pt x="8980729" y="3231048"/>
                  <a:pt x="8998516" y="3231048"/>
                </a:cubicBezTo>
                <a:cubicBezTo>
                  <a:pt x="9016303" y="3231048"/>
                  <a:pt x="9030720" y="3244326"/>
                  <a:pt x="9030720" y="3260700"/>
                </a:cubicBezTo>
                <a:cubicBezTo>
                  <a:pt x="9030720" y="3277075"/>
                  <a:pt x="9016303" y="3290353"/>
                  <a:pt x="8998516" y="3290353"/>
                </a:cubicBezTo>
                <a:close/>
                <a:moveTo>
                  <a:pt x="9077050" y="3290353"/>
                </a:moveTo>
                <a:cubicBezTo>
                  <a:pt x="9059263" y="3290353"/>
                  <a:pt x="9044834" y="3277075"/>
                  <a:pt x="9044834" y="3260700"/>
                </a:cubicBezTo>
                <a:cubicBezTo>
                  <a:pt x="9044834" y="3244326"/>
                  <a:pt x="9059263" y="3231048"/>
                  <a:pt x="9077050" y="3231048"/>
                </a:cubicBezTo>
                <a:cubicBezTo>
                  <a:pt x="9094837" y="3231048"/>
                  <a:pt x="9109254" y="3244326"/>
                  <a:pt x="9109254" y="3260700"/>
                </a:cubicBezTo>
                <a:cubicBezTo>
                  <a:pt x="9109254" y="3277075"/>
                  <a:pt x="9094837" y="3290353"/>
                  <a:pt x="9077050" y="3290353"/>
                </a:cubicBezTo>
                <a:close/>
                <a:moveTo>
                  <a:pt x="9155583" y="3290353"/>
                </a:moveTo>
                <a:cubicBezTo>
                  <a:pt x="9137796" y="3290353"/>
                  <a:pt x="9123367" y="3277075"/>
                  <a:pt x="9123367" y="3260700"/>
                </a:cubicBezTo>
                <a:cubicBezTo>
                  <a:pt x="9123367" y="3244326"/>
                  <a:pt x="9137796" y="3231048"/>
                  <a:pt x="9155583" y="3231048"/>
                </a:cubicBezTo>
                <a:cubicBezTo>
                  <a:pt x="9173371" y="3231048"/>
                  <a:pt x="9187788" y="3244326"/>
                  <a:pt x="9187788" y="3260700"/>
                </a:cubicBezTo>
                <a:cubicBezTo>
                  <a:pt x="9187788" y="3277075"/>
                  <a:pt x="9173371" y="3290353"/>
                  <a:pt x="9155583" y="3290353"/>
                </a:cubicBezTo>
                <a:close/>
                <a:moveTo>
                  <a:pt x="9234118" y="3290353"/>
                </a:moveTo>
                <a:cubicBezTo>
                  <a:pt x="9216330" y="3290353"/>
                  <a:pt x="9201901" y="3277075"/>
                  <a:pt x="9201901" y="3260700"/>
                </a:cubicBezTo>
                <a:cubicBezTo>
                  <a:pt x="9201901" y="3244326"/>
                  <a:pt x="9216330" y="3231048"/>
                  <a:pt x="9234118" y="3231048"/>
                </a:cubicBezTo>
                <a:cubicBezTo>
                  <a:pt x="9251905" y="3231048"/>
                  <a:pt x="9266322" y="3244326"/>
                  <a:pt x="9266322" y="3260700"/>
                </a:cubicBezTo>
                <a:cubicBezTo>
                  <a:pt x="9266322" y="3277075"/>
                  <a:pt x="9251905" y="3290353"/>
                  <a:pt x="9234118" y="3290353"/>
                </a:cubicBezTo>
                <a:close/>
                <a:moveTo>
                  <a:pt x="9391185" y="3290353"/>
                </a:moveTo>
                <a:cubicBezTo>
                  <a:pt x="9373398" y="3290353"/>
                  <a:pt x="9358969" y="3277075"/>
                  <a:pt x="9358969" y="3260700"/>
                </a:cubicBezTo>
                <a:cubicBezTo>
                  <a:pt x="9358969" y="3244326"/>
                  <a:pt x="9373398" y="3231048"/>
                  <a:pt x="9391185" y="3231048"/>
                </a:cubicBezTo>
                <a:cubicBezTo>
                  <a:pt x="9408972" y="3231048"/>
                  <a:pt x="9423389" y="3244326"/>
                  <a:pt x="9423389" y="3260700"/>
                </a:cubicBezTo>
                <a:cubicBezTo>
                  <a:pt x="9423389" y="3277075"/>
                  <a:pt x="9408972" y="3290353"/>
                  <a:pt x="9391185" y="3290353"/>
                </a:cubicBezTo>
                <a:close/>
                <a:moveTo>
                  <a:pt x="1459238" y="3218087"/>
                </a:moveTo>
                <a:cubicBezTo>
                  <a:pt x="1441451" y="3218087"/>
                  <a:pt x="1427027" y="3204809"/>
                  <a:pt x="1427027" y="3188435"/>
                </a:cubicBezTo>
                <a:cubicBezTo>
                  <a:pt x="1427027" y="3172060"/>
                  <a:pt x="1441451" y="3158783"/>
                  <a:pt x="1459238" y="3158783"/>
                </a:cubicBezTo>
                <a:cubicBezTo>
                  <a:pt x="1477025" y="3158783"/>
                  <a:pt x="1491448" y="3172060"/>
                  <a:pt x="1491448" y="3188435"/>
                </a:cubicBezTo>
                <a:cubicBezTo>
                  <a:pt x="1491448" y="3204809"/>
                  <a:pt x="1477025" y="3218087"/>
                  <a:pt x="1459238" y="3218087"/>
                </a:cubicBezTo>
                <a:close/>
                <a:moveTo>
                  <a:pt x="2951379" y="3218087"/>
                </a:moveTo>
                <a:cubicBezTo>
                  <a:pt x="2933591" y="3218087"/>
                  <a:pt x="2919168" y="3204809"/>
                  <a:pt x="2919168" y="3188435"/>
                </a:cubicBezTo>
                <a:cubicBezTo>
                  <a:pt x="2919168" y="3172060"/>
                  <a:pt x="2933591" y="3158783"/>
                  <a:pt x="2951379" y="3158783"/>
                </a:cubicBezTo>
                <a:cubicBezTo>
                  <a:pt x="2969166" y="3158783"/>
                  <a:pt x="2983589" y="3172060"/>
                  <a:pt x="2983589" y="3188435"/>
                </a:cubicBezTo>
                <a:cubicBezTo>
                  <a:pt x="2983589" y="3204809"/>
                  <a:pt x="2969166" y="3218087"/>
                  <a:pt x="2951379" y="3218087"/>
                </a:cubicBezTo>
                <a:close/>
                <a:moveTo>
                  <a:pt x="3029912" y="3218087"/>
                </a:moveTo>
                <a:cubicBezTo>
                  <a:pt x="3012125" y="3218087"/>
                  <a:pt x="2997701" y="3204809"/>
                  <a:pt x="2997701" y="3188435"/>
                </a:cubicBezTo>
                <a:cubicBezTo>
                  <a:pt x="2997701" y="3172060"/>
                  <a:pt x="3012125" y="3158783"/>
                  <a:pt x="3029912" y="3158783"/>
                </a:cubicBezTo>
                <a:cubicBezTo>
                  <a:pt x="3047699" y="3158783"/>
                  <a:pt x="3062122" y="3172060"/>
                  <a:pt x="3062122" y="3188435"/>
                </a:cubicBezTo>
                <a:cubicBezTo>
                  <a:pt x="3062122" y="3204809"/>
                  <a:pt x="3047699" y="3218087"/>
                  <a:pt x="3029912" y="3218087"/>
                </a:cubicBezTo>
                <a:close/>
                <a:moveTo>
                  <a:pt x="3108446" y="3218087"/>
                </a:moveTo>
                <a:cubicBezTo>
                  <a:pt x="3090659" y="3218087"/>
                  <a:pt x="3076236" y="3204809"/>
                  <a:pt x="3076236" y="3188435"/>
                </a:cubicBezTo>
                <a:cubicBezTo>
                  <a:pt x="3076236" y="3172060"/>
                  <a:pt x="3090659" y="3158783"/>
                  <a:pt x="3108446" y="3158783"/>
                </a:cubicBezTo>
                <a:cubicBezTo>
                  <a:pt x="3126233" y="3158783"/>
                  <a:pt x="3140656" y="3172060"/>
                  <a:pt x="3140656" y="3188435"/>
                </a:cubicBezTo>
                <a:cubicBezTo>
                  <a:pt x="3140656" y="3204809"/>
                  <a:pt x="3126233" y="3218087"/>
                  <a:pt x="3108446" y="3218087"/>
                </a:cubicBezTo>
                <a:close/>
                <a:moveTo>
                  <a:pt x="3422581" y="3218087"/>
                </a:moveTo>
                <a:cubicBezTo>
                  <a:pt x="3404794" y="3218087"/>
                  <a:pt x="3390371" y="3204809"/>
                  <a:pt x="3390371" y="3188435"/>
                </a:cubicBezTo>
                <a:cubicBezTo>
                  <a:pt x="3390371" y="3172060"/>
                  <a:pt x="3404794" y="3158783"/>
                  <a:pt x="3422581" y="3158783"/>
                </a:cubicBezTo>
                <a:cubicBezTo>
                  <a:pt x="3440368" y="3158783"/>
                  <a:pt x="3454791" y="3172060"/>
                  <a:pt x="3454791" y="3188435"/>
                </a:cubicBezTo>
                <a:cubicBezTo>
                  <a:pt x="3454791" y="3204809"/>
                  <a:pt x="3440368" y="3218087"/>
                  <a:pt x="3422581" y="3218087"/>
                </a:cubicBezTo>
                <a:close/>
                <a:moveTo>
                  <a:pt x="3579650" y="3218087"/>
                </a:moveTo>
                <a:cubicBezTo>
                  <a:pt x="3561862" y="3218087"/>
                  <a:pt x="3547439" y="3204809"/>
                  <a:pt x="3547439" y="3188435"/>
                </a:cubicBezTo>
                <a:cubicBezTo>
                  <a:pt x="3547439" y="3172060"/>
                  <a:pt x="3561862" y="3158783"/>
                  <a:pt x="3579650" y="3158783"/>
                </a:cubicBezTo>
                <a:cubicBezTo>
                  <a:pt x="3597437" y="3158783"/>
                  <a:pt x="3611860" y="3172060"/>
                  <a:pt x="3611860" y="3188435"/>
                </a:cubicBezTo>
                <a:cubicBezTo>
                  <a:pt x="3611860" y="3204809"/>
                  <a:pt x="3597437" y="3218087"/>
                  <a:pt x="3579650" y="3218087"/>
                </a:cubicBezTo>
                <a:close/>
                <a:moveTo>
                  <a:pt x="3658183" y="3218087"/>
                </a:moveTo>
                <a:cubicBezTo>
                  <a:pt x="3640396" y="3218087"/>
                  <a:pt x="3625972" y="3204809"/>
                  <a:pt x="3625972" y="3188435"/>
                </a:cubicBezTo>
                <a:cubicBezTo>
                  <a:pt x="3625972" y="3172060"/>
                  <a:pt x="3640396" y="3158783"/>
                  <a:pt x="3658183" y="3158783"/>
                </a:cubicBezTo>
                <a:cubicBezTo>
                  <a:pt x="3675970" y="3158783"/>
                  <a:pt x="3690393" y="3172060"/>
                  <a:pt x="3690393" y="3188435"/>
                </a:cubicBezTo>
                <a:cubicBezTo>
                  <a:pt x="3690393" y="3204809"/>
                  <a:pt x="3675970" y="3218087"/>
                  <a:pt x="3658183" y="3218087"/>
                </a:cubicBezTo>
                <a:close/>
                <a:moveTo>
                  <a:pt x="3736717" y="3218087"/>
                </a:moveTo>
                <a:cubicBezTo>
                  <a:pt x="3718930" y="3218087"/>
                  <a:pt x="3704507" y="3204809"/>
                  <a:pt x="3704507" y="3188435"/>
                </a:cubicBezTo>
                <a:cubicBezTo>
                  <a:pt x="3704507" y="3172060"/>
                  <a:pt x="3718930" y="3158783"/>
                  <a:pt x="3736717" y="3158783"/>
                </a:cubicBezTo>
                <a:cubicBezTo>
                  <a:pt x="3754504" y="3158783"/>
                  <a:pt x="3768927" y="3172060"/>
                  <a:pt x="3768927" y="3188435"/>
                </a:cubicBezTo>
                <a:cubicBezTo>
                  <a:pt x="3768927" y="3204809"/>
                  <a:pt x="3754504" y="3218087"/>
                  <a:pt x="3736717" y="3218087"/>
                </a:cubicBezTo>
                <a:close/>
                <a:moveTo>
                  <a:pt x="5464468" y="3218087"/>
                </a:moveTo>
                <a:cubicBezTo>
                  <a:pt x="5446680" y="3218087"/>
                  <a:pt x="5432251" y="3204809"/>
                  <a:pt x="5432251" y="3188435"/>
                </a:cubicBezTo>
                <a:cubicBezTo>
                  <a:pt x="5432251" y="3172060"/>
                  <a:pt x="5446680" y="3158783"/>
                  <a:pt x="5464468" y="3158783"/>
                </a:cubicBezTo>
                <a:cubicBezTo>
                  <a:pt x="5482255" y="3158783"/>
                  <a:pt x="5496672" y="3172060"/>
                  <a:pt x="5496672" y="3188435"/>
                </a:cubicBezTo>
                <a:cubicBezTo>
                  <a:pt x="5496672" y="3204809"/>
                  <a:pt x="5482255" y="3218087"/>
                  <a:pt x="5464468" y="3218087"/>
                </a:cubicBezTo>
                <a:close/>
                <a:moveTo>
                  <a:pt x="5543002" y="3218087"/>
                </a:moveTo>
                <a:cubicBezTo>
                  <a:pt x="5525215" y="3218087"/>
                  <a:pt x="5510785" y="3204809"/>
                  <a:pt x="5510785" y="3188435"/>
                </a:cubicBezTo>
                <a:cubicBezTo>
                  <a:pt x="5510785" y="3172060"/>
                  <a:pt x="5525215" y="3158783"/>
                  <a:pt x="5543002" y="3158783"/>
                </a:cubicBezTo>
                <a:cubicBezTo>
                  <a:pt x="5560789" y="3158783"/>
                  <a:pt x="5575206" y="3172060"/>
                  <a:pt x="5575206" y="3188435"/>
                </a:cubicBezTo>
                <a:cubicBezTo>
                  <a:pt x="5575206" y="3204809"/>
                  <a:pt x="5560789" y="3218087"/>
                  <a:pt x="5543002" y="3218087"/>
                </a:cubicBezTo>
                <a:close/>
                <a:moveTo>
                  <a:pt x="5621536" y="3218087"/>
                </a:moveTo>
                <a:cubicBezTo>
                  <a:pt x="5603749" y="3218087"/>
                  <a:pt x="5589320" y="3204809"/>
                  <a:pt x="5589320" y="3188435"/>
                </a:cubicBezTo>
                <a:cubicBezTo>
                  <a:pt x="5589320" y="3172060"/>
                  <a:pt x="5603749" y="3158783"/>
                  <a:pt x="5621536" y="3158783"/>
                </a:cubicBezTo>
                <a:cubicBezTo>
                  <a:pt x="5639323" y="3158783"/>
                  <a:pt x="5653740" y="3172060"/>
                  <a:pt x="5653740" y="3188435"/>
                </a:cubicBezTo>
                <a:cubicBezTo>
                  <a:pt x="5653740" y="3204809"/>
                  <a:pt x="5639323" y="3218087"/>
                  <a:pt x="5621536" y="3218087"/>
                </a:cubicBezTo>
                <a:close/>
                <a:moveTo>
                  <a:pt x="5700069" y="3218087"/>
                </a:moveTo>
                <a:cubicBezTo>
                  <a:pt x="5682282" y="3218087"/>
                  <a:pt x="5667853" y="3204809"/>
                  <a:pt x="5667853" y="3188435"/>
                </a:cubicBezTo>
                <a:cubicBezTo>
                  <a:pt x="5667853" y="3172060"/>
                  <a:pt x="5682282" y="3158783"/>
                  <a:pt x="5700069" y="3158783"/>
                </a:cubicBezTo>
                <a:cubicBezTo>
                  <a:pt x="5717857" y="3158783"/>
                  <a:pt x="5732274" y="3172060"/>
                  <a:pt x="5732274" y="3188435"/>
                </a:cubicBezTo>
                <a:cubicBezTo>
                  <a:pt x="5732274" y="3204809"/>
                  <a:pt x="5717857" y="3218087"/>
                  <a:pt x="5700069" y="3218087"/>
                </a:cubicBezTo>
                <a:close/>
                <a:moveTo>
                  <a:pt x="5778604" y="3218087"/>
                </a:moveTo>
                <a:cubicBezTo>
                  <a:pt x="5760816" y="3218087"/>
                  <a:pt x="5746387" y="3204809"/>
                  <a:pt x="5746387" y="3188435"/>
                </a:cubicBezTo>
                <a:cubicBezTo>
                  <a:pt x="5746387" y="3172060"/>
                  <a:pt x="5760816" y="3158783"/>
                  <a:pt x="5778604" y="3158783"/>
                </a:cubicBezTo>
                <a:cubicBezTo>
                  <a:pt x="5796391" y="3158783"/>
                  <a:pt x="5810808" y="3172060"/>
                  <a:pt x="5810808" y="3188435"/>
                </a:cubicBezTo>
                <a:cubicBezTo>
                  <a:pt x="5810808" y="3204809"/>
                  <a:pt x="5796391" y="3218087"/>
                  <a:pt x="5778604" y="3218087"/>
                </a:cubicBezTo>
                <a:close/>
                <a:moveTo>
                  <a:pt x="5857137" y="3218087"/>
                </a:moveTo>
                <a:cubicBezTo>
                  <a:pt x="5839350" y="3218087"/>
                  <a:pt x="5824920" y="3204809"/>
                  <a:pt x="5824920" y="3188435"/>
                </a:cubicBezTo>
                <a:cubicBezTo>
                  <a:pt x="5824920" y="3172060"/>
                  <a:pt x="5839350" y="3158783"/>
                  <a:pt x="5857137" y="3158783"/>
                </a:cubicBezTo>
                <a:cubicBezTo>
                  <a:pt x="5874924" y="3158783"/>
                  <a:pt x="5889341" y="3172060"/>
                  <a:pt x="5889341" y="3188435"/>
                </a:cubicBezTo>
                <a:cubicBezTo>
                  <a:pt x="5889341" y="3204809"/>
                  <a:pt x="5874924" y="3218087"/>
                  <a:pt x="5857137" y="3218087"/>
                </a:cubicBezTo>
                <a:close/>
                <a:moveTo>
                  <a:pt x="5935671" y="3218087"/>
                </a:moveTo>
                <a:cubicBezTo>
                  <a:pt x="5917884" y="3218087"/>
                  <a:pt x="5903455" y="3204809"/>
                  <a:pt x="5903455" y="3188435"/>
                </a:cubicBezTo>
                <a:cubicBezTo>
                  <a:pt x="5903455" y="3172060"/>
                  <a:pt x="5917884" y="3158783"/>
                  <a:pt x="5935671" y="3158783"/>
                </a:cubicBezTo>
                <a:cubicBezTo>
                  <a:pt x="5953458" y="3158783"/>
                  <a:pt x="5967875" y="3172060"/>
                  <a:pt x="5967875" y="3188435"/>
                </a:cubicBezTo>
                <a:cubicBezTo>
                  <a:pt x="5967875" y="3204809"/>
                  <a:pt x="5953458" y="3218087"/>
                  <a:pt x="5935671" y="3218087"/>
                </a:cubicBezTo>
                <a:close/>
                <a:moveTo>
                  <a:pt x="6014205" y="3218087"/>
                </a:moveTo>
                <a:cubicBezTo>
                  <a:pt x="5996418" y="3218087"/>
                  <a:pt x="5981989" y="3204809"/>
                  <a:pt x="5981989" y="3188435"/>
                </a:cubicBezTo>
                <a:cubicBezTo>
                  <a:pt x="5981989" y="3172060"/>
                  <a:pt x="5996418" y="3158783"/>
                  <a:pt x="6014205" y="3158783"/>
                </a:cubicBezTo>
                <a:cubicBezTo>
                  <a:pt x="6031993" y="3158783"/>
                  <a:pt x="6046410" y="3172060"/>
                  <a:pt x="6046410" y="3188435"/>
                </a:cubicBezTo>
                <a:cubicBezTo>
                  <a:pt x="6046410" y="3204809"/>
                  <a:pt x="6031993" y="3218087"/>
                  <a:pt x="6014205" y="3218087"/>
                </a:cubicBezTo>
                <a:close/>
                <a:moveTo>
                  <a:pt x="6092739" y="3218087"/>
                </a:moveTo>
                <a:cubicBezTo>
                  <a:pt x="6074951" y="3218087"/>
                  <a:pt x="6060522" y="3204809"/>
                  <a:pt x="6060522" y="3188435"/>
                </a:cubicBezTo>
                <a:cubicBezTo>
                  <a:pt x="6060522" y="3172060"/>
                  <a:pt x="6074951" y="3158783"/>
                  <a:pt x="6092739" y="3158783"/>
                </a:cubicBezTo>
                <a:cubicBezTo>
                  <a:pt x="6110526" y="3158783"/>
                  <a:pt x="6124943" y="3172060"/>
                  <a:pt x="6124943" y="3188435"/>
                </a:cubicBezTo>
                <a:cubicBezTo>
                  <a:pt x="6124943" y="3204809"/>
                  <a:pt x="6110526" y="3218087"/>
                  <a:pt x="6092739" y="3218087"/>
                </a:cubicBezTo>
                <a:close/>
                <a:moveTo>
                  <a:pt x="6171273" y="3218087"/>
                </a:moveTo>
                <a:cubicBezTo>
                  <a:pt x="6153486" y="3218087"/>
                  <a:pt x="6139056" y="3204809"/>
                  <a:pt x="6139056" y="3188435"/>
                </a:cubicBezTo>
                <a:cubicBezTo>
                  <a:pt x="6139056" y="3172060"/>
                  <a:pt x="6153486" y="3158783"/>
                  <a:pt x="6171273" y="3158783"/>
                </a:cubicBezTo>
                <a:cubicBezTo>
                  <a:pt x="6189060" y="3158783"/>
                  <a:pt x="6203477" y="3172060"/>
                  <a:pt x="6203477" y="3188435"/>
                </a:cubicBezTo>
                <a:cubicBezTo>
                  <a:pt x="6203477" y="3204809"/>
                  <a:pt x="6189060" y="3218087"/>
                  <a:pt x="6171273" y="3218087"/>
                </a:cubicBezTo>
                <a:close/>
                <a:moveTo>
                  <a:pt x="6249806" y="3218087"/>
                </a:moveTo>
                <a:cubicBezTo>
                  <a:pt x="6232019" y="3218087"/>
                  <a:pt x="6217590" y="3204809"/>
                  <a:pt x="6217590" y="3188435"/>
                </a:cubicBezTo>
                <a:cubicBezTo>
                  <a:pt x="6217590" y="3172060"/>
                  <a:pt x="6232019" y="3158783"/>
                  <a:pt x="6249806" y="3158783"/>
                </a:cubicBezTo>
                <a:cubicBezTo>
                  <a:pt x="6267593" y="3158783"/>
                  <a:pt x="6282010" y="3172060"/>
                  <a:pt x="6282010" y="3188435"/>
                </a:cubicBezTo>
                <a:cubicBezTo>
                  <a:pt x="6282010" y="3204809"/>
                  <a:pt x="6267593" y="3218087"/>
                  <a:pt x="6249806" y="3218087"/>
                </a:cubicBezTo>
                <a:close/>
                <a:moveTo>
                  <a:pt x="6328340" y="3218087"/>
                </a:moveTo>
                <a:cubicBezTo>
                  <a:pt x="6310553" y="3218087"/>
                  <a:pt x="6296124" y="3204809"/>
                  <a:pt x="6296124" y="3188435"/>
                </a:cubicBezTo>
                <a:cubicBezTo>
                  <a:pt x="6296124" y="3172060"/>
                  <a:pt x="6310553" y="3158783"/>
                  <a:pt x="6328340" y="3158783"/>
                </a:cubicBezTo>
                <a:cubicBezTo>
                  <a:pt x="6346128" y="3158783"/>
                  <a:pt x="6360545" y="3172060"/>
                  <a:pt x="6360545" y="3188435"/>
                </a:cubicBezTo>
                <a:cubicBezTo>
                  <a:pt x="6360545" y="3204809"/>
                  <a:pt x="6346128" y="3218087"/>
                  <a:pt x="6328340" y="3218087"/>
                </a:cubicBezTo>
                <a:close/>
                <a:moveTo>
                  <a:pt x="6406875" y="3218087"/>
                </a:moveTo>
                <a:cubicBezTo>
                  <a:pt x="6389087" y="3218087"/>
                  <a:pt x="6374658" y="3204809"/>
                  <a:pt x="6374658" y="3188435"/>
                </a:cubicBezTo>
                <a:cubicBezTo>
                  <a:pt x="6374658" y="3172060"/>
                  <a:pt x="6389087" y="3158783"/>
                  <a:pt x="6406875" y="3158783"/>
                </a:cubicBezTo>
                <a:cubicBezTo>
                  <a:pt x="6424662" y="3158783"/>
                  <a:pt x="6439079" y="3172060"/>
                  <a:pt x="6439079" y="3188435"/>
                </a:cubicBezTo>
                <a:cubicBezTo>
                  <a:pt x="6439079" y="3204809"/>
                  <a:pt x="6424662" y="3218087"/>
                  <a:pt x="6406875" y="3218087"/>
                </a:cubicBezTo>
                <a:close/>
                <a:moveTo>
                  <a:pt x="6485408" y="3218087"/>
                </a:moveTo>
                <a:cubicBezTo>
                  <a:pt x="6467621" y="3218087"/>
                  <a:pt x="6453191" y="3204809"/>
                  <a:pt x="6453191" y="3188435"/>
                </a:cubicBezTo>
                <a:cubicBezTo>
                  <a:pt x="6453191" y="3172060"/>
                  <a:pt x="6467621" y="3158783"/>
                  <a:pt x="6485408" y="3158783"/>
                </a:cubicBezTo>
                <a:cubicBezTo>
                  <a:pt x="6503195" y="3158783"/>
                  <a:pt x="6517612" y="3172060"/>
                  <a:pt x="6517612" y="3188435"/>
                </a:cubicBezTo>
                <a:cubicBezTo>
                  <a:pt x="6517612" y="3204809"/>
                  <a:pt x="6503195" y="3218087"/>
                  <a:pt x="6485408" y="3218087"/>
                </a:cubicBezTo>
                <a:close/>
                <a:moveTo>
                  <a:pt x="6563942" y="3218087"/>
                </a:moveTo>
                <a:cubicBezTo>
                  <a:pt x="6546155" y="3218087"/>
                  <a:pt x="6531726" y="3204809"/>
                  <a:pt x="6531726" y="3188435"/>
                </a:cubicBezTo>
                <a:cubicBezTo>
                  <a:pt x="6531726" y="3172060"/>
                  <a:pt x="6546155" y="3158783"/>
                  <a:pt x="6563942" y="3158783"/>
                </a:cubicBezTo>
                <a:cubicBezTo>
                  <a:pt x="6581729" y="3158783"/>
                  <a:pt x="6596146" y="3172060"/>
                  <a:pt x="6596146" y="3188435"/>
                </a:cubicBezTo>
                <a:cubicBezTo>
                  <a:pt x="6596146" y="3204809"/>
                  <a:pt x="6581729" y="3218087"/>
                  <a:pt x="6563942" y="3218087"/>
                </a:cubicBezTo>
                <a:close/>
                <a:moveTo>
                  <a:pt x="6642476" y="3218087"/>
                </a:moveTo>
                <a:cubicBezTo>
                  <a:pt x="6624689" y="3218087"/>
                  <a:pt x="6610260" y="3204809"/>
                  <a:pt x="6610260" y="3188435"/>
                </a:cubicBezTo>
                <a:cubicBezTo>
                  <a:pt x="6610260" y="3172060"/>
                  <a:pt x="6624689" y="3158783"/>
                  <a:pt x="6642476" y="3158783"/>
                </a:cubicBezTo>
                <a:cubicBezTo>
                  <a:pt x="6660264" y="3158783"/>
                  <a:pt x="6674681" y="3172060"/>
                  <a:pt x="6674681" y="3188435"/>
                </a:cubicBezTo>
                <a:cubicBezTo>
                  <a:pt x="6674681" y="3204809"/>
                  <a:pt x="6660264" y="3218087"/>
                  <a:pt x="6642476" y="3218087"/>
                </a:cubicBezTo>
                <a:close/>
                <a:moveTo>
                  <a:pt x="6721010" y="3218087"/>
                </a:moveTo>
                <a:cubicBezTo>
                  <a:pt x="6703222" y="3218087"/>
                  <a:pt x="6688793" y="3204809"/>
                  <a:pt x="6688793" y="3188435"/>
                </a:cubicBezTo>
                <a:cubicBezTo>
                  <a:pt x="6688793" y="3172060"/>
                  <a:pt x="6703222" y="3158783"/>
                  <a:pt x="6721010" y="3158783"/>
                </a:cubicBezTo>
                <a:cubicBezTo>
                  <a:pt x="6738797" y="3158783"/>
                  <a:pt x="6753214" y="3172060"/>
                  <a:pt x="6753214" y="3188435"/>
                </a:cubicBezTo>
                <a:cubicBezTo>
                  <a:pt x="6753214" y="3204809"/>
                  <a:pt x="6738797" y="3218087"/>
                  <a:pt x="6721010" y="3218087"/>
                </a:cubicBezTo>
                <a:close/>
                <a:moveTo>
                  <a:pt x="6799544" y="3218087"/>
                </a:moveTo>
                <a:cubicBezTo>
                  <a:pt x="6781757" y="3218087"/>
                  <a:pt x="6767327" y="3204809"/>
                  <a:pt x="6767327" y="3188435"/>
                </a:cubicBezTo>
                <a:cubicBezTo>
                  <a:pt x="6767327" y="3172060"/>
                  <a:pt x="6781757" y="3158783"/>
                  <a:pt x="6799544" y="3158783"/>
                </a:cubicBezTo>
                <a:cubicBezTo>
                  <a:pt x="6817331" y="3158783"/>
                  <a:pt x="6831748" y="3172060"/>
                  <a:pt x="6831748" y="3188435"/>
                </a:cubicBezTo>
                <a:cubicBezTo>
                  <a:pt x="6831748" y="3204809"/>
                  <a:pt x="6817331" y="3218087"/>
                  <a:pt x="6799544" y="3218087"/>
                </a:cubicBezTo>
                <a:close/>
                <a:moveTo>
                  <a:pt x="6878077" y="3218087"/>
                </a:moveTo>
                <a:cubicBezTo>
                  <a:pt x="6860290" y="3218087"/>
                  <a:pt x="6845861" y="3204809"/>
                  <a:pt x="6845861" y="3188435"/>
                </a:cubicBezTo>
                <a:cubicBezTo>
                  <a:pt x="6845861" y="3172060"/>
                  <a:pt x="6860290" y="3158783"/>
                  <a:pt x="6878077" y="3158783"/>
                </a:cubicBezTo>
                <a:cubicBezTo>
                  <a:pt x="6895864" y="3158783"/>
                  <a:pt x="6910281" y="3172060"/>
                  <a:pt x="6910281" y="3188435"/>
                </a:cubicBezTo>
                <a:cubicBezTo>
                  <a:pt x="6910281" y="3204809"/>
                  <a:pt x="6895864" y="3218087"/>
                  <a:pt x="6878077" y="3218087"/>
                </a:cubicBezTo>
                <a:close/>
                <a:moveTo>
                  <a:pt x="6956611" y="3218087"/>
                </a:moveTo>
                <a:cubicBezTo>
                  <a:pt x="6938824" y="3218087"/>
                  <a:pt x="6924395" y="3204809"/>
                  <a:pt x="6924395" y="3188435"/>
                </a:cubicBezTo>
                <a:cubicBezTo>
                  <a:pt x="6924395" y="3172060"/>
                  <a:pt x="6938824" y="3158783"/>
                  <a:pt x="6956611" y="3158783"/>
                </a:cubicBezTo>
                <a:cubicBezTo>
                  <a:pt x="6974399" y="3158783"/>
                  <a:pt x="6988816" y="3172060"/>
                  <a:pt x="6988816" y="3188435"/>
                </a:cubicBezTo>
                <a:cubicBezTo>
                  <a:pt x="6988816" y="3204809"/>
                  <a:pt x="6974399" y="3218087"/>
                  <a:pt x="6956611" y="3218087"/>
                </a:cubicBezTo>
                <a:close/>
                <a:moveTo>
                  <a:pt x="7113703" y="3218087"/>
                </a:moveTo>
                <a:cubicBezTo>
                  <a:pt x="7095916" y="3218087"/>
                  <a:pt x="7081487" y="3204809"/>
                  <a:pt x="7081487" y="3188435"/>
                </a:cubicBezTo>
                <a:cubicBezTo>
                  <a:pt x="7081487" y="3172060"/>
                  <a:pt x="7095916" y="3158783"/>
                  <a:pt x="7113703" y="3158783"/>
                </a:cubicBezTo>
                <a:cubicBezTo>
                  <a:pt x="7131490" y="3158783"/>
                  <a:pt x="7145907" y="3172060"/>
                  <a:pt x="7145907" y="3188435"/>
                </a:cubicBezTo>
                <a:cubicBezTo>
                  <a:pt x="7145907" y="3204809"/>
                  <a:pt x="7131490" y="3218087"/>
                  <a:pt x="7113703" y="3218087"/>
                </a:cubicBezTo>
                <a:close/>
                <a:moveTo>
                  <a:pt x="7192237" y="3218087"/>
                </a:moveTo>
                <a:cubicBezTo>
                  <a:pt x="7174450" y="3218087"/>
                  <a:pt x="7160021" y="3204809"/>
                  <a:pt x="7160021" y="3188435"/>
                </a:cubicBezTo>
                <a:cubicBezTo>
                  <a:pt x="7160021" y="3172060"/>
                  <a:pt x="7174450" y="3158783"/>
                  <a:pt x="7192237" y="3158783"/>
                </a:cubicBezTo>
                <a:cubicBezTo>
                  <a:pt x="7210024" y="3158783"/>
                  <a:pt x="7224441" y="3172060"/>
                  <a:pt x="7224441" y="3188435"/>
                </a:cubicBezTo>
                <a:cubicBezTo>
                  <a:pt x="7224441" y="3204809"/>
                  <a:pt x="7210024" y="3218087"/>
                  <a:pt x="7192237" y="3218087"/>
                </a:cubicBezTo>
                <a:close/>
                <a:moveTo>
                  <a:pt x="7270771" y="3218087"/>
                </a:moveTo>
                <a:cubicBezTo>
                  <a:pt x="7252984" y="3218087"/>
                  <a:pt x="7238555" y="3204809"/>
                  <a:pt x="7238555" y="3188435"/>
                </a:cubicBezTo>
                <a:cubicBezTo>
                  <a:pt x="7238555" y="3172060"/>
                  <a:pt x="7252984" y="3158783"/>
                  <a:pt x="7270771" y="3158783"/>
                </a:cubicBezTo>
                <a:cubicBezTo>
                  <a:pt x="7288559" y="3158783"/>
                  <a:pt x="7302976" y="3172060"/>
                  <a:pt x="7302976" y="3188435"/>
                </a:cubicBezTo>
                <a:cubicBezTo>
                  <a:pt x="7302976" y="3204809"/>
                  <a:pt x="7288559" y="3218087"/>
                  <a:pt x="7270771" y="3218087"/>
                </a:cubicBezTo>
                <a:close/>
                <a:moveTo>
                  <a:pt x="7349305" y="3218087"/>
                </a:moveTo>
                <a:cubicBezTo>
                  <a:pt x="7331517" y="3218087"/>
                  <a:pt x="7317088" y="3204809"/>
                  <a:pt x="7317088" y="3188435"/>
                </a:cubicBezTo>
                <a:cubicBezTo>
                  <a:pt x="7317088" y="3172060"/>
                  <a:pt x="7331517" y="3158783"/>
                  <a:pt x="7349305" y="3158783"/>
                </a:cubicBezTo>
                <a:cubicBezTo>
                  <a:pt x="7367092" y="3158783"/>
                  <a:pt x="7381509" y="3172060"/>
                  <a:pt x="7381509" y="3188435"/>
                </a:cubicBezTo>
                <a:cubicBezTo>
                  <a:pt x="7381509" y="3204809"/>
                  <a:pt x="7367092" y="3218087"/>
                  <a:pt x="7349305" y="3218087"/>
                </a:cubicBezTo>
                <a:close/>
                <a:moveTo>
                  <a:pt x="7427839" y="3218087"/>
                </a:moveTo>
                <a:cubicBezTo>
                  <a:pt x="7410052" y="3218087"/>
                  <a:pt x="7395623" y="3204809"/>
                  <a:pt x="7395623" y="3188435"/>
                </a:cubicBezTo>
                <a:cubicBezTo>
                  <a:pt x="7395623" y="3172060"/>
                  <a:pt x="7410052" y="3158783"/>
                  <a:pt x="7427839" y="3158783"/>
                </a:cubicBezTo>
                <a:cubicBezTo>
                  <a:pt x="7445626" y="3158783"/>
                  <a:pt x="7460043" y="3172060"/>
                  <a:pt x="7460043" y="3188435"/>
                </a:cubicBezTo>
                <a:cubicBezTo>
                  <a:pt x="7460043" y="3204809"/>
                  <a:pt x="7445626" y="3218087"/>
                  <a:pt x="7427839" y="3218087"/>
                </a:cubicBezTo>
                <a:close/>
                <a:moveTo>
                  <a:pt x="7506373" y="3218087"/>
                </a:moveTo>
                <a:cubicBezTo>
                  <a:pt x="7488586" y="3218087"/>
                  <a:pt x="7474157" y="3204809"/>
                  <a:pt x="7474157" y="3188435"/>
                </a:cubicBezTo>
                <a:cubicBezTo>
                  <a:pt x="7474157" y="3172060"/>
                  <a:pt x="7488586" y="3158783"/>
                  <a:pt x="7506373" y="3158783"/>
                </a:cubicBezTo>
                <a:cubicBezTo>
                  <a:pt x="7524160" y="3158783"/>
                  <a:pt x="7538577" y="3172060"/>
                  <a:pt x="7538577" y="3188435"/>
                </a:cubicBezTo>
                <a:cubicBezTo>
                  <a:pt x="7538577" y="3204809"/>
                  <a:pt x="7524160" y="3218087"/>
                  <a:pt x="7506373" y="3218087"/>
                </a:cubicBezTo>
                <a:close/>
                <a:moveTo>
                  <a:pt x="7584906" y="3218087"/>
                </a:moveTo>
                <a:cubicBezTo>
                  <a:pt x="7567119" y="3218087"/>
                  <a:pt x="7552690" y="3204809"/>
                  <a:pt x="7552690" y="3188435"/>
                </a:cubicBezTo>
                <a:cubicBezTo>
                  <a:pt x="7552690" y="3172060"/>
                  <a:pt x="7567119" y="3158783"/>
                  <a:pt x="7584906" y="3158783"/>
                </a:cubicBezTo>
                <a:cubicBezTo>
                  <a:pt x="7602694" y="3158783"/>
                  <a:pt x="7617111" y="3172060"/>
                  <a:pt x="7617111" y="3188435"/>
                </a:cubicBezTo>
                <a:cubicBezTo>
                  <a:pt x="7617111" y="3204809"/>
                  <a:pt x="7602694" y="3218087"/>
                  <a:pt x="7584906" y="3218087"/>
                </a:cubicBezTo>
                <a:close/>
                <a:moveTo>
                  <a:pt x="7977576" y="3218087"/>
                </a:moveTo>
                <a:cubicBezTo>
                  <a:pt x="7959788" y="3218087"/>
                  <a:pt x="7945359" y="3204809"/>
                  <a:pt x="7945359" y="3188435"/>
                </a:cubicBezTo>
                <a:cubicBezTo>
                  <a:pt x="7945359" y="3172060"/>
                  <a:pt x="7959788" y="3158783"/>
                  <a:pt x="7977576" y="3158783"/>
                </a:cubicBezTo>
                <a:cubicBezTo>
                  <a:pt x="7995363" y="3158783"/>
                  <a:pt x="8009780" y="3172060"/>
                  <a:pt x="8009780" y="3188435"/>
                </a:cubicBezTo>
                <a:cubicBezTo>
                  <a:pt x="8009780" y="3204809"/>
                  <a:pt x="7995363" y="3218087"/>
                  <a:pt x="7977576" y="3218087"/>
                </a:cubicBezTo>
                <a:close/>
                <a:moveTo>
                  <a:pt x="8056110" y="3218087"/>
                </a:moveTo>
                <a:cubicBezTo>
                  <a:pt x="8038323" y="3218087"/>
                  <a:pt x="8023894" y="3204809"/>
                  <a:pt x="8023894" y="3188435"/>
                </a:cubicBezTo>
                <a:cubicBezTo>
                  <a:pt x="8023894" y="3172060"/>
                  <a:pt x="8038323" y="3158783"/>
                  <a:pt x="8056110" y="3158783"/>
                </a:cubicBezTo>
                <a:cubicBezTo>
                  <a:pt x="8073897" y="3158783"/>
                  <a:pt x="8088314" y="3172060"/>
                  <a:pt x="8088314" y="3188435"/>
                </a:cubicBezTo>
                <a:cubicBezTo>
                  <a:pt x="8088314" y="3204809"/>
                  <a:pt x="8073897" y="3218087"/>
                  <a:pt x="8056110" y="3218087"/>
                </a:cubicBezTo>
                <a:close/>
                <a:moveTo>
                  <a:pt x="8134643" y="3218087"/>
                </a:moveTo>
                <a:cubicBezTo>
                  <a:pt x="8116856" y="3218087"/>
                  <a:pt x="8102427" y="3204809"/>
                  <a:pt x="8102427" y="3188435"/>
                </a:cubicBezTo>
                <a:cubicBezTo>
                  <a:pt x="8102427" y="3172060"/>
                  <a:pt x="8116856" y="3158783"/>
                  <a:pt x="8134643" y="3158783"/>
                </a:cubicBezTo>
                <a:cubicBezTo>
                  <a:pt x="8152430" y="3158783"/>
                  <a:pt x="8166847" y="3172060"/>
                  <a:pt x="8166847" y="3188435"/>
                </a:cubicBezTo>
                <a:cubicBezTo>
                  <a:pt x="8166847" y="3204809"/>
                  <a:pt x="8152430" y="3218087"/>
                  <a:pt x="8134643" y="3218087"/>
                </a:cubicBezTo>
                <a:close/>
                <a:moveTo>
                  <a:pt x="8213177" y="3218087"/>
                </a:moveTo>
                <a:cubicBezTo>
                  <a:pt x="8195390" y="3218087"/>
                  <a:pt x="8180961" y="3204809"/>
                  <a:pt x="8180961" y="3188435"/>
                </a:cubicBezTo>
                <a:cubicBezTo>
                  <a:pt x="8180961" y="3172060"/>
                  <a:pt x="8195390" y="3158783"/>
                  <a:pt x="8213177" y="3158783"/>
                </a:cubicBezTo>
                <a:cubicBezTo>
                  <a:pt x="8230965" y="3158783"/>
                  <a:pt x="8245382" y="3172060"/>
                  <a:pt x="8245382" y="3188435"/>
                </a:cubicBezTo>
                <a:cubicBezTo>
                  <a:pt x="8245382" y="3204809"/>
                  <a:pt x="8230965" y="3218087"/>
                  <a:pt x="8213177" y="3218087"/>
                </a:cubicBezTo>
                <a:close/>
                <a:moveTo>
                  <a:pt x="8291712" y="3218087"/>
                </a:moveTo>
                <a:cubicBezTo>
                  <a:pt x="8273924" y="3218087"/>
                  <a:pt x="8259495" y="3204809"/>
                  <a:pt x="8259495" y="3188435"/>
                </a:cubicBezTo>
                <a:cubicBezTo>
                  <a:pt x="8259495" y="3172060"/>
                  <a:pt x="8273924" y="3158783"/>
                  <a:pt x="8291712" y="3158783"/>
                </a:cubicBezTo>
                <a:cubicBezTo>
                  <a:pt x="8309499" y="3158783"/>
                  <a:pt x="8323916" y="3172060"/>
                  <a:pt x="8323916" y="3188435"/>
                </a:cubicBezTo>
                <a:cubicBezTo>
                  <a:pt x="8323916" y="3204809"/>
                  <a:pt x="8309499" y="3218087"/>
                  <a:pt x="8291712" y="3218087"/>
                </a:cubicBezTo>
                <a:close/>
                <a:moveTo>
                  <a:pt x="8370245" y="3218087"/>
                </a:moveTo>
                <a:cubicBezTo>
                  <a:pt x="8352458" y="3218087"/>
                  <a:pt x="8338029" y="3204809"/>
                  <a:pt x="8338029" y="3188435"/>
                </a:cubicBezTo>
                <a:cubicBezTo>
                  <a:pt x="8338029" y="3172060"/>
                  <a:pt x="8352458" y="3158783"/>
                  <a:pt x="8370245" y="3158783"/>
                </a:cubicBezTo>
                <a:cubicBezTo>
                  <a:pt x="8388032" y="3158783"/>
                  <a:pt x="8402449" y="3172060"/>
                  <a:pt x="8402449" y="3188435"/>
                </a:cubicBezTo>
                <a:cubicBezTo>
                  <a:pt x="8402449" y="3204809"/>
                  <a:pt x="8388032" y="3218087"/>
                  <a:pt x="8370245" y="3218087"/>
                </a:cubicBezTo>
                <a:close/>
                <a:moveTo>
                  <a:pt x="8684381" y="3218087"/>
                </a:moveTo>
                <a:cubicBezTo>
                  <a:pt x="8666594" y="3218087"/>
                  <a:pt x="8652165" y="3204809"/>
                  <a:pt x="8652165" y="3188435"/>
                </a:cubicBezTo>
                <a:cubicBezTo>
                  <a:pt x="8652165" y="3172060"/>
                  <a:pt x="8666594" y="3158783"/>
                  <a:pt x="8684381" y="3158783"/>
                </a:cubicBezTo>
                <a:cubicBezTo>
                  <a:pt x="8702168" y="3158783"/>
                  <a:pt x="8716585" y="3172060"/>
                  <a:pt x="8716585" y="3188435"/>
                </a:cubicBezTo>
                <a:cubicBezTo>
                  <a:pt x="8716585" y="3204809"/>
                  <a:pt x="8702168" y="3218087"/>
                  <a:pt x="8684381" y="3218087"/>
                </a:cubicBezTo>
                <a:close/>
                <a:moveTo>
                  <a:pt x="8762914" y="3218087"/>
                </a:moveTo>
                <a:cubicBezTo>
                  <a:pt x="8745127" y="3218087"/>
                  <a:pt x="8730698" y="3204809"/>
                  <a:pt x="8730698" y="3188435"/>
                </a:cubicBezTo>
                <a:cubicBezTo>
                  <a:pt x="8730698" y="3172060"/>
                  <a:pt x="8745127" y="3158783"/>
                  <a:pt x="8762914" y="3158783"/>
                </a:cubicBezTo>
                <a:cubicBezTo>
                  <a:pt x="8780701" y="3158783"/>
                  <a:pt x="8795118" y="3172060"/>
                  <a:pt x="8795118" y="3188435"/>
                </a:cubicBezTo>
                <a:cubicBezTo>
                  <a:pt x="8795118" y="3204809"/>
                  <a:pt x="8780701" y="3218087"/>
                  <a:pt x="8762914" y="3218087"/>
                </a:cubicBezTo>
                <a:close/>
                <a:moveTo>
                  <a:pt x="8841448" y="3218087"/>
                </a:moveTo>
                <a:cubicBezTo>
                  <a:pt x="8823661" y="3218087"/>
                  <a:pt x="8809232" y="3204809"/>
                  <a:pt x="8809232" y="3188435"/>
                </a:cubicBezTo>
                <a:cubicBezTo>
                  <a:pt x="8809232" y="3172060"/>
                  <a:pt x="8823661" y="3158783"/>
                  <a:pt x="8841448" y="3158783"/>
                </a:cubicBezTo>
                <a:cubicBezTo>
                  <a:pt x="8859236" y="3158783"/>
                  <a:pt x="8873653" y="3172060"/>
                  <a:pt x="8873653" y="3188435"/>
                </a:cubicBezTo>
                <a:cubicBezTo>
                  <a:pt x="8873653" y="3204809"/>
                  <a:pt x="8859236" y="3218087"/>
                  <a:pt x="8841448" y="3218087"/>
                </a:cubicBezTo>
                <a:close/>
                <a:moveTo>
                  <a:pt x="8919983" y="3218087"/>
                </a:moveTo>
                <a:cubicBezTo>
                  <a:pt x="8902195" y="3218087"/>
                  <a:pt x="8887766" y="3204809"/>
                  <a:pt x="8887766" y="3188435"/>
                </a:cubicBezTo>
                <a:cubicBezTo>
                  <a:pt x="8887766" y="3172060"/>
                  <a:pt x="8902195" y="3158783"/>
                  <a:pt x="8919983" y="3158783"/>
                </a:cubicBezTo>
                <a:cubicBezTo>
                  <a:pt x="8937770" y="3158783"/>
                  <a:pt x="8952187" y="3172060"/>
                  <a:pt x="8952187" y="3188435"/>
                </a:cubicBezTo>
                <a:cubicBezTo>
                  <a:pt x="8952187" y="3204809"/>
                  <a:pt x="8937770" y="3218087"/>
                  <a:pt x="8919983" y="3218087"/>
                </a:cubicBezTo>
                <a:close/>
                <a:moveTo>
                  <a:pt x="2951379" y="3145822"/>
                </a:moveTo>
                <a:cubicBezTo>
                  <a:pt x="2933591" y="3145822"/>
                  <a:pt x="2919168" y="3132545"/>
                  <a:pt x="2919168" y="3116170"/>
                </a:cubicBezTo>
                <a:cubicBezTo>
                  <a:pt x="2919168" y="3099795"/>
                  <a:pt x="2933591" y="3086518"/>
                  <a:pt x="2951379" y="3086518"/>
                </a:cubicBezTo>
                <a:cubicBezTo>
                  <a:pt x="2969166" y="3086518"/>
                  <a:pt x="2983589" y="3099795"/>
                  <a:pt x="2983589" y="3116170"/>
                </a:cubicBezTo>
                <a:cubicBezTo>
                  <a:pt x="2983589" y="3132545"/>
                  <a:pt x="2969166" y="3145822"/>
                  <a:pt x="2951379" y="3145822"/>
                </a:cubicBezTo>
                <a:close/>
                <a:moveTo>
                  <a:pt x="3029912" y="3145822"/>
                </a:moveTo>
                <a:cubicBezTo>
                  <a:pt x="3012125" y="3145822"/>
                  <a:pt x="2997701" y="3132545"/>
                  <a:pt x="2997701" y="3116170"/>
                </a:cubicBezTo>
                <a:cubicBezTo>
                  <a:pt x="2997701" y="3099795"/>
                  <a:pt x="3012125" y="3086518"/>
                  <a:pt x="3029912" y="3086518"/>
                </a:cubicBezTo>
                <a:cubicBezTo>
                  <a:pt x="3047699" y="3086518"/>
                  <a:pt x="3062122" y="3099795"/>
                  <a:pt x="3062122" y="3116170"/>
                </a:cubicBezTo>
                <a:cubicBezTo>
                  <a:pt x="3062122" y="3132545"/>
                  <a:pt x="3047699" y="3145822"/>
                  <a:pt x="3029912" y="3145822"/>
                </a:cubicBezTo>
                <a:close/>
                <a:moveTo>
                  <a:pt x="3108446" y="3145822"/>
                </a:moveTo>
                <a:cubicBezTo>
                  <a:pt x="3090659" y="3145822"/>
                  <a:pt x="3076236" y="3132545"/>
                  <a:pt x="3076236" y="3116170"/>
                </a:cubicBezTo>
                <a:cubicBezTo>
                  <a:pt x="3076236" y="3099795"/>
                  <a:pt x="3090659" y="3086518"/>
                  <a:pt x="3108446" y="3086518"/>
                </a:cubicBezTo>
                <a:cubicBezTo>
                  <a:pt x="3126233" y="3086518"/>
                  <a:pt x="3140656" y="3099795"/>
                  <a:pt x="3140656" y="3116170"/>
                </a:cubicBezTo>
                <a:cubicBezTo>
                  <a:pt x="3140656" y="3132545"/>
                  <a:pt x="3126233" y="3145822"/>
                  <a:pt x="3108446" y="3145822"/>
                </a:cubicBezTo>
                <a:close/>
                <a:moveTo>
                  <a:pt x="3344048" y="3145822"/>
                </a:moveTo>
                <a:cubicBezTo>
                  <a:pt x="3326261" y="3145822"/>
                  <a:pt x="3311837" y="3132545"/>
                  <a:pt x="3311837" y="3116170"/>
                </a:cubicBezTo>
                <a:cubicBezTo>
                  <a:pt x="3311837" y="3099795"/>
                  <a:pt x="3326261" y="3086518"/>
                  <a:pt x="3344048" y="3086518"/>
                </a:cubicBezTo>
                <a:cubicBezTo>
                  <a:pt x="3361835" y="3086518"/>
                  <a:pt x="3376258" y="3099795"/>
                  <a:pt x="3376258" y="3116170"/>
                </a:cubicBezTo>
                <a:cubicBezTo>
                  <a:pt x="3376258" y="3132545"/>
                  <a:pt x="3361835" y="3145822"/>
                  <a:pt x="3344048" y="3145822"/>
                </a:cubicBezTo>
                <a:close/>
                <a:moveTo>
                  <a:pt x="3893785" y="3145822"/>
                </a:moveTo>
                <a:cubicBezTo>
                  <a:pt x="3875997" y="3145822"/>
                  <a:pt x="3861574" y="3132545"/>
                  <a:pt x="3861574" y="3116170"/>
                </a:cubicBezTo>
                <a:cubicBezTo>
                  <a:pt x="3861574" y="3099795"/>
                  <a:pt x="3875997" y="3086518"/>
                  <a:pt x="3893785" y="3086518"/>
                </a:cubicBezTo>
                <a:cubicBezTo>
                  <a:pt x="3911572" y="3086518"/>
                  <a:pt x="3925995" y="3099795"/>
                  <a:pt x="3925995" y="3116170"/>
                </a:cubicBezTo>
                <a:cubicBezTo>
                  <a:pt x="3925995" y="3132545"/>
                  <a:pt x="3911572" y="3145822"/>
                  <a:pt x="3893785" y="3145822"/>
                </a:cubicBezTo>
                <a:close/>
                <a:moveTo>
                  <a:pt x="4050852" y="3145822"/>
                </a:moveTo>
                <a:cubicBezTo>
                  <a:pt x="4033065" y="3145822"/>
                  <a:pt x="4018642" y="3132545"/>
                  <a:pt x="4018642" y="3116170"/>
                </a:cubicBezTo>
                <a:cubicBezTo>
                  <a:pt x="4018642" y="3099795"/>
                  <a:pt x="4033065" y="3086518"/>
                  <a:pt x="4050852" y="3086518"/>
                </a:cubicBezTo>
                <a:cubicBezTo>
                  <a:pt x="4068639" y="3086518"/>
                  <a:pt x="4083062" y="3099795"/>
                  <a:pt x="4083062" y="3116170"/>
                </a:cubicBezTo>
                <a:cubicBezTo>
                  <a:pt x="4083062" y="3132545"/>
                  <a:pt x="4068639" y="3145822"/>
                  <a:pt x="4050852" y="3145822"/>
                </a:cubicBezTo>
                <a:close/>
                <a:moveTo>
                  <a:pt x="5464468" y="3145822"/>
                </a:moveTo>
                <a:cubicBezTo>
                  <a:pt x="5446680" y="3145822"/>
                  <a:pt x="5432251" y="3132545"/>
                  <a:pt x="5432251" y="3116170"/>
                </a:cubicBezTo>
                <a:cubicBezTo>
                  <a:pt x="5432251" y="3099795"/>
                  <a:pt x="5446680" y="3086518"/>
                  <a:pt x="5464468" y="3086518"/>
                </a:cubicBezTo>
                <a:cubicBezTo>
                  <a:pt x="5482255" y="3086518"/>
                  <a:pt x="5496672" y="3099795"/>
                  <a:pt x="5496672" y="3116170"/>
                </a:cubicBezTo>
                <a:cubicBezTo>
                  <a:pt x="5496672" y="3132545"/>
                  <a:pt x="5482255" y="3145822"/>
                  <a:pt x="5464468" y="3145822"/>
                </a:cubicBezTo>
                <a:close/>
                <a:moveTo>
                  <a:pt x="5543002" y="3145822"/>
                </a:moveTo>
                <a:cubicBezTo>
                  <a:pt x="5525215" y="3145822"/>
                  <a:pt x="5510785" y="3132545"/>
                  <a:pt x="5510785" y="3116170"/>
                </a:cubicBezTo>
                <a:cubicBezTo>
                  <a:pt x="5510785" y="3099795"/>
                  <a:pt x="5525215" y="3086518"/>
                  <a:pt x="5543002" y="3086518"/>
                </a:cubicBezTo>
                <a:cubicBezTo>
                  <a:pt x="5560789" y="3086518"/>
                  <a:pt x="5575206" y="3099795"/>
                  <a:pt x="5575206" y="3116170"/>
                </a:cubicBezTo>
                <a:cubicBezTo>
                  <a:pt x="5575206" y="3132545"/>
                  <a:pt x="5560789" y="3145822"/>
                  <a:pt x="5543002" y="3145822"/>
                </a:cubicBezTo>
                <a:close/>
                <a:moveTo>
                  <a:pt x="5621536" y="3145822"/>
                </a:moveTo>
                <a:cubicBezTo>
                  <a:pt x="5603749" y="3145822"/>
                  <a:pt x="5589320" y="3132545"/>
                  <a:pt x="5589320" y="3116170"/>
                </a:cubicBezTo>
                <a:cubicBezTo>
                  <a:pt x="5589320" y="3099795"/>
                  <a:pt x="5603749" y="3086518"/>
                  <a:pt x="5621536" y="3086518"/>
                </a:cubicBezTo>
                <a:cubicBezTo>
                  <a:pt x="5639323" y="3086518"/>
                  <a:pt x="5653740" y="3099795"/>
                  <a:pt x="5653740" y="3116170"/>
                </a:cubicBezTo>
                <a:cubicBezTo>
                  <a:pt x="5653740" y="3132545"/>
                  <a:pt x="5639323" y="3145822"/>
                  <a:pt x="5621536" y="3145822"/>
                </a:cubicBezTo>
                <a:close/>
                <a:moveTo>
                  <a:pt x="5700069" y="3145822"/>
                </a:moveTo>
                <a:cubicBezTo>
                  <a:pt x="5682282" y="3145822"/>
                  <a:pt x="5667853" y="3132545"/>
                  <a:pt x="5667853" y="3116170"/>
                </a:cubicBezTo>
                <a:cubicBezTo>
                  <a:pt x="5667853" y="3099795"/>
                  <a:pt x="5682282" y="3086518"/>
                  <a:pt x="5700069" y="3086518"/>
                </a:cubicBezTo>
                <a:cubicBezTo>
                  <a:pt x="5717857" y="3086518"/>
                  <a:pt x="5732274" y="3099795"/>
                  <a:pt x="5732274" y="3116170"/>
                </a:cubicBezTo>
                <a:cubicBezTo>
                  <a:pt x="5732274" y="3132545"/>
                  <a:pt x="5717857" y="3145822"/>
                  <a:pt x="5700069" y="3145822"/>
                </a:cubicBezTo>
                <a:close/>
                <a:moveTo>
                  <a:pt x="5778604" y="3145822"/>
                </a:moveTo>
                <a:cubicBezTo>
                  <a:pt x="5760816" y="3145822"/>
                  <a:pt x="5746387" y="3132545"/>
                  <a:pt x="5746387" y="3116170"/>
                </a:cubicBezTo>
                <a:cubicBezTo>
                  <a:pt x="5746387" y="3099795"/>
                  <a:pt x="5760816" y="3086518"/>
                  <a:pt x="5778604" y="3086518"/>
                </a:cubicBezTo>
                <a:cubicBezTo>
                  <a:pt x="5796391" y="3086518"/>
                  <a:pt x="5810808" y="3099795"/>
                  <a:pt x="5810808" y="3116170"/>
                </a:cubicBezTo>
                <a:cubicBezTo>
                  <a:pt x="5810808" y="3132545"/>
                  <a:pt x="5796391" y="3145822"/>
                  <a:pt x="5778604" y="3145822"/>
                </a:cubicBezTo>
                <a:close/>
                <a:moveTo>
                  <a:pt x="5857137" y="3145822"/>
                </a:moveTo>
                <a:cubicBezTo>
                  <a:pt x="5839350" y="3145822"/>
                  <a:pt x="5824920" y="3132545"/>
                  <a:pt x="5824920" y="3116170"/>
                </a:cubicBezTo>
                <a:cubicBezTo>
                  <a:pt x="5824920" y="3099795"/>
                  <a:pt x="5839350" y="3086518"/>
                  <a:pt x="5857137" y="3086518"/>
                </a:cubicBezTo>
                <a:cubicBezTo>
                  <a:pt x="5874924" y="3086518"/>
                  <a:pt x="5889341" y="3099795"/>
                  <a:pt x="5889341" y="3116170"/>
                </a:cubicBezTo>
                <a:cubicBezTo>
                  <a:pt x="5889341" y="3132545"/>
                  <a:pt x="5874924" y="3145822"/>
                  <a:pt x="5857137" y="3145822"/>
                </a:cubicBezTo>
                <a:close/>
                <a:moveTo>
                  <a:pt x="5935671" y="3145822"/>
                </a:moveTo>
                <a:cubicBezTo>
                  <a:pt x="5917884" y="3145822"/>
                  <a:pt x="5903455" y="3132545"/>
                  <a:pt x="5903455" y="3116170"/>
                </a:cubicBezTo>
                <a:cubicBezTo>
                  <a:pt x="5903455" y="3099795"/>
                  <a:pt x="5917884" y="3086518"/>
                  <a:pt x="5935671" y="3086518"/>
                </a:cubicBezTo>
                <a:cubicBezTo>
                  <a:pt x="5953458" y="3086518"/>
                  <a:pt x="5967875" y="3099795"/>
                  <a:pt x="5967875" y="3116170"/>
                </a:cubicBezTo>
                <a:cubicBezTo>
                  <a:pt x="5967875" y="3132545"/>
                  <a:pt x="5953458" y="3145822"/>
                  <a:pt x="5935671" y="3145822"/>
                </a:cubicBezTo>
                <a:close/>
                <a:moveTo>
                  <a:pt x="6014205" y="3145822"/>
                </a:moveTo>
                <a:cubicBezTo>
                  <a:pt x="5996418" y="3145822"/>
                  <a:pt x="5981989" y="3132545"/>
                  <a:pt x="5981989" y="3116170"/>
                </a:cubicBezTo>
                <a:cubicBezTo>
                  <a:pt x="5981989" y="3099795"/>
                  <a:pt x="5996418" y="3086518"/>
                  <a:pt x="6014205" y="3086518"/>
                </a:cubicBezTo>
                <a:cubicBezTo>
                  <a:pt x="6031993" y="3086518"/>
                  <a:pt x="6046410" y="3099795"/>
                  <a:pt x="6046410" y="3116170"/>
                </a:cubicBezTo>
                <a:cubicBezTo>
                  <a:pt x="6046410" y="3132545"/>
                  <a:pt x="6031993" y="3145822"/>
                  <a:pt x="6014205" y="3145822"/>
                </a:cubicBezTo>
                <a:close/>
                <a:moveTo>
                  <a:pt x="6092739" y="3145822"/>
                </a:moveTo>
                <a:cubicBezTo>
                  <a:pt x="6074951" y="3145822"/>
                  <a:pt x="6060522" y="3132545"/>
                  <a:pt x="6060522" y="3116170"/>
                </a:cubicBezTo>
                <a:cubicBezTo>
                  <a:pt x="6060522" y="3099795"/>
                  <a:pt x="6074951" y="3086518"/>
                  <a:pt x="6092739" y="3086518"/>
                </a:cubicBezTo>
                <a:cubicBezTo>
                  <a:pt x="6110526" y="3086518"/>
                  <a:pt x="6124943" y="3099795"/>
                  <a:pt x="6124943" y="3116170"/>
                </a:cubicBezTo>
                <a:cubicBezTo>
                  <a:pt x="6124943" y="3132545"/>
                  <a:pt x="6110526" y="3145822"/>
                  <a:pt x="6092739" y="3145822"/>
                </a:cubicBezTo>
                <a:close/>
                <a:moveTo>
                  <a:pt x="6171273" y="3145822"/>
                </a:moveTo>
                <a:cubicBezTo>
                  <a:pt x="6153486" y="3145822"/>
                  <a:pt x="6139056" y="3132545"/>
                  <a:pt x="6139056" y="3116170"/>
                </a:cubicBezTo>
                <a:cubicBezTo>
                  <a:pt x="6139056" y="3099795"/>
                  <a:pt x="6153486" y="3086518"/>
                  <a:pt x="6171273" y="3086518"/>
                </a:cubicBezTo>
                <a:cubicBezTo>
                  <a:pt x="6189060" y="3086518"/>
                  <a:pt x="6203477" y="3099795"/>
                  <a:pt x="6203477" y="3116170"/>
                </a:cubicBezTo>
                <a:cubicBezTo>
                  <a:pt x="6203477" y="3132545"/>
                  <a:pt x="6189060" y="3145822"/>
                  <a:pt x="6171273" y="3145822"/>
                </a:cubicBezTo>
                <a:close/>
                <a:moveTo>
                  <a:pt x="6249806" y="3145822"/>
                </a:moveTo>
                <a:cubicBezTo>
                  <a:pt x="6232019" y="3145822"/>
                  <a:pt x="6217590" y="3132545"/>
                  <a:pt x="6217590" y="3116170"/>
                </a:cubicBezTo>
                <a:cubicBezTo>
                  <a:pt x="6217590" y="3099795"/>
                  <a:pt x="6232019" y="3086518"/>
                  <a:pt x="6249806" y="3086518"/>
                </a:cubicBezTo>
                <a:cubicBezTo>
                  <a:pt x="6267593" y="3086518"/>
                  <a:pt x="6282010" y="3099795"/>
                  <a:pt x="6282010" y="3116170"/>
                </a:cubicBezTo>
                <a:cubicBezTo>
                  <a:pt x="6282010" y="3132545"/>
                  <a:pt x="6267593" y="3145822"/>
                  <a:pt x="6249806" y="3145822"/>
                </a:cubicBezTo>
                <a:close/>
                <a:moveTo>
                  <a:pt x="6328340" y="3145822"/>
                </a:moveTo>
                <a:cubicBezTo>
                  <a:pt x="6310553" y="3145822"/>
                  <a:pt x="6296124" y="3132545"/>
                  <a:pt x="6296124" y="3116170"/>
                </a:cubicBezTo>
                <a:cubicBezTo>
                  <a:pt x="6296124" y="3099795"/>
                  <a:pt x="6310553" y="3086518"/>
                  <a:pt x="6328340" y="3086518"/>
                </a:cubicBezTo>
                <a:cubicBezTo>
                  <a:pt x="6346128" y="3086518"/>
                  <a:pt x="6360545" y="3099795"/>
                  <a:pt x="6360545" y="3116170"/>
                </a:cubicBezTo>
                <a:cubicBezTo>
                  <a:pt x="6360545" y="3132545"/>
                  <a:pt x="6346128" y="3145822"/>
                  <a:pt x="6328340" y="3145822"/>
                </a:cubicBezTo>
                <a:close/>
                <a:moveTo>
                  <a:pt x="6406875" y="3145822"/>
                </a:moveTo>
                <a:cubicBezTo>
                  <a:pt x="6389087" y="3145822"/>
                  <a:pt x="6374658" y="3132545"/>
                  <a:pt x="6374658" y="3116170"/>
                </a:cubicBezTo>
                <a:cubicBezTo>
                  <a:pt x="6374658" y="3099795"/>
                  <a:pt x="6389087" y="3086518"/>
                  <a:pt x="6406875" y="3086518"/>
                </a:cubicBezTo>
                <a:cubicBezTo>
                  <a:pt x="6424662" y="3086518"/>
                  <a:pt x="6439079" y="3099795"/>
                  <a:pt x="6439079" y="3116170"/>
                </a:cubicBezTo>
                <a:cubicBezTo>
                  <a:pt x="6439079" y="3132545"/>
                  <a:pt x="6424662" y="3145822"/>
                  <a:pt x="6406875" y="3145822"/>
                </a:cubicBezTo>
                <a:close/>
                <a:moveTo>
                  <a:pt x="6485408" y="3145822"/>
                </a:moveTo>
                <a:cubicBezTo>
                  <a:pt x="6467621" y="3145822"/>
                  <a:pt x="6453191" y="3132545"/>
                  <a:pt x="6453191" y="3116170"/>
                </a:cubicBezTo>
                <a:cubicBezTo>
                  <a:pt x="6453191" y="3099795"/>
                  <a:pt x="6467621" y="3086518"/>
                  <a:pt x="6485408" y="3086518"/>
                </a:cubicBezTo>
                <a:cubicBezTo>
                  <a:pt x="6503195" y="3086518"/>
                  <a:pt x="6517612" y="3099795"/>
                  <a:pt x="6517612" y="3116170"/>
                </a:cubicBezTo>
                <a:cubicBezTo>
                  <a:pt x="6517612" y="3132545"/>
                  <a:pt x="6503195" y="3145822"/>
                  <a:pt x="6485408" y="3145822"/>
                </a:cubicBezTo>
                <a:close/>
                <a:moveTo>
                  <a:pt x="6563942" y="3145822"/>
                </a:moveTo>
                <a:cubicBezTo>
                  <a:pt x="6546155" y="3145822"/>
                  <a:pt x="6531726" y="3132545"/>
                  <a:pt x="6531726" y="3116170"/>
                </a:cubicBezTo>
                <a:cubicBezTo>
                  <a:pt x="6531726" y="3099795"/>
                  <a:pt x="6546155" y="3086518"/>
                  <a:pt x="6563942" y="3086518"/>
                </a:cubicBezTo>
                <a:cubicBezTo>
                  <a:pt x="6581729" y="3086518"/>
                  <a:pt x="6596146" y="3099795"/>
                  <a:pt x="6596146" y="3116170"/>
                </a:cubicBezTo>
                <a:cubicBezTo>
                  <a:pt x="6596146" y="3132545"/>
                  <a:pt x="6581729" y="3145822"/>
                  <a:pt x="6563942" y="3145822"/>
                </a:cubicBezTo>
                <a:close/>
                <a:moveTo>
                  <a:pt x="6642476" y="3145822"/>
                </a:moveTo>
                <a:cubicBezTo>
                  <a:pt x="6624689" y="3145822"/>
                  <a:pt x="6610260" y="3132545"/>
                  <a:pt x="6610260" y="3116170"/>
                </a:cubicBezTo>
                <a:cubicBezTo>
                  <a:pt x="6610260" y="3099795"/>
                  <a:pt x="6624689" y="3086518"/>
                  <a:pt x="6642476" y="3086518"/>
                </a:cubicBezTo>
                <a:cubicBezTo>
                  <a:pt x="6660264" y="3086518"/>
                  <a:pt x="6674681" y="3099795"/>
                  <a:pt x="6674681" y="3116170"/>
                </a:cubicBezTo>
                <a:cubicBezTo>
                  <a:pt x="6674681" y="3132545"/>
                  <a:pt x="6660264" y="3145822"/>
                  <a:pt x="6642476" y="3145822"/>
                </a:cubicBezTo>
                <a:close/>
                <a:moveTo>
                  <a:pt x="6721010" y="3145822"/>
                </a:moveTo>
                <a:cubicBezTo>
                  <a:pt x="6703222" y="3145822"/>
                  <a:pt x="6688793" y="3132545"/>
                  <a:pt x="6688793" y="3116170"/>
                </a:cubicBezTo>
                <a:cubicBezTo>
                  <a:pt x="6688793" y="3099795"/>
                  <a:pt x="6703222" y="3086518"/>
                  <a:pt x="6721010" y="3086518"/>
                </a:cubicBezTo>
                <a:cubicBezTo>
                  <a:pt x="6738797" y="3086518"/>
                  <a:pt x="6753214" y="3099795"/>
                  <a:pt x="6753214" y="3116170"/>
                </a:cubicBezTo>
                <a:cubicBezTo>
                  <a:pt x="6753214" y="3132545"/>
                  <a:pt x="6738797" y="3145822"/>
                  <a:pt x="6721010" y="3145822"/>
                </a:cubicBezTo>
                <a:close/>
                <a:moveTo>
                  <a:pt x="6799544" y="3145822"/>
                </a:moveTo>
                <a:cubicBezTo>
                  <a:pt x="6781757" y="3145822"/>
                  <a:pt x="6767327" y="3132545"/>
                  <a:pt x="6767327" y="3116170"/>
                </a:cubicBezTo>
                <a:cubicBezTo>
                  <a:pt x="6767327" y="3099795"/>
                  <a:pt x="6781757" y="3086518"/>
                  <a:pt x="6799544" y="3086518"/>
                </a:cubicBezTo>
                <a:cubicBezTo>
                  <a:pt x="6817331" y="3086518"/>
                  <a:pt x="6831748" y="3099795"/>
                  <a:pt x="6831748" y="3116170"/>
                </a:cubicBezTo>
                <a:cubicBezTo>
                  <a:pt x="6831748" y="3132545"/>
                  <a:pt x="6817331" y="3145822"/>
                  <a:pt x="6799544" y="3145822"/>
                </a:cubicBezTo>
                <a:close/>
                <a:moveTo>
                  <a:pt x="6878077" y="3145822"/>
                </a:moveTo>
                <a:cubicBezTo>
                  <a:pt x="6860290" y="3145822"/>
                  <a:pt x="6845861" y="3132545"/>
                  <a:pt x="6845861" y="3116170"/>
                </a:cubicBezTo>
                <a:cubicBezTo>
                  <a:pt x="6845861" y="3099795"/>
                  <a:pt x="6860290" y="3086518"/>
                  <a:pt x="6878077" y="3086518"/>
                </a:cubicBezTo>
                <a:cubicBezTo>
                  <a:pt x="6895864" y="3086518"/>
                  <a:pt x="6910281" y="3099795"/>
                  <a:pt x="6910281" y="3116170"/>
                </a:cubicBezTo>
                <a:cubicBezTo>
                  <a:pt x="6910281" y="3132545"/>
                  <a:pt x="6895864" y="3145822"/>
                  <a:pt x="6878077" y="3145822"/>
                </a:cubicBezTo>
                <a:close/>
                <a:moveTo>
                  <a:pt x="6956611" y="3145822"/>
                </a:moveTo>
                <a:cubicBezTo>
                  <a:pt x="6938824" y="3145822"/>
                  <a:pt x="6924395" y="3132545"/>
                  <a:pt x="6924395" y="3116170"/>
                </a:cubicBezTo>
                <a:cubicBezTo>
                  <a:pt x="6924395" y="3099795"/>
                  <a:pt x="6938824" y="3086518"/>
                  <a:pt x="6956611" y="3086518"/>
                </a:cubicBezTo>
                <a:cubicBezTo>
                  <a:pt x="6974399" y="3086518"/>
                  <a:pt x="6988816" y="3099795"/>
                  <a:pt x="6988816" y="3116170"/>
                </a:cubicBezTo>
                <a:cubicBezTo>
                  <a:pt x="6988816" y="3132545"/>
                  <a:pt x="6974399" y="3145822"/>
                  <a:pt x="6956611" y="3145822"/>
                </a:cubicBezTo>
                <a:close/>
                <a:moveTo>
                  <a:pt x="7192237" y="3145822"/>
                </a:moveTo>
                <a:cubicBezTo>
                  <a:pt x="7174450" y="3145822"/>
                  <a:pt x="7160021" y="3132545"/>
                  <a:pt x="7160021" y="3116170"/>
                </a:cubicBezTo>
                <a:cubicBezTo>
                  <a:pt x="7160021" y="3099795"/>
                  <a:pt x="7174450" y="3086518"/>
                  <a:pt x="7192237" y="3086518"/>
                </a:cubicBezTo>
                <a:cubicBezTo>
                  <a:pt x="7210024" y="3086518"/>
                  <a:pt x="7224441" y="3099795"/>
                  <a:pt x="7224441" y="3116170"/>
                </a:cubicBezTo>
                <a:cubicBezTo>
                  <a:pt x="7224441" y="3132545"/>
                  <a:pt x="7210024" y="3145822"/>
                  <a:pt x="7192237" y="3145822"/>
                </a:cubicBezTo>
                <a:close/>
                <a:moveTo>
                  <a:pt x="7270771" y="3145822"/>
                </a:moveTo>
                <a:cubicBezTo>
                  <a:pt x="7252984" y="3145822"/>
                  <a:pt x="7238555" y="3132545"/>
                  <a:pt x="7238555" y="3116170"/>
                </a:cubicBezTo>
                <a:cubicBezTo>
                  <a:pt x="7238555" y="3099795"/>
                  <a:pt x="7252984" y="3086518"/>
                  <a:pt x="7270771" y="3086518"/>
                </a:cubicBezTo>
                <a:cubicBezTo>
                  <a:pt x="7288559" y="3086518"/>
                  <a:pt x="7302976" y="3099795"/>
                  <a:pt x="7302976" y="3116170"/>
                </a:cubicBezTo>
                <a:cubicBezTo>
                  <a:pt x="7302976" y="3132545"/>
                  <a:pt x="7288559" y="3145822"/>
                  <a:pt x="7270771" y="3145822"/>
                </a:cubicBezTo>
                <a:close/>
                <a:moveTo>
                  <a:pt x="7349305" y="3145822"/>
                </a:moveTo>
                <a:cubicBezTo>
                  <a:pt x="7331517" y="3145822"/>
                  <a:pt x="7317088" y="3132545"/>
                  <a:pt x="7317088" y="3116170"/>
                </a:cubicBezTo>
                <a:cubicBezTo>
                  <a:pt x="7317088" y="3099795"/>
                  <a:pt x="7331517" y="3086518"/>
                  <a:pt x="7349305" y="3086518"/>
                </a:cubicBezTo>
                <a:cubicBezTo>
                  <a:pt x="7367092" y="3086518"/>
                  <a:pt x="7381509" y="3099795"/>
                  <a:pt x="7381509" y="3116170"/>
                </a:cubicBezTo>
                <a:cubicBezTo>
                  <a:pt x="7381509" y="3132545"/>
                  <a:pt x="7367092" y="3145822"/>
                  <a:pt x="7349305" y="3145822"/>
                </a:cubicBezTo>
                <a:close/>
                <a:moveTo>
                  <a:pt x="7427839" y="3145822"/>
                </a:moveTo>
                <a:cubicBezTo>
                  <a:pt x="7410052" y="3145822"/>
                  <a:pt x="7395623" y="3132545"/>
                  <a:pt x="7395623" y="3116170"/>
                </a:cubicBezTo>
                <a:cubicBezTo>
                  <a:pt x="7395623" y="3099795"/>
                  <a:pt x="7410052" y="3086518"/>
                  <a:pt x="7427839" y="3086518"/>
                </a:cubicBezTo>
                <a:cubicBezTo>
                  <a:pt x="7445626" y="3086518"/>
                  <a:pt x="7460043" y="3099795"/>
                  <a:pt x="7460043" y="3116170"/>
                </a:cubicBezTo>
                <a:cubicBezTo>
                  <a:pt x="7460043" y="3132545"/>
                  <a:pt x="7445626" y="3145822"/>
                  <a:pt x="7427839" y="3145822"/>
                </a:cubicBezTo>
                <a:close/>
                <a:moveTo>
                  <a:pt x="7506373" y="3145822"/>
                </a:moveTo>
                <a:cubicBezTo>
                  <a:pt x="7488586" y="3145822"/>
                  <a:pt x="7474157" y="3132545"/>
                  <a:pt x="7474157" y="3116170"/>
                </a:cubicBezTo>
                <a:cubicBezTo>
                  <a:pt x="7474157" y="3099795"/>
                  <a:pt x="7488586" y="3086518"/>
                  <a:pt x="7506373" y="3086518"/>
                </a:cubicBezTo>
                <a:cubicBezTo>
                  <a:pt x="7524160" y="3086518"/>
                  <a:pt x="7538577" y="3099795"/>
                  <a:pt x="7538577" y="3116170"/>
                </a:cubicBezTo>
                <a:cubicBezTo>
                  <a:pt x="7538577" y="3132545"/>
                  <a:pt x="7524160" y="3145822"/>
                  <a:pt x="7506373" y="3145822"/>
                </a:cubicBezTo>
                <a:close/>
                <a:moveTo>
                  <a:pt x="8056110" y="3145822"/>
                </a:moveTo>
                <a:cubicBezTo>
                  <a:pt x="8038323" y="3145822"/>
                  <a:pt x="8023894" y="3132545"/>
                  <a:pt x="8023894" y="3116170"/>
                </a:cubicBezTo>
                <a:cubicBezTo>
                  <a:pt x="8023894" y="3099795"/>
                  <a:pt x="8038323" y="3086518"/>
                  <a:pt x="8056110" y="3086518"/>
                </a:cubicBezTo>
                <a:cubicBezTo>
                  <a:pt x="8073897" y="3086518"/>
                  <a:pt x="8088314" y="3099795"/>
                  <a:pt x="8088314" y="3116170"/>
                </a:cubicBezTo>
                <a:cubicBezTo>
                  <a:pt x="8088314" y="3132545"/>
                  <a:pt x="8073897" y="3145822"/>
                  <a:pt x="8056110" y="3145822"/>
                </a:cubicBezTo>
                <a:close/>
                <a:moveTo>
                  <a:pt x="8134643" y="3145822"/>
                </a:moveTo>
                <a:cubicBezTo>
                  <a:pt x="8116856" y="3145822"/>
                  <a:pt x="8102427" y="3132545"/>
                  <a:pt x="8102427" y="3116170"/>
                </a:cubicBezTo>
                <a:cubicBezTo>
                  <a:pt x="8102427" y="3099795"/>
                  <a:pt x="8116856" y="3086518"/>
                  <a:pt x="8134643" y="3086518"/>
                </a:cubicBezTo>
                <a:cubicBezTo>
                  <a:pt x="8152430" y="3086518"/>
                  <a:pt x="8166847" y="3099795"/>
                  <a:pt x="8166847" y="3116170"/>
                </a:cubicBezTo>
                <a:cubicBezTo>
                  <a:pt x="8166847" y="3132545"/>
                  <a:pt x="8152430" y="3145822"/>
                  <a:pt x="8134643" y="3145822"/>
                </a:cubicBezTo>
                <a:close/>
                <a:moveTo>
                  <a:pt x="8213177" y="3145822"/>
                </a:moveTo>
                <a:cubicBezTo>
                  <a:pt x="8195390" y="3145822"/>
                  <a:pt x="8180961" y="3132545"/>
                  <a:pt x="8180961" y="3116170"/>
                </a:cubicBezTo>
                <a:cubicBezTo>
                  <a:pt x="8180961" y="3099795"/>
                  <a:pt x="8195390" y="3086518"/>
                  <a:pt x="8213177" y="3086518"/>
                </a:cubicBezTo>
                <a:cubicBezTo>
                  <a:pt x="8230965" y="3086518"/>
                  <a:pt x="8245382" y="3099795"/>
                  <a:pt x="8245382" y="3116170"/>
                </a:cubicBezTo>
                <a:cubicBezTo>
                  <a:pt x="8245382" y="3132545"/>
                  <a:pt x="8230965" y="3145822"/>
                  <a:pt x="8213177" y="3145822"/>
                </a:cubicBezTo>
                <a:close/>
                <a:moveTo>
                  <a:pt x="8291712" y="3145822"/>
                </a:moveTo>
                <a:cubicBezTo>
                  <a:pt x="8273924" y="3145822"/>
                  <a:pt x="8259495" y="3132545"/>
                  <a:pt x="8259495" y="3116170"/>
                </a:cubicBezTo>
                <a:cubicBezTo>
                  <a:pt x="8259495" y="3099795"/>
                  <a:pt x="8273924" y="3086518"/>
                  <a:pt x="8291712" y="3086518"/>
                </a:cubicBezTo>
                <a:cubicBezTo>
                  <a:pt x="8309499" y="3086518"/>
                  <a:pt x="8323916" y="3099795"/>
                  <a:pt x="8323916" y="3116170"/>
                </a:cubicBezTo>
                <a:cubicBezTo>
                  <a:pt x="8323916" y="3132545"/>
                  <a:pt x="8309499" y="3145822"/>
                  <a:pt x="8291712" y="3145822"/>
                </a:cubicBezTo>
                <a:close/>
                <a:moveTo>
                  <a:pt x="8684381" y="3145822"/>
                </a:moveTo>
                <a:cubicBezTo>
                  <a:pt x="8666594" y="3145822"/>
                  <a:pt x="8652165" y="3132545"/>
                  <a:pt x="8652165" y="3116170"/>
                </a:cubicBezTo>
                <a:cubicBezTo>
                  <a:pt x="8652165" y="3099795"/>
                  <a:pt x="8666594" y="3086518"/>
                  <a:pt x="8684381" y="3086518"/>
                </a:cubicBezTo>
                <a:cubicBezTo>
                  <a:pt x="8702168" y="3086518"/>
                  <a:pt x="8716585" y="3099795"/>
                  <a:pt x="8716585" y="3116170"/>
                </a:cubicBezTo>
                <a:cubicBezTo>
                  <a:pt x="8716585" y="3132545"/>
                  <a:pt x="8702168" y="3145822"/>
                  <a:pt x="8684381" y="3145822"/>
                </a:cubicBezTo>
                <a:close/>
                <a:moveTo>
                  <a:pt x="8762914" y="3145822"/>
                </a:moveTo>
                <a:cubicBezTo>
                  <a:pt x="8745127" y="3145822"/>
                  <a:pt x="8730698" y="3132545"/>
                  <a:pt x="8730698" y="3116170"/>
                </a:cubicBezTo>
                <a:cubicBezTo>
                  <a:pt x="8730698" y="3099795"/>
                  <a:pt x="8745127" y="3086518"/>
                  <a:pt x="8762914" y="3086518"/>
                </a:cubicBezTo>
                <a:cubicBezTo>
                  <a:pt x="8780701" y="3086518"/>
                  <a:pt x="8795118" y="3099795"/>
                  <a:pt x="8795118" y="3116170"/>
                </a:cubicBezTo>
                <a:cubicBezTo>
                  <a:pt x="8795118" y="3132545"/>
                  <a:pt x="8780701" y="3145822"/>
                  <a:pt x="8762914" y="3145822"/>
                </a:cubicBezTo>
                <a:close/>
                <a:moveTo>
                  <a:pt x="8841448" y="3145822"/>
                </a:moveTo>
                <a:cubicBezTo>
                  <a:pt x="8823661" y="3145822"/>
                  <a:pt x="8809232" y="3132545"/>
                  <a:pt x="8809232" y="3116170"/>
                </a:cubicBezTo>
                <a:cubicBezTo>
                  <a:pt x="8809232" y="3099795"/>
                  <a:pt x="8823661" y="3086518"/>
                  <a:pt x="8841448" y="3086518"/>
                </a:cubicBezTo>
                <a:cubicBezTo>
                  <a:pt x="8859236" y="3086518"/>
                  <a:pt x="8873653" y="3099795"/>
                  <a:pt x="8873653" y="3116170"/>
                </a:cubicBezTo>
                <a:cubicBezTo>
                  <a:pt x="8873653" y="3132545"/>
                  <a:pt x="8859236" y="3145822"/>
                  <a:pt x="8841448" y="3145822"/>
                </a:cubicBezTo>
                <a:close/>
                <a:moveTo>
                  <a:pt x="8919983" y="3145822"/>
                </a:moveTo>
                <a:cubicBezTo>
                  <a:pt x="8902195" y="3145822"/>
                  <a:pt x="8887766" y="3132545"/>
                  <a:pt x="8887766" y="3116170"/>
                </a:cubicBezTo>
                <a:cubicBezTo>
                  <a:pt x="8887766" y="3099795"/>
                  <a:pt x="8902195" y="3086518"/>
                  <a:pt x="8919983" y="3086518"/>
                </a:cubicBezTo>
                <a:cubicBezTo>
                  <a:pt x="8937770" y="3086518"/>
                  <a:pt x="8952187" y="3099795"/>
                  <a:pt x="8952187" y="3116170"/>
                </a:cubicBezTo>
                <a:cubicBezTo>
                  <a:pt x="8952187" y="3132545"/>
                  <a:pt x="8937770" y="3145822"/>
                  <a:pt x="8919983" y="3145822"/>
                </a:cubicBezTo>
                <a:close/>
                <a:moveTo>
                  <a:pt x="9155583" y="3145822"/>
                </a:moveTo>
                <a:cubicBezTo>
                  <a:pt x="9137796" y="3145822"/>
                  <a:pt x="9123367" y="3132545"/>
                  <a:pt x="9123367" y="3116170"/>
                </a:cubicBezTo>
                <a:cubicBezTo>
                  <a:pt x="9123367" y="3099795"/>
                  <a:pt x="9137796" y="3086518"/>
                  <a:pt x="9155583" y="3086518"/>
                </a:cubicBezTo>
                <a:cubicBezTo>
                  <a:pt x="9173371" y="3086518"/>
                  <a:pt x="9187788" y="3099795"/>
                  <a:pt x="9187788" y="3116170"/>
                </a:cubicBezTo>
                <a:cubicBezTo>
                  <a:pt x="9187788" y="3132545"/>
                  <a:pt x="9173371" y="3145822"/>
                  <a:pt x="9155583" y="3145822"/>
                </a:cubicBezTo>
                <a:close/>
                <a:moveTo>
                  <a:pt x="3108446" y="3073556"/>
                </a:moveTo>
                <a:cubicBezTo>
                  <a:pt x="3090659" y="3073556"/>
                  <a:pt x="3076236" y="3060279"/>
                  <a:pt x="3076236" y="3043904"/>
                </a:cubicBezTo>
                <a:cubicBezTo>
                  <a:pt x="3076236" y="3027530"/>
                  <a:pt x="3090659" y="3014252"/>
                  <a:pt x="3108446" y="3014252"/>
                </a:cubicBezTo>
                <a:cubicBezTo>
                  <a:pt x="3126233" y="3014252"/>
                  <a:pt x="3140656" y="3027530"/>
                  <a:pt x="3140656" y="3043904"/>
                </a:cubicBezTo>
                <a:cubicBezTo>
                  <a:pt x="3140656" y="3060279"/>
                  <a:pt x="3126233" y="3073556"/>
                  <a:pt x="3108446" y="3073556"/>
                </a:cubicBezTo>
                <a:close/>
                <a:moveTo>
                  <a:pt x="3186979" y="3073556"/>
                </a:moveTo>
                <a:cubicBezTo>
                  <a:pt x="3169192" y="3073556"/>
                  <a:pt x="3154769" y="3060279"/>
                  <a:pt x="3154769" y="3043904"/>
                </a:cubicBezTo>
                <a:cubicBezTo>
                  <a:pt x="3154769" y="3027530"/>
                  <a:pt x="3169192" y="3014252"/>
                  <a:pt x="3186979" y="3014252"/>
                </a:cubicBezTo>
                <a:cubicBezTo>
                  <a:pt x="3204767" y="3014252"/>
                  <a:pt x="3219190" y="3027530"/>
                  <a:pt x="3219190" y="3043904"/>
                </a:cubicBezTo>
                <a:cubicBezTo>
                  <a:pt x="3219190" y="3060279"/>
                  <a:pt x="3204767" y="3073556"/>
                  <a:pt x="3186979" y="3073556"/>
                </a:cubicBezTo>
                <a:close/>
                <a:moveTo>
                  <a:pt x="3265514" y="3073556"/>
                </a:moveTo>
                <a:cubicBezTo>
                  <a:pt x="3247726" y="3073556"/>
                  <a:pt x="3233303" y="3060279"/>
                  <a:pt x="3233303" y="3043904"/>
                </a:cubicBezTo>
                <a:cubicBezTo>
                  <a:pt x="3233303" y="3027530"/>
                  <a:pt x="3247726" y="3014252"/>
                  <a:pt x="3265514" y="3014252"/>
                </a:cubicBezTo>
                <a:cubicBezTo>
                  <a:pt x="3283301" y="3014252"/>
                  <a:pt x="3297724" y="3027530"/>
                  <a:pt x="3297724" y="3043904"/>
                </a:cubicBezTo>
                <a:cubicBezTo>
                  <a:pt x="3297724" y="3060279"/>
                  <a:pt x="3283301" y="3073556"/>
                  <a:pt x="3265514" y="3073556"/>
                </a:cubicBezTo>
                <a:close/>
                <a:moveTo>
                  <a:pt x="3344048" y="3073556"/>
                </a:moveTo>
                <a:cubicBezTo>
                  <a:pt x="3326261" y="3073556"/>
                  <a:pt x="3311837" y="3060279"/>
                  <a:pt x="3311837" y="3043904"/>
                </a:cubicBezTo>
                <a:cubicBezTo>
                  <a:pt x="3311837" y="3027530"/>
                  <a:pt x="3326261" y="3014252"/>
                  <a:pt x="3344048" y="3014252"/>
                </a:cubicBezTo>
                <a:cubicBezTo>
                  <a:pt x="3361835" y="3014252"/>
                  <a:pt x="3376258" y="3027530"/>
                  <a:pt x="3376258" y="3043904"/>
                </a:cubicBezTo>
                <a:cubicBezTo>
                  <a:pt x="3376258" y="3060279"/>
                  <a:pt x="3361835" y="3073556"/>
                  <a:pt x="3344048" y="3073556"/>
                </a:cubicBezTo>
                <a:close/>
                <a:moveTo>
                  <a:pt x="5543002" y="3073556"/>
                </a:moveTo>
                <a:cubicBezTo>
                  <a:pt x="5525215" y="3073556"/>
                  <a:pt x="5510785" y="3060279"/>
                  <a:pt x="5510785" y="3043904"/>
                </a:cubicBezTo>
                <a:cubicBezTo>
                  <a:pt x="5510785" y="3027530"/>
                  <a:pt x="5525215" y="3014252"/>
                  <a:pt x="5543002" y="3014252"/>
                </a:cubicBezTo>
                <a:cubicBezTo>
                  <a:pt x="5560789" y="3014252"/>
                  <a:pt x="5575206" y="3027530"/>
                  <a:pt x="5575206" y="3043904"/>
                </a:cubicBezTo>
                <a:cubicBezTo>
                  <a:pt x="5575206" y="3060279"/>
                  <a:pt x="5560789" y="3073556"/>
                  <a:pt x="5543002" y="3073556"/>
                </a:cubicBezTo>
                <a:close/>
                <a:moveTo>
                  <a:pt x="5621536" y="3073556"/>
                </a:moveTo>
                <a:cubicBezTo>
                  <a:pt x="5603749" y="3073556"/>
                  <a:pt x="5589320" y="3060279"/>
                  <a:pt x="5589320" y="3043904"/>
                </a:cubicBezTo>
                <a:cubicBezTo>
                  <a:pt x="5589320" y="3027530"/>
                  <a:pt x="5603749" y="3014252"/>
                  <a:pt x="5621536" y="3014252"/>
                </a:cubicBezTo>
                <a:cubicBezTo>
                  <a:pt x="5639323" y="3014252"/>
                  <a:pt x="5653740" y="3027530"/>
                  <a:pt x="5653740" y="3043904"/>
                </a:cubicBezTo>
                <a:cubicBezTo>
                  <a:pt x="5653740" y="3060279"/>
                  <a:pt x="5639323" y="3073556"/>
                  <a:pt x="5621536" y="3073556"/>
                </a:cubicBezTo>
                <a:close/>
                <a:moveTo>
                  <a:pt x="5700069" y="3073556"/>
                </a:moveTo>
                <a:cubicBezTo>
                  <a:pt x="5682282" y="3073556"/>
                  <a:pt x="5667853" y="3060279"/>
                  <a:pt x="5667853" y="3043904"/>
                </a:cubicBezTo>
                <a:cubicBezTo>
                  <a:pt x="5667853" y="3027530"/>
                  <a:pt x="5682282" y="3014252"/>
                  <a:pt x="5700069" y="3014252"/>
                </a:cubicBezTo>
                <a:cubicBezTo>
                  <a:pt x="5717857" y="3014252"/>
                  <a:pt x="5732274" y="3027530"/>
                  <a:pt x="5732274" y="3043904"/>
                </a:cubicBezTo>
                <a:cubicBezTo>
                  <a:pt x="5732274" y="3060279"/>
                  <a:pt x="5717857" y="3073556"/>
                  <a:pt x="5700069" y="3073556"/>
                </a:cubicBezTo>
                <a:close/>
                <a:moveTo>
                  <a:pt x="5778604" y="3073556"/>
                </a:moveTo>
                <a:cubicBezTo>
                  <a:pt x="5760816" y="3073556"/>
                  <a:pt x="5746387" y="3060279"/>
                  <a:pt x="5746387" y="3043904"/>
                </a:cubicBezTo>
                <a:cubicBezTo>
                  <a:pt x="5746387" y="3027530"/>
                  <a:pt x="5760816" y="3014252"/>
                  <a:pt x="5778604" y="3014252"/>
                </a:cubicBezTo>
                <a:cubicBezTo>
                  <a:pt x="5796391" y="3014252"/>
                  <a:pt x="5810808" y="3027530"/>
                  <a:pt x="5810808" y="3043904"/>
                </a:cubicBezTo>
                <a:cubicBezTo>
                  <a:pt x="5810808" y="3060279"/>
                  <a:pt x="5796391" y="3073556"/>
                  <a:pt x="5778604" y="3073556"/>
                </a:cubicBezTo>
                <a:close/>
                <a:moveTo>
                  <a:pt x="5857137" y="3073556"/>
                </a:moveTo>
                <a:cubicBezTo>
                  <a:pt x="5839350" y="3073556"/>
                  <a:pt x="5824920" y="3060279"/>
                  <a:pt x="5824920" y="3043904"/>
                </a:cubicBezTo>
                <a:cubicBezTo>
                  <a:pt x="5824920" y="3027530"/>
                  <a:pt x="5839350" y="3014252"/>
                  <a:pt x="5857137" y="3014252"/>
                </a:cubicBezTo>
                <a:cubicBezTo>
                  <a:pt x="5874924" y="3014252"/>
                  <a:pt x="5889341" y="3027530"/>
                  <a:pt x="5889341" y="3043904"/>
                </a:cubicBezTo>
                <a:cubicBezTo>
                  <a:pt x="5889341" y="3060279"/>
                  <a:pt x="5874924" y="3073556"/>
                  <a:pt x="5857137" y="3073556"/>
                </a:cubicBezTo>
                <a:close/>
                <a:moveTo>
                  <a:pt x="5935671" y="3073556"/>
                </a:moveTo>
                <a:cubicBezTo>
                  <a:pt x="5917884" y="3073556"/>
                  <a:pt x="5903455" y="3060279"/>
                  <a:pt x="5903455" y="3043904"/>
                </a:cubicBezTo>
                <a:cubicBezTo>
                  <a:pt x="5903455" y="3027530"/>
                  <a:pt x="5917884" y="3014252"/>
                  <a:pt x="5935671" y="3014252"/>
                </a:cubicBezTo>
                <a:cubicBezTo>
                  <a:pt x="5953458" y="3014252"/>
                  <a:pt x="5967875" y="3027530"/>
                  <a:pt x="5967875" y="3043904"/>
                </a:cubicBezTo>
                <a:cubicBezTo>
                  <a:pt x="5967875" y="3060279"/>
                  <a:pt x="5953458" y="3073556"/>
                  <a:pt x="5935671" y="3073556"/>
                </a:cubicBezTo>
                <a:close/>
                <a:moveTo>
                  <a:pt x="6014205" y="3073556"/>
                </a:moveTo>
                <a:cubicBezTo>
                  <a:pt x="5996418" y="3073556"/>
                  <a:pt x="5981989" y="3060279"/>
                  <a:pt x="5981989" y="3043904"/>
                </a:cubicBezTo>
                <a:cubicBezTo>
                  <a:pt x="5981989" y="3027530"/>
                  <a:pt x="5996418" y="3014252"/>
                  <a:pt x="6014205" y="3014252"/>
                </a:cubicBezTo>
                <a:cubicBezTo>
                  <a:pt x="6031993" y="3014252"/>
                  <a:pt x="6046410" y="3027530"/>
                  <a:pt x="6046410" y="3043904"/>
                </a:cubicBezTo>
                <a:cubicBezTo>
                  <a:pt x="6046410" y="3060279"/>
                  <a:pt x="6031993" y="3073556"/>
                  <a:pt x="6014205" y="3073556"/>
                </a:cubicBezTo>
                <a:close/>
                <a:moveTo>
                  <a:pt x="6092739" y="3073556"/>
                </a:moveTo>
                <a:cubicBezTo>
                  <a:pt x="6074951" y="3073556"/>
                  <a:pt x="6060522" y="3060279"/>
                  <a:pt x="6060522" y="3043904"/>
                </a:cubicBezTo>
                <a:cubicBezTo>
                  <a:pt x="6060522" y="3027530"/>
                  <a:pt x="6074951" y="3014252"/>
                  <a:pt x="6092739" y="3014252"/>
                </a:cubicBezTo>
                <a:cubicBezTo>
                  <a:pt x="6110526" y="3014252"/>
                  <a:pt x="6124943" y="3027530"/>
                  <a:pt x="6124943" y="3043904"/>
                </a:cubicBezTo>
                <a:cubicBezTo>
                  <a:pt x="6124943" y="3060279"/>
                  <a:pt x="6110526" y="3073556"/>
                  <a:pt x="6092739" y="3073556"/>
                </a:cubicBezTo>
                <a:close/>
                <a:moveTo>
                  <a:pt x="6171273" y="3073556"/>
                </a:moveTo>
                <a:cubicBezTo>
                  <a:pt x="6153486" y="3073556"/>
                  <a:pt x="6139056" y="3060279"/>
                  <a:pt x="6139056" y="3043904"/>
                </a:cubicBezTo>
                <a:cubicBezTo>
                  <a:pt x="6139056" y="3027530"/>
                  <a:pt x="6153486" y="3014252"/>
                  <a:pt x="6171273" y="3014252"/>
                </a:cubicBezTo>
                <a:cubicBezTo>
                  <a:pt x="6189060" y="3014252"/>
                  <a:pt x="6203477" y="3027530"/>
                  <a:pt x="6203477" y="3043904"/>
                </a:cubicBezTo>
                <a:cubicBezTo>
                  <a:pt x="6203477" y="3060279"/>
                  <a:pt x="6189060" y="3073556"/>
                  <a:pt x="6171273" y="3073556"/>
                </a:cubicBezTo>
                <a:close/>
                <a:moveTo>
                  <a:pt x="6249806" y="3073556"/>
                </a:moveTo>
                <a:cubicBezTo>
                  <a:pt x="6232019" y="3073556"/>
                  <a:pt x="6217590" y="3060279"/>
                  <a:pt x="6217590" y="3043904"/>
                </a:cubicBezTo>
                <a:cubicBezTo>
                  <a:pt x="6217590" y="3027530"/>
                  <a:pt x="6232019" y="3014252"/>
                  <a:pt x="6249806" y="3014252"/>
                </a:cubicBezTo>
                <a:cubicBezTo>
                  <a:pt x="6267593" y="3014252"/>
                  <a:pt x="6282010" y="3027530"/>
                  <a:pt x="6282010" y="3043904"/>
                </a:cubicBezTo>
                <a:cubicBezTo>
                  <a:pt x="6282010" y="3060279"/>
                  <a:pt x="6267593" y="3073556"/>
                  <a:pt x="6249806" y="3073556"/>
                </a:cubicBezTo>
                <a:close/>
                <a:moveTo>
                  <a:pt x="6328340" y="3073556"/>
                </a:moveTo>
                <a:cubicBezTo>
                  <a:pt x="6310553" y="3073556"/>
                  <a:pt x="6296124" y="3060279"/>
                  <a:pt x="6296124" y="3043904"/>
                </a:cubicBezTo>
                <a:cubicBezTo>
                  <a:pt x="6296124" y="3027530"/>
                  <a:pt x="6310553" y="3014252"/>
                  <a:pt x="6328340" y="3014252"/>
                </a:cubicBezTo>
                <a:cubicBezTo>
                  <a:pt x="6346128" y="3014252"/>
                  <a:pt x="6360545" y="3027530"/>
                  <a:pt x="6360545" y="3043904"/>
                </a:cubicBezTo>
                <a:cubicBezTo>
                  <a:pt x="6360545" y="3060279"/>
                  <a:pt x="6346128" y="3073556"/>
                  <a:pt x="6328340" y="3073556"/>
                </a:cubicBezTo>
                <a:close/>
                <a:moveTo>
                  <a:pt x="6406875" y="3073556"/>
                </a:moveTo>
                <a:cubicBezTo>
                  <a:pt x="6389087" y="3073556"/>
                  <a:pt x="6374658" y="3060279"/>
                  <a:pt x="6374658" y="3043904"/>
                </a:cubicBezTo>
                <a:cubicBezTo>
                  <a:pt x="6374658" y="3027530"/>
                  <a:pt x="6389087" y="3014252"/>
                  <a:pt x="6406875" y="3014252"/>
                </a:cubicBezTo>
                <a:cubicBezTo>
                  <a:pt x="6424662" y="3014252"/>
                  <a:pt x="6439079" y="3027530"/>
                  <a:pt x="6439079" y="3043904"/>
                </a:cubicBezTo>
                <a:cubicBezTo>
                  <a:pt x="6439079" y="3060279"/>
                  <a:pt x="6424662" y="3073556"/>
                  <a:pt x="6406875" y="3073556"/>
                </a:cubicBezTo>
                <a:close/>
                <a:moveTo>
                  <a:pt x="6485408" y="3073556"/>
                </a:moveTo>
                <a:cubicBezTo>
                  <a:pt x="6467621" y="3073556"/>
                  <a:pt x="6453191" y="3060279"/>
                  <a:pt x="6453191" y="3043904"/>
                </a:cubicBezTo>
                <a:cubicBezTo>
                  <a:pt x="6453191" y="3027530"/>
                  <a:pt x="6467621" y="3014252"/>
                  <a:pt x="6485408" y="3014252"/>
                </a:cubicBezTo>
                <a:cubicBezTo>
                  <a:pt x="6503195" y="3014252"/>
                  <a:pt x="6517612" y="3027530"/>
                  <a:pt x="6517612" y="3043904"/>
                </a:cubicBezTo>
                <a:cubicBezTo>
                  <a:pt x="6517612" y="3060279"/>
                  <a:pt x="6503195" y="3073556"/>
                  <a:pt x="6485408" y="3073556"/>
                </a:cubicBezTo>
                <a:close/>
                <a:moveTo>
                  <a:pt x="6563942" y="3073556"/>
                </a:moveTo>
                <a:cubicBezTo>
                  <a:pt x="6546155" y="3073556"/>
                  <a:pt x="6531726" y="3060279"/>
                  <a:pt x="6531726" y="3043904"/>
                </a:cubicBezTo>
                <a:cubicBezTo>
                  <a:pt x="6531726" y="3027530"/>
                  <a:pt x="6546155" y="3014252"/>
                  <a:pt x="6563942" y="3014252"/>
                </a:cubicBezTo>
                <a:cubicBezTo>
                  <a:pt x="6581729" y="3014252"/>
                  <a:pt x="6596146" y="3027530"/>
                  <a:pt x="6596146" y="3043904"/>
                </a:cubicBezTo>
                <a:cubicBezTo>
                  <a:pt x="6596146" y="3060279"/>
                  <a:pt x="6581729" y="3073556"/>
                  <a:pt x="6563942" y="3073556"/>
                </a:cubicBezTo>
                <a:close/>
                <a:moveTo>
                  <a:pt x="6642476" y="3073556"/>
                </a:moveTo>
                <a:cubicBezTo>
                  <a:pt x="6624689" y="3073556"/>
                  <a:pt x="6610260" y="3060279"/>
                  <a:pt x="6610260" y="3043904"/>
                </a:cubicBezTo>
                <a:cubicBezTo>
                  <a:pt x="6610260" y="3027530"/>
                  <a:pt x="6624689" y="3014252"/>
                  <a:pt x="6642476" y="3014252"/>
                </a:cubicBezTo>
                <a:cubicBezTo>
                  <a:pt x="6660264" y="3014252"/>
                  <a:pt x="6674681" y="3027530"/>
                  <a:pt x="6674681" y="3043904"/>
                </a:cubicBezTo>
                <a:cubicBezTo>
                  <a:pt x="6674681" y="3060279"/>
                  <a:pt x="6660264" y="3073556"/>
                  <a:pt x="6642476" y="3073556"/>
                </a:cubicBezTo>
                <a:close/>
                <a:moveTo>
                  <a:pt x="6721010" y="3073556"/>
                </a:moveTo>
                <a:cubicBezTo>
                  <a:pt x="6703222" y="3073556"/>
                  <a:pt x="6688793" y="3060279"/>
                  <a:pt x="6688793" y="3043904"/>
                </a:cubicBezTo>
                <a:cubicBezTo>
                  <a:pt x="6688793" y="3027530"/>
                  <a:pt x="6703222" y="3014252"/>
                  <a:pt x="6721010" y="3014252"/>
                </a:cubicBezTo>
                <a:cubicBezTo>
                  <a:pt x="6738797" y="3014252"/>
                  <a:pt x="6753214" y="3027530"/>
                  <a:pt x="6753214" y="3043904"/>
                </a:cubicBezTo>
                <a:cubicBezTo>
                  <a:pt x="6753214" y="3060279"/>
                  <a:pt x="6738797" y="3073556"/>
                  <a:pt x="6721010" y="3073556"/>
                </a:cubicBezTo>
                <a:close/>
                <a:moveTo>
                  <a:pt x="6799544" y="3073556"/>
                </a:moveTo>
                <a:cubicBezTo>
                  <a:pt x="6781757" y="3073556"/>
                  <a:pt x="6767327" y="3060279"/>
                  <a:pt x="6767327" y="3043904"/>
                </a:cubicBezTo>
                <a:cubicBezTo>
                  <a:pt x="6767327" y="3027530"/>
                  <a:pt x="6781757" y="3014252"/>
                  <a:pt x="6799544" y="3014252"/>
                </a:cubicBezTo>
                <a:cubicBezTo>
                  <a:pt x="6817331" y="3014252"/>
                  <a:pt x="6831748" y="3027530"/>
                  <a:pt x="6831748" y="3043904"/>
                </a:cubicBezTo>
                <a:cubicBezTo>
                  <a:pt x="6831748" y="3060279"/>
                  <a:pt x="6817331" y="3073556"/>
                  <a:pt x="6799544" y="3073556"/>
                </a:cubicBezTo>
                <a:close/>
                <a:moveTo>
                  <a:pt x="6878077" y="3073556"/>
                </a:moveTo>
                <a:cubicBezTo>
                  <a:pt x="6860290" y="3073556"/>
                  <a:pt x="6845861" y="3060279"/>
                  <a:pt x="6845861" y="3043904"/>
                </a:cubicBezTo>
                <a:cubicBezTo>
                  <a:pt x="6845861" y="3027530"/>
                  <a:pt x="6860290" y="3014252"/>
                  <a:pt x="6878077" y="3014252"/>
                </a:cubicBezTo>
                <a:cubicBezTo>
                  <a:pt x="6895864" y="3014252"/>
                  <a:pt x="6910281" y="3027530"/>
                  <a:pt x="6910281" y="3043904"/>
                </a:cubicBezTo>
                <a:cubicBezTo>
                  <a:pt x="6910281" y="3060279"/>
                  <a:pt x="6895864" y="3073556"/>
                  <a:pt x="6878077" y="3073556"/>
                </a:cubicBezTo>
                <a:close/>
                <a:moveTo>
                  <a:pt x="6956611" y="3073556"/>
                </a:moveTo>
                <a:cubicBezTo>
                  <a:pt x="6938824" y="3073556"/>
                  <a:pt x="6924395" y="3060279"/>
                  <a:pt x="6924395" y="3043904"/>
                </a:cubicBezTo>
                <a:cubicBezTo>
                  <a:pt x="6924395" y="3027530"/>
                  <a:pt x="6938824" y="3014252"/>
                  <a:pt x="6956611" y="3014252"/>
                </a:cubicBezTo>
                <a:cubicBezTo>
                  <a:pt x="6974399" y="3014252"/>
                  <a:pt x="6988816" y="3027530"/>
                  <a:pt x="6988816" y="3043904"/>
                </a:cubicBezTo>
                <a:cubicBezTo>
                  <a:pt x="6988816" y="3060279"/>
                  <a:pt x="6974399" y="3073556"/>
                  <a:pt x="6956611" y="3073556"/>
                </a:cubicBezTo>
                <a:close/>
                <a:moveTo>
                  <a:pt x="7035146" y="3073556"/>
                </a:moveTo>
                <a:cubicBezTo>
                  <a:pt x="7017358" y="3073556"/>
                  <a:pt x="7002929" y="3060279"/>
                  <a:pt x="7002929" y="3043904"/>
                </a:cubicBezTo>
                <a:cubicBezTo>
                  <a:pt x="7002929" y="3027530"/>
                  <a:pt x="7017358" y="3014252"/>
                  <a:pt x="7035146" y="3014252"/>
                </a:cubicBezTo>
                <a:cubicBezTo>
                  <a:pt x="7052933" y="3014252"/>
                  <a:pt x="7067350" y="3027530"/>
                  <a:pt x="7067350" y="3043904"/>
                </a:cubicBezTo>
                <a:cubicBezTo>
                  <a:pt x="7067350" y="3060279"/>
                  <a:pt x="7052933" y="3073556"/>
                  <a:pt x="7035146" y="3073556"/>
                </a:cubicBezTo>
                <a:close/>
                <a:moveTo>
                  <a:pt x="7270771" y="3073556"/>
                </a:moveTo>
                <a:cubicBezTo>
                  <a:pt x="7252984" y="3073556"/>
                  <a:pt x="7238555" y="3060279"/>
                  <a:pt x="7238555" y="3043904"/>
                </a:cubicBezTo>
                <a:cubicBezTo>
                  <a:pt x="7238555" y="3027530"/>
                  <a:pt x="7252984" y="3014252"/>
                  <a:pt x="7270771" y="3014252"/>
                </a:cubicBezTo>
                <a:cubicBezTo>
                  <a:pt x="7288559" y="3014252"/>
                  <a:pt x="7302976" y="3027530"/>
                  <a:pt x="7302976" y="3043904"/>
                </a:cubicBezTo>
                <a:cubicBezTo>
                  <a:pt x="7302976" y="3060279"/>
                  <a:pt x="7288559" y="3073556"/>
                  <a:pt x="7270771" y="3073556"/>
                </a:cubicBezTo>
                <a:close/>
                <a:moveTo>
                  <a:pt x="7349305" y="3073556"/>
                </a:moveTo>
                <a:cubicBezTo>
                  <a:pt x="7331517" y="3073556"/>
                  <a:pt x="7317088" y="3060279"/>
                  <a:pt x="7317088" y="3043904"/>
                </a:cubicBezTo>
                <a:cubicBezTo>
                  <a:pt x="7317088" y="3027530"/>
                  <a:pt x="7331517" y="3014252"/>
                  <a:pt x="7349305" y="3014252"/>
                </a:cubicBezTo>
                <a:cubicBezTo>
                  <a:pt x="7367092" y="3014252"/>
                  <a:pt x="7381509" y="3027530"/>
                  <a:pt x="7381509" y="3043904"/>
                </a:cubicBezTo>
                <a:cubicBezTo>
                  <a:pt x="7381509" y="3060279"/>
                  <a:pt x="7367092" y="3073556"/>
                  <a:pt x="7349305" y="3073556"/>
                </a:cubicBezTo>
                <a:close/>
                <a:moveTo>
                  <a:pt x="7427839" y="3073556"/>
                </a:moveTo>
                <a:cubicBezTo>
                  <a:pt x="7410052" y="3073556"/>
                  <a:pt x="7395623" y="3060279"/>
                  <a:pt x="7395623" y="3043904"/>
                </a:cubicBezTo>
                <a:cubicBezTo>
                  <a:pt x="7395623" y="3027530"/>
                  <a:pt x="7410052" y="3014252"/>
                  <a:pt x="7427839" y="3014252"/>
                </a:cubicBezTo>
                <a:cubicBezTo>
                  <a:pt x="7445626" y="3014252"/>
                  <a:pt x="7460043" y="3027530"/>
                  <a:pt x="7460043" y="3043904"/>
                </a:cubicBezTo>
                <a:cubicBezTo>
                  <a:pt x="7460043" y="3060279"/>
                  <a:pt x="7445626" y="3073556"/>
                  <a:pt x="7427839" y="3073556"/>
                </a:cubicBezTo>
                <a:close/>
                <a:moveTo>
                  <a:pt x="8134643" y="3073556"/>
                </a:moveTo>
                <a:cubicBezTo>
                  <a:pt x="8116856" y="3073556"/>
                  <a:pt x="8102427" y="3060279"/>
                  <a:pt x="8102427" y="3043904"/>
                </a:cubicBezTo>
                <a:cubicBezTo>
                  <a:pt x="8102427" y="3027530"/>
                  <a:pt x="8116856" y="3014252"/>
                  <a:pt x="8134643" y="3014252"/>
                </a:cubicBezTo>
                <a:cubicBezTo>
                  <a:pt x="8152430" y="3014252"/>
                  <a:pt x="8166847" y="3027530"/>
                  <a:pt x="8166847" y="3043904"/>
                </a:cubicBezTo>
                <a:cubicBezTo>
                  <a:pt x="8166847" y="3060279"/>
                  <a:pt x="8152430" y="3073556"/>
                  <a:pt x="8134643" y="3073556"/>
                </a:cubicBezTo>
                <a:close/>
                <a:moveTo>
                  <a:pt x="8213177" y="3073556"/>
                </a:moveTo>
                <a:cubicBezTo>
                  <a:pt x="8195390" y="3073556"/>
                  <a:pt x="8180961" y="3060279"/>
                  <a:pt x="8180961" y="3043904"/>
                </a:cubicBezTo>
                <a:cubicBezTo>
                  <a:pt x="8180961" y="3027530"/>
                  <a:pt x="8195390" y="3014252"/>
                  <a:pt x="8213177" y="3014252"/>
                </a:cubicBezTo>
                <a:cubicBezTo>
                  <a:pt x="8230965" y="3014252"/>
                  <a:pt x="8245382" y="3027530"/>
                  <a:pt x="8245382" y="3043904"/>
                </a:cubicBezTo>
                <a:cubicBezTo>
                  <a:pt x="8245382" y="3060279"/>
                  <a:pt x="8230965" y="3073556"/>
                  <a:pt x="8213177" y="3073556"/>
                </a:cubicBezTo>
                <a:close/>
                <a:moveTo>
                  <a:pt x="8841448" y="3073556"/>
                </a:moveTo>
                <a:cubicBezTo>
                  <a:pt x="8823661" y="3073556"/>
                  <a:pt x="8809232" y="3060279"/>
                  <a:pt x="8809232" y="3043904"/>
                </a:cubicBezTo>
                <a:cubicBezTo>
                  <a:pt x="8809232" y="3027530"/>
                  <a:pt x="8823661" y="3014252"/>
                  <a:pt x="8841448" y="3014252"/>
                </a:cubicBezTo>
                <a:cubicBezTo>
                  <a:pt x="8859236" y="3014252"/>
                  <a:pt x="8873653" y="3027530"/>
                  <a:pt x="8873653" y="3043904"/>
                </a:cubicBezTo>
                <a:cubicBezTo>
                  <a:pt x="8873653" y="3060279"/>
                  <a:pt x="8859236" y="3073556"/>
                  <a:pt x="8841448" y="3073556"/>
                </a:cubicBezTo>
                <a:close/>
                <a:moveTo>
                  <a:pt x="8919983" y="3073556"/>
                </a:moveTo>
                <a:cubicBezTo>
                  <a:pt x="8902195" y="3073556"/>
                  <a:pt x="8887766" y="3060279"/>
                  <a:pt x="8887766" y="3043904"/>
                </a:cubicBezTo>
                <a:cubicBezTo>
                  <a:pt x="8887766" y="3027530"/>
                  <a:pt x="8902195" y="3014252"/>
                  <a:pt x="8919983" y="3014252"/>
                </a:cubicBezTo>
                <a:cubicBezTo>
                  <a:pt x="8937770" y="3014252"/>
                  <a:pt x="8952187" y="3027530"/>
                  <a:pt x="8952187" y="3043904"/>
                </a:cubicBezTo>
                <a:cubicBezTo>
                  <a:pt x="8952187" y="3060279"/>
                  <a:pt x="8937770" y="3073556"/>
                  <a:pt x="8919983" y="3073556"/>
                </a:cubicBezTo>
                <a:close/>
                <a:moveTo>
                  <a:pt x="8998516" y="3073556"/>
                </a:moveTo>
                <a:cubicBezTo>
                  <a:pt x="8980729" y="3073556"/>
                  <a:pt x="8966300" y="3060279"/>
                  <a:pt x="8966300" y="3043904"/>
                </a:cubicBezTo>
                <a:cubicBezTo>
                  <a:pt x="8966300" y="3027530"/>
                  <a:pt x="8980729" y="3014252"/>
                  <a:pt x="8998516" y="3014252"/>
                </a:cubicBezTo>
                <a:cubicBezTo>
                  <a:pt x="9016303" y="3014252"/>
                  <a:pt x="9030720" y="3027530"/>
                  <a:pt x="9030720" y="3043904"/>
                </a:cubicBezTo>
                <a:cubicBezTo>
                  <a:pt x="9030720" y="3060279"/>
                  <a:pt x="9016303" y="3073556"/>
                  <a:pt x="8998516" y="3073556"/>
                </a:cubicBezTo>
                <a:close/>
                <a:moveTo>
                  <a:pt x="9469719" y="3073556"/>
                </a:moveTo>
                <a:cubicBezTo>
                  <a:pt x="9451932" y="3073556"/>
                  <a:pt x="9437503" y="3060279"/>
                  <a:pt x="9437503" y="3043904"/>
                </a:cubicBezTo>
                <a:cubicBezTo>
                  <a:pt x="9437503" y="3027530"/>
                  <a:pt x="9451932" y="3014252"/>
                  <a:pt x="9469719" y="3014252"/>
                </a:cubicBezTo>
                <a:cubicBezTo>
                  <a:pt x="9487507" y="3014252"/>
                  <a:pt x="9501924" y="3027530"/>
                  <a:pt x="9501924" y="3043904"/>
                </a:cubicBezTo>
                <a:cubicBezTo>
                  <a:pt x="9501924" y="3060279"/>
                  <a:pt x="9487507" y="3073556"/>
                  <a:pt x="9469719" y="3073556"/>
                </a:cubicBezTo>
                <a:close/>
                <a:moveTo>
                  <a:pt x="3344048" y="3001291"/>
                </a:moveTo>
                <a:cubicBezTo>
                  <a:pt x="3326261" y="3001291"/>
                  <a:pt x="3311837" y="2988013"/>
                  <a:pt x="3311837" y="2971638"/>
                </a:cubicBezTo>
                <a:cubicBezTo>
                  <a:pt x="3311837" y="2955264"/>
                  <a:pt x="3326261" y="2941986"/>
                  <a:pt x="3344048" y="2941986"/>
                </a:cubicBezTo>
                <a:cubicBezTo>
                  <a:pt x="3361835" y="2941986"/>
                  <a:pt x="3376258" y="2955264"/>
                  <a:pt x="3376258" y="2971638"/>
                </a:cubicBezTo>
                <a:cubicBezTo>
                  <a:pt x="3376258" y="2988013"/>
                  <a:pt x="3361835" y="3001291"/>
                  <a:pt x="3344048" y="3001291"/>
                </a:cubicBezTo>
                <a:close/>
                <a:moveTo>
                  <a:pt x="3422581" y="3001291"/>
                </a:moveTo>
                <a:cubicBezTo>
                  <a:pt x="3404794" y="3001291"/>
                  <a:pt x="3390371" y="2988013"/>
                  <a:pt x="3390371" y="2971638"/>
                </a:cubicBezTo>
                <a:cubicBezTo>
                  <a:pt x="3390371" y="2955264"/>
                  <a:pt x="3404794" y="2941986"/>
                  <a:pt x="3422581" y="2941986"/>
                </a:cubicBezTo>
                <a:cubicBezTo>
                  <a:pt x="3440368" y="2941986"/>
                  <a:pt x="3454791" y="2955264"/>
                  <a:pt x="3454791" y="2971638"/>
                </a:cubicBezTo>
                <a:cubicBezTo>
                  <a:pt x="3454791" y="2988013"/>
                  <a:pt x="3440368" y="3001291"/>
                  <a:pt x="3422581" y="3001291"/>
                </a:cubicBezTo>
                <a:close/>
                <a:moveTo>
                  <a:pt x="3501115" y="3001291"/>
                </a:moveTo>
                <a:cubicBezTo>
                  <a:pt x="3483328" y="3001291"/>
                  <a:pt x="3468905" y="2988013"/>
                  <a:pt x="3468905" y="2971638"/>
                </a:cubicBezTo>
                <a:cubicBezTo>
                  <a:pt x="3468905" y="2955264"/>
                  <a:pt x="3483328" y="2941986"/>
                  <a:pt x="3501115" y="2941986"/>
                </a:cubicBezTo>
                <a:cubicBezTo>
                  <a:pt x="3518903" y="2941986"/>
                  <a:pt x="3533326" y="2955264"/>
                  <a:pt x="3533326" y="2971638"/>
                </a:cubicBezTo>
                <a:cubicBezTo>
                  <a:pt x="3533326" y="2988013"/>
                  <a:pt x="3518903" y="3001291"/>
                  <a:pt x="3501115" y="3001291"/>
                </a:cubicBezTo>
                <a:close/>
                <a:moveTo>
                  <a:pt x="5464468" y="3001291"/>
                </a:moveTo>
                <a:cubicBezTo>
                  <a:pt x="5446680" y="3001291"/>
                  <a:pt x="5432251" y="2988013"/>
                  <a:pt x="5432251" y="2971638"/>
                </a:cubicBezTo>
                <a:cubicBezTo>
                  <a:pt x="5432251" y="2955264"/>
                  <a:pt x="5446680" y="2941986"/>
                  <a:pt x="5464468" y="2941986"/>
                </a:cubicBezTo>
                <a:cubicBezTo>
                  <a:pt x="5482255" y="2941986"/>
                  <a:pt x="5496672" y="2955264"/>
                  <a:pt x="5496672" y="2971638"/>
                </a:cubicBezTo>
                <a:cubicBezTo>
                  <a:pt x="5496672" y="2988013"/>
                  <a:pt x="5482255" y="3001291"/>
                  <a:pt x="5464468" y="3001291"/>
                </a:cubicBezTo>
                <a:close/>
                <a:moveTo>
                  <a:pt x="5543002" y="3001291"/>
                </a:moveTo>
                <a:cubicBezTo>
                  <a:pt x="5525215" y="3001291"/>
                  <a:pt x="5510785" y="2988013"/>
                  <a:pt x="5510785" y="2971638"/>
                </a:cubicBezTo>
                <a:cubicBezTo>
                  <a:pt x="5510785" y="2955264"/>
                  <a:pt x="5525215" y="2941986"/>
                  <a:pt x="5543002" y="2941986"/>
                </a:cubicBezTo>
                <a:cubicBezTo>
                  <a:pt x="5560789" y="2941986"/>
                  <a:pt x="5575206" y="2955264"/>
                  <a:pt x="5575206" y="2971638"/>
                </a:cubicBezTo>
                <a:cubicBezTo>
                  <a:pt x="5575206" y="2988013"/>
                  <a:pt x="5560789" y="3001291"/>
                  <a:pt x="5543002" y="3001291"/>
                </a:cubicBezTo>
                <a:close/>
                <a:moveTo>
                  <a:pt x="5621536" y="3001291"/>
                </a:moveTo>
                <a:cubicBezTo>
                  <a:pt x="5603749" y="3001291"/>
                  <a:pt x="5589320" y="2988013"/>
                  <a:pt x="5589320" y="2971638"/>
                </a:cubicBezTo>
                <a:cubicBezTo>
                  <a:pt x="5589320" y="2955264"/>
                  <a:pt x="5603749" y="2941986"/>
                  <a:pt x="5621536" y="2941986"/>
                </a:cubicBezTo>
                <a:cubicBezTo>
                  <a:pt x="5639323" y="2941986"/>
                  <a:pt x="5653740" y="2955264"/>
                  <a:pt x="5653740" y="2971638"/>
                </a:cubicBezTo>
                <a:cubicBezTo>
                  <a:pt x="5653740" y="2988013"/>
                  <a:pt x="5639323" y="3001291"/>
                  <a:pt x="5621536" y="3001291"/>
                </a:cubicBezTo>
                <a:close/>
                <a:moveTo>
                  <a:pt x="5700069" y="3001291"/>
                </a:moveTo>
                <a:cubicBezTo>
                  <a:pt x="5682282" y="3001291"/>
                  <a:pt x="5667853" y="2988013"/>
                  <a:pt x="5667853" y="2971638"/>
                </a:cubicBezTo>
                <a:cubicBezTo>
                  <a:pt x="5667853" y="2955264"/>
                  <a:pt x="5682282" y="2941986"/>
                  <a:pt x="5700069" y="2941986"/>
                </a:cubicBezTo>
                <a:cubicBezTo>
                  <a:pt x="5717857" y="2941986"/>
                  <a:pt x="5732274" y="2955264"/>
                  <a:pt x="5732274" y="2971638"/>
                </a:cubicBezTo>
                <a:cubicBezTo>
                  <a:pt x="5732274" y="2988013"/>
                  <a:pt x="5717857" y="3001291"/>
                  <a:pt x="5700069" y="3001291"/>
                </a:cubicBezTo>
                <a:close/>
                <a:moveTo>
                  <a:pt x="5778604" y="3001291"/>
                </a:moveTo>
                <a:cubicBezTo>
                  <a:pt x="5760816" y="3001291"/>
                  <a:pt x="5746387" y="2988013"/>
                  <a:pt x="5746387" y="2971638"/>
                </a:cubicBezTo>
                <a:cubicBezTo>
                  <a:pt x="5746387" y="2955264"/>
                  <a:pt x="5760816" y="2941986"/>
                  <a:pt x="5778604" y="2941986"/>
                </a:cubicBezTo>
                <a:cubicBezTo>
                  <a:pt x="5796391" y="2941986"/>
                  <a:pt x="5810808" y="2955264"/>
                  <a:pt x="5810808" y="2971638"/>
                </a:cubicBezTo>
                <a:cubicBezTo>
                  <a:pt x="5810808" y="2988013"/>
                  <a:pt x="5796391" y="3001291"/>
                  <a:pt x="5778604" y="3001291"/>
                </a:cubicBezTo>
                <a:close/>
                <a:moveTo>
                  <a:pt x="5857137" y="3001291"/>
                </a:moveTo>
                <a:cubicBezTo>
                  <a:pt x="5839350" y="3001291"/>
                  <a:pt x="5824920" y="2988013"/>
                  <a:pt x="5824920" y="2971638"/>
                </a:cubicBezTo>
                <a:cubicBezTo>
                  <a:pt x="5824920" y="2955264"/>
                  <a:pt x="5839350" y="2941986"/>
                  <a:pt x="5857137" y="2941986"/>
                </a:cubicBezTo>
                <a:cubicBezTo>
                  <a:pt x="5874924" y="2941986"/>
                  <a:pt x="5889341" y="2955264"/>
                  <a:pt x="5889341" y="2971638"/>
                </a:cubicBezTo>
                <a:cubicBezTo>
                  <a:pt x="5889341" y="2988013"/>
                  <a:pt x="5874924" y="3001291"/>
                  <a:pt x="5857137" y="3001291"/>
                </a:cubicBezTo>
                <a:close/>
                <a:moveTo>
                  <a:pt x="5935671" y="3001291"/>
                </a:moveTo>
                <a:cubicBezTo>
                  <a:pt x="5917884" y="3001291"/>
                  <a:pt x="5903455" y="2988013"/>
                  <a:pt x="5903455" y="2971638"/>
                </a:cubicBezTo>
                <a:cubicBezTo>
                  <a:pt x="5903455" y="2955264"/>
                  <a:pt x="5917884" y="2941986"/>
                  <a:pt x="5935671" y="2941986"/>
                </a:cubicBezTo>
                <a:cubicBezTo>
                  <a:pt x="5953458" y="2941986"/>
                  <a:pt x="5967875" y="2955264"/>
                  <a:pt x="5967875" y="2971638"/>
                </a:cubicBezTo>
                <a:cubicBezTo>
                  <a:pt x="5967875" y="2988013"/>
                  <a:pt x="5953458" y="3001291"/>
                  <a:pt x="5935671" y="3001291"/>
                </a:cubicBezTo>
                <a:close/>
                <a:moveTo>
                  <a:pt x="6014205" y="3001291"/>
                </a:moveTo>
                <a:cubicBezTo>
                  <a:pt x="5996418" y="3001291"/>
                  <a:pt x="5981989" y="2988013"/>
                  <a:pt x="5981989" y="2971638"/>
                </a:cubicBezTo>
                <a:cubicBezTo>
                  <a:pt x="5981989" y="2955264"/>
                  <a:pt x="5996418" y="2941986"/>
                  <a:pt x="6014205" y="2941986"/>
                </a:cubicBezTo>
                <a:cubicBezTo>
                  <a:pt x="6031993" y="2941986"/>
                  <a:pt x="6046410" y="2955264"/>
                  <a:pt x="6046410" y="2971638"/>
                </a:cubicBezTo>
                <a:cubicBezTo>
                  <a:pt x="6046410" y="2988013"/>
                  <a:pt x="6031993" y="3001291"/>
                  <a:pt x="6014205" y="3001291"/>
                </a:cubicBezTo>
                <a:close/>
                <a:moveTo>
                  <a:pt x="6092739" y="3001291"/>
                </a:moveTo>
                <a:cubicBezTo>
                  <a:pt x="6074951" y="3001291"/>
                  <a:pt x="6060522" y="2988013"/>
                  <a:pt x="6060522" y="2971638"/>
                </a:cubicBezTo>
                <a:cubicBezTo>
                  <a:pt x="6060522" y="2955264"/>
                  <a:pt x="6074951" y="2941986"/>
                  <a:pt x="6092739" y="2941986"/>
                </a:cubicBezTo>
                <a:cubicBezTo>
                  <a:pt x="6110526" y="2941986"/>
                  <a:pt x="6124943" y="2955264"/>
                  <a:pt x="6124943" y="2971638"/>
                </a:cubicBezTo>
                <a:cubicBezTo>
                  <a:pt x="6124943" y="2988013"/>
                  <a:pt x="6110526" y="3001291"/>
                  <a:pt x="6092739" y="3001291"/>
                </a:cubicBezTo>
                <a:close/>
                <a:moveTo>
                  <a:pt x="6171273" y="3001291"/>
                </a:moveTo>
                <a:cubicBezTo>
                  <a:pt x="6153486" y="3001291"/>
                  <a:pt x="6139056" y="2988013"/>
                  <a:pt x="6139056" y="2971638"/>
                </a:cubicBezTo>
                <a:cubicBezTo>
                  <a:pt x="6139056" y="2955264"/>
                  <a:pt x="6153486" y="2941986"/>
                  <a:pt x="6171273" y="2941986"/>
                </a:cubicBezTo>
                <a:cubicBezTo>
                  <a:pt x="6189060" y="2941986"/>
                  <a:pt x="6203477" y="2955264"/>
                  <a:pt x="6203477" y="2971638"/>
                </a:cubicBezTo>
                <a:cubicBezTo>
                  <a:pt x="6203477" y="2988013"/>
                  <a:pt x="6189060" y="3001291"/>
                  <a:pt x="6171273" y="3001291"/>
                </a:cubicBezTo>
                <a:close/>
                <a:moveTo>
                  <a:pt x="6249806" y="3001291"/>
                </a:moveTo>
                <a:cubicBezTo>
                  <a:pt x="6232019" y="3001291"/>
                  <a:pt x="6217590" y="2988013"/>
                  <a:pt x="6217590" y="2971638"/>
                </a:cubicBezTo>
                <a:cubicBezTo>
                  <a:pt x="6217590" y="2955264"/>
                  <a:pt x="6232019" y="2941986"/>
                  <a:pt x="6249806" y="2941986"/>
                </a:cubicBezTo>
                <a:cubicBezTo>
                  <a:pt x="6267593" y="2941986"/>
                  <a:pt x="6282010" y="2955264"/>
                  <a:pt x="6282010" y="2971638"/>
                </a:cubicBezTo>
                <a:cubicBezTo>
                  <a:pt x="6282010" y="2988013"/>
                  <a:pt x="6267593" y="3001291"/>
                  <a:pt x="6249806" y="3001291"/>
                </a:cubicBezTo>
                <a:close/>
                <a:moveTo>
                  <a:pt x="6328340" y="3001291"/>
                </a:moveTo>
                <a:cubicBezTo>
                  <a:pt x="6310553" y="3001291"/>
                  <a:pt x="6296124" y="2988013"/>
                  <a:pt x="6296124" y="2971638"/>
                </a:cubicBezTo>
                <a:cubicBezTo>
                  <a:pt x="6296124" y="2955264"/>
                  <a:pt x="6310553" y="2941986"/>
                  <a:pt x="6328340" y="2941986"/>
                </a:cubicBezTo>
                <a:cubicBezTo>
                  <a:pt x="6346128" y="2941986"/>
                  <a:pt x="6360545" y="2955264"/>
                  <a:pt x="6360545" y="2971638"/>
                </a:cubicBezTo>
                <a:cubicBezTo>
                  <a:pt x="6360545" y="2988013"/>
                  <a:pt x="6346128" y="3001291"/>
                  <a:pt x="6328340" y="3001291"/>
                </a:cubicBezTo>
                <a:close/>
                <a:moveTo>
                  <a:pt x="6406875" y="3001291"/>
                </a:moveTo>
                <a:cubicBezTo>
                  <a:pt x="6389087" y="3001291"/>
                  <a:pt x="6374658" y="2988013"/>
                  <a:pt x="6374658" y="2971638"/>
                </a:cubicBezTo>
                <a:cubicBezTo>
                  <a:pt x="6374658" y="2955264"/>
                  <a:pt x="6389087" y="2941986"/>
                  <a:pt x="6406875" y="2941986"/>
                </a:cubicBezTo>
                <a:cubicBezTo>
                  <a:pt x="6424662" y="2941986"/>
                  <a:pt x="6439079" y="2955264"/>
                  <a:pt x="6439079" y="2971638"/>
                </a:cubicBezTo>
                <a:cubicBezTo>
                  <a:pt x="6439079" y="2988013"/>
                  <a:pt x="6424662" y="3001291"/>
                  <a:pt x="6406875" y="3001291"/>
                </a:cubicBezTo>
                <a:close/>
                <a:moveTo>
                  <a:pt x="6485408" y="3001291"/>
                </a:moveTo>
                <a:cubicBezTo>
                  <a:pt x="6467621" y="3001291"/>
                  <a:pt x="6453191" y="2988013"/>
                  <a:pt x="6453191" y="2971638"/>
                </a:cubicBezTo>
                <a:cubicBezTo>
                  <a:pt x="6453191" y="2955264"/>
                  <a:pt x="6467621" y="2941986"/>
                  <a:pt x="6485408" y="2941986"/>
                </a:cubicBezTo>
                <a:cubicBezTo>
                  <a:pt x="6503195" y="2941986"/>
                  <a:pt x="6517612" y="2955264"/>
                  <a:pt x="6517612" y="2971638"/>
                </a:cubicBezTo>
                <a:cubicBezTo>
                  <a:pt x="6517612" y="2988013"/>
                  <a:pt x="6503195" y="3001291"/>
                  <a:pt x="6485408" y="3001291"/>
                </a:cubicBezTo>
                <a:close/>
                <a:moveTo>
                  <a:pt x="6563942" y="3001291"/>
                </a:moveTo>
                <a:cubicBezTo>
                  <a:pt x="6546155" y="3001291"/>
                  <a:pt x="6531726" y="2988013"/>
                  <a:pt x="6531726" y="2971638"/>
                </a:cubicBezTo>
                <a:cubicBezTo>
                  <a:pt x="6531726" y="2955264"/>
                  <a:pt x="6546155" y="2941986"/>
                  <a:pt x="6563942" y="2941986"/>
                </a:cubicBezTo>
                <a:cubicBezTo>
                  <a:pt x="6581729" y="2941986"/>
                  <a:pt x="6596146" y="2955264"/>
                  <a:pt x="6596146" y="2971638"/>
                </a:cubicBezTo>
                <a:cubicBezTo>
                  <a:pt x="6596146" y="2988013"/>
                  <a:pt x="6581729" y="3001291"/>
                  <a:pt x="6563942" y="3001291"/>
                </a:cubicBezTo>
                <a:close/>
                <a:moveTo>
                  <a:pt x="6642476" y="3001291"/>
                </a:moveTo>
                <a:cubicBezTo>
                  <a:pt x="6624689" y="3001291"/>
                  <a:pt x="6610260" y="2988013"/>
                  <a:pt x="6610260" y="2971638"/>
                </a:cubicBezTo>
                <a:cubicBezTo>
                  <a:pt x="6610260" y="2955264"/>
                  <a:pt x="6624689" y="2941986"/>
                  <a:pt x="6642476" y="2941986"/>
                </a:cubicBezTo>
                <a:cubicBezTo>
                  <a:pt x="6660264" y="2941986"/>
                  <a:pt x="6674681" y="2955264"/>
                  <a:pt x="6674681" y="2971638"/>
                </a:cubicBezTo>
                <a:cubicBezTo>
                  <a:pt x="6674681" y="2988013"/>
                  <a:pt x="6660264" y="3001291"/>
                  <a:pt x="6642476" y="3001291"/>
                </a:cubicBezTo>
                <a:close/>
                <a:moveTo>
                  <a:pt x="6721010" y="3001291"/>
                </a:moveTo>
                <a:cubicBezTo>
                  <a:pt x="6703222" y="3001291"/>
                  <a:pt x="6688793" y="2988013"/>
                  <a:pt x="6688793" y="2971638"/>
                </a:cubicBezTo>
                <a:cubicBezTo>
                  <a:pt x="6688793" y="2955264"/>
                  <a:pt x="6703222" y="2941986"/>
                  <a:pt x="6721010" y="2941986"/>
                </a:cubicBezTo>
                <a:cubicBezTo>
                  <a:pt x="6738797" y="2941986"/>
                  <a:pt x="6753214" y="2955264"/>
                  <a:pt x="6753214" y="2971638"/>
                </a:cubicBezTo>
                <a:cubicBezTo>
                  <a:pt x="6753214" y="2988013"/>
                  <a:pt x="6738797" y="3001291"/>
                  <a:pt x="6721010" y="3001291"/>
                </a:cubicBezTo>
                <a:close/>
                <a:moveTo>
                  <a:pt x="6799544" y="3001291"/>
                </a:moveTo>
                <a:cubicBezTo>
                  <a:pt x="6781757" y="3001291"/>
                  <a:pt x="6767327" y="2988013"/>
                  <a:pt x="6767327" y="2971638"/>
                </a:cubicBezTo>
                <a:cubicBezTo>
                  <a:pt x="6767327" y="2955264"/>
                  <a:pt x="6781757" y="2941986"/>
                  <a:pt x="6799544" y="2941986"/>
                </a:cubicBezTo>
                <a:cubicBezTo>
                  <a:pt x="6817331" y="2941986"/>
                  <a:pt x="6831748" y="2955264"/>
                  <a:pt x="6831748" y="2971638"/>
                </a:cubicBezTo>
                <a:cubicBezTo>
                  <a:pt x="6831748" y="2988013"/>
                  <a:pt x="6817331" y="3001291"/>
                  <a:pt x="6799544" y="3001291"/>
                </a:cubicBezTo>
                <a:close/>
                <a:moveTo>
                  <a:pt x="6878077" y="3001291"/>
                </a:moveTo>
                <a:cubicBezTo>
                  <a:pt x="6860290" y="3001291"/>
                  <a:pt x="6845861" y="2988013"/>
                  <a:pt x="6845861" y="2971638"/>
                </a:cubicBezTo>
                <a:cubicBezTo>
                  <a:pt x="6845861" y="2955264"/>
                  <a:pt x="6860290" y="2941986"/>
                  <a:pt x="6878077" y="2941986"/>
                </a:cubicBezTo>
                <a:cubicBezTo>
                  <a:pt x="6895864" y="2941986"/>
                  <a:pt x="6910281" y="2955264"/>
                  <a:pt x="6910281" y="2971638"/>
                </a:cubicBezTo>
                <a:cubicBezTo>
                  <a:pt x="6910281" y="2988013"/>
                  <a:pt x="6895864" y="3001291"/>
                  <a:pt x="6878077" y="3001291"/>
                </a:cubicBezTo>
                <a:close/>
                <a:moveTo>
                  <a:pt x="6956611" y="3001291"/>
                </a:moveTo>
                <a:cubicBezTo>
                  <a:pt x="6938824" y="3001291"/>
                  <a:pt x="6924395" y="2988013"/>
                  <a:pt x="6924395" y="2971638"/>
                </a:cubicBezTo>
                <a:cubicBezTo>
                  <a:pt x="6924395" y="2955264"/>
                  <a:pt x="6938824" y="2941986"/>
                  <a:pt x="6956611" y="2941986"/>
                </a:cubicBezTo>
                <a:cubicBezTo>
                  <a:pt x="6974399" y="2941986"/>
                  <a:pt x="6988816" y="2955264"/>
                  <a:pt x="6988816" y="2971638"/>
                </a:cubicBezTo>
                <a:cubicBezTo>
                  <a:pt x="6988816" y="2988013"/>
                  <a:pt x="6974399" y="3001291"/>
                  <a:pt x="6956611" y="3001291"/>
                </a:cubicBezTo>
                <a:close/>
                <a:moveTo>
                  <a:pt x="7035146" y="3001291"/>
                </a:moveTo>
                <a:cubicBezTo>
                  <a:pt x="7017358" y="3001291"/>
                  <a:pt x="7002929" y="2988013"/>
                  <a:pt x="7002929" y="2971638"/>
                </a:cubicBezTo>
                <a:cubicBezTo>
                  <a:pt x="7002929" y="2955264"/>
                  <a:pt x="7017358" y="2941986"/>
                  <a:pt x="7035146" y="2941986"/>
                </a:cubicBezTo>
                <a:cubicBezTo>
                  <a:pt x="7052933" y="2941986"/>
                  <a:pt x="7067350" y="2955264"/>
                  <a:pt x="7067350" y="2971638"/>
                </a:cubicBezTo>
                <a:cubicBezTo>
                  <a:pt x="7067350" y="2988013"/>
                  <a:pt x="7052933" y="3001291"/>
                  <a:pt x="7035146" y="3001291"/>
                </a:cubicBezTo>
                <a:close/>
                <a:moveTo>
                  <a:pt x="7192237" y="3001291"/>
                </a:moveTo>
                <a:cubicBezTo>
                  <a:pt x="7174450" y="3001291"/>
                  <a:pt x="7160021" y="2988013"/>
                  <a:pt x="7160021" y="2971638"/>
                </a:cubicBezTo>
                <a:cubicBezTo>
                  <a:pt x="7160021" y="2955264"/>
                  <a:pt x="7174450" y="2941986"/>
                  <a:pt x="7192237" y="2941986"/>
                </a:cubicBezTo>
                <a:cubicBezTo>
                  <a:pt x="7210024" y="2941986"/>
                  <a:pt x="7224441" y="2955264"/>
                  <a:pt x="7224441" y="2971638"/>
                </a:cubicBezTo>
                <a:cubicBezTo>
                  <a:pt x="7224441" y="2988013"/>
                  <a:pt x="7210024" y="3001291"/>
                  <a:pt x="7192237" y="3001291"/>
                </a:cubicBezTo>
                <a:close/>
                <a:moveTo>
                  <a:pt x="8134643" y="3001291"/>
                </a:moveTo>
                <a:cubicBezTo>
                  <a:pt x="8116856" y="3001291"/>
                  <a:pt x="8102427" y="2988013"/>
                  <a:pt x="8102427" y="2971638"/>
                </a:cubicBezTo>
                <a:cubicBezTo>
                  <a:pt x="8102427" y="2955264"/>
                  <a:pt x="8116856" y="2941986"/>
                  <a:pt x="8134643" y="2941986"/>
                </a:cubicBezTo>
                <a:cubicBezTo>
                  <a:pt x="8152430" y="2941986"/>
                  <a:pt x="8166847" y="2955264"/>
                  <a:pt x="8166847" y="2971638"/>
                </a:cubicBezTo>
                <a:cubicBezTo>
                  <a:pt x="8166847" y="2988013"/>
                  <a:pt x="8152430" y="3001291"/>
                  <a:pt x="8134643" y="3001291"/>
                </a:cubicBezTo>
                <a:close/>
                <a:moveTo>
                  <a:pt x="8213177" y="3001291"/>
                </a:moveTo>
                <a:cubicBezTo>
                  <a:pt x="8195390" y="3001291"/>
                  <a:pt x="8180961" y="2988013"/>
                  <a:pt x="8180961" y="2971638"/>
                </a:cubicBezTo>
                <a:cubicBezTo>
                  <a:pt x="8180961" y="2955264"/>
                  <a:pt x="8195390" y="2941986"/>
                  <a:pt x="8213177" y="2941986"/>
                </a:cubicBezTo>
                <a:cubicBezTo>
                  <a:pt x="8230965" y="2941986"/>
                  <a:pt x="8245382" y="2955264"/>
                  <a:pt x="8245382" y="2971638"/>
                </a:cubicBezTo>
                <a:cubicBezTo>
                  <a:pt x="8245382" y="2988013"/>
                  <a:pt x="8230965" y="3001291"/>
                  <a:pt x="8213177" y="3001291"/>
                </a:cubicBezTo>
                <a:close/>
                <a:moveTo>
                  <a:pt x="8919983" y="3001291"/>
                </a:moveTo>
                <a:cubicBezTo>
                  <a:pt x="8902195" y="3001291"/>
                  <a:pt x="8887766" y="2988013"/>
                  <a:pt x="8887766" y="2971638"/>
                </a:cubicBezTo>
                <a:cubicBezTo>
                  <a:pt x="8887766" y="2955264"/>
                  <a:pt x="8902195" y="2941986"/>
                  <a:pt x="8919983" y="2941986"/>
                </a:cubicBezTo>
                <a:cubicBezTo>
                  <a:pt x="8937770" y="2941986"/>
                  <a:pt x="8952187" y="2955264"/>
                  <a:pt x="8952187" y="2971638"/>
                </a:cubicBezTo>
                <a:cubicBezTo>
                  <a:pt x="8952187" y="2988013"/>
                  <a:pt x="8937770" y="3001291"/>
                  <a:pt x="8919983" y="3001291"/>
                </a:cubicBezTo>
                <a:close/>
                <a:moveTo>
                  <a:pt x="8998516" y="3001291"/>
                </a:moveTo>
                <a:cubicBezTo>
                  <a:pt x="8980729" y="3001291"/>
                  <a:pt x="8966300" y="2988013"/>
                  <a:pt x="8966300" y="2971638"/>
                </a:cubicBezTo>
                <a:cubicBezTo>
                  <a:pt x="8966300" y="2955264"/>
                  <a:pt x="8980729" y="2941986"/>
                  <a:pt x="8998516" y="2941986"/>
                </a:cubicBezTo>
                <a:cubicBezTo>
                  <a:pt x="9016303" y="2941986"/>
                  <a:pt x="9030720" y="2955264"/>
                  <a:pt x="9030720" y="2971638"/>
                </a:cubicBezTo>
                <a:cubicBezTo>
                  <a:pt x="9030720" y="2988013"/>
                  <a:pt x="9016303" y="3001291"/>
                  <a:pt x="8998516" y="3001291"/>
                </a:cubicBezTo>
                <a:close/>
                <a:moveTo>
                  <a:pt x="9077050" y="3001291"/>
                </a:moveTo>
                <a:cubicBezTo>
                  <a:pt x="9059263" y="3001291"/>
                  <a:pt x="9044834" y="2988013"/>
                  <a:pt x="9044834" y="2971638"/>
                </a:cubicBezTo>
                <a:cubicBezTo>
                  <a:pt x="9044834" y="2955264"/>
                  <a:pt x="9059263" y="2941986"/>
                  <a:pt x="9077050" y="2941986"/>
                </a:cubicBezTo>
                <a:cubicBezTo>
                  <a:pt x="9094837" y="2941986"/>
                  <a:pt x="9109254" y="2955264"/>
                  <a:pt x="9109254" y="2971638"/>
                </a:cubicBezTo>
                <a:cubicBezTo>
                  <a:pt x="9109254" y="2988013"/>
                  <a:pt x="9094837" y="3001291"/>
                  <a:pt x="9077050" y="3001291"/>
                </a:cubicBezTo>
                <a:close/>
                <a:moveTo>
                  <a:pt x="9469719" y="3001291"/>
                </a:moveTo>
                <a:cubicBezTo>
                  <a:pt x="9451932" y="3001291"/>
                  <a:pt x="9437503" y="2988013"/>
                  <a:pt x="9437503" y="2971638"/>
                </a:cubicBezTo>
                <a:cubicBezTo>
                  <a:pt x="9437503" y="2955264"/>
                  <a:pt x="9451932" y="2941986"/>
                  <a:pt x="9469719" y="2941986"/>
                </a:cubicBezTo>
                <a:cubicBezTo>
                  <a:pt x="9487507" y="2941986"/>
                  <a:pt x="9501924" y="2955264"/>
                  <a:pt x="9501924" y="2971638"/>
                </a:cubicBezTo>
                <a:cubicBezTo>
                  <a:pt x="9501924" y="2988013"/>
                  <a:pt x="9487507" y="3001291"/>
                  <a:pt x="9469719" y="3001291"/>
                </a:cubicBezTo>
                <a:close/>
                <a:moveTo>
                  <a:pt x="3501115" y="2929026"/>
                </a:moveTo>
                <a:cubicBezTo>
                  <a:pt x="3483328" y="2929026"/>
                  <a:pt x="3468905" y="2915748"/>
                  <a:pt x="3468905" y="2899374"/>
                </a:cubicBezTo>
                <a:cubicBezTo>
                  <a:pt x="3468905" y="2882999"/>
                  <a:pt x="3483328" y="2869722"/>
                  <a:pt x="3501115" y="2869722"/>
                </a:cubicBezTo>
                <a:cubicBezTo>
                  <a:pt x="3518903" y="2869722"/>
                  <a:pt x="3533326" y="2882999"/>
                  <a:pt x="3533326" y="2899374"/>
                </a:cubicBezTo>
                <a:cubicBezTo>
                  <a:pt x="3533326" y="2915748"/>
                  <a:pt x="3518903" y="2929026"/>
                  <a:pt x="3501115" y="2929026"/>
                </a:cubicBezTo>
                <a:close/>
                <a:moveTo>
                  <a:pt x="3815250" y="2929026"/>
                </a:moveTo>
                <a:cubicBezTo>
                  <a:pt x="3797463" y="2929026"/>
                  <a:pt x="3783040" y="2915748"/>
                  <a:pt x="3783040" y="2899374"/>
                </a:cubicBezTo>
                <a:cubicBezTo>
                  <a:pt x="3783040" y="2882999"/>
                  <a:pt x="3797463" y="2869722"/>
                  <a:pt x="3815250" y="2869722"/>
                </a:cubicBezTo>
                <a:cubicBezTo>
                  <a:pt x="3833038" y="2869722"/>
                  <a:pt x="3847461" y="2882999"/>
                  <a:pt x="3847461" y="2899374"/>
                </a:cubicBezTo>
                <a:cubicBezTo>
                  <a:pt x="3847461" y="2915748"/>
                  <a:pt x="3833038" y="2929026"/>
                  <a:pt x="3815250" y="2929026"/>
                </a:cubicBezTo>
                <a:close/>
                <a:moveTo>
                  <a:pt x="5543002" y="2929026"/>
                </a:moveTo>
                <a:cubicBezTo>
                  <a:pt x="5525215" y="2929026"/>
                  <a:pt x="5510785" y="2915748"/>
                  <a:pt x="5510785" y="2899374"/>
                </a:cubicBezTo>
                <a:cubicBezTo>
                  <a:pt x="5510785" y="2882999"/>
                  <a:pt x="5525215" y="2869722"/>
                  <a:pt x="5543002" y="2869722"/>
                </a:cubicBezTo>
                <a:cubicBezTo>
                  <a:pt x="5560789" y="2869722"/>
                  <a:pt x="5575206" y="2882999"/>
                  <a:pt x="5575206" y="2899374"/>
                </a:cubicBezTo>
                <a:cubicBezTo>
                  <a:pt x="5575206" y="2915748"/>
                  <a:pt x="5560789" y="2929026"/>
                  <a:pt x="5543002" y="2929026"/>
                </a:cubicBezTo>
                <a:close/>
                <a:moveTo>
                  <a:pt x="5621536" y="2929026"/>
                </a:moveTo>
                <a:cubicBezTo>
                  <a:pt x="5603749" y="2929026"/>
                  <a:pt x="5589320" y="2915748"/>
                  <a:pt x="5589320" y="2899374"/>
                </a:cubicBezTo>
                <a:cubicBezTo>
                  <a:pt x="5589320" y="2882999"/>
                  <a:pt x="5603749" y="2869722"/>
                  <a:pt x="5621536" y="2869722"/>
                </a:cubicBezTo>
                <a:cubicBezTo>
                  <a:pt x="5639323" y="2869722"/>
                  <a:pt x="5653740" y="2882999"/>
                  <a:pt x="5653740" y="2899374"/>
                </a:cubicBezTo>
                <a:cubicBezTo>
                  <a:pt x="5653740" y="2915748"/>
                  <a:pt x="5639323" y="2929026"/>
                  <a:pt x="5621536" y="2929026"/>
                </a:cubicBezTo>
                <a:close/>
                <a:moveTo>
                  <a:pt x="5700069" y="2929026"/>
                </a:moveTo>
                <a:cubicBezTo>
                  <a:pt x="5682282" y="2929026"/>
                  <a:pt x="5667853" y="2915748"/>
                  <a:pt x="5667853" y="2899374"/>
                </a:cubicBezTo>
                <a:cubicBezTo>
                  <a:pt x="5667853" y="2882999"/>
                  <a:pt x="5682282" y="2869722"/>
                  <a:pt x="5700069" y="2869722"/>
                </a:cubicBezTo>
                <a:cubicBezTo>
                  <a:pt x="5717857" y="2869722"/>
                  <a:pt x="5732274" y="2882999"/>
                  <a:pt x="5732274" y="2899374"/>
                </a:cubicBezTo>
                <a:cubicBezTo>
                  <a:pt x="5732274" y="2915748"/>
                  <a:pt x="5717857" y="2929026"/>
                  <a:pt x="5700069" y="2929026"/>
                </a:cubicBezTo>
                <a:close/>
                <a:moveTo>
                  <a:pt x="5778604" y="2929026"/>
                </a:moveTo>
                <a:cubicBezTo>
                  <a:pt x="5760816" y="2929026"/>
                  <a:pt x="5746387" y="2915748"/>
                  <a:pt x="5746387" y="2899374"/>
                </a:cubicBezTo>
                <a:cubicBezTo>
                  <a:pt x="5746387" y="2882999"/>
                  <a:pt x="5760816" y="2869722"/>
                  <a:pt x="5778604" y="2869722"/>
                </a:cubicBezTo>
                <a:cubicBezTo>
                  <a:pt x="5796391" y="2869722"/>
                  <a:pt x="5810808" y="2882999"/>
                  <a:pt x="5810808" y="2899374"/>
                </a:cubicBezTo>
                <a:cubicBezTo>
                  <a:pt x="5810808" y="2915748"/>
                  <a:pt x="5796391" y="2929026"/>
                  <a:pt x="5778604" y="2929026"/>
                </a:cubicBezTo>
                <a:close/>
                <a:moveTo>
                  <a:pt x="5857137" y="2929026"/>
                </a:moveTo>
                <a:cubicBezTo>
                  <a:pt x="5839350" y="2929026"/>
                  <a:pt x="5824920" y="2915748"/>
                  <a:pt x="5824920" y="2899374"/>
                </a:cubicBezTo>
                <a:cubicBezTo>
                  <a:pt x="5824920" y="2882999"/>
                  <a:pt x="5839350" y="2869722"/>
                  <a:pt x="5857137" y="2869722"/>
                </a:cubicBezTo>
                <a:cubicBezTo>
                  <a:pt x="5874924" y="2869722"/>
                  <a:pt x="5889341" y="2882999"/>
                  <a:pt x="5889341" y="2899374"/>
                </a:cubicBezTo>
                <a:cubicBezTo>
                  <a:pt x="5889341" y="2915748"/>
                  <a:pt x="5874924" y="2929026"/>
                  <a:pt x="5857137" y="2929026"/>
                </a:cubicBezTo>
                <a:close/>
                <a:moveTo>
                  <a:pt x="5935671" y="2929026"/>
                </a:moveTo>
                <a:cubicBezTo>
                  <a:pt x="5917884" y="2929026"/>
                  <a:pt x="5903455" y="2915748"/>
                  <a:pt x="5903455" y="2899374"/>
                </a:cubicBezTo>
                <a:cubicBezTo>
                  <a:pt x="5903455" y="2882999"/>
                  <a:pt x="5917884" y="2869722"/>
                  <a:pt x="5935671" y="2869722"/>
                </a:cubicBezTo>
                <a:cubicBezTo>
                  <a:pt x="5953458" y="2869722"/>
                  <a:pt x="5967875" y="2882999"/>
                  <a:pt x="5967875" y="2899374"/>
                </a:cubicBezTo>
                <a:cubicBezTo>
                  <a:pt x="5967875" y="2915748"/>
                  <a:pt x="5953458" y="2929026"/>
                  <a:pt x="5935671" y="2929026"/>
                </a:cubicBezTo>
                <a:close/>
                <a:moveTo>
                  <a:pt x="6014205" y="2929026"/>
                </a:moveTo>
                <a:cubicBezTo>
                  <a:pt x="5996418" y="2929026"/>
                  <a:pt x="5981989" y="2915748"/>
                  <a:pt x="5981989" y="2899374"/>
                </a:cubicBezTo>
                <a:cubicBezTo>
                  <a:pt x="5981989" y="2882999"/>
                  <a:pt x="5996418" y="2869722"/>
                  <a:pt x="6014205" y="2869722"/>
                </a:cubicBezTo>
                <a:cubicBezTo>
                  <a:pt x="6031993" y="2869722"/>
                  <a:pt x="6046410" y="2882999"/>
                  <a:pt x="6046410" y="2899374"/>
                </a:cubicBezTo>
                <a:cubicBezTo>
                  <a:pt x="6046410" y="2915748"/>
                  <a:pt x="6031993" y="2929026"/>
                  <a:pt x="6014205" y="2929026"/>
                </a:cubicBezTo>
                <a:close/>
                <a:moveTo>
                  <a:pt x="6092739" y="2929026"/>
                </a:moveTo>
                <a:cubicBezTo>
                  <a:pt x="6074951" y="2929026"/>
                  <a:pt x="6060522" y="2915748"/>
                  <a:pt x="6060522" y="2899374"/>
                </a:cubicBezTo>
                <a:cubicBezTo>
                  <a:pt x="6060522" y="2882999"/>
                  <a:pt x="6074951" y="2869722"/>
                  <a:pt x="6092739" y="2869722"/>
                </a:cubicBezTo>
                <a:cubicBezTo>
                  <a:pt x="6110526" y="2869722"/>
                  <a:pt x="6124943" y="2882999"/>
                  <a:pt x="6124943" y="2899374"/>
                </a:cubicBezTo>
                <a:cubicBezTo>
                  <a:pt x="6124943" y="2915748"/>
                  <a:pt x="6110526" y="2929026"/>
                  <a:pt x="6092739" y="2929026"/>
                </a:cubicBezTo>
                <a:close/>
                <a:moveTo>
                  <a:pt x="6171273" y="2929026"/>
                </a:moveTo>
                <a:cubicBezTo>
                  <a:pt x="6153486" y="2929026"/>
                  <a:pt x="6139056" y="2915748"/>
                  <a:pt x="6139056" y="2899374"/>
                </a:cubicBezTo>
                <a:cubicBezTo>
                  <a:pt x="6139056" y="2882999"/>
                  <a:pt x="6153486" y="2869722"/>
                  <a:pt x="6171273" y="2869722"/>
                </a:cubicBezTo>
                <a:cubicBezTo>
                  <a:pt x="6189060" y="2869722"/>
                  <a:pt x="6203477" y="2882999"/>
                  <a:pt x="6203477" y="2899374"/>
                </a:cubicBezTo>
                <a:cubicBezTo>
                  <a:pt x="6203477" y="2915748"/>
                  <a:pt x="6189060" y="2929026"/>
                  <a:pt x="6171273" y="2929026"/>
                </a:cubicBezTo>
                <a:close/>
                <a:moveTo>
                  <a:pt x="6249806" y="2929026"/>
                </a:moveTo>
                <a:cubicBezTo>
                  <a:pt x="6232019" y="2929026"/>
                  <a:pt x="6217590" y="2915748"/>
                  <a:pt x="6217590" y="2899374"/>
                </a:cubicBezTo>
                <a:cubicBezTo>
                  <a:pt x="6217590" y="2882999"/>
                  <a:pt x="6232019" y="2869722"/>
                  <a:pt x="6249806" y="2869722"/>
                </a:cubicBezTo>
                <a:cubicBezTo>
                  <a:pt x="6267593" y="2869722"/>
                  <a:pt x="6282010" y="2882999"/>
                  <a:pt x="6282010" y="2899374"/>
                </a:cubicBezTo>
                <a:cubicBezTo>
                  <a:pt x="6282010" y="2915748"/>
                  <a:pt x="6267593" y="2929026"/>
                  <a:pt x="6249806" y="2929026"/>
                </a:cubicBezTo>
                <a:close/>
                <a:moveTo>
                  <a:pt x="6328340" y="2929026"/>
                </a:moveTo>
                <a:cubicBezTo>
                  <a:pt x="6310553" y="2929026"/>
                  <a:pt x="6296124" y="2915748"/>
                  <a:pt x="6296124" y="2899374"/>
                </a:cubicBezTo>
                <a:cubicBezTo>
                  <a:pt x="6296124" y="2882999"/>
                  <a:pt x="6310553" y="2869722"/>
                  <a:pt x="6328340" y="2869722"/>
                </a:cubicBezTo>
                <a:cubicBezTo>
                  <a:pt x="6346128" y="2869722"/>
                  <a:pt x="6360545" y="2882999"/>
                  <a:pt x="6360545" y="2899374"/>
                </a:cubicBezTo>
                <a:cubicBezTo>
                  <a:pt x="6360545" y="2915748"/>
                  <a:pt x="6346128" y="2929026"/>
                  <a:pt x="6328340" y="2929026"/>
                </a:cubicBezTo>
                <a:close/>
                <a:moveTo>
                  <a:pt x="6406875" y="2929026"/>
                </a:moveTo>
                <a:cubicBezTo>
                  <a:pt x="6389087" y="2929026"/>
                  <a:pt x="6374658" y="2915748"/>
                  <a:pt x="6374658" y="2899374"/>
                </a:cubicBezTo>
                <a:cubicBezTo>
                  <a:pt x="6374658" y="2882999"/>
                  <a:pt x="6389087" y="2869722"/>
                  <a:pt x="6406875" y="2869722"/>
                </a:cubicBezTo>
                <a:cubicBezTo>
                  <a:pt x="6424662" y="2869722"/>
                  <a:pt x="6439079" y="2882999"/>
                  <a:pt x="6439079" y="2899374"/>
                </a:cubicBezTo>
                <a:cubicBezTo>
                  <a:pt x="6439079" y="2915748"/>
                  <a:pt x="6424662" y="2929026"/>
                  <a:pt x="6406875" y="2929026"/>
                </a:cubicBezTo>
                <a:close/>
                <a:moveTo>
                  <a:pt x="6485408" y="2929026"/>
                </a:moveTo>
                <a:cubicBezTo>
                  <a:pt x="6467621" y="2929026"/>
                  <a:pt x="6453191" y="2915748"/>
                  <a:pt x="6453191" y="2899374"/>
                </a:cubicBezTo>
                <a:cubicBezTo>
                  <a:pt x="6453191" y="2882999"/>
                  <a:pt x="6467621" y="2869722"/>
                  <a:pt x="6485408" y="2869722"/>
                </a:cubicBezTo>
                <a:cubicBezTo>
                  <a:pt x="6503195" y="2869722"/>
                  <a:pt x="6517612" y="2882999"/>
                  <a:pt x="6517612" y="2899374"/>
                </a:cubicBezTo>
                <a:cubicBezTo>
                  <a:pt x="6517612" y="2915748"/>
                  <a:pt x="6503195" y="2929026"/>
                  <a:pt x="6485408" y="2929026"/>
                </a:cubicBezTo>
                <a:close/>
                <a:moveTo>
                  <a:pt x="6563942" y="2929026"/>
                </a:moveTo>
                <a:cubicBezTo>
                  <a:pt x="6546155" y="2929026"/>
                  <a:pt x="6531726" y="2915748"/>
                  <a:pt x="6531726" y="2899374"/>
                </a:cubicBezTo>
                <a:cubicBezTo>
                  <a:pt x="6531726" y="2882999"/>
                  <a:pt x="6546155" y="2869722"/>
                  <a:pt x="6563942" y="2869722"/>
                </a:cubicBezTo>
                <a:cubicBezTo>
                  <a:pt x="6581729" y="2869722"/>
                  <a:pt x="6596146" y="2882999"/>
                  <a:pt x="6596146" y="2899374"/>
                </a:cubicBezTo>
                <a:cubicBezTo>
                  <a:pt x="6596146" y="2915748"/>
                  <a:pt x="6581729" y="2929026"/>
                  <a:pt x="6563942" y="2929026"/>
                </a:cubicBezTo>
                <a:close/>
                <a:moveTo>
                  <a:pt x="6642476" y="2929026"/>
                </a:moveTo>
                <a:cubicBezTo>
                  <a:pt x="6624689" y="2929026"/>
                  <a:pt x="6610260" y="2915748"/>
                  <a:pt x="6610260" y="2899374"/>
                </a:cubicBezTo>
                <a:cubicBezTo>
                  <a:pt x="6610260" y="2882999"/>
                  <a:pt x="6624689" y="2869722"/>
                  <a:pt x="6642476" y="2869722"/>
                </a:cubicBezTo>
                <a:cubicBezTo>
                  <a:pt x="6660264" y="2869722"/>
                  <a:pt x="6674681" y="2882999"/>
                  <a:pt x="6674681" y="2899374"/>
                </a:cubicBezTo>
                <a:cubicBezTo>
                  <a:pt x="6674681" y="2915748"/>
                  <a:pt x="6660264" y="2929026"/>
                  <a:pt x="6642476" y="2929026"/>
                </a:cubicBezTo>
                <a:close/>
                <a:moveTo>
                  <a:pt x="6721010" y="2929026"/>
                </a:moveTo>
                <a:cubicBezTo>
                  <a:pt x="6703222" y="2929026"/>
                  <a:pt x="6688793" y="2915748"/>
                  <a:pt x="6688793" y="2899374"/>
                </a:cubicBezTo>
                <a:cubicBezTo>
                  <a:pt x="6688793" y="2882999"/>
                  <a:pt x="6703222" y="2869722"/>
                  <a:pt x="6721010" y="2869722"/>
                </a:cubicBezTo>
                <a:cubicBezTo>
                  <a:pt x="6738797" y="2869722"/>
                  <a:pt x="6753214" y="2882999"/>
                  <a:pt x="6753214" y="2899374"/>
                </a:cubicBezTo>
                <a:cubicBezTo>
                  <a:pt x="6753214" y="2915748"/>
                  <a:pt x="6738797" y="2929026"/>
                  <a:pt x="6721010" y="2929026"/>
                </a:cubicBezTo>
                <a:close/>
                <a:moveTo>
                  <a:pt x="6799544" y="2929026"/>
                </a:moveTo>
                <a:cubicBezTo>
                  <a:pt x="6781757" y="2929026"/>
                  <a:pt x="6767327" y="2915748"/>
                  <a:pt x="6767327" y="2899374"/>
                </a:cubicBezTo>
                <a:cubicBezTo>
                  <a:pt x="6767327" y="2882999"/>
                  <a:pt x="6781757" y="2869722"/>
                  <a:pt x="6799544" y="2869722"/>
                </a:cubicBezTo>
                <a:cubicBezTo>
                  <a:pt x="6817331" y="2869722"/>
                  <a:pt x="6831748" y="2882999"/>
                  <a:pt x="6831748" y="2899374"/>
                </a:cubicBezTo>
                <a:cubicBezTo>
                  <a:pt x="6831748" y="2915748"/>
                  <a:pt x="6817331" y="2929026"/>
                  <a:pt x="6799544" y="2929026"/>
                </a:cubicBezTo>
                <a:close/>
                <a:moveTo>
                  <a:pt x="6878077" y="2929026"/>
                </a:moveTo>
                <a:cubicBezTo>
                  <a:pt x="6860290" y="2929026"/>
                  <a:pt x="6845861" y="2915748"/>
                  <a:pt x="6845861" y="2899374"/>
                </a:cubicBezTo>
                <a:cubicBezTo>
                  <a:pt x="6845861" y="2882999"/>
                  <a:pt x="6860290" y="2869722"/>
                  <a:pt x="6878077" y="2869722"/>
                </a:cubicBezTo>
                <a:cubicBezTo>
                  <a:pt x="6895864" y="2869722"/>
                  <a:pt x="6910281" y="2882999"/>
                  <a:pt x="6910281" y="2899374"/>
                </a:cubicBezTo>
                <a:cubicBezTo>
                  <a:pt x="6910281" y="2915748"/>
                  <a:pt x="6895864" y="2929026"/>
                  <a:pt x="6878077" y="2929026"/>
                </a:cubicBezTo>
                <a:close/>
                <a:moveTo>
                  <a:pt x="6956611" y="2929026"/>
                </a:moveTo>
                <a:cubicBezTo>
                  <a:pt x="6938824" y="2929026"/>
                  <a:pt x="6924395" y="2915748"/>
                  <a:pt x="6924395" y="2899374"/>
                </a:cubicBezTo>
                <a:cubicBezTo>
                  <a:pt x="6924395" y="2882999"/>
                  <a:pt x="6938824" y="2869722"/>
                  <a:pt x="6956611" y="2869722"/>
                </a:cubicBezTo>
                <a:cubicBezTo>
                  <a:pt x="6974399" y="2869722"/>
                  <a:pt x="6988816" y="2882999"/>
                  <a:pt x="6988816" y="2899374"/>
                </a:cubicBezTo>
                <a:cubicBezTo>
                  <a:pt x="6988816" y="2915748"/>
                  <a:pt x="6974399" y="2929026"/>
                  <a:pt x="6956611" y="2929026"/>
                </a:cubicBezTo>
                <a:close/>
                <a:moveTo>
                  <a:pt x="7035146" y="2929026"/>
                </a:moveTo>
                <a:cubicBezTo>
                  <a:pt x="7017358" y="2929026"/>
                  <a:pt x="7002929" y="2915748"/>
                  <a:pt x="7002929" y="2899374"/>
                </a:cubicBezTo>
                <a:cubicBezTo>
                  <a:pt x="7002929" y="2882999"/>
                  <a:pt x="7017358" y="2869722"/>
                  <a:pt x="7035146" y="2869722"/>
                </a:cubicBezTo>
                <a:cubicBezTo>
                  <a:pt x="7052933" y="2869722"/>
                  <a:pt x="7067350" y="2882999"/>
                  <a:pt x="7067350" y="2899374"/>
                </a:cubicBezTo>
                <a:cubicBezTo>
                  <a:pt x="7067350" y="2915748"/>
                  <a:pt x="7052933" y="2929026"/>
                  <a:pt x="7035146" y="2929026"/>
                </a:cubicBezTo>
                <a:close/>
                <a:moveTo>
                  <a:pt x="7113703" y="2929026"/>
                </a:moveTo>
                <a:cubicBezTo>
                  <a:pt x="7095916" y="2929026"/>
                  <a:pt x="7081487" y="2915748"/>
                  <a:pt x="7081487" y="2899374"/>
                </a:cubicBezTo>
                <a:cubicBezTo>
                  <a:pt x="7081487" y="2882999"/>
                  <a:pt x="7095916" y="2869722"/>
                  <a:pt x="7113703" y="2869722"/>
                </a:cubicBezTo>
                <a:cubicBezTo>
                  <a:pt x="7131490" y="2869722"/>
                  <a:pt x="7145907" y="2882999"/>
                  <a:pt x="7145907" y="2899374"/>
                </a:cubicBezTo>
                <a:cubicBezTo>
                  <a:pt x="7145907" y="2915748"/>
                  <a:pt x="7131490" y="2929026"/>
                  <a:pt x="7113703" y="2929026"/>
                </a:cubicBezTo>
                <a:close/>
                <a:moveTo>
                  <a:pt x="7427839" y="2929026"/>
                </a:moveTo>
                <a:cubicBezTo>
                  <a:pt x="7410052" y="2929026"/>
                  <a:pt x="7395623" y="2915748"/>
                  <a:pt x="7395623" y="2899374"/>
                </a:cubicBezTo>
                <a:cubicBezTo>
                  <a:pt x="7395623" y="2882999"/>
                  <a:pt x="7410052" y="2869722"/>
                  <a:pt x="7427839" y="2869722"/>
                </a:cubicBezTo>
                <a:cubicBezTo>
                  <a:pt x="7445626" y="2869722"/>
                  <a:pt x="7460043" y="2882999"/>
                  <a:pt x="7460043" y="2899374"/>
                </a:cubicBezTo>
                <a:cubicBezTo>
                  <a:pt x="7460043" y="2915748"/>
                  <a:pt x="7445626" y="2929026"/>
                  <a:pt x="7427839" y="2929026"/>
                </a:cubicBezTo>
                <a:close/>
                <a:moveTo>
                  <a:pt x="8213177" y="2929026"/>
                </a:moveTo>
                <a:cubicBezTo>
                  <a:pt x="8195390" y="2929026"/>
                  <a:pt x="8180961" y="2915748"/>
                  <a:pt x="8180961" y="2899374"/>
                </a:cubicBezTo>
                <a:cubicBezTo>
                  <a:pt x="8180961" y="2882999"/>
                  <a:pt x="8195390" y="2869722"/>
                  <a:pt x="8213177" y="2869722"/>
                </a:cubicBezTo>
                <a:cubicBezTo>
                  <a:pt x="8230965" y="2869722"/>
                  <a:pt x="8245382" y="2882999"/>
                  <a:pt x="8245382" y="2899374"/>
                </a:cubicBezTo>
                <a:cubicBezTo>
                  <a:pt x="8245382" y="2915748"/>
                  <a:pt x="8230965" y="2929026"/>
                  <a:pt x="8213177" y="2929026"/>
                </a:cubicBezTo>
                <a:close/>
                <a:moveTo>
                  <a:pt x="8841448" y="2929026"/>
                </a:moveTo>
                <a:cubicBezTo>
                  <a:pt x="8823661" y="2929026"/>
                  <a:pt x="8809232" y="2915748"/>
                  <a:pt x="8809232" y="2899374"/>
                </a:cubicBezTo>
                <a:cubicBezTo>
                  <a:pt x="8809232" y="2882999"/>
                  <a:pt x="8823661" y="2869722"/>
                  <a:pt x="8841448" y="2869722"/>
                </a:cubicBezTo>
                <a:cubicBezTo>
                  <a:pt x="8859236" y="2869722"/>
                  <a:pt x="8873653" y="2882999"/>
                  <a:pt x="8873653" y="2899374"/>
                </a:cubicBezTo>
                <a:cubicBezTo>
                  <a:pt x="8873653" y="2915748"/>
                  <a:pt x="8859236" y="2929026"/>
                  <a:pt x="8841448" y="2929026"/>
                </a:cubicBezTo>
                <a:close/>
                <a:moveTo>
                  <a:pt x="8998516" y="2929026"/>
                </a:moveTo>
                <a:cubicBezTo>
                  <a:pt x="8980729" y="2929026"/>
                  <a:pt x="8966300" y="2915748"/>
                  <a:pt x="8966300" y="2899374"/>
                </a:cubicBezTo>
                <a:cubicBezTo>
                  <a:pt x="8966300" y="2882999"/>
                  <a:pt x="8980729" y="2869722"/>
                  <a:pt x="8998516" y="2869722"/>
                </a:cubicBezTo>
                <a:cubicBezTo>
                  <a:pt x="9016303" y="2869722"/>
                  <a:pt x="9030720" y="2882999"/>
                  <a:pt x="9030720" y="2899374"/>
                </a:cubicBezTo>
                <a:cubicBezTo>
                  <a:pt x="9030720" y="2915748"/>
                  <a:pt x="9016303" y="2929026"/>
                  <a:pt x="8998516" y="2929026"/>
                </a:cubicBezTo>
                <a:close/>
                <a:moveTo>
                  <a:pt x="9077050" y="2929026"/>
                </a:moveTo>
                <a:cubicBezTo>
                  <a:pt x="9059263" y="2929026"/>
                  <a:pt x="9044834" y="2915748"/>
                  <a:pt x="9044834" y="2899374"/>
                </a:cubicBezTo>
                <a:cubicBezTo>
                  <a:pt x="9044834" y="2882999"/>
                  <a:pt x="9059263" y="2869722"/>
                  <a:pt x="9077050" y="2869722"/>
                </a:cubicBezTo>
                <a:cubicBezTo>
                  <a:pt x="9094837" y="2869722"/>
                  <a:pt x="9109254" y="2882999"/>
                  <a:pt x="9109254" y="2899374"/>
                </a:cubicBezTo>
                <a:cubicBezTo>
                  <a:pt x="9109254" y="2915748"/>
                  <a:pt x="9094837" y="2929026"/>
                  <a:pt x="9077050" y="2929026"/>
                </a:cubicBezTo>
                <a:close/>
                <a:moveTo>
                  <a:pt x="9548254" y="2929026"/>
                </a:moveTo>
                <a:cubicBezTo>
                  <a:pt x="9530466" y="2929026"/>
                  <a:pt x="9516037" y="2915748"/>
                  <a:pt x="9516037" y="2899374"/>
                </a:cubicBezTo>
                <a:cubicBezTo>
                  <a:pt x="9516037" y="2882999"/>
                  <a:pt x="9530466" y="2869722"/>
                  <a:pt x="9548254" y="2869722"/>
                </a:cubicBezTo>
                <a:cubicBezTo>
                  <a:pt x="9566041" y="2869722"/>
                  <a:pt x="9580458" y="2882999"/>
                  <a:pt x="9580458" y="2899374"/>
                </a:cubicBezTo>
                <a:cubicBezTo>
                  <a:pt x="9580458" y="2915748"/>
                  <a:pt x="9566041" y="2929026"/>
                  <a:pt x="9548254" y="2929026"/>
                </a:cubicBezTo>
                <a:close/>
                <a:moveTo>
                  <a:pt x="3579650" y="2856760"/>
                </a:moveTo>
                <a:cubicBezTo>
                  <a:pt x="3561862" y="2856760"/>
                  <a:pt x="3547439" y="2843483"/>
                  <a:pt x="3547439" y="2827108"/>
                </a:cubicBezTo>
                <a:cubicBezTo>
                  <a:pt x="3547439" y="2810733"/>
                  <a:pt x="3561862" y="2797456"/>
                  <a:pt x="3579650" y="2797456"/>
                </a:cubicBezTo>
                <a:cubicBezTo>
                  <a:pt x="3597437" y="2797456"/>
                  <a:pt x="3611860" y="2810733"/>
                  <a:pt x="3611860" y="2827108"/>
                </a:cubicBezTo>
                <a:cubicBezTo>
                  <a:pt x="3611860" y="2843483"/>
                  <a:pt x="3597437" y="2856760"/>
                  <a:pt x="3579650" y="2856760"/>
                </a:cubicBezTo>
                <a:close/>
                <a:moveTo>
                  <a:pt x="3658183" y="2856760"/>
                </a:moveTo>
                <a:cubicBezTo>
                  <a:pt x="3640396" y="2856760"/>
                  <a:pt x="3625972" y="2843483"/>
                  <a:pt x="3625972" y="2827108"/>
                </a:cubicBezTo>
                <a:cubicBezTo>
                  <a:pt x="3625972" y="2810733"/>
                  <a:pt x="3640396" y="2797456"/>
                  <a:pt x="3658183" y="2797456"/>
                </a:cubicBezTo>
                <a:cubicBezTo>
                  <a:pt x="3675970" y="2797456"/>
                  <a:pt x="3690393" y="2810733"/>
                  <a:pt x="3690393" y="2827108"/>
                </a:cubicBezTo>
                <a:cubicBezTo>
                  <a:pt x="3690393" y="2843483"/>
                  <a:pt x="3675970" y="2856760"/>
                  <a:pt x="3658183" y="2856760"/>
                </a:cubicBezTo>
                <a:close/>
                <a:moveTo>
                  <a:pt x="3736717" y="2856760"/>
                </a:moveTo>
                <a:cubicBezTo>
                  <a:pt x="3718930" y="2856760"/>
                  <a:pt x="3704507" y="2843483"/>
                  <a:pt x="3704507" y="2827108"/>
                </a:cubicBezTo>
                <a:cubicBezTo>
                  <a:pt x="3704507" y="2810733"/>
                  <a:pt x="3718930" y="2797456"/>
                  <a:pt x="3736717" y="2797456"/>
                </a:cubicBezTo>
                <a:cubicBezTo>
                  <a:pt x="3754504" y="2797456"/>
                  <a:pt x="3768927" y="2810733"/>
                  <a:pt x="3768927" y="2827108"/>
                </a:cubicBezTo>
                <a:cubicBezTo>
                  <a:pt x="3768927" y="2843483"/>
                  <a:pt x="3754504" y="2856760"/>
                  <a:pt x="3736717" y="2856760"/>
                </a:cubicBezTo>
                <a:close/>
                <a:moveTo>
                  <a:pt x="3815250" y="2856760"/>
                </a:moveTo>
                <a:cubicBezTo>
                  <a:pt x="3797463" y="2856760"/>
                  <a:pt x="3783040" y="2843483"/>
                  <a:pt x="3783040" y="2827108"/>
                </a:cubicBezTo>
                <a:cubicBezTo>
                  <a:pt x="3783040" y="2810733"/>
                  <a:pt x="3797463" y="2797456"/>
                  <a:pt x="3815250" y="2797456"/>
                </a:cubicBezTo>
                <a:cubicBezTo>
                  <a:pt x="3833038" y="2797456"/>
                  <a:pt x="3847461" y="2810733"/>
                  <a:pt x="3847461" y="2827108"/>
                </a:cubicBezTo>
                <a:cubicBezTo>
                  <a:pt x="3847461" y="2843483"/>
                  <a:pt x="3833038" y="2856760"/>
                  <a:pt x="3815250" y="2856760"/>
                </a:cubicBezTo>
                <a:close/>
                <a:moveTo>
                  <a:pt x="3893785" y="2856760"/>
                </a:moveTo>
                <a:cubicBezTo>
                  <a:pt x="3875997" y="2856760"/>
                  <a:pt x="3861574" y="2843483"/>
                  <a:pt x="3861574" y="2827108"/>
                </a:cubicBezTo>
                <a:cubicBezTo>
                  <a:pt x="3861574" y="2810733"/>
                  <a:pt x="3875997" y="2797456"/>
                  <a:pt x="3893785" y="2797456"/>
                </a:cubicBezTo>
                <a:cubicBezTo>
                  <a:pt x="3911572" y="2797456"/>
                  <a:pt x="3925995" y="2810733"/>
                  <a:pt x="3925995" y="2827108"/>
                </a:cubicBezTo>
                <a:cubicBezTo>
                  <a:pt x="3925995" y="2843483"/>
                  <a:pt x="3911572" y="2856760"/>
                  <a:pt x="3893785" y="2856760"/>
                </a:cubicBezTo>
                <a:close/>
                <a:moveTo>
                  <a:pt x="3972319" y="2856760"/>
                </a:moveTo>
                <a:cubicBezTo>
                  <a:pt x="3954532" y="2856760"/>
                  <a:pt x="3940108" y="2843483"/>
                  <a:pt x="3940108" y="2827108"/>
                </a:cubicBezTo>
                <a:cubicBezTo>
                  <a:pt x="3940108" y="2810733"/>
                  <a:pt x="3954532" y="2797456"/>
                  <a:pt x="3972319" y="2797456"/>
                </a:cubicBezTo>
                <a:cubicBezTo>
                  <a:pt x="3990106" y="2797456"/>
                  <a:pt x="4004529" y="2810733"/>
                  <a:pt x="4004529" y="2827108"/>
                </a:cubicBezTo>
                <a:cubicBezTo>
                  <a:pt x="4004529" y="2843483"/>
                  <a:pt x="3990106" y="2856760"/>
                  <a:pt x="3972319" y="2856760"/>
                </a:cubicBezTo>
                <a:close/>
                <a:moveTo>
                  <a:pt x="4050852" y="2856760"/>
                </a:moveTo>
                <a:cubicBezTo>
                  <a:pt x="4033065" y="2856760"/>
                  <a:pt x="4018642" y="2843483"/>
                  <a:pt x="4018642" y="2827108"/>
                </a:cubicBezTo>
                <a:cubicBezTo>
                  <a:pt x="4018642" y="2810733"/>
                  <a:pt x="4033065" y="2797456"/>
                  <a:pt x="4050852" y="2797456"/>
                </a:cubicBezTo>
                <a:cubicBezTo>
                  <a:pt x="4068639" y="2797456"/>
                  <a:pt x="4083062" y="2810733"/>
                  <a:pt x="4083062" y="2827108"/>
                </a:cubicBezTo>
                <a:cubicBezTo>
                  <a:pt x="4083062" y="2843483"/>
                  <a:pt x="4068639" y="2856760"/>
                  <a:pt x="4050852" y="2856760"/>
                </a:cubicBezTo>
                <a:close/>
                <a:moveTo>
                  <a:pt x="4129386" y="2856760"/>
                </a:moveTo>
                <a:cubicBezTo>
                  <a:pt x="4111599" y="2856760"/>
                  <a:pt x="4097176" y="2843483"/>
                  <a:pt x="4097176" y="2827108"/>
                </a:cubicBezTo>
                <a:cubicBezTo>
                  <a:pt x="4097176" y="2810733"/>
                  <a:pt x="4111599" y="2797456"/>
                  <a:pt x="4129386" y="2797456"/>
                </a:cubicBezTo>
                <a:cubicBezTo>
                  <a:pt x="4147174" y="2797456"/>
                  <a:pt x="4161597" y="2810733"/>
                  <a:pt x="4161597" y="2827108"/>
                </a:cubicBezTo>
                <a:cubicBezTo>
                  <a:pt x="4161597" y="2843483"/>
                  <a:pt x="4147174" y="2856760"/>
                  <a:pt x="4129386" y="2856760"/>
                </a:cubicBezTo>
                <a:close/>
                <a:moveTo>
                  <a:pt x="5621536" y="2856760"/>
                </a:moveTo>
                <a:cubicBezTo>
                  <a:pt x="5603749" y="2856760"/>
                  <a:pt x="5589320" y="2843483"/>
                  <a:pt x="5589320" y="2827108"/>
                </a:cubicBezTo>
                <a:cubicBezTo>
                  <a:pt x="5589320" y="2810733"/>
                  <a:pt x="5603749" y="2797456"/>
                  <a:pt x="5621536" y="2797456"/>
                </a:cubicBezTo>
                <a:cubicBezTo>
                  <a:pt x="5639323" y="2797456"/>
                  <a:pt x="5653740" y="2810733"/>
                  <a:pt x="5653740" y="2827108"/>
                </a:cubicBezTo>
                <a:cubicBezTo>
                  <a:pt x="5653740" y="2843483"/>
                  <a:pt x="5639323" y="2856760"/>
                  <a:pt x="5621536" y="2856760"/>
                </a:cubicBezTo>
                <a:close/>
                <a:moveTo>
                  <a:pt x="5700069" y="2856760"/>
                </a:moveTo>
                <a:cubicBezTo>
                  <a:pt x="5682282" y="2856760"/>
                  <a:pt x="5667853" y="2843483"/>
                  <a:pt x="5667853" y="2827108"/>
                </a:cubicBezTo>
                <a:cubicBezTo>
                  <a:pt x="5667853" y="2810733"/>
                  <a:pt x="5682282" y="2797456"/>
                  <a:pt x="5700069" y="2797456"/>
                </a:cubicBezTo>
                <a:cubicBezTo>
                  <a:pt x="5717857" y="2797456"/>
                  <a:pt x="5732274" y="2810733"/>
                  <a:pt x="5732274" y="2827108"/>
                </a:cubicBezTo>
                <a:cubicBezTo>
                  <a:pt x="5732274" y="2843483"/>
                  <a:pt x="5717857" y="2856760"/>
                  <a:pt x="5700069" y="2856760"/>
                </a:cubicBezTo>
                <a:close/>
                <a:moveTo>
                  <a:pt x="5778604" y="2856760"/>
                </a:moveTo>
                <a:cubicBezTo>
                  <a:pt x="5760816" y="2856760"/>
                  <a:pt x="5746387" y="2843483"/>
                  <a:pt x="5746387" y="2827108"/>
                </a:cubicBezTo>
                <a:cubicBezTo>
                  <a:pt x="5746387" y="2810733"/>
                  <a:pt x="5760816" y="2797456"/>
                  <a:pt x="5778604" y="2797456"/>
                </a:cubicBezTo>
                <a:cubicBezTo>
                  <a:pt x="5796391" y="2797456"/>
                  <a:pt x="5810808" y="2810733"/>
                  <a:pt x="5810808" y="2827108"/>
                </a:cubicBezTo>
                <a:cubicBezTo>
                  <a:pt x="5810808" y="2843483"/>
                  <a:pt x="5796391" y="2856760"/>
                  <a:pt x="5778604" y="2856760"/>
                </a:cubicBezTo>
                <a:close/>
                <a:moveTo>
                  <a:pt x="5857137" y="2856760"/>
                </a:moveTo>
                <a:cubicBezTo>
                  <a:pt x="5839350" y="2856760"/>
                  <a:pt x="5824920" y="2843483"/>
                  <a:pt x="5824920" y="2827108"/>
                </a:cubicBezTo>
                <a:cubicBezTo>
                  <a:pt x="5824920" y="2810733"/>
                  <a:pt x="5839350" y="2797456"/>
                  <a:pt x="5857137" y="2797456"/>
                </a:cubicBezTo>
                <a:cubicBezTo>
                  <a:pt x="5874924" y="2797456"/>
                  <a:pt x="5889341" y="2810733"/>
                  <a:pt x="5889341" y="2827108"/>
                </a:cubicBezTo>
                <a:cubicBezTo>
                  <a:pt x="5889341" y="2843483"/>
                  <a:pt x="5874924" y="2856760"/>
                  <a:pt x="5857137" y="2856760"/>
                </a:cubicBezTo>
                <a:close/>
                <a:moveTo>
                  <a:pt x="5935671" y="2856760"/>
                </a:moveTo>
                <a:cubicBezTo>
                  <a:pt x="5917884" y="2856760"/>
                  <a:pt x="5903455" y="2843483"/>
                  <a:pt x="5903455" y="2827108"/>
                </a:cubicBezTo>
                <a:cubicBezTo>
                  <a:pt x="5903455" y="2810733"/>
                  <a:pt x="5917884" y="2797456"/>
                  <a:pt x="5935671" y="2797456"/>
                </a:cubicBezTo>
                <a:cubicBezTo>
                  <a:pt x="5953458" y="2797456"/>
                  <a:pt x="5967875" y="2810733"/>
                  <a:pt x="5967875" y="2827108"/>
                </a:cubicBezTo>
                <a:cubicBezTo>
                  <a:pt x="5967875" y="2843483"/>
                  <a:pt x="5953458" y="2856760"/>
                  <a:pt x="5935671" y="2856760"/>
                </a:cubicBezTo>
                <a:close/>
                <a:moveTo>
                  <a:pt x="6014205" y="2856760"/>
                </a:moveTo>
                <a:cubicBezTo>
                  <a:pt x="5996418" y="2856760"/>
                  <a:pt x="5981989" y="2843483"/>
                  <a:pt x="5981989" y="2827108"/>
                </a:cubicBezTo>
                <a:cubicBezTo>
                  <a:pt x="5981989" y="2810733"/>
                  <a:pt x="5996418" y="2797456"/>
                  <a:pt x="6014205" y="2797456"/>
                </a:cubicBezTo>
                <a:cubicBezTo>
                  <a:pt x="6031993" y="2797456"/>
                  <a:pt x="6046410" y="2810733"/>
                  <a:pt x="6046410" y="2827108"/>
                </a:cubicBezTo>
                <a:cubicBezTo>
                  <a:pt x="6046410" y="2843483"/>
                  <a:pt x="6031993" y="2856760"/>
                  <a:pt x="6014205" y="2856760"/>
                </a:cubicBezTo>
                <a:close/>
                <a:moveTo>
                  <a:pt x="6092739" y="2856760"/>
                </a:moveTo>
                <a:cubicBezTo>
                  <a:pt x="6074951" y="2856760"/>
                  <a:pt x="6060522" y="2843483"/>
                  <a:pt x="6060522" y="2827108"/>
                </a:cubicBezTo>
                <a:cubicBezTo>
                  <a:pt x="6060522" y="2810733"/>
                  <a:pt x="6074951" y="2797456"/>
                  <a:pt x="6092739" y="2797456"/>
                </a:cubicBezTo>
                <a:cubicBezTo>
                  <a:pt x="6110526" y="2797456"/>
                  <a:pt x="6124943" y="2810733"/>
                  <a:pt x="6124943" y="2827108"/>
                </a:cubicBezTo>
                <a:cubicBezTo>
                  <a:pt x="6124943" y="2843483"/>
                  <a:pt x="6110526" y="2856760"/>
                  <a:pt x="6092739" y="2856760"/>
                </a:cubicBezTo>
                <a:close/>
                <a:moveTo>
                  <a:pt x="6171273" y="2856760"/>
                </a:moveTo>
                <a:cubicBezTo>
                  <a:pt x="6153486" y="2856760"/>
                  <a:pt x="6139056" y="2843483"/>
                  <a:pt x="6139056" y="2827108"/>
                </a:cubicBezTo>
                <a:cubicBezTo>
                  <a:pt x="6139056" y="2810733"/>
                  <a:pt x="6153486" y="2797456"/>
                  <a:pt x="6171273" y="2797456"/>
                </a:cubicBezTo>
                <a:cubicBezTo>
                  <a:pt x="6189060" y="2797456"/>
                  <a:pt x="6203477" y="2810733"/>
                  <a:pt x="6203477" y="2827108"/>
                </a:cubicBezTo>
                <a:cubicBezTo>
                  <a:pt x="6203477" y="2843483"/>
                  <a:pt x="6189060" y="2856760"/>
                  <a:pt x="6171273" y="2856760"/>
                </a:cubicBezTo>
                <a:close/>
                <a:moveTo>
                  <a:pt x="6249806" y="2856760"/>
                </a:moveTo>
                <a:cubicBezTo>
                  <a:pt x="6232019" y="2856760"/>
                  <a:pt x="6217590" y="2843483"/>
                  <a:pt x="6217590" y="2827108"/>
                </a:cubicBezTo>
                <a:cubicBezTo>
                  <a:pt x="6217590" y="2810733"/>
                  <a:pt x="6232019" y="2797456"/>
                  <a:pt x="6249806" y="2797456"/>
                </a:cubicBezTo>
                <a:cubicBezTo>
                  <a:pt x="6267593" y="2797456"/>
                  <a:pt x="6282010" y="2810733"/>
                  <a:pt x="6282010" y="2827108"/>
                </a:cubicBezTo>
                <a:cubicBezTo>
                  <a:pt x="6282010" y="2843483"/>
                  <a:pt x="6267593" y="2856760"/>
                  <a:pt x="6249806" y="2856760"/>
                </a:cubicBezTo>
                <a:close/>
                <a:moveTo>
                  <a:pt x="6328340" y="2856760"/>
                </a:moveTo>
                <a:cubicBezTo>
                  <a:pt x="6310553" y="2856760"/>
                  <a:pt x="6296124" y="2843483"/>
                  <a:pt x="6296124" y="2827108"/>
                </a:cubicBezTo>
                <a:cubicBezTo>
                  <a:pt x="6296124" y="2810733"/>
                  <a:pt x="6310553" y="2797456"/>
                  <a:pt x="6328340" y="2797456"/>
                </a:cubicBezTo>
                <a:cubicBezTo>
                  <a:pt x="6346128" y="2797456"/>
                  <a:pt x="6360545" y="2810733"/>
                  <a:pt x="6360545" y="2827108"/>
                </a:cubicBezTo>
                <a:cubicBezTo>
                  <a:pt x="6360545" y="2843483"/>
                  <a:pt x="6346128" y="2856760"/>
                  <a:pt x="6328340" y="2856760"/>
                </a:cubicBezTo>
                <a:close/>
                <a:moveTo>
                  <a:pt x="6406875" y="2856760"/>
                </a:moveTo>
                <a:cubicBezTo>
                  <a:pt x="6389087" y="2856760"/>
                  <a:pt x="6374658" y="2843483"/>
                  <a:pt x="6374658" y="2827108"/>
                </a:cubicBezTo>
                <a:cubicBezTo>
                  <a:pt x="6374658" y="2810733"/>
                  <a:pt x="6389087" y="2797456"/>
                  <a:pt x="6406875" y="2797456"/>
                </a:cubicBezTo>
                <a:cubicBezTo>
                  <a:pt x="6424662" y="2797456"/>
                  <a:pt x="6439079" y="2810733"/>
                  <a:pt x="6439079" y="2827108"/>
                </a:cubicBezTo>
                <a:cubicBezTo>
                  <a:pt x="6439079" y="2843483"/>
                  <a:pt x="6424662" y="2856760"/>
                  <a:pt x="6406875" y="2856760"/>
                </a:cubicBezTo>
                <a:close/>
                <a:moveTo>
                  <a:pt x="6485408" y="2856760"/>
                </a:moveTo>
                <a:cubicBezTo>
                  <a:pt x="6467621" y="2856760"/>
                  <a:pt x="6453191" y="2843483"/>
                  <a:pt x="6453191" y="2827108"/>
                </a:cubicBezTo>
                <a:cubicBezTo>
                  <a:pt x="6453191" y="2810733"/>
                  <a:pt x="6467621" y="2797456"/>
                  <a:pt x="6485408" y="2797456"/>
                </a:cubicBezTo>
                <a:cubicBezTo>
                  <a:pt x="6503195" y="2797456"/>
                  <a:pt x="6517612" y="2810733"/>
                  <a:pt x="6517612" y="2827108"/>
                </a:cubicBezTo>
                <a:cubicBezTo>
                  <a:pt x="6517612" y="2843483"/>
                  <a:pt x="6503195" y="2856760"/>
                  <a:pt x="6485408" y="2856760"/>
                </a:cubicBezTo>
                <a:close/>
                <a:moveTo>
                  <a:pt x="6563942" y="2856760"/>
                </a:moveTo>
                <a:cubicBezTo>
                  <a:pt x="6546155" y="2856760"/>
                  <a:pt x="6531726" y="2843483"/>
                  <a:pt x="6531726" y="2827108"/>
                </a:cubicBezTo>
                <a:cubicBezTo>
                  <a:pt x="6531726" y="2810733"/>
                  <a:pt x="6546155" y="2797456"/>
                  <a:pt x="6563942" y="2797456"/>
                </a:cubicBezTo>
                <a:cubicBezTo>
                  <a:pt x="6581729" y="2797456"/>
                  <a:pt x="6596146" y="2810733"/>
                  <a:pt x="6596146" y="2827108"/>
                </a:cubicBezTo>
                <a:cubicBezTo>
                  <a:pt x="6596146" y="2843483"/>
                  <a:pt x="6581729" y="2856760"/>
                  <a:pt x="6563942" y="2856760"/>
                </a:cubicBezTo>
                <a:close/>
                <a:moveTo>
                  <a:pt x="6642476" y="2856760"/>
                </a:moveTo>
                <a:cubicBezTo>
                  <a:pt x="6624689" y="2856760"/>
                  <a:pt x="6610260" y="2843483"/>
                  <a:pt x="6610260" y="2827108"/>
                </a:cubicBezTo>
                <a:cubicBezTo>
                  <a:pt x="6610260" y="2810733"/>
                  <a:pt x="6624689" y="2797456"/>
                  <a:pt x="6642476" y="2797456"/>
                </a:cubicBezTo>
                <a:cubicBezTo>
                  <a:pt x="6660264" y="2797456"/>
                  <a:pt x="6674681" y="2810733"/>
                  <a:pt x="6674681" y="2827108"/>
                </a:cubicBezTo>
                <a:cubicBezTo>
                  <a:pt x="6674681" y="2843483"/>
                  <a:pt x="6660264" y="2856760"/>
                  <a:pt x="6642476" y="2856760"/>
                </a:cubicBezTo>
                <a:close/>
                <a:moveTo>
                  <a:pt x="6721010" y="2856760"/>
                </a:moveTo>
                <a:cubicBezTo>
                  <a:pt x="6703222" y="2856760"/>
                  <a:pt x="6688793" y="2843483"/>
                  <a:pt x="6688793" y="2827108"/>
                </a:cubicBezTo>
                <a:cubicBezTo>
                  <a:pt x="6688793" y="2810733"/>
                  <a:pt x="6703222" y="2797456"/>
                  <a:pt x="6721010" y="2797456"/>
                </a:cubicBezTo>
                <a:cubicBezTo>
                  <a:pt x="6738797" y="2797456"/>
                  <a:pt x="6753214" y="2810733"/>
                  <a:pt x="6753214" y="2827108"/>
                </a:cubicBezTo>
                <a:cubicBezTo>
                  <a:pt x="6753214" y="2843483"/>
                  <a:pt x="6738797" y="2856760"/>
                  <a:pt x="6721010" y="2856760"/>
                </a:cubicBezTo>
                <a:close/>
                <a:moveTo>
                  <a:pt x="6799544" y="2856760"/>
                </a:moveTo>
                <a:cubicBezTo>
                  <a:pt x="6781757" y="2856760"/>
                  <a:pt x="6767327" y="2843483"/>
                  <a:pt x="6767327" y="2827108"/>
                </a:cubicBezTo>
                <a:cubicBezTo>
                  <a:pt x="6767327" y="2810733"/>
                  <a:pt x="6781757" y="2797456"/>
                  <a:pt x="6799544" y="2797456"/>
                </a:cubicBezTo>
                <a:cubicBezTo>
                  <a:pt x="6817331" y="2797456"/>
                  <a:pt x="6831748" y="2810733"/>
                  <a:pt x="6831748" y="2827108"/>
                </a:cubicBezTo>
                <a:cubicBezTo>
                  <a:pt x="6831748" y="2843483"/>
                  <a:pt x="6817331" y="2856760"/>
                  <a:pt x="6799544" y="2856760"/>
                </a:cubicBezTo>
                <a:close/>
                <a:moveTo>
                  <a:pt x="6878077" y="2856760"/>
                </a:moveTo>
                <a:cubicBezTo>
                  <a:pt x="6860290" y="2856760"/>
                  <a:pt x="6845861" y="2843483"/>
                  <a:pt x="6845861" y="2827108"/>
                </a:cubicBezTo>
                <a:cubicBezTo>
                  <a:pt x="6845861" y="2810733"/>
                  <a:pt x="6860290" y="2797456"/>
                  <a:pt x="6878077" y="2797456"/>
                </a:cubicBezTo>
                <a:cubicBezTo>
                  <a:pt x="6895864" y="2797456"/>
                  <a:pt x="6910281" y="2810733"/>
                  <a:pt x="6910281" y="2827108"/>
                </a:cubicBezTo>
                <a:cubicBezTo>
                  <a:pt x="6910281" y="2843483"/>
                  <a:pt x="6895864" y="2856760"/>
                  <a:pt x="6878077" y="2856760"/>
                </a:cubicBezTo>
                <a:close/>
                <a:moveTo>
                  <a:pt x="6956611" y="2856760"/>
                </a:moveTo>
                <a:cubicBezTo>
                  <a:pt x="6938824" y="2856760"/>
                  <a:pt x="6924395" y="2843483"/>
                  <a:pt x="6924395" y="2827108"/>
                </a:cubicBezTo>
                <a:cubicBezTo>
                  <a:pt x="6924395" y="2810733"/>
                  <a:pt x="6938824" y="2797456"/>
                  <a:pt x="6956611" y="2797456"/>
                </a:cubicBezTo>
                <a:cubicBezTo>
                  <a:pt x="6974399" y="2797456"/>
                  <a:pt x="6988816" y="2810733"/>
                  <a:pt x="6988816" y="2827108"/>
                </a:cubicBezTo>
                <a:cubicBezTo>
                  <a:pt x="6988816" y="2843483"/>
                  <a:pt x="6974399" y="2856760"/>
                  <a:pt x="6956611" y="2856760"/>
                </a:cubicBezTo>
                <a:close/>
                <a:moveTo>
                  <a:pt x="7035146" y="2856760"/>
                </a:moveTo>
                <a:cubicBezTo>
                  <a:pt x="7017358" y="2856760"/>
                  <a:pt x="7002929" y="2843483"/>
                  <a:pt x="7002929" y="2827108"/>
                </a:cubicBezTo>
                <a:cubicBezTo>
                  <a:pt x="7002929" y="2810733"/>
                  <a:pt x="7017358" y="2797456"/>
                  <a:pt x="7035146" y="2797456"/>
                </a:cubicBezTo>
                <a:cubicBezTo>
                  <a:pt x="7052933" y="2797456"/>
                  <a:pt x="7067350" y="2810733"/>
                  <a:pt x="7067350" y="2827108"/>
                </a:cubicBezTo>
                <a:cubicBezTo>
                  <a:pt x="7067350" y="2843483"/>
                  <a:pt x="7052933" y="2856760"/>
                  <a:pt x="7035146" y="2856760"/>
                </a:cubicBezTo>
                <a:close/>
                <a:moveTo>
                  <a:pt x="7113703" y="2856760"/>
                </a:moveTo>
                <a:cubicBezTo>
                  <a:pt x="7095916" y="2856760"/>
                  <a:pt x="7081487" y="2843483"/>
                  <a:pt x="7081487" y="2827108"/>
                </a:cubicBezTo>
                <a:cubicBezTo>
                  <a:pt x="7081487" y="2810733"/>
                  <a:pt x="7095916" y="2797456"/>
                  <a:pt x="7113703" y="2797456"/>
                </a:cubicBezTo>
                <a:cubicBezTo>
                  <a:pt x="7131490" y="2797456"/>
                  <a:pt x="7145907" y="2810733"/>
                  <a:pt x="7145907" y="2827108"/>
                </a:cubicBezTo>
                <a:cubicBezTo>
                  <a:pt x="7145907" y="2843483"/>
                  <a:pt x="7131490" y="2856760"/>
                  <a:pt x="7113703" y="2856760"/>
                </a:cubicBezTo>
                <a:close/>
                <a:moveTo>
                  <a:pt x="7192237" y="2856760"/>
                </a:moveTo>
                <a:cubicBezTo>
                  <a:pt x="7174450" y="2856760"/>
                  <a:pt x="7160021" y="2843483"/>
                  <a:pt x="7160021" y="2827108"/>
                </a:cubicBezTo>
                <a:cubicBezTo>
                  <a:pt x="7160021" y="2810733"/>
                  <a:pt x="7174450" y="2797456"/>
                  <a:pt x="7192237" y="2797456"/>
                </a:cubicBezTo>
                <a:cubicBezTo>
                  <a:pt x="7210024" y="2797456"/>
                  <a:pt x="7224441" y="2810733"/>
                  <a:pt x="7224441" y="2827108"/>
                </a:cubicBezTo>
                <a:cubicBezTo>
                  <a:pt x="7224441" y="2843483"/>
                  <a:pt x="7210024" y="2856760"/>
                  <a:pt x="7192237" y="2856760"/>
                </a:cubicBezTo>
                <a:close/>
                <a:moveTo>
                  <a:pt x="7270771" y="2856760"/>
                </a:moveTo>
                <a:cubicBezTo>
                  <a:pt x="7252984" y="2856760"/>
                  <a:pt x="7238555" y="2843483"/>
                  <a:pt x="7238555" y="2827108"/>
                </a:cubicBezTo>
                <a:cubicBezTo>
                  <a:pt x="7238555" y="2810733"/>
                  <a:pt x="7252984" y="2797456"/>
                  <a:pt x="7270771" y="2797456"/>
                </a:cubicBezTo>
                <a:cubicBezTo>
                  <a:pt x="7288559" y="2797456"/>
                  <a:pt x="7302976" y="2810733"/>
                  <a:pt x="7302976" y="2827108"/>
                </a:cubicBezTo>
                <a:cubicBezTo>
                  <a:pt x="7302976" y="2843483"/>
                  <a:pt x="7288559" y="2856760"/>
                  <a:pt x="7270771" y="2856760"/>
                </a:cubicBezTo>
                <a:close/>
                <a:moveTo>
                  <a:pt x="7349305" y="2856760"/>
                </a:moveTo>
                <a:cubicBezTo>
                  <a:pt x="7331517" y="2856760"/>
                  <a:pt x="7317088" y="2843483"/>
                  <a:pt x="7317088" y="2827108"/>
                </a:cubicBezTo>
                <a:cubicBezTo>
                  <a:pt x="7317088" y="2810733"/>
                  <a:pt x="7331517" y="2797456"/>
                  <a:pt x="7349305" y="2797456"/>
                </a:cubicBezTo>
                <a:cubicBezTo>
                  <a:pt x="7367092" y="2797456"/>
                  <a:pt x="7381509" y="2810733"/>
                  <a:pt x="7381509" y="2827108"/>
                </a:cubicBezTo>
                <a:cubicBezTo>
                  <a:pt x="7381509" y="2843483"/>
                  <a:pt x="7367092" y="2856760"/>
                  <a:pt x="7349305" y="2856760"/>
                </a:cubicBezTo>
                <a:close/>
                <a:moveTo>
                  <a:pt x="8291712" y="2856760"/>
                </a:moveTo>
                <a:cubicBezTo>
                  <a:pt x="8273924" y="2856760"/>
                  <a:pt x="8259495" y="2843483"/>
                  <a:pt x="8259495" y="2827108"/>
                </a:cubicBezTo>
                <a:cubicBezTo>
                  <a:pt x="8259495" y="2810733"/>
                  <a:pt x="8273924" y="2797456"/>
                  <a:pt x="8291712" y="2797456"/>
                </a:cubicBezTo>
                <a:cubicBezTo>
                  <a:pt x="8309499" y="2797456"/>
                  <a:pt x="8323916" y="2810733"/>
                  <a:pt x="8323916" y="2827108"/>
                </a:cubicBezTo>
                <a:cubicBezTo>
                  <a:pt x="8323916" y="2843483"/>
                  <a:pt x="8309499" y="2856760"/>
                  <a:pt x="8291712" y="2856760"/>
                </a:cubicBezTo>
                <a:close/>
                <a:moveTo>
                  <a:pt x="8841448" y="2856760"/>
                </a:moveTo>
                <a:cubicBezTo>
                  <a:pt x="8823661" y="2856760"/>
                  <a:pt x="8809232" y="2843483"/>
                  <a:pt x="8809232" y="2827108"/>
                </a:cubicBezTo>
                <a:cubicBezTo>
                  <a:pt x="8809232" y="2810733"/>
                  <a:pt x="8823661" y="2797456"/>
                  <a:pt x="8841448" y="2797456"/>
                </a:cubicBezTo>
                <a:cubicBezTo>
                  <a:pt x="8859236" y="2797456"/>
                  <a:pt x="8873653" y="2810733"/>
                  <a:pt x="8873653" y="2827108"/>
                </a:cubicBezTo>
                <a:cubicBezTo>
                  <a:pt x="8873653" y="2843483"/>
                  <a:pt x="8859236" y="2856760"/>
                  <a:pt x="8841448" y="2856760"/>
                </a:cubicBezTo>
                <a:close/>
                <a:moveTo>
                  <a:pt x="9548254" y="2856760"/>
                </a:moveTo>
                <a:cubicBezTo>
                  <a:pt x="9530466" y="2856760"/>
                  <a:pt x="9516037" y="2843483"/>
                  <a:pt x="9516037" y="2827108"/>
                </a:cubicBezTo>
                <a:cubicBezTo>
                  <a:pt x="9516037" y="2810733"/>
                  <a:pt x="9530466" y="2797456"/>
                  <a:pt x="9548254" y="2797456"/>
                </a:cubicBezTo>
                <a:cubicBezTo>
                  <a:pt x="9566041" y="2797456"/>
                  <a:pt x="9580458" y="2810733"/>
                  <a:pt x="9580458" y="2827108"/>
                </a:cubicBezTo>
                <a:cubicBezTo>
                  <a:pt x="9580458" y="2843483"/>
                  <a:pt x="9566041" y="2856760"/>
                  <a:pt x="9548254" y="2856760"/>
                </a:cubicBezTo>
                <a:close/>
                <a:moveTo>
                  <a:pt x="9626787" y="2856760"/>
                </a:moveTo>
                <a:cubicBezTo>
                  <a:pt x="9609000" y="2856760"/>
                  <a:pt x="9594571" y="2843483"/>
                  <a:pt x="9594571" y="2827108"/>
                </a:cubicBezTo>
                <a:cubicBezTo>
                  <a:pt x="9594571" y="2810733"/>
                  <a:pt x="9609000" y="2797456"/>
                  <a:pt x="9626787" y="2797456"/>
                </a:cubicBezTo>
                <a:cubicBezTo>
                  <a:pt x="9644574" y="2797456"/>
                  <a:pt x="9658991" y="2810733"/>
                  <a:pt x="9658991" y="2827108"/>
                </a:cubicBezTo>
                <a:cubicBezTo>
                  <a:pt x="9658991" y="2843483"/>
                  <a:pt x="9644574" y="2856760"/>
                  <a:pt x="9626787" y="2856760"/>
                </a:cubicBezTo>
                <a:close/>
                <a:moveTo>
                  <a:pt x="3736717" y="2784494"/>
                </a:moveTo>
                <a:cubicBezTo>
                  <a:pt x="3718930" y="2784494"/>
                  <a:pt x="3704507" y="2771217"/>
                  <a:pt x="3704507" y="2754842"/>
                </a:cubicBezTo>
                <a:cubicBezTo>
                  <a:pt x="3704507" y="2738468"/>
                  <a:pt x="3718930" y="2725190"/>
                  <a:pt x="3736717" y="2725190"/>
                </a:cubicBezTo>
                <a:cubicBezTo>
                  <a:pt x="3754504" y="2725190"/>
                  <a:pt x="3768927" y="2738468"/>
                  <a:pt x="3768927" y="2754842"/>
                </a:cubicBezTo>
                <a:cubicBezTo>
                  <a:pt x="3768927" y="2771217"/>
                  <a:pt x="3754504" y="2784494"/>
                  <a:pt x="3736717" y="2784494"/>
                </a:cubicBezTo>
                <a:close/>
                <a:moveTo>
                  <a:pt x="3815250" y="2784494"/>
                </a:moveTo>
                <a:cubicBezTo>
                  <a:pt x="3797463" y="2784494"/>
                  <a:pt x="3783040" y="2771217"/>
                  <a:pt x="3783040" y="2754842"/>
                </a:cubicBezTo>
                <a:cubicBezTo>
                  <a:pt x="3783040" y="2738468"/>
                  <a:pt x="3797463" y="2725190"/>
                  <a:pt x="3815250" y="2725190"/>
                </a:cubicBezTo>
                <a:cubicBezTo>
                  <a:pt x="3833038" y="2725190"/>
                  <a:pt x="3847461" y="2738468"/>
                  <a:pt x="3847461" y="2754842"/>
                </a:cubicBezTo>
                <a:cubicBezTo>
                  <a:pt x="3847461" y="2771217"/>
                  <a:pt x="3833038" y="2784494"/>
                  <a:pt x="3815250" y="2784494"/>
                </a:cubicBezTo>
                <a:close/>
                <a:moveTo>
                  <a:pt x="3893785" y="2784494"/>
                </a:moveTo>
                <a:cubicBezTo>
                  <a:pt x="3875997" y="2784494"/>
                  <a:pt x="3861574" y="2771217"/>
                  <a:pt x="3861574" y="2754842"/>
                </a:cubicBezTo>
                <a:cubicBezTo>
                  <a:pt x="3861574" y="2738468"/>
                  <a:pt x="3875997" y="2725190"/>
                  <a:pt x="3893785" y="2725190"/>
                </a:cubicBezTo>
                <a:cubicBezTo>
                  <a:pt x="3911572" y="2725190"/>
                  <a:pt x="3925995" y="2738468"/>
                  <a:pt x="3925995" y="2754842"/>
                </a:cubicBezTo>
                <a:cubicBezTo>
                  <a:pt x="3925995" y="2771217"/>
                  <a:pt x="3911572" y="2784494"/>
                  <a:pt x="3893785" y="2784494"/>
                </a:cubicBezTo>
                <a:close/>
                <a:moveTo>
                  <a:pt x="3972319" y="2784494"/>
                </a:moveTo>
                <a:cubicBezTo>
                  <a:pt x="3954532" y="2784494"/>
                  <a:pt x="3940108" y="2771217"/>
                  <a:pt x="3940108" y="2754842"/>
                </a:cubicBezTo>
                <a:cubicBezTo>
                  <a:pt x="3940108" y="2738468"/>
                  <a:pt x="3954532" y="2725190"/>
                  <a:pt x="3972319" y="2725190"/>
                </a:cubicBezTo>
                <a:cubicBezTo>
                  <a:pt x="3990106" y="2725190"/>
                  <a:pt x="4004529" y="2738468"/>
                  <a:pt x="4004529" y="2754842"/>
                </a:cubicBezTo>
                <a:cubicBezTo>
                  <a:pt x="4004529" y="2771217"/>
                  <a:pt x="3990106" y="2784494"/>
                  <a:pt x="3972319" y="2784494"/>
                </a:cubicBezTo>
                <a:close/>
                <a:moveTo>
                  <a:pt x="4050852" y="2784494"/>
                </a:moveTo>
                <a:cubicBezTo>
                  <a:pt x="4033065" y="2784494"/>
                  <a:pt x="4018642" y="2771217"/>
                  <a:pt x="4018642" y="2754842"/>
                </a:cubicBezTo>
                <a:cubicBezTo>
                  <a:pt x="4018642" y="2738468"/>
                  <a:pt x="4033065" y="2725190"/>
                  <a:pt x="4050852" y="2725190"/>
                </a:cubicBezTo>
                <a:cubicBezTo>
                  <a:pt x="4068639" y="2725190"/>
                  <a:pt x="4083062" y="2738468"/>
                  <a:pt x="4083062" y="2754842"/>
                </a:cubicBezTo>
                <a:cubicBezTo>
                  <a:pt x="4083062" y="2771217"/>
                  <a:pt x="4068639" y="2784494"/>
                  <a:pt x="4050852" y="2784494"/>
                </a:cubicBezTo>
                <a:close/>
                <a:moveTo>
                  <a:pt x="4129386" y="2784494"/>
                </a:moveTo>
                <a:cubicBezTo>
                  <a:pt x="4111599" y="2784494"/>
                  <a:pt x="4097176" y="2771217"/>
                  <a:pt x="4097176" y="2754842"/>
                </a:cubicBezTo>
                <a:cubicBezTo>
                  <a:pt x="4097176" y="2738468"/>
                  <a:pt x="4111599" y="2725190"/>
                  <a:pt x="4129386" y="2725190"/>
                </a:cubicBezTo>
                <a:cubicBezTo>
                  <a:pt x="4147174" y="2725190"/>
                  <a:pt x="4161597" y="2738468"/>
                  <a:pt x="4161597" y="2754842"/>
                </a:cubicBezTo>
                <a:cubicBezTo>
                  <a:pt x="4161597" y="2771217"/>
                  <a:pt x="4147174" y="2784494"/>
                  <a:pt x="4129386" y="2784494"/>
                </a:cubicBezTo>
                <a:close/>
                <a:moveTo>
                  <a:pt x="4207926" y="2784494"/>
                </a:moveTo>
                <a:cubicBezTo>
                  <a:pt x="4190138" y="2784494"/>
                  <a:pt x="4175715" y="2771217"/>
                  <a:pt x="4175715" y="2754842"/>
                </a:cubicBezTo>
                <a:cubicBezTo>
                  <a:pt x="4175715" y="2738468"/>
                  <a:pt x="4190138" y="2725190"/>
                  <a:pt x="4207926" y="2725190"/>
                </a:cubicBezTo>
                <a:cubicBezTo>
                  <a:pt x="4225713" y="2725190"/>
                  <a:pt x="4240136" y="2738468"/>
                  <a:pt x="4240136" y="2754842"/>
                </a:cubicBezTo>
                <a:cubicBezTo>
                  <a:pt x="4240136" y="2771217"/>
                  <a:pt x="4225713" y="2784494"/>
                  <a:pt x="4207926" y="2784494"/>
                </a:cubicBezTo>
                <a:close/>
                <a:moveTo>
                  <a:pt x="5700069" y="2784494"/>
                </a:moveTo>
                <a:cubicBezTo>
                  <a:pt x="5682282" y="2784494"/>
                  <a:pt x="5667853" y="2771217"/>
                  <a:pt x="5667853" y="2754842"/>
                </a:cubicBezTo>
                <a:cubicBezTo>
                  <a:pt x="5667853" y="2738468"/>
                  <a:pt x="5682282" y="2725190"/>
                  <a:pt x="5700069" y="2725190"/>
                </a:cubicBezTo>
                <a:cubicBezTo>
                  <a:pt x="5717857" y="2725190"/>
                  <a:pt x="5732274" y="2738468"/>
                  <a:pt x="5732274" y="2754842"/>
                </a:cubicBezTo>
                <a:cubicBezTo>
                  <a:pt x="5732274" y="2771217"/>
                  <a:pt x="5717857" y="2784494"/>
                  <a:pt x="5700069" y="2784494"/>
                </a:cubicBezTo>
                <a:close/>
                <a:moveTo>
                  <a:pt x="5778604" y="2784494"/>
                </a:moveTo>
                <a:cubicBezTo>
                  <a:pt x="5760816" y="2784494"/>
                  <a:pt x="5746387" y="2771217"/>
                  <a:pt x="5746387" y="2754842"/>
                </a:cubicBezTo>
                <a:cubicBezTo>
                  <a:pt x="5746387" y="2738468"/>
                  <a:pt x="5760816" y="2725190"/>
                  <a:pt x="5778604" y="2725190"/>
                </a:cubicBezTo>
                <a:cubicBezTo>
                  <a:pt x="5796391" y="2725190"/>
                  <a:pt x="5810808" y="2738468"/>
                  <a:pt x="5810808" y="2754842"/>
                </a:cubicBezTo>
                <a:cubicBezTo>
                  <a:pt x="5810808" y="2771217"/>
                  <a:pt x="5796391" y="2784494"/>
                  <a:pt x="5778604" y="2784494"/>
                </a:cubicBezTo>
                <a:close/>
                <a:moveTo>
                  <a:pt x="5857137" y="2784494"/>
                </a:moveTo>
                <a:cubicBezTo>
                  <a:pt x="5839350" y="2784494"/>
                  <a:pt x="5824920" y="2771217"/>
                  <a:pt x="5824920" y="2754842"/>
                </a:cubicBezTo>
                <a:cubicBezTo>
                  <a:pt x="5824920" y="2738468"/>
                  <a:pt x="5839350" y="2725190"/>
                  <a:pt x="5857137" y="2725190"/>
                </a:cubicBezTo>
                <a:cubicBezTo>
                  <a:pt x="5874924" y="2725190"/>
                  <a:pt x="5889341" y="2738468"/>
                  <a:pt x="5889341" y="2754842"/>
                </a:cubicBezTo>
                <a:cubicBezTo>
                  <a:pt x="5889341" y="2771217"/>
                  <a:pt x="5874924" y="2784494"/>
                  <a:pt x="5857137" y="2784494"/>
                </a:cubicBezTo>
                <a:close/>
                <a:moveTo>
                  <a:pt x="6092739" y="2784494"/>
                </a:moveTo>
                <a:cubicBezTo>
                  <a:pt x="6074951" y="2784494"/>
                  <a:pt x="6060522" y="2771217"/>
                  <a:pt x="6060522" y="2754842"/>
                </a:cubicBezTo>
                <a:cubicBezTo>
                  <a:pt x="6060522" y="2738468"/>
                  <a:pt x="6074951" y="2725190"/>
                  <a:pt x="6092739" y="2725190"/>
                </a:cubicBezTo>
                <a:cubicBezTo>
                  <a:pt x="6110526" y="2725190"/>
                  <a:pt x="6124943" y="2738468"/>
                  <a:pt x="6124943" y="2754842"/>
                </a:cubicBezTo>
                <a:cubicBezTo>
                  <a:pt x="6124943" y="2771217"/>
                  <a:pt x="6110526" y="2784494"/>
                  <a:pt x="6092739" y="2784494"/>
                </a:cubicBezTo>
                <a:close/>
                <a:moveTo>
                  <a:pt x="6171273" y="2784494"/>
                </a:moveTo>
                <a:cubicBezTo>
                  <a:pt x="6153486" y="2784494"/>
                  <a:pt x="6139056" y="2771217"/>
                  <a:pt x="6139056" y="2754842"/>
                </a:cubicBezTo>
                <a:cubicBezTo>
                  <a:pt x="6139056" y="2738468"/>
                  <a:pt x="6153486" y="2725190"/>
                  <a:pt x="6171273" y="2725190"/>
                </a:cubicBezTo>
                <a:cubicBezTo>
                  <a:pt x="6189060" y="2725190"/>
                  <a:pt x="6203477" y="2738468"/>
                  <a:pt x="6203477" y="2754842"/>
                </a:cubicBezTo>
                <a:cubicBezTo>
                  <a:pt x="6203477" y="2771217"/>
                  <a:pt x="6189060" y="2784494"/>
                  <a:pt x="6171273" y="2784494"/>
                </a:cubicBezTo>
                <a:close/>
                <a:moveTo>
                  <a:pt x="6249806" y="2784494"/>
                </a:moveTo>
                <a:cubicBezTo>
                  <a:pt x="6232019" y="2784494"/>
                  <a:pt x="6217590" y="2771217"/>
                  <a:pt x="6217590" y="2754842"/>
                </a:cubicBezTo>
                <a:cubicBezTo>
                  <a:pt x="6217590" y="2738468"/>
                  <a:pt x="6232019" y="2725190"/>
                  <a:pt x="6249806" y="2725190"/>
                </a:cubicBezTo>
                <a:cubicBezTo>
                  <a:pt x="6267593" y="2725190"/>
                  <a:pt x="6282010" y="2738468"/>
                  <a:pt x="6282010" y="2754842"/>
                </a:cubicBezTo>
                <a:cubicBezTo>
                  <a:pt x="6282010" y="2771217"/>
                  <a:pt x="6267593" y="2784494"/>
                  <a:pt x="6249806" y="2784494"/>
                </a:cubicBezTo>
                <a:close/>
                <a:moveTo>
                  <a:pt x="6328340" y="2784494"/>
                </a:moveTo>
                <a:cubicBezTo>
                  <a:pt x="6310553" y="2784494"/>
                  <a:pt x="6296124" y="2771217"/>
                  <a:pt x="6296124" y="2754842"/>
                </a:cubicBezTo>
                <a:cubicBezTo>
                  <a:pt x="6296124" y="2738468"/>
                  <a:pt x="6310553" y="2725190"/>
                  <a:pt x="6328340" y="2725190"/>
                </a:cubicBezTo>
                <a:cubicBezTo>
                  <a:pt x="6346128" y="2725190"/>
                  <a:pt x="6360545" y="2738468"/>
                  <a:pt x="6360545" y="2754842"/>
                </a:cubicBezTo>
                <a:cubicBezTo>
                  <a:pt x="6360545" y="2771217"/>
                  <a:pt x="6346128" y="2784494"/>
                  <a:pt x="6328340" y="2784494"/>
                </a:cubicBezTo>
                <a:close/>
                <a:moveTo>
                  <a:pt x="6406875" y="2784494"/>
                </a:moveTo>
                <a:cubicBezTo>
                  <a:pt x="6389087" y="2784494"/>
                  <a:pt x="6374658" y="2771217"/>
                  <a:pt x="6374658" y="2754842"/>
                </a:cubicBezTo>
                <a:cubicBezTo>
                  <a:pt x="6374658" y="2738468"/>
                  <a:pt x="6389087" y="2725190"/>
                  <a:pt x="6406875" y="2725190"/>
                </a:cubicBezTo>
                <a:cubicBezTo>
                  <a:pt x="6424662" y="2725190"/>
                  <a:pt x="6439079" y="2738468"/>
                  <a:pt x="6439079" y="2754842"/>
                </a:cubicBezTo>
                <a:cubicBezTo>
                  <a:pt x="6439079" y="2771217"/>
                  <a:pt x="6424662" y="2784494"/>
                  <a:pt x="6406875" y="2784494"/>
                </a:cubicBezTo>
                <a:close/>
                <a:moveTo>
                  <a:pt x="6485408" y="2784494"/>
                </a:moveTo>
                <a:cubicBezTo>
                  <a:pt x="6467621" y="2784494"/>
                  <a:pt x="6453191" y="2771217"/>
                  <a:pt x="6453191" y="2754842"/>
                </a:cubicBezTo>
                <a:cubicBezTo>
                  <a:pt x="6453191" y="2738468"/>
                  <a:pt x="6467621" y="2725190"/>
                  <a:pt x="6485408" y="2725190"/>
                </a:cubicBezTo>
                <a:cubicBezTo>
                  <a:pt x="6503195" y="2725190"/>
                  <a:pt x="6517612" y="2738468"/>
                  <a:pt x="6517612" y="2754842"/>
                </a:cubicBezTo>
                <a:cubicBezTo>
                  <a:pt x="6517612" y="2771217"/>
                  <a:pt x="6503195" y="2784494"/>
                  <a:pt x="6485408" y="2784494"/>
                </a:cubicBezTo>
                <a:close/>
                <a:moveTo>
                  <a:pt x="6563942" y="2784494"/>
                </a:moveTo>
                <a:cubicBezTo>
                  <a:pt x="6546155" y="2784494"/>
                  <a:pt x="6531726" y="2771217"/>
                  <a:pt x="6531726" y="2754842"/>
                </a:cubicBezTo>
                <a:cubicBezTo>
                  <a:pt x="6531726" y="2738468"/>
                  <a:pt x="6546155" y="2725190"/>
                  <a:pt x="6563942" y="2725190"/>
                </a:cubicBezTo>
                <a:cubicBezTo>
                  <a:pt x="6581729" y="2725190"/>
                  <a:pt x="6596146" y="2738468"/>
                  <a:pt x="6596146" y="2754842"/>
                </a:cubicBezTo>
                <a:cubicBezTo>
                  <a:pt x="6596146" y="2771217"/>
                  <a:pt x="6581729" y="2784494"/>
                  <a:pt x="6563942" y="2784494"/>
                </a:cubicBezTo>
                <a:close/>
                <a:moveTo>
                  <a:pt x="6642476" y="2784494"/>
                </a:moveTo>
                <a:cubicBezTo>
                  <a:pt x="6624689" y="2784494"/>
                  <a:pt x="6610260" y="2771217"/>
                  <a:pt x="6610260" y="2754842"/>
                </a:cubicBezTo>
                <a:cubicBezTo>
                  <a:pt x="6610260" y="2738468"/>
                  <a:pt x="6624689" y="2725190"/>
                  <a:pt x="6642476" y="2725190"/>
                </a:cubicBezTo>
                <a:cubicBezTo>
                  <a:pt x="6660264" y="2725190"/>
                  <a:pt x="6674681" y="2738468"/>
                  <a:pt x="6674681" y="2754842"/>
                </a:cubicBezTo>
                <a:cubicBezTo>
                  <a:pt x="6674681" y="2771217"/>
                  <a:pt x="6660264" y="2784494"/>
                  <a:pt x="6642476" y="2784494"/>
                </a:cubicBezTo>
                <a:close/>
                <a:moveTo>
                  <a:pt x="6721010" y="2784494"/>
                </a:moveTo>
                <a:cubicBezTo>
                  <a:pt x="6703222" y="2784494"/>
                  <a:pt x="6688793" y="2771217"/>
                  <a:pt x="6688793" y="2754842"/>
                </a:cubicBezTo>
                <a:cubicBezTo>
                  <a:pt x="6688793" y="2738468"/>
                  <a:pt x="6703222" y="2725190"/>
                  <a:pt x="6721010" y="2725190"/>
                </a:cubicBezTo>
                <a:cubicBezTo>
                  <a:pt x="6738797" y="2725190"/>
                  <a:pt x="6753214" y="2738468"/>
                  <a:pt x="6753214" y="2754842"/>
                </a:cubicBezTo>
                <a:cubicBezTo>
                  <a:pt x="6753214" y="2771217"/>
                  <a:pt x="6738797" y="2784494"/>
                  <a:pt x="6721010" y="2784494"/>
                </a:cubicBezTo>
                <a:close/>
                <a:moveTo>
                  <a:pt x="6799544" y="2784494"/>
                </a:moveTo>
                <a:cubicBezTo>
                  <a:pt x="6781757" y="2784494"/>
                  <a:pt x="6767327" y="2771217"/>
                  <a:pt x="6767327" y="2754842"/>
                </a:cubicBezTo>
                <a:cubicBezTo>
                  <a:pt x="6767327" y="2738468"/>
                  <a:pt x="6781757" y="2725190"/>
                  <a:pt x="6799544" y="2725190"/>
                </a:cubicBezTo>
                <a:cubicBezTo>
                  <a:pt x="6817331" y="2725190"/>
                  <a:pt x="6831748" y="2738468"/>
                  <a:pt x="6831748" y="2754842"/>
                </a:cubicBezTo>
                <a:cubicBezTo>
                  <a:pt x="6831748" y="2771217"/>
                  <a:pt x="6817331" y="2784494"/>
                  <a:pt x="6799544" y="2784494"/>
                </a:cubicBezTo>
                <a:close/>
                <a:moveTo>
                  <a:pt x="6878077" y="2784494"/>
                </a:moveTo>
                <a:cubicBezTo>
                  <a:pt x="6860290" y="2784494"/>
                  <a:pt x="6845861" y="2771217"/>
                  <a:pt x="6845861" y="2754842"/>
                </a:cubicBezTo>
                <a:cubicBezTo>
                  <a:pt x="6845861" y="2738468"/>
                  <a:pt x="6860290" y="2725190"/>
                  <a:pt x="6878077" y="2725190"/>
                </a:cubicBezTo>
                <a:cubicBezTo>
                  <a:pt x="6895864" y="2725190"/>
                  <a:pt x="6910281" y="2738468"/>
                  <a:pt x="6910281" y="2754842"/>
                </a:cubicBezTo>
                <a:cubicBezTo>
                  <a:pt x="6910281" y="2771217"/>
                  <a:pt x="6895864" y="2784494"/>
                  <a:pt x="6878077" y="2784494"/>
                </a:cubicBezTo>
                <a:close/>
                <a:moveTo>
                  <a:pt x="6956611" y="2784494"/>
                </a:moveTo>
                <a:cubicBezTo>
                  <a:pt x="6938824" y="2784494"/>
                  <a:pt x="6924395" y="2771217"/>
                  <a:pt x="6924395" y="2754842"/>
                </a:cubicBezTo>
                <a:cubicBezTo>
                  <a:pt x="6924395" y="2738468"/>
                  <a:pt x="6938824" y="2725190"/>
                  <a:pt x="6956611" y="2725190"/>
                </a:cubicBezTo>
                <a:cubicBezTo>
                  <a:pt x="6974399" y="2725190"/>
                  <a:pt x="6988816" y="2738468"/>
                  <a:pt x="6988816" y="2754842"/>
                </a:cubicBezTo>
                <a:cubicBezTo>
                  <a:pt x="6988816" y="2771217"/>
                  <a:pt x="6974399" y="2784494"/>
                  <a:pt x="6956611" y="2784494"/>
                </a:cubicBezTo>
                <a:close/>
                <a:moveTo>
                  <a:pt x="7035146" y="2784494"/>
                </a:moveTo>
                <a:cubicBezTo>
                  <a:pt x="7017358" y="2784494"/>
                  <a:pt x="7002929" y="2771217"/>
                  <a:pt x="7002929" y="2754842"/>
                </a:cubicBezTo>
                <a:cubicBezTo>
                  <a:pt x="7002929" y="2738468"/>
                  <a:pt x="7017358" y="2725190"/>
                  <a:pt x="7035146" y="2725190"/>
                </a:cubicBezTo>
                <a:cubicBezTo>
                  <a:pt x="7052933" y="2725190"/>
                  <a:pt x="7067350" y="2738468"/>
                  <a:pt x="7067350" y="2754842"/>
                </a:cubicBezTo>
                <a:cubicBezTo>
                  <a:pt x="7067350" y="2771217"/>
                  <a:pt x="7052933" y="2784494"/>
                  <a:pt x="7035146" y="2784494"/>
                </a:cubicBezTo>
                <a:close/>
                <a:moveTo>
                  <a:pt x="7113703" y="2784494"/>
                </a:moveTo>
                <a:cubicBezTo>
                  <a:pt x="7095916" y="2784494"/>
                  <a:pt x="7081487" y="2771217"/>
                  <a:pt x="7081487" y="2754842"/>
                </a:cubicBezTo>
                <a:cubicBezTo>
                  <a:pt x="7081487" y="2738468"/>
                  <a:pt x="7095916" y="2725190"/>
                  <a:pt x="7113703" y="2725190"/>
                </a:cubicBezTo>
                <a:cubicBezTo>
                  <a:pt x="7131490" y="2725190"/>
                  <a:pt x="7145907" y="2738468"/>
                  <a:pt x="7145907" y="2754842"/>
                </a:cubicBezTo>
                <a:cubicBezTo>
                  <a:pt x="7145907" y="2771217"/>
                  <a:pt x="7131490" y="2784494"/>
                  <a:pt x="7113703" y="2784494"/>
                </a:cubicBezTo>
                <a:close/>
                <a:moveTo>
                  <a:pt x="7192237" y="2784494"/>
                </a:moveTo>
                <a:cubicBezTo>
                  <a:pt x="7174450" y="2784494"/>
                  <a:pt x="7160021" y="2771217"/>
                  <a:pt x="7160021" y="2754842"/>
                </a:cubicBezTo>
                <a:cubicBezTo>
                  <a:pt x="7160021" y="2738468"/>
                  <a:pt x="7174450" y="2725190"/>
                  <a:pt x="7192237" y="2725190"/>
                </a:cubicBezTo>
                <a:cubicBezTo>
                  <a:pt x="7210024" y="2725190"/>
                  <a:pt x="7224441" y="2738468"/>
                  <a:pt x="7224441" y="2754842"/>
                </a:cubicBezTo>
                <a:cubicBezTo>
                  <a:pt x="7224441" y="2771217"/>
                  <a:pt x="7210024" y="2784494"/>
                  <a:pt x="7192237" y="2784494"/>
                </a:cubicBezTo>
                <a:close/>
                <a:moveTo>
                  <a:pt x="7270771" y="2784494"/>
                </a:moveTo>
                <a:cubicBezTo>
                  <a:pt x="7252984" y="2784494"/>
                  <a:pt x="7238555" y="2771217"/>
                  <a:pt x="7238555" y="2754842"/>
                </a:cubicBezTo>
                <a:cubicBezTo>
                  <a:pt x="7238555" y="2738468"/>
                  <a:pt x="7252984" y="2725190"/>
                  <a:pt x="7270771" y="2725190"/>
                </a:cubicBezTo>
                <a:cubicBezTo>
                  <a:pt x="7288559" y="2725190"/>
                  <a:pt x="7302976" y="2738468"/>
                  <a:pt x="7302976" y="2754842"/>
                </a:cubicBezTo>
                <a:cubicBezTo>
                  <a:pt x="7302976" y="2771217"/>
                  <a:pt x="7288559" y="2784494"/>
                  <a:pt x="7270771" y="2784494"/>
                </a:cubicBezTo>
                <a:close/>
                <a:moveTo>
                  <a:pt x="8919983" y="2784494"/>
                </a:moveTo>
                <a:cubicBezTo>
                  <a:pt x="8902195" y="2784494"/>
                  <a:pt x="8887766" y="2771217"/>
                  <a:pt x="8887766" y="2754842"/>
                </a:cubicBezTo>
                <a:cubicBezTo>
                  <a:pt x="8887766" y="2738468"/>
                  <a:pt x="8902195" y="2725190"/>
                  <a:pt x="8919983" y="2725190"/>
                </a:cubicBezTo>
                <a:cubicBezTo>
                  <a:pt x="8937770" y="2725190"/>
                  <a:pt x="8952187" y="2738468"/>
                  <a:pt x="8952187" y="2754842"/>
                </a:cubicBezTo>
                <a:cubicBezTo>
                  <a:pt x="8952187" y="2771217"/>
                  <a:pt x="8937770" y="2784494"/>
                  <a:pt x="8919983" y="2784494"/>
                </a:cubicBezTo>
                <a:close/>
                <a:moveTo>
                  <a:pt x="9391185" y="2784494"/>
                </a:moveTo>
                <a:cubicBezTo>
                  <a:pt x="9373398" y="2784494"/>
                  <a:pt x="9358969" y="2771217"/>
                  <a:pt x="9358969" y="2754842"/>
                </a:cubicBezTo>
                <a:cubicBezTo>
                  <a:pt x="9358969" y="2738468"/>
                  <a:pt x="9373398" y="2725190"/>
                  <a:pt x="9391185" y="2725190"/>
                </a:cubicBezTo>
                <a:cubicBezTo>
                  <a:pt x="9408972" y="2725190"/>
                  <a:pt x="9423389" y="2738468"/>
                  <a:pt x="9423389" y="2754842"/>
                </a:cubicBezTo>
                <a:cubicBezTo>
                  <a:pt x="9423389" y="2771217"/>
                  <a:pt x="9408972" y="2784494"/>
                  <a:pt x="9391185" y="2784494"/>
                </a:cubicBezTo>
                <a:close/>
                <a:moveTo>
                  <a:pt x="3736717" y="2712229"/>
                </a:moveTo>
                <a:cubicBezTo>
                  <a:pt x="3718930" y="2712229"/>
                  <a:pt x="3704507" y="2698951"/>
                  <a:pt x="3704507" y="2682576"/>
                </a:cubicBezTo>
                <a:cubicBezTo>
                  <a:pt x="3704507" y="2666202"/>
                  <a:pt x="3718930" y="2652924"/>
                  <a:pt x="3736717" y="2652924"/>
                </a:cubicBezTo>
                <a:cubicBezTo>
                  <a:pt x="3754504" y="2652924"/>
                  <a:pt x="3768927" y="2666202"/>
                  <a:pt x="3768927" y="2682576"/>
                </a:cubicBezTo>
                <a:cubicBezTo>
                  <a:pt x="3768927" y="2698951"/>
                  <a:pt x="3754504" y="2712229"/>
                  <a:pt x="3736717" y="2712229"/>
                </a:cubicBezTo>
                <a:close/>
                <a:moveTo>
                  <a:pt x="3815250" y="2712229"/>
                </a:moveTo>
                <a:cubicBezTo>
                  <a:pt x="3797463" y="2712229"/>
                  <a:pt x="3783040" y="2698951"/>
                  <a:pt x="3783040" y="2682576"/>
                </a:cubicBezTo>
                <a:cubicBezTo>
                  <a:pt x="3783040" y="2666202"/>
                  <a:pt x="3797463" y="2652924"/>
                  <a:pt x="3815250" y="2652924"/>
                </a:cubicBezTo>
                <a:cubicBezTo>
                  <a:pt x="3833038" y="2652924"/>
                  <a:pt x="3847461" y="2666202"/>
                  <a:pt x="3847461" y="2682576"/>
                </a:cubicBezTo>
                <a:cubicBezTo>
                  <a:pt x="3847461" y="2698951"/>
                  <a:pt x="3833038" y="2712229"/>
                  <a:pt x="3815250" y="2712229"/>
                </a:cubicBezTo>
                <a:close/>
                <a:moveTo>
                  <a:pt x="3893785" y="2712229"/>
                </a:moveTo>
                <a:cubicBezTo>
                  <a:pt x="3875997" y="2712229"/>
                  <a:pt x="3861574" y="2698951"/>
                  <a:pt x="3861574" y="2682576"/>
                </a:cubicBezTo>
                <a:cubicBezTo>
                  <a:pt x="3861574" y="2666202"/>
                  <a:pt x="3875997" y="2652924"/>
                  <a:pt x="3893785" y="2652924"/>
                </a:cubicBezTo>
                <a:cubicBezTo>
                  <a:pt x="3911572" y="2652924"/>
                  <a:pt x="3925995" y="2666202"/>
                  <a:pt x="3925995" y="2682576"/>
                </a:cubicBezTo>
                <a:cubicBezTo>
                  <a:pt x="3925995" y="2698951"/>
                  <a:pt x="3911572" y="2712229"/>
                  <a:pt x="3893785" y="2712229"/>
                </a:cubicBezTo>
                <a:close/>
                <a:moveTo>
                  <a:pt x="3972319" y="2712229"/>
                </a:moveTo>
                <a:cubicBezTo>
                  <a:pt x="3954532" y="2712229"/>
                  <a:pt x="3940108" y="2698951"/>
                  <a:pt x="3940108" y="2682576"/>
                </a:cubicBezTo>
                <a:cubicBezTo>
                  <a:pt x="3940108" y="2666202"/>
                  <a:pt x="3954532" y="2652924"/>
                  <a:pt x="3972319" y="2652924"/>
                </a:cubicBezTo>
                <a:cubicBezTo>
                  <a:pt x="3990106" y="2652924"/>
                  <a:pt x="4004529" y="2666202"/>
                  <a:pt x="4004529" y="2682576"/>
                </a:cubicBezTo>
                <a:cubicBezTo>
                  <a:pt x="4004529" y="2698951"/>
                  <a:pt x="3990106" y="2712229"/>
                  <a:pt x="3972319" y="2712229"/>
                </a:cubicBezTo>
                <a:close/>
                <a:moveTo>
                  <a:pt x="4050852" y="2712229"/>
                </a:moveTo>
                <a:cubicBezTo>
                  <a:pt x="4033065" y="2712229"/>
                  <a:pt x="4018642" y="2698951"/>
                  <a:pt x="4018642" y="2682576"/>
                </a:cubicBezTo>
                <a:cubicBezTo>
                  <a:pt x="4018642" y="2666202"/>
                  <a:pt x="4033065" y="2652924"/>
                  <a:pt x="4050852" y="2652924"/>
                </a:cubicBezTo>
                <a:cubicBezTo>
                  <a:pt x="4068639" y="2652924"/>
                  <a:pt x="4083062" y="2666202"/>
                  <a:pt x="4083062" y="2682576"/>
                </a:cubicBezTo>
                <a:cubicBezTo>
                  <a:pt x="4083062" y="2698951"/>
                  <a:pt x="4068639" y="2712229"/>
                  <a:pt x="4050852" y="2712229"/>
                </a:cubicBezTo>
                <a:close/>
                <a:moveTo>
                  <a:pt x="4129386" y="2712229"/>
                </a:moveTo>
                <a:cubicBezTo>
                  <a:pt x="4111599" y="2712229"/>
                  <a:pt x="4097176" y="2698951"/>
                  <a:pt x="4097176" y="2682576"/>
                </a:cubicBezTo>
                <a:cubicBezTo>
                  <a:pt x="4097176" y="2666202"/>
                  <a:pt x="4111599" y="2652924"/>
                  <a:pt x="4129386" y="2652924"/>
                </a:cubicBezTo>
                <a:cubicBezTo>
                  <a:pt x="4147174" y="2652924"/>
                  <a:pt x="4161597" y="2666202"/>
                  <a:pt x="4161597" y="2682576"/>
                </a:cubicBezTo>
                <a:cubicBezTo>
                  <a:pt x="4161597" y="2698951"/>
                  <a:pt x="4147174" y="2712229"/>
                  <a:pt x="4129386" y="2712229"/>
                </a:cubicBezTo>
                <a:close/>
                <a:moveTo>
                  <a:pt x="4207926" y="2712229"/>
                </a:moveTo>
                <a:cubicBezTo>
                  <a:pt x="4190138" y="2712229"/>
                  <a:pt x="4175715" y="2698951"/>
                  <a:pt x="4175715" y="2682576"/>
                </a:cubicBezTo>
                <a:cubicBezTo>
                  <a:pt x="4175715" y="2666202"/>
                  <a:pt x="4190138" y="2652924"/>
                  <a:pt x="4207926" y="2652924"/>
                </a:cubicBezTo>
                <a:cubicBezTo>
                  <a:pt x="4225713" y="2652924"/>
                  <a:pt x="4240136" y="2666202"/>
                  <a:pt x="4240136" y="2682576"/>
                </a:cubicBezTo>
                <a:cubicBezTo>
                  <a:pt x="4240136" y="2698951"/>
                  <a:pt x="4225713" y="2712229"/>
                  <a:pt x="4207926" y="2712229"/>
                </a:cubicBezTo>
                <a:close/>
                <a:moveTo>
                  <a:pt x="4286460" y="2712229"/>
                </a:moveTo>
                <a:cubicBezTo>
                  <a:pt x="4268673" y="2712229"/>
                  <a:pt x="4254250" y="2698951"/>
                  <a:pt x="4254250" y="2682576"/>
                </a:cubicBezTo>
                <a:cubicBezTo>
                  <a:pt x="4254250" y="2666202"/>
                  <a:pt x="4268673" y="2652924"/>
                  <a:pt x="4286460" y="2652924"/>
                </a:cubicBezTo>
                <a:cubicBezTo>
                  <a:pt x="4304247" y="2652924"/>
                  <a:pt x="4318670" y="2666202"/>
                  <a:pt x="4318670" y="2682576"/>
                </a:cubicBezTo>
                <a:cubicBezTo>
                  <a:pt x="4318670" y="2698951"/>
                  <a:pt x="4304247" y="2712229"/>
                  <a:pt x="4286460" y="2712229"/>
                </a:cubicBezTo>
                <a:close/>
                <a:moveTo>
                  <a:pt x="4364994" y="2712229"/>
                </a:moveTo>
                <a:cubicBezTo>
                  <a:pt x="4347207" y="2712229"/>
                  <a:pt x="4332784" y="2698951"/>
                  <a:pt x="4332784" y="2682576"/>
                </a:cubicBezTo>
                <a:cubicBezTo>
                  <a:pt x="4332784" y="2666202"/>
                  <a:pt x="4347207" y="2652924"/>
                  <a:pt x="4364994" y="2652924"/>
                </a:cubicBezTo>
                <a:cubicBezTo>
                  <a:pt x="4382781" y="2652924"/>
                  <a:pt x="4397204" y="2666202"/>
                  <a:pt x="4397204" y="2682576"/>
                </a:cubicBezTo>
                <a:cubicBezTo>
                  <a:pt x="4397204" y="2698951"/>
                  <a:pt x="4382781" y="2712229"/>
                  <a:pt x="4364994" y="2712229"/>
                </a:cubicBezTo>
                <a:close/>
                <a:moveTo>
                  <a:pt x="4443527" y="2712229"/>
                </a:moveTo>
                <a:cubicBezTo>
                  <a:pt x="4425740" y="2712229"/>
                  <a:pt x="4411317" y="2698951"/>
                  <a:pt x="4411317" y="2682576"/>
                </a:cubicBezTo>
                <a:cubicBezTo>
                  <a:pt x="4411317" y="2666202"/>
                  <a:pt x="4425740" y="2652924"/>
                  <a:pt x="4443527" y="2652924"/>
                </a:cubicBezTo>
                <a:cubicBezTo>
                  <a:pt x="4461315" y="2652924"/>
                  <a:pt x="4475738" y="2666202"/>
                  <a:pt x="4475738" y="2682576"/>
                </a:cubicBezTo>
                <a:cubicBezTo>
                  <a:pt x="4475738" y="2698951"/>
                  <a:pt x="4461315" y="2712229"/>
                  <a:pt x="4443527" y="2712229"/>
                </a:cubicBezTo>
                <a:close/>
                <a:moveTo>
                  <a:pt x="6249806" y="2712229"/>
                </a:moveTo>
                <a:cubicBezTo>
                  <a:pt x="6232019" y="2712229"/>
                  <a:pt x="6217590" y="2698951"/>
                  <a:pt x="6217590" y="2682576"/>
                </a:cubicBezTo>
                <a:cubicBezTo>
                  <a:pt x="6217590" y="2666202"/>
                  <a:pt x="6232019" y="2652924"/>
                  <a:pt x="6249806" y="2652924"/>
                </a:cubicBezTo>
                <a:cubicBezTo>
                  <a:pt x="6267593" y="2652924"/>
                  <a:pt x="6282010" y="2666202"/>
                  <a:pt x="6282010" y="2682576"/>
                </a:cubicBezTo>
                <a:cubicBezTo>
                  <a:pt x="6282010" y="2698951"/>
                  <a:pt x="6267593" y="2712229"/>
                  <a:pt x="6249806" y="2712229"/>
                </a:cubicBezTo>
                <a:close/>
                <a:moveTo>
                  <a:pt x="6328340" y="2712229"/>
                </a:moveTo>
                <a:cubicBezTo>
                  <a:pt x="6310553" y="2712229"/>
                  <a:pt x="6296124" y="2698951"/>
                  <a:pt x="6296124" y="2682576"/>
                </a:cubicBezTo>
                <a:cubicBezTo>
                  <a:pt x="6296124" y="2666202"/>
                  <a:pt x="6310553" y="2652924"/>
                  <a:pt x="6328340" y="2652924"/>
                </a:cubicBezTo>
                <a:cubicBezTo>
                  <a:pt x="6346128" y="2652924"/>
                  <a:pt x="6360545" y="2666202"/>
                  <a:pt x="6360545" y="2682576"/>
                </a:cubicBezTo>
                <a:cubicBezTo>
                  <a:pt x="6360545" y="2698951"/>
                  <a:pt x="6346128" y="2712229"/>
                  <a:pt x="6328340" y="2712229"/>
                </a:cubicBezTo>
                <a:close/>
                <a:moveTo>
                  <a:pt x="6406875" y="2712229"/>
                </a:moveTo>
                <a:cubicBezTo>
                  <a:pt x="6389087" y="2712229"/>
                  <a:pt x="6374658" y="2698951"/>
                  <a:pt x="6374658" y="2682576"/>
                </a:cubicBezTo>
                <a:cubicBezTo>
                  <a:pt x="6374658" y="2666202"/>
                  <a:pt x="6389087" y="2652924"/>
                  <a:pt x="6406875" y="2652924"/>
                </a:cubicBezTo>
                <a:cubicBezTo>
                  <a:pt x="6424662" y="2652924"/>
                  <a:pt x="6439079" y="2666202"/>
                  <a:pt x="6439079" y="2682576"/>
                </a:cubicBezTo>
                <a:cubicBezTo>
                  <a:pt x="6439079" y="2698951"/>
                  <a:pt x="6424662" y="2712229"/>
                  <a:pt x="6406875" y="2712229"/>
                </a:cubicBezTo>
                <a:close/>
                <a:moveTo>
                  <a:pt x="6485408" y="2712229"/>
                </a:moveTo>
                <a:cubicBezTo>
                  <a:pt x="6467621" y="2712229"/>
                  <a:pt x="6453191" y="2698951"/>
                  <a:pt x="6453191" y="2682576"/>
                </a:cubicBezTo>
                <a:cubicBezTo>
                  <a:pt x="6453191" y="2666202"/>
                  <a:pt x="6467621" y="2652924"/>
                  <a:pt x="6485408" y="2652924"/>
                </a:cubicBezTo>
                <a:cubicBezTo>
                  <a:pt x="6503195" y="2652924"/>
                  <a:pt x="6517612" y="2666202"/>
                  <a:pt x="6517612" y="2682576"/>
                </a:cubicBezTo>
                <a:cubicBezTo>
                  <a:pt x="6517612" y="2698951"/>
                  <a:pt x="6503195" y="2712229"/>
                  <a:pt x="6485408" y="2712229"/>
                </a:cubicBezTo>
                <a:close/>
                <a:moveTo>
                  <a:pt x="6563942" y="2712229"/>
                </a:moveTo>
                <a:cubicBezTo>
                  <a:pt x="6546155" y="2712229"/>
                  <a:pt x="6531726" y="2698951"/>
                  <a:pt x="6531726" y="2682576"/>
                </a:cubicBezTo>
                <a:cubicBezTo>
                  <a:pt x="6531726" y="2666202"/>
                  <a:pt x="6546155" y="2652924"/>
                  <a:pt x="6563942" y="2652924"/>
                </a:cubicBezTo>
                <a:cubicBezTo>
                  <a:pt x="6581729" y="2652924"/>
                  <a:pt x="6596146" y="2666202"/>
                  <a:pt x="6596146" y="2682576"/>
                </a:cubicBezTo>
                <a:cubicBezTo>
                  <a:pt x="6596146" y="2698951"/>
                  <a:pt x="6581729" y="2712229"/>
                  <a:pt x="6563942" y="2712229"/>
                </a:cubicBezTo>
                <a:close/>
                <a:moveTo>
                  <a:pt x="6642476" y="2712229"/>
                </a:moveTo>
                <a:cubicBezTo>
                  <a:pt x="6624689" y="2712229"/>
                  <a:pt x="6610260" y="2698951"/>
                  <a:pt x="6610260" y="2682576"/>
                </a:cubicBezTo>
                <a:cubicBezTo>
                  <a:pt x="6610260" y="2666202"/>
                  <a:pt x="6624689" y="2652924"/>
                  <a:pt x="6642476" y="2652924"/>
                </a:cubicBezTo>
                <a:cubicBezTo>
                  <a:pt x="6660264" y="2652924"/>
                  <a:pt x="6674681" y="2666202"/>
                  <a:pt x="6674681" y="2682576"/>
                </a:cubicBezTo>
                <a:cubicBezTo>
                  <a:pt x="6674681" y="2698951"/>
                  <a:pt x="6660264" y="2712229"/>
                  <a:pt x="6642476" y="2712229"/>
                </a:cubicBezTo>
                <a:close/>
                <a:moveTo>
                  <a:pt x="6721010" y="2712229"/>
                </a:moveTo>
                <a:cubicBezTo>
                  <a:pt x="6703222" y="2712229"/>
                  <a:pt x="6688793" y="2698951"/>
                  <a:pt x="6688793" y="2682576"/>
                </a:cubicBezTo>
                <a:cubicBezTo>
                  <a:pt x="6688793" y="2666202"/>
                  <a:pt x="6703222" y="2652924"/>
                  <a:pt x="6721010" y="2652924"/>
                </a:cubicBezTo>
                <a:cubicBezTo>
                  <a:pt x="6738797" y="2652924"/>
                  <a:pt x="6753214" y="2666202"/>
                  <a:pt x="6753214" y="2682576"/>
                </a:cubicBezTo>
                <a:cubicBezTo>
                  <a:pt x="6753214" y="2698951"/>
                  <a:pt x="6738797" y="2712229"/>
                  <a:pt x="6721010" y="2712229"/>
                </a:cubicBezTo>
                <a:close/>
                <a:moveTo>
                  <a:pt x="6799544" y="2712229"/>
                </a:moveTo>
                <a:cubicBezTo>
                  <a:pt x="6781757" y="2712229"/>
                  <a:pt x="6767327" y="2698951"/>
                  <a:pt x="6767327" y="2682576"/>
                </a:cubicBezTo>
                <a:cubicBezTo>
                  <a:pt x="6767327" y="2666202"/>
                  <a:pt x="6781757" y="2652924"/>
                  <a:pt x="6799544" y="2652924"/>
                </a:cubicBezTo>
                <a:cubicBezTo>
                  <a:pt x="6817331" y="2652924"/>
                  <a:pt x="6831748" y="2666202"/>
                  <a:pt x="6831748" y="2682576"/>
                </a:cubicBezTo>
                <a:cubicBezTo>
                  <a:pt x="6831748" y="2698951"/>
                  <a:pt x="6817331" y="2712229"/>
                  <a:pt x="6799544" y="2712229"/>
                </a:cubicBezTo>
                <a:close/>
                <a:moveTo>
                  <a:pt x="6878077" y="2712229"/>
                </a:moveTo>
                <a:cubicBezTo>
                  <a:pt x="6860290" y="2712229"/>
                  <a:pt x="6845861" y="2698951"/>
                  <a:pt x="6845861" y="2682576"/>
                </a:cubicBezTo>
                <a:cubicBezTo>
                  <a:pt x="6845861" y="2666202"/>
                  <a:pt x="6860290" y="2652924"/>
                  <a:pt x="6878077" y="2652924"/>
                </a:cubicBezTo>
                <a:cubicBezTo>
                  <a:pt x="6895864" y="2652924"/>
                  <a:pt x="6910281" y="2666202"/>
                  <a:pt x="6910281" y="2682576"/>
                </a:cubicBezTo>
                <a:cubicBezTo>
                  <a:pt x="6910281" y="2698951"/>
                  <a:pt x="6895864" y="2712229"/>
                  <a:pt x="6878077" y="2712229"/>
                </a:cubicBezTo>
                <a:close/>
                <a:moveTo>
                  <a:pt x="6956611" y="2712229"/>
                </a:moveTo>
                <a:cubicBezTo>
                  <a:pt x="6938824" y="2712229"/>
                  <a:pt x="6924395" y="2698951"/>
                  <a:pt x="6924395" y="2682576"/>
                </a:cubicBezTo>
                <a:cubicBezTo>
                  <a:pt x="6924395" y="2666202"/>
                  <a:pt x="6938824" y="2652924"/>
                  <a:pt x="6956611" y="2652924"/>
                </a:cubicBezTo>
                <a:cubicBezTo>
                  <a:pt x="6974399" y="2652924"/>
                  <a:pt x="6988816" y="2666202"/>
                  <a:pt x="6988816" y="2682576"/>
                </a:cubicBezTo>
                <a:cubicBezTo>
                  <a:pt x="6988816" y="2698951"/>
                  <a:pt x="6974399" y="2712229"/>
                  <a:pt x="6956611" y="2712229"/>
                </a:cubicBezTo>
                <a:close/>
                <a:moveTo>
                  <a:pt x="7035146" y="2712229"/>
                </a:moveTo>
                <a:cubicBezTo>
                  <a:pt x="7017358" y="2712229"/>
                  <a:pt x="7002929" y="2698951"/>
                  <a:pt x="7002929" y="2682576"/>
                </a:cubicBezTo>
                <a:cubicBezTo>
                  <a:pt x="7002929" y="2666202"/>
                  <a:pt x="7017358" y="2652924"/>
                  <a:pt x="7035146" y="2652924"/>
                </a:cubicBezTo>
                <a:cubicBezTo>
                  <a:pt x="7052933" y="2652924"/>
                  <a:pt x="7067350" y="2666202"/>
                  <a:pt x="7067350" y="2682576"/>
                </a:cubicBezTo>
                <a:cubicBezTo>
                  <a:pt x="7067350" y="2698951"/>
                  <a:pt x="7052933" y="2712229"/>
                  <a:pt x="7035146" y="2712229"/>
                </a:cubicBezTo>
                <a:close/>
                <a:moveTo>
                  <a:pt x="7113703" y="2712229"/>
                </a:moveTo>
                <a:cubicBezTo>
                  <a:pt x="7095916" y="2712229"/>
                  <a:pt x="7081487" y="2698951"/>
                  <a:pt x="7081487" y="2682576"/>
                </a:cubicBezTo>
                <a:cubicBezTo>
                  <a:pt x="7081487" y="2666202"/>
                  <a:pt x="7095916" y="2652924"/>
                  <a:pt x="7113703" y="2652924"/>
                </a:cubicBezTo>
                <a:cubicBezTo>
                  <a:pt x="7131490" y="2652924"/>
                  <a:pt x="7145907" y="2666202"/>
                  <a:pt x="7145907" y="2682576"/>
                </a:cubicBezTo>
                <a:cubicBezTo>
                  <a:pt x="7145907" y="2698951"/>
                  <a:pt x="7131490" y="2712229"/>
                  <a:pt x="7113703" y="2712229"/>
                </a:cubicBezTo>
                <a:close/>
                <a:moveTo>
                  <a:pt x="7192237" y="2712229"/>
                </a:moveTo>
                <a:cubicBezTo>
                  <a:pt x="7174450" y="2712229"/>
                  <a:pt x="7160021" y="2698951"/>
                  <a:pt x="7160021" y="2682576"/>
                </a:cubicBezTo>
                <a:cubicBezTo>
                  <a:pt x="7160021" y="2666202"/>
                  <a:pt x="7174450" y="2652924"/>
                  <a:pt x="7192237" y="2652924"/>
                </a:cubicBezTo>
                <a:cubicBezTo>
                  <a:pt x="7210024" y="2652924"/>
                  <a:pt x="7224441" y="2666202"/>
                  <a:pt x="7224441" y="2682576"/>
                </a:cubicBezTo>
                <a:cubicBezTo>
                  <a:pt x="7224441" y="2698951"/>
                  <a:pt x="7210024" y="2712229"/>
                  <a:pt x="7192237" y="2712229"/>
                </a:cubicBezTo>
                <a:close/>
                <a:moveTo>
                  <a:pt x="8762914" y="2712229"/>
                </a:moveTo>
                <a:cubicBezTo>
                  <a:pt x="8745127" y="2712229"/>
                  <a:pt x="8730698" y="2698951"/>
                  <a:pt x="8730698" y="2682576"/>
                </a:cubicBezTo>
                <a:cubicBezTo>
                  <a:pt x="8730698" y="2666202"/>
                  <a:pt x="8745127" y="2652924"/>
                  <a:pt x="8762914" y="2652924"/>
                </a:cubicBezTo>
                <a:cubicBezTo>
                  <a:pt x="8780701" y="2652924"/>
                  <a:pt x="8795118" y="2666202"/>
                  <a:pt x="8795118" y="2682576"/>
                </a:cubicBezTo>
                <a:cubicBezTo>
                  <a:pt x="8795118" y="2698951"/>
                  <a:pt x="8780701" y="2712229"/>
                  <a:pt x="8762914" y="2712229"/>
                </a:cubicBezTo>
                <a:close/>
                <a:moveTo>
                  <a:pt x="8919983" y="2712229"/>
                </a:moveTo>
                <a:cubicBezTo>
                  <a:pt x="8902195" y="2712229"/>
                  <a:pt x="8887766" y="2698951"/>
                  <a:pt x="8887766" y="2682576"/>
                </a:cubicBezTo>
                <a:cubicBezTo>
                  <a:pt x="8887766" y="2666202"/>
                  <a:pt x="8902195" y="2652924"/>
                  <a:pt x="8919983" y="2652924"/>
                </a:cubicBezTo>
                <a:cubicBezTo>
                  <a:pt x="8937770" y="2652924"/>
                  <a:pt x="8952187" y="2666202"/>
                  <a:pt x="8952187" y="2682576"/>
                </a:cubicBezTo>
                <a:cubicBezTo>
                  <a:pt x="8952187" y="2698951"/>
                  <a:pt x="8937770" y="2712229"/>
                  <a:pt x="8919983" y="2712229"/>
                </a:cubicBezTo>
                <a:close/>
                <a:moveTo>
                  <a:pt x="9312652" y="2712229"/>
                </a:moveTo>
                <a:cubicBezTo>
                  <a:pt x="9294865" y="2712229"/>
                  <a:pt x="9280436" y="2698951"/>
                  <a:pt x="9280436" y="2682576"/>
                </a:cubicBezTo>
                <a:cubicBezTo>
                  <a:pt x="9280436" y="2666202"/>
                  <a:pt x="9294865" y="2652924"/>
                  <a:pt x="9312652" y="2652924"/>
                </a:cubicBezTo>
                <a:cubicBezTo>
                  <a:pt x="9330439" y="2652924"/>
                  <a:pt x="9344856" y="2666202"/>
                  <a:pt x="9344856" y="2682576"/>
                </a:cubicBezTo>
                <a:cubicBezTo>
                  <a:pt x="9344856" y="2698951"/>
                  <a:pt x="9330439" y="2712229"/>
                  <a:pt x="9312652" y="2712229"/>
                </a:cubicBezTo>
                <a:close/>
                <a:moveTo>
                  <a:pt x="3265514" y="2639964"/>
                </a:moveTo>
                <a:cubicBezTo>
                  <a:pt x="3247726" y="2639964"/>
                  <a:pt x="3233303" y="2626686"/>
                  <a:pt x="3233303" y="2610312"/>
                </a:cubicBezTo>
                <a:cubicBezTo>
                  <a:pt x="3233303" y="2593937"/>
                  <a:pt x="3247726" y="2580660"/>
                  <a:pt x="3265514" y="2580660"/>
                </a:cubicBezTo>
                <a:cubicBezTo>
                  <a:pt x="3283301" y="2580660"/>
                  <a:pt x="3297724" y="2593937"/>
                  <a:pt x="3297724" y="2610312"/>
                </a:cubicBezTo>
                <a:cubicBezTo>
                  <a:pt x="3297724" y="2626686"/>
                  <a:pt x="3283301" y="2639964"/>
                  <a:pt x="3265514" y="2639964"/>
                </a:cubicBezTo>
                <a:close/>
                <a:moveTo>
                  <a:pt x="3658183" y="2639964"/>
                </a:moveTo>
                <a:cubicBezTo>
                  <a:pt x="3640396" y="2639964"/>
                  <a:pt x="3625972" y="2626686"/>
                  <a:pt x="3625972" y="2610312"/>
                </a:cubicBezTo>
                <a:cubicBezTo>
                  <a:pt x="3625972" y="2593937"/>
                  <a:pt x="3640396" y="2580660"/>
                  <a:pt x="3658183" y="2580660"/>
                </a:cubicBezTo>
                <a:cubicBezTo>
                  <a:pt x="3675970" y="2580660"/>
                  <a:pt x="3690393" y="2593937"/>
                  <a:pt x="3690393" y="2610312"/>
                </a:cubicBezTo>
                <a:cubicBezTo>
                  <a:pt x="3690393" y="2626686"/>
                  <a:pt x="3675970" y="2639964"/>
                  <a:pt x="3658183" y="2639964"/>
                </a:cubicBezTo>
                <a:close/>
                <a:moveTo>
                  <a:pt x="3736717" y="2639964"/>
                </a:moveTo>
                <a:cubicBezTo>
                  <a:pt x="3718930" y="2639964"/>
                  <a:pt x="3704507" y="2626686"/>
                  <a:pt x="3704507" y="2610312"/>
                </a:cubicBezTo>
                <a:cubicBezTo>
                  <a:pt x="3704507" y="2593937"/>
                  <a:pt x="3718930" y="2580660"/>
                  <a:pt x="3736717" y="2580660"/>
                </a:cubicBezTo>
                <a:cubicBezTo>
                  <a:pt x="3754504" y="2580660"/>
                  <a:pt x="3768927" y="2593937"/>
                  <a:pt x="3768927" y="2610312"/>
                </a:cubicBezTo>
                <a:cubicBezTo>
                  <a:pt x="3768927" y="2626686"/>
                  <a:pt x="3754504" y="2639964"/>
                  <a:pt x="3736717" y="2639964"/>
                </a:cubicBezTo>
                <a:close/>
                <a:moveTo>
                  <a:pt x="3815250" y="2639964"/>
                </a:moveTo>
                <a:cubicBezTo>
                  <a:pt x="3797463" y="2639964"/>
                  <a:pt x="3783040" y="2626686"/>
                  <a:pt x="3783040" y="2610312"/>
                </a:cubicBezTo>
                <a:cubicBezTo>
                  <a:pt x="3783040" y="2593937"/>
                  <a:pt x="3797463" y="2580660"/>
                  <a:pt x="3815250" y="2580660"/>
                </a:cubicBezTo>
                <a:cubicBezTo>
                  <a:pt x="3833038" y="2580660"/>
                  <a:pt x="3847461" y="2593937"/>
                  <a:pt x="3847461" y="2610312"/>
                </a:cubicBezTo>
                <a:cubicBezTo>
                  <a:pt x="3847461" y="2626686"/>
                  <a:pt x="3833038" y="2639964"/>
                  <a:pt x="3815250" y="2639964"/>
                </a:cubicBezTo>
                <a:close/>
                <a:moveTo>
                  <a:pt x="3893785" y="2639964"/>
                </a:moveTo>
                <a:cubicBezTo>
                  <a:pt x="3875997" y="2639964"/>
                  <a:pt x="3861574" y="2626686"/>
                  <a:pt x="3861574" y="2610312"/>
                </a:cubicBezTo>
                <a:cubicBezTo>
                  <a:pt x="3861574" y="2593937"/>
                  <a:pt x="3875997" y="2580660"/>
                  <a:pt x="3893785" y="2580660"/>
                </a:cubicBezTo>
                <a:cubicBezTo>
                  <a:pt x="3911572" y="2580660"/>
                  <a:pt x="3925995" y="2593937"/>
                  <a:pt x="3925995" y="2610312"/>
                </a:cubicBezTo>
                <a:cubicBezTo>
                  <a:pt x="3925995" y="2626686"/>
                  <a:pt x="3911572" y="2639964"/>
                  <a:pt x="3893785" y="2639964"/>
                </a:cubicBezTo>
                <a:close/>
                <a:moveTo>
                  <a:pt x="3972319" y="2639964"/>
                </a:moveTo>
                <a:cubicBezTo>
                  <a:pt x="3954532" y="2639964"/>
                  <a:pt x="3940108" y="2626686"/>
                  <a:pt x="3940108" y="2610312"/>
                </a:cubicBezTo>
                <a:cubicBezTo>
                  <a:pt x="3940108" y="2593937"/>
                  <a:pt x="3954532" y="2580660"/>
                  <a:pt x="3972319" y="2580660"/>
                </a:cubicBezTo>
                <a:cubicBezTo>
                  <a:pt x="3990106" y="2580660"/>
                  <a:pt x="4004529" y="2593937"/>
                  <a:pt x="4004529" y="2610312"/>
                </a:cubicBezTo>
                <a:cubicBezTo>
                  <a:pt x="4004529" y="2626686"/>
                  <a:pt x="3990106" y="2639964"/>
                  <a:pt x="3972319" y="2639964"/>
                </a:cubicBezTo>
                <a:close/>
                <a:moveTo>
                  <a:pt x="4050852" y="2639964"/>
                </a:moveTo>
                <a:cubicBezTo>
                  <a:pt x="4033065" y="2639964"/>
                  <a:pt x="4018642" y="2626686"/>
                  <a:pt x="4018642" y="2610312"/>
                </a:cubicBezTo>
                <a:cubicBezTo>
                  <a:pt x="4018642" y="2593937"/>
                  <a:pt x="4033065" y="2580660"/>
                  <a:pt x="4050852" y="2580660"/>
                </a:cubicBezTo>
                <a:cubicBezTo>
                  <a:pt x="4068639" y="2580660"/>
                  <a:pt x="4083062" y="2593937"/>
                  <a:pt x="4083062" y="2610312"/>
                </a:cubicBezTo>
                <a:cubicBezTo>
                  <a:pt x="4083062" y="2626686"/>
                  <a:pt x="4068639" y="2639964"/>
                  <a:pt x="4050852" y="2639964"/>
                </a:cubicBezTo>
                <a:close/>
                <a:moveTo>
                  <a:pt x="4129386" y="2639964"/>
                </a:moveTo>
                <a:cubicBezTo>
                  <a:pt x="4111599" y="2639964"/>
                  <a:pt x="4097176" y="2626686"/>
                  <a:pt x="4097176" y="2610312"/>
                </a:cubicBezTo>
                <a:cubicBezTo>
                  <a:pt x="4097176" y="2593937"/>
                  <a:pt x="4111599" y="2580660"/>
                  <a:pt x="4129386" y="2580660"/>
                </a:cubicBezTo>
                <a:cubicBezTo>
                  <a:pt x="4147174" y="2580660"/>
                  <a:pt x="4161597" y="2593937"/>
                  <a:pt x="4161597" y="2610312"/>
                </a:cubicBezTo>
                <a:cubicBezTo>
                  <a:pt x="4161597" y="2626686"/>
                  <a:pt x="4147174" y="2639964"/>
                  <a:pt x="4129386" y="2639964"/>
                </a:cubicBezTo>
                <a:close/>
                <a:moveTo>
                  <a:pt x="4207926" y="2639964"/>
                </a:moveTo>
                <a:cubicBezTo>
                  <a:pt x="4190138" y="2639964"/>
                  <a:pt x="4175715" y="2626686"/>
                  <a:pt x="4175715" y="2610312"/>
                </a:cubicBezTo>
                <a:cubicBezTo>
                  <a:pt x="4175715" y="2593937"/>
                  <a:pt x="4190138" y="2580660"/>
                  <a:pt x="4207926" y="2580660"/>
                </a:cubicBezTo>
                <a:cubicBezTo>
                  <a:pt x="4225713" y="2580660"/>
                  <a:pt x="4240136" y="2593937"/>
                  <a:pt x="4240136" y="2610312"/>
                </a:cubicBezTo>
                <a:cubicBezTo>
                  <a:pt x="4240136" y="2626686"/>
                  <a:pt x="4225713" y="2639964"/>
                  <a:pt x="4207926" y="2639964"/>
                </a:cubicBezTo>
                <a:close/>
                <a:moveTo>
                  <a:pt x="4286460" y="2639964"/>
                </a:moveTo>
                <a:cubicBezTo>
                  <a:pt x="4268673" y="2639964"/>
                  <a:pt x="4254250" y="2626686"/>
                  <a:pt x="4254250" y="2610312"/>
                </a:cubicBezTo>
                <a:cubicBezTo>
                  <a:pt x="4254250" y="2593937"/>
                  <a:pt x="4268673" y="2580660"/>
                  <a:pt x="4286460" y="2580660"/>
                </a:cubicBezTo>
                <a:cubicBezTo>
                  <a:pt x="4304247" y="2580660"/>
                  <a:pt x="4318670" y="2593937"/>
                  <a:pt x="4318670" y="2610312"/>
                </a:cubicBezTo>
                <a:cubicBezTo>
                  <a:pt x="4318670" y="2626686"/>
                  <a:pt x="4304247" y="2639964"/>
                  <a:pt x="4286460" y="2639964"/>
                </a:cubicBezTo>
                <a:close/>
                <a:moveTo>
                  <a:pt x="4364994" y="2639964"/>
                </a:moveTo>
                <a:cubicBezTo>
                  <a:pt x="4347207" y="2639964"/>
                  <a:pt x="4332784" y="2626686"/>
                  <a:pt x="4332784" y="2610312"/>
                </a:cubicBezTo>
                <a:cubicBezTo>
                  <a:pt x="4332784" y="2593937"/>
                  <a:pt x="4347207" y="2580660"/>
                  <a:pt x="4364994" y="2580660"/>
                </a:cubicBezTo>
                <a:cubicBezTo>
                  <a:pt x="4382781" y="2580660"/>
                  <a:pt x="4397204" y="2593937"/>
                  <a:pt x="4397204" y="2610312"/>
                </a:cubicBezTo>
                <a:cubicBezTo>
                  <a:pt x="4397204" y="2626686"/>
                  <a:pt x="4382781" y="2639964"/>
                  <a:pt x="4364994" y="2639964"/>
                </a:cubicBezTo>
                <a:close/>
                <a:moveTo>
                  <a:pt x="4443527" y="2639964"/>
                </a:moveTo>
                <a:cubicBezTo>
                  <a:pt x="4425740" y="2639964"/>
                  <a:pt x="4411317" y="2626686"/>
                  <a:pt x="4411317" y="2610312"/>
                </a:cubicBezTo>
                <a:cubicBezTo>
                  <a:pt x="4411317" y="2593937"/>
                  <a:pt x="4425740" y="2580660"/>
                  <a:pt x="4443527" y="2580660"/>
                </a:cubicBezTo>
                <a:cubicBezTo>
                  <a:pt x="4461315" y="2580660"/>
                  <a:pt x="4475738" y="2593937"/>
                  <a:pt x="4475738" y="2610312"/>
                </a:cubicBezTo>
                <a:cubicBezTo>
                  <a:pt x="4475738" y="2626686"/>
                  <a:pt x="4461315" y="2639964"/>
                  <a:pt x="4443527" y="2639964"/>
                </a:cubicBezTo>
                <a:close/>
                <a:moveTo>
                  <a:pt x="6249806" y="2639964"/>
                </a:moveTo>
                <a:cubicBezTo>
                  <a:pt x="6232019" y="2639964"/>
                  <a:pt x="6217590" y="2626686"/>
                  <a:pt x="6217590" y="2610312"/>
                </a:cubicBezTo>
                <a:cubicBezTo>
                  <a:pt x="6217590" y="2593937"/>
                  <a:pt x="6232019" y="2580660"/>
                  <a:pt x="6249806" y="2580660"/>
                </a:cubicBezTo>
                <a:cubicBezTo>
                  <a:pt x="6267593" y="2580660"/>
                  <a:pt x="6282010" y="2593937"/>
                  <a:pt x="6282010" y="2610312"/>
                </a:cubicBezTo>
                <a:cubicBezTo>
                  <a:pt x="6282010" y="2626686"/>
                  <a:pt x="6267593" y="2639964"/>
                  <a:pt x="6249806" y="2639964"/>
                </a:cubicBezTo>
                <a:close/>
                <a:moveTo>
                  <a:pt x="6328340" y="2639964"/>
                </a:moveTo>
                <a:cubicBezTo>
                  <a:pt x="6310553" y="2639964"/>
                  <a:pt x="6296124" y="2626686"/>
                  <a:pt x="6296124" y="2610312"/>
                </a:cubicBezTo>
                <a:cubicBezTo>
                  <a:pt x="6296124" y="2593937"/>
                  <a:pt x="6310553" y="2580660"/>
                  <a:pt x="6328340" y="2580660"/>
                </a:cubicBezTo>
                <a:cubicBezTo>
                  <a:pt x="6346128" y="2580660"/>
                  <a:pt x="6360545" y="2593937"/>
                  <a:pt x="6360545" y="2610312"/>
                </a:cubicBezTo>
                <a:cubicBezTo>
                  <a:pt x="6360545" y="2626686"/>
                  <a:pt x="6346128" y="2639964"/>
                  <a:pt x="6328340" y="2639964"/>
                </a:cubicBezTo>
                <a:close/>
                <a:moveTo>
                  <a:pt x="6406875" y="2639964"/>
                </a:moveTo>
                <a:cubicBezTo>
                  <a:pt x="6389087" y="2639964"/>
                  <a:pt x="6374658" y="2626686"/>
                  <a:pt x="6374658" y="2610312"/>
                </a:cubicBezTo>
                <a:cubicBezTo>
                  <a:pt x="6374658" y="2593937"/>
                  <a:pt x="6389087" y="2580660"/>
                  <a:pt x="6406875" y="2580660"/>
                </a:cubicBezTo>
                <a:cubicBezTo>
                  <a:pt x="6424662" y="2580660"/>
                  <a:pt x="6439079" y="2593937"/>
                  <a:pt x="6439079" y="2610312"/>
                </a:cubicBezTo>
                <a:cubicBezTo>
                  <a:pt x="6439079" y="2626686"/>
                  <a:pt x="6424662" y="2639964"/>
                  <a:pt x="6406875" y="2639964"/>
                </a:cubicBezTo>
                <a:close/>
                <a:moveTo>
                  <a:pt x="6485408" y="2639964"/>
                </a:moveTo>
                <a:cubicBezTo>
                  <a:pt x="6467621" y="2639964"/>
                  <a:pt x="6453191" y="2626686"/>
                  <a:pt x="6453191" y="2610312"/>
                </a:cubicBezTo>
                <a:cubicBezTo>
                  <a:pt x="6453191" y="2593937"/>
                  <a:pt x="6467621" y="2580660"/>
                  <a:pt x="6485408" y="2580660"/>
                </a:cubicBezTo>
                <a:cubicBezTo>
                  <a:pt x="6503195" y="2580660"/>
                  <a:pt x="6517612" y="2593937"/>
                  <a:pt x="6517612" y="2610312"/>
                </a:cubicBezTo>
                <a:cubicBezTo>
                  <a:pt x="6517612" y="2626686"/>
                  <a:pt x="6503195" y="2639964"/>
                  <a:pt x="6485408" y="2639964"/>
                </a:cubicBezTo>
                <a:close/>
                <a:moveTo>
                  <a:pt x="6563942" y="2639964"/>
                </a:moveTo>
                <a:cubicBezTo>
                  <a:pt x="6546155" y="2639964"/>
                  <a:pt x="6531726" y="2626686"/>
                  <a:pt x="6531726" y="2610312"/>
                </a:cubicBezTo>
                <a:cubicBezTo>
                  <a:pt x="6531726" y="2593937"/>
                  <a:pt x="6546155" y="2580660"/>
                  <a:pt x="6563942" y="2580660"/>
                </a:cubicBezTo>
                <a:cubicBezTo>
                  <a:pt x="6581729" y="2580660"/>
                  <a:pt x="6596146" y="2593937"/>
                  <a:pt x="6596146" y="2610312"/>
                </a:cubicBezTo>
                <a:cubicBezTo>
                  <a:pt x="6596146" y="2626686"/>
                  <a:pt x="6581729" y="2639964"/>
                  <a:pt x="6563942" y="2639964"/>
                </a:cubicBezTo>
                <a:close/>
                <a:moveTo>
                  <a:pt x="6642476" y="2639964"/>
                </a:moveTo>
                <a:cubicBezTo>
                  <a:pt x="6624689" y="2639964"/>
                  <a:pt x="6610260" y="2626686"/>
                  <a:pt x="6610260" y="2610312"/>
                </a:cubicBezTo>
                <a:cubicBezTo>
                  <a:pt x="6610260" y="2593937"/>
                  <a:pt x="6624689" y="2580660"/>
                  <a:pt x="6642476" y="2580660"/>
                </a:cubicBezTo>
                <a:cubicBezTo>
                  <a:pt x="6660264" y="2580660"/>
                  <a:pt x="6674681" y="2593937"/>
                  <a:pt x="6674681" y="2610312"/>
                </a:cubicBezTo>
                <a:cubicBezTo>
                  <a:pt x="6674681" y="2626686"/>
                  <a:pt x="6660264" y="2639964"/>
                  <a:pt x="6642476" y="2639964"/>
                </a:cubicBezTo>
                <a:close/>
                <a:moveTo>
                  <a:pt x="6721010" y="2639964"/>
                </a:moveTo>
                <a:cubicBezTo>
                  <a:pt x="6703222" y="2639964"/>
                  <a:pt x="6688793" y="2626686"/>
                  <a:pt x="6688793" y="2610312"/>
                </a:cubicBezTo>
                <a:cubicBezTo>
                  <a:pt x="6688793" y="2593937"/>
                  <a:pt x="6703222" y="2580660"/>
                  <a:pt x="6721010" y="2580660"/>
                </a:cubicBezTo>
                <a:cubicBezTo>
                  <a:pt x="6738797" y="2580660"/>
                  <a:pt x="6753214" y="2593937"/>
                  <a:pt x="6753214" y="2610312"/>
                </a:cubicBezTo>
                <a:cubicBezTo>
                  <a:pt x="6753214" y="2626686"/>
                  <a:pt x="6738797" y="2639964"/>
                  <a:pt x="6721010" y="2639964"/>
                </a:cubicBezTo>
                <a:close/>
                <a:moveTo>
                  <a:pt x="6799544" y="2639964"/>
                </a:moveTo>
                <a:cubicBezTo>
                  <a:pt x="6781757" y="2639964"/>
                  <a:pt x="6767327" y="2626686"/>
                  <a:pt x="6767327" y="2610312"/>
                </a:cubicBezTo>
                <a:cubicBezTo>
                  <a:pt x="6767327" y="2593937"/>
                  <a:pt x="6781757" y="2580660"/>
                  <a:pt x="6799544" y="2580660"/>
                </a:cubicBezTo>
                <a:cubicBezTo>
                  <a:pt x="6817331" y="2580660"/>
                  <a:pt x="6831748" y="2593937"/>
                  <a:pt x="6831748" y="2610312"/>
                </a:cubicBezTo>
                <a:cubicBezTo>
                  <a:pt x="6831748" y="2626686"/>
                  <a:pt x="6817331" y="2639964"/>
                  <a:pt x="6799544" y="2639964"/>
                </a:cubicBezTo>
                <a:close/>
                <a:moveTo>
                  <a:pt x="6956611" y="2639964"/>
                </a:moveTo>
                <a:cubicBezTo>
                  <a:pt x="6938824" y="2639964"/>
                  <a:pt x="6924395" y="2626686"/>
                  <a:pt x="6924395" y="2610312"/>
                </a:cubicBezTo>
                <a:cubicBezTo>
                  <a:pt x="6924395" y="2593937"/>
                  <a:pt x="6938824" y="2580660"/>
                  <a:pt x="6956611" y="2580660"/>
                </a:cubicBezTo>
                <a:cubicBezTo>
                  <a:pt x="6974399" y="2580660"/>
                  <a:pt x="6988816" y="2593937"/>
                  <a:pt x="6988816" y="2610312"/>
                </a:cubicBezTo>
                <a:cubicBezTo>
                  <a:pt x="6988816" y="2626686"/>
                  <a:pt x="6974399" y="2639964"/>
                  <a:pt x="6956611" y="2639964"/>
                </a:cubicBezTo>
                <a:close/>
                <a:moveTo>
                  <a:pt x="7035146" y="2639964"/>
                </a:moveTo>
                <a:cubicBezTo>
                  <a:pt x="7017358" y="2639964"/>
                  <a:pt x="7002929" y="2626686"/>
                  <a:pt x="7002929" y="2610312"/>
                </a:cubicBezTo>
                <a:cubicBezTo>
                  <a:pt x="7002929" y="2593937"/>
                  <a:pt x="7017358" y="2580660"/>
                  <a:pt x="7035146" y="2580660"/>
                </a:cubicBezTo>
                <a:cubicBezTo>
                  <a:pt x="7052933" y="2580660"/>
                  <a:pt x="7067350" y="2593937"/>
                  <a:pt x="7067350" y="2610312"/>
                </a:cubicBezTo>
                <a:cubicBezTo>
                  <a:pt x="7067350" y="2626686"/>
                  <a:pt x="7052933" y="2639964"/>
                  <a:pt x="7035146" y="2639964"/>
                </a:cubicBezTo>
                <a:close/>
                <a:moveTo>
                  <a:pt x="7113703" y="2639964"/>
                </a:moveTo>
                <a:cubicBezTo>
                  <a:pt x="7095916" y="2639964"/>
                  <a:pt x="7081487" y="2626686"/>
                  <a:pt x="7081487" y="2610312"/>
                </a:cubicBezTo>
                <a:cubicBezTo>
                  <a:pt x="7081487" y="2593937"/>
                  <a:pt x="7095916" y="2580660"/>
                  <a:pt x="7113703" y="2580660"/>
                </a:cubicBezTo>
                <a:cubicBezTo>
                  <a:pt x="7131490" y="2580660"/>
                  <a:pt x="7145907" y="2593937"/>
                  <a:pt x="7145907" y="2610312"/>
                </a:cubicBezTo>
                <a:cubicBezTo>
                  <a:pt x="7145907" y="2626686"/>
                  <a:pt x="7131490" y="2639964"/>
                  <a:pt x="7113703" y="2639964"/>
                </a:cubicBezTo>
                <a:close/>
                <a:moveTo>
                  <a:pt x="8841448" y="2639964"/>
                </a:moveTo>
                <a:cubicBezTo>
                  <a:pt x="8823661" y="2639964"/>
                  <a:pt x="8809232" y="2626686"/>
                  <a:pt x="8809232" y="2610312"/>
                </a:cubicBezTo>
                <a:cubicBezTo>
                  <a:pt x="8809232" y="2593937"/>
                  <a:pt x="8823661" y="2580660"/>
                  <a:pt x="8841448" y="2580660"/>
                </a:cubicBezTo>
                <a:cubicBezTo>
                  <a:pt x="8859236" y="2580660"/>
                  <a:pt x="8873653" y="2593937"/>
                  <a:pt x="8873653" y="2610312"/>
                </a:cubicBezTo>
                <a:cubicBezTo>
                  <a:pt x="8873653" y="2626686"/>
                  <a:pt x="8859236" y="2639964"/>
                  <a:pt x="8841448" y="2639964"/>
                </a:cubicBezTo>
                <a:close/>
                <a:moveTo>
                  <a:pt x="8919983" y="2639964"/>
                </a:moveTo>
                <a:cubicBezTo>
                  <a:pt x="8902195" y="2639964"/>
                  <a:pt x="8887766" y="2626686"/>
                  <a:pt x="8887766" y="2610312"/>
                </a:cubicBezTo>
                <a:cubicBezTo>
                  <a:pt x="8887766" y="2593937"/>
                  <a:pt x="8902195" y="2580660"/>
                  <a:pt x="8919983" y="2580660"/>
                </a:cubicBezTo>
                <a:cubicBezTo>
                  <a:pt x="8937770" y="2580660"/>
                  <a:pt x="8952187" y="2593937"/>
                  <a:pt x="8952187" y="2610312"/>
                </a:cubicBezTo>
                <a:cubicBezTo>
                  <a:pt x="8952187" y="2626686"/>
                  <a:pt x="8937770" y="2639964"/>
                  <a:pt x="8919983" y="2639964"/>
                </a:cubicBezTo>
                <a:close/>
                <a:moveTo>
                  <a:pt x="9155583" y="2639964"/>
                </a:moveTo>
                <a:cubicBezTo>
                  <a:pt x="9137796" y="2639964"/>
                  <a:pt x="9123367" y="2626686"/>
                  <a:pt x="9123367" y="2610312"/>
                </a:cubicBezTo>
                <a:cubicBezTo>
                  <a:pt x="9123367" y="2593937"/>
                  <a:pt x="9137796" y="2580660"/>
                  <a:pt x="9155583" y="2580660"/>
                </a:cubicBezTo>
                <a:cubicBezTo>
                  <a:pt x="9173371" y="2580660"/>
                  <a:pt x="9187788" y="2593937"/>
                  <a:pt x="9187788" y="2610312"/>
                </a:cubicBezTo>
                <a:cubicBezTo>
                  <a:pt x="9187788" y="2626686"/>
                  <a:pt x="9173371" y="2639964"/>
                  <a:pt x="9155583" y="2639964"/>
                </a:cubicBezTo>
                <a:close/>
                <a:moveTo>
                  <a:pt x="9234118" y="2639964"/>
                </a:moveTo>
                <a:cubicBezTo>
                  <a:pt x="9216330" y="2639964"/>
                  <a:pt x="9201901" y="2626686"/>
                  <a:pt x="9201901" y="2610312"/>
                </a:cubicBezTo>
                <a:cubicBezTo>
                  <a:pt x="9201901" y="2593937"/>
                  <a:pt x="9216330" y="2580660"/>
                  <a:pt x="9234118" y="2580660"/>
                </a:cubicBezTo>
                <a:cubicBezTo>
                  <a:pt x="9251905" y="2580660"/>
                  <a:pt x="9266322" y="2593937"/>
                  <a:pt x="9266322" y="2610312"/>
                </a:cubicBezTo>
                <a:cubicBezTo>
                  <a:pt x="9266322" y="2626686"/>
                  <a:pt x="9251905" y="2639964"/>
                  <a:pt x="9234118" y="2639964"/>
                </a:cubicBezTo>
                <a:close/>
                <a:moveTo>
                  <a:pt x="9312652" y="2639964"/>
                </a:moveTo>
                <a:cubicBezTo>
                  <a:pt x="9294865" y="2639964"/>
                  <a:pt x="9280436" y="2626686"/>
                  <a:pt x="9280436" y="2610312"/>
                </a:cubicBezTo>
                <a:cubicBezTo>
                  <a:pt x="9280436" y="2593937"/>
                  <a:pt x="9294865" y="2580660"/>
                  <a:pt x="9312652" y="2580660"/>
                </a:cubicBezTo>
                <a:cubicBezTo>
                  <a:pt x="9330439" y="2580660"/>
                  <a:pt x="9344856" y="2593937"/>
                  <a:pt x="9344856" y="2610312"/>
                </a:cubicBezTo>
                <a:cubicBezTo>
                  <a:pt x="9344856" y="2626686"/>
                  <a:pt x="9330439" y="2639964"/>
                  <a:pt x="9312652" y="2639964"/>
                </a:cubicBezTo>
                <a:close/>
                <a:moveTo>
                  <a:pt x="9548254" y="2639964"/>
                </a:moveTo>
                <a:cubicBezTo>
                  <a:pt x="9530466" y="2639964"/>
                  <a:pt x="9516037" y="2626686"/>
                  <a:pt x="9516037" y="2610312"/>
                </a:cubicBezTo>
                <a:cubicBezTo>
                  <a:pt x="9516037" y="2593937"/>
                  <a:pt x="9530466" y="2580660"/>
                  <a:pt x="9548254" y="2580660"/>
                </a:cubicBezTo>
                <a:cubicBezTo>
                  <a:pt x="9566041" y="2580660"/>
                  <a:pt x="9580458" y="2593937"/>
                  <a:pt x="9580458" y="2610312"/>
                </a:cubicBezTo>
                <a:cubicBezTo>
                  <a:pt x="9580458" y="2626686"/>
                  <a:pt x="9566041" y="2639964"/>
                  <a:pt x="9548254" y="2639964"/>
                </a:cubicBezTo>
                <a:close/>
                <a:moveTo>
                  <a:pt x="9705321" y="2639964"/>
                </a:moveTo>
                <a:cubicBezTo>
                  <a:pt x="9687534" y="2639964"/>
                  <a:pt x="9673105" y="2626686"/>
                  <a:pt x="9673105" y="2610312"/>
                </a:cubicBezTo>
                <a:cubicBezTo>
                  <a:pt x="9673105" y="2593937"/>
                  <a:pt x="9687534" y="2580660"/>
                  <a:pt x="9705321" y="2580660"/>
                </a:cubicBezTo>
                <a:cubicBezTo>
                  <a:pt x="9723108" y="2580660"/>
                  <a:pt x="9737525" y="2593937"/>
                  <a:pt x="9737525" y="2610312"/>
                </a:cubicBezTo>
                <a:cubicBezTo>
                  <a:pt x="9737525" y="2626686"/>
                  <a:pt x="9723108" y="2639964"/>
                  <a:pt x="9705321" y="2639964"/>
                </a:cubicBezTo>
                <a:close/>
                <a:moveTo>
                  <a:pt x="3658183" y="2567698"/>
                </a:moveTo>
                <a:cubicBezTo>
                  <a:pt x="3640396" y="2567698"/>
                  <a:pt x="3625972" y="2554421"/>
                  <a:pt x="3625972" y="2538046"/>
                </a:cubicBezTo>
                <a:cubicBezTo>
                  <a:pt x="3625972" y="2521671"/>
                  <a:pt x="3640396" y="2508394"/>
                  <a:pt x="3658183" y="2508394"/>
                </a:cubicBezTo>
                <a:cubicBezTo>
                  <a:pt x="3675970" y="2508394"/>
                  <a:pt x="3690393" y="2521671"/>
                  <a:pt x="3690393" y="2538046"/>
                </a:cubicBezTo>
                <a:cubicBezTo>
                  <a:pt x="3690393" y="2554421"/>
                  <a:pt x="3675970" y="2567698"/>
                  <a:pt x="3658183" y="2567698"/>
                </a:cubicBezTo>
                <a:close/>
                <a:moveTo>
                  <a:pt x="3736717" y="2567698"/>
                </a:moveTo>
                <a:cubicBezTo>
                  <a:pt x="3718930" y="2567698"/>
                  <a:pt x="3704507" y="2554421"/>
                  <a:pt x="3704507" y="2538046"/>
                </a:cubicBezTo>
                <a:cubicBezTo>
                  <a:pt x="3704507" y="2521671"/>
                  <a:pt x="3718930" y="2508394"/>
                  <a:pt x="3736717" y="2508394"/>
                </a:cubicBezTo>
                <a:cubicBezTo>
                  <a:pt x="3754504" y="2508394"/>
                  <a:pt x="3768927" y="2521671"/>
                  <a:pt x="3768927" y="2538046"/>
                </a:cubicBezTo>
                <a:cubicBezTo>
                  <a:pt x="3768927" y="2554421"/>
                  <a:pt x="3754504" y="2567698"/>
                  <a:pt x="3736717" y="2567698"/>
                </a:cubicBezTo>
                <a:close/>
                <a:moveTo>
                  <a:pt x="3815250" y="2567698"/>
                </a:moveTo>
                <a:cubicBezTo>
                  <a:pt x="3797463" y="2567698"/>
                  <a:pt x="3783040" y="2554421"/>
                  <a:pt x="3783040" y="2538046"/>
                </a:cubicBezTo>
                <a:cubicBezTo>
                  <a:pt x="3783040" y="2521671"/>
                  <a:pt x="3797463" y="2508394"/>
                  <a:pt x="3815250" y="2508394"/>
                </a:cubicBezTo>
                <a:cubicBezTo>
                  <a:pt x="3833038" y="2508394"/>
                  <a:pt x="3847461" y="2521671"/>
                  <a:pt x="3847461" y="2538046"/>
                </a:cubicBezTo>
                <a:cubicBezTo>
                  <a:pt x="3847461" y="2554421"/>
                  <a:pt x="3833038" y="2567698"/>
                  <a:pt x="3815250" y="2567698"/>
                </a:cubicBezTo>
                <a:close/>
                <a:moveTo>
                  <a:pt x="3893785" y="2567698"/>
                </a:moveTo>
                <a:cubicBezTo>
                  <a:pt x="3875997" y="2567698"/>
                  <a:pt x="3861574" y="2554421"/>
                  <a:pt x="3861574" y="2538046"/>
                </a:cubicBezTo>
                <a:cubicBezTo>
                  <a:pt x="3861574" y="2521671"/>
                  <a:pt x="3875997" y="2508394"/>
                  <a:pt x="3893785" y="2508394"/>
                </a:cubicBezTo>
                <a:cubicBezTo>
                  <a:pt x="3911572" y="2508394"/>
                  <a:pt x="3925995" y="2521671"/>
                  <a:pt x="3925995" y="2538046"/>
                </a:cubicBezTo>
                <a:cubicBezTo>
                  <a:pt x="3925995" y="2554421"/>
                  <a:pt x="3911572" y="2567698"/>
                  <a:pt x="3893785" y="2567698"/>
                </a:cubicBezTo>
                <a:close/>
                <a:moveTo>
                  <a:pt x="3972319" y="2567698"/>
                </a:moveTo>
                <a:cubicBezTo>
                  <a:pt x="3954532" y="2567698"/>
                  <a:pt x="3940108" y="2554421"/>
                  <a:pt x="3940108" y="2538046"/>
                </a:cubicBezTo>
                <a:cubicBezTo>
                  <a:pt x="3940108" y="2521671"/>
                  <a:pt x="3954532" y="2508394"/>
                  <a:pt x="3972319" y="2508394"/>
                </a:cubicBezTo>
                <a:cubicBezTo>
                  <a:pt x="3990106" y="2508394"/>
                  <a:pt x="4004529" y="2521671"/>
                  <a:pt x="4004529" y="2538046"/>
                </a:cubicBezTo>
                <a:cubicBezTo>
                  <a:pt x="4004529" y="2554421"/>
                  <a:pt x="3990106" y="2567698"/>
                  <a:pt x="3972319" y="2567698"/>
                </a:cubicBezTo>
                <a:close/>
                <a:moveTo>
                  <a:pt x="4050852" y="2567698"/>
                </a:moveTo>
                <a:cubicBezTo>
                  <a:pt x="4033065" y="2567698"/>
                  <a:pt x="4018642" y="2554421"/>
                  <a:pt x="4018642" y="2538046"/>
                </a:cubicBezTo>
                <a:cubicBezTo>
                  <a:pt x="4018642" y="2521671"/>
                  <a:pt x="4033065" y="2508394"/>
                  <a:pt x="4050852" y="2508394"/>
                </a:cubicBezTo>
                <a:cubicBezTo>
                  <a:pt x="4068639" y="2508394"/>
                  <a:pt x="4083062" y="2521671"/>
                  <a:pt x="4083062" y="2538046"/>
                </a:cubicBezTo>
                <a:cubicBezTo>
                  <a:pt x="4083062" y="2554421"/>
                  <a:pt x="4068639" y="2567698"/>
                  <a:pt x="4050852" y="2567698"/>
                </a:cubicBezTo>
                <a:close/>
                <a:moveTo>
                  <a:pt x="4129386" y="2567698"/>
                </a:moveTo>
                <a:cubicBezTo>
                  <a:pt x="4111599" y="2567698"/>
                  <a:pt x="4097176" y="2554421"/>
                  <a:pt x="4097176" y="2538046"/>
                </a:cubicBezTo>
                <a:cubicBezTo>
                  <a:pt x="4097176" y="2521671"/>
                  <a:pt x="4111599" y="2508394"/>
                  <a:pt x="4129386" y="2508394"/>
                </a:cubicBezTo>
                <a:cubicBezTo>
                  <a:pt x="4147174" y="2508394"/>
                  <a:pt x="4161597" y="2521671"/>
                  <a:pt x="4161597" y="2538046"/>
                </a:cubicBezTo>
                <a:cubicBezTo>
                  <a:pt x="4161597" y="2554421"/>
                  <a:pt x="4147174" y="2567698"/>
                  <a:pt x="4129386" y="2567698"/>
                </a:cubicBezTo>
                <a:close/>
                <a:moveTo>
                  <a:pt x="4207926" y="2567698"/>
                </a:moveTo>
                <a:cubicBezTo>
                  <a:pt x="4190138" y="2567698"/>
                  <a:pt x="4175715" y="2554421"/>
                  <a:pt x="4175715" y="2538046"/>
                </a:cubicBezTo>
                <a:cubicBezTo>
                  <a:pt x="4175715" y="2521671"/>
                  <a:pt x="4190138" y="2508394"/>
                  <a:pt x="4207926" y="2508394"/>
                </a:cubicBezTo>
                <a:cubicBezTo>
                  <a:pt x="4225713" y="2508394"/>
                  <a:pt x="4240136" y="2521671"/>
                  <a:pt x="4240136" y="2538046"/>
                </a:cubicBezTo>
                <a:cubicBezTo>
                  <a:pt x="4240136" y="2554421"/>
                  <a:pt x="4225713" y="2567698"/>
                  <a:pt x="4207926" y="2567698"/>
                </a:cubicBezTo>
                <a:close/>
                <a:moveTo>
                  <a:pt x="4286460" y="2567698"/>
                </a:moveTo>
                <a:cubicBezTo>
                  <a:pt x="4268673" y="2567698"/>
                  <a:pt x="4254250" y="2554421"/>
                  <a:pt x="4254250" y="2538046"/>
                </a:cubicBezTo>
                <a:cubicBezTo>
                  <a:pt x="4254250" y="2521671"/>
                  <a:pt x="4268673" y="2508394"/>
                  <a:pt x="4286460" y="2508394"/>
                </a:cubicBezTo>
                <a:cubicBezTo>
                  <a:pt x="4304247" y="2508394"/>
                  <a:pt x="4318670" y="2521671"/>
                  <a:pt x="4318670" y="2538046"/>
                </a:cubicBezTo>
                <a:cubicBezTo>
                  <a:pt x="4318670" y="2554421"/>
                  <a:pt x="4304247" y="2567698"/>
                  <a:pt x="4286460" y="2567698"/>
                </a:cubicBezTo>
                <a:close/>
                <a:moveTo>
                  <a:pt x="4364994" y="2567698"/>
                </a:moveTo>
                <a:cubicBezTo>
                  <a:pt x="4347207" y="2567698"/>
                  <a:pt x="4332784" y="2554421"/>
                  <a:pt x="4332784" y="2538046"/>
                </a:cubicBezTo>
                <a:cubicBezTo>
                  <a:pt x="4332784" y="2521671"/>
                  <a:pt x="4347207" y="2508394"/>
                  <a:pt x="4364994" y="2508394"/>
                </a:cubicBezTo>
                <a:cubicBezTo>
                  <a:pt x="4382781" y="2508394"/>
                  <a:pt x="4397204" y="2521671"/>
                  <a:pt x="4397204" y="2538046"/>
                </a:cubicBezTo>
                <a:cubicBezTo>
                  <a:pt x="4397204" y="2554421"/>
                  <a:pt x="4382781" y="2567698"/>
                  <a:pt x="4364994" y="2567698"/>
                </a:cubicBezTo>
                <a:close/>
                <a:moveTo>
                  <a:pt x="4443527" y="2567698"/>
                </a:moveTo>
                <a:cubicBezTo>
                  <a:pt x="4425740" y="2567698"/>
                  <a:pt x="4411317" y="2554421"/>
                  <a:pt x="4411317" y="2538046"/>
                </a:cubicBezTo>
                <a:cubicBezTo>
                  <a:pt x="4411317" y="2521671"/>
                  <a:pt x="4425740" y="2508394"/>
                  <a:pt x="4443527" y="2508394"/>
                </a:cubicBezTo>
                <a:cubicBezTo>
                  <a:pt x="4461315" y="2508394"/>
                  <a:pt x="4475738" y="2521671"/>
                  <a:pt x="4475738" y="2538046"/>
                </a:cubicBezTo>
                <a:cubicBezTo>
                  <a:pt x="4475738" y="2554421"/>
                  <a:pt x="4461315" y="2567698"/>
                  <a:pt x="4443527" y="2567698"/>
                </a:cubicBezTo>
                <a:close/>
                <a:moveTo>
                  <a:pt x="4522062" y="2567698"/>
                </a:moveTo>
                <a:cubicBezTo>
                  <a:pt x="4504274" y="2567698"/>
                  <a:pt x="4489851" y="2554421"/>
                  <a:pt x="4489851" y="2538046"/>
                </a:cubicBezTo>
                <a:cubicBezTo>
                  <a:pt x="4489851" y="2521671"/>
                  <a:pt x="4504274" y="2508394"/>
                  <a:pt x="4522062" y="2508394"/>
                </a:cubicBezTo>
                <a:cubicBezTo>
                  <a:pt x="4539849" y="2508394"/>
                  <a:pt x="4554272" y="2521671"/>
                  <a:pt x="4554272" y="2538046"/>
                </a:cubicBezTo>
                <a:cubicBezTo>
                  <a:pt x="4554272" y="2554421"/>
                  <a:pt x="4539849" y="2567698"/>
                  <a:pt x="4522062" y="2567698"/>
                </a:cubicBezTo>
                <a:close/>
                <a:moveTo>
                  <a:pt x="4600596" y="2567698"/>
                </a:moveTo>
                <a:cubicBezTo>
                  <a:pt x="4582809" y="2567698"/>
                  <a:pt x="4568386" y="2554421"/>
                  <a:pt x="4568386" y="2538046"/>
                </a:cubicBezTo>
                <a:cubicBezTo>
                  <a:pt x="4568386" y="2521671"/>
                  <a:pt x="4582809" y="2508394"/>
                  <a:pt x="4600596" y="2508394"/>
                </a:cubicBezTo>
                <a:cubicBezTo>
                  <a:pt x="4618383" y="2508394"/>
                  <a:pt x="4632806" y="2521671"/>
                  <a:pt x="4632806" y="2538046"/>
                </a:cubicBezTo>
                <a:cubicBezTo>
                  <a:pt x="4632806" y="2554421"/>
                  <a:pt x="4618383" y="2567698"/>
                  <a:pt x="4600596" y="2567698"/>
                </a:cubicBezTo>
                <a:close/>
                <a:moveTo>
                  <a:pt x="6249806" y="2567698"/>
                </a:moveTo>
                <a:cubicBezTo>
                  <a:pt x="6232019" y="2567698"/>
                  <a:pt x="6217590" y="2554421"/>
                  <a:pt x="6217590" y="2538046"/>
                </a:cubicBezTo>
                <a:cubicBezTo>
                  <a:pt x="6217590" y="2521671"/>
                  <a:pt x="6232019" y="2508394"/>
                  <a:pt x="6249806" y="2508394"/>
                </a:cubicBezTo>
                <a:cubicBezTo>
                  <a:pt x="6267593" y="2508394"/>
                  <a:pt x="6282010" y="2521671"/>
                  <a:pt x="6282010" y="2538046"/>
                </a:cubicBezTo>
                <a:cubicBezTo>
                  <a:pt x="6282010" y="2554421"/>
                  <a:pt x="6267593" y="2567698"/>
                  <a:pt x="6249806" y="2567698"/>
                </a:cubicBezTo>
                <a:close/>
                <a:moveTo>
                  <a:pt x="6328340" y="2567698"/>
                </a:moveTo>
                <a:cubicBezTo>
                  <a:pt x="6310553" y="2567698"/>
                  <a:pt x="6296124" y="2554421"/>
                  <a:pt x="6296124" y="2538046"/>
                </a:cubicBezTo>
                <a:cubicBezTo>
                  <a:pt x="6296124" y="2521671"/>
                  <a:pt x="6310553" y="2508394"/>
                  <a:pt x="6328340" y="2508394"/>
                </a:cubicBezTo>
                <a:cubicBezTo>
                  <a:pt x="6346128" y="2508394"/>
                  <a:pt x="6360545" y="2521671"/>
                  <a:pt x="6360545" y="2538046"/>
                </a:cubicBezTo>
                <a:cubicBezTo>
                  <a:pt x="6360545" y="2554421"/>
                  <a:pt x="6346128" y="2567698"/>
                  <a:pt x="6328340" y="2567698"/>
                </a:cubicBezTo>
                <a:close/>
                <a:moveTo>
                  <a:pt x="6406875" y="2567698"/>
                </a:moveTo>
                <a:cubicBezTo>
                  <a:pt x="6389087" y="2567698"/>
                  <a:pt x="6374658" y="2554421"/>
                  <a:pt x="6374658" y="2538046"/>
                </a:cubicBezTo>
                <a:cubicBezTo>
                  <a:pt x="6374658" y="2521671"/>
                  <a:pt x="6389087" y="2508394"/>
                  <a:pt x="6406875" y="2508394"/>
                </a:cubicBezTo>
                <a:cubicBezTo>
                  <a:pt x="6424662" y="2508394"/>
                  <a:pt x="6439079" y="2521671"/>
                  <a:pt x="6439079" y="2538046"/>
                </a:cubicBezTo>
                <a:cubicBezTo>
                  <a:pt x="6439079" y="2554421"/>
                  <a:pt x="6424662" y="2567698"/>
                  <a:pt x="6406875" y="2567698"/>
                </a:cubicBezTo>
                <a:close/>
                <a:moveTo>
                  <a:pt x="6485408" y="2567698"/>
                </a:moveTo>
                <a:cubicBezTo>
                  <a:pt x="6467621" y="2567698"/>
                  <a:pt x="6453191" y="2554421"/>
                  <a:pt x="6453191" y="2538046"/>
                </a:cubicBezTo>
                <a:cubicBezTo>
                  <a:pt x="6453191" y="2521671"/>
                  <a:pt x="6467621" y="2508394"/>
                  <a:pt x="6485408" y="2508394"/>
                </a:cubicBezTo>
                <a:cubicBezTo>
                  <a:pt x="6503195" y="2508394"/>
                  <a:pt x="6517612" y="2521671"/>
                  <a:pt x="6517612" y="2538046"/>
                </a:cubicBezTo>
                <a:cubicBezTo>
                  <a:pt x="6517612" y="2554421"/>
                  <a:pt x="6503195" y="2567698"/>
                  <a:pt x="6485408" y="2567698"/>
                </a:cubicBezTo>
                <a:close/>
                <a:moveTo>
                  <a:pt x="6563942" y="2567698"/>
                </a:moveTo>
                <a:cubicBezTo>
                  <a:pt x="6546155" y="2567698"/>
                  <a:pt x="6531726" y="2554421"/>
                  <a:pt x="6531726" y="2538046"/>
                </a:cubicBezTo>
                <a:cubicBezTo>
                  <a:pt x="6531726" y="2521671"/>
                  <a:pt x="6546155" y="2508394"/>
                  <a:pt x="6563942" y="2508394"/>
                </a:cubicBezTo>
                <a:cubicBezTo>
                  <a:pt x="6581729" y="2508394"/>
                  <a:pt x="6596146" y="2521671"/>
                  <a:pt x="6596146" y="2538046"/>
                </a:cubicBezTo>
                <a:cubicBezTo>
                  <a:pt x="6596146" y="2554421"/>
                  <a:pt x="6581729" y="2567698"/>
                  <a:pt x="6563942" y="2567698"/>
                </a:cubicBezTo>
                <a:close/>
                <a:moveTo>
                  <a:pt x="6642476" y="2567698"/>
                </a:moveTo>
                <a:cubicBezTo>
                  <a:pt x="6624689" y="2567698"/>
                  <a:pt x="6610260" y="2554421"/>
                  <a:pt x="6610260" y="2538046"/>
                </a:cubicBezTo>
                <a:cubicBezTo>
                  <a:pt x="6610260" y="2521671"/>
                  <a:pt x="6624689" y="2508394"/>
                  <a:pt x="6642476" y="2508394"/>
                </a:cubicBezTo>
                <a:cubicBezTo>
                  <a:pt x="6660264" y="2508394"/>
                  <a:pt x="6674681" y="2521671"/>
                  <a:pt x="6674681" y="2538046"/>
                </a:cubicBezTo>
                <a:cubicBezTo>
                  <a:pt x="6674681" y="2554421"/>
                  <a:pt x="6660264" y="2567698"/>
                  <a:pt x="6642476" y="2567698"/>
                </a:cubicBezTo>
                <a:close/>
                <a:moveTo>
                  <a:pt x="6721010" y="2567698"/>
                </a:moveTo>
                <a:cubicBezTo>
                  <a:pt x="6703222" y="2567698"/>
                  <a:pt x="6688793" y="2554421"/>
                  <a:pt x="6688793" y="2538046"/>
                </a:cubicBezTo>
                <a:cubicBezTo>
                  <a:pt x="6688793" y="2521671"/>
                  <a:pt x="6703222" y="2508394"/>
                  <a:pt x="6721010" y="2508394"/>
                </a:cubicBezTo>
                <a:cubicBezTo>
                  <a:pt x="6738797" y="2508394"/>
                  <a:pt x="6753214" y="2521671"/>
                  <a:pt x="6753214" y="2538046"/>
                </a:cubicBezTo>
                <a:cubicBezTo>
                  <a:pt x="6753214" y="2554421"/>
                  <a:pt x="6738797" y="2567698"/>
                  <a:pt x="6721010" y="2567698"/>
                </a:cubicBezTo>
                <a:close/>
                <a:moveTo>
                  <a:pt x="6799544" y="2567698"/>
                </a:moveTo>
                <a:cubicBezTo>
                  <a:pt x="6781757" y="2567698"/>
                  <a:pt x="6767327" y="2554421"/>
                  <a:pt x="6767327" y="2538046"/>
                </a:cubicBezTo>
                <a:cubicBezTo>
                  <a:pt x="6767327" y="2521671"/>
                  <a:pt x="6781757" y="2508394"/>
                  <a:pt x="6799544" y="2508394"/>
                </a:cubicBezTo>
                <a:cubicBezTo>
                  <a:pt x="6817331" y="2508394"/>
                  <a:pt x="6831748" y="2521671"/>
                  <a:pt x="6831748" y="2538046"/>
                </a:cubicBezTo>
                <a:cubicBezTo>
                  <a:pt x="6831748" y="2554421"/>
                  <a:pt x="6817331" y="2567698"/>
                  <a:pt x="6799544" y="2567698"/>
                </a:cubicBezTo>
                <a:close/>
                <a:moveTo>
                  <a:pt x="6956611" y="2567698"/>
                </a:moveTo>
                <a:cubicBezTo>
                  <a:pt x="6938824" y="2567698"/>
                  <a:pt x="6924395" y="2554421"/>
                  <a:pt x="6924395" y="2538046"/>
                </a:cubicBezTo>
                <a:cubicBezTo>
                  <a:pt x="6924395" y="2521671"/>
                  <a:pt x="6938824" y="2508394"/>
                  <a:pt x="6956611" y="2508394"/>
                </a:cubicBezTo>
                <a:cubicBezTo>
                  <a:pt x="6974399" y="2508394"/>
                  <a:pt x="6988816" y="2521671"/>
                  <a:pt x="6988816" y="2538046"/>
                </a:cubicBezTo>
                <a:cubicBezTo>
                  <a:pt x="6988816" y="2554421"/>
                  <a:pt x="6974399" y="2567698"/>
                  <a:pt x="6956611" y="2567698"/>
                </a:cubicBezTo>
                <a:close/>
                <a:moveTo>
                  <a:pt x="7035146" y="2567698"/>
                </a:moveTo>
                <a:cubicBezTo>
                  <a:pt x="7017358" y="2567698"/>
                  <a:pt x="7002929" y="2554421"/>
                  <a:pt x="7002929" y="2538046"/>
                </a:cubicBezTo>
                <a:cubicBezTo>
                  <a:pt x="7002929" y="2521671"/>
                  <a:pt x="7017358" y="2508394"/>
                  <a:pt x="7035146" y="2508394"/>
                </a:cubicBezTo>
                <a:cubicBezTo>
                  <a:pt x="7052933" y="2508394"/>
                  <a:pt x="7067350" y="2521671"/>
                  <a:pt x="7067350" y="2538046"/>
                </a:cubicBezTo>
                <a:cubicBezTo>
                  <a:pt x="7067350" y="2554421"/>
                  <a:pt x="7052933" y="2567698"/>
                  <a:pt x="7035146" y="2567698"/>
                </a:cubicBezTo>
                <a:close/>
                <a:moveTo>
                  <a:pt x="8919983" y="2567698"/>
                </a:moveTo>
                <a:cubicBezTo>
                  <a:pt x="8902195" y="2567698"/>
                  <a:pt x="8887766" y="2554421"/>
                  <a:pt x="8887766" y="2538046"/>
                </a:cubicBezTo>
                <a:cubicBezTo>
                  <a:pt x="8887766" y="2521671"/>
                  <a:pt x="8902195" y="2508394"/>
                  <a:pt x="8919983" y="2508394"/>
                </a:cubicBezTo>
                <a:cubicBezTo>
                  <a:pt x="8937770" y="2508394"/>
                  <a:pt x="8952187" y="2521671"/>
                  <a:pt x="8952187" y="2538046"/>
                </a:cubicBezTo>
                <a:cubicBezTo>
                  <a:pt x="8952187" y="2554421"/>
                  <a:pt x="8937770" y="2567698"/>
                  <a:pt x="8919983" y="2567698"/>
                </a:cubicBezTo>
                <a:close/>
                <a:moveTo>
                  <a:pt x="8998516" y="2567698"/>
                </a:moveTo>
                <a:cubicBezTo>
                  <a:pt x="8980729" y="2567698"/>
                  <a:pt x="8966300" y="2554421"/>
                  <a:pt x="8966300" y="2538046"/>
                </a:cubicBezTo>
                <a:cubicBezTo>
                  <a:pt x="8966300" y="2521671"/>
                  <a:pt x="8980729" y="2508394"/>
                  <a:pt x="8998516" y="2508394"/>
                </a:cubicBezTo>
                <a:cubicBezTo>
                  <a:pt x="9016303" y="2508394"/>
                  <a:pt x="9030720" y="2521671"/>
                  <a:pt x="9030720" y="2538046"/>
                </a:cubicBezTo>
                <a:cubicBezTo>
                  <a:pt x="9030720" y="2554421"/>
                  <a:pt x="9016303" y="2567698"/>
                  <a:pt x="8998516" y="2567698"/>
                </a:cubicBezTo>
                <a:close/>
                <a:moveTo>
                  <a:pt x="9155583" y="2567698"/>
                </a:moveTo>
                <a:cubicBezTo>
                  <a:pt x="9137796" y="2567698"/>
                  <a:pt x="9123367" y="2554421"/>
                  <a:pt x="9123367" y="2538046"/>
                </a:cubicBezTo>
                <a:cubicBezTo>
                  <a:pt x="9123367" y="2521671"/>
                  <a:pt x="9137796" y="2508394"/>
                  <a:pt x="9155583" y="2508394"/>
                </a:cubicBezTo>
                <a:cubicBezTo>
                  <a:pt x="9173371" y="2508394"/>
                  <a:pt x="9187788" y="2521671"/>
                  <a:pt x="9187788" y="2538046"/>
                </a:cubicBezTo>
                <a:cubicBezTo>
                  <a:pt x="9187788" y="2554421"/>
                  <a:pt x="9173371" y="2567698"/>
                  <a:pt x="9155583" y="2567698"/>
                </a:cubicBezTo>
                <a:close/>
                <a:moveTo>
                  <a:pt x="9234118" y="2567698"/>
                </a:moveTo>
                <a:cubicBezTo>
                  <a:pt x="9216330" y="2567698"/>
                  <a:pt x="9201901" y="2554421"/>
                  <a:pt x="9201901" y="2538046"/>
                </a:cubicBezTo>
                <a:cubicBezTo>
                  <a:pt x="9201901" y="2521671"/>
                  <a:pt x="9216330" y="2508394"/>
                  <a:pt x="9234118" y="2508394"/>
                </a:cubicBezTo>
                <a:cubicBezTo>
                  <a:pt x="9251905" y="2508394"/>
                  <a:pt x="9266322" y="2521671"/>
                  <a:pt x="9266322" y="2538046"/>
                </a:cubicBezTo>
                <a:cubicBezTo>
                  <a:pt x="9266322" y="2554421"/>
                  <a:pt x="9251905" y="2567698"/>
                  <a:pt x="9234118" y="2567698"/>
                </a:cubicBezTo>
                <a:close/>
                <a:moveTo>
                  <a:pt x="9312652" y="2567698"/>
                </a:moveTo>
                <a:cubicBezTo>
                  <a:pt x="9294865" y="2567698"/>
                  <a:pt x="9280436" y="2554421"/>
                  <a:pt x="9280436" y="2538046"/>
                </a:cubicBezTo>
                <a:cubicBezTo>
                  <a:pt x="9280436" y="2521671"/>
                  <a:pt x="9294865" y="2508394"/>
                  <a:pt x="9312652" y="2508394"/>
                </a:cubicBezTo>
                <a:cubicBezTo>
                  <a:pt x="9330439" y="2508394"/>
                  <a:pt x="9344856" y="2521671"/>
                  <a:pt x="9344856" y="2538046"/>
                </a:cubicBezTo>
                <a:cubicBezTo>
                  <a:pt x="9344856" y="2554421"/>
                  <a:pt x="9330439" y="2567698"/>
                  <a:pt x="9312652" y="2567698"/>
                </a:cubicBezTo>
                <a:close/>
                <a:moveTo>
                  <a:pt x="9469719" y="2567698"/>
                </a:moveTo>
                <a:cubicBezTo>
                  <a:pt x="9451932" y="2567698"/>
                  <a:pt x="9437503" y="2554421"/>
                  <a:pt x="9437503" y="2538046"/>
                </a:cubicBezTo>
                <a:cubicBezTo>
                  <a:pt x="9437503" y="2521671"/>
                  <a:pt x="9451932" y="2508394"/>
                  <a:pt x="9469719" y="2508394"/>
                </a:cubicBezTo>
                <a:cubicBezTo>
                  <a:pt x="9487507" y="2508394"/>
                  <a:pt x="9501924" y="2521671"/>
                  <a:pt x="9501924" y="2538046"/>
                </a:cubicBezTo>
                <a:cubicBezTo>
                  <a:pt x="9501924" y="2554421"/>
                  <a:pt x="9487507" y="2567698"/>
                  <a:pt x="9469719" y="2567698"/>
                </a:cubicBezTo>
                <a:close/>
                <a:moveTo>
                  <a:pt x="9783854" y="2567698"/>
                </a:moveTo>
                <a:cubicBezTo>
                  <a:pt x="9766067" y="2567698"/>
                  <a:pt x="9751638" y="2554421"/>
                  <a:pt x="9751638" y="2538046"/>
                </a:cubicBezTo>
                <a:cubicBezTo>
                  <a:pt x="9751638" y="2521671"/>
                  <a:pt x="9766067" y="2508394"/>
                  <a:pt x="9783854" y="2508394"/>
                </a:cubicBezTo>
                <a:cubicBezTo>
                  <a:pt x="9801642" y="2508394"/>
                  <a:pt x="9816059" y="2521671"/>
                  <a:pt x="9816059" y="2538046"/>
                </a:cubicBezTo>
                <a:cubicBezTo>
                  <a:pt x="9816059" y="2554421"/>
                  <a:pt x="9801642" y="2567698"/>
                  <a:pt x="9783854" y="2567698"/>
                </a:cubicBezTo>
                <a:close/>
                <a:moveTo>
                  <a:pt x="9862389" y="2567698"/>
                </a:moveTo>
                <a:cubicBezTo>
                  <a:pt x="9844601" y="2567698"/>
                  <a:pt x="9830172" y="2554421"/>
                  <a:pt x="9830172" y="2538046"/>
                </a:cubicBezTo>
                <a:cubicBezTo>
                  <a:pt x="9830172" y="2521671"/>
                  <a:pt x="9844601" y="2508394"/>
                  <a:pt x="9862389" y="2508394"/>
                </a:cubicBezTo>
                <a:cubicBezTo>
                  <a:pt x="9880176" y="2508394"/>
                  <a:pt x="9894593" y="2521671"/>
                  <a:pt x="9894593" y="2538046"/>
                </a:cubicBezTo>
                <a:cubicBezTo>
                  <a:pt x="9894593" y="2554421"/>
                  <a:pt x="9880176" y="2567698"/>
                  <a:pt x="9862389" y="2567698"/>
                </a:cubicBezTo>
                <a:close/>
                <a:moveTo>
                  <a:pt x="9940923" y="2567698"/>
                </a:moveTo>
                <a:cubicBezTo>
                  <a:pt x="9923136" y="2567698"/>
                  <a:pt x="9908707" y="2554421"/>
                  <a:pt x="9908707" y="2538046"/>
                </a:cubicBezTo>
                <a:cubicBezTo>
                  <a:pt x="9908707" y="2521671"/>
                  <a:pt x="9923136" y="2508394"/>
                  <a:pt x="9940923" y="2508394"/>
                </a:cubicBezTo>
                <a:cubicBezTo>
                  <a:pt x="9958710" y="2508394"/>
                  <a:pt x="9973127" y="2521671"/>
                  <a:pt x="9973127" y="2538046"/>
                </a:cubicBezTo>
                <a:cubicBezTo>
                  <a:pt x="9973127" y="2554421"/>
                  <a:pt x="9958710" y="2567698"/>
                  <a:pt x="9940923" y="2567698"/>
                </a:cubicBezTo>
                <a:close/>
                <a:moveTo>
                  <a:pt x="3658183" y="2495432"/>
                </a:moveTo>
                <a:cubicBezTo>
                  <a:pt x="3640396" y="2495432"/>
                  <a:pt x="3625972" y="2482155"/>
                  <a:pt x="3625972" y="2465780"/>
                </a:cubicBezTo>
                <a:cubicBezTo>
                  <a:pt x="3625972" y="2449406"/>
                  <a:pt x="3640396" y="2436128"/>
                  <a:pt x="3658183" y="2436128"/>
                </a:cubicBezTo>
                <a:cubicBezTo>
                  <a:pt x="3675970" y="2436128"/>
                  <a:pt x="3690393" y="2449406"/>
                  <a:pt x="3690393" y="2465780"/>
                </a:cubicBezTo>
                <a:cubicBezTo>
                  <a:pt x="3690393" y="2482155"/>
                  <a:pt x="3675970" y="2495432"/>
                  <a:pt x="3658183" y="2495432"/>
                </a:cubicBezTo>
                <a:close/>
                <a:moveTo>
                  <a:pt x="3736717" y="2495432"/>
                </a:moveTo>
                <a:cubicBezTo>
                  <a:pt x="3718930" y="2495432"/>
                  <a:pt x="3704507" y="2482155"/>
                  <a:pt x="3704507" y="2465780"/>
                </a:cubicBezTo>
                <a:cubicBezTo>
                  <a:pt x="3704507" y="2449406"/>
                  <a:pt x="3718930" y="2436128"/>
                  <a:pt x="3736717" y="2436128"/>
                </a:cubicBezTo>
                <a:cubicBezTo>
                  <a:pt x="3754504" y="2436128"/>
                  <a:pt x="3768927" y="2449406"/>
                  <a:pt x="3768927" y="2465780"/>
                </a:cubicBezTo>
                <a:cubicBezTo>
                  <a:pt x="3768927" y="2482155"/>
                  <a:pt x="3754504" y="2495432"/>
                  <a:pt x="3736717" y="2495432"/>
                </a:cubicBezTo>
                <a:close/>
                <a:moveTo>
                  <a:pt x="3815250" y="2495432"/>
                </a:moveTo>
                <a:cubicBezTo>
                  <a:pt x="3797463" y="2495432"/>
                  <a:pt x="3783040" y="2482155"/>
                  <a:pt x="3783040" y="2465780"/>
                </a:cubicBezTo>
                <a:cubicBezTo>
                  <a:pt x="3783040" y="2449406"/>
                  <a:pt x="3797463" y="2436128"/>
                  <a:pt x="3815250" y="2436128"/>
                </a:cubicBezTo>
                <a:cubicBezTo>
                  <a:pt x="3833038" y="2436128"/>
                  <a:pt x="3847461" y="2449406"/>
                  <a:pt x="3847461" y="2465780"/>
                </a:cubicBezTo>
                <a:cubicBezTo>
                  <a:pt x="3847461" y="2482155"/>
                  <a:pt x="3833038" y="2495432"/>
                  <a:pt x="3815250" y="2495432"/>
                </a:cubicBezTo>
                <a:close/>
                <a:moveTo>
                  <a:pt x="3893785" y="2495432"/>
                </a:moveTo>
                <a:cubicBezTo>
                  <a:pt x="3875997" y="2495432"/>
                  <a:pt x="3861574" y="2482155"/>
                  <a:pt x="3861574" y="2465780"/>
                </a:cubicBezTo>
                <a:cubicBezTo>
                  <a:pt x="3861574" y="2449406"/>
                  <a:pt x="3875997" y="2436128"/>
                  <a:pt x="3893785" y="2436128"/>
                </a:cubicBezTo>
                <a:cubicBezTo>
                  <a:pt x="3911572" y="2436128"/>
                  <a:pt x="3925995" y="2449406"/>
                  <a:pt x="3925995" y="2465780"/>
                </a:cubicBezTo>
                <a:cubicBezTo>
                  <a:pt x="3925995" y="2482155"/>
                  <a:pt x="3911572" y="2495432"/>
                  <a:pt x="3893785" y="2495432"/>
                </a:cubicBezTo>
                <a:close/>
                <a:moveTo>
                  <a:pt x="3972319" y="2495432"/>
                </a:moveTo>
                <a:cubicBezTo>
                  <a:pt x="3954532" y="2495432"/>
                  <a:pt x="3940108" y="2482155"/>
                  <a:pt x="3940108" y="2465780"/>
                </a:cubicBezTo>
                <a:cubicBezTo>
                  <a:pt x="3940108" y="2449406"/>
                  <a:pt x="3954532" y="2436128"/>
                  <a:pt x="3972319" y="2436128"/>
                </a:cubicBezTo>
                <a:cubicBezTo>
                  <a:pt x="3990106" y="2436128"/>
                  <a:pt x="4004529" y="2449406"/>
                  <a:pt x="4004529" y="2465780"/>
                </a:cubicBezTo>
                <a:cubicBezTo>
                  <a:pt x="4004529" y="2482155"/>
                  <a:pt x="3990106" y="2495432"/>
                  <a:pt x="3972319" y="2495432"/>
                </a:cubicBezTo>
                <a:close/>
                <a:moveTo>
                  <a:pt x="4050852" y="2495432"/>
                </a:moveTo>
                <a:cubicBezTo>
                  <a:pt x="4033065" y="2495432"/>
                  <a:pt x="4018642" y="2482155"/>
                  <a:pt x="4018642" y="2465780"/>
                </a:cubicBezTo>
                <a:cubicBezTo>
                  <a:pt x="4018642" y="2449406"/>
                  <a:pt x="4033065" y="2436128"/>
                  <a:pt x="4050852" y="2436128"/>
                </a:cubicBezTo>
                <a:cubicBezTo>
                  <a:pt x="4068639" y="2436128"/>
                  <a:pt x="4083062" y="2449406"/>
                  <a:pt x="4083062" y="2465780"/>
                </a:cubicBezTo>
                <a:cubicBezTo>
                  <a:pt x="4083062" y="2482155"/>
                  <a:pt x="4068639" y="2495432"/>
                  <a:pt x="4050852" y="2495432"/>
                </a:cubicBezTo>
                <a:close/>
                <a:moveTo>
                  <a:pt x="4129386" y="2495432"/>
                </a:moveTo>
                <a:cubicBezTo>
                  <a:pt x="4111599" y="2495432"/>
                  <a:pt x="4097176" y="2482155"/>
                  <a:pt x="4097176" y="2465780"/>
                </a:cubicBezTo>
                <a:cubicBezTo>
                  <a:pt x="4097176" y="2449406"/>
                  <a:pt x="4111599" y="2436128"/>
                  <a:pt x="4129386" y="2436128"/>
                </a:cubicBezTo>
                <a:cubicBezTo>
                  <a:pt x="4147174" y="2436128"/>
                  <a:pt x="4161597" y="2449406"/>
                  <a:pt x="4161597" y="2465780"/>
                </a:cubicBezTo>
                <a:cubicBezTo>
                  <a:pt x="4161597" y="2482155"/>
                  <a:pt x="4147174" y="2495432"/>
                  <a:pt x="4129386" y="2495432"/>
                </a:cubicBezTo>
                <a:close/>
                <a:moveTo>
                  <a:pt x="4207926" y="2495432"/>
                </a:moveTo>
                <a:cubicBezTo>
                  <a:pt x="4190138" y="2495432"/>
                  <a:pt x="4175715" y="2482155"/>
                  <a:pt x="4175715" y="2465780"/>
                </a:cubicBezTo>
                <a:cubicBezTo>
                  <a:pt x="4175715" y="2449406"/>
                  <a:pt x="4190138" y="2436128"/>
                  <a:pt x="4207926" y="2436128"/>
                </a:cubicBezTo>
                <a:cubicBezTo>
                  <a:pt x="4225713" y="2436128"/>
                  <a:pt x="4240136" y="2449406"/>
                  <a:pt x="4240136" y="2465780"/>
                </a:cubicBezTo>
                <a:cubicBezTo>
                  <a:pt x="4240136" y="2482155"/>
                  <a:pt x="4225713" y="2495432"/>
                  <a:pt x="4207926" y="2495432"/>
                </a:cubicBezTo>
                <a:close/>
                <a:moveTo>
                  <a:pt x="4286460" y="2495432"/>
                </a:moveTo>
                <a:cubicBezTo>
                  <a:pt x="4268673" y="2495432"/>
                  <a:pt x="4254250" y="2482155"/>
                  <a:pt x="4254250" y="2465780"/>
                </a:cubicBezTo>
                <a:cubicBezTo>
                  <a:pt x="4254250" y="2449406"/>
                  <a:pt x="4268673" y="2436128"/>
                  <a:pt x="4286460" y="2436128"/>
                </a:cubicBezTo>
                <a:cubicBezTo>
                  <a:pt x="4304247" y="2436128"/>
                  <a:pt x="4318670" y="2449406"/>
                  <a:pt x="4318670" y="2465780"/>
                </a:cubicBezTo>
                <a:cubicBezTo>
                  <a:pt x="4318670" y="2482155"/>
                  <a:pt x="4304247" y="2495432"/>
                  <a:pt x="4286460" y="2495432"/>
                </a:cubicBezTo>
                <a:close/>
                <a:moveTo>
                  <a:pt x="4364994" y="2495432"/>
                </a:moveTo>
                <a:cubicBezTo>
                  <a:pt x="4347207" y="2495432"/>
                  <a:pt x="4332784" y="2482155"/>
                  <a:pt x="4332784" y="2465780"/>
                </a:cubicBezTo>
                <a:cubicBezTo>
                  <a:pt x="4332784" y="2449406"/>
                  <a:pt x="4347207" y="2436128"/>
                  <a:pt x="4364994" y="2436128"/>
                </a:cubicBezTo>
                <a:cubicBezTo>
                  <a:pt x="4382781" y="2436128"/>
                  <a:pt x="4397204" y="2449406"/>
                  <a:pt x="4397204" y="2465780"/>
                </a:cubicBezTo>
                <a:cubicBezTo>
                  <a:pt x="4397204" y="2482155"/>
                  <a:pt x="4382781" y="2495432"/>
                  <a:pt x="4364994" y="2495432"/>
                </a:cubicBezTo>
                <a:close/>
                <a:moveTo>
                  <a:pt x="4443527" y="2495432"/>
                </a:moveTo>
                <a:cubicBezTo>
                  <a:pt x="4425740" y="2495432"/>
                  <a:pt x="4411317" y="2482155"/>
                  <a:pt x="4411317" y="2465780"/>
                </a:cubicBezTo>
                <a:cubicBezTo>
                  <a:pt x="4411317" y="2449406"/>
                  <a:pt x="4425740" y="2436128"/>
                  <a:pt x="4443527" y="2436128"/>
                </a:cubicBezTo>
                <a:cubicBezTo>
                  <a:pt x="4461315" y="2436128"/>
                  <a:pt x="4475738" y="2449406"/>
                  <a:pt x="4475738" y="2465780"/>
                </a:cubicBezTo>
                <a:cubicBezTo>
                  <a:pt x="4475738" y="2482155"/>
                  <a:pt x="4461315" y="2495432"/>
                  <a:pt x="4443527" y="2495432"/>
                </a:cubicBezTo>
                <a:close/>
                <a:moveTo>
                  <a:pt x="4522062" y="2495432"/>
                </a:moveTo>
                <a:cubicBezTo>
                  <a:pt x="4504274" y="2495432"/>
                  <a:pt x="4489851" y="2482155"/>
                  <a:pt x="4489851" y="2465780"/>
                </a:cubicBezTo>
                <a:cubicBezTo>
                  <a:pt x="4489851" y="2449406"/>
                  <a:pt x="4504274" y="2436128"/>
                  <a:pt x="4522062" y="2436128"/>
                </a:cubicBezTo>
                <a:cubicBezTo>
                  <a:pt x="4539849" y="2436128"/>
                  <a:pt x="4554272" y="2449406"/>
                  <a:pt x="4554272" y="2465780"/>
                </a:cubicBezTo>
                <a:cubicBezTo>
                  <a:pt x="4554272" y="2482155"/>
                  <a:pt x="4539849" y="2495432"/>
                  <a:pt x="4522062" y="2495432"/>
                </a:cubicBezTo>
                <a:close/>
                <a:moveTo>
                  <a:pt x="4600596" y="2495432"/>
                </a:moveTo>
                <a:cubicBezTo>
                  <a:pt x="4582809" y="2495432"/>
                  <a:pt x="4568386" y="2482155"/>
                  <a:pt x="4568386" y="2465780"/>
                </a:cubicBezTo>
                <a:cubicBezTo>
                  <a:pt x="4568386" y="2449406"/>
                  <a:pt x="4582809" y="2436128"/>
                  <a:pt x="4600596" y="2436128"/>
                </a:cubicBezTo>
                <a:cubicBezTo>
                  <a:pt x="4618383" y="2436128"/>
                  <a:pt x="4632806" y="2449406"/>
                  <a:pt x="4632806" y="2465780"/>
                </a:cubicBezTo>
                <a:cubicBezTo>
                  <a:pt x="4632806" y="2482155"/>
                  <a:pt x="4618383" y="2495432"/>
                  <a:pt x="4600596" y="2495432"/>
                </a:cubicBezTo>
                <a:close/>
                <a:moveTo>
                  <a:pt x="4679129" y="2495432"/>
                </a:moveTo>
                <a:cubicBezTo>
                  <a:pt x="4661342" y="2495432"/>
                  <a:pt x="4646919" y="2482155"/>
                  <a:pt x="4646919" y="2465780"/>
                </a:cubicBezTo>
                <a:cubicBezTo>
                  <a:pt x="4646919" y="2449406"/>
                  <a:pt x="4661342" y="2436128"/>
                  <a:pt x="4679129" y="2436128"/>
                </a:cubicBezTo>
                <a:cubicBezTo>
                  <a:pt x="4696916" y="2436128"/>
                  <a:pt x="4711339" y="2449406"/>
                  <a:pt x="4711339" y="2465780"/>
                </a:cubicBezTo>
                <a:cubicBezTo>
                  <a:pt x="4711339" y="2482155"/>
                  <a:pt x="4696916" y="2495432"/>
                  <a:pt x="4679129" y="2495432"/>
                </a:cubicBezTo>
                <a:close/>
                <a:moveTo>
                  <a:pt x="4757663" y="2495432"/>
                </a:moveTo>
                <a:cubicBezTo>
                  <a:pt x="4739876" y="2495432"/>
                  <a:pt x="4725453" y="2482155"/>
                  <a:pt x="4725453" y="2465780"/>
                </a:cubicBezTo>
                <a:cubicBezTo>
                  <a:pt x="4725453" y="2449406"/>
                  <a:pt x="4739876" y="2436128"/>
                  <a:pt x="4757663" y="2436128"/>
                </a:cubicBezTo>
                <a:cubicBezTo>
                  <a:pt x="4775451" y="2436128"/>
                  <a:pt x="4789874" y="2449406"/>
                  <a:pt x="4789874" y="2465780"/>
                </a:cubicBezTo>
                <a:cubicBezTo>
                  <a:pt x="4789874" y="2482155"/>
                  <a:pt x="4775451" y="2495432"/>
                  <a:pt x="4757663" y="2495432"/>
                </a:cubicBezTo>
                <a:close/>
                <a:moveTo>
                  <a:pt x="4836197" y="2495432"/>
                </a:moveTo>
                <a:cubicBezTo>
                  <a:pt x="4818409" y="2495432"/>
                  <a:pt x="4803986" y="2482155"/>
                  <a:pt x="4803986" y="2465780"/>
                </a:cubicBezTo>
                <a:cubicBezTo>
                  <a:pt x="4803986" y="2449406"/>
                  <a:pt x="4818409" y="2436128"/>
                  <a:pt x="4836197" y="2436128"/>
                </a:cubicBezTo>
                <a:cubicBezTo>
                  <a:pt x="4853984" y="2436128"/>
                  <a:pt x="4868407" y="2449406"/>
                  <a:pt x="4868407" y="2465780"/>
                </a:cubicBezTo>
                <a:cubicBezTo>
                  <a:pt x="4868407" y="2482155"/>
                  <a:pt x="4853984" y="2495432"/>
                  <a:pt x="4836197" y="2495432"/>
                </a:cubicBezTo>
                <a:close/>
                <a:moveTo>
                  <a:pt x="6328340" y="2495432"/>
                </a:moveTo>
                <a:cubicBezTo>
                  <a:pt x="6310553" y="2495432"/>
                  <a:pt x="6296124" y="2482155"/>
                  <a:pt x="6296124" y="2465780"/>
                </a:cubicBezTo>
                <a:cubicBezTo>
                  <a:pt x="6296124" y="2449406"/>
                  <a:pt x="6310553" y="2436128"/>
                  <a:pt x="6328340" y="2436128"/>
                </a:cubicBezTo>
                <a:cubicBezTo>
                  <a:pt x="6346128" y="2436128"/>
                  <a:pt x="6360545" y="2449406"/>
                  <a:pt x="6360545" y="2465780"/>
                </a:cubicBezTo>
                <a:cubicBezTo>
                  <a:pt x="6360545" y="2482155"/>
                  <a:pt x="6346128" y="2495432"/>
                  <a:pt x="6328340" y="2495432"/>
                </a:cubicBezTo>
                <a:close/>
                <a:moveTo>
                  <a:pt x="6406875" y="2495432"/>
                </a:moveTo>
                <a:cubicBezTo>
                  <a:pt x="6389087" y="2495432"/>
                  <a:pt x="6374658" y="2482155"/>
                  <a:pt x="6374658" y="2465780"/>
                </a:cubicBezTo>
                <a:cubicBezTo>
                  <a:pt x="6374658" y="2449406"/>
                  <a:pt x="6389087" y="2436128"/>
                  <a:pt x="6406875" y="2436128"/>
                </a:cubicBezTo>
                <a:cubicBezTo>
                  <a:pt x="6424662" y="2436128"/>
                  <a:pt x="6439079" y="2449406"/>
                  <a:pt x="6439079" y="2465780"/>
                </a:cubicBezTo>
                <a:cubicBezTo>
                  <a:pt x="6439079" y="2482155"/>
                  <a:pt x="6424662" y="2495432"/>
                  <a:pt x="6406875" y="2495432"/>
                </a:cubicBezTo>
                <a:close/>
                <a:moveTo>
                  <a:pt x="6485408" y="2495432"/>
                </a:moveTo>
                <a:cubicBezTo>
                  <a:pt x="6467621" y="2495432"/>
                  <a:pt x="6453191" y="2482155"/>
                  <a:pt x="6453191" y="2465780"/>
                </a:cubicBezTo>
                <a:cubicBezTo>
                  <a:pt x="6453191" y="2449406"/>
                  <a:pt x="6467621" y="2436128"/>
                  <a:pt x="6485408" y="2436128"/>
                </a:cubicBezTo>
                <a:cubicBezTo>
                  <a:pt x="6503195" y="2436128"/>
                  <a:pt x="6517612" y="2449406"/>
                  <a:pt x="6517612" y="2465780"/>
                </a:cubicBezTo>
                <a:cubicBezTo>
                  <a:pt x="6517612" y="2482155"/>
                  <a:pt x="6503195" y="2495432"/>
                  <a:pt x="6485408" y="2495432"/>
                </a:cubicBezTo>
                <a:close/>
                <a:moveTo>
                  <a:pt x="6563942" y="2495432"/>
                </a:moveTo>
                <a:cubicBezTo>
                  <a:pt x="6546155" y="2495432"/>
                  <a:pt x="6531726" y="2482155"/>
                  <a:pt x="6531726" y="2465780"/>
                </a:cubicBezTo>
                <a:cubicBezTo>
                  <a:pt x="6531726" y="2449406"/>
                  <a:pt x="6546155" y="2436128"/>
                  <a:pt x="6563942" y="2436128"/>
                </a:cubicBezTo>
                <a:cubicBezTo>
                  <a:pt x="6581729" y="2436128"/>
                  <a:pt x="6596146" y="2449406"/>
                  <a:pt x="6596146" y="2465780"/>
                </a:cubicBezTo>
                <a:cubicBezTo>
                  <a:pt x="6596146" y="2482155"/>
                  <a:pt x="6581729" y="2495432"/>
                  <a:pt x="6563942" y="2495432"/>
                </a:cubicBezTo>
                <a:close/>
                <a:moveTo>
                  <a:pt x="6642476" y="2495432"/>
                </a:moveTo>
                <a:cubicBezTo>
                  <a:pt x="6624689" y="2495432"/>
                  <a:pt x="6610260" y="2482155"/>
                  <a:pt x="6610260" y="2465780"/>
                </a:cubicBezTo>
                <a:cubicBezTo>
                  <a:pt x="6610260" y="2449406"/>
                  <a:pt x="6624689" y="2436128"/>
                  <a:pt x="6642476" y="2436128"/>
                </a:cubicBezTo>
                <a:cubicBezTo>
                  <a:pt x="6660264" y="2436128"/>
                  <a:pt x="6674681" y="2449406"/>
                  <a:pt x="6674681" y="2465780"/>
                </a:cubicBezTo>
                <a:cubicBezTo>
                  <a:pt x="6674681" y="2482155"/>
                  <a:pt x="6660264" y="2495432"/>
                  <a:pt x="6642476" y="2495432"/>
                </a:cubicBezTo>
                <a:close/>
                <a:moveTo>
                  <a:pt x="6721010" y="2495432"/>
                </a:moveTo>
                <a:cubicBezTo>
                  <a:pt x="6703222" y="2495432"/>
                  <a:pt x="6688793" y="2482155"/>
                  <a:pt x="6688793" y="2465780"/>
                </a:cubicBezTo>
                <a:cubicBezTo>
                  <a:pt x="6688793" y="2449406"/>
                  <a:pt x="6703222" y="2436128"/>
                  <a:pt x="6721010" y="2436128"/>
                </a:cubicBezTo>
                <a:cubicBezTo>
                  <a:pt x="6738797" y="2436128"/>
                  <a:pt x="6753214" y="2449406"/>
                  <a:pt x="6753214" y="2465780"/>
                </a:cubicBezTo>
                <a:cubicBezTo>
                  <a:pt x="6753214" y="2482155"/>
                  <a:pt x="6738797" y="2495432"/>
                  <a:pt x="6721010" y="2495432"/>
                </a:cubicBezTo>
                <a:close/>
                <a:moveTo>
                  <a:pt x="6878077" y="2495432"/>
                </a:moveTo>
                <a:cubicBezTo>
                  <a:pt x="6860290" y="2495432"/>
                  <a:pt x="6845861" y="2482155"/>
                  <a:pt x="6845861" y="2465780"/>
                </a:cubicBezTo>
                <a:cubicBezTo>
                  <a:pt x="6845861" y="2449406"/>
                  <a:pt x="6860290" y="2436128"/>
                  <a:pt x="6878077" y="2436128"/>
                </a:cubicBezTo>
                <a:cubicBezTo>
                  <a:pt x="6895864" y="2436128"/>
                  <a:pt x="6910281" y="2449406"/>
                  <a:pt x="6910281" y="2465780"/>
                </a:cubicBezTo>
                <a:cubicBezTo>
                  <a:pt x="6910281" y="2482155"/>
                  <a:pt x="6895864" y="2495432"/>
                  <a:pt x="6878077" y="2495432"/>
                </a:cubicBezTo>
                <a:close/>
                <a:moveTo>
                  <a:pt x="6956611" y="2495432"/>
                </a:moveTo>
                <a:cubicBezTo>
                  <a:pt x="6938824" y="2495432"/>
                  <a:pt x="6924395" y="2482155"/>
                  <a:pt x="6924395" y="2465780"/>
                </a:cubicBezTo>
                <a:cubicBezTo>
                  <a:pt x="6924395" y="2449406"/>
                  <a:pt x="6938824" y="2436128"/>
                  <a:pt x="6956611" y="2436128"/>
                </a:cubicBezTo>
                <a:cubicBezTo>
                  <a:pt x="6974399" y="2436128"/>
                  <a:pt x="6988816" y="2449406"/>
                  <a:pt x="6988816" y="2465780"/>
                </a:cubicBezTo>
                <a:cubicBezTo>
                  <a:pt x="6988816" y="2482155"/>
                  <a:pt x="6974399" y="2495432"/>
                  <a:pt x="6956611" y="2495432"/>
                </a:cubicBezTo>
                <a:close/>
                <a:moveTo>
                  <a:pt x="7035146" y="2495432"/>
                </a:moveTo>
                <a:cubicBezTo>
                  <a:pt x="7017358" y="2495432"/>
                  <a:pt x="7002929" y="2482155"/>
                  <a:pt x="7002929" y="2465780"/>
                </a:cubicBezTo>
                <a:cubicBezTo>
                  <a:pt x="7002929" y="2449406"/>
                  <a:pt x="7017358" y="2436128"/>
                  <a:pt x="7035146" y="2436128"/>
                </a:cubicBezTo>
                <a:cubicBezTo>
                  <a:pt x="7052933" y="2436128"/>
                  <a:pt x="7067350" y="2449406"/>
                  <a:pt x="7067350" y="2465780"/>
                </a:cubicBezTo>
                <a:cubicBezTo>
                  <a:pt x="7067350" y="2482155"/>
                  <a:pt x="7052933" y="2495432"/>
                  <a:pt x="7035146" y="2495432"/>
                </a:cubicBezTo>
                <a:close/>
                <a:moveTo>
                  <a:pt x="8998516" y="2495432"/>
                </a:moveTo>
                <a:cubicBezTo>
                  <a:pt x="8980729" y="2495432"/>
                  <a:pt x="8966300" y="2482155"/>
                  <a:pt x="8966300" y="2465780"/>
                </a:cubicBezTo>
                <a:cubicBezTo>
                  <a:pt x="8966300" y="2449406"/>
                  <a:pt x="8980729" y="2436128"/>
                  <a:pt x="8998516" y="2436128"/>
                </a:cubicBezTo>
                <a:cubicBezTo>
                  <a:pt x="9016303" y="2436128"/>
                  <a:pt x="9030720" y="2449406"/>
                  <a:pt x="9030720" y="2465780"/>
                </a:cubicBezTo>
                <a:cubicBezTo>
                  <a:pt x="9030720" y="2482155"/>
                  <a:pt x="9016303" y="2495432"/>
                  <a:pt x="8998516" y="2495432"/>
                </a:cubicBezTo>
                <a:close/>
                <a:moveTo>
                  <a:pt x="9469719" y="2495432"/>
                </a:moveTo>
                <a:cubicBezTo>
                  <a:pt x="9451932" y="2495432"/>
                  <a:pt x="9437503" y="2482155"/>
                  <a:pt x="9437503" y="2465780"/>
                </a:cubicBezTo>
                <a:cubicBezTo>
                  <a:pt x="9437503" y="2449406"/>
                  <a:pt x="9451932" y="2436128"/>
                  <a:pt x="9469719" y="2436128"/>
                </a:cubicBezTo>
                <a:cubicBezTo>
                  <a:pt x="9487507" y="2436128"/>
                  <a:pt x="9501924" y="2449406"/>
                  <a:pt x="9501924" y="2465780"/>
                </a:cubicBezTo>
                <a:cubicBezTo>
                  <a:pt x="9501924" y="2482155"/>
                  <a:pt x="9487507" y="2495432"/>
                  <a:pt x="9469719" y="2495432"/>
                </a:cubicBezTo>
                <a:close/>
                <a:moveTo>
                  <a:pt x="9862389" y="2495432"/>
                </a:moveTo>
                <a:cubicBezTo>
                  <a:pt x="9844601" y="2495432"/>
                  <a:pt x="9830172" y="2482155"/>
                  <a:pt x="9830172" y="2465780"/>
                </a:cubicBezTo>
                <a:cubicBezTo>
                  <a:pt x="9830172" y="2449406"/>
                  <a:pt x="9844601" y="2436128"/>
                  <a:pt x="9862389" y="2436128"/>
                </a:cubicBezTo>
                <a:cubicBezTo>
                  <a:pt x="9880176" y="2436128"/>
                  <a:pt x="9894593" y="2449406"/>
                  <a:pt x="9894593" y="2465780"/>
                </a:cubicBezTo>
                <a:cubicBezTo>
                  <a:pt x="9894593" y="2482155"/>
                  <a:pt x="9880176" y="2495432"/>
                  <a:pt x="9862389" y="2495432"/>
                </a:cubicBezTo>
                <a:close/>
                <a:moveTo>
                  <a:pt x="9940923" y="2495432"/>
                </a:moveTo>
                <a:cubicBezTo>
                  <a:pt x="9923136" y="2495432"/>
                  <a:pt x="9908707" y="2482155"/>
                  <a:pt x="9908707" y="2465780"/>
                </a:cubicBezTo>
                <a:cubicBezTo>
                  <a:pt x="9908707" y="2449406"/>
                  <a:pt x="9923136" y="2436128"/>
                  <a:pt x="9940923" y="2436128"/>
                </a:cubicBezTo>
                <a:cubicBezTo>
                  <a:pt x="9958710" y="2436128"/>
                  <a:pt x="9973127" y="2449406"/>
                  <a:pt x="9973127" y="2465780"/>
                </a:cubicBezTo>
                <a:cubicBezTo>
                  <a:pt x="9973127" y="2482155"/>
                  <a:pt x="9958710" y="2495432"/>
                  <a:pt x="9940923" y="2495432"/>
                </a:cubicBezTo>
                <a:close/>
                <a:moveTo>
                  <a:pt x="10019456" y="2495432"/>
                </a:moveTo>
                <a:cubicBezTo>
                  <a:pt x="10001669" y="2495432"/>
                  <a:pt x="9987240" y="2482155"/>
                  <a:pt x="9987240" y="2465780"/>
                </a:cubicBezTo>
                <a:cubicBezTo>
                  <a:pt x="9987240" y="2449406"/>
                  <a:pt x="10001669" y="2436128"/>
                  <a:pt x="10019456" y="2436128"/>
                </a:cubicBezTo>
                <a:cubicBezTo>
                  <a:pt x="10037243" y="2436128"/>
                  <a:pt x="10051660" y="2449406"/>
                  <a:pt x="10051660" y="2465780"/>
                </a:cubicBezTo>
                <a:cubicBezTo>
                  <a:pt x="10051660" y="2482155"/>
                  <a:pt x="10037243" y="2495432"/>
                  <a:pt x="10019456" y="2495432"/>
                </a:cubicBezTo>
                <a:close/>
                <a:moveTo>
                  <a:pt x="10097990" y="2495432"/>
                </a:moveTo>
                <a:cubicBezTo>
                  <a:pt x="10080203" y="2495432"/>
                  <a:pt x="10065774" y="2482155"/>
                  <a:pt x="10065774" y="2465780"/>
                </a:cubicBezTo>
                <a:cubicBezTo>
                  <a:pt x="10065774" y="2449406"/>
                  <a:pt x="10080203" y="2436128"/>
                  <a:pt x="10097990" y="2436128"/>
                </a:cubicBezTo>
                <a:cubicBezTo>
                  <a:pt x="10115778" y="2436128"/>
                  <a:pt x="10130195" y="2449406"/>
                  <a:pt x="10130195" y="2465780"/>
                </a:cubicBezTo>
                <a:cubicBezTo>
                  <a:pt x="10130195" y="2482155"/>
                  <a:pt x="10115778" y="2495432"/>
                  <a:pt x="10097990" y="2495432"/>
                </a:cubicBezTo>
                <a:close/>
                <a:moveTo>
                  <a:pt x="10333592" y="2495432"/>
                </a:moveTo>
                <a:cubicBezTo>
                  <a:pt x="10315805" y="2495432"/>
                  <a:pt x="10301376" y="2482155"/>
                  <a:pt x="10301376" y="2465780"/>
                </a:cubicBezTo>
                <a:cubicBezTo>
                  <a:pt x="10301376" y="2449406"/>
                  <a:pt x="10315805" y="2436128"/>
                  <a:pt x="10333592" y="2436128"/>
                </a:cubicBezTo>
                <a:cubicBezTo>
                  <a:pt x="10351379" y="2436128"/>
                  <a:pt x="10365796" y="2449406"/>
                  <a:pt x="10365796" y="2465780"/>
                </a:cubicBezTo>
                <a:cubicBezTo>
                  <a:pt x="10365796" y="2482155"/>
                  <a:pt x="10351379" y="2495432"/>
                  <a:pt x="10333592" y="2495432"/>
                </a:cubicBezTo>
                <a:close/>
                <a:moveTo>
                  <a:pt x="3658183" y="2423168"/>
                </a:moveTo>
                <a:cubicBezTo>
                  <a:pt x="3640396" y="2423168"/>
                  <a:pt x="3625972" y="2409890"/>
                  <a:pt x="3625972" y="2393515"/>
                </a:cubicBezTo>
                <a:cubicBezTo>
                  <a:pt x="3625972" y="2377141"/>
                  <a:pt x="3640396" y="2363863"/>
                  <a:pt x="3658183" y="2363863"/>
                </a:cubicBezTo>
                <a:cubicBezTo>
                  <a:pt x="3675970" y="2363863"/>
                  <a:pt x="3690393" y="2377141"/>
                  <a:pt x="3690393" y="2393515"/>
                </a:cubicBezTo>
                <a:cubicBezTo>
                  <a:pt x="3690393" y="2409890"/>
                  <a:pt x="3675970" y="2423168"/>
                  <a:pt x="3658183" y="2423168"/>
                </a:cubicBezTo>
                <a:close/>
                <a:moveTo>
                  <a:pt x="3736717" y="2423168"/>
                </a:moveTo>
                <a:cubicBezTo>
                  <a:pt x="3718930" y="2423168"/>
                  <a:pt x="3704507" y="2409890"/>
                  <a:pt x="3704507" y="2393515"/>
                </a:cubicBezTo>
                <a:cubicBezTo>
                  <a:pt x="3704507" y="2377141"/>
                  <a:pt x="3718930" y="2363863"/>
                  <a:pt x="3736717" y="2363863"/>
                </a:cubicBezTo>
                <a:cubicBezTo>
                  <a:pt x="3754504" y="2363863"/>
                  <a:pt x="3768927" y="2377141"/>
                  <a:pt x="3768927" y="2393515"/>
                </a:cubicBezTo>
                <a:cubicBezTo>
                  <a:pt x="3768927" y="2409890"/>
                  <a:pt x="3754504" y="2423168"/>
                  <a:pt x="3736717" y="2423168"/>
                </a:cubicBezTo>
                <a:close/>
                <a:moveTo>
                  <a:pt x="3815250" y="2423168"/>
                </a:moveTo>
                <a:cubicBezTo>
                  <a:pt x="3797463" y="2423168"/>
                  <a:pt x="3783040" y="2409890"/>
                  <a:pt x="3783040" y="2393515"/>
                </a:cubicBezTo>
                <a:cubicBezTo>
                  <a:pt x="3783040" y="2377141"/>
                  <a:pt x="3797463" y="2363863"/>
                  <a:pt x="3815250" y="2363863"/>
                </a:cubicBezTo>
                <a:cubicBezTo>
                  <a:pt x="3833038" y="2363863"/>
                  <a:pt x="3847461" y="2377141"/>
                  <a:pt x="3847461" y="2393515"/>
                </a:cubicBezTo>
                <a:cubicBezTo>
                  <a:pt x="3847461" y="2409890"/>
                  <a:pt x="3833038" y="2423168"/>
                  <a:pt x="3815250" y="2423168"/>
                </a:cubicBezTo>
                <a:close/>
                <a:moveTo>
                  <a:pt x="3893785" y="2423168"/>
                </a:moveTo>
                <a:cubicBezTo>
                  <a:pt x="3875997" y="2423168"/>
                  <a:pt x="3861574" y="2409890"/>
                  <a:pt x="3861574" y="2393515"/>
                </a:cubicBezTo>
                <a:cubicBezTo>
                  <a:pt x="3861574" y="2377141"/>
                  <a:pt x="3875997" y="2363863"/>
                  <a:pt x="3893785" y="2363863"/>
                </a:cubicBezTo>
                <a:cubicBezTo>
                  <a:pt x="3911572" y="2363863"/>
                  <a:pt x="3925995" y="2377141"/>
                  <a:pt x="3925995" y="2393515"/>
                </a:cubicBezTo>
                <a:cubicBezTo>
                  <a:pt x="3925995" y="2409890"/>
                  <a:pt x="3911572" y="2423168"/>
                  <a:pt x="3893785" y="2423168"/>
                </a:cubicBezTo>
                <a:close/>
                <a:moveTo>
                  <a:pt x="3972319" y="2423168"/>
                </a:moveTo>
                <a:cubicBezTo>
                  <a:pt x="3954532" y="2423168"/>
                  <a:pt x="3940108" y="2409890"/>
                  <a:pt x="3940108" y="2393515"/>
                </a:cubicBezTo>
                <a:cubicBezTo>
                  <a:pt x="3940108" y="2377141"/>
                  <a:pt x="3954532" y="2363863"/>
                  <a:pt x="3972319" y="2363863"/>
                </a:cubicBezTo>
                <a:cubicBezTo>
                  <a:pt x="3990106" y="2363863"/>
                  <a:pt x="4004529" y="2377141"/>
                  <a:pt x="4004529" y="2393515"/>
                </a:cubicBezTo>
                <a:cubicBezTo>
                  <a:pt x="4004529" y="2409890"/>
                  <a:pt x="3990106" y="2423168"/>
                  <a:pt x="3972319" y="2423168"/>
                </a:cubicBezTo>
                <a:close/>
                <a:moveTo>
                  <a:pt x="4050852" y="2423168"/>
                </a:moveTo>
                <a:cubicBezTo>
                  <a:pt x="4033065" y="2423168"/>
                  <a:pt x="4018642" y="2409890"/>
                  <a:pt x="4018642" y="2393515"/>
                </a:cubicBezTo>
                <a:cubicBezTo>
                  <a:pt x="4018642" y="2377141"/>
                  <a:pt x="4033065" y="2363863"/>
                  <a:pt x="4050852" y="2363863"/>
                </a:cubicBezTo>
                <a:cubicBezTo>
                  <a:pt x="4068639" y="2363863"/>
                  <a:pt x="4083062" y="2377141"/>
                  <a:pt x="4083062" y="2393515"/>
                </a:cubicBezTo>
                <a:cubicBezTo>
                  <a:pt x="4083062" y="2409890"/>
                  <a:pt x="4068639" y="2423168"/>
                  <a:pt x="4050852" y="2423168"/>
                </a:cubicBezTo>
                <a:close/>
                <a:moveTo>
                  <a:pt x="4129386" y="2423168"/>
                </a:moveTo>
                <a:cubicBezTo>
                  <a:pt x="4111599" y="2423168"/>
                  <a:pt x="4097176" y="2409890"/>
                  <a:pt x="4097176" y="2393515"/>
                </a:cubicBezTo>
                <a:cubicBezTo>
                  <a:pt x="4097176" y="2377141"/>
                  <a:pt x="4111599" y="2363863"/>
                  <a:pt x="4129386" y="2363863"/>
                </a:cubicBezTo>
                <a:cubicBezTo>
                  <a:pt x="4147174" y="2363863"/>
                  <a:pt x="4161597" y="2377141"/>
                  <a:pt x="4161597" y="2393515"/>
                </a:cubicBezTo>
                <a:cubicBezTo>
                  <a:pt x="4161597" y="2409890"/>
                  <a:pt x="4147174" y="2423168"/>
                  <a:pt x="4129386" y="2423168"/>
                </a:cubicBezTo>
                <a:close/>
                <a:moveTo>
                  <a:pt x="4207926" y="2423168"/>
                </a:moveTo>
                <a:cubicBezTo>
                  <a:pt x="4190138" y="2423168"/>
                  <a:pt x="4175715" y="2409890"/>
                  <a:pt x="4175715" y="2393515"/>
                </a:cubicBezTo>
                <a:cubicBezTo>
                  <a:pt x="4175715" y="2377141"/>
                  <a:pt x="4190138" y="2363863"/>
                  <a:pt x="4207926" y="2363863"/>
                </a:cubicBezTo>
                <a:cubicBezTo>
                  <a:pt x="4225713" y="2363863"/>
                  <a:pt x="4240136" y="2377141"/>
                  <a:pt x="4240136" y="2393515"/>
                </a:cubicBezTo>
                <a:cubicBezTo>
                  <a:pt x="4240136" y="2409890"/>
                  <a:pt x="4225713" y="2423168"/>
                  <a:pt x="4207926" y="2423168"/>
                </a:cubicBezTo>
                <a:close/>
                <a:moveTo>
                  <a:pt x="4286460" y="2423168"/>
                </a:moveTo>
                <a:cubicBezTo>
                  <a:pt x="4268673" y="2423168"/>
                  <a:pt x="4254250" y="2409890"/>
                  <a:pt x="4254250" y="2393515"/>
                </a:cubicBezTo>
                <a:cubicBezTo>
                  <a:pt x="4254250" y="2377141"/>
                  <a:pt x="4268673" y="2363863"/>
                  <a:pt x="4286460" y="2363863"/>
                </a:cubicBezTo>
                <a:cubicBezTo>
                  <a:pt x="4304247" y="2363863"/>
                  <a:pt x="4318670" y="2377141"/>
                  <a:pt x="4318670" y="2393515"/>
                </a:cubicBezTo>
                <a:cubicBezTo>
                  <a:pt x="4318670" y="2409890"/>
                  <a:pt x="4304247" y="2423168"/>
                  <a:pt x="4286460" y="2423168"/>
                </a:cubicBezTo>
                <a:close/>
                <a:moveTo>
                  <a:pt x="4364994" y="2423168"/>
                </a:moveTo>
                <a:cubicBezTo>
                  <a:pt x="4347207" y="2423168"/>
                  <a:pt x="4332784" y="2409890"/>
                  <a:pt x="4332784" y="2393515"/>
                </a:cubicBezTo>
                <a:cubicBezTo>
                  <a:pt x="4332784" y="2377141"/>
                  <a:pt x="4347207" y="2363863"/>
                  <a:pt x="4364994" y="2363863"/>
                </a:cubicBezTo>
                <a:cubicBezTo>
                  <a:pt x="4382781" y="2363863"/>
                  <a:pt x="4397204" y="2377141"/>
                  <a:pt x="4397204" y="2393515"/>
                </a:cubicBezTo>
                <a:cubicBezTo>
                  <a:pt x="4397204" y="2409890"/>
                  <a:pt x="4382781" y="2423168"/>
                  <a:pt x="4364994" y="2423168"/>
                </a:cubicBezTo>
                <a:close/>
                <a:moveTo>
                  <a:pt x="4443527" y="2423168"/>
                </a:moveTo>
                <a:cubicBezTo>
                  <a:pt x="4425740" y="2423168"/>
                  <a:pt x="4411317" y="2409890"/>
                  <a:pt x="4411317" y="2393515"/>
                </a:cubicBezTo>
                <a:cubicBezTo>
                  <a:pt x="4411317" y="2377141"/>
                  <a:pt x="4425740" y="2363863"/>
                  <a:pt x="4443527" y="2363863"/>
                </a:cubicBezTo>
                <a:cubicBezTo>
                  <a:pt x="4461315" y="2363863"/>
                  <a:pt x="4475738" y="2377141"/>
                  <a:pt x="4475738" y="2393515"/>
                </a:cubicBezTo>
                <a:cubicBezTo>
                  <a:pt x="4475738" y="2409890"/>
                  <a:pt x="4461315" y="2423168"/>
                  <a:pt x="4443527" y="2423168"/>
                </a:cubicBezTo>
                <a:close/>
                <a:moveTo>
                  <a:pt x="4522062" y="2423168"/>
                </a:moveTo>
                <a:cubicBezTo>
                  <a:pt x="4504274" y="2423168"/>
                  <a:pt x="4489851" y="2409890"/>
                  <a:pt x="4489851" y="2393515"/>
                </a:cubicBezTo>
                <a:cubicBezTo>
                  <a:pt x="4489851" y="2377141"/>
                  <a:pt x="4504274" y="2363863"/>
                  <a:pt x="4522062" y="2363863"/>
                </a:cubicBezTo>
                <a:cubicBezTo>
                  <a:pt x="4539849" y="2363863"/>
                  <a:pt x="4554272" y="2377141"/>
                  <a:pt x="4554272" y="2393515"/>
                </a:cubicBezTo>
                <a:cubicBezTo>
                  <a:pt x="4554272" y="2409890"/>
                  <a:pt x="4539849" y="2423168"/>
                  <a:pt x="4522062" y="2423168"/>
                </a:cubicBezTo>
                <a:close/>
                <a:moveTo>
                  <a:pt x="4600596" y="2423168"/>
                </a:moveTo>
                <a:cubicBezTo>
                  <a:pt x="4582809" y="2423168"/>
                  <a:pt x="4568386" y="2409890"/>
                  <a:pt x="4568386" y="2393515"/>
                </a:cubicBezTo>
                <a:cubicBezTo>
                  <a:pt x="4568386" y="2377141"/>
                  <a:pt x="4582809" y="2363863"/>
                  <a:pt x="4600596" y="2363863"/>
                </a:cubicBezTo>
                <a:cubicBezTo>
                  <a:pt x="4618383" y="2363863"/>
                  <a:pt x="4632806" y="2377141"/>
                  <a:pt x="4632806" y="2393515"/>
                </a:cubicBezTo>
                <a:cubicBezTo>
                  <a:pt x="4632806" y="2409890"/>
                  <a:pt x="4618383" y="2423168"/>
                  <a:pt x="4600596" y="2423168"/>
                </a:cubicBezTo>
                <a:close/>
                <a:moveTo>
                  <a:pt x="4679129" y="2423168"/>
                </a:moveTo>
                <a:cubicBezTo>
                  <a:pt x="4661342" y="2423168"/>
                  <a:pt x="4646919" y="2409890"/>
                  <a:pt x="4646919" y="2393515"/>
                </a:cubicBezTo>
                <a:cubicBezTo>
                  <a:pt x="4646919" y="2377141"/>
                  <a:pt x="4661342" y="2363863"/>
                  <a:pt x="4679129" y="2363863"/>
                </a:cubicBezTo>
                <a:cubicBezTo>
                  <a:pt x="4696916" y="2363863"/>
                  <a:pt x="4711339" y="2377141"/>
                  <a:pt x="4711339" y="2393515"/>
                </a:cubicBezTo>
                <a:cubicBezTo>
                  <a:pt x="4711339" y="2409890"/>
                  <a:pt x="4696916" y="2423168"/>
                  <a:pt x="4679129" y="2423168"/>
                </a:cubicBezTo>
                <a:close/>
                <a:moveTo>
                  <a:pt x="4757663" y="2423168"/>
                </a:moveTo>
                <a:cubicBezTo>
                  <a:pt x="4739876" y="2423168"/>
                  <a:pt x="4725453" y="2409890"/>
                  <a:pt x="4725453" y="2393515"/>
                </a:cubicBezTo>
                <a:cubicBezTo>
                  <a:pt x="4725453" y="2377141"/>
                  <a:pt x="4739876" y="2363863"/>
                  <a:pt x="4757663" y="2363863"/>
                </a:cubicBezTo>
                <a:cubicBezTo>
                  <a:pt x="4775451" y="2363863"/>
                  <a:pt x="4789874" y="2377141"/>
                  <a:pt x="4789874" y="2393515"/>
                </a:cubicBezTo>
                <a:cubicBezTo>
                  <a:pt x="4789874" y="2409890"/>
                  <a:pt x="4775451" y="2423168"/>
                  <a:pt x="4757663" y="2423168"/>
                </a:cubicBezTo>
                <a:close/>
                <a:moveTo>
                  <a:pt x="4836197" y="2423168"/>
                </a:moveTo>
                <a:cubicBezTo>
                  <a:pt x="4818409" y="2423168"/>
                  <a:pt x="4803986" y="2409890"/>
                  <a:pt x="4803986" y="2393515"/>
                </a:cubicBezTo>
                <a:cubicBezTo>
                  <a:pt x="4803986" y="2377141"/>
                  <a:pt x="4818409" y="2363863"/>
                  <a:pt x="4836197" y="2363863"/>
                </a:cubicBezTo>
                <a:cubicBezTo>
                  <a:pt x="4853984" y="2363863"/>
                  <a:pt x="4868407" y="2377141"/>
                  <a:pt x="4868407" y="2393515"/>
                </a:cubicBezTo>
                <a:cubicBezTo>
                  <a:pt x="4868407" y="2409890"/>
                  <a:pt x="4853984" y="2423168"/>
                  <a:pt x="4836197" y="2423168"/>
                </a:cubicBezTo>
                <a:close/>
                <a:moveTo>
                  <a:pt x="4914731" y="2423168"/>
                </a:moveTo>
                <a:cubicBezTo>
                  <a:pt x="4896944" y="2423168"/>
                  <a:pt x="4882521" y="2409890"/>
                  <a:pt x="4882521" y="2393515"/>
                </a:cubicBezTo>
                <a:cubicBezTo>
                  <a:pt x="4882521" y="2377141"/>
                  <a:pt x="4896944" y="2363863"/>
                  <a:pt x="4914731" y="2363863"/>
                </a:cubicBezTo>
                <a:cubicBezTo>
                  <a:pt x="4932518" y="2363863"/>
                  <a:pt x="4946941" y="2377141"/>
                  <a:pt x="4946941" y="2393515"/>
                </a:cubicBezTo>
                <a:cubicBezTo>
                  <a:pt x="4946941" y="2409890"/>
                  <a:pt x="4932518" y="2423168"/>
                  <a:pt x="4914731" y="2423168"/>
                </a:cubicBezTo>
                <a:close/>
                <a:moveTo>
                  <a:pt x="6328340" y="2423168"/>
                </a:moveTo>
                <a:cubicBezTo>
                  <a:pt x="6310553" y="2423168"/>
                  <a:pt x="6296124" y="2409890"/>
                  <a:pt x="6296124" y="2393515"/>
                </a:cubicBezTo>
                <a:cubicBezTo>
                  <a:pt x="6296124" y="2377141"/>
                  <a:pt x="6310553" y="2363863"/>
                  <a:pt x="6328340" y="2363863"/>
                </a:cubicBezTo>
                <a:cubicBezTo>
                  <a:pt x="6346128" y="2363863"/>
                  <a:pt x="6360545" y="2377141"/>
                  <a:pt x="6360545" y="2393515"/>
                </a:cubicBezTo>
                <a:cubicBezTo>
                  <a:pt x="6360545" y="2409890"/>
                  <a:pt x="6346128" y="2423168"/>
                  <a:pt x="6328340" y="2423168"/>
                </a:cubicBezTo>
                <a:close/>
                <a:moveTo>
                  <a:pt x="6406875" y="2423168"/>
                </a:moveTo>
                <a:cubicBezTo>
                  <a:pt x="6389087" y="2423168"/>
                  <a:pt x="6374658" y="2409890"/>
                  <a:pt x="6374658" y="2393515"/>
                </a:cubicBezTo>
                <a:cubicBezTo>
                  <a:pt x="6374658" y="2377141"/>
                  <a:pt x="6389087" y="2363863"/>
                  <a:pt x="6406875" y="2363863"/>
                </a:cubicBezTo>
                <a:cubicBezTo>
                  <a:pt x="6424662" y="2363863"/>
                  <a:pt x="6439079" y="2377141"/>
                  <a:pt x="6439079" y="2393515"/>
                </a:cubicBezTo>
                <a:cubicBezTo>
                  <a:pt x="6439079" y="2409890"/>
                  <a:pt x="6424662" y="2423168"/>
                  <a:pt x="6406875" y="2423168"/>
                </a:cubicBezTo>
                <a:close/>
                <a:moveTo>
                  <a:pt x="6485408" y="2423168"/>
                </a:moveTo>
                <a:cubicBezTo>
                  <a:pt x="6467621" y="2423168"/>
                  <a:pt x="6453191" y="2409890"/>
                  <a:pt x="6453191" y="2393515"/>
                </a:cubicBezTo>
                <a:cubicBezTo>
                  <a:pt x="6453191" y="2377141"/>
                  <a:pt x="6467621" y="2363863"/>
                  <a:pt x="6485408" y="2363863"/>
                </a:cubicBezTo>
                <a:cubicBezTo>
                  <a:pt x="6503195" y="2363863"/>
                  <a:pt x="6517612" y="2377141"/>
                  <a:pt x="6517612" y="2393515"/>
                </a:cubicBezTo>
                <a:cubicBezTo>
                  <a:pt x="6517612" y="2409890"/>
                  <a:pt x="6503195" y="2423168"/>
                  <a:pt x="6485408" y="2423168"/>
                </a:cubicBezTo>
                <a:close/>
                <a:moveTo>
                  <a:pt x="6563942" y="2423168"/>
                </a:moveTo>
                <a:cubicBezTo>
                  <a:pt x="6546155" y="2423168"/>
                  <a:pt x="6531726" y="2409890"/>
                  <a:pt x="6531726" y="2393515"/>
                </a:cubicBezTo>
                <a:cubicBezTo>
                  <a:pt x="6531726" y="2377141"/>
                  <a:pt x="6546155" y="2363863"/>
                  <a:pt x="6563942" y="2363863"/>
                </a:cubicBezTo>
                <a:cubicBezTo>
                  <a:pt x="6581729" y="2363863"/>
                  <a:pt x="6596146" y="2377141"/>
                  <a:pt x="6596146" y="2393515"/>
                </a:cubicBezTo>
                <a:cubicBezTo>
                  <a:pt x="6596146" y="2409890"/>
                  <a:pt x="6581729" y="2423168"/>
                  <a:pt x="6563942" y="2423168"/>
                </a:cubicBezTo>
                <a:close/>
                <a:moveTo>
                  <a:pt x="6642476" y="2423168"/>
                </a:moveTo>
                <a:cubicBezTo>
                  <a:pt x="6624689" y="2423168"/>
                  <a:pt x="6610260" y="2409890"/>
                  <a:pt x="6610260" y="2393515"/>
                </a:cubicBezTo>
                <a:cubicBezTo>
                  <a:pt x="6610260" y="2377141"/>
                  <a:pt x="6624689" y="2363863"/>
                  <a:pt x="6642476" y="2363863"/>
                </a:cubicBezTo>
                <a:cubicBezTo>
                  <a:pt x="6660264" y="2363863"/>
                  <a:pt x="6674681" y="2377141"/>
                  <a:pt x="6674681" y="2393515"/>
                </a:cubicBezTo>
                <a:cubicBezTo>
                  <a:pt x="6674681" y="2409890"/>
                  <a:pt x="6660264" y="2423168"/>
                  <a:pt x="6642476" y="2423168"/>
                </a:cubicBezTo>
                <a:close/>
                <a:moveTo>
                  <a:pt x="6721010" y="2423168"/>
                </a:moveTo>
                <a:cubicBezTo>
                  <a:pt x="6703222" y="2423168"/>
                  <a:pt x="6688793" y="2409890"/>
                  <a:pt x="6688793" y="2393515"/>
                </a:cubicBezTo>
                <a:cubicBezTo>
                  <a:pt x="6688793" y="2377141"/>
                  <a:pt x="6703222" y="2363863"/>
                  <a:pt x="6721010" y="2363863"/>
                </a:cubicBezTo>
                <a:cubicBezTo>
                  <a:pt x="6738797" y="2363863"/>
                  <a:pt x="6753214" y="2377141"/>
                  <a:pt x="6753214" y="2393515"/>
                </a:cubicBezTo>
                <a:cubicBezTo>
                  <a:pt x="6753214" y="2409890"/>
                  <a:pt x="6738797" y="2423168"/>
                  <a:pt x="6721010" y="2423168"/>
                </a:cubicBezTo>
                <a:close/>
                <a:moveTo>
                  <a:pt x="6878077" y="2423168"/>
                </a:moveTo>
                <a:cubicBezTo>
                  <a:pt x="6860290" y="2423168"/>
                  <a:pt x="6845861" y="2409890"/>
                  <a:pt x="6845861" y="2393515"/>
                </a:cubicBezTo>
                <a:cubicBezTo>
                  <a:pt x="6845861" y="2377141"/>
                  <a:pt x="6860290" y="2363863"/>
                  <a:pt x="6878077" y="2363863"/>
                </a:cubicBezTo>
                <a:cubicBezTo>
                  <a:pt x="6895864" y="2363863"/>
                  <a:pt x="6910281" y="2377141"/>
                  <a:pt x="6910281" y="2393515"/>
                </a:cubicBezTo>
                <a:cubicBezTo>
                  <a:pt x="6910281" y="2409890"/>
                  <a:pt x="6895864" y="2423168"/>
                  <a:pt x="6878077" y="2423168"/>
                </a:cubicBezTo>
                <a:close/>
                <a:moveTo>
                  <a:pt x="6956611" y="2423168"/>
                </a:moveTo>
                <a:cubicBezTo>
                  <a:pt x="6938824" y="2423168"/>
                  <a:pt x="6924395" y="2409890"/>
                  <a:pt x="6924395" y="2393515"/>
                </a:cubicBezTo>
                <a:cubicBezTo>
                  <a:pt x="6924395" y="2377141"/>
                  <a:pt x="6938824" y="2363863"/>
                  <a:pt x="6956611" y="2363863"/>
                </a:cubicBezTo>
                <a:cubicBezTo>
                  <a:pt x="6974399" y="2363863"/>
                  <a:pt x="6988816" y="2377141"/>
                  <a:pt x="6988816" y="2393515"/>
                </a:cubicBezTo>
                <a:cubicBezTo>
                  <a:pt x="6988816" y="2409890"/>
                  <a:pt x="6974399" y="2423168"/>
                  <a:pt x="6956611" y="2423168"/>
                </a:cubicBezTo>
                <a:close/>
                <a:moveTo>
                  <a:pt x="7035146" y="2423168"/>
                </a:moveTo>
                <a:cubicBezTo>
                  <a:pt x="7017358" y="2423168"/>
                  <a:pt x="7002929" y="2409890"/>
                  <a:pt x="7002929" y="2393515"/>
                </a:cubicBezTo>
                <a:cubicBezTo>
                  <a:pt x="7002929" y="2377141"/>
                  <a:pt x="7017358" y="2363863"/>
                  <a:pt x="7035146" y="2363863"/>
                </a:cubicBezTo>
                <a:cubicBezTo>
                  <a:pt x="7052933" y="2363863"/>
                  <a:pt x="7067350" y="2377141"/>
                  <a:pt x="7067350" y="2393515"/>
                </a:cubicBezTo>
                <a:cubicBezTo>
                  <a:pt x="7067350" y="2409890"/>
                  <a:pt x="7052933" y="2423168"/>
                  <a:pt x="7035146" y="2423168"/>
                </a:cubicBezTo>
                <a:close/>
                <a:moveTo>
                  <a:pt x="9077050" y="2423168"/>
                </a:moveTo>
                <a:cubicBezTo>
                  <a:pt x="9059263" y="2423168"/>
                  <a:pt x="9044834" y="2409890"/>
                  <a:pt x="9044834" y="2393515"/>
                </a:cubicBezTo>
                <a:cubicBezTo>
                  <a:pt x="9044834" y="2377141"/>
                  <a:pt x="9059263" y="2363863"/>
                  <a:pt x="9077050" y="2363863"/>
                </a:cubicBezTo>
                <a:cubicBezTo>
                  <a:pt x="9094837" y="2363863"/>
                  <a:pt x="9109254" y="2377141"/>
                  <a:pt x="9109254" y="2393515"/>
                </a:cubicBezTo>
                <a:cubicBezTo>
                  <a:pt x="9109254" y="2409890"/>
                  <a:pt x="9094837" y="2423168"/>
                  <a:pt x="9077050" y="2423168"/>
                </a:cubicBezTo>
                <a:close/>
                <a:moveTo>
                  <a:pt x="9155583" y="2423168"/>
                </a:moveTo>
                <a:cubicBezTo>
                  <a:pt x="9137796" y="2423168"/>
                  <a:pt x="9123367" y="2409890"/>
                  <a:pt x="9123367" y="2393515"/>
                </a:cubicBezTo>
                <a:cubicBezTo>
                  <a:pt x="9123367" y="2377141"/>
                  <a:pt x="9137796" y="2363863"/>
                  <a:pt x="9155583" y="2363863"/>
                </a:cubicBezTo>
                <a:cubicBezTo>
                  <a:pt x="9173371" y="2363863"/>
                  <a:pt x="9187788" y="2377141"/>
                  <a:pt x="9187788" y="2393515"/>
                </a:cubicBezTo>
                <a:cubicBezTo>
                  <a:pt x="9187788" y="2409890"/>
                  <a:pt x="9173371" y="2423168"/>
                  <a:pt x="9155583" y="2423168"/>
                </a:cubicBezTo>
                <a:close/>
                <a:moveTo>
                  <a:pt x="9234118" y="2423168"/>
                </a:moveTo>
                <a:cubicBezTo>
                  <a:pt x="9216330" y="2423168"/>
                  <a:pt x="9201901" y="2409890"/>
                  <a:pt x="9201901" y="2393515"/>
                </a:cubicBezTo>
                <a:cubicBezTo>
                  <a:pt x="9201901" y="2377141"/>
                  <a:pt x="9216330" y="2363863"/>
                  <a:pt x="9234118" y="2363863"/>
                </a:cubicBezTo>
                <a:cubicBezTo>
                  <a:pt x="9251905" y="2363863"/>
                  <a:pt x="9266322" y="2377141"/>
                  <a:pt x="9266322" y="2393515"/>
                </a:cubicBezTo>
                <a:cubicBezTo>
                  <a:pt x="9266322" y="2409890"/>
                  <a:pt x="9251905" y="2423168"/>
                  <a:pt x="9234118" y="2423168"/>
                </a:cubicBezTo>
                <a:close/>
                <a:moveTo>
                  <a:pt x="10019456" y="2423168"/>
                </a:moveTo>
                <a:cubicBezTo>
                  <a:pt x="10001669" y="2423168"/>
                  <a:pt x="9987240" y="2409890"/>
                  <a:pt x="9987240" y="2393515"/>
                </a:cubicBezTo>
                <a:cubicBezTo>
                  <a:pt x="9987240" y="2377141"/>
                  <a:pt x="10001669" y="2363863"/>
                  <a:pt x="10019456" y="2363863"/>
                </a:cubicBezTo>
                <a:cubicBezTo>
                  <a:pt x="10037243" y="2363863"/>
                  <a:pt x="10051660" y="2377141"/>
                  <a:pt x="10051660" y="2393515"/>
                </a:cubicBezTo>
                <a:cubicBezTo>
                  <a:pt x="10051660" y="2409890"/>
                  <a:pt x="10037243" y="2423168"/>
                  <a:pt x="10019456" y="2423168"/>
                </a:cubicBezTo>
                <a:close/>
                <a:moveTo>
                  <a:pt x="10097990" y="2423168"/>
                </a:moveTo>
                <a:cubicBezTo>
                  <a:pt x="10080203" y="2423168"/>
                  <a:pt x="10065774" y="2409890"/>
                  <a:pt x="10065774" y="2393515"/>
                </a:cubicBezTo>
                <a:cubicBezTo>
                  <a:pt x="10065774" y="2377141"/>
                  <a:pt x="10080203" y="2363863"/>
                  <a:pt x="10097990" y="2363863"/>
                </a:cubicBezTo>
                <a:cubicBezTo>
                  <a:pt x="10115778" y="2363863"/>
                  <a:pt x="10130195" y="2377141"/>
                  <a:pt x="10130195" y="2393515"/>
                </a:cubicBezTo>
                <a:cubicBezTo>
                  <a:pt x="10130195" y="2409890"/>
                  <a:pt x="10115778" y="2423168"/>
                  <a:pt x="10097990" y="2423168"/>
                </a:cubicBezTo>
                <a:close/>
                <a:moveTo>
                  <a:pt x="10176524" y="2423168"/>
                </a:moveTo>
                <a:cubicBezTo>
                  <a:pt x="10158736" y="2423168"/>
                  <a:pt x="10144307" y="2409890"/>
                  <a:pt x="10144307" y="2393515"/>
                </a:cubicBezTo>
                <a:cubicBezTo>
                  <a:pt x="10144307" y="2377141"/>
                  <a:pt x="10158736" y="2363863"/>
                  <a:pt x="10176524" y="2363863"/>
                </a:cubicBezTo>
                <a:cubicBezTo>
                  <a:pt x="10194311" y="2363863"/>
                  <a:pt x="10208728" y="2377141"/>
                  <a:pt x="10208728" y="2393515"/>
                </a:cubicBezTo>
                <a:cubicBezTo>
                  <a:pt x="10208728" y="2409890"/>
                  <a:pt x="10194311" y="2423168"/>
                  <a:pt x="10176524" y="2423168"/>
                </a:cubicBezTo>
                <a:close/>
                <a:moveTo>
                  <a:pt x="10490660" y="2423168"/>
                </a:moveTo>
                <a:cubicBezTo>
                  <a:pt x="10472872" y="2423168"/>
                  <a:pt x="10458443" y="2409890"/>
                  <a:pt x="10458443" y="2393515"/>
                </a:cubicBezTo>
                <a:cubicBezTo>
                  <a:pt x="10458443" y="2377141"/>
                  <a:pt x="10472872" y="2363863"/>
                  <a:pt x="10490660" y="2363863"/>
                </a:cubicBezTo>
                <a:cubicBezTo>
                  <a:pt x="10508447" y="2363863"/>
                  <a:pt x="10522864" y="2377141"/>
                  <a:pt x="10522864" y="2393515"/>
                </a:cubicBezTo>
                <a:cubicBezTo>
                  <a:pt x="10522864" y="2409890"/>
                  <a:pt x="10508447" y="2423168"/>
                  <a:pt x="10490660" y="2423168"/>
                </a:cubicBezTo>
                <a:close/>
                <a:moveTo>
                  <a:pt x="10569194" y="2423168"/>
                </a:moveTo>
                <a:cubicBezTo>
                  <a:pt x="10551407" y="2423168"/>
                  <a:pt x="10536978" y="2409890"/>
                  <a:pt x="10536978" y="2393515"/>
                </a:cubicBezTo>
                <a:cubicBezTo>
                  <a:pt x="10536978" y="2377141"/>
                  <a:pt x="10551407" y="2363863"/>
                  <a:pt x="10569194" y="2363863"/>
                </a:cubicBezTo>
                <a:cubicBezTo>
                  <a:pt x="10586981" y="2363863"/>
                  <a:pt x="10601398" y="2377141"/>
                  <a:pt x="10601398" y="2393515"/>
                </a:cubicBezTo>
                <a:cubicBezTo>
                  <a:pt x="10601398" y="2409890"/>
                  <a:pt x="10586981" y="2423168"/>
                  <a:pt x="10569194" y="2423168"/>
                </a:cubicBezTo>
                <a:close/>
                <a:moveTo>
                  <a:pt x="3736717" y="2350902"/>
                </a:moveTo>
                <a:cubicBezTo>
                  <a:pt x="3718930" y="2350902"/>
                  <a:pt x="3704507" y="2337624"/>
                  <a:pt x="3704507" y="2321250"/>
                </a:cubicBezTo>
                <a:cubicBezTo>
                  <a:pt x="3704507" y="2304875"/>
                  <a:pt x="3718930" y="2291598"/>
                  <a:pt x="3736717" y="2291598"/>
                </a:cubicBezTo>
                <a:cubicBezTo>
                  <a:pt x="3754504" y="2291598"/>
                  <a:pt x="3768927" y="2304875"/>
                  <a:pt x="3768927" y="2321250"/>
                </a:cubicBezTo>
                <a:cubicBezTo>
                  <a:pt x="3768927" y="2337624"/>
                  <a:pt x="3754504" y="2350902"/>
                  <a:pt x="3736717" y="2350902"/>
                </a:cubicBezTo>
                <a:close/>
                <a:moveTo>
                  <a:pt x="3815250" y="2350902"/>
                </a:moveTo>
                <a:cubicBezTo>
                  <a:pt x="3797463" y="2350902"/>
                  <a:pt x="3783040" y="2337624"/>
                  <a:pt x="3783040" y="2321250"/>
                </a:cubicBezTo>
                <a:cubicBezTo>
                  <a:pt x="3783040" y="2304875"/>
                  <a:pt x="3797463" y="2291598"/>
                  <a:pt x="3815250" y="2291598"/>
                </a:cubicBezTo>
                <a:cubicBezTo>
                  <a:pt x="3833038" y="2291598"/>
                  <a:pt x="3847461" y="2304875"/>
                  <a:pt x="3847461" y="2321250"/>
                </a:cubicBezTo>
                <a:cubicBezTo>
                  <a:pt x="3847461" y="2337624"/>
                  <a:pt x="3833038" y="2350902"/>
                  <a:pt x="3815250" y="2350902"/>
                </a:cubicBezTo>
                <a:close/>
                <a:moveTo>
                  <a:pt x="3893785" y="2350902"/>
                </a:moveTo>
                <a:cubicBezTo>
                  <a:pt x="3875997" y="2350902"/>
                  <a:pt x="3861574" y="2337624"/>
                  <a:pt x="3861574" y="2321250"/>
                </a:cubicBezTo>
                <a:cubicBezTo>
                  <a:pt x="3861574" y="2304875"/>
                  <a:pt x="3875997" y="2291598"/>
                  <a:pt x="3893785" y="2291598"/>
                </a:cubicBezTo>
                <a:cubicBezTo>
                  <a:pt x="3911572" y="2291598"/>
                  <a:pt x="3925995" y="2304875"/>
                  <a:pt x="3925995" y="2321250"/>
                </a:cubicBezTo>
                <a:cubicBezTo>
                  <a:pt x="3925995" y="2337624"/>
                  <a:pt x="3911572" y="2350902"/>
                  <a:pt x="3893785" y="2350902"/>
                </a:cubicBezTo>
                <a:close/>
                <a:moveTo>
                  <a:pt x="3972319" y="2350902"/>
                </a:moveTo>
                <a:cubicBezTo>
                  <a:pt x="3954532" y="2350902"/>
                  <a:pt x="3940108" y="2337624"/>
                  <a:pt x="3940108" y="2321250"/>
                </a:cubicBezTo>
                <a:cubicBezTo>
                  <a:pt x="3940108" y="2304875"/>
                  <a:pt x="3954532" y="2291598"/>
                  <a:pt x="3972319" y="2291598"/>
                </a:cubicBezTo>
                <a:cubicBezTo>
                  <a:pt x="3990106" y="2291598"/>
                  <a:pt x="4004529" y="2304875"/>
                  <a:pt x="4004529" y="2321250"/>
                </a:cubicBezTo>
                <a:cubicBezTo>
                  <a:pt x="4004529" y="2337624"/>
                  <a:pt x="3990106" y="2350902"/>
                  <a:pt x="3972319" y="2350902"/>
                </a:cubicBezTo>
                <a:close/>
                <a:moveTo>
                  <a:pt x="4050852" y="2350902"/>
                </a:moveTo>
                <a:cubicBezTo>
                  <a:pt x="4033065" y="2350902"/>
                  <a:pt x="4018642" y="2337624"/>
                  <a:pt x="4018642" y="2321250"/>
                </a:cubicBezTo>
                <a:cubicBezTo>
                  <a:pt x="4018642" y="2304875"/>
                  <a:pt x="4033065" y="2291598"/>
                  <a:pt x="4050852" y="2291598"/>
                </a:cubicBezTo>
                <a:cubicBezTo>
                  <a:pt x="4068639" y="2291598"/>
                  <a:pt x="4083062" y="2304875"/>
                  <a:pt x="4083062" y="2321250"/>
                </a:cubicBezTo>
                <a:cubicBezTo>
                  <a:pt x="4083062" y="2337624"/>
                  <a:pt x="4068639" y="2350902"/>
                  <a:pt x="4050852" y="2350902"/>
                </a:cubicBezTo>
                <a:close/>
                <a:moveTo>
                  <a:pt x="4129386" y="2350902"/>
                </a:moveTo>
                <a:cubicBezTo>
                  <a:pt x="4111599" y="2350902"/>
                  <a:pt x="4097176" y="2337624"/>
                  <a:pt x="4097176" y="2321250"/>
                </a:cubicBezTo>
                <a:cubicBezTo>
                  <a:pt x="4097176" y="2304875"/>
                  <a:pt x="4111599" y="2291598"/>
                  <a:pt x="4129386" y="2291598"/>
                </a:cubicBezTo>
                <a:cubicBezTo>
                  <a:pt x="4147174" y="2291598"/>
                  <a:pt x="4161597" y="2304875"/>
                  <a:pt x="4161597" y="2321250"/>
                </a:cubicBezTo>
                <a:cubicBezTo>
                  <a:pt x="4161597" y="2337624"/>
                  <a:pt x="4147174" y="2350902"/>
                  <a:pt x="4129386" y="2350902"/>
                </a:cubicBezTo>
                <a:close/>
                <a:moveTo>
                  <a:pt x="4207926" y="2350902"/>
                </a:moveTo>
                <a:cubicBezTo>
                  <a:pt x="4190138" y="2350902"/>
                  <a:pt x="4175715" y="2337624"/>
                  <a:pt x="4175715" y="2321250"/>
                </a:cubicBezTo>
                <a:cubicBezTo>
                  <a:pt x="4175715" y="2304875"/>
                  <a:pt x="4190138" y="2291598"/>
                  <a:pt x="4207926" y="2291598"/>
                </a:cubicBezTo>
                <a:cubicBezTo>
                  <a:pt x="4225713" y="2291598"/>
                  <a:pt x="4240136" y="2304875"/>
                  <a:pt x="4240136" y="2321250"/>
                </a:cubicBezTo>
                <a:cubicBezTo>
                  <a:pt x="4240136" y="2337624"/>
                  <a:pt x="4225713" y="2350902"/>
                  <a:pt x="4207926" y="2350902"/>
                </a:cubicBezTo>
                <a:close/>
                <a:moveTo>
                  <a:pt x="4286460" y="2350902"/>
                </a:moveTo>
                <a:cubicBezTo>
                  <a:pt x="4268673" y="2350902"/>
                  <a:pt x="4254250" y="2337624"/>
                  <a:pt x="4254250" y="2321250"/>
                </a:cubicBezTo>
                <a:cubicBezTo>
                  <a:pt x="4254250" y="2304875"/>
                  <a:pt x="4268673" y="2291598"/>
                  <a:pt x="4286460" y="2291598"/>
                </a:cubicBezTo>
                <a:cubicBezTo>
                  <a:pt x="4304247" y="2291598"/>
                  <a:pt x="4318670" y="2304875"/>
                  <a:pt x="4318670" y="2321250"/>
                </a:cubicBezTo>
                <a:cubicBezTo>
                  <a:pt x="4318670" y="2337624"/>
                  <a:pt x="4304247" y="2350902"/>
                  <a:pt x="4286460" y="2350902"/>
                </a:cubicBezTo>
                <a:close/>
                <a:moveTo>
                  <a:pt x="4364994" y="2350902"/>
                </a:moveTo>
                <a:cubicBezTo>
                  <a:pt x="4347207" y="2350902"/>
                  <a:pt x="4332784" y="2337624"/>
                  <a:pt x="4332784" y="2321250"/>
                </a:cubicBezTo>
                <a:cubicBezTo>
                  <a:pt x="4332784" y="2304875"/>
                  <a:pt x="4347207" y="2291598"/>
                  <a:pt x="4364994" y="2291598"/>
                </a:cubicBezTo>
                <a:cubicBezTo>
                  <a:pt x="4382781" y="2291598"/>
                  <a:pt x="4397204" y="2304875"/>
                  <a:pt x="4397204" y="2321250"/>
                </a:cubicBezTo>
                <a:cubicBezTo>
                  <a:pt x="4397204" y="2337624"/>
                  <a:pt x="4382781" y="2350902"/>
                  <a:pt x="4364994" y="2350902"/>
                </a:cubicBezTo>
                <a:close/>
                <a:moveTo>
                  <a:pt x="4443527" y="2350902"/>
                </a:moveTo>
                <a:cubicBezTo>
                  <a:pt x="4425740" y="2350902"/>
                  <a:pt x="4411317" y="2337624"/>
                  <a:pt x="4411317" y="2321250"/>
                </a:cubicBezTo>
                <a:cubicBezTo>
                  <a:pt x="4411317" y="2304875"/>
                  <a:pt x="4425740" y="2291598"/>
                  <a:pt x="4443527" y="2291598"/>
                </a:cubicBezTo>
                <a:cubicBezTo>
                  <a:pt x="4461315" y="2291598"/>
                  <a:pt x="4475738" y="2304875"/>
                  <a:pt x="4475738" y="2321250"/>
                </a:cubicBezTo>
                <a:cubicBezTo>
                  <a:pt x="4475738" y="2337624"/>
                  <a:pt x="4461315" y="2350902"/>
                  <a:pt x="4443527" y="2350902"/>
                </a:cubicBezTo>
                <a:close/>
                <a:moveTo>
                  <a:pt x="4522062" y="2350902"/>
                </a:moveTo>
                <a:cubicBezTo>
                  <a:pt x="4504274" y="2350902"/>
                  <a:pt x="4489851" y="2337624"/>
                  <a:pt x="4489851" y="2321250"/>
                </a:cubicBezTo>
                <a:cubicBezTo>
                  <a:pt x="4489851" y="2304875"/>
                  <a:pt x="4504274" y="2291598"/>
                  <a:pt x="4522062" y="2291598"/>
                </a:cubicBezTo>
                <a:cubicBezTo>
                  <a:pt x="4539849" y="2291598"/>
                  <a:pt x="4554272" y="2304875"/>
                  <a:pt x="4554272" y="2321250"/>
                </a:cubicBezTo>
                <a:cubicBezTo>
                  <a:pt x="4554272" y="2337624"/>
                  <a:pt x="4539849" y="2350902"/>
                  <a:pt x="4522062" y="2350902"/>
                </a:cubicBezTo>
                <a:close/>
                <a:moveTo>
                  <a:pt x="4600596" y="2350902"/>
                </a:moveTo>
                <a:cubicBezTo>
                  <a:pt x="4582809" y="2350902"/>
                  <a:pt x="4568386" y="2337624"/>
                  <a:pt x="4568386" y="2321250"/>
                </a:cubicBezTo>
                <a:cubicBezTo>
                  <a:pt x="4568386" y="2304875"/>
                  <a:pt x="4582809" y="2291598"/>
                  <a:pt x="4600596" y="2291598"/>
                </a:cubicBezTo>
                <a:cubicBezTo>
                  <a:pt x="4618383" y="2291598"/>
                  <a:pt x="4632806" y="2304875"/>
                  <a:pt x="4632806" y="2321250"/>
                </a:cubicBezTo>
                <a:cubicBezTo>
                  <a:pt x="4632806" y="2337624"/>
                  <a:pt x="4618383" y="2350902"/>
                  <a:pt x="4600596" y="2350902"/>
                </a:cubicBezTo>
                <a:close/>
                <a:moveTo>
                  <a:pt x="4679129" y="2350902"/>
                </a:moveTo>
                <a:cubicBezTo>
                  <a:pt x="4661342" y="2350902"/>
                  <a:pt x="4646919" y="2337624"/>
                  <a:pt x="4646919" y="2321250"/>
                </a:cubicBezTo>
                <a:cubicBezTo>
                  <a:pt x="4646919" y="2304875"/>
                  <a:pt x="4661342" y="2291598"/>
                  <a:pt x="4679129" y="2291598"/>
                </a:cubicBezTo>
                <a:cubicBezTo>
                  <a:pt x="4696916" y="2291598"/>
                  <a:pt x="4711339" y="2304875"/>
                  <a:pt x="4711339" y="2321250"/>
                </a:cubicBezTo>
                <a:cubicBezTo>
                  <a:pt x="4711339" y="2337624"/>
                  <a:pt x="4696916" y="2350902"/>
                  <a:pt x="4679129" y="2350902"/>
                </a:cubicBezTo>
                <a:close/>
                <a:moveTo>
                  <a:pt x="4757663" y="2350902"/>
                </a:moveTo>
                <a:cubicBezTo>
                  <a:pt x="4739876" y="2350902"/>
                  <a:pt x="4725453" y="2337624"/>
                  <a:pt x="4725453" y="2321250"/>
                </a:cubicBezTo>
                <a:cubicBezTo>
                  <a:pt x="4725453" y="2304875"/>
                  <a:pt x="4739876" y="2291598"/>
                  <a:pt x="4757663" y="2291598"/>
                </a:cubicBezTo>
                <a:cubicBezTo>
                  <a:pt x="4775451" y="2291598"/>
                  <a:pt x="4789874" y="2304875"/>
                  <a:pt x="4789874" y="2321250"/>
                </a:cubicBezTo>
                <a:cubicBezTo>
                  <a:pt x="4789874" y="2337624"/>
                  <a:pt x="4775451" y="2350902"/>
                  <a:pt x="4757663" y="2350902"/>
                </a:cubicBezTo>
                <a:close/>
                <a:moveTo>
                  <a:pt x="4836197" y="2350902"/>
                </a:moveTo>
                <a:cubicBezTo>
                  <a:pt x="4818409" y="2350902"/>
                  <a:pt x="4803986" y="2337624"/>
                  <a:pt x="4803986" y="2321250"/>
                </a:cubicBezTo>
                <a:cubicBezTo>
                  <a:pt x="4803986" y="2304875"/>
                  <a:pt x="4818409" y="2291598"/>
                  <a:pt x="4836197" y="2291598"/>
                </a:cubicBezTo>
                <a:cubicBezTo>
                  <a:pt x="4853984" y="2291598"/>
                  <a:pt x="4868407" y="2304875"/>
                  <a:pt x="4868407" y="2321250"/>
                </a:cubicBezTo>
                <a:cubicBezTo>
                  <a:pt x="4868407" y="2337624"/>
                  <a:pt x="4853984" y="2350902"/>
                  <a:pt x="4836197" y="2350902"/>
                </a:cubicBezTo>
                <a:close/>
                <a:moveTo>
                  <a:pt x="6328340" y="2350902"/>
                </a:moveTo>
                <a:cubicBezTo>
                  <a:pt x="6310553" y="2350902"/>
                  <a:pt x="6296124" y="2337624"/>
                  <a:pt x="6296124" y="2321250"/>
                </a:cubicBezTo>
                <a:cubicBezTo>
                  <a:pt x="6296124" y="2304875"/>
                  <a:pt x="6310553" y="2291598"/>
                  <a:pt x="6328340" y="2291598"/>
                </a:cubicBezTo>
                <a:cubicBezTo>
                  <a:pt x="6346128" y="2291598"/>
                  <a:pt x="6360545" y="2304875"/>
                  <a:pt x="6360545" y="2321250"/>
                </a:cubicBezTo>
                <a:cubicBezTo>
                  <a:pt x="6360545" y="2337624"/>
                  <a:pt x="6346128" y="2350902"/>
                  <a:pt x="6328340" y="2350902"/>
                </a:cubicBezTo>
                <a:close/>
                <a:moveTo>
                  <a:pt x="6406875" y="2350902"/>
                </a:moveTo>
                <a:cubicBezTo>
                  <a:pt x="6389087" y="2350902"/>
                  <a:pt x="6374658" y="2337624"/>
                  <a:pt x="6374658" y="2321250"/>
                </a:cubicBezTo>
                <a:cubicBezTo>
                  <a:pt x="6374658" y="2304875"/>
                  <a:pt x="6389087" y="2291598"/>
                  <a:pt x="6406875" y="2291598"/>
                </a:cubicBezTo>
                <a:cubicBezTo>
                  <a:pt x="6424662" y="2291598"/>
                  <a:pt x="6439079" y="2304875"/>
                  <a:pt x="6439079" y="2321250"/>
                </a:cubicBezTo>
                <a:cubicBezTo>
                  <a:pt x="6439079" y="2337624"/>
                  <a:pt x="6424662" y="2350902"/>
                  <a:pt x="6406875" y="2350902"/>
                </a:cubicBezTo>
                <a:close/>
                <a:moveTo>
                  <a:pt x="6485408" y="2350902"/>
                </a:moveTo>
                <a:cubicBezTo>
                  <a:pt x="6467621" y="2350902"/>
                  <a:pt x="6453191" y="2337624"/>
                  <a:pt x="6453191" y="2321250"/>
                </a:cubicBezTo>
                <a:cubicBezTo>
                  <a:pt x="6453191" y="2304875"/>
                  <a:pt x="6467621" y="2291598"/>
                  <a:pt x="6485408" y="2291598"/>
                </a:cubicBezTo>
                <a:cubicBezTo>
                  <a:pt x="6503195" y="2291598"/>
                  <a:pt x="6517612" y="2304875"/>
                  <a:pt x="6517612" y="2321250"/>
                </a:cubicBezTo>
                <a:cubicBezTo>
                  <a:pt x="6517612" y="2337624"/>
                  <a:pt x="6503195" y="2350902"/>
                  <a:pt x="6485408" y="2350902"/>
                </a:cubicBezTo>
                <a:close/>
                <a:moveTo>
                  <a:pt x="6563942" y="2350902"/>
                </a:moveTo>
                <a:cubicBezTo>
                  <a:pt x="6546155" y="2350902"/>
                  <a:pt x="6531726" y="2337624"/>
                  <a:pt x="6531726" y="2321250"/>
                </a:cubicBezTo>
                <a:cubicBezTo>
                  <a:pt x="6531726" y="2304875"/>
                  <a:pt x="6546155" y="2291598"/>
                  <a:pt x="6563942" y="2291598"/>
                </a:cubicBezTo>
                <a:cubicBezTo>
                  <a:pt x="6581729" y="2291598"/>
                  <a:pt x="6596146" y="2304875"/>
                  <a:pt x="6596146" y="2321250"/>
                </a:cubicBezTo>
                <a:cubicBezTo>
                  <a:pt x="6596146" y="2337624"/>
                  <a:pt x="6581729" y="2350902"/>
                  <a:pt x="6563942" y="2350902"/>
                </a:cubicBezTo>
                <a:close/>
                <a:moveTo>
                  <a:pt x="6642476" y="2350902"/>
                </a:moveTo>
                <a:cubicBezTo>
                  <a:pt x="6624689" y="2350902"/>
                  <a:pt x="6610260" y="2337624"/>
                  <a:pt x="6610260" y="2321250"/>
                </a:cubicBezTo>
                <a:cubicBezTo>
                  <a:pt x="6610260" y="2304875"/>
                  <a:pt x="6624689" y="2291598"/>
                  <a:pt x="6642476" y="2291598"/>
                </a:cubicBezTo>
                <a:cubicBezTo>
                  <a:pt x="6660264" y="2291598"/>
                  <a:pt x="6674681" y="2304875"/>
                  <a:pt x="6674681" y="2321250"/>
                </a:cubicBezTo>
                <a:cubicBezTo>
                  <a:pt x="6674681" y="2337624"/>
                  <a:pt x="6660264" y="2350902"/>
                  <a:pt x="6642476" y="2350902"/>
                </a:cubicBezTo>
                <a:close/>
                <a:moveTo>
                  <a:pt x="6721010" y="2350902"/>
                </a:moveTo>
                <a:cubicBezTo>
                  <a:pt x="6703222" y="2350902"/>
                  <a:pt x="6688793" y="2337624"/>
                  <a:pt x="6688793" y="2321250"/>
                </a:cubicBezTo>
                <a:cubicBezTo>
                  <a:pt x="6688793" y="2304875"/>
                  <a:pt x="6703222" y="2291598"/>
                  <a:pt x="6721010" y="2291598"/>
                </a:cubicBezTo>
                <a:cubicBezTo>
                  <a:pt x="6738797" y="2291598"/>
                  <a:pt x="6753214" y="2304875"/>
                  <a:pt x="6753214" y="2321250"/>
                </a:cubicBezTo>
                <a:cubicBezTo>
                  <a:pt x="6753214" y="2337624"/>
                  <a:pt x="6738797" y="2350902"/>
                  <a:pt x="6721010" y="2350902"/>
                </a:cubicBezTo>
                <a:close/>
                <a:moveTo>
                  <a:pt x="6799544" y="2350902"/>
                </a:moveTo>
                <a:cubicBezTo>
                  <a:pt x="6781757" y="2350902"/>
                  <a:pt x="6767327" y="2337624"/>
                  <a:pt x="6767327" y="2321250"/>
                </a:cubicBezTo>
                <a:cubicBezTo>
                  <a:pt x="6767327" y="2304875"/>
                  <a:pt x="6781757" y="2291598"/>
                  <a:pt x="6799544" y="2291598"/>
                </a:cubicBezTo>
                <a:cubicBezTo>
                  <a:pt x="6817331" y="2291598"/>
                  <a:pt x="6831748" y="2304875"/>
                  <a:pt x="6831748" y="2321250"/>
                </a:cubicBezTo>
                <a:cubicBezTo>
                  <a:pt x="6831748" y="2337624"/>
                  <a:pt x="6817331" y="2350902"/>
                  <a:pt x="6799544" y="2350902"/>
                </a:cubicBezTo>
                <a:close/>
                <a:moveTo>
                  <a:pt x="6878077" y="2350902"/>
                </a:moveTo>
                <a:cubicBezTo>
                  <a:pt x="6860290" y="2350902"/>
                  <a:pt x="6845861" y="2337624"/>
                  <a:pt x="6845861" y="2321250"/>
                </a:cubicBezTo>
                <a:cubicBezTo>
                  <a:pt x="6845861" y="2304875"/>
                  <a:pt x="6860290" y="2291598"/>
                  <a:pt x="6878077" y="2291598"/>
                </a:cubicBezTo>
                <a:cubicBezTo>
                  <a:pt x="6895864" y="2291598"/>
                  <a:pt x="6910281" y="2304875"/>
                  <a:pt x="6910281" y="2321250"/>
                </a:cubicBezTo>
                <a:cubicBezTo>
                  <a:pt x="6910281" y="2337624"/>
                  <a:pt x="6895864" y="2350902"/>
                  <a:pt x="6878077" y="2350902"/>
                </a:cubicBezTo>
                <a:close/>
                <a:moveTo>
                  <a:pt x="6956611" y="2350902"/>
                </a:moveTo>
                <a:cubicBezTo>
                  <a:pt x="6938824" y="2350902"/>
                  <a:pt x="6924395" y="2337624"/>
                  <a:pt x="6924395" y="2321250"/>
                </a:cubicBezTo>
                <a:cubicBezTo>
                  <a:pt x="6924395" y="2304875"/>
                  <a:pt x="6938824" y="2291598"/>
                  <a:pt x="6956611" y="2291598"/>
                </a:cubicBezTo>
                <a:cubicBezTo>
                  <a:pt x="6974399" y="2291598"/>
                  <a:pt x="6988816" y="2304875"/>
                  <a:pt x="6988816" y="2321250"/>
                </a:cubicBezTo>
                <a:cubicBezTo>
                  <a:pt x="6988816" y="2337624"/>
                  <a:pt x="6974399" y="2350902"/>
                  <a:pt x="6956611" y="2350902"/>
                </a:cubicBezTo>
                <a:close/>
                <a:moveTo>
                  <a:pt x="7035146" y="2350902"/>
                </a:moveTo>
                <a:cubicBezTo>
                  <a:pt x="7017358" y="2350902"/>
                  <a:pt x="7002929" y="2337624"/>
                  <a:pt x="7002929" y="2321250"/>
                </a:cubicBezTo>
                <a:cubicBezTo>
                  <a:pt x="7002929" y="2304875"/>
                  <a:pt x="7017358" y="2291598"/>
                  <a:pt x="7035146" y="2291598"/>
                </a:cubicBezTo>
                <a:cubicBezTo>
                  <a:pt x="7052933" y="2291598"/>
                  <a:pt x="7067350" y="2304875"/>
                  <a:pt x="7067350" y="2321250"/>
                </a:cubicBezTo>
                <a:cubicBezTo>
                  <a:pt x="7067350" y="2337624"/>
                  <a:pt x="7052933" y="2350902"/>
                  <a:pt x="7035146" y="2350902"/>
                </a:cubicBezTo>
                <a:close/>
                <a:moveTo>
                  <a:pt x="9391185" y="2350902"/>
                </a:moveTo>
                <a:cubicBezTo>
                  <a:pt x="9373398" y="2350902"/>
                  <a:pt x="9358969" y="2337624"/>
                  <a:pt x="9358969" y="2321250"/>
                </a:cubicBezTo>
                <a:cubicBezTo>
                  <a:pt x="9358969" y="2304875"/>
                  <a:pt x="9373398" y="2291598"/>
                  <a:pt x="9391185" y="2291598"/>
                </a:cubicBezTo>
                <a:cubicBezTo>
                  <a:pt x="9408972" y="2291598"/>
                  <a:pt x="9423389" y="2304875"/>
                  <a:pt x="9423389" y="2321250"/>
                </a:cubicBezTo>
                <a:cubicBezTo>
                  <a:pt x="9423389" y="2337624"/>
                  <a:pt x="9408972" y="2350902"/>
                  <a:pt x="9391185" y="2350902"/>
                </a:cubicBezTo>
                <a:close/>
                <a:moveTo>
                  <a:pt x="9469719" y="2350902"/>
                </a:moveTo>
                <a:cubicBezTo>
                  <a:pt x="9451932" y="2350902"/>
                  <a:pt x="9437503" y="2337624"/>
                  <a:pt x="9437503" y="2321250"/>
                </a:cubicBezTo>
                <a:cubicBezTo>
                  <a:pt x="9437503" y="2304875"/>
                  <a:pt x="9451932" y="2291598"/>
                  <a:pt x="9469719" y="2291598"/>
                </a:cubicBezTo>
                <a:cubicBezTo>
                  <a:pt x="9487507" y="2291598"/>
                  <a:pt x="9501924" y="2304875"/>
                  <a:pt x="9501924" y="2321250"/>
                </a:cubicBezTo>
                <a:cubicBezTo>
                  <a:pt x="9501924" y="2337624"/>
                  <a:pt x="9487507" y="2350902"/>
                  <a:pt x="9469719" y="2350902"/>
                </a:cubicBezTo>
                <a:close/>
                <a:moveTo>
                  <a:pt x="9548254" y="2350902"/>
                </a:moveTo>
                <a:cubicBezTo>
                  <a:pt x="9530466" y="2350902"/>
                  <a:pt x="9516037" y="2337624"/>
                  <a:pt x="9516037" y="2321250"/>
                </a:cubicBezTo>
                <a:cubicBezTo>
                  <a:pt x="9516037" y="2304875"/>
                  <a:pt x="9530466" y="2291598"/>
                  <a:pt x="9548254" y="2291598"/>
                </a:cubicBezTo>
                <a:cubicBezTo>
                  <a:pt x="9566041" y="2291598"/>
                  <a:pt x="9580458" y="2304875"/>
                  <a:pt x="9580458" y="2321250"/>
                </a:cubicBezTo>
                <a:cubicBezTo>
                  <a:pt x="9580458" y="2337624"/>
                  <a:pt x="9566041" y="2350902"/>
                  <a:pt x="9548254" y="2350902"/>
                </a:cubicBezTo>
                <a:close/>
                <a:moveTo>
                  <a:pt x="10255058" y="2350902"/>
                </a:moveTo>
                <a:cubicBezTo>
                  <a:pt x="10237271" y="2350902"/>
                  <a:pt x="10222842" y="2337624"/>
                  <a:pt x="10222842" y="2321250"/>
                </a:cubicBezTo>
                <a:cubicBezTo>
                  <a:pt x="10222842" y="2304875"/>
                  <a:pt x="10237271" y="2291598"/>
                  <a:pt x="10255058" y="2291598"/>
                </a:cubicBezTo>
                <a:cubicBezTo>
                  <a:pt x="10272845" y="2291598"/>
                  <a:pt x="10287262" y="2304875"/>
                  <a:pt x="10287262" y="2321250"/>
                </a:cubicBezTo>
                <a:cubicBezTo>
                  <a:pt x="10287262" y="2337624"/>
                  <a:pt x="10272845" y="2350902"/>
                  <a:pt x="10255058" y="2350902"/>
                </a:cubicBezTo>
                <a:close/>
                <a:moveTo>
                  <a:pt x="10647727" y="2350902"/>
                </a:moveTo>
                <a:cubicBezTo>
                  <a:pt x="10629940" y="2350902"/>
                  <a:pt x="10615511" y="2337624"/>
                  <a:pt x="10615511" y="2321250"/>
                </a:cubicBezTo>
                <a:cubicBezTo>
                  <a:pt x="10615511" y="2304875"/>
                  <a:pt x="10629940" y="2291598"/>
                  <a:pt x="10647727" y="2291598"/>
                </a:cubicBezTo>
                <a:cubicBezTo>
                  <a:pt x="10665514" y="2291598"/>
                  <a:pt x="10679931" y="2304875"/>
                  <a:pt x="10679931" y="2321250"/>
                </a:cubicBezTo>
                <a:cubicBezTo>
                  <a:pt x="10679931" y="2337624"/>
                  <a:pt x="10665514" y="2350902"/>
                  <a:pt x="10647727" y="2350902"/>
                </a:cubicBezTo>
                <a:close/>
                <a:moveTo>
                  <a:pt x="3736717" y="2278636"/>
                </a:moveTo>
                <a:cubicBezTo>
                  <a:pt x="3718930" y="2278636"/>
                  <a:pt x="3704507" y="2265359"/>
                  <a:pt x="3704507" y="2248984"/>
                </a:cubicBezTo>
                <a:cubicBezTo>
                  <a:pt x="3704507" y="2232609"/>
                  <a:pt x="3718930" y="2219332"/>
                  <a:pt x="3736717" y="2219332"/>
                </a:cubicBezTo>
                <a:cubicBezTo>
                  <a:pt x="3754504" y="2219332"/>
                  <a:pt x="3768927" y="2232609"/>
                  <a:pt x="3768927" y="2248984"/>
                </a:cubicBezTo>
                <a:cubicBezTo>
                  <a:pt x="3768927" y="2265359"/>
                  <a:pt x="3754504" y="2278636"/>
                  <a:pt x="3736717" y="2278636"/>
                </a:cubicBezTo>
                <a:close/>
                <a:moveTo>
                  <a:pt x="3815250" y="2278636"/>
                </a:moveTo>
                <a:cubicBezTo>
                  <a:pt x="3797463" y="2278636"/>
                  <a:pt x="3783040" y="2265359"/>
                  <a:pt x="3783040" y="2248984"/>
                </a:cubicBezTo>
                <a:cubicBezTo>
                  <a:pt x="3783040" y="2232609"/>
                  <a:pt x="3797463" y="2219332"/>
                  <a:pt x="3815250" y="2219332"/>
                </a:cubicBezTo>
                <a:cubicBezTo>
                  <a:pt x="3833038" y="2219332"/>
                  <a:pt x="3847461" y="2232609"/>
                  <a:pt x="3847461" y="2248984"/>
                </a:cubicBezTo>
                <a:cubicBezTo>
                  <a:pt x="3847461" y="2265359"/>
                  <a:pt x="3833038" y="2278636"/>
                  <a:pt x="3815250" y="2278636"/>
                </a:cubicBezTo>
                <a:close/>
                <a:moveTo>
                  <a:pt x="3893785" y="2278636"/>
                </a:moveTo>
                <a:cubicBezTo>
                  <a:pt x="3875997" y="2278636"/>
                  <a:pt x="3861574" y="2265359"/>
                  <a:pt x="3861574" y="2248984"/>
                </a:cubicBezTo>
                <a:cubicBezTo>
                  <a:pt x="3861574" y="2232609"/>
                  <a:pt x="3875997" y="2219332"/>
                  <a:pt x="3893785" y="2219332"/>
                </a:cubicBezTo>
                <a:cubicBezTo>
                  <a:pt x="3911572" y="2219332"/>
                  <a:pt x="3925995" y="2232609"/>
                  <a:pt x="3925995" y="2248984"/>
                </a:cubicBezTo>
                <a:cubicBezTo>
                  <a:pt x="3925995" y="2265359"/>
                  <a:pt x="3911572" y="2278636"/>
                  <a:pt x="3893785" y="2278636"/>
                </a:cubicBezTo>
                <a:close/>
                <a:moveTo>
                  <a:pt x="3972319" y="2278636"/>
                </a:moveTo>
                <a:cubicBezTo>
                  <a:pt x="3954532" y="2278636"/>
                  <a:pt x="3940108" y="2265359"/>
                  <a:pt x="3940108" y="2248984"/>
                </a:cubicBezTo>
                <a:cubicBezTo>
                  <a:pt x="3940108" y="2232609"/>
                  <a:pt x="3954532" y="2219332"/>
                  <a:pt x="3972319" y="2219332"/>
                </a:cubicBezTo>
                <a:cubicBezTo>
                  <a:pt x="3990106" y="2219332"/>
                  <a:pt x="4004529" y="2232609"/>
                  <a:pt x="4004529" y="2248984"/>
                </a:cubicBezTo>
                <a:cubicBezTo>
                  <a:pt x="4004529" y="2265359"/>
                  <a:pt x="3990106" y="2278636"/>
                  <a:pt x="3972319" y="2278636"/>
                </a:cubicBezTo>
                <a:close/>
                <a:moveTo>
                  <a:pt x="4050852" y="2278636"/>
                </a:moveTo>
                <a:cubicBezTo>
                  <a:pt x="4033065" y="2278636"/>
                  <a:pt x="4018642" y="2265359"/>
                  <a:pt x="4018642" y="2248984"/>
                </a:cubicBezTo>
                <a:cubicBezTo>
                  <a:pt x="4018642" y="2232609"/>
                  <a:pt x="4033065" y="2219332"/>
                  <a:pt x="4050852" y="2219332"/>
                </a:cubicBezTo>
                <a:cubicBezTo>
                  <a:pt x="4068639" y="2219332"/>
                  <a:pt x="4083062" y="2232609"/>
                  <a:pt x="4083062" y="2248984"/>
                </a:cubicBezTo>
                <a:cubicBezTo>
                  <a:pt x="4083062" y="2265359"/>
                  <a:pt x="4068639" y="2278636"/>
                  <a:pt x="4050852" y="2278636"/>
                </a:cubicBezTo>
                <a:close/>
                <a:moveTo>
                  <a:pt x="4129386" y="2278636"/>
                </a:moveTo>
                <a:cubicBezTo>
                  <a:pt x="4111599" y="2278636"/>
                  <a:pt x="4097176" y="2265359"/>
                  <a:pt x="4097176" y="2248984"/>
                </a:cubicBezTo>
                <a:cubicBezTo>
                  <a:pt x="4097176" y="2232609"/>
                  <a:pt x="4111599" y="2219332"/>
                  <a:pt x="4129386" y="2219332"/>
                </a:cubicBezTo>
                <a:cubicBezTo>
                  <a:pt x="4147174" y="2219332"/>
                  <a:pt x="4161597" y="2232609"/>
                  <a:pt x="4161597" y="2248984"/>
                </a:cubicBezTo>
                <a:cubicBezTo>
                  <a:pt x="4161597" y="2265359"/>
                  <a:pt x="4147174" y="2278636"/>
                  <a:pt x="4129386" y="2278636"/>
                </a:cubicBezTo>
                <a:close/>
                <a:moveTo>
                  <a:pt x="4207926" y="2278636"/>
                </a:moveTo>
                <a:cubicBezTo>
                  <a:pt x="4190138" y="2278636"/>
                  <a:pt x="4175715" y="2265359"/>
                  <a:pt x="4175715" y="2248984"/>
                </a:cubicBezTo>
                <a:cubicBezTo>
                  <a:pt x="4175715" y="2232609"/>
                  <a:pt x="4190138" y="2219332"/>
                  <a:pt x="4207926" y="2219332"/>
                </a:cubicBezTo>
                <a:cubicBezTo>
                  <a:pt x="4225713" y="2219332"/>
                  <a:pt x="4240136" y="2232609"/>
                  <a:pt x="4240136" y="2248984"/>
                </a:cubicBezTo>
                <a:cubicBezTo>
                  <a:pt x="4240136" y="2265359"/>
                  <a:pt x="4225713" y="2278636"/>
                  <a:pt x="4207926" y="2278636"/>
                </a:cubicBezTo>
                <a:close/>
                <a:moveTo>
                  <a:pt x="4286460" y="2278636"/>
                </a:moveTo>
                <a:cubicBezTo>
                  <a:pt x="4268673" y="2278636"/>
                  <a:pt x="4254250" y="2265359"/>
                  <a:pt x="4254250" y="2248984"/>
                </a:cubicBezTo>
                <a:cubicBezTo>
                  <a:pt x="4254250" y="2232609"/>
                  <a:pt x="4268673" y="2219332"/>
                  <a:pt x="4286460" y="2219332"/>
                </a:cubicBezTo>
                <a:cubicBezTo>
                  <a:pt x="4304247" y="2219332"/>
                  <a:pt x="4318670" y="2232609"/>
                  <a:pt x="4318670" y="2248984"/>
                </a:cubicBezTo>
                <a:cubicBezTo>
                  <a:pt x="4318670" y="2265359"/>
                  <a:pt x="4304247" y="2278636"/>
                  <a:pt x="4286460" y="2278636"/>
                </a:cubicBezTo>
                <a:close/>
                <a:moveTo>
                  <a:pt x="4364994" y="2278636"/>
                </a:moveTo>
                <a:cubicBezTo>
                  <a:pt x="4347207" y="2278636"/>
                  <a:pt x="4332784" y="2265359"/>
                  <a:pt x="4332784" y="2248984"/>
                </a:cubicBezTo>
                <a:cubicBezTo>
                  <a:pt x="4332784" y="2232609"/>
                  <a:pt x="4347207" y="2219332"/>
                  <a:pt x="4364994" y="2219332"/>
                </a:cubicBezTo>
                <a:cubicBezTo>
                  <a:pt x="4382781" y="2219332"/>
                  <a:pt x="4397204" y="2232609"/>
                  <a:pt x="4397204" y="2248984"/>
                </a:cubicBezTo>
                <a:cubicBezTo>
                  <a:pt x="4397204" y="2265359"/>
                  <a:pt x="4382781" y="2278636"/>
                  <a:pt x="4364994" y="2278636"/>
                </a:cubicBezTo>
                <a:close/>
                <a:moveTo>
                  <a:pt x="4443527" y="2278636"/>
                </a:moveTo>
                <a:cubicBezTo>
                  <a:pt x="4425740" y="2278636"/>
                  <a:pt x="4411317" y="2265359"/>
                  <a:pt x="4411317" y="2248984"/>
                </a:cubicBezTo>
                <a:cubicBezTo>
                  <a:pt x="4411317" y="2232609"/>
                  <a:pt x="4425740" y="2219332"/>
                  <a:pt x="4443527" y="2219332"/>
                </a:cubicBezTo>
                <a:cubicBezTo>
                  <a:pt x="4461315" y="2219332"/>
                  <a:pt x="4475738" y="2232609"/>
                  <a:pt x="4475738" y="2248984"/>
                </a:cubicBezTo>
                <a:cubicBezTo>
                  <a:pt x="4475738" y="2265359"/>
                  <a:pt x="4461315" y="2278636"/>
                  <a:pt x="4443527" y="2278636"/>
                </a:cubicBezTo>
                <a:close/>
                <a:moveTo>
                  <a:pt x="4522062" y="2278636"/>
                </a:moveTo>
                <a:cubicBezTo>
                  <a:pt x="4504274" y="2278636"/>
                  <a:pt x="4489851" y="2265359"/>
                  <a:pt x="4489851" y="2248984"/>
                </a:cubicBezTo>
                <a:cubicBezTo>
                  <a:pt x="4489851" y="2232609"/>
                  <a:pt x="4504274" y="2219332"/>
                  <a:pt x="4522062" y="2219332"/>
                </a:cubicBezTo>
                <a:cubicBezTo>
                  <a:pt x="4539849" y="2219332"/>
                  <a:pt x="4554272" y="2232609"/>
                  <a:pt x="4554272" y="2248984"/>
                </a:cubicBezTo>
                <a:cubicBezTo>
                  <a:pt x="4554272" y="2265359"/>
                  <a:pt x="4539849" y="2278636"/>
                  <a:pt x="4522062" y="2278636"/>
                </a:cubicBezTo>
                <a:close/>
                <a:moveTo>
                  <a:pt x="4600596" y="2278636"/>
                </a:moveTo>
                <a:cubicBezTo>
                  <a:pt x="4582809" y="2278636"/>
                  <a:pt x="4568386" y="2265359"/>
                  <a:pt x="4568386" y="2248984"/>
                </a:cubicBezTo>
                <a:cubicBezTo>
                  <a:pt x="4568386" y="2232609"/>
                  <a:pt x="4582809" y="2219332"/>
                  <a:pt x="4600596" y="2219332"/>
                </a:cubicBezTo>
                <a:cubicBezTo>
                  <a:pt x="4618383" y="2219332"/>
                  <a:pt x="4632806" y="2232609"/>
                  <a:pt x="4632806" y="2248984"/>
                </a:cubicBezTo>
                <a:cubicBezTo>
                  <a:pt x="4632806" y="2265359"/>
                  <a:pt x="4618383" y="2278636"/>
                  <a:pt x="4600596" y="2278636"/>
                </a:cubicBezTo>
                <a:close/>
                <a:moveTo>
                  <a:pt x="4679129" y="2278636"/>
                </a:moveTo>
                <a:cubicBezTo>
                  <a:pt x="4661342" y="2278636"/>
                  <a:pt x="4646919" y="2265359"/>
                  <a:pt x="4646919" y="2248984"/>
                </a:cubicBezTo>
                <a:cubicBezTo>
                  <a:pt x="4646919" y="2232609"/>
                  <a:pt x="4661342" y="2219332"/>
                  <a:pt x="4679129" y="2219332"/>
                </a:cubicBezTo>
                <a:cubicBezTo>
                  <a:pt x="4696916" y="2219332"/>
                  <a:pt x="4711339" y="2232609"/>
                  <a:pt x="4711339" y="2248984"/>
                </a:cubicBezTo>
                <a:cubicBezTo>
                  <a:pt x="4711339" y="2265359"/>
                  <a:pt x="4696916" y="2278636"/>
                  <a:pt x="4679129" y="2278636"/>
                </a:cubicBezTo>
                <a:close/>
                <a:moveTo>
                  <a:pt x="4757663" y="2278636"/>
                </a:moveTo>
                <a:cubicBezTo>
                  <a:pt x="4739876" y="2278636"/>
                  <a:pt x="4725453" y="2265359"/>
                  <a:pt x="4725453" y="2248984"/>
                </a:cubicBezTo>
                <a:cubicBezTo>
                  <a:pt x="4725453" y="2232609"/>
                  <a:pt x="4739876" y="2219332"/>
                  <a:pt x="4757663" y="2219332"/>
                </a:cubicBezTo>
                <a:cubicBezTo>
                  <a:pt x="4775451" y="2219332"/>
                  <a:pt x="4789874" y="2232609"/>
                  <a:pt x="4789874" y="2248984"/>
                </a:cubicBezTo>
                <a:cubicBezTo>
                  <a:pt x="4789874" y="2265359"/>
                  <a:pt x="4775451" y="2278636"/>
                  <a:pt x="4757663" y="2278636"/>
                </a:cubicBezTo>
                <a:close/>
                <a:moveTo>
                  <a:pt x="6406875" y="2278636"/>
                </a:moveTo>
                <a:cubicBezTo>
                  <a:pt x="6389087" y="2278636"/>
                  <a:pt x="6374658" y="2265359"/>
                  <a:pt x="6374658" y="2248984"/>
                </a:cubicBezTo>
                <a:cubicBezTo>
                  <a:pt x="6374658" y="2232609"/>
                  <a:pt x="6389087" y="2219332"/>
                  <a:pt x="6406875" y="2219332"/>
                </a:cubicBezTo>
                <a:cubicBezTo>
                  <a:pt x="6424662" y="2219332"/>
                  <a:pt x="6439079" y="2232609"/>
                  <a:pt x="6439079" y="2248984"/>
                </a:cubicBezTo>
                <a:cubicBezTo>
                  <a:pt x="6439079" y="2265359"/>
                  <a:pt x="6424662" y="2278636"/>
                  <a:pt x="6406875" y="2278636"/>
                </a:cubicBezTo>
                <a:close/>
                <a:moveTo>
                  <a:pt x="6485408" y="2278636"/>
                </a:moveTo>
                <a:cubicBezTo>
                  <a:pt x="6467621" y="2278636"/>
                  <a:pt x="6453191" y="2265359"/>
                  <a:pt x="6453191" y="2248984"/>
                </a:cubicBezTo>
                <a:cubicBezTo>
                  <a:pt x="6453191" y="2232609"/>
                  <a:pt x="6467621" y="2219332"/>
                  <a:pt x="6485408" y="2219332"/>
                </a:cubicBezTo>
                <a:cubicBezTo>
                  <a:pt x="6503195" y="2219332"/>
                  <a:pt x="6517612" y="2232609"/>
                  <a:pt x="6517612" y="2248984"/>
                </a:cubicBezTo>
                <a:cubicBezTo>
                  <a:pt x="6517612" y="2265359"/>
                  <a:pt x="6503195" y="2278636"/>
                  <a:pt x="6485408" y="2278636"/>
                </a:cubicBezTo>
                <a:close/>
                <a:moveTo>
                  <a:pt x="6563942" y="2278636"/>
                </a:moveTo>
                <a:cubicBezTo>
                  <a:pt x="6546155" y="2278636"/>
                  <a:pt x="6531726" y="2265359"/>
                  <a:pt x="6531726" y="2248984"/>
                </a:cubicBezTo>
                <a:cubicBezTo>
                  <a:pt x="6531726" y="2232609"/>
                  <a:pt x="6546155" y="2219332"/>
                  <a:pt x="6563942" y="2219332"/>
                </a:cubicBezTo>
                <a:cubicBezTo>
                  <a:pt x="6581729" y="2219332"/>
                  <a:pt x="6596146" y="2232609"/>
                  <a:pt x="6596146" y="2248984"/>
                </a:cubicBezTo>
                <a:cubicBezTo>
                  <a:pt x="6596146" y="2265359"/>
                  <a:pt x="6581729" y="2278636"/>
                  <a:pt x="6563942" y="2278636"/>
                </a:cubicBezTo>
                <a:close/>
                <a:moveTo>
                  <a:pt x="6642476" y="2278636"/>
                </a:moveTo>
                <a:cubicBezTo>
                  <a:pt x="6624689" y="2278636"/>
                  <a:pt x="6610260" y="2265359"/>
                  <a:pt x="6610260" y="2248984"/>
                </a:cubicBezTo>
                <a:cubicBezTo>
                  <a:pt x="6610260" y="2232609"/>
                  <a:pt x="6624689" y="2219332"/>
                  <a:pt x="6642476" y="2219332"/>
                </a:cubicBezTo>
                <a:cubicBezTo>
                  <a:pt x="6660264" y="2219332"/>
                  <a:pt x="6674681" y="2232609"/>
                  <a:pt x="6674681" y="2248984"/>
                </a:cubicBezTo>
                <a:cubicBezTo>
                  <a:pt x="6674681" y="2265359"/>
                  <a:pt x="6660264" y="2278636"/>
                  <a:pt x="6642476" y="2278636"/>
                </a:cubicBezTo>
                <a:close/>
                <a:moveTo>
                  <a:pt x="6721010" y="2278636"/>
                </a:moveTo>
                <a:cubicBezTo>
                  <a:pt x="6703222" y="2278636"/>
                  <a:pt x="6688793" y="2265359"/>
                  <a:pt x="6688793" y="2248984"/>
                </a:cubicBezTo>
                <a:cubicBezTo>
                  <a:pt x="6688793" y="2232609"/>
                  <a:pt x="6703222" y="2219332"/>
                  <a:pt x="6721010" y="2219332"/>
                </a:cubicBezTo>
                <a:cubicBezTo>
                  <a:pt x="6738797" y="2219332"/>
                  <a:pt x="6753214" y="2232609"/>
                  <a:pt x="6753214" y="2248984"/>
                </a:cubicBezTo>
                <a:cubicBezTo>
                  <a:pt x="6753214" y="2265359"/>
                  <a:pt x="6738797" y="2278636"/>
                  <a:pt x="6721010" y="2278636"/>
                </a:cubicBezTo>
                <a:close/>
                <a:moveTo>
                  <a:pt x="6799544" y="2278636"/>
                </a:moveTo>
                <a:cubicBezTo>
                  <a:pt x="6781757" y="2278636"/>
                  <a:pt x="6767327" y="2265359"/>
                  <a:pt x="6767327" y="2248984"/>
                </a:cubicBezTo>
                <a:cubicBezTo>
                  <a:pt x="6767327" y="2232609"/>
                  <a:pt x="6781757" y="2219332"/>
                  <a:pt x="6799544" y="2219332"/>
                </a:cubicBezTo>
                <a:cubicBezTo>
                  <a:pt x="6817331" y="2219332"/>
                  <a:pt x="6831748" y="2232609"/>
                  <a:pt x="6831748" y="2248984"/>
                </a:cubicBezTo>
                <a:cubicBezTo>
                  <a:pt x="6831748" y="2265359"/>
                  <a:pt x="6817331" y="2278636"/>
                  <a:pt x="6799544" y="2278636"/>
                </a:cubicBezTo>
                <a:close/>
                <a:moveTo>
                  <a:pt x="6878077" y="2278636"/>
                </a:moveTo>
                <a:cubicBezTo>
                  <a:pt x="6860290" y="2278636"/>
                  <a:pt x="6845861" y="2265359"/>
                  <a:pt x="6845861" y="2248984"/>
                </a:cubicBezTo>
                <a:cubicBezTo>
                  <a:pt x="6845861" y="2232609"/>
                  <a:pt x="6860290" y="2219332"/>
                  <a:pt x="6878077" y="2219332"/>
                </a:cubicBezTo>
                <a:cubicBezTo>
                  <a:pt x="6895864" y="2219332"/>
                  <a:pt x="6910281" y="2232609"/>
                  <a:pt x="6910281" y="2248984"/>
                </a:cubicBezTo>
                <a:cubicBezTo>
                  <a:pt x="6910281" y="2265359"/>
                  <a:pt x="6895864" y="2278636"/>
                  <a:pt x="6878077" y="2278636"/>
                </a:cubicBezTo>
                <a:close/>
                <a:moveTo>
                  <a:pt x="7035146" y="2278636"/>
                </a:moveTo>
                <a:cubicBezTo>
                  <a:pt x="7017358" y="2278636"/>
                  <a:pt x="7002929" y="2265359"/>
                  <a:pt x="7002929" y="2248984"/>
                </a:cubicBezTo>
                <a:cubicBezTo>
                  <a:pt x="7002929" y="2232609"/>
                  <a:pt x="7017358" y="2219332"/>
                  <a:pt x="7035146" y="2219332"/>
                </a:cubicBezTo>
                <a:cubicBezTo>
                  <a:pt x="7052933" y="2219332"/>
                  <a:pt x="7067350" y="2232609"/>
                  <a:pt x="7067350" y="2248984"/>
                </a:cubicBezTo>
                <a:cubicBezTo>
                  <a:pt x="7067350" y="2265359"/>
                  <a:pt x="7052933" y="2278636"/>
                  <a:pt x="7035146" y="2278636"/>
                </a:cubicBezTo>
                <a:close/>
                <a:moveTo>
                  <a:pt x="9783854" y="2278636"/>
                </a:moveTo>
                <a:cubicBezTo>
                  <a:pt x="9766067" y="2278636"/>
                  <a:pt x="9751638" y="2265359"/>
                  <a:pt x="9751638" y="2248984"/>
                </a:cubicBezTo>
                <a:cubicBezTo>
                  <a:pt x="9751638" y="2232609"/>
                  <a:pt x="9766067" y="2219332"/>
                  <a:pt x="9783854" y="2219332"/>
                </a:cubicBezTo>
                <a:cubicBezTo>
                  <a:pt x="9801642" y="2219332"/>
                  <a:pt x="9816059" y="2232609"/>
                  <a:pt x="9816059" y="2248984"/>
                </a:cubicBezTo>
                <a:cubicBezTo>
                  <a:pt x="9816059" y="2265359"/>
                  <a:pt x="9801642" y="2278636"/>
                  <a:pt x="9783854" y="2278636"/>
                </a:cubicBezTo>
                <a:close/>
                <a:moveTo>
                  <a:pt x="9862389" y="2278636"/>
                </a:moveTo>
                <a:cubicBezTo>
                  <a:pt x="9844601" y="2278636"/>
                  <a:pt x="9830172" y="2265359"/>
                  <a:pt x="9830172" y="2248984"/>
                </a:cubicBezTo>
                <a:cubicBezTo>
                  <a:pt x="9830172" y="2232609"/>
                  <a:pt x="9844601" y="2219332"/>
                  <a:pt x="9862389" y="2219332"/>
                </a:cubicBezTo>
                <a:cubicBezTo>
                  <a:pt x="9880176" y="2219332"/>
                  <a:pt x="9894593" y="2232609"/>
                  <a:pt x="9894593" y="2248984"/>
                </a:cubicBezTo>
                <a:cubicBezTo>
                  <a:pt x="9894593" y="2265359"/>
                  <a:pt x="9880176" y="2278636"/>
                  <a:pt x="9862389" y="2278636"/>
                </a:cubicBezTo>
                <a:close/>
                <a:moveTo>
                  <a:pt x="10097990" y="2278636"/>
                </a:moveTo>
                <a:cubicBezTo>
                  <a:pt x="10080203" y="2278636"/>
                  <a:pt x="10065774" y="2265359"/>
                  <a:pt x="10065774" y="2248984"/>
                </a:cubicBezTo>
                <a:cubicBezTo>
                  <a:pt x="10065774" y="2232609"/>
                  <a:pt x="10080203" y="2219332"/>
                  <a:pt x="10097990" y="2219332"/>
                </a:cubicBezTo>
                <a:cubicBezTo>
                  <a:pt x="10115778" y="2219332"/>
                  <a:pt x="10130195" y="2232609"/>
                  <a:pt x="10130195" y="2248984"/>
                </a:cubicBezTo>
                <a:cubicBezTo>
                  <a:pt x="10130195" y="2265359"/>
                  <a:pt x="10115778" y="2278636"/>
                  <a:pt x="10097990" y="2278636"/>
                </a:cubicBezTo>
                <a:close/>
                <a:moveTo>
                  <a:pt x="3815250" y="2206371"/>
                </a:moveTo>
                <a:cubicBezTo>
                  <a:pt x="3797463" y="2206371"/>
                  <a:pt x="3783040" y="2193094"/>
                  <a:pt x="3783040" y="2176719"/>
                </a:cubicBezTo>
                <a:cubicBezTo>
                  <a:pt x="3783040" y="2160345"/>
                  <a:pt x="3797463" y="2147067"/>
                  <a:pt x="3815250" y="2147067"/>
                </a:cubicBezTo>
                <a:cubicBezTo>
                  <a:pt x="3833038" y="2147067"/>
                  <a:pt x="3847461" y="2160345"/>
                  <a:pt x="3847461" y="2176719"/>
                </a:cubicBezTo>
                <a:cubicBezTo>
                  <a:pt x="3847461" y="2193094"/>
                  <a:pt x="3833038" y="2206371"/>
                  <a:pt x="3815250" y="2206371"/>
                </a:cubicBezTo>
                <a:close/>
                <a:moveTo>
                  <a:pt x="3893785" y="2206371"/>
                </a:moveTo>
                <a:cubicBezTo>
                  <a:pt x="3875997" y="2206371"/>
                  <a:pt x="3861574" y="2193094"/>
                  <a:pt x="3861574" y="2176719"/>
                </a:cubicBezTo>
                <a:cubicBezTo>
                  <a:pt x="3861574" y="2160345"/>
                  <a:pt x="3875997" y="2147067"/>
                  <a:pt x="3893785" y="2147067"/>
                </a:cubicBezTo>
                <a:cubicBezTo>
                  <a:pt x="3911572" y="2147067"/>
                  <a:pt x="3925995" y="2160345"/>
                  <a:pt x="3925995" y="2176719"/>
                </a:cubicBezTo>
                <a:cubicBezTo>
                  <a:pt x="3925995" y="2193094"/>
                  <a:pt x="3911572" y="2206371"/>
                  <a:pt x="3893785" y="2206371"/>
                </a:cubicBezTo>
                <a:close/>
                <a:moveTo>
                  <a:pt x="3972319" y="2206371"/>
                </a:moveTo>
                <a:cubicBezTo>
                  <a:pt x="3954532" y="2206371"/>
                  <a:pt x="3940108" y="2193094"/>
                  <a:pt x="3940108" y="2176719"/>
                </a:cubicBezTo>
                <a:cubicBezTo>
                  <a:pt x="3940108" y="2160345"/>
                  <a:pt x="3954532" y="2147067"/>
                  <a:pt x="3972319" y="2147067"/>
                </a:cubicBezTo>
                <a:cubicBezTo>
                  <a:pt x="3990106" y="2147067"/>
                  <a:pt x="4004529" y="2160345"/>
                  <a:pt x="4004529" y="2176719"/>
                </a:cubicBezTo>
                <a:cubicBezTo>
                  <a:pt x="4004529" y="2193094"/>
                  <a:pt x="3990106" y="2206371"/>
                  <a:pt x="3972319" y="2206371"/>
                </a:cubicBezTo>
                <a:close/>
                <a:moveTo>
                  <a:pt x="4050852" y="2206371"/>
                </a:moveTo>
                <a:cubicBezTo>
                  <a:pt x="4033065" y="2206371"/>
                  <a:pt x="4018642" y="2193094"/>
                  <a:pt x="4018642" y="2176719"/>
                </a:cubicBezTo>
                <a:cubicBezTo>
                  <a:pt x="4018642" y="2160345"/>
                  <a:pt x="4033065" y="2147067"/>
                  <a:pt x="4050852" y="2147067"/>
                </a:cubicBezTo>
                <a:cubicBezTo>
                  <a:pt x="4068639" y="2147067"/>
                  <a:pt x="4083062" y="2160345"/>
                  <a:pt x="4083062" y="2176719"/>
                </a:cubicBezTo>
                <a:cubicBezTo>
                  <a:pt x="4083062" y="2193094"/>
                  <a:pt x="4068639" y="2206371"/>
                  <a:pt x="4050852" y="2206371"/>
                </a:cubicBezTo>
                <a:close/>
                <a:moveTo>
                  <a:pt x="4129386" y="2206371"/>
                </a:moveTo>
                <a:cubicBezTo>
                  <a:pt x="4111599" y="2206371"/>
                  <a:pt x="4097176" y="2193094"/>
                  <a:pt x="4097176" y="2176719"/>
                </a:cubicBezTo>
                <a:cubicBezTo>
                  <a:pt x="4097176" y="2160345"/>
                  <a:pt x="4111599" y="2147067"/>
                  <a:pt x="4129386" y="2147067"/>
                </a:cubicBezTo>
                <a:cubicBezTo>
                  <a:pt x="4147174" y="2147067"/>
                  <a:pt x="4161597" y="2160345"/>
                  <a:pt x="4161597" y="2176719"/>
                </a:cubicBezTo>
                <a:cubicBezTo>
                  <a:pt x="4161597" y="2193094"/>
                  <a:pt x="4147174" y="2206371"/>
                  <a:pt x="4129386" y="2206371"/>
                </a:cubicBezTo>
                <a:close/>
                <a:moveTo>
                  <a:pt x="4207926" y="2206371"/>
                </a:moveTo>
                <a:cubicBezTo>
                  <a:pt x="4190138" y="2206371"/>
                  <a:pt x="4175715" y="2193094"/>
                  <a:pt x="4175715" y="2176719"/>
                </a:cubicBezTo>
                <a:cubicBezTo>
                  <a:pt x="4175715" y="2160345"/>
                  <a:pt x="4190138" y="2147067"/>
                  <a:pt x="4207926" y="2147067"/>
                </a:cubicBezTo>
                <a:cubicBezTo>
                  <a:pt x="4225713" y="2147067"/>
                  <a:pt x="4240136" y="2160345"/>
                  <a:pt x="4240136" y="2176719"/>
                </a:cubicBezTo>
                <a:cubicBezTo>
                  <a:pt x="4240136" y="2193094"/>
                  <a:pt x="4225713" y="2206371"/>
                  <a:pt x="4207926" y="2206371"/>
                </a:cubicBezTo>
                <a:close/>
                <a:moveTo>
                  <a:pt x="4286460" y="2206371"/>
                </a:moveTo>
                <a:cubicBezTo>
                  <a:pt x="4268673" y="2206371"/>
                  <a:pt x="4254250" y="2193094"/>
                  <a:pt x="4254250" y="2176719"/>
                </a:cubicBezTo>
                <a:cubicBezTo>
                  <a:pt x="4254250" y="2160345"/>
                  <a:pt x="4268673" y="2147067"/>
                  <a:pt x="4286460" y="2147067"/>
                </a:cubicBezTo>
                <a:cubicBezTo>
                  <a:pt x="4304247" y="2147067"/>
                  <a:pt x="4318670" y="2160345"/>
                  <a:pt x="4318670" y="2176719"/>
                </a:cubicBezTo>
                <a:cubicBezTo>
                  <a:pt x="4318670" y="2193094"/>
                  <a:pt x="4304247" y="2206371"/>
                  <a:pt x="4286460" y="2206371"/>
                </a:cubicBezTo>
                <a:close/>
                <a:moveTo>
                  <a:pt x="4364994" y="2206371"/>
                </a:moveTo>
                <a:cubicBezTo>
                  <a:pt x="4347207" y="2206371"/>
                  <a:pt x="4332784" y="2193094"/>
                  <a:pt x="4332784" y="2176719"/>
                </a:cubicBezTo>
                <a:cubicBezTo>
                  <a:pt x="4332784" y="2160345"/>
                  <a:pt x="4347207" y="2147067"/>
                  <a:pt x="4364994" y="2147067"/>
                </a:cubicBezTo>
                <a:cubicBezTo>
                  <a:pt x="4382781" y="2147067"/>
                  <a:pt x="4397204" y="2160345"/>
                  <a:pt x="4397204" y="2176719"/>
                </a:cubicBezTo>
                <a:cubicBezTo>
                  <a:pt x="4397204" y="2193094"/>
                  <a:pt x="4382781" y="2206371"/>
                  <a:pt x="4364994" y="2206371"/>
                </a:cubicBezTo>
                <a:close/>
                <a:moveTo>
                  <a:pt x="4443527" y="2206371"/>
                </a:moveTo>
                <a:cubicBezTo>
                  <a:pt x="4425740" y="2206371"/>
                  <a:pt x="4411317" y="2193094"/>
                  <a:pt x="4411317" y="2176719"/>
                </a:cubicBezTo>
                <a:cubicBezTo>
                  <a:pt x="4411317" y="2160345"/>
                  <a:pt x="4425740" y="2147067"/>
                  <a:pt x="4443527" y="2147067"/>
                </a:cubicBezTo>
                <a:cubicBezTo>
                  <a:pt x="4461315" y="2147067"/>
                  <a:pt x="4475738" y="2160345"/>
                  <a:pt x="4475738" y="2176719"/>
                </a:cubicBezTo>
                <a:cubicBezTo>
                  <a:pt x="4475738" y="2193094"/>
                  <a:pt x="4461315" y="2206371"/>
                  <a:pt x="4443527" y="2206371"/>
                </a:cubicBezTo>
                <a:close/>
                <a:moveTo>
                  <a:pt x="4522062" y="2206371"/>
                </a:moveTo>
                <a:cubicBezTo>
                  <a:pt x="4504274" y="2206371"/>
                  <a:pt x="4489851" y="2193094"/>
                  <a:pt x="4489851" y="2176719"/>
                </a:cubicBezTo>
                <a:cubicBezTo>
                  <a:pt x="4489851" y="2160345"/>
                  <a:pt x="4504274" y="2147067"/>
                  <a:pt x="4522062" y="2147067"/>
                </a:cubicBezTo>
                <a:cubicBezTo>
                  <a:pt x="4539849" y="2147067"/>
                  <a:pt x="4554272" y="2160345"/>
                  <a:pt x="4554272" y="2176719"/>
                </a:cubicBezTo>
                <a:cubicBezTo>
                  <a:pt x="4554272" y="2193094"/>
                  <a:pt x="4539849" y="2206371"/>
                  <a:pt x="4522062" y="2206371"/>
                </a:cubicBezTo>
                <a:close/>
                <a:moveTo>
                  <a:pt x="4600596" y="2206371"/>
                </a:moveTo>
                <a:cubicBezTo>
                  <a:pt x="4582809" y="2206371"/>
                  <a:pt x="4568386" y="2193094"/>
                  <a:pt x="4568386" y="2176719"/>
                </a:cubicBezTo>
                <a:cubicBezTo>
                  <a:pt x="4568386" y="2160345"/>
                  <a:pt x="4582809" y="2147067"/>
                  <a:pt x="4600596" y="2147067"/>
                </a:cubicBezTo>
                <a:cubicBezTo>
                  <a:pt x="4618383" y="2147067"/>
                  <a:pt x="4632806" y="2160345"/>
                  <a:pt x="4632806" y="2176719"/>
                </a:cubicBezTo>
                <a:cubicBezTo>
                  <a:pt x="4632806" y="2193094"/>
                  <a:pt x="4618383" y="2206371"/>
                  <a:pt x="4600596" y="2206371"/>
                </a:cubicBezTo>
                <a:close/>
                <a:moveTo>
                  <a:pt x="4679129" y="2206371"/>
                </a:moveTo>
                <a:cubicBezTo>
                  <a:pt x="4661342" y="2206371"/>
                  <a:pt x="4646919" y="2193094"/>
                  <a:pt x="4646919" y="2176719"/>
                </a:cubicBezTo>
                <a:cubicBezTo>
                  <a:pt x="4646919" y="2160345"/>
                  <a:pt x="4661342" y="2147067"/>
                  <a:pt x="4679129" y="2147067"/>
                </a:cubicBezTo>
                <a:cubicBezTo>
                  <a:pt x="4696916" y="2147067"/>
                  <a:pt x="4711339" y="2160345"/>
                  <a:pt x="4711339" y="2176719"/>
                </a:cubicBezTo>
                <a:cubicBezTo>
                  <a:pt x="4711339" y="2193094"/>
                  <a:pt x="4696916" y="2206371"/>
                  <a:pt x="4679129" y="2206371"/>
                </a:cubicBezTo>
                <a:close/>
                <a:moveTo>
                  <a:pt x="4757663" y="2206371"/>
                </a:moveTo>
                <a:cubicBezTo>
                  <a:pt x="4739876" y="2206371"/>
                  <a:pt x="4725453" y="2193094"/>
                  <a:pt x="4725453" y="2176719"/>
                </a:cubicBezTo>
                <a:cubicBezTo>
                  <a:pt x="4725453" y="2160345"/>
                  <a:pt x="4739876" y="2147067"/>
                  <a:pt x="4757663" y="2147067"/>
                </a:cubicBezTo>
                <a:cubicBezTo>
                  <a:pt x="4775451" y="2147067"/>
                  <a:pt x="4789874" y="2160345"/>
                  <a:pt x="4789874" y="2176719"/>
                </a:cubicBezTo>
                <a:cubicBezTo>
                  <a:pt x="4789874" y="2193094"/>
                  <a:pt x="4775451" y="2206371"/>
                  <a:pt x="4757663" y="2206371"/>
                </a:cubicBezTo>
                <a:close/>
                <a:moveTo>
                  <a:pt x="6328340" y="2206371"/>
                </a:moveTo>
                <a:cubicBezTo>
                  <a:pt x="6310553" y="2206371"/>
                  <a:pt x="6296124" y="2193094"/>
                  <a:pt x="6296124" y="2176719"/>
                </a:cubicBezTo>
                <a:cubicBezTo>
                  <a:pt x="6296124" y="2160345"/>
                  <a:pt x="6310553" y="2147067"/>
                  <a:pt x="6328340" y="2147067"/>
                </a:cubicBezTo>
                <a:cubicBezTo>
                  <a:pt x="6346128" y="2147067"/>
                  <a:pt x="6360545" y="2160345"/>
                  <a:pt x="6360545" y="2176719"/>
                </a:cubicBezTo>
                <a:cubicBezTo>
                  <a:pt x="6360545" y="2193094"/>
                  <a:pt x="6346128" y="2206371"/>
                  <a:pt x="6328340" y="2206371"/>
                </a:cubicBezTo>
                <a:close/>
                <a:moveTo>
                  <a:pt x="6406875" y="2206371"/>
                </a:moveTo>
                <a:cubicBezTo>
                  <a:pt x="6389087" y="2206371"/>
                  <a:pt x="6374658" y="2193094"/>
                  <a:pt x="6374658" y="2176719"/>
                </a:cubicBezTo>
                <a:cubicBezTo>
                  <a:pt x="6374658" y="2160345"/>
                  <a:pt x="6389087" y="2147067"/>
                  <a:pt x="6406875" y="2147067"/>
                </a:cubicBezTo>
                <a:cubicBezTo>
                  <a:pt x="6424662" y="2147067"/>
                  <a:pt x="6439079" y="2160345"/>
                  <a:pt x="6439079" y="2176719"/>
                </a:cubicBezTo>
                <a:cubicBezTo>
                  <a:pt x="6439079" y="2193094"/>
                  <a:pt x="6424662" y="2206371"/>
                  <a:pt x="6406875" y="2206371"/>
                </a:cubicBezTo>
                <a:close/>
                <a:moveTo>
                  <a:pt x="6485408" y="2206371"/>
                </a:moveTo>
                <a:cubicBezTo>
                  <a:pt x="6467621" y="2206371"/>
                  <a:pt x="6453191" y="2193094"/>
                  <a:pt x="6453191" y="2176719"/>
                </a:cubicBezTo>
                <a:cubicBezTo>
                  <a:pt x="6453191" y="2160345"/>
                  <a:pt x="6467621" y="2147067"/>
                  <a:pt x="6485408" y="2147067"/>
                </a:cubicBezTo>
                <a:cubicBezTo>
                  <a:pt x="6503195" y="2147067"/>
                  <a:pt x="6517612" y="2160345"/>
                  <a:pt x="6517612" y="2176719"/>
                </a:cubicBezTo>
                <a:cubicBezTo>
                  <a:pt x="6517612" y="2193094"/>
                  <a:pt x="6503195" y="2206371"/>
                  <a:pt x="6485408" y="2206371"/>
                </a:cubicBezTo>
                <a:close/>
                <a:moveTo>
                  <a:pt x="6563942" y="2206371"/>
                </a:moveTo>
                <a:cubicBezTo>
                  <a:pt x="6546155" y="2206371"/>
                  <a:pt x="6531726" y="2193094"/>
                  <a:pt x="6531726" y="2176719"/>
                </a:cubicBezTo>
                <a:cubicBezTo>
                  <a:pt x="6531726" y="2160345"/>
                  <a:pt x="6546155" y="2147067"/>
                  <a:pt x="6563942" y="2147067"/>
                </a:cubicBezTo>
                <a:cubicBezTo>
                  <a:pt x="6581729" y="2147067"/>
                  <a:pt x="6596146" y="2160345"/>
                  <a:pt x="6596146" y="2176719"/>
                </a:cubicBezTo>
                <a:cubicBezTo>
                  <a:pt x="6596146" y="2193094"/>
                  <a:pt x="6581729" y="2206371"/>
                  <a:pt x="6563942" y="2206371"/>
                </a:cubicBezTo>
                <a:close/>
                <a:moveTo>
                  <a:pt x="6642476" y="2206371"/>
                </a:moveTo>
                <a:cubicBezTo>
                  <a:pt x="6624689" y="2206371"/>
                  <a:pt x="6610260" y="2193094"/>
                  <a:pt x="6610260" y="2176719"/>
                </a:cubicBezTo>
                <a:cubicBezTo>
                  <a:pt x="6610260" y="2160345"/>
                  <a:pt x="6624689" y="2147067"/>
                  <a:pt x="6642476" y="2147067"/>
                </a:cubicBezTo>
                <a:cubicBezTo>
                  <a:pt x="6660264" y="2147067"/>
                  <a:pt x="6674681" y="2160345"/>
                  <a:pt x="6674681" y="2176719"/>
                </a:cubicBezTo>
                <a:cubicBezTo>
                  <a:pt x="6674681" y="2193094"/>
                  <a:pt x="6660264" y="2206371"/>
                  <a:pt x="6642476" y="2206371"/>
                </a:cubicBezTo>
                <a:close/>
                <a:moveTo>
                  <a:pt x="6721010" y="2206371"/>
                </a:moveTo>
                <a:cubicBezTo>
                  <a:pt x="6703222" y="2206371"/>
                  <a:pt x="6688793" y="2193094"/>
                  <a:pt x="6688793" y="2176719"/>
                </a:cubicBezTo>
                <a:cubicBezTo>
                  <a:pt x="6688793" y="2160345"/>
                  <a:pt x="6703222" y="2147067"/>
                  <a:pt x="6721010" y="2147067"/>
                </a:cubicBezTo>
                <a:cubicBezTo>
                  <a:pt x="6738797" y="2147067"/>
                  <a:pt x="6753214" y="2160345"/>
                  <a:pt x="6753214" y="2176719"/>
                </a:cubicBezTo>
                <a:cubicBezTo>
                  <a:pt x="6753214" y="2193094"/>
                  <a:pt x="6738797" y="2206371"/>
                  <a:pt x="6721010" y="2206371"/>
                </a:cubicBezTo>
                <a:close/>
                <a:moveTo>
                  <a:pt x="6799544" y="2206371"/>
                </a:moveTo>
                <a:cubicBezTo>
                  <a:pt x="6781757" y="2206371"/>
                  <a:pt x="6767327" y="2193094"/>
                  <a:pt x="6767327" y="2176719"/>
                </a:cubicBezTo>
                <a:cubicBezTo>
                  <a:pt x="6767327" y="2160345"/>
                  <a:pt x="6781757" y="2147067"/>
                  <a:pt x="6799544" y="2147067"/>
                </a:cubicBezTo>
                <a:cubicBezTo>
                  <a:pt x="6817331" y="2147067"/>
                  <a:pt x="6831748" y="2160345"/>
                  <a:pt x="6831748" y="2176719"/>
                </a:cubicBezTo>
                <a:cubicBezTo>
                  <a:pt x="6831748" y="2193094"/>
                  <a:pt x="6817331" y="2206371"/>
                  <a:pt x="6799544" y="2206371"/>
                </a:cubicBezTo>
                <a:close/>
                <a:moveTo>
                  <a:pt x="6878077" y="2206371"/>
                </a:moveTo>
                <a:cubicBezTo>
                  <a:pt x="6860290" y="2206371"/>
                  <a:pt x="6845861" y="2193094"/>
                  <a:pt x="6845861" y="2176719"/>
                </a:cubicBezTo>
                <a:cubicBezTo>
                  <a:pt x="6845861" y="2160345"/>
                  <a:pt x="6860290" y="2147067"/>
                  <a:pt x="6878077" y="2147067"/>
                </a:cubicBezTo>
                <a:cubicBezTo>
                  <a:pt x="6895864" y="2147067"/>
                  <a:pt x="6910281" y="2160345"/>
                  <a:pt x="6910281" y="2176719"/>
                </a:cubicBezTo>
                <a:cubicBezTo>
                  <a:pt x="6910281" y="2193094"/>
                  <a:pt x="6895864" y="2206371"/>
                  <a:pt x="6878077" y="2206371"/>
                </a:cubicBezTo>
                <a:close/>
                <a:moveTo>
                  <a:pt x="6956611" y="2206371"/>
                </a:moveTo>
                <a:cubicBezTo>
                  <a:pt x="6938824" y="2206371"/>
                  <a:pt x="6924395" y="2193094"/>
                  <a:pt x="6924395" y="2176719"/>
                </a:cubicBezTo>
                <a:cubicBezTo>
                  <a:pt x="6924395" y="2160345"/>
                  <a:pt x="6938824" y="2147067"/>
                  <a:pt x="6956611" y="2147067"/>
                </a:cubicBezTo>
                <a:cubicBezTo>
                  <a:pt x="6974399" y="2147067"/>
                  <a:pt x="6988816" y="2160345"/>
                  <a:pt x="6988816" y="2176719"/>
                </a:cubicBezTo>
                <a:cubicBezTo>
                  <a:pt x="6988816" y="2193094"/>
                  <a:pt x="6974399" y="2206371"/>
                  <a:pt x="6956611" y="2206371"/>
                </a:cubicBezTo>
                <a:close/>
                <a:moveTo>
                  <a:pt x="7035146" y="2206371"/>
                </a:moveTo>
                <a:cubicBezTo>
                  <a:pt x="7017358" y="2206371"/>
                  <a:pt x="7002929" y="2193094"/>
                  <a:pt x="7002929" y="2176719"/>
                </a:cubicBezTo>
                <a:cubicBezTo>
                  <a:pt x="7002929" y="2160345"/>
                  <a:pt x="7017358" y="2147067"/>
                  <a:pt x="7035146" y="2147067"/>
                </a:cubicBezTo>
                <a:cubicBezTo>
                  <a:pt x="7052933" y="2147067"/>
                  <a:pt x="7067350" y="2160345"/>
                  <a:pt x="7067350" y="2176719"/>
                </a:cubicBezTo>
                <a:cubicBezTo>
                  <a:pt x="7067350" y="2193094"/>
                  <a:pt x="7052933" y="2206371"/>
                  <a:pt x="7035146" y="2206371"/>
                </a:cubicBezTo>
                <a:close/>
                <a:moveTo>
                  <a:pt x="7349305" y="2206371"/>
                </a:moveTo>
                <a:cubicBezTo>
                  <a:pt x="7331517" y="2206371"/>
                  <a:pt x="7317088" y="2193094"/>
                  <a:pt x="7317088" y="2176719"/>
                </a:cubicBezTo>
                <a:cubicBezTo>
                  <a:pt x="7317088" y="2160345"/>
                  <a:pt x="7331517" y="2147067"/>
                  <a:pt x="7349305" y="2147067"/>
                </a:cubicBezTo>
                <a:cubicBezTo>
                  <a:pt x="7367092" y="2147067"/>
                  <a:pt x="7381509" y="2160345"/>
                  <a:pt x="7381509" y="2176719"/>
                </a:cubicBezTo>
                <a:cubicBezTo>
                  <a:pt x="7381509" y="2193094"/>
                  <a:pt x="7367092" y="2206371"/>
                  <a:pt x="7349305" y="2206371"/>
                </a:cubicBezTo>
                <a:close/>
                <a:moveTo>
                  <a:pt x="9626787" y="2206371"/>
                </a:moveTo>
                <a:cubicBezTo>
                  <a:pt x="9609000" y="2206371"/>
                  <a:pt x="9594571" y="2193094"/>
                  <a:pt x="9594571" y="2176719"/>
                </a:cubicBezTo>
                <a:cubicBezTo>
                  <a:pt x="9594571" y="2160345"/>
                  <a:pt x="9609000" y="2147067"/>
                  <a:pt x="9626787" y="2147067"/>
                </a:cubicBezTo>
                <a:cubicBezTo>
                  <a:pt x="9644574" y="2147067"/>
                  <a:pt x="9658991" y="2160345"/>
                  <a:pt x="9658991" y="2176719"/>
                </a:cubicBezTo>
                <a:cubicBezTo>
                  <a:pt x="9658991" y="2193094"/>
                  <a:pt x="9644574" y="2206371"/>
                  <a:pt x="9626787" y="2206371"/>
                </a:cubicBezTo>
                <a:close/>
                <a:moveTo>
                  <a:pt x="9783854" y="2206371"/>
                </a:moveTo>
                <a:cubicBezTo>
                  <a:pt x="9766067" y="2206371"/>
                  <a:pt x="9751638" y="2193094"/>
                  <a:pt x="9751638" y="2176719"/>
                </a:cubicBezTo>
                <a:cubicBezTo>
                  <a:pt x="9751638" y="2160345"/>
                  <a:pt x="9766067" y="2147067"/>
                  <a:pt x="9783854" y="2147067"/>
                </a:cubicBezTo>
                <a:cubicBezTo>
                  <a:pt x="9801642" y="2147067"/>
                  <a:pt x="9816059" y="2160345"/>
                  <a:pt x="9816059" y="2176719"/>
                </a:cubicBezTo>
                <a:cubicBezTo>
                  <a:pt x="9816059" y="2193094"/>
                  <a:pt x="9801642" y="2206371"/>
                  <a:pt x="9783854" y="2206371"/>
                </a:cubicBezTo>
                <a:close/>
                <a:moveTo>
                  <a:pt x="9862389" y="2206371"/>
                </a:moveTo>
                <a:cubicBezTo>
                  <a:pt x="9844601" y="2206371"/>
                  <a:pt x="9830172" y="2193094"/>
                  <a:pt x="9830172" y="2176719"/>
                </a:cubicBezTo>
                <a:cubicBezTo>
                  <a:pt x="9830172" y="2160345"/>
                  <a:pt x="9844601" y="2147067"/>
                  <a:pt x="9862389" y="2147067"/>
                </a:cubicBezTo>
                <a:cubicBezTo>
                  <a:pt x="9880176" y="2147067"/>
                  <a:pt x="9894593" y="2160345"/>
                  <a:pt x="9894593" y="2176719"/>
                </a:cubicBezTo>
                <a:cubicBezTo>
                  <a:pt x="9894593" y="2193094"/>
                  <a:pt x="9880176" y="2206371"/>
                  <a:pt x="9862389" y="2206371"/>
                </a:cubicBezTo>
                <a:close/>
                <a:moveTo>
                  <a:pt x="10097990" y="2206371"/>
                </a:moveTo>
                <a:cubicBezTo>
                  <a:pt x="10080203" y="2206371"/>
                  <a:pt x="10065774" y="2193094"/>
                  <a:pt x="10065774" y="2176719"/>
                </a:cubicBezTo>
                <a:cubicBezTo>
                  <a:pt x="10065774" y="2160345"/>
                  <a:pt x="10080203" y="2147067"/>
                  <a:pt x="10097990" y="2147067"/>
                </a:cubicBezTo>
                <a:cubicBezTo>
                  <a:pt x="10115778" y="2147067"/>
                  <a:pt x="10130195" y="2160345"/>
                  <a:pt x="10130195" y="2176719"/>
                </a:cubicBezTo>
                <a:cubicBezTo>
                  <a:pt x="10130195" y="2193094"/>
                  <a:pt x="10115778" y="2206371"/>
                  <a:pt x="10097990" y="2206371"/>
                </a:cubicBezTo>
                <a:close/>
                <a:moveTo>
                  <a:pt x="3893785" y="2134106"/>
                </a:moveTo>
                <a:cubicBezTo>
                  <a:pt x="3875997" y="2134106"/>
                  <a:pt x="3861574" y="2120828"/>
                  <a:pt x="3861574" y="2104453"/>
                </a:cubicBezTo>
                <a:cubicBezTo>
                  <a:pt x="3861574" y="2088079"/>
                  <a:pt x="3875997" y="2074801"/>
                  <a:pt x="3893785" y="2074801"/>
                </a:cubicBezTo>
                <a:cubicBezTo>
                  <a:pt x="3911572" y="2074801"/>
                  <a:pt x="3925995" y="2088079"/>
                  <a:pt x="3925995" y="2104453"/>
                </a:cubicBezTo>
                <a:cubicBezTo>
                  <a:pt x="3925995" y="2120828"/>
                  <a:pt x="3911572" y="2134106"/>
                  <a:pt x="3893785" y="2134106"/>
                </a:cubicBezTo>
                <a:close/>
                <a:moveTo>
                  <a:pt x="3972319" y="2134106"/>
                </a:moveTo>
                <a:cubicBezTo>
                  <a:pt x="3954532" y="2134106"/>
                  <a:pt x="3940108" y="2120828"/>
                  <a:pt x="3940108" y="2104453"/>
                </a:cubicBezTo>
                <a:cubicBezTo>
                  <a:pt x="3940108" y="2088079"/>
                  <a:pt x="3954532" y="2074801"/>
                  <a:pt x="3972319" y="2074801"/>
                </a:cubicBezTo>
                <a:cubicBezTo>
                  <a:pt x="3990106" y="2074801"/>
                  <a:pt x="4004529" y="2088079"/>
                  <a:pt x="4004529" y="2104453"/>
                </a:cubicBezTo>
                <a:cubicBezTo>
                  <a:pt x="4004529" y="2120828"/>
                  <a:pt x="3990106" y="2134106"/>
                  <a:pt x="3972319" y="2134106"/>
                </a:cubicBezTo>
                <a:close/>
                <a:moveTo>
                  <a:pt x="4050852" y="2134106"/>
                </a:moveTo>
                <a:cubicBezTo>
                  <a:pt x="4033065" y="2134106"/>
                  <a:pt x="4018642" y="2120828"/>
                  <a:pt x="4018642" y="2104453"/>
                </a:cubicBezTo>
                <a:cubicBezTo>
                  <a:pt x="4018642" y="2088079"/>
                  <a:pt x="4033065" y="2074801"/>
                  <a:pt x="4050852" y="2074801"/>
                </a:cubicBezTo>
                <a:cubicBezTo>
                  <a:pt x="4068639" y="2074801"/>
                  <a:pt x="4083062" y="2088079"/>
                  <a:pt x="4083062" y="2104453"/>
                </a:cubicBezTo>
                <a:cubicBezTo>
                  <a:pt x="4083062" y="2120828"/>
                  <a:pt x="4068639" y="2134106"/>
                  <a:pt x="4050852" y="2134106"/>
                </a:cubicBezTo>
                <a:close/>
                <a:moveTo>
                  <a:pt x="4129386" y="2134106"/>
                </a:moveTo>
                <a:cubicBezTo>
                  <a:pt x="4111599" y="2134106"/>
                  <a:pt x="4097176" y="2120828"/>
                  <a:pt x="4097176" y="2104453"/>
                </a:cubicBezTo>
                <a:cubicBezTo>
                  <a:pt x="4097176" y="2088079"/>
                  <a:pt x="4111599" y="2074801"/>
                  <a:pt x="4129386" y="2074801"/>
                </a:cubicBezTo>
                <a:cubicBezTo>
                  <a:pt x="4147174" y="2074801"/>
                  <a:pt x="4161597" y="2088079"/>
                  <a:pt x="4161597" y="2104453"/>
                </a:cubicBezTo>
                <a:cubicBezTo>
                  <a:pt x="4161597" y="2120828"/>
                  <a:pt x="4147174" y="2134106"/>
                  <a:pt x="4129386" y="2134106"/>
                </a:cubicBezTo>
                <a:close/>
                <a:moveTo>
                  <a:pt x="4207926" y="2134106"/>
                </a:moveTo>
                <a:cubicBezTo>
                  <a:pt x="4190138" y="2134106"/>
                  <a:pt x="4175715" y="2120828"/>
                  <a:pt x="4175715" y="2104453"/>
                </a:cubicBezTo>
                <a:cubicBezTo>
                  <a:pt x="4175715" y="2088079"/>
                  <a:pt x="4190138" y="2074801"/>
                  <a:pt x="4207926" y="2074801"/>
                </a:cubicBezTo>
                <a:cubicBezTo>
                  <a:pt x="4225713" y="2074801"/>
                  <a:pt x="4240136" y="2088079"/>
                  <a:pt x="4240136" y="2104453"/>
                </a:cubicBezTo>
                <a:cubicBezTo>
                  <a:pt x="4240136" y="2120828"/>
                  <a:pt x="4225713" y="2134106"/>
                  <a:pt x="4207926" y="2134106"/>
                </a:cubicBezTo>
                <a:close/>
                <a:moveTo>
                  <a:pt x="4286460" y="2134106"/>
                </a:moveTo>
                <a:cubicBezTo>
                  <a:pt x="4268673" y="2134106"/>
                  <a:pt x="4254250" y="2120828"/>
                  <a:pt x="4254250" y="2104453"/>
                </a:cubicBezTo>
                <a:cubicBezTo>
                  <a:pt x="4254250" y="2088079"/>
                  <a:pt x="4268673" y="2074801"/>
                  <a:pt x="4286460" y="2074801"/>
                </a:cubicBezTo>
                <a:cubicBezTo>
                  <a:pt x="4304247" y="2074801"/>
                  <a:pt x="4318670" y="2088079"/>
                  <a:pt x="4318670" y="2104453"/>
                </a:cubicBezTo>
                <a:cubicBezTo>
                  <a:pt x="4318670" y="2120828"/>
                  <a:pt x="4304247" y="2134106"/>
                  <a:pt x="4286460" y="2134106"/>
                </a:cubicBezTo>
                <a:close/>
                <a:moveTo>
                  <a:pt x="4364994" y="2134106"/>
                </a:moveTo>
                <a:cubicBezTo>
                  <a:pt x="4347207" y="2134106"/>
                  <a:pt x="4332784" y="2120828"/>
                  <a:pt x="4332784" y="2104453"/>
                </a:cubicBezTo>
                <a:cubicBezTo>
                  <a:pt x="4332784" y="2088079"/>
                  <a:pt x="4347207" y="2074801"/>
                  <a:pt x="4364994" y="2074801"/>
                </a:cubicBezTo>
                <a:cubicBezTo>
                  <a:pt x="4382781" y="2074801"/>
                  <a:pt x="4397204" y="2088079"/>
                  <a:pt x="4397204" y="2104453"/>
                </a:cubicBezTo>
                <a:cubicBezTo>
                  <a:pt x="4397204" y="2120828"/>
                  <a:pt x="4382781" y="2134106"/>
                  <a:pt x="4364994" y="2134106"/>
                </a:cubicBezTo>
                <a:close/>
                <a:moveTo>
                  <a:pt x="4443527" y="2134106"/>
                </a:moveTo>
                <a:cubicBezTo>
                  <a:pt x="4425740" y="2134106"/>
                  <a:pt x="4411317" y="2120828"/>
                  <a:pt x="4411317" y="2104453"/>
                </a:cubicBezTo>
                <a:cubicBezTo>
                  <a:pt x="4411317" y="2088079"/>
                  <a:pt x="4425740" y="2074801"/>
                  <a:pt x="4443527" y="2074801"/>
                </a:cubicBezTo>
                <a:cubicBezTo>
                  <a:pt x="4461315" y="2074801"/>
                  <a:pt x="4475738" y="2088079"/>
                  <a:pt x="4475738" y="2104453"/>
                </a:cubicBezTo>
                <a:cubicBezTo>
                  <a:pt x="4475738" y="2120828"/>
                  <a:pt x="4461315" y="2134106"/>
                  <a:pt x="4443527" y="2134106"/>
                </a:cubicBezTo>
                <a:close/>
                <a:moveTo>
                  <a:pt x="4522062" y="2134106"/>
                </a:moveTo>
                <a:cubicBezTo>
                  <a:pt x="4504274" y="2134106"/>
                  <a:pt x="4489851" y="2120828"/>
                  <a:pt x="4489851" y="2104453"/>
                </a:cubicBezTo>
                <a:cubicBezTo>
                  <a:pt x="4489851" y="2088079"/>
                  <a:pt x="4504274" y="2074801"/>
                  <a:pt x="4522062" y="2074801"/>
                </a:cubicBezTo>
                <a:cubicBezTo>
                  <a:pt x="4539849" y="2074801"/>
                  <a:pt x="4554272" y="2088079"/>
                  <a:pt x="4554272" y="2104453"/>
                </a:cubicBezTo>
                <a:cubicBezTo>
                  <a:pt x="4554272" y="2120828"/>
                  <a:pt x="4539849" y="2134106"/>
                  <a:pt x="4522062" y="2134106"/>
                </a:cubicBezTo>
                <a:close/>
                <a:moveTo>
                  <a:pt x="4600596" y="2134106"/>
                </a:moveTo>
                <a:cubicBezTo>
                  <a:pt x="4582809" y="2134106"/>
                  <a:pt x="4568386" y="2120828"/>
                  <a:pt x="4568386" y="2104453"/>
                </a:cubicBezTo>
                <a:cubicBezTo>
                  <a:pt x="4568386" y="2088079"/>
                  <a:pt x="4582809" y="2074801"/>
                  <a:pt x="4600596" y="2074801"/>
                </a:cubicBezTo>
                <a:cubicBezTo>
                  <a:pt x="4618383" y="2074801"/>
                  <a:pt x="4632806" y="2088079"/>
                  <a:pt x="4632806" y="2104453"/>
                </a:cubicBezTo>
                <a:cubicBezTo>
                  <a:pt x="4632806" y="2120828"/>
                  <a:pt x="4618383" y="2134106"/>
                  <a:pt x="4600596" y="2134106"/>
                </a:cubicBezTo>
                <a:close/>
                <a:moveTo>
                  <a:pt x="4679129" y="2134106"/>
                </a:moveTo>
                <a:cubicBezTo>
                  <a:pt x="4661342" y="2134106"/>
                  <a:pt x="4646919" y="2120828"/>
                  <a:pt x="4646919" y="2104453"/>
                </a:cubicBezTo>
                <a:cubicBezTo>
                  <a:pt x="4646919" y="2088079"/>
                  <a:pt x="4661342" y="2074801"/>
                  <a:pt x="4679129" y="2074801"/>
                </a:cubicBezTo>
                <a:cubicBezTo>
                  <a:pt x="4696916" y="2074801"/>
                  <a:pt x="4711339" y="2088079"/>
                  <a:pt x="4711339" y="2104453"/>
                </a:cubicBezTo>
                <a:cubicBezTo>
                  <a:pt x="4711339" y="2120828"/>
                  <a:pt x="4696916" y="2134106"/>
                  <a:pt x="4679129" y="2134106"/>
                </a:cubicBezTo>
                <a:close/>
                <a:moveTo>
                  <a:pt x="4757663" y="2134106"/>
                </a:moveTo>
                <a:cubicBezTo>
                  <a:pt x="4739876" y="2134106"/>
                  <a:pt x="4725453" y="2120828"/>
                  <a:pt x="4725453" y="2104453"/>
                </a:cubicBezTo>
                <a:cubicBezTo>
                  <a:pt x="4725453" y="2088079"/>
                  <a:pt x="4739876" y="2074801"/>
                  <a:pt x="4757663" y="2074801"/>
                </a:cubicBezTo>
                <a:cubicBezTo>
                  <a:pt x="4775451" y="2074801"/>
                  <a:pt x="4789874" y="2088079"/>
                  <a:pt x="4789874" y="2104453"/>
                </a:cubicBezTo>
                <a:cubicBezTo>
                  <a:pt x="4789874" y="2120828"/>
                  <a:pt x="4775451" y="2134106"/>
                  <a:pt x="4757663" y="2134106"/>
                </a:cubicBezTo>
                <a:close/>
                <a:moveTo>
                  <a:pt x="6328340" y="2134106"/>
                </a:moveTo>
                <a:cubicBezTo>
                  <a:pt x="6310553" y="2134106"/>
                  <a:pt x="6296124" y="2120828"/>
                  <a:pt x="6296124" y="2104453"/>
                </a:cubicBezTo>
                <a:cubicBezTo>
                  <a:pt x="6296124" y="2088079"/>
                  <a:pt x="6310553" y="2074801"/>
                  <a:pt x="6328340" y="2074801"/>
                </a:cubicBezTo>
                <a:cubicBezTo>
                  <a:pt x="6346128" y="2074801"/>
                  <a:pt x="6360545" y="2088079"/>
                  <a:pt x="6360545" y="2104453"/>
                </a:cubicBezTo>
                <a:cubicBezTo>
                  <a:pt x="6360545" y="2120828"/>
                  <a:pt x="6346128" y="2134106"/>
                  <a:pt x="6328340" y="2134106"/>
                </a:cubicBezTo>
                <a:close/>
                <a:moveTo>
                  <a:pt x="6406875" y="2134106"/>
                </a:moveTo>
                <a:cubicBezTo>
                  <a:pt x="6389087" y="2134106"/>
                  <a:pt x="6374658" y="2120828"/>
                  <a:pt x="6374658" y="2104453"/>
                </a:cubicBezTo>
                <a:cubicBezTo>
                  <a:pt x="6374658" y="2088079"/>
                  <a:pt x="6389087" y="2074801"/>
                  <a:pt x="6406875" y="2074801"/>
                </a:cubicBezTo>
                <a:cubicBezTo>
                  <a:pt x="6424662" y="2074801"/>
                  <a:pt x="6439079" y="2088079"/>
                  <a:pt x="6439079" y="2104453"/>
                </a:cubicBezTo>
                <a:cubicBezTo>
                  <a:pt x="6439079" y="2120828"/>
                  <a:pt x="6424662" y="2134106"/>
                  <a:pt x="6406875" y="2134106"/>
                </a:cubicBezTo>
                <a:close/>
                <a:moveTo>
                  <a:pt x="6485408" y="2134106"/>
                </a:moveTo>
                <a:cubicBezTo>
                  <a:pt x="6467621" y="2134106"/>
                  <a:pt x="6453191" y="2120828"/>
                  <a:pt x="6453191" y="2104453"/>
                </a:cubicBezTo>
                <a:cubicBezTo>
                  <a:pt x="6453191" y="2088079"/>
                  <a:pt x="6467621" y="2074801"/>
                  <a:pt x="6485408" y="2074801"/>
                </a:cubicBezTo>
                <a:cubicBezTo>
                  <a:pt x="6503195" y="2074801"/>
                  <a:pt x="6517612" y="2088079"/>
                  <a:pt x="6517612" y="2104453"/>
                </a:cubicBezTo>
                <a:cubicBezTo>
                  <a:pt x="6517612" y="2120828"/>
                  <a:pt x="6503195" y="2134106"/>
                  <a:pt x="6485408" y="2134106"/>
                </a:cubicBezTo>
                <a:close/>
                <a:moveTo>
                  <a:pt x="6563942" y="2134106"/>
                </a:moveTo>
                <a:cubicBezTo>
                  <a:pt x="6546155" y="2134106"/>
                  <a:pt x="6531726" y="2120828"/>
                  <a:pt x="6531726" y="2104453"/>
                </a:cubicBezTo>
                <a:cubicBezTo>
                  <a:pt x="6531726" y="2088079"/>
                  <a:pt x="6546155" y="2074801"/>
                  <a:pt x="6563942" y="2074801"/>
                </a:cubicBezTo>
                <a:cubicBezTo>
                  <a:pt x="6581729" y="2074801"/>
                  <a:pt x="6596146" y="2088079"/>
                  <a:pt x="6596146" y="2104453"/>
                </a:cubicBezTo>
                <a:cubicBezTo>
                  <a:pt x="6596146" y="2120828"/>
                  <a:pt x="6581729" y="2134106"/>
                  <a:pt x="6563942" y="2134106"/>
                </a:cubicBezTo>
                <a:close/>
                <a:moveTo>
                  <a:pt x="6642476" y="2134106"/>
                </a:moveTo>
                <a:cubicBezTo>
                  <a:pt x="6624689" y="2134106"/>
                  <a:pt x="6610260" y="2120828"/>
                  <a:pt x="6610260" y="2104453"/>
                </a:cubicBezTo>
                <a:cubicBezTo>
                  <a:pt x="6610260" y="2088079"/>
                  <a:pt x="6624689" y="2074801"/>
                  <a:pt x="6642476" y="2074801"/>
                </a:cubicBezTo>
                <a:cubicBezTo>
                  <a:pt x="6660264" y="2074801"/>
                  <a:pt x="6674681" y="2088079"/>
                  <a:pt x="6674681" y="2104453"/>
                </a:cubicBezTo>
                <a:cubicBezTo>
                  <a:pt x="6674681" y="2120828"/>
                  <a:pt x="6660264" y="2134106"/>
                  <a:pt x="6642476" y="2134106"/>
                </a:cubicBezTo>
                <a:close/>
                <a:moveTo>
                  <a:pt x="6721010" y="2134106"/>
                </a:moveTo>
                <a:cubicBezTo>
                  <a:pt x="6703222" y="2134106"/>
                  <a:pt x="6688793" y="2120828"/>
                  <a:pt x="6688793" y="2104453"/>
                </a:cubicBezTo>
                <a:cubicBezTo>
                  <a:pt x="6688793" y="2088079"/>
                  <a:pt x="6703222" y="2074801"/>
                  <a:pt x="6721010" y="2074801"/>
                </a:cubicBezTo>
                <a:cubicBezTo>
                  <a:pt x="6738797" y="2074801"/>
                  <a:pt x="6753214" y="2088079"/>
                  <a:pt x="6753214" y="2104453"/>
                </a:cubicBezTo>
                <a:cubicBezTo>
                  <a:pt x="6753214" y="2120828"/>
                  <a:pt x="6738797" y="2134106"/>
                  <a:pt x="6721010" y="2134106"/>
                </a:cubicBezTo>
                <a:close/>
                <a:moveTo>
                  <a:pt x="6799544" y="2134106"/>
                </a:moveTo>
                <a:cubicBezTo>
                  <a:pt x="6781757" y="2134106"/>
                  <a:pt x="6767327" y="2120828"/>
                  <a:pt x="6767327" y="2104453"/>
                </a:cubicBezTo>
                <a:cubicBezTo>
                  <a:pt x="6767327" y="2088079"/>
                  <a:pt x="6781757" y="2074801"/>
                  <a:pt x="6799544" y="2074801"/>
                </a:cubicBezTo>
                <a:cubicBezTo>
                  <a:pt x="6817331" y="2074801"/>
                  <a:pt x="6831748" y="2088079"/>
                  <a:pt x="6831748" y="2104453"/>
                </a:cubicBezTo>
                <a:cubicBezTo>
                  <a:pt x="6831748" y="2120828"/>
                  <a:pt x="6817331" y="2134106"/>
                  <a:pt x="6799544" y="2134106"/>
                </a:cubicBezTo>
                <a:close/>
                <a:moveTo>
                  <a:pt x="6878077" y="2134106"/>
                </a:moveTo>
                <a:cubicBezTo>
                  <a:pt x="6860290" y="2134106"/>
                  <a:pt x="6845861" y="2120828"/>
                  <a:pt x="6845861" y="2104453"/>
                </a:cubicBezTo>
                <a:cubicBezTo>
                  <a:pt x="6845861" y="2088079"/>
                  <a:pt x="6860290" y="2074801"/>
                  <a:pt x="6878077" y="2074801"/>
                </a:cubicBezTo>
                <a:cubicBezTo>
                  <a:pt x="6895864" y="2074801"/>
                  <a:pt x="6910281" y="2088079"/>
                  <a:pt x="6910281" y="2104453"/>
                </a:cubicBezTo>
                <a:cubicBezTo>
                  <a:pt x="6910281" y="2120828"/>
                  <a:pt x="6895864" y="2134106"/>
                  <a:pt x="6878077" y="2134106"/>
                </a:cubicBezTo>
                <a:close/>
                <a:moveTo>
                  <a:pt x="6956611" y="2134106"/>
                </a:moveTo>
                <a:cubicBezTo>
                  <a:pt x="6938824" y="2134106"/>
                  <a:pt x="6924395" y="2120828"/>
                  <a:pt x="6924395" y="2104453"/>
                </a:cubicBezTo>
                <a:cubicBezTo>
                  <a:pt x="6924395" y="2088079"/>
                  <a:pt x="6938824" y="2074801"/>
                  <a:pt x="6956611" y="2074801"/>
                </a:cubicBezTo>
                <a:cubicBezTo>
                  <a:pt x="6974399" y="2074801"/>
                  <a:pt x="6988816" y="2088079"/>
                  <a:pt x="6988816" y="2104453"/>
                </a:cubicBezTo>
                <a:cubicBezTo>
                  <a:pt x="6988816" y="2120828"/>
                  <a:pt x="6974399" y="2134106"/>
                  <a:pt x="6956611" y="2134106"/>
                </a:cubicBezTo>
                <a:close/>
                <a:moveTo>
                  <a:pt x="7270771" y="2134106"/>
                </a:moveTo>
                <a:cubicBezTo>
                  <a:pt x="7252984" y="2134106"/>
                  <a:pt x="7238555" y="2120828"/>
                  <a:pt x="7238555" y="2104453"/>
                </a:cubicBezTo>
                <a:cubicBezTo>
                  <a:pt x="7238555" y="2088079"/>
                  <a:pt x="7252984" y="2074801"/>
                  <a:pt x="7270771" y="2074801"/>
                </a:cubicBezTo>
                <a:cubicBezTo>
                  <a:pt x="7288559" y="2074801"/>
                  <a:pt x="7302976" y="2088079"/>
                  <a:pt x="7302976" y="2104453"/>
                </a:cubicBezTo>
                <a:cubicBezTo>
                  <a:pt x="7302976" y="2120828"/>
                  <a:pt x="7288559" y="2134106"/>
                  <a:pt x="7270771" y="2134106"/>
                </a:cubicBezTo>
                <a:close/>
                <a:moveTo>
                  <a:pt x="7349305" y="2134106"/>
                </a:moveTo>
                <a:cubicBezTo>
                  <a:pt x="7331517" y="2134106"/>
                  <a:pt x="7317088" y="2120828"/>
                  <a:pt x="7317088" y="2104453"/>
                </a:cubicBezTo>
                <a:cubicBezTo>
                  <a:pt x="7317088" y="2088079"/>
                  <a:pt x="7331517" y="2074801"/>
                  <a:pt x="7349305" y="2074801"/>
                </a:cubicBezTo>
                <a:cubicBezTo>
                  <a:pt x="7367092" y="2074801"/>
                  <a:pt x="7381509" y="2088079"/>
                  <a:pt x="7381509" y="2104453"/>
                </a:cubicBezTo>
                <a:cubicBezTo>
                  <a:pt x="7381509" y="2120828"/>
                  <a:pt x="7367092" y="2134106"/>
                  <a:pt x="7349305" y="2134106"/>
                </a:cubicBezTo>
                <a:close/>
                <a:moveTo>
                  <a:pt x="9548254" y="2134106"/>
                </a:moveTo>
                <a:cubicBezTo>
                  <a:pt x="9530466" y="2134106"/>
                  <a:pt x="9516037" y="2120828"/>
                  <a:pt x="9516037" y="2104453"/>
                </a:cubicBezTo>
                <a:cubicBezTo>
                  <a:pt x="9516037" y="2088079"/>
                  <a:pt x="9530466" y="2074801"/>
                  <a:pt x="9548254" y="2074801"/>
                </a:cubicBezTo>
                <a:cubicBezTo>
                  <a:pt x="9566041" y="2074801"/>
                  <a:pt x="9580458" y="2088079"/>
                  <a:pt x="9580458" y="2104453"/>
                </a:cubicBezTo>
                <a:cubicBezTo>
                  <a:pt x="9580458" y="2120828"/>
                  <a:pt x="9566041" y="2134106"/>
                  <a:pt x="9548254" y="2134106"/>
                </a:cubicBezTo>
                <a:close/>
                <a:moveTo>
                  <a:pt x="9626787" y="2134106"/>
                </a:moveTo>
                <a:cubicBezTo>
                  <a:pt x="9609000" y="2134106"/>
                  <a:pt x="9594571" y="2120828"/>
                  <a:pt x="9594571" y="2104453"/>
                </a:cubicBezTo>
                <a:cubicBezTo>
                  <a:pt x="9594571" y="2088079"/>
                  <a:pt x="9609000" y="2074801"/>
                  <a:pt x="9626787" y="2074801"/>
                </a:cubicBezTo>
                <a:cubicBezTo>
                  <a:pt x="9644574" y="2074801"/>
                  <a:pt x="9658991" y="2088079"/>
                  <a:pt x="9658991" y="2104453"/>
                </a:cubicBezTo>
                <a:cubicBezTo>
                  <a:pt x="9658991" y="2120828"/>
                  <a:pt x="9644574" y="2134106"/>
                  <a:pt x="9626787" y="2134106"/>
                </a:cubicBezTo>
                <a:close/>
                <a:moveTo>
                  <a:pt x="9705321" y="2134106"/>
                </a:moveTo>
                <a:cubicBezTo>
                  <a:pt x="9687534" y="2134106"/>
                  <a:pt x="9673105" y="2120828"/>
                  <a:pt x="9673105" y="2104453"/>
                </a:cubicBezTo>
                <a:cubicBezTo>
                  <a:pt x="9673105" y="2088079"/>
                  <a:pt x="9687534" y="2074801"/>
                  <a:pt x="9705321" y="2074801"/>
                </a:cubicBezTo>
                <a:cubicBezTo>
                  <a:pt x="9723108" y="2074801"/>
                  <a:pt x="9737525" y="2088079"/>
                  <a:pt x="9737525" y="2104453"/>
                </a:cubicBezTo>
                <a:cubicBezTo>
                  <a:pt x="9737525" y="2120828"/>
                  <a:pt x="9723108" y="2134106"/>
                  <a:pt x="9705321" y="2134106"/>
                </a:cubicBezTo>
                <a:close/>
                <a:moveTo>
                  <a:pt x="9783854" y="2134106"/>
                </a:moveTo>
                <a:cubicBezTo>
                  <a:pt x="9766067" y="2134106"/>
                  <a:pt x="9751638" y="2120828"/>
                  <a:pt x="9751638" y="2104453"/>
                </a:cubicBezTo>
                <a:cubicBezTo>
                  <a:pt x="9751638" y="2088079"/>
                  <a:pt x="9766067" y="2074801"/>
                  <a:pt x="9783854" y="2074801"/>
                </a:cubicBezTo>
                <a:cubicBezTo>
                  <a:pt x="9801642" y="2074801"/>
                  <a:pt x="9816059" y="2088079"/>
                  <a:pt x="9816059" y="2104453"/>
                </a:cubicBezTo>
                <a:cubicBezTo>
                  <a:pt x="9816059" y="2120828"/>
                  <a:pt x="9801642" y="2134106"/>
                  <a:pt x="9783854" y="2134106"/>
                </a:cubicBezTo>
                <a:close/>
                <a:moveTo>
                  <a:pt x="9862389" y="2134106"/>
                </a:moveTo>
                <a:cubicBezTo>
                  <a:pt x="9844601" y="2134106"/>
                  <a:pt x="9830172" y="2120828"/>
                  <a:pt x="9830172" y="2104453"/>
                </a:cubicBezTo>
                <a:cubicBezTo>
                  <a:pt x="9830172" y="2088079"/>
                  <a:pt x="9844601" y="2074801"/>
                  <a:pt x="9862389" y="2074801"/>
                </a:cubicBezTo>
                <a:cubicBezTo>
                  <a:pt x="9880176" y="2074801"/>
                  <a:pt x="9894593" y="2088079"/>
                  <a:pt x="9894593" y="2104453"/>
                </a:cubicBezTo>
                <a:cubicBezTo>
                  <a:pt x="9894593" y="2120828"/>
                  <a:pt x="9880176" y="2134106"/>
                  <a:pt x="9862389" y="2134106"/>
                </a:cubicBezTo>
                <a:close/>
                <a:moveTo>
                  <a:pt x="9940923" y="2134106"/>
                </a:moveTo>
                <a:cubicBezTo>
                  <a:pt x="9923136" y="2134106"/>
                  <a:pt x="9908707" y="2120828"/>
                  <a:pt x="9908707" y="2104453"/>
                </a:cubicBezTo>
                <a:cubicBezTo>
                  <a:pt x="9908707" y="2088079"/>
                  <a:pt x="9923136" y="2074801"/>
                  <a:pt x="9940923" y="2074801"/>
                </a:cubicBezTo>
                <a:cubicBezTo>
                  <a:pt x="9958710" y="2074801"/>
                  <a:pt x="9973127" y="2088079"/>
                  <a:pt x="9973127" y="2104453"/>
                </a:cubicBezTo>
                <a:cubicBezTo>
                  <a:pt x="9973127" y="2120828"/>
                  <a:pt x="9958710" y="2134106"/>
                  <a:pt x="9940923" y="2134106"/>
                </a:cubicBezTo>
                <a:close/>
                <a:moveTo>
                  <a:pt x="10097990" y="2134106"/>
                </a:moveTo>
                <a:cubicBezTo>
                  <a:pt x="10080203" y="2134106"/>
                  <a:pt x="10065774" y="2120828"/>
                  <a:pt x="10065774" y="2104453"/>
                </a:cubicBezTo>
                <a:cubicBezTo>
                  <a:pt x="10065774" y="2088079"/>
                  <a:pt x="10080203" y="2074801"/>
                  <a:pt x="10097990" y="2074801"/>
                </a:cubicBezTo>
                <a:cubicBezTo>
                  <a:pt x="10115778" y="2074801"/>
                  <a:pt x="10130195" y="2088079"/>
                  <a:pt x="10130195" y="2104453"/>
                </a:cubicBezTo>
                <a:cubicBezTo>
                  <a:pt x="10130195" y="2120828"/>
                  <a:pt x="10115778" y="2134106"/>
                  <a:pt x="10097990" y="2134106"/>
                </a:cubicBezTo>
                <a:close/>
                <a:moveTo>
                  <a:pt x="10804795" y="2134106"/>
                </a:moveTo>
                <a:cubicBezTo>
                  <a:pt x="10787007" y="2134106"/>
                  <a:pt x="10772578" y="2120828"/>
                  <a:pt x="10772578" y="2104453"/>
                </a:cubicBezTo>
                <a:cubicBezTo>
                  <a:pt x="10772578" y="2088079"/>
                  <a:pt x="10787007" y="2074801"/>
                  <a:pt x="10804795" y="2074801"/>
                </a:cubicBezTo>
                <a:cubicBezTo>
                  <a:pt x="10822582" y="2074801"/>
                  <a:pt x="10836999" y="2088079"/>
                  <a:pt x="10836999" y="2104453"/>
                </a:cubicBezTo>
                <a:cubicBezTo>
                  <a:pt x="10836999" y="2120828"/>
                  <a:pt x="10822582" y="2134106"/>
                  <a:pt x="10804795" y="2134106"/>
                </a:cubicBezTo>
                <a:close/>
                <a:moveTo>
                  <a:pt x="11118931" y="2134106"/>
                </a:moveTo>
                <a:cubicBezTo>
                  <a:pt x="11101143" y="2134106"/>
                  <a:pt x="11086714" y="2120828"/>
                  <a:pt x="11086714" y="2104453"/>
                </a:cubicBezTo>
                <a:cubicBezTo>
                  <a:pt x="11086714" y="2088079"/>
                  <a:pt x="11101143" y="2074801"/>
                  <a:pt x="11118931" y="2074801"/>
                </a:cubicBezTo>
                <a:cubicBezTo>
                  <a:pt x="11136718" y="2074801"/>
                  <a:pt x="11151135" y="2088079"/>
                  <a:pt x="11151135" y="2104453"/>
                </a:cubicBezTo>
                <a:cubicBezTo>
                  <a:pt x="11151135" y="2120828"/>
                  <a:pt x="11136718" y="2134106"/>
                  <a:pt x="11118931" y="2134106"/>
                </a:cubicBezTo>
                <a:close/>
                <a:moveTo>
                  <a:pt x="3972319" y="2061840"/>
                </a:moveTo>
                <a:cubicBezTo>
                  <a:pt x="3954532" y="2061840"/>
                  <a:pt x="3940108" y="2048562"/>
                  <a:pt x="3940108" y="2032188"/>
                </a:cubicBezTo>
                <a:cubicBezTo>
                  <a:pt x="3940108" y="2015813"/>
                  <a:pt x="3954532" y="2002536"/>
                  <a:pt x="3972319" y="2002536"/>
                </a:cubicBezTo>
                <a:cubicBezTo>
                  <a:pt x="3990106" y="2002536"/>
                  <a:pt x="4004529" y="2015813"/>
                  <a:pt x="4004529" y="2032188"/>
                </a:cubicBezTo>
                <a:cubicBezTo>
                  <a:pt x="4004529" y="2048562"/>
                  <a:pt x="3990106" y="2061840"/>
                  <a:pt x="3972319" y="2061840"/>
                </a:cubicBezTo>
                <a:close/>
                <a:moveTo>
                  <a:pt x="4050852" y="2061840"/>
                </a:moveTo>
                <a:cubicBezTo>
                  <a:pt x="4033065" y="2061840"/>
                  <a:pt x="4018642" y="2048562"/>
                  <a:pt x="4018642" y="2032188"/>
                </a:cubicBezTo>
                <a:cubicBezTo>
                  <a:pt x="4018642" y="2015813"/>
                  <a:pt x="4033065" y="2002536"/>
                  <a:pt x="4050852" y="2002536"/>
                </a:cubicBezTo>
                <a:cubicBezTo>
                  <a:pt x="4068639" y="2002536"/>
                  <a:pt x="4083062" y="2015813"/>
                  <a:pt x="4083062" y="2032188"/>
                </a:cubicBezTo>
                <a:cubicBezTo>
                  <a:pt x="4083062" y="2048562"/>
                  <a:pt x="4068639" y="2061840"/>
                  <a:pt x="4050852" y="2061840"/>
                </a:cubicBezTo>
                <a:close/>
                <a:moveTo>
                  <a:pt x="4129386" y="2061840"/>
                </a:moveTo>
                <a:cubicBezTo>
                  <a:pt x="4111599" y="2061840"/>
                  <a:pt x="4097176" y="2048562"/>
                  <a:pt x="4097176" y="2032188"/>
                </a:cubicBezTo>
                <a:cubicBezTo>
                  <a:pt x="4097176" y="2015813"/>
                  <a:pt x="4111599" y="2002536"/>
                  <a:pt x="4129386" y="2002536"/>
                </a:cubicBezTo>
                <a:cubicBezTo>
                  <a:pt x="4147174" y="2002536"/>
                  <a:pt x="4161597" y="2015813"/>
                  <a:pt x="4161597" y="2032188"/>
                </a:cubicBezTo>
                <a:cubicBezTo>
                  <a:pt x="4161597" y="2048562"/>
                  <a:pt x="4147174" y="2061840"/>
                  <a:pt x="4129386" y="2061840"/>
                </a:cubicBezTo>
                <a:close/>
                <a:moveTo>
                  <a:pt x="4207926" y="2061840"/>
                </a:moveTo>
                <a:cubicBezTo>
                  <a:pt x="4190138" y="2061840"/>
                  <a:pt x="4175715" y="2048562"/>
                  <a:pt x="4175715" y="2032188"/>
                </a:cubicBezTo>
                <a:cubicBezTo>
                  <a:pt x="4175715" y="2015813"/>
                  <a:pt x="4190138" y="2002536"/>
                  <a:pt x="4207926" y="2002536"/>
                </a:cubicBezTo>
                <a:cubicBezTo>
                  <a:pt x="4225713" y="2002536"/>
                  <a:pt x="4240136" y="2015813"/>
                  <a:pt x="4240136" y="2032188"/>
                </a:cubicBezTo>
                <a:cubicBezTo>
                  <a:pt x="4240136" y="2048562"/>
                  <a:pt x="4225713" y="2061840"/>
                  <a:pt x="4207926" y="2061840"/>
                </a:cubicBezTo>
                <a:close/>
                <a:moveTo>
                  <a:pt x="4286460" y="2061840"/>
                </a:moveTo>
                <a:cubicBezTo>
                  <a:pt x="4268673" y="2061840"/>
                  <a:pt x="4254250" y="2048562"/>
                  <a:pt x="4254250" y="2032188"/>
                </a:cubicBezTo>
                <a:cubicBezTo>
                  <a:pt x="4254250" y="2015813"/>
                  <a:pt x="4268673" y="2002536"/>
                  <a:pt x="4286460" y="2002536"/>
                </a:cubicBezTo>
                <a:cubicBezTo>
                  <a:pt x="4304247" y="2002536"/>
                  <a:pt x="4318670" y="2015813"/>
                  <a:pt x="4318670" y="2032188"/>
                </a:cubicBezTo>
                <a:cubicBezTo>
                  <a:pt x="4318670" y="2048562"/>
                  <a:pt x="4304247" y="2061840"/>
                  <a:pt x="4286460" y="2061840"/>
                </a:cubicBezTo>
                <a:close/>
                <a:moveTo>
                  <a:pt x="4364994" y="2061840"/>
                </a:moveTo>
                <a:cubicBezTo>
                  <a:pt x="4347207" y="2061840"/>
                  <a:pt x="4332784" y="2048562"/>
                  <a:pt x="4332784" y="2032188"/>
                </a:cubicBezTo>
                <a:cubicBezTo>
                  <a:pt x="4332784" y="2015813"/>
                  <a:pt x="4347207" y="2002536"/>
                  <a:pt x="4364994" y="2002536"/>
                </a:cubicBezTo>
                <a:cubicBezTo>
                  <a:pt x="4382781" y="2002536"/>
                  <a:pt x="4397204" y="2015813"/>
                  <a:pt x="4397204" y="2032188"/>
                </a:cubicBezTo>
                <a:cubicBezTo>
                  <a:pt x="4397204" y="2048562"/>
                  <a:pt x="4382781" y="2061840"/>
                  <a:pt x="4364994" y="2061840"/>
                </a:cubicBezTo>
                <a:close/>
                <a:moveTo>
                  <a:pt x="4443527" y="2061840"/>
                </a:moveTo>
                <a:cubicBezTo>
                  <a:pt x="4425740" y="2061840"/>
                  <a:pt x="4411317" y="2048562"/>
                  <a:pt x="4411317" y="2032188"/>
                </a:cubicBezTo>
                <a:cubicBezTo>
                  <a:pt x="4411317" y="2015813"/>
                  <a:pt x="4425740" y="2002536"/>
                  <a:pt x="4443527" y="2002536"/>
                </a:cubicBezTo>
                <a:cubicBezTo>
                  <a:pt x="4461315" y="2002536"/>
                  <a:pt x="4475738" y="2015813"/>
                  <a:pt x="4475738" y="2032188"/>
                </a:cubicBezTo>
                <a:cubicBezTo>
                  <a:pt x="4475738" y="2048562"/>
                  <a:pt x="4461315" y="2061840"/>
                  <a:pt x="4443527" y="2061840"/>
                </a:cubicBezTo>
                <a:close/>
                <a:moveTo>
                  <a:pt x="4522062" y="2061840"/>
                </a:moveTo>
                <a:cubicBezTo>
                  <a:pt x="4504274" y="2061840"/>
                  <a:pt x="4489851" y="2048562"/>
                  <a:pt x="4489851" y="2032188"/>
                </a:cubicBezTo>
                <a:cubicBezTo>
                  <a:pt x="4489851" y="2015813"/>
                  <a:pt x="4504274" y="2002536"/>
                  <a:pt x="4522062" y="2002536"/>
                </a:cubicBezTo>
                <a:cubicBezTo>
                  <a:pt x="4539849" y="2002536"/>
                  <a:pt x="4554272" y="2015813"/>
                  <a:pt x="4554272" y="2032188"/>
                </a:cubicBezTo>
                <a:cubicBezTo>
                  <a:pt x="4554272" y="2048562"/>
                  <a:pt x="4539849" y="2061840"/>
                  <a:pt x="4522062" y="2061840"/>
                </a:cubicBezTo>
                <a:close/>
                <a:moveTo>
                  <a:pt x="4600596" y="2061840"/>
                </a:moveTo>
                <a:cubicBezTo>
                  <a:pt x="4582809" y="2061840"/>
                  <a:pt x="4568386" y="2048562"/>
                  <a:pt x="4568386" y="2032188"/>
                </a:cubicBezTo>
                <a:cubicBezTo>
                  <a:pt x="4568386" y="2015813"/>
                  <a:pt x="4582809" y="2002536"/>
                  <a:pt x="4600596" y="2002536"/>
                </a:cubicBezTo>
                <a:cubicBezTo>
                  <a:pt x="4618383" y="2002536"/>
                  <a:pt x="4632806" y="2015813"/>
                  <a:pt x="4632806" y="2032188"/>
                </a:cubicBezTo>
                <a:cubicBezTo>
                  <a:pt x="4632806" y="2048562"/>
                  <a:pt x="4618383" y="2061840"/>
                  <a:pt x="4600596" y="2061840"/>
                </a:cubicBezTo>
                <a:close/>
                <a:moveTo>
                  <a:pt x="4679129" y="2061840"/>
                </a:moveTo>
                <a:cubicBezTo>
                  <a:pt x="4661342" y="2061840"/>
                  <a:pt x="4646919" y="2048562"/>
                  <a:pt x="4646919" y="2032188"/>
                </a:cubicBezTo>
                <a:cubicBezTo>
                  <a:pt x="4646919" y="2015813"/>
                  <a:pt x="4661342" y="2002536"/>
                  <a:pt x="4679129" y="2002536"/>
                </a:cubicBezTo>
                <a:cubicBezTo>
                  <a:pt x="4696916" y="2002536"/>
                  <a:pt x="4711339" y="2015813"/>
                  <a:pt x="4711339" y="2032188"/>
                </a:cubicBezTo>
                <a:cubicBezTo>
                  <a:pt x="4711339" y="2048562"/>
                  <a:pt x="4696916" y="2061840"/>
                  <a:pt x="4679129" y="2061840"/>
                </a:cubicBezTo>
                <a:close/>
                <a:moveTo>
                  <a:pt x="4757663" y="2061840"/>
                </a:moveTo>
                <a:cubicBezTo>
                  <a:pt x="4739876" y="2061840"/>
                  <a:pt x="4725453" y="2048562"/>
                  <a:pt x="4725453" y="2032188"/>
                </a:cubicBezTo>
                <a:cubicBezTo>
                  <a:pt x="4725453" y="2015813"/>
                  <a:pt x="4739876" y="2002536"/>
                  <a:pt x="4757663" y="2002536"/>
                </a:cubicBezTo>
                <a:cubicBezTo>
                  <a:pt x="4775451" y="2002536"/>
                  <a:pt x="4789874" y="2015813"/>
                  <a:pt x="4789874" y="2032188"/>
                </a:cubicBezTo>
                <a:cubicBezTo>
                  <a:pt x="4789874" y="2048562"/>
                  <a:pt x="4775451" y="2061840"/>
                  <a:pt x="4757663" y="2061840"/>
                </a:cubicBezTo>
                <a:close/>
                <a:moveTo>
                  <a:pt x="6328340" y="2061840"/>
                </a:moveTo>
                <a:cubicBezTo>
                  <a:pt x="6310553" y="2061840"/>
                  <a:pt x="6296124" y="2048562"/>
                  <a:pt x="6296124" y="2032188"/>
                </a:cubicBezTo>
                <a:cubicBezTo>
                  <a:pt x="6296124" y="2015813"/>
                  <a:pt x="6310553" y="2002536"/>
                  <a:pt x="6328340" y="2002536"/>
                </a:cubicBezTo>
                <a:cubicBezTo>
                  <a:pt x="6346128" y="2002536"/>
                  <a:pt x="6360545" y="2015813"/>
                  <a:pt x="6360545" y="2032188"/>
                </a:cubicBezTo>
                <a:cubicBezTo>
                  <a:pt x="6360545" y="2048562"/>
                  <a:pt x="6346128" y="2061840"/>
                  <a:pt x="6328340" y="2061840"/>
                </a:cubicBezTo>
                <a:close/>
                <a:moveTo>
                  <a:pt x="6406875" y="2061840"/>
                </a:moveTo>
                <a:cubicBezTo>
                  <a:pt x="6389087" y="2061840"/>
                  <a:pt x="6374658" y="2048562"/>
                  <a:pt x="6374658" y="2032188"/>
                </a:cubicBezTo>
                <a:cubicBezTo>
                  <a:pt x="6374658" y="2015813"/>
                  <a:pt x="6389087" y="2002536"/>
                  <a:pt x="6406875" y="2002536"/>
                </a:cubicBezTo>
                <a:cubicBezTo>
                  <a:pt x="6424662" y="2002536"/>
                  <a:pt x="6439079" y="2015813"/>
                  <a:pt x="6439079" y="2032188"/>
                </a:cubicBezTo>
                <a:cubicBezTo>
                  <a:pt x="6439079" y="2048562"/>
                  <a:pt x="6424662" y="2061840"/>
                  <a:pt x="6406875" y="2061840"/>
                </a:cubicBezTo>
                <a:close/>
                <a:moveTo>
                  <a:pt x="6485408" y="2061840"/>
                </a:moveTo>
                <a:cubicBezTo>
                  <a:pt x="6467621" y="2061840"/>
                  <a:pt x="6453191" y="2048562"/>
                  <a:pt x="6453191" y="2032188"/>
                </a:cubicBezTo>
                <a:cubicBezTo>
                  <a:pt x="6453191" y="2015813"/>
                  <a:pt x="6467621" y="2002536"/>
                  <a:pt x="6485408" y="2002536"/>
                </a:cubicBezTo>
                <a:cubicBezTo>
                  <a:pt x="6503195" y="2002536"/>
                  <a:pt x="6517612" y="2015813"/>
                  <a:pt x="6517612" y="2032188"/>
                </a:cubicBezTo>
                <a:cubicBezTo>
                  <a:pt x="6517612" y="2048562"/>
                  <a:pt x="6503195" y="2061840"/>
                  <a:pt x="6485408" y="2061840"/>
                </a:cubicBezTo>
                <a:close/>
                <a:moveTo>
                  <a:pt x="6563942" y="2061840"/>
                </a:moveTo>
                <a:cubicBezTo>
                  <a:pt x="6546155" y="2061840"/>
                  <a:pt x="6531726" y="2048562"/>
                  <a:pt x="6531726" y="2032188"/>
                </a:cubicBezTo>
                <a:cubicBezTo>
                  <a:pt x="6531726" y="2015813"/>
                  <a:pt x="6546155" y="2002536"/>
                  <a:pt x="6563942" y="2002536"/>
                </a:cubicBezTo>
                <a:cubicBezTo>
                  <a:pt x="6581729" y="2002536"/>
                  <a:pt x="6596146" y="2015813"/>
                  <a:pt x="6596146" y="2032188"/>
                </a:cubicBezTo>
                <a:cubicBezTo>
                  <a:pt x="6596146" y="2048562"/>
                  <a:pt x="6581729" y="2061840"/>
                  <a:pt x="6563942" y="2061840"/>
                </a:cubicBezTo>
                <a:close/>
                <a:moveTo>
                  <a:pt x="6642476" y="2061840"/>
                </a:moveTo>
                <a:cubicBezTo>
                  <a:pt x="6624689" y="2061840"/>
                  <a:pt x="6610260" y="2048562"/>
                  <a:pt x="6610260" y="2032188"/>
                </a:cubicBezTo>
                <a:cubicBezTo>
                  <a:pt x="6610260" y="2015813"/>
                  <a:pt x="6624689" y="2002536"/>
                  <a:pt x="6642476" y="2002536"/>
                </a:cubicBezTo>
                <a:cubicBezTo>
                  <a:pt x="6660264" y="2002536"/>
                  <a:pt x="6674681" y="2015813"/>
                  <a:pt x="6674681" y="2032188"/>
                </a:cubicBezTo>
                <a:cubicBezTo>
                  <a:pt x="6674681" y="2048562"/>
                  <a:pt x="6660264" y="2061840"/>
                  <a:pt x="6642476" y="2061840"/>
                </a:cubicBezTo>
                <a:close/>
                <a:moveTo>
                  <a:pt x="6721010" y="2061840"/>
                </a:moveTo>
                <a:cubicBezTo>
                  <a:pt x="6703222" y="2061840"/>
                  <a:pt x="6688793" y="2048562"/>
                  <a:pt x="6688793" y="2032188"/>
                </a:cubicBezTo>
                <a:cubicBezTo>
                  <a:pt x="6688793" y="2015813"/>
                  <a:pt x="6703222" y="2002536"/>
                  <a:pt x="6721010" y="2002536"/>
                </a:cubicBezTo>
                <a:cubicBezTo>
                  <a:pt x="6738797" y="2002536"/>
                  <a:pt x="6753214" y="2015813"/>
                  <a:pt x="6753214" y="2032188"/>
                </a:cubicBezTo>
                <a:cubicBezTo>
                  <a:pt x="6753214" y="2048562"/>
                  <a:pt x="6738797" y="2061840"/>
                  <a:pt x="6721010" y="2061840"/>
                </a:cubicBezTo>
                <a:close/>
                <a:moveTo>
                  <a:pt x="6799544" y="2061840"/>
                </a:moveTo>
                <a:cubicBezTo>
                  <a:pt x="6781757" y="2061840"/>
                  <a:pt x="6767327" y="2048562"/>
                  <a:pt x="6767327" y="2032188"/>
                </a:cubicBezTo>
                <a:cubicBezTo>
                  <a:pt x="6767327" y="2015813"/>
                  <a:pt x="6781757" y="2002536"/>
                  <a:pt x="6799544" y="2002536"/>
                </a:cubicBezTo>
                <a:cubicBezTo>
                  <a:pt x="6817331" y="2002536"/>
                  <a:pt x="6831748" y="2015813"/>
                  <a:pt x="6831748" y="2032188"/>
                </a:cubicBezTo>
                <a:cubicBezTo>
                  <a:pt x="6831748" y="2048562"/>
                  <a:pt x="6817331" y="2061840"/>
                  <a:pt x="6799544" y="2061840"/>
                </a:cubicBezTo>
                <a:close/>
                <a:moveTo>
                  <a:pt x="6878077" y="2061840"/>
                </a:moveTo>
                <a:cubicBezTo>
                  <a:pt x="6860290" y="2061840"/>
                  <a:pt x="6845861" y="2048562"/>
                  <a:pt x="6845861" y="2032188"/>
                </a:cubicBezTo>
                <a:cubicBezTo>
                  <a:pt x="6845861" y="2015813"/>
                  <a:pt x="6860290" y="2002536"/>
                  <a:pt x="6878077" y="2002536"/>
                </a:cubicBezTo>
                <a:cubicBezTo>
                  <a:pt x="6895864" y="2002536"/>
                  <a:pt x="6910281" y="2015813"/>
                  <a:pt x="6910281" y="2032188"/>
                </a:cubicBezTo>
                <a:cubicBezTo>
                  <a:pt x="6910281" y="2048562"/>
                  <a:pt x="6895864" y="2061840"/>
                  <a:pt x="6878077" y="2061840"/>
                </a:cubicBezTo>
                <a:close/>
                <a:moveTo>
                  <a:pt x="7270771" y="2061840"/>
                </a:moveTo>
                <a:cubicBezTo>
                  <a:pt x="7252984" y="2061840"/>
                  <a:pt x="7238555" y="2048562"/>
                  <a:pt x="7238555" y="2032188"/>
                </a:cubicBezTo>
                <a:cubicBezTo>
                  <a:pt x="7238555" y="2015813"/>
                  <a:pt x="7252984" y="2002536"/>
                  <a:pt x="7270771" y="2002536"/>
                </a:cubicBezTo>
                <a:cubicBezTo>
                  <a:pt x="7288559" y="2002536"/>
                  <a:pt x="7302976" y="2015813"/>
                  <a:pt x="7302976" y="2032188"/>
                </a:cubicBezTo>
                <a:cubicBezTo>
                  <a:pt x="7302976" y="2048562"/>
                  <a:pt x="7288559" y="2061840"/>
                  <a:pt x="7270771" y="2061840"/>
                </a:cubicBezTo>
                <a:close/>
                <a:moveTo>
                  <a:pt x="9469719" y="2061840"/>
                </a:moveTo>
                <a:cubicBezTo>
                  <a:pt x="9451932" y="2061840"/>
                  <a:pt x="9437503" y="2048562"/>
                  <a:pt x="9437503" y="2032188"/>
                </a:cubicBezTo>
                <a:cubicBezTo>
                  <a:pt x="9437503" y="2015813"/>
                  <a:pt x="9451932" y="2002536"/>
                  <a:pt x="9469719" y="2002536"/>
                </a:cubicBezTo>
                <a:cubicBezTo>
                  <a:pt x="9487507" y="2002536"/>
                  <a:pt x="9501924" y="2015813"/>
                  <a:pt x="9501924" y="2032188"/>
                </a:cubicBezTo>
                <a:cubicBezTo>
                  <a:pt x="9501924" y="2048562"/>
                  <a:pt x="9487507" y="2061840"/>
                  <a:pt x="9469719" y="2061840"/>
                </a:cubicBezTo>
                <a:close/>
                <a:moveTo>
                  <a:pt x="9548254" y="2061840"/>
                </a:moveTo>
                <a:cubicBezTo>
                  <a:pt x="9530466" y="2061840"/>
                  <a:pt x="9516037" y="2048562"/>
                  <a:pt x="9516037" y="2032188"/>
                </a:cubicBezTo>
                <a:cubicBezTo>
                  <a:pt x="9516037" y="2015813"/>
                  <a:pt x="9530466" y="2002536"/>
                  <a:pt x="9548254" y="2002536"/>
                </a:cubicBezTo>
                <a:cubicBezTo>
                  <a:pt x="9566041" y="2002536"/>
                  <a:pt x="9580458" y="2015813"/>
                  <a:pt x="9580458" y="2032188"/>
                </a:cubicBezTo>
                <a:cubicBezTo>
                  <a:pt x="9580458" y="2048562"/>
                  <a:pt x="9566041" y="2061840"/>
                  <a:pt x="9548254" y="2061840"/>
                </a:cubicBezTo>
                <a:close/>
                <a:moveTo>
                  <a:pt x="9626787" y="2061840"/>
                </a:moveTo>
                <a:cubicBezTo>
                  <a:pt x="9609000" y="2061840"/>
                  <a:pt x="9594571" y="2048562"/>
                  <a:pt x="9594571" y="2032188"/>
                </a:cubicBezTo>
                <a:cubicBezTo>
                  <a:pt x="9594571" y="2015813"/>
                  <a:pt x="9609000" y="2002536"/>
                  <a:pt x="9626787" y="2002536"/>
                </a:cubicBezTo>
                <a:cubicBezTo>
                  <a:pt x="9644574" y="2002536"/>
                  <a:pt x="9658991" y="2015813"/>
                  <a:pt x="9658991" y="2032188"/>
                </a:cubicBezTo>
                <a:cubicBezTo>
                  <a:pt x="9658991" y="2048562"/>
                  <a:pt x="9644574" y="2061840"/>
                  <a:pt x="9626787" y="2061840"/>
                </a:cubicBezTo>
                <a:close/>
                <a:moveTo>
                  <a:pt x="9705321" y="2061840"/>
                </a:moveTo>
                <a:cubicBezTo>
                  <a:pt x="9687534" y="2061840"/>
                  <a:pt x="9673105" y="2048562"/>
                  <a:pt x="9673105" y="2032188"/>
                </a:cubicBezTo>
                <a:cubicBezTo>
                  <a:pt x="9673105" y="2015813"/>
                  <a:pt x="9687534" y="2002536"/>
                  <a:pt x="9705321" y="2002536"/>
                </a:cubicBezTo>
                <a:cubicBezTo>
                  <a:pt x="9723108" y="2002536"/>
                  <a:pt x="9737525" y="2015813"/>
                  <a:pt x="9737525" y="2032188"/>
                </a:cubicBezTo>
                <a:cubicBezTo>
                  <a:pt x="9737525" y="2048562"/>
                  <a:pt x="9723108" y="2061840"/>
                  <a:pt x="9705321" y="2061840"/>
                </a:cubicBezTo>
                <a:close/>
                <a:moveTo>
                  <a:pt x="9783854" y="2061840"/>
                </a:moveTo>
                <a:cubicBezTo>
                  <a:pt x="9766067" y="2061840"/>
                  <a:pt x="9751638" y="2048562"/>
                  <a:pt x="9751638" y="2032188"/>
                </a:cubicBezTo>
                <a:cubicBezTo>
                  <a:pt x="9751638" y="2015813"/>
                  <a:pt x="9766067" y="2002536"/>
                  <a:pt x="9783854" y="2002536"/>
                </a:cubicBezTo>
                <a:cubicBezTo>
                  <a:pt x="9801642" y="2002536"/>
                  <a:pt x="9816059" y="2015813"/>
                  <a:pt x="9816059" y="2032188"/>
                </a:cubicBezTo>
                <a:cubicBezTo>
                  <a:pt x="9816059" y="2048562"/>
                  <a:pt x="9801642" y="2061840"/>
                  <a:pt x="9783854" y="2061840"/>
                </a:cubicBezTo>
                <a:close/>
                <a:moveTo>
                  <a:pt x="9862389" y="2061840"/>
                </a:moveTo>
                <a:cubicBezTo>
                  <a:pt x="9844601" y="2061840"/>
                  <a:pt x="9830172" y="2048562"/>
                  <a:pt x="9830172" y="2032188"/>
                </a:cubicBezTo>
                <a:cubicBezTo>
                  <a:pt x="9830172" y="2015813"/>
                  <a:pt x="9844601" y="2002536"/>
                  <a:pt x="9862389" y="2002536"/>
                </a:cubicBezTo>
                <a:cubicBezTo>
                  <a:pt x="9880176" y="2002536"/>
                  <a:pt x="9894593" y="2015813"/>
                  <a:pt x="9894593" y="2032188"/>
                </a:cubicBezTo>
                <a:cubicBezTo>
                  <a:pt x="9894593" y="2048562"/>
                  <a:pt x="9880176" y="2061840"/>
                  <a:pt x="9862389" y="2061840"/>
                </a:cubicBezTo>
                <a:close/>
                <a:moveTo>
                  <a:pt x="9940923" y="2061840"/>
                </a:moveTo>
                <a:cubicBezTo>
                  <a:pt x="9923136" y="2061840"/>
                  <a:pt x="9908707" y="2048562"/>
                  <a:pt x="9908707" y="2032188"/>
                </a:cubicBezTo>
                <a:cubicBezTo>
                  <a:pt x="9908707" y="2015813"/>
                  <a:pt x="9923136" y="2002536"/>
                  <a:pt x="9940923" y="2002536"/>
                </a:cubicBezTo>
                <a:cubicBezTo>
                  <a:pt x="9958710" y="2002536"/>
                  <a:pt x="9973127" y="2015813"/>
                  <a:pt x="9973127" y="2032188"/>
                </a:cubicBezTo>
                <a:cubicBezTo>
                  <a:pt x="9973127" y="2048562"/>
                  <a:pt x="9958710" y="2061840"/>
                  <a:pt x="9940923" y="2061840"/>
                </a:cubicBezTo>
                <a:close/>
                <a:moveTo>
                  <a:pt x="10019456" y="2061840"/>
                </a:moveTo>
                <a:cubicBezTo>
                  <a:pt x="10001669" y="2061840"/>
                  <a:pt x="9987240" y="2048562"/>
                  <a:pt x="9987240" y="2032188"/>
                </a:cubicBezTo>
                <a:cubicBezTo>
                  <a:pt x="9987240" y="2015813"/>
                  <a:pt x="10001669" y="2002536"/>
                  <a:pt x="10019456" y="2002536"/>
                </a:cubicBezTo>
                <a:cubicBezTo>
                  <a:pt x="10037243" y="2002536"/>
                  <a:pt x="10051660" y="2015813"/>
                  <a:pt x="10051660" y="2032188"/>
                </a:cubicBezTo>
                <a:cubicBezTo>
                  <a:pt x="10051660" y="2048562"/>
                  <a:pt x="10037243" y="2061840"/>
                  <a:pt x="10019456" y="2061840"/>
                </a:cubicBezTo>
                <a:close/>
                <a:moveTo>
                  <a:pt x="10097990" y="2061840"/>
                </a:moveTo>
                <a:cubicBezTo>
                  <a:pt x="10080203" y="2061840"/>
                  <a:pt x="10065774" y="2048562"/>
                  <a:pt x="10065774" y="2032188"/>
                </a:cubicBezTo>
                <a:cubicBezTo>
                  <a:pt x="10065774" y="2015813"/>
                  <a:pt x="10080203" y="2002536"/>
                  <a:pt x="10097990" y="2002536"/>
                </a:cubicBezTo>
                <a:cubicBezTo>
                  <a:pt x="10115778" y="2002536"/>
                  <a:pt x="10130195" y="2015813"/>
                  <a:pt x="10130195" y="2032188"/>
                </a:cubicBezTo>
                <a:cubicBezTo>
                  <a:pt x="10130195" y="2048562"/>
                  <a:pt x="10115778" y="2061840"/>
                  <a:pt x="10097990" y="2061840"/>
                </a:cubicBezTo>
                <a:close/>
                <a:moveTo>
                  <a:pt x="10176524" y="2061840"/>
                </a:moveTo>
                <a:cubicBezTo>
                  <a:pt x="10158736" y="2061840"/>
                  <a:pt x="10144307" y="2048562"/>
                  <a:pt x="10144307" y="2032188"/>
                </a:cubicBezTo>
                <a:cubicBezTo>
                  <a:pt x="10144307" y="2015813"/>
                  <a:pt x="10158736" y="2002536"/>
                  <a:pt x="10176524" y="2002536"/>
                </a:cubicBezTo>
                <a:cubicBezTo>
                  <a:pt x="10194311" y="2002536"/>
                  <a:pt x="10208728" y="2015813"/>
                  <a:pt x="10208728" y="2032188"/>
                </a:cubicBezTo>
                <a:cubicBezTo>
                  <a:pt x="10208728" y="2048562"/>
                  <a:pt x="10194311" y="2061840"/>
                  <a:pt x="10176524" y="2061840"/>
                </a:cubicBezTo>
                <a:close/>
                <a:moveTo>
                  <a:pt x="3972319" y="1989574"/>
                </a:moveTo>
                <a:cubicBezTo>
                  <a:pt x="3954532" y="1989574"/>
                  <a:pt x="3940108" y="1976297"/>
                  <a:pt x="3940108" y="1959922"/>
                </a:cubicBezTo>
                <a:cubicBezTo>
                  <a:pt x="3940108" y="1943547"/>
                  <a:pt x="3954532" y="1930270"/>
                  <a:pt x="3972319" y="1930270"/>
                </a:cubicBezTo>
                <a:cubicBezTo>
                  <a:pt x="3990106" y="1930270"/>
                  <a:pt x="4004529" y="1943547"/>
                  <a:pt x="4004529" y="1959922"/>
                </a:cubicBezTo>
                <a:cubicBezTo>
                  <a:pt x="4004529" y="1976297"/>
                  <a:pt x="3990106" y="1989574"/>
                  <a:pt x="3972319" y="1989574"/>
                </a:cubicBezTo>
                <a:close/>
                <a:moveTo>
                  <a:pt x="4050852" y="1989574"/>
                </a:moveTo>
                <a:cubicBezTo>
                  <a:pt x="4033065" y="1989574"/>
                  <a:pt x="4018642" y="1976297"/>
                  <a:pt x="4018642" y="1959922"/>
                </a:cubicBezTo>
                <a:cubicBezTo>
                  <a:pt x="4018642" y="1943547"/>
                  <a:pt x="4033065" y="1930270"/>
                  <a:pt x="4050852" y="1930270"/>
                </a:cubicBezTo>
                <a:cubicBezTo>
                  <a:pt x="4068639" y="1930270"/>
                  <a:pt x="4083062" y="1943547"/>
                  <a:pt x="4083062" y="1959922"/>
                </a:cubicBezTo>
                <a:cubicBezTo>
                  <a:pt x="4083062" y="1976297"/>
                  <a:pt x="4068639" y="1989574"/>
                  <a:pt x="4050852" y="1989574"/>
                </a:cubicBezTo>
                <a:close/>
                <a:moveTo>
                  <a:pt x="4129386" y="1989574"/>
                </a:moveTo>
                <a:cubicBezTo>
                  <a:pt x="4111599" y="1989574"/>
                  <a:pt x="4097176" y="1976297"/>
                  <a:pt x="4097176" y="1959922"/>
                </a:cubicBezTo>
                <a:cubicBezTo>
                  <a:pt x="4097176" y="1943547"/>
                  <a:pt x="4111599" y="1930270"/>
                  <a:pt x="4129386" y="1930270"/>
                </a:cubicBezTo>
                <a:cubicBezTo>
                  <a:pt x="4147174" y="1930270"/>
                  <a:pt x="4161597" y="1943547"/>
                  <a:pt x="4161597" y="1959922"/>
                </a:cubicBezTo>
                <a:cubicBezTo>
                  <a:pt x="4161597" y="1976297"/>
                  <a:pt x="4147174" y="1989574"/>
                  <a:pt x="4129386" y="1989574"/>
                </a:cubicBezTo>
                <a:close/>
                <a:moveTo>
                  <a:pt x="4207926" y="1989574"/>
                </a:moveTo>
                <a:cubicBezTo>
                  <a:pt x="4190138" y="1989574"/>
                  <a:pt x="4175715" y="1976297"/>
                  <a:pt x="4175715" y="1959922"/>
                </a:cubicBezTo>
                <a:cubicBezTo>
                  <a:pt x="4175715" y="1943547"/>
                  <a:pt x="4190138" y="1930270"/>
                  <a:pt x="4207926" y="1930270"/>
                </a:cubicBezTo>
                <a:cubicBezTo>
                  <a:pt x="4225713" y="1930270"/>
                  <a:pt x="4240136" y="1943547"/>
                  <a:pt x="4240136" y="1959922"/>
                </a:cubicBezTo>
                <a:cubicBezTo>
                  <a:pt x="4240136" y="1976297"/>
                  <a:pt x="4225713" y="1989574"/>
                  <a:pt x="4207926" y="1989574"/>
                </a:cubicBezTo>
                <a:close/>
                <a:moveTo>
                  <a:pt x="4286460" y="1989574"/>
                </a:moveTo>
                <a:cubicBezTo>
                  <a:pt x="4268673" y="1989574"/>
                  <a:pt x="4254250" y="1976297"/>
                  <a:pt x="4254250" y="1959922"/>
                </a:cubicBezTo>
                <a:cubicBezTo>
                  <a:pt x="4254250" y="1943547"/>
                  <a:pt x="4268673" y="1930270"/>
                  <a:pt x="4286460" y="1930270"/>
                </a:cubicBezTo>
                <a:cubicBezTo>
                  <a:pt x="4304247" y="1930270"/>
                  <a:pt x="4318670" y="1943547"/>
                  <a:pt x="4318670" y="1959922"/>
                </a:cubicBezTo>
                <a:cubicBezTo>
                  <a:pt x="4318670" y="1976297"/>
                  <a:pt x="4304247" y="1989574"/>
                  <a:pt x="4286460" y="1989574"/>
                </a:cubicBezTo>
                <a:close/>
                <a:moveTo>
                  <a:pt x="4364994" y="1989574"/>
                </a:moveTo>
                <a:cubicBezTo>
                  <a:pt x="4347207" y="1989574"/>
                  <a:pt x="4332784" y="1976297"/>
                  <a:pt x="4332784" y="1959922"/>
                </a:cubicBezTo>
                <a:cubicBezTo>
                  <a:pt x="4332784" y="1943547"/>
                  <a:pt x="4347207" y="1930270"/>
                  <a:pt x="4364994" y="1930270"/>
                </a:cubicBezTo>
                <a:cubicBezTo>
                  <a:pt x="4382781" y="1930270"/>
                  <a:pt x="4397204" y="1943547"/>
                  <a:pt x="4397204" y="1959922"/>
                </a:cubicBezTo>
                <a:cubicBezTo>
                  <a:pt x="4397204" y="1976297"/>
                  <a:pt x="4382781" y="1989574"/>
                  <a:pt x="4364994" y="1989574"/>
                </a:cubicBezTo>
                <a:close/>
                <a:moveTo>
                  <a:pt x="4443527" y="1989574"/>
                </a:moveTo>
                <a:cubicBezTo>
                  <a:pt x="4425740" y="1989574"/>
                  <a:pt x="4411317" y="1976297"/>
                  <a:pt x="4411317" y="1959922"/>
                </a:cubicBezTo>
                <a:cubicBezTo>
                  <a:pt x="4411317" y="1943547"/>
                  <a:pt x="4425740" y="1930270"/>
                  <a:pt x="4443527" y="1930270"/>
                </a:cubicBezTo>
                <a:cubicBezTo>
                  <a:pt x="4461315" y="1930270"/>
                  <a:pt x="4475738" y="1943547"/>
                  <a:pt x="4475738" y="1959922"/>
                </a:cubicBezTo>
                <a:cubicBezTo>
                  <a:pt x="4475738" y="1976297"/>
                  <a:pt x="4461315" y="1989574"/>
                  <a:pt x="4443527" y="1989574"/>
                </a:cubicBezTo>
                <a:close/>
                <a:moveTo>
                  <a:pt x="4522062" y="1989574"/>
                </a:moveTo>
                <a:cubicBezTo>
                  <a:pt x="4504274" y="1989574"/>
                  <a:pt x="4489851" y="1976297"/>
                  <a:pt x="4489851" y="1959922"/>
                </a:cubicBezTo>
                <a:cubicBezTo>
                  <a:pt x="4489851" y="1943547"/>
                  <a:pt x="4504274" y="1930270"/>
                  <a:pt x="4522062" y="1930270"/>
                </a:cubicBezTo>
                <a:cubicBezTo>
                  <a:pt x="4539849" y="1930270"/>
                  <a:pt x="4554272" y="1943547"/>
                  <a:pt x="4554272" y="1959922"/>
                </a:cubicBezTo>
                <a:cubicBezTo>
                  <a:pt x="4554272" y="1976297"/>
                  <a:pt x="4539849" y="1989574"/>
                  <a:pt x="4522062" y="1989574"/>
                </a:cubicBezTo>
                <a:close/>
                <a:moveTo>
                  <a:pt x="4600596" y="1989574"/>
                </a:moveTo>
                <a:cubicBezTo>
                  <a:pt x="4582809" y="1989574"/>
                  <a:pt x="4568386" y="1976297"/>
                  <a:pt x="4568386" y="1959922"/>
                </a:cubicBezTo>
                <a:cubicBezTo>
                  <a:pt x="4568386" y="1943547"/>
                  <a:pt x="4582809" y="1930270"/>
                  <a:pt x="4600596" y="1930270"/>
                </a:cubicBezTo>
                <a:cubicBezTo>
                  <a:pt x="4618383" y="1930270"/>
                  <a:pt x="4632806" y="1943547"/>
                  <a:pt x="4632806" y="1959922"/>
                </a:cubicBezTo>
                <a:cubicBezTo>
                  <a:pt x="4632806" y="1976297"/>
                  <a:pt x="4618383" y="1989574"/>
                  <a:pt x="4600596" y="1989574"/>
                </a:cubicBezTo>
                <a:close/>
                <a:moveTo>
                  <a:pt x="6406875" y="1989574"/>
                </a:moveTo>
                <a:cubicBezTo>
                  <a:pt x="6389087" y="1989574"/>
                  <a:pt x="6374658" y="1976297"/>
                  <a:pt x="6374658" y="1959922"/>
                </a:cubicBezTo>
                <a:cubicBezTo>
                  <a:pt x="6374658" y="1943547"/>
                  <a:pt x="6389087" y="1930270"/>
                  <a:pt x="6406875" y="1930270"/>
                </a:cubicBezTo>
                <a:cubicBezTo>
                  <a:pt x="6424662" y="1930270"/>
                  <a:pt x="6439079" y="1943547"/>
                  <a:pt x="6439079" y="1959922"/>
                </a:cubicBezTo>
                <a:cubicBezTo>
                  <a:pt x="6439079" y="1976297"/>
                  <a:pt x="6424662" y="1989574"/>
                  <a:pt x="6406875" y="1989574"/>
                </a:cubicBezTo>
                <a:close/>
                <a:moveTo>
                  <a:pt x="6485408" y="1989574"/>
                </a:moveTo>
                <a:cubicBezTo>
                  <a:pt x="6467621" y="1989574"/>
                  <a:pt x="6453191" y="1976297"/>
                  <a:pt x="6453191" y="1959922"/>
                </a:cubicBezTo>
                <a:cubicBezTo>
                  <a:pt x="6453191" y="1943547"/>
                  <a:pt x="6467621" y="1930270"/>
                  <a:pt x="6485408" y="1930270"/>
                </a:cubicBezTo>
                <a:cubicBezTo>
                  <a:pt x="6503195" y="1930270"/>
                  <a:pt x="6517612" y="1943547"/>
                  <a:pt x="6517612" y="1959922"/>
                </a:cubicBezTo>
                <a:cubicBezTo>
                  <a:pt x="6517612" y="1976297"/>
                  <a:pt x="6503195" y="1989574"/>
                  <a:pt x="6485408" y="1989574"/>
                </a:cubicBezTo>
                <a:close/>
                <a:moveTo>
                  <a:pt x="6563942" y="1989574"/>
                </a:moveTo>
                <a:cubicBezTo>
                  <a:pt x="6546155" y="1989574"/>
                  <a:pt x="6531726" y="1976297"/>
                  <a:pt x="6531726" y="1959922"/>
                </a:cubicBezTo>
                <a:cubicBezTo>
                  <a:pt x="6531726" y="1943547"/>
                  <a:pt x="6546155" y="1930270"/>
                  <a:pt x="6563942" y="1930270"/>
                </a:cubicBezTo>
                <a:cubicBezTo>
                  <a:pt x="6581729" y="1930270"/>
                  <a:pt x="6596146" y="1943547"/>
                  <a:pt x="6596146" y="1959922"/>
                </a:cubicBezTo>
                <a:cubicBezTo>
                  <a:pt x="6596146" y="1976297"/>
                  <a:pt x="6581729" y="1989574"/>
                  <a:pt x="6563942" y="1989574"/>
                </a:cubicBezTo>
                <a:close/>
                <a:moveTo>
                  <a:pt x="6642476" y="1989574"/>
                </a:moveTo>
                <a:cubicBezTo>
                  <a:pt x="6624689" y="1989574"/>
                  <a:pt x="6610260" y="1976297"/>
                  <a:pt x="6610260" y="1959922"/>
                </a:cubicBezTo>
                <a:cubicBezTo>
                  <a:pt x="6610260" y="1943547"/>
                  <a:pt x="6624689" y="1930270"/>
                  <a:pt x="6642476" y="1930270"/>
                </a:cubicBezTo>
                <a:cubicBezTo>
                  <a:pt x="6660264" y="1930270"/>
                  <a:pt x="6674681" y="1943547"/>
                  <a:pt x="6674681" y="1959922"/>
                </a:cubicBezTo>
                <a:cubicBezTo>
                  <a:pt x="6674681" y="1976297"/>
                  <a:pt x="6660264" y="1989574"/>
                  <a:pt x="6642476" y="1989574"/>
                </a:cubicBezTo>
                <a:close/>
                <a:moveTo>
                  <a:pt x="6721010" y="1989574"/>
                </a:moveTo>
                <a:cubicBezTo>
                  <a:pt x="6703222" y="1989574"/>
                  <a:pt x="6688793" y="1976297"/>
                  <a:pt x="6688793" y="1959922"/>
                </a:cubicBezTo>
                <a:cubicBezTo>
                  <a:pt x="6688793" y="1943547"/>
                  <a:pt x="6703222" y="1930270"/>
                  <a:pt x="6721010" y="1930270"/>
                </a:cubicBezTo>
                <a:cubicBezTo>
                  <a:pt x="6738797" y="1930270"/>
                  <a:pt x="6753214" y="1943547"/>
                  <a:pt x="6753214" y="1959922"/>
                </a:cubicBezTo>
                <a:cubicBezTo>
                  <a:pt x="6753214" y="1976297"/>
                  <a:pt x="6738797" y="1989574"/>
                  <a:pt x="6721010" y="1989574"/>
                </a:cubicBezTo>
                <a:close/>
                <a:moveTo>
                  <a:pt x="6799544" y="1989574"/>
                </a:moveTo>
                <a:cubicBezTo>
                  <a:pt x="6781757" y="1989574"/>
                  <a:pt x="6767327" y="1976297"/>
                  <a:pt x="6767327" y="1959922"/>
                </a:cubicBezTo>
                <a:cubicBezTo>
                  <a:pt x="6767327" y="1943547"/>
                  <a:pt x="6781757" y="1930270"/>
                  <a:pt x="6799544" y="1930270"/>
                </a:cubicBezTo>
                <a:cubicBezTo>
                  <a:pt x="6817331" y="1930270"/>
                  <a:pt x="6831748" y="1943547"/>
                  <a:pt x="6831748" y="1959922"/>
                </a:cubicBezTo>
                <a:cubicBezTo>
                  <a:pt x="6831748" y="1976297"/>
                  <a:pt x="6817331" y="1989574"/>
                  <a:pt x="6799544" y="1989574"/>
                </a:cubicBezTo>
                <a:close/>
                <a:moveTo>
                  <a:pt x="6878077" y="1989574"/>
                </a:moveTo>
                <a:cubicBezTo>
                  <a:pt x="6860290" y="1989574"/>
                  <a:pt x="6845861" y="1976297"/>
                  <a:pt x="6845861" y="1959922"/>
                </a:cubicBezTo>
                <a:cubicBezTo>
                  <a:pt x="6845861" y="1943547"/>
                  <a:pt x="6860290" y="1930270"/>
                  <a:pt x="6878077" y="1930270"/>
                </a:cubicBezTo>
                <a:cubicBezTo>
                  <a:pt x="6895864" y="1930270"/>
                  <a:pt x="6910281" y="1943547"/>
                  <a:pt x="6910281" y="1959922"/>
                </a:cubicBezTo>
                <a:cubicBezTo>
                  <a:pt x="6910281" y="1976297"/>
                  <a:pt x="6895864" y="1989574"/>
                  <a:pt x="6878077" y="1989574"/>
                </a:cubicBezTo>
                <a:close/>
                <a:moveTo>
                  <a:pt x="7192237" y="1989574"/>
                </a:moveTo>
                <a:cubicBezTo>
                  <a:pt x="7174450" y="1989574"/>
                  <a:pt x="7160021" y="1976297"/>
                  <a:pt x="7160021" y="1959922"/>
                </a:cubicBezTo>
                <a:cubicBezTo>
                  <a:pt x="7160021" y="1943547"/>
                  <a:pt x="7174450" y="1930270"/>
                  <a:pt x="7192237" y="1930270"/>
                </a:cubicBezTo>
                <a:cubicBezTo>
                  <a:pt x="7210024" y="1930270"/>
                  <a:pt x="7224441" y="1943547"/>
                  <a:pt x="7224441" y="1959922"/>
                </a:cubicBezTo>
                <a:cubicBezTo>
                  <a:pt x="7224441" y="1976297"/>
                  <a:pt x="7210024" y="1989574"/>
                  <a:pt x="7192237" y="1989574"/>
                </a:cubicBezTo>
                <a:close/>
                <a:moveTo>
                  <a:pt x="7270771" y="1989574"/>
                </a:moveTo>
                <a:cubicBezTo>
                  <a:pt x="7252984" y="1989574"/>
                  <a:pt x="7238555" y="1976297"/>
                  <a:pt x="7238555" y="1959922"/>
                </a:cubicBezTo>
                <a:cubicBezTo>
                  <a:pt x="7238555" y="1943547"/>
                  <a:pt x="7252984" y="1930270"/>
                  <a:pt x="7270771" y="1930270"/>
                </a:cubicBezTo>
                <a:cubicBezTo>
                  <a:pt x="7288559" y="1930270"/>
                  <a:pt x="7302976" y="1943547"/>
                  <a:pt x="7302976" y="1959922"/>
                </a:cubicBezTo>
                <a:cubicBezTo>
                  <a:pt x="7302976" y="1976297"/>
                  <a:pt x="7288559" y="1989574"/>
                  <a:pt x="7270771" y="1989574"/>
                </a:cubicBezTo>
                <a:close/>
                <a:moveTo>
                  <a:pt x="9312652" y="1989574"/>
                </a:moveTo>
                <a:cubicBezTo>
                  <a:pt x="9294865" y="1989574"/>
                  <a:pt x="9280436" y="1976297"/>
                  <a:pt x="9280436" y="1959922"/>
                </a:cubicBezTo>
                <a:cubicBezTo>
                  <a:pt x="9280436" y="1943547"/>
                  <a:pt x="9294865" y="1930270"/>
                  <a:pt x="9312652" y="1930270"/>
                </a:cubicBezTo>
                <a:cubicBezTo>
                  <a:pt x="9330439" y="1930270"/>
                  <a:pt x="9344856" y="1943547"/>
                  <a:pt x="9344856" y="1959922"/>
                </a:cubicBezTo>
                <a:cubicBezTo>
                  <a:pt x="9344856" y="1976297"/>
                  <a:pt x="9330439" y="1989574"/>
                  <a:pt x="9312652" y="1989574"/>
                </a:cubicBezTo>
                <a:close/>
                <a:moveTo>
                  <a:pt x="9391185" y="1989574"/>
                </a:moveTo>
                <a:cubicBezTo>
                  <a:pt x="9373398" y="1989574"/>
                  <a:pt x="9358969" y="1976297"/>
                  <a:pt x="9358969" y="1959922"/>
                </a:cubicBezTo>
                <a:cubicBezTo>
                  <a:pt x="9358969" y="1943547"/>
                  <a:pt x="9373398" y="1930270"/>
                  <a:pt x="9391185" y="1930270"/>
                </a:cubicBezTo>
                <a:cubicBezTo>
                  <a:pt x="9408972" y="1930270"/>
                  <a:pt x="9423389" y="1943547"/>
                  <a:pt x="9423389" y="1959922"/>
                </a:cubicBezTo>
                <a:cubicBezTo>
                  <a:pt x="9423389" y="1976297"/>
                  <a:pt x="9408972" y="1989574"/>
                  <a:pt x="9391185" y="1989574"/>
                </a:cubicBezTo>
                <a:close/>
                <a:moveTo>
                  <a:pt x="9469719" y="1989574"/>
                </a:moveTo>
                <a:cubicBezTo>
                  <a:pt x="9451932" y="1989574"/>
                  <a:pt x="9437503" y="1976297"/>
                  <a:pt x="9437503" y="1959922"/>
                </a:cubicBezTo>
                <a:cubicBezTo>
                  <a:pt x="9437503" y="1943547"/>
                  <a:pt x="9451932" y="1930270"/>
                  <a:pt x="9469719" y="1930270"/>
                </a:cubicBezTo>
                <a:cubicBezTo>
                  <a:pt x="9487507" y="1930270"/>
                  <a:pt x="9501924" y="1943547"/>
                  <a:pt x="9501924" y="1959922"/>
                </a:cubicBezTo>
                <a:cubicBezTo>
                  <a:pt x="9501924" y="1976297"/>
                  <a:pt x="9487507" y="1989574"/>
                  <a:pt x="9469719" y="1989574"/>
                </a:cubicBezTo>
                <a:close/>
                <a:moveTo>
                  <a:pt x="9548254" y="1989574"/>
                </a:moveTo>
                <a:cubicBezTo>
                  <a:pt x="9530466" y="1989574"/>
                  <a:pt x="9516037" y="1976297"/>
                  <a:pt x="9516037" y="1959922"/>
                </a:cubicBezTo>
                <a:cubicBezTo>
                  <a:pt x="9516037" y="1943547"/>
                  <a:pt x="9530466" y="1930270"/>
                  <a:pt x="9548254" y="1930270"/>
                </a:cubicBezTo>
                <a:cubicBezTo>
                  <a:pt x="9566041" y="1930270"/>
                  <a:pt x="9580458" y="1943547"/>
                  <a:pt x="9580458" y="1959922"/>
                </a:cubicBezTo>
                <a:cubicBezTo>
                  <a:pt x="9580458" y="1976297"/>
                  <a:pt x="9566041" y="1989574"/>
                  <a:pt x="9548254" y="1989574"/>
                </a:cubicBezTo>
                <a:close/>
                <a:moveTo>
                  <a:pt x="9626787" y="1989574"/>
                </a:moveTo>
                <a:cubicBezTo>
                  <a:pt x="9609000" y="1989574"/>
                  <a:pt x="9594571" y="1976297"/>
                  <a:pt x="9594571" y="1959922"/>
                </a:cubicBezTo>
                <a:cubicBezTo>
                  <a:pt x="9594571" y="1943547"/>
                  <a:pt x="9609000" y="1930270"/>
                  <a:pt x="9626787" y="1930270"/>
                </a:cubicBezTo>
                <a:cubicBezTo>
                  <a:pt x="9644574" y="1930270"/>
                  <a:pt x="9658991" y="1943547"/>
                  <a:pt x="9658991" y="1959922"/>
                </a:cubicBezTo>
                <a:cubicBezTo>
                  <a:pt x="9658991" y="1976297"/>
                  <a:pt x="9644574" y="1989574"/>
                  <a:pt x="9626787" y="1989574"/>
                </a:cubicBezTo>
                <a:close/>
                <a:moveTo>
                  <a:pt x="9705321" y="1989574"/>
                </a:moveTo>
                <a:cubicBezTo>
                  <a:pt x="9687534" y="1989574"/>
                  <a:pt x="9673105" y="1976297"/>
                  <a:pt x="9673105" y="1959922"/>
                </a:cubicBezTo>
                <a:cubicBezTo>
                  <a:pt x="9673105" y="1943547"/>
                  <a:pt x="9687534" y="1930270"/>
                  <a:pt x="9705321" y="1930270"/>
                </a:cubicBezTo>
                <a:cubicBezTo>
                  <a:pt x="9723108" y="1930270"/>
                  <a:pt x="9737525" y="1943547"/>
                  <a:pt x="9737525" y="1959922"/>
                </a:cubicBezTo>
                <a:cubicBezTo>
                  <a:pt x="9737525" y="1976297"/>
                  <a:pt x="9723108" y="1989574"/>
                  <a:pt x="9705321" y="1989574"/>
                </a:cubicBezTo>
                <a:close/>
                <a:moveTo>
                  <a:pt x="9783854" y="1989574"/>
                </a:moveTo>
                <a:cubicBezTo>
                  <a:pt x="9766067" y="1989574"/>
                  <a:pt x="9751638" y="1976297"/>
                  <a:pt x="9751638" y="1959922"/>
                </a:cubicBezTo>
                <a:cubicBezTo>
                  <a:pt x="9751638" y="1943547"/>
                  <a:pt x="9766067" y="1930270"/>
                  <a:pt x="9783854" y="1930270"/>
                </a:cubicBezTo>
                <a:cubicBezTo>
                  <a:pt x="9801642" y="1930270"/>
                  <a:pt x="9816059" y="1943547"/>
                  <a:pt x="9816059" y="1959922"/>
                </a:cubicBezTo>
                <a:cubicBezTo>
                  <a:pt x="9816059" y="1976297"/>
                  <a:pt x="9801642" y="1989574"/>
                  <a:pt x="9783854" y="1989574"/>
                </a:cubicBezTo>
                <a:close/>
                <a:moveTo>
                  <a:pt x="9862389" y="1989574"/>
                </a:moveTo>
                <a:cubicBezTo>
                  <a:pt x="9844601" y="1989574"/>
                  <a:pt x="9830172" y="1976297"/>
                  <a:pt x="9830172" y="1959922"/>
                </a:cubicBezTo>
                <a:cubicBezTo>
                  <a:pt x="9830172" y="1943547"/>
                  <a:pt x="9844601" y="1930270"/>
                  <a:pt x="9862389" y="1930270"/>
                </a:cubicBezTo>
                <a:cubicBezTo>
                  <a:pt x="9880176" y="1930270"/>
                  <a:pt x="9894593" y="1943547"/>
                  <a:pt x="9894593" y="1959922"/>
                </a:cubicBezTo>
                <a:cubicBezTo>
                  <a:pt x="9894593" y="1976297"/>
                  <a:pt x="9880176" y="1989574"/>
                  <a:pt x="9862389" y="1989574"/>
                </a:cubicBezTo>
                <a:close/>
                <a:moveTo>
                  <a:pt x="9940923" y="1989574"/>
                </a:moveTo>
                <a:cubicBezTo>
                  <a:pt x="9923136" y="1989574"/>
                  <a:pt x="9908707" y="1976297"/>
                  <a:pt x="9908707" y="1959922"/>
                </a:cubicBezTo>
                <a:cubicBezTo>
                  <a:pt x="9908707" y="1943547"/>
                  <a:pt x="9923136" y="1930270"/>
                  <a:pt x="9940923" y="1930270"/>
                </a:cubicBezTo>
                <a:cubicBezTo>
                  <a:pt x="9958710" y="1930270"/>
                  <a:pt x="9973127" y="1943547"/>
                  <a:pt x="9973127" y="1959922"/>
                </a:cubicBezTo>
                <a:cubicBezTo>
                  <a:pt x="9973127" y="1976297"/>
                  <a:pt x="9958710" y="1989574"/>
                  <a:pt x="9940923" y="1989574"/>
                </a:cubicBezTo>
                <a:close/>
                <a:moveTo>
                  <a:pt x="10019456" y="1989574"/>
                </a:moveTo>
                <a:cubicBezTo>
                  <a:pt x="10001669" y="1989574"/>
                  <a:pt x="9987240" y="1976297"/>
                  <a:pt x="9987240" y="1959922"/>
                </a:cubicBezTo>
                <a:cubicBezTo>
                  <a:pt x="9987240" y="1943547"/>
                  <a:pt x="10001669" y="1930270"/>
                  <a:pt x="10019456" y="1930270"/>
                </a:cubicBezTo>
                <a:cubicBezTo>
                  <a:pt x="10037243" y="1930270"/>
                  <a:pt x="10051660" y="1943547"/>
                  <a:pt x="10051660" y="1959922"/>
                </a:cubicBezTo>
                <a:cubicBezTo>
                  <a:pt x="10051660" y="1976297"/>
                  <a:pt x="10037243" y="1989574"/>
                  <a:pt x="10019456" y="1989574"/>
                </a:cubicBezTo>
                <a:close/>
                <a:moveTo>
                  <a:pt x="10097990" y="1989574"/>
                </a:moveTo>
                <a:cubicBezTo>
                  <a:pt x="10080203" y="1989574"/>
                  <a:pt x="10065774" y="1976297"/>
                  <a:pt x="10065774" y="1959922"/>
                </a:cubicBezTo>
                <a:cubicBezTo>
                  <a:pt x="10065774" y="1943547"/>
                  <a:pt x="10080203" y="1930270"/>
                  <a:pt x="10097990" y="1930270"/>
                </a:cubicBezTo>
                <a:cubicBezTo>
                  <a:pt x="10115778" y="1930270"/>
                  <a:pt x="10130195" y="1943547"/>
                  <a:pt x="10130195" y="1959922"/>
                </a:cubicBezTo>
                <a:cubicBezTo>
                  <a:pt x="10130195" y="1976297"/>
                  <a:pt x="10115778" y="1989574"/>
                  <a:pt x="10097990" y="1989574"/>
                </a:cubicBezTo>
                <a:close/>
                <a:moveTo>
                  <a:pt x="10176524" y="1989574"/>
                </a:moveTo>
                <a:cubicBezTo>
                  <a:pt x="10158736" y="1989574"/>
                  <a:pt x="10144307" y="1976297"/>
                  <a:pt x="10144307" y="1959922"/>
                </a:cubicBezTo>
                <a:cubicBezTo>
                  <a:pt x="10144307" y="1943547"/>
                  <a:pt x="10158736" y="1930270"/>
                  <a:pt x="10176524" y="1930270"/>
                </a:cubicBezTo>
                <a:cubicBezTo>
                  <a:pt x="10194311" y="1930270"/>
                  <a:pt x="10208728" y="1943547"/>
                  <a:pt x="10208728" y="1959922"/>
                </a:cubicBezTo>
                <a:cubicBezTo>
                  <a:pt x="10208728" y="1976297"/>
                  <a:pt x="10194311" y="1989574"/>
                  <a:pt x="10176524" y="1989574"/>
                </a:cubicBezTo>
                <a:close/>
                <a:moveTo>
                  <a:pt x="10726261" y="1989574"/>
                </a:moveTo>
                <a:cubicBezTo>
                  <a:pt x="10708474" y="1989574"/>
                  <a:pt x="10694045" y="1976297"/>
                  <a:pt x="10694045" y="1959922"/>
                </a:cubicBezTo>
                <a:cubicBezTo>
                  <a:pt x="10694045" y="1943547"/>
                  <a:pt x="10708474" y="1930270"/>
                  <a:pt x="10726261" y="1930270"/>
                </a:cubicBezTo>
                <a:cubicBezTo>
                  <a:pt x="10744049" y="1930270"/>
                  <a:pt x="10758466" y="1943547"/>
                  <a:pt x="10758466" y="1959922"/>
                </a:cubicBezTo>
                <a:cubicBezTo>
                  <a:pt x="10758466" y="1976297"/>
                  <a:pt x="10744049" y="1989574"/>
                  <a:pt x="10726261" y="1989574"/>
                </a:cubicBezTo>
                <a:close/>
                <a:moveTo>
                  <a:pt x="3972319" y="1917309"/>
                </a:moveTo>
                <a:cubicBezTo>
                  <a:pt x="3954532" y="1917309"/>
                  <a:pt x="3940108" y="1904032"/>
                  <a:pt x="3940108" y="1887657"/>
                </a:cubicBezTo>
                <a:cubicBezTo>
                  <a:pt x="3940108" y="1871283"/>
                  <a:pt x="3954532" y="1858005"/>
                  <a:pt x="3972319" y="1858005"/>
                </a:cubicBezTo>
                <a:cubicBezTo>
                  <a:pt x="3990106" y="1858005"/>
                  <a:pt x="4004529" y="1871283"/>
                  <a:pt x="4004529" y="1887657"/>
                </a:cubicBezTo>
                <a:cubicBezTo>
                  <a:pt x="4004529" y="1904032"/>
                  <a:pt x="3990106" y="1917309"/>
                  <a:pt x="3972319" y="1917309"/>
                </a:cubicBezTo>
                <a:close/>
                <a:moveTo>
                  <a:pt x="4050852" y="1917309"/>
                </a:moveTo>
                <a:cubicBezTo>
                  <a:pt x="4033065" y="1917309"/>
                  <a:pt x="4018642" y="1904032"/>
                  <a:pt x="4018642" y="1887657"/>
                </a:cubicBezTo>
                <a:cubicBezTo>
                  <a:pt x="4018642" y="1871283"/>
                  <a:pt x="4033065" y="1858005"/>
                  <a:pt x="4050852" y="1858005"/>
                </a:cubicBezTo>
                <a:cubicBezTo>
                  <a:pt x="4068639" y="1858005"/>
                  <a:pt x="4083062" y="1871283"/>
                  <a:pt x="4083062" y="1887657"/>
                </a:cubicBezTo>
                <a:cubicBezTo>
                  <a:pt x="4083062" y="1904032"/>
                  <a:pt x="4068639" y="1917309"/>
                  <a:pt x="4050852" y="1917309"/>
                </a:cubicBezTo>
                <a:close/>
                <a:moveTo>
                  <a:pt x="4129386" y="1917309"/>
                </a:moveTo>
                <a:cubicBezTo>
                  <a:pt x="4111599" y="1917309"/>
                  <a:pt x="4097176" y="1904032"/>
                  <a:pt x="4097176" y="1887657"/>
                </a:cubicBezTo>
                <a:cubicBezTo>
                  <a:pt x="4097176" y="1871283"/>
                  <a:pt x="4111599" y="1858005"/>
                  <a:pt x="4129386" y="1858005"/>
                </a:cubicBezTo>
                <a:cubicBezTo>
                  <a:pt x="4147174" y="1858005"/>
                  <a:pt x="4161597" y="1871283"/>
                  <a:pt x="4161597" y="1887657"/>
                </a:cubicBezTo>
                <a:cubicBezTo>
                  <a:pt x="4161597" y="1904032"/>
                  <a:pt x="4147174" y="1917309"/>
                  <a:pt x="4129386" y="1917309"/>
                </a:cubicBezTo>
                <a:close/>
                <a:moveTo>
                  <a:pt x="4207926" y="1917309"/>
                </a:moveTo>
                <a:cubicBezTo>
                  <a:pt x="4190138" y="1917309"/>
                  <a:pt x="4175715" y="1904032"/>
                  <a:pt x="4175715" y="1887657"/>
                </a:cubicBezTo>
                <a:cubicBezTo>
                  <a:pt x="4175715" y="1871283"/>
                  <a:pt x="4190138" y="1858005"/>
                  <a:pt x="4207926" y="1858005"/>
                </a:cubicBezTo>
                <a:cubicBezTo>
                  <a:pt x="4225713" y="1858005"/>
                  <a:pt x="4240136" y="1871283"/>
                  <a:pt x="4240136" y="1887657"/>
                </a:cubicBezTo>
                <a:cubicBezTo>
                  <a:pt x="4240136" y="1904032"/>
                  <a:pt x="4225713" y="1917309"/>
                  <a:pt x="4207926" y="1917309"/>
                </a:cubicBezTo>
                <a:close/>
                <a:moveTo>
                  <a:pt x="4286460" y="1917309"/>
                </a:moveTo>
                <a:cubicBezTo>
                  <a:pt x="4268673" y="1917309"/>
                  <a:pt x="4254250" y="1904032"/>
                  <a:pt x="4254250" y="1887657"/>
                </a:cubicBezTo>
                <a:cubicBezTo>
                  <a:pt x="4254250" y="1871283"/>
                  <a:pt x="4268673" y="1858005"/>
                  <a:pt x="4286460" y="1858005"/>
                </a:cubicBezTo>
                <a:cubicBezTo>
                  <a:pt x="4304247" y="1858005"/>
                  <a:pt x="4318670" y="1871283"/>
                  <a:pt x="4318670" y="1887657"/>
                </a:cubicBezTo>
                <a:cubicBezTo>
                  <a:pt x="4318670" y="1904032"/>
                  <a:pt x="4304247" y="1917309"/>
                  <a:pt x="4286460" y="1917309"/>
                </a:cubicBezTo>
                <a:close/>
                <a:moveTo>
                  <a:pt x="4364994" y="1917309"/>
                </a:moveTo>
                <a:cubicBezTo>
                  <a:pt x="4347207" y="1917309"/>
                  <a:pt x="4332784" y="1904032"/>
                  <a:pt x="4332784" y="1887657"/>
                </a:cubicBezTo>
                <a:cubicBezTo>
                  <a:pt x="4332784" y="1871283"/>
                  <a:pt x="4347207" y="1858005"/>
                  <a:pt x="4364994" y="1858005"/>
                </a:cubicBezTo>
                <a:cubicBezTo>
                  <a:pt x="4382781" y="1858005"/>
                  <a:pt x="4397204" y="1871283"/>
                  <a:pt x="4397204" y="1887657"/>
                </a:cubicBezTo>
                <a:cubicBezTo>
                  <a:pt x="4397204" y="1904032"/>
                  <a:pt x="4382781" y="1917309"/>
                  <a:pt x="4364994" y="1917309"/>
                </a:cubicBezTo>
                <a:close/>
                <a:moveTo>
                  <a:pt x="4443527" y="1917309"/>
                </a:moveTo>
                <a:cubicBezTo>
                  <a:pt x="4425740" y="1917309"/>
                  <a:pt x="4411317" y="1904032"/>
                  <a:pt x="4411317" y="1887657"/>
                </a:cubicBezTo>
                <a:cubicBezTo>
                  <a:pt x="4411317" y="1871283"/>
                  <a:pt x="4425740" y="1858005"/>
                  <a:pt x="4443527" y="1858005"/>
                </a:cubicBezTo>
                <a:cubicBezTo>
                  <a:pt x="4461315" y="1858005"/>
                  <a:pt x="4475738" y="1871283"/>
                  <a:pt x="4475738" y="1887657"/>
                </a:cubicBezTo>
                <a:cubicBezTo>
                  <a:pt x="4475738" y="1904032"/>
                  <a:pt x="4461315" y="1917309"/>
                  <a:pt x="4443527" y="1917309"/>
                </a:cubicBezTo>
                <a:close/>
                <a:moveTo>
                  <a:pt x="4522062" y="1917309"/>
                </a:moveTo>
                <a:cubicBezTo>
                  <a:pt x="4504274" y="1917309"/>
                  <a:pt x="4489851" y="1904032"/>
                  <a:pt x="4489851" y="1887657"/>
                </a:cubicBezTo>
                <a:cubicBezTo>
                  <a:pt x="4489851" y="1871283"/>
                  <a:pt x="4504274" y="1858005"/>
                  <a:pt x="4522062" y="1858005"/>
                </a:cubicBezTo>
                <a:cubicBezTo>
                  <a:pt x="4539849" y="1858005"/>
                  <a:pt x="4554272" y="1871283"/>
                  <a:pt x="4554272" y="1887657"/>
                </a:cubicBezTo>
                <a:cubicBezTo>
                  <a:pt x="4554272" y="1904032"/>
                  <a:pt x="4539849" y="1917309"/>
                  <a:pt x="4522062" y="1917309"/>
                </a:cubicBezTo>
                <a:close/>
                <a:moveTo>
                  <a:pt x="6406875" y="1917309"/>
                </a:moveTo>
                <a:cubicBezTo>
                  <a:pt x="6389087" y="1917309"/>
                  <a:pt x="6374658" y="1904032"/>
                  <a:pt x="6374658" y="1887657"/>
                </a:cubicBezTo>
                <a:cubicBezTo>
                  <a:pt x="6374658" y="1871283"/>
                  <a:pt x="6389087" y="1858005"/>
                  <a:pt x="6406875" y="1858005"/>
                </a:cubicBezTo>
                <a:cubicBezTo>
                  <a:pt x="6424662" y="1858005"/>
                  <a:pt x="6439079" y="1871283"/>
                  <a:pt x="6439079" y="1887657"/>
                </a:cubicBezTo>
                <a:cubicBezTo>
                  <a:pt x="6439079" y="1904032"/>
                  <a:pt x="6424662" y="1917309"/>
                  <a:pt x="6406875" y="1917309"/>
                </a:cubicBezTo>
                <a:close/>
                <a:moveTo>
                  <a:pt x="6485408" y="1917309"/>
                </a:moveTo>
                <a:cubicBezTo>
                  <a:pt x="6467621" y="1917309"/>
                  <a:pt x="6453191" y="1904032"/>
                  <a:pt x="6453191" y="1887657"/>
                </a:cubicBezTo>
                <a:cubicBezTo>
                  <a:pt x="6453191" y="1871283"/>
                  <a:pt x="6467621" y="1858005"/>
                  <a:pt x="6485408" y="1858005"/>
                </a:cubicBezTo>
                <a:cubicBezTo>
                  <a:pt x="6503195" y="1858005"/>
                  <a:pt x="6517612" y="1871283"/>
                  <a:pt x="6517612" y="1887657"/>
                </a:cubicBezTo>
                <a:cubicBezTo>
                  <a:pt x="6517612" y="1904032"/>
                  <a:pt x="6503195" y="1917309"/>
                  <a:pt x="6485408" y="1917309"/>
                </a:cubicBezTo>
                <a:close/>
                <a:moveTo>
                  <a:pt x="6563942" y="1917309"/>
                </a:moveTo>
                <a:cubicBezTo>
                  <a:pt x="6546155" y="1917309"/>
                  <a:pt x="6531726" y="1904032"/>
                  <a:pt x="6531726" y="1887657"/>
                </a:cubicBezTo>
                <a:cubicBezTo>
                  <a:pt x="6531726" y="1871283"/>
                  <a:pt x="6546155" y="1858005"/>
                  <a:pt x="6563942" y="1858005"/>
                </a:cubicBezTo>
                <a:cubicBezTo>
                  <a:pt x="6581729" y="1858005"/>
                  <a:pt x="6596146" y="1871283"/>
                  <a:pt x="6596146" y="1887657"/>
                </a:cubicBezTo>
                <a:cubicBezTo>
                  <a:pt x="6596146" y="1904032"/>
                  <a:pt x="6581729" y="1917309"/>
                  <a:pt x="6563942" y="1917309"/>
                </a:cubicBezTo>
                <a:close/>
                <a:moveTo>
                  <a:pt x="6642476" y="1917309"/>
                </a:moveTo>
                <a:cubicBezTo>
                  <a:pt x="6624689" y="1917309"/>
                  <a:pt x="6610260" y="1904032"/>
                  <a:pt x="6610260" y="1887657"/>
                </a:cubicBezTo>
                <a:cubicBezTo>
                  <a:pt x="6610260" y="1871283"/>
                  <a:pt x="6624689" y="1858005"/>
                  <a:pt x="6642476" y="1858005"/>
                </a:cubicBezTo>
                <a:cubicBezTo>
                  <a:pt x="6660264" y="1858005"/>
                  <a:pt x="6674681" y="1871283"/>
                  <a:pt x="6674681" y="1887657"/>
                </a:cubicBezTo>
                <a:cubicBezTo>
                  <a:pt x="6674681" y="1904032"/>
                  <a:pt x="6660264" y="1917309"/>
                  <a:pt x="6642476" y="1917309"/>
                </a:cubicBezTo>
                <a:close/>
                <a:moveTo>
                  <a:pt x="6721010" y="1917309"/>
                </a:moveTo>
                <a:cubicBezTo>
                  <a:pt x="6703222" y="1917309"/>
                  <a:pt x="6688793" y="1904032"/>
                  <a:pt x="6688793" y="1887657"/>
                </a:cubicBezTo>
                <a:cubicBezTo>
                  <a:pt x="6688793" y="1871283"/>
                  <a:pt x="6703222" y="1858005"/>
                  <a:pt x="6721010" y="1858005"/>
                </a:cubicBezTo>
                <a:cubicBezTo>
                  <a:pt x="6738797" y="1858005"/>
                  <a:pt x="6753214" y="1871283"/>
                  <a:pt x="6753214" y="1887657"/>
                </a:cubicBezTo>
                <a:cubicBezTo>
                  <a:pt x="6753214" y="1904032"/>
                  <a:pt x="6738797" y="1917309"/>
                  <a:pt x="6721010" y="1917309"/>
                </a:cubicBezTo>
                <a:close/>
                <a:moveTo>
                  <a:pt x="6799544" y="1917309"/>
                </a:moveTo>
                <a:cubicBezTo>
                  <a:pt x="6781757" y="1917309"/>
                  <a:pt x="6767327" y="1904032"/>
                  <a:pt x="6767327" y="1887657"/>
                </a:cubicBezTo>
                <a:cubicBezTo>
                  <a:pt x="6767327" y="1871283"/>
                  <a:pt x="6781757" y="1858005"/>
                  <a:pt x="6799544" y="1858005"/>
                </a:cubicBezTo>
                <a:cubicBezTo>
                  <a:pt x="6817331" y="1858005"/>
                  <a:pt x="6831748" y="1871283"/>
                  <a:pt x="6831748" y="1887657"/>
                </a:cubicBezTo>
                <a:cubicBezTo>
                  <a:pt x="6831748" y="1904032"/>
                  <a:pt x="6817331" y="1917309"/>
                  <a:pt x="6799544" y="1917309"/>
                </a:cubicBezTo>
                <a:close/>
                <a:moveTo>
                  <a:pt x="9234118" y="1917309"/>
                </a:moveTo>
                <a:cubicBezTo>
                  <a:pt x="9216330" y="1917309"/>
                  <a:pt x="9201901" y="1904032"/>
                  <a:pt x="9201901" y="1887657"/>
                </a:cubicBezTo>
                <a:cubicBezTo>
                  <a:pt x="9201901" y="1871283"/>
                  <a:pt x="9216330" y="1858005"/>
                  <a:pt x="9234118" y="1858005"/>
                </a:cubicBezTo>
                <a:cubicBezTo>
                  <a:pt x="9251905" y="1858005"/>
                  <a:pt x="9266322" y="1871283"/>
                  <a:pt x="9266322" y="1887657"/>
                </a:cubicBezTo>
                <a:cubicBezTo>
                  <a:pt x="9266322" y="1904032"/>
                  <a:pt x="9251905" y="1917309"/>
                  <a:pt x="9234118" y="1917309"/>
                </a:cubicBezTo>
                <a:close/>
                <a:moveTo>
                  <a:pt x="9312652" y="1917309"/>
                </a:moveTo>
                <a:cubicBezTo>
                  <a:pt x="9294865" y="1917309"/>
                  <a:pt x="9280436" y="1904032"/>
                  <a:pt x="9280436" y="1887657"/>
                </a:cubicBezTo>
                <a:cubicBezTo>
                  <a:pt x="9280436" y="1871283"/>
                  <a:pt x="9294865" y="1858005"/>
                  <a:pt x="9312652" y="1858005"/>
                </a:cubicBezTo>
                <a:cubicBezTo>
                  <a:pt x="9330439" y="1858005"/>
                  <a:pt x="9344856" y="1871283"/>
                  <a:pt x="9344856" y="1887657"/>
                </a:cubicBezTo>
                <a:cubicBezTo>
                  <a:pt x="9344856" y="1904032"/>
                  <a:pt x="9330439" y="1917309"/>
                  <a:pt x="9312652" y="1917309"/>
                </a:cubicBezTo>
                <a:close/>
                <a:moveTo>
                  <a:pt x="9391185" y="1917309"/>
                </a:moveTo>
                <a:cubicBezTo>
                  <a:pt x="9373398" y="1917309"/>
                  <a:pt x="9358969" y="1904032"/>
                  <a:pt x="9358969" y="1887657"/>
                </a:cubicBezTo>
                <a:cubicBezTo>
                  <a:pt x="9358969" y="1871283"/>
                  <a:pt x="9373398" y="1858005"/>
                  <a:pt x="9391185" y="1858005"/>
                </a:cubicBezTo>
                <a:cubicBezTo>
                  <a:pt x="9408972" y="1858005"/>
                  <a:pt x="9423389" y="1871283"/>
                  <a:pt x="9423389" y="1887657"/>
                </a:cubicBezTo>
                <a:cubicBezTo>
                  <a:pt x="9423389" y="1904032"/>
                  <a:pt x="9408972" y="1917309"/>
                  <a:pt x="9391185" y="1917309"/>
                </a:cubicBezTo>
                <a:close/>
                <a:moveTo>
                  <a:pt x="9469719" y="1917309"/>
                </a:moveTo>
                <a:cubicBezTo>
                  <a:pt x="9451932" y="1917309"/>
                  <a:pt x="9437503" y="1904032"/>
                  <a:pt x="9437503" y="1887657"/>
                </a:cubicBezTo>
                <a:cubicBezTo>
                  <a:pt x="9437503" y="1871283"/>
                  <a:pt x="9451932" y="1858005"/>
                  <a:pt x="9469719" y="1858005"/>
                </a:cubicBezTo>
                <a:cubicBezTo>
                  <a:pt x="9487507" y="1858005"/>
                  <a:pt x="9501924" y="1871283"/>
                  <a:pt x="9501924" y="1887657"/>
                </a:cubicBezTo>
                <a:cubicBezTo>
                  <a:pt x="9501924" y="1904032"/>
                  <a:pt x="9487507" y="1917309"/>
                  <a:pt x="9469719" y="1917309"/>
                </a:cubicBezTo>
                <a:close/>
                <a:moveTo>
                  <a:pt x="9548254" y="1917309"/>
                </a:moveTo>
                <a:cubicBezTo>
                  <a:pt x="9530466" y="1917309"/>
                  <a:pt x="9516037" y="1904032"/>
                  <a:pt x="9516037" y="1887657"/>
                </a:cubicBezTo>
                <a:cubicBezTo>
                  <a:pt x="9516037" y="1871283"/>
                  <a:pt x="9530466" y="1858005"/>
                  <a:pt x="9548254" y="1858005"/>
                </a:cubicBezTo>
                <a:cubicBezTo>
                  <a:pt x="9566041" y="1858005"/>
                  <a:pt x="9580458" y="1871283"/>
                  <a:pt x="9580458" y="1887657"/>
                </a:cubicBezTo>
                <a:cubicBezTo>
                  <a:pt x="9580458" y="1904032"/>
                  <a:pt x="9566041" y="1917309"/>
                  <a:pt x="9548254" y="1917309"/>
                </a:cubicBezTo>
                <a:close/>
                <a:moveTo>
                  <a:pt x="9626787" y="1917309"/>
                </a:moveTo>
                <a:cubicBezTo>
                  <a:pt x="9609000" y="1917309"/>
                  <a:pt x="9594571" y="1904032"/>
                  <a:pt x="9594571" y="1887657"/>
                </a:cubicBezTo>
                <a:cubicBezTo>
                  <a:pt x="9594571" y="1871283"/>
                  <a:pt x="9609000" y="1858005"/>
                  <a:pt x="9626787" y="1858005"/>
                </a:cubicBezTo>
                <a:cubicBezTo>
                  <a:pt x="9644574" y="1858005"/>
                  <a:pt x="9658991" y="1871283"/>
                  <a:pt x="9658991" y="1887657"/>
                </a:cubicBezTo>
                <a:cubicBezTo>
                  <a:pt x="9658991" y="1904032"/>
                  <a:pt x="9644574" y="1917309"/>
                  <a:pt x="9626787" y="1917309"/>
                </a:cubicBezTo>
                <a:close/>
                <a:moveTo>
                  <a:pt x="9705321" y="1917309"/>
                </a:moveTo>
                <a:cubicBezTo>
                  <a:pt x="9687534" y="1917309"/>
                  <a:pt x="9673105" y="1904032"/>
                  <a:pt x="9673105" y="1887657"/>
                </a:cubicBezTo>
                <a:cubicBezTo>
                  <a:pt x="9673105" y="1871283"/>
                  <a:pt x="9687534" y="1858005"/>
                  <a:pt x="9705321" y="1858005"/>
                </a:cubicBezTo>
                <a:cubicBezTo>
                  <a:pt x="9723108" y="1858005"/>
                  <a:pt x="9737525" y="1871283"/>
                  <a:pt x="9737525" y="1887657"/>
                </a:cubicBezTo>
                <a:cubicBezTo>
                  <a:pt x="9737525" y="1904032"/>
                  <a:pt x="9723108" y="1917309"/>
                  <a:pt x="9705321" y="1917309"/>
                </a:cubicBezTo>
                <a:close/>
                <a:moveTo>
                  <a:pt x="9783854" y="1917309"/>
                </a:moveTo>
                <a:cubicBezTo>
                  <a:pt x="9766067" y="1917309"/>
                  <a:pt x="9751638" y="1904032"/>
                  <a:pt x="9751638" y="1887657"/>
                </a:cubicBezTo>
                <a:cubicBezTo>
                  <a:pt x="9751638" y="1871283"/>
                  <a:pt x="9766067" y="1858005"/>
                  <a:pt x="9783854" y="1858005"/>
                </a:cubicBezTo>
                <a:cubicBezTo>
                  <a:pt x="9801642" y="1858005"/>
                  <a:pt x="9816059" y="1871283"/>
                  <a:pt x="9816059" y="1887657"/>
                </a:cubicBezTo>
                <a:cubicBezTo>
                  <a:pt x="9816059" y="1904032"/>
                  <a:pt x="9801642" y="1917309"/>
                  <a:pt x="9783854" y="1917309"/>
                </a:cubicBezTo>
                <a:close/>
                <a:moveTo>
                  <a:pt x="9862389" y="1917309"/>
                </a:moveTo>
                <a:cubicBezTo>
                  <a:pt x="9844601" y="1917309"/>
                  <a:pt x="9830172" y="1904032"/>
                  <a:pt x="9830172" y="1887657"/>
                </a:cubicBezTo>
                <a:cubicBezTo>
                  <a:pt x="9830172" y="1871283"/>
                  <a:pt x="9844601" y="1858005"/>
                  <a:pt x="9862389" y="1858005"/>
                </a:cubicBezTo>
                <a:cubicBezTo>
                  <a:pt x="9880176" y="1858005"/>
                  <a:pt x="9894593" y="1871283"/>
                  <a:pt x="9894593" y="1887657"/>
                </a:cubicBezTo>
                <a:cubicBezTo>
                  <a:pt x="9894593" y="1904032"/>
                  <a:pt x="9880176" y="1917309"/>
                  <a:pt x="9862389" y="1917309"/>
                </a:cubicBezTo>
                <a:close/>
                <a:moveTo>
                  <a:pt x="9940923" y="1917309"/>
                </a:moveTo>
                <a:cubicBezTo>
                  <a:pt x="9923136" y="1917309"/>
                  <a:pt x="9908707" y="1904032"/>
                  <a:pt x="9908707" y="1887657"/>
                </a:cubicBezTo>
                <a:cubicBezTo>
                  <a:pt x="9908707" y="1871283"/>
                  <a:pt x="9923136" y="1858005"/>
                  <a:pt x="9940923" y="1858005"/>
                </a:cubicBezTo>
                <a:cubicBezTo>
                  <a:pt x="9958710" y="1858005"/>
                  <a:pt x="9973127" y="1871283"/>
                  <a:pt x="9973127" y="1887657"/>
                </a:cubicBezTo>
                <a:cubicBezTo>
                  <a:pt x="9973127" y="1904032"/>
                  <a:pt x="9958710" y="1917309"/>
                  <a:pt x="9940923" y="1917309"/>
                </a:cubicBezTo>
                <a:close/>
                <a:moveTo>
                  <a:pt x="10019456" y="1917309"/>
                </a:moveTo>
                <a:cubicBezTo>
                  <a:pt x="10001669" y="1917309"/>
                  <a:pt x="9987240" y="1904032"/>
                  <a:pt x="9987240" y="1887657"/>
                </a:cubicBezTo>
                <a:cubicBezTo>
                  <a:pt x="9987240" y="1871283"/>
                  <a:pt x="10001669" y="1858005"/>
                  <a:pt x="10019456" y="1858005"/>
                </a:cubicBezTo>
                <a:cubicBezTo>
                  <a:pt x="10037243" y="1858005"/>
                  <a:pt x="10051660" y="1871283"/>
                  <a:pt x="10051660" y="1887657"/>
                </a:cubicBezTo>
                <a:cubicBezTo>
                  <a:pt x="10051660" y="1904032"/>
                  <a:pt x="10037243" y="1917309"/>
                  <a:pt x="10019456" y="1917309"/>
                </a:cubicBezTo>
                <a:close/>
                <a:moveTo>
                  <a:pt x="10097990" y="1917309"/>
                </a:moveTo>
                <a:cubicBezTo>
                  <a:pt x="10080203" y="1917309"/>
                  <a:pt x="10065774" y="1904032"/>
                  <a:pt x="10065774" y="1887657"/>
                </a:cubicBezTo>
                <a:cubicBezTo>
                  <a:pt x="10065774" y="1871283"/>
                  <a:pt x="10080203" y="1858005"/>
                  <a:pt x="10097990" y="1858005"/>
                </a:cubicBezTo>
                <a:cubicBezTo>
                  <a:pt x="10115778" y="1858005"/>
                  <a:pt x="10130195" y="1871283"/>
                  <a:pt x="10130195" y="1887657"/>
                </a:cubicBezTo>
                <a:cubicBezTo>
                  <a:pt x="10130195" y="1904032"/>
                  <a:pt x="10115778" y="1917309"/>
                  <a:pt x="10097990" y="1917309"/>
                </a:cubicBezTo>
                <a:close/>
                <a:moveTo>
                  <a:pt x="10176524" y="1917309"/>
                </a:moveTo>
                <a:cubicBezTo>
                  <a:pt x="10158736" y="1917309"/>
                  <a:pt x="10144307" y="1904032"/>
                  <a:pt x="10144307" y="1887657"/>
                </a:cubicBezTo>
                <a:cubicBezTo>
                  <a:pt x="10144307" y="1871283"/>
                  <a:pt x="10158736" y="1858005"/>
                  <a:pt x="10176524" y="1858005"/>
                </a:cubicBezTo>
                <a:cubicBezTo>
                  <a:pt x="10194311" y="1858005"/>
                  <a:pt x="10208728" y="1871283"/>
                  <a:pt x="10208728" y="1887657"/>
                </a:cubicBezTo>
                <a:cubicBezTo>
                  <a:pt x="10208728" y="1904032"/>
                  <a:pt x="10194311" y="1917309"/>
                  <a:pt x="10176524" y="1917309"/>
                </a:cubicBezTo>
                <a:close/>
                <a:moveTo>
                  <a:pt x="10255058" y="1917309"/>
                </a:moveTo>
                <a:cubicBezTo>
                  <a:pt x="10237271" y="1917309"/>
                  <a:pt x="10222842" y="1904032"/>
                  <a:pt x="10222842" y="1887657"/>
                </a:cubicBezTo>
                <a:cubicBezTo>
                  <a:pt x="10222842" y="1871283"/>
                  <a:pt x="10237271" y="1858005"/>
                  <a:pt x="10255058" y="1858005"/>
                </a:cubicBezTo>
                <a:cubicBezTo>
                  <a:pt x="10272845" y="1858005"/>
                  <a:pt x="10287262" y="1871283"/>
                  <a:pt x="10287262" y="1887657"/>
                </a:cubicBezTo>
                <a:cubicBezTo>
                  <a:pt x="10287262" y="1904032"/>
                  <a:pt x="10272845" y="1917309"/>
                  <a:pt x="10255058" y="1917309"/>
                </a:cubicBezTo>
                <a:close/>
                <a:moveTo>
                  <a:pt x="3972319" y="1845044"/>
                </a:moveTo>
                <a:cubicBezTo>
                  <a:pt x="3954532" y="1845044"/>
                  <a:pt x="3940108" y="1831766"/>
                  <a:pt x="3940108" y="1815391"/>
                </a:cubicBezTo>
                <a:cubicBezTo>
                  <a:pt x="3940108" y="1799017"/>
                  <a:pt x="3954532" y="1785739"/>
                  <a:pt x="3972319" y="1785739"/>
                </a:cubicBezTo>
                <a:cubicBezTo>
                  <a:pt x="3990106" y="1785739"/>
                  <a:pt x="4004529" y="1799017"/>
                  <a:pt x="4004529" y="1815391"/>
                </a:cubicBezTo>
                <a:cubicBezTo>
                  <a:pt x="4004529" y="1831766"/>
                  <a:pt x="3990106" y="1845044"/>
                  <a:pt x="3972319" y="1845044"/>
                </a:cubicBezTo>
                <a:close/>
                <a:moveTo>
                  <a:pt x="4050852" y="1845044"/>
                </a:moveTo>
                <a:cubicBezTo>
                  <a:pt x="4033065" y="1845044"/>
                  <a:pt x="4018642" y="1831766"/>
                  <a:pt x="4018642" y="1815391"/>
                </a:cubicBezTo>
                <a:cubicBezTo>
                  <a:pt x="4018642" y="1799017"/>
                  <a:pt x="4033065" y="1785739"/>
                  <a:pt x="4050852" y="1785739"/>
                </a:cubicBezTo>
                <a:cubicBezTo>
                  <a:pt x="4068639" y="1785739"/>
                  <a:pt x="4083062" y="1799017"/>
                  <a:pt x="4083062" y="1815391"/>
                </a:cubicBezTo>
                <a:cubicBezTo>
                  <a:pt x="4083062" y="1831766"/>
                  <a:pt x="4068639" y="1845044"/>
                  <a:pt x="4050852" y="1845044"/>
                </a:cubicBezTo>
                <a:close/>
                <a:moveTo>
                  <a:pt x="4129386" y="1845044"/>
                </a:moveTo>
                <a:cubicBezTo>
                  <a:pt x="4111599" y="1845044"/>
                  <a:pt x="4097176" y="1831766"/>
                  <a:pt x="4097176" y="1815391"/>
                </a:cubicBezTo>
                <a:cubicBezTo>
                  <a:pt x="4097176" y="1799017"/>
                  <a:pt x="4111599" y="1785739"/>
                  <a:pt x="4129386" y="1785739"/>
                </a:cubicBezTo>
                <a:cubicBezTo>
                  <a:pt x="4147174" y="1785739"/>
                  <a:pt x="4161597" y="1799017"/>
                  <a:pt x="4161597" y="1815391"/>
                </a:cubicBezTo>
                <a:cubicBezTo>
                  <a:pt x="4161597" y="1831766"/>
                  <a:pt x="4147174" y="1845044"/>
                  <a:pt x="4129386" y="1845044"/>
                </a:cubicBezTo>
                <a:close/>
                <a:moveTo>
                  <a:pt x="4207926" y="1845044"/>
                </a:moveTo>
                <a:cubicBezTo>
                  <a:pt x="4190138" y="1845044"/>
                  <a:pt x="4175715" y="1831766"/>
                  <a:pt x="4175715" y="1815391"/>
                </a:cubicBezTo>
                <a:cubicBezTo>
                  <a:pt x="4175715" y="1799017"/>
                  <a:pt x="4190138" y="1785739"/>
                  <a:pt x="4207926" y="1785739"/>
                </a:cubicBezTo>
                <a:cubicBezTo>
                  <a:pt x="4225713" y="1785739"/>
                  <a:pt x="4240136" y="1799017"/>
                  <a:pt x="4240136" y="1815391"/>
                </a:cubicBezTo>
                <a:cubicBezTo>
                  <a:pt x="4240136" y="1831766"/>
                  <a:pt x="4225713" y="1845044"/>
                  <a:pt x="4207926" y="1845044"/>
                </a:cubicBezTo>
                <a:close/>
                <a:moveTo>
                  <a:pt x="4286460" y="1845044"/>
                </a:moveTo>
                <a:cubicBezTo>
                  <a:pt x="4268673" y="1845044"/>
                  <a:pt x="4254250" y="1831766"/>
                  <a:pt x="4254250" y="1815391"/>
                </a:cubicBezTo>
                <a:cubicBezTo>
                  <a:pt x="4254250" y="1799017"/>
                  <a:pt x="4268673" y="1785739"/>
                  <a:pt x="4286460" y="1785739"/>
                </a:cubicBezTo>
                <a:cubicBezTo>
                  <a:pt x="4304247" y="1785739"/>
                  <a:pt x="4318670" y="1799017"/>
                  <a:pt x="4318670" y="1815391"/>
                </a:cubicBezTo>
                <a:cubicBezTo>
                  <a:pt x="4318670" y="1831766"/>
                  <a:pt x="4304247" y="1845044"/>
                  <a:pt x="4286460" y="1845044"/>
                </a:cubicBezTo>
                <a:close/>
                <a:moveTo>
                  <a:pt x="4364994" y="1845044"/>
                </a:moveTo>
                <a:cubicBezTo>
                  <a:pt x="4347207" y="1845044"/>
                  <a:pt x="4332784" y="1831766"/>
                  <a:pt x="4332784" y="1815391"/>
                </a:cubicBezTo>
                <a:cubicBezTo>
                  <a:pt x="4332784" y="1799017"/>
                  <a:pt x="4347207" y="1785739"/>
                  <a:pt x="4364994" y="1785739"/>
                </a:cubicBezTo>
                <a:cubicBezTo>
                  <a:pt x="4382781" y="1785739"/>
                  <a:pt x="4397204" y="1799017"/>
                  <a:pt x="4397204" y="1815391"/>
                </a:cubicBezTo>
                <a:cubicBezTo>
                  <a:pt x="4397204" y="1831766"/>
                  <a:pt x="4382781" y="1845044"/>
                  <a:pt x="4364994" y="1845044"/>
                </a:cubicBezTo>
                <a:close/>
                <a:moveTo>
                  <a:pt x="4443527" y="1845044"/>
                </a:moveTo>
                <a:cubicBezTo>
                  <a:pt x="4425740" y="1845044"/>
                  <a:pt x="4411317" y="1831766"/>
                  <a:pt x="4411317" y="1815391"/>
                </a:cubicBezTo>
                <a:cubicBezTo>
                  <a:pt x="4411317" y="1799017"/>
                  <a:pt x="4425740" y="1785739"/>
                  <a:pt x="4443527" y="1785739"/>
                </a:cubicBezTo>
                <a:cubicBezTo>
                  <a:pt x="4461315" y="1785739"/>
                  <a:pt x="4475738" y="1799017"/>
                  <a:pt x="4475738" y="1815391"/>
                </a:cubicBezTo>
                <a:cubicBezTo>
                  <a:pt x="4475738" y="1831766"/>
                  <a:pt x="4461315" y="1845044"/>
                  <a:pt x="4443527" y="1845044"/>
                </a:cubicBezTo>
                <a:close/>
                <a:moveTo>
                  <a:pt x="4522062" y="1845044"/>
                </a:moveTo>
                <a:cubicBezTo>
                  <a:pt x="4504274" y="1845044"/>
                  <a:pt x="4489851" y="1831766"/>
                  <a:pt x="4489851" y="1815391"/>
                </a:cubicBezTo>
                <a:cubicBezTo>
                  <a:pt x="4489851" y="1799017"/>
                  <a:pt x="4504274" y="1785739"/>
                  <a:pt x="4522062" y="1785739"/>
                </a:cubicBezTo>
                <a:cubicBezTo>
                  <a:pt x="4539849" y="1785739"/>
                  <a:pt x="4554272" y="1799017"/>
                  <a:pt x="4554272" y="1815391"/>
                </a:cubicBezTo>
                <a:cubicBezTo>
                  <a:pt x="4554272" y="1831766"/>
                  <a:pt x="4539849" y="1845044"/>
                  <a:pt x="4522062" y="1845044"/>
                </a:cubicBezTo>
                <a:close/>
                <a:moveTo>
                  <a:pt x="6406875" y="1845044"/>
                </a:moveTo>
                <a:cubicBezTo>
                  <a:pt x="6389087" y="1845044"/>
                  <a:pt x="6374658" y="1831766"/>
                  <a:pt x="6374658" y="1815391"/>
                </a:cubicBezTo>
                <a:cubicBezTo>
                  <a:pt x="6374658" y="1799017"/>
                  <a:pt x="6389087" y="1785739"/>
                  <a:pt x="6406875" y="1785739"/>
                </a:cubicBezTo>
                <a:cubicBezTo>
                  <a:pt x="6424662" y="1785739"/>
                  <a:pt x="6439079" y="1799017"/>
                  <a:pt x="6439079" y="1815391"/>
                </a:cubicBezTo>
                <a:cubicBezTo>
                  <a:pt x="6439079" y="1831766"/>
                  <a:pt x="6424662" y="1845044"/>
                  <a:pt x="6406875" y="1845044"/>
                </a:cubicBezTo>
                <a:close/>
                <a:moveTo>
                  <a:pt x="6485408" y="1845044"/>
                </a:moveTo>
                <a:cubicBezTo>
                  <a:pt x="6467621" y="1845044"/>
                  <a:pt x="6453191" y="1831766"/>
                  <a:pt x="6453191" y="1815391"/>
                </a:cubicBezTo>
                <a:cubicBezTo>
                  <a:pt x="6453191" y="1799017"/>
                  <a:pt x="6467621" y="1785739"/>
                  <a:pt x="6485408" y="1785739"/>
                </a:cubicBezTo>
                <a:cubicBezTo>
                  <a:pt x="6503195" y="1785739"/>
                  <a:pt x="6517612" y="1799017"/>
                  <a:pt x="6517612" y="1815391"/>
                </a:cubicBezTo>
                <a:cubicBezTo>
                  <a:pt x="6517612" y="1831766"/>
                  <a:pt x="6503195" y="1845044"/>
                  <a:pt x="6485408" y="1845044"/>
                </a:cubicBezTo>
                <a:close/>
                <a:moveTo>
                  <a:pt x="6563942" y="1845044"/>
                </a:moveTo>
                <a:cubicBezTo>
                  <a:pt x="6546155" y="1845044"/>
                  <a:pt x="6531726" y="1831766"/>
                  <a:pt x="6531726" y="1815391"/>
                </a:cubicBezTo>
                <a:cubicBezTo>
                  <a:pt x="6531726" y="1799017"/>
                  <a:pt x="6546155" y="1785739"/>
                  <a:pt x="6563942" y="1785739"/>
                </a:cubicBezTo>
                <a:cubicBezTo>
                  <a:pt x="6581729" y="1785739"/>
                  <a:pt x="6596146" y="1799017"/>
                  <a:pt x="6596146" y="1815391"/>
                </a:cubicBezTo>
                <a:cubicBezTo>
                  <a:pt x="6596146" y="1831766"/>
                  <a:pt x="6581729" y="1845044"/>
                  <a:pt x="6563942" y="1845044"/>
                </a:cubicBezTo>
                <a:close/>
                <a:moveTo>
                  <a:pt x="6642476" y="1845044"/>
                </a:moveTo>
                <a:cubicBezTo>
                  <a:pt x="6624689" y="1845044"/>
                  <a:pt x="6610260" y="1831766"/>
                  <a:pt x="6610260" y="1815391"/>
                </a:cubicBezTo>
                <a:cubicBezTo>
                  <a:pt x="6610260" y="1799017"/>
                  <a:pt x="6624689" y="1785739"/>
                  <a:pt x="6642476" y="1785739"/>
                </a:cubicBezTo>
                <a:cubicBezTo>
                  <a:pt x="6660264" y="1785739"/>
                  <a:pt x="6674681" y="1799017"/>
                  <a:pt x="6674681" y="1815391"/>
                </a:cubicBezTo>
                <a:cubicBezTo>
                  <a:pt x="6674681" y="1831766"/>
                  <a:pt x="6660264" y="1845044"/>
                  <a:pt x="6642476" y="1845044"/>
                </a:cubicBezTo>
                <a:close/>
                <a:moveTo>
                  <a:pt x="6721010" y="1845044"/>
                </a:moveTo>
                <a:cubicBezTo>
                  <a:pt x="6703222" y="1845044"/>
                  <a:pt x="6688793" y="1831766"/>
                  <a:pt x="6688793" y="1815391"/>
                </a:cubicBezTo>
                <a:cubicBezTo>
                  <a:pt x="6688793" y="1799017"/>
                  <a:pt x="6703222" y="1785739"/>
                  <a:pt x="6721010" y="1785739"/>
                </a:cubicBezTo>
                <a:cubicBezTo>
                  <a:pt x="6738797" y="1785739"/>
                  <a:pt x="6753214" y="1799017"/>
                  <a:pt x="6753214" y="1815391"/>
                </a:cubicBezTo>
                <a:cubicBezTo>
                  <a:pt x="6753214" y="1831766"/>
                  <a:pt x="6738797" y="1845044"/>
                  <a:pt x="6721010" y="1845044"/>
                </a:cubicBezTo>
                <a:close/>
                <a:moveTo>
                  <a:pt x="6799544" y="1845044"/>
                </a:moveTo>
                <a:cubicBezTo>
                  <a:pt x="6781757" y="1845044"/>
                  <a:pt x="6767327" y="1831766"/>
                  <a:pt x="6767327" y="1815391"/>
                </a:cubicBezTo>
                <a:cubicBezTo>
                  <a:pt x="6767327" y="1799017"/>
                  <a:pt x="6781757" y="1785739"/>
                  <a:pt x="6799544" y="1785739"/>
                </a:cubicBezTo>
                <a:cubicBezTo>
                  <a:pt x="6817331" y="1785739"/>
                  <a:pt x="6831748" y="1799017"/>
                  <a:pt x="6831748" y="1815391"/>
                </a:cubicBezTo>
                <a:cubicBezTo>
                  <a:pt x="6831748" y="1831766"/>
                  <a:pt x="6817331" y="1845044"/>
                  <a:pt x="6799544" y="1845044"/>
                </a:cubicBezTo>
                <a:close/>
                <a:moveTo>
                  <a:pt x="9234118" y="1845044"/>
                </a:moveTo>
                <a:cubicBezTo>
                  <a:pt x="9216330" y="1845044"/>
                  <a:pt x="9201901" y="1831766"/>
                  <a:pt x="9201901" y="1815391"/>
                </a:cubicBezTo>
                <a:cubicBezTo>
                  <a:pt x="9201901" y="1799017"/>
                  <a:pt x="9216330" y="1785739"/>
                  <a:pt x="9234118" y="1785739"/>
                </a:cubicBezTo>
                <a:cubicBezTo>
                  <a:pt x="9251905" y="1785739"/>
                  <a:pt x="9266322" y="1799017"/>
                  <a:pt x="9266322" y="1815391"/>
                </a:cubicBezTo>
                <a:cubicBezTo>
                  <a:pt x="9266322" y="1831766"/>
                  <a:pt x="9251905" y="1845044"/>
                  <a:pt x="9234118" y="1845044"/>
                </a:cubicBezTo>
                <a:close/>
                <a:moveTo>
                  <a:pt x="9312652" y="1845044"/>
                </a:moveTo>
                <a:cubicBezTo>
                  <a:pt x="9294865" y="1845044"/>
                  <a:pt x="9280436" y="1831766"/>
                  <a:pt x="9280436" y="1815391"/>
                </a:cubicBezTo>
                <a:cubicBezTo>
                  <a:pt x="9280436" y="1799017"/>
                  <a:pt x="9294865" y="1785739"/>
                  <a:pt x="9312652" y="1785739"/>
                </a:cubicBezTo>
                <a:cubicBezTo>
                  <a:pt x="9330439" y="1785739"/>
                  <a:pt x="9344856" y="1799017"/>
                  <a:pt x="9344856" y="1815391"/>
                </a:cubicBezTo>
                <a:cubicBezTo>
                  <a:pt x="9344856" y="1831766"/>
                  <a:pt x="9330439" y="1845044"/>
                  <a:pt x="9312652" y="1845044"/>
                </a:cubicBezTo>
                <a:close/>
                <a:moveTo>
                  <a:pt x="9391185" y="1845044"/>
                </a:moveTo>
                <a:cubicBezTo>
                  <a:pt x="9373398" y="1845044"/>
                  <a:pt x="9358969" y="1831766"/>
                  <a:pt x="9358969" y="1815391"/>
                </a:cubicBezTo>
                <a:cubicBezTo>
                  <a:pt x="9358969" y="1799017"/>
                  <a:pt x="9373398" y="1785739"/>
                  <a:pt x="9391185" y="1785739"/>
                </a:cubicBezTo>
                <a:cubicBezTo>
                  <a:pt x="9408972" y="1785739"/>
                  <a:pt x="9423389" y="1799017"/>
                  <a:pt x="9423389" y="1815391"/>
                </a:cubicBezTo>
                <a:cubicBezTo>
                  <a:pt x="9423389" y="1831766"/>
                  <a:pt x="9408972" y="1845044"/>
                  <a:pt x="9391185" y="1845044"/>
                </a:cubicBezTo>
                <a:close/>
                <a:moveTo>
                  <a:pt x="9469719" y="1845044"/>
                </a:moveTo>
                <a:cubicBezTo>
                  <a:pt x="9451932" y="1845044"/>
                  <a:pt x="9437503" y="1831766"/>
                  <a:pt x="9437503" y="1815391"/>
                </a:cubicBezTo>
                <a:cubicBezTo>
                  <a:pt x="9437503" y="1799017"/>
                  <a:pt x="9451932" y="1785739"/>
                  <a:pt x="9469719" y="1785739"/>
                </a:cubicBezTo>
                <a:cubicBezTo>
                  <a:pt x="9487507" y="1785739"/>
                  <a:pt x="9501924" y="1799017"/>
                  <a:pt x="9501924" y="1815391"/>
                </a:cubicBezTo>
                <a:cubicBezTo>
                  <a:pt x="9501924" y="1831766"/>
                  <a:pt x="9487507" y="1845044"/>
                  <a:pt x="9469719" y="1845044"/>
                </a:cubicBezTo>
                <a:close/>
                <a:moveTo>
                  <a:pt x="9548254" y="1845044"/>
                </a:moveTo>
                <a:cubicBezTo>
                  <a:pt x="9530466" y="1845044"/>
                  <a:pt x="9516037" y="1831766"/>
                  <a:pt x="9516037" y="1815391"/>
                </a:cubicBezTo>
                <a:cubicBezTo>
                  <a:pt x="9516037" y="1799017"/>
                  <a:pt x="9530466" y="1785739"/>
                  <a:pt x="9548254" y="1785739"/>
                </a:cubicBezTo>
                <a:cubicBezTo>
                  <a:pt x="9566041" y="1785739"/>
                  <a:pt x="9580458" y="1799017"/>
                  <a:pt x="9580458" y="1815391"/>
                </a:cubicBezTo>
                <a:cubicBezTo>
                  <a:pt x="9580458" y="1831766"/>
                  <a:pt x="9566041" y="1845044"/>
                  <a:pt x="9548254" y="1845044"/>
                </a:cubicBezTo>
                <a:close/>
                <a:moveTo>
                  <a:pt x="9626787" y="1845044"/>
                </a:moveTo>
                <a:cubicBezTo>
                  <a:pt x="9609000" y="1845044"/>
                  <a:pt x="9594571" y="1831766"/>
                  <a:pt x="9594571" y="1815391"/>
                </a:cubicBezTo>
                <a:cubicBezTo>
                  <a:pt x="9594571" y="1799017"/>
                  <a:pt x="9609000" y="1785739"/>
                  <a:pt x="9626787" y="1785739"/>
                </a:cubicBezTo>
                <a:cubicBezTo>
                  <a:pt x="9644574" y="1785739"/>
                  <a:pt x="9658991" y="1799017"/>
                  <a:pt x="9658991" y="1815391"/>
                </a:cubicBezTo>
                <a:cubicBezTo>
                  <a:pt x="9658991" y="1831766"/>
                  <a:pt x="9644574" y="1845044"/>
                  <a:pt x="9626787" y="1845044"/>
                </a:cubicBezTo>
                <a:close/>
                <a:moveTo>
                  <a:pt x="9705321" y="1845044"/>
                </a:moveTo>
                <a:cubicBezTo>
                  <a:pt x="9687534" y="1845044"/>
                  <a:pt x="9673105" y="1831766"/>
                  <a:pt x="9673105" y="1815391"/>
                </a:cubicBezTo>
                <a:cubicBezTo>
                  <a:pt x="9673105" y="1799017"/>
                  <a:pt x="9687534" y="1785739"/>
                  <a:pt x="9705321" y="1785739"/>
                </a:cubicBezTo>
                <a:cubicBezTo>
                  <a:pt x="9723108" y="1785739"/>
                  <a:pt x="9737525" y="1799017"/>
                  <a:pt x="9737525" y="1815391"/>
                </a:cubicBezTo>
                <a:cubicBezTo>
                  <a:pt x="9737525" y="1831766"/>
                  <a:pt x="9723108" y="1845044"/>
                  <a:pt x="9705321" y="1845044"/>
                </a:cubicBezTo>
                <a:close/>
                <a:moveTo>
                  <a:pt x="9783854" y="1845044"/>
                </a:moveTo>
                <a:cubicBezTo>
                  <a:pt x="9766067" y="1845044"/>
                  <a:pt x="9751638" y="1831766"/>
                  <a:pt x="9751638" y="1815391"/>
                </a:cubicBezTo>
                <a:cubicBezTo>
                  <a:pt x="9751638" y="1799017"/>
                  <a:pt x="9766067" y="1785739"/>
                  <a:pt x="9783854" y="1785739"/>
                </a:cubicBezTo>
                <a:cubicBezTo>
                  <a:pt x="9801642" y="1785739"/>
                  <a:pt x="9816059" y="1799017"/>
                  <a:pt x="9816059" y="1815391"/>
                </a:cubicBezTo>
                <a:cubicBezTo>
                  <a:pt x="9816059" y="1831766"/>
                  <a:pt x="9801642" y="1845044"/>
                  <a:pt x="9783854" y="1845044"/>
                </a:cubicBezTo>
                <a:close/>
                <a:moveTo>
                  <a:pt x="9862389" y="1845044"/>
                </a:moveTo>
                <a:cubicBezTo>
                  <a:pt x="9844601" y="1845044"/>
                  <a:pt x="9830172" y="1831766"/>
                  <a:pt x="9830172" y="1815391"/>
                </a:cubicBezTo>
                <a:cubicBezTo>
                  <a:pt x="9830172" y="1799017"/>
                  <a:pt x="9844601" y="1785739"/>
                  <a:pt x="9862389" y="1785739"/>
                </a:cubicBezTo>
                <a:cubicBezTo>
                  <a:pt x="9880176" y="1785739"/>
                  <a:pt x="9894593" y="1799017"/>
                  <a:pt x="9894593" y="1815391"/>
                </a:cubicBezTo>
                <a:cubicBezTo>
                  <a:pt x="9894593" y="1831766"/>
                  <a:pt x="9880176" y="1845044"/>
                  <a:pt x="9862389" y="1845044"/>
                </a:cubicBezTo>
                <a:close/>
                <a:moveTo>
                  <a:pt x="9940923" y="1845044"/>
                </a:moveTo>
                <a:cubicBezTo>
                  <a:pt x="9923136" y="1845044"/>
                  <a:pt x="9908707" y="1831766"/>
                  <a:pt x="9908707" y="1815391"/>
                </a:cubicBezTo>
                <a:cubicBezTo>
                  <a:pt x="9908707" y="1799017"/>
                  <a:pt x="9923136" y="1785739"/>
                  <a:pt x="9940923" y="1785739"/>
                </a:cubicBezTo>
                <a:cubicBezTo>
                  <a:pt x="9958710" y="1785739"/>
                  <a:pt x="9973127" y="1799017"/>
                  <a:pt x="9973127" y="1815391"/>
                </a:cubicBezTo>
                <a:cubicBezTo>
                  <a:pt x="9973127" y="1831766"/>
                  <a:pt x="9958710" y="1845044"/>
                  <a:pt x="9940923" y="1845044"/>
                </a:cubicBezTo>
                <a:close/>
                <a:moveTo>
                  <a:pt x="10019456" y="1845044"/>
                </a:moveTo>
                <a:cubicBezTo>
                  <a:pt x="10001669" y="1845044"/>
                  <a:pt x="9987240" y="1831766"/>
                  <a:pt x="9987240" y="1815391"/>
                </a:cubicBezTo>
                <a:cubicBezTo>
                  <a:pt x="9987240" y="1799017"/>
                  <a:pt x="10001669" y="1785739"/>
                  <a:pt x="10019456" y="1785739"/>
                </a:cubicBezTo>
                <a:cubicBezTo>
                  <a:pt x="10037243" y="1785739"/>
                  <a:pt x="10051660" y="1799017"/>
                  <a:pt x="10051660" y="1815391"/>
                </a:cubicBezTo>
                <a:cubicBezTo>
                  <a:pt x="10051660" y="1831766"/>
                  <a:pt x="10037243" y="1845044"/>
                  <a:pt x="10019456" y="1845044"/>
                </a:cubicBezTo>
                <a:close/>
                <a:moveTo>
                  <a:pt x="10097990" y="1845044"/>
                </a:moveTo>
                <a:cubicBezTo>
                  <a:pt x="10080203" y="1845044"/>
                  <a:pt x="10065774" y="1831766"/>
                  <a:pt x="10065774" y="1815391"/>
                </a:cubicBezTo>
                <a:cubicBezTo>
                  <a:pt x="10065774" y="1799017"/>
                  <a:pt x="10080203" y="1785739"/>
                  <a:pt x="10097990" y="1785739"/>
                </a:cubicBezTo>
                <a:cubicBezTo>
                  <a:pt x="10115778" y="1785739"/>
                  <a:pt x="10130195" y="1799017"/>
                  <a:pt x="10130195" y="1815391"/>
                </a:cubicBezTo>
                <a:cubicBezTo>
                  <a:pt x="10130195" y="1831766"/>
                  <a:pt x="10115778" y="1845044"/>
                  <a:pt x="10097990" y="1845044"/>
                </a:cubicBezTo>
                <a:close/>
                <a:moveTo>
                  <a:pt x="10176524" y="1845044"/>
                </a:moveTo>
                <a:cubicBezTo>
                  <a:pt x="10158736" y="1845044"/>
                  <a:pt x="10144307" y="1831766"/>
                  <a:pt x="10144307" y="1815391"/>
                </a:cubicBezTo>
                <a:cubicBezTo>
                  <a:pt x="10144307" y="1799017"/>
                  <a:pt x="10158736" y="1785739"/>
                  <a:pt x="10176524" y="1785739"/>
                </a:cubicBezTo>
                <a:cubicBezTo>
                  <a:pt x="10194311" y="1785739"/>
                  <a:pt x="10208728" y="1799017"/>
                  <a:pt x="10208728" y="1815391"/>
                </a:cubicBezTo>
                <a:cubicBezTo>
                  <a:pt x="10208728" y="1831766"/>
                  <a:pt x="10194311" y="1845044"/>
                  <a:pt x="10176524" y="1845044"/>
                </a:cubicBezTo>
                <a:close/>
                <a:moveTo>
                  <a:pt x="10255058" y="1845044"/>
                </a:moveTo>
                <a:cubicBezTo>
                  <a:pt x="10237271" y="1845044"/>
                  <a:pt x="10222842" y="1831766"/>
                  <a:pt x="10222842" y="1815391"/>
                </a:cubicBezTo>
                <a:cubicBezTo>
                  <a:pt x="10222842" y="1799017"/>
                  <a:pt x="10237271" y="1785739"/>
                  <a:pt x="10255058" y="1785739"/>
                </a:cubicBezTo>
                <a:cubicBezTo>
                  <a:pt x="10272845" y="1785739"/>
                  <a:pt x="10287262" y="1799017"/>
                  <a:pt x="10287262" y="1815391"/>
                </a:cubicBezTo>
                <a:cubicBezTo>
                  <a:pt x="10287262" y="1831766"/>
                  <a:pt x="10272845" y="1845044"/>
                  <a:pt x="10255058" y="1845044"/>
                </a:cubicBezTo>
                <a:close/>
                <a:moveTo>
                  <a:pt x="10333592" y="1845044"/>
                </a:moveTo>
                <a:cubicBezTo>
                  <a:pt x="10315805" y="1845044"/>
                  <a:pt x="10301376" y="1831766"/>
                  <a:pt x="10301376" y="1815391"/>
                </a:cubicBezTo>
                <a:cubicBezTo>
                  <a:pt x="10301376" y="1799017"/>
                  <a:pt x="10315805" y="1785739"/>
                  <a:pt x="10333592" y="1785739"/>
                </a:cubicBezTo>
                <a:cubicBezTo>
                  <a:pt x="10351379" y="1785739"/>
                  <a:pt x="10365796" y="1799017"/>
                  <a:pt x="10365796" y="1815391"/>
                </a:cubicBezTo>
                <a:cubicBezTo>
                  <a:pt x="10365796" y="1831766"/>
                  <a:pt x="10351379" y="1845044"/>
                  <a:pt x="10333592" y="1845044"/>
                </a:cubicBezTo>
                <a:close/>
                <a:moveTo>
                  <a:pt x="3972319" y="1772778"/>
                </a:moveTo>
                <a:cubicBezTo>
                  <a:pt x="3954532" y="1772778"/>
                  <a:pt x="3940108" y="1759500"/>
                  <a:pt x="3940108" y="1743126"/>
                </a:cubicBezTo>
                <a:cubicBezTo>
                  <a:pt x="3940108" y="1726751"/>
                  <a:pt x="3954532" y="1713474"/>
                  <a:pt x="3972319" y="1713474"/>
                </a:cubicBezTo>
                <a:cubicBezTo>
                  <a:pt x="3990106" y="1713474"/>
                  <a:pt x="4004529" y="1726751"/>
                  <a:pt x="4004529" y="1743126"/>
                </a:cubicBezTo>
                <a:cubicBezTo>
                  <a:pt x="4004529" y="1759500"/>
                  <a:pt x="3990106" y="1772778"/>
                  <a:pt x="3972319" y="1772778"/>
                </a:cubicBezTo>
                <a:close/>
                <a:moveTo>
                  <a:pt x="4050852" y="1772778"/>
                </a:moveTo>
                <a:cubicBezTo>
                  <a:pt x="4033065" y="1772778"/>
                  <a:pt x="4018642" y="1759500"/>
                  <a:pt x="4018642" y="1743126"/>
                </a:cubicBezTo>
                <a:cubicBezTo>
                  <a:pt x="4018642" y="1726751"/>
                  <a:pt x="4033065" y="1713474"/>
                  <a:pt x="4050852" y="1713474"/>
                </a:cubicBezTo>
                <a:cubicBezTo>
                  <a:pt x="4068639" y="1713474"/>
                  <a:pt x="4083062" y="1726751"/>
                  <a:pt x="4083062" y="1743126"/>
                </a:cubicBezTo>
                <a:cubicBezTo>
                  <a:pt x="4083062" y="1759500"/>
                  <a:pt x="4068639" y="1772778"/>
                  <a:pt x="4050852" y="1772778"/>
                </a:cubicBezTo>
                <a:close/>
                <a:moveTo>
                  <a:pt x="4129386" y="1772778"/>
                </a:moveTo>
                <a:cubicBezTo>
                  <a:pt x="4111599" y="1772778"/>
                  <a:pt x="4097176" y="1759500"/>
                  <a:pt x="4097176" y="1743126"/>
                </a:cubicBezTo>
                <a:cubicBezTo>
                  <a:pt x="4097176" y="1726751"/>
                  <a:pt x="4111599" y="1713474"/>
                  <a:pt x="4129386" y="1713474"/>
                </a:cubicBezTo>
                <a:cubicBezTo>
                  <a:pt x="4147174" y="1713474"/>
                  <a:pt x="4161597" y="1726751"/>
                  <a:pt x="4161597" y="1743126"/>
                </a:cubicBezTo>
                <a:cubicBezTo>
                  <a:pt x="4161597" y="1759500"/>
                  <a:pt x="4147174" y="1772778"/>
                  <a:pt x="4129386" y="1772778"/>
                </a:cubicBezTo>
                <a:close/>
                <a:moveTo>
                  <a:pt x="4207926" y="1772778"/>
                </a:moveTo>
                <a:cubicBezTo>
                  <a:pt x="4190138" y="1772778"/>
                  <a:pt x="4175715" y="1759500"/>
                  <a:pt x="4175715" y="1743126"/>
                </a:cubicBezTo>
                <a:cubicBezTo>
                  <a:pt x="4175715" y="1726751"/>
                  <a:pt x="4190138" y="1713474"/>
                  <a:pt x="4207926" y="1713474"/>
                </a:cubicBezTo>
                <a:cubicBezTo>
                  <a:pt x="4225713" y="1713474"/>
                  <a:pt x="4240136" y="1726751"/>
                  <a:pt x="4240136" y="1743126"/>
                </a:cubicBezTo>
                <a:cubicBezTo>
                  <a:pt x="4240136" y="1759500"/>
                  <a:pt x="4225713" y="1772778"/>
                  <a:pt x="4207926" y="1772778"/>
                </a:cubicBezTo>
                <a:close/>
                <a:moveTo>
                  <a:pt x="4286460" y="1772778"/>
                </a:moveTo>
                <a:cubicBezTo>
                  <a:pt x="4268673" y="1772778"/>
                  <a:pt x="4254250" y="1759500"/>
                  <a:pt x="4254250" y="1743126"/>
                </a:cubicBezTo>
                <a:cubicBezTo>
                  <a:pt x="4254250" y="1726751"/>
                  <a:pt x="4268673" y="1713474"/>
                  <a:pt x="4286460" y="1713474"/>
                </a:cubicBezTo>
                <a:cubicBezTo>
                  <a:pt x="4304247" y="1713474"/>
                  <a:pt x="4318670" y="1726751"/>
                  <a:pt x="4318670" y="1743126"/>
                </a:cubicBezTo>
                <a:cubicBezTo>
                  <a:pt x="4318670" y="1759500"/>
                  <a:pt x="4304247" y="1772778"/>
                  <a:pt x="4286460" y="1772778"/>
                </a:cubicBezTo>
                <a:close/>
                <a:moveTo>
                  <a:pt x="4364994" y="1772778"/>
                </a:moveTo>
                <a:cubicBezTo>
                  <a:pt x="4347207" y="1772778"/>
                  <a:pt x="4332784" y="1759500"/>
                  <a:pt x="4332784" y="1743126"/>
                </a:cubicBezTo>
                <a:cubicBezTo>
                  <a:pt x="4332784" y="1726751"/>
                  <a:pt x="4347207" y="1713474"/>
                  <a:pt x="4364994" y="1713474"/>
                </a:cubicBezTo>
                <a:cubicBezTo>
                  <a:pt x="4382781" y="1713474"/>
                  <a:pt x="4397204" y="1726751"/>
                  <a:pt x="4397204" y="1743126"/>
                </a:cubicBezTo>
                <a:cubicBezTo>
                  <a:pt x="4397204" y="1759500"/>
                  <a:pt x="4382781" y="1772778"/>
                  <a:pt x="4364994" y="1772778"/>
                </a:cubicBezTo>
                <a:close/>
                <a:moveTo>
                  <a:pt x="4443527" y="1772778"/>
                </a:moveTo>
                <a:cubicBezTo>
                  <a:pt x="4425740" y="1772778"/>
                  <a:pt x="4411317" y="1759500"/>
                  <a:pt x="4411317" y="1743126"/>
                </a:cubicBezTo>
                <a:cubicBezTo>
                  <a:pt x="4411317" y="1726751"/>
                  <a:pt x="4425740" y="1713474"/>
                  <a:pt x="4443527" y="1713474"/>
                </a:cubicBezTo>
                <a:cubicBezTo>
                  <a:pt x="4461315" y="1713474"/>
                  <a:pt x="4475738" y="1726751"/>
                  <a:pt x="4475738" y="1743126"/>
                </a:cubicBezTo>
                <a:cubicBezTo>
                  <a:pt x="4475738" y="1759500"/>
                  <a:pt x="4461315" y="1772778"/>
                  <a:pt x="4443527" y="1772778"/>
                </a:cubicBezTo>
                <a:close/>
                <a:moveTo>
                  <a:pt x="6485408" y="1772778"/>
                </a:moveTo>
                <a:cubicBezTo>
                  <a:pt x="6467621" y="1772778"/>
                  <a:pt x="6453191" y="1759500"/>
                  <a:pt x="6453191" y="1743126"/>
                </a:cubicBezTo>
                <a:cubicBezTo>
                  <a:pt x="6453191" y="1726751"/>
                  <a:pt x="6467621" y="1713474"/>
                  <a:pt x="6485408" y="1713474"/>
                </a:cubicBezTo>
                <a:cubicBezTo>
                  <a:pt x="6503195" y="1713474"/>
                  <a:pt x="6517612" y="1726751"/>
                  <a:pt x="6517612" y="1743126"/>
                </a:cubicBezTo>
                <a:cubicBezTo>
                  <a:pt x="6517612" y="1759500"/>
                  <a:pt x="6503195" y="1772778"/>
                  <a:pt x="6485408" y="1772778"/>
                </a:cubicBezTo>
                <a:close/>
                <a:moveTo>
                  <a:pt x="6563942" y="1772778"/>
                </a:moveTo>
                <a:cubicBezTo>
                  <a:pt x="6546155" y="1772778"/>
                  <a:pt x="6531726" y="1759500"/>
                  <a:pt x="6531726" y="1743126"/>
                </a:cubicBezTo>
                <a:cubicBezTo>
                  <a:pt x="6531726" y="1726751"/>
                  <a:pt x="6546155" y="1713474"/>
                  <a:pt x="6563942" y="1713474"/>
                </a:cubicBezTo>
                <a:cubicBezTo>
                  <a:pt x="6581729" y="1713474"/>
                  <a:pt x="6596146" y="1726751"/>
                  <a:pt x="6596146" y="1743126"/>
                </a:cubicBezTo>
                <a:cubicBezTo>
                  <a:pt x="6596146" y="1759500"/>
                  <a:pt x="6581729" y="1772778"/>
                  <a:pt x="6563942" y="1772778"/>
                </a:cubicBezTo>
                <a:close/>
                <a:moveTo>
                  <a:pt x="6642476" y="1772778"/>
                </a:moveTo>
                <a:cubicBezTo>
                  <a:pt x="6624689" y="1772778"/>
                  <a:pt x="6610260" y="1759500"/>
                  <a:pt x="6610260" y="1743126"/>
                </a:cubicBezTo>
                <a:cubicBezTo>
                  <a:pt x="6610260" y="1726751"/>
                  <a:pt x="6624689" y="1713474"/>
                  <a:pt x="6642476" y="1713474"/>
                </a:cubicBezTo>
                <a:cubicBezTo>
                  <a:pt x="6660264" y="1713474"/>
                  <a:pt x="6674681" y="1726751"/>
                  <a:pt x="6674681" y="1743126"/>
                </a:cubicBezTo>
                <a:cubicBezTo>
                  <a:pt x="6674681" y="1759500"/>
                  <a:pt x="6660264" y="1772778"/>
                  <a:pt x="6642476" y="1772778"/>
                </a:cubicBezTo>
                <a:close/>
                <a:moveTo>
                  <a:pt x="6721010" y="1772778"/>
                </a:moveTo>
                <a:cubicBezTo>
                  <a:pt x="6703222" y="1772778"/>
                  <a:pt x="6688793" y="1759500"/>
                  <a:pt x="6688793" y="1743126"/>
                </a:cubicBezTo>
                <a:cubicBezTo>
                  <a:pt x="6688793" y="1726751"/>
                  <a:pt x="6703222" y="1713474"/>
                  <a:pt x="6721010" y="1713474"/>
                </a:cubicBezTo>
                <a:cubicBezTo>
                  <a:pt x="6738797" y="1713474"/>
                  <a:pt x="6753214" y="1726751"/>
                  <a:pt x="6753214" y="1743126"/>
                </a:cubicBezTo>
                <a:cubicBezTo>
                  <a:pt x="6753214" y="1759500"/>
                  <a:pt x="6738797" y="1772778"/>
                  <a:pt x="6721010" y="1772778"/>
                </a:cubicBezTo>
                <a:close/>
                <a:moveTo>
                  <a:pt x="9234118" y="1772778"/>
                </a:moveTo>
                <a:cubicBezTo>
                  <a:pt x="9216330" y="1772778"/>
                  <a:pt x="9201901" y="1759500"/>
                  <a:pt x="9201901" y="1743126"/>
                </a:cubicBezTo>
                <a:cubicBezTo>
                  <a:pt x="9201901" y="1726751"/>
                  <a:pt x="9216330" y="1713474"/>
                  <a:pt x="9234118" y="1713474"/>
                </a:cubicBezTo>
                <a:cubicBezTo>
                  <a:pt x="9251905" y="1713474"/>
                  <a:pt x="9266322" y="1726751"/>
                  <a:pt x="9266322" y="1743126"/>
                </a:cubicBezTo>
                <a:cubicBezTo>
                  <a:pt x="9266322" y="1759500"/>
                  <a:pt x="9251905" y="1772778"/>
                  <a:pt x="9234118" y="1772778"/>
                </a:cubicBezTo>
                <a:close/>
                <a:moveTo>
                  <a:pt x="9312652" y="1772778"/>
                </a:moveTo>
                <a:cubicBezTo>
                  <a:pt x="9294865" y="1772778"/>
                  <a:pt x="9280436" y="1759500"/>
                  <a:pt x="9280436" y="1743126"/>
                </a:cubicBezTo>
                <a:cubicBezTo>
                  <a:pt x="9280436" y="1726751"/>
                  <a:pt x="9294865" y="1713474"/>
                  <a:pt x="9312652" y="1713474"/>
                </a:cubicBezTo>
                <a:cubicBezTo>
                  <a:pt x="9330439" y="1713474"/>
                  <a:pt x="9344856" y="1726751"/>
                  <a:pt x="9344856" y="1743126"/>
                </a:cubicBezTo>
                <a:cubicBezTo>
                  <a:pt x="9344856" y="1759500"/>
                  <a:pt x="9330439" y="1772778"/>
                  <a:pt x="9312652" y="1772778"/>
                </a:cubicBezTo>
                <a:close/>
                <a:moveTo>
                  <a:pt x="9391185" y="1772778"/>
                </a:moveTo>
                <a:cubicBezTo>
                  <a:pt x="9373398" y="1772778"/>
                  <a:pt x="9358969" y="1759500"/>
                  <a:pt x="9358969" y="1743126"/>
                </a:cubicBezTo>
                <a:cubicBezTo>
                  <a:pt x="9358969" y="1726751"/>
                  <a:pt x="9373398" y="1713474"/>
                  <a:pt x="9391185" y="1713474"/>
                </a:cubicBezTo>
                <a:cubicBezTo>
                  <a:pt x="9408972" y="1713474"/>
                  <a:pt x="9423389" y="1726751"/>
                  <a:pt x="9423389" y="1743126"/>
                </a:cubicBezTo>
                <a:cubicBezTo>
                  <a:pt x="9423389" y="1759500"/>
                  <a:pt x="9408972" y="1772778"/>
                  <a:pt x="9391185" y="1772778"/>
                </a:cubicBezTo>
                <a:close/>
                <a:moveTo>
                  <a:pt x="9469719" y="1772778"/>
                </a:moveTo>
                <a:cubicBezTo>
                  <a:pt x="9451932" y="1772778"/>
                  <a:pt x="9437503" y="1759500"/>
                  <a:pt x="9437503" y="1743126"/>
                </a:cubicBezTo>
                <a:cubicBezTo>
                  <a:pt x="9437503" y="1726751"/>
                  <a:pt x="9451932" y="1713474"/>
                  <a:pt x="9469719" y="1713474"/>
                </a:cubicBezTo>
                <a:cubicBezTo>
                  <a:pt x="9487507" y="1713474"/>
                  <a:pt x="9501924" y="1726751"/>
                  <a:pt x="9501924" y="1743126"/>
                </a:cubicBezTo>
                <a:cubicBezTo>
                  <a:pt x="9501924" y="1759500"/>
                  <a:pt x="9487507" y="1772778"/>
                  <a:pt x="9469719" y="1772778"/>
                </a:cubicBezTo>
                <a:close/>
                <a:moveTo>
                  <a:pt x="9548254" y="1772778"/>
                </a:moveTo>
                <a:cubicBezTo>
                  <a:pt x="9530466" y="1772778"/>
                  <a:pt x="9516037" y="1759500"/>
                  <a:pt x="9516037" y="1743126"/>
                </a:cubicBezTo>
                <a:cubicBezTo>
                  <a:pt x="9516037" y="1726751"/>
                  <a:pt x="9530466" y="1713474"/>
                  <a:pt x="9548254" y="1713474"/>
                </a:cubicBezTo>
                <a:cubicBezTo>
                  <a:pt x="9566041" y="1713474"/>
                  <a:pt x="9580458" y="1726751"/>
                  <a:pt x="9580458" y="1743126"/>
                </a:cubicBezTo>
                <a:cubicBezTo>
                  <a:pt x="9580458" y="1759500"/>
                  <a:pt x="9566041" y="1772778"/>
                  <a:pt x="9548254" y="1772778"/>
                </a:cubicBezTo>
                <a:close/>
                <a:moveTo>
                  <a:pt x="9626787" y="1772778"/>
                </a:moveTo>
                <a:cubicBezTo>
                  <a:pt x="9609000" y="1772778"/>
                  <a:pt x="9594571" y="1759500"/>
                  <a:pt x="9594571" y="1743126"/>
                </a:cubicBezTo>
                <a:cubicBezTo>
                  <a:pt x="9594571" y="1726751"/>
                  <a:pt x="9609000" y="1713474"/>
                  <a:pt x="9626787" y="1713474"/>
                </a:cubicBezTo>
                <a:cubicBezTo>
                  <a:pt x="9644574" y="1713474"/>
                  <a:pt x="9658991" y="1726751"/>
                  <a:pt x="9658991" y="1743126"/>
                </a:cubicBezTo>
                <a:cubicBezTo>
                  <a:pt x="9658991" y="1759500"/>
                  <a:pt x="9644574" y="1772778"/>
                  <a:pt x="9626787" y="1772778"/>
                </a:cubicBezTo>
                <a:close/>
                <a:moveTo>
                  <a:pt x="9705321" y="1772778"/>
                </a:moveTo>
                <a:cubicBezTo>
                  <a:pt x="9687534" y="1772778"/>
                  <a:pt x="9673105" y="1759500"/>
                  <a:pt x="9673105" y="1743126"/>
                </a:cubicBezTo>
                <a:cubicBezTo>
                  <a:pt x="9673105" y="1726751"/>
                  <a:pt x="9687534" y="1713474"/>
                  <a:pt x="9705321" y="1713474"/>
                </a:cubicBezTo>
                <a:cubicBezTo>
                  <a:pt x="9723108" y="1713474"/>
                  <a:pt x="9737525" y="1726751"/>
                  <a:pt x="9737525" y="1743126"/>
                </a:cubicBezTo>
                <a:cubicBezTo>
                  <a:pt x="9737525" y="1759500"/>
                  <a:pt x="9723108" y="1772778"/>
                  <a:pt x="9705321" y="1772778"/>
                </a:cubicBezTo>
                <a:close/>
                <a:moveTo>
                  <a:pt x="9783854" y="1772778"/>
                </a:moveTo>
                <a:cubicBezTo>
                  <a:pt x="9766067" y="1772778"/>
                  <a:pt x="9751638" y="1759500"/>
                  <a:pt x="9751638" y="1743126"/>
                </a:cubicBezTo>
                <a:cubicBezTo>
                  <a:pt x="9751638" y="1726751"/>
                  <a:pt x="9766067" y="1713474"/>
                  <a:pt x="9783854" y="1713474"/>
                </a:cubicBezTo>
                <a:cubicBezTo>
                  <a:pt x="9801642" y="1713474"/>
                  <a:pt x="9816059" y="1726751"/>
                  <a:pt x="9816059" y="1743126"/>
                </a:cubicBezTo>
                <a:cubicBezTo>
                  <a:pt x="9816059" y="1759500"/>
                  <a:pt x="9801642" y="1772778"/>
                  <a:pt x="9783854" y="1772778"/>
                </a:cubicBezTo>
                <a:close/>
                <a:moveTo>
                  <a:pt x="9862389" y="1772778"/>
                </a:moveTo>
                <a:cubicBezTo>
                  <a:pt x="9844601" y="1772778"/>
                  <a:pt x="9830172" y="1759500"/>
                  <a:pt x="9830172" y="1743126"/>
                </a:cubicBezTo>
                <a:cubicBezTo>
                  <a:pt x="9830172" y="1726751"/>
                  <a:pt x="9844601" y="1713474"/>
                  <a:pt x="9862389" y="1713474"/>
                </a:cubicBezTo>
                <a:cubicBezTo>
                  <a:pt x="9880176" y="1713474"/>
                  <a:pt x="9894593" y="1726751"/>
                  <a:pt x="9894593" y="1743126"/>
                </a:cubicBezTo>
                <a:cubicBezTo>
                  <a:pt x="9894593" y="1759500"/>
                  <a:pt x="9880176" y="1772778"/>
                  <a:pt x="9862389" y="1772778"/>
                </a:cubicBezTo>
                <a:close/>
                <a:moveTo>
                  <a:pt x="9940923" y="1772778"/>
                </a:moveTo>
                <a:cubicBezTo>
                  <a:pt x="9923136" y="1772778"/>
                  <a:pt x="9908707" y="1759500"/>
                  <a:pt x="9908707" y="1743126"/>
                </a:cubicBezTo>
                <a:cubicBezTo>
                  <a:pt x="9908707" y="1726751"/>
                  <a:pt x="9923136" y="1713474"/>
                  <a:pt x="9940923" y="1713474"/>
                </a:cubicBezTo>
                <a:cubicBezTo>
                  <a:pt x="9958710" y="1713474"/>
                  <a:pt x="9973127" y="1726751"/>
                  <a:pt x="9973127" y="1743126"/>
                </a:cubicBezTo>
                <a:cubicBezTo>
                  <a:pt x="9973127" y="1759500"/>
                  <a:pt x="9958710" y="1772778"/>
                  <a:pt x="9940923" y="1772778"/>
                </a:cubicBezTo>
                <a:close/>
                <a:moveTo>
                  <a:pt x="10019456" y="1772778"/>
                </a:moveTo>
                <a:cubicBezTo>
                  <a:pt x="10001669" y="1772778"/>
                  <a:pt x="9987240" y="1759500"/>
                  <a:pt x="9987240" y="1743126"/>
                </a:cubicBezTo>
                <a:cubicBezTo>
                  <a:pt x="9987240" y="1726751"/>
                  <a:pt x="10001669" y="1713474"/>
                  <a:pt x="10019456" y="1713474"/>
                </a:cubicBezTo>
                <a:cubicBezTo>
                  <a:pt x="10037243" y="1713474"/>
                  <a:pt x="10051660" y="1726751"/>
                  <a:pt x="10051660" y="1743126"/>
                </a:cubicBezTo>
                <a:cubicBezTo>
                  <a:pt x="10051660" y="1759500"/>
                  <a:pt x="10037243" y="1772778"/>
                  <a:pt x="10019456" y="1772778"/>
                </a:cubicBezTo>
                <a:close/>
                <a:moveTo>
                  <a:pt x="10097990" y="1772778"/>
                </a:moveTo>
                <a:cubicBezTo>
                  <a:pt x="10080203" y="1772778"/>
                  <a:pt x="10065774" y="1759500"/>
                  <a:pt x="10065774" y="1743126"/>
                </a:cubicBezTo>
                <a:cubicBezTo>
                  <a:pt x="10065774" y="1726751"/>
                  <a:pt x="10080203" y="1713474"/>
                  <a:pt x="10097990" y="1713474"/>
                </a:cubicBezTo>
                <a:cubicBezTo>
                  <a:pt x="10115778" y="1713474"/>
                  <a:pt x="10130195" y="1726751"/>
                  <a:pt x="10130195" y="1743126"/>
                </a:cubicBezTo>
                <a:cubicBezTo>
                  <a:pt x="10130195" y="1759500"/>
                  <a:pt x="10115778" y="1772778"/>
                  <a:pt x="10097990" y="1772778"/>
                </a:cubicBezTo>
                <a:close/>
                <a:moveTo>
                  <a:pt x="10176524" y="1772778"/>
                </a:moveTo>
                <a:cubicBezTo>
                  <a:pt x="10158736" y="1772778"/>
                  <a:pt x="10144307" y="1759500"/>
                  <a:pt x="10144307" y="1743126"/>
                </a:cubicBezTo>
                <a:cubicBezTo>
                  <a:pt x="10144307" y="1726751"/>
                  <a:pt x="10158736" y="1713474"/>
                  <a:pt x="10176524" y="1713474"/>
                </a:cubicBezTo>
                <a:cubicBezTo>
                  <a:pt x="10194311" y="1713474"/>
                  <a:pt x="10208728" y="1726751"/>
                  <a:pt x="10208728" y="1743126"/>
                </a:cubicBezTo>
                <a:cubicBezTo>
                  <a:pt x="10208728" y="1759500"/>
                  <a:pt x="10194311" y="1772778"/>
                  <a:pt x="10176524" y="1772778"/>
                </a:cubicBezTo>
                <a:close/>
                <a:moveTo>
                  <a:pt x="10255058" y="1772778"/>
                </a:moveTo>
                <a:cubicBezTo>
                  <a:pt x="10237271" y="1772778"/>
                  <a:pt x="10222842" y="1759500"/>
                  <a:pt x="10222842" y="1743126"/>
                </a:cubicBezTo>
                <a:cubicBezTo>
                  <a:pt x="10222842" y="1726751"/>
                  <a:pt x="10237271" y="1713474"/>
                  <a:pt x="10255058" y="1713474"/>
                </a:cubicBezTo>
                <a:cubicBezTo>
                  <a:pt x="10272845" y="1713474"/>
                  <a:pt x="10287262" y="1726751"/>
                  <a:pt x="10287262" y="1743126"/>
                </a:cubicBezTo>
                <a:cubicBezTo>
                  <a:pt x="10287262" y="1759500"/>
                  <a:pt x="10272845" y="1772778"/>
                  <a:pt x="10255058" y="1772778"/>
                </a:cubicBezTo>
                <a:close/>
                <a:moveTo>
                  <a:pt x="10333592" y="1772778"/>
                </a:moveTo>
                <a:cubicBezTo>
                  <a:pt x="10315805" y="1772778"/>
                  <a:pt x="10301376" y="1759500"/>
                  <a:pt x="10301376" y="1743126"/>
                </a:cubicBezTo>
                <a:cubicBezTo>
                  <a:pt x="10301376" y="1726751"/>
                  <a:pt x="10315805" y="1713474"/>
                  <a:pt x="10333592" y="1713474"/>
                </a:cubicBezTo>
                <a:cubicBezTo>
                  <a:pt x="10351379" y="1713474"/>
                  <a:pt x="10365796" y="1726751"/>
                  <a:pt x="10365796" y="1743126"/>
                </a:cubicBezTo>
                <a:cubicBezTo>
                  <a:pt x="10365796" y="1759500"/>
                  <a:pt x="10351379" y="1772778"/>
                  <a:pt x="10333592" y="1772778"/>
                </a:cubicBezTo>
                <a:close/>
                <a:moveTo>
                  <a:pt x="3972319" y="1700513"/>
                </a:moveTo>
                <a:cubicBezTo>
                  <a:pt x="3954532" y="1700513"/>
                  <a:pt x="3940108" y="1687236"/>
                  <a:pt x="3940108" y="1670861"/>
                </a:cubicBezTo>
                <a:cubicBezTo>
                  <a:pt x="3940108" y="1654486"/>
                  <a:pt x="3954532" y="1641209"/>
                  <a:pt x="3972319" y="1641209"/>
                </a:cubicBezTo>
                <a:cubicBezTo>
                  <a:pt x="3990106" y="1641209"/>
                  <a:pt x="4004529" y="1654486"/>
                  <a:pt x="4004529" y="1670861"/>
                </a:cubicBezTo>
                <a:cubicBezTo>
                  <a:pt x="4004529" y="1687236"/>
                  <a:pt x="3990106" y="1700513"/>
                  <a:pt x="3972319" y="1700513"/>
                </a:cubicBezTo>
                <a:close/>
                <a:moveTo>
                  <a:pt x="4050852" y="1700513"/>
                </a:moveTo>
                <a:cubicBezTo>
                  <a:pt x="4033065" y="1700513"/>
                  <a:pt x="4018642" y="1687236"/>
                  <a:pt x="4018642" y="1670861"/>
                </a:cubicBezTo>
                <a:cubicBezTo>
                  <a:pt x="4018642" y="1654486"/>
                  <a:pt x="4033065" y="1641209"/>
                  <a:pt x="4050852" y="1641209"/>
                </a:cubicBezTo>
                <a:cubicBezTo>
                  <a:pt x="4068639" y="1641209"/>
                  <a:pt x="4083062" y="1654486"/>
                  <a:pt x="4083062" y="1670861"/>
                </a:cubicBezTo>
                <a:cubicBezTo>
                  <a:pt x="4083062" y="1687236"/>
                  <a:pt x="4068639" y="1700513"/>
                  <a:pt x="4050852" y="1700513"/>
                </a:cubicBezTo>
                <a:close/>
                <a:moveTo>
                  <a:pt x="4129386" y="1700513"/>
                </a:moveTo>
                <a:cubicBezTo>
                  <a:pt x="4111599" y="1700513"/>
                  <a:pt x="4097176" y="1687236"/>
                  <a:pt x="4097176" y="1670861"/>
                </a:cubicBezTo>
                <a:cubicBezTo>
                  <a:pt x="4097176" y="1654486"/>
                  <a:pt x="4111599" y="1641209"/>
                  <a:pt x="4129386" y="1641209"/>
                </a:cubicBezTo>
                <a:cubicBezTo>
                  <a:pt x="4147174" y="1641209"/>
                  <a:pt x="4161597" y="1654486"/>
                  <a:pt x="4161597" y="1670861"/>
                </a:cubicBezTo>
                <a:cubicBezTo>
                  <a:pt x="4161597" y="1687236"/>
                  <a:pt x="4147174" y="1700513"/>
                  <a:pt x="4129386" y="1700513"/>
                </a:cubicBezTo>
                <a:close/>
                <a:moveTo>
                  <a:pt x="4207926" y="1700513"/>
                </a:moveTo>
                <a:cubicBezTo>
                  <a:pt x="4190138" y="1700513"/>
                  <a:pt x="4175715" y="1687236"/>
                  <a:pt x="4175715" y="1670861"/>
                </a:cubicBezTo>
                <a:cubicBezTo>
                  <a:pt x="4175715" y="1654486"/>
                  <a:pt x="4190138" y="1641209"/>
                  <a:pt x="4207926" y="1641209"/>
                </a:cubicBezTo>
                <a:cubicBezTo>
                  <a:pt x="4225713" y="1641209"/>
                  <a:pt x="4240136" y="1654486"/>
                  <a:pt x="4240136" y="1670861"/>
                </a:cubicBezTo>
                <a:cubicBezTo>
                  <a:pt x="4240136" y="1687236"/>
                  <a:pt x="4225713" y="1700513"/>
                  <a:pt x="4207926" y="1700513"/>
                </a:cubicBezTo>
                <a:close/>
                <a:moveTo>
                  <a:pt x="4286460" y="1700513"/>
                </a:moveTo>
                <a:cubicBezTo>
                  <a:pt x="4268673" y="1700513"/>
                  <a:pt x="4254250" y="1687236"/>
                  <a:pt x="4254250" y="1670861"/>
                </a:cubicBezTo>
                <a:cubicBezTo>
                  <a:pt x="4254250" y="1654486"/>
                  <a:pt x="4268673" y="1641209"/>
                  <a:pt x="4286460" y="1641209"/>
                </a:cubicBezTo>
                <a:cubicBezTo>
                  <a:pt x="4304247" y="1641209"/>
                  <a:pt x="4318670" y="1654486"/>
                  <a:pt x="4318670" y="1670861"/>
                </a:cubicBezTo>
                <a:cubicBezTo>
                  <a:pt x="4318670" y="1687236"/>
                  <a:pt x="4304247" y="1700513"/>
                  <a:pt x="4286460" y="1700513"/>
                </a:cubicBezTo>
                <a:close/>
                <a:moveTo>
                  <a:pt x="4364994" y="1700513"/>
                </a:moveTo>
                <a:cubicBezTo>
                  <a:pt x="4347207" y="1700513"/>
                  <a:pt x="4332784" y="1687236"/>
                  <a:pt x="4332784" y="1670861"/>
                </a:cubicBezTo>
                <a:cubicBezTo>
                  <a:pt x="4332784" y="1654486"/>
                  <a:pt x="4347207" y="1641209"/>
                  <a:pt x="4364994" y="1641209"/>
                </a:cubicBezTo>
                <a:cubicBezTo>
                  <a:pt x="4382781" y="1641209"/>
                  <a:pt x="4397204" y="1654486"/>
                  <a:pt x="4397204" y="1670861"/>
                </a:cubicBezTo>
                <a:cubicBezTo>
                  <a:pt x="4397204" y="1687236"/>
                  <a:pt x="4382781" y="1700513"/>
                  <a:pt x="4364994" y="1700513"/>
                </a:cubicBezTo>
                <a:close/>
                <a:moveTo>
                  <a:pt x="4443527" y="1700513"/>
                </a:moveTo>
                <a:cubicBezTo>
                  <a:pt x="4425740" y="1700513"/>
                  <a:pt x="4411317" y="1687236"/>
                  <a:pt x="4411317" y="1670861"/>
                </a:cubicBezTo>
                <a:cubicBezTo>
                  <a:pt x="4411317" y="1654486"/>
                  <a:pt x="4425740" y="1641209"/>
                  <a:pt x="4443527" y="1641209"/>
                </a:cubicBezTo>
                <a:cubicBezTo>
                  <a:pt x="4461315" y="1641209"/>
                  <a:pt x="4475738" y="1654486"/>
                  <a:pt x="4475738" y="1670861"/>
                </a:cubicBezTo>
                <a:cubicBezTo>
                  <a:pt x="4475738" y="1687236"/>
                  <a:pt x="4461315" y="1700513"/>
                  <a:pt x="4443527" y="1700513"/>
                </a:cubicBezTo>
                <a:close/>
                <a:moveTo>
                  <a:pt x="6485408" y="1700513"/>
                </a:moveTo>
                <a:cubicBezTo>
                  <a:pt x="6467621" y="1700513"/>
                  <a:pt x="6453191" y="1687236"/>
                  <a:pt x="6453191" y="1670861"/>
                </a:cubicBezTo>
                <a:cubicBezTo>
                  <a:pt x="6453191" y="1654486"/>
                  <a:pt x="6467621" y="1641209"/>
                  <a:pt x="6485408" y="1641209"/>
                </a:cubicBezTo>
                <a:cubicBezTo>
                  <a:pt x="6503195" y="1641209"/>
                  <a:pt x="6517612" y="1654486"/>
                  <a:pt x="6517612" y="1670861"/>
                </a:cubicBezTo>
                <a:cubicBezTo>
                  <a:pt x="6517612" y="1687236"/>
                  <a:pt x="6503195" y="1700513"/>
                  <a:pt x="6485408" y="1700513"/>
                </a:cubicBezTo>
                <a:close/>
                <a:moveTo>
                  <a:pt x="6563942" y="1700513"/>
                </a:moveTo>
                <a:cubicBezTo>
                  <a:pt x="6546155" y="1700513"/>
                  <a:pt x="6531726" y="1687236"/>
                  <a:pt x="6531726" y="1670861"/>
                </a:cubicBezTo>
                <a:cubicBezTo>
                  <a:pt x="6531726" y="1654486"/>
                  <a:pt x="6546155" y="1641209"/>
                  <a:pt x="6563942" y="1641209"/>
                </a:cubicBezTo>
                <a:cubicBezTo>
                  <a:pt x="6581729" y="1641209"/>
                  <a:pt x="6596146" y="1654486"/>
                  <a:pt x="6596146" y="1670861"/>
                </a:cubicBezTo>
                <a:cubicBezTo>
                  <a:pt x="6596146" y="1687236"/>
                  <a:pt x="6581729" y="1700513"/>
                  <a:pt x="6563942" y="1700513"/>
                </a:cubicBezTo>
                <a:close/>
                <a:moveTo>
                  <a:pt x="6642476" y="1700513"/>
                </a:moveTo>
                <a:cubicBezTo>
                  <a:pt x="6624689" y="1700513"/>
                  <a:pt x="6610260" y="1687236"/>
                  <a:pt x="6610260" y="1670861"/>
                </a:cubicBezTo>
                <a:cubicBezTo>
                  <a:pt x="6610260" y="1654486"/>
                  <a:pt x="6624689" y="1641209"/>
                  <a:pt x="6642476" y="1641209"/>
                </a:cubicBezTo>
                <a:cubicBezTo>
                  <a:pt x="6660264" y="1641209"/>
                  <a:pt x="6674681" y="1654486"/>
                  <a:pt x="6674681" y="1670861"/>
                </a:cubicBezTo>
                <a:cubicBezTo>
                  <a:pt x="6674681" y="1687236"/>
                  <a:pt x="6660264" y="1700513"/>
                  <a:pt x="6642476" y="1700513"/>
                </a:cubicBezTo>
                <a:close/>
                <a:moveTo>
                  <a:pt x="9234118" y="1700513"/>
                </a:moveTo>
                <a:cubicBezTo>
                  <a:pt x="9216330" y="1700513"/>
                  <a:pt x="9201901" y="1687236"/>
                  <a:pt x="9201901" y="1670861"/>
                </a:cubicBezTo>
                <a:cubicBezTo>
                  <a:pt x="9201901" y="1654486"/>
                  <a:pt x="9216330" y="1641209"/>
                  <a:pt x="9234118" y="1641209"/>
                </a:cubicBezTo>
                <a:cubicBezTo>
                  <a:pt x="9251905" y="1641209"/>
                  <a:pt x="9266322" y="1654486"/>
                  <a:pt x="9266322" y="1670861"/>
                </a:cubicBezTo>
                <a:cubicBezTo>
                  <a:pt x="9266322" y="1687236"/>
                  <a:pt x="9251905" y="1700513"/>
                  <a:pt x="9234118" y="1700513"/>
                </a:cubicBezTo>
                <a:close/>
                <a:moveTo>
                  <a:pt x="9312652" y="1700513"/>
                </a:moveTo>
                <a:cubicBezTo>
                  <a:pt x="9294865" y="1700513"/>
                  <a:pt x="9280436" y="1687236"/>
                  <a:pt x="9280436" y="1670861"/>
                </a:cubicBezTo>
                <a:cubicBezTo>
                  <a:pt x="9280436" y="1654486"/>
                  <a:pt x="9294865" y="1641209"/>
                  <a:pt x="9312652" y="1641209"/>
                </a:cubicBezTo>
                <a:cubicBezTo>
                  <a:pt x="9330439" y="1641209"/>
                  <a:pt x="9344856" y="1654486"/>
                  <a:pt x="9344856" y="1670861"/>
                </a:cubicBezTo>
                <a:cubicBezTo>
                  <a:pt x="9344856" y="1687236"/>
                  <a:pt x="9330439" y="1700513"/>
                  <a:pt x="9312652" y="1700513"/>
                </a:cubicBezTo>
                <a:close/>
                <a:moveTo>
                  <a:pt x="9391185" y="1700513"/>
                </a:moveTo>
                <a:cubicBezTo>
                  <a:pt x="9373398" y="1700513"/>
                  <a:pt x="9358969" y="1687236"/>
                  <a:pt x="9358969" y="1670861"/>
                </a:cubicBezTo>
                <a:cubicBezTo>
                  <a:pt x="9358969" y="1654486"/>
                  <a:pt x="9373398" y="1641209"/>
                  <a:pt x="9391185" y="1641209"/>
                </a:cubicBezTo>
                <a:cubicBezTo>
                  <a:pt x="9408972" y="1641209"/>
                  <a:pt x="9423389" y="1654486"/>
                  <a:pt x="9423389" y="1670861"/>
                </a:cubicBezTo>
                <a:cubicBezTo>
                  <a:pt x="9423389" y="1687236"/>
                  <a:pt x="9408972" y="1700513"/>
                  <a:pt x="9391185" y="1700513"/>
                </a:cubicBezTo>
                <a:close/>
                <a:moveTo>
                  <a:pt x="9469719" y="1700513"/>
                </a:moveTo>
                <a:cubicBezTo>
                  <a:pt x="9451932" y="1700513"/>
                  <a:pt x="9437503" y="1687236"/>
                  <a:pt x="9437503" y="1670861"/>
                </a:cubicBezTo>
                <a:cubicBezTo>
                  <a:pt x="9437503" y="1654486"/>
                  <a:pt x="9451932" y="1641209"/>
                  <a:pt x="9469719" y="1641209"/>
                </a:cubicBezTo>
                <a:cubicBezTo>
                  <a:pt x="9487507" y="1641209"/>
                  <a:pt x="9501924" y="1654486"/>
                  <a:pt x="9501924" y="1670861"/>
                </a:cubicBezTo>
                <a:cubicBezTo>
                  <a:pt x="9501924" y="1687236"/>
                  <a:pt x="9487507" y="1700513"/>
                  <a:pt x="9469719" y="1700513"/>
                </a:cubicBezTo>
                <a:close/>
                <a:moveTo>
                  <a:pt x="9548254" y="1700513"/>
                </a:moveTo>
                <a:cubicBezTo>
                  <a:pt x="9530466" y="1700513"/>
                  <a:pt x="9516037" y="1687236"/>
                  <a:pt x="9516037" y="1670861"/>
                </a:cubicBezTo>
                <a:cubicBezTo>
                  <a:pt x="9516037" y="1654486"/>
                  <a:pt x="9530466" y="1641209"/>
                  <a:pt x="9548254" y="1641209"/>
                </a:cubicBezTo>
                <a:cubicBezTo>
                  <a:pt x="9566041" y="1641209"/>
                  <a:pt x="9580458" y="1654486"/>
                  <a:pt x="9580458" y="1670861"/>
                </a:cubicBezTo>
                <a:cubicBezTo>
                  <a:pt x="9580458" y="1687236"/>
                  <a:pt x="9566041" y="1700513"/>
                  <a:pt x="9548254" y="1700513"/>
                </a:cubicBezTo>
                <a:close/>
                <a:moveTo>
                  <a:pt x="9626787" y="1700513"/>
                </a:moveTo>
                <a:cubicBezTo>
                  <a:pt x="9609000" y="1700513"/>
                  <a:pt x="9594571" y="1687236"/>
                  <a:pt x="9594571" y="1670861"/>
                </a:cubicBezTo>
                <a:cubicBezTo>
                  <a:pt x="9594571" y="1654486"/>
                  <a:pt x="9609000" y="1641209"/>
                  <a:pt x="9626787" y="1641209"/>
                </a:cubicBezTo>
                <a:cubicBezTo>
                  <a:pt x="9644574" y="1641209"/>
                  <a:pt x="9658991" y="1654486"/>
                  <a:pt x="9658991" y="1670861"/>
                </a:cubicBezTo>
                <a:cubicBezTo>
                  <a:pt x="9658991" y="1687236"/>
                  <a:pt x="9644574" y="1700513"/>
                  <a:pt x="9626787" y="1700513"/>
                </a:cubicBezTo>
                <a:close/>
                <a:moveTo>
                  <a:pt x="9705321" y="1700513"/>
                </a:moveTo>
                <a:cubicBezTo>
                  <a:pt x="9687534" y="1700513"/>
                  <a:pt x="9673105" y="1687236"/>
                  <a:pt x="9673105" y="1670861"/>
                </a:cubicBezTo>
                <a:cubicBezTo>
                  <a:pt x="9673105" y="1654486"/>
                  <a:pt x="9687534" y="1641209"/>
                  <a:pt x="9705321" y="1641209"/>
                </a:cubicBezTo>
                <a:cubicBezTo>
                  <a:pt x="9723108" y="1641209"/>
                  <a:pt x="9737525" y="1654486"/>
                  <a:pt x="9737525" y="1670861"/>
                </a:cubicBezTo>
                <a:cubicBezTo>
                  <a:pt x="9737525" y="1687236"/>
                  <a:pt x="9723108" y="1700513"/>
                  <a:pt x="9705321" y="1700513"/>
                </a:cubicBezTo>
                <a:close/>
                <a:moveTo>
                  <a:pt x="9783854" y="1700513"/>
                </a:moveTo>
                <a:cubicBezTo>
                  <a:pt x="9766067" y="1700513"/>
                  <a:pt x="9751638" y="1687236"/>
                  <a:pt x="9751638" y="1670861"/>
                </a:cubicBezTo>
                <a:cubicBezTo>
                  <a:pt x="9751638" y="1654486"/>
                  <a:pt x="9766067" y="1641209"/>
                  <a:pt x="9783854" y="1641209"/>
                </a:cubicBezTo>
                <a:cubicBezTo>
                  <a:pt x="9801642" y="1641209"/>
                  <a:pt x="9816059" y="1654486"/>
                  <a:pt x="9816059" y="1670861"/>
                </a:cubicBezTo>
                <a:cubicBezTo>
                  <a:pt x="9816059" y="1687236"/>
                  <a:pt x="9801642" y="1700513"/>
                  <a:pt x="9783854" y="1700513"/>
                </a:cubicBezTo>
                <a:close/>
                <a:moveTo>
                  <a:pt x="9862389" y="1700513"/>
                </a:moveTo>
                <a:cubicBezTo>
                  <a:pt x="9844601" y="1700513"/>
                  <a:pt x="9830172" y="1687236"/>
                  <a:pt x="9830172" y="1670861"/>
                </a:cubicBezTo>
                <a:cubicBezTo>
                  <a:pt x="9830172" y="1654486"/>
                  <a:pt x="9844601" y="1641209"/>
                  <a:pt x="9862389" y="1641209"/>
                </a:cubicBezTo>
                <a:cubicBezTo>
                  <a:pt x="9880176" y="1641209"/>
                  <a:pt x="9894593" y="1654486"/>
                  <a:pt x="9894593" y="1670861"/>
                </a:cubicBezTo>
                <a:cubicBezTo>
                  <a:pt x="9894593" y="1687236"/>
                  <a:pt x="9880176" y="1700513"/>
                  <a:pt x="9862389" y="1700513"/>
                </a:cubicBezTo>
                <a:close/>
                <a:moveTo>
                  <a:pt x="9940923" y="1700513"/>
                </a:moveTo>
                <a:cubicBezTo>
                  <a:pt x="9923136" y="1700513"/>
                  <a:pt x="9908707" y="1687236"/>
                  <a:pt x="9908707" y="1670861"/>
                </a:cubicBezTo>
                <a:cubicBezTo>
                  <a:pt x="9908707" y="1654486"/>
                  <a:pt x="9923136" y="1641209"/>
                  <a:pt x="9940923" y="1641209"/>
                </a:cubicBezTo>
                <a:cubicBezTo>
                  <a:pt x="9958710" y="1641209"/>
                  <a:pt x="9973127" y="1654486"/>
                  <a:pt x="9973127" y="1670861"/>
                </a:cubicBezTo>
                <a:cubicBezTo>
                  <a:pt x="9973127" y="1687236"/>
                  <a:pt x="9958710" y="1700513"/>
                  <a:pt x="9940923" y="1700513"/>
                </a:cubicBezTo>
                <a:close/>
                <a:moveTo>
                  <a:pt x="10019456" y="1700513"/>
                </a:moveTo>
                <a:cubicBezTo>
                  <a:pt x="10001669" y="1700513"/>
                  <a:pt x="9987240" y="1687236"/>
                  <a:pt x="9987240" y="1670861"/>
                </a:cubicBezTo>
                <a:cubicBezTo>
                  <a:pt x="9987240" y="1654486"/>
                  <a:pt x="10001669" y="1641209"/>
                  <a:pt x="10019456" y="1641209"/>
                </a:cubicBezTo>
                <a:cubicBezTo>
                  <a:pt x="10037243" y="1641209"/>
                  <a:pt x="10051660" y="1654486"/>
                  <a:pt x="10051660" y="1670861"/>
                </a:cubicBezTo>
                <a:cubicBezTo>
                  <a:pt x="10051660" y="1687236"/>
                  <a:pt x="10037243" y="1700513"/>
                  <a:pt x="10019456" y="1700513"/>
                </a:cubicBezTo>
                <a:close/>
                <a:moveTo>
                  <a:pt x="10097990" y="1700513"/>
                </a:moveTo>
                <a:cubicBezTo>
                  <a:pt x="10080203" y="1700513"/>
                  <a:pt x="10065774" y="1687236"/>
                  <a:pt x="10065774" y="1670861"/>
                </a:cubicBezTo>
                <a:cubicBezTo>
                  <a:pt x="10065774" y="1654486"/>
                  <a:pt x="10080203" y="1641209"/>
                  <a:pt x="10097990" y="1641209"/>
                </a:cubicBezTo>
                <a:cubicBezTo>
                  <a:pt x="10115778" y="1641209"/>
                  <a:pt x="10130195" y="1654486"/>
                  <a:pt x="10130195" y="1670861"/>
                </a:cubicBezTo>
                <a:cubicBezTo>
                  <a:pt x="10130195" y="1687236"/>
                  <a:pt x="10115778" y="1700513"/>
                  <a:pt x="10097990" y="1700513"/>
                </a:cubicBezTo>
                <a:close/>
                <a:moveTo>
                  <a:pt x="10176524" y="1700513"/>
                </a:moveTo>
                <a:cubicBezTo>
                  <a:pt x="10158736" y="1700513"/>
                  <a:pt x="10144307" y="1687236"/>
                  <a:pt x="10144307" y="1670861"/>
                </a:cubicBezTo>
                <a:cubicBezTo>
                  <a:pt x="10144307" y="1654486"/>
                  <a:pt x="10158736" y="1641209"/>
                  <a:pt x="10176524" y="1641209"/>
                </a:cubicBezTo>
                <a:cubicBezTo>
                  <a:pt x="10194311" y="1641209"/>
                  <a:pt x="10208728" y="1654486"/>
                  <a:pt x="10208728" y="1670861"/>
                </a:cubicBezTo>
                <a:cubicBezTo>
                  <a:pt x="10208728" y="1687236"/>
                  <a:pt x="10194311" y="1700513"/>
                  <a:pt x="10176524" y="1700513"/>
                </a:cubicBezTo>
                <a:close/>
                <a:moveTo>
                  <a:pt x="10255058" y="1700513"/>
                </a:moveTo>
                <a:cubicBezTo>
                  <a:pt x="10237271" y="1700513"/>
                  <a:pt x="10222842" y="1687236"/>
                  <a:pt x="10222842" y="1670861"/>
                </a:cubicBezTo>
                <a:cubicBezTo>
                  <a:pt x="10222842" y="1654486"/>
                  <a:pt x="10237271" y="1641209"/>
                  <a:pt x="10255058" y="1641209"/>
                </a:cubicBezTo>
                <a:cubicBezTo>
                  <a:pt x="10272845" y="1641209"/>
                  <a:pt x="10287262" y="1654486"/>
                  <a:pt x="10287262" y="1670861"/>
                </a:cubicBezTo>
                <a:cubicBezTo>
                  <a:pt x="10287262" y="1687236"/>
                  <a:pt x="10272845" y="1700513"/>
                  <a:pt x="10255058" y="1700513"/>
                </a:cubicBezTo>
                <a:close/>
                <a:moveTo>
                  <a:pt x="3972319" y="1628247"/>
                </a:moveTo>
                <a:cubicBezTo>
                  <a:pt x="3954532" y="1628247"/>
                  <a:pt x="3940108" y="1614970"/>
                  <a:pt x="3940108" y="1598595"/>
                </a:cubicBezTo>
                <a:cubicBezTo>
                  <a:pt x="3940108" y="1582221"/>
                  <a:pt x="3954532" y="1568943"/>
                  <a:pt x="3972319" y="1568943"/>
                </a:cubicBezTo>
                <a:cubicBezTo>
                  <a:pt x="3990106" y="1568943"/>
                  <a:pt x="4004529" y="1582221"/>
                  <a:pt x="4004529" y="1598595"/>
                </a:cubicBezTo>
                <a:cubicBezTo>
                  <a:pt x="4004529" y="1614970"/>
                  <a:pt x="3990106" y="1628247"/>
                  <a:pt x="3972319" y="1628247"/>
                </a:cubicBezTo>
                <a:close/>
                <a:moveTo>
                  <a:pt x="4050852" y="1628247"/>
                </a:moveTo>
                <a:cubicBezTo>
                  <a:pt x="4033065" y="1628247"/>
                  <a:pt x="4018642" y="1614970"/>
                  <a:pt x="4018642" y="1598595"/>
                </a:cubicBezTo>
                <a:cubicBezTo>
                  <a:pt x="4018642" y="1582221"/>
                  <a:pt x="4033065" y="1568943"/>
                  <a:pt x="4050852" y="1568943"/>
                </a:cubicBezTo>
                <a:cubicBezTo>
                  <a:pt x="4068639" y="1568943"/>
                  <a:pt x="4083062" y="1582221"/>
                  <a:pt x="4083062" y="1598595"/>
                </a:cubicBezTo>
                <a:cubicBezTo>
                  <a:pt x="4083062" y="1614970"/>
                  <a:pt x="4068639" y="1628247"/>
                  <a:pt x="4050852" y="1628247"/>
                </a:cubicBezTo>
                <a:close/>
                <a:moveTo>
                  <a:pt x="4129386" y="1628247"/>
                </a:moveTo>
                <a:cubicBezTo>
                  <a:pt x="4111599" y="1628247"/>
                  <a:pt x="4097176" y="1614970"/>
                  <a:pt x="4097176" y="1598595"/>
                </a:cubicBezTo>
                <a:cubicBezTo>
                  <a:pt x="4097176" y="1582221"/>
                  <a:pt x="4111599" y="1568943"/>
                  <a:pt x="4129386" y="1568943"/>
                </a:cubicBezTo>
                <a:cubicBezTo>
                  <a:pt x="4147174" y="1568943"/>
                  <a:pt x="4161597" y="1582221"/>
                  <a:pt x="4161597" y="1598595"/>
                </a:cubicBezTo>
                <a:cubicBezTo>
                  <a:pt x="4161597" y="1614970"/>
                  <a:pt x="4147174" y="1628247"/>
                  <a:pt x="4129386" y="1628247"/>
                </a:cubicBezTo>
                <a:close/>
                <a:moveTo>
                  <a:pt x="4207926" y="1628247"/>
                </a:moveTo>
                <a:cubicBezTo>
                  <a:pt x="4190138" y="1628247"/>
                  <a:pt x="4175715" y="1614970"/>
                  <a:pt x="4175715" y="1598595"/>
                </a:cubicBezTo>
                <a:cubicBezTo>
                  <a:pt x="4175715" y="1582221"/>
                  <a:pt x="4190138" y="1568943"/>
                  <a:pt x="4207926" y="1568943"/>
                </a:cubicBezTo>
                <a:cubicBezTo>
                  <a:pt x="4225713" y="1568943"/>
                  <a:pt x="4240136" y="1582221"/>
                  <a:pt x="4240136" y="1598595"/>
                </a:cubicBezTo>
                <a:cubicBezTo>
                  <a:pt x="4240136" y="1614970"/>
                  <a:pt x="4225713" y="1628247"/>
                  <a:pt x="4207926" y="1628247"/>
                </a:cubicBezTo>
                <a:close/>
                <a:moveTo>
                  <a:pt x="4286460" y="1628247"/>
                </a:moveTo>
                <a:cubicBezTo>
                  <a:pt x="4268673" y="1628247"/>
                  <a:pt x="4254250" y="1614970"/>
                  <a:pt x="4254250" y="1598595"/>
                </a:cubicBezTo>
                <a:cubicBezTo>
                  <a:pt x="4254250" y="1582221"/>
                  <a:pt x="4268673" y="1568943"/>
                  <a:pt x="4286460" y="1568943"/>
                </a:cubicBezTo>
                <a:cubicBezTo>
                  <a:pt x="4304247" y="1568943"/>
                  <a:pt x="4318670" y="1582221"/>
                  <a:pt x="4318670" y="1598595"/>
                </a:cubicBezTo>
                <a:cubicBezTo>
                  <a:pt x="4318670" y="1614970"/>
                  <a:pt x="4304247" y="1628247"/>
                  <a:pt x="4286460" y="1628247"/>
                </a:cubicBezTo>
                <a:close/>
                <a:moveTo>
                  <a:pt x="9234118" y="1628247"/>
                </a:moveTo>
                <a:cubicBezTo>
                  <a:pt x="9216330" y="1628247"/>
                  <a:pt x="9201901" y="1614970"/>
                  <a:pt x="9201901" y="1598595"/>
                </a:cubicBezTo>
                <a:cubicBezTo>
                  <a:pt x="9201901" y="1582221"/>
                  <a:pt x="9216330" y="1568943"/>
                  <a:pt x="9234118" y="1568943"/>
                </a:cubicBezTo>
                <a:cubicBezTo>
                  <a:pt x="9251905" y="1568943"/>
                  <a:pt x="9266322" y="1582221"/>
                  <a:pt x="9266322" y="1598595"/>
                </a:cubicBezTo>
                <a:cubicBezTo>
                  <a:pt x="9266322" y="1614970"/>
                  <a:pt x="9251905" y="1628247"/>
                  <a:pt x="9234118" y="1628247"/>
                </a:cubicBezTo>
                <a:close/>
                <a:moveTo>
                  <a:pt x="9312652" y="1628247"/>
                </a:moveTo>
                <a:cubicBezTo>
                  <a:pt x="9294865" y="1628247"/>
                  <a:pt x="9280436" y="1614970"/>
                  <a:pt x="9280436" y="1598595"/>
                </a:cubicBezTo>
                <a:cubicBezTo>
                  <a:pt x="9280436" y="1582221"/>
                  <a:pt x="9294865" y="1568943"/>
                  <a:pt x="9312652" y="1568943"/>
                </a:cubicBezTo>
                <a:cubicBezTo>
                  <a:pt x="9330439" y="1568943"/>
                  <a:pt x="9344856" y="1582221"/>
                  <a:pt x="9344856" y="1598595"/>
                </a:cubicBezTo>
                <a:cubicBezTo>
                  <a:pt x="9344856" y="1614970"/>
                  <a:pt x="9330439" y="1628247"/>
                  <a:pt x="9312652" y="1628247"/>
                </a:cubicBezTo>
                <a:close/>
                <a:moveTo>
                  <a:pt x="9391185" y="1628247"/>
                </a:moveTo>
                <a:cubicBezTo>
                  <a:pt x="9373398" y="1628247"/>
                  <a:pt x="9358969" y="1614970"/>
                  <a:pt x="9358969" y="1598595"/>
                </a:cubicBezTo>
                <a:cubicBezTo>
                  <a:pt x="9358969" y="1582221"/>
                  <a:pt x="9373398" y="1568943"/>
                  <a:pt x="9391185" y="1568943"/>
                </a:cubicBezTo>
                <a:cubicBezTo>
                  <a:pt x="9408972" y="1568943"/>
                  <a:pt x="9423389" y="1582221"/>
                  <a:pt x="9423389" y="1598595"/>
                </a:cubicBezTo>
                <a:cubicBezTo>
                  <a:pt x="9423389" y="1614970"/>
                  <a:pt x="9408972" y="1628247"/>
                  <a:pt x="9391185" y="1628247"/>
                </a:cubicBezTo>
                <a:close/>
                <a:moveTo>
                  <a:pt x="9783854" y="1628247"/>
                </a:moveTo>
                <a:cubicBezTo>
                  <a:pt x="9766067" y="1628247"/>
                  <a:pt x="9751638" y="1614970"/>
                  <a:pt x="9751638" y="1598595"/>
                </a:cubicBezTo>
                <a:cubicBezTo>
                  <a:pt x="9751638" y="1582221"/>
                  <a:pt x="9766067" y="1568943"/>
                  <a:pt x="9783854" y="1568943"/>
                </a:cubicBezTo>
                <a:cubicBezTo>
                  <a:pt x="9801642" y="1568943"/>
                  <a:pt x="9816059" y="1582221"/>
                  <a:pt x="9816059" y="1598595"/>
                </a:cubicBezTo>
                <a:cubicBezTo>
                  <a:pt x="9816059" y="1614970"/>
                  <a:pt x="9801642" y="1628247"/>
                  <a:pt x="9783854" y="1628247"/>
                </a:cubicBezTo>
                <a:close/>
                <a:moveTo>
                  <a:pt x="9862389" y="1628247"/>
                </a:moveTo>
                <a:cubicBezTo>
                  <a:pt x="9844601" y="1628247"/>
                  <a:pt x="9830172" y="1614970"/>
                  <a:pt x="9830172" y="1598595"/>
                </a:cubicBezTo>
                <a:cubicBezTo>
                  <a:pt x="9830172" y="1582221"/>
                  <a:pt x="9844601" y="1568943"/>
                  <a:pt x="9862389" y="1568943"/>
                </a:cubicBezTo>
                <a:cubicBezTo>
                  <a:pt x="9880176" y="1568943"/>
                  <a:pt x="9894593" y="1582221"/>
                  <a:pt x="9894593" y="1598595"/>
                </a:cubicBezTo>
                <a:cubicBezTo>
                  <a:pt x="9894593" y="1614970"/>
                  <a:pt x="9880176" y="1628247"/>
                  <a:pt x="9862389" y="1628247"/>
                </a:cubicBezTo>
                <a:close/>
                <a:moveTo>
                  <a:pt x="9940923" y="1628247"/>
                </a:moveTo>
                <a:cubicBezTo>
                  <a:pt x="9923136" y="1628247"/>
                  <a:pt x="9908707" y="1614970"/>
                  <a:pt x="9908707" y="1598595"/>
                </a:cubicBezTo>
                <a:cubicBezTo>
                  <a:pt x="9908707" y="1582221"/>
                  <a:pt x="9923136" y="1568943"/>
                  <a:pt x="9940923" y="1568943"/>
                </a:cubicBezTo>
                <a:cubicBezTo>
                  <a:pt x="9958710" y="1568943"/>
                  <a:pt x="9973127" y="1582221"/>
                  <a:pt x="9973127" y="1598595"/>
                </a:cubicBezTo>
                <a:cubicBezTo>
                  <a:pt x="9973127" y="1614970"/>
                  <a:pt x="9958710" y="1628247"/>
                  <a:pt x="9940923" y="1628247"/>
                </a:cubicBezTo>
                <a:close/>
                <a:moveTo>
                  <a:pt x="10019456" y="1628247"/>
                </a:moveTo>
                <a:cubicBezTo>
                  <a:pt x="10001669" y="1628247"/>
                  <a:pt x="9987240" y="1614970"/>
                  <a:pt x="9987240" y="1598595"/>
                </a:cubicBezTo>
                <a:cubicBezTo>
                  <a:pt x="9987240" y="1582221"/>
                  <a:pt x="10001669" y="1568943"/>
                  <a:pt x="10019456" y="1568943"/>
                </a:cubicBezTo>
                <a:cubicBezTo>
                  <a:pt x="10037243" y="1568943"/>
                  <a:pt x="10051660" y="1582221"/>
                  <a:pt x="10051660" y="1598595"/>
                </a:cubicBezTo>
                <a:cubicBezTo>
                  <a:pt x="10051660" y="1614970"/>
                  <a:pt x="10037243" y="1628247"/>
                  <a:pt x="10019456" y="1628247"/>
                </a:cubicBezTo>
                <a:close/>
                <a:moveTo>
                  <a:pt x="10097990" y="1628247"/>
                </a:moveTo>
                <a:cubicBezTo>
                  <a:pt x="10080203" y="1628247"/>
                  <a:pt x="10065774" y="1614970"/>
                  <a:pt x="10065774" y="1598595"/>
                </a:cubicBezTo>
                <a:cubicBezTo>
                  <a:pt x="10065774" y="1582221"/>
                  <a:pt x="10080203" y="1568943"/>
                  <a:pt x="10097990" y="1568943"/>
                </a:cubicBezTo>
                <a:cubicBezTo>
                  <a:pt x="10115778" y="1568943"/>
                  <a:pt x="10130195" y="1582221"/>
                  <a:pt x="10130195" y="1598595"/>
                </a:cubicBezTo>
                <a:cubicBezTo>
                  <a:pt x="10130195" y="1614970"/>
                  <a:pt x="10115778" y="1628247"/>
                  <a:pt x="10097990" y="1628247"/>
                </a:cubicBezTo>
                <a:close/>
                <a:moveTo>
                  <a:pt x="10176524" y="1628247"/>
                </a:moveTo>
                <a:cubicBezTo>
                  <a:pt x="10158736" y="1628247"/>
                  <a:pt x="10144307" y="1614970"/>
                  <a:pt x="10144307" y="1598595"/>
                </a:cubicBezTo>
                <a:cubicBezTo>
                  <a:pt x="10144307" y="1582221"/>
                  <a:pt x="10158736" y="1568943"/>
                  <a:pt x="10176524" y="1568943"/>
                </a:cubicBezTo>
                <a:cubicBezTo>
                  <a:pt x="10194311" y="1568943"/>
                  <a:pt x="10208728" y="1582221"/>
                  <a:pt x="10208728" y="1598595"/>
                </a:cubicBezTo>
                <a:cubicBezTo>
                  <a:pt x="10208728" y="1614970"/>
                  <a:pt x="10194311" y="1628247"/>
                  <a:pt x="10176524" y="1628247"/>
                </a:cubicBezTo>
                <a:close/>
                <a:moveTo>
                  <a:pt x="10255058" y="1628247"/>
                </a:moveTo>
                <a:cubicBezTo>
                  <a:pt x="10237271" y="1628247"/>
                  <a:pt x="10222842" y="1614970"/>
                  <a:pt x="10222842" y="1598595"/>
                </a:cubicBezTo>
                <a:cubicBezTo>
                  <a:pt x="10222842" y="1582221"/>
                  <a:pt x="10237271" y="1568943"/>
                  <a:pt x="10255058" y="1568943"/>
                </a:cubicBezTo>
                <a:cubicBezTo>
                  <a:pt x="10272845" y="1568943"/>
                  <a:pt x="10287262" y="1582221"/>
                  <a:pt x="10287262" y="1598595"/>
                </a:cubicBezTo>
                <a:cubicBezTo>
                  <a:pt x="10287262" y="1614970"/>
                  <a:pt x="10272845" y="1628247"/>
                  <a:pt x="10255058" y="1628247"/>
                </a:cubicBezTo>
                <a:close/>
                <a:moveTo>
                  <a:pt x="3893785" y="1555982"/>
                </a:moveTo>
                <a:cubicBezTo>
                  <a:pt x="3875997" y="1555982"/>
                  <a:pt x="3861574" y="1542704"/>
                  <a:pt x="3861574" y="1526329"/>
                </a:cubicBezTo>
                <a:cubicBezTo>
                  <a:pt x="3861574" y="1509955"/>
                  <a:pt x="3875997" y="1496677"/>
                  <a:pt x="3893785" y="1496677"/>
                </a:cubicBezTo>
                <a:cubicBezTo>
                  <a:pt x="3911572" y="1496677"/>
                  <a:pt x="3925995" y="1509955"/>
                  <a:pt x="3925995" y="1526329"/>
                </a:cubicBezTo>
                <a:cubicBezTo>
                  <a:pt x="3925995" y="1542704"/>
                  <a:pt x="3911572" y="1555982"/>
                  <a:pt x="3893785" y="1555982"/>
                </a:cubicBezTo>
                <a:close/>
                <a:moveTo>
                  <a:pt x="3972319" y="1555982"/>
                </a:moveTo>
                <a:cubicBezTo>
                  <a:pt x="3954532" y="1555982"/>
                  <a:pt x="3940108" y="1542704"/>
                  <a:pt x="3940108" y="1526329"/>
                </a:cubicBezTo>
                <a:cubicBezTo>
                  <a:pt x="3940108" y="1509955"/>
                  <a:pt x="3954532" y="1496677"/>
                  <a:pt x="3972319" y="1496677"/>
                </a:cubicBezTo>
                <a:cubicBezTo>
                  <a:pt x="3990106" y="1496677"/>
                  <a:pt x="4004529" y="1509955"/>
                  <a:pt x="4004529" y="1526329"/>
                </a:cubicBezTo>
                <a:cubicBezTo>
                  <a:pt x="4004529" y="1542704"/>
                  <a:pt x="3990106" y="1555982"/>
                  <a:pt x="3972319" y="1555982"/>
                </a:cubicBezTo>
                <a:close/>
                <a:moveTo>
                  <a:pt x="4050852" y="1555982"/>
                </a:moveTo>
                <a:cubicBezTo>
                  <a:pt x="4033065" y="1555982"/>
                  <a:pt x="4018642" y="1542704"/>
                  <a:pt x="4018642" y="1526329"/>
                </a:cubicBezTo>
                <a:cubicBezTo>
                  <a:pt x="4018642" y="1509955"/>
                  <a:pt x="4033065" y="1496677"/>
                  <a:pt x="4050852" y="1496677"/>
                </a:cubicBezTo>
                <a:cubicBezTo>
                  <a:pt x="4068639" y="1496677"/>
                  <a:pt x="4083062" y="1509955"/>
                  <a:pt x="4083062" y="1526329"/>
                </a:cubicBezTo>
                <a:cubicBezTo>
                  <a:pt x="4083062" y="1542704"/>
                  <a:pt x="4068639" y="1555982"/>
                  <a:pt x="4050852" y="1555982"/>
                </a:cubicBezTo>
                <a:close/>
                <a:moveTo>
                  <a:pt x="4129386" y="1555982"/>
                </a:moveTo>
                <a:cubicBezTo>
                  <a:pt x="4111599" y="1555982"/>
                  <a:pt x="4097176" y="1542704"/>
                  <a:pt x="4097176" y="1526329"/>
                </a:cubicBezTo>
                <a:cubicBezTo>
                  <a:pt x="4097176" y="1509955"/>
                  <a:pt x="4111599" y="1496677"/>
                  <a:pt x="4129386" y="1496677"/>
                </a:cubicBezTo>
                <a:cubicBezTo>
                  <a:pt x="4147174" y="1496677"/>
                  <a:pt x="4161597" y="1509955"/>
                  <a:pt x="4161597" y="1526329"/>
                </a:cubicBezTo>
                <a:cubicBezTo>
                  <a:pt x="4161597" y="1542704"/>
                  <a:pt x="4147174" y="1555982"/>
                  <a:pt x="4129386" y="1555982"/>
                </a:cubicBezTo>
                <a:close/>
                <a:moveTo>
                  <a:pt x="4207926" y="1555982"/>
                </a:moveTo>
                <a:cubicBezTo>
                  <a:pt x="4190138" y="1555982"/>
                  <a:pt x="4175715" y="1542704"/>
                  <a:pt x="4175715" y="1526329"/>
                </a:cubicBezTo>
                <a:cubicBezTo>
                  <a:pt x="4175715" y="1509955"/>
                  <a:pt x="4190138" y="1496677"/>
                  <a:pt x="4207926" y="1496677"/>
                </a:cubicBezTo>
                <a:cubicBezTo>
                  <a:pt x="4225713" y="1496677"/>
                  <a:pt x="4240136" y="1509955"/>
                  <a:pt x="4240136" y="1526329"/>
                </a:cubicBezTo>
                <a:cubicBezTo>
                  <a:pt x="4240136" y="1542704"/>
                  <a:pt x="4225713" y="1555982"/>
                  <a:pt x="4207926" y="1555982"/>
                </a:cubicBezTo>
                <a:close/>
                <a:moveTo>
                  <a:pt x="4286460" y="1555982"/>
                </a:moveTo>
                <a:cubicBezTo>
                  <a:pt x="4268673" y="1555982"/>
                  <a:pt x="4254250" y="1542704"/>
                  <a:pt x="4254250" y="1526329"/>
                </a:cubicBezTo>
                <a:cubicBezTo>
                  <a:pt x="4254250" y="1509955"/>
                  <a:pt x="4268673" y="1496677"/>
                  <a:pt x="4286460" y="1496677"/>
                </a:cubicBezTo>
                <a:cubicBezTo>
                  <a:pt x="4304247" y="1496677"/>
                  <a:pt x="4318670" y="1509955"/>
                  <a:pt x="4318670" y="1526329"/>
                </a:cubicBezTo>
                <a:cubicBezTo>
                  <a:pt x="4318670" y="1542704"/>
                  <a:pt x="4304247" y="1555982"/>
                  <a:pt x="4286460" y="1555982"/>
                </a:cubicBezTo>
                <a:close/>
                <a:moveTo>
                  <a:pt x="9862389" y="1555982"/>
                </a:moveTo>
                <a:cubicBezTo>
                  <a:pt x="9844601" y="1555982"/>
                  <a:pt x="9830172" y="1542704"/>
                  <a:pt x="9830172" y="1526329"/>
                </a:cubicBezTo>
                <a:cubicBezTo>
                  <a:pt x="9830172" y="1509955"/>
                  <a:pt x="9844601" y="1496677"/>
                  <a:pt x="9862389" y="1496677"/>
                </a:cubicBezTo>
                <a:cubicBezTo>
                  <a:pt x="9880176" y="1496677"/>
                  <a:pt x="9894593" y="1509955"/>
                  <a:pt x="9894593" y="1526329"/>
                </a:cubicBezTo>
                <a:cubicBezTo>
                  <a:pt x="9894593" y="1542704"/>
                  <a:pt x="9880176" y="1555982"/>
                  <a:pt x="9862389" y="1555982"/>
                </a:cubicBezTo>
                <a:close/>
                <a:moveTo>
                  <a:pt x="9940923" y="1555982"/>
                </a:moveTo>
                <a:cubicBezTo>
                  <a:pt x="9923136" y="1555982"/>
                  <a:pt x="9908707" y="1542704"/>
                  <a:pt x="9908707" y="1526329"/>
                </a:cubicBezTo>
                <a:cubicBezTo>
                  <a:pt x="9908707" y="1509955"/>
                  <a:pt x="9923136" y="1496677"/>
                  <a:pt x="9940923" y="1496677"/>
                </a:cubicBezTo>
                <a:cubicBezTo>
                  <a:pt x="9958710" y="1496677"/>
                  <a:pt x="9973127" y="1509955"/>
                  <a:pt x="9973127" y="1526329"/>
                </a:cubicBezTo>
                <a:cubicBezTo>
                  <a:pt x="9973127" y="1542704"/>
                  <a:pt x="9958710" y="1555982"/>
                  <a:pt x="9940923" y="1555982"/>
                </a:cubicBezTo>
                <a:close/>
                <a:moveTo>
                  <a:pt x="10019456" y="1555982"/>
                </a:moveTo>
                <a:cubicBezTo>
                  <a:pt x="10001669" y="1555982"/>
                  <a:pt x="9987240" y="1542704"/>
                  <a:pt x="9987240" y="1526329"/>
                </a:cubicBezTo>
                <a:cubicBezTo>
                  <a:pt x="9987240" y="1509955"/>
                  <a:pt x="10001669" y="1496677"/>
                  <a:pt x="10019456" y="1496677"/>
                </a:cubicBezTo>
                <a:cubicBezTo>
                  <a:pt x="10037243" y="1496677"/>
                  <a:pt x="10051660" y="1509955"/>
                  <a:pt x="10051660" y="1526329"/>
                </a:cubicBezTo>
                <a:cubicBezTo>
                  <a:pt x="10051660" y="1542704"/>
                  <a:pt x="10037243" y="1555982"/>
                  <a:pt x="10019456" y="1555982"/>
                </a:cubicBezTo>
                <a:close/>
                <a:moveTo>
                  <a:pt x="10097990" y="1555982"/>
                </a:moveTo>
                <a:cubicBezTo>
                  <a:pt x="10080203" y="1555982"/>
                  <a:pt x="10065774" y="1542704"/>
                  <a:pt x="10065774" y="1526329"/>
                </a:cubicBezTo>
                <a:cubicBezTo>
                  <a:pt x="10065774" y="1509955"/>
                  <a:pt x="10080203" y="1496677"/>
                  <a:pt x="10097990" y="1496677"/>
                </a:cubicBezTo>
                <a:cubicBezTo>
                  <a:pt x="10115778" y="1496677"/>
                  <a:pt x="10130195" y="1509955"/>
                  <a:pt x="10130195" y="1526329"/>
                </a:cubicBezTo>
                <a:cubicBezTo>
                  <a:pt x="10130195" y="1542704"/>
                  <a:pt x="10115778" y="1555982"/>
                  <a:pt x="10097990" y="1555982"/>
                </a:cubicBezTo>
                <a:close/>
                <a:moveTo>
                  <a:pt x="10176524" y="1555982"/>
                </a:moveTo>
                <a:cubicBezTo>
                  <a:pt x="10158736" y="1555982"/>
                  <a:pt x="10144307" y="1542704"/>
                  <a:pt x="10144307" y="1526329"/>
                </a:cubicBezTo>
                <a:cubicBezTo>
                  <a:pt x="10144307" y="1509955"/>
                  <a:pt x="10158736" y="1496677"/>
                  <a:pt x="10176524" y="1496677"/>
                </a:cubicBezTo>
                <a:cubicBezTo>
                  <a:pt x="10194311" y="1496677"/>
                  <a:pt x="10208728" y="1509955"/>
                  <a:pt x="10208728" y="1526329"/>
                </a:cubicBezTo>
                <a:cubicBezTo>
                  <a:pt x="10208728" y="1542704"/>
                  <a:pt x="10194311" y="1555982"/>
                  <a:pt x="10176524" y="1555982"/>
                </a:cubicBezTo>
                <a:close/>
                <a:moveTo>
                  <a:pt x="3972319" y="1483717"/>
                </a:moveTo>
                <a:cubicBezTo>
                  <a:pt x="3954532" y="1483717"/>
                  <a:pt x="3940108" y="1470439"/>
                  <a:pt x="3940108" y="1454065"/>
                </a:cubicBezTo>
                <a:cubicBezTo>
                  <a:pt x="3940108" y="1437690"/>
                  <a:pt x="3954532" y="1424413"/>
                  <a:pt x="3972319" y="1424413"/>
                </a:cubicBezTo>
                <a:cubicBezTo>
                  <a:pt x="3990106" y="1424413"/>
                  <a:pt x="4004529" y="1437690"/>
                  <a:pt x="4004529" y="1454065"/>
                </a:cubicBezTo>
                <a:cubicBezTo>
                  <a:pt x="4004529" y="1470439"/>
                  <a:pt x="3990106" y="1483717"/>
                  <a:pt x="3972319" y="1483717"/>
                </a:cubicBezTo>
                <a:close/>
                <a:moveTo>
                  <a:pt x="4050852" y="1483717"/>
                </a:moveTo>
                <a:cubicBezTo>
                  <a:pt x="4033065" y="1483717"/>
                  <a:pt x="4018642" y="1470439"/>
                  <a:pt x="4018642" y="1454065"/>
                </a:cubicBezTo>
                <a:cubicBezTo>
                  <a:pt x="4018642" y="1437690"/>
                  <a:pt x="4033065" y="1424413"/>
                  <a:pt x="4050852" y="1424413"/>
                </a:cubicBezTo>
                <a:cubicBezTo>
                  <a:pt x="4068639" y="1424413"/>
                  <a:pt x="4083062" y="1437690"/>
                  <a:pt x="4083062" y="1454065"/>
                </a:cubicBezTo>
                <a:cubicBezTo>
                  <a:pt x="4083062" y="1470439"/>
                  <a:pt x="4068639" y="1483717"/>
                  <a:pt x="4050852" y="1483717"/>
                </a:cubicBezTo>
                <a:close/>
                <a:moveTo>
                  <a:pt x="4129386" y="1483717"/>
                </a:moveTo>
                <a:cubicBezTo>
                  <a:pt x="4111599" y="1483717"/>
                  <a:pt x="4097176" y="1470439"/>
                  <a:pt x="4097176" y="1454065"/>
                </a:cubicBezTo>
                <a:cubicBezTo>
                  <a:pt x="4097176" y="1437690"/>
                  <a:pt x="4111599" y="1424413"/>
                  <a:pt x="4129386" y="1424413"/>
                </a:cubicBezTo>
                <a:cubicBezTo>
                  <a:pt x="4147174" y="1424413"/>
                  <a:pt x="4161597" y="1437690"/>
                  <a:pt x="4161597" y="1454065"/>
                </a:cubicBezTo>
                <a:cubicBezTo>
                  <a:pt x="4161597" y="1470439"/>
                  <a:pt x="4147174" y="1483717"/>
                  <a:pt x="4129386" y="1483717"/>
                </a:cubicBezTo>
                <a:close/>
                <a:moveTo>
                  <a:pt x="4207926" y="1483717"/>
                </a:moveTo>
                <a:cubicBezTo>
                  <a:pt x="4190138" y="1483717"/>
                  <a:pt x="4175715" y="1470439"/>
                  <a:pt x="4175715" y="1454065"/>
                </a:cubicBezTo>
                <a:cubicBezTo>
                  <a:pt x="4175715" y="1437690"/>
                  <a:pt x="4190138" y="1424413"/>
                  <a:pt x="4207926" y="1424413"/>
                </a:cubicBezTo>
                <a:cubicBezTo>
                  <a:pt x="4225713" y="1424413"/>
                  <a:pt x="4240136" y="1437690"/>
                  <a:pt x="4240136" y="1454065"/>
                </a:cubicBezTo>
                <a:cubicBezTo>
                  <a:pt x="4240136" y="1470439"/>
                  <a:pt x="4225713" y="1483717"/>
                  <a:pt x="4207926" y="1483717"/>
                </a:cubicBezTo>
                <a:close/>
                <a:moveTo>
                  <a:pt x="9940923" y="1483717"/>
                </a:moveTo>
                <a:cubicBezTo>
                  <a:pt x="9923136" y="1483717"/>
                  <a:pt x="9908707" y="1470439"/>
                  <a:pt x="9908707" y="1454065"/>
                </a:cubicBezTo>
                <a:cubicBezTo>
                  <a:pt x="9908707" y="1437690"/>
                  <a:pt x="9923136" y="1424413"/>
                  <a:pt x="9940923" y="1424413"/>
                </a:cubicBezTo>
                <a:cubicBezTo>
                  <a:pt x="9958710" y="1424413"/>
                  <a:pt x="9973127" y="1437690"/>
                  <a:pt x="9973127" y="1454065"/>
                </a:cubicBezTo>
                <a:cubicBezTo>
                  <a:pt x="9973127" y="1470439"/>
                  <a:pt x="9958710" y="1483717"/>
                  <a:pt x="9940923" y="1483717"/>
                </a:cubicBezTo>
                <a:close/>
                <a:moveTo>
                  <a:pt x="10019456" y="1483717"/>
                </a:moveTo>
                <a:cubicBezTo>
                  <a:pt x="10001669" y="1483717"/>
                  <a:pt x="9987240" y="1470439"/>
                  <a:pt x="9987240" y="1454065"/>
                </a:cubicBezTo>
                <a:cubicBezTo>
                  <a:pt x="9987240" y="1437690"/>
                  <a:pt x="10001669" y="1424413"/>
                  <a:pt x="10019456" y="1424413"/>
                </a:cubicBezTo>
                <a:cubicBezTo>
                  <a:pt x="10037243" y="1424413"/>
                  <a:pt x="10051660" y="1437690"/>
                  <a:pt x="10051660" y="1454065"/>
                </a:cubicBezTo>
                <a:cubicBezTo>
                  <a:pt x="10051660" y="1470439"/>
                  <a:pt x="10037243" y="1483717"/>
                  <a:pt x="10019456" y="1483717"/>
                </a:cubicBezTo>
                <a:close/>
                <a:moveTo>
                  <a:pt x="10097990" y="1483717"/>
                </a:moveTo>
                <a:cubicBezTo>
                  <a:pt x="10080203" y="1483717"/>
                  <a:pt x="10065774" y="1470439"/>
                  <a:pt x="10065774" y="1454065"/>
                </a:cubicBezTo>
                <a:cubicBezTo>
                  <a:pt x="10065774" y="1437690"/>
                  <a:pt x="10080203" y="1424413"/>
                  <a:pt x="10097990" y="1424413"/>
                </a:cubicBezTo>
                <a:cubicBezTo>
                  <a:pt x="10115778" y="1424413"/>
                  <a:pt x="10130195" y="1437690"/>
                  <a:pt x="10130195" y="1454065"/>
                </a:cubicBezTo>
                <a:cubicBezTo>
                  <a:pt x="10130195" y="1470439"/>
                  <a:pt x="10115778" y="1483717"/>
                  <a:pt x="10097990" y="1483717"/>
                </a:cubicBezTo>
                <a:close/>
                <a:moveTo>
                  <a:pt x="10176524" y="1483717"/>
                </a:moveTo>
                <a:cubicBezTo>
                  <a:pt x="10158736" y="1483717"/>
                  <a:pt x="10144307" y="1470439"/>
                  <a:pt x="10144307" y="1454065"/>
                </a:cubicBezTo>
                <a:cubicBezTo>
                  <a:pt x="10144307" y="1437690"/>
                  <a:pt x="10158736" y="1424413"/>
                  <a:pt x="10176524" y="1424413"/>
                </a:cubicBezTo>
                <a:cubicBezTo>
                  <a:pt x="10194311" y="1424413"/>
                  <a:pt x="10208728" y="1437690"/>
                  <a:pt x="10208728" y="1454065"/>
                </a:cubicBezTo>
                <a:cubicBezTo>
                  <a:pt x="10208728" y="1470439"/>
                  <a:pt x="10194311" y="1483717"/>
                  <a:pt x="10176524" y="1483717"/>
                </a:cubicBezTo>
                <a:close/>
                <a:moveTo>
                  <a:pt x="3972319" y="1411451"/>
                </a:moveTo>
                <a:cubicBezTo>
                  <a:pt x="3954532" y="1411451"/>
                  <a:pt x="3940108" y="1398174"/>
                  <a:pt x="3940108" y="1381799"/>
                </a:cubicBezTo>
                <a:cubicBezTo>
                  <a:pt x="3940108" y="1365424"/>
                  <a:pt x="3954532" y="1352147"/>
                  <a:pt x="3972319" y="1352147"/>
                </a:cubicBezTo>
                <a:cubicBezTo>
                  <a:pt x="3990106" y="1352147"/>
                  <a:pt x="4004529" y="1365424"/>
                  <a:pt x="4004529" y="1381799"/>
                </a:cubicBezTo>
                <a:cubicBezTo>
                  <a:pt x="4004529" y="1398174"/>
                  <a:pt x="3990106" y="1411451"/>
                  <a:pt x="3972319" y="1411451"/>
                </a:cubicBezTo>
                <a:close/>
                <a:moveTo>
                  <a:pt x="4050852" y="1411451"/>
                </a:moveTo>
                <a:cubicBezTo>
                  <a:pt x="4033065" y="1411451"/>
                  <a:pt x="4018642" y="1398174"/>
                  <a:pt x="4018642" y="1381799"/>
                </a:cubicBezTo>
                <a:cubicBezTo>
                  <a:pt x="4018642" y="1365424"/>
                  <a:pt x="4033065" y="1352147"/>
                  <a:pt x="4050852" y="1352147"/>
                </a:cubicBezTo>
                <a:cubicBezTo>
                  <a:pt x="4068639" y="1352147"/>
                  <a:pt x="4083062" y="1365424"/>
                  <a:pt x="4083062" y="1381799"/>
                </a:cubicBezTo>
                <a:cubicBezTo>
                  <a:pt x="4083062" y="1398174"/>
                  <a:pt x="4068639" y="1411451"/>
                  <a:pt x="4050852" y="1411451"/>
                </a:cubicBezTo>
                <a:close/>
                <a:moveTo>
                  <a:pt x="4129386" y="1411451"/>
                </a:moveTo>
                <a:cubicBezTo>
                  <a:pt x="4111599" y="1411451"/>
                  <a:pt x="4097176" y="1398174"/>
                  <a:pt x="4097176" y="1381799"/>
                </a:cubicBezTo>
                <a:cubicBezTo>
                  <a:pt x="4097176" y="1365424"/>
                  <a:pt x="4111599" y="1352147"/>
                  <a:pt x="4129386" y="1352147"/>
                </a:cubicBezTo>
                <a:cubicBezTo>
                  <a:pt x="4147174" y="1352147"/>
                  <a:pt x="4161597" y="1365424"/>
                  <a:pt x="4161597" y="1381799"/>
                </a:cubicBezTo>
                <a:cubicBezTo>
                  <a:pt x="4161597" y="1398174"/>
                  <a:pt x="4147174" y="1411451"/>
                  <a:pt x="4129386" y="1411451"/>
                </a:cubicBezTo>
                <a:close/>
                <a:moveTo>
                  <a:pt x="9940923" y="1411451"/>
                </a:moveTo>
                <a:cubicBezTo>
                  <a:pt x="9923136" y="1411451"/>
                  <a:pt x="9908707" y="1398174"/>
                  <a:pt x="9908707" y="1381799"/>
                </a:cubicBezTo>
                <a:cubicBezTo>
                  <a:pt x="9908707" y="1365424"/>
                  <a:pt x="9923136" y="1352147"/>
                  <a:pt x="9940923" y="1352147"/>
                </a:cubicBezTo>
                <a:cubicBezTo>
                  <a:pt x="9958710" y="1352147"/>
                  <a:pt x="9973127" y="1365424"/>
                  <a:pt x="9973127" y="1381799"/>
                </a:cubicBezTo>
                <a:cubicBezTo>
                  <a:pt x="9973127" y="1398174"/>
                  <a:pt x="9958710" y="1411451"/>
                  <a:pt x="9940923" y="1411451"/>
                </a:cubicBezTo>
                <a:close/>
                <a:moveTo>
                  <a:pt x="10019456" y="1411451"/>
                </a:moveTo>
                <a:cubicBezTo>
                  <a:pt x="10001669" y="1411451"/>
                  <a:pt x="9987240" y="1398174"/>
                  <a:pt x="9987240" y="1381799"/>
                </a:cubicBezTo>
                <a:cubicBezTo>
                  <a:pt x="9987240" y="1365424"/>
                  <a:pt x="10001669" y="1352147"/>
                  <a:pt x="10019456" y="1352147"/>
                </a:cubicBezTo>
                <a:cubicBezTo>
                  <a:pt x="10037243" y="1352147"/>
                  <a:pt x="10051660" y="1365424"/>
                  <a:pt x="10051660" y="1381799"/>
                </a:cubicBezTo>
                <a:cubicBezTo>
                  <a:pt x="10051660" y="1398174"/>
                  <a:pt x="10037243" y="1411451"/>
                  <a:pt x="10019456" y="1411451"/>
                </a:cubicBezTo>
                <a:close/>
                <a:moveTo>
                  <a:pt x="10097990" y="1411451"/>
                </a:moveTo>
                <a:cubicBezTo>
                  <a:pt x="10080203" y="1411451"/>
                  <a:pt x="10065774" y="1398174"/>
                  <a:pt x="10065774" y="1381799"/>
                </a:cubicBezTo>
                <a:cubicBezTo>
                  <a:pt x="10065774" y="1365424"/>
                  <a:pt x="10080203" y="1352147"/>
                  <a:pt x="10097990" y="1352147"/>
                </a:cubicBezTo>
                <a:cubicBezTo>
                  <a:pt x="10115778" y="1352147"/>
                  <a:pt x="10130195" y="1365424"/>
                  <a:pt x="10130195" y="1381799"/>
                </a:cubicBezTo>
                <a:cubicBezTo>
                  <a:pt x="10130195" y="1398174"/>
                  <a:pt x="10115778" y="1411451"/>
                  <a:pt x="10097990" y="1411451"/>
                </a:cubicBezTo>
                <a:close/>
                <a:moveTo>
                  <a:pt x="10883329" y="1411451"/>
                </a:moveTo>
                <a:cubicBezTo>
                  <a:pt x="10865542" y="1411451"/>
                  <a:pt x="10851113" y="1398174"/>
                  <a:pt x="10851113" y="1381799"/>
                </a:cubicBezTo>
                <a:cubicBezTo>
                  <a:pt x="10851113" y="1365424"/>
                  <a:pt x="10865542" y="1352147"/>
                  <a:pt x="10883329" y="1352147"/>
                </a:cubicBezTo>
                <a:cubicBezTo>
                  <a:pt x="10901116" y="1352147"/>
                  <a:pt x="10915533" y="1365424"/>
                  <a:pt x="10915533" y="1381799"/>
                </a:cubicBezTo>
                <a:cubicBezTo>
                  <a:pt x="10915533" y="1398174"/>
                  <a:pt x="10901116" y="1411451"/>
                  <a:pt x="10883329" y="1411451"/>
                </a:cubicBezTo>
                <a:close/>
                <a:moveTo>
                  <a:pt x="3972319" y="1339185"/>
                </a:moveTo>
                <a:cubicBezTo>
                  <a:pt x="3954532" y="1339185"/>
                  <a:pt x="3940108" y="1325908"/>
                  <a:pt x="3940108" y="1309533"/>
                </a:cubicBezTo>
                <a:cubicBezTo>
                  <a:pt x="3940108" y="1293159"/>
                  <a:pt x="3954532" y="1279881"/>
                  <a:pt x="3972319" y="1279881"/>
                </a:cubicBezTo>
                <a:cubicBezTo>
                  <a:pt x="3990106" y="1279881"/>
                  <a:pt x="4004529" y="1293159"/>
                  <a:pt x="4004529" y="1309533"/>
                </a:cubicBezTo>
                <a:cubicBezTo>
                  <a:pt x="4004529" y="1325908"/>
                  <a:pt x="3990106" y="1339185"/>
                  <a:pt x="3972319" y="1339185"/>
                </a:cubicBezTo>
                <a:close/>
                <a:moveTo>
                  <a:pt x="4050852" y="1339185"/>
                </a:moveTo>
                <a:cubicBezTo>
                  <a:pt x="4033065" y="1339185"/>
                  <a:pt x="4018642" y="1325908"/>
                  <a:pt x="4018642" y="1309533"/>
                </a:cubicBezTo>
                <a:cubicBezTo>
                  <a:pt x="4018642" y="1293159"/>
                  <a:pt x="4033065" y="1279881"/>
                  <a:pt x="4050852" y="1279881"/>
                </a:cubicBezTo>
                <a:cubicBezTo>
                  <a:pt x="4068639" y="1279881"/>
                  <a:pt x="4083062" y="1293159"/>
                  <a:pt x="4083062" y="1309533"/>
                </a:cubicBezTo>
                <a:cubicBezTo>
                  <a:pt x="4083062" y="1325908"/>
                  <a:pt x="4068639" y="1339185"/>
                  <a:pt x="4050852" y="1339185"/>
                </a:cubicBezTo>
                <a:close/>
                <a:moveTo>
                  <a:pt x="4129386" y="1339185"/>
                </a:moveTo>
                <a:cubicBezTo>
                  <a:pt x="4111599" y="1339185"/>
                  <a:pt x="4097176" y="1325908"/>
                  <a:pt x="4097176" y="1309533"/>
                </a:cubicBezTo>
                <a:cubicBezTo>
                  <a:pt x="4097176" y="1293159"/>
                  <a:pt x="4111599" y="1279881"/>
                  <a:pt x="4129386" y="1279881"/>
                </a:cubicBezTo>
                <a:cubicBezTo>
                  <a:pt x="4147174" y="1279881"/>
                  <a:pt x="4161597" y="1293159"/>
                  <a:pt x="4161597" y="1309533"/>
                </a:cubicBezTo>
                <a:cubicBezTo>
                  <a:pt x="4161597" y="1325908"/>
                  <a:pt x="4147174" y="1339185"/>
                  <a:pt x="4129386" y="1339185"/>
                </a:cubicBezTo>
                <a:close/>
                <a:moveTo>
                  <a:pt x="10883329" y="1339185"/>
                </a:moveTo>
                <a:cubicBezTo>
                  <a:pt x="10865542" y="1339185"/>
                  <a:pt x="10851113" y="1325908"/>
                  <a:pt x="10851113" y="1309533"/>
                </a:cubicBezTo>
                <a:cubicBezTo>
                  <a:pt x="10851113" y="1293159"/>
                  <a:pt x="10865542" y="1279881"/>
                  <a:pt x="10883329" y="1279881"/>
                </a:cubicBezTo>
                <a:cubicBezTo>
                  <a:pt x="10901116" y="1279881"/>
                  <a:pt x="10915533" y="1293159"/>
                  <a:pt x="10915533" y="1309533"/>
                </a:cubicBezTo>
                <a:cubicBezTo>
                  <a:pt x="10915533" y="1325908"/>
                  <a:pt x="10901116" y="1339185"/>
                  <a:pt x="10883329" y="1339185"/>
                </a:cubicBezTo>
                <a:close/>
                <a:moveTo>
                  <a:pt x="3972319" y="1266921"/>
                </a:moveTo>
                <a:cubicBezTo>
                  <a:pt x="3954532" y="1266921"/>
                  <a:pt x="3940108" y="1253643"/>
                  <a:pt x="3940108" y="1237268"/>
                </a:cubicBezTo>
                <a:cubicBezTo>
                  <a:pt x="3940108" y="1220894"/>
                  <a:pt x="3954532" y="1207616"/>
                  <a:pt x="3972319" y="1207616"/>
                </a:cubicBezTo>
                <a:cubicBezTo>
                  <a:pt x="3990106" y="1207616"/>
                  <a:pt x="4004529" y="1220894"/>
                  <a:pt x="4004529" y="1237268"/>
                </a:cubicBezTo>
                <a:cubicBezTo>
                  <a:pt x="4004529" y="1253643"/>
                  <a:pt x="3990106" y="1266921"/>
                  <a:pt x="3972319" y="1266921"/>
                </a:cubicBezTo>
                <a:close/>
                <a:moveTo>
                  <a:pt x="4050852" y="1266921"/>
                </a:moveTo>
                <a:cubicBezTo>
                  <a:pt x="4033065" y="1266921"/>
                  <a:pt x="4018642" y="1253643"/>
                  <a:pt x="4018642" y="1237268"/>
                </a:cubicBezTo>
                <a:cubicBezTo>
                  <a:pt x="4018642" y="1220894"/>
                  <a:pt x="4033065" y="1207616"/>
                  <a:pt x="4050852" y="1207616"/>
                </a:cubicBezTo>
                <a:cubicBezTo>
                  <a:pt x="4068639" y="1207616"/>
                  <a:pt x="4083062" y="1220894"/>
                  <a:pt x="4083062" y="1237268"/>
                </a:cubicBezTo>
                <a:cubicBezTo>
                  <a:pt x="4083062" y="1253643"/>
                  <a:pt x="4068639" y="1266921"/>
                  <a:pt x="4050852" y="1266921"/>
                </a:cubicBezTo>
                <a:close/>
                <a:moveTo>
                  <a:pt x="10019456" y="1266921"/>
                </a:moveTo>
                <a:cubicBezTo>
                  <a:pt x="10001669" y="1266921"/>
                  <a:pt x="9987240" y="1253643"/>
                  <a:pt x="9987240" y="1237268"/>
                </a:cubicBezTo>
                <a:cubicBezTo>
                  <a:pt x="9987240" y="1220894"/>
                  <a:pt x="10001669" y="1207616"/>
                  <a:pt x="10019456" y="1207616"/>
                </a:cubicBezTo>
                <a:cubicBezTo>
                  <a:pt x="10037243" y="1207616"/>
                  <a:pt x="10051660" y="1220894"/>
                  <a:pt x="10051660" y="1237268"/>
                </a:cubicBezTo>
                <a:cubicBezTo>
                  <a:pt x="10051660" y="1253643"/>
                  <a:pt x="10037243" y="1266921"/>
                  <a:pt x="10019456" y="1266921"/>
                </a:cubicBezTo>
                <a:close/>
                <a:moveTo>
                  <a:pt x="10883329" y="1266921"/>
                </a:moveTo>
                <a:cubicBezTo>
                  <a:pt x="10865542" y="1266921"/>
                  <a:pt x="10851113" y="1253643"/>
                  <a:pt x="10851113" y="1237268"/>
                </a:cubicBezTo>
                <a:cubicBezTo>
                  <a:pt x="10851113" y="1220894"/>
                  <a:pt x="10865542" y="1207616"/>
                  <a:pt x="10883329" y="1207616"/>
                </a:cubicBezTo>
                <a:cubicBezTo>
                  <a:pt x="10901116" y="1207616"/>
                  <a:pt x="10915533" y="1220894"/>
                  <a:pt x="10915533" y="1237268"/>
                </a:cubicBezTo>
                <a:cubicBezTo>
                  <a:pt x="10915533" y="1253643"/>
                  <a:pt x="10901116" y="1266921"/>
                  <a:pt x="10883329" y="1266921"/>
                </a:cubicBezTo>
                <a:close/>
                <a:moveTo>
                  <a:pt x="3972319" y="1194655"/>
                </a:moveTo>
                <a:cubicBezTo>
                  <a:pt x="3954532" y="1194655"/>
                  <a:pt x="3940108" y="1181377"/>
                  <a:pt x="3940108" y="1165003"/>
                </a:cubicBezTo>
                <a:cubicBezTo>
                  <a:pt x="3940108" y="1148628"/>
                  <a:pt x="3954532" y="1135351"/>
                  <a:pt x="3972319" y="1135351"/>
                </a:cubicBezTo>
                <a:cubicBezTo>
                  <a:pt x="3990106" y="1135351"/>
                  <a:pt x="4004529" y="1148628"/>
                  <a:pt x="4004529" y="1165003"/>
                </a:cubicBezTo>
                <a:cubicBezTo>
                  <a:pt x="4004529" y="1181377"/>
                  <a:pt x="3990106" y="1194655"/>
                  <a:pt x="3972319" y="1194655"/>
                </a:cubicBezTo>
                <a:close/>
                <a:moveTo>
                  <a:pt x="4050852" y="1194655"/>
                </a:moveTo>
                <a:cubicBezTo>
                  <a:pt x="4033065" y="1194655"/>
                  <a:pt x="4018642" y="1181377"/>
                  <a:pt x="4018642" y="1165003"/>
                </a:cubicBezTo>
                <a:cubicBezTo>
                  <a:pt x="4018642" y="1148628"/>
                  <a:pt x="4033065" y="1135351"/>
                  <a:pt x="4050852" y="1135351"/>
                </a:cubicBezTo>
                <a:cubicBezTo>
                  <a:pt x="4068639" y="1135351"/>
                  <a:pt x="4083062" y="1148628"/>
                  <a:pt x="4083062" y="1165003"/>
                </a:cubicBezTo>
                <a:cubicBezTo>
                  <a:pt x="4083062" y="1181377"/>
                  <a:pt x="4068639" y="1194655"/>
                  <a:pt x="4050852" y="1194655"/>
                </a:cubicBezTo>
                <a:close/>
                <a:moveTo>
                  <a:pt x="4129386" y="1194655"/>
                </a:moveTo>
                <a:cubicBezTo>
                  <a:pt x="4111599" y="1194655"/>
                  <a:pt x="4097176" y="1181377"/>
                  <a:pt x="4097176" y="1165003"/>
                </a:cubicBezTo>
                <a:cubicBezTo>
                  <a:pt x="4097176" y="1148628"/>
                  <a:pt x="4111599" y="1135351"/>
                  <a:pt x="4129386" y="1135351"/>
                </a:cubicBezTo>
                <a:cubicBezTo>
                  <a:pt x="4147174" y="1135351"/>
                  <a:pt x="4161597" y="1148628"/>
                  <a:pt x="4161597" y="1165003"/>
                </a:cubicBezTo>
                <a:cubicBezTo>
                  <a:pt x="4161597" y="1181377"/>
                  <a:pt x="4147174" y="1194655"/>
                  <a:pt x="4129386" y="1194655"/>
                </a:cubicBezTo>
                <a:close/>
                <a:moveTo>
                  <a:pt x="10019456" y="1194655"/>
                </a:moveTo>
                <a:cubicBezTo>
                  <a:pt x="10001669" y="1194655"/>
                  <a:pt x="9987240" y="1181377"/>
                  <a:pt x="9987240" y="1165003"/>
                </a:cubicBezTo>
                <a:cubicBezTo>
                  <a:pt x="9987240" y="1148628"/>
                  <a:pt x="10001669" y="1135351"/>
                  <a:pt x="10019456" y="1135351"/>
                </a:cubicBezTo>
                <a:cubicBezTo>
                  <a:pt x="10037243" y="1135351"/>
                  <a:pt x="10051660" y="1148628"/>
                  <a:pt x="10051660" y="1165003"/>
                </a:cubicBezTo>
                <a:cubicBezTo>
                  <a:pt x="10051660" y="1181377"/>
                  <a:pt x="10037243" y="1194655"/>
                  <a:pt x="10019456" y="1194655"/>
                </a:cubicBezTo>
                <a:close/>
                <a:moveTo>
                  <a:pt x="10804795" y="1194655"/>
                </a:moveTo>
                <a:cubicBezTo>
                  <a:pt x="10787007" y="1194655"/>
                  <a:pt x="10772578" y="1181377"/>
                  <a:pt x="10772578" y="1165003"/>
                </a:cubicBezTo>
                <a:cubicBezTo>
                  <a:pt x="10772578" y="1148628"/>
                  <a:pt x="10787007" y="1135351"/>
                  <a:pt x="10804795" y="1135351"/>
                </a:cubicBezTo>
                <a:cubicBezTo>
                  <a:pt x="10822582" y="1135351"/>
                  <a:pt x="10836999" y="1148628"/>
                  <a:pt x="10836999" y="1165003"/>
                </a:cubicBezTo>
                <a:cubicBezTo>
                  <a:pt x="10836999" y="1181377"/>
                  <a:pt x="10822582" y="1194655"/>
                  <a:pt x="10804795" y="1194655"/>
                </a:cubicBezTo>
                <a:close/>
                <a:moveTo>
                  <a:pt x="3972319" y="1122389"/>
                </a:moveTo>
                <a:cubicBezTo>
                  <a:pt x="3954532" y="1122389"/>
                  <a:pt x="3940108" y="1109112"/>
                  <a:pt x="3940108" y="1092737"/>
                </a:cubicBezTo>
                <a:cubicBezTo>
                  <a:pt x="3940108" y="1076362"/>
                  <a:pt x="3954532" y="1063085"/>
                  <a:pt x="3972319" y="1063085"/>
                </a:cubicBezTo>
                <a:cubicBezTo>
                  <a:pt x="3990106" y="1063085"/>
                  <a:pt x="4004529" y="1076362"/>
                  <a:pt x="4004529" y="1092737"/>
                </a:cubicBezTo>
                <a:cubicBezTo>
                  <a:pt x="4004529" y="1109112"/>
                  <a:pt x="3990106" y="1122389"/>
                  <a:pt x="3972319" y="1122389"/>
                </a:cubicBezTo>
                <a:close/>
                <a:moveTo>
                  <a:pt x="4050852" y="1122389"/>
                </a:moveTo>
                <a:cubicBezTo>
                  <a:pt x="4033065" y="1122389"/>
                  <a:pt x="4018642" y="1109112"/>
                  <a:pt x="4018642" y="1092737"/>
                </a:cubicBezTo>
                <a:cubicBezTo>
                  <a:pt x="4018642" y="1076362"/>
                  <a:pt x="4033065" y="1063085"/>
                  <a:pt x="4050852" y="1063085"/>
                </a:cubicBezTo>
                <a:cubicBezTo>
                  <a:pt x="4068639" y="1063085"/>
                  <a:pt x="4083062" y="1076362"/>
                  <a:pt x="4083062" y="1092737"/>
                </a:cubicBezTo>
                <a:cubicBezTo>
                  <a:pt x="4083062" y="1109112"/>
                  <a:pt x="4068639" y="1122389"/>
                  <a:pt x="4050852" y="1122389"/>
                </a:cubicBezTo>
                <a:close/>
                <a:moveTo>
                  <a:pt x="10726261" y="1122389"/>
                </a:moveTo>
                <a:cubicBezTo>
                  <a:pt x="10708474" y="1122389"/>
                  <a:pt x="10694045" y="1109112"/>
                  <a:pt x="10694045" y="1092737"/>
                </a:cubicBezTo>
                <a:cubicBezTo>
                  <a:pt x="10694045" y="1076362"/>
                  <a:pt x="10708474" y="1063085"/>
                  <a:pt x="10726261" y="1063085"/>
                </a:cubicBezTo>
                <a:cubicBezTo>
                  <a:pt x="10744049" y="1063085"/>
                  <a:pt x="10758466" y="1076362"/>
                  <a:pt x="10758466" y="1092737"/>
                </a:cubicBezTo>
                <a:cubicBezTo>
                  <a:pt x="10758466" y="1109112"/>
                  <a:pt x="10744049" y="1122389"/>
                  <a:pt x="10726261" y="1122389"/>
                </a:cubicBezTo>
                <a:close/>
                <a:moveTo>
                  <a:pt x="3972319" y="1050123"/>
                </a:moveTo>
                <a:cubicBezTo>
                  <a:pt x="3954532" y="1050123"/>
                  <a:pt x="3940108" y="1036846"/>
                  <a:pt x="3940108" y="1020471"/>
                </a:cubicBezTo>
                <a:cubicBezTo>
                  <a:pt x="3940108" y="1004097"/>
                  <a:pt x="3954532" y="990819"/>
                  <a:pt x="3972319" y="990819"/>
                </a:cubicBezTo>
                <a:cubicBezTo>
                  <a:pt x="3990106" y="990819"/>
                  <a:pt x="4004529" y="1004097"/>
                  <a:pt x="4004529" y="1020471"/>
                </a:cubicBezTo>
                <a:cubicBezTo>
                  <a:pt x="4004529" y="1036846"/>
                  <a:pt x="3990106" y="1050123"/>
                  <a:pt x="3972319" y="1050123"/>
                </a:cubicBezTo>
                <a:close/>
                <a:moveTo>
                  <a:pt x="4050852" y="1050123"/>
                </a:moveTo>
                <a:cubicBezTo>
                  <a:pt x="4033065" y="1050123"/>
                  <a:pt x="4018642" y="1036846"/>
                  <a:pt x="4018642" y="1020471"/>
                </a:cubicBezTo>
                <a:cubicBezTo>
                  <a:pt x="4018642" y="1004097"/>
                  <a:pt x="4033065" y="990819"/>
                  <a:pt x="4050852" y="990819"/>
                </a:cubicBezTo>
                <a:cubicBezTo>
                  <a:pt x="4068639" y="990819"/>
                  <a:pt x="4083062" y="1004097"/>
                  <a:pt x="4083062" y="1020471"/>
                </a:cubicBezTo>
                <a:cubicBezTo>
                  <a:pt x="4083062" y="1036846"/>
                  <a:pt x="4068639" y="1050123"/>
                  <a:pt x="4050852" y="1050123"/>
                </a:cubicBezTo>
                <a:close/>
                <a:moveTo>
                  <a:pt x="4364994" y="1050123"/>
                </a:moveTo>
                <a:cubicBezTo>
                  <a:pt x="4347207" y="1050123"/>
                  <a:pt x="4332784" y="1036846"/>
                  <a:pt x="4332784" y="1020471"/>
                </a:cubicBezTo>
                <a:cubicBezTo>
                  <a:pt x="4332784" y="1004097"/>
                  <a:pt x="4347207" y="990819"/>
                  <a:pt x="4364994" y="990819"/>
                </a:cubicBezTo>
                <a:cubicBezTo>
                  <a:pt x="4382781" y="990819"/>
                  <a:pt x="4397204" y="1004097"/>
                  <a:pt x="4397204" y="1020471"/>
                </a:cubicBezTo>
                <a:cubicBezTo>
                  <a:pt x="4397204" y="1036846"/>
                  <a:pt x="4382781" y="1050123"/>
                  <a:pt x="4364994" y="1050123"/>
                </a:cubicBezTo>
                <a:close/>
                <a:moveTo>
                  <a:pt x="10569194" y="1050123"/>
                </a:moveTo>
                <a:cubicBezTo>
                  <a:pt x="10551407" y="1050123"/>
                  <a:pt x="10536978" y="1036846"/>
                  <a:pt x="10536978" y="1020471"/>
                </a:cubicBezTo>
                <a:cubicBezTo>
                  <a:pt x="10536978" y="1004097"/>
                  <a:pt x="10551407" y="990819"/>
                  <a:pt x="10569194" y="990819"/>
                </a:cubicBezTo>
                <a:cubicBezTo>
                  <a:pt x="10586981" y="990819"/>
                  <a:pt x="10601398" y="1004097"/>
                  <a:pt x="10601398" y="1020471"/>
                </a:cubicBezTo>
                <a:cubicBezTo>
                  <a:pt x="10601398" y="1036846"/>
                  <a:pt x="10586981" y="1050123"/>
                  <a:pt x="10569194" y="1050123"/>
                </a:cubicBezTo>
                <a:close/>
                <a:moveTo>
                  <a:pt x="10647727" y="1050123"/>
                </a:moveTo>
                <a:cubicBezTo>
                  <a:pt x="10629940" y="1050123"/>
                  <a:pt x="10615511" y="1036846"/>
                  <a:pt x="10615511" y="1020471"/>
                </a:cubicBezTo>
                <a:cubicBezTo>
                  <a:pt x="10615511" y="1004097"/>
                  <a:pt x="10629940" y="990819"/>
                  <a:pt x="10647727" y="990819"/>
                </a:cubicBezTo>
                <a:cubicBezTo>
                  <a:pt x="10665514" y="990819"/>
                  <a:pt x="10679931" y="1004097"/>
                  <a:pt x="10679931" y="1020471"/>
                </a:cubicBezTo>
                <a:cubicBezTo>
                  <a:pt x="10679931" y="1036846"/>
                  <a:pt x="10665514" y="1050123"/>
                  <a:pt x="10647727" y="1050123"/>
                </a:cubicBezTo>
                <a:close/>
                <a:moveTo>
                  <a:pt x="4050852" y="977859"/>
                </a:moveTo>
                <a:cubicBezTo>
                  <a:pt x="4033065" y="977859"/>
                  <a:pt x="4018642" y="964581"/>
                  <a:pt x="4018642" y="948206"/>
                </a:cubicBezTo>
                <a:cubicBezTo>
                  <a:pt x="4018642" y="931832"/>
                  <a:pt x="4033065" y="918554"/>
                  <a:pt x="4050852" y="918554"/>
                </a:cubicBezTo>
                <a:cubicBezTo>
                  <a:pt x="4068639" y="918554"/>
                  <a:pt x="4083062" y="931832"/>
                  <a:pt x="4083062" y="948206"/>
                </a:cubicBezTo>
                <a:cubicBezTo>
                  <a:pt x="4083062" y="964581"/>
                  <a:pt x="4068639" y="977859"/>
                  <a:pt x="4050852" y="977859"/>
                </a:cubicBezTo>
                <a:close/>
                <a:moveTo>
                  <a:pt x="4129386" y="977859"/>
                </a:moveTo>
                <a:cubicBezTo>
                  <a:pt x="4111599" y="977859"/>
                  <a:pt x="4097176" y="964581"/>
                  <a:pt x="4097176" y="948206"/>
                </a:cubicBezTo>
                <a:cubicBezTo>
                  <a:pt x="4097176" y="931832"/>
                  <a:pt x="4111599" y="918554"/>
                  <a:pt x="4129386" y="918554"/>
                </a:cubicBezTo>
                <a:cubicBezTo>
                  <a:pt x="4147174" y="918554"/>
                  <a:pt x="4161597" y="931832"/>
                  <a:pt x="4161597" y="948206"/>
                </a:cubicBezTo>
                <a:cubicBezTo>
                  <a:pt x="4161597" y="964581"/>
                  <a:pt x="4147174" y="977859"/>
                  <a:pt x="4129386" y="977859"/>
                </a:cubicBezTo>
                <a:close/>
                <a:moveTo>
                  <a:pt x="10569194" y="977859"/>
                </a:moveTo>
                <a:cubicBezTo>
                  <a:pt x="10551407" y="977859"/>
                  <a:pt x="10536978" y="964581"/>
                  <a:pt x="10536978" y="948206"/>
                </a:cubicBezTo>
                <a:cubicBezTo>
                  <a:pt x="10536978" y="931832"/>
                  <a:pt x="10551407" y="918554"/>
                  <a:pt x="10569194" y="918554"/>
                </a:cubicBezTo>
                <a:cubicBezTo>
                  <a:pt x="10586981" y="918554"/>
                  <a:pt x="10601398" y="931832"/>
                  <a:pt x="10601398" y="948206"/>
                </a:cubicBezTo>
                <a:cubicBezTo>
                  <a:pt x="10601398" y="964581"/>
                  <a:pt x="10586981" y="977859"/>
                  <a:pt x="10569194" y="977859"/>
                </a:cubicBezTo>
                <a:close/>
                <a:moveTo>
                  <a:pt x="4129386" y="905593"/>
                </a:moveTo>
                <a:cubicBezTo>
                  <a:pt x="4111599" y="905593"/>
                  <a:pt x="4097176" y="892315"/>
                  <a:pt x="4097176" y="875941"/>
                </a:cubicBezTo>
                <a:cubicBezTo>
                  <a:pt x="4097176" y="859566"/>
                  <a:pt x="4111599" y="846289"/>
                  <a:pt x="4129386" y="846289"/>
                </a:cubicBezTo>
                <a:cubicBezTo>
                  <a:pt x="4147174" y="846289"/>
                  <a:pt x="4161597" y="859566"/>
                  <a:pt x="4161597" y="875941"/>
                </a:cubicBezTo>
                <a:cubicBezTo>
                  <a:pt x="4161597" y="892315"/>
                  <a:pt x="4147174" y="905593"/>
                  <a:pt x="4129386" y="905593"/>
                </a:cubicBezTo>
                <a:close/>
                <a:moveTo>
                  <a:pt x="4207926" y="905593"/>
                </a:moveTo>
                <a:cubicBezTo>
                  <a:pt x="4190138" y="905593"/>
                  <a:pt x="4175715" y="892315"/>
                  <a:pt x="4175715" y="875941"/>
                </a:cubicBezTo>
                <a:cubicBezTo>
                  <a:pt x="4175715" y="859566"/>
                  <a:pt x="4190138" y="846289"/>
                  <a:pt x="4207926" y="846289"/>
                </a:cubicBezTo>
                <a:cubicBezTo>
                  <a:pt x="4225713" y="846289"/>
                  <a:pt x="4240136" y="859566"/>
                  <a:pt x="4240136" y="875941"/>
                </a:cubicBezTo>
                <a:cubicBezTo>
                  <a:pt x="4240136" y="892315"/>
                  <a:pt x="4225713" y="905593"/>
                  <a:pt x="4207926" y="905593"/>
                </a:cubicBezTo>
                <a:close/>
              </a:path>
            </a:pathLst>
          </a:custGeom>
          <a:solidFill>
            <a:schemeClr val="tx1"/>
          </a:solidFill>
          <a:ln w="6039" cap="flat">
            <a:noFill/>
            <a:prstDash val="solid"/>
            <a:miter/>
          </a:ln>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nvGrpSpPr>
          <xdr:cNvPr id="9" name="Group 8">
            <a:extLst>
              <a:ext uri="{FF2B5EF4-FFF2-40B4-BE49-F238E27FC236}">
                <a16:creationId xmlns:a16="http://schemas.microsoft.com/office/drawing/2014/main" id="{FA93E944-1A90-4502-B853-C9075CCA42FF}"/>
              </a:ext>
            </a:extLst>
          </xdr:cNvPr>
          <xdr:cNvGrpSpPr/>
        </xdr:nvGrpSpPr>
        <xdr:grpSpPr>
          <a:xfrm>
            <a:off x="6699663" y="2404753"/>
            <a:ext cx="1737360" cy="640080"/>
            <a:chOff x="7075714" y="2741220"/>
            <a:chExt cx="1737360" cy="640080"/>
          </a:xfrm>
        </xdr:grpSpPr>
        <xdr:grpSp>
          <xdr:nvGrpSpPr>
            <xdr:cNvPr id="8" name="Group 7">
              <a:extLst>
                <a:ext uri="{FF2B5EF4-FFF2-40B4-BE49-F238E27FC236}">
                  <a16:creationId xmlns:a16="http://schemas.microsoft.com/office/drawing/2014/main" id="{8C5519F3-DD2C-4E1F-8E4A-6C59F303F48C}"/>
                </a:ext>
              </a:extLst>
            </xdr:cNvPr>
            <xdr:cNvGrpSpPr/>
          </xdr:nvGrpSpPr>
          <xdr:grpSpPr>
            <a:xfrm>
              <a:off x="7075714" y="2741220"/>
              <a:ext cx="1737360" cy="640080"/>
              <a:chOff x="7075714" y="2741220"/>
              <a:chExt cx="1737360" cy="640080"/>
            </a:xfrm>
          </xdr:grpSpPr>
          <xdr:sp macro="" textlink="">
            <xdr:nvSpPr>
              <xdr:cNvPr id="3" name="Rectangle: Rounded Corners 2">
                <a:extLst>
                  <a:ext uri="{FF2B5EF4-FFF2-40B4-BE49-F238E27FC236}">
                    <a16:creationId xmlns:a16="http://schemas.microsoft.com/office/drawing/2014/main" id="{66E66D13-F367-471D-AECA-0E34F0E75561}"/>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59" name="Rectangle: Rounded Corners 58">
                <a:extLst>
                  <a:ext uri="{FF2B5EF4-FFF2-40B4-BE49-F238E27FC236}">
                    <a16:creationId xmlns:a16="http://schemas.microsoft.com/office/drawing/2014/main" id="{4B5C22A3-13EE-40E8-A0EF-DD43A1CA558C}"/>
                  </a:ext>
                </a:extLst>
              </xdr:cNvPr>
              <xdr:cNvSpPr/>
            </xdr:nvSpPr>
            <xdr:spPr>
              <a:xfrm>
                <a:off x="7194466" y="2878380"/>
                <a:ext cx="365760" cy="365760"/>
              </a:xfrm>
              <a:prstGeom prst="roundRect">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7" name="Graphic 6" descr="City with solid fill">
                <a:extLst>
                  <a:ext uri="{FF2B5EF4-FFF2-40B4-BE49-F238E27FC236}">
                    <a16:creationId xmlns:a16="http://schemas.microsoft.com/office/drawing/2014/main" id="{A44F13A8-9837-41D6-9579-4AADB5CD8E0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3950" y="2929247"/>
                <a:ext cx="274320" cy="274320"/>
              </a:xfrm>
              <a:prstGeom prst="rect">
                <a:avLst/>
              </a:prstGeom>
            </xdr:spPr>
          </xdr:pic>
        </xdr:grpSp>
        <xdr:sp macro="" textlink="Pivottables!I30">
          <xdr:nvSpPr>
            <xdr:cNvPr id="60" name="TextBox 59">
              <a:extLst>
                <a:ext uri="{FF2B5EF4-FFF2-40B4-BE49-F238E27FC236}">
                  <a16:creationId xmlns:a16="http://schemas.microsoft.com/office/drawing/2014/main" id="{A0B5CB5E-85B0-4886-8E34-E320155BB6A7}"/>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9224EA3-3A9F-4CB0-823D-7CB6804A1FF7}" type="TxLink">
                <a:rPr lang="en-US" sz="1200" b="0" i="0" u="none" strike="noStrike">
                  <a:solidFill>
                    <a:srgbClr val="FFFFFF"/>
                  </a:solidFill>
                  <a:latin typeface="Roboto condensed" panose="02000000000000000000" pitchFamily="2" charset="0"/>
                  <a:ea typeface="Roboto condensed" panose="02000000000000000000" pitchFamily="2" charset="0"/>
                </a:rPr>
                <a:pPr algn="l"/>
                <a:t>Canada</a:t>
              </a:fld>
              <a:endParaRPr lang="en-IN" sz="2800">
                <a:solidFill>
                  <a:schemeClr val="bg1"/>
                </a:solidFill>
                <a:latin typeface="Roboto condensed" panose="02000000000000000000" pitchFamily="2" charset="0"/>
                <a:ea typeface="Roboto condensed" panose="02000000000000000000" pitchFamily="2" charset="0"/>
              </a:endParaRPr>
            </a:p>
          </xdr:txBody>
        </xdr:sp>
        <xdr:sp macro="" textlink="Pivottables!K30">
          <xdr:nvSpPr>
            <xdr:cNvPr id="61" name="TextBox 60">
              <a:extLst>
                <a:ext uri="{FF2B5EF4-FFF2-40B4-BE49-F238E27FC236}">
                  <a16:creationId xmlns:a16="http://schemas.microsoft.com/office/drawing/2014/main" id="{672506BB-4861-47FD-8C98-84A1BF6164B2}"/>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BFC42A0-4566-4468-8599-9CE759CCEA60}" type="TxLink">
                <a:rPr lang="en-US" sz="1600" b="0" i="0" u="none" strike="noStrike">
                  <a:solidFill>
                    <a:srgbClr val="FFFFFF"/>
                  </a:solidFill>
                  <a:latin typeface="Roboto condensed" panose="02000000000000000000" pitchFamily="2" charset="0"/>
                  <a:ea typeface="Roboto condensed" panose="02000000000000000000" pitchFamily="2" charset="0"/>
                </a:rPr>
                <a:pPr algn="l"/>
                <a:t> 5,23,248 </a:t>
              </a:fld>
              <a:endParaRPr lang="en-IN" sz="6000">
                <a:solidFill>
                  <a:schemeClr val="bg1"/>
                </a:solidFill>
                <a:latin typeface="Roboto condensed" panose="02000000000000000000" pitchFamily="2" charset="0"/>
                <a:ea typeface="Roboto condensed" panose="02000000000000000000" pitchFamily="2" charset="0"/>
              </a:endParaRPr>
            </a:p>
          </xdr:txBody>
        </xdr:sp>
      </xdr:grpSp>
      <xdr:grpSp>
        <xdr:nvGrpSpPr>
          <xdr:cNvPr id="62" name="Group 61">
            <a:extLst>
              <a:ext uri="{FF2B5EF4-FFF2-40B4-BE49-F238E27FC236}">
                <a16:creationId xmlns:a16="http://schemas.microsoft.com/office/drawing/2014/main" id="{70C80CF2-4E25-45CC-B4AC-35D34E0FCB45}"/>
              </a:ext>
            </a:extLst>
          </xdr:cNvPr>
          <xdr:cNvGrpSpPr/>
        </xdr:nvGrpSpPr>
        <xdr:grpSpPr>
          <a:xfrm>
            <a:off x="5541817" y="3800103"/>
            <a:ext cx="1737359" cy="640080"/>
            <a:chOff x="7075714" y="2741220"/>
            <a:chExt cx="1737359" cy="640080"/>
          </a:xfrm>
        </xdr:grpSpPr>
        <xdr:grpSp>
          <xdr:nvGrpSpPr>
            <xdr:cNvPr id="63" name="Group 62">
              <a:extLst>
                <a:ext uri="{FF2B5EF4-FFF2-40B4-BE49-F238E27FC236}">
                  <a16:creationId xmlns:a16="http://schemas.microsoft.com/office/drawing/2014/main" id="{77999C57-1251-496F-929C-4CF527BA812C}"/>
                </a:ext>
              </a:extLst>
            </xdr:cNvPr>
            <xdr:cNvGrpSpPr/>
          </xdr:nvGrpSpPr>
          <xdr:grpSpPr>
            <a:xfrm>
              <a:off x="7075714" y="2741220"/>
              <a:ext cx="1737359" cy="640080"/>
              <a:chOff x="7075714" y="2741220"/>
              <a:chExt cx="1737359" cy="640080"/>
            </a:xfrm>
          </xdr:grpSpPr>
          <xdr:sp macro="" textlink="">
            <xdr:nvSpPr>
              <xdr:cNvPr id="66" name="Rectangle: Rounded Corners 65">
                <a:extLst>
                  <a:ext uri="{FF2B5EF4-FFF2-40B4-BE49-F238E27FC236}">
                    <a16:creationId xmlns:a16="http://schemas.microsoft.com/office/drawing/2014/main" id="{1DD31CE9-0ED6-4468-93D1-DE937BADCAD1}"/>
                  </a:ext>
                </a:extLst>
              </xdr:cNvPr>
              <xdr:cNvSpPr/>
            </xdr:nvSpPr>
            <xdr:spPr>
              <a:xfrm>
                <a:off x="7075714" y="2741220"/>
                <a:ext cx="1737359"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67" name="Rectangle: Rounded Corners 66">
                <a:extLst>
                  <a:ext uri="{FF2B5EF4-FFF2-40B4-BE49-F238E27FC236}">
                    <a16:creationId xmlns:a16="http://schemas.microsoft.com/office/drawing/2014/main" id="{5569047E-D891-48CD-B5FD-35F0750CB870}"/>
                  </a:ext>
                </a:extLst>
              </xdr:cNvPr>
              <xdr:cNvSpPr/>
            </xdr:nvSpPr>
            <xdr:spPr>
              <a:xfrm>
                <a:off x="7194466" y="2878380"/>
                <a:ext cx="365760" cy="365760"/>
              </a:xfrm>
              <a:prstGeom prst="round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68" name="Graphic 67" descr="City with solid fill">
                <a:extLst>
                  <a:ext uri="{FF2B5EF4-FFF2-40B4-BE49-F238E27FC236}">
                    <a16:creationId xmlns:a16="http://schemas.microsoft.com/office/drawing/2014/main" id="{9D385FD2-87FE-4E4D-9F85-3C50A163CD5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7">
          <xdr:nvSpPr>
            <xdr:cNvPr id="64" name="TextBox 63">
              <a:extLst>
                <a:ext uri="{FF2B5EF4-FFF2-40B4-BE49-F238E27FC236}">
                  <a16:creationId xmlns:a16="http://schemas.microsoft.com/office/drawing/2014/main" id="{EC359AD6-AA16-4662-AA48-6FD58E3A20B9}"/>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60866AC-1D39-4C3F-A3F4-3E87A1069966}" type="TxLink">
                <a:rPr lang="en-US" sz="1200" b="0" i="0" u="none" strike="noStrike">
                  <a:solidFill>
                    <a:srgbClr val="FFFFFF"/>
                  </a:solidFill>
                  <a:latin typeface="Roboto Condensed"/>
                  <a:ea typeface="Roboto Condensed"/>
                </a:rPr>
                <a:pPr algn="l"/>
                <a:t>USA</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7">
          <xdr:nvSpPr>
            <xdr:cNvPr id="65" name="TextBox 64">
              <a:extLst>
                <a:ext uri="{FF2B5EF4-FFF2-40B4-BE49-F238E27FC236}">
                  <a16:creationId xmlns:a16="http://schemas.microsoft.com/office/drawing/2014/main" id="{35E9199A-4291-4D3E-B082-42575221F10B}"/>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7D52B0E-0BB4-4168-BB96-914CAC32DDB7}" type="TxLink">
                <a:rPr lang="en-US" sz="1600" b="0" i="0" u="none" strike="noStrike">
                  <a:solidFill>
                    <a:srgbClr val="FFFFFF"/>
                  </a:solidFill>
                  <a:latin typeface="Roboto Condensed"/>
                  <a:ea typeface="Roboto Condensed"/>
                </a:rPr>
                <a:pPr algn="l"/>
                <a:t> 10,61,368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nvGrpSpPr>
          <xdr:cNvPr id="69" name="Group 68">
            <a:extLst>
              <a:ext uri="{FF2B5EF4-FFF2-40B4-BE49-F238E27FC236}">
                <a16:creationId xmlns:a16="http://schemas.microsoft.com/office/drawing/2014/main" id="{F1E72BA8-BEA7-4770-B634-1DBA8BDF9BA4}"/>
              </a:ext>
            </a:extLst>
          </xdr:cNvPr>
          <xdr:cNvGrpSpPr/>
        </xdr:nvGrpSpPr>
        <xdr:grpSpPr>
          <a:xfrm>
            <a:off x="8461169" y="5165766"/>
            <a:ext cx="1737360" cy="640080"/>
            <a:chOff x="7075714" y="2741220"/>
            <a:chExt cx="1737360" cy="640080"/>
          </a:xfrm>
        </xdr:grpSpPr>
        <xdr:grpSp>
          <xdr:nvGrpSpPr>
            <xdr:cNvPr id="70" name="Group 69">
              <a:extLst>
                <a:ext uri="{FF2B5EF4-FFF2-40B4-BE49-F238E27FC236}">
                  <a16:creationId xmlns:a16="http://schemas.microsoft.com/office/drawing/2014/main" id="{77061FB9-E9DB-45FF-89D8-4B9DA2A36098}"/>
                </a:ext>
              </a:extLst>
            </xdr:cNvPr>
            <xdr:cNvGrpSpPr/>
          </xdr:nvGrpSpPr>
          <xdr:grpSpPr>
            <a:xfrm>
              <a:off x="7075714" y="2741220"/>
              <a:ext cx="1737360" cy="640080"/>
              <a:chOff x="7075714" y="2741220"/>
              <a:chExt cx="1737360" cy="640080"/>
            </a:xfrm>
          </xdr:grpSpPr>
          <xdr:sp macro="" textlink="">
            <xdr:nvSpPr>
              <xdr:cNvPr id="73" name="Rectangle: Rounded Corners 72">
                <a:extLst>
                  <a:ext uri="{FF2B5EF4-FFF2-40B4-BE49-F238E27FC236}">
                    <a16:creationId xmlns:a16="http://schemas.microsoft.com/office/drawing/2014/main" id="{35C2C2E4-5F33-4927-A6B6-AD49BBC92E47}"/>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74" name="Rectangle: Rounded Corners 73">
                <a:extLst>
                  <a:ext uri="{FF2B5EF4-FFF2-40B4-BE49-F238E27FC236}">
                    <a16:creationId xmlns:a16="http://schemas.microsoft.com/office/drawing/2014/main" id="{F81D05E6-CB86-4402-9920-D91CB3D7C2C2}"/>
                  </a:ext>
                </a:extLst>
              </xdr:cNvPr>
              <xdr:cNvSpPr/>
            </xdr:nvSpPr>
            <xdr:spPr>
              <a:xfrm>
                <a:off x="7194466" y="2878380"/>
                <a:ext cx="365760" cy="365760"/>
              </a:xfrm>
              <a:prstGeom prst="roundRect">
                <a:avLst/>
              </a:prstGeom>
              <a:solidFill>
                <a:srgbClr val="9947F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75" name="Graphic 74" descr="City with solid fill">
                <a:extLst>
                  <a:ext uri="{FF2B5EF4-FFF2-40B4-BE49-F238E27FC236}">
                    <a16:creationId xmlns:a16="http://schemas.microsoft.com/office/drawing/2014/main" id="{EACEE716-637B-4B4A-A18F-42A17261649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K31">
          <xdr:nvSpPr>
            <xdr:cNvPr id="72" name="TextBox 71">
              <a:extLst>
                <a:ext uri="{FF2B5EF4-FFF2-40B4-BE49-F238E27FC236}">
                  <a16:creationId xmlns:a16="http://schemas.microsoft.com/office/drawing/2014/main" id="{4E774BBE-3884-419F-8E22-564F33D7AAC8}"/>
                </a:ext>
              </a:extLst>
            </xdr:cNvPr>
            <xdr:cNvSpPr txBox="1"/>
          </xdr:nvSpPr>
          <xdr:spPr>
            <a:xfrm>
              <a:off x="7581505" y="3035234"/>
              <a:ext cx="1087482" cy="28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20A15A3-0CE8-4101-B14E-ABA257829FED}" type="TxLink">
                <a:rPr lang="en-US" sz="1600" b="0" i="0" u="none" strike="noStrike">
                  <a:solidFill>
                    <a:schemeClr val="bg1"/>
                  </a:solidFill>
                  <a:latin typeface="Roboto condensed" panose="02000000000000000000" pitchFamily="2" charset="0"/>
                  <a:ea typeface="Roboto condensed" panose="02000000000000000000" pitchFamily="2" charset="0"/>
                </a:rPr>
                <a:pPr algn="l"/>
                <a:t> 5,16,888 </a:t>
              </a:fld>
              <a:endParaRPr lang="en-IN" sz="6000">
                <a:solidFill>
                  <a:schemeClr val="bg1"/>
                </a:solidFill>
                <a:latin typeface="Roboto condensed" panose="02000000000000000000" pitchFamily="2" charset="0"/>
                <a:ea typeface="Roboto condensed" panose="02000000000000000000" pitchFamily="2" charset="0"/>
              </a:endParaRPr>
            </a:p>
          </xdr:txBody>
        </xdr:sp>
        <xdr:sp macro="" textlink="Pivottables!I31">
          <xdr:nvSpPr>
            <xdr:cNvPr id="71" name="TextBox 70">
              <a:extLst>
                <a:ext uri="{FF2B5EF4-FFF2-40B4-BE49-F238E27FC236}">
                  <a16:creationId xmlns:a16="http://schemas.microsoft.com/office/drawing/2014/main" id="{EADC0DEF-55A5-4A43-8EFE-FD3EF26A3A90}"/>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54F9F4E-B9A8-4E50-AFCA-2D62FB9D5798}" type="TxLink">
                <a:rPr lang="en-US" sz="1200" b="0" i="0" u="none" strike="noStrike">
                  <a:solidFill>
                    <a:srgbClr val="FFFFFF"/>
                  </a:solidFill>
                  <a:latin typeface="Roboto condensed" panose="02000000000000000000" pitchFamily="2" charset="0"/>
                  <a:ea typeface="Roboto condensed" panose="02000000000000000000" pitchFamily="2" charset="0"/>
                </a:rPr>
                <a:pPr algn="l"/>
                <a:t>Brazil</a:t>
              </a:fld>
              <a:endParaRPr lang="en-IN" sz="2800">
                <a:solidFill>
                  <a:schemeClr val="bg1"/>
                </a:solidFill>
                <a:latin typeface="Roboto condensed" panose="02000000000000000000" pitchFamily="2" charset="0"/>
                <a:ea typeface="Roboto condensed" panose="02000000000000000000" pitchFamily="2" charset="0"/>
              </a:endParaRPr>
            </a:p>
          </xdr:txBody>
        </xdr:sp>
      </xdr:grpSp>
      <xdr:grpSp>
        <xdr:nvGrpSpPr>
          <xdr:cNvPr id="84" name="Group 83">
            <a:extLst>
              <a:ext uri="{FF2B5EF4-FFF2-40B4-BE49-F238E27FC236}">
                <a16:creationId xmlns:a16="http://schemas.microsoft.com/office/drawing/2014/main" id="{ED885398-0051-4946-8951-2FA41E3F3A5E}"/>
              </a:ext>
            </a:extLst>
          </xdr:cNvPr>
          <xdr:cNvGrpSpPr/>
        </xdr:nvGrpSpPr>
        <xdr:grpSpPr>
          <a:xfrm>
            <a:off x="10836234" y="3889168"/>
            <a:ext cx="1737360" cy="640080"/>
            <a:chOff x="7075714" y="2741220"/>
            <a:chExt cx="1737360" cy="640080"/>
          </a:xfrm>
        </xdr:grpSpPr>
        <xdr:grpSp>
          <xdr:nvGrpSpPr>
            <xdr:cNvPr id="85" name="Group 84">
              <a:extLst>
                <a:ext uri="{FF2B5EF4-FFF2-40B4-BE49-F238E27FC236}">
                  <a16:creationId xmlns:a16="http://schemas.microsoft.com/office/drawing/2014/main" id="{3B73B1CC-2013-4447-BDC3-3FFFEB29169C}"/>
                </a:ext>
              </a:extLst>
            </xdr:cNvPr>
            <xdr:cNvGrpSpPr/>
          </xdr:nvGrpSpPr>
          <xdr:grpSpPr>
            <a:xfrm>
              <a:off x="7075714" y="2741220"/>
              <a:ext cx="1737360" cy="640080"/>
              <a:chOff x="7075714" y="2741220"/>
              <a:chExt cx="1737360" cy="640080"/>
            </a:xfrm>
          </xdr:grpSpPr>
          <xdr:sp macro="" textlink="">
            <xdr:nvSpPr>
              <xdr:cNvPr id="88" name="Rectangle: Rounded Corners 87">
                <a:extLst>
                  <a:ext uri="{FF2B5EF4-FFF2-40B4-BE49-F238E27FC236}">
                    <a16:creationId xmlns:a16="http://schemas.microsoft.com/office/drawing/2014/main" id="{E6CF53AC-8031-44E6-9C8C-B90A97BB0A93}"/>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89" name="Rectangle: Rounded Corners 88">
                <a:extLst>
                  <a:ext uri="{FF2B5EF4-FFF2-40B4-BE49-F238E27FC236}">
                    <a16:creationId xmlns:a16="http://schemas.microsoft.com/office/drawing/2014/main" id="{76C670C8-8F66-45F7-A9B3-415FFDDE23CB}"/>
                  </a:ext>
                </a:extLst>
              </xdr:cNvPr>
              <xdr:cNvSpPr/>
            </xdr:nvSpPr>
            <xdr:spPr>
              <a:xfrm>
                <a:off x="7194466" y="2878380"/>
                <a:ext cx="365760" cy="365760"/>
              </a:xfrm>
              <a:prstGeom prst="roundRect">
                <a:avLst/>
              </a:prstGeom>
              <a:solidFill>
                <a:srgbClr val="CC0E6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90" name="Graphic 89" descr="City with solid fill">
                <a:extLst>
                  <a:ext uri="{FF2B5EF4-FFF2-40B4-BE49-F238E27FC236}">
                    <a16:creationId xmlns:a16="http://schemas.microsoft.com/office/drawing/2014/main" id="{F45236DD-6436-41CD-842D-475C662C007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6">
          <xdr:nvSpPr>
            <xdr:cNvPr id="86" name="TextBox 85">
              <a:extLst>
                <a:ext uri="{FF2B5EF4-FFF2-40B4-BE49-F238E27FC236}">
                  <a16:creationId xmlns:a16="http://schemas.microsoft.com/office/drawing/2014/main" id="{9E85AA5D-6634-4FBE-B318-39AA4706CC5B}"/>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F6907D8-058E-4510-A0A9-34FAB22676AA}" type="TxLink">
                <a:rPr lang="en-US" sz="1200" b="0" i="0" u="none" strike="noStrike">
                  <a:solidFill>
                    <a:srgbClr val="FFFFFF"/>
                  </a:solidFill>
                  <a:latin typeface="Roboto Condensed"/>
                  <a:ea typeface="Roboto Condensed"/>
                </a:rPr>
                <a:pPr algn="l"/>
                <a:t>Egypt</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6">
          <xdr:nvSpPr>
            <xdr:cNvPr id="87" name="TextBox 86">
              <a:extLst>
                <a:ext uri="{FF2B5EF4-FFF2-40B4-BE49-F238E27FC236}">
                  <a16:creationId xmlns:a16="http://schemas.microsoft.com/office/drawing/2014/main" id="{1F2A6F12-56F9-433B-B237-A8B7A1A0679C}"/>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F10C2F9-60B6-4D24-8F41-C025C076292E}" type="TxLink">
                <a:rPr lang="en-US" sz="1600" b="0" i="0" u="none" strike="noStrike">
                  <a:solidFill>
                    <a:srgbClr val="FFFFFF"/>
                  </a:solidFill>
                  <a:latin typeface="Roboto Condensed"/>
                  <a:ea typeface="Roboto Condensed"/>
                </a:rPr>
                <a:pPr algn="l"/>
                <a:t> 14,67,760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nvGrpSpPr>
          <xdr:cNvPr id="99" name="Group 98">
            <a:extLst>
              <a:ext uri="{FF2B5EF4-FFF2-40B4-BE49-F238E27FC236}">
                <a16:creationId xmlns:a16="http://schemas.microsoft.com/office/drawing/2014/main" id="{75F85916-7D65-4DE4-9982-D825C7FA4792}"/>
              </a:ext>
            </a:extLst>
          </xdr:cNvPr>
          <xdr:cNvGrpSpPr/>
        </xdr:nvGrpSpPr>
        <xdr:grpSpPr>
          <a:xfrm>
            <a:off x="11143014" y="2642259"/>
            <a:ext cx="1781297" cy="640080"/>
            <a:chOff x="7075714" y="2741220"/>
            <a:chExt cx="1781297" cy="640080"/>
          </a:xfrm>
        </xdr:grpSpPr>
        <xdr:grpSp>
          <xdr:nvGrpSpPr>
            <xdr:cNvPr id="100" name="Group 99">
              <a:extLst>
                <a:ext uri="{FF2B5EF4-FFF2-40B4-BE49-F238E27FC236}">
                  <a16:creationId xmlns:a16="http://schemas.microsoft.com/office/drawing/2014/main" id="{C9D9437D-0708-4034-846C-482F7C6AABD9}"/>
                </a:ext>
              </a:extLst>
            </xdr:cNvPr>
            <xdr:cNvGrpSpPr/>
          </xdr:nvGrpSpPr>
          <xdr:grpSpPr>
            <a:xfrm>
              <a:off x="7075714" y="2741220"/>
              <a:ext cx="1737360" cy="640080"/>
              <a:chOff x="7075714" y="2741220"/>
              <a:chExt cx="1737360" cy="640080"/>
            </a:xfrm>
          </xdr:grpSpPr>
          <xdr:sp macro="" textlink="">
            <xdr:nvSpPr>
              <xdr:cNvPr id="103" name="Rectangle: Rounded Corners 102">
                <a:extLst>
                  <a:ext uri="{FF2B5EF4-FFF2-40B4-BE49-F238E27FC236}">
                    <a16:creationId xmlns:a16="http://schemas.microsoft.com/office/drawing/2014/main" id="{6B18BEC1-CE06-43B2-9A56-1E9659D1D074}"/>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104" name="Rectangle: Rounded Corners 103">
                <a:extLst>
                  <a:ext uri="{FF2B5EF4-FFF2-40B4-BE49-F238E27FC236}">
                    <a16:creationId xmlns:a16="http://schemas.microsoft.com/office/drawing/2014/main" id="{2AD650A5-5BA0-40C4-A5DA-868032948D40}"/>
                  </a:ext>
                </a:extLst>
              </xdr:cNvPr>
              <xdr:cNvSpPr/>
            </xdr:nvSpPr>
            <xdr:spPr>
              <a:xfrm>
                <a:off x="7194466" y="2878380"/>
                <a:ext cx="365760" cy="365760"/>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105" name="Graphic 104" descr="City with solid fill">
                <a:extLst>
                  <a:ext uri="{FF2B5EF4-FFF2-40B4-BE49-F238E27FC236}">
                    <a16:creationId xmlns:a16="http://schemas.microsoft.com/office/drawing/2014/main" id="{6A4D73BE-352E-4670-8195-5A4B22E5C0E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9">
          <xdr:nvSpPr>
            <xdr:cNvPr id="101" name="TextBox 100">
              <a:extLst>
                <a:ext uri="{FF2B5EF4-FFF2-40B4-BE49-F238E27FC236}">
                  <a16:creationId xmlns:a16="http://schemas.microsoft.com/office/drawing/2014/main" id="{0A4F2DC6-B1C6-42FA-9EDA-1472AA1BDCB7}"/>
                </a:ext>
              </a:extLst>
            </xdr:cNvPr>
            <xdr:cNvSpPr txBox="1"/>
          </xdr:nvSpPr>
          <xdr:spPr>
            <a:xfrm>
              <a:off x="7630984" y="2827417"/>
              <a:ext cx="1226027" cy="220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2705E30-FD18-4642-A1A5-3C61D71F9126}" type="TxLink">
                <a:rPr lang="en-US" sz="1200" b="0" i="0" u="none" strike="noStrike">
                  <a:solidFill>
                    <a:srgbClr val="FFFFFF"/>
                  </a:solidFill>
                  <a:latin typeface="Roboto Condensed"/>
                  <a:ea typeface="Roboto Condensed"/>
                </a:rPr>
                <a:pPr algn="l"/>
                <a:t>United Kingdom</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9">
          <xdr:nvSpPr>
            <xdr:cNvPr id="102" name="TextBox 101">
              <a:extLst>
                <a:ext uri="{FF2B5EF4-FFF2-40B4-BE49-F238E27FC236}">
                  <a16:creationId xmlns:a16="http://schemas.microsoft.com/office/drawing/2014/main" id="{98700DFB-CD46-4EC2-AFF8-1E5C06AC67CD}"/>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011A27D-C786-41C9-84C5-AE83E487F6EA}" type="TxLink">
                <a:rPr lang="en-US" sz="1600" b="0" i="0" u="none" strike="noStrike">
                  <a:solidFill>
                    <a:srgbClr val="FFFFFF"/>
                  </a:solidFill>
                  <a:latin typeface="Roboto Condensed"/>
                  <a:ea typeface="Roboto Condensed"/>
                </a:rPr>
                <a:pPr algn="l"/>
                <a:t> 7,92,892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nvGrpSpPr>
          <xdr:cNvPr id="106" name="Group 105">
            <a:extLst>
              <a:ext uri="{FF2B5EF4-FFF2-40B4-BE49-F238E27FC236}">
                <a16:creationId xmlns:a16="http://schemas.microsoft.com/office/drawing/2014/main" id="{65FD40F8-49F7-468F-AD4A-8ACACA7B6F06}"/>
              </a:ext>
            </a:extLst>
          </xdr:cNvPr>
          <xdr:cNvGrpSpPr/>
        </xdr:nvGrpSpPr>
        <xdr:grpSpPr>
          <a:xfrm>
            <a:off x="13706104" y="2216726"/>
            <a:ext cx="1737360" cy="640080"/>
            <a:chOff x="7075714" y="2741220"/>
            <a:chExt cx="1737360" cy="640080"/>
          </a:xfrm>
        </xdr:grpSpPr>
        <xdr:grpSp>
          <xdr:nvGrpSpPr>
            <xdr:cNvPr id="107" name="Group 106">
              <a:extLst>
                <a:ext uri="{FF2B5EF4-FFF2-40B4-BE49-F238E27FC236}">
                  <a16:creationId xmlns:a16="http://schemas.microsoft.com/office/drawing/2014/main" id="{BE41045A-16FD-4DDE-A9C5-7549D8FF537E}"/>
                </a:ext>
              </a:extLst>
            </xdr:cNvPr>
            <xdr:cNvGrpSpPr/>
          </xdr:nvGrpSpPr>
          <xdr:grpSpPr>
            <a:xfrm>
              <a:off x="7075714" y="2741220"/>
              <a:ext cx="1737360" cy="640080"/>
              <a:chOff x="7075714" y="2741220"/>
              <a:chExt cx="1737360" cy="640080"/>
            </a:xfrm>
          </xdr:grpSpPr>
          <xdr:sp macro="" textlink="">
            <xdr:nvSpPr>
              <xdr:cNvPr id="110" name="Rectangle: Rounded Corners 109">
                <a:extLst>
                  <a:ext uri="{FF2B5EF4-FFF2-40B4-BE49-F238E27FC236}">
                    <a16:creationId xmlns:a16="http://schemas.microsoft.com/office/drawing/2014/main" id="{52109FEE-A0E2-4829-956A-55E80605B163}"/>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111" name="Rectangle: Rounded Corners 110">
                <a:extLst>
                  <a:ext uri="{FF2B5EF4-FFF2-40B4-BE49-F238E27FC236}">
                    <a16:creationId xmlns:a16="http://schemas.microsoft.com/office/drawing/2014/main" id="{B8EAB1F0-8290-4740-92F3-28F4B6B498B8}"/>
                  </a:ext>
                </a:extLst>
              </xdr:cNvPr>
              <xdr:cNvSpPr/>
            </xdr:nvSpPr>
            <xdr:spPr>
              <a:xfrm>
                <a:off x="7194466" y="2878380"/>
                <a:ext cx="365760" cy="365760"/>
              </a:xfrm>
              <a:prstGeom prst="roundRect">
                <a:avLst/>
              </a:prstGeom>
              <a:solidFill>
                <a:srgbClr val="D39F0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112" name="Graphic 111" descr="City with solid fill">
                <a:extLst>
                  <a:ext uri="{FF2B5EF4-FFF2-40B4-BE49-F238E27FC236}">
                    <a16:creationId xmlns:a16="http://schemas.microsoft.com/office/drawing/2014/main" id="{0114F415-489E-47D8-A13A-040BBA102B2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8">
          <xdr:nvSpPr>
            <xdr:cNvPr id="108" name="TextBox 107">
              <a:extLst>
                <a:ext uri="{FF2B5EF4-FFF2-40B4-BE49-F238E27FC236}">
                  <a16:creationId xmlns:a16="http://schemas.microsoft.com/office/drawing/2014/main" id="{BC4D7C54-D576-40D1-A02C-494FA9651322}"/>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2FDCAAF-3AD4-4C2C-890F-BD9790F4275F}" type="TxLink">
                <a:rPr lang="en-US" sz="1200" b="0" i="0" u="none" strike="noStrike">
                  <a:solidFill>
                    <a:srgbClr val="FFFFFF"/>
                  </a:solidFill>
                  <a:latin typeface="Roboto Condensed"/>
                  <a:ea typeface="Roboto Condensed"/>
                </a:rPr>
                <a:pPr algn="l"/>
                <a:t>Russia</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8">
          <xdr:nvSpPr>
            <xdr:cNvPr id="109" name="TextBox 108">
              <a:extLst>
                <a:ext uri="{FF2B5EF4-FFF2-40B4-BE49-F238E27FC236}">
                  <a16:creationId xmlns:a16="http://schemas.microsoft.com/office/drawing/2014/main" id="{87969B73-EA09-460F-B288-5BCD26CB1BF8}"/>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5CA96A6-0601-4DB2-9763-E9C89DC1FE1B}" type="TxLink">
                <a:rPr lang="en-US" sz="1600" b="0" i="0" u="none" strike="noStrike">
                  <a:solidFill>
                    <a:srgbClr val="FFFFFF"/>
                  </a:solidFill>
                  <a:latin typeface="Roboto Condensed"/>
                  <a:ea typeface="Roboto Condensed"/>
                </a:rPr>
                <a:pPr algn="l"/>
                <a:t> 9,39,036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clientData/>
  </xdr:twoCellAnchor>
  <xdr:twoCellAnchor>
    <xdr:from>
      <xdr:col>12</xdr:col>
      <xdr:colOff>489977</xdr:colOff>
      <xdr:row>24</xdr:row>
      <xdr:rowOff>39334</xdr:rowOff>
    </xdr:from>
    <xdr:to>
      <xdr:col>14</xdr:col>
      <xdr:colOff>401395</xdr:colOff>
      <xdr:row>35</xdr:row>
      <xdr:rowOff>177693</xdr:rowOff>
    </xdr:to>
    <xdr:sp macro="" textlink="">
      <xdr:nvSpPr>
        <xdr:cNvPr id="572" name="Arc 571">
          <a:extLst>
            <a:ext uri="{FF2B5EF4-FFF2-40B4-BE49-F238E27FC236}">
              <a16:creationId xmlns:a16="http://schemas.microsoft.com/office/drawing/2014/main" id="{5900E60D-730B-4EA2-8FB5-9D5E11070A58}"/>
            </a:ext>
          </a:extLst>
        </xdr:cNvPr>
        <xdr:cNvSpPr/>
      </xdr:nvSpPr>
      <xdr:spPr>
        <a:xfrm rot="3945821">
          <a:off x="7373052" y="4794077"/>
          <a:ext cx="2097787" cy="1138535"/>
        </a:xfrm>
        <a:prstGeom prst="arc">
          <a:avLst>
            <a:gd name="adj1" fmla="val 11472012"/>
            <a:gd name="adj2" fmla="val 20865047"/>
          </a:avLst>
        </a:prstGeom>
        <a:noFill/>
        <a:ln w="22225">
          <a:gradFill flip="none" rotWithShape="1">
            <a:gsLst>
              <a:gs pos="0">
                <a:srgbClr val="5063F3">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12</xdr:col>
      <xdr:colOff>192215</xdr:colOff>
      <xdr:row>16</xdr:row>
      <xdr:rowOff>138925</xdr:rowOff>
    </xdr:from>
    <xdr:to>
      <xdr:col>20</xdr:col>
      <xdr:colOff>229339</xdr:colOff>
      <xdr:row>23</xdr:row>
      <xdr:rowOff>173754</xdr:rowOff>
    </xdr:to>
    <xdr:sp macro="" textlink="">
      <xdr:nvSpPr>
        <xdr:cNvPr id="451" name="Arc 450">
          <a:extLst>
            <a:ext uri="{FF2B5EF4-FFF2-40B4-BE49-F238E27FC236}">
              <a16:creationId xmlns:a16="http://schemas.microsoft.com/office/drawing/2014/main" id="{190AA2DA-0F1E-4AAA-AFC9-5BA6E9412237}"/>
            </a:ext>
          </a:extLst>
        </xdr:cNvPr>
        <xdr:cNvSpPr/>
      </xdr:nvSpPr>
      <xdr:spPr>
        <a:xfrm rot="329004">
          <a:off x="7554916" y="2989003"/>
          <a:ext cx="4945592" cy="1281738"/>
        </a:xfrm>
        <a:prstGeom prst="arc">
          <a:avLst>
            <a:gd name="adj1" fmla="val 11004087"/>
            <a:gd name="adj2" fmla="val 21304573"/>
          </a:avLst>
        </a:prstGeom>
        <a:noFill/>
        <a:ln w="22225">
          <a:gradFill flip="none" rotWithShape="1">
            <a:gsLst>
              <a:gs pos="0">
                <a:srgbClr val="5063F3">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12</xdr:col>
      <xdr:colOff>344614</xdr:colOff>
      <xdr:row>20</xdr:row>
      <xdr:rowOff>152780</xdr:rowOff>
    </xdr:from>
    <xdr:to>
      <xdr:col>20</xdr:col>
      <xdr:colOff>381738</xdr:colOff>
      <xdr:row>28</xdr:row>
      <xdr:rowOff>9479</xdr:rowOff>
    </xdr:to>
    <xdr:sp macro="" textlink="">
      <xdr:nvSpPr>
        <xdr:cNvPr id="570" name="Arc 569">
          <a:extLst>
            <a:ext uri="{FF2B5EF4-FFF2-40B4-BE49-F238E27FC236}">
              <a16:creationId xmlns:a16="http://schemas.microsoft.com/office/drawing/2014/main" id="{6C120474-BF4F-4A29-8996-FDA5576C2B36}"/>
            </a:ext>
          </a:extLst>
        </xdr:cNvPr>
        <xdr:cNvSpPr/>
      </xdr:nvSpPr>
      <xdr:spPr>
        <a:xfrm rot="20901108">
          <a:off x="7707315" y="3715377"/>
          <a:ext cx="4945592" cy="1281738"/>
        </a:xfrm>
        <a:prstGeom prst="arc">
          <a:avLst>
            <a:gd name="adj1" fmla="val 11461275"/>
            <a:gd name="adj2" fmla="val 21255283"/>
          </a:avLst>
        </a:prstGeom>
        <a:noFill/>
        <a:ln w="22225">
          <a:gradFill flip="none" rotWithShape="1">
            <a:gsLst>
              <a:gs pos="0">
                <a:srgbClr val="C240D8">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12</xdr:col>
      <xdr:colOff>219923</xdr:colOff>
      <xdr:row>25</xdr:row>
      <xdr:rowOff>18193</xdr:rowOff>
    </xdr:from>
    <xdr:to>
      <xdr:col>20</xdr:col>
      <xdr:colOff>257047</xdr:colOff>
      <xdr:row>32</xdr:row>
      <xdr:rowOff>53022</xdr:rowOff>
    </xdr:to>
    <xdr:sp macro="" textlink="">
      <xdr:nvSpPr>
        <xdr:cNvPr id="571" name="Arc 570">
          <a:extLst>
            <a:ext uri="{FF2B5EF4-FFF2-40B4-BE49-F238E27FC236}">
              <a16:creationId xmlns:a16="http://schemas.microsoft.com/office/drawing/2014/main" id="{F1DF0E7D-2516-4D95-A468-03E6B6B67B54}"/>
            </a:ext>
          </a:extLst>
        </xdr:cNvPr>
        <xdr:cNvSpPr/>
      </xdr:nvSpPr>
      <xdr:spPr>
        <a:xfrm rot="597403">
          <a:off x="7582624" y="4471440"/>
          <a:ext cx="4945592" cy="1281738"/>
        </a:xfrm>
        <a:prstGeom prst="arc">
          <a:avLst>
            <a:gd name="adj1" fmla="val 11461275"/>
            <a:gd name="adj2" fmla="val 20562955"/>
          </a:avLst>
        </a:prstGeom>
        <a:noFill/>
        <a:ln w="22225">
          <a:gradFill flip="none" rotWithShape="1">
            <a:gsLst>
              <a:gs pos="0">
                <a:srgbClr val="C240D8">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20</xdr:col>
      <xdr:colOff>73931</xdr:colOff>
      <xdr:row>16</xdr:row>
      <xdr:rowOff>147486</xdr:rowOff>
    </xdr:from>
    <xdr:to>
      <xdr:col>24</xdr:col>
      <xdr:colOff>213114</xdr:colOff>
      <xdr:row>24</xdr:row>
      <xdr:rowOff>4185</xdr:rowOff>
    </xdr:to>
    <xdr:sp macro="" textlink="">
      <xdr:nvSpPr>
        <xdr:cNvPr id="573" name="Arc 572">
          <a:extLst>
            <a:ext uri="{FF2B5EF4-FFF2-40B4-BE49-F238E27FC236}">
              <a16:creationId xmlns:a16="http://schemas.microsoft.com/office/drawing/2014/main" id="{B5033091-5EBF-406E-9EDC-D87E1F3D716A}"/>
            </a:ext>
          </a:extLst>
        </xdr:cNvPr>
        <xdr:cNvSpPr/>
      </xdr:nvSpPr>
      <xdr:spPr>
        <a:xfrm rot="20901108">
          <a:off x="12345100" y="2997564"/>
          <a:ext cx="2593417" cy="1281738"/>
        </a:xfrm>
        <a:prstGeom prst="arc">
          <a:avLst>
            <a:gd name="adj1" fmla="val 11461275"/>
            <a:gd name="adj2" fmla="val 20960684"/>
          </a:avLst>
        </a:prstGeom>
        <a:noFill/>
        <a:ln w="22225">
          <a:gradFill flip="none" rotWithShape="1">
            <a:gsLst>
              <a:gs pos="0">
                <a:srgbClr val="C240D8">
                  <a:alpha val="80000"/>
                </a:srgbClr>
              </a:gs>
              <a:gs pos="67000">
                <a:srgbClr val="C240D8">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16</xdr:col>
      <xdr:colOff>129736</xdr:colOff>
      <xdr:row>39</xdr:row>
      <xdr:rowOff>26818</xdr:rowOff>
    </xdr:from>
    <xdr:to>
      <xdr:col>25</xdr:col>
      <xdr:colOff>19791</xdr:colOff>
      <xdr:row>44</xdr:row>
      <xdr:rowOff>9896</xdr:rowOff>
    </xdr:to>
    <xdr:grpSp>
      <xdr:nvGrpSpPr>
        <xdr:cNvPr id="97" name="Group 96">
          <a:extLst>
            <a:ext uri="{FF2B5EF4-FFF2-40B4-BE49-F238E27FC236}">
              <a16:creationId xmlns:a16="http://schemas.microsoft.com/office/drawing/2014/main" id="{A9A82FA9-B551-4889-9275-F5FC47433CA2}"/>
            </a:ext>
          </a:extLst>
        </xdr:cNvPr>
        <xdr:cNvGrpSpPr/>
      </xdr:nvGrpSpPr>
      <xdr:grpSpPr>
        <a:xfrm>
          <a:off x="9883336" y="7084843"/>
          <a:ext cx="5376455" cy="887953"/>
          <a:chOff x="9946671" y="6973883"/>
          <a:chExt cx="5412081" cy="873727"/>
        </a:xfrm>
      </xdr:grpSpPr>
      <xdr:grpSp>
        <xdr:nvGrpSpPr>
          <xdr:cNvPr id="452" name="Group 451">
            <a:extLst>
              <a:ext uri="{FF2B5EF4-FFF2-40B4-BE49-F238E27FC236}">
                <a16:creationId xmlns:a16="http://schemas.microsoft.com/office/drawing/2014/main" id="{305A1414-E54A-48B5-8F21-3D7BE18170D4}"/>
              </a:ext>
            </a:extLst>
          </xdr:cNvPr>
          <xdr:cNvGrpSpPr/>
        </xdr:nvGrpSpPr>
        <xdr:grpSpPr>
          <a:xfrm>
            <a:off x="11559739" y="6973883"/>
            <a:ext cx="1176546" cy="873727"/>
            <a:chOff x="9857610" y="6973883"/>
            <a:chExt cx="1176546" cy="873727"/>
          </a:xfrm>
        </xdr:grpSpPr>
        <xdr:sp macro="" textlink="Pivottables!V25">
          <xdr:nvSpPr>
            <xdr:cNvPr id="578" name="TextBox 577">
              <a:extLst>
                <a:ext uri="{FF2B5EF4-FFF2-40B4-BE49-F238E27FC236}">
                  <a16:creationId xmlns:a16="http://schemas.microsoft.com/office/drawing/2014/main" id="{61907A33-51AC-445B-A252-2FAF8601BF15}"/>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E438EF1-D54F-4F1F-B53D-44E737A36E55}" type="TxLink">
                <a:rPr lang="en-US" sz="1100" b="0" i="0" u="none" strike="noStrike">
                  <a:solidFill>
                    <a:schemeClr val="bg1"/>
                  </a:solidFill>
                  <a:latin typeface="Roboto condensed" panose="02000000000000000000" pitchFamily="2" charset="0"/>
                  <a:ea typeface="Roboto condensed" panose="02000000000000000000" pitchFamily="2" charset="0"/>
                </a:rPr>
                <a:pPr algn="l"/>
                <a:t>Payroll Taxes</a:t>
              </a:fld>
              <a:endParaRPr lang="en-IN" sz="3600">
                <a:solidFill>
                  <a:schemeClr val="bg1"/>
                </a:solidFill>
                <a:latin typeface="Roboto condensed" panose="02000000000000000000" pitchFamily="2" charset="0"/>
                <a:ea typeface="Roboto condensed" panose="02000000000000000000" pitchFamily="2" charset="0"/>
              </a:endParaRPr>
            </a:p>
          </xdr:txBody>
        </xdr:sp>
        <xdr:sp macro="" textlink="Pivottables!V27">
          <xdr:nvSpPr>
            <xdr:cNvPr id="579" name="TextBox 578">
              <a:extLst>
                <a:ext uri="{FF2B5EF4-FFF2-40B4-BE49-F238E27FC236}">
                  <a16:creationId xmlns:a16="http://schemas.microsoft.com/office/drawing/2014/main" id="{172540B4-5D06-4208-9060-8D451B14A15D}"/>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D4CFF23-6EA9-4458-B81A-6BEA9FE49CEF}" type="TxLink">
                <a:rPr lang="en-US" sz="1800" b="1" i="0" u="none" strike="noStrike">
                  <a:solidFill>
                    <a:schemeClr val="bg1"/>
                  </a:solidFill>
                  <a:latin typeface="Roboto condensed" panose="02000000000000000000" pitchFamily="2" charset="0"/>
                  <a:ea typeface="Roboto condensed" panose="02000000000000000000" pitchFamily="2" charset="0"/>
                </a:rPr>
                <a:pPr algn="l"/>
                <a:t>$4,87,710</a:t>
              </a:fld>
              <a:endParaRPr lang="en-IN" sz="6000" b="1">
                <a:solidFill>
                  <a:schemeClr val="bg1"/>
                </a:solidFill>
                <a:latin typeface="Roboto condensed" panose="02000000000000000000" pitchFamily="2" charset="0"/>
                <a:ea typeface="Roboto condensed" panose="02000000000000000000" pitchFamily="2" charset="0"/>
              </a:endParaRPr>
            </a:p>
          </xdr:txBody>
        </xdr:sp>
        <xdr:sp macro="" textlink="Pivottables!V26">
          <xdr:nvSpPr>
            <xdr:cNvPr id="580" name="TextBox 579">
              <a:extLst>
                <a:ext uri="{FF2B5EF4-FFF2-40B4-BE49-F238E27FC236}">
                  <a16:creationId xmlns:a16="http://schemas.microsoft.com/office/drawing/2014/main" id="{B0D4C33B-CE83-408A-BFAC-25796E086B47}"/>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734E7E2-CD34-41CF-957B-43ACD18C27FE}" type="TxLink">
                <a:rPr lang="en-US" sz="1200" b="0" i="0" u="none" strike="noStrike">
                  <a:solidFill>
                    <a:schemeClr val="bg1"/>
                  </a:solidFill>
                  <a:latin typeface="Roboto"/>
                  <a:ea typeface="Roboto"/>
                </a:rPr>
                <a:pPr algn="l"/>
                <a:t>9.2%</a:t>
              </a:fld>
              <a:endParaRPr lang="en-IN" sz="4400">
                <a:solidFill>
                  <a:schemeClr val="bg1"/>
                </a:solidFill>
                <a:latin typeface="Roboto condensed" panose="02000000000000000000" pitchFamily="2" charset="0"/>
                <a:ea typeface="Roboto condensed" panose="02000000000000000000" pitchFamily="2" charset="0"/>
              </a:endParaRPr>
            </a:p>
          </xdr:txBody>
        </xdr:sp>
      </xdr:grpSp>
      <xdr:grpSp>
        <xdr:nvGrpSpPr>
          <xdr:cNvPr id="581" name="Group 580">
            <a:extLst>
              <a:ext uri="{FF2B5EF4-FFF2-40B4-BE49-F238E27FC236}">
                <a16:creationId xmlns:a16="http://schemas.microsoft.com/office/drawing/2014/main" id="{87F9CFBC-63CC-4F9D-BD11-2634D03AC21C}"/>
              </a:ext>
            </a:extLst>
          </xdr:cNvPr>
          <xdr:cNvGrpSpPr/>
        </xdr:nvGrpSpPr>
        <xdr:grpSpPr>
          <a:xfrm>
            <a:off x="12870972" y="6973883"/>
            <a:ext cx="1176546" cy="873727"/>
            <a:chOff x="9857610" y="6973883"/>
            <a:chExt cx="1176546" cy="873727"/>
          </a:xfrm>
        </xdr:grpSpPr>
        <xdr:sp macro="" textlink="Pivottables!W25">
          <xdr:nvSpPr>
            <xdr:cNvPr id="582" name="TextBox 581">
              <a:extLst>
                <a:ext uri="{FF2B5EF4-FFF2-40B4-BE49-F238E27FC236}">
                  <a16:creationId xmlns:a16="http://schemas.microsoft.com/office/drawing/2014/main" id="{6424FB43-7D60-4C40-9CEB-EC53D38BB463}"/>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F31DE61-CE53-403A-9248-1C4F25F6D9D8}" type="TxLink">
                <a:rPr lang="en-US" sz="1100" b="0" i="0" u="none" strike="noStrike">
                  <a:solidFill>
                    <a:schemeClr val="bg1"/>
                  </a:solidFill>
                  <a:latin typeface="Roboto condensed" panose="02000000000000000000" pitchFamily="2" charset="0"/>
                  <a:ea typeface="Roboto condensed" panose="02000000000000000000" pitchFamily="2" charset="0"/>
                </a:rPr>
                <a:pPr algn="l"/>
                <a:t>Property Taxes</a:t>
              </a:fld>
              <a:endParaRPr lang="en-IN" sz="4000">
                <a:solidFill>
                  <a:schemeClr val="bg1"/>
                </a:solidFill>
                <a:latin typeface="Roboto condensed" panose="02000000000000000000" pitchFamily="2" charset="0"/>
                <a:ea typeface="Roboto condensed" panose="02000000000000000000" pitchFamily="2" charset="0"/>
              </a:endParaRPr>
            </a:p>
          </xdr:txBody>
        </xdr:sp>
        <xdr:sp macro="" textlink="Pivottables!W27">
          <xdr:nvSpPr>
            <xdr:cNvPr id="583" name="TextBox 582">
              <a:extLst>
                <a:ext uri="{FF2B5EF4-FFF2-40B4-BE49-F238E27FC236}">
                  <a16:creationId xmlns:a16="http://schemas.microsoft.com/office/drawing/2014/main" id="{DF31C8E6-F2D3-4C22-A731-FF453E0E4BD7}"/>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42F03C4-4197-4969-B55E-E36F940A2282}" type="TxLink">
                <a:rPr lang="en-US" sz="1800" b="1" i="0" u="none" strike="noStrike">
                  <a:solidFill>
                    <a:schemeClr val="bg1"/>
                  </a:solidFill>
                  <a:latin typeface="Roboto condensed" panose="02000000000000000000" pitchFamily="2" charset="0"/>
                  <a:ea typeface="Roboto condensed" panose="02000000000000000000" pitchFamily="2" charset="0"/>
                </a:rPr>
                <a:pPr algn="l"/>
                <a:t>$3,92,288</a:t>
              </a:fld>
              <a:endParaRPr lang="en-IN" sz="11500" b="1">
                <a:solidFill>
                  <a:schemeClr val="bg1"/>
                </a:solidFill>
                <a:latin typeface="Roboto condensed" panose="02000000000000000000" pitchFamily="2" charset="0"/>
                <a:ea typeface="Roboto condensed" panose="02000000000000000000" pitchFamily="2" charset="0"/>
              </a:endParaRPr>
            </a:p>
          </xdr:txBody>
        </xdr:sp>
        <xdr:sp macro="" textlink="Pivottables!W26">
          <xdr:nvSpPr>
            <xdr:cNvPr id="584" name="TextBox 583">
              <a:extLst>
                <a:ext uri="{FF2B5EF4-FFF2-40B4-BE49-F238E27FC236}">
                  <a16:creationId xmlns:a16="http://schemas.microsoft.com/office/drawing/2014/main" id="{CA6E1DED-FB59-41B8-8AA3-3E0454A09648}"/>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FDBF90C-E202-406E-AAAF-4544A5BFCE08}" type="TxLink">
                <a:rPr lang="en-US" sz="1200" b="0" i="0" u="none" strike="noStrike">
                  <a:solidFill>
                    <a:schemeClr val="bg1"/>
                  </a:solidFill>
                  <a:latin typeface="Roboto condensed" panose="02000000000000000000" pitchFamily="2" charset="0"/>
                  <a:ea typeface="Roboto condensed" panose="02000000000000000000" pitchFamily="2" charset="0"/>
                </a:rPr>
                <a:pPr algn="l"/>
                <a:t>7.4%</a:t>
              </a:fld>
              <a:endParaRPr lang="en-IN" sz="6000">
                <a:solidFill>
                  <a:schemeClr val="bg1"/>
                </a:solidFill>
                <a:latin typeface="Roboto condensed" panose="02000000000000000000" pitchFamily="2" charset="0"/>
                <a:ea typeface="Roboto condensed" panose="02000000000000000000" pitchFamily="2" charset="0"/>
              </a:endParaRPr>
            </a:p>
          </xdr:txBody>
        </xdr:sp>
      </xdr:grpSp>
      <xdr:grpSp>
        <xdr:nvGrpSpPr>
          <xdr:cNvPr id="633" name="Group 632">
            <a:extLst>
              <a:ext uri="{FF2B5EF4-FFF2-40B4-BE49-F238E27FC236}">
                <a16:creationId xmlns:a16="http://schemas.microsoft.com/office/drawing/2014/main" id="{E8DB8D0D-AAC9-45D3-A5ED-90C55B602F45}"/>
              </a:ext>
            </a:extLst>
          </xdr:cNvPr>
          <xdr:cNvGrpSpPr/>
        </xdr:nvGrpSpPr>
        <xdr:grpSpPr>
          <a:xfrm>
            <a:off x="14182206" y="6973883"/>
            <a:ext cx="1176546" cy="873727"/>
            <a:chOff x="9857610" y="6973883"/>
            <a:chExt cx="1176546" cy="873727"/>
          </a:xfrm>
        </xdr:grpSpPr>
        <xdr:sp macro="" textlink="Pivottables!X25">
          <xdr:nvSpPr>
            <xdr:cNvPr id="634" name="TextBox 633">
              <a:extLst>
                <a:ext uri="{FF2B5EF4-FFF2-40B4-BE49-F238E27FC236}">
                  <a16:creationId xmlns:a16="http://schemas.microsoft.com/office/drawing/2014/main" id="{61A3858F-A17E-45D6-BFA1-C7055A2FD704}"/>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49C1D02-9D06-4491-8D62-E5EFA1C4BCC9}" type="TxLink">
                <a:rPr lang="en-US" sz="1100" b="0" i="0" u="none" strike="noStrike">
                  <a:solidFill>
                    <a:schemeClr val="bg1"/>
                  </a:solidFill>
                  <a:latin typeface="Roboto condensed" panose="02000000000000000000" pitchFamily="2" charset="0"/>
                  <a:ea typeface="Roboto condensed" panose="02000000000000000000" pitchFamily="2" charset="0"/>
                </a:rPr>
                <a:pPr algn="l"/>
                <a:t>Excise Taxes</a:t>
              </a:fld>
              <a:endParaRPr lang="en-IN" sz="4800">
                <a:solidFill>
                  <a:schemeClr val="bg1"/>
                </a:solidFill>
                <a:latin typeface="Roboto condensed" panose="02000000000000000000" pitchFamily="2" charset="0"/>
                <a:ea typeface="Roboto condensed" panose="02000000000000000000" pitchFamily="2" charset="0"/>
              </a:endParaRPr>
            </a:p>
          </xdr:txBody>
        </xdr:sp>
        <xdr:sp macro="" textlink="Pivottables!X27">
          <xdr:nvSpPr>
            <xdr:cNvPr id="635" name="TextBox 634">
              <a:extLst>
                <a:ext uri="{FF2B5EF4-FFF2-40B4-BE49-F238E27FC236}">
                  <a16:creationId xmlns:a16="http://schemas.microsoft.com/office/drawing/2014/main" id="{72B845DC-7E3B-4C76-B555-2F1F5A7CAFB1}"/>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9CD9B69-14A9-4FE9-937D-CB534071158C}" type="TxLink">
                <a:rPr lang="en-US" sz="1800" b="1" i="0" u="none" strike="noStrike">
                  <a:solidFill>
                    <a:schemeClr val="bg1"/>
                  </a:solidFill>
                  <a:latin typeface="Roboto condensed" panose="02000000000000000000" pitchFamily="2" charset="0"/>
                  <a:ea typeface="Roboto condensed" panose="02000000000000000000" pitchFamily="2" charset="0"/>
                </a:rPr>
                <a:pPr algn="l"/>
                <a:t>$3,28,674</a:t>
              </a:fld>
              <a:endParaRPr lang="en-IN" sz="34400" b="1">
                <a:solidFill>
                  <a:schemeClr val="bg1"/>
                </a:solidFill>
                <a:latin typeface="Roboto condensed" panose="02000000000000000000" pitchFamily="2" charset="0"/>
                <a:ea typeface="Roboto condensed" panose="02000000000000000000" pitchFamily="2" charset="0"/>
              </a:endParaRPr>
            </a:p>
          </xdr:txBody>
        </xdr:sp>
        <xdr:sp macro="" textlink="Pivottables!X26">
          <xdr:nvSpPr>
            <xdr:cNvPr id="636" name="TextBox 635">
              <a:extLst>
                <a:ext uri="{FF2B5EF4-FFF2-40B4-BE49-F238E27FC236}">
                  <a16:creationId xmlns:a16="http://schemas.microsoft.com/office/drawing/2014/main" id="{B5D06D15-94A5-4BB1-B470-278E328AE1C7}"/>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DC4612D-BA67-41F7-97FA-DD418C4FE2DE}" type="TxLink">
                <a:rPr lang="en-US" sz="1200" b="0" i="0" u="none" strike="noStrike">
                  <a:solidFill>
                    <a:schemeClr val="bg1"/>
                  </a:solidFill>
                  <a:latin typeface="Roboto condensed" panose="02000000000000000000" pitchFamily="2" charset="0"/>
                  <a:ea typeface="Roboto condensed" panose="02000000000000000000" pitchFamily="2" charset="0"/>
                </a:rPr>
                <a:pPr algn="l"/>
                <a:t>6.2%</a:t>
              </a:fld>
              <a:endParaRPr lang="en-IN" sz="8000">
                <a:solidFill>
                  <a:schemeClr val="bg1"/>
                </a:solidFill>
                <a:latin typeface="Roboto condensed" panose="02000000000000000000" pitchFamily="2" charset="0"/>
                <a:ea typeface="Roboto condensed" panose="02000000000000000000" pitchFamily="2" charset="0"/>
              </a:endParaRPr>
            </a:p>
          </xdr:txBody>
        </xdr:sp>
      </xdr:grpSp>
      <xdr:grpSp>
        <xdr:nvGrpSpPr>
          <xdr:cNvPr id="637" name="Group 636">
            <a:extLst>
              <a:ext uri="{FF2B5EF4-FFF2-40B4-BE49-F238E27FC236}">
                <a16:creationId xmlns:a16="http://schemas.microsoft.com/office/drawing/2014/main" id="{BA0A9A13-98D7-4189-811A-A53C0B99683D}"/>
              </a:ext>
            </a:extLst>
          </xdr:cNvPr>
          <xdr:cNvGrpSpPr/>
        </xdr:nvGrpSpPr>
        <xdr:grpSpPr>
          <a:xfrm>
            <a:off x="9946671" y="6973883"/>
            <a:ext cx="1168926" cy="873727"/>
            <a:chOff x="9857610" y="6973883"/>
            <a:chExt cx="1176546" cy="873727"/>
          </a:xfrm>
        </xdr:grpSpPr>
        <xdr:sp macro="" textlink="Pivottables!Y25">
          <xdr:nvSpPr>
            <xdr:cNvPr id="638" name="TextBox 637">
              <a:extLst>
                <a:ext uri="{FF2B5EF4-FFF2-40B4-BE49-F238E27FC236}">
                  <a16:creationId xmlns:a16="http://schemas.microsoft.com/office/drawing/2014/main" id="{CC6EF46F-3A12-4169-AF55-4571A1F0DBB4}"/>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D077532-C653-421F-A87B-AB774B96AC91}" type="TxLink">
                <a:rPr lang="en-US" sz="1400" b="0" i="0" u="none" strike="noStrike">
                  <a:solidFill>
                    <a:schemeClr val="bg1"/>
                  </a:solidFill>
                  <a:latin typeface="Roboto condensed" panose="02000000000000000000" pitchFamily="2" charset="0"/>
                  <a:ea typeface="Roboto condensed" panose="02000000000000000000" pitchFamily="2" charset="0"/>
                </a:rPr>
                <a:pPr algn="l"/>
                <a:t>Total Taxes</a:t>
              </a:fld>
              <a:endParaRPr lang="en-IN" sz="5400">
                <a:solidFill>
                  <a:schemeClr val="bg1"/>
                </a:solidFill>
                <a:latin typeface="Roboto condensed" panose="02000000000000000000" pitchFamily="2" charset="0"/>
                <a:ea typeface="Roboto condensed" panose="02000000000000000000" pitchFamily="2" charset="0"/>
              </a:endParaRPr>
            </a:p>
          </xdr:txBody>
        </xdr:sp>
        <xdr:sp macro="" textlink="Pivottables!Y27">
          <xdr:nvSpPr>
            <xdr:cNvPr id="639" name="TextBox 638">
              <a:extLst>
                <a:ext uri="{FF2B5EF4-FFF2-40B4-BE49-F238E27FC236}">
                  <a16:creationId xmlns:a16="http://schemas.microsoft.com/office/drawing/2014/main" id="{9800FE9C-C7F3-4EFC-AA8F-465434A1ACD8}"/>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DE42AB3-25FC-490C-8F69-33491ABF190C}" type="TxLink">
                <a:rPr lang="en-US" sz="1800" b="1" i="0" u="none" strike="noStrike">
                  <a:solidFill>
                    <a:schemeClr val="bg1"/>
                  </a:solidFill>
                  <a:latin typeface="Roboto condensed" panose="02000000000000000000" pitchFamily="2" charset="0"/>
                  <a:ea typeface="Roboto condensed" panose="02000000000000000000" pitchFamily="2" charset="0"/>
                </a:rPr>
                <a:pPr algn="l"/>
                <a:t>$12,08,672</a:t>
              </a:fld>
              <a:endParaRPr lang="en-IN" sz="11500" b="1">
                <a:solidFill>
                  <a:schemeClr val="bg1"/>
                </a:solidFill>
                <a:latin typeface="Roboto condensed" panose="02000000000000000000" pitchFamily="2" charset="0"/>
                <a:ea typeface="Roboto condensed" panose="02000000000000000000" pitchFamily="2" charset="0"/>
              </a:endParaRPr>
            </a:p>
          </xdr:txBody>
        </xdr:sp>
        <xdr:sp macro="" textlink="Pivottables!Y26">
          <xdr:nvSpPr>
            <xdr:cNvPr id="640" name="TextBox 639">
              <a:extLst>
                <a:ext uri="{FF2B5EF4-FFF2-40B4-BE49-F238E27FC236}">
                  <a16:creationId xmlns:a16="http://schemas.microsoft.com/office/drawing/2014/main" id="{B4F3C8E4-5883-4298-A614-853040D75CC1}"/>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052E6E0-1C28-44EE-ADCE-E9844FDC33A0}" type="TxLink">
                <a:rPr lang="en-US" sz="1800" b="0" i="0" u="none" strike="noStrike">
                  <a:solidFill>
                    <a:schemeClr val="bg1"/>
                  </a:solidFill>
                  <a:latin typeface="Roboto condensed" panose="02000000000000000000" pitchFamily="2" charset="0"/>
                  <a:ea typeface="Roboto condensed" panose="02000000000000000000" pitchFamily="2" charset="0"/>
                </a:rPr>
                <a:pPr algn="l"/>
                <a:t>22.8%</a:t>
              </a:fld>
              <a:endParaRPr lang="en-IN" sz="8000">
                <a:solidFill>
                  <a:schemeClr val="bg1"/>
                </a:solidFill>
                <a:latin typeface="Roboto condensed" panose="02000000000000000000" pitchFamily="2" charset="0"/>
                <a:ea typeface="Roboto condensed" panose="02000000000000000000" pitchFamily="2" charset="0"/>
              </a:endParaRPr>
            </a:p>
          </xdr:txBody>
        </xdr:sp>
      </xdr:grpSp>
    </xdr:grpSp>
    <xdr:clientData/>
  </xdr:twoCellAnchor>
  <xdr:twoCellAnchor>
    <xdr:from>
      <xdr:col>17</xdr:col>
      <xdr:colOff>475012</xdr:colOff>
      <xdr:row>38</xdr:row>
      <xdr:rowOff>118755</xdr:rowOff>
    </xdr:from>
    <xdr:to>
      <xdr:col>18</xdr:col>
      <xdr:colOff>318654</xdr:colOff>
      <xdr:row>44</xdr:row>
      <xdr:rowOff>147256</xdr:rowOff>
    </xdr:to>
    <xdr:graphicFrame macro="">
      <xdr:nvGraphicFramePr>
        <xdr:cNvPr id="641" name="Chart 640">
          <a:extLst>
            <a:ext uri="{FF2B5EF4-FFF2-40B4-BE49-F238E27FC236}">
              <a16:creationId xmlns:a16="http://schemas.microsoft.com/office/drawing/2014/main" id="{608F409A-3ABB-435F-AB3A-7E7A7258D4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xdr:col>
      <xdr:colOff>213360</xdr:colOff>
      <xdr:row>0</xdr:row>
      <xdr:rowOff>112722</xdr:rowOff>
    </xdr:from>
    <xdr:to>
      <xdr:col>2</xdr:col>
      <xdr:colOff>377041</xdr:colOff>
      <xdr:row>1</xdr:row>
      <xdr:rowOff>132712</xdr:rowOff>
    </xdr:to>
    <xdr:sp macro="" textlink="">
      <xdr:nvSpPr>
        <xdr:cNvPr id="574" name="TextBox 573">
          <a:extLst>
            <a:ext uri="{FF2B5EF4-FFF2-40B4-BE49-F238E27FC236}">
              <a16:creationId xmlns:a16="http://schemas.microsoft.com/office/drawing/2014/main" id="{48AB2892-BDFB-492D-9577-5A1D7A40D17D}"/>
            </a:ext>
          </a:extLst>
        </xdr:cNvPr>
        <xdr:cNvSpPr txBox="1"/>
      </xdr:nvSpPr>
      <xdr:spPr>
        <a:xfrm>
          <a:off x="826918" y="112722"/>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GitHub</a:t>
          </a:r>
        </a:p>
      </xdr:txBody>
    </xdr:sp>
    <xdr:clientData/>
  </xdr:twoCellAnchor>
  <xdr:twoCellAnchor editAs="absolute">
    <xdr:from>
      <xdr:col>10</xdr:col>
      <xdr:colOff>101534</xdr:colOff>
      <xdr:row>0</xdr:row>
      <xdr:rowOff>112722</xdr:rowOff>
    </xdr:from>
    <xdr:to>
      <xdr:col>11</xdr:col>
      <xdr:colOff>265215</xdr:colOff>
      <xdr:row>1</xdr:row>
      <xdr:rowOff>132712</xdr:rowOff>
    </xdr:to>
    <xdr:sp macro="" textlink="">
      <xdr:nvSpPr>
        <xdr:cNvPr id="575" name="TextBox 574">
          <a:extLst>
            <a:ext uri="{FF2B5EF4-FFF2-40B4-BE49-F238E27FC236}">
              <a16:creationId xmlns:a16="http://schemas.microsoft.com/office/drawing/2014/main" id="{CDC1D5A0-5B20-4F22-9D86-8DB1C683D5EB}"/>
            </a:ext>
          </a:extLst>
        </xdr:cNvPr>
        <xdr:cNvSpPr txBox="1"/>
      </xdr:nvSpPr>
      <xdr:spPr>
        <a:xfrm>
          <a:off x="6237118" y="112722"/>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Linkedin</a:t>
          </a:r>
        </a:p>
      </xdr:txBody>
    </xdr:sp>
    <xdr:clientData/>
  </xdr:twoCellAnchor>
  <xdr:twoCellAnchor editAs="oneCell">
    <xdr:from>
      <xdr:col>1</xdr:col>
      <xdr:colOff>0</xdr:colOff>
      <xdr:row>0</xdr:row>
      <xdr:rowOff>54686</xdr:rowOff>
    </xdr:from>
    <xdr:to>
      <xdr:col>1</xdr:col>
      <xdr:colOff>274320</xdr:colOff>
      <xdr:row>1</xdr:row>
      <xdr:rowOff>150876</xdr:rowOff>
    </xdr:to>
    <xdr:pic>
      <xdr:nvPicPr>
        <xdr:cNvPr id="576" name="Picture 575">
          <a:hlinkClick xmlns:r="http://schemas.openxmlformats.org/officeDocument/2006/relationships" r:id="rId9"/>
          <a:extLst>
            <a:ext uri="{FF2B5EF4-FFF2-40B4-BE49-F238E27FC236}">
              <a16:creationId xmlns:a16="http://schemas.microsoft.com/office/drawing/2014/main" id="{8037FB79-E68A-422E-BA5E-48CDA69F6E6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13558" y="54686"/>
          <a:ext cx="274320" cy="274320"/>
        </a:xfrm>
        <a:prstGeom prst="rect">
          <a:avLst/>
        </a:prstGeom>
      </xdr:spPr>
    </xdr:pic>
    <xdr:clientData/>
  </xdr:twoCellAnchor>
  <xdr:twoCellAnchor editAs="oneCell">
    <xdr:from>
      <xdr:col>9</xdr:col>
      <xdr:colOff>514572</xdr:colOff>
      <xdr:row>0</xdr:row>
      <xdr:rowOff>54686</xdr:rowOff>
    </xdr:from>
    <xdr:to>
      <xdr:col>10</xdr:col>
      <xdr:colOff>175334</xdr:colOff>
      <xdr:row>1</xdr:row>
      <xdr:rowOff>150876</xdr:rowOff>
    </xdr:to>
    <xdr:pic>
      <xdr:nvPicPr>
        <xdr:cNvPr id="577" name="Picture 576">
          <a:hlinkClick xmlns:r="http://schemas.openxmlformats.org/officeDocument/2006/relationships" r:id="rId11"/>
          <a:extLst>
            <a:ext uri="{FF2B5EF4-FFF2-40B4-BE49-F238E27FC236}">
              <a16:creationId xmlns:a16="http://schemas.microsoft.com/office/drawing/2014/main" id="{0CDD6F34-6DE6-427A-BF51-18678316EF8C}"/>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036598" y="54686"/>
          <a:ext cx="274320" cy="2743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12</xdr:col>
      <xdr:colOff>270927</xdr:colOff>
      <xdr:row>28</xdr:row>
      <xdr:rowOff>37538</xdr:rowOff>
    </xdr:from>
    <xdr:to>
      <xdr:col>17</xdr:col>
      <xdr:colOff>514597</xdr:colOff>
      <xdr:row>28</xdr:row>
      <xdr:rowOff>49481</xdr:rowOff>
    </xdr:to>
    <xdr:cxnSp macro="">
      <xdr:nvCxnSpPr>
        <xdr:cNvPr id="126" name="Straight Connector 125">
          <a:extLst>
            <a:ext uri="{FF2B5EF4-FFF2-40B4-BE49-F238E27FC236}">
              <a16:creationId xmlns:a16="http://schemas.microsoft.com/office/drawing/2014/main" id="{1544B5CC-B20A-48E1-B3B7-BCEDC8E0089C}"/>
            </a:ext>
          </a:extLst>
        </xdr:cNvPr>
        <xdr:cNvCxnSpPr/>
      </xdr:nvCxnSpPr>
      <xdr:spPr>
        <a:xfrm>
          <a:off x="7633628" y="5025174"/>
          <a:ext cx="3311463" cy="11943"/>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0</xdr:row>
      <xdr:rowOff>0</xdr:rowOff>
    </xdr:from>
    <xdr:to>
      <xdr:col>30</xdr:col>
      <xdr:colOff>338447</xdr:colOff>
      <xdr:row>2</xdr:row>
      <xdr:rowOff>27432</xdr:rowOff>
    </xdr:to>
    <xdr:sp macro="" textlink="">
      <xdr:nvSpPr>
        <xdr:cNvPr id="2" name="Rectangle 1">
          <a:extLst>
            <a:ext uri="{FF2B5EF4-FFF2-40B4-BE49-F238E27FC236}">
              <a16:creationId xmlns:a16="http://schemas.microsoft.com/office/drawing/2014/main" id="{BFE0EAE2-5F33-498B-A51B-CB5F5A340A52}"/>
            </a:ext>
          </a:extLst>
        </xdr:cNvPr>
        <xdr:cNvSpPr/>
      </xdr:nvSpPr>
      <xdr:spPr>
        <a:xfrm>
          <a:off x="0" y="0"/>
          <a:ext cx="18745200" cy="383692"/>
        </a:xfrm>
        <a:prstGeom prst="rect">
          <a:avLst/>
        </a:prstGeom>
        <a:solidFill>
          <a:srgbClr val="1D1D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15</xdr:col>
      <xdr:colOff>457200</xdr:colOff>
      <xdr:row>0</xdr:row>
      <xdr:rowOff>30480</xdr:rowOff>
    </xdr:from>
    <xdr:to>
      <xdr:col>17</xdr:col>
      <xdr:colOff>362712</xdr:colOff>
      <xdr:row>2</xdr:row>
      <xdr:rowOff>3048</xdr:rowOff>
    </xdr:to>
    <xdr:sp macro="" textlink="">
      <xdr:nvSpPr>
        <xdr:cNvPr id="5" name="TextBox 4">
          <a:hlinkClick xmlns:r="http://schemas.openxmlformats.org/officeDocument/2006/relationships" r:id="rId1" tooltip="Income Source"/>
          <a:extLst>
            <a:ext uri="{FF2B5EF4-FFF2-40B4-BE49-F238E27FC236}">
              <a16:creationId xmlns:a16="http://schemas.microsoft.com/office/drawing/2014/main" id="{92C58B74-BF0D-482F-9E85-CECB78810AB1}"/>
            </a:ext>
          </a:extLst>
        </xdr:cNvPr>
        <xdr:cNvSpPr txBox="1"/>
      </xdr:nvSpPr>
      <xdr:spPr>
        <a:xfrm>
          <a:off x="9601200"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Income</a:t>
          </a:r>
          <a:r>
            <a:rPr lang="en-IN" sz="1200" baseline="0">
              <a:solidFill>
                <a:schemeClr val="bg1"/>
              </a:solidFill>
              <a:latin typeface="Roboto condensed" panose="02000000000000000000" pitchFamily="2" charset="0"/>
              <a:ea typeface="Roboto condensed" panose="02000000000000000000" pitchFamily="2" charset="0"/>
            </a:rPr>
            <a:t> Source</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17</xdr:col>
      <xdr:colOff>407247</xdr:colOff>
      <xdr:row>0</xdr:row>
      <xdr:rowOff>30480</xdr:rowOff>
    </xdr:from>
    <xdr:to>
      <xdr:col>19</xdr:col>
      <xdr:colOff>312759</xdr:colOff>
      <xdr:row>2</xdr:row>
      <xdr:rowOff>3048</xdr:rowOff>
    </xdr:to>
    <xdr:sp macro="" textlink="">
      <xdr:nvSpPr>
        <xdr:cNvPr id="6" name="TextBox 5">
          <a:hlinkClick xmlns:r="http://schemas.openxmlformats.org/officeDocument/2006/relationships" r:id="rId2" tooltip="Geographically"/>
          <a:extLst>
            <a:ext uri="{FF2B5EF4-FFF2-40B4-BE49-F238E27FC236}">
              <a16:creationId xmlns:a16="http://schemas.microsoft.com/office/drawing/2014/main" id="{A41801E6-3A3B-4E22-B659-CF2C069EA14E}"/>
            </a:ext>
          </a:extLst>
        </xdr:cNvPr>
        <xdr:cNvSpPr txBox="1"/>
      </xdr:nvSpPr>
      <xdr:spPr>
        <a:xfrm>
          <a:off x="10770447"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Geographically</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19</xdr:col>
      <xdr:colOff>357294</xdr:colOff>
      <xdr:row>0</xdr:row>
      <xdr:rowOff>30480</xdr:rowOff>
    </xdr:from>
    <xdr:to>
      <xdr:col>21</xdr:col>
      <xdr:colOff>262806</xdr:colOff>
      <xdr:row>2</xdr:row>
      <xdr:rowOff>3048</xdr:rowOff>
    </xdr:to>
    <xdr:sp macro="" textlink="">
      <xdr:nvSpPr>
        <xdr:cNvPr id="7" name="TextBox 6">
          <a:hlinkClick xmlns:r="http://schemas.openxmlformats.org/officeDocument/2006/relationships" r:id="rId3" tooltip="Sales Process"/>
          <a:extLst>
            <a:ext uri="{FF2B5EF4-FFF2-40B4-BE49-F238E27FC236}">
              <a16:creationId xmlns:a16="http://schemas.microsoft.com/office/drawing/2014/main" id="{F7749F7A-AF51-4E6E-AE89-5BD66A8F8F75}"/>
            </a:ext>
          </a:extLst>
        </xdr:cNvPr>
        <xdr:cNvSpPr txBox="1"/>
      </xdr:nvSpPr>
      <xdr:spPr>
        <a:xfrm>
          <a:off x="11939694"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Sales Process</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32</xdr:col>
      <xdr:colOff>30480</xdr:colOff>
      <xdr:row>0</xdr:row>
      <xdr:rowOff>45720</xdr:rowOff>
    </xdr:from>
    <xdr:to>
      <xdr:col>33</xdr:col>
      <xdr:colOff>487680</xdr:colOff>
      <xdr:row>1</xdr:row>
      <xdr:rowOff>60840</xdr:rowOff>
    </xdr:to>
    <xdr:sp macro="" textlink="">
      <xdr:nvSpPr>
        <xdr:cNvPr id="8" name="TextBox 7">
          <a:extLst>
            <a:ext uri="{FF2B5EF4-FFF2-40B4-BE49-F238E27FC236}">
              <a16:creationId xmlns:a16="http://schemas.microsoft.com/office/drawing/2014/main" id="{BCFFA623-D0C3-429D-9C87-C3F291C28E19}"/>
            </a:ext>
          </a:extLst>
        </xdr:cNvPr>
        <xdr:cNvSpPr txBox="1"/>
      </xdr:nvSpPr>
      <xdr:spPr>
        <a:xfrm>
          <a:off x="19537680" y="45720"/>
          <a:ext cx="1066800" cy="19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Project Status</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19</xdr:col>
      <xdr:colOff>457200</xdr:colOff>
      <xdr:row>1</xdr:row>
      <xdr:rowOff>135637</xdr:rowOff>
    </xdr:from>
    <xdr:to>
      <xdr:col>20</xdr:col>
      <xdr:colOff>121920</xdr:colOff>
      <xdr:row>1</xdr:row>
      <xdr:rowOff>181356</xdr:rowOff>
    </xdr:to>
    <xdr:sp macro="" textlink="">
      <xdr:nvSpPr>
        <xdr:cNvPr id="10" name="Rectangle: Rounded Corners 9">
          <a:extLst>
            <a:ext uri="{FF2B5EF4-FFF2-40B4-BE49-F238E27FC236}">
              <a16:creationId xmlns:a16="http://schemas.microsoft.com/office/drawing/2014/main" id="{7F88C196-AAC8-4FF8-BF6E-C35F5B27D300}"/>
            </a:ext>
          </a:extLst>
        </xdr:cNvPr>
        <xdr:cNvSpPr/>
      </xdr:nvSpPr>
      <xdr:spPr>
        <a:xfrm>
          <a:off x="12039600" y="318517"/>
          <a:ext cx="274320" cy="45719"/>
        </a:xfrm>
        <a:prstGeom prst="roundRect">
          <a:avLst>
            <a:gd name="adj" fmla="val 8975"/>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182880</xdr:colOff>
      <xdr:row>0</xdr:row>
      <xdr:rowOff>15240</xdr:rowOff>
    </xdr:from>
    <xdr:to>
      <xdr:col>9</xdr:col>
      <xdr:colOff>236219</xdr:colOff>
      <xdr:row>2</xdr:row>
      <xdr:rowOff>42672</xdr:rowOff>
    </xdr:to>
    <xdr:sp macro="" textlink="">
      <xdr:nvSpPr>
        <xdr:cNvPr id="12" name="Прямоугольник 3">
          <a:extLst>
            <a:ext uri="{FF2B5EF4-FFF2-40B4-BE49-F238E27FC236}">
              <a16:creationId xmlns:a16="http://schemas.microsoft.com/office/drawing/2014/main" id="{237ED481-8566-44F4-806F-843706B2BF89}"/>
            </a:ext>
          </a:extLst>
        </xdr:cNvPr>
        <xdr:cNvSpPr/>
      </xdr:nvSpPr>
      <xdr:spPr>
        <a:xfrm>
          <a:off x="2011680" y="15240"/>
          <a:ext cx="3710939" cy="393192"/>
        </a:xfrm>
        <a:prstGeom prst="rect">
          <a:avLst/>
        </a:prstGeom>
        <a:gradFill>
          <a:gsLst>
            <a:gs pos="0">
              <a:srgbClr val="1E163D">
                <a:alpha val="0"/>
              </a:srgbClr>
            </a:gs>
            <a:gs pos="24000">
              <a:srgbClr val="7030A0">
                <a:alpha val="87000"/>
              </a:srgbClr>
            </a:gs>
            <a:gs pos="70000">
              <a:srgbClr val="1E163D">
                <a:alpha val="71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absolute">
    <xdr:from>
      <xdr:col>19</xdr:col>
      <xdr:colOff>363611</xdr:colOff>
      <xdr:row>16</xdr:row>
      <xdr:rowOff>90463</xdr:rowOff>
    </xdr:from>
    <xdr:to>
      <xdr:col>29</xdr:col>
      <xdr:colOff>366659</xdr:colOff>
      <xdr:row>40</xdr:row>
      <xdr:rowOff>53887</xdr:rowOff>
    </xdr:to>
    <xdr:graphicFrame macro="">
      <xdr:nvGraphicFramePr>
        <xdr:cNvPr id="14" name="Chart 13">
          <a:extLst>
            <a:ext uri="{FF2B5EF4-FFF2-40B4-BE49-F238E27FC236}">
              <a16:creationId xmlns:a16="http://schemas.microsoft.com/office/drawing/2014/main" id="{B80521B4-64D4-4DDA-A340-8906EC74AF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20</xdr:col>
      <xdr:colOff>391345</xdr:colOff>
      <xdr:row>15</xdr:row>
      <xdr:rowOff>7620</xdr:rowOff>
    </xdr:from>
    <xdr:to>
      <xdr:col>28</xdr:col>
      <xdr:colOff>360864</xdr:colOff>
      <xdr:row>41</xdr:row>
      <xdr:rowOff>99060</xdr:rowOff>
    </xdr:to>
    <xdr:sp macro="" textlink="">
      <xdr:nvSpPr>
        <xdr:cNvPr id="16" name="Circle: Hollow 15">
          <a:extLst>
            <a:ext uri="{FF2B5EF4-FFF2-40B4-BE49-F238E27FC236}">
              <a16:creationId xmlns:a16="http://schemas.microsoft.com/office/drawing/2014/main" id="{1FCC3D0E-4635-467F-B1DC-E9C844F5394C}"/>
            </a:ext>
          </a:extLst>
        </xdr:cNvPr>
        <xdr:cNvSpPr/>
      </xdr:nvSpPr>
      <xdr:spPr>
        <a:xfrm>
          <a:off x="12505191" y="2791851"/>
          <a:ext cx="4815058" cy="4917440"/>
        </a:xfrm>
        <a:prstGeom prst="donut">
          <a:avLst>
            <a:gd name="adj" fmla="val 3612"/>
          </a:avLst>
        </a:prstGeom>
        <a:solidFill>
          <a:schemeClr val="bg2">
            <a:lumMod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editAs="absolute">
    <xdr:from>
      <xdr:col>19</xdr:col>
      <xdr:colOff>44732</xdr:colOff>
      <xdr:row>9</xdr:row>
      <xdr:rowOff>144780</xdr:rowOff>
    </xdr:from>
    <xdr:to>
      <xdr:col>30</xdr:col>
      <xdr:colOff>105692</xdr:colOff>
      <xdr:row>46</xdr:row>
      <xdr:rowOff>144780</xdr:rowOff>
    </xdr:to>
    <xdr:sp macro="" textlink="">
      <xdr:nvSpPr>
        <xdr:cNvPr id="17" name="Oval 16">
          <a:extLst>
            <a:ext uri="{FF2B5EF4-FFF2-40B4-BE49-F238E27FC236}">
              <a16:creationId xmlns:a16="http://schemas.microsoft.com/office/drawing/2014/main" id="{DCD0256D-96DA-46F0-A0C5-7566C8D0E36A}"/>
            </a:ext>
          </a:extLst>
        </xdr:cNvPr>
        <xdr:cNvSpPr/>
      </xdr:nvSpPr>
      <xdr:spPr>
        <a:xfrm>
          <a:off x="11552886" y="1815318"/>
          <a:ext cx="6723575" cy="6867770"/>
        </a:xfrm>
        <a:prstGeom prst="ellipse">
          <a:avLst/>
        </a:prstGeom>
        <a:noFill/>
        <a:ln w="3175">
          <a:solidFill>
            <a:schemeClr val="bg1">
              <a:alpha val="3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16</xdr:col>
      <xdr:colOff>543744</xdr:colOff>
      <xdr:row>2</xdr:row>
      <xdr:rowOff>99060</xdr:rowOff>
    </xdr:from>
    <xdr:to>
      <xdr:col>32</xdr:col>
      <xdr:colOff>208464</xdr:colOff>
      <xdr:row>54</xdr:row>
      <xdr:rowOff>7620</xdr:rowOff>
    </xdr:to>
    <xdr:sp macro="" textlink="">
      <xdr:nvSpPr>
        <xdr:cNvPr id="18" name="Oval 17">
          <a:extLst>
            <a:ext uri="{FF2B5EF4-FFF2-40B4-BE49-F238E27FC236}">
              <a16:creationId xmlns:a16="http://schemas.microsoft.com/office/drawing/2014/main" id="{AE8579D9-BAA4-45F4-B551-E8909D33A5D1}"/>
            </a:ext>
          </a:extLst>
        </xdr:cNvPr>
        <xdr:cNvSpPr/>
      </xdr:nvSpPr>
      <xdr:spPr>
        <a:xfrm>
          <a:off x="10234821" y="470291"/>
          <a:ext cx="9355797" cy="9560560"/>
        </a:xfrm>
        <a:prstGeom prst="ellipse">
          <a:avLst/>
        </a:prstGeom>
        <a:noFill/>
        <a:ln w="3175">
          <a:solidFill>
            <a:schemeClr val="bg1">
              <a:alpha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16</xdr:col>
      <xdr:colOff>543744</xdr:colOff>
      <xdr:row>0</xdr:row>
      <xdr:rowOff>7620</xdr:rowOff>
    </xdr:from>
    <xdr:to>
      <xdr:col>32</xdr:col>
      <xdr:colOff>208464</xdr:colOff>
      <xdr:row>56</xdr:row>
      <xdr:rowOff>99060</xdr:rowOff>
    </xdr:to>
    <xdr:sp macro="" textlink="">
      <xdr:nvSpPr>
        <xdr:cNvPr id="19" name="Oval 18">
          <a:extLst>
            <a:ext uri="{FF2B5EF4-FFF2-40B4-BE49-F238E27FC236}">
              <a16:creationId xmlns:a16="http://schemas.microsoft.com/office/drawing/2014/main" id="{EEFED21A-918A-488B-9EF5-F85A1B5E9A1E}"/>
            </a:ext>
          </a:extLst>
        </xdr:cNvPr>
        <xdr:cNvSpPr/>
      </xdr:nvSpPr>
      <xdr:spPr>
        <a:xfrm>
          <a:off x="10234821" y="7620"/>
          <a:ext cx="9355797" cy="10485902"/>
        </a:xfrm>
        <a:prstGeom prst="ellipse">
          <a:avLst/>
        </a:prstGeom>
        <a:noFill/>
        <a:ln w="3175">
          <a:solidFill>
            <a:schemeClr val="bg1">
              <a:alpha val="19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356263</xdr:colOff>
      <xdr:row>26</xdr:row>
      <xdr:rowOff>55469</xdr:rowOff>
    </xdr:from>
    <xdr:to>
      <xdr:col>4</xdr:col>
      <xdr:colOff>419360</xdr:colOff>
      <xdr:row>30</xdr:row>
      <xdr:rowOff>19606</xdr:rowOff>
    </xdr:to>
    <xdr:sp macro="" textlink="">
      <xdr:nvSpPr>
        <xdr:cNvPr id="20" name="Oval 19">
          <a:extLst>
            <a:ext uri="{FF2B5EF4-FFF2-40B4-BE49-F238E27FC236}">
              <a16:creationId xmlns:a16="http://schemas.microsoft.com/office/drawing/2014/main" id="{5B624125-1F3A-4479-8DB5-E381AF2AE04A}"/>
            </a:ext>
          </a:extLst>
        </xdr:cNvPr>
        <xdr:cNvSpPr/>
      </xdr:nvSpPr>
      <xdr:spPr>
        <a:xfrm>
          <a:off x="2196938" y="468684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385958</xdr:colOff>
      <xdr:row>26</xdr:row>
      <xdr:rowOff>55469</xdr:rowOff>
    </xdr:from>
    <xdr:to>
      <xdr:col>7</xdr:col>
      <xdr:colOff>449056</xdr:colOff>
      <xdr:row>30</xdr:row>
      <xdr:rowOff>19606</xdr:rowOff>
    </xdr:to>
    <xdr:sp macro="" textlink="">
      <xdr:nvSpPr>
        <xdr:cNvPr id="22" name="Oval 21">
          <a:extLst>
            <a:ext uri="{FF2B5EF4-FFF2-40B4-BE49-F238E27FC236}">
              <a16:creationId xmlns:a16="http://schemas.microsoft.com/office/drawing/2014/main" id="{519A43DA-0930-4C2E-9C31-E0A0F697C383}"/>
            </a:ext>
          </a:extLst>
        </xdr:cNvPr>
        <xdr:cNvSpPr/>
      </xdr:nvSpPr>
      <xdr:spPr>
        <a:xfrm>
          <a:off x="4067309" y="468684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385958</xdr:colOff>
      <xdr:row>16</xdr:row>
      <xdr:rowOff>159379</xdr:rowOff>
    </xdr:from>
    <xdr:to>
      <xdr:col>7</xdr:col>
      <xdr:colOff>449056</xdr:colOff>
      <xdr:row>20</xdr:row>
      <xdr:rowOff>123516</xdr:rowOff>
    </xdr:to>
    <xdr:sp macro="" textlink="">
      <xdr:nvSpPr>
        <xdr:cNvPr id="23" name="Oval 22">
          <a:extLst>
            <a:ext uri="{FF2B5EF4-FFF2-40B4-BE49-F238E27FC236}">
              <a16:creationId xmlns:a16="http://schemas.microsoft.com/office/drawing/2014/main" id="{9B903431-BF53-4145-B6EF-B0F2D3D17565}"/>
            </a:ext>
          </a:extLst>
        </xdr:cNvPr>
        <xdr:cNvSpPr/>
      </xdr:nvSpPr>
      <xdr:spPr>
        <a:xfrm>
          <a:off x="4067309" y="3009457"/>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385958</xdr:colOff>
      <xdr:row>35</xdr:row>
      <xdr:rowOff>129691</xdr:rowOff>
    </xdr:from>
    <xdr:to>
      <xdr:col>7</xdr:col>
      <xdr:colOff>449056</xdr:colOff>
      <xdr:row>39</xdr:row>
      <xdr:rowOff>93827</xdr:rowOff>
    </xdr:to>
    <xdr:sp macro="" textlink="">
      <xdr:nvSpPr>
        <xdr:cNvPr id="24" name="Oval 23">
          <a:extLst>
            <a:ext uri="{FF2B5EF4-FFF2-40B4-BE49-F238E27FC236}">
              <a16:creationId xmlns:a16="http://schemas.microsoft.com/office/drawing/2014/main" id="{88D8878B-16F8-4394-9EA6-41A762193D9E}"/>
            </a:ext>
          </a:extLst>
        </xdr:cNvPr>
        <xdr:cNvSpPr/>
      </xdr:nvSpPr>
      <xdr:spPr>
        <a:xfrm>
          <a:off x="4067309" y="636423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4</xdr:col>
      <xdr:colOff>320266</xdr:colOff>
      <xdr:row>20</xdr:row>
      <xdr:rowOff>24422</xdr:rowOff>
    </xdr:from>
    <xdr:to>
      <xdr:col>6</xdr:col>
      <xdr:colOff>485052</xdr:colOff>
      <xdr:row>26</xdr:row>
      <xdr:rowOff>154563</xdr:rowOff>
    </xdr:to>
    <xdr:cxnSp macro="">
      <xdr:nvCxnSpPr>
        <xdr:cNvPr id="26" name="Straight Connector 25">
          <a:extLst>
            <a:ext uri="{FF2B5EF4-FFF2-40B4-BE49-F238E27FC236}">
              <a16:creationId xmlns:a16="http://schemas.microsoft.com/office/drawing/2014/main" id="{D4537181-F601-42B3-AF70-690663F241CE}"/>
            </a:ext>
          </a:extLst>
        </xdr:cNvPr>
        <xdr:cNvCxnSpPr>
          <a:stCxn id="20" idx="7"/>
          <a:endCxn id="23" idx="3"/>
        </xdr:cNvCxnSpPr>
      </xdr:nvCxnSpPr>
      <xdr:spPr>
        <a:xfrm flipV="1">
          <a:off x="2774500" y="3587019"/>
          <a:ext cx="1391903" cy="1198921"/>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320266</xdr:colOff>
      <xdr:row>29</xdr:row>
      <xdr:rowOff>98642</xdr:rowOff>
    </xdr:from>
    <xdr:to>
      <xdr:col>6</xdr:col>
      <xdr:colOff>485052</xdr:colOff>
      <xdr:row>36</xdr:row>
      <xdr:rowOff>50655</xdr:rowOff>
    </xdr:to>
    <xdr:cxnSp macro="">
      <xdr:nvCxnSpPr>
        <xdr:cNvPr id="27" name="Straight Connector 26">
          <a:extLst>
            <a:ext uri="{FF2B5EF4-FFF2-40B4-BE49-F238E27FC236}">
              <a16:creationId xmlns:a16="http://schemas.microsoft.com/office/drawing/2014/main" id="{BAC0AB60-FD5E-4C50-A8A3-F8021CE6385F}"/>
            </a:ext>
          </a:extLst>
        </xdr:cNvPr>
        <xdr:cNvCxnSpPr>
          <a:stCxn id="20" idx="5"/>
          <a:endCxn id="24" idx="1"/>
        </xdr:cNvCxnSpPr>
      </xdr:nvCxnSpPr>
      <xdr:spPr>
        <a:xfrm>
          <a:off x="2774500" y="5264408"/>
          <a:ext cx="1391903" cy="1198922"/>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110728</xdr:colOff>
      <xdr:row>20</xdr:row>
      <xdr:rowOff>123516</xdr:rowOff>
    </xdr:from>
    <xdr:to>
      <xdr:col>7</xdr:col>
      <xdr:colOff>110728</xdr:colOff>
      <xdr:row>26</xdr:row>
      <xdr:rowOff>55469</xdr:rowOff>
    </xdr:to>
    <xdr:cxnSp macro="">
      <xdr:nvCxnSpPr>
        <xdr:cNvPr id="30" name="Straight Connector 29">
          <a:extLst>
            <a:ext uri="{FF2B5EF4-FFF2-40B4-BE49-F238E27FC236}">
              <a16:creationId xmlns:a16="http://schemas.microsoft.com/office/drawing/2014/main" id="{2B66C237-2005-4B0C-AA59-0F82EC408912}"/>
            </a:ext>
          </a:extLst>
        </xdr:cNvPr>
        <xdr:cNvCxnSpPr>
          <a:stCxn id="23" idx="4"/>
          <a:endCxn id="22" idx="0"/>
        </xdr:cNvCxnSpPr>
      </xdr:nvCxnSpPr>
      <xdr:spPr>
        <a:xfrm>
          <a:off x="4405637" y="3686113"/>
          <a:ext cx="0" cy="1000733"/>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110728</xdr:colOff>
      <xdr:row>30</xdr:row>
      <xdr:rowOff>19606</xdr:rowOff>
    </xdr:from>
    <xdr:to>
      <xdr:col>7</xdr:col>
      <xdr:colOff>110728</xdr:colOff>
      <xdr:row>35</xdr:row>
      <xdr:rowOff>129691</xdr:rowOff>
    </xdr:to>
    <xdr:cxnSp macro="">
      <xdr:nvCxnSpPr>
        <xdr:cNvPr id="33" name="Straight Connector 32">
          <a:extLst>
            <a:ext uri="{FF2B5EF4-FFF2-40B4-BE49-F238E27FC236}">
              <a16:creationId xmlns:a16="http://schemas.microsoft.com/office/drawing/2014/main" id="{CFA090C2-0C71-4E49-88C5-97B106E8617E}"/>
            </a:ext>
          </a:extLst>
        </xdr:cNvPr>
        <xdr:cNvCxnSpPr>
          <a:stCxn id="22" idx="4"/>
          <a:endCxn id="24" idx="0"/>
        </xdr:cNvCxnSpPr>
      </xdr:nvCxnSpPr>
      <xdr:spPr>
        <a:xfrm>
          <a:off x="4405637" y="5363502"/>
          <a:ext cx="0" cy="100073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188037</xdr:colOff>
      <xdr:row>26</xdr:row>
      <xdr:rowOff>55469</xdr:rowOff>
    </xdr:from>
    <xdr:to>
      <xdr:col>12</xdr:col>
      <xdr:colOff>251135</xdr:colOff>
      <xdr:row>30</xdr:row>
      <xdr:rowOff>19606</xdr:rowOff>
    </xdr:to>
    <xdr:sp macro="" textlink="">
      <xdr:nvSpPr>
        <xdr:cNvPr id="41" name="Oval 40">
          <a:extLst>
            <a:ext uri="{FF2B5EF4-FFF2-40B4-BE49-F238E27FC236}">
              <a16:creationId xmlns:a16="http://schemas.microsoft.com/office/drawing/2014/main" id="{1D327DC1-6455-4E32-9BB5-242D98E224E6}"/>
            </a:ext>
          </a:extLst>
        </xdr:cNvPr>
        <xdr:cNvSpPr/>
      </xdr:nvSpPr>
      <xdr:spPr>
        <a:xfrm>
          <a:off x="6937180" y="468684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349962</xdr:colOff>
      <xdr:row>22</xdr:row>
      <xdr:rowOff>172864</xdr:rowOff>
    </xdr:from>
    <xdr:to>
      <xdr:col>9</xdr:col>
      <xdr:colOff>198066</xdr:colOff>
      <xdr:row>26</xdr:row>
      <xdr:rowOff>154563</xdr:rowOff>
    </xdr:to>
    <xdr:cxnSp macro="">
      <xdr:nvCxnSpPr>
        <xdr:cNvPr id="42" name="Straight Connector 41">
          <a:extLst>
            <a:ext uri="{FF2B5EF4-FFF2-40B4-BE49-F238E27FC236}">
              <a16:creationId xmlns:a16="http://schemas.microsoft.com/office/drawing/2014/main" id="{47308D90-B736-47C5-8F7C-476D70B32550}"/>
            </a:ext>
          </a:extLst>
        </xdr:cNvPr>
        <xdr:cNvCxnSpPr>
          <a:stCxn id="22" idx="7"/>
          <a:endCxn id="49" idx="3"/>
        </xdr:cNvCxnSpPr>
      </xdr:nvCxnSpPr>
      <xdr:spPr>
        <a:xfrm flipV="1">
          <a:off x="4644871" y="4091721"/>
          <a:ext cx="1075221" cy="694219"/>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98972</xdr:colOff>
      <xdr:row>19</xdr:row>
      <xdr:rowOff>129691</xdr:rowOff>
    </xdr:from>
    <xdr:to>
      <xdr:col>10</xdr:col>
      <xdr:colOff>162070</xdr:colOff>
      <xdr:row>23</xdr:row>
      <xdr:rowOff>93828</xdr:rowOff>
    </xdr:to>
    <xdr:sp macro="" textlink="">
      <xdr:nvSpPr>
        <xdr:cNvPr id="49" name="Oval 48">
          <a:extLst>
            <a:ext uri="{FF2B5EF4-FFF2-40B4-BE49-F238E27FC236}">
              <a16:creationId xmlns:a16="http://schemas.microsoft.com/office/drawing/2014/main" id="{50CEEBB7-9B81-4DDD-B89E-DA6232699E76}"/>
            </a:ext>
          </a:extLst>
        </xdr:cNvPr>
        <xdr:cNvSpPr/>
      </xdr:nvSpPr>
      <xdr:spPr>
        <a:xfrm>
          <a:off x="5620998" y="3514159"/>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98972</xdr:colOff>
      <xdr:row>32</xdr:row>
      <xdr:rowOff>100002</xdr:rowOff>
    </xdr:from>
    <xdr:to>
      <xdr:col>10</xdr:col>
      <xdr:colOff>162070</xdr:colOff>
      <xdr:row>36</xdr:row>
      <xdr:rowOff>64139</xdr:rowOff>
    </xdr:to>
    <xdr:sp macro="" textlink="">
      <xdr:nvSpPr>
        <xdr:cNvPr id="52" name="Oval 51">
          <a:extLst>
            <a:ext uri="{FF2B5EF4-FFF2-40B4-BE49-F238E27FC236}">
              <a16:creationId xmlns:a16="http://schemas.microsoft.com/office/drawing/2014/main" id="{1D66BFD3-1D78-4C1C-8AE7-74B8EDC5CE0B}"/>
            </a:ext>
          </a:extLst>
        </xdr:cNvPr>
        <xdr:cNvSpPr/>
      </xdr:nvSpPr>
      <xdr:spPr>
        <a:xfrm>
          <a:off x="5620998" y="5800158"/>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349962</xdr:colOff>
      <xdr:row>29</xdr:row>
      <xdr:rowOff>98642</xdr:rowOff>
    </xdr:from>
    <xdr:to>
      <xdr:col>9</xdr:col>
      <xdr:colOff>198066</xdr:colOff>
      <xdr:row>33</xdr:row>
      <xdr:rowOff>20966</xdr:rowOff>
    </xdr:to>
    <xdr:cxnSp macro="">
      <xdr:nvCxnSpPr>
        <xdr:cNvPr id="53" name="Straight Connector 52">
          <a:extLst>
            <a:ext uri="{FF2B5EF4-FFF2-40B4-BE49-F238E27FC236}">
              <a16:creationId xmlns:a16="http://schemas.microsoft.com/office/drawing/2014/main" id="{CE2A5514-1F0B-4A91-BA6C-05822E83F054}"/>
            </a:ext>
          </a:extLst>
        </xdr:cNvPr>
        <xdr:cNvCxnSpPr>
          <a:stCxn id="22" idx="5"/>
          <a:endCxn id="52" idx="1"/>
        </xdr:cNvCxnSpPr>
      </xdr:nvCxnSpPr>
      <xdr:spPr>
        <a:xfrm>
          <a:off x="4644871" y="5264408"/>
          <a:ext cx="1075221" cy="63484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449056</xdr:colOff>
      <xdr:row>28</xdr:row>
      <xdr:rowOff>37538</xdr:rowOff>
    </xdr:from>
    <xdr:to>
      <xdr:col>11</xdr:col>
      <xdr:colOff>188037</xdr:colOff>
      <xdr:row>28</xdr:row>
      <xdr:rowOff>37538</xdr:rowOff>
    </xdr:to>
    <xdr:cxnSp macro="">
      <xdr:nvCxnSpPr>
        <xdr:cNvPr id="56" name="Straight Connector 55">
          <a:extLst>
            <a:ext uri="{FF2B5EF4-FFF2-40B4-BE49-F238E27FC236}">
              <a16:creationId xmlns:a16="http://schemas.microsoft.com/office/drawing/2014/main" id="{BD6ECD0E-AE73-409C-89EE-4B5D9E78C5D1}"/>
            </a:ext>
          </a:extLst>
        </xdr:cNvPr>
        <xdr:cNvCxnSpPr>
          <a:stCxn id="22" idx="6"/>
          <a:endCxn id="41" idx="2"/>
        </xdr:cNvCxnSpPr>
      </xdr:nvCxnSpPr>
      <xdr:spPr>
        <a:xfrm>
          <a:off x="4743965" y="5025174"/>
          <a:ext cx="2193215" cy="0"/>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62976</xdr:colOff>
      <xdr:row>22</xdr:row>
      <xdr:rowOff>172864</xdr:rowOff>
    </xdr:from>
    <xdr:to>
      <xdr:col>11</xdr:col>
      <xdr:colOff>287131</xdr:colOff>
      <xdr:row>26</xdr:row>
      <xdr:rowOff>154563</xdr:rowOff>
    </xdr:to>
    <xdr:cxnSp macro="">
      <xdr:nvCxnSpPr>
        <xdr:cNvPr id="59" name="Straight Connector 58">
          <a:extLst>
            <a:ext uri="{FF2B5EF4-FFF2-40B4-BE49-F238E27FC236}">
              <a16:creationId xmlns:a16="http://schemas.microsoft.com/office/drawing/2014/main" id="{0C804C94-E421-4250-A301-DF135AFBEDD2}"/>
            </a:ext>
          </a:extLst>
        </xdr:cNvPr>
        <xdr:cNvCxnSpPr>
          <a:stCxn id="49" idx="5"/>
          <a:endCxn id="41" idx="1"/>
        </xdr:cNvCxnSpPr>
      </xdr:nvCxnSpPr>
      <xdr:spPr>
        <a:xfrm>
          <a:off x="6198560" y="4091721"/>
          <a:ext cx="837714" cy="694219"/>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62976</xdr:colOff>
      <xdr:row>29</xdr:row>
      <xdr:rowOff>98642</xdr:rowOff>
    </xdr:from>
    <xdr:to>
      <xdr:col>11</xdr:col>
      <xdr:colOff>287131</xdr:colOff>
      <xdr:row>33</xdr:row>
      <xdr:rowOff>20966</xdr:rowOff>
    </xdr:to>
    <xdr:cxnSp macro="">
      <xdr:nvCxnSpPr>
        <xdr:cNvPr id="62" name="Straight Connector 61">
          <a:extLst>
            <a:ext uri="{FF2B5EF4-FFF2-40B4-BE49-F238E27FC236}">
              <a16:creationId xmlns:a16="http://schemas.microsoft.com/office/drawing/2014/main" id="{AE382864-CD0C-4834-9058-DF49F2D5BB92}"/>
            </a:ext>
          </a:extLst>
        </xdr:cNvPr>
        <xdr:cNvCxnSpPr>
          <a:stCxn id="52" idx="7"/>
          <a:endCxn id="41" idx="3"/>
        </xdr:cNvCxnSpPr>
      </xdr:nvCxnSpPr>
      <xdr:spPr>
        <a:xfrm flipV="1">
          <a:off x="6198560" y="5264408"/>
          <a:ext cx="837714" cy="63484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191625</xdr:colOff>
      <xdr:row>22</xdr:row>
      <xdr:rowOff>172864</xdr:rowOff>
    </xdr:from>
    <xdr:to>
      <xdr:col>14</xdr:col>
      <xdr:colOff>39729</xdr:colOff>
      <xdr:row>26</xdr:row>
      <xdr:rowOff>154564</xdr:rowOff>
    </xdr:to>
    <xdr:cxnSp macro="">
      <xdr:nvCxnSpPr>
        <xdr:cNvPr id="78" name="Straight Connector 77">
          <a:extLst>
            <a:ext uri="{FF2B5EF4-FFF2-40B4-BE49-F238E27FC236}">
              <a16:creationId xmlns:a16="http://schemas.microsoft.com/office/drawing/2014/main" id="{8F1539B2-D321-45D6-AF96-4F2CD618E7BD}"/>
            </a:ext>
          </a:extLst>
        </xdr:cNvPr>
        <xdr:cNvCxnSpPr>
          <a:endCxn id="79" idx="3"/>
        </xdr:cNvCxnSpPr>
      </xdr:nvCxnSpPr>
      <xdr:spPr>
        <a:xfrm flipV="1">
          <a:off x="7554326" y="4091721"/>
          <a:ext cx="1075221" cy="694220"/>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554193</xdr:colOff>
      <xdr:row>19</xdr:row>
      <xdr:rowOff>129691</xdr:rowOff>
    </xdr:from>
    <xdr:to>
      <xdr:col>15</xdr:col>
      <xdr:colOff>3732</xdr:colOff>
      <xdr:row>23</xdr:row>
      <xdr:rowOff>93828</xdr:rowOff>
    </xdr:to>
    <xdr:sp macro="" textlink="">
      <xdr:nvSpPr>
        <xdr:cNvPr id="79" name="Oval 78">
          <a:extLst>
            <a:ext uri="{FF2B5EF4-FFF2-40B4-BE49-F238E27FC236}">
              <a16:creationId xmlns:a16="http://schemas.microsoft.com/office/drawing/2014/main" id="{F618034B-F580-4D45-94A9-DDB1A99677AD}"/>
            </a:ext>
          </a:extLst>
        </xdr:cNvPr>
        <xdr:cNvSpPr/>
      </xdr:nvSpPr>
      <xdr:spPr>
        <a:xfrm>
          <a:off x="8530453" y="3514159"/>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13</xdr:col>
      <xdr:colOff>554193</xdr:colOff>
      <xdr:row>32</xdr:row>
      <xdr:rowOff>100002</xdr:rowOff>
    </xdr:from>
    <xdr:to>
      <xdr:col>15</xdr:col>
      <xdr:colOff>3732</xdr:colOff>
      <xdr:row>36</xdr:row>
      <xdr:rowOff>64139</xdr:rowOff>
    </xdr:to>
    <xdr:sp macro="" textlink="">
      <xdr:nvSpPr>
        <xdr:cNvPr id="80" name="Oval 79">
          <a:extLst>
            <a:ext uri="{FF2B5EF4-FFF2-40B4-BE49-F238E27FC236}">
              <a16:creationId xmlns:a16="http://schemas.microsoft.com/office/drawing/2014/main" id="{8868F01A-3DC2-4F94-BEE3-B0632A08ED6A}"/>
            </a:ext>
          </a:extLst>
        </xdr:cNvPr>
        <xdr:cNvSpPr/>
      </xdr:nvSpPr>
      <xdr:spPr>
        <a:xfrm>
          <a:off x="8530453" y="5800158"/>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12</xdr:col>
      <xdr:colOff>152041</xdr:colOff>
      <xdr:row>29</xdr:row>
      <xdr:rowOff>98642</xdr:rowOff>
    </xdr:from>
    <xdr:to>
      <xdr:col>14</xdr:col>
      <xdr:colOff>39729</xdr:colOff>
      <xdr:row>33</xdr:row>
      <xdr:rowOff>20966</xdr:rowOff>
    </xdr:to>
    <xdr:cxnSp macro="">
      <xdr:nvCxnSpPr>
        <xdr:cNvPr id="81" name="Straight Connector 80">
          <a:extLst>
            <a:ext uri="{FF2B5EF4-FFF2-40B4-BE49-F238E27FC236}">
              <a16:creationId xmlns:a16="http://schemas.microsoft.com/office/drawing/2014/main" id="{68A3F1A2-21AB-48BE-AA04-E869C02A21EF}"/>
            </a:ext>
          </a:extLst>
        </xdr:cNvPr>
        <xdr:cNvCxnSpPr>
          <a:stCxn id="41" idx="5"/>
          <a:endCxn id="80" idx="1"/>
        </xdr:cNvCxnSpPr>
      </xdr:nvCxnSpPr>
      <xdr:spPr>
        <a:xfrm>
          <a:off x="7514742" y="5264408"/>
          <a:ext cx="1114805" cy="63484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277091</xdr:colOff>
      <xdr:row>30</xdr:row>
      <xdr:rowOff>149513</xdr:rowOff>
    </xdr:from>
    <xdr:to>
      <xdr:col>5</xdr:col>
      <xdr:colOff>0</xdr:colOff>
      <xdr:row>32</xdr:row>
      <xdr:rowOff>46974</xdr:rowOff>
    </xdr:to>
    <xdr:sp macro="" textlink="">
      <xdr:nvSpPr>
        <xdr:cNvPr id="84" name="TextBox 83">
          <a:extLst>
            <a:ext uri="{FF2B5EF4-FFF2-40B4-BE49-F238E27FC236}">
              <a16:creationId xmlns:a16="http://schemas.microsoft.com/office/drawing/2014/main" id="{3853A750-F547-45D8-A9F9-B38AE9BC25FF}"/>
            </a:ext>
          </a:extLst>
        </xdr:cNvPr>
        <xdr:cNvSpPr txBox="1"/>
      </xdr:nvSpPr>
      <xdr:spPr>
        <a:xfrm>
          <a:off x="2105891" y="5600744"/>
          <a:ext cx="942109" cy="260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Customers</a:t>
          </a:r>
        </a:p>
      </xdr:txBody>
    </xdr:sp>
    <xdr:clientData/>
  </xdr:twoCellAnchor>
  <xdr:twoCellAnchor editAs="absolute">
    <xdr:from>
      <xdr:col>6</xdr:col>
      <xdr:colOff>419594</xdr:colOff>
      <xdr:row>15</xdr:row>
      <xdr:rowOff>23750</xdr:rowOff>
    </xdr:from>
    <xdr:to>
      <xdr:col>8</xdr:col>
      <xdr:colOff>142503</xdr:colOff>
      <xdr:row>16</xdr:row>
      <xdr:rowOff>102919</xdr:rowOff>
    </xdr:to>
    <xdr:sp macro="" textlink="">
      <xdr:nvSpPr>
        <xdr:cNvPr id="85" name="TextBox 84">
          <a:extLst>
            <a:ext uri="{FF2B5EF4-FFF2-40B4-BE49-F238E27FC236}">
              <a16:creationId xmlns:a16="http://schemas.microsoft.com/office/drawing/2014/main" id="{9E9763D9-D3A8-4B5A-8907-FA160F33D4B2}"/>
            </a:ext>
          </a:extLst>
        </xdr:cNvPr>
        <xdr:cNvSpPr txBox="1"/>
      </xdr:nvSpPr>
      <xdr:spPr>
        <a:xfrm>
          <a:off x="4100945" y="2695698"/>
          <a:ext cx="950026" cy="257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Branches</a:t>
          </a:r>
        </a:p>
      </xdr:txBody>
    </xdr:sp>
    <xdr:clientData/>
  </xdr:twoCellAnchor>
  <xdr:twoCellAnchor editAs="absolute">
    <xdr:from>
      <xdr:col>9</xdr:col>
      <xdr:colOff>7917</xdr:colOff>
      <xdr:row>17</xdr:row>
      <xdr:rowOff>156357</xdr:rowOff>
    </xdr:from>
    <xdr:to>
      <xdr:col>10</xdr:col>
      <xdr:colOff>344385</xdr:colOff>
      <xdr:row>19</xdr:row>
      <xdr:rowOff>57396</xdr:rowOff>
    </xdr:to>
    <xdr:sp macro="" textlink="">
      <xdr:nvSpPr>
        <xdr:cNvPr id="86" name="TextBox 85">
          <a:extLst>
            <a:ext uri="{FF2B5EF4-FFF2-40B4-BE49-F238E27FC236}">
              <a16:creationId xmlns:a16="http://schemas.microsoft.com/office/drawing/2014/main" id="{1C54ABED-DA39-4619-B929-8F79442FB7CE}"/>
            </a:ext>
          </a:extLst>
        </xdr:cNvPr>
        <xdr:cNvSpPr txBox="1"/>
      </xdr:nvSpPr>
      <xdr:spPr>
        <a:xfrm>
          <a:off x="5529943" y="3184565"/>
          <a:ext cx="950026" cy="257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Credit Cards</a:t>
          </a:r>
        </a:p>
      </xdr:txBody>
    </xdr:sp>
    <xdr:clientData/>
  </xdr:twoCellAnchor>
  <xdr:twoCellAnchor editAs="absolute">
    <xdr:from>
      <xdr:col>9</xdr:col>
      <xdr:colOff>205839</xdr:colOff>
      <xdr:row>36</xdr:row>
      <xdr:rowOff>158199</xdr:rowOff>
    </xdr:from>
    <xdr:to>
      <xdr:col>10</xdr:col>
      <xdr:colOff>542307</xdr:colOff>
      <xdr:row>38</xdr:row>
      <xdr:rowOff>59238</xdr:rowOff>
    </xdr:to>
    <xdr:sp macro="" textlink="">
      <xdr:nvSpPr>
        <xdr:cNvPr id="87" name="TextBox 86">
          <a:extLst>
            <a:ext uri="{FF2B5EF4-FFF2-40B4-BE49-F238E27FC236}">
              <a16:creationId xmlns:a16="http://schemas.microsoft.com/office/drawing/2014/main" id="{0070A461-BE99-46DE-AC4C-0D586E8A3705}"/>
            </a:ext>
          </a:extLst>
        </xdr:cNvPr>
        <xdr:cNvSpPr txBox="1"/>
      </xdr:nvSpPr>
      <xdr:spPr>
        <a:xfrm>
          <a:off x="5692239" y="6779716"/>
          <a:ext cx="946068" cy="26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Cash</a:t>
          </a:r>
        </a:p>
      </xdr:txBody>
    </xdr:sp>
    <xdr:clientData/>
  </xdr:twoCellAnchor>
  <xdr:twoCellAnchor editAs="absolute">
    <xdr:from>
      <xdr:col>13</xdr:col>
      <xdr:colOff>403760</xdr:colOff>
      <xdr:row>37</xdr:row>
      <xdr:rowOff>85580</xdr:rowOff>
    </xdr:from>
    <xdr:to>
      <xdr:col>15</xdr:col>
      <xdr:colOff>484909</xdr:colOff>
      <xdr:row>40</xdr:row>
      <xdr:rowOff>14192</xdr:rowOff>
    </xdr:to>
    <xdr:sp macro="" textlink="">
      <xdr:nvSpPr>
        <xdr:cNvPr id="88" name="TextBox 87">
          <a:extLst>
            <a:ext uri="{FF2B5EF4-FFF2-40B4-BE49-F238E27FC236}">
              <a16:creationId xmlns:a16="http://schemas.microsoft.com/office/drawing/2014/main" id="{537E6D0C-1F59-4EDB-A8D8-C0212FA268D2}"/>
            </a:ext>
          </a:extLst>
        </xdr:cNvPr>
        <xdr:cNvSpPr txBox="1"/>
      </xdr:nvSpPr>
      <xdr:spPr>
        <a:xfrm>
          <a:off x="8380020" y="6676385"/>
          <a:ext cx="1308266" cy="4630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Non Registered    Customer Info</a:t>
          </a:r>
        </a:p>
      </xdr:txBody>
    </xdr:sp>
    <xdr:clientData/>
  </xdr:twoCellAnchor>
  <xdr:twoCellAnchor editAs="absolute">
    <xdr:from>
      <xdr:col>13</xdr:col>
      <xdr:colOff>403760</xdr:colOff>
      <xdr:row>16</xdr:row>
      <xdr:rowOff>120799</xdr:rowOff>
    </xdr:from>
    <xdr:to>
      <xdr:col>15</xdr:col>
      <xdr:colOff>484909</xdr:colOff>
      <xdr:row>19</xdr:row>
      <xdr:rowOff>43610</xdr:rowOff>
    </xdr:to>
    <xdr:sp macro="" textlink="">
      <xdr:nvSpPr>
        <xdr:cNvPr id="89" name="TextBox 88">
          <a:extLst>
            <a:ext uri="{FF2B5EF4-FFF2-40B4-BE49-F238E27FC236}">
              <a16:creationId xmlns:a16="http://schemas.microsoft.com/office/drawing/2014/main" id="{6C3383AC-793F-43A2-A367-C625DA61CD26}"/>
            </a:ext>
          </a:extLst>
        </xdr:cNvPr>
        <xdr:cNvSpPr txBox="1"/>
      </xdr:nvSpPr>
      <xdr:spPr>
        <a:xfrm>
          <a:off x="8328560" y="3063696"/>
          <a:ext cx="1300349" cy="474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  Registered Customer Info</a:t>
          </a:r>
        </a:p>
      </xdr:txBody>
    </xdr:sp>
    <xdr:clientData/>
  </xdr:twoCellAnchor>
  <xdr:twoCellAnchor editAs="absolute">
    <xdr:from>
      <xdr:col>17</xdr:col>
      <xdr:colOff>482930</xdr:colOff>
      <xdr:row>22</xdr:row>
      <xdr:rowOff>107257</xdr:rowOff>
    </xdr:from>
    <xdr:to>
      <xdr:col>19</xdr:col>
      <xdr:colOff>205840</xdr:colOff>
      <xdr:row>24</xdr:row>
      <xdr:rowOff>8297</xdr:rowOff>
    </xdr:to>
    <xdr:sp macro="" textlink="">
      <xdr:nvSpPr>
        <xdr:cNvPr id="90" name="TextBox 89">
          <a:extLst>
            <a:ext uri="{FF2B5EF4-FFF2-40B4-BE49-F238E27FC236}">
              <a16:creationId xmlns:a16="http://schemas.microsoft.com/office/drawing/2014/main" id="{A7A8C454-EF7F-41D9-8858-3CE3653726A6}"/>
            </a:ext>
          </a:extLst>
        </xdr:cNvPr>
        <xdr:cNvSpPr txBox="1"/>
      </xdr:nvSpPr>
      <xdr:spPr>
        <a:xfrm>
          <a:off x="10846130" y="4104826"/>
          <a:ext cx="942110" cy="264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Paid Orders</a:t>
          </a:r>
        </a:p>
      </xdr:txBody>
    </xdr:sp>
    <xdr:clientData/>
  </xdr:twoCellAnchor>
  <xdr:twoCellAnchor editAs="absolute">
    <xdr:from>
      <xdr:col>6</xdr:col>
      <xdr:colOff>419594</xdr:colOff>
      <xdr:row>39</xdr:row>
      <xdr:rowOff>159496</xdr:rowOff>
    </xdr:from>
    <xdr:to>
      <xdr:col>8</xdr:col>
      <xdr:colOff>142503</xdr:colOff>
      <xdr:row>41</xdr:row>
      <xdr:rowOff>60535</xdr:rowOff>
    </xdr:to>
    <xdr:sp macro="" textlink="">
      <xdr:nvSpPr>
        <xdr:cNvPr id="91" name="TextBox 90">
          <a:extLst>
            <a:ext uri="{FF2B5EF4-FFF2-40B4-BE49-F238E27FC236}">
              <a16:creationId xmlns:a16="http://schemas.microsoft.com/office/drawing/2014/main" id="{3D36D188-3F7C-42AE-8A83-329AA8D2D619}"/>
            </a:ext>
          </a:extLst>
        </xdr:cNvPr>
        <xdr:cNvSpPr txBox="1"/>
      </xdr:nvSpPr>
      <xdr:spPr>
        <a:xfrm>
          <a:off x="4077194" y="7332806"/>
          <a:ext cx="942109" cy="26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Website</a:t>
          </a:r>
        </a:p>
      </xdr:txBody>
    </xdr:sp>
    <xdr:clientData/>
  </xdr:twoCellAnchor>
  <xdr:twoCellAnchor editAs="absolute">
    <xdr:from>
      <xdr:col>18</xdr:col>
      <xdr:colOff>138545</xdr:colOff>
      <xdr:row>27</xdr:row>
      <xdr:rowOff>93741</xdr:rowOff>
    </xdr:from>
    <xdr:to>
      <xdr:col>18</xdr:col>
      <xdr:colOff>476873</xdr:colOff>
      <xdr:row>29</xdr:row>
      <xdr:rowOff>75809</xdr:rowOff>
    </xdr:to>
    <xdr:pic>
      <xdr:nvPicPr>
        <xdr:cNvPr id="103" name="Picture 102">
          <a:extLst>
            <a:ext uri="{FF2B5EF4-FFF2-40B4-BE49-F238E27FC236}">
              <a16:creationId xmlns:a16="http://schemas.microsoft.com/office/drawing/2014/main" id="{A8C921D2-B8A1-422E-A9F5-3B91DACA39F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182597" y="4903247"/>
          <a:ext cx="338328" cy="338328"/>
        </a:xfrm>
        <a:prstGeom prst="rect">
          <a:avLst/>
        </a:prstGeom>
      </xdr:spPr>
    </xdr:pic>
    <xdr:clientData/>
  </xdr:twoCellAnchor>
  <xdr:twoCellAnchor editAs="absolute">
    <xdr:from>
      <xdr:col>14</xdr:col>
      <xdr:colOff>109799</xdr:colOff>
      <xdr:row>33</xdr:row>
      <xdr:rowOff>140103</xdr:rowOff>
    </xdr:from>
    <xdr:to>
      <xdr:col>14</xdr:col>
      <xdr:colOff>448127</xdr:colOff>
      <xdr:row>35</xdr:row>
      <xdr:rowOff>122172</xdr:rowOff>
    </xdr:to>
    <xdr:pic>
      <xdr:nvPicPr>
        <xdr:cNvPr id="105" name="Picture 104">
          <a:extLst>
            <a:ext uri="{FF2B5EF4-FFF2-40B4-BE49-F238E27FC236}">
              <a16:creationId xmlns:a16="http://schemas.microsoft.com/office/drawing/2014/main" id="{344EE1C1-7759-4567-8270-1E6C1D03BF2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699617" y="6018389"/>
          <a:ext cx="338328" cy="338328"/>
        </a:xfrm>
        <a:prstGeom prst="rect">
          <a:avLst/>
        </a:prstGeom>
      </xdr:spPr>
    </xdr:pic>
    <xdr:clientData/>
  </xdr:twoCellAnchor>
  <xdr:twoCellAnchor editAs="absolute">
    <xdr:from>
      <xdr:col>9</xdr:col>
      <xdr:colOff>268136</xdr:colOff>
      <xdr:row>20</xdr:row>
      <xdr:rowOff>121871</xdr:rowOff>
    </xdr:from>
    <xdr:to>
      <xdr:col>9</xdr:col>
      <xdr:colOff>606464</xdr:colOff>
      <xdr:row>22</xdr:row>
      <xdr:rowOff>103939</xdr:rowOff>
    </xdr:to>
    <xdr:pic>
      <xdr:nvPicPr>
        <xdr:cNvPr id="107" name="Picture 106">
          <a:extLst>
            <a:ext uri="{FF2B5EF4-FFF2-40B4-BE49-F238E27FC236}">
              <a16:creationId xmlns:a16="http://schemas.microsoft.com/office/drawing/2014/main" id="{EF71C4F9-6899-4674-83D2-7790DBC8AD3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790162" y="3684468"/>
          <a:ext cx="338328" cy="338328"/>
        </a:xfrm>
        <a:prstGeom prst="rect">
          <a:avLst/>
        </a:prstGeom>
      </xdr:spPr>
    </xdr:pic>
    <xdr:clientData/>
  </xdr:twoCellAnchor>
  <xdr:twoCellAnchor editAs="absolute">
    <xdr:from>
      <xdr:col>11</xdr:col>
      <xdr:colOff>357201</xdr:colOff>
      <xdr:row>27</xdr:row>
      <xdr:rowOff>93741</xdr:rowOff>
    </xdr:from>
    <xdr:to>
      <xdr:col>12</xdr:col>
      <xdr:colOff>81971</xdr:colOff>
      <xdr:row>29</xdr:row>
      <xdr:rowOff>75809</xdr:rowOff>
    </xdr:to>
    <xdr:pic>
      <xdr:nvPicPr>
        <xdr:cNvPr id="109" name="Picture 108">
          <a:extLst>
            <a:ext uri="{FF2B5EF4-FFF2-40B4-BE49-F238E27FC236}">
              <a16:creationId xmlns:a16="http://schemas.microsoft.com/office/drawing/2014/main" id="{D9FADEC3-3514-49FA-ADC7-D833C21872E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106344" y="4903247"/>
          <a:ext cx="338328" cy="338328"/>
        </a:xfrm>
        <a:prstGeom prst="rect">
          <a:avLst/>
        </a:prstGeom>
      </xdr:spPr>
    </xdr:pic>
    <xdr:clientData/>
  </xdr:twoCellAnchor>
  <xdr:twoCellAnchor editAs="absolute">
    <xdr:from>
      <xdr:col>6</xdr:col>
      <xdr:colOff>555122</xdr:colOff>
      <xdr:row>17</xdr:row>
      <xdr:rowOff>164572</xdr:rowOff>
    </xdr:from>
    <xdr:to>
      <xdr:col>7</xdr:col>
      <xdr:colOff>279892</xdr:colOff>
      <xdr:row>19</xdr:row>
      <xdr:rowOff>146640</xdr:rowOff>
    </xdr:to>
    <xdr:pic>
      <xdr:nvPicPr>
        <xdr:cNvPr id="111" name="Picture 110">
          <a:extLst>
            <a:ext uri="{FF2B5EF4-FFF2-40B4-BE49-F238E27FC236}">
              <a16:creationId xmlns:a16="http://schemas.microsoft.com/office/drawing/2014/main" id="{5DAF3785-DC1B-43DF-915D-87AC5F97E75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236473" y="3192780"/>
          <a:ext cx="338328" cy="338328"/>
        </a:xfrm>
        <a:prstGeom prst="rect">
          <a:avLst/>
        </a:prstGeom>
      </xdr:spPr>
    </xdr:pic>
    <xdr:clientData/>
  </xdr:twoCellAnchor>
  <xdr:twoCellAnchor editAs="absolute">
    <xdr:from>
      <xdr:col>6</xdr:col>
      <xdr:colOff>555122</xdr:colOff>
      <xdr:row>37</xdr:row>
      <xdr:rowOff>1</xdr:rowOff>
    </xdr:from>
    <xdr:to>
      <xdr:col>7</xdr:col>
      <xdr:colOff>279892</xdr:colOff>
      <xdr:row>38</xdr:row>
      <xdr:rowOff>160199</xdr:rowOff>
    </xdr:to>
    <xdr:pic>
      <xdr:nvPicPr>
        <xdr:cNvPr id="113" name="Picture 112">
          <a:extLst>
            <a:ext uri="{FF2B5EF4-FFF2-40B4-BE49-F238E27FC236}">
              <a16:creationId xmlns:a16="http://schemas.microsoft.com/office/drawing/2014/main" id="{BA5EFAEB-19D2-43DC-AEF8-BFB7976F219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236473" y="6590806"/>
          <a:ext cx="338328" cy="338328"/>
        </a:xfrm>
        <a:prstGeom prst="rect">
          <a:avLst/>
        </a:prstGeom>
      </xdr:spPr>
    </xdr:pic>
    <xdr:clientData/>
  </xdr:twoCellAnchor>
  <xdr:twoCellAnchor editAs="absolute">
    <xdr:from>
      <xdr:col>6</xdr:col>
      <xdr:colOff>555122</xdr:colOff>
      <xdr:row>27</xdr:row>
      <xdr:rowOff>80728</xdr:rowOff>
    </xdr:from>
    <xdr:to>
      <xdr:col>7</xdr:col>
      <xdr:colOff>279892</xdr:colOff>
      <xdr:row>29</xdr:row>
      <xdr:rowOff>62796</xdr:rowOff>
    </xdr:to>
    <xdr:pic>
      <xdr:nvPicPr>
        <xdr:cNvPr id="115" name="Picture 114">
          <a:extLst>
            <a:ext uri="{FF2B5EF4-FFF2-40B4-BE49-F238E27FC236}">
              <a16:creationId xmlns:a16="http://schemas.microsoft.com/office/drawing/2014/main" id="{B24C68B0-741C-4F0D-9850-7D262714A23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236473" y="4890234"/>
          <a:ext cx="338328" cy="338328"/>
        </a:xfrm>
        <a:prstGeom prst="rect">
          <a:avLst/>
        </a:prstGeom>
      </xdr:spPr>
    </xdr:pic>
    <xdr:clientData/>
  </xdr:twoCellAnchor>
  <xdr:twoCellAnchor editAs="absolute">
    <xdr:from>
      <xdr:col>9</xdr:col>
      <xdr:colOff>268136</xdr:colOff>
      <xdr:row>33</xdr:row>
      <xdr:rowOff>111974</xdr:rowOff>
    </xdr:from>
    <xdr:to>
      <xdr:col>9</xdr:col>
      <xdr:colOff>606464</xdr:colOff>
      <xdr:row>35</xdr:row>
      <xdr:rowOff>94043</xdr:rowOff>
    </xdr:to>
    <xdr:pic>
      <xdr:nvPicPr>
        <xdr:cNvPr id="117" name="Picture 116">
          <a:extLst>
            <a:ext uri="{FF2B5EF4-FFF2-40B4-BE49-F238E27FC236}">
              <a16:creationId xmlns:a16="http://schemas.microsoft.com/office/drawing/2014/main" id="{A66B78FC-C198-4B37-8D69-F1C310C4074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790162" y="5990260"/>
          <a:ext cx="338328" cy="338328"/>
        </a:xfrm>
        <a:prstGeom prst="rect">
          <a:avLst/>
        </a:prstGeom>
      </xdr:spPr>
    </xdr:pic>
    <xdr:clientData/>
  </xdr:twoCellAnchor>
  <xdr:twoCellAnchor editAs="absolute">
    <xdr:from>
      <xdr:col>14</xdr:col>
      <xdr:colOff>109799</xdr:colOff>
      <xdr:row>20</xdr:row>
      <xdr:rowOff>133326</xdr:rowOff>
    </xdr:from>
    <xdr:to>
      <xdr:col>14</xdr:col>
      <xdr:colOff>448127</xdr:colOff>
      <xdr:row>22</xdr:row>
      <xdr:rowOff>115394</xdr:rowOff>
    </xdr:to>
    <xdr:pic>
      <xdr:nvPicPr>
        <xdr:cNvPr id="119" name="Picture 118">
          <a:extLst>
            <a:ext uri="{FF2B5EF4-FFF2-40B4-BE49-F238E27FC236}">
              <a16:creationId xmlns:a16="http://schemas.microsoft.com/office/drawing/2014/main" id="{6498785D-FC5D-49EB-B04E-EDC4C03F6EE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699617" y="3695923"/>
          <a:ext cx="338328" cy="338328"/>
        </a:xfrm>
        <a:prstGeom prst="rect">
          <a:avLst/>
        </a:prstGeom>
      </xdr:spPr>
    </xdr:pic>
    <xdr:clientData/>
  </xdr:twoCellAnchor>
  <xdr:twoCellAnchor editAs="absolute">
    <xdr:from>
      <xdr:col>3</xdr:col>
      <xdr:colOff>525427</xdr:colOff>
      <xdr:row>27</xdr:row>
      <xdr:rowOff>49482</xdr:rowOff>
    </xdr:from>
    <xdr:to>
      <xdr:col>4</xdr:col>
      <xdr:colOff>250196</xdr:colOff>
      <xdr:row>29</xdr:row>
      <xdr:rowOff>31550</xdr:rowOff>
    </xdr:to>
    <xdr:pic>
      <xdr:nvPicPr>
        <xdr:cNvPr id="121" name="Picture 120">
          <a:extLst>
            <a:ext uri="{FF2B5EF4-FFF2-40B4-BE49-F238E27FC236}">
              <a16:creationId xmlns:a16="http://schemas.microsoft.com/office/drawing/2014/main" id="{89C75062-33ED-4CE9-AB0F-87BEF3AD6F0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366102" y="4858988"/>
          <a:ext cx="338328" cy="338328"/>
        </a:xfrm>
        <a:prstGeom prst="rect">
          <a:avLst/>
        </a:prstGeom>
      </xdr:spPr>
    </xdr:pic>
    <xdr:clientData/>
  </xdr:twoCellAnchor>
  <xdr:twoCellAnchor editAs="absolute">
    <xdr:from>
      <xdr:col>17</xdr:col>
      <xdr:colOff>349943</xdr:colOff>
      <xdr:row>21</xdr:row>
      <xdr:rowOff>132607</xdr:rowOff>
    </xdr:from>
    <xdr:to>
      <xdr:col>19</xdr:col>
      <xdr:colOff>269631</xdr:colOff>
      <xdr:row>31</xdr:row>
      <xdr:rowOff>172496</xdr:rowOff>
    </xdr:to>
    <xdr:sp macro="" textlink="">
      <xdr:nvSpPr>
        <xdr:cNvPr id="125" name="TextBox 124">
          <a:extLst>
            <a:ext uri="{FF2B5EF4-FFF2-40B4-BE49-F238E27FC236}">
              <a16:creationId xmlns:a16="http://schemas.microsoft.com/office/drawing/2014/main" id="{23606249-9754-4231-A611-AEE0B5C88F9D}"/>
            </a:ext>
          </a:extLst>
        </xdr:cNvPr>
        <xdr:cNvSpPr txBox="1"/>
      </xdr:nvSpPr>
      <xdr:spPr>
        <a:xfrm>
          <a:off x="10713143" y="4018807"/>
          <a:ext cx="1138888" cy="1890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7</xdr:col>
      <xdr:colOff>116773</xdr:colOff>
      <xdr:row>20</xdr:row>
      <xdr:rowOff>138546</xdr:rowOff>
    </xdr:from>
    <xdr:to>
      <xdr:col>7</xdr:col>
      <xdr:colOff>135061</xdr:colOff>
      <xdr:row>25</xdr:row>
      <xdr:rowOff>162296</xdr:rowOff>
    </xdr:to>
    <xdr:sp macro="" textlink="Pivottables!G59">
      <xdr:nvSpPr>
        <xdr:cNvPr id="61" name="TextBox 60">
          <a:extLst>
            <a:ext uri="{FF2B5EF4-FFF2-40B4-BE49-F238E27FC236}">
              <a16:creationId xmlns:a16="http://schemas.microsoft.com/office/drawing/2014/main" id="{C3C51A48-EF45-4E6D-8271-901057DA6661}"/>
            </a:ext>
          </a:extLst>
        </xdr:cNvPr>
        <xdr:cNvSpPr txBox="1"/>
      </xdr:nvSpPr>
      <xdr:spPr>
        <a:xfrm>
          <a:off x="4411682" y="3701143"/>
          <a:ext cx="18288"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8609B5-0190-4FAE-911A-8CF84CA61071}" type="TxLink">
            <a:rPr lang="en-US" sz="16600" b="0" i="0" u="none" strike="noStrike">
              <a:solidFill>
                <a:schemeClr val="bg1"/>
              </a:solidFill>
              <a:latin typeface="+mn-lt"/>
              <a:ea typeface="Roboto condensed" panose="02000000000000000000" pitchFamily="2" charset="0"/>
            </a:rPr>
            <a:pPr algn="ctr"/>
            <a:t>|</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4</xdr:col>
      <xdr:colOff>123126</xdr:colOff>
      <xdr:row>22</xdr:row>
      <xdr:rowOff>165924</xdr:rowOff>
    </xdr:from>
    <xdr:to>
      <xdr:col>7</xdr:col>
      <xdr:colOff>270999</xdr:colOff>
      <xdr:row>23</xdr:row>
      <xdr:rowOff>2504</xdr:rowOff>
    </xdr:to>
    <xdr:sp macro="" textlink="Pivottables!G59">
      <xdr:nvSpPr>
        <xdr:cNvPr id="63" name="TextBox 62">
          <a:extLst>
            <a:ext uri="{FF2B5EF4-FFF2-40B4-BE49-F238E27FC236}">
              <a16:creationId xmlns:a16="http://schemas.microsoft.com/office/drawing/2014/main" id="{77C64C67-7A56-44A6-A87C-465491AF7A9F}"/>
            </a:ext>
          </a:extLst>
        </xdr:cNvPr>
        <xdr:cNvSpPr txBox="1"/>
      </xdr:nvSpPr>
      <xdr:spPr>
        <a:xfrm rot="2912722" flipH="1">
          <a:off x="3540719" y="3184300"/>
          <a:ext cx="18288" cy="197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8609B5-0190-4FAE-911A-8CF84CA61071}" type="TxLink">
            <a:rPr lang="en-US" sz="16600" b="0" i="0" u="none" strike="noStrike">
              <a:solidFill>
                <a:schemeClr val="bg1"/>
              </a:solidFill>
              <a:latin typeface="+mn-lt"/>
              <a:ea typeface="Roboto condensed" panose="02000000000000000000" pitchFamily="2" charset="0"/>
            </a:rPr>
            <a:pPr algn="ctr"/>
            <a:t>|</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6</xdr:col>
      <xdr:colOff>257451</xdr:colOff>
      <xdr:row>11</xdr:row>
      <xdr:rowOff>175886</xdr:rowOff>
    </xdr:from>
    <xdr:to>
      <xdr:col>7</xdr:col>
      <xdr:colOff>593919</xdr:colOff>
      <xdr:row>22</xdr:row>
      <xdr:rowOff>107575</xdr:rowOff>
    </xdr:to>
    <xdr:sp macro="" textlink="Pivottables!H59">
      <xdr:nvSpPr>
        <xdr:cNvPr id="64" name="TextBox 63">
          <a:extLst>
            <a:ext uri="{FF2B5EF4-FFF2-40B4-BE49-F238E27FC236}">
              <a16:creationId xmlns:a16="http://schemas.microsoft.com/office/drawing/2014/main" id="{C63A20CD-8D32-4123-A448-D1317E3CF8BC}"/>
            </a:ext>
          </a:extLst>
        </xdr:cNvPr>
        <xdr:cNvSpPr txBox="1"/>
      </xdr:nvSpPr>
      <xdr:spPr>
        <a:xfrm>
          <a:off x="3915051" y="2148121"/>
          <a:ext cx="946068" cy="190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0E88F81-1FF5-4DBC-9C19-BBA0AC29C56E}"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lgn="ctr"/>
            <a:t>○</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12</xdr:col>
      <xdr:colOff>132999</xdr:colOff>
      <xdr:row>24</xdr:row>
      <xdr:rowOff>139455</xdr:rowOff>
    </xdr:from>
    <xdr:to>
      <xdr:col>14</xdr:col>
      <xdr:colOff>148239</xdr:colOff>
      <xdr:row>24</xdr:row>
      <xdr:rowOff>159967</xdr:rowOff>
    </xdr:to>
    <xdr:sp macro="" textlink="Pivottables!G72">
      <xdr:nvSpPr>
        <xdr:cNvPr id="66" name="TextBox 65">
          <a:extLst>
            <a:ext uri="{FF2B5EF4-FFF2-40B4-BE49-F238E27FC236}">
              <a16:creationId xmlns:a16="http://schemas.microsoft.com/office/drawing/2014/main" id="{2BD7AF70-915E-4DE1-AD01-7A8AE68925BF}"/>
            </a:ext>
          </a:extLst>
        </xdr:cNvPr>
        <xdr:cNvSpPr txBox="1"/>
      </xdr:nvSpPr>
      <xdr:spPr>
        <a:xfrm rot="3348292" flipH="1">
          <a:off x="8055163" y="3946836"/>
          <a:ext cx="20512" cy="1234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3C43992-8883-43F6-AD6D-26DD591C092B}" type="TxLink">
            <a:rPr lang="en-US" sz="16600" b="0" i="0" u="none" strike="noStrike">
              <a:solidFill>
                <a:schemeClr val="bg1"/>
              </a:solidFill>
              <a:latin typeface="MS Reference Sans Serif"/>
              <a:ea typeface="Roboto condensed" panose="02000000000000000000" pitchFamily="2" charset="0"/>
            </a:rPr>
            <a:pPr algn="ctr"/>
            <a:t>|</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0</xdr:col>
      <xdr:colOff>0</xdr:colOff>
      <xdr:row>56</xdr:row>
      <xdr:rowOff>72138</xdr:rowOff>
    </xdr:from>
    <xdr:to>
      <xdr:col>0</xdr:col>
      <xdr:colOff>0</xdr:colOff>
      <xdr:row>56</xdr:row>
      <xdr:rowOff>90426</xdr:rowOff>
    </xdr:to>
    <xdr:sp macro="" textlink="Pivottables!G59">
      <xdr:nvSpPr>
        <xdr:cNvPr id="67" name="TextBox 66">
          <a:extLst>
            <a:ext uri="{FF2B5EF4-FFF2-40B4-BE49-F238E27FC236}">
              <a16:creationId xmlns:a16="http://schemas.microsoft.com/office/drawing/2014/main" id="{1FA73185-1AD9-454E-8562-7EEC50E10250}"/>
            </a:ext>
          </a:extLst>
        </xdr:cNvPr>
        <xdr:cNvSpPr txBox="1"/>
      </xdr:nvSpPr>
      <xdr:spPr>
        <a:xfrm rot="2912722" flipH="1">
          <a:off x="-9144" y="10256913"/>
          <a:ext cx="18288"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8609B5-0190-4FAE-911A-8CF84CA61071}" type="TxLink">
            <a:rPr lang="en-US" sz="16600" b="0" i="0" u="none" strike="noStrike">
              <a:solidFill>
                <a:schemeClr val="bg1"/>
              </a:solidFill>
              <a:latin typeface="+mn-lt"/>
              <a:ea typeface="Roboto condensed" panose="02000000000000000000" pitchFamily="2" charset="0"/>
            </a:rPr>
            <a:pPr algn="ctr"/>
            <a:t>|</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4</xdr:col>
      <xdr:colOff>117231</xdr:colOff>
      <xdr:row>33</xdr:row>
      <xdr:rowOff>42831</xdr:rowOff>
    </xdr:from>
    <xdr:to>
      <xdr:col>7</xdr:col>
      <xdr:colOff>265104</xdr:colOff>
      <xdr:row>33</xdr:row>
      <xdr:rowOff>61119</xdr:rowOff>
    </xdr:to>
    <xdr:sp macro="" textlink="Pivottables!G60">
      <xdr:nvSpPr>
        <xdr:cNvPr id="68" name="TextBox 67">
          <a:extLst>
            <a:ext uri="{FF2B5EF4-FFF2-40B4-BE49-F238E27FC236}">
              <a16:creationId xmlns:a16="http://schemas.microsoft.com/office/drawing/2014/main" id="{DE5D6375-EE82-443D-BF36-E9BEA243BBE8}"/>
            </a:ext>
          </a:extLst>
        </xdr:cNvPr>
        <xdr:cNvSpPr txBox="1"/>
      </xdr:nvSpPr>
      <xdr:spPr>
        <a:xfrm rot="7895834" flipH="1">
          <a:off x="3534824" y="5059992"/>
          <a:ext cx="18288" cy="197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60D09A-D5C2-4C23-8A04-E8EFF484FFF0}" type="TxLink">
            <a:rPr lang="en-US" sz="16600" b="0" i="0" u="none" strike="noStrike">
              <a:solidFill>
                <a:schemeClr val="bg1"/>
              </a:solidFill>
              <a:latin typeface="MS Reference Sans Serif"/>
              <a:ea typeface="Roboto condensed" panose="02000000000000000000" pitchFamily="2" charset="0"/>
            </a:rPr>
            <a:pPr algn="ctr"/>
            <a:t> </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7</xdr:col>
      <xdr:colOff>111076</xdr:colOff>
      <xdr:row>30</xdr:row>
      <xdr:rowOff>68317</xdr:rowOff>
    </xdr:from>
    <xdr:to>
      <xdr:col>7</xdr:col>
      <xdr:colOff>129364</xdr:colOff>
      <xdr:row>35</xdr:row>
      <xdr:rowOff>63062</xdr:rowOff>
    </xdr:to>
    <xdr:sp macro="" textlink="Pivottables!G60">
      <xdr:nvSpPr>
        <xdr:cNvPr id="69" name="TextBox 68">
          <a:extLst>
            <a:ext uri="{FF2B5EF4-FFF2-40B4-BE49-F238E27FC236}">
              <a16:creationId xmlns:a16="http://schemas.microsoft.com/office/drawing/2014/main" id="{1C3710C5-78AF-4774-9354-B847342F9C83}"/>
            </a:ext>
          </a:extLst>
        </xdr:cNvPr>
        <xdr:cNvSpPr txBox="1"/>
      </xdr:nvSpPr>
      <xdr:spPr>
        <a:xfrm flipH="1">
          <a:off x="4378276" y="5586248"/>
          <a:ext cx="18288"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60D09A-D5C2-4C23-8A04-E8EFF484FFF0}" type="TxLink">
            <a:rPr lang="en-US" sz="16600" b="0" i="0" u="none" strike="noStrike">
              <a:solidFill>
                <a:schemeClr val="bg1"/>
              </a:solidFill>
              <a:latin typeface="MS Reference Sans Serif"/>
              <a:ea typeface="Roboto condensed" panose="02000000000000000000" pitchFamily="2" charset="0"/>
            </a:rPr>
            <a:pPr algn="ctr"/>
            <a:t> </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3</xdr:col>
      <xdr:colOff>127204</xdr:colOff>
      <xdr:row>21</xdr:row>
      <xdr:rowOff>71480</xdr:rowOff>
    </xdr:from>
    <xdr:to>
      <xdr:col>4</xdr:col>
      <xdr:colOff>598258</xdr:colOff>
      <xdr:row>31</xdr:row>
      <xdr:rowOff>143435</xdr:rowOff>
    </xdr:to>
    <xdr:sp macro="" textlink="">
      <xdr:nvSpPr>
        <xdr:cNvPr id="122" name="TextBox 121">
          <a:extLst>
            <a:ext uri="{FF2B5EF4-FFF2-40B4-BE49-F238E27FC236}">
              <a16:creationId xmlns:a16="http://schemas.microsoft.com/office/drawing/2014/main" id="{B20F1673-7A14-447F-9270-FAEF94464C47}"/>
            </a:ext>
          </a:extLst>
        </xdr:cNvPr>
        <xdr:cNvSpPr txBox="1"/>
      </xdr:nvSpPr>
      <xdr:spPr>
        <a:xfrm>
          <a:off x="1956004" y="3836656"/>
          <a:ext cx="1080654" cy="1864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6</xdr:col>
      <xdr:colOff>144789</xdr:colOff>
      <xdr:row>21</xdr:row>
      <xdr:rowOff>71480</xdr:rowOff>
    </xdr:from>
    <xdr:to>
      <xdr:col>8</xdr:col>
      <xdr:colOff>6243</xdr:colOff>
      <xdr:row>31</xdr:row>
      <xdr:rowOff>21999</xdr:rowOff>
    </xdr:to>
    <xdr:sp macro="" textlink="">
      <xdr:nvSpPr>
        <xdr:cNvPr id="123" name="TextBox 122">
          <a:extLst>
            <a:ext uri="{FF2B5EF4-FFF2-40B4-BE49-F238E27FC236}">
              <a16:creationId xmlns:a16="http://schemas.microsoft.com/office/drawing/2014/main" id="{D1882B0E-62E8-4AE8-8518-F26ACF328EE8}"/>
            </a:ext>
          </a:extLst>
        </xdr:cNvPr>
        <xdr:cNvSpPr txBox="1"/>
      </xdr:nvSpPr>
      <xdr:spPr>
        <a:xfrm>
          <a:off x="3802389" y="3887342"/>
          <a:ext cx="1080654" cy="1767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6</xdr:col>
      <xdr:colOff>159271</xdr:colOff>
      <xdr:row>30</xdr:row>
      <xdr:rowOff>157225</xdr:rowOff>
    </xdr:from>
    <xdr:to>
      <xdr:col>8</xdr:col>
      <xdr:colOff>71372</xdr:colOff>
      <xdr:row>40</xdr:row>
      <xdr:rowOff>175155</xdr:rowOff>
    </xdr:to>
    <xdr:sp macro="" textlink="Pivottables!H60">
      <xdr:nvSpPr>
        <xdr:cNvPr id="65" name="TextBox 64">
          <a:extLst>
            <a:ext uri="{FF2B5EF4-FFF2-40B4-BE49-F238E27FC236}">
              <a16:creationId xmlns:a16="http://schemas.microsoft.com/office/drawing/2014/main" id="{78B7DE02-69B2-4B5D-9A31-D7B23729B3FE}"/>
            </a:ext>
          </a:extLst>
        </xdr:cNvPr>
        <xdr:cNvSpPr txBox="1"/>
      </xdr:nvSpPr>
      <xdr:spPr>
        <a:xfrm>
          <a:off x="3816871" y="5675156"/>
          <a:ext cx="1131301" cy="1857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1ADA901-8F4C-47A1-AB45-B9E0E99EC12B}"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 </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oneCell">
    <xdr:from>
      <xdr:col>3</xdr:col>
      <xdr:colOff>207817</xdr:colOff>
      <xdr:row>7</xdr:row>
      <xdr:rowOff>73572</xdr:rowOff>
    </xdr:from>
    <xdr:to>
      <xdr:col>8</xdr:col>
      <xdr:colOff>24936</xdr:colOff>
      <xdr:row>9</xdr:row>
      <xdr:rowOff>109569</xdr:rowOff>
    </xdr:to>
    <mc:AlternateContent xmlns:mc="http://schemas.openxmlformats.org/markup-compatibility/2006" xmlns:a14="http://schemas.microsoft.com/office/drawing/2010/main">
      <mc:Choice Requires="a14">
        <xdr:graphicFrame macro="">
          <xdr:nvGraphicFramePr>
            <xdr:cNvPr id="70" name="Year 2">
              <a:extLst>
                <a:ext uri="{FF2B5EF4-FFF2-40B4-BE49-F238E27FC236}">
                  <a16:creationId xmlns:a16="http://schemas.microsoft.com/office/drawing/2014/main" id="{C69E7F30-3111-4F2C-A17A-02F3E3B11AE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2048492" y="1320481"/>
              <a:ext cx="2884912" cy="3922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6</xdr:col>
      <xdr:colOff>261917</xdr:colOff>
      <xdr:row>35</xdr:row>
      <xdr:rowOff>54757</xdr:rowOff>
    </xdr:from>
    <xdr:to>
      <xdr:col>7</xdr:col>
      <xdr:colOff>598385</xdr:colOff>
      <xdr:row>39</xdr:row>
      <xdr:rowOff>0</xdr:rowOff>
    </xdr:to>
    <xdr:sp macro="" textlink="Pivottables!I60">
      <xdr:nvSpPr>
        <xdr:cNvPr id="71" name="TextBox 70">
          <a:extLst>
            <a:ext uri="{FF2B5EF4-FFF2-40B4-BE49-F238E27FC236}">
              <a16:creationId xmlns:a16="http://schemas.microsoft.com/office/drawing/2014/main" id="{8DFBD9C4-4F26-4760-9B34-C9DC5D4BC645}"/>
            </a:ext>
          </a:extLst>
        </xdr:cNvPr>
        <xdr:cNvSpPr txBox="1"/>
      </xdr:nvSpPr>
      <xdr:spPr>
        <a:xfrm>
          <a:off x="3919517" y="6455557"/>
          <a:ext cx="946068" cy="676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96A7B3-48AF-42AB-9447-95780469A1B9}" type="TxLink">
            <a:rPr lang="en-US" sz="8800" b="0" i="0" u="none" strike="noStrike">
              <a:solidFill>
                <a:schemeClr val="tx1">
                  <a:alpha val="66000"/>
                </a:schemeClr>
              </a:solidFill>
              <a:latin typeface="Calibri"/>
              <a:ea typeface="Roboto condensed" panose="02000000000000000000" pitchFamily="2" charset="0"/>
              <a:cs typeface="Calibri"/>
            </a:rPr>
            <a:pPr algn="ctr"/>
            <a:t>●</a:t>
          </a:fld>
          <a:endParaRPr lang="en-IN" sz="8800">
            <a:solidFill>
              <a:schemeClr val="tx1">
                <a:alpha val="66000"/>
              </a:schemeClr>
            </a:solidFill>
            <a:latin typeface="Roboto condensed" panose="02000000000000000000" pitchFamily="2" charset="0"/>
            <a:ea typeface="Roboto condensed" panose="02000000000000000000" pitchFamily="2" charset="0"/>
          </a:endParaRPr>
        </a:p>
      </xdr:txBody>
    </xdr:sp>
    <xdr:clientData/>
  </xdr:twoCellAnchor>
  <xdr:twoCellAnchor editAs="absolute">
    <xdr:from>
      <xdr:col>6</xdr:col>
      <xdr:colOff>211117</xdr:colOff>
      <xdr:row>16</xdr:row>
      <xdr:rowOff>64917</xdr:rowOff>
    </xdr:from>
    <xdr:to>
      <xdr:col>7</xdr:col>
      <xdr:colOff>547585</xdr:colOff>
      <xdr:row>20</xdr:row>
      <xdr:rowOff>10160</xdr:rowOff>
    </xdr:to>
    <xdr:sp macro="" textlink="Pivottables!I59">
      <xdr:nvSpPr>
        <xdr:cNvPr id="72" name="TextBox 71">
          <a:extLst>
            <a:ext uri="{FF2B5EF4-FFF2-40B4-BE49-F238E27FC236}">
              <a16:creationId xmlns:a16="http://schemas.microsoft.com/office/drawing/2014/main" id="{F144427A-788D-4980-AE12-E26FFB123183}"/>
            </a:ext>
          </a:extLst>
        </xdr:cNvPr>
        <xdr:cNvSpPr txBox="1"/>
      </xdr:nvSpPr>
      <xdr:spPr>
        <a:xfrm>
          <a:off x="3868717" y="2990997"/>
          <a:ext cx="946068" cy="676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F5625-777D-4379-A1FD-19B06FD3A490}"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22</xdr:col>
      <xdr:colOff>579120</xdr:colOff>
      <xdr:row>25</xdr:row>
      <xdr:rowOff>67028</xdr:rowOff>
    </xdr:from>
    <xdr:to>
      <xdr:col>26</xdr:col>
      <xdr:colOff>257299</xdr:colOff>
      <xdr:row>28</xdr:row>
      <xdr:rowOff>59377</xdr:rowOff>
    </xdr:to>
    <xdr:sp macro="" textlink="">
      <xdr:nvSpPr>
        <xdr:cNvPr id="73" name="TextBox 72">
          <a:extLst>
            <a:ext uri="{FF2B5EF4-FFF2-40B4-BE49-F238E27FC236}">
              <a16:creationId xmlns:a16="http://schemas.microsoft.com/office/drawing/2014/main" id="{CAF1E419-ED2F-4FB9-B12A-23D688393560}"/>
            </a:ext>
          </a:extLst>
        </xdr:cNvPr>
        <xdr:cNvSpPr txBox="1"/>
      </xdr:nvSpPr>
      <xdr:spPr>
        <a:xfrm>
          <a:off x="14077406" y="4520275"/>
          <a:ext cx="2132412" cy="526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u="none" strike="noStrike">
              <a:solidFill>
                <a:schemeClr val="bg1"/>
              </a:solidFill>
              <a:latin typeface="Roboto condensed" panose="02000000000000000000" pitchFamily="2" charset="0"/>
              <a:ea typeface="Roboto condensed" panose="02000000000000000000" pitchFamily="2" charset="0"/>
              <a:cs typeface="Calibri"/>
            </a:rPr>
            <a:t>Financial</a:t>
          </a:r>
          <a:r>
            <a:rPr lang="en-US" sz="2000" b="0" i="0" u="none" strike="noStrike" baseline="0">
              <a:solidFill>
                <a:schemeClr val="bg1"/>
              </a:solidFill>
              <a:latin typeface="Roboto condensed" panose="02000000000000000000" pitchFamily="2" charset="0"/>
              <a:ea typeface="Roboto condensed" panose="02000000000000000000" pitchFamily="2" charset="0"/>
              <a:cs typeface="Calibri"/>
            </a:rPr>
            <a:t> Statistics</a:t>
          </a:r>
          <a:endParaRPr lang="en-US" sz="20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6</xdr:col>
      <xdr:colOff>231437</xdr:colOff>
      <xdr:row>41</xdr:row>
      <xdr:rowOff>9211</xdr:rowOff>
    </xdr:from>
    <xdr:to>
      <xdr:col>7</xdr:col>
      <xdr:colOff>567905</xdr:colOff>
      <xdr:row>42</xdr:row>
      <xdr:rowOff>94181</xdr:rowOff>
    </xdr:to>
    <xdr:sp macro="" textlink="Pivottables!J60">
      <xdr:nvSpPr>
        <xdr:cNvPr id="74" name="TextBox 73">
          <a:extLst>
            <a:ext uri="{FF2B5EF4-FFF2-40B4-BE49-F238E27FC236}">
              <a16:creationId xmlns:a16="http://schemas.microsoft.com/office/drawing/2014/main" id="{F403E43E-D045-499D-9067-429CD01D39FD}"/>
            </a:ext>
          </a:extLst>
        </xdr:cNvPr>
        <xdr:cNvSpPr txBox="1"/>
      </xdr:nvSpPr>
      <xdr:spPr>
        <a:xfrm>
          <a:off x="3889037" y="7550383"/>
          <a:ext cx="946068" cy="26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66CE8C-F481-4AD4-8D89-989FC2ECC5B6}"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1496</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7</xdr:col>
      <xdr:colOff>312547</xdr:colOff>
      <xdr:row>24</xdr:row>
      <xdr:rowOff>145940</xdr:rowOff>
    </xdr:from>
    <xdr:to>
      <xdr:col>9</xdr:col>
      <xdr:colOff>274150</xdr:colOff>
      <xdr:row>24</xdr:row>
      <xdr:rowOff>164228</xdr:rowOff>
    </xdr:to>
    <xdr:sp macro="" textlink="Pivottables!G66">
      <xdr:nvSpPr>
        <xdr:cNvPr id="75" name="TextBox 74">
          <a:extLst>
            <a:ext uri="{FF2B5EF4-FFF2-40B4-BE49-F238E27FC236}">
              <a16:creationId xmlns:a16="http://schemas.microsoft.com/office/drawing/2014/main" id="{50A40C83-54C2-41CE-984D-AFE446FDDEF8}"/>
            </a:ext>
          </a:extLst>
        </xdr:cNvPr>
        <xdr:cNvSpPr txBox="1"/>
      </xdr:nvSpPr>
      <xdr:spPr>
        <a:xfrm rot="3341327">
          <a:off x="5192672" y="3835841"/>
          <a:ext cx="18288" cy="1188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3B54F01-B26C-42AF-BE90-8F4BF9C2C988}" type="TxLink">
            <a:rPr lang="en-US" sz="16600" b="0" i="0" u="none" strike="noStrike">
              <a:solidFill>
                <a:schemeClr val="bg1"/>
              </a:solidFill>
              <a:latin typeface="+mn-lt"/>
              <a:ea typeface="Roboto condensed" panose="02000000000000000000" pitchFamily="2" charset="0"/>
              <a:cs typeface="+mn-cs"/>
            </a:rPr>
            <a:pPr marL="0" indent="0" algn="ctr"/>
            <a:t>|</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9</xdr:col>
      <xdr:colOff>551452</xdr:colOff>
      <xdr:row>24</xdr:row>
      <xdr:rowOff>145178</xdr:rowOff>
    </xdr:from>
    <xdr:to>
      <xdr:col>11</xdr:col>
      <xdr:colOff>383812</xdr:colOff>
      <xdr:row>24</xdr:row>
      <xdr:rowOff>163466</xdr:rowOff>
    </xdr:to>
    <xdr:sp macro="" textlink="Pivottables!G66">
      <xdr:nvSpPr>
        <xdr:cNvPr id="77" name="TextBox 76">
          <a:extLst>
            <a:ext uri="{FF2B5EF4-FFF2-40B4-BE49-F238E27FC236}">
              <a16:creationId xmlns:a16="http://schemas.microsoft.com/office/drawing/2014/main" id="{1A29062E-7EA5-45C2-BD99-2578D50B0F25}"/>
            </a:ext>
          </a:extLst>
        </xdr:cNvPr>
        <xdr:cNvSpPr txBox="1"/>
      </xdr:nvSpPr>
      <xdr:spPr>
        <a:xfrm rot="18618324">
          <a:off x="6554488" y="4042887"/>
          <a:ext cx="18288" cy="1051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3B54F01-B26C-42AF-BE90-8F4BF9C2C988}" type="TxLink">
            <a:rPr lang="en-US" sz="16600" b="0" i="0" u="none" strike="noStrike">
              <a:solidFill>
                <a:schemeClr val="bg1"/>
              </a:solidFill>
              <a:latin typeface="+mn-lt"/>
              <a:ea typeface="Roboto condensed" panose="02000000000000000000" pitchFamily="2" charset="0"/>
              <a:cs typeface="+mn-cs"/>
            </a:rPr>
            <a:pPr marL="0" indent="0" algn="ctr"/>
            <a:t>|</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7</xdr:col>
      <xdr:colOff>331341</xdr:colOff>
      <xdr:row>31</xdr:row>
      <xdr:rowOff>68963</xdr:rowOff>
    </xdr:from>
    <xdr:to>
      <xdr:col>9</xdr:col>
      <xdr:colOff>282573</xdr:colOff>
      <xdr:row>31</xdr:row>
      <xdr:rowOff>87251</xdr:rowOff>
    </xdr:to>
    <xdr:sp macro="" textlink="Pivottables!G65">
      <xdr:nvSpPr>
        <xdr:cNvPr id="82" name="TextBox 81">
          <a:extLst>
            <a:ext uri="{FF2B5EF4-FFF2-40B4-BE49-F238E27FC236}">
              <a16:creationId xmlns:a16="http://schemas.microsoft.com/office/drawing/2014/main" id="{5DE26B67-10E9-4E7E-9F8F-AC02D0000175}"/>
            </a:ext>
          </a:extLst>
        </xdr:cNvPr>
        <xdr:cNvSpPr txBox="1"/>
      </xdr:nvSpPr>
      <xdr:spPr>
        <a:xfrm rot="7329452">
          <a:off x="5174613" y="5194753"/>
          <a:ext cx="18288" cy="11704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ECDB0B-6B91-4A0A-A6D3-1C299D3CCFD3}" type="TxLink">
            <a:rPr lang="en-US" sz="16600" b="0" i="0" u="none" strike="noStrike">
              <a:solidFill>
                <a:schemeClr val="bg1"/>
              </a:solidFill>
              <a:latin typeface="+mn-lt"/>
              <a:ea typeface="Roboto condensed" panose="02000000000000000000" pitchFamily="2" charset="0"/>
              <a:cs typeface="+mn-cs"/>
            </a:rPr>
            <a:pPr marL="0" indent="0" algn="ctr"/>
            <a:t> </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9</xdr:col>
      <xdr:colOff>562578</xdr:colOff>
      <xdr:row>31</xdr:row>
      <xdr:rowOff>55425</xdr:rowOff>
    </xdr:from>
    <xdr:to>
      <xdr:col>11</xdr:col>
      <xdr:colOff>394938</xdr:colOff>
      <xdr:row>31</xdr:row>
      <xdr:rowOff>73713</xdr:rowOff>
    </xdr:to>
    <xdr:sp macro="" textlink="Pivottables!G65">
      <xdr:nvSpPr>
        <xdr:cNvPr id="83" name="TextBox 82">
          <a:extLst>
            <a:ext uri="{FF2B5EF4-FFF2-40B4-BE49-F238E27FC236}">
              <a16:creationId xmlns:a16="http://schemas.microsoft.com/office/drawing/2014/main" id="{525F8A11-AB00-4453-B0D3-AF7C26DD0A1F}"/>
            </a:ext>
          </a:extLst>
        </xdr:cNvPr>
        <xdr:cNvSpPr txBox="1"/>
      </xdr:nvSpPr>
      <xdr:spPr>
        <a:xfrm rot="13931465">
          <a:off x="6565614" y="5240651"/>
          <a:ext cx="18288" cy="1051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ECDB0B-6B91-4A0A-A6D3-1C299D3CCFD3}" type="TxLink">
            <a:rPr lang="en-US" sz="16600" b="0" i="0" u="none" strike="noStrike">
              <a:solidFill>
                <a:schemeClr val="bg1"/>
              </a:solidFill>
              <a:latin typeface="+mn-lt"/>
              <a:ea typeface="Roboto condensed" panose="02000000000000000000" pitchFamily="2" charset="0"/>
              <a:cs typeface="+mn-cs"/>
            </a:rPr>
            <a:pPr marL="0" indent="0" algn="ctr"/>
            <a:t> </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8</xdr:col>
      <xdr:colOff>545697</xdr:colOff>
      <xdr:row>32</xdr:row>
      <xdr:rowOff>65267</xdr:rowOff>
    </xdr:from>
    <xdr:to>
      <xdr:col>10</xdr:col>
      <xdr:colOff>272565</xdr:colOff>
      <xdr:row>36</xdr:row>
      <xdr:rowOff>10510</xdr:rowOff>
    </xdr:to>
    <xdr:sp macro="" textlink="Pivottables!I65">
      <xdr:nvSpPr>
        <xdr:cNvPr id="93" name="TextBox 92">
          <a:extLst>
            <a:ext uri="{FF2B5EF4-FFF2-40B4-BE49-F238E27FC236}">
              <a16:creationId xmlns:a16="http://schemas.microsoft.com/office/drawing/2014/main" id="{948E6052-A20F-4A88-90A7-350FE002201D}"/>
            </a:ext>
          </a:extLst>
        </xdr:cNvPr>
        <xdr:cNvSpPr txBox="1"/>
      </xdr:nvSpPr>
      <xdr:spPr>
        <a:xfrm>
          <a:off x="5422497" y="5951060"/>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2AA9EC-4681-40B5-82D2-5106E3264DA9}"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8</xdr:col>
      <xdr:colOff>561460</xdr:colOff>
      <xdr:row>19</xdr:row>
      <xdr:rowOff>133584</xdr:rowOff>
    </xdr:from>
    <xdr:to>
      <xdr:col>10</xdr:col>
      <xdr:colOff>288328</xdr:colOff>
      <xdr:row>23</xdr:row>
      <xdr:rowOff>78827</xdr:rowOff>
    </xdr:to>
    <xdr:sp macro="" textlink="Pivottables!I66">
      <xdr:nvSpPr>
        <xdr:cNvPr id="94" name="TextBox 93">
          <a:extLst>
            <a:ext uri="{FF2B5EF4-FFF2-40B4-BE49-F238E27FC236}">
              <a16:creationId xmlns:a16="http://schemas.microsoft.com/office/drawing/2014/main" id="{0CFB274E-1C5F-4E0F-AD06-CC45AAA3120D}"/>
            </a:ext>
          </a:extLst>
        </xdr:cNvPr>
        <xdr:cNvSpPr txBox="1"/>
      </xdr:nvSpPr>
      <xdr:spPr>
        <a:xfrm>
          <a:off x="5438260" y="3628274"/>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44C1687-F93F-4459-A2B8-93369C38F0FE}"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8</xdr:col>
      <xdr:colOff>480882</xdr:colOff>
      <xdr:row>14</xdr:row>
      <xdr:rowOff>152401</xdr:rowOff>
    </xdr:from>
    <xdr:to>
      <xdr:col>10</xdr:col>
      <xdr:colOff>446690</xdr:colOff>
      <xdr:row>25</xdr:row>
      <xdr:rowOff>99060</xdr:rowOff>
    </xdr:to>
    <xdr:sp macro="" textlink="Pivottables!H66">
      <xdr:nvSpPr>
        <xdr:cNvPr id="76" name="TextBox 75">
          <a:extLst>
            <a:ext uri="{FF2B5EF4-FFF2-40B4-BE49-F238E27FC236}">
              <a16:creationId xmlns:a16="http://schemas.microsoft.com/office/drawing/2014/main" id="{20375A7D-1121-422F-8329-15475250D76F}"/>
            </a:ext>
          </a:extLst>
        </xdr:cNvPr>
        <xdr:cNvSpPr txBox="1"/>
      </xdr:nvSpPr>
      <xdr:spPr>
        <a:xfrm>
          <a:off x="5357682" y="2712721"/>
          <a:ext cx="1185008" cy="1958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EA53FA2-F4AC-4315-A5EE-719A468C95C6}"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8</xdr:col>
      <xdr:colOff>472964</xdr:colOff>
      <xdr:row>27</xdr:row>
      <xdr:rowOff>120869</xdr:rowOff>
    </xdr:from>
    <xdr:to>
      <xdr:col>10</xdr:col>
      <xdr:colOff>357350</xdr:colOff>
      <xdr:row>37</xdr:row>
      <xdr:rowOff>21021</xdr:rowOff>
    </xdr:to>
    <xdr:sp macro="" textlink="Pivottables!H65">
      <xdr:nvSpPr>
        <xdr:cNvPr id="92" name="TextBox 91">
          <a:extLst>
            <a:ext uri="{FF2B5EF4-FFF2-40B4-BE49-F238E27FC236}">
              <a16:creationId xmlns:a16="http://schemas.microsoft.com/office/drawing/2014/main" id="{813E3503-4443-418D-B5DA-945612F9BF89}"/>
            </a:ext>
          </a:extLst>
        </xdr:cNvPr>
        <xdr:cNvSpPr txBox="1"/>
      </xdr:nvSpPr>
      <xdr:spPr>
        <a:xfrm>
          <a:off x="5349764" y="5087007"/>
          <a:ext cx="1103586" cy="1739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ABE231-F200-410A-BA85-00CA55F28DD4}"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 </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8</xdr:col>
      <xdr:colOff>403760</xdr:colOff>
      <xdr:row>38</xdr:row>
      <xdr:rowOff>3577</xdr:rowOff>
    </xdr:from>
    <xdr:to>
      <xdr:col>10</xdr:col>
      <xdr:colOff>484909</xdr:colOff>
      <xdr:row>40</xdr:row>
      <xdr:rowOff>108095</xdr:rowOff>
    </xdr:to>
    <xdr:sp macro="" textlink="Pivottables!J65">
      <xdr:nvSpPr>
        <xdr:cNvPr id="95" name="TextBox 94">
          <a:extLst>
            <a:ext uri="{FF2B5EF4-FFF2-40B4-BE49-F238E27FC236}">
              <a16:creationId xmlns:a16="http://schemas.microsoft.com/office/drawing/2014/main" id="{6F688DE7-CC5C-42E0-B78A-05B737B7314F}"/>
            </a:ext>
          </a:extLst>
        </xdr:cNvPr>
        <xdr:cNvSpPr txBox="1"/>
      </xdr:nvSpPr>
      <xdr:spPr>
        <a:xfrm>
          <a:off x="5280560" y="6908469"/>
          <a:ext cx="1300349" cy="46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7EB6A55-2DD9-4B88-A3B8-18DFFB2B67A6}"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algn="ctr"/>
            <a:t>1194</a:t>
          </a:fld>
          <a:endParaRPr lang="en-IN" sz="16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8</xdr:col>
      <xdr:colOff>403760</xdr:colOff>
      <xdr:row>16</xdr:row>
      <xdr:rowOff>21158</xdr:rowOff>
    </xdr:from>
    <xdr:to>
      <xdr:col>10</xdr:col>
      <xdr:colOff>484909</xdr:colOff>
      <xdr:row>18</xdr:row>
      <xdr:rowOff>125677</xdr:rowOff>
    </xdr:to>
    <xdr:sp macro="" textlink="Pivottables!J66">
      <xdr:nvSpPr>
        <xdr:cNvPr id="96" name="TextBox 95">
          <a:extLst>
            <a:ext uri="{FF2B5EF4-FFF2-40B4-BE49-F238E27FC236}">
              <a16:creationId xmlns:a16="http://schemas.microsoft.com/office/drawing/2014/main" id="{1DB5020A-94B4-485E-ABDC-0DE320050D46}"/>
            </a:ext>
          </a:extLst>
        </xdr:cNvPr>
        <xdr:cNvSpPr txBox="1"/>
      </xdr:nvSpPr>
      <xdr:spPr>
        <a:xfrm>
          <a:off x="5280560" y="2928481"/>
          <a:ext cx="1300349" cy="46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505194-9521-4B20-9AB1-C28A87C2E1E7}"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1921</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12</xdr:col>
      <xdr:colOff>161321</xdr:colOff>
      <xdr:row>31</xdr:row>
      <xdr:rowOff>82892</xdr:rowOff>
    </xdr:from>
    <xdr:to>
      <xdr:col>14</xdr:col>
      <xdr:colOff>130841</xdr:colOff>
      <xdr:row>31</xdr:row>
      <xdr:rowOff>101180</xdr:rowOff>
    </xdr:to>
    <xdr:sp macro="" textlink="Pivottables!G71">
      <xdr:nvSpPr>
        <xdr:cNvPr id="97" name="TextBox 96">
          <a:extLst>
            <a:ext uri="{FF2B5EF4-FFF2-40B4-BE49-F238E27FC236}">
              <a16:creationId xmlns:a16="http://schemas.microsoft.com/office/drawing/2014/main" id="{25E9BD24-4C84-4A38-88E9-B9B5D117FD5F}"/>
            </a:ext>
          </a:extLst>
        </xdr:cNvPr>
        <xdr:cNvSpPr txBox="1"/>
      </xdr:nvSpPr>
      <xdr:spPr>
        <a:xfrm rot="7222810">
          <a:off x="8061737" y="5130614"/>
          <a:ext cx="18288" cy="1188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E3644A-0284-4864-A08D-B68BDC42CB60}" type="TxLink">
            <a:rPr lang="en-US" sz="16600" b="0" i="0" u="none" strike="noStrike">
              <a:solidFill>
                <a:schemeClr val="bg1"/>
              </a:solidFill>
              <a:latin typeface="+mn-lt"/>
              <a:ea typeface="Roboto condensed" panose="02000000000000000000" pitchFamily="2" charset="0"/>
              <a:cs typeface="+mn-cs"/>
            </a:rPr>
            <a:pPr marL="0" indent="0" algn="ctr"/>
            <a:t> </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13</xdr:col>
      <xdr:colOff>321699</xdr:colOff>
      <xdr:row>27</xdr:row>
      <xdr:rowOff>132531</xdr:rowOff>
    </xdr:from>
    <xdr:to>
      <xdr:col>15</xdr:col>
      <xdr:colOff>257909</xdr:colOff>
      <xdr:row>38</xdr:row>
      <xdr:rowOff>15240</xdr:rowOff>
    </xdr:to>
    <xdr:sp macro="" textlink="Pivottables!H71">
      <xdr:nvSpPr>
        <xdr:cNvPr id="98" name="TextBox 97">
          <a:extLst>
            <a:ext uri="{FF2B5EF4-FFF2-40B4-BE49-F238E27FC236}">
              <a16:creationId xmlns:a16="http://schemas.microsoft.com/office/drawing/2014/main" id="{368D5E39-0E53-45E1-8CB0-3FD33F8FF9AC}"/>
            </a:ext>
          </a:extLst>
        </xdr:cNvPr>
        <xdr:cNvSpPr txBox="1"/>
      </xdr:nvSpPr>
      <xdr:spPr>
        <a:xfrm>
          <a:off x="8246499" y="5070291"/>
          <a:ext cx="1155410" cy="1894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85800BB-9FDF-4BCE-8541-57407E2F9D47}"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 </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10</xdr:col>
      <xdr:colOff>572681</xdr:colOff>
      <xdr:row>21</xdr:row>
      <xdr:rowOff>71480</xdr:rowOff>
    </xdr:from>
    <xdr:to>
      <xdr:col>12</xdr:col>
      <xdr:colOff>434135</xdr:colOff>
      <xdr:row>31</xdr:row>
      <xdr:rowOff>114300</xdr:rowOff>
    </xdr:to>
    <xdr:sp macro="" textlink="">
      <xdr:nvSpPr>
        <xdr:cNvPr id="124" name="TextBox 123">
          <a:extLst>
            <a:ext uri="{FF2B5EF4-FFF2-40B4-BE49-F238E27FC236}">
              <a16:creationId xmlns:a16="http://schemas.microsoft.com/office/drawing/2014/main" id="{105EE6CB-49B9-4475-B984-845DE1233FDD}"/>
            </a:ext>
          </a:extLst>
        </xdr:cNvPr>
        <xdr:cNvSpPr txBox="1"/>
      </xdr:nvSpPr>
      <xdr:spPr>
        <a:xfrm>
          <a:off x="6668681" y="3911960"/>
          <a:ext cx="1080654" cy="1871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13</xdr:col>
      <xdr:colOff>319677</xdr:colOff>
      <xdr:row>14</xdr:row>
      <xdr:rowOff>157584</xdr:rowOff>
    </xdr:from>
    <xdr:to>
      <xdr:col>15</xdr:col>
      <xdr:colOff>268014</xdr:colOff>
      <xdr:row>25</xdr:row>
      <xdr:rowOff>22859</xdr:rowOff>
    </xdr:to>
    <xdr:sp macro="" textlink="Pivottables!H72">
      <xdr:nvSpPr>
        <xdr:cNvPr id="99" name="TextBox 98">
          <a:extLst>
            <a:ext uri="{FF2B5EF4-FFF2-40B4-BE49-F238E27FC236}">
              <a16:creationId xmlns:a16="http://schemas.microsoft.com/office/drawing/2014/main" id="{73406882-BF3C-4CCD-BEBC-DBC74D1459C4}"/>
            </a:ext>
          </a:extLst>
        </xdr:cNvPr>
        <xdr:cNvSpPr txBox="1"/>
      </xdr:nvSpPr>
      <xdr:spPr>
        <a:xfrm>
          <a:off x="8244477" y="2717904"/>
          <a:ext cx="1167537" cy="1876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FA204A6-1617-4456-B3EE-1F6371156359}"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13</xdr:col>
      <xdr:colOff>389793</xdr:colOff>
      <xdr:row>19</xdr:row>
      <xdr:rowOff>64917</xdr:rowOff>
    </xdr:from>
    <xdr:to>
      <xdr:col>15</xdr:col>
      <xdr:colOff>116661</xdr:colOff>
      <xdr:row>23</xdr:row>
      <xdr:rowOff>10160</xdr:rowOff>
    </xdr:to>
    <xdr:sp macro="" textlink="Pivottables!I72">
      <xdr:nvSpPr>
        <xdr:cNvPr id="100" name="TextBox 99">
          <a:extLst>
            <a:ext uri="{FF2B5EF4-FFF2-40B4-BE49-F238E27FC236}">
              <a16:creationId xmlns:a16="http://schemas.microsoft.com/office/drawing/2014/main" id="{B0609E35-6FC0-4F5E-B350-9FAAE1E5C459}"/>
            </a:ext>
          </a:extLst>
        </xdr:cNvPr>
        <xdr:cNvSpPr txBox="1"/>
      </xdr:nvSpPr>
      <xdr:spPr>
        <a:xfrm>
          <a:off x="8314593" y="3559607"/>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904344-2707-48A5-B425-E28EFF1587F5}"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20</xdr:col>
      <xdr:colOff>568469</xdr:colOff>
      <xdr:row>22</xdr:row>
      <xdr:rowOff>64917</xdr:rowOff>
    </xdr:from>
    <xdr:to>
      <xdr:col>22</xdr:col>
      <xdr:colOff>295337</xdr:colOff>
      <xdr:row>26</xdr:row>
      <xdr:rowOff>10160</xdr:rowOff>
    </xdr:to>
    <xdr:sp macro="" textlink="Pivottables!I59">
      <xdr:nvSpPr>
        <xdr:cNvPr id="101" name="TextBox 100">
          <a:extLst>
            <a:ext uri="{FF2B5EF4-FFF2-40B4-BE49-F238E27FC236}">
              <a16:creationId xmlns:a16="http://schemas.microsoft.com/office/drawing/2014/main" id="{74AA1D70-732A-4215-9027-55898A2F5ACD}"/>
            </a:ext>
          </a:extLst>
        </xdr:cNvPr>
        <xdr:cNvSpPr txBox="1"/>
      </xdr:nvSpPr>
      <xdr:spPr>
        <a:xfrm>
          <a:off x="12760469" y="4111400"/>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F5625-777D-4379-A1FD-19B06FD3A490}"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13</xdr:col>
      <xdr:colOff>405558</xdr:colOff>
      <xdr:row>32</xdr:row>
      <xdr:rowOff>54407</xdr:rowOff>
    </xdr:from>
    <xdr:to>
      <xdr:col>15</xdr:col>
      <xdr:colOff>132426</xdr:colOff>
      <xdr:row>35</xdr:row>
      <xdr:rowOff>183581</xdr:rowOff>
    </xdr:to>
    <xdr:sp macro="" textlink="Pivottables!I71">
      <xdr:nvSpPr>
        <xdr:cNvPr id="102" name="TextBox 101">
          <a:extLst>
            <a:ext uri="{FF2B5EF4-FFF2-40B4-BE49-F238E27FC236}">
              <a16:creationId xmlns:a16="http://schemas.microsoft.com/office/drawing/2014/main" id="{9D651A9D-EF28-476F-BD72-F549880CF57D}"/>
            </a:ext>
          </a:extLst>
        </xdr:cNvPr>
        <xdr:cNvSpPr txBox="1"/>
      </xdr:nvSpPr>
      <xdr:spPr>
        <a:xfrm>
          <a:off x="8330358" y="5940200"/>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61D4665-B8BB-4D78-B42A-F10D18A79464}"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13</xdr:col>
      <xdr:colOff>477334</xdr:colOff>
      <xdr:row>14</xdr:row>
      <xdr:rowOff>152942</xdr:rowOff>
    </xdr:from>
    <xdr:to>
      <xdr:col>15</xdr:col>
      <xdr:colOff>2</xdr:colOff>
      <xdr:row>17</xdr:row>
      <xdr:rowOff>75752</xdr:rowOff>
    </xdr:to>
    <xdr:sp macro="" textlink="Pivottables!J72">
      <xdr:nvSpPr>
        <xdr:cNvPr id="104" name="TextBox 103">
          <a:extLst>
            <a:ext uri="{FF2B5EF4-FFF2-40B4-BE49-F238E27FC236}">
              <a16:creationId xmlns:a16="http://schemas.microsoft.com/office/drawing/2014/main" id="{B33E711C-6285-4AD7-820B-FE9EE937F38D}"/>
            </a:ext>
          </a:extLst>
        </xdr:cNvPr>
        <xdr:cNvSpPr txBox="1"/>
      </xdr:nvSpPr>
      <xdr:spPr>
        <a:xfrm>
          <a:off x="8402134" y="2727976"/>
          <a:ext cx="741868" cy="474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767A856-A28A-4D66-90AC-9F771EE6EC25}"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1808</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13</xdr:col>
      <xdr:colOff>477334</xdr:colOff>
      <xdr:row>39</xdr:row>
      <xdr:rowOff>83669</xdr:rowOff>
    </xdr:from>
    <xdr:to>
      <xdr:col>15</xdr:col>
      <xdr:colOff>2</xdr:colOff>
      <xdr:row>42</xdr:row>
      <xdr:rowOff>6479</xdr:rowOff>
    </xdr:to>
    <xdr:sp macro="" textlink="Pivottables!J71">
      <xdr:nvSpPr>
        <xdr:cNvPr id="106" name="TextBox 105">
          <a:extLst>
            <a:ext uri="{FF2B5EF4-FFF2-40B4-BE49-F238E27FC236}">
              <a16:creationId xmlns:a16="http://schemas.microsoft.com/office/drawing/2014/main" id="{3971A040-CB21-43C3-8AAE-0E4DE530B582}"/>
            </a:ext>
          </a:extLst>
        </xdr:cNvPr>
        <xdr:cNvSpPr txBox="1"/>
      </xdr:nvSpPr>
      <xdr:spPr>
        <a:xfrm>
          <a:off x="8453594" y="7030734"/>
          <a:ext cx="74978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F466B05-9DC8-42FB-8541-02C33ECD4210}"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1307</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3</xdr:col>
      <xdr:colOff>176020</xdr:colOff>
      <xdr:row>32</xdr:row>
      <xdr:rowOff>62651</xdr:rowOff>
    </xdr:from>
    <xdr:to>
      <xdr:col>4</xdr:col>
      <xdr:colOff>512487</xdr:colOff>
      <xdr:row>33</xdr:row>
      <xdr:rowOff>147621</xdr:rowOff>
    </xdr:to>
    <xdr:sp macro="" textlink="Pivottables!G78">
      <xdr:nvSpPr>
        <xdr:cNvPr id="108" name="TextBox 107">
          <a:extLst>
            <a:ext uri="{FF2B5EF4-FFF2-40B4-BE49-F238E27FC236}">
              <a16:creationId xmlns:a16="http://schemas.microsoft.com/office/drawing/2014/main" id="{101C63A2-0832-4A52-B985-28632F71C777}"/>
            </a:ext>
          </a:extLst>
        </xdr:cNvPr>
        <xdr:cNvSpPr txBox="1"/>
      </xdr:nvSpPr>
      <xdr:spPr>
        <a:xfrm>
          <a:off x="2016695" y="5762807"/>
          <a:ext cx="950026" cy="263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7042A4-B9DB-4512-9FF3-AEE6E2047F4D}"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3115</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17</xdr:col>
      <xdr:colOff>418453</xdr:colOff>
      <xdr:row>23</xdr:row>
      <xdr:rowOff>148287</xdr:rowOff>
    </xdr:from>
    <xdr:to>
      <xdr:col>19</xdr:col>
      <xdr:colOff>141363</xdr:colOff>
      <xdr:row>25</xdr:row>
      <xdr:rowOff>49328</xdr:rowOff>
    </xdr:to>
    <xdr:sp macro="" textlink="Pivottables!G82">
      <xdr:nvSpPr>
        <xdr:cNvPr id="112" name="TextBox 111">
          <a:extLst>
            <a:ext uri="{FF2B5EF4-FFF2-40B4-BE49-F238E27FC236}">
              <a16:creationId xmlns:a16="http://schemas.microsoft.com/office/drawing/2014/main" id="{E672D74A-9072-4D56-8039-1E574E002DE7}"/>
            </a:ext>
          </a:extLst>
        </xdr:cNvPr>
        <xdr:cNvSpPr txBox="1"/>
      </xdr:nvSpPr>
      <xdr:spPr>
        <a:xfrm>
          <a:off x="10781653" y="4327564"/>
          <a:ext cx="942110" cy="264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4ADF02A-FF9C-46A1-B627-DEC8DDA6E05D}"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2453</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22</xdr:col>
      <xdr:colOff>262445</xdr:colOff>
      <xdr:row>27</xdr:row>
      <xdr:rowOff>175885</xdr:rowOff>
    </xdr:from>
    <xdr:to>
      <xdr:col>27</xdr:col>
      <xdr:colOff>158339</xdr:colOff>
      <xdr:row>31</xdr:row>
      <xdr:rowOff>69272</xdr:rowOff>
    </xdr:to>
    <xdr:sp macro="" textlink="Pivottables!H91">
      <xdr:nvSpPr>
        <xdr:cNvPr id="114" name="TextBox 113">
          <a:extLst>
            <a:ext uri="{FF2B5EF4-FFF2-40B4-BE49-F238E27FC236}">
              <a16:creationId xmlns:a16="http://schemas.microsoft.com/office/drawing/2014/main" id="{B30473B1-A8DF-4ABD-AA1D-04D8E0B47372}"/>
            </a:ext>
          </a:extLst>
        </xdr:cNvPr>
        <xdr:cNvSpPr txBox="1"/>
      </xdr:nvSpPr>
      <xdr:spPr>
        <a:xfrm>
          <a:off x="13760731" y="4985391"/>
          <a:ext cx="2963686" cy="60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A6A0A07-4924-4582-9324-5191D40DE0F5}" type="TxLink">
            <a:rPr lang="en-US" sz="4800" b="0" i="0" u="none" strike="noStrike">
              <a:solidFill>
                <a:schemeClr val="bg1"/>
              </a:solidFill>
              <a:latin typeface="Roboto condensed" panose="02000000000000000000" pitchFamily="2" charset="0"/>
              <a:ea typeface="Roboto condensed" panose="02000000000000000000" pitchFamily="2" charset="0"/>
              <a:cs typeface="Calibri"/>
            </a:rPr>
            <a:pPr marL="0" indent="0" algn="l"/>
            <a:t> $12,52,013 </a:t>
          </a:fld>
          <a:endParaRPr lang="en-US" sz="48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23</xdr:col>
      <xdr:colOff>217714</xdr:colOff>
      <xdr:row>23</xdr:row>
      <xdr:rowOff>29688</xdr:rowOff>
    </xdr:from>
    <xdr:to>
      <xdr:col>23</xdr:col>
      <xdr:colOff>583474</xdr:colOff>
      <xdr:row>25</xdr:row>
      <xdr:rowOff>39188</xdr:rowOff>
    </xdr:to>
    <xdr:pic>
      <xdr:nvPicPr>
        <xdr:cNvPr id="15" name="Picture 14">
          <a:extLst>
            <a:ext uri="{FF2B5EF4-FFF2-40B4-BE49-F238E27FC236}">
              <a16:creationId xmlns:a16="http://schemas.microsoft.com/office/drawing/2014/main" id="{9D461611-CB83-4538-8133-828B0302BC1D}"/>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4329558" y="4126675"/>
          <a:ext cx="365760" cy="365760"/>
        </a:xfrm>
        <a:prstGeom prst="rect">
          <a:avLst/>
        </a:prstGeom>
      </xdr:spPr>
    </xdr:pic>
    <xdr:clientData/>
  </xdr:twoCellAnchor>
  <xdr:twoCellAnchor editAs="absolute">
    <xdr:from>
      <xdr:col>23</xdr:col>
      <xdr:colOff>303628</xdr:colOff>
      <xdr:row>11</xdr:row>
      <xdr:rowOff>145054</xdr:rowOff>
    </xdr:from>
    <xdr:to>
      <xdr:col>25</xdr:col>
      <xdr:colOff>293077</xdr:colOff>
      <xdr:row>13</xdr:row>
      <xdr:rowOff>76200</xdr:rowOff>
    </xdr:to>
    <xdr:sp macro="" textlink="Pivottables!H89">
      <xdr:nvSpPr>
        <xdr:cNvPr id="116" name="TextBox 115">
          <a:extLst>
            <a:ext uri="{FF2B5EF4-FFF2-40B4-BE49-F238E27FC236}">
              <a16:creationId xmlns:a16="http://schemas.microsoft.com/office/drawing/2014/main" id="{FD902A9F-5793-4820-BFAF-81F170999BD2}"/>
            </a:ext>
          </a:extLst>
        </xdr:cNvPr>
        <xdr:cNvSpPr txBox="1"/>
      </xdr:nvSpPr>
      <xdr:spPr>
        <a:xfrm>
          <a:off x="14415472" y="2104483"/>
          <a:ext cx="1216566" cy="287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727FE0-0CC8-46B0-BA30-29B61BB91101}"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algn="ctr"/>
            <a:t> 3,65,781 </a:t>
          </a:fld>
          <a:endParaRPr lang="en-US" sz="32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23</xdr:col>
      <xdr:colOff>303628</xdr:colOff>
      <xdr:row>10</xdr:row>
      <xdr:rowOff>46442</xdr:rowOff>
    </xdr:from>
    <xdr:to>
      <xdr:col>25</xdr:col>
      <xdr:colOff>293077</xdr:colOff>
      <xdr:row>11</xdr:row>
      <xdr:rowOff>156883</xdr:rowOff>
    </xdr:to>
    <xdr:sp macro="" textlink="">
      <xdr:nvSpPr>
        <xdr:cNvPr id="118" name="TextBox 117">
          <a:extLst>
            <a:ext uri="{FF2B5EF4-FFF2-40B4-BE49-F238E27FC236}">
              <a16:creationId xmlns:a16="http://schemas.microsoft.com/office/drawing/2014/main" id="{BEC814B6-A6A2-49B7-B710-9DC9C370FCAB}"/>
            </a:ext>
          </a:extLst>
        </xdr:cNvPr>
        <xdr:cNvSpPr txBox="1"/>
      </xdr:nvSpPr>
      <xdr:spPr>
        <a:xfrm>
          <a:off x="14415472" y="1827741"/>
          <a:ext cx="1216566" cy="288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Roboto condensed" panose="02000000000000000000" pitchFamily="2" charset="0"/>
              <a:ea typeface="Roboto condensed" panose="02000000000000000000" pitchFamily="2" charset="0"/>
              <a:cs typeface="Calibri"/>
            </a:rPr>
            <a:t> Download </a:t>
          </a:r>
        </a:p>
      </xdr:txBody>
    </xdr:sp>
    <xdr:clientData/>
  </xdr:twoCellAnchor>
  <xdr:twoCellAnchor editAs="absolute">
    <xdr:from>
      <xdr:col>19</xdr:col>
      <xdr:colOff>429134</xdr:colOff>
      <xdr:row>40</xdr:row>
      <xdr:rowOff>145054</xdr:rowOff>
    </xdr:from>
    <xdr:to>
      <xdr:col>21</xdr:col>
      <xdr:colOff>418583</xdr:colOff>
      <xdr:row>42</xdr:row>
      <xdr:rowOff>76201</xdr:rowOff>
    </xdr:to>
    <xdr:sp macro="" textlink="Pivottables!H90">
      <xdr:nvSpPr>
        <xdr:cNvPr id="120" name="TextBox 119">
          <a:extLst>
            <a:ext uri="{FF2B5EF4-FFF2-40B4-BE49-F238E27FC236}">
              <a16:creationId xmlns:a16="http://schemas.microsoft.com/office/drawing/2014/main" id="{207EFB0C-DBBA-41F1-BC50-7F6F8366B957}"/>
            </a:ext>
          </a:extLst>
        </xdr:cNvPr>
        <xdr:cNvSpPr txBox="1"/>
      </xdr:nvSpPr>
      <xdr:spPr>
        <a:xfrm>
          <a:off x="12011534" y="7413362"/>
          <a:ext cx="1208649" cy="294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8476DC9-DD92-46CF-8A21-25646401FD4D}"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 4,42,688 </a:t>
          </a:fld>
          <a:endParaRPr lang="en-US"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19</xdr:col>
      <xdr:colOff>429134</xdr:colOff>
      <xdr:row>39</xdr:row>
      <xdr:rowOff>46442</xdr:rowOff>
    </xdr:from>
    <xdr:to>
      <xdr:col>21</xdr:col>
      <xdr:colOff>418583</xdr:colOff>
      <xdr:row>40</xdr:row>
      <xdr:rowOff>156883</xdr:rowOff>
    </xdr:to>
    <xdr:sp macro="" textlink="">
      <xdr:nvSpPr>
        <xdr:cNvPr id="127" name="TextBox 126">
          <a:extLst>
            <a:ext uri="{FF2B5EF4-FFF2-40B4-BE49-F238E27FC236}">
              <a16:creationId xmlns:a16="http://schemas.microsoft.com/office/drawing/2014/main" id="{A3309458-120E-4030-B6F7-07D520F382CC}"/>
            </a:ext>
          </a:extLst>
        </xdr:cNvPr>
        <xdr:cNvSpPr txBox="1"/>
      </xdr:nvSpPr>
      <xdr:spPr>
        <a:xfrm>
          <a:off x="12011534" y="7133042"/>
          <a:ext cx="1208649" cy="292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Roboto condensed" panose="02000000000000000000" pitchFamily="2" charset="0"/>
              <a:ea typeface="Roboto condensed" panose="02000000000000000000" pitchFamily="2" charset="0"/>
              <a:cs typeface="Calibri"/>
            </a:rPr>
            <a:t> Shipment </a:t>
          </a:r>
        </a:p>
      </xdr:txBody>
    </xdr:sp>
    <xdr:clientData/>
  </xdr:twoCellAnchor>
  <xdr:twoCellAnchor editAs="absolute">
    <xdr:from>
      <xdr:col>27</xdr:col>
      <xdr:colOff>529727</xdr:colOff>
      <xdr:row>40</xdr:row>
      <xdr:rowOff>109195</xdr:rowOff>
    </xdr:from>
    <xdr:to>
      <xdr:col>29</xdr:col>
      <xdr:colOff>519176</xdr:colOff>
      <xdr:row>42</xdr:row>
      <xdr:rowOff>40342</xdr:rowOff>
    </xdr:to>
    <xdr:sp macro="" textlink="Pivottables!H88">
      <xdr:nvSpPr>
        <xdr:cNvPr id="128" name="TextBox 127">
          <a:extLst>
            <a:ext uri="{FF2B5EF4-FFF2-40B4-BE49-F238E27FC236}">
              <a16:creationId xmlns:a16="http://schemas.microsoft.com/office/drawing/2014/main" id="{202AC897-80B3-4C63-93D4-8186D533DA3C}"/>
            </a:ext>
          </a:extLst>
        </xdr:cNvPr>
        <xdr:cNvSpPr txBox="1"/>
      </xdr:nvSpPr>
      <xdr:spPr>
        <a:xfrm>
          <a:off x="16988927" y="7377503"/>
          <a:ext cx="1208649" cy="294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58CFE4-34BA-4F28-A58F-C0EA142E4EEF}"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 4,43,544 </a:t>
          </a:fld>
          <a:endParaRPr lang="en-US"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27</xdr:col>
      <xdr:colOff>529727</xdr:colOff>
      <xdr:row>39</xdr:row>
      <xdr:rowOff>10583</xdr:rowOff>
    </xdr:from>
    <xdr:to>
      <xdr:col>29</xdr:col>
      <xdr:colOff>519176</xdr:colOff>
      <xdr:row>40</xdr:row>
      <xdr:rowOff>121024</xdr:rowOff>
    </xdr:to>
    <xdr:sp macro="" textlink="">
      <xdr:nvSpPr>
        <xdr:cNvPr id="129" name="TextBox 128">
          <a:extLst>
            <a:ext uri="{FF2B5EF4-FFF2-40B4-BE49-F238E27FC236}">
              <a16:creationId xmlns:a16="http://schemas.microsoft.com/office/drawing/2014/main" id="{2BD360C5-214C-43FC-8014-D8F762291122}"/>
            </a:ext>
          </a:extLst>
        </xdr:cNvPr>
        <xdr:cNvSpPr txBox="1"/>
      </xdr:nvSpPr>
      <xdr:spPr>
        <a:xfrm>
          <a:off x="16988927" y="7097183"/>
          <a:ext cx="1208649" cy="292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Roboto condensed" panose="02000000000000000000" pitchFamily="2" charset="0"/>
              <a:ea typeface="Roboto condensed" panose="02000000000000000000" pitchFamily="2" charset="0"/>
              <a:cs typeface="Calibri"/>
            </a:rPr>
            <a:t>Branch</a:t>
          </a:r>
        </a:p>
      </xdr:txBody>
    </xdr:sp>
    <xdr:clientData/>
  </xdr:twoCellAnchor>
  <xdr:twoCellAnchor editAs="absolute">
    <xdr:from>
      <xdr:col>24</xdr:col>
      <xdr:colOff>115472</xdr:colOff>
      <xdr:row>8</xdr:row>
      <xdr:rowOff>39584</xdr:rowOff>
    </xdr:from>
    <xdr:to>
      <xdr:col>24</xdr:col>
      <xdr:colOff>481232</xdr:colOff>
      <xdr:row>10</xdr:row>
      <xdr:rowOff>49084</xdr:rowOff>
    </xdr:to>
    <xdr:sp macro="" textlink="">
      <xdr:nvSpPr>
        <xdr:cNvPr id="21" name="Rectangle: Rounded Corners 20">
          <a:extLst>
            <a:ext uri="{FF2B5EF4-FFF2-40B4-BE49-F238E27FC236}">
              <a16:creationId xmlns:a16="http://schemas.microsoft.com/office/drawing/2014/main" id="{5423EDE6-FC13-4D41-BF43-6760294F24B8}"/>
            </a:ext>
          </a:extLst>
        </xdr:cNvPr>
        <xdr:cNvSpPr/>
      </xdr:nvSpPr>
      <xdr:spPr>
        <a:xfrm>
          <a:off x="14745872" y="1493246"/>
          <a:ext cx="365760" cy="372915"/>
        </a:xfrm>
        <a:prstGeom prst="roundRect">
          <a:avLst/>
        </a:prstGeom>
        <a:solidFill>
          <a:schemeClr val="tx1"/>
        </a:solidFill>
        <a:ln w="3175">
          <a:solidFill>
            <a:schemeClr val="bg1">
              <a:alpha val="3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24</xdr:col>
      <xdr:colOff>129188</xdr:colOff>
      <xdr:row>8</xdr:row>
      <xdr:rowOff>71399</xdr:rowOff>
    </xdr:from>
    <xdr:to>
      <xdr:col>24</xdr:col>
      <xdr:colOff>467516</xdr:colOff>
      <xdr:row>10</xdr:row>
      <xdr:rowOff>46312</xdr:rowOff>
    </xdr:to>
    <xdr:pic>
      <xdr:nvPicPr>
        <xdr:cNvPr id="34" name="Picture 33">
          <a:extLst>
            <a:ext uri="{FF2B5EF4-FFF2-40B4-BE49-F238E27FC236}">
              <a16:creationId xmlns:a16="http://schemas.microsoft.com/office/drawing/2014/main" id="{D2DDA4F6-5932-487D-8C3A-88140877359A}"/>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4759588" y="1525061"/>
          <a:ext cx="338328" cy="338328"/>
        </a:xfrm>
        <a:prstGeom prst="rect">
          <a:avLst/>
        </a:prstGeom>
      </xdr:spPr>
    </xdr:pic>
    <xdr:clientData/>
  </xdr:twoCellAnchor>
  <xdr:twoCellAnchor editAs="absolute">
    <xdr:from>
      <xdr:col>28</xdr:col>
      <xdr:colOff>341571</xdr:colOff>
      <xdr:row>37</xdr:row>
      <xdr:rowOff>45445</xdr:rowOff>
    </xdr:from>
    <xdr:to>
      <xdr:col>29</xdr:col>
      <xdr:colOff>97731</xdr:colOff>
      <xdr:row>39</xdr:row>
      <xdr:rowOff>54945</xdr:rowOff>
    </xdr:to>
    <xdr:sp macro="" textlink="">
      <xdr:nvSpPr>
        <xdr:cNvPr id="130" name="Rectangle: Rounded Corners 129">
          <a:extLst>
            <a:ext uri="{FF2B5EF4-FFF2-40B4-BE49-F238E27FC236}">
              <a16:creationId xmlns:a16="http://schemas.microsoft.com/office/drawing/2014/main" id="{74B40CFC-50AC-413F-A7CB-5F50CFB3FB44}"/>
            </a:ext>
          </a:extLst>
        </xdr:cNvPr>
        <xdr:cNvSpPr/>
      </xdr:nvSpPr>
      <xdr:spPr>
        <a:xfrm>
          <a:off x="17410371" y="6768630"/>
          <a:ext cx="365760" cy="372915"/>
        </a:xfrm>
        <a:prstGeom prst="roundRect">
          <a:avLst/>
        </a:prstGeom>
        <a:solidFill>
          <a:schemeClr val="tx1"/>
        </a:solidFill>
        <a:ln w="3175">
          <a:solidFill>
            <a:schemeClr val="bg1">
              <a:alpha val="3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20</xdr:col>
      <xdr:colOff>254694</xdr:colOff>
      <xdr:row>37</xdr:row>
      <xdr:rowOff>97246</xdr:rowOff>
    </xdr:from>
    <xdr:to>
      <xdr:col>20</xdr:col>
      <xdr:colOff>593022</xdr:colOff>
      <xdr:row>39</xdr:row>
      <xdr:rowOff>72159</xdr:rowOff>
    </xdr:to>
    <xdr:pic>
      <xdr:nvPicPr>
        <xdr:cNvPr id="31" name="Picture 30">
          <a:extLst>
            <a:ext uri="{FF2B5EF4-FFF2-40B4-BE49-F238E27FC236}">
              <a16:creationId xmlns:a16="http://schemas.microsoft.com/office/drawing/2014/main" id="{F7262B7D-4BC3-40FB-A46E-B823C47F52C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446694" y="6820431"/>
          <a:ext cx="338328" cy="338328"/>
        </a:xfrm>
        <a:prstGeom prst="rect">
          <a:avLst/>
        </a:prstGeom>
      </xdr:spPr>
    </xdr:pic>
    <xdr:clientData/>
  </xdr:twoCellAnchor>
  <xdr:twoCellAnchor editAs="absolute">
    <xdr:from>
      <xdr:col>28</xdr:col>
      <xdr:colOff>355287</xdr:colOff>
      <xdr:row>37</xdr:row>
      <xdr:rowOff>58614</xdr:rowOff>
    </xdr:from>
    <xdr:to>
      <xdr:col>29</xdr:col>
      <xdr:colOff>84015</xdr:colOff>
      <xdr:row>39</xdr:row>
      <xdr:rowOff>33527</xdr:rowOff>
    </xdr:to>
    <xdr:pic>
      <xdr:nvPicPr>
        <xdr:cNvPr id="131" name="Picture 130">
          <a:extLst>
            <a:ext uri="{FF2B5EF4-FFF2-40B4-BE49-F238E27FC236}">
              <a16:creationId xmlns:a16="http://schemas.microsoft.com/office/drawing/2014/main" id="{F96382AC-79F3-4524-8D04-1768A5E897D7}"/>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7424087" y="6781799"/>
          <a:ext cx="338328" cy="338328"/>
        </a:xfrm>
        <a:prstGeom prst="rect">
          <a:avLst/>
        </a:prstGeom>
      </xdr:spPr>
    </xdr:pic>
    <xdr:clientData/>
  </xdr:twoCellAnchor>
  <xdr:twoCellAnchor editAs="absolute">
    <xdr:from>
      <xdr:col>0</xdr:col>
      <xdr:colOff>427808</xdr:colOff>
      <xdr:row>4</xdr:row>
      <xdr:rowOff>29688</xdr:rowOff>
    </xdr:from>
    <xdr:to>
      <xdr:col>3</xdr:col>
      <xdr:colOff>149233</xdr:colOff>
      <xdr:row>6</xdr:row>
      <xdr:rowOff>103196</xdr:rowOff>
    </xdr:to>
    <xdr:sp macro="" textlink="">
      <xdr:nvSpPr>
        <xdr:cNvPr id="132" name="Rectangle: Rounded Corners 131">
          <a:extLst>
            <a:ext uri="{FF2B5EF4-FFF2-40B4-BE49-F238E27FC236}">
              <a16:creationId xmlns:a16="http://schemas.microsoft.com/office/drawing/2014/main" id="{D3AC3F31-031C-4412-BBD7-FACA5C4142D8}"/>
            </a:ext>
          </a:extLst>
        </xdr:cNvPr>
        <xdr:cNvSpPr/>
      </xdr:nvSpPr>
      <xdr:spPr>
        <a:xfrm>
          <a:off x="427808" y="742207"/>
          <a:ext cx="1562100" cy="429768"/>
        </a:xfrm>
        <a:prstGeom prst="roundRect">
          <a:avLst>
            <a:gd name="adj" fmla="val 50000"/>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547823</xdr:colOff>
      <xdr:row>4</xdr:row>
      <xdr:rowOff>92172</xdr:rowOff>
    </xdr:from>
    <xdr:to>
      <xdr:col>3</xdr:col>
      <xdr:colOff>36838</xdr:colOff>
      <xdr:row>6</xdr:row>
      <xdr:rowOff>40712</xdr:rowOff>
    </xdr:to>
    <xdr:sp macro="" textlink="">
      <xdr:nvSpPr>
        <xdr:cNvPr id="133" name="TextBox 132">
          <a:extLst>
            <a:ext uri="{FF2B5EF4-FFF2-40B4-BE49-F238E27FC236}">
              <a16:creationId xmlns:a16="http://schemas.microsoft.com/office/drawing/2014/main" id="{E0B51784-535B-48EC-B259-CF19F1AC05E7}"/>
            </a:ext>
          </a:extLst>
        </xdr:cNvPr>
        <xdr:cNvSpPr txBox="1"/>
      </xdr:nvSpPr>
      <xdr:spPr>
        <a:xfrm>
          <a:off x="547823" y="804691"/>
          <a:ext cx="132969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latin typeface="Roboto condensed" panose="02000000000000000000" pitchFamily="2" charset="0"/>
              <a:ea typeface="Roboto condensed" panose="02000000000000000000" pitchFamily="2" charset="0"/>
            </a:rPr>
            <a:t>Sales Process</a:t>
          </a:r>
        </a:p>
      </xdr:txBody>
    </xdr:sp>
    <xdr:clientData/>
  </xdr:twoCellAnchor>
  <xdr:twoCellAnchor editAs="absolute">
    <xdr:from>
      <xdr:col>3</xdr:col>
      <xdr:colOff>207817</xdr:colOff>
      <xdr:row>4</xdr:row>
      <xdr:rowOff>49480</xdr:rowOff>
    </xdr:from>
    <xdr:to>
      <xdr:col>8</xdr:col>
      <xdr:colOff>514595</xdr:colOff>
      <xdr:row>7</xdr:row>
      <xdr:rowOff>19791</xdr:rowOff>
    </xdr:to>
    <xdr:sp macro="" textlink="">
      <xdr:nvSpPr>
        <xdr:cNvPr id="134" name="TextBox 133">
          <a:extLst>
            <a:ext uri="{FF2B5EF4-FFF2-40B4-BE49-F238E27FC236}">
              <a16:creationId xmlns:a16="http://schemas.microsoft.com/office/drawing/2014/main" id="{BC3D342C-1464-44A8-B703-D86ED0E7B8D1}"/>
            </a:ext>
          </a:extLst>
        </xdr:cNvPr>
        <xdr:cNvSpPr txBox="1"/>
      </xdr:nvSpPr>
      <xdr:spPr>
        <a:xfrm>
          <a:off x="2048492" y="761999"/>
          <a:ext cx="3374571" cy="504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a:solidFill>
                <a:schemeClr val="bg1"/>
              </a:solidFill>
              <a:latin typeface="Roboto condensed" panose="02000000000000000000" pitchFamily="2" charset="0"/>
              <a:ea typeface="Roboto condensed" panose="02000000000000000000" pitchFamily="2" charset="0"/>
            </a:rPr>
            <a:t>Set of repeatable</a:t>
          </a:r>
          <a:r>
            <a:rPr lang="en-IN" sz="1000" baseline="0">
              <a:solidFill>
                <a:schemeClr val="bg1"/>
              </a:solidFill>
              <a:latin typeface="Roboto condensed" panose="02000000000000000000" pitchFamily="2" charset="0"/>
              <a:ea typeface="Roboto condensed" panose="02000000000000000000" pitchFamily="2" charset="0"/>
            </a:rPr>
            <a:t> steps that a sales takes to take a prospective buyer from the early stage of awareness to a closed sale.</a:t>
          </a:r>
          <a:endParaRPr lang="en-IN" sz="10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14</xdr:col>
      <xdr:colOff>79173</xdr:colOff>
      <xdr:row>3</xdr:row>
      <xdr:rowOff>118752</xdr:rowOff>
    </xdr:from>
    <xdr:to>
      <xdr:col>17</xdr:col>
      <xdr:colOff>597649</xdr:colOff>
      <xdr:row>8</xdr:row>
      <xdr:rowOff>142503</xdr:rowOff>
    </xdr:to>
    <xdr:graphicFrame macro="">
      <xdr:nvGraphicFramePr>
        <xdr:cNvPr id="135" name="Chart 134">
          <a:extLst>
            <a:ext uri="{FF2B5EF4-FFF2-40B4-BE49-F238E27FC236}">
              <a16:creationId xmlns:a16="http://schemas.microsoft.com/office/drawing/2014/main" id="{69CCCE38-6F54-4CC8-97C2-412F7892E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10</xdr:col>
      <xdr:colOff>257299</xdr:colOff>
      <xdr:row>4</xdr:row>
      <xdr:rowOff>49480</xdr:rowOff>
    </xdr:from>
    <xdr:to>
      <xdr:col>12</xdr:col>
      <xdr:colOff>218902</xdr:colOff>
      <xdr:row>10</xdr:row>
      <xdr:rowOff>169420</xdr:rowOff>
    </xdr:to>
    <xdr:grpSp>
      <xdr:nvGrpSpPr>
        <xdr:cNvPr id="37" name="Group 36">
          <a:extLst>
            <a:ext uri="{FF2B5EF4-FFF2-40B4-BE49-F238E27FC236}">
              <a16:creationId xmlns:a16="http://schemas.microsoft.com/office/drawing/2014/main" id="{5E299F93-329C-4E07-A732-24AC7E6DD6AB}"/>
            </a:ext>
          </a:extLst>
        </xdr:cNvPr>
        <xdr:cNvGrpSpPr/>
      </xdr:nvGrpSpPr>
      <xdr:grpSpPr>
        <a:xfrm>
          <a:off x="6353299" y="773380"/>
          <a:ext cx="1180803" cy="1205790"/>
          <a:chOff x="6392883" y="761999"/>
          <a:chExt cx="1188720" cy="1188720"/>
        </a:xfrm>
      </xdr:grpSpPr>
      <xdr:sp macro="" textlink="">
        <xdr:nvSpPr>
          <xdr:cNvPr id="35" name="Oval 34">
            <a:extLst>
              <a:ext uri="{FF2B5EF4-FFF2-40B4-BE49-F238E27FC236}">
                <a16:creationId xmlns:a16="http://schemas.microsoft.com/office/drawing/2014/main" id="{C1478522-D312-4EF8-AD79-E002DBCCA7AD}"/>
              </a:ext>
            </a:extLst>
          </xdr:cNvPr>
          <xdr:cNvSpPr/>
        </xdr:nvSpPr>
        <xdr:spPr>
          <a:xfrm>
            <a:off x="6392883" y="761999"/>
            <a:ext cx="1188720" cy="1188720"/>
          </a:xfrm>
          <a:prstGeom prst="ellipse">
            <a:avLst/>
          </a:prstGeom>
          <a:noFill/>
          <a:ln w="38100">
            <a:solidFill>
              <a:schemeClr val="bg1">
                <a:alpha val="37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6" name="Oval 35">
            <a:extLst>
              <a:ext uri="{FF2B5EF4-FFF2-40B4-BE49-F238E27FC236}">
                <a16:creationId xmlns:a16="http://schemas.microsoft.com/office/drawing/2014/main" id="{41DF3408-7A4E-4720-8AE4-3C847AF9B5E1}"/>
              </a:ext>
            </a:extLst>
          </xdr:cNvPr>
          <xdr:cNvSpPr/>
        </xdr:nvSpPr>
        <xdr:spPr>
          <a:xfrm>
            <a:off x="6667203" y="1036319"/>
            <a:ext cx="640080" cy="640080"/>
          </a:xfrm>
          <a:prstGeom prst="ellipse">
            <a:avLst/>
          </a:prstGeom>
          <a:gradFill>
            <a:gsLst>
              <a:gs pos="0">
                <a:srgbClr val="194AFE"/>
              </a:gs>
              <a:gs pos="100000">
                <a:srgbClr val="FF6C8F"/>
              </a:gs>
            </a:gsLst>
            <a:lin ang="108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10</xdr:col>
      <xdr:colOff>197922</xdr:colOff>
      <xdr:row>4</xdr:row>
      <xdr:rowOff>98962</xdr:rowOff>
    </xdr:from>
    <xdr:to>
      <xdr:col>12</xdr:col>
      <xdr:colOff>278397</xdr:colOff>
      <xdr:row>10</xdr:row>
      <xdr:rowOff>118318</xdr:rowOff>
    </xdr:to>
    <xdr:graphicFrame macro="">
      <xdr:nvGraphicFramePr>
        <xdr:cNvPr id="136" name="Chart 135">
          <a:extLst>
            <a:ext uri="{FF2B5EF4-FFF2-40B4-BE49-F238E27FC236}">
              <a16:creationId xmlns:a16="http://schemas.microsoft.com/office/drawing/2014/main" id="{D748A26B-346E-400D-99EC-10CFA7FA83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10</xdr:col>
      <xdr:colOff>328893</xdr:colOff>
      <xdr:row>8</xdr:row>
      <xdr:rowOff>69272</xdr:rowOff>
    </xdr:from>
    <xdr:to>
      <xdr:col>12</xdr:col>
      <xdr:colOff>59376</xdr:colOff>
      <xdr:row>9</xdr:row>
      <xdr:rowOff>135128</xdr:rowOff>
    </xdr:to>
    <xdr:sp macro="" textlink="">
      <xdr:nvSpPr>
        <xdr:cNvPr id="137" name="TextBox 136">
          <a:extLst>
            <a:ext uri="{FF2B5EF4-FFF2-40B4-BE49-F238E27FC236}">
              <a16:creationId xmlns:a16="http://schemas.microsoft.com/office/drawing/2014/main" id="{8DA6B45C-106E-46D4-A2D3-1E48402B1113}"/>
            </a:ext>
          </a:extLst>
        </xdr:cNvPr>
        <xdr:cNvSpPr txBox="1"/>
      </xdr:nvSpPr>
      <xdr:spPr>
        <a:xfrm>
          <a:off x="6464477" y="1494311"/>
          <a:ext cx="957600" cy="243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chemeClr val="tx1"/>
              </a:solidFill>
              <a:latin typeface="Roboto condensed" panose="02000000000000000000" pitchFamily="2" charset="0"/>
              <a:ea typeface="Roboto condensed" panose="02000000000000000000" pitchFamily="2" charset="0"/>
              <a:cs typeface="Calibri"/>
            </a:rPr>
            <a:t>Refunded</a:t>
          </a:r>
          <a:endParaRPr lang="en-US" sz="1600" b="0" i="0" u="none" strike="noStrike">
            <a:solidFill>
              <a:schemeClr val="tx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10</xdr:col>
      <xdr:colOff>259621</xdr:colOff>
      <xdr:row>7</xdr:row>
      <xdr:rowOff>79168</xdr:rowOff>
    </xdr:from>
    <xdr:to>
      <xdr:col>11</xdr:col>
      <xdr:colOff>603662</xdr:colOff>
      <xdr:row>8</xdr:row>
      <xdr:rowOff>145024</xdr:rowOff>
    </xdr:to>
    <xdr:sp macro="" textlink="Pivottables!F102">
      <xdr:nvSpPr>
        <xdr:cNvPr id="138" name="TextBox 137">
          <a:extLst>
            <a:ext uri="{FF2B5EF4-FFF2-40B4-BE49-F238E27FC236}">
              <a16:creationId xmlns:a16="http://schemas.microsoft.com/office/drawing/2014/main" id="{312CA2AD-188D-440C-AE31-D2480A5E83EC}"/>
            </a:ext>
          </a:extLst>
        </xdr:cNvPr>
        <xdr:cNvSpPr txBox="1"/>
      </xdr:nvSpPr>
      <xdr:spPr>
        <a:xfrm>
          <a:off x="6395205" y="1326077"/>
          <a:ext cx="957600" cy="243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879146A-17C1-46BE-B700-576A66CC5FE3}" type="TxLink">
            <a:rPr lang="en-US" sz="1600" b="0" i="0" u="none" strike="noStrike">
              <a:solidFill>
                <a:srgbClr val="000000"/>
              </a:solidFill>
              <a:latin typeface="Roboto condensed" panose="02000000000000000000" pitchFamily="2" charset="0"/>
              <a:ea typeface="Roboto condensed" panose="02000000000000000000" pitchFamily="2" charset="0"/>
              <a:cs typeface="Calibri"/>
            </a:rPr>
            <a:pPr marL="0" indent="0" algn="ctr"/>
            <a:t>21%</a:t>
          </a:fld>
          <a:endParaRPr lang="en-US" sz="2400" b="0" i="0" u="none" strike="noStrike">
            <a:solidFill>
              <a:schemeClr val="tx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xdr:col>
      <xdr:colOff>213360</xdr:colOff>
      <xdr:row>0</xdr:row>
      <xdr:rowOff>107519</xdr:rowOff>
    </xdr:from>
    <xdr:to>
      <xdr:col>2</xdr:col>
      <xdr:colOff>377041</xdr:colOff>
      <xdr:row>1</xdr:row>
      <xdr:rowOff>127509</xdr:rowOff>
    </xdr:to>
    <xdr:sp macro="" textlink="">
      <xdr:nvSpPr>
        <xdr:cNvPr id="139" name="TextBox 138">
          <a:extLst>
            <a:ext uri="{FF2B5EF4-FFF2-40B4-BE49-F238E27FC236}">
              <a16:creationId xmlns:a16="http://schemas.microsoft.com/office/drawing/2014/main" id="{7A716F4A-7248-4219-BC01-6F42273A67D0}"/>
            </a:ext>
          </a:extLst>
        </xdr:cNvPr>
        <xdr:cNvSpPr txBox="1"/>
      </xdr:nvSpPr>
      <xdr:spPr>
        <a:xfrm>
          <a:off x="826918" y="107519"/>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GitHub</a:t>
          </a:r>
        </a:p>
      </xdr:txBody>
    </xdr:sp>
    <xdr:clientData/>
  </xdr:twoCellAnchor>
  <xdr:twoCellAnchor editAs="absolute">
    <xdr:from>
      <xdr:col>10</xdr:col>
      <xdr:colOff>101534</xdr:colOff>
      <xdr:row>0</xdr:row>
      <xdr:rowOff>107519</xdr:rowOff>
    </xdr:from>
    <xdr:to>
      <xdr:col>11</xdr:col>
      <xdr:colOff>265215</xdr:colOff>
      <xdr:row>1</xdr:row>
      <xdr:rowOff>127509</xdr:rowOff>
    </xdr:to>
    <xdr:sp macro="" textlink="">
      <xdr:nvSpPr>
        <xdr:cNvPr id="140" name="TextBox 139">
          <a:extLst>
            <a:ext uri="{FF2B5EF4-FFF2-40B4-BE49-F238E27FC236}">
              <a16:creationId xmlns:a16="http://schemas.microsoft.com/office/drawing/2014/main" id="{4467F4B6-F078-4986-B6AB-D7E66E82490B}"/>
            </a:ext>
          </a:extLst>
        </xdr:cNvPr>
        <xdr:cNvSpPr txBox="1"/>
      </xdr:nvSpPr>
      <xdr:spPr>
        <a:xfrm>
          <a:off x="6237118" y="107519"/>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Linkedin</a:t>
          </a:r>
        </a:p>
      </xdr:txBody>
    </xdr:sp>
    <xdr:clientData/>
  </xdr:twoCellAnchor>
  <xdr:twoCellAnchor editAs="oneCell">
    <xdr:from>
      <xdr:col>1</xdr:col>
      <xdr:colOff>0</xdr:colOff>
      <xdr:row>0</xdr:row>
      <xdr:rowOff>54686</xdr:rowOff>
    </xdr:from>
    <xdr:to>
      <xdr:col>1</xdr:col>
      <xdr:colOff>274320</xdr:colOff>
      <xdr:row>1</xdr:row>
      <xdr:rowOff>150876</xdr:rowOff>
    </xdr:to>
    <xdr:pic>
      <xdr:nvPicPr>
        <xdr:cNvPr id="141" name="Picture 140">
          <a:hlinkClick xmlns:r="http://schemas.openxmlformats.org/officeDocument/2006/relationships" r:id="rId21"/>
          <a:extLst>
            <a:ext uri="{FF2B5EF4-FFF2-40B4-BE49-F238E27FC236}">
              <a16:creationId xmlns:a16="http://schemas.microsoft.com/office/drawing/2014/main" id="{2708D09D-69BC-47B2-98B5-A1F417ADE657}"/>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613558" y="54686"/>
          <a:ext cx="274320" cy="274320"/>
        </a:xfrm>
        <a:prstGeom prst="rect">
          <a:avLst/>
        </a:prstGeom>
      </xdr:spPr>
    </xdr:pic>
    <xdr:clientData/>
  </xdr:twoCellAnchor>
  <xdr:twoCellAnchor editAs="oneCell">
    <xdr:from>
      <xdr:col>9</xdr:col>
      <xdr:colOff>514572</xdr:colOff>
      <xdr:row>0</xdr:row>
      <xdr:rowOff>54686</xdr:rowOff>
    </xdr:from>
    <xdr:to>
      <xdr:col>10</xdr:col>
      <xdr:colOff>175334</xdr:colOff>
      <xdr:row>1</xdr:row>
      <xdr:rowOff>150876</xdr:rowOff>
    </xdr:to>
    <xdr:pic>
      <xdr:nvPicPr>
        <xdr:cNvPr id="142" name="Picture 141">
          <a:hlinkClick xmlns:r="http://schemas.openxmlformats.org/officeDocument/2006/relationships" r:id="rId23"/>
          <a:extLst>
            <a:ext uri="{FF2B5EF4-FFF2-40B4-BE49-F238E27FC236}">
              <a16:creationId xmlns:a16="http://schemas.microsoft.com/office/drawing/2014/main" id="{48ACFD3A-DFB5-4723-BF7B-AE55D8CD7BAC}"/>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6036598" y="54686"/>
          <a:ext cx="274320" cy="274320"/>
        </a:xfrm>
        <a:prstGeom prst="rect">
          <a:avLst/>
        </a:prstGeom>
      </xdr:spPr>
    </xdr:pic>
    <xdr:clientData/>
  </xdr:twoCellAnchor>
  <xdr:twoCellAnchor editAs="absolute">
    <xdr:from>
      <xdr:col>6</xdr:col>
      <xdr:colOff>231437</xdr:colOff>
      <xdr:row>13</xdr:row>
      <xdr:rowOff>118069</xdr:rowOff>
    </xdr:from>
    <xdr:to>
      <xdr:col>7</xdr:col>
      <xdr:colOff>567905</xdr:colOff>
      <xdr:row>15</xdr:row>
      <xdr:rowOff>24909</xdr:rowOff>
    </xdr:to>
    <xdr:sp macro="" textlink="Pivottables!J59">
      <xdr:nvSpPr>
        <xdr:cNvPr id="143" name="TextBox 142">
          <a:extLst>
            <a:ext uri="{FF2B5EF4-FFF2-40B4-BE49-F238E27FC236}">
              <a16:creationId xmlns:a16="http://schemas.microsoft.com/office/drawing/2014/main" id="{58EB9989-6A29-40A7-8C95-D46393D28434}"/>
            </a:ext>
          </a:extLst>
        </xdr:cNvPr>
        <xdr:cNvSpPr txBox="1"/>
      </xdr:nvSpPr>
      <xdr:spPr>
        <a:xfrm>
          <a:off x="3912788" y="2433757"/>
          <a:ext cx="950026" cy="263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81C3119-8B61-4BB6-9A90-AEF9A2F8FB46}"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1619</a:t>
          </a:fld>
          <a:endParaRPr lang="en-IN" sz="24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119.810712962964" createdVersion="7" refreshedVersion="7" minRefreshableVersion="3" recordCount="900" xr:uid="{FA800860-0932-460C-9489-7557910418A2}">
  <cacheSource type="worksheet">
    <worksheetSource name="Table3"/>
  </cacheSource>
  <cacheFields count="9">
    <cacheField name="Year" numFmtId="0">
      <sharedItems containsSemiMixedTypes="0" containsString="0" containsNumber="1" containsInteger="1" minValue="2020" maxValue="2024" count="5">
        <n v="2020"/>
        <n v="2021"/>
        <n v="2022"/>
        <n v="2023"/>
        <n v="2024"/>
      </sharedItems>
    </cacheField>
    <cacheField name="Month" numFmtId="0">
      <sharedItems count="12">
        <s v="Jan"/>
        <s v="Feb"/>
        <s v="Mar"/>
        <s v="Apr"/>
        <s v="May"/>
        <s v="Jun"/>
        <s v="Jul"/>
        <s v="Aug"/>
        <s v="Sep"/>
        <s v="Oct"/>
        <s v="Nov"/>
        <s v="Dec"/>
      </sharedItems>
    </cacheField>
    <cacheField name="Income sources" numFmtId="0">
      <sharedItems count="6">
        <s v="Licensing"/>
        <s v="Renting"/>
        <s v="Subscription"/>
        <s v="Usage fees"/>
        <s v="Advertising"/>
        <s v="Asset sale"/>
      </sharedItems>
    </cacheField>
    <cacheField name="Income Breakdowns" numFmtId="0">
      <sharedItems count="15">
        <s v="Software Metered License"/>
        <s v="Floating License"/>
        <s v="Equipments"/>
        <s v="Prime"/>
        <s v="Renewal"/>
        <s v="Premium"/>
        <s v="New "/>
        <s v="Offices"/>
        <s v="Facebook Page"/>
        <s v="Google Ad"/>
        <s v="Company Website"/>
        <s v="Youtube Channel"/>
        <s v="Lands"/>
        <s v="Asset sale"/>
        <s v="Television Ad"/>
      </sharedItems>
    </cacheField>
    <cacheField name="Counts" numFmtId="165">
      <sharedItems containsSemiMixedTypes="0" containsString="0" containsNumber="1" minValue="2" maxValue="10368.4"/>
    </cacheField>
    <cacheField name="Income" numFmtId="165">
      <sharedItems containsSemiMixedTypes="0" containsString="0" containsNumber="1" minValue="100" maxValue="22000"/>
    </cacheField>
    <cacheField name="Target Income" numFmtId="165">
      <sharedItems containsSemiMixedTypes="0" containsString="0" containsNumber="1" minValue="112" maxValue="12480"/>
    </cacheField>
    <cacheField name="operating profit" numFmtId="165">
      <sharedItems containsSemiMixedTypes="0" containsString="0" containsNumber="1" minValue="20" maxValue="4400"/>
    </cacheField>
    <cacheField name="Marketing Strategies" numFmtId="165">
      <sharedItems count="2">
        <s v="B2B"/>
        <s v="B2C"/>
      </sharedItems>
    </cacheField>
  </cacheFields>
  <extLst>
    <ext xmlns:x14="http://schemas.microsoft.com/office/spreadsheetml/2009/9/main" uri="{725AE2AE-9491-48be-B2B4-4EB974FC3084}">
      <x14:pivotCacheDefinition pivotCacheId="181803147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120.9247068287" createdVersion="7" refreshedVersion="7" minRefreshableVersion="3" recordCount="30" xr:uid="{2913C528-78D1-4560-B7D4-B8CFA42E7CFC}">
  <cacheSource type="worksheet">
    <worksheetSource name="Map"/>
  </cacheSource>
  <cacheFields count="4">
    <cacheField name="Year" numFmtId="0">
      <sharedItems containsSemiMixedTypes="0" containsString="0" containsNumber="1" containsInteger="1" minValue="2020" maxValue="2024" count="5">
        <n v="2020"/>
        <n v="2021"/>
        <n v="2022"/>
        <n v="2023"/>
        <n v="2024"/>
      </sharedItems>
    </cacheField>
    <cacheField name="Country" numFmtId="0">
      <sharedItems count="6">
        <s v="Egypt"/>
        <s v="USA"/>
        <s v="Russia"/>
        <s v="United Kingdom"/>
        <s v="Brazil"/>
        <s v="Canada"/>
      </sharedItems>
    </cacheField>
    <cacheField name="Amount" numFmtId="1">
      <sharedItems containsSemiMixedTypes="0" containsString="0" containsNumber="1" containsInteger="1" minValue="62240" maxValue="387584" count="30">
        <n v="364236"/>
        <n v="197480"/>
        <n v="187412"/>
        <n v="167840"/>
        <n v="126472"/>
        <n v="125960"/>
        <n v="342724"/>
        <n v="238460"/>
        <n v="231288"/>
        <n v="210228"/>
        <n v="135984"/>
        <n v="128888"/>
        <n v="365892"/>
        <n v="188312"/>
        <n v="387584"/>
        <n v="178572"/>
        <n v="127296"/>
        <n v="125136"/>
        <n v="204528"/>
        <n v="129304"/>
        <n v="127904"/>
        <n v="219404"/>
        <n v="73912"/>
        <n v="71992"/>
        <n v="190380"/>
        <n v="112620"/>
        <n v="109940"/>
        <n v="106948"/>
        <n v="62256"/>
        <n v="62240"/>
      </sharedItems>
    </cacheField>
    <cacheField name="Target" numFmtId="1">
      <sharedItems containsSemiMixedTypes="0" containsString="0" containsNumber="1" minValue="90151.200000000041" maxValue="700000"/>
    </cacheField>
  </cacheFields>
  <extLst>
    <ext xmlns:x14="http://schemas.microsoft.com/office/spreadsheetml/2009/9/main" uri="{725AE2AE-9491-48be-B2B4-4EB974FC3084}">
      <x14:pivotCacheDefinition pivotCacheId="118361542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121.984814004631" createdVersion="7" refreshedVersion="7" minRefreshableVersion="3" recordCount="3115" xr:uid="{2D4FA7AA-8B54-4A23-8D0C-49ACF0E0037C}">
  <cacheSource type="worksheet">
    <worksheetSource name="Table_1"/>
  </cacheSource>
  <cacheFields count="11">
    <cacheField name="Order Number" numFmtId="0">
      <sharedItems/>
    </cacheField>
    <cacheField name="Year" numFmtId="0">
      <sharedItems containsSemiMixedTypes="0" containsString="0" containsNumber="1" containsInteger="1" minValue="2020" maxValue="2024" count="5">
        <n v="2020"/>
        <n v="2021"/>
        <n v="2022"/>
        <n v="2023"/>
        <n v="2024"/>
      </sharedItems>
    </cacheField>
    <cacheField name="Month" numFmtId="0">
      <sharedItems/>
    </cacheField>
    <cacheField name="POS" numFmtId="0">
      <sharedItems count="2">
        <s v="Website"/>
        <s v="Branches"/>
      </sharedItems>
    </cacheField>
    <cacheField name="Payment Method" numFmtId="0">
      <sharedItems count="2">
        <s v="Credit Card"/>
        <s v="Cash on Delivery"/>
      </sharedItems>
    </cacheField>
    <cacheField name="Assembly Stage" numFmtId="0">
      <sharedItems/>
    </cacheField>
    <cacheField name="Registration Status" numFmtId="0">
      <sharedItems count="2">
        <s v="Register Customer info"/>
        <s v="Non-Registered Customer info"/>
      </sharedItems>
    </cacheField>
    <cacheField name="Sale Status" numFmtId="0">
      <sharedItems count="2">
        <s v="Paid"/>
        <s v="Refunded"/>
      </sharedItems>
    </cacheField>
    <cacheField name="Delivery Type" numFmtId="0">
      <sharedItems count="3">
        <s v="Shipment"/>
        <s v="Download"/>
        <s v="Branch "/>
      </sharedItems>
    </cacheField>
    <cacheField name="Amount" numFmtId="0">
      <sharedItems containsSemiMixedTypes="0" containsString="0" containsNumber="1" containsInteger="1" minValue="127" maxValue="1111" count="634">
        <n v="350"/>
        <n v="344"/>
        <n v="236"/>
        <n v="284"/>
        <n v="238"/>
        <n v="280"/>
        <n v="208"/>
        <n v="354"/>
        <n v="348"/>
        <n v="342"/>
        <n v="677"/>
        <n v="710"/>
        <n v="763"/>
        <n v="351"/>
        <n v="345"/>
        <n v="339"/>
        <n v="237"/>
        <n v="749"/>
        <n v="803"/>
        <n v="235"/>
        <n v="283"/>
        <n v="211"/>
        <n v="876"/>
        <n v="877"/>
        <n v="878"/>
        <n v="281"/>
        <n v="772"/>
        <n v="290"/>
        <n v="278"/>
        <n v="212"/>
        <n v="260"/>
        <n v="188"/>
        <n v="214"/>
        <n v="262"/>
        <n v="190"/>
        <n v="288"/>
        <n v="282"/>
        <n v="276"/>
        <n v="680"/>
        <n v="767"/>
        <n v="285"/>
        <n v="279"/>
        <n v="213"/>
        <n v="753"/>
        <n v="806"/>
        <n v="217"/>
        <n v="259"/>
        <n v="187"/>
        <n v="287"/>
        <n v="275"/>
        <n v="215"/>
        <n v="263"/>
        <n v="776"/>
        <n v="224"/>
        <n v="218"/>
        <n v="194"/>
        <n v="242"/>
        <n v="164"/>
        <n v="166"/>
        <n v="222"/>
        <n v="216"/>
        <n v="684"/>
        <n v="717"/>
        <n v="770"/>
        <n v="225"/>
        <n v="219"/>
        <n v="195"/>
        <n v="810"/>
        <n v="193"/>
        <n v="241"/>
        <n v="221"/>
        <n v="191"/>
        <n v="239"/>
        <n v="779"/>
        <n v="248"/>
        <n v="244"/>
        <n v="292"/>
        <n v="220"/>
        <n v="675"/>
        <n v="708"/>
        <n v="761"/>
        <n v="249"/>
        <n v="748"/>
        <n v="801"/>
        <n v="247"/>
        <n v="295"/>
        <n v="245"/>
        <n v="293"/>
        <n v="254"/>
        <n v="296"/>
        <n v="370"/>
        <n v="250"/>
        <n v="298"/>
        <n v="226"/>
        <n v="372"/>
        <n v="674"/>
        <n v="707"/>
        <n v="747"/>
        <n v="800"/>
        <n v="253"/>
        <n v="223"/>
        <n v="873"/>
        <n v="251"/>
        <n v="299"/>
        <n v="769"/>
        <n v="302"/>
        <n v="266"/>
        <n v="268"/>
        <n v="306"/>
        <n v="300"/>
        <n v="294"/>
        <n v="679"/>
        <n v="713"/>
        <n v="766"/>
        <n v="303"/>
        <n v="297"/>
        <n v="291"/>
        <n v="752"/>
        <n v="805"/>
        <n v="265"/>
        <n v="884"/>
        <n v="885"/>
        <n v="886"/>
        <n v="269"/>
        <n v="775"/>
        <n v="320"/>
        <n v="314"/>
        <n v="308"/>
        <n v="272"/>
        <n v="200"/>
        <n v="274"/>
        <n v="196"/>
        <n v="318"/>
        <n v="312"/>
        <n v="712"/>
        <n v="765"/>
        <n v="321"/>
        <n v="315"/>
        <n v="309"/>
        <n v="751"/>
        <n v="271"/>
        <n v="199"/>
        <n v="882"/>
        <n v="883"/>
        <n v="227"/>
        <n v="774"/>
        <n v="368"/>
        <n v="362"/>
        <n v="356"/>
        <n v="286"/>
        <n v="366"/>
        <n v="360"/>
        <n v="676"/>
        <n v="709"/>
        <n v="762"/>
        <n v="369"/>
        <n v="363"/>
        <n v="357"/>
        <n v="243"/>
        <n v="802"/>
        <n v="289"/>
        <n v="874"/>
        <n v="875"/>
        <n v="771"/>
        <n v="338"/>
        <n v="332"/>
        <n v="326"/>
        <n v="230"/>
        <n v="206"/>
        <n v="232"/>
        <n v="202"/>
        <n v="336"/>
        <n v="330"/>
        <n v="324"/>
        <n v="678"/>
        <n v="711"/>
        <n v="764"/>
        <n v="333"/>
        <n v="327"/>
        <n v="231"/>
        <n v="750"/>
        <n v="804"/>
        <n v="229"/>
        <n v="277"/>
        <n v="205"/>
        <n v="879"/>
        <n v="880"/>
        <n v="881"/>
        <n v="233"/>
        <n v="773"/>
        <n v="170"/>
        <n v="172"/>
        <n v="240"/>
        <n v="234"/>
        <n v="228"/>
        <n v="683"/>
        <n v="716"/>
        <n v="201"/>
        <n v="756"/>
        <n v="809"/>
        <n v="169"/>
        <n v="197"/>
        <n v="778"/>
        <n v="176"/>
        <n v="178"/>
        <n v="258"/>
        <n v="252"/>
        <n v="246"/>
        <n v="682"/>
        <n v="715"/>
        <n v="255"/>
        <n v="755"/>
        <n v="808"/>
        <n v="175"/>
        <n v="257"/>
        <n v="203"/>
        <n v="777"/>
        <n v="182"/>
        <n v="256"/>
        <n v="184"/>
        <n v="270"/>
        <n v="264"/>
        <n v="681"/>
        <n v="714"/>
        <n v="768"/>
        <n v="273"/>
        <n v="267"/>
        <n v="261"/>
        <n v="207"/>
        <n v="754"/>
        <n v="807"/>
        <n v="181"/>
        <n v="209"/>
        <n v="128"/>
        <n v="328"/>
        <n v="130"/>
        <n v="304"/>
        <n v="989"/>
        <n v="1022"/>
        <n v="129"/>
        <n v="857"/>
        <n v="329"/>
        <n v="131"/>
        <n v="310"/>
        <n v="352"/>
        <n v="993"/>
        <n v="1026"/>
        <n v="860"/>
        <n v="353"/>
        <n v="334"/>
        <n v="996"/>
        <n v="811"/>
        <n v="864"/>
        <n v="335"/>
        <n v="140"/>
        <n v="346"/>
        <n v="340"/>
        <n v="142"/>
        <n v="987"/>
        <n v="1021"/>
        <n v="141"/>
        <n v="355"/>
        <n v="349"/>
        <n v="343"/>
        <n v="855"/>
        <n v="789"/>
        <n v="790"/>
        <n v="791"/>
        <n v="341"/>
        <n v="143"/>
        <n v="311"/>
        <n v="146"/>
        <n v="358"/>
        <n v="148"/>
        <n v="316"/>
        <n v="959"/>
        <n v="1020"/>
        <n v="147"/>
        <n v="854"/>
        <n v="788"/>
        <n v="347"/>
        <n v="317"/>
        <n v="992"/>
        <n v="1025"/>
        <n v="359"/>
        <n v="364"/>
        <n v="991"/>
        <n v="1024"/>
        <n v="859"/>
        <n v="365"/>
        <n v="134"/>
        <n v="136"/>
        <n v="988"/>
        <n v="135"/>
        <n v="856"/>
        <n v="137"/>
        <n v="305"/>
        <n v="322"/>
        <n v="990"/>
        <n v="1023"/>
        <n v="858"/>
        <n v="323"/>
        <n v="371"/>
        <n v="995"/>
        <n v="1029"/>
        <n v="863"/>
        <n v="1028"/>
        <n v="862"/>
        <n v="994"/>
        <n v="1027"/>
        <n v="861"/>
        <n v="1111"/>
        <n v="301"/>
        <n v="319"/>
        <n v="313"/>
        <n v="307"/>
        <n v="337"/>
        <n v="331"/>
        <n v="325"/>
        <n v="158"/>
        <n v="160"/>
        <n v="812"/>
        <n v="899"/>
        <n v="852"/>
        <n v="163"/>
        <n v="133"/>
        <n v="821"/>
        <n v="816"/>
        <n v="849"/>
        <n v="902"/>
        <n v="139"/>
        <n v="825"/>
        <n v="819"/>
        <n v="853"/>
        <n v="906"/>
        <n v="165"/>
        <n v="828"/>
        <n v="844"/>
        <n v="897"/>
        <n v="850"/>
        <n v="145"/>
        <n v="843"/>
        <n v="896"/>
        <n v="818"/>
        <n v="151"/>
        <n v="149"/>
        <n v="815"/>
        <n v="848"/>
        <n v="901"/>
        <n v="189"/>
        <n v="361"/>
        <n v="824"/>
        <n v="152"/>
        <n v="814"/>
        <n v="847"/>
        <n v="367"/>
        <n v="823"/>
        <n v="845"/>
        <n v="898"/>
        <n v="851"/>
        <n v="820"/>
        <n v="154"/>
        <n v="813"/>
        <n v="846"/>
        <n v="900"/>
        <n v="157"/>
        <n v="127"/>
        <n v="822"/>
        <n v="905"/>
        <n v="171"/>
        <n v="827"/>
        <n v="904"/>
        <n v="177"/>
        <n v="826"/>
        <n v="817"/>
        <n v="903"/>
        <n v="183"/>
        <n v="780"/>
        <n v="781"/>
        <n v="782"/>
        <n v="162"/>
        <n v="156"/>
        <n v="150"/>
        <n v="687"/>
        <n v="721"/>
        <n v="159"/>
        <n v="153"/>
        <n v="760"/>
        <n v="161"/>
        <n v="155"/>
        <n v="173"/>
        <n v="783"/>
        <n v="691"/>
        <n v="724"/>
        <n v="786"/>
        <n v="728"/>
        <n v="192"/>
        <n v="186"/>
        <n v="180"/>
        <n v="686"/>
        <n v="719"/>
        <n v="758"/>
        <n v="185"/>
        <n v="179"/>
        <n v="210"/>
        <n v="204"/>
        <n v="198"/>
        <n v="685"/>
        <n v="718"/>
        <n v="757"/>
        <n v="690"/>
        <n v="723"/>
        <n v="785"/>
        <n v="689"/>
        <n v="722"/>
        <n v="174"/>
        <n v="168"/>
        <n v="720"/>
        <n v="759"/>
        <n v="167"/>
        <n v="144"/>
        <n v="138"/>
        <n v="132"/>
        <n v="688"/>
        <n v="784"/>
        <n v="694"/>
        <n v="727"/>
        <n v="693"/>
        <n v="726"/>
        <n v="692"/>
        <n v="725"/>
        <n v="787"/>
        <n v="1000"/>
        <n v="1033"/>
        <n v="1003"/>
        <n v="1037"/>
        <n v="871"/>
        <n v="1007"/>
        <n v="1040"/>
        <n v="998"/>
        <n v="1031"/>
        <n v="866"/>
        <n v="997"/>
        <n v="1030"/>
        <n v="865"/>
        <n v="1036"/>
        <n v="870"/>
        <n v="1002"/>
        <n v="1035"/>
        <n v="869"/>
        <n v="999"/>
        <n v="1032"/>
        <n v="867"/>
        <n v="1001"/>
        <n v="1034"/>
        <n v="868"/>
        <n v="1006"/>
        <n v="1039"/>
        <n v="1005"/>
        <n v="1038"/>
        <n v="1004"/>
        <n v="872"/>
        <n v="909"/>
        <n v="832"/>
        <n v="913"/>
        <n v="835"/>
        <n v="830"/>
        <n v="921"/>
        <n v="922"/>
        <n v="839"/>
        <n v="908"/>
        <n v="907"/>
        <n v="829"/>
        <n v="912"/>
        <n v="834"/>
        <n v="911"/>
        <n v="831"/>
        <n v="910"/>
        <n v="833"/>
        <n v="918"/>
        <n v="919"/>
        <n v="920"/>
        <n v="838"/>
        <n v="915"/>
        <n v="916"/>
        <n v="917"/>
        <n v="837"/>
        <n v="914"/>
        <n v="836"/>
        <n v="961"/>
        <n v="960"/>
        <n v="698"/>
        <n v="731"/>
        <n v="702"/>
        <n v="735"/>
        <n v="705"/>
        <n v="738"/>
        <n v="696"/>
        <n v="695"/>
        <n v="729"/>
        <n v="701"/>
        <n v="734"/>
        <n v="700"/>
        <n v="733"/>
        <n v="697"/>
        <n v="730"/>
        <n v="699"/>
        <n v="732"/>
        <n v="704"/>
        <n v="746"/>
        <n v="703"/>
        <n v="737"/>
        <n v="736"/>
        <n v="792"/>
        <n v="1014"/>
        <n v="795"/>
        <n v="964"/>
        <n v="1018"/>
        <n v="799"/>
        <n v="1009"/>
        <n v="1008"/>
        <n v="1041"/>
        <n v="1013"/>
        <n v="794"/>
        <n v="1012"/>
        <n v="793"/>
        <n v="1010"/>
        <n v="1011"/>
        <n v="963"/>
        <n v="1017"/>
        <n v="798"/>
        <n v="1016"/>
        <n v="797"/>
        <n v="962"/>
        <n v="1015"/>
        <n v="796"/>
        <n v="931"/>
        <n v="932"/>
        <n v="933"/>
        <n v="842"/>
        <n v="942"/>
        <n v="943"/>
        <n v="944"/>
        <n v="841"/>
        <n v="953"/>
        <n v="954"/>
        <n v="926"/>
        <n v="927"/>
        <n v="928"/>
        <n v="923"/>
        <n v="924"/>
        <n v="925"/>
        <n v="840"/>
        <n v="939"/>
        <n v="940"/>
        <n v="941"/>
        <n v="937"/>
        <n v="938"/>
        <n v="929"/>
        <n v="930"/>
        <n v="934"/>
        <n v="935"/>
        <n v="936"/>
        <n v="950"/>
        <n v="951"/>
        <n v="952"/>
        <n v="947"/>
        <n v="948"/>
        <n v="949"/>
        <n v="945"/>
        <n v="946"/>
        <n v="655"/>
        <n v="742"/>
        <n v="659"/>
        <n v="740"/>
        <n v="706"/>
        <n v="739"/>
        <n v="658"/>
        <n v="745"/>
        <n v="657"/>
        <n v="744"/>
        <n v="741"/>
        <n v="656"/>
        <n v="743"/>
        <n v="662"/>
        <n v="661"/>
        <n v="660"/>
        <n v="968"/>
        <n v="971"/>
        <n v="975"/>
        <n v="966"/>
        <n v="1019"/>
        <n v="965"/>
        <n v="970"/>
        <n v="967"/>
        <n v="969"/>
        <n v="974"/>
        <n v="973"/>
        <n v="972"/>
        <n v="958"/>
        <n v="955"/>
        <n v="956"/>
        <n v="957"/>
        <n v="666"/>
        <n v="670"/>
        <n v="673"/>
        <n v="664"/>
        <n v="663"/>
        <n v="669"/>
        <n v="668"/>
        <n v="665"/>
        <n v="667"/>
        <n v="672"/>
        <n v="671"/>
        <n v="982"/>
        <n v="986"/>
        <n v="977"/>
        <n v="976"/>
        <n v="981"/>
        <n v="980"/>
        <n v="978"/>
        <n v="979"/>
        <n v="985"/>
        <n v="984"/>
        <n v="983"/>
        <n v="888"/>
        <n v="892"/>
        <n v="895"/>
        <n v="891"/>
        <n v="890"/>
        <n v="887"/>
        <n v="889"/>
        <n v="894"/>
        <n v="893"/>
      </sharedItems>
    </cacheField>
    <cacheField name="Target" numFmtId="0">
      <sharedItems containsSemiMixedTypes="0" containsString="0" containsNumber="1" minValue="174.07999999999998" maxValue="1588.73"/>
    </cacheField>
  </cacheFields>
  <extLst>
    <ext xmlns:x14="http://schemas.microsoft.com/office/spreadsheetml/2009/9/main" uri="{725AE2AE-9491-48be-B2B4-4EB974FC3084}">
      <x14:pivotCacheDefinition pivotCacheId="3739407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0">
  <r>
    <x v="0"/>
    <x v="0"/>
    <x v="0"/>
    <x v="0"/>
    <n v="3566"/>
    <n v="5492.76"/>
    <n v="5126.576"/>
    <n v="1098.5520000000001"/>
    <x v="0"/>
  </r>
  <r>
    <x v="0"/>
    <x v="0"/>
    <x v="0"/>
    <x v="1"/>
    <n v="2498"/>
    <n v="9600"/>
    <n v="8960"/>
    <n v="1920"/>
    <x v="0"/>
  </r>
  <r>
    <x v="0"/>
    <x v="0"/>
    <x v="1"/>
    <x v="2"/>
    <n v="1245"/>
    <n v="5492.6399999999994"/>
    <n v="5126.4639999999999"/>
    <n v="1098.528"/>
    <x v="0"/>
  </r>
  <r>
    <x v="0"/>
    <x v="0"/>
    <x v="2"/>
    <x v="3"/>
    <n v="644"/>
    <n v="6892.2"/>
    <n v="6432.72"/>
    <n v="1378.44"/>
    <x v="0"/>
  </r>
  <r>
    <x v="0"/>
    <x v="0"/>
    <x v="3"/>
    <x v="4"/>
    <n v="643"/>
    <n v="7700"/>
    <n v="7840"/>
    <n v="1540"/>
    <x v="0"/>
  </r>
  <r>
    <x v="0"/>
    <x v="0"/>
    <x v="2"/>
    <x v="5"/>
    <n v="455"/>
    <n v="5265.39"/>
    <n v="5128.0320000000002"/>
    <n v="1053.0780000000002"/>
    <x v="0"/>
  </r>
  <r>
    <x v="0"/>
    <x v="0"/>
    <x v="3"/>
    <x v="6"/>
    <n v="345"/>
    <n v="9016"/>
    <n v="7840"/>
    <n v="1803.2"/>
    <x v="0"/>
  </r>
  <r>
    <x v="0"/>
    <x v="0"/>
    <x v="1"/>
    <x v="7"/>
    <n v="122"/>
    <n v="2696.75"/>
    <n v="112"/>
    <n v="539.35"/>
    <x v="0"/>
  </r>
  <r>
    <x v="0"/>
    <x v="0"/>
    <x v="4"/>
    <x v="8"/>
    <n v="78"/>
    <n v="5492.6399999999994"/>
    <n v="5126.4639999999999"/>
    <n v="1098.528"/>
    <x v="0"/>
  </r>
  <r>
    <x v="0"/>
    <x v="0"/>
    <x v="4"/>
    <x v="9"/>
    <n v="76"/>
    <n v="5492.28"/>
    <n v="5126.1279999999997"/>
    <n v="1098.4559999999999"/>
    <x v="0"/>
  </r>
  <r>
    <x v="0"/>
    <x v="0"/>
    <x v="4"/>
    <x v="10"/>
    <n v="46"/>
    <n v="240"/>
    <n v="224"/>
    <n v="48"/>
    <x v="0"/>
  </r>
  <r>
    <x v="0"/>
    <x v="0"/>
    <x v="4"/>
    <x v="11"/>
    <n v="34"/>
    <n v="5492.16"/>
    <n v="5126.0160000000005"/>
    <n v="1098.432"/>
    <x v="0"/>
  </r>
  <r>
    <x v="0"/>
    <x v="0"/>
    <x v="1"/>
    <x v="12"/>
    <n v="7"/>
    <n v="3666.3"/>
    <n v="224"/>
    <n v="733.2600000000001"/>
    <x v="0"/>
  </r>
  <r>
    <x v="0"/>
    <x v="0"/>
    <x v="5"/>
    <x v="13"/>
    <n v="3"/>
    <n v="7260"/>
    <n v="7392"/>
    <n v="1452"/>
    <x v="0"/>
  </r>
  <r>
    <x v="0"/>
    <x v="0"/>
    <x v="4"/>
    <x v="14"/>
    <n v="3"/>
    <n v="5035.0300000000007"/>
    <n v="5126.576"/>
    <n v="1007.0060000000002"/>
    <x v="0"/>
  </r>
  <r>
    <x v="0"/>
    <x v="1"/>
    <x v="0"/>
    <x v="0"/>
    <n v="3566"/>
    <n v="5035.0300000000007"/>
    <n v="5126.576"/>
    <n v="1007.0060000000002"/>
    <x v="0"/>
  </r>
  <r>
    <x v="0"/>
    <x v="1"/>
    <x v="0"/>
    <x v="1"/>
    <n v="2498"/>
    <n v="8800"/>
    <n v="8960"/>
    <n v="1760"/>
    <x v="0"/>
  </r>
  <r>
    <x v="0"/>
    <x v="1"/>
    <x v="1"/>
    <x v="2"/>
    <n v="1245"/>
    <n v="5034.92"/>
    <n v="5126.4639999999999"/>
    <n v="1006.984"/>
    <x v="0"/>
  </r>
  <r>
    <x v="0"/>
    <x v="1"/>
    <x v="2"/>
    <x v="3"/>
    <n v="644"/>
    <n v="6317.85"/>
    <n v="6432.72"/>
    <n v="1263.5700000000002"/>
    <x v="0"/>
  </r>
  <r>
    <x v="0"/>
    <x v="1"/>
    <x v="3"/>
    <x v="4"/>
    <n v="643"/>
    <n v="7000"/>
    <n v="7840"/>
    <n v="1400"/>
    <x v="0"/>
  </r>
  <r>
    <x v="0"/>
    <x v="1"/>
    <x v="2"/>
    <x v="5"/>
    <n v="455"/>
    <n v="4578.6000000000004"/>
    <n v="5128.0320000000002"/>
    <n v="915.72000000000014"/>
    <x v="0"/>
  </r>
  <r>
    <x v="0"/>
    <x v="1"/>
    <x v="3"/>
    <x v="6"/>
    <n v="345"/>
    <n v="7000"/>
    <n v="7840"/>
    <n v="1400"/>
    <x v="0"/>
  </r>
  <r>
    <x v="0"/>
    <x v="1"/>
    <x v="1"/>
    <x v="7"/>
    <n v="122"/>
    <n v="100"/>
    <n v="112"/>
    <n v="20"/>
    <x v="0"/>
  </r>
  <r>
    <x v="0"/>
    <x v="1"/>
    <x v="4"/>
    <x v="8"/>
    <n v="78"/>
    <n v="4577.2"/>
    <n v="5126.4639999999999"/>
    <n v="915.44"/>
    <x v="0"/>
  </r>
  <r>
    <x v="0"/>
    <x v="1"/>
    <x v="4"/>
    <x v="9"/>
    <n v="76"/>
    <n v="4576.8999999999996"/>
    <n v="5126.1279999999997"/>
    <n v="915.38"/>
    <x v="0"/>
  </r>
  <r>
    <x v="0"/>
    <x v="1"/>
    <x v="4"/>
    <x v="10"/>
    <n v="46"/>
    <n v="200"/>
    <n v="224"/>
    <n v="40"/>
    <x v="0"/>
  </r>
  <r>
    <x v="0"/>
    <x v="1"/>
    <x v="4"/>
    <x v="11"/>
    <n v="34"/>
    <n v="4576.8"/>
    <n v="5126.0160000000005"/>
    <n v="915.36000000000013"/>
    <x v="0"/>
  </r>
  <r>
    <x v="0"/>
    <x v="1"/>
    <x v="1"/>
    <x v="12"/>
    <n v="7"/>
    <n v="200"/>
    <n v="224"/>
    <n v="40"/>
    <x v="0"/>
  </r>
  <r>
    <x v="0"/>
    <x v="1"/>
    <x v="4"/>
    <x v="14"/>
    <n v="3"/>
    <n v="4577.3"/>
    <n v="5126.576"/>
    <n v="915.46"/>
    <x v="0"/>
  </r>
  <r>
    <x v="0"/>
    <x v="1"/>
    <x v="5"/>
    <x v="13"/>
    <n v="2"/>
    <n v="6600"/>
    <n v="7392"/>
    <n v="1320"/>
    <x v="0"/>
  </r>
  <r>
    <x v="0"/>
    <x v="2"/>
    <x v="0"/>
    <x v="0"/>
    <n v="3566"/>
    <n v="4577.3"/>
    <n v="5126.576"/>
    <n v="915.46"/>
    <x v="0"/>
  </r>
  <r>
    <x v="0"/>
    <x v="2"/>
    <x v="0"/>
    <x v="1"/>
    <n v="2498"/>
    <n v="8000"/>
    <n v="8960"/>
    <n v="1600"/>
    <x v="0"/>
  </r>
  <r>
    <x v="0"/>
    <x v="2"/>
    <x v="1"/>
    <x v="2"/>
    <n v="1245"/>
    <n v="4577.2"/>
    <n v="5126.4639999999999"/>
    <n v="915.44"/>
    <x v="0"/>
  </r>
  <r>
    <x v="0"/>
    <x v="2"/>
    <x v="2"/>
    <x v="3"/>
    <n v="644"/>
    <n v="5743.5"/>
    <n v="6432.72"/>
    <n v="1148.7"/>
    <x v="0"/>
  </r>
  <r>
    <x v="0"/>
    <x v="2"/>
    <x v="3"/>
    <x v="4"/>
    <n v="643"/>
    <n v="7000"/>
    <n v="7840"/>
    <n v="1400"/>
    <x v="0"/>
  </r>
  <r>
    <x v="0"/>
    <x v="2"/>
    <x v="2"/>
    <x v="5"/>
    <n v="455"/>
    <n v="4578.6000000000004"/>
    <n v="5128.0320000000002"/>
    <n v="915.72000000000014"/>
    <x v="0"/>
  </r>
  <r>
    <x v="0"/>
    <x v="2"/>
    <x v="3"/>
    <x v="6"/>
    <n v="345"/>
    <n v="7000"/>
    <n v="7840"/>
    <n v="1400"/>
    <x v="0"/>
  </r>
  <r>
    <x v="0"/>
    <x v="2"/>
    <x v="1"/>
    <x v="7"/>
    <n v="122"/>
    <n v="100"/>
    <n v="112"/>
    <n v="20"/>
    <x v="0"/>
  </r>
  <r>
    <x v="0"/>
    <x v="2"/>
    <x v="4"/>
    <x v="8"/>
    <n v="78"/>
    <n v="4577.2"/>
    <n v="5126.4639999999999"/>
    <n v="915.44"/>
    <x v="0"/>
  </r>
  <r>
    <x v="0"/>
    <x v="2"/>
    <x v="4"/>
    <x v="9"/>
    <n v="76"/>
    <n v="4576.8999999999996"/>
    <n v="5126.1279999999997"/>
    <n v="915.38"/>
    <x v="0"/>
  </r>
  <r>
    <x v="0"/>
    <x v="2"/>
    <x v="4"/>
    <x v="10"/>
    <n v="46"/>
    <n v="200"/>
    <n v="224"/>
    <n v="40"/>
    <x v="0"/>
  </r>
  <r>
    <x v="0"/>
    <x v="2"/>
    <x v="4"/>
    <x v="11"/>
    <n v="34"/>
    <n v="4576.8"/>
    <n v="5126.0160000000005"/>
    <n v="915.36000000000013"/>
    <x v="1"/>
  </r>
  <r>
    <x v="0"/>
    <x v="2"/>
    <x v="1"/>
    <x v="12"/>
    <n v="7"/>
    <n v="200"/>
    <n v="224"/>
    <n v="40"/>
    <x v="1"/>
  </r>
  <r>
    <x v="0"/>
    <x v="2"/>
    <x v="4"/>
    <x v="14"/>
    <n v="3"/>
    <n v="3333"/>
    <n v="5126.576"/>
    <n v="666.6"/>
    <x v="1"/>
  </r>
  <r>
    <x v="0"/>
    <x v="2"/>
    <x v="5"/>
    <x v="13"/>
    <n v="2"/>
    <n v="6600"/>
    <n v="7392"/>
    <n v="1320"/>
    <x v="1"/>
  </r>
  <r>
    <x v="0"/>
    <x v="3"/>
    <x v="0"/>
    <x v="0"/>
    <n v="3566"/>
    <n v="4577.3"/>
    <n v="5126.576"/>
    <n v="915.46"/>
    <x v="1"/>
  </r>
  <r>
    <x v="0"/>
    <x v="3"/>
    <x v="0"/>
    <x v="1"/>
    <n v="2498"/>
    <n v="8000"/>
    <n v="8960"/>
    <n v="1600"/>
    <x v="1"/>
  </r>
  <r>
    <x v="0"/>
    <x v="3"/>
    <x v="1"/>
    <x v="2"/>
    <n v="1245"/>
    <n v="4577.2"/>
    <n v="5126.4639999999999"/>
    <n v="915.44"/>
    <x v="1"/>
  </r>
  <r>
    <x v="0"/>
    <x v="3"/>
    <x v="2"/>
    <x v="3"/>
    <n v="644"/>
    <n v="5743.5"/>
    <n v="6432.72"/>
    <n v="1148.7"/>
    <x v="1"/>
  </r>
  <r>
    <x v="0"/>
    <x v="3"/>
    <x v="3"/>
    <x v="4"/>
    <n v="643"/>
    <n v="7000"/>
    <n v="7840"/>
    <n v="1400"/>
    <x v="1"/>
  </r>
  <r>
    <x v="0"/>
    <x v="3"/>
    <x v="2"/>
    <x v="5"/>
    <n v="455"/>
    <n v="4578.6000000000004"/>
    <n v="5128.0320000000002"/>
    <n v="915.72000000000014"/>
    <x v="1"/>
  </r>
  <r>
    <x v="0"/>
    <x v="3"/>
    <x v="3"/>
    <x v="6"/>
    <n v="345"/>
    <n v="7000"/>
    <n v="7840"/>
    <n v="1400"/>
    <x v="1"/>
  </r>
  <r>
    <x v="0"/>
    <x v="3"/>
    <x v="1"/>
    <x v="7"/>
    <n v="122"/>
    <n v="100"/>
    <n v="112"/>
    <n v="20"/>
    <x v="1"/>
  </r>
  <r>
    <x v="0"/>
    <x v="3"/>
    <x v="4"/>
    <x v="8"/>
    <n v="78"/>
    <n v="4577.2"/>
    <n v="5126.4639999999999"/>
    <n v="915.44"/>
    <x v="1"/>
  </r>
  <r>
    <x v="0"/>
    <x v="3"/>
    <x v="4"/>
    <x v="9"/>
    <n v="76"/>
    <n v="4576.8999999999996"/>
    <n v="5126.1279999999997"/>
    <n v="915.38"/>
    <x v="1"/>
  </r>
  <r>
    <x v="0"/>
    <x v="3"/>
    <x v="4"/>
    <x v="10"/>
    <n v="46"/>
    <n v="200"/>
    <n v="224"/>
    <n v="40"/>
    <x v="1"/>
  </r>
  <r>
    <x v="0"/>
    <x v="3"/>
    <x v="4"/>
    <x v="11"/>
    <n v="34"/>
    <n v="4576.8"/>
    <n v="5126.0160000000005"/>
    <n v="915.36000000000013"/>
    <x v="1"/>
  </r>
  <r>
    <x v="0"/>
    <x v="3"/>
    <x v="1"/>
    <x v="12"/>
    <n v="7"/>
    <n v="200"/>
    <n v="224"/>
    <n v="40"/>
    <x v="1"/>
  </r>
  <r>
    <x v="0"/>
    <x v="3"/>
    <x v="4"/>
    <x v="14"/>
    <n v="3"/>
    <n v="4577.3"/>
    <n v="5126.576"/>
    <n v="915.46"/>
    <x v="1"/>
  </r>
  <r>
    <x v="0"/>
    <x v="3"/>
    <x v="5"/>
    <x v="13"/>
    <n v="2"/>
    <n v="6600"/>
    <n v="7392"/>
    <n v="1320"/>
    <x v="1"/>
  </r>
  <r>
    <x v="0"/>
    <x v="4"/>
    <x v="0"/>
    <x v="0"/>
    <n v="3566"/>
    <n v="4577.3"/>
    <n v="5126.576"/>
    <n v="915.46"/>
    <x v="1"/>
  </r>
  <r>
    <x v="0"/>
    <x v="4"/>
    <x v="0"/>
    <x v="1"/>
    <n v="2498"/>
    <n v="8000"/>
    <n v="8960"/>
    <n v="1600"/>
    <x v="1"/>
  </r>
  <r>
    <x v="0"/>
    <x v="4"/>
    <x v="1"/>
    <x v="2"/>
    <n v="1245"/>
    <n v="4577.2"/>
    <n v="5126.4639999999999"/>
    <n v="915.44"/>
    <x v="1"/>
  </r>
  <r>
    <x v="0"/>
    <x v="4"/>
    <x v="2"/>
    <x v="3"/>
    <n v="644"/>
    <n v="5743.5"/>
    <n v="6432.72"/>
    <n v="1148.7"/>
    <x v="1"/>
  </r>
  <r>
    <x v="0"/>
    <x v="4"/>
    <x v="3"/>
    <x v="4"/>
    <n v="643"/>
    <n v="7000"/>
    <n v="7840"/>
    <n v="1400"/>
    <x v="0"/>
  </r>
  <r>
    <x v="0"/>
    <x v="4"/>
    <x v="2"/>
    <x v="5"/>
    <n v="455"/>
    <n v="4578.6000000000004"/>
    <n v="5128.0320000000002"/>
    <n v="915.72000000000014"/>
    <x v="0"/>
  </r>
  <r>
    <x v="0"/>
    <x v="4"/>
    <x v="3"/>
    <x v="6"/>
    <n v="345"/>
    <n v="7000"/>
    <n v="7840"/>
    <n v="1400"/>
    <x v="0"/>
  </r>
  <r>
    <x v="0"/>
    <x v="4"/>
    <x v="1"/>
    <x v="7"/>
    <n v="122"/>
    <n v="100"/>
    <n v="112"/>
    <n v="20"/>
    <x v="0"/>
  </r>
  <r>
    <x v="0"/>
    <x v="4"/>
    <x v="4"/>
    <x v="8"/>
    <n v="78"/>
    <n v="4577.2"/>
    <n v="5126.4639999999999"/>
    <n v="915.44"/>
    <x v="0"/>
  </r>
  <r>
    <x v="0"/>
    <x v="4"/>
    <x v="4"/>
    <x v="9"/>
    <n v="76"/>
    <n v="4576.8999999999996"/>
    <n v="5126.1279999999997"/>
    <n v="915.38"/>
    <x v="0"/>
  </r>
  <r>
    <x v="0"/>
    <x v="4"/>
    <x v="4"/>
    <x v="10"/>
    <n v="46"/>
    <n v="200"/>
    <n v="224"/>
    <n v="40"/>
    <x v="0"/>
  </r>
  <r>
    <x v="0"/>
    <x v="4"/>
    <x v="4"/>
    <x v="11"/>
    <n v="34"/>
    <n v="4576.8"/>
    <n v="5126.0160000000005"/>
    <n v="915.36000000000013"/>
    <x v="0"/>
  </r>
  <r>
    <x v="0"/>
    <x v="4"/>
    <x v="1"/>
    <x v="12"/>
    <n v="7"/>
    <n v="200"/>
    <n v="224"/>
    <n v="40"/>
    <x v="0"/>
  </r>
  <r>
    <x v="0"/>
    <x v="4"/>
    <x v="4"/>
    <x v="14"/>
    <n v="3"/>
    <n v="4577.3"/>
    <n v="5126.576"/>
    <n v="915.46"/>
    <x v="0"/>
  </r>
  <r>
    <x v="0"/>
    <x v="4"/>
    <x v="5"/>
    <x v="13"/>
    <n v="2"/>
    <n v="6600"/>
    <n v="7392"/>
    <n v="1320"/>
    <x v="0"/>
  </r>
  <r>
    <x v="0"/>
    <x v="5"/>
    <x v="0"/>
    <x v="0"/>
    <n v="3566"/>
    <n v="4577.3"/>
    <n v="5126.576"/>
    <n v="915.46"/>
    <x v="0"/>
  </r>
  <r>
    <x v="0"/>
    <x v="5"/>
    <x v="0"/>
    <x v="1"/>
    <n v="2498"/>
    <n v="8000"/>
    <n v="8960"/>
    <n v="1600"/>
    <x v="0"/>
  </r>
  <r>
    <x v="0"/>
    <x v="5"/>
    <x v="1"/>
    <x v="2"/>
    <n v="1245"/>
    <n v="4577.2"/>
    <n v="5126.4639999999999"/>
    <n v="915.44"/>
    <x v="0"/>
  </r>
  <r>
    <x v="0"/>
    <x v="5"/>
    <x v="2"/>
    <x v="3"/>
    <n v="644"/>
    <n v="5743.5"/>
    <n v="6432.72"/>
    <n v="1148.7"/>
    <x v="0"/>
  </r>
  <r>
    <x v="0"/>
    <x v="5"/>
    <x v="3"/>
    <x v="4"/>
    <n v="643"/>
    <n v="7000"/>
    <n v="7840"/>
    <n v="1400"/>
    <x v="0"/>
  </r>
  <r>
    <x v="0"/>
    <x v="5"/>
    <x v="2"/>
    <x v="5"/>
    <n v="455"/>
    <n v="4578.6000000000004"/>
    <n v="5128.0320000000002"/>
    <n v="915.72000000000014"/>
    <x v="0"/>
  </r>
  <r>
    <x v="0"/>
    <x v="5"/>
    <x v="3"/>
    <x v="6"/>
    <n v="345"/>
    <n v="7000"/>
    <n v="7840"/>
    <n v="1400"/>
    <x v="0"/>
  </r>
  <r>
    <x v="0"/>
    <x v="5"/>
    <x v="1"/>
    <x v="7"/>
    <n v="122"/>
    <n v="100"/>
    <n v="112"/>
    <n v="20"/>
    <x v="0"/>
  </r>
  <r>
    <x v="0"/>
    <x v="5"/>
    <x v="4"/>
    <x v="8"/>
    <n v="78"/>
    <n v="4577.2"/>
    <n v="5126.4639999999999"/>
    <n v="915.44"/>
    <x v="0"/>
  </r>
  <r>
    <x v="0"/>
    <x v="5"/>
    <x v="4"/>
    <x v="9"/>
    <n v="76"/>
    <n v="4576.8999999999996"/>
    <n v="5126.1279999999997"/>
    <n v="915.38"/>
    <x v="0"/>
  </r>
  <r>
    <x v="0"/>
    <x v="5"/>
    <x v="4"/>
    <x v="10"/>
    <n v="46"/>
    <n v="200"/>
    <n v="224"/>
    <n v="40"/>
    <x v="0"/>
  </r>
  <r>
    <x v="0"/>
    <x v="5"/>
    <x v="4"/>
    <x v="11"/>
    <n v="34"/>
    <n v="4576.8"/>
    <n v="5126.0160000000005"/>
    <n v="915.36000000000013"/>
    <x v="0"/>
  </r>
  <r>
    <x v="0"/>
    <x v="5"/>
    <x v="1"/>
    <x v="12"/>
    <n v="7"/>
    <n v="200"/>
    <n v="224"/>
    <n v="40"/>
    <x v="0"/>
  </r>
  <r>
    <x v="0"/>
    <x v="5"/>
    <x v="5"/>
    <x v="13"/>
    <n v="3"/>
    <n v="6600"/>
    <n v="7392"/>
    <n v="1320"/>
    <x v="0"/>
  </r>
  <r>
    <x v="0"/>
    <x v="5"/>
    <x v="4"/>
    <x v="14"/>
    <n v="3"/>
    <n v="4577.3"/>
    <n v="5126.576"/>
    <n v="915.46"/>
    <x v="0"/>
  </r>
  <r>
    <x v="0"/>
    <x v="6"/>
    <x v="0"/>
    <x v="0"/>
    <n v="3566"/>
    <n v="4577.3"/>
    <n v="5126.576"/>
    <n v="915.46"/>
    <x v="0"/>
  </r>
  <r>
    <x v="0"/>
    <x v="6"/>
    <x v="0"/>
    <x v="1"/>
    <n v="2498"/>
    <n v="8000"/>
    <n v="8960"/>
    <n v="1600"/>
    <x v="0"/>
  </r>
  <r>
    <x v="0"/>
    <x v="6"/>
    <x v="1"/>
    <x v="2"/>
    <n v="1245"/>
    <n v="4577.2"/>
    <n v="5126.4639999999999"/>
    <n v="915.44"/>
    <x v="0"/>
  </r>
  <r>
    <x v="0"/>
    <x v="6"/>
    <x v="2"/>
    <x v="3"/>
    <n v="644"/>
    <n v="5743.5"/>
    <n v="6432.72"/>
    <n v="1148.7"/>
    <x v="0"/>
  </r>
  <r>
    <x v="0"/>
    <x v="6"/>
    <x v="3"/>
    <x v="4"/>
    <n v="643"/>
    <n v="7000"/>
    <n v="7840"/>
    <n v="1400"/>
    <x v="0"/>
  </r>
  <r>
    <x v="0"/>
    <x v="6"/>
    <x v="2"/>
    <x v="5"/>
    <n v="455"/>
    <n v="4578.6000000000004"/>
    <n v="5128.0320000000002"/>
    <n v="915.72000000000014"/>
    <x v="0"/>
  </r>
  <r>
    <x v="0"/>
    <x v="6"/>
    <x v="3"/>
    <x v="6"/>
    <n v="345"/>
    <n v="7000"/>
    <n v="7840"/>
    <n v="1400"/>
    <x v="0"/>
  </r>
  <r>
    <x v="0"/>
    <x v="6"/>
    <x v="1"/>
    <x v="7"/>
    <n v="122"/>
    <n v="100"/>
    <n v="112"/>
    <n v="20"/>
    <x v="0"/>
  </r>
  <r>
    <x v="0"/>
    <x v="6"/>
    <x v="4"/>
    <x v="8"/>
    <n v="78"/>
    <n v="4577.2"/>
    <n v="5126.4639999999999"/>
    <n v="915.44"/>
    <x v="0"/>
  </r>
  <r>
    <x v="0"/>
    <x v="6"/>
    <x v="4"/>
    <x v="9"/>
    <n v="76"/>
    <n v="4576.8999999999996"/>
    <n v="5126.1279999999997"/>
    <n v="915.38"/>
    <x v="0"/>
  </r>
  <r>
    <x v="0"/>
    <x v="6"/>
    <x v="4"/>
    <x v="10"/>
    <n v="46"/>
    <n v="200"/>
    <n v="224"/>
    <n v="40"/>
    <x v="0"/>
  </r>
  <r>
    <x v="0"/>
    <x v="6"/>
    <x v="4"/>
    <x v="11"/>
    <n v="34"/>
    <n v="4576.8"/>
    <n v="5126.0160000000005"/>
    <n v="915.36000000000013"/>
    <x v="0"/>
  </r>
  <r>
    <x v="0"/>
    <x v="6"/>
    <x v="1"/>
    <x v="12"/>
    <n v="7"/>
    <n v="200"/>
    <n v="224"/>
    <n v="40"/>
    <x v="0"/>
  </r>
  <r>
    <x v="0"/>
    <x v="6"/>
    <x v="4"/>
    <x v="14"/>
    <n v="3"/>
    <n v="4577.3"/>
    <n v="5126.576"/>
    <n v="915.46"/>
    <x v="0"/>
  </r>
  <r>
    <x v="0"/>
    <x v="6"/>
    <x v="5"/>
    <x v="13"/>
    <n v="2"/>
    <n v="6600"/>
    <n v="7392"/>
    <n v="1320"/>
    <x v="0"/>
  </r>
  <r>
    <x v="0"/>
    <x v="7"/>
    <x v="0"/>
    <x v="0"/>
    <n v="3566"/>
    <n v="4577.3"/>
    <n v="5126.576"/>
    <n v="915.46"/>
    <x v="0"/>
  </r>
  <r>
    <x v="0"/>
    <x v="7"/>
    <x v="0"/>
    <x v="1"/>
    <n v="2498"/>
    <n v="8000"/>
    <n v="8960"/>
    <n v="1600"/>
    <x v="1"/>
  </r>
  <r>
    <x v="0"/>
    <x v="7"/>
    <x v="1"/>
    <x v="2"/>
    <n v="1245"/>
    <n v="4577.2"/>
    <n v="5126.4639999999999"/>
    <n v="915.44"/>
    <x v="1"/>
  </r>
  <r>
    <x v="0"/>
    <x v="7"/>
    <x v="2"/>
    <x v="3"/>
    <n v="644"/>
    <n v="5743.5"/>
    <n v="6432.72"/>
    <n v="1148.7"/>
    <x v="1"/>
  </r>
  <r>
    <x v="0"/>
    <x v="7"/>
    <x v="3"/>
    <x v="4"/>
    <n v="643"/>
    <n v="7000"/>
    <n v="7840"/>
    <n v="1400"/>
    <x v="1"/>
  </r>
  <r>
    <x v="0"/>
    <x v="7"/>
    <x v="2"/>
    <x v="5"/>
    <n v="455"/>
    <n v="4578.6000000000004"/>
    <n v="5128.0320000000002"/>
    <n v="915.72000000000014"/>
    <x v="1"/>
  </r>
  <r>
    <x v="0"/>
    <x v="7"/>
    <x v="3"/>
    <x v="6"/>
    <n v="345"/>
    <n v="7000"/>
    <n v="7840"/>
    <n v="1400"/>
    <x v="1"/>
  </r>
  <r>
    <x v="0"/>
    <x v="7"/>
    <x v="1"/>
    <x v="7"/>
    <n v="122"/>
    <n v="100"/>
    <n v="112"/>
    <n v="20"/>
    <x v="1"/>
  </r>
  <r>
    <x v="0"/>
    <x v="7"/>
    <x v="4"/>
    <x v="8"/>
    <n v="78"/>
    <n v="4577.2"/>
    <n v="5126.4639999999999"/>
    <n v="915.44"/>
    <x v="1"/>
  </r>
  <r>
    <x v="0"/>
    <x v="7"/>
    <x v="4"/>
    <x v="9"/>
    <n v="76"/>
    <n v="4576.8999999999996"/>
    <n v="5126.1279999999997"/>
    <n v="915.38"/>
    <x v="1"/>
  </r>
  <r>
    <x v="0"/>
    <x v="7"/>
    <x v="4"/>
    <x v="10"/>
    <n v="46"/>
    <n v="200"/>
    <n v="224"/>
    <n v="40"/>
    <x v="1"/>
  </r>
  <r>
    <x v="0"/>
    <x v="7"/>
    <x v="4"/>
    <x v="11"/>
    <n v="34"/>
    <n v="4576.8"/>
    <n v="5126.0160000000005"/>
    <n v="915.36000000000013"/>
    <x v="1"/>
  </r>
  <r>
    <x v="0"/>
    <x v="7"/>
    <x v="1"/>
    <x v="12"/>
    <n v="7"/>
    <n v="200"/>
    <n v="224"/>
    <n v="40"/>
    <x v="1"/>
  </r>
  <r>
    <x v="0"/>
    <x v="7"/>
    <x v="4"/>
    <x v="14"/>
    <n v="3"/>
    <n v="4577.3"/>
    <n v="5126.576"/>
    <n v="915.46"/>
    <x v="1"/>
  </r>
  <r>
    <x v="0"/>
    <x v="7"/>
    <x v="5"/>
    <x v="13"/>
    <n v="2"/>
    <n v="6600"/>
    <n v="7392"/>
    <n v="1320"/>
    <x v="1"/>
  </r>
  <r>
    <x v="0"/>
    <x v="8"/>
    <x v="0"/>
    <x v="0"/>
    <n v="3566"/>
    <n v="4577.3"/>
    <n v="5126.576"/>
    <n v="915.46"/>
    <x v="1"/>
  </r>
  <r>
    <x v="0"/>
    <x v="8"/>
    <x v="0"/>
    <x v="1"/>
    <n v="2498"/>
    <n v="8000"/>
    <n v="8960"/>
    <n v="1600"/>
    <x v="1"/>
  </r>
  <r>
    <x v="0"/>
    <x v="8"/>
    <x v="1"/>
    <x v="2"/>
    <n v="1245"/>
    <n v="4577.2"/>
    <n v="5126.4639999999999"/>
    <n v="915.44"/>
    <x v="1"/>
  </r>
  <r>
    <x v="0"/>
    <x v="8"/>
    <x v="2"/>
    <x v="3"/>
    <n v="644"/>
    <n v="5743.5"/>
    <n v="6432.72"/>
    <n v="1148.7"/>
    <x v="1"/>
  </r>
  <r>
    <x v="0"/>
    <x v="8"/>
    <x v="3"/>
    <x v="4"/>
    <n v="643"/>
    <n v="7000"/>
    <n v="7840"/>
    <n v="1400"/>
    <x v="1"/>
  </r>
  <r>
    <x v="0"/>
    <x v="8"/>
    <x v="2"/>
    <x v="5"/>
    <n v="455"/>
    <n v="4578.6000000000004"/>
    <n v="5128.0320000000002"/>
    <n v="915.72000000000014"/>
    <x v="1"/>
  </r>
  <r>
    <x v="0"/>
    <x v="8"/>
    <x v="3"/>
    <x v="6"/>
    <n v="345"/>
    <n v="7000"/>
    <n v="7840"/>
    <n v="1400"/>
    <x v="1"/>
  </r>
  <r>
    <x v="0"/>
    <x v="8"/>
    <x v="1"/>
    <x v="7"/>
    <n v="122"/>
    <n v="100"/>
    <n v="112"/>
    <n v="20"/>
    <x v="1"/>
  </r>
  <r>
    <x v="0"/>
    <x v="8"/>
    <x v="4"/>
    <x v="8"/>
    <n v="78"/>
    <n v="4577.2"/>
    <n v="5126.4639999999999"/>
    <n v="915.44"/>
    <x v="1"/>
  </r>
  <r>
    <x v="0"/>
    <x v="8"/>
    <x v="4"/>
    <x v="9"/>
    <n v="76"/>
    <n v="4576.8999999999996"/>
    <n v="5126.1279999999997"/>
    <n v="915.38"/>
    <x v="1"/>
  </r>
  <r>
    <x v="0"/>
    <x v="8"/>
    <x v="4"/>
    <x v="10"/>
    <n v="46"/>
    <n v="200"/>
    <n v="224"/>
    <n v="40"/>
    <x v="1"/>
  </r>
  <r>
    <x v="0"/>
    <x v="8"/>
    <x v="4"/>
    <x v="11"/>
    <n v="34"/>
    <n v="4576.8"/>
    <n v="5126.0160000000005"/>
    <n v="915.36000000000013"/>
    <x v="0"/>
  </r>
  <r>
    <x v="0"/>
    <x v="8"/>
    <x v="1"/>
    <x v="12"/>
    <n v="7"/>
    <n v="200"/>
    <n v="224"/>
    <n v="40"/>
    <x v="0"/>
  </r>
  <r>
    <x v="0"/>
    <x v="8"/>
    <x v="4"/>
    <x v="14"/>
    <n v="3"/>
    <n v="4577.3"/>
    <n v="5126.576"/>
    <n v="915.46"/>
    <x v="0"/>
  </r>
  <r>
    <x v="0"/>
    <x v="8"/>
    <x v="5"/>
    <x v="13"/>
    <n v="2"/>
    <n v="6600"/>
    <n v="7392"/>
    <n v="1320"/>
    <x v="0"/>
  </r>
  <r>
    <x v="0"/>
    <x v="9"/>
    <x v="0"/>
    <x v="0"/>
    <n v="3566"/>
    <n v="4577.3"/>
    <n v="5126.576"/>
    <n v="915.46"/>
    <x v="0"/>
  </r>
  <r>
    <x v="0"/>
    <x v="9"/>
    <x v="0"/>
    <x v="1"/>
    <n v="2498"/>
    <n v="8000"/>
    <n v="8960"/>
    <n v="1600"/>
    <x v="0"/>
  </r>
  <r>
    <x v="0"/>
    <x v="9"/>
    <x v="1"/>
    <x v="2"/>
    <n v="1245"/>
    <n v="4577.2"/>
    <n v="5126.4639999999999"/>
    <n v="915.44"/>
    <x v="0"/>
  </r>
  <r>
    <x v="0"/>
    <x v="9"/>
    <x v="2"/>
    <x v="3"/>
    <n v="644"/>
    <n v="5743.5"/>
    <n v="6432.72"/>
    <n v="1148.7"/>
    <x v="0"/>
  </r>
  <r>
    <x v="0"/>
    <x v="9"/>
    <x v="3"/>
    <x v="4"/>
    <n v="643"/>
    <n v="7000"/>
    <n v="7840"/>
    <n v="1400"/>
    <x v="0"/>
  </r>
  <r>
    <x v="0"/>
    <x v="9"/>
    <x v="2"/>
    <x v="5"/>
    <n v="455"/>
    <n v="4578.6000000000004"/>
    <n v="5128.0320000000002"/>
    <n v="915.72000000000014"/>
    <x v="0"/>
  </r>
  <r>
    <x v="0"/>
    <x v="9"/>
    <x v="3"/>
    <x v="6"/>
    <n v="345"/>
    <n v="7000"/>
    <n v="7840"/>
    <n v="1400"/>
    <x v="0"/>
  </r>
  <r>
    <x v="0"/>
    <x v="9"/>
    <x v="1"/>
    <x v="7"/>
    <n v="122"/>
    <n v="100"/>
    <n v="112"/>
    <n v="20"/>
    <x v="0"/>
  </r>
  <r>
    <x v="0"/>
    <x v="9"/>
    <x v="4"/>
    <x v="8"/>
    <n v="78"/>
    <n v="4577.2"/>
    <n v="5126.4639999999999"/>
    <n v="915.44"/>
    <x v="0"/>
  </r>
  <r>
    <x v="0"/>
    <x v="9"/>
    <x v="4"/>
    <x v="9"/>
    <n v="76"/>
    <n v="4576.8999999999996"/>
    <n v="5126.1279999999997"/>
    <n v="915.38"/>
    <x v="0"/>
  </r>
  <r>
    <x v="0"/>
    <x v="9"/>
    <x v="4"/>
    <x v="10"/>
    <n v="46"/>
    <n v="200"/>
    <n v="224"/>
    <n v="40"/>
    <x v="0"/>
  </r>
  <r>
    <x v="0"/>
    <x v="9"/>
    <x v="4"/>
    <x v="11"/>
    <n v="34"/>
    <n v="4576.8"/>
    <n v="5126.0160000000005"/>
    <n v="915.36000000000013"/>
    <x v="0"/>
  </r>
  <r>
    <x v="0"/>
    <x v="9"/>
    <x v="1"/>
    <x v="12"/>
    <n v="7"/>
    <n v="200"/>
    <n v="224"/>
    <n v="40"/>
    <x v="0"/>
  </r>
  <r>
    <x v="0"/>
    <x v="9"/>
    <x v="4"/>
    <x v="14"/>
    <n v="3"/>
    <n v="4577.3"/>
    <n v="5126.576"/>
    <n v="915.46"/>
    <x v="1"/>
  </r>
  <r>
    <x v="0"/>
    <x v="9"/>
    <x v="5"/>
    <x v="13"/>
    <n v="2"/>
    <n v="6600"/>
    <n v="7392"/>
    <n v="1320"/>
    <x v="1"/>
  </r>
  <r>
    <x v="0"/>
    <x v="10"/>
    <x v="0"/>
    <x v="0"/>
    <n v="3566"/>
    <n v="4577.3"/>
    <n v="5126.576"/>
    <n v="915.46"/>
    <x v="1"/>
  </r>
  <r>
    <x v="0"/>
    <x v="10"/>
    <x v="0"/>
    <x v="1"/>
    <n v="2498"/>
    <n v="8000"/>
    <n v="8960"/>
    <n v="1600"/>
    <x v="1"/>
  </r>
  <r>
    <x v="0"/>
    <x v="10"/>
    <x v="1"/>
    <x v="2"/>
    <n v="1245"/>
    <n v="4577.2"/>
    <n v="5126.4639999999999"/>
    <n v="915.44"/>
    <x v="1"/>
  </r>
  <r>
    <x v="0"/>
    <x v="10"/>
    <x v="2"/>
    <x v="3"/>
    <n v="644"/>
    <n v="5743.5"/>
    <n v="6432.72"/>
    <n v="1148.7"/>
    <x v="1"/>
  </r>
  <r>
    <x v="0"/>
    <x v="10"/>
    <x v="3"/>
    <x v="4"/>
    <n v="643"/>
    <n v="7000"/>
    <n v="7840"/>
    <n v="1400"/>
    <x v="1"/>
  </r>
  <r>
    <x v="0"/>
    <x v="10"/>
    <x v="2"/>
    <x v="5"/>
    <n v="455"/>
    <n v="4578.6000000000004"/>
    <n v="5128.0320000000002"/>
    <n v="915.72000000000014"/>
    <x v="1"/>
  </r>
  <r>
    <x v="0"/>
    <x v="10"/>
    <x v="3"/>
    <x v="6"/>
    <n v="345"/>
    <n v="7000"/>
    <n v="7840"/>
    <n v="1400"/>
    <x v="1"/>
  </r>
  <r>
    <x v="0"/>
    <x v="10"/>
    <x v="1"/>
    <x v="7"/>
    <n v="122"/>
    <n v="100"/>
    <n v="112"/>
    <n v="20"/>
    <x v="1"/>
  </r>
  <r>
    <x v="0"/>
    <x v="10"/>
    <x v="4"/>
    <x v="8"/>
    <n v="78"/>
    <n v="4577.2"/>
    <n v="5126.4639999999999"/>
    <n v="915.44"/>
    <x v="1"/>
  </r>
  <r>
    <x v="0"/>
    <x v="10"/>
    <x v="4"/>
    <x v="9"/>
    <n v="76"/>
    <n v="4576.8999999999996"/>
    <n v="5126.1279999999997"/>
    <n v="915.38"/>
    <x v="1"/>
  </r>
  <r>
    <x v="0"/>
    <x v="10"/>
    <x v="4"/>
    <x v="10"/>
    <n v="46"/>
    <n v="200"/>
    <n v="224"/>
    <n v="40"/>
    <x v="1"/>
  </r>
  <r>
    <x v="0"/>
    <x v="10"/>
    <x v="4"/>
    <x v="11"/>
    <n v="34"/>
    <n v="4576.8"/>
    <n v="5126.0160000000005"/>
    <n v="915.36000000000013"/>
    <x v="1"/>
  </r>
  <r>
    <x v="0"/>
    <x v="10"/>
    <x v="1"/>
    <x v="12"/>
    <n v="7"/>
    <n v="200"/>
    <n v="224"/>
    <n v="40"/>
    <x v="1"/>
  </r>
  <r>
    <x v="0"/>
    <x v="10"/>
    <x v="4"/>
    <x v="14"/>
    <n v="3"/>
    <n v="4577.3"/>
    <n v="5126.576"/>
    <n v="915.46"/>
    <x v="1"/>
  </r>
  <r>
    <x v="0"/>
    <x v="10"/>
    <x v="5"/>
    <x v="13"/>
    <n v="2"/>
    <n v="6600"/>
    <n v="7392"/>
    <n v="1320"/>
    <x v="0"/>
  </r>
  <r>
    <x v="0"/>
    <x v="11"/>
    <x v="0"/>
    <x v="0"/>
    <n v="3566"/>
    <n v="4577.3"/>
    <n v="5126.576"/>
    <n v="915.46"/>
    <x v="0"/>
  </r>
  <r>
    <x v="0"/>
    <x v="11"/>
    <x v="0"/>
    <x v="1"/>
    <n v="2498"/>
    <n v="8000"/>
    <n v="8960"/>
    <n v="1600"/>
    <x v="0"/>
  </r>
  <r>
    <x v="0"/>
    <x v="11"/>
    <x v="1"/>
    <x v="2"/>
    <n v="1245"/>
    <n v="4577.2"/>
    <n v="5126.4639999999999"/>
    <n v="915.44"/>
    <x v="0"/>
  </r>
  <r>
    <x v="0"/>
    <x v="11"/>
    <x v="2"/>
    <x v="3"/>
    <n v="644"/>
    <n v="5743.5"/>
    <n v="6432.72"/>
    <n v="1148.7"/>
    <x v="0"/>
  </r>
  <r>
    <x v="0"/>
    <x v="11"/>
    <x v="3"/>
    <x v="4"/>
    <n v="643"/>
    <n v="7000"/>
    <n v="7840"/>
    <n v="1400"/>
    <x v="1"/>
  </r>
  <r>
    <x v="0"/>
    <x v="11"/>
    <x v="2"/>
    <x v="5"/>
    <n v="455"/>
    <n v="4578.6000000000004"/>
    <n v="5128.0320000000002"/>
    <n v="915.72000000000014"/>
    <x v="1"/>
  </r>
  <r>
    <x v="0"/>
    <x v="11"/>
    <x v="3"/>
    <x v="6"/>
    <n v="345"/>
    <n v="7000"/>
    <n v="7840"/>
    <n v="1400"/>
    <x v="1"/>
  </r>
  <r>
    <x v="0"/>
    <x v="11"/>
    <x v="1"/>
    <x v="7"/>
    <n v="122"/>
    <n v="100"/>
    <n v="112"/>
    <n v="20"/>
    <x v="1"/>
  </r>
  <r>
    <x v="0"/>
    <x v="11"/>
    <x v="4"/>
    <x v="8"/>
    <n v="78"/>
    <n v="4577.2"/>
    <n v="5126.4639999999999"/>
    <n v="915.44"/>
    <x v="1"/>
  </r>
  <r>
    <x v="0"/>
    <x v="11"/>
    <x v="4"/>
    <x v="9"/>
    <n v="76"/>
    <n v="4576.8999999999996"/>
    <n v="5126.1279999999997"/>
    <n v="915.38"/>
    <x v="1"/>
  </r>
  <r>
    <x v="0"/>
    <x v="11"/>
    <x v="4"/>
    <x v="10"/>
    <n v="46"/>
    <n v="200"/>
    <n v="224"/>
    <n v="40"/>
    <x v="1"/>
  </r>
  <r>
    <x v="0"/>
    <x v="11"/>
    <x v="4"/>
    <x v="11"/>
    <n v="34"/>
    <n v="4576.8"/>
    <n v="5126.0160000000005"/>
    <n v="915.36000000000013"/>
    <x v="1"/>
  </r>
  <r>
    <x v="0"/>
    <x v="11"/>
    <x v="1"/>
    <x v="12"/>
    <n v="7"/>
    <n v="200"/>
    <n v="224"/>
    <n v="40"/>
    <x v="1"/>
  </r>
  <r>
    <x v="0"/>
    <x v="11"/>
    <x v="4"/>
    <x v="14"/>
    <n v="3"/>
    <n v="4577.3"/>
    <n v="5126.576"/>
    <n v="915.46"/>
    <x v="0"/>
  </r>
  <r>
    <x v="0"/>
    <x v="11"/>
    <x v="5"/>
    <x v="13"/>
    <n v="2"/>
    <n v="6600"/>
    <n v="7392"/>
    <n v="1320"/>
    <x v="1"/>
  </r>
  <r>
    <x v="1"/>
    <x v="0"/>
    <x v="0"/>
    <x v="0"/>
    <n v="6591.1679999999997"/>
    <n v="4577.3"/>
    <n v="5126.576"/>
    <n v="915.46"/>
    <x v="0"/>
  </r>
  <r>
    <x v="1"/>
    <x v="0"/>
    <x v="0"/>
    <x v="1"/>
    <n v="8270.64"/>
    <n v="8800"/>
    <n v="8960"/>
    <n v="1760"/>
    <x v="0"/>
  </r>
  <r>
    <x v="1"/>
    <x v="0"/>
    <x v="1"/>
    <x v="2"/>
    <n v="8470"/>
    <n v="5034.92"/>
    <n v="5126.4639999999999"/>
    <n v="1006.984"/>
    <x v="0"/>
  </r>
  <r>
    <x v="1"/>
    <x v="0"/>
    <x v="2"/>
    <x v="3"/>
    <n v="6055.1985000000004"/>
    <n v="6317.85"/>
    <n v="6432.72"/>
    <n v="1263.5700000000002"/>
    <x v="0"/>
  </r>
  <r>
    <x v="1"/>
    <x v="0"/>
    <x v="3"/>
    <x v="4"/>
    <n v="10368.4"/>
    <n v="7700"/>
    <n v="7840"/>
    <n v="1540"/>
    <x v="0"/>
  </r>
  <r>
    <x v="1"/>
    <x v="0"/>
    <x v="2"/>
    <x v="5"/>
    <n v="3101.2624999999998"/>
    <n v="5036.46"/>
    <n v="5128.0320000000002"/>
    <n v="1007.292"/>
    <x v="0"/>
  </r>
  <r>
    <x v="1"/>
    <x v="0"/>
    <x v="3"/>
    <x v="6"/>
    <n v="6591.1679999999997"/>
    <n v="7700"/>
    <n v="7840"/>
    <n v="1540"/>
    <x v="0"/>
  </r>
  <r>
    <x v="1"/>
    <x v="0"/>
    <x v="1"/>
    <x v="7"/>
    <n v="6590.7359999999999"/>
    <n v="110"/>
    <n v="112"/>
    <n v="22"/>
    <x v="0"/>
  </r>
  <r>
    <x v="1"/>
    <x v="0"/>
    <x v="4"/>
    <x v="8"/>
    <n v="288"/>
    <n v="5034.92"/>
    <n v="5126.4639999999999"/>
    <n v="1006.984"/>
    <x v="0"/>
  </r>
  <r>
    <x v="1"/>
    <x v="0"/>
    <x v="4"/>
    <x v="9"/>
    <n v="6590.5919999999996"/>
    <n v="4576.8999999999996"/>
    <n v="5126.1279999999997"/>
    <n v="915.38"/>
    <x v="0"/>
  </r>
  <r>
    <x v="1"/>
    <x v="0"/>
    <x v="4"/>
    <x v="10"/>
    <n v="4032.9300000000003"/>
    <n v="200"/>
    <n v="224"/>
    <n v="40"/>
    <x v="0"/>
  </r>
  <r>
    <x v="1"/>
    <x v="0"/>
    <x v="4"/>
    <x v="11"/>
    <n v="7986"/>
    <n v="4576.8"/>
    <n v="5126.0160000000005"/>
    <n v="915.36000000000013"/>
    <x v="0"/>
  </r>
  <r>
    <x v="1"/>
    <x v="0"/>
    <x v="1"/>
    <x v="12"/>
    <n v="5538.5330000000004"/>
    <n v="200"/>
    <n v="224"/>
    <n v="40"/>
    <x v="0"/>
  </r>
  <r>
    <x v="1"/>
    <x v="0"/>
    <x v="5"/>
    <x v="13"/>
    <n v="3"/>
    <n v="6600"/>
    <n v="7392"/>
    <n v="1320"/>
    <x v="0"/>
  </r>
  <r>
    <x v="1"/>
    <x v="0"/>
    <x v="4"/>
    <x v="14"/>
    <n v="3"/>
    <n v="4577.3"/>
    <n v="5126.576"/>
    <n v="915.46"/>
    <x v="0"/>
  </r>
  <r>
    <x v="1"/>
    <x v="1"/>
    <x v="0"/>
    <x v="0"/>
    <n v="3566"/>
    <n v="4577.3"/>
    <n v="5126.576"/>
    <n v="915.46"/>
    <x v="0"/>
  </r>
  <r>
    <x v="1"/>
    <x v="1"/>
    <x v="0"/>
    <x v="1"/>
    <n v="2498"/>
    <n v="8000"/>
    <n v="8960"/>
    <n v="1600"/>
    <x v="0"/>
  </r>
  <r>
    <x v="1"/>
    <x v="1"/>
    <x v="1"/>
    <x v="2"/>
    <n v="1245"/>
    <n v="4577.2"/>
    <n v="5126.4639999999999"/>
    <n v="915.44"/>
    <x v="0"/>
  </r>
  <r>
    <x v="1"/>
    <x v="1"/>
    <x v="2"/>
    <x v="3"/>
    <n v="644"/>
    <n v="5743.5"/>
    <n v="6432.72"/>
    <n v="1148.7"/>
    <x v="0"/>
  </r>
  <r>
    <x v="1"/>
    <x v="1"/>
    <x v="3"/>
    <x v="4"/>
    <n v="643"/>
    <n v="7000"/>
    <n v="7840"/>
    <n v="1400"/>
    <x v="0"/>
  </r>
  <r>
    <x v="1"/>
    <x v="1"/>
    <x v="2"/>
    <x v="5"/>
    <n v="455"/>
    <n v="4578.6000000000004"/>
    <n v="5128.0320000000002"/>
    <n v="915.72000000000014"/>
    <x v="0"/>
  </r>
  <r>
    <x v="1"/>
    <x v="1"/>
    <x v="3"/>
    <x v="6"/>
    <n v="345"/>
    <n v="7000"/>
    <n v="7840"/>
    <n v="1400"/>
    <x v="0"/>
  </r>
  <r>
    <x v="1"/>
    <x v="1"/>
    <x v="1"/>
    <x v="7"/>
    <n v="122"/>
    <n v="100"/>
    <n v="112"/>
    <n v="20"/>
    <x v="0"/>
  </r>
  <r>
    <x v="1"/>
    <x v="1"/>
    <x v="4"/>
    <x v="8"/>
    <n v="78"/>
    <n v="4577.2"/>
    <n v="5126.4639999999999"/>
    <n v="915.44"/>
    <x v="0"/>
  </r>
  <r>
    <x v="1"/>
    <x v="1"/>
    <x v="4"/>
    <x v="9"/>
    <n v="240"/>
    <n v="4576.8999999999996"/>
    <n v="5126.1279999999997"/>
    <n v="915.38"/>
    <x v="0"/>
  </r>
  <r>
    <x v="1"/>
    <x v="1"/>
    <x v="4"/>
    <x v="10"/>
    <n v="5492.16"/>
    <n v="200"/>
    <n v="224"/>
    <n v="40"/>
    <x v="0"/>
  </r>
  <r>
    <x v="1"/>
    <x v="1"/>
    <x v="4"/>
    <x v="11"/>
    <n v="240"/>
    <n v="4576.8"/>
    <n v="5126.0160000000005"/>
    <n v="915.36000000000013"/>
    <x v="0"/>
  </r>
  <r>
    <x v="1"/>
    <x v="1"/>
    <x v="1"/>
    <x v="12"/>
    <n v="5492.76"/>
    <n v="200"/>
    <n v="224"/>
    <n v="40"/>
    <x v="0"/>
  </r>
  <r>
    <x v="1"/>
    <x v="1"/>
    <x v="4"/>
    <x v="14"/>
    <n v="7920"/>
    <n v="4577.3"/>
    <n v="5126.576"/>
    <n v="915.46"/>
    <x v="0"/>
  </r>
  <r>
    <x v="1"/>
    <x v="1"/>
    <x v="5"/>
    <x v="13"/>
    <n v="5492.76"/>
    <n v="6600"/>
    <n v="7392"/>
    <n v="1320"/>
    <x v="0"/>
  </r>
  <r>
    <x v="1"/>
    <x v="2"/>
    <x v="0"/>
    <x v="0"/>
    <n v="9600"/>
    <n v="4577.3"/>
    <n v="5126.576"/>
    <n v="915.46"/>
    <x v="0"/>
  </r>
  <r>
    <x v="1"/>
    <x v="2"/>
    <x v="0"/>
    <x v="1"/>
    <n v="5492.6399999999994"/>
    <n v="8000"/>
    <n v="8960"/>
    <n v="1600"/>
    <x v="0"/>
  </r>
  <r>
    <x v="1"/>
    <x v="2"/>
    <x v="1"/>
    <x v="2"/>
    <n v="6892.2"/>
    <n v="4577.2"/>
    <n v="5126.4639999999999"/>
    <n v="915.44"/>
    <x v="0"/>
  </r>
  <r>
    <x v="1"/>
    <x v="2"/>
    <x v="2"/>
    <x v="3"/>
    <n v="644"/>
    <n v="5743.5"/>
    <n v="6432.72"/>
    <n v="1148.7"/>
    <x v="0"/>
  </r>
  <r>
    <x v="1"/>
    <x v="2"/>
    <x v="3"/>
    <x v="4"/>
    <n v="643"/>
    <n v="7000"/>
    <n v="7840"/>
    <n v="1400"/>
    <x v="0"/>
  </r>
  <r>
    <x v="1"/>
    <x v="2"/>
    <x v="2"/>
    <x v="5"/>
    <n v="455"/>
    <n v="4578.6000000000004"/>
    <n v="5128.0320000000002"/>
    <n v="915.72000000000014"/>
    <x v="0"/>
  </r>
  <r>
    <x v="1"/>
    <x v="2"/>
    <x v="3"/>
    <x v="6"/>
    <n v="345"/>
    <n v="7000"/>
    <n v="7840"/>
    <n v="1400"/>
    <x v="0"/>
  </r>
  <r>
    <x v="1"/>
    <x v="2"/>
    <x v="1"/>
    <x v="7"/>
    <n v="122"/>
    <n v="100"/>
    <n v="112"/>
    <n v="20"/>
    <x v="0"/>
  </r>
  <r>
    <x v="1"/>
    <x v="2"/>
    <x v="4"/>
    <x v="8"/>
    <n v="78"/>
    <n v="4577.2"/>
    <n v="5126.4639999999999"/>
    <n v="915.44"/>
    <x v="0"/>
  </r>
  <r>
    <x v="1"/>
    <x v="2"/>
    <x v="4"/>
    <x v="9"/>
    <n v="76"/>
    <n v="4576.8999999999996"/>
    <n v="5126.1279999999997"/>
    <n v="915.38"/>
    <x v="0"/>
  </r>
  <r>
    <x v="1"/>
    <x v="2"/>
    <x v="4"/>
    <x v="10"/>
    <n v="46"/>
    <n v="200"/>
    <n v="224"/>
    <n v="40"/>
    <x v="0"/>
  </r>
  <r>
    <x v="1"/>
    <x v="2"/>
    <x v="4"/>
    <x v="11"/>
    <n v="34"/>
    <n v="4576.8"/>
    <n v="5126.0160000000005"/>
    <n v="915.36000000000013"/>
    <x v="0"/>
  </r>
  <r>
    <x v="1"/>
    <x v="2"/>
    <x v="1"/>
    <x v="12"/>
    <n v="7"/>
    <n v="200"/>
    <n v="224"/>
    <n v="40"/>
    <x v="0"/>
  </r>
  <r>
    <x v="1"/>
    <x v="2"/>
    <x v="4"/>
    <x v="14"/>
    <n v="3"/>
    <n v="4577.3"/>
    <n v="5126.576"/>
    <n v="915.46"/>
    <x v="0"/>
  </r>
  <r>
    <x v="1"/>
    <x v="2"/>
    <x v="5"/>
    <x v="13"/>
    <n v="2"/>
    <n v="6600"/>
    <n v="7392"/>
    <n v="1320"/>
    <x v="0"/>
  </r>
  <r>
    <x v="1"/>
    <x v="3"/>
    <x v="0"/>
    <x v="0"/>
    <n v="3566"/>
    <n v="4577.3"/>
    <n v="5126.576"/>
    <n v="915.46"/>
    <x v="0"/>
  </r>
  <r>
    <x v="1"/>
    <x v="3"/>
    <x v="0"/>
    <x v="1"/>
    <n v="2498"/>
    <n v="8000"/>
    <n v="8960"/>
    <n v="1600"/>
    <x v="0"/>
  </r>
  <r>
    <x v="1"/>
    <x v="3"/>
    <x v="1"/>
    <x v="2"/>
    <n v="1245"/>
    <n v="4577.2"/>
    <n v="5126.4639999999999"/>
    <n v="915.44"/>
    <x v="0"/>
  </r>
  <r>
    <x v="1"/>
    <x v="3"/>
    <x v="2"/>
    <x v="3"/>
    <n v="644"/>
    <n v="5743.5"/>
    <n v="6432.72"/>
    <n v="1148.7"/>
    <x v="0"/>
  </r>
  <r>
    <x v="1"/>
    <x v="3"/>
    <x v="3"/>
    <x v="4"/>
    <n v="643"/>
    <n v="7000"/>
    <n v="7840"/>
    <n v="1400"/>
    <x v="0"/>
  </r>
  <r>
    <x v="1"/>
    <x v="3"/>
    <x v="2"/>
    <x v="5"/>
    <n v="455"/>
    <n v="4578.6000000000004"/>
    <n v="5128.0320000000002"/>
    <n v="915.72000000000014"/>
    <x v="0"/>
  </r>
  <r>
    <x v="1"/>
    <x v="3"/>
    <x v="3"/>
    <x v="6"/>
    <n v="345"/>
    <n v="7000"/>
    <n v="7840"/>
    <n v="1400"/>
    <x v="0"/>
  </r>
  <r>
    <x v="1"/>
    <x v="3"/>
    <x v="1"/>
    <x v="7"/>
    <n v="122"/>
    <n v="100"/>
    <n v="112"/>
    <n v="20"/>
    <x v="0"/>
  </r>
  <r>
    <x v="1"/>
    <x v="3"/>
    <x v="4"/>
    <x v="8"/>
    <n v="78"/>
    <n v="4577.2"/>
    <n v="5126.4639999999999"/>
    <n v="915.44"/>
    <x v="0"/>
  </r>
  <r>
    <x v="1"/>
    <x v="3"/>
    <x v="4"/>
    <x v="9"/>
    <n v="76"/>
    <n v="4576.8999999999996"/>
    <n v="5126.1279999999997"/>
    <n v="915.38"/>
    <x v="0"/>
  </r>
  <r>
    <x v="1"/>
    <x v="3"/>
    <x v="4"/>
    <x v="10"/>
    <n v="46"/>
    <n v="200"/>
    <n v="224"/>
    <n v="40"/>
    <x v="0"/>
  </r>
  <r>
    <x v="1"/>
    <x v="3"/>
    <x v="4"/>
    <x v="11"/>
    <n v="34"/>
    <n v="4576.8"/>
    <n v="5126.0160000000005"/>
    <n v="915.36000000000013"/>
    <x v="0"/>
  </r>
  <r>
    <x v="1"/>
    <x v="3"/>
    <x v="1"/>
    <x v="12"/>
    <n v="7"/>
    <n v="200"/>
    <n v="224"/>
    <n v="40"/>
    <x v="0"/>
  </r>
  <r>
    <x v="1"/>
    <x v="3"/>
    <x v="4"/>
    <x v="14"/>
    <n v="3"/>
    <n v="4577.3"/>
    <n v="5126.576"/>
    <n v="915.46"/>
    <x v="0"/>
  </r>
  <r>
    <x v="1"/>
    <x v="3"/>
    <x v="5"/>
    <x v="13"/>
    <n v="2"/>
    <n v="7920"/>
    <n v="10296"/>
    <n v="1584"/>
    <x v="0"/>
  </r>
  <r>
    <x v="1"/>
    <x v="4"/>
    <x v="0"/>
    <x v="0"/>
    <n v="3566"/>
    <n v="5492.76"/>
    <n v="7140.5879999999997"/>
    <n v="1098.5520000000001"/>
    <x v="0"/>
  </r>
  <r>
    <x v="1"/>
    <x v="4"/>
    <x v="0"/>
    <x v="1"/>
    <n v="2498"/>
    <n v="9600"/>
    <n v="12480"/>
    <n v="1920"/>
    <x v="0"/>
  </r>
  <r>
    <x v="1"/>
    <x v="4"/>
    <x v="1"/>
    <x v="2"/>
    <n v="1245"/>
    <n v="5492.6399999999994"/>
    <n v="7140.4319999999989"/>
    <n v="1098.528"/>
    <x v="0"/>
  </r>
  <r>
    <x v="1"/>
    <x v="4"/>
    <x v="2"/>
    <x v="3"/>
    <n v="644"/>
    <n v="6892.2"/>
    <n v="8959.86"/>
    <n v="1378.44"/>
    <x v="0"/>
  </r>
  <r>
    <x v="1"/>
    <x v="4"/>
    <x v="3"/>
    <x v="4"/>
    <n v="643"/>
    <n v="8400"/>
    <n v="10920"/>
    <n v="1680"/>
    <x v="0"/>
  </r>
  <r>
    <x v="1"/>
    <x v="4"/>
    <x v="2"/>
    <x v="5"/>
    <n v="455"/>
    <n v="5494.3200000000006"/>
    <n v="7142.6160000000009"/>
    <n v="1098.8640000000003"/>
    <x v="0"/>
  </r>
  <r>
    <x v="1"/>
    <x v="4"/>
    <x v="3"/>
    <x v="6"/>
    <n v="345"/>
    <n v="8400"/>
    <n v="10920"/>
    <n v="1680"/>
    <x v="0"/>
  </r>
  <r>
    <x v="1"/>
    <x v="4"/>
    <x v="1"/>
    <x v="7"/>
    <n v="122"/>
    <n v="120"/>
    <n v="156"/>
    <n v="24"/>
    <x v="0"/>
  </r>
  <r>
    <x v="1"/>
    <x v="4"/>
    <x v="4"/>
    <x v="8"/>
    <n v="78"/>
    <n v="4577.2"/>
    <n v="5126.4639999999999"/>
    <n v="915.44"/>
    <x v="0"/>
  </r>
  <r>
    <x v="1"/>
    <x v="4"/>
    <x v="4"/>
    <x v="9"/>
    <n v="76"/>
    <n v="4576.8999999999996"/>
    <n v="5126.1279999999997"/>
    <n v="915.38"/>
    <x v="0"/>
  </r>
  <r>
    <x v="1"/>
    <x v="4"/>
    <x v="4"/>
    <x v="10"/>
    <n v="46"/>
    <n v="200"/>
    <n v="224"/>
    <n v="40"/>
    <x v="0"/>
  </r>
  <r>
    <x v="1"/>
    <x v="4"/>
    <x v="4"/>
    <x v="11"/>
    <n v="34"/>
    <n v="4576.8"/>
    <n v="5126.0160000000005"/>
    <n v="915.36000000000013"/>
    <x v="0"/>
  </r>
  <r>
    <x v="1"/>
    <x v="4"/>
    <x v="1"/>
    <x v="12"/>
    <n v="7"/>
    <n v="200"/>
    <n v="224"/>
    <n v="40"/>
    <x v="0"/>
  </r>
  <r>
    <x v="1"/>
    <x v="4"/>
    <x v="4"/>
    <x v="14"/>
    <n v="3"/>
    <n v="4577.3"/>
    <n v="5126.576"/>
    <n v="915.46"/>
    <x v="0"/>
  </r>
  <r>
    <x v="1"/>
    <x v="4"/>
    <x v="5"/>
    <x v="13"/>
    <n v="2"/>
    <n v="6600"/>
    <n v="7392"/>
    <n v="1320"/>
    <x v="0"/>
  </r>
  <r>
    <x v="1"/>
    <x v="5"/>
    <x v="0"/>
    <x v="0"/>
    <n v="3566"/>
    <n v="4577.3"/>
    <n v="5126.576"/>
    <n v="915.46"/>
    <x v="0"/>
  </r>
  <r>
    <x v="1"/>
    <x v="5"/>
    <x v="0"/>
    <x v="1"/>
    <n v="2498"/>
    <n v="8000"/>
    <n v="8960"/>
    <n v="1600"/>
    <x v="0"/>
  </r>
  <r>
    <x v="1"/>
    <x v="5"/>
    <x v="1"/>
    <x v="2"/>
    <n v="1245"/>
    <n v="4577.2"/>
    <n v="5126.4639999999999"/>
    <n v="915.44"/>
    <x v="0"/>
  </r>
  <r>
    <x v="1"/>
    <x v="5"/>
    <x v="2"/>
    <x v="3"/>
    <n v="644"/>
    <n v="5743.5"/>
    <n v="6432.72"/>
    <n v="1148.7"/>
    <x v="0"/>
  </r>
  <r>
    <x v="1"/>
    <x v="5"/>
    <x v="3"/>
    <x v="4"/>
    <n v="643"/>
    <n v="7000"/>
    <n v="7840"/>
    <n v="1400"/>
    <x v="0"/>
  </r>
  <r>
    <x v="1"/>
    <x v="5"/>
    <x v="2"/>
    <x v="5"/>
    <n v="455"/>
    <n v="4578.6000000000004"/>
    <n v="5128.0320000000002"/>
    <n v="915.72000000000014"/>
    <x v="0"/>
  </r>
  <r>
    <x v="1"/>
    <x v="5"/>
    <x v="3"/>
    <x v="6"/>
    <n v="345"/>
    <n v="7000"/>
    <n v="7840"/>
    <n v="1400"/>
    <x v="0"/>
  </r>
  <r>
    <x v="1"/>
    <x v="5"/>
    <x v="1"/>
    <x v="7"/>
    <n v="122"/>
    <n v="100"/>
    <n v="112"/>
    <n v="20"/>
    <x v="0"/>
  </r>
  <r>
    <x v="1"/>
    <x v="5"/>
    <x v="4"/>
    <x v="8"/>
    <n v="78"/>
    <n v="4577.2"/>
    <n v="5126.4639999999999"/>
    <n v="915.44"/>
    <x v="0"/>
  </r>
  <r>
    <x v="1"/>
    <x v="5"/>
    <x v="4"/>
    <x v="9"/>
    <n v="5034.5899999999992"/>
    <n v="4576.8999999999996"/>
    <n v="5126.1279999999997"/>
    <n v="915.38"/>
    <x v="0"/>
  </r>
  <r>
    <x v="1"/>
    <x v="5"/>
    <x v="4"/>
    <x v="10"/>
    <n v="220"/>
    <n v="200"/>
    <n v="224"/>
    <n v="40"/>
    <x v="0"/>
  </r>
  <r>
    <x v="1"/>
    <x v="5"/>
    <x v="4"/>
    <x v="11"/>
    <n v="5034.4800000000005"/>
    <n v="4576.8"/>
    <n v="5126.0160000000005"/>
    <n v="915.36000000000013"/>
    <x v="0"/>
  </r>
  <r>
    <x v="1"/>
    <x v="5"/>
    <x v="1"/>
    <x v="12"/>
    <n v="220"/>
    <n v="200"/>
    <n v="224"/>
    <n v="40"/>
    <x v="0"/>
  </r>
  <r>
    <x v="1"/>
    <x v="5"/>
    <x v="5"/>
    <x v="13"/>
    <n v="7260"/>
    <n v="6600"/>
    <n v="7392"/>
    <n v="1320"/>
    <x v="0"/>
  </r>
  <r>
    <x v="1"/>
    <x v="5"/>
    <x v="4"/>
    <x v="14"/>
    <n v="5035.0300000000007"/>
    <n v="4577.3"/>
    <n v="5126.576"/>
    <n v="915.46"/>
    <x v="0"/>
  </r>
  <r>
    <x v="1"/>
    <x v="6"/>
    <x v="0"/>
    <x v="0"/>
    <n v="5035.0300000000007"/>
    <n v="4577.3"/>
    <n v="5126.576"/>
    <n v="915.46"/>
    <x v="0"/>
  </r>
  <r>
    <x v="1"/>
    <x v="6"/>
    <x v="0"/>
    <x v="1"/>
    <n v="8800"/>
    <n v="8000"/>
    <n v="8960"/>
    <n v="1600"/>
    <x v="0"/>
  </r>
  <r>
    <x v="1"/>
    <x v="6"/>
    <x v="1"/>
    <x v="2"/>
    <n v="5034.92"/>
    <n v="4577.2"/>
    <n v="5126.4639999999999"/>
    <n v="915.44"/>
    <x v="0"/>
  </r>
  <r>
    <x v="1"/>
    <x v="6"/>
    <x v="2"/>
    <x v="3"/>
    <n v="644"/>
    <n v="5743.5"/>
    <n v="6432.72"/>
    <n v="1148.7"/>
    <x v="0"/>
  </r>
  <r>
    <x v="1"/>
    <x v="6"/>
    <x v="3"/>
    <x v="4"/>
    <n v="643"/>
    <n v="7000"/>
    <n v="7840"/>
    <n v="1400"/>
    <x v="0"/>
  </r>
  <r>
    <x v="1"/>
    <x v="6"/>
    <x v="2"/>
    <x v="5"/>
    <n v="455"/>
    <n v="4578.6000000000004"/>
    <n v="5128.0320000000002"/>
    <n v="915.72000000000014"/>
    <x v="0"/>
  </r>
  <r>
    <x v="1"/>
    <x v="6"/>
    <x v="3"/>
    <x v="6"/>
    <n v="345"/>
    <n v="7000"/>
    <n v="7840"/>
    <n v="1400"/>
    <x v="0"/>
  </r>
  <r>
    <x v="1"/>
    <x v="6"/>
    <x v="1"/>
    <x v="7"/>
    <n v="122"/>
    <n v="100"/>
    <n v="112"/>
    <n v="20"/>
    <x v="0"/>
  </r>
  <r>
    <x v="1"/>
    <x v="6"/>
    <x v="4"/>
    <x v="8"/>
    <n v="78"/>
    <n v="4577.2"/>
    <n v="5126.4639999999999"/>
    <n v="915.44"/>
    <x v="0"/>
  </r>
  <r>
    <x v="1"/>
    <x v="6"/>
    <x v="4"/>
    <x v="9"/>
    <n v="76"/>
    <n v="4576.8999999999996"/>
    <n v="5126.1279999999997"/>
    <n v="915.38"/>
    <x v="0"/>
  </r>
  <r>
    <x v="1"/>
    <x v="6"/>
    <x v="4"/>
    <x v="10"/>
    <n v="46"/>
    <n v="200"/>
    <n v="224"/>
    <n v="40"/>
    <x v="0"/>
  </r>
  <r>
    <x v="1"/>
    <x v="6"/>
    <x v="4"/>
    <x v="11"/>
    <n v="34"/>
    <n v="4576.8"/>
    <n v="5126.0160000000005"/>
    <n v="915.36000000000013"/>
    <x v="0"/>
  </r>
  <r>
    <x v="1"/>
    <x v="6"/>
    <x v="1"/>
    <x v="12"/>
    <n v="7"/>
    <n v="200"/>
    <n v="224"/>
    <n v="40"/>
    <x v="0"/>
  </r>
  <r>
    <x v="1"/>
    <x v="6"/>
    <x v="4"/>
    <x v="14"/>
    <n v="3"/>
    <n v="4577.3"/>
    <n v="5126.576"/>
    <n v="915.46"/>
    <x v="0"/>
  </r>
  <r>
    <x v="1"/>
    <x v="6"/>
    <x v="5"/>
    <x v="13"/>
    <n v="2"/>
    <n v="6600"/>
    <n v="7392"/>
    <n v="1320"/>
    <x v="0"/>
  </r>
  <r>
    <x v="1"/>
    <x v="7"/>
    <x v="0"/>
    <x v="0"/>
    <n v="3566"/>
    <n v="4577.3"/>
    <n v="5126.576"/>
    <n v="915.46"/>
    <x v="0"/>
  </r>
  <r>
    <x v="1"/>
    <x v="7"/>
    <x v="0"/>
    <x v="1"/>
    <n v="2498"/>
    <n v="8000"/>
    <n v="8960"/>
    <n v="1600"/>
    <x v="0"/>
  </r>
  <r>
    <x v="1"/>
    <x v="7"/>
    <x v="1"/>
    <x v="2"/>
    <n v="1245"/>
    <n v="4577.2"/>
    <n v="5126.4639999999999"/>
    <n v="915.44"/>
    <x v="0"/>
  </r>
  <r>
    <x v="1"/>
    <x v="7"/>
    <x v="2"/>
    <x v="3"/>
    <n v="644"/>
    <n v="5743.5"/>
    <n v="6432.72"/>
    <n v="1148.7"/>
    <x v="0"/>
  </r>
  <r>
    <x v="1"/>
    <x v="7"/>
    <x v="3"/>
    <x v="4"/>
    <n v="643"/>
    <n v="7000"/>
    <n v="7840"/>
    <n v="1400"/>
    <x v="0"/>
  </r>
  <r>
    <x v="1"/>
    <x v="7"/>
    <x v="2"/>
    <x v="5"/>
    <n v="455"/>
    <n v="5036.46"/>
    <n v="5128.0320000000002"/>
    <n v="1007.292"/>
    <x v="0"/>
  </r>
  <r>
    <x v="1"/>
    <x v="7"/>
    <x v="3"/>
    <x v="6"/>
    <n v="345"/>
    <n v="7700"/>
    <n v="7840"/>
    <n v="1540"/>
    <x v="0"/>
  </r>
  <r>
    <x v="1"/>
    <x v="7"/>
    <x v="1"/>
    <x v="7"/>
    <n v="122"/>
    <n v="110"/>
    <n v="112"/>
    <n v="22"/>
    <x v="0"/>
  </r>
  <r>
    <x v="1"/>
    <x v="7"/>
    <x v="4"/>
    <x v="8"/>
    <n v="78"/>
    <n v="5034.92"/>
    <n v="5126.4639999999999"/>
    <n v="1006.984"/>
    <x v="0"/>
  </r>
  <r>
    <x v="1"/>
    <x v="7"/>
    <x v="4"/>
    <x v="9"/>
    <n v="76"/>
    <n v="5034.5899999999992"/>
    <n v="5126.1279999999997"/>
    <n v="1006.9179999999999"/>
    <x v="0"/>
  </r>
  <r>
    <x v="1"/>
    <x v="7"/>
    <x v="4"/>
    <x v="10"/>
    <n v="46"/>
    <n v="230"/>
    <n v="224"/>
    <n v="46"/>
    <x v="0"/>
  </r>
  <r>
    <x v="1"/>
    <x v="7"/>
    <x v="4"/>
    <x v="11"/>
    <n v="34"/>
    <n v="5263.32"/>
    <n v="5126.0160000000005"/>
    <n v="1052.664"/>
    <x v="0"/>
  </r>
  <r>
    <x v="1"/>
    <x v="7"/>
    <x v="1"/>
    <x v="12"/>
    <n v="7"/>
    <n v="230"/>
    <n v="224"/>
    <n v="46"/>
    <x v="1"/>
  </r>
  <r>
    <x v="1"/>
    <x v="7"/>
    <x v="4"/>
    <x v="14"/>
    <n v="3"/>
    <n v="5263.8950000000004"/>
    <n v="5126.576"/>
    <n v="1052.7790000000002"/>
    <x v="1"/>
  </r>
  <r>
    <x v="1"/>
    <x v="7"/>
    <x v="5"/>
    <x v="13"/>
    <n v="2"/>
    <n v="7590"/>
    <n v="7392"/>
    <n v="1518"/>
    <x v="1"/>
  </r>
  <r>
    <x v="1"/>
    <x v="8"/>
    <x v="0"/>
    <x v="0"/>
    <n v="3566"/>
    <n v="5263.8950000000004"/>
    <n v="5126.576"/>
    <n v="1052.7790000000002"/>
    <x v="1"/>
  </r>
  <r>
    <x v="1"/>
    <x v="8"/>
    <x v="0"/>
    <x v="1"/>
    <n v="2498"/>
    <n v="8800"/>
    <n v="8960"/>
    <n v="1760"/>
    <x v="1"/>
  </r>
  <r>
    <x v="1"/>
    <x v="8"/>
    <x v="1"/>
    <x v="2"/>
    <n v="1245"/>
    <n v="5034.92"/>
    <n v="5126.4639999999999"/>
    <n v="1006.984"/>
    <x v="1"/>
  </r>
  <r>
    <x v="1"/>
    <x v="8"/>
    <x v="2"/>
    <x v="3"/>
    <n v="644"/>
    <n v="6317.85"/>
    <n v="6432.72"/>
    <n v="1263.5700000000002"/>
    <x v="1"/>
  </r>
  <r>
    <x v="1"/>
    <x v="8"/>
    <x v="3"/>
    <x v="4"/>
    <n v="643"/>
    <n v="7700"/>
    <n v="7840"/>
    <n v="1540"/>
    <x v="1"/>
  </r>
  <r>
    <x v="1"/>
    <x v="8"/>
    <x v="2"/>
    <x v="5"/>
    <n v="455"/>
    <n v="5036.46"/>
    <n v="5128.0320000000002"/>
    <n v="1007.292"/>
    <x v="1"/>
  </r>
  <r>
    <x v="1"/>
    <x v="8"/>
    <x v="3"/>
    <x v="6"/>
    <n v="345"/>
    <n v="7700"/>
    <n v="7840"/>
    <n v="1540"/>
    <x v="1"/>
  </r>
  <r>
    <x v="1"/>
    <x v="8"/>
    <x v="1"/>
    <x v="7"/>
    <n v="122"/>
    <n v="110"/>
    <n v="112"/>
    <n v="22"/>
    <x v="1"/>
  </r>
  <r>
    <x v="1"/>
    <x v="8"/>
    <x v="4"/>
    <x v="8"/>
    <n v="78"/>
    <n v="5034.92"/>
    <n v="5126.4639999999999"/>
    <n v="1006.984"/>
    <x v="1"/>
  </r>
  <r>
    <x v="1"/>
    <x v="8"/>
    <x v="4"/>
    <x v="9"/>
    <n v="76"/>
    <n v="4576.8999999999996"/>
    <n v="5126.1279999999997"/>
    <n v="915.38"/>
    <x v="1"/>
  </r>
  <r>
    <x v="1"/>
    <x v="8"/>
    <x v="4"/>
    <x v="10"/>
    <n v="46"/>
    <n v="200"/>
    <n v="224"/>
    <n v="40"/>
    <x v="1"/>
  </r>
  <r>
    <x v="1"/>
    <x v="8"/>
    <x v="4"/>
    <x v="11"/>
    <n v="34"/>
    <n v="4576.8"/>
    <n v="5126.0160000000005"/>
    <n v="915.36000000000013"/>
    <x v="1"/>
  </r>
  <r>
    <x v="1"/>
    <x v="8"/>
    <x v="1"/>
    <x v="12"/>
    <n v="7"/>
    <n v="200"/>
    <n v="224"/>
    <n v="40"/>
    <x v="1"/>
  </r>
  <r>
    <x v="1"/>
    <x v="8"/>
    <x v="4"/>
    <x v="14"/>
    <n v="3"/>
    <n v="4577.3"/>
    <n v="5126.576"/>
    <n v="915.46"/>
    <x v="1"/>
  </r>
  <r>
    <x v="1"/>
    <x v="8"/>
    <x v="5"/>
    <x v="13"/>
    <n v="2"/>
    <n v="6600"/>
    <n v="7392"/>
    <n v="1320"/>
    <x v="1"/>
  </r>
  <r>
    <x v="1"/>
    <x v="9"/>
    <x v="0"/>
    <x v="0"/>
    <n v="3566"/>
    <n v="4577.3"/>
    <n v="5126.576"/>
    <n v="915.46"/>
    <x v="1"/>
  </r>
  <r>
    <x v="1"/>
    <x v="9"/>
    <x v="0"/>
    <x v="1"/>
    <n v="2498"/>
    <n v="8000"/>
    <n v="8960"/>
    <n v="1600"/>
    <x v="1"/>
  </r>
  <r>
    <x v="1"/>
    <x v="9"/>
    <x v="1"/>
    <x v="2"/>
    <n v="1245"/>
    <n v="4577.2"/>
    <n v="5126.4639999999999"/>
    <n v="915.44"/>
    <x v="1"/>
  </r>
  <r>
    <x v="1"/>
    <x v="9"/>
    <x v="2"/>
    <x v="3"/>
    <n v="644"/>
    <n v="5743.5"/>
    <n v="6432.72"/>
    <n v="1148.7"/>
    <x v="1"/>
  </r>
  <r>
    <x v="1"/>
    <x v="9"/>
    <x v="3"/>
    <x v="4"/>
    <n v="643"/>
    <n v="7000"/>
    <n v="7840"/>
    <n v="1400"/>
    <x v="1"/>
  </r>
  <r>
    <x v="1"/>
    <x v="9"/>
    <x v="2"/>
    <x v="5"/>
    <n v="455"/>
    <n v="4578.6000000000004"/>
    <n v="5128.0320000000002"/>
    <n v="915.72000000000014"/>
    <x v="0"/>
  </r>
  <r>
    <x v="1"/>
    <x v="9"/>
    <x v="3"/>
    <x v="6"/>
    <n v="345"/>
    <n v="7000"/>
    <n v="7840"/>
    <n v="1400"/>
    <x v="0"/>
  </r>
  <r>
    <x v="1"/>
    <x v="9"/>
    <x v="1"/>
    <x v="7"/>
    <n v="122"/>
    <n v="100"/>
    <n v="112"/>
    <n v="20"/>
    <x v="0"/>
  </r>
  <r>
    <x v="1"/>
    <x v="9"/>
    <x v="4"/>
    <x v="8"/>
    <n v="78"/>
    <n v="4577.2"/>
    <n v="5126.4639999999999"/>
    <n v="915.44"/>
    <x v="0"/>
  </r>
  <r>
    <x v="1"/>
    <x v="9"/>
    <x v="4"/>
    <x v="9"/>
    <n v="76"/>
    <n v="4576.8999999999996"/>
    <n v="5126.1279999999997"/>
    <n v="915.38"/>
    <x v="0"/>
  </r>
  <r>
    <x v="1"/>
    <x v="9"/>
    <x v="4"/>
    <x v="10"/>
    <n v="46"/>
    <n v="200"/>
    <n v="224"/>
    <n v="40"/>
    <x v="0"/>
  </r>
  <r>
    <x v="1"/>
    <x v="9"/>
    <x v="4"/>
    <x v="11"/>
    <n v="34"/>
    <n v="4576.8"/>
    <n v="5126.0160000000005"/>
    <n v="915.36000000000013"/>
    <x v="0"/>
  </r>
  <r>
    <x v="1"/>
    <x v="9"/>
    <x v="1"/>
    <x v="12"/>
    <n v="7"/>
    <n v="200"/>
    <n v="224"/>
    <n v="40"/>
    <x v="0"/>
  </r>
  <r>
    <x v="1"/>
    <x v="9"/>
    <x v="4"/>
    <x v="14"/>
    <n v="3"/>
    <n v="4577.3"/>
    <n v="5126.576"/>
    <n v="915.46"/>
    <x v="0"/>
  </r>
  <r>
    <x v="1"/>
    <x v="9"/>
    <x v="5"/>
    <x v="13"/>
    <n v="2"/>
    <n v="6600"/>
    <n v="7392"/>
    <n v="1320"/>
    <x v="0"/>
  </r>
  <r>
    <x v="1"/>
    <x v="10"/>
    <x v="0"/>
    <x v="0"/>
    <n v="3566"/>
    <n v="4577.3"/>
    <n v="5126.576"/>
    <n v="915.46"/>
    <x v="0"/>
  </r>
  <r>
    <x v="1"/>
    <x v="10"/>
    <x v="0"/>
    <x v="1"/>
    <n v="2498"/>
    <n v="8000"/>
    <n v="8960"/>
    <n v="1600"/>
    <x v="0"/>
  </r>
  <r>
    <x v="1"/>
    <x v="10"/>
    <x v="1"/>
    <x v="2"/>
    <n v="1245"/>
    <n v="4577.2"/>
    <n v="5126.4639999999999"/>
    <n v="915.44"/>
    <x v="0"/>
  </r>
  <r>
    <x v="1"/>
    <x v="10"/>
    <x v="2"/>
    <x v="3"/>
    <n v="644"/>
    <n v="5743.5"/>
    <n v="6432.72"/>
    <n v="1148.7"/>
    <x v="0"/>
  </r>
  <r>
    <x v="1"/>
    <x v="10"/>
    <x v="3"/>
    <x v="4"/>
    <n v="643"/>
    <n v="7000"/>
    <n v="7840"/>
    <n v="1400"/>
    <x v="0"/>
  </r>
  <r>
    <x v="1"/>
    <x v="10"/>
    <x v="2"/>
    <x v="5"/>
    <n v="455"/>
    <n v="4578.6000000000004"/>
    <n v="5128.0320000000002"/>
    <n v="915.72000000000014"/>
    <x v="0"/>
  </r>
  <r>
    <x v="1"/>
    <x v="10"/>
    <x v="3"/>
    <x v="6"/>
    <n v="345"/>
    <n v="7000"/>
    <n v="7840"/>
    <n v="1400"/>
    <x v="0"/>
  </r>
  <r>
    <x v="1"/>
    <x v="10"/>
    <x v="1"/>
    <x v="7"/>
    <n v="122"/>
    <n v="100"/>
    <n v="112"/>
    <n v="20"/>
    <x v="0"/>
  </r>
  <r>
    <x v="1"/>
    <x v="10"/>
    <x v="4"/>
    <x v="8"/>
    <n v="78"/>
    <n v="4577.2"/>
    <n v="5126.4639999999999"/>
    <n v="915.44"/>
    <x v="0"/>
  </r>
  <r>
    <x v="1"/>
    <x v="10"/>
    <x v="4"/>
    <x v="9"/>
    <n v="76"/>
    <n v="4576.8999999999996"/>
    <n v="5126.1279999999997"/>
    <n v="915.38"/>
    <x v="0"/>
  </r>
  <r>
    <x v="1"/>
    <x v="10"/>
    <x v="4"/>
    <x v="10"/>
    <n v="46"/>
    <n v="200"/>
    <n v="224"/>
    <n v="40"/>
    <x v="0"/>
  </r>
  <r>
    <x v="1"/>
    <x v="10"/>
    <x v="4"/>
    <x v="11"/>
    <n v="34"/>
    <n v="5492.16"/>
    <n v="5126.0160000000005"/>
    <n v="1098.432"/>
    <x v="0"/>
  </r>
  <r>
    <x v="1"/>
    <x v="10"/>
    <x v="1"/>
    <x v="12"/>
    <n v="7"/>
    <n v="240"/>
    <n v="224"/>
    <n v="48"/>
    <x v="0"/>
  </r>
  <r>
    <x v="1"/>
    <x v="10"/>
    <x v="4"/>
    <x v="14"/>
    <n v="3"/>
    <n v="5492.76"/>
    <n v="5126.576"/>
    <n v="1098.5520000000001"/>
    <x v="0"/>
  </r>
  <r>
    <x v="1"/>
    <x v="10"/>
    <x v="5"/>
    <x v="13"/>
    <n v="2"/>
    <n v="7920"/>
    <n v="7392"/>
    <n v="1584"/>
    <x v="0"/>
  </r>
  <r>
    <x v="1"/>
    <x v="11"/>
    <x v="0"/>
    <x v="0"/>
    <n v="3566"/>
    <n v="4577.3"/>
    <n v="5126.576"/>
    <n v="915.46"/>
    <x v="0"/>
  </r>
  <r>
    <x v="1"/>
    <x v="11"/>
    <x v="0"/>
    <x v="1"/>
    <n v="2498"/>
    <n v="8000"/>
    <n v="8960"/>
    <n v="1600"/>
    <x v="0"/>
  </r>
  <r>
    <x v="1"/>
    <x v="11"/>
    <x v="1"/>
    <x v="2"/>
    <n v="1245"/>
    <n v="4577.2"/>
    <n v="5126.4639999999999"/>
    <n v="915.44"/>
    <x v="0"/>
  </r>
  <r>
    <x v="1"/>
    <x v="11"/>
    <x v="2"/>
    <x v="3"/>
    <n v="644"/>
    <n v="5743.5"/>
    <n v="6432.72"/>
    <n v="1148.7"/>
    <x v="0"/>
  </r>
  <r>
    <x v="1"/>
    <x v="11"/>
    <x v="3"/>
    <x v="4"/>
    <n v="643"/>
    <n v="7000"/>
    <n v="7840"/>
    <n v="1400"/>
    <x v="0"/>
  </r>
  <r>
    <x v="1"/>
    <x v="11"/>
    <x v="2"/>
    <x v="5"/>
    <n v="455"/>
    <n v="4578.6000000000004"/>
    <n v="5128.0320000000002"/>
    <n v="915.72000000000014"/>
    <x v="0"/>
  </r>
  <r>
    <x v="1"/>
    <x v="11"/>
    <x v="3"/>
    <x v="6"/>
    <n v="345"/>
    <n v="7000"/>
    <n v="7840"/>
    <n v="1400"/>
    <x v="0"/>
  </r>
  <r>
    <x v="1"/>
    <x v="11"/>
    <x v="1"/>
    <x v="7"/>
    <n v="122"/>
    <n v="100"/>
    <n v="112"/>
    <n v="20"/>
    <x v="0"/>
  </r>
  <r>
    <x v="1"/>
    <x v="11"/>
    <x v="4"/>
    <x v="8"/>
    <n v="78"/>
    <n v="4577.2"/>
    <n v="5126.4639999999999"/>
    <n v="915.44"/>
    <x v="0"/>
  </r>
  <r>
    <x v="1"/>
    <x v="11"/>
    <x v="4"/>
    <x v="9"/>
    <n v="76"/>
    <n v="4576.8999999999996"/>
    <n v="5126.1279999999997"/>
    <n v="915.38"/>
    <x v="0"/>
  </r>
  <r>
    <x v="1"/>
    <x v="11"/>
    <x v="4"/>
    <x v="10"/>
    <n v="46"/>
    <n v="200"/>
    <n v="224"/>
    <n v="40"/>
    <x v="0"/>
  </r>
  <r>
    <x v="1"/>
    <x v="11"/>
    <x v="4"/>
    <x v="11"/>
    <n v="34"/>
    <n v="4576.8"/>
    <n v="5126.0160000000005"/>
    <n v="915.36000000000013"/>
    <x v="0"/>
  </r>
  <r>
    <x v="1"/>
    <x v="11"/>
    <x v="1"/>
    <x v="12"/>
    <n v="7"/>
    <n v="200"/>
    <n v="224"/>
    <n v="40"/>
    <x v="0"/>
  </r>
  <r>
    <x v="1"/>
    <x v="11"/>
    <x v="4"/>
    <x v="14"/>
    <n v="3"/>
    <n v="4577.3"/>
    <n v="5126.576"/>
    <n v="915.46"/>
    <x v="0"/>
  </r>
  <r>
    <x v="1"/>
    <x v="11"/>
    <x v="5"/>
    <x v="13"/>
    <n v="2"/>
    <n v="6600"/>
    <n v="7392"/>
    <n v="1320"/>
    <x v="0"/>
  </r>
  <r>
    <x v="2"/>
    <x v="0"/>
    <x v="0"/>
    <x v="0"/>
    <n v="3566"/>
    <n v="5492.76"/>
    <n v="5126.576"/>
    <n v="1098.5520000000001"/>
    <x v="0"/>
  </r>
  <r>
    <x v="2"/>
    <x v="0"/>
    <x v="0"/>
    <x v="1"/>
    <n v="2498"/>
    <n v="9600"/>
    <n v="8960"/>
    <n v="1920"/>
    <x v="0"/>
  </r>
  <r>
    <x v="2"/>
    <x v="0"/>
    <x v="1"/>
    <x v="2"/>
    <n v="1245"/>
    <n v="5492.6399999999994"/>
    <n v="5126.4639999999999"/>
    <n v="1098.528"/>
    <x v="1"/>
  </r>
  <r>
    <x v="2"/>
    <x v="0"/>
    <x v="2"/>
    <x v="3"/>
    <n v="644"/>
    <n v="6892.2"/>
    <n v="6432.72"/>
    <n v="1378.44"/>
    <x v="1"/>
  </r>
  <r>
    <x v="2"/>
    <x v="0"/>
    <x v="3"/>
    <x v="4"/>
    <n v="643"/>
    <n v="8400"/>
    <n v="7840"/>
    <n v="1680"/>
    <x v="1"/>
  </r>
  <r>
    <x v="2"/>
    <x v="0"/>
    <x v="2"/>
    <x v="5"/>
    <n v="455"/>
    <n v="5494.3200000000006"/>
    <n v="5128.0320000000002"/>
    <n v="1098.8640000000003"/>
    <x v="1"/>
  </r>
  <r>
    <x v="2"/>
    <x v="0"/>
    <x v="3"/>
    <x v="6"/>
    <n v="345"/>
    <n v="8400"/>
    <n v="7840"/>
    <n v="1680"/>
    <x v="1"/>
  </r>
  <r>
    <x v="2"/>
    <x v="0"/>
    <x v="1"/>
    <x v="7"/>
    <n v="122"/>
    <n v="120"/>
    <n v="112"/>
    <n v="24"/>
    <x v="1"/>
  </r>
  <r>
    <x v="2"/>
    <x v="0"/>
    <x v="4"/>
    <x v="8"/>
    <n v="78"/>
    <n v="2288.6"/>
    <n v="5126.4639999999999"/>
    <n v="457.72"/>
    <x v="1"/>
  </r>
  <r>
    <x v="2"/>
    <x v="0"/>
    <x v="4"/>
    <x v="9"/>
    <n v="76"/>
    <n v="2288.4499999999998"/>
    <n v="5126.1279999999997"/>
    <n v="457.69"/>
    <x v="1"/>
  </r>
  <r>
    <x v="2"/>
    <x v="0"/>
    <x v="4"/>
    <x v="10"/>
    <n v="46"/>
    <n v="100"/>
    <n v="224"/>
    <n v="20"/>
    <x v="1"/>
  </r>
  <r>
    <x v="2"/>
    <x v="0"/>
    <x v="4"/>
    <x v="11"/>
    <n v="34"/>
    <n v="2288.4"/>
    <n v="5126.0160000000005"/>
    <n v="457.68000000000006"/>
    <x v="1"/>
  </r>
  <r>
    <x v="2"/>
    <x v="0"/>
    <x v="1"/>
    <x v="12"/>
    <n v="7"/>
    <n v="200"/>
    <n v="224"/>
    <n v="40"/>
    <x v="1"/>
  </r>
  <r>
    <x v="2"/>
    <x v="0"/>
    <x v="5"/>
    <x v="13"/>
    <n v="3"/>
    <n v="4577.3"/>
    <n v="7392"/>
    <n v="915.46"/>
    <x v="1"/>
  </r>
  <r>
    <x v="2"/>
    <x v="0"/>
    <x v="4"/>
    <x v="14"/>
    <n v="3"/>
    <n v="3300"/>
    <n v="5126.576"/>
    <n v="660"/>
    <x v="1"/>
  </r>
  <r>
    <x v="2"/>
    <x v="1"/>
    <x v="0"/>
    <x v="0"/>
    <n v="3566"/>
    <n v="4577.3"/>
    <n v="5126.576"/>
    <n v="915.46"/>
    <x v="1"/>
  </r>
  <r>
    <x v="2"/>
    <x v="1"/>
    <x v="0"/>
    <x v="1"/>
    <n v="2498"/>
    <n v="8000"/>
    <n v="8960"/>
    <n v="1600"/>
    <x v="1"/>
  </r>
  <r>
    <x v="2"/>
    <x v="1"/>
    <x v="1"/>
    <x v="2"/>
    <n v="1245"/>
    <n v="4577.2"/>
    <n v="5126.4639999999999"/>
    <n v="915.44"/>
    <x v="1"/>
  </r>
  <r>
    <x v="2"/>
    <x v="1"/>
    <x v="2"/>
    <x v="3"/>
    <n v="644"/>
    <n v="5743.5"/>
    <n v="6432.72"/>
    <n v="1148.7"/>
    <x v="1"/>
  </r>
  <r>
    <x v="2"/>
    <x v="1"/>
    <x v="3"/>
    <x v="4"/>
    <n v="643"/>
    <n v="7000"/>
    <n v="7840"/>
    <n v="1400"/>
    <x v="1"/>
  </r>
  <r>
    <x v="2"/>
    <x v="1"/>
    <x v="2"/>
    <x v="5"/>
    <n v="455"/>
    <n v="4578.6000000000004"/>
    <n v="5128.0320000000002"/>
    <n v="915.72000000000014"/>
    <x v="1"/>
  </r>
  <r>
    <x v="2"/>
    <x v="1"/>
    <x v="3"/>
    <x v="6"/>
    <n v="345"/>
    <n v="7000"/>
    <n v="7840"/>
    <n v="1400"/>
    <x v="1"/>
  </r>
  <r>
    <x v="2"/>
    <x v="1"/>
    <x v="1"/>
    <x v="7"/>
    <n v="122"/>
    <n v="100"/>
    <n v="112"/>
    <n v="20"/>
    <x v="1"/>
  </r>
  <r>
    <x v="2"/>
    <x v="1"/>
    <x v="4"/>
    <x v="8"/>
    <n v="78"/>
    <n v="2288.6"/>
    <n v="5126.4639999999999"/>
    <n v="457.72"/>
    <x v="1"/>
  </r>
  <r>
    <x v="2"/>
    <x v="1"/>
    <x v="4"/>
    <x v="9"/>
    <n v="76"/>
    <n v="2288.4499999999998"/>
    <n v="5126.1279999999997"/>
    <n v="457.69"/>
    <x v="1"/>
  </r>
  <r>
    <x v="2"/>
    <x v="1"/>
    <x v="4"/>
    <x v="10"/>
    <n v="46"/>
    <n v="100"/>
    <n v="224"/>
    <n v="20"/>
    <x v="1"/>
  </r>
  <r>
    <x v="2"/>
    <x v="1"/>
    <x v="4"/>
    <x v="11"/>
    <n v="34"/>
    <n v="2288.4"/>
    <n v="5126.0160000000005"/>
    <n v="457.68000000000006"/>
    <x v="1"/>
  </r>
  <r>
    <x v="2"/>
    <x v="1"/>
    <x v="1"/>
    <x v="12"/>
    <n v="7"/>
    <n v="200"/>
    <n v="224"/>
    <n v="40"/>
    <x v="0"/>
  </r>
  <r>
    <x v="2"/>
    <x v="1"/>
    <x v="4"/>
    <x v="14"/>
    <n v="3"/>
    <n v="3300"/>
    <n v="5126.576"/>
    <n v="660"/>
    <x v="0"/>
  </r>
  <r>
    <x v="2"/>
    <x v="1"/>
    <x v="5"/>
    <x v="13"/>
    <n v="2"/>
    <n v="6600"/>
    <n v="7392"/>
    <n v="1320"/>
    <x v="0"/>
  </r>
  <r>
    <x v="2"/>
    <x v="2"/>
    <x v="0"/>
    <x v="0"/>
    <n v="3566"/>
    <n v="4577.3"/>
    <n v="5126.576"/>
    <n v="915.46"/>
    <x v="0"/>
  </r>
  <r>
    <x v="2"/>
    <x v="2"/>
    <x v="0"/>
    <x v="1"/>
    <n v="2498"/>
    <n v="8000"/>
    <n v="8960"/>
    <n v="1600"/>
    <x v="0"/>
  </r>
  <r>
    <x v="2"/>
    <x v="2"/>
    <x v="1"/>
    <x v="2"/>
    <n v="1245"/>
    <n v="4577.2"/>
    <n v="5126.4639999999999"/>
    <n v="915.44"/>
    <x v="0"/>
  </r>
  <r>
    <x v="2"/>
    <x v="2"/>
    <x v="2"/>
    <x v="3"/>
    <n v="644"/>
    <n v="5743.5"/>
    <n v="6432.72"/>
    <n v="1148.7"/>
    <x v="0"/>
  </r>
  <r>
    <x v="2"/>
    <x v="2"/>
    <x v="3"/>
    <x v="4"/>
    <n v="643"/>
    <n v="7000"/>
    <n v="7840"/>
    <n v="1400"/>
    <x v="0"/>
  </r>
  <r>
    <x v="2"/>
    <x v="2"/>
    <x v="2"/>
    <x v="5"/>
    <n v="455"/>
    <n v="4578.6000000000004"/>
    <n v="5128.0320000000002"/>
    <n v="915.72000000000014"/>
    <x v="0"/>
  </r>
  <r>
    <x v="2"/>
    <x v="2"/>
    <x v="3"/>
    <x v="6"/>
    <n v="345"/>
    <n v="7000"/>
    <n v="7840"/>
    <n v="1400"/>
    <x v="0"/>
  </r>
  <r>
    <x v="2"/>
    <x v="2"/>
    <x v="1"/>
    <x v="7"/>
    <n v="122"/>
    <n v="100"/>
    <n v="112"/>
    <n v="20"/>
    <x v="0"/>
  </r>
  <r>
    <x v="2"/>
    <x v="2"/>
    <x v="4"/>
    <x v="8"/>
    <n v="78"/>
    <n v="2288.6"/>
    <n v="5126.4639999999999"/>
    <n v="457.72"/>
    <x v="0"/>
  </r>
  <r>
    <x v="2"/>
    <x v="2"/>
    <x v="4"/>
    <x v="9"/>
    <n v="76"/>
    <n v="2288.4499999999998"/>
    <n v="5126.1279999999997"/>
    <n v="457.69"/>
    <x v="0"/>
  </r>
  <r>
    <x v="2"/>
    <x v="2"/>
    <x v="4"/>
    <x v="10"/>
    <n v="46"/>
    <n v="100"/>
    <n v="224"/>
    <n v="20"/>
    <x v="0"/>
  </r>
  <r>
    <x v="2"/>
    <x v="2"/>
    <x v="4"/>
    <x v="11"/>
    <n v="34"/>
    <n v="2288.4"/>
    <n v="5126.0160000000005"/>
    <n v="457.68000000000006"/>
    <x v="0"/>
  </r>
  <r>
    <x v="2"/>
    <x v="2"/>
    <x v="1"/>
    <x v="12"/>
    <n v="7"/>
    <n v="200"/>
    <n v="224"/>
    <n v="40"/>
    <x v="0"/>
  </r>
  <r>
    <x v="2"/>
    <x v="2"/>
    <x v="4"/>
    <x v="14"/>
    <n v="3"/>
    <n v="2288.65"/>
    <n v="5126.576"/>
    <n v="457.73"/>
    <x v="0"/>
  </r>
  <r>
    <x v="2"/>
    <x v="2"/>
    <x v="5"/>
    <x v="13"/>
    <n v="2"/>
    <n v="6600"/>
    <n v="7392"/>
    <n v="1320"/>
    <x v="1"/>
  </r>
  <r>
    <x v="2"/>
    <x v="3"/>
    <x v="0"/>
    <x v="0"/>
    <n v="3566"/>
    <n v="4577.3"/>
    <n v="5126.576"/>
    <n v="915.46"/>
    <x v="1"/>
  </r>
  <r>
    <x v="2"/>
    <x v="3"/>
    <x v="0"/>
    <x v="1"/>
    <n v="2498"/>
    <n v="8000"/>
    <n v="8960"/>
    <n v="1600"/>
    <x v="1"/>
  </r>
  <r>
    <x v="2"/>
    <x v="3"/>
    <x v="1"/>
    <x v="2"/>
    <n v="1245"/>
    <n v="4577.2"/>
    <n v="5126.4639999999999"/>
    <n v="915.44"/>
    <x v="1"/>
  </r>
  <r>
    <x v="2"/>
    <x v="3"/>
    <x v="2"/>
    <x v="3"/>
    <n v="644"/>
    <n v="5743.5"/>
    <n v="6432.72"/>
    <n v="1148.7"/>
    <x v="1"/>
  </r>
  <r>
    <x v="2"/>
    <x v="3"/>
    <x v="3"/>
    <x v="4"/>
    <n v="643"/>
    <n v="7000"/>
    <n v="7840"/>
    <n v="1400"/>
    <x v="1"/>
  </r>
  <r>
    <x v="2"/>
    <x v="3"/>
    <x v="2"/>
    <x v="5"/>
    <n v="455"/>
    <n v="4578.6000000000004"/>
    <n v="5128.0320000000002"/>
    <n v="915.72000000000014"/>
    <x v="1"/>
  </r>
  <r>
    <x v="2"/>
    <x v="3"/>
    <x v="3"/>
    <x v="6"/>
    <n v="345"/>
    <n v="7000"/>
    <n v="7840"/>
    <n v="1400"/>
    <x v="1"/>
  </r>
  <r>
    <x v="2"/>
    <x v="3"/>
    <x v="1"/>
    <x v="7"/>
    <n v="122"/>
    <n v="100"/>
    <n v="112"/>
    <n v="20"/>
    <x v="1"/>
  </r>
  <r>
    <x v="2"/>
    <x v="3"/>
    <x v="4"/>
    <x v="8"/>
    <n v="78"/>
    <n v="2288.6"/>
    <n v="5126.4639999999999"/>
    <n v="457.72"/>
    <x v="1"/>
  </r>
  <r>
    <x v="2"/>
    <x v="3"/>
    <x v="4"/>
    <x v="9"/>
    <n v="76"/>
    <n v="2288.4499999999998"/>
    <n v="5126.1279999999997"/>
    <n v="457.69"/>
    <x v="1"/>
  </r>
  <r>
    <x v="2"/>
    <x v="3"/>
    <x v="4"/>
    <x v="10"/>
    <n v="46"/>
    <n v="100"/>
    <n v="224"/>
    <n v="20"/>
    <x v="1"/>
  </r>
  <r>
    <x v="2"/>
    <x v="3"/>
    <x v="4"/>
    <x v="11"/>
    <n v="34"/>
    <n v="2288.4"/>
    <n v="5126.0160000000005"/>
    <n v="457.68000000000006"/>
    <x v="1"/>
  </r>
  <r>
    <x v="2"/>
    <x v="3"/>
    <x v="1"/>
    <x v="12"/>
    <n v="7"/>
    <n v="200"/>
    <n v="224"/>
    <n v="40"/>
    <x v="1"/>
  </r>
  <r>
    <x v="2"/>
    <x v="3"/>
    <x v="4"/>
    <x v="14"/>
    <n v="3"/>
    <n v="2288.65"/>
    <n v="5126.576"/>
    <n v="457.73"/>
    <x v="1"/>
  </r>
  <r>
    <x v="2"/>
    <x v="3"/>
    <x v="5"/>
    <x v="13"/>
    <n v="2"/>
    <n v="7920"/>
    <n v="7392"/>
    <n v="1584"/>
    <x v="1"/>
  </r>
  <r>
    <x v="2"/>
    <x v="4"/>
    <x v="0"/>
    <x v="0"/>
    <n v="3566"/>
    <n v="4577.3"/>
    <n v="5126.576"/>
    <n v="915.46"/>
    <x v="0"/>
  </r>
  <r>
    <x v="2"/>
    <x v="4"/>
    <x v="0"/>
    <x v="1"/>
    <n v="2498"/>
    <n v="8800"/>
    <n v="8960"/>
    <n v="1760"/>
    <x v="0"/>
  </r>
  <r>
    <x v="2"/>
    <x v="4"/>
    <x v="1"/>
    <x v="2"/>
    <n v="1245"/>
    <n v="5034.92"/>
    <n v="5126.4639999999999"/>
    <n v="1006.984"/>
    <x v="0"/>
  </r>
  <r>
    <x v="2"/>
    <x v="4"/>
    <x v="2"/>
    <x v="3"/>
    <n v="644"/>
    <n v="6317.85"/>
    <n v="6432.72"/>
    <n v="1263.5700000000002"/>
    <x v="0"/>
  </r>
  <r>
    <x v="2"/>
    <x v="4"/>
    <x v="3"/>
    <x v="4"/>
    <n v="643"/>
    <n v="7700"/>
    <n v="7840"/>
    <n v="1540"/>
    <x v="0"/>
  </r>
  <r>
    <x v="2"/>
    <x v="4"/>
    <x v="2"/>
    <x v="5"/>
    <n v="455"/>
    <n v="5036.46"/>
    <n v="5128.0320000000002"/>
    <n v="1007.292"/>
    <x v="1"/>
  </r>
  <r>
    <x v="2"/>
    <x v="4"/>
    <x v="3"/>
    <x v="6"/>
    <n v="345"/>
    <n v="7700"/>
    <n v="7840"/>
    <n v="1540"/>
    <x v="1"/>
  </r>
  <r>
    <x v="2"/>
    <x v="4"/>
    <x v="1"/>
    <x v="7"/>
    <n v="122"/>
    <n v="110"/>
    <n v="112"/>
    <n v="22"/>
    <x v="1"/>
  </r>
  <r>
    <x v="2"/>
    <x v="4"/>
    <x v="4"/>
    <x v="8"/>
    <n v="78"/>
    <n v="2517.46"/>
    <n v="5126.4639999999999"/>
    <n v="503.49200000000002"/>
    <x v="1"/>
  </r>
  <r>
    <x v="2"/>
    <x v="4"/>
    <x v="4"/>
    <x v="9"/>
    <n v="76"/>
    <n v="2288.4499999999998"/>
    <n v="5126.1279999999997"/>
    <n v="457.69"/>
    <x v="1"/>
  </r>
  <r>
    <x v="2"/>
    <x v="4"/>
    <x v="4"/>
    <x v="10"/>
    <n v="46"/>
    <n v="100"/>
    <n v="224"/>
    <n v="20"/>
    <x v="1"/>
  </r>
  <r>
    <x v="2"/>
    <x v="4"/>
    <x v="4"/>
    <x v="11"/>
    <n v="34"/>
    <n v="2288.4"/>
    <n v="5126.0160000000005"/>
    <n v="457.68000000000006"/>
    <x v="1"/>
  </r>
  <r>
    <x v="2"/>
    <x v="4"/>
    <x v="1"/>
    <x v="12"/>
    <n v="7"/>
    <n v="200"/>
    <n v="224"/>
    <n v="40"/>
    <x v="1"/>
  </r>
  <r>
    <x v="2"/>
    <x v="4"/>
    <x v="4"/>
    <x v="14"/>
    <n v="3"/>
    <n v="3300"/>
    <n v="5126.576"/>
    <n v="660"/>
    <x v="1"/>
  </r>
  <r>
    <x v="2"/>
    <x v="4"/>
    <x v="5"/>
    <x v="13"/>
    <n v="2"/>
    <n v="4577.3"/>
    <n v="7392"/>
    <n v="915.46"/>
    <x v="0"/>
  </r>
  <r>
    <x v="2"/>
    <x v="5"/>
    <x v="0"/>
    <x v="0"/>
    <n v="3566"/>
    <n v="4577.3"/>
    <n v="5126.576"/>
    <n v="915.46"/>
    <x v="1"/>
  </r>
  <r>
    <x v="2"/>
    <x v="5"/>
    <x v="0"/>
    <x v="1"/>
    <n v="2498"/>
    <n v="8000"/>
    <n v="8960"/>
    <n v="1600"/>
    <x v="0"/>
  </r>
  <r>
    <x v="2"/>
    <x v="5"/>
    <x v="1"/>
    <x v="2"/>
    <n v="1245"/>
    <n v="4577.2"/>
    <n v="5126.4639999999999"/>
    <n v="915.44"/>
    <x v="0"/>
  </r>
  <r>
    <x v="2"/>
    <x v="5"/>
    <x v="2"/>
    <x v="3"/>
    <n v="644"/>
    <n v="5743.5"/>
    <n v="6432.72"/>
    <n v="1148.7"/>
    <x v="0"/>
  </r>
  <r>
    <x v="2"/>
    <x v="5"/>
    <x v="3"/>
    <x v="4"/>
    <n v="643"/>
    <n v="7000"/>
    <n v="7840"/>
    <n v="1400"/>
    <x v="0"/>
  </r>
  <r>
    <x v="2"/>
    <x v="5"/>
    <x v="2"/>
    <x v="5"/>
    <n v="455"/>
    <n v="4578.6000000000004"/>
    <n v="5128.0320000000002"/>
    <n v="915.72000000000014"/>
    <x v="0"/>
  </r>
  <r>
    <x v="2"/>
    <x v="5"/>
    <x v="3"/>
    <x v="6"/>
    <n v="345"/>
    <n v="7000"/>
    <n v="7840"/>
    <n v="1400"/>
    <x v="0"/>
  </r>
  <r>
    <x v="2"/>
    <x v="5"/>
    <x v="1"/>
    <x v="7"/>
    <n v="122"/>
    <n v="100"/>
    <n v="112"/>
    <n v="20"/>
    <x v="0"/>
  </r>
  <r>
    <x v="2"/>
    <x v="5"/>
    <x v="4"/>
    <x v="8"/>
    <n v="78"/>
    <n v="2288.6"/>
    <n v="5126.4639999999999"/>
    <n v="457.72"/>
    <x v="0"/>
  </r>
  <r>
    <x v="2"/>
    <x v="5"/>
    <x v="4"/>
    <x v="9"/>
    <n v="76"/>
    <n v="2288.4499999999998"/>
    <n v="5126.1279999999997"/>
    <n v="457.69"/>
    <x v="0"/>
  </r>
  <r>
    <x v="2"/>
    <x v="5"/>
    <x v="4"/>
    <x v="10"/>
    <n v="46"/>
    <n v="100"/>
    <n v="224"/>
    <n v="20"/>
    <x v="0"/>
  </r>
  <r>
    <x v="2"/>
    <x v="5"/>
    <x v="4"/>
    <x v="11"/>
    <n v="34"/>
    <n v="2288.4"/>
    <n v="5126.0160000000005"/>
    <n v="457.68000000000006"/>
    <x v="0"/>
  </r>
  <r>
    <x v="2"/>
    <x v="5"/>
    <x v="1"/>
    <x v="12"/>
    <n v="7"/>
    <n v="200"/>
    <n v="224"/>
    <n v="40"/>
    <x v="0"/>
  </r>
  <r>
    <x v="2"/>
    <x v="5"/>
    <x v="5"/>
    <x v="13"/>
    <n v="3"/>
    <n v="4577.3"/>
    <n v="7392"/>
    <n v="915.46"/>
    <x v="0"/>
  </r>
  <r>
    <x v="2"/>
    <x v="5"/>
    <x v="4"/>
    <x v="14"/>
    <n v="3"/>
    <n v="2288.65"/>
    <n v="5126.576"/>
    <n v="457.73"/>
    <x v="0"/>
  </r>
  <r>
    <x v="2"/>
    <x v="6"/>
    <x v="0"/>
    <x v="0"/>
    <n v="3566"/>
    <n v="4577.3"/>
    <n v="5126.576"/>
    <n v="915.46"/>
    <x v="0"/>
  </r>
  <r>
    <x v="2"/>
    <x v="6"/>
    <x v="0"/>
    <x v="1"/>
    <n v="2498"/>
    <n v="8000"/>
    <n v="8960"/>
    <n v="1600"/>
    <x v="0"/>
  </r>
  <r>
    <x v="2"/>
    <x v="6"/>
    <x v="1"/>
    <x v="2"/>
    <n v="1245"/>
    <n v="4577.2"/>
    <n v="5126.4639999999999"/>
    <n v="915.44"/>
    <x v="0"/>
  </r>
  <r>
    <x v="2"/>
    <x v="6"/>
    <x v="2"/>
    <x v="3"/>
    <n v="644"/>
    <n v="5743.5"/>
    <n v="6432.72"/>
    <n v="1148.7"/>
    <x v="0"/>
  </r>
  <r>
    <x v="2"/>
    <x v="6"/>
    <x v="3"/>
    <x v="4"/>
    <n v="643"/>
    <n v="7000"/>
    <n v="7840"/>
    <n v="1400"/>
    <x v="0"/>
  </r>
  <r>
    <x v="2"/>
    <x v="6"/>
    <x v="2"/>
    <x v="5"/>
    <n v="455"/>
    <n v="4578.6000000000004"/>
    <n v="5128.0320000000002"/>
    <n v="915.72000000000014"/>
    <x v="0"/>
  </r>
  <r>
    <x v="2"/>
    <x v="6"/>
    <x v="3"/>
    <x v="6"/>
    <n v="345"/>
    <n v="7000"/>
    <n v="7840"/>
    <n v="1400"/>
    <x v="0"/>
  </r>
  <r>
    <x v="2"/>
    <x v="6"/>
    <x v="1"/>
    <x v="7"/>
    <n v="122"/>
    <n v="100"/>
    <n v="112"/>
    <n v="20"/>
    <x v="0"/>
  </r>
  <r>
    <x v="2"/>
    <x v="6"/>
    <x v="4"/>
    <x v="8"/>
    <n v="78"/>
    <n v="2288.6"/>
    <n v="5126.4639999999999"/>
    <n v="457.72"/>
    <x v="0"/>
  </r>
  <r>
    <x v="2"/>
    <x v="6"/>
    <x v="4"/>
    <x v="9"/>
    <n v="76"/>
    <n v="2288.4499999999998"/>
    <n v="5126.1279999999997"/>
    <n v="457.69"/>
    <x v="0"/>
  </r>
  <r>
    <x v="2"/>
    <x v="6"/>
    <x v="4"/>
    <x v="10"/>
    <n v="46"/>
    <n v="100"/>
    <n v="224"/>
    <n v="20"/>
    <x v="0"/>
  </r>
  <r>
    <x v="2"/>
    <x v="6"/>
    <x v="4"/>
    <x v="11"/>
    <n v="34"/>
    <n v="2288.4"/>
    <n v="5126.0160000000005"/>
    <n v="457.68000000000006"/>
    <x v="0"/>
  </r>
  <r>
    <x v="2"/>
    <x v="6"/>
    <x v="1"/>
    <x v="12"/>
    <n v="7"/>
    <n v="200"/>
    <n v="224"/>
    <n v="40"/>
    <x v="0"/>
  </r>
  <r>
    <x v="2"/>
    <x v="6"/>
    <x v="4"/>
    <x v="14"/>
    <n v="3"/>
    <n v="2288.65"/>
    <n v="5126.576"/>
    <n v="457.73"/>
    <x v="0"/>
  </r>
  <r>
    <x v="2"/>
    <x v="6"/>
    <x v="5"/>
    <x v="13"/>
    <n v="2"/>
    <n v="6600"/>
    <n v="7392"/>
    <n v="1320"/>
    <x v="0"/>
  </r>
  <r>
    <x v="2"/>
    <x v="7"/>
    <x v="0"/>
    <x v="0"/>
    <n v="3566"/>
    <n v="4577.3"/>
    <n v="5126.576"/>
    <n v="915.46"/>
    <x v="0"/>
  </r>
  <r>
    <x v="2"/>
    <x v="7"/>
    <x v="0"/>
    <x v="1"/>
    <n v="2498"/>
    <n v="8000"/>
    <n v="8960"/>
    <n v="1600"/>
    <x v="0"/>
  </r>
  <r>
    <x v="2"/>
    <x v="7"/>
    <x v="1"/>
    <x v="2"/>
    <n v="1245"/>
    <n v="4577.2"/>
    <n v="5126.4639999999999"/>
    <n v="915.44"/>
    <x v="0"/>
  </r>
  <r>
    <x v="2"/>
    <x v="7"/>
    <x v="2"/>
    <x v="3"/>
    <n v="644"/>
    <n v="5743.5"/>
    <n v="6432.72"/>
    <n v="1148.7"/>
    <x v="0"/>
  </r>
  <r>
    <x v="2"/>
    <x v="7"/>
    <x v="3"/>
    <x v="4"/>
    <n v="643"/>
    <n v="7000"/>
    <n v="7840"/>
    <n v="1400"/>
    <x v="0"/>
  </r>
  <r>
    <x v="2"/>
    <x v="7"/>
    <x v="2"/>
    <x v="5"/>
    <n v="455"/>
    <n v="5036.46"/>
    <n v="5128.0320000000002"/>
    <n v="1007.292"/>
    <x v="0"/>
  </r>
  <r>
    <x v="2"/>
    <x v="7"/>
    <x v="3"/>
    <x v="6"/>
    <n v="345"/>
    <n v="7700"/>
    <n v="7840"/>
    <n v="1540"/>
    <x v="0"/>
  </r>
  <r>
    <x v="2"/>
    <x v="7"/>
    <x v="1"/>
    <x v="7"/>
    <n v="122"/>
    <n v="110"/>
    <n v="112"/>
    <n v="22"/>
    <x v="0"/>
  </r>
  <r>
    <x v="2"/>
    <x v="7"/>
    <x v="4"/>
    <x v="8"/>
    <n v="78"/>
    <n v="2517.46"/>
    <n v="5126.4639999999999"/>
    <n v="503.49200000000002"/>
    <x v="0"/>
  </r>
  <r>
    <x v="2"/>
    <x v="7"/>
    <x v="4"/>
    <x v="9"/>
    <n v="76"/>
    <n v="2517.2949999999996"/>
    <n v="5126.1279999999997"/>
    <n v="503.45899999999995"/>
    <x v="0"/>
  </r>
  <r>
    <x v="2"/>
    <x v="7"/>
    <x v="4"/>
    <x v="10"/>
    <n v="46"/>
    <n v="115"/>
    <n v="224"/>
    <n v="23"/>
    <x v="0"/>
  </r>
  <r>
    <x v="2"/>
    <x v="7"/>
    <x v="4"/>
    <x v="11"/>
    <n v="34"/>
    <n v="2631.66"/>
    <n v="5126.0160000000005"/>
    <n v="526.33199999999999"/>
    <x v="0"/>
  </r>
  <r>
    <x v="2"/>
    <x v="7"/>
    <x v="1"/>
    <x v="12"/>
    <n v="7"/>
    <n v="230"/>
    <n v="224"/>
    <n v="46"/>
    <x v="0"/>
  </r>
  <r>
    <x v="2"/>
    <x v="7"/>
    <x v="4"/>
    <x v="14"/>
    <n v="3"/>
    <n v="2631.9475000000002"/>
    <n v="5126.576"/>
    <n v="526.38950000000011"/>
    <x v="0"/>
  </r>
  <r>
    <x v="2"/>
    <x v="7"/>
    <x v="5"/>
    <x v="13"/>
    <n v="2"/>
    <n v="7590"/>
    <n v="7392"/>
    <n v="1518"/>
    <x v="0"/>
  </r>
  <r>
    <x v="2"/>
    <x v="8"/>
    <x v="0"/>
    <x v="0"/>
    <n v="3566"/>
    <n v="4577.3"/>
    <n v="5126.576"/>
    <n v="915.46"/>
    <x v="0"/>
  </r>
  <r>
    <x v="2"/>
    <x v="8"/>
    <x v="0"/>
    <x v="1"/>
    <n v="2498"/>
    <n v="8000"/>
    <n v="8960"/>
    <n v="1600"/>
    <x v="0"/>
  </r>
  <r>
    <x v="2"/>
    <x v="8"/>
    <x v="1"/>
    <x v="2"/>
    <n v="1245"/>
    <n v="4577.2"/>
    <n v="5126.4639999999999"/>
    <n v="915.44"/>
    <x v="0"/>
  </r>
  <r>
    <x v="2"/>
    <x v="8"/>
    <x v="2"/>
    <x v="3"/>
    <n v="644"/>
    <n v="5743.5"/>
    <n v="6432.72"/>
    <n v="1148.7"/>
    <x v="0"/>
  </r>
  <r>
    <x v="2"/>
    <x v="8"/>
    <x v="3"/>
    <x v="4"/>
    <n v="643"/>
    <n v="7000"/>
    <n v="7840"/>
    <n v="1400"/>
    <x v="0"/>
  </r>
  <r>
    <x v="2"/>
    <x v="8"/>
    <x v="2"/>
    <x v="5"/>
    <n v="455"/>
    <n v="4578.6000000000004"/>
    <n v="5128.0320000000002"/>
    <n v="915.72000000000014"/>
    <x v="0"/>
  </r>
  <r>
    <x v="2"/>
    <x v="8"/>
    <x v="3"/>
    <x v="6"/>
    <n v="345"/>
    <n v="7000"/>
    <n v="7840"/>
    <n v="1400"/>
    <x v="0"/>
  </r>
  <r>
    <x v="2"/>
    <x v="8"/>
    <x v="1"/>
    <x v="7"/>
    <n v="122"/>
    <n v="100"/>
    <n v="112"/>
    <n v="20"/>
    <x v="0"/>
  </r>
  <r>
    <x v="2"/>
    <x v="8"/>
    <x v="4"/>
    <x v="8"/>
    <n v="78"/>
    <n v="2288.6"/>
    <n v="5126.4639999999999"/>
    <n v="457.72"/>
    <x v="0"/>
  </r>
  <r>
    <x v="2"/>
    <x v="8"/>
    <x v="4"/>
    <x v="9"/>
    <n v="76"/>
    <n v="2288.4499999999998"/>
    <n v="5126.1279999999997"/>
    <n v="457.69"/>
    <x v="0"/>
  </r>
  <r>
    <x v="2"/>
    <x v="8"/>
    <x v="4"/>
    <x v="10"/>
    <n v="46"/>
    <n v="100"/>
    <n v="224"/>
    <n v="20"/>
    <x v="0"/>
  </r>
  <r>
    <x v="2"/>
    <x v="8"/>
    <x v="4"/>
    <x v="11"/>
    <n v="34"/>
    <n v="2746.08"/>
    <n v="5126.0160000000005"/>
    <n v="549.21600000000001"/>
    <x v="0"/>
  </r>
  <r>
    <x v="2"/>
    <x v="8"/>
    <x v="1"/>
    <x v="12"/>
    <n v="7"/>
    <n v="240"/>
    <n v="224"/>
    <n v="48"/>
    <x v="0"/>
  </r>
  <r>
    <x v="2"/>
    <x v="8"/>
    <x v="4"/>
    <x v="14"/>
    <n v="3"/>
    <n v="2746.38"/>
    <n v="5126.576"/>
    <n v="549.27600000000007"/>
    <x v="0"/>
  </r>
  <r>
    <x v="2"/>
    <x v="8"/>
    <x v="5"/>
    <x v="13"/>
    <n v="2"/>
    <n v="7920"/>
    <n v="7392"/>
    <n v="1584"/>
    <x v="0"/>
  </r>
  <r>
    <x v="2"/>
    <x v="9"/>
    <x v="0"/>
    <x v="0"/>
    <n v="3566"/>
    <n v="5035.0300000000007"/>
    <n v="5126.576"/>
    <n v="1007.0060000000002"/>
    <x v="0"/>
  </r>
  <r>
    <x v="2"/>
    <x v="9"/>
    <x v="0"/>
    <x v="1"/>
    <n v="2498"/>
    <n v="9200"/>
    <n v="8960"/>
    <n v="1840"/>
    <x v="0"/>
  </r>
  <r>
    <x v="2"/>
    <x v="9"/>
    <x v="1"/>
    <x v="2"/>
    <n v="1245"/>
    <n v="5263.78"/>
    <n v="5126.4639999999999"/>
    <n v="1052.7560000000001"/>
    <x v="0"/>
  </r>
  <r>
    <x v="2"/>
    <x v="9"/>
    <x v="2"/>
    <x v="3"/>
    <n v="644"/>
    <n v="6605.0249999999996"/>
    <n v="6432.72"/>
    <n v="1321.0050000000001"/>
    <x v="0"/>
  </r>
  <r>
    <x v="2"/>
    <x v="9"/>
    <x v="3"/>
    <x v="4"/>
    <n v="643"/>
    <n v="8400"/>
    <n v="7840"/>
    <n v="1680"/>
    <x v="0"/>
  </r>
  <r>
    <x v="2"/>
    <x v="9"/>
    <x v="2"/>
    <x v="5"/>
    <n v="455"/>
    <n v="5494.3200000000006"/>
    <n v="5128.0320000000002"/>
    <n v="1098.8640000000003"/>
    <x v="0"/>
  </r>
  <r>
    <x v="2"/>
    <x v="9"/>
    <x v="3"/>
    <x v="6"/>
    <n v="345"/>
    <n v="8400"/>
    <n v="7840"/>
    <n v="1680"/>
    <x v="0"/>
  </r>
  <r>
    <x v="2"/>
    <x v="9"/>
    <x v="1"/>
    <x v="7"/>
    <n v="122"/>
    <n v="120"/>
    <n v="112"/>
    <n v="24"/>
    <x v="0"/>
  </r>
  <r>
    <x v="2"/>
    <x v="9"/>
    <x v="4"/>
    <x v="8"/>
    <n v="78"/>
    <n v="2517.46"/>
    <n v="5126.4639999999999"/>
    <n v="503.49200000000002"/>
    <x v="0"/>
  </r>
  <r>
    <x v="2"/>
    <x v="9"/>
    <x v="4"/>
    <x v="9"/>
    <n v="76"/>
    <n v="2517.2949999999996"/>
    <n v="5126.1279999999997"/>
    <n v="503.45899999999995"/>
    <x v="0"/>
  </r>
  <r>
    <x v="2"/>
    <x v="9"/>
    <x v="4"/>
    <x v="10"/>
    <n v="46"/>
    <n v="110"/>
    <n v="224"/>
    <n v="22"/>
    <x v="0"/>
  </r>
  <r>
    <x v="2"/>
    <x v="9"/>
    <x v="4"/>
    <x v="11"/>
    <n v="34"/>
    <n v="2517.2400000000002"/>
    <n v="5126.0160000000005"/>
    <n v="503.44800000000009"/>
    <x v="0"/>
  </r>
  <r>
    <x v="2"/>
    <x v="9"/>
    <x v="1"/>
    <x v="12"/>
    <n v="7"/>
    <n v="220"/>
    <n v="224"/>
    <n v="44"/>
    <x v="0"/>
  </r>
  <r>
    <x v="2"/>
    <x v="9"/>
    <x v="4"/>
    <x v="14"/>
    <n v="3"/>
    <n v="2517.5150000000003"/>
    <n v="5126.576"/>
    <n v="503.5030000000001"/>
    <x v="0"/>
  </r>
  <r>
    <x v="2"/>
    <x v="9"/>
    <x v="5"/>
    <x v="13"/>
    <n v="2"/>
    <n v="7260"/>
    <n v="7392"/>
    <n v="1452"/>
    <x v="0"/>
  </r>
  <r>
    <x v="2"/>
    <x v="10"/>
    <x v="0"/>
    <x v="0"/>
    <n v="3566"/>
    <n v="5263.8950000000004"/>
    <n v="5126.576"/>
    <n v="1052.7790000000002"/>
    <x v="0"/>
  </r>
  <r>
    <x v="2"/>
    <x v="10"/>
    <x v="0"/>
    <x v="1"/>
    <n v="2498"/>
    <n v="8800"/>
    <n v="8960"/>
    <n v="1760"/>
    <x v="0"/>
  </r>
  <r>
    <x v="2"/>
    <x v="10"/>
    <x v="1"/>
    <x v="2"/>
    <n v="1245"/>
    <n v="5034.92"/>
    <n v="5126.4639999999999"/>
    <n v="1006.984"/>
    <x v="0"/>
  </r>
  <r>
    <x v="2"/>
    <x v="10"/>
    <x v="2"/>
    <x v="3"/>
    <n v="644"/>
    <n v="6317.85"/>
    <n v="6432.72"/>
    <n v="1263.5700000000002"/>
    <x v="0"/>
  </r>
  <r>
    <x v="2"/>
    <x v="10"/>
    <x v="3"/>
    <x v="4"/>
    <n v="643"/>
    <n v="7700"/>
    <n v="7840"/>
    <n v="1540"/>
    <x v="0"/>
  </r>
  <r>
    <x v="2"/>
    <x v="10"/>
    <x v="2"/>
    <x v="5"/>
    <n v="455"/>
    <n v="5036.46"/>
    <n v="5128.0320000000002"/>
    <n v="1007.292"/>
    <x v="0"/>
  </r>
  <r>
    <x v="2"/>
    <x v="10"/>
    <x v="3"/>
    <x v="6"/>
    <n v="345"/>
    <n v="7700"/>
    <n v="7840"/>
    <n v="1540"/>
    <x v="0"/>
  </r>
  <r>
    <x v="2"/>
    <x v="10"/>
    <x v="1"/>
    <x v="7"/>
    <n v="122"/>
    <n v="110"/>
    <n v="112"/>
    <n v="22"/>
    <x v="0"/>
  </r>
  <r>
    <x v="2"/>
    <x v="10"/>
    <x v="4"/>
    <x v="8"/>
    <n v="78"/>
    <n v="2517.46"/>
    <n v="5126.4639999999999"/>
    <n v="503.49200000000002"/>
    <x v="0"/>
  </r>
  <r>
    <x v="2"/>
    <x v="10"/>
    <x v="4"/>
    <x v="9"/>
    <n v="76"/>
    <n v="2288.4499999999998"/>
    <n v="5126.1279999999997"/>
    <n v="457.69"/>
    <x v="0"/>
  </r>
  <r>
    <x v="2"/>
    <x v="10"/>
    <x v="4"/>
    <x v="10"/>
    <n v="46"/>
    <n v="100"/>
    <n v="224"/>
    <n v="20"/>
    <x v="0"/>
  </r>
  <r>
    <x v="2"/>
    <x v="10"/>
    <x v="4"/>
    <x v="11"/>
    <n v="34"/>
    <n v="2288.4"/>
    <n v="5126.0160000000005"/>
    <n v="457.68000000000006"/>
    <x v="1"/>
  </r>
  <r>
    <x v="2"/>
    <x v="10"/>
    <x v="1"/>
    <x v="12"/>
    <n v="7"/>
    <n v="200"/>
    <n v="224"/>
    <n v="40"/>
    <x v="1"/>
  </r>
  <r>
    <x v="2"/>
    <x v="10"/>
    <x v="4"/>
    <x v="14"/>
    <n v="3"/>
    <n v="2288.65"/>
    <n v="5126.576"/>
    <n v="457.73"/>
    <x v="1"/>
  </r>
  <r>
    <x v="2"/>
    <x v="10"/>
    <x v="5"/>
    <x v="13"/>
    <n v="2"/>
    <n v="6600"/>
    <n v="7392"/>
    <n v="1320"/>
    <x v="1"/>
  </r>
  <r>
    <x v="2"/>
    <x v="11"/>
    <x v="0"/>
    <x v="0"/>
    <n v="3566"/>
    <n v="4577.3"/>
    <n v="5126.576"/>
    <n v="915.46"/>
    <x v="1"/>
  </r>
  <r>
    <x v="2"/>
    <x v="11"/>
    <x v="0"/>
    <x v="1"/>
    <n v="2498"/>
    <n v="8000"/>
    <n v="8960"/>
    <n v="1600"/>
    <x v="1"/>
  </r>
  <r>
    <x v="2"/>
    <x v="11"/>
    <x v="1"/>
    <x v="2"/>
    <n v="1245"/>
    <n v="4577.2"/>
    <n v="5126.4639999999999"/>
    <n v="915.44"/>
    <x v="1"/>
  </r>
  <r>
    <x v="2"/>
    <x v="11"/>
    <x v="2"/>
    <x v="3"/>
    <n v="644"/>
    <n v="5743.5"/>
    <n v="6432.72"/>
    <n v="1148.7"/>
    <x v="1"/>
  </r>
  <r>
    <x v="2"/>
    <x v="11"/>
    <x v="3"/>
    <x v="4"/>
    <n v="643"/>
    <n v="7000"/>
    <n v="7840"/>
    <n v="1400"/>
    <x v="1"/>
  </r>
  <r>
    <x v="2"/>
    <x v="11"/>
    <x v="2"/>
    <x v="5"/>
    <n v="455"/>
    <n v="4578.6000000000004"/>
    <n v="5128.0320000000002"/>
    <n v="915.72000000000014"/>
    <x v="1"/>
  </r>
  <r>
    <x v="2"/>
    <x v="11"/>
    <x v="3"/>
    <x v="6"/>
    <n v="345"/>
    <n v="7000"/>
    <n v="7840"/>
    <n v="1400"/>
    <x v="1"/>
  </r>
  <r>
    <x v="2"/>
    <x v="11"/>
    <x v="1"/>
    <x v="7"/>
    <n v="122"/>
    <n v="100"/>
    <n v="112"/>
    <n v="20"/>
    <x v="1"/>
  </r>
  <r>
    <x v="2"/>
    <x v="11"/>
    <x v="4"/>
    <x v="8"/>
    <n v="78"/>
    <n v="2288.6"/>
    <n v="5126.4639999999999"/>
    <n v="457.72"/>
    <x v="1"/>
  </r>
  <r>
    <x v="2"/>
    <x v="11"/>
    <x v="4"/>
    <x v="9"/>
    <n v="76"/>
    <n v="2288.4499999999998"/>
    <n v="5126.1279999999997"/>
    <n v="457.69"/>
    <x v="1"/>
  </r>
  <r>
    <x v="2"/>
    <x v="11"/>
    <x v="4"/>
    <x v="10"/>
    <n v="46"/>
    <n v="100"/>
    <n v="224"/>
    <n v="20"/>
    <x v="1"/>
  </r>
  <r>
    <x v="2"/>
    <x v="11"/>
    <x v="4"/>
    <x v="11"/>
    <n v="34"/>
    <n v="2288.4"/>
    <n v="5126.0160000000005"/>
    <n v="457.68000000000006"/>
    <x v="1"/>
  </r>
  <r>
    <x v="2"/>
    <x v="11"/>
    <x v="1"/>
    <x v="12"/>
    <n v="7"/>
    <n v="200"/>
    <n v="224"/>
    <n v="40"/>
    <x v="1"/>
  </r>
  <r>
    <x v="2"/>
    <x v="11"/>
    <x v="4"/>
    <x v="14"/>
    <n v="3"/>
    <n v="2288.65"/>
    <n v="5126.576"/>
    <n v="457.73"/>
    <x v="1"/>
  </r>
  <r>
    <x v="2"/>
    <x v="11"/>
    <x v="5"/>
    <x v="13"/>
    <n v="2"/>
    <n v="6600"/>
    <n v="7392"/>
    <n v="1320"/>
    <x v="1"/>
  </r>
  <r>
    <x v="3"/>
    <x v="0"/>
    <x v="0"/>
    <x v="0"/>
    <n v="3566"/>
    <n v="5492.76"/>
    <n v="5126.576"/>
    <n v="1098.5520000000001"/>
    <x v="1"/>
  </r>
  <r>
    <x v="3"/>
    <x v="0"/>
    <x v="0"/>
    <x v="1"/>
    <n v="2498"/>
    <n v="9600"/>
    <n v="8960"/>
    <n v="1920"/>
    <x v="1"/>
  </r>
  <r>
    <x v="3"/>
    <x v="0"/>
    <x v="1"/>
    <x v="2"/>
    <n v="1245"/>
    <n v="5492.6399999999994"/>
    <n v="5126.4639999999999"/>
    <n v="1098.528"/>
    <x v="1"/>
  </r>
  <r>
    <x v="3"/>
    <x v="0"/>
    <x v="2"/>
    <x v="3"/>
    <n v="644"/>
    <n v="6892.2"/>
    <n v="6432.72"/>
    <n v="1378.44"/>
    <x v="1"/>
  </r>
  <r>
    <x v="3"/>
    <x v="0"/>
    <x v="3"/>
    <x v="4"/>
    <n v="643"/>
    <n v="8400"/>
    <n v="7840"/>
    <n v="1680"/>
    <x v="0"/>
  </r>
  <r>
    <x v="3"/>
    <x v="0"/>
    <x v="2"/>
    <x v="5"/>
    <n v="455"/>
    <n v="5494.3200000000006"/>
    <n v="5128.0320000000002"/>
    <n v="1098.8640000000003"/>
    <x v="0"/>
  </r>
  <r>
    <x v="3"/>
    <x v="0"/>
    <x v="3"/>
    <x v="6"/>
    <n v="345"/>
    <n v="8400"/>
    <n v="7840"/>
    <n v="1680"/>
    <x v="0"/>
  </r>
  <r>
    <x v="3"/>
    <x v="0"/>
    <x v="1"/>
    <x v="7"/>
    <n v="122"/>
    <n v="120"/>
    <n v="112"/>
    <n v="24"/>
    <x v="0"/>
  </r>
  <r>
    <x v="3"/>
    <x v="0"/>
    <x v="4"/>
    <x v="8"/>
    <n v="78"/>
    <n v="2288.6"/>
    <n v="5126.4639999999999"/>
    <n v="457.72"/>
    <x v="0"/>
  </r>
  <r>
    <x v="3"/>
    <x v="0"/>
    <x v="4"/>
    <x v="9"/>
    <n v="76"/>
    <n v="2288.4499999999998"/>
    <n v="5126.1279999999997"/>
    <n v="457.69"/>
    <x v="0"/>
  </r>
  <r>
    <x v="3"/>
    <x v="0"/>
    <x v="4"/>
    <x v="10"/>
    <n v="46"/>
    <n v="100"/>
    <n v="224"/>
    <n v="20"/>
    <x v="0"/>
  </r>
  <r>
    <x v="3"/>
    <x v="0"/>
    <x v="4"/>
    <x v="11"/>
    <n v="34"/>
    <n v="2288.4"/>
    <n v="5126.0160000000005"/>
    <n v="457.68000000000006"/>
    <x v="0"/>
  </r>
  <r>
    <x v="3"/>
    <x v="0"/>
    <x v="1"/>
    <x v="12"/>
    <n v="7"/>
    <n v="200"/>
    <n v="224"/>
    <n v="40"/>
    <x v="0"/>
  </r>
  <r>
    <x v="3"/>
    <x v="0"/>
    <x v="5"/>
    <x v="13"/>
    <n v="3"/>
    <n v="4577.3"/>
    <n v="7392"/>
    <n v="915.46"/>
    <x v="0"/>
  </r>
  <r>
    <x v="3"/>
    <x v="0"/>
    <x v="4"/>
    <x v="14"/>
    <n v="3"/>
    <n v="3300"/>
    <n v="5126.576"/>
    <n v="660"/>
    <x v="0"/>
  </r>
  <r>
    <x v="3"/>
    <x v="1"/>
    <x v="0"/>
    <x v="0"/>
    <n v="3566"/>
    <n v="4577.3"/>
    <n v="5126.576"/>
    <n v="915.46"/>
    <x v="0"/>
  </r>
  <r>
    <x v="3"/>
    <x v="1"/>
    <x v="0"/>
    <x v="1"/>
    <n v="2498"/>
    <n v="8000"/>
    <n v="8960"/>
    <n v="1600"/>
    <x v="0"/>
  </r>
  <r>
    <x v="3"/>
    <x v="1"/>
    <x v="1"/>
    <x v="2"/>
    <n v="1245"/>
    <n v="4577.2"/>
    <n v="5126.4639999999999"/>
    <n v="915.44"/>
    <x v="0"/>
  </r>
  <r>
    <x v="3"/>
    <x v="1"/>
    <x v="2"/>
    <x v="3"/>
    <n v="644"/>
    <n v="5743.5"/>
    <n v="6432.72"/>
    <n v="1148.7"/>
    <x v="0"/>
  </r>
  <r>
    <x v="3"/>
    <x v="1"/>
    <x v="3"/>
    <x v="4"/>
    <n v="643"/>
    <n v="7000"/>
    <n v="7840"/>
    <n v="1400"/>
    <x v="0"/>
  </r>
  <r>
    <x v="3"/>
    <x v="1"/>
    <x v="2"/>
    <x v="5"/>
    <n v="455"/>
    <n v="4578.6000000000004"/>
    <n v="5128.0320000000002"/>
    <n v="915.72000000000014"/>
    <x v="0"/>
  </r>
  <r>
    <x v="3"/>
    <x v="1"/>
    <x v="3"/>
    <x v="6"/>
    <n v="345"/>
    <n v="7000"/>
    <n v="7840"/>
    <n v="1400"/>
    <x v="0"/>
  </r>
  <r>
    <x v="3"/>
    <x v="1"/>
    <x v="1"/>
    <x v="7"/>
    <n v="122"/>
    <n v="100"/>
    <n v="112"/>
    <n v="20"/>
    <x v="0"/>
  </r>
  <r>
    <x v="3"/>
    <x v="1"/>
    <x v="4"/>
    <x v="8"/>
    <n v="78"/>
    <n v="2288.6"/>
    <n v="5126.4639999999999"/>
    <n v="457.72"/>
    <x v="0"/>
  </r>
  <r>
    <x v="3"/>
    <x v="1"/>
    <x v="4"/>
    <x v="9"/>
    <n v="76"/>
    <n v="2288.4499999999998"/>
    <n v="5126.1279999999997"/>
    <n v="457.69"/>
    <x v="0"/>
  </r>
  <r>
    <x v="3"/>
    <x v="1"/>
    <x v="4"/>
    <x v="10"/>
    <n v="46"/>
    <n v="100"/>
    <n v="224"/>
    <n v="20"/>
    <x v="0"/>
  </r>
  <r>
    <x v="3"/>
    <x v="1"/>
    <x v="4"/>
    <x v="11"/>
    <n v="34"/>
    <n v="2288.4"/>
    <n v="5126.0160000000005"/>
    <n v="457.68000000000006"/>
    <x v="0"/>
  </r>
  <r>
    <x v="3"/>
    <x v="1"/>
    <x v="1"/>
    <x v="12"/>
    <n v="7"/>
    <n v="200"/>
    <n v="224"/>
    <n v="40"/>
    <x v="0"/>
  </r>
  <r>
    <x v="3"/>
    <x v="1"/>
    <x v="4"/>
    <x v="14"/>
    <n v="3"/>
    <n v="3300"/>
    <n v="5126.576"/>
    <n v="660"/>
    <x v="0"/>
  </r>
  <r>
    <x v="3"/>
    <x v="1"/>
    <x v="5"/>
    <x v="13"/>
    <n v="2"/>
    <n v="6600"/>
    <n v="7392"/>
    <n v="1320"/>
    <x v="0"/>
  </r>
  <r>
    <x v="3"/>
    <x v="2"/>
    <x v="0"/>
    <x v="0"/>
    <n v="3566"/>
    <n v="4577.3"/>
    <n v="5126.576"/>
    <n v="915.46"/>
    <x v="0"/>
  </r>
  <r>
    <x v="3"/>
    <x v="2"/>
    <x v="0"/>
    <x v="1"/>
    <n v="2498"/>
    <n v="8000"/>
    <n v="8960"/>
    <n v="1600"/>
    <x v="0"/>
  </r>
  <r>
    <x v="3"/>
    <x v="2"/>
    <x v="1"/>
    <x v="2"/>
    <n v="1245"/>
    <n v="4577.2"/>
    <n v="5126.4639999999999"/>
    <n v="915.44"/>
    <x v="0"/>
  </r>
  <r>
    <x v="3"/>
    <x v="2"/>
    <x v="2"/>
    <x v="3"/>
    <n v="644"/>
    <n v="10000"/>
    <n v="6432.72"/>
    <n v="2000"/>
    <x v="0"/>
  </r>
  <r>
    <x v="3"/>
    <x v="2"/>
    <x v="3"/>
    <x v="4"/>
    <n v="643"/>
    <n v="7000"/>
    <n v="7840"/>
    <n v="1400"/>
    <x v="0"/>
  </r>
  <r>
    <x v="3"/>
    <x v="2"/>
    <x v="2"/>
    <x v="5"/>
    <n v="455"/>
    <n v="4578.6000000000004"/>
    <n v="5128.0320000000002"/>
    <n v="915.72000000000014"/>
    <x v="0"/>
  </r>
  <r>
    <x v="3"/>
    <x v="2"/>
    <x v="3"/>
    <x v="6"/>
    <n v="345"/>
    <n v="7000"/>
    <n v="7840"/>
    <n v="1400"/>
    <x v="0"/>
  </r>
  <r>
    <x v="3"/>
    <x v="2"/>
    <x v="1"/>
    <x v="7"/>
    <n v="122"/>
    <n v="100"/>
    <n v="112"/>
    <n v="20"/>
    <x v="0"/>
  </r>
  <r>
    <x v="3"/>
    <x v="2"/>
    <x v="4"/>
    <x v="8"/>
    <n v="78"/>
    <n v="2288.6"/>
    <n v="5126.4639999999999"/>
    <n v="457.72"/>
    <x v="0"/>
  </r>
  <r>
    <x v="3"/>
    <x v="2"/>
    <x v="4"/>
    <x v="9"/>
    <n v="76"/>
    <n v="2288.4499999999998"/>
    <n v="5126.1279999999997"/>
    <n v="457.69"/>
    <x v="0"/>
  </r>
  <r>
    <x v="3"/>
    <x v="2"/>
    <x v="4"/>
    <x v="10"/>
    <n v="46"/>
    <n v="100"/>
    <n v="224"/>
    <n v="20"/>
    <x v="0"/>
  </r>
  <r>
    <x v="3"/>
    <x v="2"/>
    <x v="4"/>
    <x v="11"/>
    <n v="34"/>
    <n v="2288.4"/>
    <n v="5126.0160000000005"/>
    <n v="457.68000000000006"/>
    <x v="0"/>
  </r>
  <r>
    <x v="3"/>
    <x v="2"/>
    <x v="1"/>
    <x v="12"/>
    <n v="7"/>
    <n v="200"/>
    <n v="224"/>
    <n v="40"/>
    <x v="0"/>
  </r>
  <r>
    <x v="3"/>
    <x v="2"/>
    <x v="4"/>
    <x v="14"/>
    <n v="3"/>
    <n v="2288.65"/>
    <n v="5126.576"/>
    <n v="457.73"/>
    <x v="0"/>
  </r>
  <r>
    <x v="3"/>
    <x v="2"/>
    <x v="5"/>
    <x v="13"/>
    <n v="2"/>
    <n v="6600"/>
    <n v="7392"/>
    <n v="1320"/>
    <x v="0"/>
  </r>
  <r>
    <x v="3"/>
    <x v="3"/>
    <x v="0"/>
    <x v="0"/>
    <n v="3566"/>
    <n v="4577.3"/>
    <n v="5126.576"/>
    <n v="915.46"/>
    <x v="0"/>
  </r>
  <r>
    <x v="3"/>
    <x v="3"/>
    <x v="0"/>
    <x v="1"/>
    <n v="2498"/>
    <n v="8000"/>
    <n v="8960"/>
    <n v="1600"/>
    <x v="1"/>
  </r>
  <r>
    <x v="3"/>
    <x v="3"/>
    <x v="1"/>
    <x v="2"/>
    <n v="1245"/>
    <n v="4577.2"/>
    <n v="5126.4639999999999"/>
    <n v="915.44"/>
    <x v="1"/>
  </r>
  <r>
    <x v="3"/>
    <x v="3"/>
    <x v="2"/>
    <x v="3"/>
    <n v="644"/>
    <n v="15000"/>
    <n v="6432.72"/>
    <n v="3000"/>
    <x v="1"/>
  </r>
  <r>
    <x v="3"/>
    <x v="3"/>
    <x v="3"/>
    <x v="4"/>
    <n v="643"/>
    <n v="7000"/>
    <n v="7840"/>
    <n v="1400"/>
    <x v="1"/>
  </r>
  <r>
    <x v="3"/>
    <x v="3"/>
    <x v="2"/>
    <x v="5"/>
    <n v="455"/>
    <n v="14000"/>
    <n v="5128.0320000000002"/>
    <n v="2800"/>
    <x v="1"/>
  </r>
  <r>
    <x v="3"/>
    <x v="3"/>
    <x v="3"/>
    <x v="6"/>
    <n v="345"/>
    <n v="7000"/>
    <n v="7840"/>
    <n v="1400"/>
    <x v="1"/>
  </r>
  <r>
    <x v="3"/>
    <x v="3"/>
    <x v="1"/>
    <x v="7"/>
    <n v="122"/>
    <n v="100"/>
    <n v="112"/>
    <n v="20"/>
    <x v="1"/>
  </r>
  <r>
    <x v="3"/>
    <x v="3"/>
    <x v="4"/>
    <x v="8"/>
    <n v="78"/>
    <n v="2288.6"/>
    <n v="5126.4639999999999"/>
    <n v="457.72"/>
    <x v="1"/>
  </r>
  <r>
    <x v="3"/>
    <x v="3"/>
    <x v="4"/>
    <x v="9"/>
    <n v="76"/>
    <n v="2288.4499999999998"/>
    <n v="5126.1279999999997"/>
    <n v="457.69"/>
    <x v="1"/>
  </r>
  <r>
    <x v="3"/>
    <x v="3"/>
    <x v="4"/>
    <x v="10"/>
    <n v="46"/>
    <n v="100"/>
    <n v="224"/>
    <n v="20"/>
    <x v="1"/>
  </r>
  <r>
    <x v="3"/>
    <x v="3"/>
    <x v="4"/>
    <x v="11"/>
    <n v="34"/>
    <n v="2288.4"/>
    <n v="5126.0160000000005"/>
    <n v="457.68000000000006"/>
    <x v="1"/>
  </r>
  <r>
    <x v="3"/>
    <x v="3"/>
    <x v="1"/>
    <x v="12"/>
    <n v="7"/>
    <n v="200"/>
    <n v="224"/>
    <n v="40"/>
    <x v="1"/>
  </r>
  <r>
    <x v="3"/>
    <x v="3"/>
    <x v="4"/>
    <x v="14"/>
    <n v="3"/>
    <n v="2288.65"/>
    <n v="5126.576"/>
    <n v="457.73"/>
    <x v="1"/>
  </r>
  <r>
    <x v="3"/>
    <x v="3"/>
    <x v="5"/>
    <x v="13"/>
    <n v="2"/>
    <n v="7920"/>
    <n v="7392"/>
    <n v="1584"/>
    <x v="1"/>
  </r>
  <r>
    <x v="3"/>
    <x v="4"/>
    <x v="0"/>
    <x v="0"/>
    <n v="3566"/>
    <n v="4577.3"/>
    <n v="5126.576"/>
    <n v="915.46"/>
    <x v="1"/>
  </r>
  <r>
    <x v="3"/>
    <x v="4"/>
    <x v="0"/>
    <x v="1"/>
    <n v="2498"/>
    <n v="8800"/>
    <n v="8960"/>
    <n v="1760"/>
    <x v="1"/>
  </r>
  <r>
    <x v="3"/>
    <x v="4"/>
    <x v="1"/>
    <x v="2"/>
    <n v="1245"/>
    <n v="5034.92"/>
    <n v="5126.4639999999999"/>
    <n v="1006.984"/>
    <x v="1"/>
  </r>
  <r>
    <x v="3"/>
    <x v="4"/>
    <x v="2"/>
    <x v="3"/>
    <n v="644"/>
    <n v="6317.85"/>
    <n v="6432.72"/>
    <n v="1263.5700000000002"/>
    <x v="1"/>
  </r>
  <r>
    <x v="3"/>
    <x v="4"/>
    <x v="3"/>
    <x v="4"/>
    <n v="643"/>
    <n v="7700"/>
    <n v="7840"/>
    <n v="1540"/>
    <x v="1"/>
  </r>
  <r>
    <x v="3"/>
    <x v="4"/>
    <x v="2"/>
    <x v="5"/>
    <n v="455"/>
    <n v="5036.46"/>
    <n v="5128.0320000000002"/>
    <n v="1007.292"/>
    <x v="1"/>
  </r>
  <r>
    <x v="3"/>
    <x v="4"/>
    <x v="3"/>
    <x v="6"/>
    <n v="345"/>
    <n v="7700"/>
    <n v="7840"/>
    <n v="1540"/>
    <x v="1"/>
  </r>
  <r>
    <x v="3"/>
    <x v="4"/>
    <x v="1"/>
    <x v="7"/>
    <n v="122"/>
    <n v="110"/>
    <n v="112"/>
    <n v="22"/>
    <x v="1"/>
  </r>
  <r>
    <x v="3"/>
    <x v="4"/>
    <x v="4"/>
    <x v="8"/>
    <n v="78"/>
    <n v="2517.46"/>
    <n v="5126.4639999999999"/>
    <n v="503.49200000000002"/>
    <x v="1"/>
  </r>
  <r>
    <x v="3"/>
    <x v="4"/>
    <x v="4"/>
    <x v="9"/>
    <n v="76"/>
    <n v="2288.4499999999998"/>
    <n v="5126.1279999999997"/>
    <n v="457.69"/>
    <x v="1"/>
  </r>
  <r>
    <x v="3"/>
    <x v="4"/>
    <x v="4"/>
    <x v="10"/>
    <n v="46"/>
    <n v="100"/>
    <n v="224"/>
    <n v="20"/>
    <x v="1"/>
  </r>
  <r>
    <x v="3"/>
    <x v="4"/>
    <x v="4"/>
    <x v="11"/>
    <n v="34"/>
    <n v="2288.4"/>
    <n v="5126.0160000000005"/>
    <n v="457.68000000000006"/>
    <x v="0"/>
  </r>
  <r>
    <x v="3"/>
    <x v="4"/>
    <x v="1"/>
    <x v="12"/>
    <n v="7"/>
    <n v="200"/>
    <n v="224"/>
    <n v="40"/>
    <x v="0"/>
  </r>
  <r>
    <x v="3"/>
    <x v="4"/>
    <x v="4"/>
    <x v="14"/>
    <n v="3"/>
    <n v="3300"/>
    <n v="5126.576"/>
    <n v="660"/>
    <x v="0"/>
  </r>
  <r>
    <x v="3"/>
    <x v="4"/>
    <x v="5"/>
    <x v="13"/>
    <n v="2"/>
    <n v="4577.3"/>
    <n v="7392"/>
    <n v="915.46"/>
    <x v="0"/>
  </r>
  <r>
    <x v="3"/>
    <x v="5"/>
    <x v="0"/>
    <x v="0"/>
    <n v="3566"/>
    <n v="4577.3"/>
    <n v="5126.576"/>
    <n v="915.46"/>
    <x v="0"/>
  </r>
  <r>
    <x v="3"/>
    <x v="5"/>
    <x v="0"/>
    <x v="1"/>
    <n v="2498"/>
    <n v="8000"/>
    <n v="8960"/>
    <n v="1600"/>
    <x v="0"/>
  </r>
  <r>
    <x v="3"/>
    <x v="5"/>
    <x v="1"/>
    <x v="2"/>
    <n v="1245"/>
    <n v="4577.2"/>
    <n v="5126.4639999999999"/>
    <n v="915.44"/>
    <x v="0"/>
  </r>
  <r>
    <x v="3"/>
    <x v="5"/>
    <x v="2"/>
    <x v="3"/>
    <n v="644"/>
    <n v="10000"/>
    <n v="6432.72"/>
    <n v="2000"/>
    <x v="0"/>
  </r>
  <r>
    <x v="3"/>
    <x v="5"/>
    <x v="3"/>
    <x v="4"/>
    <n v="643"/>
    <n v="7000"/>
    <n v="7840"/>
    <n v="1400"/>
    <x v="0"/>
  </r>
  <r>
    <x v="3"/>
    <x v="5"/>
    <x v="2"/>
    <x v="5"/>
    <n v="455"/>
    <n v="8000"/>
    <n v="5128.0320000000002"/>
    <n v="1600"/>
    <x v="0"/>
  </r>
  <r>
    <x v="3"/>
    <x v="5"/>
    <x v="3"/>
    <x v="6"/>
    <n v="345"/>
    <n v="7000"/>
    <n v="7840"/>
    <n v="1400"/>
    <x v="0"/>
  </r>
  <r>
    <x v="3"/>
    <x v="5"/>
    <x v="1"/>
    <x v="7"/>
    <n v="122"/>
    <n v="100"/>
    <n v="112"/>
    <n v="20"/>
    <x v="0"/>
  </r>
  <r>
    <x v="3"/>
    <x v="5"/>
    <x v="4"/>
    <x v="8"/>
    <n v="78"/>
    <n v="2288.6"/>
    <n v="5126.4639999999999"/>
    <n v="457.72"/>
    <x v="0"/>
  </r>
  <r>
    <x v="3"/>
    <x v="5"/>
    <x v="4"/>
    <x v="9"/>
    <n v="76"/>
    <n v="2288.4499999999998"/>
    <n v="5126.1279999999997"/>
    <n v="457.69"/>
    <x v="0"/>
  </r>
  <r>
    <x v="3"/>
    <x v="5"/>
    <x v="4"/>
    <x v="10"/>
    <n v="46"/>
    <n v="100"/>
    <n v="224"/>
    <n v="20"/>
    <x v="0"/>
  </r>
  <r>
    <x v="3"/>
    <x v="5"/>
    <x v="4"/>
    <x v="11"/>
    <n v="34"/>
    <n v="2288.4"/>
    <n v="5126.0160000000005"/>
    <n v="457.68000000000006"/>
    <x v="0"/>
  </r>
  <r>
    <x v="3"/>
    <x v="5"/>
    <x v="1"/>
    <x v="12"/>
    <n v="7"/>
    <n v="200"/>
    <n v="224"/>
    <n v="40"/>
    <x v="0"/>
  </r>
  <r>
    <x v="3"/>
    <x v="5"/>
    <x v="5"/>
    <x v="13"/>
    <n v="3"/>
    <n v="4577.3"/>
    <n v="7392"/>
    <n v="915.46"/>
    <x v="1"/>
  </r>
  <r>
    <x v="3"/>
    <x v="5"/>
    <x v="4"/>
    <x v="14"/>
    <n v="3"/>
    <n v="2288.65"/>
    <n v="5126.576"/>
    <n v="457.73"/>
    <x v="1"/>
  </r>
  <r>
    <x v="3"/>
    <x v="6"/>
    <x v="0"/>
    <x v="0"/>
    <n v="3566"/>
    <n v="4577.3"/>
    <n v="5126.576"/>
    <n v="915.46"/>
    <x v="1"/>
  </r>
  <r>
    <x v="3"/>
    <x v="6"/>
    <x v="0"/>
    <x v="1"/>
    <n v="2498"/>
    <n v="8000"/>
    <n v="8960"/>
    <n v="1600"/>
    <x v="1"/>
  </r>
  <r>
    <x v="3"/>
    <x v="6"/>
    <x v="1"/>
    <x v="2"/>
    <n v="1245"/>
    <n v="4577.2"/>
    <n v="5126.4639999999999"/>
    <n v="915.44"/>
    <x v="1"/>
  </r>
  <r>
    <x v="3"/>
    <x v="6"/>
    <x v="2"/>
    <x v="3"/>
    <n v="644"/>
    <n v="5743.5"/>
    <n v="6432.72"/>
    <n v="1148.7"/>
    <x v="1"/>
  </r>
  <r>
    <x v="3"/>
    <x v="6"/>
    <x v="3"/>
    <x v="4"/>
    <n v="643"/>
    <n v="7000"/>
    <n v="7840"/>
    <n v="1400"/>
    <x v="1"/>
  </r>
  <r>
    <x v="3"/>
    <x v="6"/>
    <x v="2"/>
    <x v="5"/>
    <n v="455"/>
    <n v="4578.6000000000004"/>
    <n v="5128.0320000000002"/>
    <n v="915.72000000000014"/>
    <x v="1"/>
  </r>
  <r>
    <x v="3"/>
    <x v="6"/>
    <x v="3"/>
    <x v="6"/>
    <n v="345"/>
    <n v="7000"/>
    <n v="7840"/>
    <n v="1400"/>
    <x v="1"/>
  </r>
  <r>
    <x v="3"/>
    <x v="6"/>
    <x v="1"/>
    <x v="7"/>
    <n v="122"/>
    <n v="100"/>
    <n v="112"/>
    <n v="20"/>
    <x v="1"/>
  </r>
  <r>
    <x v="3"/>
    <x v="6"/>
    <x v="4"/>
    <x v="8"/>
    <n v="78"/>
    <n v="2288.6"/>
    <n v="5126.4639999999999"/>
    <n v="457.72"/>
    <x v="1"/>
  </r>
  <r>
    <x v="3"/>
    <x v="6"/>
    <x v="4"/>
    <x v="9"/>
    <n v="76"/>
    <n v="2288.4499999999998"/>
    <n v="5126.1279999999997"/>
    <n v="457.69"/>
    <x v="1"/>
  </r>
  <r>
    <x v="3"/>
    <x v="6"/>
    <x v="4"/>
    <x v="10"/>
    <n v="46"/>
    <n v="100"/>
    <n v="224"/>
    <n v="20"/>
    <x v="1"/>
  </r>
  <r>
    <x v="3"/>
    <x v="6"/>
    <x v="4"/>
    <x v="11"/>
    <n v="34"/>
    <n v="2288.4"/>
    <n v="5126.0160000000005"/>
    <n v="457.68000000000006"/>
    <x v="1"/>
  </r>
  <r>
    <x v="3"/>
    <x v="6"/>
    <x v="1"/>
    <x v="12"/>
    <n v="7"/>
    <n v="200"/>
    <n v="224"/>
    <n v="40"/>
    <x v="1"/>
  </r>
  <r>
    <x v="3"/>
    <x v="6"/>
    <x v="4"/>
    <x v="14"/>
    <n v="3"/>
    <n v="2288.65"/>
    <n v="5126.576"/>
    <n v="457.73"/>
    <x v="1"/>
  </r>
  <r>
    <x v="3"/>
    <x v="6"/>
    <x v="5"/>
    <x v="13"/>
    <n v="2"/>
    <n v="6600"/>
    <n v="7392"/>
    <n v="1320"/>
    <x v="0"/>
  </r>
  <r>
    <x v="3"/>
    <x v="7"/>
    <x v="0"/>
    <x v="0"/>
    <n v="3566"/>
    <n v="4577.3"/>
    <n v="5126.576"/>
    <n v="915.46"/>
    <x v="0"/>
  </r>
  <r>
    <x v="3"/>
    <x v="7"/>
    <x v="0"/>
    <x v="1"/>
    <n v="2498"/>
    <n v="8000"/>
    <n v="8960"/>
    <n v="1600"/>
    <x v="0"/>
  </r>
  <r>
    <x v="3"/>
    <x v="7"/>
    <x v="1"/>
    <x v="2"/>
    <n v="1245"/>
    <n v="4577.2"/>
    <n v="5126.4639999999999"/>
    <n v="915.44"/>
    <x v="0"/>
  </r>
  <r>
    <x v="3"/>
    <x v="7"/>
    <x v="2"/>
    <x v="3"/>
    <n v="644"/>
    <n v="5743.5"/>
    <n v="6432.72"/>
    <n v="1148.7"/>
    <x v="0"/>
  </r>
  <r>
    <x v="3"/>
    <x v="7"/>
    <x v="3"/>
    <x v="4"/>
    <n v="643"/>
    <n v="7000"/>
    <n v="7840"/>
    <n v="1400"/>
    <x v="1"/>
  </r>
  <r>
    <x v="3"/>
    <x v="7"/>
    <x v="2"/>
    <x v="5"/>
    <n v="455"/>
    <n v="5036.46"/>
    <n v="5128.0320000000002"/>
    <n v="1007.292"/>
    <x v="1"/>
  </r>
  <r>
    <x v="3"/>
    <x v="7"/>
    <x v="3"/>
    <x v="6"/>
    <n v="345"/>
    <n v="7700"/>
    <n v="7840"/>
    <n v="1540"/>
    <x v="1"/>
  </r>
  <r>
    <x v="3"/>
    <x v="7"/>
    <x v="1"/>
    <x v="7"/>
    <n v="122"/>
    <n v="110"/>
    <n v="112"/>
    <n v="22"/>
    <x v="1"/>
  </r>
  <r>
    <x v="3"/>
    <x v="7"/>
    <x v="4"/>
    <x v="8"/>
    <n v="78"/>
    <n v="2517.46"/>
    <n v="5126.4639999999999"/>
    <n v="503.49200000000002"/>
    <x v="1"/>
  </r>
  <r>
    <x v="3"/>
    <x v="7"/>
    <x v="4"/>
    <x v="9"/>
    <n v="76"/>
    <n v="2517.2949999999996"/>
    <n v="5126.1279999999997"/>
    <n v="503.45899999999995"/>
    <x v="1"/>
  </r>
  <r>
    <x v="3"/>
    <x v="7"/>
    <x v="4"/>
    <x v="10"/>
    <n v="46"/>
    <n v="115"/>
    <n v="224"/>
    <n v="23"/>
    <x v="1"/>
  </r>
  <r>
    <x v="3"/>
    <x v="7"/>
    <x v="4"/>
    <x v="11"/>
    <n v="34"/>
    <n v="2631.66"/>
    <n v="5126.0160000000005"/>
    <n v="526.33199999999999"/>
    <x v="1"/>
  </r>
  <r>
    <x v="3"/>
    <x v="7"/>
    <x v="1"/>
    <x v="12"/>
    <n v="7"/>
    <n v="230"/>
    <n v="224"/>
    <n v="46"/>
    <x v="1"/>
  </r>
  <r>
    <x v="3"/>
    <x v="7"/>
    <x v="4"/>
    <x v="14"/>
    <n v="3"/>
    <n v="2631.9475000000002"/>
    <n v="5126.576"/>
    <n v="526.38950000000011"/>
    <x v="0"/>
  </r>
  <r>
    <x v="3"/>
    <x v="7"/>
    <x v="5"/>
    <x v="13"/>
    <n v="2"/>
    <n v="7590"/>
    <n v="7392"/>
    <n v="1518"/>
    <x v="1"/>
  </r>
  <r>
    <x v="3"/>
    <x v="8"/>
    <x v="0"/>
    <x v="0"/>
    <n v="3566"/>
    <n v="4577.3"/>
    <n v="5126.576"/>
    <n v="915.46"/>
    <x v="1"/>
  </r>
  <r>
    <x v="3"/>
    <x v="8"/>
    <x v="0"/>
    <x v="1"/>
    <n v="2498"/>
    <n v="8000"/>
    <n v="8960"/>
    <n v="1600"/>
    <x v="1"/>
  </r>
  <r>
    <x v="3"/>
    <x v="8"/>
    <x v="1"/>
    <x v="2"/>
    <n v="1245"/>
    <n v="4577.2"/>
    <n v="5126.4639999999999"/>
    <n v="915.44"/>
    <x v="1"/>
  </r>
  <r>
    <x v="3"/>
    <x v="8"/>
    <x v="2"/>
    <x v="3"/>
    <n v="644"/>
    <n v="5743.5"/>
    <n v="6432.72"/>
    <n v="1148.7"/>
    <x v="1"/>
  </r>
  <r>
    <x v="3"/>
    <x v="8"/>
    <x v="3"/>
    <x v="4"/>
    <n v="643"/>
    <n v="7000"/>
    <n v="7840"/>
    <n v="1400"/>
    <x v="1"/>
  </r>
  <r>
    <x v="3"/>
    <x v="8"/>
    <x v="2"/>
    <x v="5"/>
    <n v="455"/>
    <n v="4578.6000000000004"/>
    <n v="5128.0320000000002"/>
    <n v="915.72000000000014"/>
    <x v="1"/>
  </r>
  <r>
    <x v="3"/>
    <x v="8"/>
    <x v="3"/>
    <x v="6"/>
    <n v="345"/>
    <n v="7000"/>
    <n v="7840"/>
    <n v="1400"/>
    <x v="1"/>
  </r>
  <r>
    <x v="3"/>
    <x v="8"/>
    <x v="1"/>
    <x v="7"/>
    <n v="122"/>
    <n v="100"/>
    <n v="112"/>
    <n v="20"/>
    <x v="1"/>
  </r>
  <r>
    <x v="3"/>
    <x v="8"/>
    <x v="4"/>
    <x v="8"/>
    <n v="78"/>
    <n v="2288.6"/>
    <n v="5126.4639999999999"/>
    <n v="457.72"/>
    <x v="1"/>
  </r>
  <r>
    <x v="3"/>
    <x v="8"/>
    <x v="4"/>
    <x v="9"/>
    <n v="76"/>
    <n v="2288.4499999999998"/>
    <n v="5126.1279999999997"/>
    <n v="457.69"/>
    <x v="1"/>
  </r>
  <r>
    <x v="3"/>
    <x v="8"/>
    <x v="4"/>
    <x v="10"/>
    <n v="46"/>
    <n v="100"/>
    <n v="224"/>
    <n v="20"/>
    <x v="1"/>
  </r>
  <r>
    <x v="3"/>
    <x v="8"/>
    <x v="4"/>
    <x v="11"/>
    <n v="34"/>
    <n v="2746.08"/>
    <n v="5126.0160000000005"/>
    <n v="549.21600000000001"/>
    <x v="1"/>
  </r>
  <r>
    <x v="3"/>
    <x v="8"/>
    <x v="1"/>
    <x v="12"/>
    <n v="7"/>
    <n v="240"/>
    <n v="224"/>
    <n v="48"/>
    <x v="1"/>
  </r>
  <r>
    <x v="3"/>
    <x v="8"/>
    <x v="4"/>
    <x v="14"/>
    <n v="3"/>
    <n v="2746.38"/>
    <n v="5126.576"/>
    <n v="549.27600000000007"/>
    <x v="1"/>
  </r>
  <r>
    <x v="3"/>
    <x v="8"/>
    <x v="5"/>
    <x v="13"/>
    <n v="2"/>
    <n v="7920"/>
    <n v="7392"/>
    <n v="1584"/>
    <x v="1"/>
  </r>
  <r>
    <x v="3"/>
    <x v="9"/>
    <x v="0"/>
    <x v="0"/>
    <n v="3566"/>
    <n v="5035.0300000000007"/>
    <n v="5126.576"/>
    <n v="1007.0060000000002"/>
    <x v="1"/>
  </r>
  <r>
    <x v="3"/>
    <x v="9"/>
    <x v="0"/>
    <x v="1"/>
    <n v="2498"/>
    <n v="9200"/>
    <n v="8960"/>
    <n v="1840"/>
    <x v="1"/>
  </r>
  <r>
    <x v="3"/>
    <x v="9"/>
    <x v="1"/>
    <x v="2"/>
    <n v="1245"/>
    <n v="5263.78"/>
    <n v="5126.4639999999999"/>
    <n v="1052.7560000000001"/>
    <x v="1"/>
  </r>
  <r>
    <x v="3"/>
    <x v="9"/>
    <x v="2"/>
    <x v="3"/>
    <n v="644"/>
    <n v="6605.0249999999996"/>
    <n v="6432.72"/>
    <n v="1321.0050000000001"/>
    <x v="1"/>
  </r>
  <r>
    <x v="3"/>
    <x v="9"/>
    <x v="3"/>
    <x v="4"/>
    <n v="643"/>
    <n v="8400"/>
    <n v="7840"/>
    <n v="1680"/>
    <x v="1"/>
  </r>
  <r>
    <x v="3"/>
    <x v="9"/>
    <x v="2"/>
    <x v="5"/>
    <n v="455"/>
    <n v="5494.3200000000006"/>
    <n v="5128.0320000000002"/>
    <n v="1098.8640000000003"/>
    <x v="1"/>
  </r>
  <r>
    <x v="3"/>
    <x v="9"/>
    <x v="3"/>
    <x v="6"/>
    <n v="345"/>
    <n v="8400"/>
    <n v="7840"/>
    <n v="1680"/>
    <x v="1"/>
  </r>
  <r>
    <x v="3"/>
    <x v="9"/>
    <x v="1"/>
    <x v="7"/>
    <n v="122"/>
    <n v="120"/>
    <n v="112"/>
    <n v="24"/>
    <x v="1"/>
  </r>
  <r>
    <x v="3"/>
    <x v="9"/>
    <x v="4"/>
    <x v="8"/>
    <n v="78"/>
    <n v="2517.46"/>
    <n v="5126.4639999999999"/>
    <n v="503.49200000000002"/>
    <x v="1"/>
  </r>
  <r>
    <x v="3"/>
    <x v="9"/>
    <x v="4"/>
    <x v="9"/>
    <n v="76"/>
    <n v="2517.2949999999996"/>
    <n v="5126.1279999999997"/>
    <n v="503.45899999999995"/>
    <x v="1"/>
  </r>
  <r>
    <x v="3"/>
    <x v="9"/>
    <x v="4"/>
    <x v="10"/>
    <n v="46"/>
    <n v="110"/>
    <n v="224"/>
    <n v="22"/>
    <x v="1"/>
  </r>
  <r>
    <x v="3"/>
    <x v="9"/>
    <x v="4"/>
    <x v="11"/>
    <n v="34"/>
    <n v="2517.2400000000002"/>
    <n v="5126.0160000000005"/>
    <n v="503.44800000000009"/>
    <x v="1"/>
  </r>
  <r>
    <x v="3"/>
    <x v="9"/>
    <x v="1"/>
    <x v="12"/>
    <n v="7"/>
    <n v="220"/>
    <n v="224"/>
    <n v="44"/>
    <x v="1"/>
  </r>
  <r>
    <x v="3"/>
    <x v="9"/>
    <x v="4"/>
    <x v="14"/>
    <n v="3"/>
    <n v="2517.5150000000003"/>
    <n v="5126.576"/>
    <n v="503.5030000000001"/>
    <x v="1"/>
  </r>
  <r>
    <x v="3"/>
    <x v="9"/>
    <x v="5"/>
    <x v="13"/>
    <n v="2"/>
    <n v="7260"/>
    <n v="7392"/>
    <n v="1452"/>
    <x v="1"/>
  </r>
  <r>
    <x v="3"/>
    <x v="10"/>
    <x v="0"/>
    <x v="0"/>
    <n v="3566"/>
    <n v="5263.8950000000004"/>
    <n v="5126.576"/>
    <n v="1052.7790000000002"/>
    <x v="1"/>
  </r>
  <r>
    <x v="3"/>
    <x v="10"/>
    <x v="0"/>
    <x v="1"/>
    <n v="2498"/>
    <n v="8800"/>
    <n v="8960"/>
    <n v="1760"/>
    <x v="1"/>
  </r>
  <r>
    <x v="3"/>
    <x v="10"/>
    <x v="1"/>
    <x v="2"/>
    <n v="1245"/>
    <n v="5034.92"/>
    <n v="5126.4639999999999"/>
    <n v="1006.984"/>
    <x v="1"/>
  </r>
  <r>
    <x v="3"/>
    <x v="10"/>
    <x v="2"/>
    <x v="3"/>
    <n v="644"/>
    <n v="22000"/>
    <n v="6432.72"/>
    <n v="4400"/>
    <x v="1"/>
  </r>
  <r>
    <x v="3"/>
    <x v="10"/>
    <x v="3"/>
    <x v="4"/>
    <n v="643"/>
    <n v="7700"/>
    <n v="7840"/>
    <n v="1540"/>
    <x v="1"/>
  </r>
  <r>
    <x v="3"/>
    <x v="10"/>
    <x v="2"/>
    <x v="5"/>
    <n v="455"/>
    <n v="11111"/>
    <n v="5128.0320000000002"/>
    <n v="2222.2000000000003"/>
    <x v="1"/>
  </r>
  <r>
    <x v="3"/>
    <x v="10"/>
    <x v="3"/>
    <x v="6"/>
    <n v="345"/>
    <n v="7700"/>
    <n v="7840"/>
    <n v="1540"/>
    <x v="1"/>
  </r>
  <r>
    <x v="3"/>
    <x v="10"/>
    <x v="1"/>
    <x v="7"/>
    <n v="122"/>
    <n v="110"/>
    <n v="112"/>
    <n v="22"/>
    <x v="1"/>
  </r>
  <r>
    <x v="3"/>
    <x v="10"/>
    <x v="4"/>
    <x v="8"/>
    <n v="78"/>
    <n v="2517.46"/>
    <n v="5126.4639999999999"/>
    <n v="503.49200000000002"/>
    <x v="1"/>
  </r>
  <r>
    <x v="3"/>
    <x v="10"/>
    <x v="4"/>
    <x v="9"/>
    <n v="76"/>
    <n v="2288.4499999999998"/>
    <n v="5126.1279999999997"/>
    <n v="457.69"/>
    <x v="1"/>
  </r>
  <r>
    <x v="3"/>
    <x v="10"/>
    <x v="4"/>
    <x v="10"/>
    <n v="46"/>
    <n v="100"/>
    <n v="224"/>
    <n v="20"/>
    <x v="1"/>
  </r>
  <r>
    <x v="3"/>
    <x v="10"/>
    <x v="4"/>
    <x v="11"/>
    <n v="34"/>
    <n v="2288.4"/>
    <n v="5126.0160000000005"/>
    <n v="457.68000000000006"/>
    <x v="1"/>
  </r>
  <r>
    <x v="3"/>
    <x v="10"/>
    <x v="1"/>
    <x v="12"/>
    <n v="7"/>
    <n v="200"/>
    <n v="224"/>
    <n v="40"/>
    <x v="1"/>
  </r>
  <r>
    <x v="3"/>
    <x v="10"/>
    <x v="4"/>
    <x v="14"/>
    <n v="3"/>
    <n v="2288.65"/>
    <n v="5126.576"/>
    <n v="457.73"/>
    <x v="1"/>
  </r>
  <r>
    <x v="3"/>
    <x v="10"/>
    <x v="5"/>
    <x v="13"/>
    <n v="2"/>
    <n v="6600"/>
    <n v="7392"/>
    <n v="1320"/>
    <x v="1"/>
  </r>
  <r>
    <x v="3"/>
    <x v="11"/>
    <x v="0"/>
    <x v="0"/>
    <n v="3566"/>
    <n v="4577.3"/>
    <n v="5126.576"/>
    <n v="915.46"/>
    <x v="1"/>
  </r>
  <r>
    <x v="3"/>
    <x v="11"/>
    <x v="0"/>
    <x v="1"/>
    <n v="2498"/>
    <n v="8000"/>
    <n v="8960"/>
    <n v="1600"/>
    <x v="1"/>
  </r>
  <r>
    <x v="3"/>
    <x v="11"/>
    <x v="1"/>
    <x v="2"/>
    <n v="1245"/>
    <n v="4577.2"/>
    <n v="5126.4639999999999"/>
    <n v="915.44"/>
    <x v="1"/>
  </r>
  <r>
    <x v="3"/>
    <x v="11"/>
    <x v="2"/>
    <x v="3"/>
    <n v="644"/>
    <n v="5743.5"/>
    <n v="6432.72"/>
    <n v="1148.7"/>
    <x v="1"/>
  </r>
  <r>
    <x v="3"/>
    <x v="11"/>
    <x v="3"/>
    <x v="4"/>
    <n v="643"/>
    <n v="7000"/>
    <n v="7840"/>
    <n v="1400"/>
    <x v="1"/>
  </r>
  <r>
    <x v="3"/>
    <x v="11"/>
    <x v="2"/>
    <x v="5"/>
    <n v="455"/>
    <n v="4578.6000000000004"/>
    <n v="5128.0320000000002"/>
    <n v="915.72000000000014"/>
    <x v="1"/>
  </r>
  <r>
    <x v="3"/>
    <x v="11"/>
    <x v="3"/>
    <x v="6"/>
    <n v="345"/>
    <n v="7000"/>
    <n v="7840"/>
    <n v="1400"/>
    <x v="1"/>
  </r>
  <r>
    <x v="3"/>
    <x v="11"/>
    <x v="1"/>
    <x v="7"/>
    <n v="122"/>
    <n v="100"/>
    <n v="112"/>
    <n v="20"/>
    <x v="1"/>
  </r>
  <r>
    <x v="3"/>
    <x v="11"/>
    <x v="4"/>
    <x v="8"/>
    <n v="78"/>
    <n v="2288.6"/>
    <n v="5126.4639999999999"/>
    <n v="457.72"/>
    <x v="1"/>
  </r>
  <r>
    <x v="3"/>
    <x v="11"/>
    <x v="4"/>
    <x v="9"/>
    <n v="76"/>
    <n v="2288.4499999999998"/>
    <n v="5126.1279999999997"/>
    <n v="457.69"/>
    <x v="1"/>
  </r>
  <r>
    <x v="3"/>
    <x v="11"/>
    <x v="4"/>
    <x v="10"/>
    <n v="46"/>
    <n v="100"/>
    <n v="224"/>
    <n v="20"/>
    <x v="1"/>
  </r>
  <r>
    <x v="3"/>
    <x v="11"/>
    <x v="4"/>
    <x v="11"/>
    <n v="34"/>
    <n v="2288.4"/>
    <n v="5126.0160000000005"/>
    <n v="457.68000000000006"/>
    <x v="1"/>
  </r>
  <r>
    <x v="3"/>
    <x v="11"/>
    <x v="1"/>
    <x v="12"/>
    <n v="7"/>
    <n v="200"/>
    <n v="224"/>
    <n v="40"/>
    <x v="1"/>
  </r>
  <r>
    <x v="3"/>
    <x v="11"/>
    <x v="4"/>
    <x v="14"/>
    <n v="3"/>
    <n v="2288.65"/>
    <n v="5126.576"/>
    <n v="457.73"/>
    <x v="1"/>
  </r>
  <r>
    <x v="3"/>
    <x v="11"/>
    <x v="5"/>
    <x v="13"/>
    <n v="2"/>
    <n v="6600"/>
    <n v="7392"/>
    <n v="1320"/>
    <x v="1"/>
  </r>
  <r>
    <x v="4"/>
    <x v="0"/>
    <x v="0"/>
    <x v="0"/>
    <n v="3566"/>
    <n v="4577.3"/>
    <n v="5126.576"/>
    <n v="915.46"/>
    <x v="1"/>
  </r>
  <r>
    <x v="4"/>
    <x v="0"/>
    <x v="0"/>
    <x v="1"/>
    <n v="2498"/>
    <n v="8000"/>
    <n v="8960"/>
    <n v="1600"/>
    <x v="1"/>
  </r>
  <r>
    <x v="4"/>
    <x v="0"/>
    <x v="1"/>
    <x v="2"/>
    <n v="1245"/>
    <n v="4577.2"/>
    <n v="5126.4639999999999"/>
    <n v="915.44"/>
    <x v="1"/>
  </r>
  <r>
    <x v="4"/>
    <x v="0"/>
    <x v="2"/>
    <x v="3"/>
    <n v="644"/>
    <n v="5743.5"/>
    <n v="6432.72"/>
    <n v="1148.7"/>
    <x v="1"/>
  </r>
  <r>
    <x v="4"/>
    <x v="0"/>
    <x v="3"/>
    <x v="4"/>
    <n v="643"/>
    <n v="7000"/>
    <n v="7840"/>
    <n v="1400"/>
    <x v="1"/>
  </r>
  <r>
    <x v="4"/>
    <x v="0"/>
    <x v="2"/>
    <x v="5"/>
    <n v="455"/>
    <n v="4578.6000000000004"/>
    <n v="5128.0320000000002"/>
    <n v="915.72000000000014"/>
    <x v="1"/>
  </r>
  <r>
    <x v="4"/>
    <x v="0"/>
    <x v="3"/>
    <x v="6"/>
    <n v="345"/>
    <n v="7000"/>
    <n v="7840"/>
    <n v="1400"/>
    <x v="1"/>
  </r>
  <r>
    <x v="4"/>
    <x v="0"/>
    <x v="1"/>
    <x v="7"/>
    <n v="122"/>
    <n v="100"/>
    <n v="112"/>
    <n v="20"/>
    <x v="1"/>
  </r>
  <r>
    <x v="4"/>
    <x v="0"/>
    <x v="4"/>
    <x v="8"/>
    <n v="78"/>
    <n v="4577.2"/>
    <n v="5126.4639999999999"/>
    <n v="915.44"/>
    <x v="1"/>
  </r>
  <r>
    <x v="4"/>
    <x v="0"/>
    <x v="4"/>
    <x v="9"/>
    <n v="76"/>
    <n v="4576.8999999999996"/>
    <n v="5126.1279999999997"/>
    <n v="915.38"/>
    <x v="1"/>
  </r>
  <r>
    <x v="4"/>
    <x v="0"/>
    <x v="4"/>
    <x v="10"/>
    <n v="46"/>
    <n v="200"/>
    <n v="224"/>
    <n v="40"/>
    <x v="1"/>
  </r>
  <r>
    <x v="4"/>
    <x v="0"/>
    <x v="4"/>
    <x v="11"/>
    <n v="34"/>
    <n v="4576.8"/>
    <n v="5126.0160000000005"/>
    <n v="915.36000000000013"/>
    <x v="1"/>
  </r>
  <r>
    <x v="4"/>
    <x v="0"/>
    <x v="1"/>
    <x v="12"/>
    <n v="7"/>
    <n v="200"/>
    <n v="224"/>
    <n v="40"/>
    <x v="1"/>
  </r>
  <r>
    <x v="4"/>
    <x v="0"/>
    <x v="5"/>
    <x v="13"/>
    <n v="3"/>
    <n v="6600"/>
    <n v="7392"/>
    <n v="1320"/>
    <x v="1"/>
  </r>
  <r>
    <x v="4"/>
    <x v="0"/>
    <x v="4"/>
    <x v="14"/>
    <n v="3"/>
    <n v="4577.3"/>
    <n v="5126.576"/>
    <n v="915.46"/>
    <x v="1"/>
  </r>
  <r>
    <x v="4"/>
    <x v="1"/>
    <x v="0"/>
    <x v="0"/>
    <n v="3566"/>
    <n v="4577.3"/>
    <n v="5126.576"/>
    <n v="915.46"/>
    <x v="1"/>
  </r>
  <r>
    <x v="4"/>
    <x v="1"/>
    <x v="0"/>
    <x v="1"/>
    <n v="2498"/>
    <n v="8000"/>
    <n v="8960"/>
    <n v="1600"/>
    <x v="1"/>
  </r>
  <r>
    <x v="4"/>
    <x v="1"/>
    <x v="1"/>
    <x v="2"/>
    <n v="1245"/>
    <n v="4577.2"/>
    <n v="5126.4639999999999"/>
    <n v="915.44"/>
    <x v="1"/>
  </r>
  <r>
    <x v="4"/>
    <x v="1"/>
    <x v="2"/>
    <x v="3"/>
    <n v="644"/>
    <n v="5743.5"/>
    <n v="6432.72"/>
    <n v="1148.7"/>
    <x v="1"/>
  </r>
  <r>
    <x v="4"/>
    <x v="1"/>
    <x v="3"/>
    <x v="4"/>
    <n v="643"/>
    <n v="7000"/>
    <n v="7840"/>
    <n v="1400"/>
    <x v="1"/>
  </r>
  <r>
    <x v="4"/>
    <x v="1"/>
    <x v="2"/>
    <x v="5"/>
    <n v="455"/>
    <n v="4578.6000000000004"/>
    <n v="5128.0320000000002"/>
    <n v="915.72000000000014"/>
    <x v="1"/>
  </r>
  <r>
    <x v="4"/>
    <x v="1"/>
    <x v="3"/>
    <x v="6"/>
    <n v="345"/>
    <n v="7000"/>
    <n v="7840"/>
    <n v="1400"/>
    <x v="1"/>
  </r>
  <r>
    <x v="4"/>
    <x v="1"/>
    <x v="1"/>
    <x v="7"/>
    <n v="122"/>
    <n v="100"/>
    <n v="112"/>
    <n v="20"/>
    <x v="1"/>
  </r>
  <r>
    <x v="4"/>
    <x v="1"/>
    <x v="4"/>
    <x v="8"/>
    <n v="78"/>
    <n v="4577.2"/>
    <n v="5126.4639999999999"/>
    <n v="915.44"/>
    <x v="1"/>
  </r>
  <r>
    <x v="4"/>
    <x v="1"/>
    <x v="4"/>
    <x v="9"/>
    <n v="76"/>
    <n v="4576.8999999999996"/>
    <n v="5126.1279999999997"/>
    <n v="915.38"/>
    <x v="1"/>
  </r>
  <r>
    <x v="4"/>
    <x v="1"/>
    <x v="4"/>
    <x v="10"/>
    <n v="46"/>
    <n v="200"/>
    <n v="224"/>
    <n v="40"/>
    <x v="1"/>
  </r>
  <r>
    <x v="4"/>
    <x v="1"/>
    <x v="4"/>
    <x v="11"/>
    <n v="34"/>
    <n v="4576.8"/>
    <n v="5126.0160000000005"/>
    <n v="915.36000000000013"/>
    <x v="1"/>
  </r>
  <r>
    <x v="4"/>
    <x v="1"/>
    <x v="1"/>
    <x v="12"/>
    <n v="7"/>
    <n v="200"/>
    <n v="224"/>
    <n v="40"/>
    <x v="1"/>
  </r>
  <r>
    <x v="4"/>
    <x v="1"/>
    <x v="4"/>
    <x v="14"/>
    <n v="3"/>
    <n v="4577.3"/>
    <n v="5126.576"/>
    <n v="915.46"/>
    <x v="1"/>
  </r>
  <r>
    <x v="4"/>
    <x v="1"/>
    <x v="5"/>
    <x v="13"/>
    <n v="2"/>
    <n v="6600"/>
    <n v="7392"/>
    <n v="1320"/>
    <x v="1"/>
  </r>
  <r>
    <x v="4"/>
    <x v="2"/>
    <x v="0"/>
    <x v="0"/>
    <n v="3566"/>
    <n v="4577.3"/>
    <n v="5126.576"/>
    <n v="915.46"/>
    <x v="1"/>
  </r>
  <r>
    <x v="4"/>
    <x v="2"/>
    <x v="0"/>
    <x v="1"/>
    <n v="2498"/>
    <n v="8000"/>
    <n v="8960"/>
    <n v="1600"/>
    <x v="1"/>
  </r>
  <r>
    <x v="4"/>
    <x v="2"/>
    <x v="1"/>
    <x v="2"/>
    <n v="1245"/>
    <n v="4577.2"/>
    <n v="5126.4639999999999"/>
    <n v="915.44"/>
    <x v="1"/>
  </r>
  <r>
    <x v="4"/>
    <x v="2"/>
    <x v="2"/>
    <x v="3"/>
    <n v="644"/>
    <n v="5743.5"/>
    <n v="6432.72"/>
    <n v="1148.7"/>
    <x v="0"/>
  </r>
  <r>
    <x v="4"/>
    <x v="2"/>
    <x v="3"/>
    <x v="4"/>
    <n v="643"/>
    <n v="7000"/>
    <n v="7840"/>
    <n v="1400"/>
    <x v="0"/>
  </r>
  <r>
    <x v="4"/>
    <x v="2"/>
    <x v="2"/>
    <x v="5"/>
    <n v="455"/>
    <n v="4578.6000000000004"/>
    <n v="5128.0320000000002"/>
    <n v="915.72000000000014"/>
    <x v="0"/>
  </r>
  <r>
    <x v="4"/>
    <x v="2"/>
    <x v="3"/>
    <x v="6"/>
    <n v="345"/>
    <n v="7000"/>
    <n v="7840"/>
    <n v="1400"/>
    <x v="0"/>
  </r>
  <r>
    <x v="4"/>
    <x v="2"/>
    <x v="1"/>
    <x v="7"/>
    <n v="122"/>
    <n v="100"/>
    <n v="112"/>
    <n v="20"/>
    <x v="0"/>
  </r>
  <r>
    <x v="4"/>
    <x v="2"/>
    <x v="4"/>
    <x v="8"/>
    <n v="78"/>
    <n v="4577.2"/>
    <n v="5126.4639999999999"/>
    <n v="915.44"/>
    <x v="0"/>
  </r>
  <r>
    <x v="4"/>
    <x v="2"/>
    <x v="4"/>
    <x v="9"/>
    <n v="76"/>
    <n v="4576.8999999999996"/>
    <n v="5126.1279999999997"/>
    <n v="915.38"/>
    <x v="0"/>
  </r>
  <r>
    <x v="4"/>
    <x v="2"/>
    <x v="4"/>
    <x v="10"/>
    <n v="46"/>
    <n v="200"/>
    <n v="224"/>
    <n v="40"/>
    <x v="0"/>
  </r>
  <r>
    <x v="4"/>
    <x v="2"/>
    <x v="4"/>
    <x v="11"/>
    <n v="34"/>
    <n v="4576.8"/>
    <n v="5126.0160000000005"/>
    <n v="915.36000000000013"/>
    <x v="0"/>
  </r>
  <r>
    <x v="4"/>
    <x v="2"/>
    <x v="1"/>
    <x v="12"/>
    <n v="7"/>
    <n v="200"/>
    <n v="224"/>
    <n v="40"/>
    <x v="0"/>
  </r>
  <r>
    <x v="4"/>
    <x v="2"/>
    <x v="4"/>
    <x v="14"/>
    <n v="3"/>
    <n v="4577.3"/>
    <n v="5126.576"/>
    <n v="915.46"/>
    <x v="0"/>
  </r>
  <r>
    <x v="4"/>
    <x v="2"/>
    <x v="5"/>
    <x v="13"/>
    <n v="2"/>
    <n v="6600"/>
    <n v="7392"/>
    <n v="1320"/>
    <x v="0"/>
  </r>
  <r>
    <x v="4"/>
    <x v="3"/>
    <x v="0"/>
    <x v="0"/>
    <n v="3566"/>
    <n v="4577.3"/>
    <n v="5126.576"/>
    <n v="915.46"/>
    <x v="0"/>
  </r>
  <r>
    <x v="4"/>
    <x v="3"/>
    <x v="0"/>
    <x v="1"/>
    <n v="2498"/>
    <n v="8000"/>
    <n v="8960"/>
    <n v="1600"/>
    <x v="0"/>
  </r>
  <r>
    <x v="4"/>
    <x v="3"/>
    <x v="1"/>
    <x v="2"/>
    <n v="1245"/>
    <n v="4577.2"/>
    <n v="5126.4639999999999"/>
    <n v="915.44"/>
    <x v="0"/>
  </r>
  <r>
    <x v="4"/>
    <x v="3"/>
    <x v="2"/>
    <x v="3"/>
    <n v="644"/>
    <n v="5743.5"/>
    <n v="6432.72"/>
    <n v="1148.7"/>
    <x v="0"/>
  </r>
  <r>
    <x v="4"/>
    <x v="3"/>
    <x v="3"/>
    <x v="4"/>
    <n v="643"/>
    <n v="7000"/>
    <n v="7840"/>
    <n v="1400"/>
    <x v="0"/>
  </r>
  <r>
    <x v="4"/>
    <x v="3"/>
    <x v="2"/>
    <x v="5"/>
    <n v="455"/>
    <n v="4578.6000000000004"/>
    <n v="5128.0320000000002"/>
    <n v="915.72000000000014"/>
    <x v="0"/>
  </r>
  <r>
    <x v="4"/>
    <x v="3"/>
    <x v="3"/>
    <x v="6"/>
    <n v="345"/>
    <n v="7000"/>
    <n v="7840"/>
    <n v="1400"/>
    <x v="0"/>
  </r>
  <r>
    <x v="4"/>
    <x v="3"/>
    <x v="1"/>
    <x v="7"/>
    <n v="122"/>
    <n v="100"/>
    <n v="112"/>
    <n v="20"/>
    <x v="0"/>
  </r>
  <r>
    <x v="4"/>
    <x v="3"/>
    <x v="4"/>
    <x v="8"/>
    <n v="78"/>
    <n v="4577.2"/>
    <n v="5126.4639999999999"/>
    <n v="915.44"/>
    <x v="0"/>
  </r>
  <r>
    <x v="4"/>
    <x v="3"/>
    <x v="4"/>
    <x v="9"/>
    <n v="76"/>
    <n v="4576.8999999999996"/>
    <n v="5126.1279999999997"/>
    <n v="915.38"/>
    <x v="0"/>
  </r>
  <r>
    <x v="4"/>
    <x v="3"/>
    <x v="4"/>
    <x v="10"/>
    <n v="46"/>
    <n v="200"/>
    <n v="224"/>
    <n v="40"/>
    <x v="0"/>
  </r>
  <r>
    <x v="4"/>
    <x v="3"/>
    <x v="4"/>
    <x v="11"/>
    <n v="34"/>
    <n v="4576.8"/>
    <n v="5126.0160000000005"/>
    <n v="915.36000000000013"/>
    <x v="0"/>
  </r>
  <r>
    <x v="4"/>
    <x v="3"/>
    <x v="1"/>
    <x v="12"/>
    <n v="7"/>
    <n v="200"/>
    <n v="224"/>
    <n v="40"/>
    <x v="0"/>
  </r>
  <r>
    <x v="4"/>
    <x v="3"/>
    <x v="4"/>
    <x v="14"/>
    <n v="3"/>
    <n v="4577.3"/>
    <n v="5126.576"/>
    <n v="915.46"/>
    <x v="0"/>
  </r>
  <r>
    <x v="4"/>
    <x v="3"/>
    <x v="5"/>
    <x v="13"/>
    <n v="2"/>
    <n v="6600"/>
    <n v="7392"/>
    <n v="1320"/>
    <x v="0"/>
  </r>
  <r>
    <x v="4"/>
    <x v="4"/>
    <x v="0"/>
    <x v="0"/>
    <n v="3566"/>
    <n v="4577.3"/>
    <n v="5126.576"/>
    <n v="915.46"/>
    <x v="0"/>
  </r>
  <r>
    <x v="4"/>
    <x v="4"/>
    <x v="0"/>
    <x v="1"/>
    <n v="2498"/>
    <n v="8000"/>
    <n v="8960"/>
    <n v="1600"/>
    <x v="0"/>
  </r>
  <r>
    <x v="4"/>
    <x v="4"/>
    <x v="1"/>
    <x v="2"/>
    <n v="1245"/>
    <n v="4577.2"/>
    <n v="5126.4639999999999"/>
    <n v="915.44"/>
    <x v="0"/>
  </r>
  <r>
    <x v="4"/>
    <x v="4"/>
    <x v="2"/>
    <x v="3"/>
    <n v="644"/>
    <n v="5743.5"/>
    <n v="6432.72"/>
    <n v="1148.7"/>
    <x v="0"/>
  </r>
  <r>
    <x v="4"/>
    <x v="4"/>
    <x v="3"/>
    <x v="4"/>
    <n v="643"/>
    <n v="7000"/>
    <n v="7840"/>
    <n v="1400"/>
    <x v="0"/>
  </r>
  <r>
    <x v="4"/>
    <x v="4"/>
    <x v="2"/>
    <x v="5"/>
    <n v="455"/>
    <n v="4578.6000000000004"/>
    <n v="5128.0320000000002"/>
    <n v="915.72000000000014"/>
    <x v="0"/>
  </r>
  <r>
    <x v="4"/>
    <x v="4"/>
    <x v="3"/>
    <x v="6"/>
    <n v="345"/>
    <n v="7000"/>
    <n v="7840"/>
    <n v="1400"/>
    <x v="0"/>
  </r>
  <r>
    <x v="4"/>
    <x v="4"/>
    <x v="1"/>
    <x v="7"/>
    <n v="122"/>
    <n v="100"/>
    <n v="112"/>
    <n v="20"/>
    <x v="0"/>
  </r>
  <r>
    <x v="4"/>
    <x v="4"/>
    <x v="4"/>
    <x v="8"/>
    <n v="78"/>
    <n v="4577.2"/>
    <n v="5126.4639999999999"/>
    <n v="915.44"/>
    <x v="0"/>
  </r>
  <r>
    <x v="4"/>
    <x v="4"/>
    <x v="4"/>
    <x v="9"/>
    <n v="76"/>
    <n v="4576.8999999999996"/>
    <n v="5126.1279999999997"/>
    <n v="915.38"/>
    <x v="0"/>
  </r>
  <r>
    <x v="4"/>
    <x v="4"/>
    <x v="4"/>
    <x v="10"/>
    <n v="46"/>
    <n v="200"/>
    <n v="224"/>
    <n v="40"/>
    <x v="0"/>
  </r>
  <r>
    <x v="4"/>
    <x v="4"/>
    <x v="4"/>
    <x v="11"/>
    <n v="34"/>
    <n v="4576.8"/>
    <n v="5126.0160000000005"/>
    <n v="915.36000000000013"/>
    <x v="0"/>
  </r>
  <r>
    <x v="4"/>
    <x v="4"/>
    <x v="1"/>
    <x v="12"/>
    <n v="7"/>
    <n v="200"/>
    <n v="224"/>
    <n v="40"/>
    <x v="0"/>
  </r>
  <r>
    <x v="4"/>
    <x v="4"/>
    <x v="4"/>
    <x v="14"/>
    <n v="3"/>
    <n v="4577.3"/>
    <n v="5126.576"/>
    <n v="915.46"/>
    <x v="0"/>
  </r>
  <r>
    <x v="4"/>
    <x v="4"/>
    <x v="5"/>
    <x v="13"/>
    <n v="2"/>
    <n v="6600"/>
    <n v="7392"/>
    <n v="1320"/>
    <x v="1"/>
  </r>
  <r>
    <x v="4"/>
    <x v="5"/>
    <x v="0"/>
    <x v="0"/>
    <n v="3566"/>
    <n v="4577.3"/>
    <n v="5126.576"/>
    <n v="915.46"/>
    <x v="1"/>
  </r>
  <r>
    <x v="4"/>
    <x v="5"/>
    <x v="0"/>
    <x v="1"/>
    <n v="2498"/>
    <n v="8000"/>
    <n v="8960"/>
    <n v="1600"/>
    <x v="1"/>
  </r>
  <r>
    <x v="4"/>
    <x v="5"/>
    <x v="1"/>
    <x v="2"/>
    <n v="1245"/>
    <n v="4577.2"/>
    <n v="5126.4639999999999"/>
    <n v="915.44"/>
    <x v="1"/>
  </r>
  <r>
    <x v="4"/>
    <x v="5"/>
    <x v="2"/>
    <x v="3"/>
    <n v="644"/>
    <n v="5743.5"/>
    <n v="6432.72"/>
    <n v="1148.7"/>
    <x v="1"/>
  </r>
  <r>
    <x v="4"/>
    <x v="5"/>
    <x v="3"/>
    <x v="4"/>
    <n v="643"/>
    <n v="7000"/>
    <n v="7840"/>
    <n v="1400"/>
    <x v="1"/>
  </r>
  <r>
    <x v="4"/>
    <x v="5"/>
    <x v="2"/>
    <x v="5"/>
    <n v="455"/>
    <n v="4578.6000000000004"/>
    <n v="5128.0320000000002"/>
    <n v="915.72000000000014"/>
    <x v="1"/>
  </r>
  <r>
    <x v="4"/>
    <x v="5"/>
    <x v="3"/>
    <x v="6"/>
    <n v="345"/>
    <n v="7000"/>
    <n v="7840"/>
    <n v="1400"/>
    <x v="1"/>
  </r>
  <r>
    <x v="4"/>
    <x v="5"/>
    <x v="1"/>
    <x v="7"/>
    <n v="122"/>
    <n v="100"/>
    <n v="112"/>
    <n v="20"/>
    <x v="1"/>
  </r>
  <r>
    <x v="4"/>
    <x v="5"/>
    <x v="4"/>
    <x v="8"/>
    <n v="78"/>
    <n v="4577.2"/>
    <n v="5126.4639999999999"/>
    <n v="915.44"/>
    <x v="1"/>
  </r>
  <r>
    <x v="4"/>
    <x v="5"/>
    <x v="4"/>
    <x v="9"/>
    <n v="76"/>
    <n v="4576.8999999999996"/>
    <n v="5126.1279999999997"/>
    <n v="915.38"/>
    <x v="1"/>
  </r>
  <r>
    <x v="4"/>
    <x v="5"/>
    <x v="4"/>
    <x v="10"/>
    <n v="46"/>
    <n v="200"/>
    <n v="224"/>
    <n v="40"/>
    <x v="1"/>
  </r>
  <r>
    <x v="4"/>
    <x v="5"/>
    <x v="4"/>
    <x v="11"/>
    <n v="34"/>
    <n v="4576.8"/>
    <n v="5126.0160000000005"/>
    <n v="915.36000000000013"/>
    <x v="1"/>
  </r>
  <r>
    <x v="4"/>
    <x v="5"/>
    <x v="1"/>
    <x v="12"/>
    <n v="7"/>
    <n v="200"/>
    <n v="224"/>
    <n v="40"/>
    <x v="1"/>
  </r>
  <r>
    <x v="4"/>
    <x v="5"/>
    <x v="5"/>
    <x v="13"/>
    <n v="3"/>
    <n v="6600"/>
    <n v="7392"/>
    <n v="1320"/>
    <x v="1"/>
  </r>
  <r>
    <x v="4"/>
    <x v="5"/>
    <x v="4"/>
    <x v="14"/>
    <n v="3"/>
    <n v="4577.3"/>
    <n v="5126.576"/>
    <n v="915.46"/>
    <x v="1"/>
  </r>
  <r>
    <x v="4"/>
    <x v="6"/>
    <x v="0"/>
    <x v="0"/>
    <n v="3566"/>
    <n v="4577.3"/>
    <n v="5126.576"/>
    <n v="915.46"/>
    <x v="1"/>
  </r>
  <r>
    <x v="4"/>
    <x v="6"/>
    <x v="0"/>
    <x v="1"/>
    <n v="2498"/>
    <n v="8000"/>
    <n v="8960"/>
    <n v="1600"/>
    <x v="1"/>
  </r>
  <r>
    <x v="4"/>
    <x v="6"/>
    <x v="1"/>
    <x v="2"/>
    <n v="1245"/>
    <n v="4577.2"/>
    <n v="5126.4639999999999"/>
    <n v="915.44"/>
    <x v="1"/>
  </r>
  <r>
    <x v="4"/>
    <x v="6"/>
    <x v="2"/>
    <x v="3"/>
    <n v="644"/>
    <n v="5743.5"/>
    <n v="6432.72"/>
    <n v="1148.7"/>
    <x v="1"/>
  </r>
  <r>
    <x v="4"/>
    <x v="6"/>
    <x v="3"/>
    <x v="4"/>
    <n v="643"/>
    <n v="7000"/>
    <n v="7840"/>
    <n v="1400"/>
    <x v="1"/>
  </r>
  <r>
    <x v="4"/>
    <x v="6"/>
    <x v="2"/>
    <x v="5"/>
    <n v="455"/>
    <n v="4578.6000000000004"/>
    <n v="5128.0320000000002"/>
    <n v="915.72000000000014"/>
    <x v="1"/>
  </r>
  <r>
    <x v="4"/>
    <x v="6"/>
    <x v="3"/>
    <x v="6"/>
    <n v="345"/>
    <n v="7000"/>
    <n v="7840"/>
    <n v="1400"/>
    <x v="1"/>
  </r>
  <r>
    <x v="4"/>
    <x v="6"/>
    <x v="1"/>
    <x v="7"/>
    <n v="122"/>
    <n v="100"/>
    <n v="112"/>
    <n v="20"/>
    <x v="0"/>
  </r>
  <r>
    <x v="4"/>
    <x v="6"/>
    <x v="4"/>
    <x v="8"/>
    <n v="78"/>
    <n v="4577.2"/>
    <n v="5126.4639999999999"/>
    <n v="915.44"/>
    <x v="0"/>
  </r>
  <r>
    <x v="4"/>
    <x v="6"/>
    <x v="4"/>
    <x v="9"/>
    <n v="76"/>
    <n v="4576.8999999999996"/>
    <n v="5126.1279999999997"/>
    <n v="915.38"/>
    <x v="0"/>
  </r>
  <r>
    <x v="4"/>
    <x v="6"/>
    <x v="4"/>
    <x v="10"/>
    <n v="46"/>
    <n v="200"/>
    <n v="224"/>
    <n v="40"/>
    <x v="0"/>
  </r>
  <r>
    <x v="4"/>
    <x v="6"/>
    <x v="4"/>
    <x v="11"/>
    <n v="34"/>
    <n v="4576.8"/>
    <n v="5126.0160000000005"/>
    <n v="915.36000000000013"/>
    <x v="0"/>
  </r>
  <r>
    <x v="4"/>
    <x v="6"/>
    <x v="1"/>
    <x v="12"/>
    <n v="7"/>
    <n v="200"/>
    <n v="224"/>
    <n v="40"/>
    <x v="0"/>
  </r>
  <r>
    <x v="4"/>
    <x v="6"/>
    <x v="4"/>
    <x v="14"/>
    <n v="3"/>
    <n v="4577.3"/>
    <n v="5126.576"/>
    <n v="915.46"/>
    <x v="0"/>
  </r>
  <r>
    <x v="4"/>
    <x v="6"/>
    <x v="5"/>
    <x v="13"/>
    <n v="2"/>
    <n v="6600"/>
    <n v="7392"/>
    <n v="1320"/>
    <x v="0"/>
  </r>
  <r>
    <x v="4"/>
    <x v="7"/>
    <x v="0"/>
    <x v="0"/>
    <n v="3566"/>
    <n v="4577.3"/>
    <n v="5126.576"/>
    <n v="915.46"/>
    <x v="0"/>
  </r>
  <r>
    <x v="4"/>
    <x v="7"/>
    <x v="0"/>
    <x v="1"/>
    <n v="2498"/>
    <n v="8000"/>
    <n v="8960"/>
    <n v="1600"/>
    <x v="0"/>
  </r>
  <r>
    <x v="4"/>
    <x v="7"/>
    <x v="1"/>
    <x v="2"/>
    <n v="1245"/>
    <n v="4577.2"/>
    <n v="5126.4639999999999"/>
    <n v="915.44"/>
    <x v="0"/>
  </r>
  <r>
    <x v="4"/>
    <x v="7"/>
    <x v="2"/>
    <x v="3"/>
    <n v="644"/>
    <n v="5743.5"/>
    <n v="6432.72"/>
    <n v="1148.7"/>
    <x v="0"/>
  </r>
  <r>
    <x v="4"/>
    <x v="7"/>
    <x v="3"/>
    <x v="4"/>
    <n v="643"/>
    <n v="7000"/>
    <n v="7840"/>
    <n v="1400"/>
    <x v="0"/>
  </r>
  <r>
    <x v="4"/>
    <x v="7"/>
    <x v="2"/>
    <x v="5"/>
    <n v="455"/>
    <n v="4578.6000000000004"/>
    <n v="5128.0320000000002"/>
    <n v="915.72000000000014"/>
    <x v="0"/>
  </r>
  <r>
    <x v="4"/>
    <x v="7"/>
    <x v="3"/>
    <x v="6"/>
    <n v="345"/>
    <n v="7000"/>
    <n v="7840"/>
    <n v="1400"/>
    <x v="0"/>
  </r>
  <r>
    <x v="4"/>
    <x v="7"/>
    <x v="1"/>
    <x v="7"/>
    <n v="122"/>
    <n v="100"/>
    <n v="112"/>
    <n v="20"/>
    <x v="0"/>
  </r>
  <r>
    <x v="4"/>
    <x v="7"/>
    <x v="4"/>
    <x v="8"/>
    <n v="78"/>
    <n v="4577.2"/>
    <n v="5126.4639999999999"/>
    <n v="915.44"/>
    <x v="0"/>
  </r>
  <r>
    <x v="4"/>
    <x v="7"/>
    <x v="4"/>
    <x v="9"/>
    <n v="76"/>
    <n v="4576.8999999999996"/>
    <n v="5126.1279999999997"/>
    <n v="915.38"/>
    <x v="0"/>
  </r>
  <r>
    <x v="4"/>
    <x v="7"/>
    <x v="4"/>
    <x v="10"/>
    <n v="46"/>
    <n v="200"/>
    <n v="224"/>
    <n v="40"/>
    <x v="0"/>
  </r>
  <r>
    <x v="4"/>
    <x v="7"/>
    <x v="4"/>
    <x v="11"/>
    <n v="34"/>
    <n v="4576.8"/>
    <n v="5126.0160000000005"/>
    <n v="915.36000000000013"/>
    <x v="0"/>
  </r>
  <r>
    <x v="4"/>
    <x v="7"/>
    <x v="1"/>
    <x v="12"/>
    <n v="7"/>
    <n v="200"/>
    <n v="224"/>
    <n v="40"/>
    <x v="0"/>
  </r>
  <r>
    <x v="4"/>
    <x v="7"/>
    <x v="4"/>
    <x v="14"/>
    <n v="3"/>
    <n v="4577.3"/>
    <n v="5126.576"/>
    <n v="915.46"/>
    <x v="0"/>
  </r>
  <r>
    <x v="4"/>
    <x v="7"/>
    <x v="5"/>
    <x v="13"/>
    <n v="2"/>
    <n v="6600"/>
    <n v="7392"/>
    <n v="1320"/>
    <x v="0"/>
  </r>
  <r>
    <x v="4"/>
    <x v="8"/>
    <x v="0"/>
    <x v="0"/>
    <n v="3566"/>
    <n v="4577.3"/>
    <n v="5126.576"/>
    <n v="915.46"/>
    <x v="0"/>
  </r>
  <r>
    <x v="4"/>
    <x v="8"/>
    <x v="0"/>
    <x v="1"/>
    <n v="2498"/>
    <n v="8000"/>
    <n v="8960"/>
    <n v="1600"/>
    <x v="0"/>
  </r>
  <r>
    <x v="4"/>
    <x v="8"/>
    <x v="1"/>
    <x v="2"/>
    <n v="1245"/>
    <n v="4577.2"/>
    <n v="5126.4639999999999"/>
    <n v="915.44"/>
    <x v="0"/>
  </r>
  <r>
    <x v="4"/>
    <x v="8"/>
    <x v="2"/>
    <x v="3"/>
    <n v="644"/>
    <n v="5743.5"/>
    <n v="6432.72"/>
    <n v="1148.7"/>
    <x v="0"/>
  </r>
  <r>
    <x v="4"/>
    <x v="8"/>
    <x v="3"/>
    <x v="4"/>
    <n v="643"/>
    <n v="7000"/>
    <n v="7840"/>
    <n v="1400"/>
    <x v="0"/>
  </r>
  <r>
    <x v="4"/>
    <x v="8"/>
    <x v="2"/>
    <x v="5"/>
    <n v="455"/>
    <n v="4578.6000000000004"/>
    <n v="5128.0320000000002"/>
    <n v="915.72000000000014"/>
    <x v="0"/>
  </r>
  <r>
    <x v="4"/>
    <x v="8"/>
    <x v="3"/>
    <x v="6"/>
    <n v="345"/>
    <n v="7000"/>
    <n v="7840"/>
    <n v="1400"/>
    <x v="0"/>
  </r>
  <r>
    <x v="4"/>
    <x v="8"/>
    <x v="1"/>
    <x v="7"/>
    <n v="122"/>
    <n v="100"/>
    <n v="112"/>
    <n v="20"/>
    <x v="0"/>
  </r>
  <r>
    <x v="4"/>
    <x v="8"/>
    <x v="4"/>
    <x v="8"/>
    <n v="78"/>
    <n v="4577.2"/>
    <n v="5126.4639999999999"/>
    <n v="915.44"/>
    <x v="0"/>
  </r>
  <r>
    <x v="4"/>
    <x v="8"/>
    <x v="4"/>
    <x v="9"/>
    <n v="76"/>
    <n v="4576.8999999999996"/>
    <n v="5126.1279999999997"/>
    <n v="915.38"/>
    <x v="0"/>
  </r>
  <r>
    <x v="4"/>
    <x v="8"/>
    <x v="4"/>
    <x v="10"/>
    <n v="46"/>
    <n v="200"/>
    <n v="224"/>
    <n v="40"/>
    <x v="0"/>
  </r>
  <r>
    <x v="4"/>
    <x v="8"/>
    <x v="4"/>
    <x v="11"/>
    <n v="34"/>
    <n v="4576.8"/>
    <n v="5126.0160000000005"/>
    <n v="915.36000000000013"/>
    <x v="0"/>
  </r>
  <r>
    <x v="4"/>
    <x v="8"/>
    <x v="1"/>
    <x v="12"/>
    <n v="7"/>
    <n v="200"/>
    <n v="224"/>
    <n v="40"/>
    <x v="0"/>
  </r>
  <r>
    <x v="4"/>
    <x v="8"/>
    <x v="4"/>
    <x v="14"/>
    <n v="3"/>
    <n v="4577.3"/>
    <n v="5126.576"/>
    <n v="915.46"/>
    <x v="0"/>
  </r>
  <r>
    <x v="4"/>
    <x v="8"/>
    <x v="5"/>
    <x v="13"/>
    <n v="2"/>
    <n v="6600"/>
    <n v="7392"/>
    <n v="1320"/>
    <x v="0"/>
  </r>
  <r>
    <x v="4"/>
    <x v="9"/>
    <x v="0"/>
    <x v="0"/>
    <n v="3566"/>
    <n v="4577.3"/>
    <n v="5126.576"/>
    <n v="915.46"/>
    <x v="0"/>
  </r>
  <r>
    <x v="4"/>
    <x v="9"/>
    <x v="0"/>
    <x v="1"/>
    <n v="2498"/>
    <n v="8000"/>
    <n v="8960"/>
    <n v="1600"/>
    <x v="0"/>
  </r>
  <r>
    <x v="4"/>
    <x v="9"/>
    <x v="1"/>
    <x v="2"/>
    <n v="1245"/>
    <n v="4577.2"/>
    <n v="5126.4639999999999"/>
    <n v="915.44"/>
    <x v="0"/>
  </r>
  <r>
    <x v="4"/>
    <x v="9"/>
    <x v="2"/>
    <x v="3"/>
    <n v="644"/>
    <n v="5743.5"/>
    <n v="6432.72"/>
    <n v="1148.7"/>
    <x v="0"/>
  </r>
  <r>
    <x v="4"/>
    <x v="9"/>
    <x v="3"/>
    <x v="4"/>
    <n v="643"/>
    <n v="7000"/>
    <n v="7840"/>
    <n v="1400"/>
    <x v="1"/>
  </r>
  <r>
    <x v="4"/>
    <x v="9"/>
    <x v="2"/>
    <x v="5"/>
    <n v="455"/>
    <n v="4578.6000000000004"/>
    <n v="5128.0320000000002"/>
    <n v="915.72000000000014"/>
    <x v="1"/>
  </r>
  <r>
    <x v="4"/>
    <x v="9"/>
    <x v="3"/>
    <x v="6"/>
    <n v="345"/>
    <n v="7000"/>
    <n v="7840"/>
    <n v="1400"/>
    <x v="1"/>
  </r>
  <r>
    <x v="4"/>
    <x v="9"/>
    <x v="1"/>
    <x v="7"/>
    <n v="122"/>
    <n v="100"/>
    <n v="112"/>
    <n v="20"/>
    <x v="1"/>
  </r>
  <r>
    <x v="4"/>
    <x v="9"/>
    <x v="4"/>
    <x v="8"/>
    <n v="78"/>
    <n v="4577.2"/>
    <n v="5126.4639999999999"/>
    <n v="915.44"/>
    <x v="1"/>
  </r>
  <r>
    <x v="4"/>
    <x v="9"/>
    <x v="4"/>
    <x v="9"/>
    <n v="76"/>
    <n v="4576.8999999999996"/>
    <n v="5126.1279999999997"/>
    <n v="915.38"/>
    <x v="1"/>
  </r>
  <r>
    <x v="4"/>
    <x v="9"/>
    <x v="4"/>
    <x v="10"/>
    <n v="46"/>
    <n v="200"/>
    <n v="224"/>
    <n v="40"/>
    <x v="1"/>
  </r>
  <r>
    <x v="4"/>
    <x v="9"/>
    <x v="4"/>
    <x v="11"/>
    <n v="34"/>
    <n v="4576.8"/>
    <n v="5126.0160000000005"/>
    <n v="915.36000000000013"/>
    <x v="1"/>
  </r>
  <r>
    <x v="4"/>
    <x v="9"/>
    <x v="1"/>
    <x v="12"/>
    <n v="7"/>
    <n v="200"/>
    <n v="224"/>
    <n v="40"/>
    <x v="1"/>
  </r>
  <r>
    <x v="4"/>
    <x v="9"/>
    <x v="4"/>
    <x v="14"/>
    <n v="3"/>
    <n v="4577.3"/>
    <n v="5126.576"/>
    <n v="915.46"/>
    <x v="1"/>
  </r>
  <r>
    <x v="4"/>
    <x v="9"/>
    <x v="5"/>
    <x v="13"/>
    <n v="2"/>
    <n v="6600"/>
    <n v="7392"/>
    <n v="1320"/>
    <x v="1"/>
  </r>
  <r>
    <x v="4"/>
    <x v="10"/>
    <x v="0"/>
    <x v="0"/>
    <n v="3566"/>
    <n v="4577.3"/>
    <n v="5126.576"/>
    <n v="915.46"/>
    <x v="1"/>
  </r>
  <r>
    <x v="4"/>
    <x v="10"/>
    <x v="0"/>
    <x v="1"/>
    <n v="2498"/>
    <n v="8000"/>
    <n v="8960"/>
    <n v="1600"/>
    <x v="1"/>
  </r>
  <r>
    <x v="4"/>
    <x v="10"/>
    <x v="1"/>
    <x v="2"/>
    <n v="1245"/>
    <n v="4577.2"/>
    <n v="5126.4639999999999"/>
    <n v="915.44"/>
    <x v="1"/>
  </r>
  <r>
    <x v="4"/>
    <x v="10"/>
    <x v="2"/>
    <x v="3"/>
    <n v="644"/>
    <n v="5743.5"/>
    <n v="6432.72"/>
    <n v="1148.7"/>
    <x v="1"/>
  </r>
  <r>
    <x v="4"/>
    <x v="10"/>
    <x v="3"/>
    <x v="4"/>
    <n v="643"/>
    <n v="7000"/>
    <n v="7840"/>
    <n v="1400"/>
    <x v="1"/>
  </r>
  <r>
    <x v="4"/>
    <x v="10"/>
    <x v="2"/>
    <x v="5"/>
    <n v="455"/>
    <n v="4578.6000000000004"/>
    <n v="5128.0320000000002"/>
    <n v="915.72000000000014"/>
    <x v="1"/>
  </r>
  <r>
    <x v="4"/>
    <x v="10"/>
    <x v="3"/>
    <x v="6"/>
    <n v="345"/>
    <n v="7000"/>
    <n v="7840"/>
    <n v="1400"/>
    <x v="1"/>
  </r>
  <r>
    <x v="4"/>
    <x v="10"/>
    <x v="1"/>
    <x v="7"/>
    <n v="122"/>
    <n v="100"/>
    <n v="112"/>
    <n v="20"/>
    <x v="1"/>
  </r>
  <r>
    <x v="4"/>
    <x v="10"/>
    <x v="4"/>
    <x v="8"/>
    <n v="78"/>
    <n v="4577.2"/>
    <n v="5126.4639999999999"/>
    <n v="915.44"/>
    <x v="1"/>
  </r>
  <r>
    <x v="4"/>
    <x v="10"/>
    <x v="4"/>
    <x v="9"/>
    <n v="76"/>
    <n v="4576.8999999999996"/>
    <n v="5126.1279999999997"/>
    <n v="915.38"/>
    <x v="1"/>
  </r>
  <r>
    <x v="4"/>
    <x v="10"/>
    <x v="4"/>
    <x v="10"/>
    <n v="46"/>
    <n v="200"/>
    <n v="224"/>
    <n v="40"/>
    <x v="1"/>
  </r>
  <r>
    <x v="4"/>
    <x v="10"/>
    <x v="4"/>
    <x v="11"/>
    <n v="34"/>
    <n v="4576.8"/>
    <n v="5126.0160000000005"/>
    <n v="915.36000000000013"/>
    <x v="1"/>
  </r>
  <r>
    <x v="4"/>
    <x v="10"/>
    <x v="1"/>
    <x v="12"/>
    <n v="7"/>
    <n v="200"/>
    <n v="224"/>
    <n v="40"/>
    <x v="1"/>
  </r>
  <r>
    <x v="4"/>
    <x v="10"/>
    <x v="4"/>
    <x v="14"/>
    <n v="3"/>
    <n v="4577.3"/>
    <n v="5126.576"/>
    <n v="915.46"/>
    <x v="1"/>
  </r>
  <r>
    <x v="4"/>
    <x v="10"/>
    <x v="5"/>
    <x v="13"/>
    <n v="2"/>
    <n v="6600"/>
    <n v="7392"/>
    <n v="1320"/>
    <x v="0"/>
  </r>
  <r>
    <x v="4"/>
    <x v="11"/>
    <x v="0"/>
    <x v="0"/>
    <n v="3566"/>
    <n v="4577.3"/>
    <n v="5126.576"/>
    <n v="915.46"/>
    <x v="0"/>
  </r>
  <r>
    <x v="4"/>
    <x v="11"/>
    <x v="0"/>
    <x v="1"/>
    <n v="2498"/>
    <n v="8000"/>
    <n v="8960"/>
    <n v="1600"/>
    <x v="0"/>
  </r>
  <r>
    <x v="4"/>
    <x v="11"/>
    <x v="1"/>
    <x v="2"/>
    <n v="1245"/>
    <n v="4577.2"/>
    <n v="5126.4639999999999"/>
    <n v="915.44"/>
    <x v="0"/>
  </r>
  <r>
    <x v="4"/>
    <x v="11"/>
    <x v="2"/>
    <x v="3"/>
    <n v="644"/>
    <n v="5743.5"/>
    <n v="6432.72"/>
    <n v="1148.7"/>
    <x v="0"/>
  </r>
  <r>
    <x v="4"/>
    <x v="11"/>
    <x v="3"/>
    <x v="4"/>
    <n v="643"/>
    <n v="7000"/>
    <n v="7840"/>
    <n v="1400"/>
    <x v="0"/>
  </r>
  <r>
    <x v="4"/>
    <x v="11"/>
    <x v="2"/>
    <x v="5"/>
    <n v="455"/>
    <n v="4578.6000000000004"/>
    <n v="5128.0320000000002"/>
    <n v="915.72000000000014"/>
    <x v="0"/>
  </r>
  <r>
    <x v="4"/>
    <x v="11"/>
    <x v="3"/>
    <x v="6"/>
    <n v="345"/>
    <n v="7000"/>
    <n v="7840"/>
    <n v="1400"/>
    <x v="0"/>
  </r>
  <r>
    <x v="4"/>
    <x v="11"/>
    <x v="1"/>
    <x v="7"/>
    <n v="122"/>
    <n v="100"/>
    <n v="112"/>
    <n v="20"/>
    <x v="0"/>
  </r>
  <r>
    <x v="4"/>
    <x v="11"/>
    <x v="4"/>
    <x v="8"/>
    <n v="78"/>
    <n v="4577.2"/>
    <n v="5126.4639999999999"/>
    <n v="915.44"/>
    <x v="0"/>
  </r>
  <r>
    <x v="4"/>
    <x v="11"/>
    <x v="4"/>
    <x v="9"/>
    <n v="76"/>
    <n v="4576.8999999999996"/>
    <n v="5126.1279999999997"/>
    <n v="915.38"/>
    <x v="0"/>
  </r>
  <r>
    <x v="4"/>
    <x v="11"/>
    <x v="4"/>
    <x v="10"/>
    <n v="46"/>
    <n v="200"/>
    <n v="224"/>
    <n v="40"/>
    <x v="0"/>
  </r>
  <r>
    <x v="4"/>
    <x v="11"/>
    <x v="4"/>
    <x v="11"/>
    <n v="34"/>
    <n v="4576.8"/>
    <n v="5126.0160000000005"/>
    <n v="915.36000000000013"/>
    <x v="0"/>
  </r>
  <r>
    <x v="4"/>
    <x v="11"/>
    <x v="1"/>
    <x v="12"/>
    <n v="7"/>
    <n v="200"/>
    <n v="224"/>
    <n v="40"/>
    <x v="0"/>
  </r>
  <r>
    <x v="4"/>
    <x v="11"/>
    <x v="4"/>
    <x v="14"/>
    <n v="3"/>
    <n v="4577.3"/>
    <n v="5126.576"/>
    <n v="915.46"/>
    <x v="0"/>
  </r>
  <r>
    <x v="4"/>
    <x v="11"/>
    <x v="5"/>
    <x v="13"/>
    <n v="2"/>
    <n v="6600"/>
    <n v="7392"/>
    <n v="132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501558.1999999999"/>
  </r>
  <r>
    <x v="0"/>
    <x v="1"/>
    <x v="1"/>
    <n v="360897.68000000005"/>
  </r>
  <r>
    <x v="0"/>
    <x v="2"/>
    <x v="2"/>
    <n v="227490.12000000002"/>
  </r>
  <r>
    <x v="0"/>
    <x v="3"/>
    <x v="3"/>
    <n v="281795.8000000001"/>
  </r>
  <r>
    <x v="0"/>
    <x v="4"/>
    <x v="4"/>
    <n v="206264.59999999995"/>
  </r>
  <r>
    <x v="0"/>
    <x v="5"/>
    <x v="5"/>
    <n v="202419.35999999975"/>
  </r>
  <r>
    <x v="1"/>
    <x v="0"/>
    <x v="6"/>
    <n v="509978.03999999992"/>
  </r>
  <r>
    <x v="1"/>
    <x v="1"/>
    <x v="7"/>
    <n v="280188.47999999992"/>
  </r>
  <r>
    <x v="1"/>
    <x v="2"/>
    <x v="8"/>
    <n v="209586.52000000019"/>
  </r>
  <r>
    <x v="1"/>
    <x v="3"/>
    <x v="9"/>
    <n v="273633.36"/>
  </r>
  <r>
    <x v="1"/>
    <x v="5"/>
    <x v="10"/>
    <n v="204158.23999999973"/>
  </r>
  <r>
    <x v="1"/>
    <x v="4"/>
    <x v="11"/>
    <n v="275347.0400000001"/>
  </r>
  <r>
    <x v="2"/>
    <x v="0"/>
    <x v="12"/>
    <n v="524449.6399999999"/>
  </r>
  <r>
    <x v="2"/>
    <x v="2"/>
    <x v="13"/>
    <n v="201424.08000000007"/>
  </r>
  <r>
    <x v="2"/>
    <x v="1"/>
    <x v="14"/>
    <n v="700000"/>
  </r>
  <r>
    <x v="2"/>
    <x v="3"/>
    <x v="15"/>
    <n v="255357.95999999996"/>
  </r>
  <r>
    <x v="2"/>
    <x v="4"/>
    <x v="16"/>
    <n v="181256.00000000003"/>
  </r>
  <r>
    <x v="2"/>
    <x v="5"/>
    <x v="17"/>
    <n v="199811.0399999998"/>
  </r>
  <r>
    <x v="3"/>
    <x v="0"/>
    <x v="18"/>
    <n v="292475.04000000004"/>
  </r>
  <r>
    <x v="3"/>
    <x v="3"/>
    <x v="19"/>
    <n v="184904.72"/>
  </r>
  <r>
    <x v="3"/>
    <x v="1"/>
    <x v="20"/>
    <n v="182902.72000000003"/>
  </r>
  <r>
    <x v="3"/>
    <x v="2"/>
    <x v="21"/>
    <n v="212626.8"/>
  </r>
  <r>
    <x v="3"/>
    <x v="5"/>
    <x v="22"/>
    <n v="130072.80000000012"/>
  </r>
  <r>
    <x v="3"/>
    <x v="4"/>
    <x v="23"/>
    <n v="104238.15999999999"/>
  </r>
  <r>
    <x v="4"/>
    <x v="0"/>
    <x v="24"/>
    <n v="272243.39999999997"/>
  </r>
  <r>
    <x v="4"/>
    <x v="2"/>
    <x v="25"/>
    <n v="107044.07999999994"/>
  </r>
  <r>
    <x v="4"/>
    <x v="1"/>
    <x v="26"/>
    <n v="157214.20000000007"/>
  </r>
  <r>
    <x v="4"/>
    <x v="3"/>
    <x v="27"/>
    <n v="152935.63999999998"/>
  </r>
  <r>
    <x v="4"/>
    <x v="5"/>
    <x v="28"/>
    <n v="100660.56000000013"/>
  </r>
  <r>
    <x v="4"/>
    <x v="4"/>
    <x v="29"/>
    <n v="90151.20000000004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15">
  <r>
    <s v="AD01-9361"/>
    <x v="0"/>
    <s v="Apr"/>
    <x v="0"/>
    <x v="0"/>
    <s v="Order assembled"/>
    <x v="0"/>
    <x v="0"/>
    <x v="0"/>
    <x v="0"/>
    <n v="500.5"/>
  </r>
  <r>
    <s v="AD01-9361"/>
    <x v="0"/>
    <s v="Apr"/>
    <x v="0"/>
    <x v="0"/>
    <s v="Order assembled"/>
    <x v="0"/>
    <x v="0"/>
    <x v="0"/>
    <x v="1"/>
    <n v="491.91999999999996"/>
  </r>
  <r>
    <s v="AD01-9362"/>
    <x v="0"/>
    <s v="Apr"/>
    <x v="0"/>
    <x v="0"/>
    <s v="Order assembled"/>
    <x v="0"/>
    <x v="0"/>
    <x v="1"/>
    <x v="2"/>
    <n v="337.48"/>
  </r>
  <r>
    <s v="AD01-9362"/>
    <x v="0"/>
    <s v="Apr"/>
    <x v="0"/>
    <x v="0"/>
    <s v="Order assembled"/>
    <x v="0"/>
    <x v="0"/>
    <x v="1"/>
    <x v="3"/>
    <n v="406.12"/>
  </r>
  <r>
    <s v="AD01-9364"/>
    <x v="0"/>
    <s v="Apr"/>
    <x v="0"/>
    <x v="0"/>
    <s v="Order assembled"/>
    <x v="0"/>
    <x v="0"/>
    <x v="1"/>
    <x v="4"/>
    <n v="340.34000000000003"/>
  </r>
  <r>
    <s v="AD01-9361"/>
    <x v="0"/>
    <s v="Apr"/>
    <x v="0"/>
    <x v="0"/>
    <s v="Order assembled"/>
    <x v="0"/>
    <x v="0"/>
    <x v="1"/>
    <x v="5"/>
    <n v="400.4"/>
  </r>
  <r>
    <s v="AD01-9361"/>
    <x v="0"/>
    <s v="Apr"/>
    <x v="0"/>
    <x v="0"/>
    <s v="Order assembled"/>
    <x v="0"/>
    <x v="0"/>
    <x v="1"/>
    <x v="6"/>
    <n v="297.44"/>
  </r>
  <r>
    <s v="AD01-9362"/>
    <x v="0"/>
    <s v="Apr"/>
    <x v="0"/>
    <x v="0"/>
    <s v="Order assembled"/>
    <x v="0"/>
    <x v="0"/>
    <x v="0"/>
    <x v="7"/>
    <n v="526.24"/>
  </r>
  <r>
    <s v="AD01-9361"/>
    <x v="0"/>
    <s v="Apr"/>
    <x v="0"/>
    <x v="0"/>
    <s v="Order assembled"/>
    <x v="0"/>
    <x v="0"/>
    <x v="0"/>
    <x v="8"/>
    <n v="526.24"/>
  </r>
  <r>
    <s v="AD01-9364"/>
    <x v="0"/>
    <s v="Apr"/>
    <x v="0"/>
    <x v="0"/>
    <s v="Order assembled"/>
    <x v="0"/>
    <x v="0"/>
    <x v="0"/>
    <x v="9"/>
    <n v="526.24"/>
  </r>
  <r>
    <s v="AD01-9363"/>
    <x v="0"/>
    <s v="Apr"/>
    <x v="0"/>
    <x v="0"/>
    <s v="Order assembled"/>
    <x v="0"/>
    <x v="0"/>
    <x v="1"/>
    <x v="10"/>
    <n v="968.11"/>
  </r>
  <r>
    <s v="AD01-9364"/>
    <x v="0"/>
    <s v="Apr"/>
    <x v="0"/>
    <x v="0"/>
    <s v="Order assembled"/>
    <x v="0"/>
    <x v="0"/>
    <x v="1"/>
    <x v="11"/>
    <n v="1015.3"/>
  </r>
  <r>
    <s v="AD01-9362"/>
    <x v="0"/>
    <s v="Apr"/>
    <x v="0"/>
    <x v="0"/>
    <s v="Order assembled"/>
    <x v="0"/>
    <x v="0"/>
    <x v="1"/>
    <x v="12"/>
    <n v="1091.0899999999999"/>
  </r>
  <r>
    <s v="AD01-9362"/>
    <x v="0"/>
    <s v="Apr"/>
    <x v="0"/>
    <x v="0"/>
    <s v="Order assembled"/>
    <x v="0"/>
    <x v="0"/>
    <x v="0"/>
    <x v="13"/>
    <n v="501.93"/>
  </r>
  <r>
    <s v="AD01-9364"/>
    <x v="0"/>
    <s v="Apr"/>
    <x v="0"/>
    <x v="0"/>
    <s v="Order assembled"/>
    <x v="0"/>
    <x v="0"/>
    <x v="0"/>
    <x v="14"/>
    <n v="493.35"/>
  </r>
  <r>
    <s v="AD01-9361"/>
    <x v="0"/>
    <s v="Apr"/>
    <x v="0"/>
    <x v="0"/>
    <s v="Order assembled"/>
    <x v="0"/>
    <x v="0"/>
    <x v="0"/>
    <x v="15"/>
    <n v="484.77"/>
  </r>
  <r>
    <s v="AD01-9362"/>
    <x v="0"/>
    <s v="Apr"/>
    <x v="0"/>
    <x v="0"/>
    <s v="Order assembled"/>
    <x v="0"/>
    <x v="0"/>
    <x v="1"/>
    <x v="16"/>
    <n v="338.90999999999997"/>
  </r>
  <r>
    <s v="AD01-9362"/>
    <x v="0"/>
    <s v="Apr"/>
    <x v="0"/>
    <x v="0"/>
    <s v="Order assembled"/>
    <x v="0"/>
    <x v="0"/>
    <x v="1"/>
    <x v="17"/>
    <n v="526.24"/>
  </r>
  <r>
    <s v="AD01-9363"/>
    <x v="0"/>
    <s v="Apr"/>
    <x v="0"/>
    <x v="0"/>
    <s v="Order assembled"/>
    <x v="0"/>
    <x v="0"/>
    <x v="1"/>
    <x v="18"/>
    <n v="526.24"/>
  </r>
  <r>
    <s v="AD01-9361"/>
    <x v="0"/>
    <s v="Apr"/>
    <x v="0"/>
    <x v="0"/>
    <s v="Order assembled"/>
    <x v="0"/>
    <x v="0"/>
    <x v="1"/>
    <x v="19"/>
    <n v="336.05"/>
  </r>
  <r>
    <s v="AD01-9361"/>
    <x v="0"/>
    <s v="Apr"/>
    <x v="0"/>
    <x v="0"/>
    <s v="Order assembled"/>
    <x v="0"/>
    <x v="0"/>
    <x v="1"/>
    <x v="20"/>
    <n v="404.69"/>
  </r>
  <r>
    <s v="AD01-9364"/>
    <x v="0"/>
    <s v="Apr"/>
    <x v="0"/>
    <x v="0"/>
    <s v="Order assembled"/>
    <x v="0"/>
    <x v="0"/>
    <x v="1"/>
    <x v="21"/>
    <n v="301.73"/>
  </r>
  <r>
    <s v="AD01-9361"/>
    <x v="0"/>
    <s v="Apr"/>
    <x v="0"/>
    <x v="0"/>
    <s v="Order assembled"/>
    <x v="0"/>
    <x v="0"/>
    <x v="0"/>
    <x v="22"/>
    <n v="1252.68"/>
  </r>
  <r>
    <s v="AD01-9361"/>
    <x v="0"/>
    <s v="Apr"/>
    <x v="0"/>
    <x v="0"/>
    <s v="Order assembled"/>
    <x v="0"/>
    <x v="0"/>
    <x v="0"/>
    <x v="23"/>
    <n v="1254.1100000000001"/>
  </r>
  <r>
    <s v="AD01-9361"/>
    <x v="0"/>
    <s v="Apr"/>
    <x v="0"/>
    <x v="0"/>
    <s v="Order assembled"/>
    <x v="0"/>
    <x v="0"/>
    <x v="0"/>
    <x v="24"/>
    <n v="1255.54"/>
  </r>
  <r>
    <s v="AD01-9364"/>
    <x v="0"/>
    <s v="Apr"/>
    <x v="0"/>
    <x v="0"/>
    <s v="Order assembled"/>
    <x v="0"/>
    <x v="0"/>
    <x v="1"/>
    <x v="25"/>
    <n v="401.83"/>
  </r>
  <r>
    <s v="AD01-9362"/>
    <x v="0"/>
    <s v="Apr"/>
    <x v="0"/>
    <x v="0"/>
    <s v="Order assembled"/>
    <x v="0"/>
    <x v="0"/>
    <x v="1"/>
    <x v="26"/>
    <n v="1103.96"/>
  </r>
  <r>
    <s v="AD01-9361"/>
    <x v="0"/>
    <s v="Aug"/>
    <x v="0"/>
    <x v="0"/>
    <s v="Order assembled"/>
    <x v="0"/>
    <x v="0"/>
    <x v="0"/>
    <x v="27"/>
    <n v="414.7"/>
  </r>
  <r>
    <s v="AD01-9361"/>
    <x v="0"/>
    <s v="Aug"/>
    <x v="0"/>
    <x v="0"/>
    <s v="Order assembled"/>
    <x v="0"/>
    <x v="0"/>
    <x v="0"/>
    <x v="3"/>
    <n v="406.12"/>
  </r>
  <r>
    <s v="AD01-9365"/>
    <x v="0"/>
    <s v="Aug"/>
    <x v="0"/>
    <x v="0"/>
    <s v="Order assembled"/>
    <x v="0"/>
    <x v="0"/>
    <x v="0"/>
    <x v="28"/>
    <n v="397.53999999999996"/>
  </r>
  <r>
    <s v="AD01-9362"/>
    <x v="0"/>
    <s v="Aug"/>
    <x v="0"/>
    <x v="0"/>
    <s v="Order assembled"/>
    <x v="0"/>
    <x v="0"/>
    <x v="1"/>
    <x v="29"/>
    <n v="303.15999999999997"/>
  </r>
  <r>
    <s v="AD01-9361"/>
    <x v="0"/>
    <s v="Aug"/>
    <x v="0"/>
    <x v="0"/>
    <s v="Order assembled"/>
    <x v="0"/>
    <x v="0"/>
    <x v="1"/>
    <x v="30"/>
    <n v="371.8"/>
  </r>
  <r>
    <s v="AD01-9361"/>
    <x v="0"/>
    <s v="Aug"/>
    <x v="0"/>
    <x v="0"/>
    <s v="Order assembled"/>
    <x v="0"/>
    <x v="0"/>
    <x v="1"/>
    <x v="31"/>
    <n v="268.84000000000003"/>
  </r>
  <r>
    <s v="AD01-9364"/>
    <x v="0"/>
    <s v="Aug"/>
    <x v="0"/>
    <x v="0"/>
    <s v="Order assembled"/>
    <x v="0"/>
    <x v="0"/>
    <x v="1"/>
    <x v="32"/>
    <n v="306.02"/>
  </r>
  <r>
    <s v="AD01-9362"/>
    <x v="0"/>
    <s v="Aug"/>
    <x v="0"/>
    <x v="0"/>
    <s v="Order assembled"/>
    <x v="0"/>
    <x v="0"/>
    <x v="1"/>
    <x v="33"/>
    <n v="374.65999999999997"/>
  </r>
  <r>
    <s v="AD01-9364"/>
    <x v="0"/>
    <s v="Aug"/>
    <x v="0"/>
    <x v="0"/>
    <s v="Order assembled"/>
    <x v="0"/>
    <x v="0"/>
    <x v="1"/>
    <x v="34"/>
    <n v="271.7"/>
  </r>
  <r>
    <s v="AD01-9363"/>
    <x v="0"/>
    <s v="Aug"/>
    <x v="0"/>
    <x v="0"/>
    <s v="Order assembled"/>
    <x v="0"/>
    <x v="0"/>
    <x v="1"/>
    <x v="35"/>
    <n v="526.24"/>
  </r>
  <r>
    <s v="AD01-9364"/>
    <x v="0"/>
    <s v="Aug"/>
    <x v="0"/>
    <x v="0"/>
    <s v="Order assembled"/>
    <x v="0"/>
    <x v="0"/>
    <x v="1"/>
    <x v="36"/>
    <n v="526.24"/>
  </r>
  <r>
    <s v="AD01-9361"/>
    <x v="0"/>
    <s v="Aug"/>
    <x v="0"/>
    <x v="0"/>
    <s v="Order assembled"/>
    <x v="0"/>
    <x v="0"/>
    <x v="1"/>
    <x v="37"/>
    <n v="526.24"/>
  </r>
  <r>
    <s v="AD01-9361"/>
    <x v="0"/>
    <s v="Aug"/>
    <x v="0"/>
    <x v="0"/>
    <s v="Order assembled"/>
    <x v="0"/>
    <x v="0"/>
    <x v="1"/>
    <x v="38"/>
    <n v="972.4"/>
  </r>
  <r>
    <s v="AD01-9364"/>
    <x v="0"/>
    <s v="Aug"/>
    <x v="0"/>
    <x v="0"/>
    <s v="Order assembled"/>
    <x v="0"/>
    <x v="0"/>
    <x v="1"/>
    <x v="39"/>
    <n v="1096.81"/>
  </r>
  <r>
    <s v="AD01-9362"/>
    <x v="0"/>
    <s v="Aug"/>
    <x v="0"/>
    <x v="0"/>
    <s v="Order assembled"/>
    <x v="0"/>
    <x v="0"/>
    <x v="1"/>
    <x v="40"/>
    <n v="407.55"/>
  </r>
  <r>
    <s v="AD01-9361"/>
    <x v="0"/>
    <s v="Aug"/>
    <x v="0"/>
    <x v="0"/>
    <s v="Order assembled"/>
    <x v="0"/>
    <x v="0"/>
    <x v="1"/>
    <x v="41"/>
    <n v="398.97"/>
  </r>
  <r>
    <s v="AD01-9364"/>
    <x v="0"/>
    <s v="Aug"/>
    <x v="0"/>
    <x v="0"/>
    <s v="Order assembled"/>
    <x v="0"/>
    <x v="0"/>
    <x v="1"/>
    <x v="42"/>
    <n v="304.59000000000003"/>
  </r>
  <r>
    <s v="AD01-9364"/>
    <x v="0"/>
    <s v="Aug"/>
    <x v="0"/>
    <x v="0"/>
    <s v="Order assembled"/>
    <x v="0"/>
    <x v="0"/>
    <x v="1"/>
    <x v="43"/>
    <n v="526.24"/>
  </r>
  <r>
    <s v="AD01-9361"/>
    <x v="0"/>
    <s v="Aug"/>
    <x v="0"/>
    <x v="0"/>
    <s v="Order assembled"/>
    <x v="0"/>
    <x v="0"/>
    <x v="1"/>
    <x v="44"/>
    <n v="526.24"/>
  </r>
  <r>
    <s v="AD01-9364"/>
    <x v="0"/>
    <s v="Aug"/>
    <x v="0"/>
    <x v="0"/>
    <s v="Order assembled"/>
    <x v="0"/>
    <x v="0"/>
    <x v="1"/>
    <x v="45"/>
    <n v="310.31"/>
  </r>
  <r>
    <s v="AD01-9361"/>
    <x v="0"/>
    <s v="Aug"/>
    <x v="0"/>
    <x v="0"/>
    <s v="Order assembled"/>
    <x v="0"/>
    <x v="0"/>
    <x v="1"/>
    <x v="46"/>
    <n v="370.37"/>
  </r>
  <r>
    <s v="AD01-9364"/>
    <x v="0"/>
    <s v="Aug"/>
    <x v="0"/>
    <x v="0"/>
    <s v="Order assembled"/>
    <x v="0"/>
    <x v="0"/>
    <x v="1"/>
    <x v="47"/>
    <n v="267.40999999999997"/>
  </r>
  <r>
    <s v="AD01-9361"/>
    <x v="0"/>
    <s v="Aug"/>
    <x v="0"/>
    <x v="0"/>
    <s v="Order assembled"/>
    <x v="0"/>
    <x v="0"/>
    <x v="0"/>
    <x v="48"/>
    <n v="410.40999999999997"/>
  </r>
  <r>
    <s v="AD01-9362"/>
    <x v="0"/>
    <s v="Aug"/>
    <x v="0"/>
    <x v="0"/>
    <s v="Order assembled"/>
    <x v="1"/>
    <x v="0"/>
    <x v="0"/>
    <x v="25"/>
    <n v="401.83"/>
  </r>
  <r>
    <s v="AD01-9362"/>
    <x v="0"/>
    <s v="Aug"/>
    <x v="0"/>
    <x v="0"/>
    <s v="Order assembled"/>
    <x v="1"/>
    <x v="0"/>
    <x v="0"/>
    <x v="49"/>
    <n v="393.25"/>
  </r>
  <r>
    <s v="AD01-9361"/>
    <x v="0"/>
    <s v="Aug"/>
    <x v="0"/>
    <x v="0"/>
    <s v="Order assembled"/>
    <x v="1"/>
    <x v="0"/>
    <x v="1"/>
    <x v="50"/>
    <n v="307.45"/>
  </r>
  <r>
    <s v="AD01-9363"/>
    <x v="0"/>
    <s v="Aug"/>
    <x v="0"/>
    <x v="0"/>
    <s v="Order assembled"/>
    <x v="1"/>
    <x v="0"/>
    <x v="1"/>
    <x v="51"/>
    <n v="376.09000000000003"/>
  </r>
  <r>
    <s v="AD01-9362"/>
    <x v="0"/>
    <s v="Aug"/>
    <x v="0"/>
    <x v="0"/>
    <s v="Order assembled"/>
    <x v="1"/>
    <x v="0"/>
    <x v="1"/>
    <x v="52"/>
    <n v="1109.68"/>
  </r>
  <r>
    <s v="AD01-9361"/>
    <x v="0"/>
    <s v="Dec"/>
    <x v="0"/>
    <x v="0"/>
    <s v="Order assembled"/>
    <x v="1"/>
    <x v="0"/>
    <x v="0"/>
    <x v="53"/>
    <n v="526.24"/>
  </r>
  <r>
    <s v="AD01-9361"/>
    <x v="0"/>
    <s v="Dec"/>
    <x v="0"/>
    <x v="0"/>
    <s v="Order assembled"/>
    <x v="1"/>
    <x v="0"/>
    <x v="0"/>
    <x v="54"/>
    <n v="526.24"/>
  </r>
  <r>
    <s v="AD01-9361"/>
    <x v="0"/>
    <s v="Dec"/>
    <x v="0"/>
    <x v="0"/>
    <s v="Order assembled"/>
    <x v="1"/>
    <x v="0"/>
    <x v="0"/>
    <x v="29"/>
    <n v="526.24"/>
  </r>
  <r>
    <s v="AD01-9361"/>
    <x v="0"/>
    <s v="Dec"/>
    <x v="0"/>
    <x v="0"/>
    <s v="Order assembled"/>
    <x v="1"/>
    <x v="0"/>
    <x v="1"/>
    <x v="55"/>
    <n v="277.42"/>
  </r>
  <r>
    <s v="AD01-9362"/>
    <x v="0"/>
    <s v="Dec"/>
    <x v="0"/>
    <x v="0"/>
    <s v="Order assembled"/>
    <x v="1"/>
    <x v="0"/>
    <x v="1"/>
    <x v="56"/>
    <n v="346.06"/>
  </r>
  <r>
    <s v="AD01-9362"/>
    <x v="0"/>
    <s v="Dec"/>
    <x v="0"/>
    <x v="0"/>
    <s v="Order assembled"/>
    <x v="1"/>
    <x v="0"/>
    <x v="1"/>
    <x v="57"/>
    <n v="234.51999999999998"/>
  </r>
  <r>
    <s v="AD01-9364"/>
    <x v="0"/>
    <s v="Dec"/>
    <x v="0"/>
    <x v="0"/>
    <s v="Order assembled"/>
    <x v="1"/>
    <x v="0"/>
    <x v="1"/>
    <x v="4"/>
    <n v="340.34000000000003"/>
  </r>
  <r>
    <s v="AD01-9361"/>
    <x v="0"/>
    <s v="Dec"/>
    <x v="0"/>
    <x v="0"/>
    <s v="Order assembled"/>
    <x v="1"/>
    <x v="0"/>
    <x v="1"/>
    <x v="58"/>
    <n v="237.38"/>
  </r>
  <r>
    <s v="AD01-9364"/>
    <x v="0"/>
    <s v="Dec"/>
    <x v="0"/>
    <x v="0"/>
    <s v="Order assembled"/>
    <x v="1"/>
    <x v="0"/>
    <x v="0"/>
    <x v="59"/>
    <n v="526.24"/>
  </r>
  <r>
    <s v="AD01-9361"/>
    <x v="0"/>
    <s v="Dec"/>
    <x v="0"/>
    <x v="0"/>
    <s v="Order assembled"/>
    <x v="1"/>
    <x v="0"/>
    <x v="0"/>
    <x v="60"/>
    <n v="526.24"/>
  </r>
  <r>
    <s v="AD01-9362"/>
    <x v="0"/>
    <s v="Dec"/>
    <x v="0"/>
    <x v="0"/>
    <s v="Order assembled"/>
    <x v="1"/>
    <x v="0"/>
    <x v="1"/>
    <x v="61"/>
    <n v="978.12"/>
  </r>
  <r>
    <s v="AD01-9363"/>
    <x v="0"/>
    <s v="Dec"/>
    <x v="0"/>
    <x v="0"/>
    <s v="Order assembled"/>
    <x v="1"/>
    <x v="0"/>
    <x v="1"/>
    <x v="62"/>
    <n v="1025.31"/>
  </r>
  <r>
    <s v="AD01-9362"/>
    <x v="0"/>
    <s v="Dec"/>
    <x v="0"/>
    <x v="0"/>
    <s v="Order assembled"/>
    <x v="1"/>
    <x v="0"/>
    <x v="1"/>
    <x v="63"/>
    <n v="1101.0999999999999"/>
  </r>
  <r>
    <s v="AD01-9362"/>
    <x v="0"/>
    <s v="Dec"/>
    <x v="0"/>
    <x v="0"/>
    <s v="Order assembled"/>
    <x v="1"/>
    <x v="0"/>
    <x v="0"/>
    <x v="64"/>
    <n v="321.75"/>
  </r>
  <r>
    <s v="AD01-9363"/>
    <x v="0"/>
    <s v="Dec"/>
    <x v="0"/>
    <x v="0"/>
    <s v="Order assembled"/>
    <x v="1"/>
    <x v="0"/>
    <x v="0"/>
    <x v="65"/>
    <n v="313.17"/>
  </r>
  <r>
    <s v="AD01-9364"/>
    <x v="0"/>
    <s v="Dec"/>
    <x v="0"/>
    <x v="0"/>
    <s v="Order assembled"/>
    <x v="1"/>
    <x v="0"/>
    <x v="0"/>
    <x v="42"/>
    <n v="304.59000000000003"/>
  </r>
  <r>
    <s v="AD01-9362"/>
    <x v="0"/>
    <s v="Dec"/>
    <x v="0"/>
    <x v="0"/>
    <s v="Order assembled"/>
    <x v="1"/>
    <x v="0"/>
    <x v="1"/>
    <x v="66"/>
    <n v="278.85000000000002"/>
  </r>
  <r>
    <s v="AD01-9362"/>
    <x v="0"/>
    <s v="Dec"/>
    <x v="0"/>
    <x v="0"/>
    <s v="Order assembled"/>
    <x v="1"/>
    <x v="0"/>
    <x v="1"/>
    <x v="67"/>
    <n v="526.24"/>
  </r>
  <r>
    <s v="AD01-9361"/>
    <x v="0"/>
    <s v="Dec"/>
    <x v="0"/>
    <x v="0"/>
    <s v="Order assembled"/>
    <x v="1"/>
    <x v="0"/>
    <x v="1"/>
    <x v="68"/>
    <n v="275.99"/>
  </r>
  <r>
    <s v="AD01-9364"/>
    <x v="0"/>
    <s v="Dec"/>
    <x v="0"/>
    <x v="0"/>
    <s v="Order assembled"/>
    <x v="1"/>
    <x v="0"/>
    <x v="1"/>
    <x v="69"/>
    <n v="344.63"/>
  </r>
  <r>
    <s v="AD01-9361"/>
    <x v="0"/>
    <s v="Dec"/>
    <x v="0"/>
    <x v="0"/>
    <s v="Order assembled"/>
    <x v="1"/>
    <x v="0"/>
    <x v="0"/>
    <x v="70"/>
    <n v="316.02999999999997"/>
  </r>
  <r>
    <s v="AD01-9362"/>
    <x v="0"/>
    <s v="Dec"/>
    <x v="0"/>
    <x v="0"/>
    <s v="Order assembled"/>
    <x v="1"/>
    <x v="0"/>
    <x v="0"/>
    <x v="50"/>
    <n v="307.45"/>
  </r>
  <r>
    <s v="AD01-9362"/>
    <x v="0"/>
    <s v="Dec"/>
    <x v="0"/>
    <x v="0"/>
    <s v="Order assembled"/>
    <x v="1"/>
    <x v="0"/>
    <x v="1"/>
    <x v="71"/>
    <n v="273.13"/>
  </r>
  <r>
    <s v="AD01-9361"/>
    <x v="0"/>
    <s v="Dec"/>
    <x v="0"/>
    <x v="0"/>
    <s v="Order assembled"/>
    <x v="1"/>
    <x v="0"/>
    <x v="1"/>
    <x v="72"/>
    <n v="341.77"/>
  </r>
  <r>
    <s v="AD01-9361"/>
    <x v="0"/>
    <s v="Dec"/>
    <x v="0"/>
    <x v="0"/>
    <s v="Order assembled"/>
    <x v="1"/>
    <x v="0"/>
    <x v="1"/>
    <x v="73"/>
    <n v="1113.97"/>
  </r>
  <r>
    <s v="AD01-9362"/>
    <x v="0"/>
    <s v="Feb"/>
    <x v="0"/>
    <x v="0"/>
    <s v="Order assembled"/>
    <x v="1"/>
    <x v="0"/>
    <x v="1"/>
    <x v="74"/>
    <n v="354.64"/>
  </r>
  <r>
    <s v="AD01-9364"/>
    <x v="0"/>
    <s v="Feb"/>
    <x v="0"/>
    <x v="0"/>
    <s v="Order assembled"/>
    <x v="1"/>
    <x v="0"/>
    <x v="1"/>
    <x v="54"/>
    <n v="311.74"/>
  </r>
  <r>
    <s v="AD01-9362"/>
    <x v="0"/>
    <s v="Feb"/>
    <x v="0"/>
    <x v="0"/>
    <s v="Order assembled"/>
    <x v="1"/>
    <x v="0"/>
    <x v="1"/>
    <x v="75"/>
    <n v="348.92"/>
  </r>
  <r>
    <s v="AD01-9364"/>
    <x v="0"/>
    <s v="Feb"/>
    <x v="0"/>
    <x v="0"/>
    <s v="Order assembled"/>
    <x v="1"/>
    <x v="0"/>
    <x v="1"/>
    <x v="76"/>
    <n v="417.56"/>
  </r>
  <r>
    <s v="AD01-9362"/>
    <x v="0"/>
    <s v="Feb"/>
    <x v="0"/>
    <x v="0"/>
    <s v="Order assembled"/>
    <x v="1"/>
    <x v="0"/>
    <x v="1"/>
    <x v="77"/>
    <n v="314.60000000000002"/>
  </r>
  <r>
    <s v="AD01-9364"/>
    <x v="0"/>
    <s v="Feb"/>
    <x v="0"/>
    <x v="0"/>
    <s v="Order assembled"/>
    <x v="1"/>
    <x v="0"/>
    <x v="1"/>
    <x v="78"/>
    <n v="965.25"/>
  </r>
  <r>
    <s v="AD01-9362"/>
    <x v="0"/>
    <s v="Feb"/>
    <x v="0"/>
    <x v="0"/>
    <s v="Order assembled"/>
    <x v="1"/>
    <x v="0"/>
    <x v="1"/>
    <x v="79"/>
    <n v="1012.44"/>
  </r>
  <r>
    <s v="AD01-9361"/>
    <x v="0"/>
    <s v="Feb"/>
    <x v="0"/>
    <x v="0"/>
    <s v="Order assembled"/>
    <x v="1"/>
    <x v="0"/>
    <x v="1"/>
    <x v="80"/>
    <n v="1088.23"/>
  </r>
  <r>
    <s v="AD01-9361"/>
    <x v="0"/>
    <s v="Feb"/>
    <x v="0"/>
    <x v="0"/>
    <s v="Order assembled"/>
    <x v="1"/>
    <x v="0"/>
    <x v="1"/>
    <x v="81"/>
    <n v="356.07"/>
  </r>
  <r>
    <s v="AD01-9362"/>
    <x v="0"/>
    <s v="Feb"/>
    <x v="0"/>
    <x v="0"/>
    <s v="Order assembled"/>
    <x v="1"/>
    <x v="0"/>
    <x v="1"/>
    <x v="82"/>
    <n v="526.24"/>
  </r>
  <r>
    <s v="AD01-9364"/>
    <x v="0"/>
    <s v="Feb"/>
    <x v="0"/>
    <x v="0"/>
    <s v="Order assembled"/>
    <x v="1"/>
    <x v="0"/>
    <x v="1"/>
    <x v="83"/>
    <n v="526.24"/>
  </r>
  <r>
    <s v="AD01-9362"/>
    <x v="0"/>
    <s v="Feb"/>
    <x v="0"/>
    <x v="0"/>
    <s v="Order assembled"/>
    <x v="1"/>
    <x v="0"/>
    <x v="1"/>
    <x v="84"/>
    <n v="353.21"/>
  </r>
  <r>
    <s v="AD01-9362"/>
    <x v="0"/>
    <s v="Feb"/>
    <x v="0"/>
    <x v="0"/>
    <s v="Order assembled"/>
    <x v="1"/>
    <x v="0"/>
    <x v="1"/>
    <x v="85"/>
    <n v="421.85"/>
  </r>
  <r>
    <s v="AD01-9362"/>
    <x v="0"/>
    <s v="Feb"/>
    <x v="0"/>
    <x v="0"/>
    <s v="Order assembled"/>
    <x v="1"/>
    <x v="0"/>
    <x v="1"/>
    <x v="45"/>
    <n v="310.31"/>
  </r>
  <r>
    <s v="AD01-9364"/>
    <x v="0"/>
    <s v="Feb"/>
    <x v="0"/>
    <x v="0"/>
    <s v="Order assembled"/>
    <x v="1"/>
    <x v="0"/>
    <x v="1"/>
    <x v="86"/>
    <n v="350.35"/>
  </r>
  <r>
    <s v="AD01-9361"/>
    <x v="0"/>
    <s v="Feb"/>
    <x v="0"/>
    <x v="0"/>
    <s v="Order assembled"/>
    <x v="1"/>
    <x v="0"/>
    <x v="1"/>
    <x v="87"/>
    <n v="418.99"/>
  </r>
  <r>
    <s v="AD01-9362"/>
    <x v="0"/>
    <s v="Feb"/>
    <x v="0"/>
    <x v="0"/>
    <s v="Order assembled"/>
    <x v="1"/>
    <x v="0"/>
    <x v="1"/>
    <x v="63"/>
    <n v="1101.0999999999999"/>
  </r>
  <r>
    <s v="AD01-9361"/>
    <x v="0"/>
    <s v="Jan"/>
    <x v="0"/>
    <x v="0"/>
    <s v="Order assembled"/>
    <x v="1"/>
    <x v="0"/>
    <x v="1"/>
    <x v="88"/>
    <n v="388.62"/>
  </r>
  <r>
    <s v="AD01-9361"/>
    <x v="0"/>
    <s v="Jan"/>
    <x v="0"/>
    <x v="0"/>
    <s v="Order assembled"/>
    <x v="1"/>
    <x v="0"/>
    <x v="1"/>
    <x v="89"/>
    <n v="423.28"/>
  </r>
  <r>
    <s v="AD01-9364"/>
    <x v="0"/>
    <s v="Jan"/>
    <x v="0"/>
    <x v="0"/>
    <s v="Order assembled"/>
    <x v="1"/>
    <x v="0"/>
    <x v="1"/>
    <x v="53"/>
    <n v="320.32"/>
  </r>
  <r>
    <s v="AD01-9362"/>
    <x v="0"/>
    <s v="Jan"/>
    <x v="0"/>
    <x v="0"/>
    <s v="Order assembled"/>
    <x v="1"/>
    <x v="0"/>
    <x v="0"/>
    <x v="90"/>
    <n v="529.1"/>
  </r>
  <r>
    <s v="AD01-9362"/>
    <x v="0"/>
    <s v="Jan"/>
    <x v="0"/>
    <x v="0"/>
    <s v="Order assembled"/>
    <x v="1"/>
    <x v="0"/>
    <x v="1"/>
    <x v="91"/>
    <n v="357.5"/>
  </r>
  <r>
    <s v="AD01-9362"/>
    <x v="0"/>
    <s v="Jan"/>
    <x v="0"/>
    <x v="0"/>
    <s v="Order assembled"/>
    <x v="1"/>
    <x v="0"/>
    <x v="1"/>
    <x v="92"/>
    <n v="426.14"/>
  </r>
  <r>
    <s v="AD01-9364"/>
    <x v="0"/>
    <s v="Jan"/>
    <x v="0"/>
    <x v="0"/>
    <s v="Order assembled"/>
    <x v="1"/>
    <x v="0"/>
    <x v="1"/>
    <x v="93"/>
    <n v="323.18"/>
  </r>
  <r>
    <s v="AD01-9364"/>
    <x v="0"/>
    <s v="Jan"/>
    <x v="0"/>
    <x v="0"/>
    <s v="Order assembled"/>
    <x v="1"/>
    <x v="0"/>
    <x v="0"/>
    <x v="94"/>
    <n v="526.24"/>
  </r>
  <r>
    <s v="AD01-9363"/>
    <x v="0"/>
    <s v="Jan"/>
    <x v="0"/>
    <x v="0"/>
    <s v="Order assembled"/>
    <x v="1"/>
    <x v="0"/>
    <x v="1"/>
    <x v="95"/>
    <n v="963.81999999999994"/>
  </r>
  <r>
    <s v="AD01-9364"/>
    <x v="0"/>
    <s v="Jan"/>
    <x v="0"/>
    <x v="0"/>
    <s v="Order assembled"/>
    <x v="1"/>
    <x v="0"/>
    <x v="1"/>
    <x v="96"/>
    <n v="1011.01"/>
  </r>
  <r>
    <s v="AD01-9361"/>
    <x v="0"/>
    <s v="Jan"/>
    <x v="0"/>
    <x v="0"/>
    <s v="Order assembled"/>
    <x v="1"/>
    <x v="0"/>
    <x v="1"/>
    <x v="97"/>
    <n v="526.24"/>
  </r>
  <r>
    <s v="AD01-9363"/>
    <x v="0"/>
    <s v="Jan"/>
    <x v="0"/>
    <x v="0"/>
    <s v="Order assembled"/>
    <x v="1"/>
    <x v="0"/>
    <x v="1"/>
    <x v="98"/>
    <n v="526.24"/>
  </r>
  <r>
    <s v="AD01-9364"/>
    <x v="0"/>
    <s v="Jan"/>
    <x v="0"/>
    <x v="0"/>
    <s v="Order assembled"/>
    <x v="1"/>
    <x v="0"/>
    <x v="1"/>
    <x v="99"/>
    <n v="361.78999999999996"/>
  </r>
  <r>
    <s v="AD01-9362"/>
    <x v="0"/>
    <s v="Jan"/>
    <x v="0"/>
    <x v="0"/>
    <s v="Order assembled"/>
    <x v="1"/>
    <x v="0"/>
    <x v="1"/>
    <x v="100"/>
    <n v="318.89"/>
  </r>
  <r>
    <s v="AD01-9361"/>
    <x v="0"/>
    <s v="Jan"/>
    <x v="0"/>
    <x v="0"/>
    <s v="Order assembled"/>
    <x v="1"/>
    <x v="0"/>
    <x v="0"/>
    <x v="101"/>
    <n v="1248.3899999999999"/>
  </r>
  <r>
    <s v="AD01-9364"/>
    <x v="0"/>
    <s v="Jan"/>
    <x v="0"/>
    <x v="0"/>
    <s v="Order assembled"/>
    <x v="1"/>
    <x v="0"/>
    <x v="1"/>
    <x v="102"/>
    <n v="358.93"/>
  </r>
  <r>
    <s v="AD01-9361"/>
    <x v="0"/>
    <s v="Jan"/>
    <x v="0"/>
    <x v="0"/>
    <s v="Order assembled"/>
    <x v="1"/>
    <x v="0"/>
    <x v="1"/>
    <x v="103"/>
    <n v="427.57"/>
  </r>
  <r>
    <s v="AD01-9361"/>
    <x v="0"/>
    <s v="Jan"/>
    <x v="0"/>
    <x v="0"/>
    <s v="Order assembled"/>
    <x v="1"/>
    <x v="0"/>
    <x v="1"/>
    <x v="104"/>
    <n v="1099.67"/>
  </r>
  <r>
    <s v="AD01-9361"/>
    <x v="0"/>
    <s v="Jul"/>
    <x v="0"/>
    <x v="0"/>
    <s v="Order assembled"/>
    <x v="1"/>
    <x v="0"/>
    <x v="0"/>
    <x v="105"/>
    <n v="431.86"/>
  </r>
  <r>
    <s v="AD01-9362"/>
    <x v="0"/>
    <s v="Jul"/>
    <x v="0"/>
    <x v="0"/>
    <s v="Order assembled"/>
    <x v="1"/>
    <x v="0"/>
    <x v="0"/>
    <x v="89"/>
    <n v="423.28"/>
  </r>
  <r>
    <s v="AD01-9362"/>
    <x v="0"/>
    <s v="Jul"/>
    <x v="0"/>
    <x v="0"/>
    <s v="Order assembled"/>
    <x v="1"/>
    <x v="0"/>
    <x v="1"/>
    <x v="54"/>
    <n v="311.74"/>
  </r>
  <r>
    <s v="AD01-9361"/>
    <x v="0"/>
    <s v="Jul"/>
    <x v="0"/>
    <x v="0"/>
    <s v="Order assembled"/>
    <x v="1"/>
    <x v="0"/>
    <x v="1"/>
    <x v="106"/>
    <n v="380.38"/>
  </r>
  <r>
    <s v="AD01-9362"/>
    <x v="0"/>
    <s v="Jul"/>
    <x v="0"/>
    <x v="0"/>
    <s v="Order assembled"/>
    <x v="1"/>
    <x v="0"/>
    <x v="1"/>
    <x v="55"/>
    <n v="277.42"/>
  </r>
  <r>
    <s v="AD01-9361"/>
    <x v="0"/>
    <s v="Jul"/>
    <x v="0"/>
    <x v="0"/>
    <s v="Order assembled"/>
    <x v="1"/>
    <x v="0"/>
    <x v="1"/>
    <x v="77"/>
    <n v="314.60000000000002"/>
  </r>
  <r>
    <s v="AD01-9361"/>
    <x v="0"/>
    <s v="Jul"/>
    <x v="0"/>
    <x v="0"/>
    <s v="Order assembled"/>
    <x v="1"/>
    <x v="0"/>
    <x v="1"/>
    <x v="107"/>
    <n v="383.24"/>
  </r>
  <r>
    <s v="AD01-9362"/>
    <x v="0"/>
    <s v="Jul"/>
    <x v="0"/>
    <x v="0"/>
    <s v="Order assembled"/>
    <x v="1"/>
    <x v="0"/>
    <x v="1"/>
    <x v="108"/>
    <n v="526.24"/>
  </r>
  <r>
    <s v="AD01-9364"/>
    <x v="0"/>
    <s v="Jul"/>
    <x v="0"/>
    <x v="0"/>
    <s v="Order assembled"/>
    <x v="1"/>
    <x v="0"/>
    <x v="1"/>
    <x v="109"/>
    <n v="526.24"/>
  </r>
  <r>
    <s v="AD01-9362"/>
    <x v="0"/>
    <s v="Jul"/>
    <x v="0"/>
    <x v="0"/>
    <s v="Order assembled"/>
    <x v="1"/>
    <x v="0"/>
    <x v="1"/>
    <x v="110"/>
    <n v="526.24"/>
  </r>
  <r>
    <s v="AD01-9362"/>
    <x v="0"/>
    <s v="Jul"/>
    <x v="0"/>
    <x v="0"/>
    <s v="Order assembled"/>
    <x v="1"/>
    <x v="0"/>
    <x v="1"/>
    <x v="111"/>
    <n v="970.97"/>
  </r>
  <r>
    <s v="AD01-9362"/>
    <x v="0"/>
    <s v="Jul"/>
    <x v="0"/>
    <x v="0"/>
    <s v="Order assembled"/>
    <x v="1"/>
    <x v="0"/>
    <x v="1"/>
    <x v="112"/>
    <n v="1019.5899999999999"/>
  </r>
  <r>
    <s v="AD01-9364"/>
    <x v="0"/>
    <s v="Jul"/>
    <x v="0"/>
    <x v="0"/>
    <s v="Order assembled"/>
    <x v="1"/>
    <x v="0"/>
    <x v="1"/>
    <x v="113"/>
    <n v="1095.3800000000001"/>
  </r>
  <r>
    <s v="AD01-9361"/>
    <x v="0"/>
    <s v="Jul"/>
    <x v="0"/>
    <x v="0"/>
    <s v="Order assembled"/>
    <x v="1"/>
    <x v="0"/>
    <x v="1"/>
    <x v="114"/>
    <n v="433.28999999999996"/>
  </r>
  <r>
    <s v="AD01-9361"/>
    <x v="0"/>
    <s v="Jul"/>
    <x v="0"/>
    <x v="0"/>
    <s v="Order assembled"/>
    <x v="1"/>
    <x v="0"/>
    <x v="1"/>
    <x v="115"/>
    <n v="424.71"/>
  </r>
  <r>
    <s v="AD01-9362"/>
    <x v="0"/>
    <s v="Jul"/>
    <x v="0"/>
    <x v="0"/>
    <s v="Order assembled"/>
    <x v="1"/>
    <x v="0"/>
    <x v="1"/>
    <x v="116"/>
    <n v="416.13"/>
  </r>
  <r>
    <s v="AD01-9364"/>
    <x v="0"/>
    <s v="Jul"/>
    <x v="0"/>
    <x v="0"/>
    <s v="Order assembled"/>
    <x v="1"/>
    <x v="0"/>
    <x v="1"/>
    <x v="65"/>
    <n v="313.17"/>
  </r>
  <r>
    <s v="AD01-9364"/>
    <x v="0"/>
    <s v="Jul"/>
    <x v="0"/>
    <x v="0"/>
    <s v="Order assembled"/>
    <x v="1"/>
    <x v="0"/>
    <x v="1"/>
    <x v="117"/>
    <n v="526.24"/>
  </r>
  <r>
    <s v="AD01-9362"/>
    <x v="0"/>
    <s v="Jul"/>
    <x v="0"/>
    <x v="0"/>
    <s v="Order assembled"/>
    <x v="1"/>
    <x v="0"/>
    <x v="1"/>
    <x v="118"/>
    <n v="526.24"/>
  </r>
  <r>
    <s v="AD01-9362"/>
    <x v="0"/>
    <s v="Jul"/>
    <x v="0"/>
    <x v="0"/>
    <s v="Order assembled"/>
    <x v="1"/>
    <x v="0"/>
    <x v="1"/>
    <x v="119"/>
    <n v="378.95"/>
  </r>
  <r>
    <s v="AD01-9361"/>
    <x v="0"/>
    <s v="Jul"/>
    <x v="0"/>
    <x v="0"/>
    <s v="Order assembled"/>
    <x v="1"/>
    <x v="0"/>
    <x v="1"/>
    <x v="68"/>
    <n v="275.99"/>
  </r>
  <r>
    <s v="AD01-9364"/>
    <x v="0"/>
    <s v="Jul"/>
    <x v="0"/>
    <x v="0"/>
    <s v="Order assembled"/>
    <x v="1"/>
    <x v="0"/>
    <x v="0"/>
    <x v="120"/>
    <n v="1264.1199999999999"/>
  </r>
  <r>
    <s v="AD01-9362"/>
    <x v="0"/>
    <s v="Jul"/>
    <x v="0"/>
    <x v="0"/>
    <s v="Order assembled"/>
    <x v="1"/>
    <x v="0"/>
    <x v="0"/>
    <x v="121"/>
    <n v="1265.55"/>
  </r>
  <r>
    <s v="AD01-9362"/>
    <x v="0"/>
    <s v="Jul"/>
    <x v="0"/>
    <x v="0"/>
    <s v="Order assembled"/>
    <x v="1"/>
    <x v="0"/>
    <x v="0"/>
    <x v="122"/>
    <n v="1266.98"/>
  </r>
  <r>
    <s v="AD01-9362"/>
    <x v="0"/>
    <s v="Jul"/>
    <x v="0"/>
    <x v="0"/>
    <s v="Order assembled"/>
    <x v="1"/>
    <x v="0"/>
    <x v="1"/>
    <x v="70"/>
    <n v="316.02999999999997"/>
  </r>
  <r>
    <s v="AD01-9362"/>
    <x v="0"/>
    <s v="Jul"/>
    <x v="0"/>
    <x v="0"/>
    <s v="Order assembled"/>
    <x v="1"/>
    <x v="0"/>
    <x v="1"/>
    <x v="123"/>
    <n v="384.67"/>
  </r>
  <r>
    <s v="AD01-9362"/>
    <x v="0"/>
    <s v="Jul"/>
    <x v="0"/>
    <x v="0"/>
    <s v="Order assembled"/>
    <x v="1"/>
    <x v="0"/>
    <x v="1"/>
    <x v="124"/>
    <n v="1108.25"/>
  </r>
  <r>
    <s v="AD01-9361"/>
    <x v="0"/>
    <s v="Jun"/>
    <x v="0"/>
    <x v="0"/>
    <s v="Order assembled"/>
    <x v="1"/>
    <x v="0"/>
    <x v="0"/>
    <x v="125"/>
    <n v="457.6"/>
  </r>
  <r>
    <s v="AD01-9362"/>
    <x v="0"/>
    <s v="Jun"/>
    <x v="0"/>
    <x v="0"/>
    <s v="Order assembled"/>
    <x v="1"/>
    <x v="0"/>
    <x v="0"/>
    <x v="126"/>
    <n v="449.02"/>
  </r>
  <r>
    <s v="AD01-9361"/>
    <x v="0"/>
    <s v="Jun"/>
    <x v="0"/>
    <x v="0"/>
    <s v="Order assembled"/>
    <x v="1"/>
    <x v="0"/>
    <x v="0"/>
    <x v="127"/>
    <n v="440.44"/>
  </r>
  <r>
    <s v="AD01-9362"/>
    <x v="0"/>
    <s v="Jun"/>
    <x v="0"/>
    <x v="0"/>
    <s v="Order assembled"/>
    <x v="1"/>
    <x v="0"/>
    <x v="1"/>
    <x v="53"/>
    <n v="320.32"/>
  </r>
  <r>
    <s v="AD01-9361"/>
    <x v="0"/>
    <s v="Jun"/>
    <x v="0"/>
    <x v="0"/>
    <s v="Order assembled"/>
    <x v="1"/>
    <x v="0"/>
    <x v="1"/>
    <x v="128"/>
    <n v="388.96"/>
  </r>
  <r>
    <s v="AD01-9364"/>
    <x v="0"/>
    <s v="Jun"/>
    <x v="0"/>
    <x v="0"/>
    <s v="Order assembled"/>
    <x v="1"/>
    <x v="0"/>
    <x v="1"/>
    <x v="129"/>
    <n v="286"/>
  </r>
  <r>
    <s v="AD01-9362"/>
    <x v="0"/>
    <s v="Jun"/>
    <x v="0"/>
    <x v="0"/>
    <s v="Order assembled"/>
    <x v="1"/>
    <x v="0"/>
    <x v="1"/>
    <x v="93"/>
    <n v="323.18"/>
  </r>
  <r>
    <s v="AD01-9362"/>
    <x v="0"/>
    <s v="Jun"/>
    <x v="0"/>
    <x v="0"/>
    <s v="Order assembled"/>
    <x v="1"/>
    <x v="0"/>
    <x v="1"/>
    <x v="130"/>
    <n v="391.82"/>
  </r>
  <r>
    <s v="AD01-9362"/>
    <x v="0"/>
    <s v="Jun"/>
    <x v="0"/>
    <x v="0"/>
    <s v="Order assembled"/>
    <x v="1"/>
    <x v="0"/>
    <x v="1"/>
    <x v="131"/>
    <n v="280.27999999999997"/>
  </r>
  <r>
    <s v="AD01-9361"/>
    <x v="0"/>
    <s v="Jun"/>
    <x v="0"/>
    <x v="0"/>
    <s v="Order assembled"/>
    <x v="1"/>
    <x v="0"/>
    <x v="1"/>
    <x v="132"/>
    <n v="526.24"/>
  </r>
  <r>
    <s v="AD01-9365"/>
    <x v="0"/>
    <s v="Jun"/>
    <x v="0"/>
    <x v="0"/>
    <s v="Order assembled"/>
    <x v="1"/>
    <x v="0"/>
    <x v="1"/>
    <x v="133"/>
    <n v="526.24"/>
  </r>
  <r>
    <s v="AD01-9364"/>
    <x v="0"/>
    <s v="Jun"/>
    <x v="0"/>
    <x v="0"/>
    <s v="Order assembled"/>
    <x v="1"/>
    <x v="0"/>
    <x v="1"/>
    <x v="134"/>
    <n v="1018.16"/>
  </r>
  <r>
    <s v="AD01-9361"/>
    <x v="0"/>
    <s v="Jun"/>
    <x v="0"/>
    <x v="0"/>
    <s v="Order assembled"/>
    <x v="1"/>
    <x v="0"/>
    <x v="1"/>
    <x v="135"/>
    <n v="1093.95"/>
  </r>
  <r>
    <s v="AD01-9362"/>
    <x v="0"/>
    <s v="Jun"/>
    <x v="0"/>
    <x v="0"/>
    <s v="Order assembled"/>
    <x v="1"/>
    <x v="0"/>
    <x v="0"/>
    <x v="136"/>
    <n v="459.03"/>
  </r>
  <r>
    <s v="AD01-9361"/>
    <x v="0"/>
    <s v="Jun"/>
    <x v="0"/>
    <x v="0"/>
    <s v="Order assembled"/>
    <x v="1"/>
    <x v="0"/>
    <x v="1"/>
    <x v="137"/>
    <n v="450.45"/>
  </r>
  <r>
    <s v="AD01-9364"/>
    <x v="0"/>
    <s v="Jun"/>
    <x v="0"/>
    <x v="0"/>
    <s v="Order assembled"/>
    <x v="1"/>
    <x v="0"/>
    <x v="1"/>
    <x v="138"/>
    <n v="441.87"/>
  </r>
  <r>
    <s v="AD01-9361"/>
    <x v="0"/>
    <s v="Jun"/>
    <x v="0"/>
    <x v="0"/>
    <s v="Order assembled"/>
    <x v="1"/>
    <x v="0"/>
    <x v="1"/>
    <x v="64"/>
    <n v="321.75"/>
  </r>
  <r>
    <s v="AD01-9361"/>
    <x v="0"/>
    <s v="Jun"/>
    <x v="0"/>
    <x v="0"/>
    <s v="Order assembled"/>
    <x v="1"/>
    <x v="0"/>
    <x v="1"/>
    <x v="139"/>
    <n v="526.24"/>
  </r>
  <r>
    <s v="AD01-9362"/>
    <x v="0"/>
    <s v="Jun"/>
    <x v="0"/>
    <x v="0"/>
    <s v="Order assembled"/>
    <x v="1"/>
    <x v="0"/>
    <x v="1"/>
    <x v="100"/>
    <n v="318.89"/>
  </r>
  <r>
    <s v="AD01-9365"/>
    <x v="0"/>
    <s v="Jun"/>
    <x v="0"/>
    <x v="0"/>
    <s v="Order assembled"/>
    <x v="1"/>
    <x v="0"/>
    <x v="1"/>
    <x v="140"/>
    <n v="387.53"/>
  </r>
  <r>
    <s v="AD01-9362"/>
    <x v="0"/>
    <s v="Jun"/>
    <x v="0"/>
    <x v="0"/>
    <s v="Order assembled"/>
    <x v="1"/>
    <x v="0"/>
    <x v="1"/>
    <x v="141"/>
    <n v="284.57"/>
  </r>
  <r>
    <s v="AD01-9364"/>
    <x v="0"/>
    <s v="Jun"/>
    <x v="0"/>
    <x v="0"/>
    <s v="Order assembled"/>
    <x v="1"/>
    <x v="0"/>
    <x v="0"/>
    <x v="142"/>
    <n v="1261.26"/>
  </r>
  <r>
    <s v="AD01-9361"/>
    <x v="0"/>
    <s v="Jun"/>
    <x v="0"/>
    <x v="0"/>
    <s v="Order assembled"/>
    <x v="1"/>
    <x v="0"/>
    <x v="0"/>
    <x v="143"/>
    <n v="1262.69"/>
  </r>
  <r>
    <s v="AD01-9364"/>
    <x v="0"/>
    <s v="Jun"/>
    <x v="0"/>
    <x v="0"/>
    <s v="Order assembled"/>
    <x v="1"/>
    <x v="0"/>
    <x v="1"/>
    <x v="144"/>
    <n v="324.61"/>
  </r>
  <r>
    <s v="AD01-9362"/>
    <x v="0"/>
    <s v="Jun"/>
    <x v="0"/>
    <x v="0"/>
    <s v="Order assembled"/>
    <x v="1"/>
    <x v="0"/>
    <x v="1"/>
    <x v="145"/>
    <n v="1106.82"/>
  </r>
  <r>
    <s v="AD01-9364"/>
    <x v="0"/>
    <s v="Mar"/>
    <x v="0"/>
    <x v="0"/>
    <s v="Order assembled"/>
    <x v="1"/>
    <x v="0"/>
    <x v="1"/>
    <x v="146"/>
    <n v="526.24"/>
  </r>
  <r>
    <s v="AD01-9364"/>
    <x v="0"/>
    <s v="Mar"/>
    <x v="0"/>
    <x v="0"/>
    <s v="Order assembled"/>
    <x v="1"/>
    <x v="0"/>
    <x v="0"/>
    <x v="147"/>
    <n v="517.66"/>
  </r>
  <r>
    <s v="AD01-9364"/>
    <x v="0"/>
    <s v="Mar"/>
    <x v="0"/>
    <x v="0"/>
    <s v="Order assembled"/>
    <x v="1"/>
    <x v="0"/>
    <x v="0"/>
    <x v="148"/>
    <n v="509.08"/>
  </r>
  <r>
    <s v="AD01-9363"/>
    <x v="0"/>
    <s v="Mar"/>
    <x v="0"/>
    <x v="0"/>
    <s v="Order assembled"/>
    <x v="1"/>
    <x v="0"/>
    <x v="1"/>
    <x v="56"/>
    <n v="346.06"/>
  </r>
  <r>
    <s v="AD01-9361"/>
    <x v="0"/>
    <s v="Mar"/>
    <x v="0"/>
    <x v="0"/>
    <s v="Order assembled"/>
    <x v="1"/>
    <x v="0"/>
    <x v="1"/>
    <x v="27"/>
    <n v="414.7"/>
  </r>
  <r>
    <s v="AD01-9362"/>
    <x v="0"/>
    <s v="Mar"/>
    <x v="0"/>
    <x v="0"/>
    <s v="Order assembled"/>
    <x v="1"/>
    <x v="0"/>
    <x v="1"/>
    <x v="29"/>
    <n v="303.15999999999997"/>
  </r>
  <r>
    <s v="AD01-9365"/>
    <x v="0"/>
    <s v="Mar"/>
    <x v="0"/>
    <x v="0"/>
    <s v="Order assembled"/>
    <x v="1"/>
    <x v="0"/>
    <x v="1"/>
    <x v="149"/>
    <n v="408.98"/>
  </r>
  <r>
    <s v="AD01-9363"/>
    <x v="0"/>
    <s v="Mar"/>
    <x v="0"/>
    <x v="0"/>
    <s v="Order assembled"/>
    <x v="1"/>
    <x v="0"/>
    <x v="1"/>
    <x v="32"/>
    <n v="306.02"/>
  </r>
  <r>
    <s v="AD01-9362"/>
    <x v="0"/>
    <s v="Mar"/>
    <x v="0"/>
    <x v="0"/>
    <s v="Order assembled"/>
    <x v="1"/>
    <x v="0"/>
    <x v="1"/>
    <x v="150"/>
    <n v="526.24"/>
  </r>
  <r>
    <s v="AD01-9362"/>
    <x v="0"/>
    <s v="Mar"/>
    <x v="0"/>
    <x v="0"/>
    <s v="Order assembled"/>
    <x v="1"/>
    <x v="0"/>
    <x v="0"/>
    <x v="151"/>
    <n v="526.24"/>
  </r>
  <r>
    <s v="AD01-9364"/>
    <x v="0"/>
    <s v="Mar"/>
    <x v="0"/>
    <x v="0"/>
    <s v="Order assembled"/>
    <x v="1"/>
    <x v="0"/>
    <x v="1"/>
    <x v="152"/>
    <n v="966.68000000000006"/>
  </r>
  <r>
    <s v="AD01-9364"/>
    <x v="0"/>
    <s v="Mar"/>
    <x v="0"/>
    <x v="0"/>
    <s v="Order assembled"/>
    <x v="1"/>
    <x v="0"/>
    <x v="1"/>
    <x v="153"/>
    <n v="1013.87"/>
  </r>
  <r>
    <s v="AD01-9361"/>
    <x v="0"/>
    <s v="Mar"/>
    <x v="0"/>
    <x v="0"/>
    <s v="Order assembled"/>
    <x v="1"/>
    <x v="0"/>
    <x v="1"/>
    <x v="154"/>
    <n v="1089.6599999999999"/>
  </r>
  <r>
    <s v="AD01-9361"/>
    <x v="0"/>
    <s v="Mar"/>
    <x v="0"/>
    <x v="0"/>
    <s v="Order assembled"/>
    <x v="1"/>
    <x v="0"/>
    <x v="1"/>
    <x v="155"/>
    <n v="527.66999999999996"/>
  </r>
  <r>
    <s v="AD01-9364"/>
    <x v="0"/>
    <s v="Mar"/>
    <x v="0"/>
    <x v="0"/>
    <s v="Order assembled"/>
    <x v="1"/>
    <x v="0"/>
    <x v="1"/>
    <x v="156"/>
    <n v="519.09"/>
  </r>
  <r>
    <s v="AD01-9365"/>
    <x v="0"/>
    <s v="Mar"/>
    <x v="0"/>
    <x v="0"/>
    <s v="Order assembled"/>
    <x v="1"/>
    <x v="0"/>
    <x v="0"/>
    <x v="157"/>
    <n v="510.51"/>
  </r>
  <r>
    <s v="AD01-9361"/>
    <x v="0"/>
    <s v="Mar"/>
    <x v="0"/>
    <x v="0"/>
    <s v="Order assembled"/>
    <x v="1"/>
    <x v="0"/>
    <x v="1"/>
    <x v="158"/>
    <n v="347.49"/>
  </r>
  <r>
    <s v="AD01-9364"/>
    <x v="0"/>
    <s v="Mar"/>
    <x v="0"/>
    <x v="0"/>
    <s v="Order assembled"/>
    <x v="1"/>
    <x v="0"/>
    <x v="1"/>
    <x v="159"/>
    <n v="526.24"/>
  </r>
  <r>
    <s v="AD01-9363"/>
    <x v="0"/>
    <s v="Mar"/>
    <x v="0"/>
    <x v="0"/>
    <s v="Order assembled"/>
    <x v="1"/>
    <x v="0"/>
    <x v="1"/>
    <x v="69"/>
    <n v="344.63"/>
  </r>
  <r>
    <s v="AD01-9362"/>
    <x v="0"/>
    <s v="Mar"/>
    <x v="0"/>
    <x v="0"/>
    <s v="Order assembled"/>
    <x v="1"/>
    <x v="0"/>
    <x v="1"/>
    <x v="160"/>
    <n v="413.27"/>
  </r>
  <r>
    <s v="AD01-9364"/>
    <x v="0"/>
    <s v="Mar"/>
    <x v="0"/>
    <x v="0"/>
    <s v="Order assembled"/>
    <x v="1"/>
    <x v="0"/>
    <x v="1"/>
    <x v="161"/>
    <n v="1249.82"/>
  </r>
  <r>
    <s v="AD01-9361"/>
    <x v="0"/>
    <s v="Mar"/>
    <x v="0"/>
    <x v="0"/>
    <s v="Order assembled"/>
    <x v="1"/>
    <x v="0"/>
    <x v="0"/>
    <x v="162"/>
    <n v="1251.25"/>
  </r>
  <r>
    <s v="AD01-9362"/>
    <x v="0"/>
    <s v="Mar"/>
    <x v="0"/>
    <x v="0"/>
    <s v="Order assembled"/>
    <x v="1"/>
    <x v="0"/>
    <x v="1"/>
    <x v="72"/>
    <n v="341.77"/>
  </r>
  <r>
    <s v="AD01-9362"/>
    <x v="0"/>
    <s v="Mar"/>
    <x v="0"/>
    <x v="0"/>
    <s v="Order assembled"/>
    <x v="1"/>
    <x v="0"/>
    <x v="1"/>
    <x v="48"/>
    <n v="410.40999999999997"/>
  </r>
  <r>
    <s v="AD01-9363"/>
    <x v="0"/>
    <s v="Mar"/>
    <x v="0"/>
    <x v="0"/>
    <s v="Order assembled"/>
    <x v="1"/>
    <x v="0"/>
    <x v="1"/>
    <x v="163"/>
    <n v="1102.53"/>
  </r>
  <r>
    <s v="AD01-9361"/>
    <x v="0"/>
    <s v="May"/>
    <x v="0"/>
    <x v="0"/>
    <s v="Order assembled"/>
    <x v="1"/>
    <x v="0"/>
    <x v="0"/>
    <x v="164"/>
    <n v="483.34000000000003"/>
  </r>
  <r>
    <s v="AD01-9361"/>
    <x v="0"/>
    <s v="May"/>
    <x v="0"/>
    <x v="0"/>
    <s v="Order assembled"/>
    <x v="1"/>
    <x v="0"/>
    <x v="0"/>
    <x v="165"/>
    <n v="474.76"/>
  </r>
  <r>
    <s v="AD01-9362"/>
    <x v="0"/>
    <s v="May"/>
    <x v="0"/>
    <x v="0"/>
    <s v="Order assembled"/>
    <x v="1"/>
    <x v="0"/>
    <x v="0"/>
    <x v="166"/>
    <n v="466.18"/>
  </r>
  <r>
    <s v="AD01-9362"/>
    <x v="0"/>
    <s v="May"/>
    <x v="0"/>
    <x v="0"/>
    <s v="Order assembled"/>
    <x v="1"/>
    <x v="0"/>
    <x v="1"/>
    <x v="167"/>
    <n v="328.9"/>
  </r>
  <r>
    <s v="AD01-9364"/>
    <x v="0"/>
    <s v="May"/>
    <x v="0"/>
    <x v="0"/>
    <s v="Order assembled"/>
    <x v="1"/>
    <x v="0"/>
    <x v="1"/>
    <x v="28"/>
    <n v="397.53999999999996"/>
  </r>
  <r>
    <s v="AD01-9362"/>
    <x v="0"/>
    <s v="May"/>
    <x v="0"/>
    <x v="0"/>
    <s v="Order assembled"/>
    <x v="1"/>
    <x v="0"/>
    <x v="1"/>
    <x v="168"/>
    <n v="294.58"/>
  </r>
  <r>
    <s v="AD01-9361"/>
    <x v="0"/>
    <s v="May"/>
    <x v="0"/>
    <x v="0"/>
    <s v="Order assembled"/>
    <x v="1"/>
    <x v="0"/>
    <x v="1"/>
    <x v="169"/>
    <n v="331.76"/>
  </r>
  <r>
    <s v="AD01-9361"/>
    <x v="0"/>
    <s v="May"/>
    <x v="0"/>
    <x v="0"/>
    <s v="Order assembled"/>
    <x v="1"/>
    <x v="0"/>
    <x v="1"/>
    <x v="170"/>
    <n v="288.86"/>
  </r>
  <r>
    <s v="AD01-9364"/>
    <x v="0"/>
    <s v="May"/>
    <x v="0"/>
    <x v="0"/>
    <s v="Order assembled"/>
    <x v="1"/>
    <x v="0"/>
    <x v="0"/>
    <x v="171"/>
    <n v="526.24"/>
  </r>
  <r>
    <s v="AD01-9362"/>
    <x v="0"/>
    <s v="May"/>
    <x v="0"/>
    <x v="0"/>
    <s v="Order assembled"/>
    <x v="1"/>
    <x v="0"/>
    <x v="0"/>
    <x v="172"/>
    <n v="526.24"/>
  </r>
  <r>
    <s v="AD01-9361"/>
    <x v="0"/>
    <s v="May"/>
    <x v="0"/>
    <x v="0"/>
    <s v="Order assembled"/>
    <x v="1"/>
    <x v="0"/>
    <x v="0"/>
    <x v="173"/>
    <n v="526.24"/>
  </r>
  <r>
    <s v="AD01-9362"/>
    <x v="0"/>
    <s v="May"/>
    <x v="0"/>
    <x v="0"/>
    <s v="Order assembled"/>
    <x v="1"/>
    <x v="0"/>
    <x v="1"/>
    <x v="174"/>
    <n v="969.54"/>
  </r>
  <r>
    <s v="AD01-9364"/>
    <x v="0"/>
    <s v="May"/>
    <x v="0"/>
    <x v="0"/>
    <s v="Order assembled"/>
    <x v="1"/>
    <x v="0"/>
    <x v="1"/>
    <x v="175"/>
    <n v="1016.73"/>
  </r>
  <r>
    <s v="AD01-9362"/>
    <x v="0"/>
    <s v="May"/>
    <x v="0"/>
    <x v="0"/>
    <s v="Order assembled"/>
    <x v="1"/>
    <x v="0"/>
    <x v="1"/>
    <x v="176"/>
    <n v="1092.52"/>
  </r>
  <r>
    <s v="AD01-9364"/>
    <x v="0"/>
    <s v="May"/>
    <x v="0"/>
    <x v="0"/>
    <s v="Order assembled"/>
    <x v="1"/>
    <x v="0"/>
    <x v="0"/>
    <x v="177"/>
    <n v="476.19"/>
  </r>
  <r>
    <s v="AD01-9364"/>
    <x v="0"/>
    <s v="May"/>
    <x v="0"/>
    <x v="0"/>
    <s v="Order assembled"/>
    <x v="1"/>
    <x v="0"/>
    <x v="0"/>
    <x v="178"/>
    <n v="467.61"/>
  </r>
  <r>
    <s v="AD01-9362"/>
    <x v="0"/>
    <s v="May"/>
    <x v="0"/>
    <x v="0"/>
    <s v="Order assembled"/>
    <x v="1"/>
    <x v="0"/>
    <x v="1"/>
    <x v="179"/>
    <n v="330.33"/>
  </r>
  <r>
    <s v="AD01-9364"/>
    <x v="0"/>
    <s v="May"/>
    <x v="0"/>
    <x v="0"/>
    <s v="Order assembled"/>
    <x v="1"/>
    <x v="0"/>
    <x v="1"/>
    <x v="180"/>
    <n v="526.24"/>
  </r>
  <r>
    <s v="AD01-9362"/>
    <x v="0"/>
    <s v="May"/>
    <x v="0"/>
    <x v="0"/>
    <s v="Order assembled"/>
    <x v="1"/>
    <x v="0"/>
    <x v="1"/>
    <x v="181"/>
    <n v="526.24"/>
  </r>
  <r>
    <s v="AD01-9361"/>
    <x v="0"/>
    <s v="May"/>
    <x v="0"/>
    <x v="0"/>
    <s v="Order assembled"/>
    <x v="1"/>
    <x v="0"/>
    <x v="1"/>
    <x v="182"/>
    <n v="327.47000000000003"/>
  </r>
  <r>
    <s v="AD01-9362"/>
    <x v="0"/>
    <s v="May"/>
    <x v="0"/>
    <x v="0"/>
    <s v="Order assembled"/>
    <x v="1"/>
    <x v="0"/>
    <x v="1"/>
    <x v="183"/>
    <n v="396.11"/>
  </r>
  <r>
    <s v="AD01-9361"/>
    <x v="0"/>
    <s v="May"/>
    <x v="0"/>
    <x v="0"/>
    <s v="Order assembled"/>
    <x v="0"/>
    <x v="0"/>
    <x v="1"/>
    <x v="184"/>
    <n v="293.14999999999998"/>
  </r>
  <r>
    <s v="AD01-9361"/>
    <x v="0"/>
    <s v="May"/>
    <x v="0"/>
    <x v="0"/>
    <s v="Order assembled"/>
    <x v="0"/>
    <x v="0"/>
    <x v="0"/>
    <x v="185"/>
    <n v="1256.97"/>
  </r>
  <r>
    <s v="AD01-9365"/>
    <x v="0"/>
    <s v="May"/>
    <x v="0"/>
    <x v="0"/>
    <s v="Order assembled"/>
    <x v="0"/>
    <x v="0"/>
    <x v="0"/>
    <x v="186"/>
    <n v="1258.4000000000001"/>
  </r>
  <r>
    <s v="AD01-9362"/>
    <x v="0"/>
    <s v="May"/>
    <x v="0"/>
    <x v="0"/>
    <s v="Order assembled"/>
    <x v="0"/>
    <x v="0"/>
    <x v="0"/>
    <x v="187"/>
    <n v="1259.83"/>
  </r>
  <r>
    <s v="AD01-9362"/>
    <x v="0"/>
    <s v="May"/>
    <x v="0"/>
    <x v="0"/>
    <s v="Order assembled"/>
    <x v="0"/>
    <x v="0"/>
    <x v="1"/>
    <x v="188"/>
    <n v="333.19"/>
  </r>
  <r>
    <s v="AD01-9361"/>
    <x v="0"/>
    <s v="May"/>
    <x v="0"/>
    <x v="0"/>
    <s v="Order assembled"/>
    <x v="0"/>
    <x v="0"/>
    <x v="1"/>
    <x v="49"/>
    <n v="393.25"/>
  </r>
  <r>
    <s v="AD01-9362"/>
    <x v="0"/>
    <s v="May"/>
    <x v="0"/>
    <x v="0"/>
    <s v="Order assembled"/>
    <x v="0"/>
    <x v="0"/>
    <x v="1"/>
    <x v="189"/>
    <n v="1105.3899999999999"/>
  </r>
  <r>
    <s v="AD01-9363"/>
    <x v="0"/>
    <s v="Nov"/>
    <x v="0"/>
    <x v="0"/>
    <s v="Order assembled"/>
    <x v="0"/>
    <x v="0"/>
    <x v="0"/>
    <x v="56"/>
    <n v="526.24"/>
  </r>
  <r>
    <s v="AD01-9362"/>
    <x v="0"/>
    <s v="Nov"/>
    <x v="0"/>
    <x v="0"/>
    <s v="Order assembled"/>
    <x v="0"/>
    <x v="0"/>
    <x v="0"/>
    <x v="2"/>
    <n v="526.24"/>
  </r>
  <r>
    <s v="AD01-9364"/>
    <x v="0"/>
    <s v="Nov"/>
    <x v="0"/>
    <x v="0"/>
    <s v="Order assembled"/>
    <x v="0"/>
    <x v="0"/>
    <x v="0"/>
    <x v="167"/>
    <n v="526.24"/>
  </r>
  <r>
    <s v="AD01-9363"/>
    <x v="0"/>
    <s v="Nov"/>
    <x v="0"/>
    <x v="0"/>
    <s v="Order assembled"/>
    <x v="0"/>
    <x v="0"/>
    <x v="1"/>
    <x v="129"/>
    <n v="286"/>
  </r>
  <r>
    <s v="AD01-9364"/>
    <x v="0"/>
    <s v="Nov"/>
    <x v="0"/>
    <x v="0"/>
    <s v="Order assembled"/>
    <x v="0"/>
    <x v="0"/>
    <x v="1"/>
    <x v="190"/>
    <n v="243.1"/>
  </r>
  <r>
    <s v="AD01-9364"/>
    <x v="0"/>
    <s v="Nov"/>
    <x v="0"/>
    <x v="0"/>
    <s v="Order assembled"/>
    <x v="0"/>
    <x v="0"/>
    <x v="1"/>
    <x v="131"/>
    <n v="280.27999999999997"/>
  </r>
  <r>
    <s v="AD01-9362"/>
    <x v="0"/>
    <s v="Nov"/>
    <x v="0"/>
    <x v="0"/>
    <s v="Order assembled"/>
    <x v="0"/>
    <x v="0"/>
    <x v="1"/>
    <x v="75"/>
    <n v="348.92"/>
  </r>
  <r>
    <s v="AD01-9361"/>
    <x v="0"/>
    <s v="Nov"/>
    <x v="0"/>
    <x v="0"/>
    <s v="Order assembled"/>
    <x v="0"/>
    <x v="0"/>
    <x v="1"/>
    <x v="191"/>
    <n v="245.95999999999998"/>
  </r>
  <r>
    <s v="AD01-9361"/>
    <x v="0"/>
    <s v="Nov"/>
    <x v="0"/>
    <x v="0"/>
    <s v="Order assembled"/>
    <x v="0"/>
    <x v="0"/>
    <x v="0"/>
    <x v="192"/>
    <n v="526.24"/>
  </r>
  <r>
    <s v="AD01-9364"/>
    <x v="0"/>
    <s v="Nov"/>
    <x v="0"/>
    <x v="0"/>
    <s v="Order assembled"/>
    <x v="0"/>
    <x v="0"/>
    <x v="0"/>
    <x v="193"/>
    <n v="526.24"/>
  </r>
  <r>
    <s v="AD01-9362"/>
    <x v="0"/>
    <s v="Nov"/>
    <x v="0"/>
    <x v="0"/>
    <s v="Order assembled"/>
    <x v="0"/>
    <x v="0"/>
    <x v="0"/>
    <x v="194"/>
    <n v="526.24"/>
  </r>
  <r>
    <s v="AD01-9361"/>
    <x v="0"/>
    <s v="Nov"/>
    <x v="0"/>
    <x v="0"/>
    <s v="Order assembled"/>
    <x v="0"/>
    <x v="0"/>
    <x v="1"/>
    <x v="195"/>
    <n v="976.69"/>
  </r>
  <r>
    <s v="AD01-9362"/>
    <x v="0"/>
    <s v="Nov"/>
    <x v="0"/>
    <x v="0"/>
    <s v="Order assembled"/>
    <x v="0"/>
    <x v="0"/>
    <x v="1"/>
    <x v="196"/>
    <n v="1023.88"/>
  </r>
  <r>
    <s v="AD01-9364"/>
    <x v="0"/>
    <s v="Nov"/>
    <x v="0"/>
    <x v="0"/>
    <s v="Order assembled"/>
    <x v="0"/>
    <x v="0"/>
    <x v="1"/>
    <x v="104"/>
    <n v="1099.67"/>
  </r>
  <r>
    <s v="AD01-9362"/>
    <x v="0"/>
    <s v="Nov"/>
    <x v="0"/>
    <x v="0"/>
    <s v="Order assembled"/>
    <x v="0"/>
    <x v="0"/>
    <x v="0"/>
    <x v="16"/>
    <n v="338.90999999999997"/>
  </r>
  <r>
    <s v="AD01-9362"/>
    <x v="0"/>
    <s v="Nov"/>
    <x v="0"/>
    <x v="0"/>
    <s v="Order assembled"/>
    <x v="0"/>
    <x v="0"/>
    <x v="0"/>
    <x v="179"/>
    <n v="330.33"/>
  </r>
  <r>
    <s v="AD01-9364"/>
    <x v="0"/>
    <s v="Nov"/>
    <x v="0"/>
    <x v="0"/>
    <s v="Order assembled"/>
    <x v="0"/>
    <x v="0"/>
    <x v="1"/>
    <x v="197"/>
    <n v="287.43"/>
  </r>
  <r>
    <s v="AD01-9362"/>
    <x v="0"/>
    <s v="Nov"/>
    <x v="0"/>
    <x v="0"/>
    <s v="Order assembled"/>
    <x v="0"/>
    <x v="0"/>
    <x v="1"/>
    <x v="198"/>
    <n v="526.24"/>
  </r>
  <r>
    <s v="AD01-9361"/>
    <x v="0"/>
    <s v="Nov"/>
    <x v="0"/>
    <x v="0"/>
    <s v="Order assembled"/>
    <x v="0"/>
    <x v="0"/>
    <x v="1"/>
    <x v="199"/>
    <n v="526.24"/>
  </r>
  <r>
    <s v="AD01-9361"/>
    <x v="0"/>
    <s v="Nov"/>
    <x v="0"/>
    <x v="0"/>
    <s v="Order assembled"/>
    <x v="0"/>
    <x v="0"/>
    <x v="1"/>
    <x v="141"/>
    <n v="284.57"/>
  </r>
  <r>
    <s v="AD01-9361"/>
    <x v="0"/>
    <s v="Nov"/>
    <x v="0"/>
    <x v="0"/>
    <s v="Order assembled"/>
    <x v="0"/>
    <x v="0"/>
    <x v="1"/>
    <x v="84"/>
    <n v="353.21"/>
  </r>
  <r>
    <s v="AD01-9364"/>
    <x v="0"/>
    <s v="Nov"/>
    <x v="0"/>
    <x v="0"/>
    <s v="Order assembled"/>
    <x v="0"/>
    <x v="0"/>
    <x v="1"/>
    <x v="200"/>
    <n v="241.67000000000002"/>
  </r>
  <r>
    <s v="AD01-9361"/>
    <x v="0"/>
    <s v="Nov"/>
    <x v="0"/>
    <x v="0"/>
    <s v="Order assembled"/>
    <x v="0"/>
    <x v="0"/>
    <x v="0"/>
    <x v="72"/>
    <n v="341.77"/>
  </r>
  <r>
    <s v="AD01-9362"/>
    <x v="0"/>
    <s v="Nov"/>
    <x v="0"/>
    <x v="0"/>
    <s v="Order assembled"/>
    <x v="0"/>
    <x v="0"/>
    <x v="0"/>
    <x v="188"/>
    <n v="333.19"/>
  </r>
  <r>
    <s v="AD01-9364"/>
    <x v="0"/>
    <s v="Nov"/>
    <x v="0"/>
    <x v="0"/>
    <s v="Order assembled"/>
    <x v="0"/>
    <x v="0"/>
    <x v="0"/>
    <x v="144"/>
    <n v="324.61"/>
  </r>
  <r>
    <s v="AD01-9364"/>
    <x v="0"/>
    <s v="Nov"/>
    <x v="0"/>
    <x v="0"/>
    <s v="Order assembled"/>
    <x v="0"/>
    <x v="0"/>
    <x v="1"/>
    <x v="201"/>
    <n v="281.70999999999998"/>
  </r>
  <r>
    <s v="AD01-9364"/>
    <x v="0"/>
    <s v="Nov"/>
    <x v="0"/>
    <x v="0"/>
    <s v="Order assembled"/>
    <x v="0"/>
    <x v="0"/>
    <x v="1"/>
    <x v="86"/>
    <n v="350.35"/>
  </r>
  <r>
    <s v="AD01-9363"/>
    <x v="0"/>
    <s v="Nov"/>
    <x v="0"/>
    <x v="0"/>
    <s v="Order assembled"/>
    <x v="0"/>
    <x v="0"/>
    <x v="1"/>
    <x v="202"/>
    <n v="1112.54"/>
  </r>
  <r>
    <s v="AD01-9362"/>
    <x v="0"/>
    <s v="Oct"/>
    <x v="0"/>
    <x v="0"/>
    <s v="Order assembled"/>
    <x v="0"/>
    <x v="0"/>
    <x v="0"/>
    <x v="88"/>
    <n v="526.24"/>
  </r>
  <r>
    <s v="AD01-9362"/>
    <x v="0"/>
    <s v="Oct"/>
    <x v="0"/>
    <x v="0"/>
    <s v="Order assembled"/>
    <x v="0"/>
    <x v="0"/>
    <x v="0"/>
    <x v="74"/>
    <n v="526.24"/>
  </r>
  <r>
    <s v="AD01-9362"/>
    <x v="0"/>
    <s v="Oct"/>
    <x v="0"/>
    <x v="0"/>
    <s v="Order assembled"/>
    <x v="0"/>
    <x v="0"/>
    <x v="1"/>
    <x v="168"/>
    <n v="294.58"/>
  </r>
  <r>
    <s v="AD01-9361"/>
    <x v="0"/>
    <s v="Oct"/>
    <x v="0"/>
    <x v="0"/>
    <s v="Order assembled"/>
    <x v="0"/>
    <x v="0"/>
    <x v="1"/>
    <x v="74"/>
    <n v="354.64"/>
  </r>
  <r>
    <s v="AD01-9364"/>
    <x v="0"/>
    <s v="Oct"/>
    <x v="0"/>
    <x v="0"/>
    <s v="Order assembled"/>
    <x v="0"/>
    <x v="0"/>
    <x v="1"/>
    <x v="203"/>
    <n v="251.68"/>
  </r>
  <r>
    <s v="AD01-9365"/>
    <x v="0"/>
    <s v="Oct"/>
    <x v="0"/>
    <x v="0"/>
    <s v="Order assembled"/>
    <x v="0"/>
    <x v="0"/>
    <x v="1"/>
    <x v="170"/>
    <n v="288.86"/>
  </r>
  <r>
    <s v="AD01-9362"/>
    <x v="0"/>
    <s v="Oct"/>
    <x v="0"/>
    <x v="0"/>
    <s v="Order assembled"/>
    <x v="0"/>
    <x v="0"/>
    <x v="1"/>
    <x v="91"/>
    <n v="357.5"/>
  </r>
  <r>
    <s v="AD01-9361"/>
    <x v="0"/>
    <s v="Oct"/>
    <x v="0"/>
    <x v="0"/>
    <s v="Order assembled"/>
    <x v="0"/>
    <x v="0"/>
    <x v="1"/>
    <x v="204"/>
    <n v="254.54"/>
  </r>
  <r>
    <s v="AD01-9361"/>
    <x v="0"/>
    <s v="Oct"/>
    <x v="0"/>
    <x v="0"/>
    <s v="Order assembled"/>
    <x v="0"/>
    <x v="0"/>
    <x v="1"/>
    <x v="205"/>
    <n v="526.24"/>
  </r>
  <r>
    <s v="AD01-9361"/>
    <x v="0"/>
    <s v="Oct"/>
    <x v="0"/>
    <x v="0"/>
    <s v="Order assembled"/>
    <x v="0"/>
    <x v="0"/>
    <x v="1"/>
    <x v="206"/>
    <n v="526.24"/>
  </r>
  <r>
    <s v="AD01-9361"/>
    <x v="0"/>
    <s v="Oct"/>
    <x v="0"/>
    <x v="0"/>
    <s v="Order assembled"/>
    <x v="0"/>
    <x v="0"/>
    <x v="0"/>
    <x v="207"/>
    <n v="526.24"/>
  </r>
  <r>
    <s v="AD01-9364"/>
    <x v="0"/>
    <s v="Oct"/>
    <x v="0"/>
    <x v="0"/>
    <s v="Order assembled"/>
    <x v="0"/>
    <x v="0"/>
    <x v="1"/>
    <x v="208"/>
    <n v="975.26"/>
  </r>
  <r>
    <s v="AD01-9362"/>
    <x v="0"/>
    <s v="Oct"/>
    <x v="0"/>
    <x v="0"/>
    <s v="Order assembled"/>
    <x v="0"/>
    <x v="0"/>
    <x v="1"/>
    <x v="209"/>
    <n v="1022.45"/>
  </r>
  <r>
    <s v="AD01-9362"/>
    <x v="0"/>
    <s v="Oct"/>
    <x v="0"/>
    <x v="0"/>
    <s v="Order assembled"/>
    <x v="0"/>
    <x v="0"/>
    <x v="1"/>
    <x v="210"/>
    <n v="364.65"/>
  </r>
  <r>
    <s v="AD01-9362"/>
    <x v="0"/>
    <s v="Oct"/>
    <x v="0"/>
    <x v="0"/>
    <s v="Order assembled"/>
    <x v="0"/>
    <x v="0"/>
    <x v="1"/>
    <x v="81"/>
    <n v="356.07"/>
  </r>
  <r>
    <s v="AD01-9361"/>
    <x v="0"/>
    <s v="Oct"/>
    <x v="0"/>
    <x v="0"/>
    <s v="Order assembled"/>
    <x v="0"/>
    <x v="0"/>
    <x v="0"/>
    <x v="158"/>
    <n v="347.49"/>
  </r>
  <r>
    <s v="AD01-9361"/>
    <x v="0"/>
    <s v="Oct"/>
    <x v="0"/>
    <x v="0"/>
    <s v="Order assembled"/>
    <x v="0"/>
    <x v="0"/>
    <x v="1"/>
    <x v="211"/>
    <n v="526.24"/>
  </r>
  <r>
    <s v="AD01-9364"/>
    <x v="0"/>
    <s v="Oct"/>
    <x v="0"/>
    <x v="0"/>
    <s v="Order assembled"/>
    <x v="0"/>
    <x v="0"/>
    <x v="1"/>
    <x v="212"/>
    <n v="526.24"/>
  </r>
  <r>
    <s v="AD01-9361"/>
    <x v="0"/>
    <s v="Oct"/>
    <x v="0"/>
    <x v="0"/>
    <s v="Order assembled"/>
    <x v="0"/>
    <x v="0"/>
    <x v="1"/>
    <x v="184"/>
    <n v="293.14999999999998"/>
  </r>
  <r>
    <s v="AD01-9361"/>
    <x v="0"/>
    <s v="Oct"/>
    <x v="0"/>
    <x v="0"/>
    <s v="Order assembled"/>
    <x v="0"/>
    <x v="0"/>
    <x v="1"/>
    <x v="99"/>
    <n v="361.78999999999996"/>
  </r>
  <r>
    <s v="AD01-9365"/>
    <x v="0"/>
    <s v="Oct"/>
    <x v="0"/>
    <x v="0"/>
    <s v="Order assembled"/>
    <x v="0"/>
    <x v="0"/>
    <x v="1"/>
    <x v="213"/>
    <n v="250.25"/>
  </r>
  <r>
    <s v="AD01-9363"/>
    <x v="0"/>
    <s v="Oct"/>
    <x v="0"/>
    <x v="0"/>
    <s v="Order assembled"/>
    <x v="0"/>
    <x v="0"/>
    <x v="0"/>
    <x v="214"/>
    <n v="367.51"/>
  </r>
  <r>
    <s v="AD01-9363"/>
    <x v="0"/>
    <s v="Oct"/>
    <x v="0"/>
    <x v="0"/>
    <s v="Order assembled"/>
    <x v="0"/>
    <x v="0"/>
    <x v="0"/>
    <x v="102"/>
    <n v="358.93"/>
  </r>
  <r>
    <s v="AD01-9362"/>
    <x v="0"/>
    <s v="Oct"/>
    <x v="0"/>
    <x v="0"/>
    <s v="Order assembled"/>
    <x v="0"/>
    <x v="0"/>
    <x v="0"/>
    <x v="86"/>
    <n v="350.35"/>
  </r>
  <r>
    <s v="AD01-9364"/>
    <x v="0"/>
    <s v="Oct"/>
    <x v="0"/>
    <x v="0"/>
    <s v="Order assembled"/>
    <x v="0"/>
    <x v="0"/>
    <x v="1"/>
    <x v="215"/>
    <n v="290.28999999999996"/>
  </r>
  <r>
    <s v="AD01-9361"/>
    <x v="0"/>
    <s v="Oct"/>
    <x v="0"/>
    <x v="0"/>
    <s v="Order assembled"/>
    <x v="0"/>
    <x v="0"/>
    <x v="1"/>
    <x v="102"/>
    <n v="358.93"/>
  </r>
  <r>
    <s v="AD01-9362"/>
    <x v="0"/>
    <s v="Oct"/>
    <x v="0"/>
    <x v="0"/>
    <s v="Order assembled"/>
    <x v="0"/>
    <x v="0"/>
    <x v="1"/>
    <x v="216"/>
    <n v="1111.1100000000001"/>
  </r>
  <r>
    <s v="AD01-9361"/>
    <x v="0"/>
    <s v="Sep"/>
    <x v="0"/>
    <x v="0"/>
    <s v="Order assembled"/>
    <x v="0"/>
    <x v="0"/>
    <x v="0"/>
    <x v="128"/>
    <n v="526.24"/>
  </r>
  <r>
    <s v="AD01-9361"/>
    <x v="0"/>
    <s v="Sep"/>
    <x v="0"/>
    <x v="0"/>
    <s v="Order assembled"/>
    <x v="0"/>
    <x v="0"/>
    <x v="0"/>
    <x v="106"/>
    <n v="526.24"/>
  </r>
  <r>
    <s v="AD01-9361"/>
    <x v="0"/>
    <s v="Sep"/>
    <x v="0"/>
    <x v="0"/>
    <s v="Order assembled"/>
    <x v="0"/>
    <x v="0"/>
    <x v="0"/>
    <x v="30"/>
    <n v="526.24"/>
  </r>
  <r>
    <s v="AD01-9364"/>
    <x v="0"/>
    <s v="Sep"/>
    <x v="0"/>
    <x v="0"/>
    <s v="Order assembled"/>
    <x v="0"/>
    <x v="0"/>
    <x v="1"/>
    <x v="88"/>
    <n v="363.22"/>
  </r>
  <r>
    <s v="AD01-9361"/>
    <x v="0"/>
    <s v="Sep"/>
    <x v="0"/>
    <x v="0"/>
    <s v="Order assembled"/>
    <x v="0"/>
    <x v="0"/>
    <x v="1"/>
    <x v="217"/>
    <n v="260.26"/>
  </r>
  <r>
    <s v="AD01-9363"/>
    <x v="0"/>
    <s v="Sep"/>
    <x v="0"/>
    <x v="0"/>
    <s v="Order assembled"/>
    <x v="0"/>
    <x v="0"/>
    <x v="1"/>
    <x v="6"/>
    <n v="297.44"/>
  </r>
  <r>
    <s v="AD01-9363"/>
    <x v="0"/>
    <s v="Sep"/>
    <x v="0"/>
    <x v="0"/>
    <s v="Order assembled"/>
    <x v="0"/>
    <x v="0"/>
    <x v="1"/>
    <x v="218"/>
    <n v="366.08"/>
  </r>
  <r>
    <s v="AD01-9364"/>
    <x v="0"/>
    <s v="Sep"/>
    <x v="0"/>
    <x v="0"/>
    <s v="Order assembled"/>
    <x v="0"/>
    <x v="0"/>
    <x v="1"/>
    <x v="219"/>
    <n v="263.12"/>
  </r>
  <r>
    <s v="AD01-9365"/>
    <x v="0"/>
    <s v="Sep"/>
    <x v="0"/>
    <x v="0"/>
    <s v="Order assembled"/>
    <x v="0"/>
    <x v="0"/>
    <x v="1"/>
    <x v="220"/>
    <n v="526.24"/>
  </r>
  <r>
    <s v="AD01-9361"/>
    <x v="0"/>
    <s v="Sep"/>
    <x v="0"/>
    <x v="0"/>
    <s v="Order assembled"/>
    <x v="0"/>
    <x v="0"/>
    <x v="1"/>
    <x v="221"/>
    <n v="526.24"/>
  </r>
  <r>
    <s v="AD01-9363"/>
    <x v="0"/>
    <s v="Sep"/>
    <x v="0"/>
    <x v="0"/>
    <s v="Order assembled"/>
    <x v="0"/>
    <x v="0"/>
    <x v="1"/>
    <x v="222"/>
    <n v="973.82999999999993"/>
  </r>
  <r>
    <s v="AD01-9361"/>
    <x v="0"/>
    <s v="Sep"/>
    <x v="0"/>
    <x v="0"/>
    <s v="Order assembled"/>
    <x v="0"/>
    <x v="0"/>
    <x v="1"/>
    <x v="223"/>
    <n v="1021.02"/>
  </r>
  <r>
    <s v="AD01-9361"/>
    <x v="0"/>
    <s v="Sep"/>
    <x v="0"/>
    <x v="0"/>
    <s v="Order assembled"/>
    <x v="0"/>
    <x v="0"/>
    <x v="1"/>
    <x v="224"/>
    <n v="1098.24"/>
  </r>
  <r>
    <s v="AD01-9361"/>
    <x v="0"/>
    <s v="Sep"/>
    <x v="0"/>
    <x v="0"/>
    <s v="Order assembled"/>
    <x v="0"/>
    <x v="0"/>
    <x v="1"/>
    <x v="225"/>
    <n v="390.39"/>
  </r>
  <r>
    <s v="AD01-9363"/>
    <x v="0"/>
    <s v="Sep"/>
    <x v="0"/>
    <x v="0"/>
    <s v="Order assembled"/>
    <x v="0"/>
    <x v="0"/>
    <x v="1"/>
    <x v="226"/>
    <n v="381.81"/>
  </r>
  <r>
    <s v="AD01-9364"/>
    <x v="0"/>
    <s v="Sep"/>
    <x v="0"/>
    <x v="0"/>
    <s v="Order assembled"/>
    <x v="0"/>
    <x v="0"/>
    <x v="1"/>
    <x v="227"/>
    <n v="373.23"/>
  </r>
  <r>
    <s v="AD01-9361"/>
    <x v="0"/>
    <s v="Sep"/>
    <x v="0"/>
    <x v="0"/>
    <s v="Order assembled"/>
    <x v="0"/>
    <x v="0"/>
    <x v="1"/>
    <x v="228"/>
    <n v="296.01"/>
  </r>
  <r>
    <s v="AD01-9361"/>
    <x v="0"/>
    <s v="Sep"/>
    <x v="0"/>
    <x v="0"/>
    <s v="Order assembled"/>
    <x v="0"/>
    <x v="0"/>
    <x v="1"/>
    <x v="229"/>
    <n v="526.24"/>
  </r>
  <r>
    <s v="AD01-9363"/>
    <x v="0"/>
    <s v="Sep"/>
    <x v="0"/>
    <x v="0"/>
    <s v="Order assembled"/>
    <x v="0"/>
    <x v="0"/>
    <x v="1"/>
    <x v="230"/>
    <n v="526.24"/>
  </r>
  <r>
    <s v="AD01-9364"/>
    <x v="0"/>
    <s v="Sep"/>
    <x v="0"/>
    <x v="0"/>
    <s v="Order assembled"/>
    <x v="0"/>
    <x v="0"/>
    <x v="1"/>
    <x v="21"/>
    <n v="301.73"/>
  </r>
  <r>
    <s v="AD01-9363"/>
    <x v="0"/>
    <s v="Sep"/>
    <x v="0"/>
    <x v="0"/>
    <s v="Order assembled"/>
    <x v="0"/>
    <x v="0"/>
    <x v="1"/>
    <x v="231"/>
    <n v="258.83"/>
  </r>
  <r>
    <s v="AD01-9361"/>
    <x v="0"/>
    <s v="Sep"/>
    <x v="0"/>
    <x v="0"/>
    <s v="Order assembled"/>
    <x v="0"/>
    <x v="0"/>
    <x v="0"/>
    <x v="123"/>
    <n v="384.67"/>
  </r>
  <r>
    <s v="AD01-9362"/>
    <x v="0"/>
    <s v="Sep"/>
    <x v="0"/>
    <x v="0"/>
    <s v="Order assembled"/>
    <x v="0"/>
    <x v="0"/>
    <x v="0"/>
    <x v="51"/>
    <n v="376.09000000000003"/>
  </r>
  <r>
    <s v="AD01-9361"/>
    <x v="0"/>
    <s v="Sep"/>
    <x v="0"/>
    <x v="0"/>
    <s v="Order assembled"/>
    <x v="0"/>
    <x v="0"/>
    <x v="1"/>
    <x v="232"/>
    <n v="298.87"/>
  </r>
  <r>
    <s v="AD01-9365"/>
    <x v="0"/>
    <s v="Sep"/>
    <x v="0"/>
    <x v="0"/>
    <s v="Order assembled"/>
    <x v="0"/>
    <x v="0"/>
    <x v="1"/>
    <x v="214"/>
    <n v="367.51"/>
  </r>
  <r>
    <s v="AD01-9361"/>
    <x v="0"/>
    <s v="Apr"/>
    <x v="1"/>
    <x v="0"/>
    <s v="Order assembled"/>
    <x v="0"/>
    <x v="0"/>
    <x v="0"/>
    <x v="233"/>
    <n v="183.04"/>
  </r>
  <r>
    <s v="AD01-9364"/>
    <x v="0"/>
    <s v="Apr"/>
    <x v="1"/>
    <x v="0"/>
    <s v="Order assembled"/>
    <x v="0"/>
    <x v="0"/>
    <x v="0"/>
    <x v="105"/>
    <n v="431.86"/>
  </r>
  <r>
    <s v="AD01-9362"/>
    <x v="0"/>
    <s v="Apr"/>
    <x v="1"/>
    <x v="0"/>
    <s v="Order assembled"/>
    <x v="0"/>
    <x v="0"/>
    <x v="0"/>
    <x v="234"/>
    <n v="526.24"/>
  </r>
  <r>
    <s v="AD01-9361"/>
    <x v="0"/>
    <s v="Apr"/>
    <x v="1"/>
    <x v="0"/>
    <s v="Order assembled"/>
    <x v="0"/>
    <x v="0"/>
    <x v="0"/>
    <x v="235"/>
    <n v="526.24"/>
  </r>
  <r>
    <s v="AD01-9361"/>
    <x v="0"/>
    <s v="Apr"/>
    <x v="1"/>
    <x v="0"/>
    <s v="Order assembled"/>
    <x v="0"/>
    <x v="0"/>
    <x v="0"/>
    <x v="236"/>
    <n v="526.24"/>
  </r>
  <r>
    <s v="AD01-9362"/>
    <x v="0"/>
    <s v="Apr"/>
    <x v="1"/>
    <x v="0"/>
    <s v="Order assembled"/>
    <x v="0"/>
    <x v="0"/>
    <x v="0"/>
    <x v="237"/>
    <n v="1414.27"/>
  </r>
  <r>
    <s v="AD01-9361"/>
    <x v="0"/>
    <s v="Apr"/>
    <x v="1"/>
    <x v="0"/>
    <s v="Order assembled"/>
    <x v="0"/>
    <x v="0"/>
    <x v="0"/>
    <x v="238"/>
    <n v="1461.46"/>
  </r>
  <r>
    <s v="AD01-9364"/>
    <x v="0"/>
    <s v="Apr"/>
    <x v="1"/>
    <x v="0"/>
    <s v="Order assembled"/>
    <x v="0"/>
    <x v="0"/>
    <x v="0"/>
    <x v="109"/>
    <n v="429"/>
  </r>
  <r>
    <s v="AD01-9364"/>
    <x v="0"/>
    <s v="Apr"/>
    <x v="1"/>
    <x v="0"/>
    <s v="Order assembled"/>
    <x v="0"/>
    <x v="0"/>
    <x v="0"/>
    <x v="178"/>
    <n v="467.61"/>
  </r>
  <r>
    <s v="AD01-9361"/>
    <x v="0"/>
    <s v="Apr"/>
    <x v="1"/>
    <x v="0"/>
    <s v="Order assembled"/>
    <x v="0"/>
    <x v="0"/>
    <x v="0"/>
    <x v="239"/>
    <n v="184.47"/>
  </r>
  <r>
    <s v="AD01-9362"/>
    <x v="0"/>
    <s v="Apr"/>
    <x v="1"/>
    <x v="0"/>
    <s v="Order assembled"/>
    <x v="0"/>
    <x v="0"/>
    <x v="0"/>
    <x v="114"/>
    <n v="433.28999999999996"/>
  </r>
  <r>
    <s v="AD01-9361"/>
    <x v="0"/>
    <s v="Apr"/>
    <x v="1"/>
    <x v="0"/>
    <s v="Order assembled"/>
    <x v="0"/>
    <x v="0"/>
    <x v="0"/>
    <x v="63"/>
    <n v="1101.0999999999999"/>
  </r>
  <r>
    <s v="AD01-9362"/>
    <x v="0"/>
    <s v="Apr"/>
    <x v="1"/>
    <x v="0"/>
    <s v="Order assembled"/>
    <x v="0"/>
    <x v="0"/>
    <x v="0"/>
    <x v="240"/>
    <n v="1225.51"/>
  </r>
  <r>
    <s v="AD01-9364"/>
    <x v="0"/>
    <s v="Apr"/>
    <x v="1"/>
    <x v="0"/>
    <s v="Order assembled"/>
    <x v="0"/>
    <x v="0"/>
    <x v="0"/>
    <x v="241"/>
    <n v="470.47"/>
  </r>
  <r>
    <s v="AD01-9361"/>
    <x v="0"/>
    <s v="Apr"/>
    <x v="1"/>
    <x v="0"/>
    <s v="Order assembled"/>
    <x v="0"/>
    <x v="0"/>
    <x v="0"/>
    <x v="242"/>
    <n v="187.32999999999998"/>
  </r>
  <r>
    <s v="AD01-9364"/>
    <x v="0"/>
    <s v="Aug"/>
    <x v="1"/>
    <x v="0"/>
    <s v="Order assembled"/>
    <x v="0"/>
    <x v="0"/>
    <x v="0"/>
    <x v="127"/>
    <n v="440.44"/>
  </r>
  <r>
    <s v="AD01-9361"/>
    <x v="0"/>
    <s v="Aug"/>
    <x v="1"/>
    <x v="0"/>
    <s v="Order assembled"/>
    <x v="0"/>
    <x v="0"/>
    <x v="0"/>
    <x v="148"/>
    <n v="509.08"/>
  </r>
  <r>
    <s v="AD01-9362"/>
    <x v="0"/>
    <s v="Aug"/>
    <x v="1"/>
    <x v="0"/>
    <s v="Order assembled"/>
    <x v="0"/>
    <x v="0"/>
    <x v="0"/>
    <x v="243"/>
    <n v="526.24"/>
  </r>
  <r>
    <s v="AD01-9362"/>
    <x v="0"/>
    <s v="Aug"/>
    <x v="1"/>
    <x v="0"/>
    <s v="Order assembled"/>
    <x v="0"/>
    <x v="0"/>
    <x v="0"/>
    <x v="244"/>
    <n v="526.24"/>
  </r>
  <r>
    <s v="AD01-9362"/>
    <x v="0"/>
    <s v="Aug"/>
    <x v="1"/>
    <x v="0"/>
    <s v="Order assembled"/>
    <x v="0"/>
    <x v="0"/>
    <x v="0"/>
    <x v="5"/>
    <n v="526.24"/>
  </r>
  <r>
    <s v="AD01-9362"/>
    <x v="0"/>
    <s v="Aug"/>
    <x v="1"/>
    <x v="0"/>
    <s v="Order assembled"/>
    <x v="0"/>
    <x v="0"/>
    <x v="0"/>
    <x v="245"/>
    <n v="1419.99"/>
  </r>
  <r>
    <s v="AD01-9362"/>
    <x v="0"/>
    <s v="Aug"/>
    <x v="1"/>
    <x v="0"/>
    <s v="Order assembled"/>
    <x v="0"/>
    <x v="0"/>
    <x v="0"/>
    <x v="246"/>
    <n v="1467.18"/>
  </r>
  <r>
    <s v="AD01-9364"/>
    <x v="0"/>
    <s v="Aug"/>
    <x v="1"/>
    <x v="0"/>
    <s v="Order assembled"/>
    <x v="0"/>
    <x v="0"/>
    <x v="0"/>
    <x v="36"/>
    <n v="403.26"/>
  </r>
  <r>
    <s v="AD01-9364"/>
    <x v="0"/>
    <s v="Aug"/>
    <x v="1"/>
    <x v="0"/>
    <s v="Order assembled"/>
    <x v="0"/>
    <x v="0"/>
    <x v="0"/>
    <x v="138"/>
    <n v="441.87"/>
  </r>
  <r>
    <s v="AD01-9361"/>
    <x v="0"/>
    <s v="Aug"/>
    <x v="1"/>
    <x v="0"/>
    <s v="Order assembled"/>
    <x v="0"/>
    <x v="0"/>
    <x v="0"/>
    <x v="157"/>
    <n v="510.51"/>
  </r>
  <r>
    <s v="AD01-9362"/>
    <x v="0"/>
    <s v="Aug"/>
    <x v="1"/>
    <x v="0"/>
    <s v="Order assembled"/>
    <x v="0"/>
    <x v="0"/>
    <x v="0"/>
    <x v="41"/>
    <n v="398.97"/>
  </r>
  <r>
    <s v="AD01-9362"/>
    <x v="0"/>
    <s v="Aug"/>
    <x v="1"/>
    <x v="0"/>
    <s v="Order assembled"/>
    <x v="0"/>
    <x v="0"/>
    <x v="0"/>
    <x v="145"/>
    <n v="1106.82"/>
  </r>
  <r>
    <s v="AD01-9361"/>
    <x v="0"/>
    <s v="Aug"/>
    <x v="1"/>
    <x v="0"/>
    <s v="Order assembled"/>
    <x v="0"/>
    <x v="0"/>
    <x v="0"/>
    <x v="230"/>
    <n v="1154.01"/>
  </r>
  <r>
    <s v="AD01-9362"/>
    <x v="0"/>
    <s v="Aug"/>
    <x v="1"/>
    <x v="0"/>
    <s v="Order assembled"/>
    <x v="0"/>
    <x v="0"/>
    <x v="0"/>
    <x v="247"/>
    <n v="1229.8"/>
  </r>
  <r>
    <s v="AD01-9365"/>
    <x v="0"/>
    <s v="Aug"/>
    <x v="1"/>
    <x v="0"/>
    <s v="Order assembled"/>
    <x v="0"/>
    <x v="0"/>
    <x v="0"/>
    <x v="248"/>
    <n v="504.78999999999996"/>
  </r>
  <r>
    <s v="AD01-9364"/>
    <x v="0"/>
    <s v="Aug"/>
    <x v="1"/>
    <x v="0"/>
    <s v="Order assembled"/>
    <x v="0"/>
    <x v="0"/>
    <x v="0"/>
    <x v="25"/>
    <n v="401.83"/>
  </r>
  <r>
    <s v="AD01-9364"/>
    <x v="0"/>
    <s v="Dec"/>
    <x v="1"/>
    <x v="0"/>
    <s v="Order assembled"/>
    <x v="0"/>
    <x v="0"/>
    <x v="0"/>
    <x v="3"/>
    <n v="406.12"/>
  </r>
  <r>
    <s v="AD01-9362"/>
    <x v="0"/>
    <s v="Dec"/>
    <x v="1"/>
    <x v="0"/>
    <s v="Order assembled"/>
    <x v="0"/>
    <x v="0"/>
    <x v="0"/>
    <x v="165"/>
    <n v="474.76"/>
  </r>
  <r>
    <s v="AD01-9364"/>
    <x v="0"/>
    <s v="Dec"/>
    <x v="1"/>
    <x v="0"/>
    <s v="Order assembled"/>
    <x v="0"/>
    <x v="0"/>
    <x v="0"/>
    <x v="30"/>
    <n v="371.8"/>
  </r>
  <r>
    <s v="AD01-9362"/>
    <x v="0"/>
    <s v="Dec"/>
    <x v="1"/>
    <x v="0"/>
    <s v="Order assembled"/>
    <x v="0"/>
    <x v="0"/>
    <x v="0"/>
    <x v="149"/>
    <n v="526.24"/>
  </r>
  <r>
    <s v="AD01-9361"/>
    <x v="0"/>
    <s v="Dec"/>
    <x v="1"/>
    <x v="0"/>
    <s v="Order assembled"/>
    <x v="0"/>
    <x v="0"/>
    <x v="0"/>
    <x v="249"/>
    <n v="526.24"/>
  </r>
  <r>
    <s v="AD01-9362"/>
    <x v="0"/>
    <s v="Dec"/>
    <x v="1"/>
    <x v="0"/>
    <s v="Order assembled"/>
    <x v="0"/>
    <x v="0"/>
    <x v="0"/>
    <x v="33"/>
    <n v="526.24"/>
  </r>
  <r>
    <s v="AD01-9361"/>
    <x v="0"/>
    <s v="Dec"/>
    <x v="1"/>
    <x v="0"/>
    <s v="Order assembled"/>
    <x v="0"/>
    <x v="0"/>
    <x v="0"/>
    <x v="250"/>
    <n v="1424.28"/>
  </r>
  <r>
    <s v="AD01-9362"/>
    <x v="0"/>
    <s v="Dec"/>
    <x v="1"/>
    <x v="0"/>
    <s v="Order assembled"/>
    <x v="0"/>
    <x v="0"/>
    <x v="0"/>
    <x v="205"/>
    <n v="368.94"/>
  </r>
  <r>
    <s v="AD01-9362"/>
    <x v="0"/>
    <s v="Dec"/>
    <x v="1"/>
    <x v="0"/>
    <s v="Order assembled"/>
    <x v="0"/>
    <x v="0"/>
    <x v="0"/>
    <x v="40"/>
    <n v="407.55"/>
  </r>
  <r>
    <s v="AD01-9361"/>
    <x v="0"/>
    <s v="Dec"/>
    <x v="1"/>
    <x v="0"/>
    <s v="Order assembled"/>
    <x v="0"/>
    <x v="0"/>
    <x v="0"/>
    <x v="177"/>
    <n v="476.19"/>
  </r>
  <r>
    <s v="AD01-9361"/>
    <x v="0"/>
    <s v="Dec"/>
    <x v="1"/>
    <x v="0"/>
    <s v="Order assembled"/>
    <x v="0"/>
    <x v="0"/>
    <x v="0"/>
    <x v="227"/>
    <n v="373.23"/>
  </r>
  <r>
    <s v="AD01-9362"/>
    <x v="0"/>
    <s v="Dec"/>
    <x v="1"/>
    <x v="0"/>
    <s v="Order assembled"/>
    <x v="0"/>
    <x v="0"/>
    <x v="0"/>
    <x v="216"/>
    <n v="1111.1100000000001"/>
  </r>
  <r>
    <s v="AD01-9361"/>
    <x v="0"/>
    <s v="Dec"/>
    <x v="1"/>
    <x v="0"/>
    <s v="Order assembled"/>
    <x v="0"/>
    <x v="0"/>
    <x v="0"/>
    <x v="251"/>
    <n v="1159.73"/>
  </r>
  <r>
    <s v="AD01-9362"/>
    <x v="0"/>
    <s v="Dec"/>
    <x v="1"/>
    <x v="0"/>
    <s v="Order assembled"/>
    <x v="0"/>
    <x v="0"/>
    <x v="0"/>
    <x v="252"/>
    <n v="1235.52"/>
  </r>
  <r>
    <s v="AD01-9364"/>
    <x v="0"/>
    <s v="Dec"/>
    <x v="1"/>
    <x v="0"/>
    <s v="Order assembled"/>
    <x v="0"/>
    <x v="0"/>
    <x v="0"/>
    <x v="48"/>
    <n v="410.40999999999997"/>
  </r>
  <r>
    <s v="AD01-9361"/>
    <x v="0"/>
    <s v="Dec"/>
    <x v="1"/>
    <x v="0"/>
    <s v="Order assembled"/>
    <x v="0"/>
    <x v="0"/>
    <x v="0"/>
    <x v="253"/>
    <n v="479.05"/>
  </r>
  <r>
    <s v="AD01-9364"/>
    <x v="0"/>
    <s v="Dec"/>
    <x v="1"/>
    <x v="0"/>
    <s v="Order assembled"/>
    <x v="0"/>
    <x v="0"/>
    <x v="0"/>
    <x v="214"/>
    <n v="367.51"/>
  </r>
  <r>
    <s v="AD01-9362"/>
    <x v="0"/>
    <s v="Feb"/>
    <x v="1"/>
    <x v="0"/>
    <s v="Order assembled"/>
    <x v="0"/>
    <x v="0"/>
    <x v="1"/>
    <x v="0"/>
    <n v="500.5"/>
  </r>
  <r>
    <s v="AD01-9364"/>
    <x v="0"/>
    <s v="Feb"/>
    <x v="1"/>
    <x v="0"/>
    <s v="Order assembled"/>
    <x v="0"/>
    <x v="0"/>
    <x v="1"/>
    <x v="1"/>
    <n v="491.91999999999996"/>
  </r>
  <r>
    <s v="AD01-9361"/>
    <x v="0"/>
    <s v="Feb"/>
    <x v="1"/>
    <x v="0"/>
    <s v="Order assembled"/>
    <x v="0"/>
    <x v="0"/>
    <x v="0"/>
    <x v="164"/>
    <n v="483.34000000000003"/>
  </r>
  <r>
    <s v="AD01-9361"/>
    <x v="0"/>
    <s v="Feb"/>
    <x v="1"/>
    <x v="0"/>
    <s v="Order assembled"/>
    <x v="0"/>
    <x v="0"/>
    <x v="0"/>
    <x v="254"/>
    <n v="200.2"/>
  </r>
  <r>
    <s v="AD01-9363"/>
    <x v="0"/>
    <s v="Feb"/>
    <x v="1"/>
    <x v="0"/>
    <s v="Order assembled"/>
    <x v="0"/>
    <x v="0"/>
    <x v="0"/>
    <x v="126"/>
    <n v="449.02"/>
  </r>
  <r>
    <s v="AD01-9361"/>
    <x v="0"/>
    <s v="Feb"/>
    <x v="1"/>
    <x v="0"/>
    <s v="Order assembled"/>
    <x v="0"/>
    <x v="0"/>
    <x v="1"/>
    <x v="244"/>
    <n v="503.36"/>
  </r>
  <r>
    <s v="AD01-9361"/>
    <x v="0"/>
    <s v="Feb"/>
    <x v="1"/>
    <x v="0"/>
    <s v="Order assembled"/>
    <x v="0"/>
    <x v="0"/>
    <x v="1"/>
    <x v="255"/>
    <n v="494.78"/>
  </r>
  <r>
    <s v="AD01-9362"/>
    <x v="0"/>
    <s v="Feb"/>
    <x v="1"/>
    <x v="0"/>
    <s v="Order assembled"/>
    <x v="0"/>
    <x v="0"/>
    <x v="1"/>
    <x v="256"/>
    <n v="486.2"/>
  </r>
  <r>
    <s v="AD01-9362"/>
    <x v="0"/>
    <s v="Feb"/>
    <x v="1"/>
    <x v="0"/>
    <s v="Order assembled"/>
    <x v="0"/>
    <x v="0"/>
    <x v="0"/>
    <x v="256"/>
    <n v="526.24"/>
  </r>
  <r>
    <s v="AD01-9361"/>
    <x v="0"/>
    <s v="Feb"/>
    <x v="1"/>
    <x v="0"/>
    <s v="Order assembled"/>
    <x v="0"/>
    <x v="0"/>
    <x v="0"/>
    <x v="257"/>
    <n v="526.24"/>
  </r>
  <r>
    <s v="AD01-9362"/>
    <x v="0"/>
    <s v="Feb"/>
    <x v="1"/>
    <x v="0"/>
    <s v="Order assembled"/>
    <x v="0"/>
    <x v="0"/>
    <x v="0"/>
    <x v="258"/>
    <n v="1411.4099999999999"/>
  </r>
  <r>
    <s v="AD01-9362"/>
    <x v="0"/>
    <s v="Feb"/>
    <x v="1"/>
    <x v="0"/>
    <s v="Order assembled"/>
    <x v="0"/>
    <x v="0"/>
    <x v="0"/>
    <x v="259"/>
    <n v="1460.03"/>
  </r>
  <r>
    <s v="AD01-9362"/>
    <x v="0"/>
    <s v="Feb"/>
    <x v="1"/>
    <x v="0"/>
    <s v="Order assembled"/>
    <x v="0"/>
    <x v="0"/>
    <x v="0"/>
    <x v="133"/>
    <n v="446.15999999999997"/>
  </r>
  <r>
    <s v="AD01-9362"/>
    <x v="0"/>
    <s v="Feb"/>
    <x v="1"/>
    <x v="0"/>
    <s v="Order assembled"/>
    <x v="0"/>
    <x v="0"/>
    <x v="0"/>
    <x v="15"/>
    <n v="484.77"/>
  </r>
  <r>
    <s v="AD01-9361"/>
    <x v="0"/>
    <s v="Feb"/>
    <x v="1"/>
    <x v="0"/>
    <s v="Order assembled"/>
    <x v="0"/>
    <x v="0"/>
    <x v="0"/>
    <x v="260"/>
    <n v="201.63"/>
  </r>
  <r>
    <s v="AD01-9362"/>
    <x v="0"/>
    <s v="Feb"/>
    <x v="1"/>
    <x v="0"/>
    <s v="Order assembled"/>
    <x v="0"/>
    <x v="0"/>
    <x v="0"/>
    <x v="137"/>
    <n v="450.45"/>
  </r>
  <r>
    <s v="AD01-9362"/>
    <x v="0"/>
    <s v="Feb"/>
    <x v="1"/>
    <x v="0"/>
    <s v="Order assembled"/>
    <x v="0"/>
    <x v="0"/>
    <x v="0"/>
    <x v="261"/>
    <n v="507.65"/>
  </r>
  <r>
    <s v="AD01-9361"/>
    <x v="0"/>
    <s v="Feb"/>
    <x v="1"/>
    <x v="0"/>
    <s v="Order assembled"/>
    <x v="0"/>
    <x v="0"/>
    <x v="1"/>
    <x v="262"/>
    <n v="499.07"/>
  </r>
  <r>
    <s v="AD01-9362"/>
    <x v="0"/>
    <s v="Feb"/>
    <x v="1"/>
    <x v="0"/>
    <s v="Order assembled"/>
    <x v="0"/>
    <x v="0"/>
    <x v="1"/>
    <x v="263"/>
    <n v="490.49"/>
  </r>
  <r>
    <s v="AD01-9362"/>
    <x v="0"/>
    <s v="Feb"/>
    <x v="1"/>
    <x v="0"/>
    <s v="Order assembled"/>
    <x v="0"/>
    <x v="0"/>
    <x v="0"/>
    <x v="159"/>
    <n v="1146.8600000000001"/>
  </r>
  <r>
    <s v="AD01-9362"/>
    <x v="0"/>
    <s v="Feb"/>
    <x v="1"/>
    <x v="0"/>
    <s v="Order assembled"/>
    <x v="0"/>
    <x v="0"/>
    <x v="0"/>
    <x v="264"/>
    <n v="1222.6500000000001"/>
  </r>
  <r>
    <s v="AD01-9362"/>
    <x v="0"/>
    <s v="Feb"/>
    <x v="1"/>
    <x v="0"/>
    <s v="Order assembled"/>
    <x v="0"/>
    <x v="0"/>
    <x v="1"/>
    <x v="265"/>
    <n v="1128.27"/>
  </r>
  <r>
    <s v="AD01-9361"/>
    <x v="0"/>
    <s v="Feb"/>
    <x v="1"/>
    <x v="0"/>
    <s v="Order assembled"/>
    <x v="0"/>
    <x v="0"/>
    <x v="1"/>
    <x v="266"/>
    <n v="1129.7"/>
  </r>
  <r>
    <s v="AD01-9362"/>
    <x v="0"/>
    <s v="Feb"/>
    <x v="1"/>
    <x v="0"/>
    <s v="Order assembled"/>
    <x v="0"/>
    <x v="0"/>
    <x v="1"/>
    <x v="267"/>
    <n v="1131.1300000000001"/>
  </r>
  <r>
    <s v="AD01-9363"/>
    <x v="0"/>
    <s v="Feb"/>
    <x v="1"/>
    <x v="0"/>
    <s v="Order assembled"/>
    <x v="0"/>
    <x v="0"/>
    <x v="0"/>
    <x v="268"/>
    <n v="487.63"/>
  </r>
  <r>
    <s v="AD01-9362"/>
    <x v="0"/>
    <s v="Feb"/>
    <x v="1"/>
    <x v="0"/>
    <s v="Order assembled"/>
    <x v="0"/>
    <x v="0"/>
    <x v="0"/>
    <x v="269"/>
    <n v="204.49"/>
  </r>
  <r>
    <s v="AD01-9361"/>
    <x v="0"/>
    <s v="Feb"/>
    <x v="1"/>
    <x v="0"/>
    <s v="Order assembled"/>
    <x v="0"/>
    <x v="0"/>
    <x v="0"/>
    <x v="270"/>
    <n v="444.73"/>
  </r>
  <r>
    <s v="AD01-9361"/>
    <x v="0"/>
    <s v="Jan"/>
    <x v="1"/>
    <x v="0"/>
    <s v="Order assembled"/>
    <x v="0"/>
    <x v="0"/>
    <x v="0"/>
    <x v="148"/>
    <n v="509.08"/>
  </r>
  <r>
    <s v="AD01-9364"/>
    <x v="0"/>
    <s v="Jan"/>
    <x v="1"/>
    <x v="0"/>
    <s v="Order assembled"/>
    <x v="0"/>
    <x v="0"/>
    <x v="0"/>
    <x v="1"/>
    <n v="491.91999999999996"/>
  </r>
  <r>
    <s v="AD01-9362"/>
    <x v="0"/>
    <s v="Jan"/>
    <x v="1"/>
    <x v="0"/>
    <s v="Order assembled"/>
    <x v="0"/>
    <x v="0"/>
    <x v="0"/>
    <x v="271"/>
    <n v="208.78"/>
  </r>
  <r>
    <s v="AD01-9362"/>
    <x v="0"/>
    <s v="Jan"/>
    <x v="1"/>
    <x v="0"/>
    <s v="Order assembled"/>
    <x v="0"/>
    <x v="0"/>
    <x v="0"/>
    <x v="125"/>
    <n v="457.6"/>
  </r>
  <r>
    <s v="AD01-9362"/>
    <x v="0"/>
    <s v="Jan"/>
    <x v="1"/>
    <x v="0"/>
    <s v="Order assembled"/>
    <x v="0"/>
    <x v="0"/>
    <x v="0"/>
    <x v="272"/>
    <n v="511.94"/>
  </r>
  <r>
    <s v="AD01-9361"/>
    <x v="0"/>
    <s v="Jan"/>
    <x v="1"/>
    <x v="0"/>
    <s v="Order assembled"/>
    <x v="0"/>
    <x v="0"/>
    <x v="0"/>
    <x v="33"/>
    <n v="374.65999999999997"/>
  </r>
  <r>
    <s v="AD01-9364"/>
    <x v="0"/>
    <s v="Jan"/>
    <x v="1"/>
    <x v="0"/>
    <s v="Order assembled"/>
    <x v="0"/>
    <x v="0"/>
    <x v="0"/>
    <x v="255"/>
    <n v="526.24"/>
  </r>
  <r>
    <s v="AD01-9364"/>
    <x v="0"/>
    <s v="Jan"/>
    <x v="1"/>
    <x v="0"/>
    <s v="Order assembled"/>
    <x v="0"/>
    <x v="0"/>
    <x v="0"/>
    <x v="273"/>
    <n v="526.24"/>
  </r>
  <r>
    <s v="AD01-9362"/>
    <x v="0"/>
    <s v="Jan"/>
    <x v="1"/>
    <x v="0"/>
    <s v="Order assembled"/>
    <x v="0"/>
    <x v="0"/>
    <x v="0"/>
    <x v="274"/>
    <n v="526.24"/>
  </r>
  <r>
    <s v="AD01-9364"/>
    <x v="0"/>
    <s v="Jan"/>
    <x v="1"/>
    <x v="0"/>
    <s v="Order assembled"/>
    <x v="0"/>
    <x v="0"/>
    <x v="0"/>
    <x v="275"/>
    <n v="1371.37"/>
  </r>
  <r>
    <s v="AD01-9362"/>
    <x v="0"/>
    <s v="Jan"/>
    <x v="1"/>
    <x v="0"/>
    <s v="Order assembled"/>
    <x v="0"/>
    <x v="0"/>
    <x v="0"/>
    <x v="276"/>
    <n v="1458.6"/>
  </r>
  <r>
    <s v="AD01-9362"/>
    <x v="0"/>
    <s v="Jan"/>
    <x v="1"/>
    <x v="0"/>
    <s v="Order assembled"/>
    <x v="0"/>
    <x v="0"/>
    <x v="0"/>
    <x v="132"/>
    <n v="454.74"/>
  </r>
  <r>
    <s v="AD01-9362"/>
    <x v="0"/>
    <s v="Jan"/>
    <x v="1"/>
    <x v="0"/>
    <s v="Order assembled"/>
    <x v="0"/>
    <x v="0"/>
    <x v="0"/>
    <x v="14"/>
    <n v="493.35"/>
  </r>
  <r>
    <s v="AD01-9364"/>
    <x v="0"/>
    <s v="Jan"/>
    <x v="1"/>
    <x v="0"/>
    <s v="Order assembled"/>
    <x v="0"/>
    <x v="0"/>
    <x v="0"/>
    <x v="277"/>
    <n v="210.21"/>
  </r>
  <r>
    <s v="AD01-9364"/>
    <x v="0"/>
    <s v="Jan"/>
    <x v="1"/>
    <x v="0"/>
    <s v="Order assembled"/>
    <x v="0"/>
    <x v="0"/>
    <x v="0"/>
    <x v="119"/>
    <n v="378.95"/>
  </r>
  <r>
    <s v="AD01-9362"/>
    <x v="0"/>
    <s v="Jan"/>
    <x v="1"/>
    <x v="0"/>
    <s v="Order assembled"/>
    <x v="0"/>
    <x v="0"/>
    <x v="0"/>
    <x v="224"/>
    <n v="1098.24"/>
  </r>
  <r>
    <s v="AD01-9361"/>
    <x v="0"/>
    <s v="Jan"/>
    <x v="1"/>
    <x v="0"/>
    <s v="Order assembled"/>
    <x v="0"/>
    <x v="0"/>
    <x v="0"/>
    <x v="83"/>
    <n v="1145.43"/>
  </r>
  <r>
    <s v="AD01-9364"/>
    <x v="0"/>
    <s v="Jan"/>
    <x v="1"/>
    <x v="0"/>
    <s v="Order assembled"/>
    <x v="0"/>
    <x v="0"/>
    <x v="0"/>
    <x v="278"/>
    <n v="1221.22"/>
  </r>
  <r>
    <s v="AD01-9361"/>
    <x v="0"/>
    <s v="Jan"/>
    <x v="1"/>
    <x v="0"/>
    <s v="Order assembled"/>
    <x v="0"/>
    <x v="0"/>
    <x v="0"/>
    <x v="279"/>
    <n v="1126.8399999999999"/>
  </r>
  <r>
    <s v="AD01-9362"/>
    <x v="0"/>
    <s v="Jan"/>
    <x v="1"/>
    <x v="0"/>
    <s v="Order assembled"/>
    <x v="0"/>
    <x v="0"/>
    <x v="0"/>
    <x v="51"/>
    <n v="376.09000000000003"/>
  </r>
  <r>
    <s v="AD01-9362"/>
    <x v="0"/>
    <s v="Jan"/>
    <x v="1"/>
    <x v="0"/>
    <s v="Order assembled"/>
    <x v="0"/>
    <x v="0"/>
    <x v="0"/>
    <x v="280"/>
    <n v="496.21000000000004"/>
  </r>
  <r>
    <s v="AD01-9364"/>
    <x v="0"/>
    <s v="Jan"/>
    <x v="1"/>
    <x v="0"/>
    <s v="Order assembled"/>
    <x v="0"/>
    <x v="0"/>
    <x v="0"/>
    <x v="281"/>
    <n v="453.31"/>
  </r>
  <r>
    <s v="AD01-9362"/>
    <x v="0"/>
    <s v="Jul"/>
    <x v="1"/>
    <x v="0"/>
    <s v="Order assembled"/>
    <x v="0"/>
    <x v="0"/>
    <x v="0"/>
    <x v="126"/>
    <n v="449.02"/>
  </r>
  <r>
    <s v="AD01-9364"/>
    <x v="0"/>
    <s v="Jul"/>
    <x v="1"/>
    <x v="0"/>
    <s v="Order assembled"/>
    <x v="0"/>
    <x v="0"/>
    <x v="0"/>
    <x v="147"/>
    <n v="517.66"/>
  </r>
  <r>
    <s v="AD01-9362"/>
    <x v="0"/>
    <s v="Jul"/>
    <x v="1"/>
    <x v="0"/>
    <s v="Order assembled"/>
    <x v="0"/>
    <x v="0"/>
    <x v="0"/>
    <x v="3"/>
    <n v="406.12"/>
  </r>
  <r>
    <s v="AD01-9362"/>
    <x v="0"/>
    <s v="Jul"/>
    <x v="1"/>
    <x v="0"/>
    <s v="Order assembled"/>
    <x v="0"/>
    <x v="0"/>
    <x v="0"/>
    <x v="272"/>
    <n v="526.24"/>
  </r>
  <r>
    <s v="AD01-9362"/>
    <x v="0"/>
    <s v="Jul"/>
    <x v="1"/>
    <x v="0"/>
    <s v="Order assembled"/>
    <x v="0"/>
    <x v="0"/>
    <x v="0"/>
    <x v="149"/>
    <n v="526.24"/>
  </r>
  <r>
    <s v="AD01-9362"/>
    <x v="0"/>
    <s v="Jul"/>
    <x v="1"/>
    <x v="0"/>
    <s v="Order assembled"/>
    <x v="0"/>
    <x v="0"/>
    <x v="0"/>
    <x v="282"/>
    <n v="1418.56"/>
  </r>
  <r>
    <s v="AD01-9362"/>
    <x v="0"/>
    <s v="Jul"/>
    <x v="1"/>
    <x v="0"/>
    <s v="Order assembled"/>
    <x v="0"/>
    <x v="0"/>
    <x v="0"/>
    <x v="283"/>
    <n v="1465.75"/>
  </r>
  <r>
    <s v="AD01-9361"/>
    <x v="0"/>
    <s v="Jul"/>
    <x v="1"/>
    <x v="0"/>
    <s v="Order assembled"/>
    <x v="0"/>
    <x v="0"/>
    <x v="0"/>
    <x v="35"/>
    <n v="411.84000000000003"/>
  </r>
  <r>
    <s v="AD01-9361"/>
    <x v="0"/>
    <s v="Jul"/>
    <x v="1"/>
    <x v="0"/>
    <s v="Order assembled"/>
    <x v="0"/>
    <x v="0"/>
    <x v="0"/>
    <x v="137"/>
    <n v="450.45"/>
  </r>
  <r>
    <s v="AD01-9362"/>
    <x v="0"/>
    <s v="Jul"/>
    <x v="1"/>
    <x v="0"/>
    <s v="Order assembled"/>
    <x v="0"/>
    <x v="0"/>
    <x v="0"/>
    <x v="40"/>
    <n v="407.55"/>
  </r>
  <r>
    <s v="AD01-9362"/>
    <x v="0"/>
    <s v="Jul"/>
    <x v="1"/>
    <x v="0"/>
    <s v="Order assembled"/>
    <x v="0"/>
    <x v="0"/>
    <x v="0"/>
    <x v="189"/>
    <n v="1105.3899999999999"/>
  </r>
  <r>
    <s v="AD01-9361"/>
    <x v="0"/>
    <s v="Jul"/>
    <x v="1"/>
    <x v="0"/>
    <s v="Order assembled"/>
    <x v="0"/>
    <x v="0"/>
    <x v="0"/>
    <x v="44"/>
    <n v="1152.58"/>
  </r>
  <r>
    <s v="AD01-9362"/>
    <x v="0"/>
    <s v="Jul"/>
    <x v="1"/>
    <x v="0"/>
    <s v="Order assembled"/>
    <x v="0"/>
    <x v="0"/>
    <x v="0"/>
    <x v="270"/>
    <n v="444.73"/>
  </r>
  <r>
    <s v="AD01-9362"/>
    <x v="0"/>
    <s v="Jul"/>
    <x v="1"/>
    <x v="0"/>
    <s v="Order assembled"/>
    <x v="0"/>
    <x v="0"/>
    <x v="0"/>
    <x v="284"/>
    <n v="513.37"/>
  </r>
  <r>
    <s v="AD01-9362"/>
    <x v="0"/>
    <s v="Jul"/>
    <x v="1"/>
    <x v="0"/>
    <s v="Order assembled"/>
    <x v="0"/>
    <x v="0"/>
    <x v="0"/>
    <x v="48"/>
    <n v="410.40999999999997"/>
  </r>
  <r>
    <s v="AD01-9362"/>
    <x v="0"/>
    <s v="Jun"/>
    <x v="1"/>
    <x v="0"/>
    <s v="Order assembled"/>
    <x v="0"/>
    <x v="0"/>
    <x v="0"/>
    <x v="125"/>
    <n v="457.6"/>
  </r>
  <r>
    <s v="AD01-9362"/>
    <x v="0"/>
    <s v="Jun"/>
    <x v="1"/>
    <x v="0"/>
    <s v="Order assembled"/>
    <x v="0"/>
    <x v="0"/>
    <x v="0"/>
    <x v="27"/>
    <n v="414.7"/>
  </r>
  <r>
    <s v="AD01-9365"/>
    <x v="0"/>
    <s v="Jun"/>
    <x v="1"/>
    <x v="0"/>
    <s v="Order assembled"/>
    <x v="0"/>
    <x v="0"/>
    <x v="0"/>
    <x v="274"/>
    <n v="526.24"/>
  </r>
  <r>
    <s v="AD01-9361"/>
    <x v="0"/>
    <s v="Jun"/>
    <x v="1"/>
    <x v="0"/>
    <s v="Order assembled"/>
    <x v="0"/>
    <x v="0"/>
    <x v="0"/>
    <x v="285"/>
    <n v="526.24"/>
  </r>
  <r>
    <s v="AD01-9365"/>
    <x v="0"/>
    <s v="Jun"/>
    <x v="1"/>
    <x v="0"/>
    <s v="Order assembled"/>
    <x v="0"/>
    <x v="0"/>
    <x v="0"/>
    <x v="76"/>
    <n v="526.24"/>
  </r>
  <r>
    <s v="AD01-9362"/>
    <x v="0"/>
    <s v="Jun"/>
    <x v="1"/>
    <x v="0"/>
    <s v="Order assembled"/>
    <x v="0"/>
    <x v="0"/>
    <x v="0"/>
    <x v="286"/>
    <n v="1417.13"/>
  </r>
  <r>
    <s v="AD01-9364"/>
    <x v="0"/>
    <s v="Jun"/>
    <x v="1"/>
    <x v="0"/>
    <s v="Order assembled"/>
    <x v="0"/>
    <x v="0"/>
    <x v="0"/>
    <x v="287"/>
    <n v="1464.32"/>
  </r>
  <r>
    <s v="AD01-9361"/>
    <x v="0"/>
    <s v="Jun"/>
    <x v="1"/>
    <x v="0"/>
    <s v="Order assembled"/>
    <x v="0"/>
    <x v="0"/>
    <x v="0"/>
    <x v="110"/>
    <n v="420.42"/>
  </r>
  <r>
    <s v="AD01-9361"/>
    <x v="0"/>
    <s v="Jun"/>
    <x v="1"/>
    <x v="0"/>
    <s v="Order assembled"/>
    <x v="0"/>
    <x v="0"/>
    <x v="0"/>
    <x v="136"/>
    <n v="459.03"/>
  </r>
  <r>
    <s v="AD01-9361"/>
    <x v="0"/>
    <s v="Jun"/>
    <x v="1"/>
    <x v="0"/>
    <s v="Order assembled"/>
    <x v="0"/>
    <x v="0"/>
    <x v="0"/>
    <x v="156"/>
    <n v="519.09"/>
  </r>
  <r>
    <s v="AD01-9362"/>
    <x v="0"/>
    <s v="Jun"/>
    <x v="1"/>
    <x v="0"/>
    <s v="Order assembled"/>
    <x v="0"/>
    <x v="0"/>
    <x v="0"/>
    <x v="116"/>
    <n v="416.13"/>
  </r>
  <r>
    <s v="AD01-9365"/>
    <x v="0"/>
    <s v="Jun"/>
    <x v="1"/>
    <x v="0"/>
    <s v="Order assembled"/>
    <x v="0"/>
    <x v="0"/>
    <x v="0"/>
    <x v="26"/>
    <n v="1103.96"/>
  </r>
  <r>
    <s v="AD01-9361"/>
    <x v="0"/>
    <s v="Jun"/>
    <x v="1"/>
    <x v="0"/>
    <s v="Order assembled"/>
    <x v="0"/>
    <x v="0"/>
    <x v="0"/>
    <x v="118"/>
    <n v="1151.1500000000001"/>
  </r>
  <r>
    <s v="AD01-9365"/>
    <x v="0"/>
    <s v="Jun"/>
    <x v="1"/>
    <x v="0"/>
    <s v="Order assembled"/>
    <x v="0"/>
    <x v="0"/>
    <x v="0"/>
    <x v="288"/>
    <n v="1228.3699999999999"/>
  </r>
  <r>
    <s v="AD01-9362"/>
    <x v="0"/>
    <s v="Jun"/>
    <x v="1"/>
    <x v="0"/>
    <s v="Order assembled"/>
    <x v="0"/>
    <x v="0"/>
    <x v="0"/>
    <x v="281"/>
    <n v="453.31"/>
  </r>
  <r>
    <s v="AD01-9362"/>
    <x v="0"/>
    <s v="Jun"/>
    <x v="1"/>
    <x v="0"/>
    <s v="Order assembled"/>
    <x v="0"/>
    <x v="0"/>
    <x v="0"/>
    <x v="289"/>
    <n v="521.95000000000005"/>
  </r>
  <r>
    <s v="AD01-9362"/>
    <x v="0"/>
    <s v="Jun"/>
    <x v="1"/>
    <x v="0"/>
    <s v="Order assembled"/>
    <x v="0"/>
    <x v="0"/>
    <x v="0"/>
    <x v="87"/>
    <n v="418.99"/>
  </r>
  <r>
    <s v="AD01-9364"/>
    <x v="0"/>
    <s v="Mar"/>
    <x v="1"/>
    <x v="0"/>
    <s v="Order assembled"/>
    <x v="0"/>
    <x v="0"/>
    <x v="0"/>
    <x v="165"/>
    <n v="474.76"/>
  </r>
  <r>
    <s v="AD01-9361"/>
    <x v="0"/>
    <s v="Mar"/>
    <x v="1"/>
    <x v="0"/>
    <s v="Order assembled"/>
    <x v="0"/>
    <x v="0"/>
    <x v="0"/>
    <x v="290"/>
    <n v="191.62"/>
  </r>
  <r>
    <s v="AD01-9362"/>
    <x v="0"/>
    <s v="Mar"/>
    <x v="1"/>
    <x v="0"/>
    <s v="Order assembled"/>
    <x v="0"/>
    <x v="0"/>
    <x v="0"/>
    <x v="127"/>
    <n v="440.44"/>
  </r>
  <r>
    <s v="AD01-9364"/>
    <x v="0"/>
    <s v="Mar"/>
    <x v="1"/>
    <x v="0"/>
    <s v="Order assembled"/>
    <x v="0"/>
    <x v="0"/>
    <x v="0"/>
    <x v="249"/>
    <n v="526.24"/>
  </r>
  <r>
    <s v="AD01-9364"/>
    <x v="0"/>
    <s v="Mar"/>
    <x v="1"/>
    <x v="0"/>
    <s v="Order assembled"/>
    <x v="0"/>
    <x v="0"/>
    <x v="0"/>
    <x v="291"/>
    <n v="526.24"/>
  </r>
  <r>
    <s v="AD01-9362"/>
    <x v="0"/>
    <s v="Mar"/>
    <x v="1"/>
    <x v="0"/>
    <s v="Order assembled"/>
    <x v="0"/>
    <x v="0"/>
    <x v="0"/>
    <x v="243"/>
    <n v="526.24"/>
  </r>
  <r>
    <s v="AD01-9362"/>
    <x v="0"/>
    <s v="Mar"/>
    <x v="1"/>
    <x v="0"/>
    <s v="Order assembled"/>
    <x v="0"/>
    <x v="0"/>
    <x v="0"/>
    <x v="292"/>
    <n v="1412.84"/>
  </r>
  <r>
    <s v="AD01-9361"/>
    <x v="0"/>
    <s v="Mar"/>
    <x v="1"/>
    <x v="0"/>
    <s v="Order assembled"/>
    <x v="0"/>
    <x v="0"/>
    <x v="0"/>
    <x v="108"/>
    <n v="437.58"/>
  </r>
  <r>
    <s v="AD01-9361"/>
    <x v="0"/>
    <s v="Mar"/>
    <x v="1"/>
    <x v="0"/>
    <s v="Order assembled"/>
    <x v="0"/>
    <x v="0"/>
    <x v="0"/>
    <x v="177"/>
    <n v="476.19"/>
  </r>
  <r>
    <s v="AD01-9364"/>
    <x v="0"/>
    <s v="Mar"/>
    <x v="1"/>
    <x v="0"/>
    <s v="Order assembled"/>
    <x v="0"/>
    <x v="0"/>
    <x v="0"/>
    <x v="293"/>
    <n v="193.05"/>
  </r>
  <r>
    <s v="AD01-9362"/>
    <x v="0"/>
    <s v="Mar"/>
    <x v="1"/>
    <x v="0"/>
    <s v="Order assembled"/>
    <x v="0"/>
    <x v="0"/>
    <x v="0"/>
    <x v="138"/>
    <n v="441.87"/>
  </r>
  <r>
    <s v="AD01-9362"/>
    <x v="0"/>
    <s v="Mar"/>
    <x v="1"/>
    <x v="0"/>
    <s v="Order assembled"/>
    <x v="0"/>
    <x v="0"/>
    <x v="0"/>
    <x v="104"/>
    <n v="1099.67"/>
  </r>
  <r>
    <s v="AD01-9364"/>
    <x v="0"/>
    <s v="Mar"/>
    <x v="1"/>
    <x v="0"/>
    <s v="Order assembled"/>
    <x v="0"/>
    <x v="0"/>
    <x v="0"/>
    <x v="18"/>
    <n v="1148.29"/>
  </r>
  <r>
    <s v="AD01-9364"/>
    <x v="0"/>
    <s v="Mar"/>
    <x v="1"/>
    <x v="0"/>
    <s v="Order assembled"/>
    <x v="0"/>
    <x v="0"/>
    <x v="0"/>
    <x v="294"/>
    <n v="1224.08"/>
  </r>
  <r>
    <s v="AD01-9362"/>
    <x v="0"/>
    <s v="Mar"/>
    <x v="1"/>
    <x v="0"/>
    <s v="Order assembled"/>
    <x v="0"/>
    <x v="0"/>
    <x v="0"/>
    <x v="253"/>
    <n v="479.05"/>
  </r>
  <r>
    <s v="AD01-9364"/>
    <x v="0"/>
    <s v="Mar"/>
    <x v="1"/>
    <x v="0"/>
    <s v="Order assembled"/>
    <x v="0"/>
    <x v="0"/>
    <x v="0"/>
    <x v="295"/>
    <n v="195.91"/>
  </r>
  <r>
    <s v="AD01-9364"/>
    <x v="0"/>
    <s v="Mar"/>
    <x v="1"/>
    <x v="0"/>
    <s v="Order assembled"/>
    <x v="0"/>
    <x v="0"/>
    <x v="0"/>
    <x v="296"/>
    <n v="436.15"/>
  </r>
  <r>
    <s v="AD01-9361"/>
    <x v="0"/>
    <s v="May"/>
    <x v="1"/>
    <x v="0"/>
    <s v="Order assembled"/>
    <x v="0"/>
    <x v="0"/>
    <x v="0"/>
    <x v="166"/>
    <n v="466.18"/>
  </r>
  <r>
    <s v="AD01-9362"/>
    <x v="0"/>
    <s v="May"/>
    <x v="1"/>
    <x v="0"/>
    <s v="Order assembled"/>
    <x v="0"/>
    <x v="0"/>
    <x v="0"/>
    <x v="146"/>
    <n v="526.24"/>
  </r>
  <r>
    <s v="AD01-9362"/>
    <x v="0"/>
    <s v="May"/>
    <x v="1"/>
    <x v="0"/>
    <s v="Order assembled"/>
    <x v="0"/>
    <x v="0"/>
    <x v="0"/>
    <x v="89"/>
    <n v="423.28"/>
  </r>
  <r>
    <s v="AD01-9362"/>
    <x v="0"/>
    <s v="May"/>
    <x v="1"/>
    <x v="0"/>
    <s v="Order assembled"/>
    <x v="0"/>
    <x v="0"/>
    <x v="0"/>
    <x v="297"/>
    <n v="526.24"/>
  </r>
  <r>
    <s v="AD01-9365"/>
    <x v="0"/>
    <s v="May"/>
    <x v="1"/>
    <x v="0"/>
    <s v="Order assembled"/>
    <x v="0"/>
    <x v="0"/>
    <x v="0"/>
    <x v="90"/>
    <n v="526.24"/>
  </r>
  <r>
    <s v="AD01-9364"/>
    <x v="0"/>
    <s v="May"/>
    <x v="1"/>
    <x v="0"/>
    <s v="Order assembled"/>
    <x v="0"/>
    <x v="0"/>
    <x v="0"/>
    <x v="92"/>
    <n v="526.24"/>
  </r>
  <r>
    <s v="AD01-9364"/>
    <x v="0"/>
    <s v="May"/>
    <x v="1"/>
    <x v="0"/>
    <s v="Order assembled"/>
    <x v="0"/>
    <x v="0"/>
    <x v="0"/>
    <x v="298"/>
    <n v="1415.7"/>
  </r>
  <r>
    <s v="AD01-9361"/>
    <x v="0"/>
    <s v="May"/>
    <x v="1"/>
    <x v="0"/>
    <s v="Order assembled"/>
    <x v="0"/>
    <x v="0"/>
    <x v="0"/>
    <x v="299"/>
    <n v="1462.8899999999999"/>
  </r>
  <r>
    <s v="AD01-9362"/>
    <x v="0"/>
    <s v="May"/>
    <x v="1"/>
    <x v="0"/>
    <s v="Order assembled"/>
    <x v="0"/>
    <x v="0"/>
    <x v="0"/>
    <x v="155"/>
    <n v="527.66999999999996"/>
  </r>
  <r>
    <s v="AD01-9364"/>
    <x v="0"/>
    <s v="May"/>
    <x v="1"/>
    <x v="0"/>
    <s v="Order assembled"/>
    <x v="0"/>
    <x v="0"/>
    <x v="0"/>
    <x v="115"/>
    <n v="424.71"/>
  </r>
  <r>
    <s v="AD01-9364"/>
    <x v="0"/>
    <s v="May"/>
    <x v="1"/>
    <x v="0"/>
    <s v="Order assembled"/>
    <x v="0"/>
    <x v="0"/>
    <x v="0"/>
    <x v="163"/>
    <n v="1102.53"/>
  </r>
  <r>
    <s v="AD01-9361"/>
    <x v="0"/>
    <s v="May"/>
    <x v="1"/>
    <x v="0"/>
    <s v="Order assembled"/>
    <x v="0"/>
    <x v="0"/>
    <x v="0"/>
    <x v="181"/>
    <n v="1149.72"/>
  </r>
  <r>
    <s v="AD01-9362"/>
    <x v="0"/>
    <s v="May"/>
    <x v="1"/>
    <x v="0"/>
    <s v="Order assembled"/>
    <x v="0"/>
    <x v="0"/>
    <x v="0"/>
    <x v="300"/>
    <n v="1226.94"/>
  </r>
  <r>
    <s v="AD01-9362"/>
    <x v="0"/>
    <s v="May"/>
    <x v="1"/>
    <x v="0"/>
    <s v="Order assembled"/>
    <x v="0"/>
    <x v="0"/>
    <x v="0"/>
    <x v="301"/>
    <n v="461.89"/>
  </r>
  <r>
    <s v="AD01-9361"/>
    <x v="0"/>
    <s v="May"/>
    <x v="1"/>
    <x v="0"/>
    <s v="Order assembled"/>
    <x v="0"/>
    <x v="0"/>
    <x v="0"/>
    <x v="302"/>
    <n v="530.53"/>
  </r>
  <r>
    <s v="AD01-9361"/>
    <x v="0"/>
    <s v="May"/>
    <x v="1"/>
    <x v="0"/>
    <s v="Order assembled"/>
    <x v="0"/>
    <x v="0"/>
    <x v="0"/>
    <x v="103"/>
    <n v="427.57"/>
  </r>
  <r>
    <s v="AD01-9361"/>
    <x v="0"/>
    <s v="Nov"/>
    <x v="1"/>
    <x v="0"/>
    <s v="Order assembled"/>
    <x v="0"/>
    <x v="0"/>
    <x v="0"/>
    <x v="27"/>
    <n v="414.7"/>
  </r>
  <r>
    <s v="AD01-9362"/>
    <x v="0"/>
    <s v="Nov"/>
    <x v="1"/>
    <x v="0"/>
    <s v="Order assembled"/>
    <x v="0"/>
    <x v="0"/>
    <x v="0"/>
    <x v="164"/>
    <n v="483.34000000000003"/>
  </r>
  <r>
    <s v="AD01-9362"/>
    <x v="0"/>
    <s v="Nov"/>
    <x v="1"/>
    <x v="0"/>
    <s v="Order assembled"/>
    <x v="0"/>
    <x v="0"/>
    <x v="0"/>
    <x v="106"/>
    <n v="380.38"/>
  </r>
  <r>
    <s v="AD01-9361"/>
    <x v="0"/>
    <s v="Nov"/>
    <x v="1"/>
    <x v="0"/>
    <s v="Order assembled"/>
    <x v="0"/>
    <x v="0"/>
    <x v="0"/>
    <x v="76"/>
    <n v="526.24"/>
  </r>
  <r>
    <s v="AD01-9361"/>
    <x v="0"/>
    <s v="Nov"/>
    <x v="1"/>
    <x v="0"/>
    <s v="Order assembled"/>
    <x v="0"/>
    <x v="0"/>
    <x v="0"/>
    <x v="256"/>
    <n v="526.24"/>
  </r>
  <r>
    <s v="AD01-9362"/>
    <x v="0"/>
    <s v="Nov"/>
    <x v="1"/>
    <x v="0"/>
    <s v="Order assembled"/>
    <x v="0"/>
    <x v="0"/>
    <x v="0"/>
    <x v="303"/>
    <n v="1422.85"/>
  </r>
  <r>
    <s v="AD01-9364"/>
    <x v="0"/>
    <s v="Nov"/>
    <x v="1"/>
    <x v="0"/>
    <s v="Order assembled"/>
    <x v="0"/>
    <x v="0"/>
    <x v="0"/>
    <x v="304"/>
    <n v="1471.47"/>
  </r>
  <r>
    <s v="AD01-9362"/>
    <x v="0"/>
    <s v="Nov"/>
    <x v="1"/>
    <x v="0"/>
    <s v="Order assembled"/>
    <x v="0"/>
    <x v="0"/>
    <x v="0"/>
    <x v="221"/>
    <n v="377.52"/>
  </r>
  <r>
    <s v="AD01-9362"/>
    <x v="0"/>
    <s v="Nov"/>
    <x v="1"/>
    <x v="0"/>
    <s v="Order assembled"/>
    <x v="0"/>
    <x v="0"/>
    <x v="0"/>
    <x v="116"/>
    <n v="416.13"/>
  </r>
  <r>
    <s v="AD01-9362"/>
    <x v="0"/>
    <s v="Nov"/>
    <x v="1"/>
    <x v="0"/>
    <s v="Order assembled"/>
    <x v="0"/>
    <x v="0"/>
    <x v="0"/>
    <x v="15"/>
    <n v="484.77"/>
  </r>
  <r>
    <s v="AD01-9362"/>
    <x v="0"/>
    <s v="Nov"/>
    <x v="1"/>
    <x v="0"/>
    <s v="Order assembled"/>
    <x v="0"/>
    <x v="0"/>
    <x v="0"/>
    <x v="226"/>
    <n v="381.81"/>
  </r>
  <r>
    <s v="AD01-9364"/>
    <x v="0"/>
    <s v="Nov"/>
    <x v="1"/>
    <x v="0"/>
    <s v="Order assembled"/>
    <x v="0"/>
    <x v="0"/>
    <x v="0"/>
    <x v="67"/>
    <n v="1158.3"/>
  </r>
  <r>
    <s v="AD01-9361"/>
    <x v="0"/>
    <s v="Nov"/>
    <x v="1"/>
    <x v="0"/>
    <s v="Order assembled"/>
    <x v="0"/>
    <x v="0"/>
    <x v="0"/>
    <x v="305"/>
    <n v="1234.0899999999999"/>
  </r>
  <r>
    <s v="AD01-9362"/>
    <x v="0"/>
    <s v="Nov"/>
    <x v="1"/>
    <x v="0"/>
    <s v="Order assembled"/>
    <x v="0"/>
    <x v="1"/>
    <x v="0"/>
    <x v="87"/>
    <n v="418.99"/>
  </r>
  <r>
    <s v="AD01-9363"/>
    <x v="0"/>
    <s v="Nov"/>
    <x v="1"/>
    <x v="0"/>
    <s v="Order assembled"/>
    <x v="0"/>
    <x v="1"/>
    <x v="0"/>
    <x v="268"/>
    <n v="487.63"/>
  </r>
  <r>
    <s v="AD01-9361"/>
    <x v="0"/>
    <s v="Nov"/>
    <x v="1"/>
    <x v="0"/>
    <s v="Order assembled"/>
    <x v="0"/>
    <x v="1"/>
    <x v="0"/>
    <x v="51"/>
    <n v="376.09000000000003"/>
  </r>
  <r>
    <s v="AD01-9362"/>
    <x v="0"/>
    <s v="Oct"/>
    <x v="1"/>
    <x v="0"/>
    <s v="Order assembled"/>
    <x v="0"/>
    <x v="1"/>
    <x v="0"/>
    <x v="89"/>
    <n v="423.28"/>
  </r>
  <r>
    <s v="AD01-9363"/>
    <x v="0"/>
    <s v="Oct"/>
    <x v="1"/>
    <x v="0"/>
    <s v="Order assembled"/>
    <x v="0"/>
    <x v="1"/>
    <x v="0"/>
    <x v="1"/>
    <n v="491.91999999999996"/>
  </r>
  <r>
    <s v="AD01-9362"/>
    <x v="0"/>
    <s v="Oct"/>
    <x v="1"/>
    <x v="0"/>
    <s v="Order assembled"/>
    <x v="0"/>
    <x v="1"/>
    <x v="0"/>
    <x v="128"/>
    <n v="388.96"/>
  </r>
  <r>
    <s v="AD01-9361"/>
    <x v="0"/>
    <s v="Oct"/>
    <x v="1"/>
    <x v="0"/>
    <s v="Order assembled"/>
    <x v="0"/>
    <x v="1"/>
    <x v="0"/>
    <x v="92"/>
    <n v="526.24"/>
  </r>
  <r>
    <s v="AD01-9363"/>
    <x v="0"/>
    <s v="Oct"/>
    <x v="1"/>
    <x v="0"/>
    <s v="Order assembled"/>
    <x v="0"/>
    <x v="1"/>
    <x v="0"/>
    <x v="255"/>
    <n v="526.24"/>
  </r>
  <r>
    <s v="AD01-9365"/>
    <x v="0"/>
    <s v="Oct"/>
    <x v="1"/>
    <x v="0"/>
    <s v="Order assembled"/>
    <x v="0"/>
    <x v="1"/>
    <x v="0"/>
    <x v="107"/>
    <n v="526.24"/>
  </r>
  <r>
    <s v="AD01-9362"/>
    <x v="0"/>
    <s v="Oct"/>
    <x v="1"/>
    <x v="0"/>
    <s v="Order assembled"/>
    <x v="0"/>
    <x v="1"/>
    <x v="0"/>
    <x v="306"/>
    <n v="1470.04"/>
  </r>
  <r>
    <s v="AD01-9364"/>
    <x v="0"/>
    <s v="Oct"/>
    <x v="1"/>
    <x v="0"/>
    <s v="Order assembled"/>
    <x v="0"/>
    <x v="1"/>
    <x v="0"/>
    <x v="220"/>
    <n v="386.1"/>
  </r>
  <r>
    <s v="AD01-9364"/>
    <x v="0"/>
    <s v="Oct"/>
    <x v="1"/>
    <x v="0"/>
    <s v="Order assembled"/>
    <x v="0"/>
    <x v="1"/>
    <x v="0"/>
    <x v="115"/>
    <n v="424.71"/>
  </r>
  <r>
    <s v="AD01-9362"/>
    <x v="0"/>
    <s v="Oct"/>
    <x v="1"/>
    <x v="0"/>
    <s v="Order assembled"/>
    <x v="0"/>
    <x v="1"/>
    <x v="0"/>
    <x v="14"/>
    <n v="493.35"/>
  </r>
  <r>
    <s v="AD01-9365"/>
    <x v="0"/>
    <s v="Oct"/>
    <x v="1"/>
    <x v="0"/>
    <s v="Order assembled"/>
    <x v="0"/>
    <x v="1"/>
    <x v="0"/>
    <x v="52"/>
    <n v="1109.68"/>
  </r>
  <r>
    <s v="AD01-9362"/>
    <x v="0"/>
    <s v="Oct"/>
    <x v="1"/>
    <x v="0"/>
    <s v="Order assembled"/>
    <x v="0"/>
    <x v="1"/>
    <x v="0"/>
    <x v="199"/>
    <n v="1156.8699999999999"/>
  </r>
  <r>
    <s v="AD01-9361"/>
    <x v="0"/>
    <s v="Oct"/>
    <x v="1"/>
    <x v="0"/>
    <s v="Order assembled"/>
    <x v="0"/>
    <x v="1"/>
    <x v="0"/>
    <x v="307"/>
    <n v="1232.6599999999999"/>
  </r>
  <r>
    <s v="AD01-9362"/>
    <x v="0"/>
    <s v="Oct"/>
    <x v="1"/>
    <x v="0"/>
    <s v="Order assembled"/>
    <x v="0"/>
    <x v="1"/>
    <x v="0"/>
    <x v="103"/>
    <n v="427.57"/>
  </r>
  <r>
    <s v="AD01-9362"/>
    <x v="0"/>
    <s v="Oct"/>
    <x v="1"/>
    <x v="0"/>
    <s v="Order assembled"/>
    <x v="0"/>
    <x v="1"/>
    <x v="0"/>
    <x v="123"/>
    <n v="384.67"/>
  </r>
  <r>
    <s v="AD01-9362"/>
    <x v="0"/>
    <s v="Sep"/>
    <x v="1"/>
    <x v="0"/>
    <s v="Order assembled"/>
    <x v="0"/>
    <x v="1"/>
    <x v="0"/>
    <x v="105"/>
    <n v="431.86"/>
  </r>
  <r>
    <s v="AD01-9361"/>
    <x v="0"/>
    <s v="Sep"/>
    <x v="1"/>
    <x v="0"/>
    <s v="Order assembled"/>
    <x v="0"/>
    <x v="1"/>
    <x v="0"/>
    <x v="0"/>
    <n v="500.5"/>
  </r>
  <r>
    <s v="AD01-9361"/>
    <x v="0"/>
    <s v="Sep"/>
    <x v="1"/>
    <x v="0"/>
    <s v="Order assembled"/>
    <x v="0"/>
    <x v="1"/>
    <x v="0"/>
    <x v="28"/>
    <n v="397.53999999999996"/>
  </r>
  <r>
    <s v="AD01-9362"/>
    <x v="0"/>
    <s v="Sep"/>
    <x v="1"/>
    <x v="0"/>
    <s v="Order assembled"/>
    <x v="0"/>
    <x v="1"/>
    <x v="0"/>
    <x v="236"/>
    <n v="526.24"/>
  </r>
  <r>
    <s v="AD01-9361"/>
    <x v="0"/>
    <s v="Sep"/>
    <x v="1"/>
    <x v="0"/>
    <s v="Order assembled"/>
    <x v="0"/>
    <x v="1"/>
    <x v="0"/>
    <x v="130"/>
    <n v="526.24"/>
  </r>
  <r>
    <s v="AD01-9363"/>
    <x v="0"/>
    <s v="Sep"/>
    <x v="1"/>
    <x v="0"/>
    <s v="Order assembled"/>
    <x v="0"/>
    <x v="1"/>
    <x v="0"/>
    <x v="308"/>
    <n v="1421.42"/>
  </r>
  <r>
    <s v="AD01-9362"/>
    <x v="0"/>
    <s v="Sep"/>
    <x v="1"/>
    <x v="0"/>
    <s v="Order assembled"/>
    <x v="0"/>
    <x v="1"/>
    <x v="0"/>
    <x v="309"/>
    <n v="1468.6100000000001"/>
  </r>
  <r>
    <s v="AD01-9361"/>
    <x v="0"/>
    <s v="Sep"/>
    <x v="1"/>
    <x v="0"/>
    <s v="Order assembled"/>
    <x v="0"/>
    <x v="1"/>
    <x v="0"/>
    <x v="37"/>
    <n v="394.68"/>
  </r>
  <r>
    <s v="AD01-9361"/>
    <x v="0"/>
    <s v="Sep"/>
    <x v="1"/>
    <x v="0"/>
    <s v="Order assembled"/>
    <x v="0"/>
    <x v="1"/>
    <x v="0"/>
    <x v="114"/>
    <n v="433.28999999999996"/>
  </r>
  <r>
    <s v="AD01-9361"/>
    <x v="0"/>
    <s v="Sep"/>
    <x v="1"/>
    <x v="0"/>
    <s v="Order assembled"/>
    <x v="0"/>
    <x v="1"/>
    <x v="0"/>
    <x v="13"/>
    <n v="501.93"/>
  </r>
  <r>
    <s v="AD01-9363"/>
    <x v="0"/>
    <s v="Sep"/>
    <x v="1"/>
    <x v="0"/>
    <s v="Order assembled"/>
    <x v="0"/>
    <x v="1"/>
    <x v="0"/>
    <x v="225"/>
    <n v="390.39"/>
  </r>
  <r>
    <s v="AD01-9361"/>
    <x v="0"/>
    <s v="Sep"/>
    <x v="1"/>
    <x v="0"/>
    <s v="Order assembled"/>
    <x v="0"/>
    <x v="1"/>
    <x v="0"/>
    <x v="124"/>
    <n v="1108.25"/>
  </r>
  <r>
    <s v="AD01-9361"/>
    <x v="0"/>
    <s v="Sep"/>
    <x v="1"/>
    <x v="0"/>
    <s v="Order assembled"/>
    <x v="0"/>
    <x v="1"/>
    <x v="0"/>
    <x v="212"/>
    <n v="1155.44"/>
  </r>
  <r>
    <s v="AD01-9362"/>
    <x v="0"/>
    <s v="Sep"/>
    <x v="1"/>
    <x v="0"/>
    <s v="Order assembled"/>
    <x v="0"/>
    <x v="1"/>
    <x v="0"/>
    <x v="310"/>
    <n v="1231.23"/>
  </r>
  <r>
    <s v="AD01-9361"/>
    <x v="0"/>
    <s v="Sep"/>
    <x v="1"/>
    <x v="0"/>
    <s v="Order assembled"/>
    <x v="0"/>
    <x v="1"/>
    <x v="0"/>
    <x v="296"/>
    <n v="436.15"/>
  </r>
  <r>
    <s v="AD01-9361"/>
    <x v="0"/>
    <s v="Sep"/>
    <x v="1"/>
    <x v="0"/>
    <s v="Order assembled"/>
    <x v="0"/>
    <x v="1"/>
    <x v="0"/>
    <x v="280"/>
    <n v="496.21000000000004"/>
  </r>
  <r>
    <s v="AD01-9362"/>
    <x v="0"/>
    <s v="Sep"/>
    <x v="1"/>
    <x v="0"/>
    <s v="Order assembled"/>
    <x v="0"/>
    <x v="1"/>
    <x v="0"/>
    <x v="311"/>
    <n v="1588.73"/>
  </r>
  <r>
    <s v="AD01-9362"/>
    <x v="0"/>
    <s v="Apr"/>
    <x v="0"/>
    <x v="1"/>
    <s v="Cancelld"/>
    <x v="1"/>
    <x v="1"/>
    <x v="0"/>
    <x v="244"/>
    <n v="503.36"/>
  </r>
  <r>
    <s v="AD01-9362"/>
    <x v="0"/>
    <s v="Apr"/>
    <x v="0"/>
    <x v="1"/>
    <s v="Cancelld"/>
    <x v="1"/>
    <x v="1"/>
    <x v="0"/>
    <x v="255"/>
    <n v="494.78"/>
  </r>
  <r>
    <s v="AD01-9362"/>
    <x v="0"/>
    <s v="Apr"/>
    <x v="0"/>
    <x v="1"/>
    <s v="Cancelld"/>
    <x v="1"/>
    <x v="1"/>
    <x v="0"/>
    <x v="256"/>
    <n v="486.2"/>
  </r>
  <r>
    <s v="AD01-9364"/>
    <x v="0"/>
    <s v="Apr"/>
    <x v="0"/>
    <x v="1"/>
    <s v="Cancelld"/>
    <x v="1"/>
    <x v="1"/>
    <x v="0"/>
    <x v="262"/>
    <n v="499.07"/>
  </r>
  <r>
    <s v="AD01-9361"/>
    <x v="0"/>
    <s v="Apr"/>
    <x v="0"/>
    <x v="1"/>
    <s v="Cancelld"/>
    <x v="1"/>
    <x v="1"/>
    <x v="0"/>
    <x v="263"/>
    <n v="490.49"/>
  </r>
  <r>
    <s v="AD01-9363"/>
    <x v="0"/>
    <s v="Aug"/>
    <x v="0"/>
    <x v="1"/>
    <s v="Cancelld"/>
    <x v="1"/>
    <x v="1"/>
    <x v="2"/>
    <x v="149"/>
    <n v="408.98"/>
  </r>
  <r>
    <s v="AD01-9362"/>
    <x v="0"/>
    <s v="Aug"/>
    <x v="0"/>
    <x v="1"/>
    <s v="Cancelld"/>
    <x v="1"/>
    <x v="1"/>
    <x v="2"/>
    <x v="5"/>
    <n v="400.4"/>
  </r>
  <r>
    <s v="AD01-9361"/>
    <x v="0"/>
    <s v="Aug"/>
    <x v="0"/>
    <x v="1"/>
    <s v="Cancelld"/>
    <x v="1"/>
    <x v="1"/>
    <x v="2"/>
    <x v="160"/>
    <n v="413.27"/>
  </r>
  <r>
    <s v="AD01-9364"/>
    <x v="0"/>
    <s v="Aug"/>
    <x v="0"/>
    <x v="1"/>
    <s v="Cancelld"/>
    <x v="1"/>
    <x v="1"/>
    <x v="2"/>
    <x v="20"/>
    <n v="404.69"/>
  </r>
  <r>
    <s v="AD01-9361"/>
    <x v="0"/>
    <s v="Aug"/>
    <x v="0"/>
    <x v="1"/>
    <s v="Cancelld"/>
    <x v="1"/>
    <x v="1"/>
    <x v="2"/>
    <x v="183"/>
    <n v="396.11"/>
  </r>
  <r>
    <s v="AD01-9362"/>
    <x v="0"/>
    <s v="Dec"/>
    <x v="0"/>
    <x v="1"/>
    <s v="Cancelld"/>
    <x v="1"/>
    <x v="1"/>
    <x v="0"/>
    <x v="93"/>
    <n v="323.18"/>
  </r>
  <r>
    <s v="AD01-9361"/>
    <x v="0"/>
    <s v="Dec"/>
    <x v="0"/>
    <x v="1"/>
    <s v="Cancelld"/>
    <x v="1"/>
    <x v="0"/>
    <x v="0"/>
    <x v="77"/>
    <n v="314.60000000000002"/>
  </r>
  <r>
    <s v="AD01-9364"/>
    <x v="0"/>
    <s v="Dec"/>
    <x v="0"/>
    <x v="1"/>
    <s v="Cancelld"/>
    <x v="1"/>
    <x v="0"/>
    <x v="0"/>
    <x v="32"/>
    <n v="306.02"/>
  </r>
  <r>
    <s v="AD01-9361"/>
    <x v="0"/>
    <s v="Dec"/>
    <x v="0"/>
    <x v="1"/>
    <s v="Cancelld"/>
    <x v="1"/>
    <x v="0"/>
    <x v="0"/>
    <x v="100"/>
    <n v="318.89"/>
  </r>
  <r>
    <s v="AD01-9364"/>
    <x v="0"/>
    <s v="Dec"/>
    <x v="0"/>
    <x v="1"/>
    <s v="Cancelld"/>
    <x v="1"/>
    <x v="0"/>
    <x v="0"/>
    <x v="45"/>
    <n v="310.31"/>
  </r>
  <r>
    <s v="AD01-9361"/>
    <x v="0"/>
    <s v="Dec"/>
    <x v="0"/>
    <x v="1"/>
    <s v="Cancelld"/>
    <x v="1"/>
    <x v="0"/>
    <x v="0"/>
    <x v="21"/>
    <n v="301.73"/>
  </r>
  <r>
    <s v="AD01-9361"/>
    <x v="0"/>
    <s v="Jul"/>
    <x v="0"/>
    <x v="1"/>
    <s v="Cancelld"/>
    <x v="1"/>
    <x v="0"/>
    <x v="2"/>
    <x v="236"/>
    <n v="434.72"/>
  </r>
  <r>
    <s v="AD01-9362"/>
    <x v="0"/>
    <s v="Jul"/>
    <x v="0"/>
    <x v="1"/>
    <s v="Cancelld"/>
    <x v="1"/>
    <x v="0"/>
    <x v="2"/>
    <x v="92"/>
    <n v="426.14"/>
  </r>
  <r>
    <s v="AD01-9362"/>
    <x v="0"/>
    <s v="Jul"/>
    <x v="0"/>
    <x v="1"/>
    <s v="Cancelld"/>
    <x v="1"/>
    <x v="0"/>
    <x v="2"/>
    <x v="76"/>
    <n v="417.56"/>
  </r>
  <r>
    <s v="AD01-9364"/>
    <x v="0"/>
    <s v="Jul"/>
    <x v="0"/>
    <x v="1"/>
    <s v="Cancelld"/>
    <x v="1"/>
    <x v="0"/>
    <x v="2"/>
    <x v="312"/>
    <n v="430.43"/>
  </r>
  <r>
    <s v="AD01-9362"/>
    <x v="0"/>
    <s v="Jul"/>
    <x v="0"/>
    <x v="1"/>
    <s v="Cancelld"/>
    <x v="1"/>
    <x v="0"/>
    <x v="2"/>
    <x v="85"/>
    <n v="421.85"/>
  </r>
  <r>
    <s v="AD01-9362"/>
    <x v="0"/>
    <s v="Jun"/>
    <x v="0"/>
    <x v="1"/>
    <s v="Cancelld"/>
    <x v="1"/>
    <x v="0"/>
    <x v="0"/>
    <x v="297"/>
    <n v="460.46000000000004"/>
  </r>
  <r>
    <s v="AD01-9361"/>
    <x v="0"/>
    <s v="Jun"/>
    <x v="0"/>
    <x v="1"/>
    <s v="Cancelld"/>
    <x v="1"/>
    <x v="0"/>
    <x v="2"/>
    <x v="274"/>
    <n v="451.88"/>
  </r>
  <r>
    <s v="AD01-9364"/>
    <x v="0"/>
    <s v="Jun"/>
    <x v="0"/>
    <x v="1"/>
    <s v="Cancelld"/>
    <x v="1"/>
    <x v="0"/>
    <x v="2"/>
    <x v="243"/>
    <n v="443.3"/>
  </r>
  <r>
    <s v="AD01-9361"/>
    <x v="0"/>
    <s v="Jun"/>
    <x v="0"/>
    <x v="1"/>
    <s v="Cancelld"/>
    <x v="1"/>
    <x v="0"/>
    <x v="2"/>
    <x v="313"/>
    <n v="456.16999999999996"/>
  </r>
  <r>
    <s v="AD01-9362"/>
    <x v="0"/>
    <s v="Jun"/>
    <x v="0"/>
    <x v="1"/>
    <s v="Cancelld"/>
    <x v="1"/>
    <x v="0"/>
    <x v="2"/>
    <x v="314"/>
    <n v="447.59000000000003"/>
  </r>
  <r>
    <s v="AD01-9362"/>
    <x v="0"/>
    <s v="Jun"/>
    <x v="0"/>
    <x v="1"/>
    <s v="Cancelld"/>
    <x v="1"/>
    <x v="0"/>
    <x v="2"/>
    <x v="315"/>
    <n v="439.01"/>
  </r>
  <r>
    <s v="AD01-9361"/>
    <x v="0"/>
    <s v="May"/>
    <x v="0"/>
    <x v="1"/>
    <s v="Cancelld"/>
    <x v="1"/>
    <x v="0"/>
    <x v="0"/>
    <x v="249"/>
    <n v="477.62"/>
  </r>
  <r>
    <s v="AD01-9362"/>
    <x v="0"/>
    <s v="May"/>
    <x v="0"/>
    <x v="1"/>
    <s v="Cancelld"/>
    <x v="1"/>
    <x v="0"/>
    <x v="0"/>
    <x v="234"/>
    <n v="469.03999999999996"/>
  </r>
  <r>
    <s v="AD01-9364"/>
    <x v="0"/>
    <s v="May"/>
    <x v="0"/>
    <x v="1"/>
    <s v="Cancelld"/>
    <x v="1"/>
    <x v="0"/>
    <x v="0"/>
    <x v="316"/>
    <n v="481.90999999999997"/>
  </r>
  <r>
    <s v="AD01-9362"/>
    <x v="0"/>
    <s v="May"/>
    <x v="0"/>
    <x v="1"/>
    <s v="Cancelld"/>
    <x v="1"/>
    <x v="0"/>
    <x v="0"/>
    <x v="317"/>
    <n v="473.33"/>
  </r>
  <r>
    <s v="AD01-9363"/>
    <x v="0"/>
    <s v="May"/>
    <x v="0"/>
    <x v="1"/>
    <s v="Cancelld"/>
    <x v="1"/>
    <x v="0"/>
    <x v="0"/>
    <x v="318"/>
    <n v="464.75"/>
  </r>
  <r>
    <s v="AD01-9361"/>
    <x v="0"/>
    <s v="Nov"/>
    <x v="0"/>
    <x v="1"/>
    <s v="Cancelld"/>
    <x v="1"/>
    <x v="0"/>
    <x v="0"/>
    <x v="4"/>
    <n v="340.34000000000003"/>
  </r>
  <r>
    <s v="AD01-9361"/>
    <x v="0"/>
    <s v="Nov"/>
    <x v="0"/>
    <x v="1"/>
    <s v="Cancelld"/>
    <x v="1"/>
    <x v="0"/>
    <x v="0"/>
    <x v="169"/>
    <n v="331.76"/>
  </r>
  <r>
    <s v="AD01-9365"/>
    <x v="0"/>
    <s v="Nov"/>
    <x v="0"/>
    <x v="1"/>
    <s v="Cancelld"/>
    <x v="1"/>
    <x v="0"/>
    <x v="0"/>
    <x v="69"/>
    <n v="344.63"/>
  </r>
  <r>
    <s v="AD01-9361"/>
    <x v="0"/>
    <s v="Nov"/>
    <x v="0"/>
    <x v="1"/>
    <s v="Cancelld"/>
    <x v="1"/>
    <x v="0"/>
    <x v="0"/>
    <x v="19"/>
    <n v="336.05"/>
  </r>
  <r>
    <s v="AD01-9362"/>
    <x v="0"/>
    <s v="Nov"/>
    <x v="0"/>
    <x v="1"/>
    <s v="Cancelld"/>
    <x v="1"/>
    <x v="0"/>
    <x v="0"/>
    <x v="182"/>
    <n v="327.47000000000003"/>
  </r>
  <r>
    <s v="AD01-9362"/>
    <x v="0"/>
    <s v="Oct"/>
    <x v="0"/>
    <x v="1"/>
    <s v="Cancelld"/>
    <x v="1"/>
    <x v="0"/>
    <x v="2"/>
    <x v="218"/>
    <n v="366.08"/>
  </r>
  <r>
    <s v="AD01-9364"/>
    <x v="0"/>
    <s v="Oct"/>
    <x v="0"/>
    <x v="1"/>
    <s v="Cancelld"/>
    <x v="1"/>
    <x v="0"/>
    <x v="2"/>
    <x v="91"/>
    <n v="357.5"/>
  </r>
  <r>
    <s v="AD01-9361"/>
    <x v="0"/>
    <s v="Oct"/>
    <x v="0"/>
    <x v="1"/>
    <s v="Cancelld"/>
    <x v="1"/>
    <x v="0"/>
    <x v="0"/>
    <x v="75"/>
    <n v="348.92"/>
  </r>
  <r>
    <s v="AD01-9362"/>
    <x v="0"/>
    <s v="Oct"/>
    <x v="0"/>
    <x v="1"/>
    <s v="Cancelld"/>
    <x v="1"/>
    <x v="0"/>
    <x v="2"/>
    <x v="99"/>
    <n v="361.78999999999996"/>
  </r>
  <r>
    <s v="AD01-9361"/>
    <x v="0"/>
    <s v="Oct"/>
    <x v="0"/>
    <x v="1"/>
    <s v="Cancelld"/>
    <x v="1"/>
    <x v="0"/>
    <x v="2"/>
    <x v="84"/>
    <n v="353.21"/>
  </r>
  <r>
    <s v="AD01-9362"/>
    <x v="0"/>
    <s v="Sep"/>
    <x v="0"/>
    <x v="1"/>
    <s v="Cancelld"/>
    <x v="1"/>
    <x v="0"/>
    <x v="2"/>
    <x v="130"/>
    <n v="391.82"/>
  </r>
  <r>
    <s v="AD01-9361"/>
    <x v="0"/>
    <s v="Sep"/>
    <x v="0"/>
    <x v="1"/>
    <s v="Cancelld"/>
    <x v="1"/>
    <x v="0"/>
    <x v="2"/>
    <x v="107"/>
    <n v="383.24"/>
  </r>
  <r>
    <s v="AD01-9364"/>
    <x v="0"/>
    <s v="Sep"/>
    <x v="0"/>
    <x v="1"/>
    <s v="Cancelld"/>
    <x v="1"/>
    <x v="0"/>
    <x v="2"/>
    <x v="33"/>
    <n v="374.65999999999997"/>
  </r>
  <r>
    <s v="AD01-9362"/>
    <x v="0"/>
    <s v="Sep"/>
    <x v="0"/>
    <x v="1"/>
    <s v="Cancelld"/>
    <x v="1"/>
    <x v="0"/>
    <x v="2"/>
    <x v="140"/>
    <n v="387.53"/>
  </r>
  <r>
    <s v="AD01-9364"/>
    <x v="0"/>
    <s v="Sep"/>
    <x v="0"/>
    <x v="1"/>
    <s v="Cancelld"/>
    <x v="1"/>
    <x v="0"/>
    <x v="2"/>
    <x v="119"/>
    <n v="378.95"/>
  </r>
  <r>
    <s v="AD01-9361"/>
    <x v="0"/>
    <s v="Sep"/>
    <x v="0"/>
    <x v="1"/>
    <s v="Cancelld"/>
    <x v="1"/>
    <x v="0"/>
    <x v="2"/>
    <x v="46"/>
    <n v="370.37"/>
  </r>
  <r>
    <s v="AD01-9364"/>
    <x v="0"/>
    <s v="Apr"/>
    <x v="1"/>
    <x v="1"/>
    <s v="Cancelld"/>
    <x v="1"/>
    <x v="0"/>
    <x v="2"/>
    <x v="319"/>
    <n v="225.94"/>
  </r>
  <r>
    <s v="AD01-9361"/>
    <x v="0"/>
    <s v="Apr"/>
    <x v="1"/>
    <x v="1"/>
    <s v="Cancelld"/>
    <x v="1"/>
    <x v="0"/>
    <x v="2"/>
    <x v="168"/>
    <n v="294.58"/>
  </r>
  <r>
    <s v="AD01-9362"/>
    <x v="0"/>
    <s v="Apr"/>
    <x v="1"/>
    <x v="1"/>
    <s v="Cancelld"/>
    <x v="1"/>
    <x v="0"/>
    <x v="2"/>
    <x v="290"/>
    <n v="191.62"/>
  </r>
  <r>
    <s v="AD01-9364"/>
    <x v="0"/>
    <s v="Apr"/>
    <x v="1"/>
    <x v="1"/>
    <s v="Cancelld"/>
    <x v="1"/>
    <x v="0"/>
    <x v="2"/>
    <x v="320"/>
    <n v="228.8"/>
  </r>
  <r>
    <s v="AD01-9364"/>
    <x v="0"/>
    <s v="Apr"/>
    <x v="1"/>
    <x v="1"/>
    <s v="Cancelld"/>
    <x v="1"/>
    <x v="0"/>
    <x v="2"/>
    <x v="6"/>
    <n v="297.44"/>
  </r>
  <r>
    <s v="AD01-9364"/>
    <x v="0"/>
    <s v="Apr"/>
    <x v="1"/>
    <x v="1"/>
    <s v="Cancelld"/>
    <x v="1"/>
    <x v="0"/>
    <x v="2"/>
    <x v="291"/>
    <n v="194.48"/>
  </r>
  <r>
    <s v="AD01-9361"/>
    <x v="0"/>
    <s v="Apr"/>
    <x v="1"/>
    <x v="1"/>
    <s v="Cancelld"/>
    <x v="1"/>
    <x v="0"/>
    <x v="2"/>
    <x v="321"/>
    <n v="1161.1599999999999"/>
  </r>
  <r>
    <s v="AD01-9362"/>
    <x v="0"/>
    <s v="Apr"/>
    <x v="1"/>
    <x v="1"/>
    <s v="Cancelld"/>
    <x v="1"/>
    <x v="0"/>
    <x v="2"/>
    <x v="322"/>
    <n v="1285.57"/>
  </r>
  <r>
    <s v="AD01-9362"/>
    <x v="0"/>
    <s v="Apr"/>
    <x v="1"/>
    <x v="1"/>
    <s v="Cancelld"/>
    <x v="1"/>
    <x v="0"/>
    <x v="2"/>
    <x v="323"/>
    <n v="526.24"/>
  </r>
  <r>
    <s v="AD01-9362"/>
    <x v="0"/>
    <s v="Apr"/>
    <x v="1"/>
    <x v="1"/>
    <s v="Cancelld"/>
    <x v="1"/>
    <x v="0"/>
    <x v="2"/>
    <x v="121"/>
    <n v="526.24"/>
  </r>
  <r>
    <s v="AD01-9361"/>
    <x v="0"/>
    <s v="Apr"/>
    <x v="1"/>
    <x v="1"/>
    <s v="Cancelld"/>
    <x v="1"/>
    <x v="0"/>
    <x v="2"/>
    <x v="293"/>
    <n v="193.05"/>
  </r>
  <r>
    <s v="AD01-9364"/>
    <x v="0"/>
    <s v="Apr"/>
    <x v="1"/>
    <x v="1"/>
    <s v="Cancelld"/>
    <x v="1"/>
    <x v="0"/>
    <x v="2"/>
    <x v="324"/>
    <n v="233.09"/>
  </r>
  <r>
    <s v="AD01-9362"/>
    <x v="0"/>
    <s v="Apr"/>
    <x v="1"/>
    <x v="1"/>
    <s v="Cancelld"/>
    <x v="1"/>
    <x v="0"/>
    <x v="2"/>
    <x v="184"/>
    <n v="293.14999999999998"/>
  </r>
  <r>
    <s v="AD01-9364"/>
    <x v="0"/>
    <s v="Apr"/>
    <x v="1"/>
    <x v="1"/>
    <s v="Cancelld"/>
    <x v="1"/>
    <x v="0"/>
    <x v="2"/>
    <x v="325"/>
    <n v="190.19"/>
  </r>
  <r>
    <s v="AD01-9362"/>
    <x v="0"/>
    <s v="Apr"/>
    <x v="1"/>
    <x v="1"/>
    <s v="Cancelld"/>
    <x v="1"/>
    <x v="0"/>
    <x v="2"/>
    <x v="326"/>
    <n v="1174.03"/>
  </r>
  <r>
    <s v="AD01-9362"/>
    <x v="0"/>
    <s v="Apr"/>
    <x v="1"/>
    <x v="1"/>
    <s v="Cancelld"/>
    <x v="1"/>
    <x v="0"/>
    <x v="2"/>
    <x v="278"/>
    <n v="1221.22"/>
  </r>
  <r>
    <s v="AD01-9364"/>
    <x v="0"/>
    <s v="Apr"/>
    <x v="1"/>
    <x v="1"/>
    <s v="Cancelld"/>
    <x v="1"/>
    <x v="0"/>
    <x v="2"/>
    <x v="242"/>
    <n v="187.32999999999998"/>
  </r>
  <r>
    <s v="AD01-9361"/>
    <x v="0"/>
    <s v="Aug"/>
    <x v="1"/>
    <x v="1"/>
    <s v="Cancelld"/>
    <x v="1"/>
    <x v="0"/>
    <x v="2"/>
    <x v="254"/>
    <n v="200.2"/>
  </r>
  <r>
    <s v="AD01-9361"/>
    <x v="0"/>
    <s v="Aug"/>
    <x v="1"/>
    <x v="1"/>
    <s v="Cancelld"/>
    <x v="1"/>
    <x v="0"/>
    <x v="2"/>
    <x v="31"/>
    <n v="268.84000000000003"/>
  </r>
  <r>
    <s v="AD01-9364"/>
    <x v="0"/>
    <s v="Aug"/>
    <x v="1"/>
    <x v="1"/>
    <s v="Cancelld"/>
    <x v="1"/>
    <x v="0"/>
    <x v="2"/>
    <x v="148"/>
    <n v="509.08"/>
  </r>
  <r>
    <s v="AD01-9361"/>
    <x v="0"/>
    <s v="Aug"/>
    <x v="1"/>
    <x v="1"/>
    <s v="Cancelld"/>
    <x v="1"/>
    <x v="0"/>
    <x v="2"/>
    <x v="219"/>
    <n v="263.12"/>
  </r>
  <r>
    <s v="AD01-9362"/>
    <x v="0"/>
    <s v="Aug"/>
    <x v="1"/>
    <x v="1"/>
    <s v="Cancelld"/>
    <x v="1"/>
    <x v="0"/>
    <x v="2"/>
    <x v="272"/>
    <n v="511.94"/>
  </r>
  <r>
    <s v="AD01-9365"/>
    <x v="0"/>
    <s v="Aug"/>
    <x v="1"/>
    <x v="1"/>
    <s v="Cancelld"/>
    <x v="1"/>
    <x v="0"/>
    <x v="2"/>
    <x v="327"/>
    <n v="1166.8800000000001"/>
  </r>
  <r>
    <s v="AD01-9364"/>
    <x v="0"/>
    <s v="Aug"/>
    <x v="1"/>
    <x v="1"/>
    <s v="Cancelld"/>
    <x v="1"/>
    <x v="0"/>
    <x v="2"/>
    <x v="328"/>
    <n v="1214.07"/>
  </r>
  <r>
    <s v="AD01-9361"/>
    <x v="0"/>
    <s v="Aug"/>
    <x v="1"/>
    <x v="1"/>
    <s v="Cancelld"/>
    <x v="1"/>
    <x v="0"/>
    <x v="2"/>
    <x v="329"/>
    <n v="1289.8600000000001"/>
  </r>
  <r>
    <s v="AD01-9361"/>
    <x v="0"/>
    <s v="Aug"/>
    <x v="1"/>
    <x v="1"/>
    <s v="Cancelld"/>
    <x v="1"/>
    <x v="0"/>
    <x v="2"/>
    <x v="264"/>
    <n v="526.24"/>
  </r>
  <r>
    <s v="AD01-9365"/>
    <x v="0"/>
    <s v="Aug"/>
    <x v="1"/>
    <x v="1"/>
    <s v="Cancelld"/>
    <x v="1"/>
    <x v="0"/>
    <x v="2"/>
    <x v="157"/>
    <n v="510.51"/>
  </r>
  <r>
    <s v="AD01-9362"/>
    <x v="0"/>
    <s v="Aug"/>
    <x v="1"/>
    <x v="1"/>
    <s v="Cancelld"/>
    <x v="1"/>
    <x v="0"/>
    <x v="2"/>
    <x v="330"/>
    <n v="198.76999999999998"/>
  </r>
  <r>
    <s v="AD01-9363"/>
    <x v="0"/>
    <s v="Aug"/>
    <x v="1"/>
    <x v="1"/>
    <s v="Cancelld"/>
    <x v="1"/>
    <x v="0"/>
    <x v="2"/>
    <x v="47"/>
    <n v="267.40999999999997"/>
  </r>
  <r>
    <s v="AD01-9364"/>
    <x v="0"/>
    <s v="Aug"/>
    <x v="1"/>
    <x v="1"/>
    <s v="Cancelld"/>
    <x v="1"/>
    <x v="0"/>
    <x v="2"/>
    <x v="331"/>
    <n v="1179.75"/>
  </r>
  <r>
    <s v="AD01-9362"/>
    <x v="0"/>
    <s v="Aug"/>
    <x v="1"/>
    <x v="1"/>
    <s v="Cancelld"/>
    <x v="1"/>
    <x v="0"/>
    <x v="2"/>
    <x v="300"/>
    <n v="1226.94"/>
  </r>
  <r>
    <s v="AD01-9361"/>
    <x v="0"/>
    <s v="Aug"/>
    <x v="1"/>
    <x v="1"/>
    <s v="Cancelld"/>
    <x v="1"/>
    <x v="0"/>
    <x v="2"/>
    <x v="284"/>
    <n v="513.37"/>
  </r>
  <r>
    <s v="AD01-9365"/>
    <x v="0"/>
    <s v="Dec"/>
    <x v="1"/>
    <x v="1"/>
    <s v="Cancelld"/>
    <x v="1"/>
    <x v="0"/>
    <x v="2"/>
    <x v="147"/>
    <n v="517.66"/>
  </r>
  <r>
    <s v="AD01-9364"/>
    <x v="0"/>
    <s v="Dec"/>
    <x v="1"/>
    <x v="1"/>
    <s v="Cancelld"/>
    <x v="1"/>
    <x v="0"/>
    <x v="2"/>
    <x v="57"/>
    <n v="234.51999999999998"/>
  </r>
  <r>
    <s v="AD01-9362"/>
    <x v="0"/>
    <s v="Dec"/>
    <x v="1"/>
    <x v="1"/>
    <s v="Cancelld"/>
    <x v="1"/>
    <x v="0"/>
    <x v="2"/>
    <x v="164"/>
    <n v="483.34000000000003"/>
  </r>
  <r>
    <s v="AD01-9363"/>
    <x v="0"/>
    <s v="Dec"/>
    <x v="1"/>
    <x v="1"/>
    <s v="Cancelld"/>
    <x v="1"/>
    <x v="0"/>
    <x v="2"/>
    <x v="285"/>
    <n v="520.52"/>
  </r>
  <r>
    <s v="AD01-9361"/>
    <x v="0"/>
    <s v="Dec"/>
    <x v="1"/>
    <x v="1"/>
    <s v="Cancelld"/>
    <x v="1"/>
    <x v="0"/>
    <x v="2"/>
    <x v="58"/>
    <n v="237.38"/>
  </r>
  <r>
    <s v="AD01-9361"/>
    <x v="0"/>
    <s v="Dec"/>
    <x v="1"/>
    <x v="1"/>
    <s v="Cancelld"/>
    <x v="1"/>
    <x v="0"/>
    <x v="2"/>
    <x v="332"/>
    <n v="1171.17"/>
  </r>
  <r>
    <s v="AD01-9361"/>
    <x v="0"/>
    <s v="Dec"/>
    <x v="1"/>
    <x v="1"/>
    <s v="Cancelld"/>
    <x v="1"/>
    <x v="0"/>
    <x v="2"/>
    <x v="333"/>
    <n v="1219.79"/>
  </r>
  <r>
    <s v="AD01-9363"/>
    <x v="0"/>
    <s v="Dec"/>
    <x v="1"/>
    <x v="1"/>
    <s v="Cancelld"/>
    <x v="1"/>
    <x v="0"/>
    <x v="2"/>
    <x v="334"/>
    <n v="1295.58"/>
  </r>
  <r>
    <s v="AD01-9363"/>
    <x v="0"/>
    <s v="Dec"/>
    <x v="1"/>
    <x v="1"/>
    <s v="Cancelld"/>
    <x v="1"/>
    <x v="0"/>
    <x v="2"/>
    <x v="288"/>
    <n v="526.24"/>
  </r>
  <r>
    <s v="AD01-9361"/>
    <x v="0"/>
    <s v="Dec"/>
    <x v="1"/>
    <x v="1"/>
    <s v="Cancelld"/>
    <x v="1"/>
    <x v="0"/>
    <x v="2"/>
    <x v="335"/>
    <n v="526.24"/>
  </r>
  <r>
    <s v="AD01-9361"/>
    <x v="0"/>
    <s v="Dec"/>
    <x v="1"/>
    <x v="1"/>
    <s v="Cancelld"/>
    <x v="1"/>
    <x v="0"/>
    <x v="2"/>
    <x v="15"/>
    <n v="484.77"/>
  </r>
  <r>
    <s v="AD01-9364"/>
    <x v="0"/>
    <s v="Dec"/>
    <x v="1"/>
    <x v="1"/>
    <s v="Cancelld"/>
    <x v="1"/>
    <x v="0"/>
    <x v="2"/>
    <x v="324"/>
    <n v="233.09"/>
  </r>
  <r>
    <s v="AD01-9363"/>
    <x v="0"/>
    <s v="Dec"/>
    <x v="1"/>
    <x v="1"/>
    <s v="Cancelld"/>
    <x v="1"/>
    <x v="0"/>
    <x v="2"/>
    <x v="316"/>
    <n v="481.90999999999997"/>
  </r>
  <r>
    <s v="AD01-9362"/>
    <x v="0"/>
    <s v="Dec"/>
    <x v="1"/>
    <x v="1"/>
    <s v="Cancelld"/>
    <x v="1"/>
    <x v="0"/>
    <x v="2"/>
    <x v="336"/>
    <n v="1184.04"/>
  </r>
  <r>
    <s v="AD01-9362"/>
    <x v="0"/>
    <s v="Dec"/>
    <x v="1"/>
    <x v="1"/>
    <s v="Cancelld"/>
    <x v="1"/>
    <x v="0"/>
    <x v="2"/>
    <x v="310"/>
    <n v="1231.23"/>
  </r>
  <r>
    <s v="AD01-9365"/>
    <x v="0"/>
    <s v="Dec"/>
    <x v="1"/>
    <x v="1"/>
    <s v="Cancelld"/>
    <x v="1"/>
    <x v="0"/>
    <x v="2"/>
    <x v="253"/>
    <n v="479.05"/>
  </r>
  <r>
    <s v="AD01-9361"/>
    <x v="0"/>
    <s v="Feb"/>
    <x v="1"/>
    <x v="1"/>
    <s v="Cancelld"/>
    <x v="1"/>
    <x v="0"/>
    <x v="2"/>
    <x v="190"/>
    <n v="243.1"/>
  </r>
  <r>
    <s v="AD01-9364"/>
    <x v="0"/>
    <s v="Feb"/>
    <x v="1"/>
    <x v="1"/>
    <s v="Cancelld"/>
    <x v="1"/>
    <x v="0"/>
    <x v="2"/>
    <x v="54"/>
    <n v="311.74"/>
  </r>
  <r>
    <s v="AD01-9362"/>
    <x v="0"/>
    <s v="Feb"/>
    <x v="1"/>
    <x v="1"/>
    <s v="Cancelld"/>
    <x v="1"/>
    <x v="0"/>
    <x v="2"/>
    <x v="271"/>
    <n v="208.78"/>
  </r>
  <r>
    <s v="AD01-9364"/>
    <x v="0"/>
    <s v="Feb"/>
    <x v="1"/>
    <x v="1"/>
    <s v="Cancelld"/>
    <x v="1"/>
    <x v="0"/>
    <x v="2"/>
    <x v="191"/>
    <n v="245.95999999999998"/>
  </r>
  <r>
    <s v="AD01-9363"/>
    <x v="0"/>
    <s v="Feb"/>
    <x v="1"/>
    <x v="1"/>
    <s v="Cancelld"/>
    <x v="1"/>
    <x v="0"/>
    <x v="2"/>
    <x v="77"/>
    <n v="314.60000000000002"/>
  </r>
  <r>
    <s v="AD01-9361"/>
    <x v="0"/>
    <s v="Feb"/>
    <x v="1"/>
    <x v="1"/>
    <s v="Cancelld"/>
    <x v="1"/>
    <x v="0"/>
    <x v="2"/>
    <x v="257"/>
    <n v="203.06"/>
  </r>
  <r>
    <s v="AD01-9361"/>
    <x v="0"/>
    <s v="Feb"/>
    <x v="1"/>
    <x v="1"/>
    <s v="Cancelld"/>
    <x v="1"/>
    <x v="0"/>
    <x v="2"/>
    <x v="337"/>
    <n v="1206.92"/>
  </r>
  <r>
    <s v="AD01-9361"/>
    <x v="0"/>
    <s v="Feb"/>
    <x v="1"/>
    <x v="1"/>
    <s v="Cancelld"/>
    <x v="1"/>
    <x v="0"/>
    <x v="2"/>
    <x v="338"/>
    <n v="1282.71"/>
  </r>
  <r>
    <s v="AD01-9361"/>
    <x v="0"/>
    <s v="Feb"/>
    <x v="1"/>
    <x v="1"/>
    <s v="Cancelld"/>
    <x v="1"/>
    <x v="0"/>
    <x v="2"/>
    <x v="339"/>
    <n v="526.24"/>
  </r>
  <r>
    <s v="AD01-9362"/>
    <x v="0"/>
    <s v="Feb"/>
    <x v="1"/>
    <x v="1"/>
    <s v="Cancelld"/>
    <x v="1"/>
    <x v="0"/>
    <x v="2"/>
    <x v="143"/>
    <n v="526.24"/>
  </r>
  <r>
    <s v="AD01-9361"/>
    <x v="0"/>
    <s v="Feb"/>
    <x v="1"/>
    <x v="1"/>
    <s v="Cancelld"/>
    <x v="1"/>
    <x v="0"/>
    <x v="2"/>
    <x v="200"/>
    <n v="241.67000000000002"/>
  </r>
  <r>
    <s v="AD01-9362"/>
    <x v="0"/>
    <s v="Feb"/>
    <x v="1"/>
    <x v="1"/>
    <s v="Cancelld"/>
    <x v="1"/>
    <x v="0"/>
    <x v="2"/>
    <x v="45"/>
    <n v="310.31"/>
  </r>
  <r>
    <s v="AD01-9364"/>
    <x v="0"/>
    <s v="Feb"/>
    <x v="1"/>
    <x v="1"/>
    <s v="Cancelld"/>
    <x v="1"/>
    <x v="0"/>
    <x v="2"/>
    <x v="340"/>
    <n v="207.35"/>
  </r>
  <r>
    <s v="AD01-9362"/>
    <x v="0"/>
    <s v="Feb"/>
    <x v="1"/>
    <x v="1"/>
    <s v="Cancelld"/>
    <x v="1"/>
    <x v="0"/>
    <x v="2"/>
    <x v="332"/>
    <n v="1171.17"/>
  </r>
  <r>
    <s v="AD01-9361"/>
    <x v="0"/>
    <s v="Feb"/>
    <x v="1"/>
    <x v="1"/>
    <s v="Cancelld"/>
    <x v="1"/>
    <x v="0"/>
    <x v="2"/>
    <x v="269"/>
    <n v="204.49"/>
  </r>
  <r>
    <s v="AD01-9365"/>
    <x v="0"/>
    <s v="Jan"/>
    <x v="1"/>
    <x v="1"/>
    <s v="Cancelld"/>
    <x v="1"/>
    <x v="0"/>
    <x v="2"/>
    <x v="203"/>
    <n v="251.68"/>
  </r>
  <r>
    <s v="AD01-9364"/>
    <x v="0"/>
    <s v="Jan"/>
    <x v="1"/>
    <x v="1"/>
    <s v="Cancelld"/>
    <x v="1"/>
    <x v="0"/>
    <x v="2"/>
    <x v="53"/>
    <n v="320.32"/>
  </r>
  <r>
    <s v="AD01-9362"/>
    <x v="0"/>
    <s v="Jan"/>
    <x v="1"/>
    <x v="1"/>
    <s v="Cancelld"/>
    <x v="1"/>
    <x v="0"/>
    <x v="2"/>
    <x v="204"/>
    <n v="254.54"/>
  </r>
  <r>
    <s v="AD01-9361"/>
    <x v="0"/>
    <s v="Jan"/>
    <x v="1"/>
    <x v="1"/>
    <s v="Cancelld"/>
    <x v="1"/>
    <x v="0"/>
    <x v="2"/>
    <x v="273"/>
    <n v="211.64"/>
  </r>
  <r>
    <s v="AD01-9362"/>
    <x v="0"/>
    <s v="Jan"/>
    <x v="1"/>
    <x v="1"/>
    <s v="Cancelld"/>
    <x v="1"/>
    <x v="0"/>
    <x v="2"/>
    <x v="67"/>
    <n v="1158.3"/>
  </r>
  <r>
    <s v="AD01-9364"/>
    <x v="0"/>
    <s v="Jan"/>
    <x v="1"/>
    <x v="1"/>
    <s v="Cancelld"/>
    <x v="1"/>
    <x v="0"/>
    <x v="2"/>
    <x v="341"/>
    <n v="1205.49"/>
  </r>
  <r>
    <s v="AD01-9364"/>
    <x v="0"/>
    <s v="Jan"/>
    <x v="1"/>
    <x v="1"/>
    <s v="Cancelld"/>
    <x v="1"/>
    <x v="0"/>
    <x v="2"/>
    <x v="342"/>
    <n v="1281.28"/>
  </r>
  <r>
    <s v="AD01-9361"/>
    <x v="0"/>
    <s v="Jan"/>
    <x v="1"/>
    <x v="1"/>
    <s v="Order assembled"/>
    <x v="1"/>
    <x v="0"/>
    <x v="0"/>
    <x v="343"/>
    <n v="526.24"/>
  </r>
  <r>
    <s v="AD01-9364"/>
    <x v="0"/>
    <s v="Jan"/>
    <x v="1"/>
    <x v="1"/>
    <s v="Cancelld"/>
    <x v="1"/>
    <x v="0"/>
    <x v="2"/>
    <x v="328"/>
    <n v="526.24"/>
  </r>
  <r>
    <s v="AD01-9361"/>
    <x v="0"/>
    <s v="Jan"/>
    <x v="1"/>
    <x v="1"/>
    <s v="Cancelld"/>
    <x v="1"/>
    <x v="0"/>
    <x v="2"/>
    <x v="142"/>
    <n v="526.24"/>
  </r>
  <r>
    <s v="AD01-9362"/>
    <x v="0"/>
    <s v="Jan"/>
    <x v="1"/>
    <x v="1"/>
    <s v="Cancelld"/>
    <x v="1"/>
    <x v="0"/>
    <x v="2"/>
    <x v="277"/>
    <n v="210.21"/>
  </r>
  <r>
    <s v="AD01-9361"/>
    <x v="0"/>
    <s v="Jan"/>
    <x v="1"/>
    <x v="1"/>
    <s v="Cancelld"/>
    <x v="1"/>
    <x v="0"/>
    <x v="2"/>
    <x v="213"/>
    <n v="250.25"/>
  </r>
  <r>
    <s v="AD01-9363"/>
    <x v="0"/>
    <s v="Jan"/>
    <x v="1"/>
    <x v="1"/>
    <s v="Cancelld"/>
    <x v="1"/>
    <x v="0"/>
    <x v="2"/>
    <x v="100"/>
    <n v="318.89"/>
  </r>
  <r>
    <s v="AD01-9362"/>
    <x v="0"/>
    <s v="Jan"/>
    <x v="1"/>
    <x v="1"/>
    <s v="Cancelld"/>
    <x v="1"/>
    <x v="0"/>
    <x v="2"/>
    <x v="344"/>
    <n v="215.93"/>
  </r>
  <r>
    <s v="AD01-9363"/>
    <x v="0"/>
    <s v="Jan"/>
    <x v="1"/>
    <x v="1"/>
    <s v="Cancelld"/>
    <x v="1"/>
    <x v="0"/>
    <x v="2"/>
    <x v="323"/>
    <n v="1218.3600000000001"/>
  </r>
  <r>
    <s v="AD01-9365"/>
    <x v="0"/>
    <s v="Jan"/>
    <x v="1"/>
    <x v="1"/>
    <s v="Cancelld"/>
    <x v="1"/>
    <x v="0"/>
    <x v="2"/>
    <x v="345"/>
    <n v="213.07"/>
  </r>
  <r>
    <s v="AD01-9362"/>
    <x v="0"/>
    <s v="Jul"/>
    <x v="1"/>
    <x v="1"/>
    <s v="Cancelld"/>
    <x v="1"/>
    <x v="0"/>
    <x v="2"/>
    <x v="271"/>
    <n v="208.78"/>
  </r>
  <r>
    <s v="AD01-9361"/>
    <x v="0"/>
    <s v="Jul"/>
    <x v="1"/>
    <x v="1"/>
    <s v="Cancelld"/>
    <x v="1"/>
    <x v="0"/>
    <x v="2"/>
    <x v="147"/>
    <n v="517.66"/>
  </r>
  <r>
    <s v="AD01-9362"/>
    <x v="0"/>
    <s v="Jul"/>
    <x v="1"/>
    <x v="1"/>
    <s v="Cancelld"/>
    <x v="1"/>
    <x v="0"/>
    <x v="2"/>
    <x v="257"/>
    <n v="203.06"/>
  </r>
  <r>
    <s v="AD01-9362"/>
    <x v="0"/>
    <s v="Jul"/>
    <x v="1"/>
    <x v="1"/>
    <s v="Cancelld"/>
    <x v="1"/>
    <x v="0"/>
    <x v="2"/>
    <x v="34"/>
    <n v="271.7"/>
  </r>
  <r>
    <s v="AD01-9361"/>
    <x v="0"/>
    <s v="Jul"/>
    <x v="1"/>
    <x v="1"/>
    <s v="Cancelld"/>
    <x v="1"/>
    <x v="0"/>
    <x v="2"/>
    <x v="285"/>
    <n v="520.52"/>
  </r>
  <r>
    <s v="AD01-9361"/>
    <x v="0"/>
    <s v="Jul"/>
    <x v="1"/>
    <x v="1"/>
    <s v="Cancelld"/>
    <x v="1"/>
    <x v="0"/>
    <x v="2"/>
    <x v="346"/>
    <n v="1165.45"/>
  </r>
  <r>
    <s v="AD01-9364"/>
    <x v="0"/>
    <s v="Jul"/>
    <x v="1"/>
    <x v="1"/>
    <s v="Cancelld"/>
    <x v="1"/>
    <x v="0"/>
    <x v="2"/>
    <x v="347"/>
    <n v="1212.6399999999999"/>
  </r>
  <r>
    <s v="AD01-9361"/>
    <x v="0"/>
    <s v="Jul"/>
    <x v="1"/>
    <x v="1"/>
    <s v="Cancelld"/>
    <x v="1"/>
    <x v="0"/>
    <x v="2"/>
    <x v="348"/>
    <n v="1288.43"/>
  </r>
  <r>
    <s v="AD01-9361"/>
    <x v="0"/>
    <s v="Jul"/>
    <x v="1"/>
    <x v="1"/>
    <s v="Cancelld"/>
    <x v="1"/>
    <x v="0"/>
    <x v="2"/>
    <x v="278"/>
    <n v="526.24"/>
  </r>
  <r>
    <s v="AD01-9362"/>
    <x v="0"/>
    <s v="Jul"/>
    <x v="1"/>
    <x v="1"/>
    <s v="Cancelld"/>
    <x v="1"/>
    <x v="0"/>
    <x v="2"/>
    <x v="349"/>
    <n v="526.24"/>
  </r>
  <r>
    <s v="AD01-9361"/>
    <x v="0"/>
    <s v="Jul"/>
    <x v="1"/>
    <x v="1"/>
    <s v="Cancelld"/>
    <x v="1"/>
    <x v="0"/>
    <x v="2"/>
    <x v="156"/>
    <n v="519.09"/>
  </r>
  <r>
    <s v="AD01-9361"/>
    <x v="0"/>
    <s v="Jul"/>
    <x v="1"/>
    <x v="1"/>
    <s v="Cancelld"/>
    <x v="1"/>
    <x v="0"/>
    <x v="2"/>
    <x v="340"/>
    <n v="207.35"/>
  </r>
  <r>
    <s v="AD01-9361"/>
    <x v="0"/>
    <s v="Jul"/>
    <x v="1"/>
    <x v="1"/>
    <s v="Cancelld"/>
    <x v="1"/>
    <x v="0"/>
    <x v="2"/>
    <x v="68"/>
    <n v="275.99"/>
  </r>
  <r>
    <s v="AD01-9362"/>
    <x v="0"/>
    <s v="Jul"/>
    <x v="1"/>
    <x v="1"/>
    <s v="Cancelld"/>
    <x v="1"/>
    <x v="0"/>
    <x v="2"/>
    <x v="350"/>
    <n v="516.23"/>
  </r>
  <r>
    <s v="AD01-9361"/>
    <x v="0"/>
    <s v="Jul"/>
    <x v="1"/>
    <x v="1"/>
    <s v="Cancelld"/>
    <x v="1"/>
    <x v="0"/>
    <x v="2"/>
    <x v="351"/>
    <n v="1178.32"/>
  </r>
  <r>
    <s v="AD01-9362"/>
    <x v="0"/>
    <s v="Jul"/>
    <x v="1"/>
    <x v="1"/>
    <s v="Cancelld"/>
    <x v="1"/>
    <x v="0"/>
    <x v="2"/>
    <x v="240"/>
    <n v="1225.51"/>
  </r>
  <r>
    <s v="AD01-9362"/>
    <x v="0"/>
    <s v="Jul"/>
    <x v="1"/>
    <x v="1"/>
    <s v="Cancelld"/>
    <x v="1"/>
    <x v="0"/>
    <x v="2"/>
    <x v="289"/>
    <n v="521.95000000000005"/>
  </r>
  <r>
    <s v="AD01-9362"/>
    <x v="0"/>
    <s v="Jun"/>
    <x v="1"/>
    <x v="1"/>
    <s v="Cancelld"/>
    <x v="1"/>
    <x v="0"/>
    <x v="2"/>
    <x v="352"/>
    <n v="217.36"/>
  </r>
  <r>
    <s v="AD01-9362"/>
    <x v="0"/>
    <s v="Jun"/>
    <x v="1"/>
    <x v="1"/>
    <s v="Cancelld"/>
    <x v="1"/>
    <x v="0"/>
    <x v="2"/>
    <x v="55"/>
    <n v="277.42"/>
  </r>
  <r>
    <s v="AD01-9365"/>
    <x v="0"/>
    <s v="Jun"/>
    <x v="1"/>
    <x v="1"/>
    <s v="Cancelld"/>
    <x v="1"/>
    <x v="0"/>
    <x v="2"/>
    <x v="146"/>
    <n v="526.24"/>
  </r>
  <r>
    <s v="AD01-9364"/>
    <x v="0"/>
    <s v="Jun"/>
    <x v="1"/>
    <x v="1"/>
    <s v="Cancelld"/>
    <x v="1"/>
    <x v="0"/>
    <x v="2"/>
    <x v="273"/>
    <n v="211.64"/>
  </r>
  <r>
    <s v="AD01-9362"/>
    <x v="0"/>
    <s v="Jun"/>
    <x v="1"/>
    <x v="1"/>
    <s v="Cancelld"/>
    <x v="1"/>
    <x v="0"/>
    <x v="2"/>
    <x v="131"/>
    <n v="280.27999999999997"/>
  </r>
  <r>
    <s v="AD01-9365"/>
    <x v="0"/>
    <s v="Jun"/>
    <x v="1"/>
    <x v="1"/>
    <s v="Cancelld"/>
    <x v="1"/>
    <x v="0"/>
    <x v="2"/>
    <x v="90"/>
    <n v="529.1"/>
  </r>
  <r>
    <s v="AD01-9362"/>
    <x v="0"/>
    <s v="Jun"/>
    <x v="1"/>
    <x v="1"/>
    <s v="Cancelld"/>
    <x v="1"/>
    <x v="0"/>
    <x v="2"/>
    <x v="353"/>
    <n v="1164.02"/>
  </r>
  <r>
    <s v="AD01-9361"/>
    <x v="0"/>
    <s v="Jun"/>
    <x v="1"/>
    <x v="1"/>
    <s v="Cancelld"/>
    <x v="1"/>
    <x v="0"/>
    <x v="2"/>
    <x v="354"/>
    <n v="1211.21"/>
  </r>
  <r>
    <s v="AD01-9364"/>
    <x v="0"/>
    <s v="Jun"/>
    <x v="1"/>
    <x v="1"/>
    <s v="Cancelld"/>
    <x v="1"/>
    <x v="0"/>
    <x v="2"/>
    <x v="66"/>
    <n v="526.24"/>
  </r>
  <r>
    <s v="AD01-9362"/>
    <x v="0"/>
    <s v="Jun"/>
    <x v="1"/>
    <x v="1"/>
    <s v="Cancelld"/>
    <x v="1"/>
    <x v="0"/>
    <x v="2"/>
    <x v="155"/>
    <n v="527.66999999999996"/>
  </r>
  <r>
    <s v="AD01-9365"/>
    <x v="0"/>
    <s v="Jun"/>
    <x v="1"/>
    <x v="1"/>
    <s v="Cancelld"/>
    <x v="1"/>
    <x v="0"/>
    <x v="2"/>
    <x v="344"/>
    <n v="215.93"/>
  </r>
  <r>
    <s v="AD01-9362"/>
    <x v="0"/>
    <s v="Jun"/>
    <x v="1"/>
    <x v="1"/>
    <s v="Cancelld"/>
    <x v="1"/>
    <x v="0"/>
    <x v="2"/>
    <x v="141"/>
    <n v="284.57"/>
  </r>
  <r>
    <s v="AD01-9364"/>
    <x v="0"/>
    <s v="Jun"/>
    <x v="1"/>
    <x v="1"/>
    <s v="Cancelld"/>
    <x v="1"/>
    <x v="0"/>
    <x v="2"/>
    <x v="355"/>
    <n v="524.80999999999995"/>
  </r>
  <r>
    <s v="AD01-9365"/>
    <x v="0"/>
    <s v="Jun"/>
    <x v="1"/>
    <x v="1"/>
    <s v="Cancelld"/>
    <x v="1"/>
    <x v="0"/>
    <x v="2"/>
    <x v="356"/>
    <n v="1176.8899999999999"/>
  </r>
  <r>
    <s v="AD01-9361"/>
    <x v="0"/>
    <s v="Jun"/>
    <x v="1"/>
    <x v="1"/>
    <s v="Cancelld"/>
    <x v="1"/>
    <x v="0"/>
    <x v="2"/>
    <x v="294"/>
    <n v="1224.08"/>
  </r>
  <r>
    <s v="AD01-9362"/>
    <x v="0"/>
    <s v="Jun"/>
    <x v="1"/>
    <x v="1"/>
    <s v="Cancelld"/>
    <x v="1"/>
    <x v="0"/>
    <x v="2"/>
    <x v="302"/>
    <n v="530.53"/>
  </r>
  <r>
    <s v="AD01-9362"/>
    <x v="0"/>
    <s v="Mar"/>
    <x v="1"/>
    <x v="1"/>
    <s v="Cancelld"/>
    <x v="1"/>
    <x v="0"/>
    <x v="2"/>
    <x v="57"/>
    <n v="234.51999999999998"/>
  </r>
  <r>
    <s v="AD01-9365"/>
    <x v="0"/>
    <s v="Mar"/>
    <x v="1"/>
    <x v="1"/>
    <s v="Cancelld"/>
    <x v="1"/>
    <x v="0"/>
    <x v="2"/>
    <x v="29"/>
    <n v="303.15999999999997"/>
  </r>
  <r>
    <s v="AD01-9362"/>
    <x v="0"/>
    <s v="Mar"/>
    <x v="1"/>
    <x v="1"/>
    <s v="Cancelld"/>
    <x v="1"/>
    <x v="0"/>
    <x v="2"/>
    <x v="254"/>
    <n v="200.2"/>
  </r>
  <r>
    <s v="AD01-9362"/>
    <x v="0"/>
    <s v="Mar"/>
    <x v="1"/>
    <x v="1"/>
    <s v="Cancelld"/>
    <x v="1"/>
    <x v="0"/>
    <x v="2"/>
    <x v="58"/>
    <n v="237.38"/>
  </r>
  <r>
    <s v="AD01-9361"/>
    <x v="0"/>
    <s v="Mar"/>
    <x v="1"/>
    <x v="1"/>
    <s v="Cancelld"/>
    <x v="1"/>
    <x v="0"/>
    <x v="2"/>
    <x v="32"/>
    <n v="306.02"/>
  </r>
  <r>
    <s v="AD01-9361"/>
    <x v="0"/>
    <s v="Mar"/>
    <x v="1"/>
    <x v="1"/>
    <s v="Cancelld"/>
    <x v="1"/>
    <x v="0"/>
    <x v="2"/>
    <x v="251"/>
    <n v="1159.73"/>
  </r>
  <r>
    <s v="AD01-9361"/>
    <x v="0"/>
    <s v="Mar"/>
    <x v="1"/>
    <x v="1"/>
    <s v="Cancelld"/>
    <x v="1"/>
    <x v="0"/>
    <x v="2"/>
    <x v="357"/>
    <n v="1208.3499999999999"/>
  </r>
  <r>
    <s v="AD01-9362"/>
    <x v="0"/>
    <s v="Mar"/>
    <x v="1"/>
    <x v="1"/>
    <s v="Cancelld"/>
    <x v="1"/>
    <x v="0"/>
    <x v="2"/>
    <x v="358"/>
    <n v="1284.1399999999999"/>
  </r>
  <r>
    <s v="AD01-9362"/>
    <x v="0"/>
    <s v="Mar"/>
    <x v="1"/>
    <x v="1"/>
    <s v="Cancelld"/>
    <x v="1"/>
    <x v="0"/>
    <x v="2"/>
    <x v="359"/>
    <n v="526.24"/>
  </r>
  <r>
    <s v="AD01-9361"/>
    <x v="0"/>
    <s v="Mar"/>
    <x v="1"/>
    <x v="1"/>
    <s v="Cancelld"/>
    <x v="1"/>
    <x v="0"/>
    <x v="2"/>
    <x v="120"/>
    <n v="526.24"/>
  </r>
  <r>
    <s v="AD01-9361"/>
    <x v="0"/>
    <s v="Mar"/>
    <x v="1"/>
    <x v="1"/>
    <s v="Cancelld"/>
    <x v="1"/>
    <x v="0"/>
    <x v="2"/>
    <x v="260"/>
    <n v="201.63"/>
  </r>
  <r>
    <s v="AD01-9362"/>
    <x v="0"/>
    <s v="Mar"/>
    <x v="1"/>
    <x v="1"/>
    <s v="Cancelld"/>
    <x v="1"/>
    <x v="0"/>
    <x v="2"/>
    <x v="21"/>
    <n v="301.73"/>
  </r>
  <r>
    <s v="AD01-9362"/>
    <x v="0"/>
    <s v="Mar"/>
    <x v="1"/>
    <x v="1"/>
    <s v="Cancelld"/>
    <x v="1"/>
    <x v="0"/>
    <x v="2"/>
    <x v="330"/>
    <n v="198.76999999999998"/>
  </r>
  <r>
    <s v="AD01-9362"/>
    <x v="0"/>
    <s v="Mar"/>
    <x v="1"/>
    <x v="1"/>
    <s v="Cancelld"/>
    <x v="1"/>
    <x v="0"/>
    <x v="2"/>
    <x v="360"/>
    <n v="1172.5999999999999"/>
  </r>
  <r>
    <s v="AD01-9362"/>
    <x v="0"/>
    <s v="Mar"/>
    <x v="1"/>
    <x v="1"/>
    <s v="Cancelld"/>
    <x v="1"/>
    <x v="0"/>
    <x v="2"/>
    <x v="333"/>
    <n v="1219.79"/>
  </r>
  <r>
    <s v="AD01-9362"/>
    <x v="0"/>
    <s v="Mar"/>
    <x v="1"/>
    <x v="1"/>
    <s v="Cancelld"/>
    <x v="1"/>
    <x v="0"/>
    <x v="2"/>
    <x v="295"/>
    <n v="195.91"/>
  </r>
  <r>
    <s v="AD01-9363"/>
    <x v="0"/>
    <s v="May"/>
    <x v="1"/>
    <x v="1"/>
    <s v="Cancelld"/>
    <x v="1"/>
    <x v="0"/>
    <x v="2"/>
    <x v="129"/>
    <n v="286"/>
  </r>
  <r>
    <s v="AD01-9362"/>
    <x v="0"/>
    <s v="May"/>
    <x v="1"/>
    <x v="1"/>
    <s v="Cancelld"/>
    <x v="1"/>
    <x v="0"/>
    <x v="2"/>
    <x v="233"/>
    <n v="183.04"/>
  </r>
  <r>
    <s v="AD01-9362"/>
    <x v="0"/>
    <s v="May"/>
    <x v="1"/>
    <x v="1"/>
    <s v="Cancelld"/>
    <x v="1"/>
    <x v="0"/>
    <x v="2"/>
    <x v="361"/>
    <n v="220.22"/>
  </r>
  <r>
    <s v="AD01-9362"/>
    <x v="0"/>
    <s v="May"/>
    <x v="1"/>
    <x v="1"/>
    <s v="Cancelld"/>
    <x v="1"/>
    <x v="0"/>
    <x v="2"/>
    <x v="170"/>
    <n v="288.86"/>
  </r>
  <r>
    <s v="AD01-9362"/>
    <x v="0"/>
    <s v="May"/>
    <x v="1"/>
    <x v="1"/>
    <s v="Cancelld"/>
    <x v="1"/>
    <x v="0"/>
    <x v="2"/>
    <x v="235"/>
    <n v="185.9"/>
  </r>
  <r>
    <s v="AD01-9363"/>
    <x v="0"/>
    <s v="May"/>
    <x v="1"/>
    <x v="1"/>
    <s v="Cancelld"/>
    <x v="1"/>
    <x v="0"/>
    <x v="2"/>
    <x v="362"/>
    <n v="1162.5899999999999"/>
  </r>
  <r>
    <s v="AD01-9364"/>
    <x v="0"/>
    <s v="May"/>
    <x v="1"/>
    <x v="1"/>
    <s v="Cancelld"/>
    <x v="1"/>
    <x v="0"/>
    <x v="2"/>
    <x v="363"/>
    <n v="1209.78"/>
  </r>
  <r>
    <s v="AD01-9361"/>
    <x v="0"/>
    <s v="May"/>
    <x v="1"/>
    <x v="1"/>
    <s v="Cancelld"/>
    <x v="1"/>
    <x v="0"/>
    <x v="2"/>
    <x v="364"/>
    <n v="1287"/>
  </r>
  <r>
    <s v="AD01-9361"/>
    <x v="0"/>
    <s v="May"/>
    <x v="1"/>
    <x v="1"/>
    <s v="Cancelld"/>
    <x v="1"/>
    <x v="1"/>
    <x v="2"/>
    <x v="333"/>
    <n v="526.24"/>
  </r>
  <r>
    <s v="AD01-9362"/>
    <x v="0"/>
    <s v="May"/>
    <x v="1"/>
    <x v="1"/>
    <s v="Cancelld"/>
    <x v="1"/>
    <x v="1"/>
    <x v="2"/>
    <x v="122"/>
    <n v="526.24"/>
  </r>
  <r>
    <s v="AD01-9363"/>
    <x v="0"/>
    <s v="May"/>
    <x v="1"/>
    <x v="1"/>
    <s v="Cancelld"/>
    <x v="1"/>
    <x v="1"/>
    <x v="2"/>
    <x v="239"/>
    <n v="184.47"/>
  </r>
  <r>
    <s v="AD01-9362"/>
    <x v="0"/>
    <s v="May"/>
    <x v="1"/>
    <x v="1"/>
    <s v="Cancelld"/>
    <x v="1"/>
    <x v="1"/>
    <x v="2"/>
    <x v="365"/>
    <n v="224.51"/>
  </r>
  <r>
    <s v="AD01-9362"/>
    <x v="0"/>
    <s v="May"/>
    <x v="1"/>
    <x v="1"/>
    <s v="Cancelld"/>
    <x v="1"/>
    <x v="1"/>
    <x v="2"/>
    <x v="366"/>
    <n v="181.61"/>
  </r>
  <r>
    <s v="AD01-9362"/>
    <x v="0"/>
    <s v="May"/>
    <x v="1"/>
    <x v="1"/>
    <s v="Cancelld"/>
    <x v="1"/>
    <x v="1"/>
    <x v="2"/>
    <x v="367"/>
    <n v="1175.46"/>
  </r>
  <r>
    <s v="AD01-9361"/>
    <x v="0"/>
    <s v="May"/>
    <x v="1"/>
    <x v="1"/>
    <s v="Cancelld"/>
    <x v="1"/>
    <x v="1"/>
    <x v="2"/>
    <x v="264"/>
    <n v="1222.6500000000001"/>
  </r>
  <r>
    <s v="AD01-9361"/>
    <x v="0"/>
    <s v="Nov"/>
    <x v="1"/>
    <x v="1"/>
    <s v="Cancelld"/>
    <x v="1"/>
    <x v="1"/>
    <x v="2"/>
    <x v="146"/>
    <n v="526.24"/>
  </r>
  <r>
    <s v="AD01-9361"/>
    <x v="0"/>
    <s v="Nov"/>
    <x v="1"/>
    <x v="1"/>
    <s v="Cancelld"/>
    <x v="1"/>
    <x v="1"/>
    <x v="2"/>
    <x v="190"/>
    <n v="243.1"/>
  </r>
  <r>
    <s v="AD01-9362"/>
    <x v="0"/>
    <s v="Nov"/>
    <x v="1"/>
    <x v="1"/>
    <s v="Cancelld"/>
    <x v="1"/>
    <x v="1"/>
    <x v="2"/>
    <x v="1"/>
    <n v="491.91999999999996"/>
  </r>
  <r>
    <s v="AD01-9362"/>
    <x v="0"/>
    <s v="Nov"/>
    <x v="1"/>
    <x v="1"/>
    <s v="Cancelld"/>
    <x v="1"/>
    <x v="1"/>
    <x v="2"/>
    <x v="90"/>
    <n v="529.1"/>
  </r>
  <r>
    <s v="AD01-9365"/>
    <x v="0"/>
    <s v="Nov"/>
    <x v="1"/>
    <x v="1"/>
    <s v="Cancelld"/>
    <x v="1"/>
    <x v="1"/>
    <x v="2"/>
    <x v="191"/>
    <n v="245.95999999999998"/>
  </r>
  <r>
    <s v="AD01-9364"/>
    <x v="0"/>
    <s v="Nov"/>
    <x v="1"/>
    <x v="1"/>
    <s v="Cancelld"/>
    <x v="1"/>
    <x v="1"/>
    <x v="2"/>
    <x v="256"/>
    <n v="486.2"/>
  </r>
  <r>
    <s v="AD01-9362"/>
    <x v="0"/>
    <s v="Nov"/>
    <x v="1"/>
    <x v="1"/>
    <s v="Cancelld"/>
    <x v="1"/>
    <x v="1"/>
    <x v="2"/>
    <x v="323"/>
    <n v="1218.3600000000001"/>
  </r>
  <r>
    <s v="AD01-9362"/>
    <x v="0"/>
    <s v="Nov"/>
    <x v="1"/>
    <x v="1"/>
    <s v="Cancelld"/>
    <x v="1"/>
    <x v="1"/>
    <x v="2"/>
    <x v="368"/>
    <n v="1294.1500000000001"/>
  </r>
  <r>
    <s v="AD01-9362"/>
    <x v="0"/>
    <s v="Nov"/>
    <x v="1"/>
    <x v="1"/>
    <s v="Cancelld"/>
    <x v="1"/>
    <x v="1"/>
    <x v="2"/>
    <x v="300"/>
    <n v="526.24"/>
  </r>
  <r>
    <s v="AD01-9361"/>
    <x v="0"/>
    <s v="Nov"/>
    <x v="1"/>
    <x v="1"/>
    <s v="Cancelld"/>
    <x v="1"/>
    <x v="1"/>
    <x v="2"/>
    <x v="369"/>
    <n v="526.24"/>
  </r>
  <r>
    <s v="AD01-9364"/>
    <x v="0"/>
    <s v="Nov"/>
    <x v="1"/>
    <x v="1"/>
    <s v="Cancelld"/>
    <x v="1"/>
    <x v="1"/>
    <x v="2"/>
    <x v="355"/>
    <n v="524.80999999999995"/>
  </r>
  <r>
    <s v="AD01-9361"/>
    <x v="0"/>
    <s v="Nov"/>
    <x v="1"/>
    <x v="1"/>
    <s v="Cancelld"/>
    <x v="1"/>
    <x v="1"/>
    <x v="2"/>
    <x v="200"/>
    <n v="241.67000000000002"/>
  </r>
  <r>
    <s v="AD01-9362"/>
    <x v="0"/>
    <s v="Nov"/>
    <x v="1"/>
    <x v="1"/>
    <s v="Cancelld"/>
    <x v="1"/>
    <x v="1"/>
    <x v="2"/>
    <x v="263"/>
    <n v="490.49"/>
  </r>
  <r>
    <s v="AD01-9362"/>
    <x v="0"/>
    <s v="Nov"/>
    <x v="1"/>
    <x v="1"/>
    <s v="Cancelld"/>
    <x v="1"/>
    <x v="1"/>
    <x v="2"/>
    <x v="370"/>
    <n v="1182.6100000000001"/>
  </r>
  <r>
    <s v="AD01-9361"/>
    <x v="0"/>
    <s v="Nov"/>
    <x v="1"/>
    <x v="1"/>
    <s v="Cancelld"/>
    <x v="1"/>
    <x v="1"/>
    <x v="2"/>
    <x v="268"/>
    <n v="487.63"/>
  </r>
  <r>
    <s v="AD01-9362"/>
    <x v="0"/>
    <s v="Oct"/>
    <x v="1"/>
    <x v="1"/>
    <s v="Cancelld"/>
    <x v="1"/>
    <x v="1"/>
    <x v="2"/>
    <x v="233"/>
    <n v="183.04"/>
  </r>
  <r>
    <s v="AD01-9362"/>
    <x v="0"/>
    <s v="Oct"/>
    <x v="1"/>
    <x v="1"/>
    <s v="Cancelld"/>
    <x v="1"/>
    <x v="1"/>
    <x v="2"/>
    <x v="203"/>
    <n v="251.68"/>
  </r>
  <r>
    <s v="AD01-9362"/>
    <x v="0"/>
    <s v="Oct"/>
    <x v="1"/>
    <x v="1"/>
    <s v="Cancelld"/>
    <x v="1"/>
    <x v="1"/>
    <x v="2"/>
    <x v="0"/>
    <n v="500.5"/>
  </r>
  <r>
    <s v="AD01-9362"/>
    <x v="0"/>
    <s v="Oct"/>
    <x v="1"/>
    <x v="1"/>
    <s v="Cancelld"/>
    <x v="1"/>
    <x v="1"/>
    <x v="2"/>
    <x v="235"/>
    <n v="185.9"/>
  </r>
  <r>
    <s v="AD01-9363"/>
    <x v="0"/>
    <s v="Oct"/>
    <x v="1"/>
    <x v="1"/>
    <s v="Cancelld"/>
    <x v="1"/>
    <x v="1"/>
    <x v="2"/>
    <x v="255"/>
    <n v="494.78"/>
  </r>
  <r>
    <s v="AD01-9362"/>
    <x v="0"/>
    <s v="Oct"/>
    <x v="1"/>
    <x v="1"/>
    <s v="Cancelld"/>
    <x v="1"/>
    <x v="1"/>
    <x v="2"/>
    <x v="343"/>
    <n v="1169.74"/>
  </r>
  <r>
    <s v="AD01-9361"/>
    <x v="0"/>
    <s v="Oct"/>
    <x v="1"/>
    <x v="1"/>
    <s v="Cancelld"/>
    <x v="1"/>
    <x v="1"/>
    <x v="2"/>
    <x v="359"/>
    <n v="1216.93"/>
  </r>
  <r>
    <s v="AD01-9364"/>
    <x v="0"/>
    <s v="Oct"/>
    <x v="1"/>
    <x v="1"/>
    <s v="Cancelld"/>
    <x v="1"/>
    <x v="1"/>
    <x v="2"/>
    <x v="371"/>
    <n v="1292.72"/>
  </r>
  <r>
    <s v="AD01-9364"/>
    <x v="0"/>
    <s v="Oct"/>
    <x v="1"/>
    <x v="1"/>
    <s v="Cancelld"/>
    <x v="1"/>
    <x v="1"/>
    <x v="2"/>
    <x v="240"/>
    <n v="526.24"/>
  </r>
  <r>
    <s v="AD01-9362"/>
    <x v="0"/>
    <s v="Oct"/>
    <x v="1"/>
    <x v="1"/>
    <s v="Cancelld"/>
    <x v="1"/>
    <x v="1"/>
    <x v="2"/>
    <x v="372"/>
    <n v="526.24"/>
  </r>
  <r>
    <s v="AD01-9362"/>
    <x v="0"/>
    <s v="Oct"/>
    <x v="1"/>
    <x v="1"/>
    <s v="Cancelld"/>
    <x v="1"/>
    <x v="1"/>
    <x v="2"/>
    <x v="14"/>
    <n v="493.35"/>
  </r>
  <r>
    <s v="AD01-9363"/>
    <x v="0"/>
    <s v="Oct"/>
    <x v="1"/>
    <x v="1"/>
    <s v="Cancelld"/>
    <x v="1"/>
    <x v="1"/>
    <x v="2"/>
    <x v="366"/>
    <n v="181.61"/>
  </r>
  <r>
    <s v="AD01-9364"/>
    <x v="0"/>
    <s v="Oct"/>
    <x v="1"/>
    <x v="1"/>
    <s v="Cancelld"/>
    <x v="1"/>
    <x v="1"/>
    <x v="2"/>
    <x v="213"/>
    <n v="250.25"/>
  </r>
  <r>
    <s v="AD01-9362"/>
    <x v="0"/>
    <s v="Oct"/>
    <x v="1"/>
    <x v="1"/>
    <s v="Cancelld"/>
    <x v="1"/>
    <x v="1"/>
    <x v="2"/>
    <x v="262"/>
    <n v="499.07"/>
  </r>
  <r>
    <s v="AD01-9362"/>
    <x v="0"/>
    <s v="Oct"/>
    <x v="1"/>
    <x v="1"/>
    <s v="Cancelld"/>
    <x v="1"/>
    <x v="1"/>
    <x v="2"/>
    <x v="373"/>
    <n v="1181.18"/>
  </r>
  <r>
    <s v="AD01-9361"/>
    <x v="0"/>
    <s v="Oct"/>
    <x v="1"/>
    <x v="1"/>
    <s v="Cancelld"/>
    <x v="1"/>
    <x v="1"/>
    <x v="2"/>
    <x v="247"/>
    <n v="1229.8"/>
  </r>
  <r>
    <s v="AD01-9362"/>
    <x v="0"/>
    <s v="Oct"/>
    <x v="1"/>
    <x v="1"/>
    <s v="Cancelld"/>
    <x v="1"/>
    <x v="1"/>
    <x v="2"/>
    <x v="280"/>
    <n v="496.21000000000004"/>
  </r>
  <r>
    <s v="AD01-9363"/>
    <x v="0"/>
    <s v="Sep"/>
    <x v="1"/>
    <x v="1"/>
    <s v="Cancelld"/>
    <x v="1"/>
    <x v="1"/>
    <x v="2"/>
    <x v="290"/>
    <n v="191.62"/>
  </r>
  <r>
    <s v="AD01-9362"/>
    <x v="0"/>
    <s v="Sep"/>
    <x v="1"/>
    <x v="1"/>
    <s v="Cancelld"/>
    <x v="1"/>
    <x v="1"/>
    <x v="2"/>
    <x v="217"/>
    <n v="260.26"/>
  </r>
  <r>
    <s v="AD01-9362"/>
    <x v="0"/>
    <s v="Sep"/>
    <x v="1"/>
    <x v="1"/>
    <s v="Cancelld"/>
    <x v="1"/>
    <x v="1"/>
    <x v="2"/>
    <x v="291"/>
    <n v="194.48"/>
  </r>
  <r>
    <s v="AD01-9361"/>
    <x v="0"/>
    <s v="Sep"/>
    <x v="1"/>
    <x v="1"/>
    <s v="Cancelld"/>
    <x v="1"/>
    <x v="1"/>
    <x v="2"/>
    <x v="204"/>
    <n v="254.54"/>
  </r>
  <r>
    <s v="AD01-9364"/>
    <x v="0"/>
    <s v="Sep"/>
    <x v="1"/>
    <x v="1"/>
    <s v="Cancelld"/>
    <x v="1"/>
    <x v="1"/>
    <x v="2"/>
    <x v="244"/>
    <n v="503.36"/>
  </r>
  <r>
    <s v="AD01-9362"/>
    <x v="0"/>
    <s v="Sep"/>
    <x v="1"/>
    <x v="1"/>
    <s v="Cancelld"/>
    <x v="1"/>
    <x v="1"/>
    <x v="2"/>
    <x v="374"/>
    <n v="1168.31"/>
  </r>
  <r>
    <s v="AD01-9364"/>
    <x v="0"/>
    <s v="Sep"/>
    <x v="1"/>
    <x v="1"/>
    <s v="Cancelld"/>
    <x v="1"/>
    <x v="1"/>
    <x v="2"/>
    <x v="339"/>
    <n v="1215.5"/>
  </r>
  <r>
    <s v="AD01-9364"/>
    <x v="0"/>
    <s v="Sep"/>
    <x v="1"/>
    <x v="1"/>
    <s v="Cancelld"/>
    <x v="1"/>
    <x v="1"/>
    <x v="2"/>
    <x v="375"/>
    <n v="1291.29"/>
  </r>
  <r>
    <s v="AD01-9364"/>
    <x v="0"/>
    <s v="Sep"/>
    <x v="1"/>
    <x v="1"/>
    <s v="Cancelld"/>
    <x v="1"/>
    <x v="1"/>
    <x v="2"/>
    <x v="294"/>
    <n v="526.24"/>
  </r>
  <r>
    <s v="AD01-9362"/>
    <x v="0"/>
    <s v="Sep"/>
    <x v="1"/>
    <x v="1"/>
    <s v="Cancelld"/>
    <x v="1"/>
    <x v="1"/>
    <x v="2"/>
    <x v="376"/>
    <n v="526.24"/>
  </r>
  <r>
    <s v="AD01-9362"/>
    <x v="0"/>
    <s v="Sep"/>
    <x v="1"/>
    <x v="1"/>
    <s v="Cancelld"/>
    <x v="1"/>
    <x v="1"/>
    <x v="2"/>
    <x v="13"/>
    <n v="501.93"/>
  </r>
  <r>
    <s v="AD01-9364"/>
    <x v="0"/>
    <s v="Sep"/>
    <x v="1"/>
    <x v="1"/>
    <s v="Cancelld"/>
    <x v="1"/>
    <x v="1"/>
    <x v="2"/>
    <x v="325"/>
    <n v="190.19"/>
  </r>
  <r>
    <s v="AD01-9361"/>
    <x v="0"/>
    <s v="Sep"/>
    <x v="1"/>
    <x v="1"/>
    <s v="Cancelld"/>
    <x v="1"/>
    <x v="1"/>
    <x v="2"/>
    <x v="231"/>
    <n v="258.83"/>
  </r>
  <r>
    <s v="AD01-9362"/>
    <x v="0"/>
    <s v="Sep"/>
    <x v="1"/>
    <x v="1"/>
    <s v="Cancelld"/>
    <x v="1"/>
    <x v="1"/>
    <x v="2"/>
    <x v="261"/>
    <n v="507.65"/>
  </r>
  <r>
    <s v="AD01-9364"/>
    <x v="0"/>
    <s v="Sep"/>
    <x v="1"/>
    <x v="1"/>
    <s v="Cancelld"/>
    <x v="1"/>
    <x v="1"/>
    <x v="2"/>
    <x v="288"/>
    <n v="1228.3699999999999"/>
  </r>
  <r>
    <s v="AD01-9363"/>
    <x v="0"/>
    <s v="Sep"/>
    <x v="1"/>
    <x v="1"/>
    <s v="Cancelld"/>
    <x v="1"/>
    <x v="1"/>
    <x v="2"/>
    <x v="248"/>
    <n v="504.78999999999996"/>
  </r>
  <r>
    <s v="AD01-9361"/>
    <x v="0"/>
    <s v="Mar"/>
    <x v="0"/>
    <x v="1"/>
    <s v="Order assembled"/>
    <x v="1"/>
    <x v="1"/>
    <x v="1"/>
    <x v="285"/>
    <n v="520.52"/>
  </r>
  <r>
    <s v="AD01-9362"/>
    <x v="0"/>
    <s v="Mar"/>
    <x v="0"/>
    <x v="1"/>
    <s v="Order assembled"/>
    <x v="1"/>
    <x v="1"/>
    <x v="0"/>
    <x v="272"/>
    <n v="511.94"/>
  </r>
  <r>
    <s v="AD01-9361"/>
    <x v="0"/>
    <s v="Mar"/>
    <x v="0"/>
    <x v="1"/>
    <s v="Order assembled"/>
    <x v="1"/>
    <x v="1"/>
    <x v="1"/>
    <x v="355"/>
    <n v="524.80999999999995"/>
  </r>
  <r>
    <s v="AD01-9365"/>
    <x v="0"/>
    <s v="Mar"/>
    <x v="0"/>
    <x v="1"/>
    <s v="Order assembled"/>
    <x v="1"/>
    <x v="1"/>
    <x v="0"/>
    <x v="350"/>
    <n v="516.23"/>
  </r>
  <r>
    <s v="AD01-9361"/>
    <x v="0"/>
    <s v="Mar"/>
    <x v="0"/>
    <x v="1"/>
    <s v="Cancelld"/>
    <x v="1"/>
    <x v="1"/>
    <x v="0"/>
    <x v="261"/>
    <n v="507.65"/>
  </r>
  <r>
    <s v="AD01-9363"/>
    <x v="0"/>
    <s v="Feb"/>
    <x v="1"/>
    <x v="1"/>
    <s v="Order assembled"/>
    <x v="0"/>
    <x v="1"/>
    <x v="1"/>
    <x v="377"/>
    <n v="1115.4000000000001"/>
  </r>
  <r>
    <s v="AD01-9364"/>
    <x v="0"/>
    <s v="Feb"/>
    <x v="1"/>
    <x v="1"/>
    <s v="Order assembled"/>
    <x v="0"/>
    <x v="1"/>
    <x v="1"/>
    <x v="378"/>
    <n v="1116.83"/>
  </r>
  <r>
    <s v="AD01-9361"/>
    <x v="0"/>
    <s v="Feb"/>
    <x v="1"/>
    <x v="1"/>
    <s v="Order assembled"/>
    <x v="0"/>
    <x v="1"/>
    <x v="1"/>
    <x v="379"/>
    <n v="1118.26"/>
  </r>
  <r>
    <s v="AD01-9362"/>
    <x v="0"/>
    <s v="Feb"/>
    <x v="1"/>
    <x v="1"/>
    <s v="Order assembled"/>
    <x v="0"/>
    <x v="1"/>
    <x v="1"/>
    <x v="360"/>
    <n v="526.24"/>
  </r>
  <r>
    <s v="AD01-9362"/>
    <x v="0"/>
    <s v="Feb"/>
    <x v="1"/>
    <x v="1"/>
    <s v="Order assembled"/>
    <x v="0"/>
    <x v="1"/>
    <x v="1"/>
    <x v="326"/>
    <n v="526.24"/>
  </r>
  <r>
    <s v="AD01-9364"/>
    <x v="0"/>
    <s v="Jan"/>
    <x v="1"/>
    <x v="1"/>
    <s v="Order assembled"/>
    <x v="0"/>
    <x v="1"/>
    <x v="0"/>
    <x v="147"/>
    <n v="517.66"/>
  </r>
  <r>
    <s v="AD01-9364"/>
    <x v="0"/>
    <s v="Jan"/>
    <x v="1"/>
    <x v="1"/>
    <s v="Order assembled"/>
    <x v="0"/>
    <x v="1"/>
    <x v="0"/>
    <x v="73"/>
    <n v="1113.97"/>
  </r>
  <r>
    <s v="AD01-9363"/>
    <x v="0"/>
    <s v="Jan"/>
    <x v="1"/>
    <x v="1"/>
    <s v="Order assembled"/>
    <x v="0"/>
    <x v="1"/>
    <x v="0"/>
    <x v="332"/>
    <n v="526.24"/>
  </r>
  <r>
    <s v="AD01-9363"/>
    <x v="0"/>
    <s v="Jan"/>
    <x v="1"/>
    <x v="1"/>
    <s v="Order assembled"/>
    <x v="0"/>
    <x v="1"/>
    <x v="0"/>
    <x v="350"/>
    <n v="516.23"/>
  </r>
  <r>
    <s v="AD01-9362"/>
    <x v="0"/>
    <s v="Mar"/>
    <x v="1"/>
    <x v="1"/>
    <s v="Order assembled"/>
    <x v="0"/>
    <x v="1"/>
    <x v="1"/>
    <x v="367"/>
    <n v="526.24"/>
  </r>
  <r>
    <s v="AD01-9362"/>
    <x v="1"/>
    <s v="Dec"/>
    <x v="0"/>
    <x v="0"/>
    <s v="Order assembled"/>
    <x v="1"/>
    <x v="0"/>
    <x v="0"/>
    <x v="28"/>
    <n v="397.53999999999996"/>
  </r>
  <r>
    <s v="AD01-9361"/>
    <x v="1"/>
    <s v="Dec"/>
    <x v="0"/>
    <x v="0"/>
    <s v="Order assembled"/>
    <x v="1"/>
    <x v="0"/>
    <x v="0"/>
    <x v="128"/>
    <n v="388.96"/>
  </r>
  <r>
    <s v="AD01-9361"/>
    <x v="1"/>
    <s v="Dec"/>
    <x v="0"/>
    <x v="0"/>
    <s v="Order assembled"/>
    <x v="1"/>
    <x v="0"/>
    <x v="0"/>
    <x v="106"/>
    <n v="380.38"/>
  </r>
  <r>
    <s v="AD01-9364"/>
    <x v="1"/>
    <s v="Dec"/>
    <x v="0"/>
    <x v="0"/>
    <s v="Order assembled"/>
    <x v="1"/>
    <x v="0"/>
    <x v="0"/>
    <x v="37"/>
    <n v="526.24"/>
  </r>
  <r>
    <s v="AD01-9362"/>
    <x v="1"/>
    <s v="Dec"/>
    <x v="0"/>
    <x v="0"/>
    <s v="Order assembled"/>
    <x v="1"/>
    <x v="0"/>
    <x v="0"/>
    <x v="220"/>
    <n v="526.24"/>
  </r>
  <r>
    <s v="AD01-9362"/>
    <x v="1"/>
    <s v="Dec"/>
    <x v="0"/>
    <x v="0"/>
    <s v="Order assembled"/>
    <x v="1"/>
    <x v="0"/>
    <x v="0"/>
    <x v="41"/>
    <n v="398.97"/>
  </r>
  <r>
    <s v="AD01-9362"/>
    <x v="1"/>
    <s v="Dec"/>
    <x v="0"/>
    <x v="0"/>
    <s v="Order assembled"/>
    <x v="1"/>
    <x v="0"/>
    <x v="0"/>
    <x v="225"/>
    <n v="390.39"/>
  </r>
  <r>
    <s v="AD01-9361"/>
    <x v="1"/>
    <s v="Dec"/>
    <x v="0"/>
    <x v="0"/>
    <s v="Order assembled"/>
    <x v="1"/>
    <x v="0"/>
    <x v="0"/>
    <x v="226"/>
    <n v="381.81"/>
  </r>
  <r>
    <s v="AD01-9362"/>
    <x v="1"/>
    <s v="Dec"/>
    <x v="0"/>
    <x v="0"/>
    <s v="Order assembled"/>
    <x v="1"/>
    <x v="0"/>
    <x v="0"/>
    <x v="49"/>
    <n v="393.25"/>
  </r>
  <r>
    <s v="AD01-9362"/>
    <x v="1"/>
    <s v="Dec"/>
    <x v="0"/>
    <x v="0"/>
    <s v="Order assembled"/>
    <x v="1"/>
    <x v="0"/>
    <x v="0"/>
    <x v="123"/>
    <n v="384.67"/>
  </r>
  <r>
    <s v="AD01-9364"/>
    <x v="1"/>
    <s v="Nov"/>
    <x v="0"/>
    <x v="0"/>
    <s v="Order assembled"/>
    <x v="1"/>
    <x v="0"/>
    <x v="0"/>
    <x v="89"/>
    <n v="423.28"/>
  </r>
  <r>
    <s v="AD01-9362"/>
    <x v="1"/>
    <s v="Nov"/>
    <x v="0"/>
    <x v="0"/>
    <s v="Order assembled"/>
    <x v="1"/>
    <x v="0"/>
    <x v="0"/>
    <x v="27"/>
    <n v="414.7"/>
  </r>
  <r>
    <s v="AD01-9363"/>
    <x v="1"/>
    <s v="Nov"/>
    <x v="0"/>
    <x v="0"/>
    <s v="Order assembled"/>
    <x v="1"/>
    <x v="0"/>
    <x v="0"/>
    <x v="3"/>
    <n v="406.12"/>
  </r>
  <r>
    <s v="AD01-9365"/>
    <x v="1"/>
    <s v="Nov"/>
    <x v="0"/>
    <x v="0"/>
    <s v="Order assembled"/>
    <x v="1"/>
    <x v="0"/>
    <x v="0"/>
    <x v="110"/>
    <n v="526.24"/>
  </r>
  <r>
    <s v="AD01-9361"/>
    <x v="1"/>
    <s v="Nov"/>
    <x v="0"/>
    <x v="0"/>
    <s v="Order assembled"/>
    <x v="1"/>
    <x v="0"/>
    <x v="0"/>
    <x v="35"/>
    <n v="526.24"/>
  </r>
  <r>
    <s v="AD01-9361"/>
    <x v="1"/>
    <s v="Nov"/>
    <x v="0"/>
    <x v="0"/>
    <s v="Order assembled"/>
    <x v="1"/>
    <x v="0"/>
    <x v="0"/>
    <x v="36"/>
    <n v="526.24"/>
  </r>
  <r>
    <s v="AD01-9361"/>
    <x v="1"/>
    <s v="Nov"/>
    <x v="0"/>
    <x v="0"/>
    <s v="Order assembled"/>
    <x v="1"/>
    <x v="0"/>
    <x v="0"/>
    <x v="116"/>
    <n v="416.13"/>
  </r>
  <r>
    <s v="AD01-9365"/>
    <x v="1"/>
    <s v="Nov"/>
    <x v="0"/>
    <x v="0"/>
    <s v="Order assembled"/>
    <x v="1"/>
    <x v="0"/>
    <x v="0"/>
    <x v="40"/>
    <n v="407.55"/>
  </r>
  <r>
    <s v="AD01-9363"/>
    <x v="1"/>
    <s v="Nov"/>
    <x v="0"/>
    <x v="0"/>
    <s v="Order assembled"/>
    <x v="1"/>
    <x v="0"/>
    <x v="0"/>
    <x v="87"/>
    <n v="418.99"/>
  </r>
  <r>
    <s v="AD01-9364"/>
    <x v="1"/>
    <s v="Nov"/>
    <x v="0"/>
    <x v="0"/>
    <s v="Order assembled"/>
    <x v="1"/>
    <x v="0"/>
    <x v="0"/>
    <x v="48"/>
    <n v="410.40999999999997"/>
  </r>
  <r>
    <s v="AD01-9361"/>
    <x v="1"/>
    <s v="Nov"/>
    <x v="0"/>
    <x v="0"/>
    <s v="Order assembled"/>
    <x v="1"/>
    <x v="0"/>
    <x v="0"/>
    <x v="25"/>
    <n v="401.83"/>
  </r>
  <r>
    <s v="AD01-9364"/>
    <x v="1"/>
    <s v="Oct"/>
    <x v="0"/>
    <x v="0"/>
    <s v="Order assembled"/>
    <x v="1"/>
    <x v="0"/>
    <x v="0"/>
    <x v="127"/>
    <n v="440.44"/>
  </r>
  <r>
    <s v="AD01-9362"/>
    <x v="1"/>
    <s v="Oct"/>
    <x v="0"/>
    <x v="0"/>
    <s v="Order assembled"/>
    <x v="1"/>
    <x v="0"/>
    <x v="0"/>
    <x v="105"/>
    <n v="431.86"/>
  </r>
  <r>
    <s v="AD01-9362"/>
    <x v="1"/>
    <s v="Oct"/>
    <x v="0"/>
    <x v="0"/>
    <s v="Order assembled"/>
    <x v="1"/>
    <x v="0"/>
    <x v="0"/>
    <x v="108"/>
    <n v="526.24"/>
  </r>
  <r>
    <s v="AD01-9363"/>
    <x v="1"/>
    <s v="Oct"/>
    <x v="0"/>
    <x v="0"/>
    <s v="Order assembled"/>
    <x v="1"/>
    <x v="0"/>
    <x v="0"/>
    <x v="109"/>
    <n v="526.24"/>
  </r>
  <r>
    <s v="AD01-9364"/>
    <x v="1"/>
    <s v="Oct"/>
    <x v="0"/>
    <x v="0"/>
    <s v="Order assembled"/>
    <x v="1"/>
    <x v="0"/>
    <x v="0"/>
    <x v="138"/>
    <n v="441.87"/>
  </r>
  <r>
    <s v="AD01-9364"/>
    <x v="1"/>
    <s v="Oct"/>
    <x v="0"/>
    <x v="0"/>
    <s v="Order assembled"/>
    <x v="1"/>
    <x v="0"/>
    <x v="0"/>
    <x v="114"/>
    <n v="433.28999999999996"/>
  </r>
  <r>
    <s v="AD01-9364"/>
    <x v="1"/>
    <s v="Oct"/>
    <x v="0"/>
    <x v="0"/>
    <s v="Order assembled"/>
    <x v="1"/>
    <x v="0"/>
    <x v="0"/>
    <x v="115"/>
    <n v="424.71"/>
  </r>
  <r>
    <s v="AD01-9361"/>
    <x v="1"/>
    <s v="Oct"/>
    <x v="0"/>
    <x v="0"/>
    <s v="Order assembled"/>
    <x v="1"/>
    <x v="0"/>
    <x v="0"/>
    <x v="296"/>
    <n v="436.15"/>
  </r>
  <r>
    <s v="AD01-9361"/>
    <x v="1"/>
    <s v="Oct"/>
    <x v="0"/>
    <x v="0"/>
    <s v="Order assembled"/>
    <x v="1"/>
    <x v="0"/>
    <x v="0"/>
    <x v="103"/>
    <n v="427.57"/>
  </r>
  <r>
    <s v="AD01-9361"/>
    <x v="1"/>
    <s v="Apr"/>
    <x v="0"/>
    <x v="0"/>
    <s v="Order assembled"/>
    <x v="0"/>
    <x v="0"/>
    <x v="0"/>
    <x v="319"/>
    <n v="526.24"/>
  </r>
  <r>
    <s v="AD01-9361"/>
    <x v="1"/>
    <s v="Apr"/>
    <x v="0"/>
    <x v="0"/>
    <s v="Order assembled"/>
    <x v="0"/>
    <x v="0"/>
    <x v="0"/>
    <x v="352"/>
    <n v="526.24"/>
  </r>
  <r>
    <s v="AD01-9362"/>
    <x v="1"/>
    <s v="Apr"/>
    <x v="0"/>
    <x v="0"/>
    <s v="Order assembled"/>
    <x v="0"/>
    <x v="0"/>
    <x v="1"/>
    <x v="190"/>
    <n v="243.1"/>
  </r>
  <r>
    <s v="AD01-9362"/>
    <x v="1"/>
    <s v="Apr"/>
    <x v="0"/>
    <x v="0"/>
    <s v="Order assembled"/>
    <x v="0"/>
    <x v="0"/>
    <x v="1"/>
    <x v="54"/>
    <n v="311.74"/>
  </r>
  <r>
    <s v="AD01-9361"/>
    <x v="1"/>
    <s v="Apr"/>
    <x v="0"/>
    <x v="0"/>
    <s v="Order assembled"/>
    <x v="0"/>
    <x v="0"/>
    <x v="1"/>
    <x v="271"/>
    <n v="208.78"/>
  </r>
  <r>
    <s v="AD01-9364"/>
    <x v="1"/>
    <s v="Apr"/>
    <x v="0"/>
    <x v="0"/>
    <s v="Order assembled"/>
    <x v="0"/>
    <x v="0"/>
    <x v="1"/>
    <x v="191"/>
    <n v="245.95999999999998"/>
  </r>
  <r>
    <s v="AD01-9361"/>
    <x v="1"/>
    <s v="Apr"/>
    <x v="0"/>
    <x v="0"/>
    <s v="Order assembled"/>
    <x v="0"/>
    <x v="0"/>
    <x v="1"/>
    <x v="77"/>
    <n v="314.60000000000002"/>
  </r>
  <r>
    <s v="AD01-9361"/>
    <x v="1"/>
    <s v="Apr"/>
    <x v="0"/>
    <x v="0"/>
    <s v="Order assembled"/>
    <x v="0"/>
    <x v="0"/>
    <x v="1"/>
    <x v="380"/>
    <n v="526.24"/>
  </r>
  <r>
    <s v="AD01-9362"/>
    <x v="1"/>
    <s v="Apr"/>
    <x v="0"/>
    <x v="0"/>
    <s v="Order assembled"/>
    <x v="0"/>
    <x v="0"/>
    <x v="1"/>
    <x v="381"/>
    <n v="526.24"/>
  </r>
  <r>
    <s v="AD01-9362"/>
    <x v="1"/>
    <s v="Apr"/>
    <x v="0"/>
    <x v="0"/>
    <s v="Order assembled"/>
    <x v="0"/>
    <x v="0"/>
    <x v="1"/>
    <x v="382"/>
    <n v="526.24"/>
  </r>
  <r>
    <s v="AD01-9362"/>
    <x v="1"/>
    <s v="Apr"/>
    <x v="0"/>
    <x v="0"/>
    <s v="Order assembled"/>
    <x v="0"/>
    <x v="0"/>
    <x v="1"/>
    <x v="383"/>
    <n v="982.41"/>
  </r>
  <r>
    <s v="AD01-9361"/>
    <x v="1"/>
    <s v="Apr"/>
    <x v="0"/>
    <x v="0"/>
    <s v="Order assembled"/>
    <x v="0"/>
    <x v="0"/>
    <x v="1"/>
    <x v="384"/>
    <n v="1031.03"/>
  </r>
  <r>
    <s v="AD01-9362"/>
    <x v="1"/>
    <s v="Apr"/>
    <x v="0"/>
    <x v="0"/>
    <s v="Order assembled"/>
    <x v="0"/>
    <x v="0"/>
    <x v="1"/>
    <x v="145"/>
    <n v="1106.82"/>
  </r>
  <r>
    <s v="AD01-9361"/>
    <x v="1"/>
    <s v="Apr"/>
    <x v="0"/>
    <x v="0"/>
    <s v="Order assembled"/>
    <x v="0"/>
    <x v="0"/>
    <x v="1"/>
    <x v="385"/>
    <n v="227.37"/>
  </r>
  <r>
    <s v="AD01-9362"/>
    <x v="1"/>
    <s v="Apr"/>
    <x v="0"/>
    <x v="0"/>
    <s v="Order assembled"/>
    <x v="0"/>
    <x v="0"/>
    <x v="1"/>
    <x v="386"/>
    <n v="218.79"/>
  </r>
  <r>
    <s v="AD01-9361"/>
    <x v="1"/>
    <s v="Apr"/>
    <x v="0"/>
    <x v="0"/>
    <s v="Order assembled"/>
    <x v="0"/>
    <x v="0"/>
    <x v="1"/>
    <x v="277"/>
    <n v="210.21"/>
  </r>
  <r>
    <s v="AD01-9362"/>
    <x v="1"/>
    <s v="Apr"/>
    <x v="0"/>
    <x v="0"/>
    <s v="Order assembled"/>
    <x v="0"/>
    <x v="0"/>
    <x v="1"/>
    <x v="369"/>
    <n v="244.53"/>
  </r>
  <r>
    <s v="AD01-9362"/>
    <x v="1"/>
    <s v="Apr"/>
    <x v="0"/>
    <x v="0"/>
    <s v="Order assembled"/>
    <x v="0"/>
    <x v="0"/>
    <x v="1"/>
    <x v="387"/>
    <n v="526.24"/>
  </r>
  <r>
    <s v="AD01-9362"/>
    <x v="1"/>
    <s v="Apr"/>
    <x v="0"/>
    <x v="0"/>
    <s v="Order assembled"/>
    <x v="0"/>
    <x v="0"/>
    <x v="1"/>
    <x v="362"/>
    <n v="526.24"/>
  </r>
  <r>
    <s v="AD01-9362"/>
    <x v="1"/>
    <s v="Apr"/>
    <x v="0"/>
    <x v="0"/>
    <s v="Order assembled"/>
    <x v="0"/>
    <x v="0"/>
    <x v="1"/>
    <x v="45"/>
    <n v="310.31"/>
  </r>
  <r>
    <s v="AD01-9364"/>
    <x v="1"/>
    <s v="Apr"/>
    <x v="0"/>
    <x v="0"/>
    <s v="Order assembled"/>
    <x v="0"/>
    <x v="0"/>
    <x v="1"/>
    <x v="340"/>
    <n v="207.35"/>
  </r>
  <r>
    <s v="AD01-9362"/>
    <x v="1"/>
    <s v="Apr"/>
    <x v="0"/>
    <x v="0"/>
    <s v="Order assembled"/>
    <x v="0"/>
    <x v="0"/>
    <x v="0"/>
    <x v="388"/>
    <n v="230.23000000000002"/>
  </r>
  <r>
    <s v="AD01-9363"/>
    <x v="1"/>
    <s v="Apr"/>
    <x v="0"/>
    <x v="0"/>
    <s v="Order assembled"/>
    <x v="0"/>
    <x v="0"/>
    <x v="0"/>
    <x v="389"/>
    <n v="221.65"/>
  </r>
  <r>
    <s v="AD01-9362"/>
    <x v="1"/>
    <s v="Apr"/>
    <x v="0"/>
    <x v="0"/>
    <s v="Order assembled"/>
    <x v="0"/>
    <x v="0"/>
    <x v="0"/>
    <x v="345"/>
    <n v="213.07"/>
  </r>
  <r>
    <s v="AD01-9361"/>
    <x v="1"/>
    <s v="Apr"/>
    <x v="0"/>
    <x v="0"/>
    <s v="Order assembled"/>
    <x v="0"/>
    <x v="0"/>
    <x v="1"/>
    <x v="390"/>
    <n v="247.39"/>
  </r>
  <r>
    <s v="AD01-9361"/>
    <x v="1"/>
    <s v="Apr"/>
    <x v="0"/>
    <x v="0"/>
    <s v="Order assembled"/>
    <x v="0"/>
    <x v="0"/>
    <x v="1"/>
    <x v="70"/>
    <n v="316.02999999999997"/>
  </r>
  <r>
    <s v="AD01-9362"/>
    <x v="1"/>
    <s v="Apr"/>
    <x v="0"/>
    <x v="0"/>
    <s v="Order assembled"/>
    <x v="0"/>
    <x v="0"/>
    <x v="1"/>
    <x v="391"/>
    <n v="1119.69"/>
  </r>
  <r>
    <s v="AD01-9361"/>
    <x v="1"/>
    <s v="Aug"/>
    <x v="0"/>
    <x v="0"/>
    <s v="Order assembled"/>
    <x v="0"/>
    <x v="0"/>
    <x v="0"/>
    <x v="1"/>
    <n v="491.91999999999996"/>
  </r>
  <r>
    <s v="AD01-9361"/>
    <x v="1"/>
    <s v="Aug"/>
    <x v="0"/>
    <x v="0"/>
    <s v="Order assembled"/>
    <x v="0"/>
    <x v="0"/>
    <x v="0"/>
    <x v="164"/>
    <n v="483.34000000000003"/>
  </r>
  <r>
    <s v="AD01-9361"/>
    <x v="1"/>
    <s v="Aug"/>
    <x v="0"/>
    <x v="0"/>
    <s v="Order assembled"/>
    <x v="0"/>
    <x v="0"/>
    <x v="0"/>
    <x v="165"/>
    <n v="474.76"/>
  </r>
  <r>
    <s v="AD01-9364"/>
    <x v="1"/>
    <s v="Aug"/>
    <x v="0"/>
    <x v="0"/>
    <s v="Order assembled"/>
    <x v="0"/>
    <x v="0"/>
    <x v="1"/>
    <x v="352"/>
    <n v="206.72"/>
  </r>
  <r>
    <s v="AD01-9364"/>
    <x v="1"/>
    <s v="Aug"/>
    <x v="0"/>
    <x v="0"/>
    <s v="Order assembled"/>
    <x v="0"/>
    <x v="0"/>
    <x v="1"/>
    <x v="146"/>
    <n v="526.24"/>
  </r>
  <r>
    <s v="AD01-9365"/>
    <x v="1"/>
    <s v="Aug"/>
    <x v="0"/>
    <x v="0"/>
    <s v="Order assembled"/>
    <x v="0"/>
    <x v="0"/>
    <x v="1"/>
    <x v="273"/>
    <n v="211.64"/>
  </r>
  <r>
    <s v="AD01-9361"/>
    <x v="1"/>
    <s v="Aug"/>
    <x v="0"/>
    <x v="0"/>
    <s v="Order assembled"/>
    <x v="0"/>
    <x v="0"/>
    <x v="1"/>
    <x v="131"/>
    <n v="280.27999999999997"/>
  </r>
  <r>
    <s v="AD01-9361"/>
    <x v="1"/>
    <s v="Aug"/>
    <x v="0"/>
    <x v="0"/>
    <s v="Order assembled"/>
    <x v="0"/>
    <x v="0"/>
    <x v="1"/>
    <x v="90"/>
    <n v="529.1"/>
  </r>
  <r>
    <s v="AD01-9364"/>
    <x v="1"/>
    <s v="Aug"/>
    <x v="0"/>
    <x v="0"/>
    <s v="Order assembled"/>
    <x v="0"/>
    <x v="0"/>
    <x v="0"/>
    <x v="9"/>
    <n v="526.24"/>
  </r>
  <r>
    <s v="AD01-9362"/>
    <x v="1"/>
    <s v="Aug"/>
    <x v="0"/>
    <x v="0"/>
    <s v="Order assembled"/>
    <x v="0"/>
    <x v="0"/>
    <x v="0"/>
    <x v="171"/>
    <n v="526.24"/>
  </r>
  <r>
    <s v="AD01-9361"/>
    <x v="1"/>
    <s v="Aug"/>
    <x v="0"/>
    <x v="0"/>
    <s v="Order assembled"/>
    <x v="0"/>
    <x v="0"/>
    <x v="0"/>
    <x v="172"/>
    <n v="526.24"/>
  </r>
  <r>
    <s v="AD01-9361"/>
    <x v="1"/>
    <s v="Aug"/>
    <x v="0"/>
    <x v="0"/>
    <s v="Order assembled"/>
    <x v="0"/>
    <x v="0"/>
    <x v="1"/>
    <x v="392"/>
    <n v="988.13"/>
  </r>
  <r>
    <s v="AD01-9361"/>
    <x v="1"/>
    <s v="Aug"/>
    <x v="0"/>
    <x v="0"/>
    <s v="Order assembled"/>
    <x v="0"/>
    <x v="0"/>
    <x v="1"/>
    <x v="393"/>
    <n v="1035.32"/>
  </r>
  <r>
    <s v="AD01-9362"/>
    <x v="1"/>
    <s v="Aug"/>
    <x v="0"/>
    <x v="0"/>
    <s v="Order assembled"/>
    <x v="0"/>
    <x v="0"/>
    <x v="1"/>
    <x v="216"/>
    <n v="1111.1100000000001"/>
  </r>
  <r>
    <s v="AD01-9361"/>
    <x v="1"/>
    <s v="Aug"/>
    <x v="0"/>
    <x v="0"/>
    <s v="Order assembled"/>
    <x v="0"/>
    <x v="0"/>
    <x v="0"/>
    <x v="15"/>
    <n v="484.77"/>
  </r>
  <r>
    <s v="AD01-9361"/>
    <x v="1"/>
    <s v="Aug"/>
    <x v="0"/>
    <x v="0"/>
    <s v="Order assembled"/>
    <x v="0"/>
    <x v="0"/>
    <x v="0"/>
    <x v="177"/>
    <n v="476.19"/>
  </r>
  <r>
    <s v="AD01-9362"/>
    <x v="1"/>
    <s v="Aug"/>
    <x v="0"/>
    <x v="0"/>
    <s v="Order assembled"/>
    <x v="0"/>
    <x v="0"/>
    <x v="1"/>
    <x v="386"/>
    <n v="218.79"/>
  </r>
  <r>
    <s v="AD01-9361"/>
    <x v="1"/>
    <s v="Aug"/>
    <x v="0"/>
    <x v="0"/>
    <s v="Order assembled"/>
    <x v="0"/>
    <x v="0"/>
    <x v="1"/>
    <x v="176"/>
    <n v="526.24"/>
  </r>
  <r>
    <s v="AD01-9361"/>
    <x v="1"/>
    <s v="Aug"/>
    <x v="0"/>
    <x v="0"/>
    <s v="Order assembled"/>
    <x v="0"/>
    <x v="0"/>
    <x v="1"/>
    <x v="374"/>
    <n v="526.24"/>
  </r>
  <r>
    <s v="AD01-9361"/>
    <x v="1"/>
    <s v="Aug"/>
    <x v="0"/>
    <x v="0"/>
    <s v="Order assembled"/>
    <x v="0"/>
    <x v="0"/>
    <x v="1"/>
    <x v="344"/>
    <n v="215.93"/>
  </r>
  <r>
    <s v="AD01-9364"/>
    <x v="1"/>
    <s v="Aug"/>
    <x v="0"/>
    <x v="0"/>
    <s v="Order assembled"/>
    <x v="0"/>
    <x v="0"/>
    <x v="1"/>
    <x v="141"/>
    <n v="284.57"/>
  </r>
  <r>
    <s v="AD01-9365"/>
    <x v="1"/>
    <s v="Aug"/>
    <x v="0"/>
    <x v="0"/>
    <s v="Order assembled"/>
    <x v="0"/>
    <x v="0"/>
    <x v="1"/>
    <x v="355"/>
    <n v="524.80999999999995"/>
  </r>
  <r>
    <s v="AD01-9361"/>
    <x v="1"/>
    <s v="Aug"/>
    <x v="0"/>
    <x v="0"/>
    <s v="Order assembled"/>
    <x v="0"/>
    <x v="0"/>
    <x v="0"/>
    <x v="268"/>
    <n v="487.63"/>
  </r>
  <r>
    <s v="AD01-9365"/>
    <x v="1"/>
    <s v="Aug"/>
    <x v="0"/>
    <x v="0"/>
    <s v="Order assembled"/>
    <x v="0"/>
    <x v="0"/>
    <x v="0"/>
    <x v="253"/>
    <n v="479.05"/>
  </r>
  <r>
    <s v="AD01-9362"/>
    <x v="1"/>
    <s v="Aug"/>
    <x v="0"/>
    <x v="0"/>
    <s v="Order assembled"/>
    <x v="0"/>
    <x v="0"/>
    <x v="0"/>
    <x v="241"/>
    <n v="470.47"/>
  </r>
  <r>
    <s v="AD01-9364"/>
    <x v="1"/>
    <s v="Aug"/>
    <x v="0"/>
    <x v="0"/>
    <s v="Order assembled"/>
    <x v="0"/>
    <x v="0"/>
    <x v="1"/>
    <x v="345"/>
    <n v="213.07"/>
  </r>
  <r>
    <s v="AD01-9362"/>
    <x v="1"/>
    <s v="Aug"/>
    <x v="0"/>
    <x v="0"/>
    <s v="Order assembled"/>
    <x v="0"/>
    <x v="0"/>
    <x v="1"/>
    <x v="201"/>
    <n v="281.70999999999998"/>
  </r>
  <r>
    <s v="AD01-9364"/>
    <x v="1"/>
    <s v="Aug"/>
    <x v="0"/>
    <x v="0"/>
    <s v="Order assembled"/>
    <x v="0"/>
    <x v="0"/>
    <x v="1"/>
    <x v="394"/>
    <n v="1123.98"/>
  </r>
  <r>
    <s v="AD01-9361"/>
    <x v="1"/>
    <s v="Dec"/>
    <x v="0"/>
    <x v="0"/>
    <s v="Order assembled"/>
    <x v="0"/>
    <x v="0"/>
    <x v="1"/>
    <x v="233"/>
    <n v="174.07999999999998"/>
  </r>
  <r>
    <s v="AD01-9362"/>
    <x v="1"/>
    <s v="Dec"/>
    <x v="0"/>
    <x v="0"/>
    <s v="Order assembled"/>
    <x v="0"/>
    <x v="0"/>
    <x v="1"/>
    <x v="203"/>
    <n v="251.68"/>
  </r>
  <r>
    <s v="AD01-9361"/>
    <x v="1"/>
    <s v="Dec"/>
    <x v="0"/>
    <x v="0"/>
    <s v="Order assembled"/>
    <x v="0"/>
    <x v="0"/>
    <x v="1"/>
    <x v="235"/>
    <n v="185.9"/>
  </r>
  <r>
    <s v="AD01-9362"/>
    <x v="1"/>
    <s v="Dec"/>
    <x v="0"/>
    <x v="0"/>
    <s v="Order assembled"/>
    <x v="0"/>
    <x v="0"/>
    <x v="1"/>
    <x v="204"/>
    <n v="254.54"/>
  </r>
  <r>
    <s v="AD01-9361"/>
    <x v="1"/>
    <s v="Dec"/>
    <x v="0"/>
    <x v="0"/>
    <s v="Order assembled"/>
    <x v="0"/>
    <x v="0"/>
    <x v="1"/>
    <x v="395"/>
    <n v="1041.04"/>
  </r>
  <r>
    <s v="AD01-9363"/>
    <x v="1"/>
    <s v="Dec"/>
    <x v="0"/>
    <x v="0"/>
    <s v="Order assembled"/>
    <x v="0"/>
    <x v="0"/>
    <x v="1"/>
    <x v="239"/>
    <n v="184.47"/>
  </r>
  <r>
    <s v="AD01-9364"/>
    <x v="1"/>
    <s v="Dec"/>
    <x v="0"/>
    <x v="0"/>
    <s v="Order assembled"/>
    <x v="0"/>
    <x v="0"/>
    <x v="1"/>
    <x v="39"/>
    <n v="526.24"/>
  </r>
  <r>
    <s v="AD01-9362"/>
    <x v="1"/>
    <s v="Dec"/>
    <x v="0"/>
    <x v="0"/>
    <s v="Order assembled"/>
    <x v="0"/>
    <x v="0"/>
    <x v="1"/>
    <x v="366"/>
    <n v="181.61"/>
  </r>
  <r>
    <s v="AD01-9362"/>
    <x v="1"/>
    <s v="Dec"/>
    <x v="0"/>
    <x v="0"/>
    <s v="Order assembled"/>
    <x v="0"/>
    <x v="0"/>
    <x v="1"/>
    <x v="213"/>
    <n v="250.25"/>
  </r>
  <r>
    <s v="AD01-9361"/>
    <x v="1"/>
    <s v="Dec"/>
    <x v="0"/>
    <x v="0"/>
    <s v="Order assembled"/>
    <x v="0"/>
    <x v="0"/>
    <x v="1"/>
    <x v="242"/>
    <n v="187.32999999999998"/>
  </r>
  <r>
    <s v="AD01-9361"/>
    <x v="1"/>
    <s v="Feb"/>
    <x v="0"/>
    <x v="0"/>
    <s v="Order assembled"/>
    <x v="0"/>
    <x v="0"/>
    <x v="0"/>
    <x v="55"/>
    <n v="526.24"/>
  </r>
  <r>
    <s v="AD01-9362"/>
    <x v="1"/>
    <s v="Feb"/>
    <x v="0"/>
    <x v="0"/>
    <s v="Order assembled"/>
    <x v="0"/>
    <x v="0"/>
    <x v="0"/>
    <x v="31"/>
    <n v="526.24"/>
  </r>
  <r>
    <s v="AD01-9361"/>
    <x v="1"/>
    <s v="Feb"/>
    <x v="0"/>
    <x v="0"/>
    <s v="Order assembled"/>
    <x v="0"/>
    <x v="0"/>
    <x v="0"/>
    <x v="217"/>
    <n v="526.24"/>
  </r>
  <r>
    <s v="AD01-9361"/>
    <x v="1"/>
    <s v="Feb"/>
    <x v="0"/>
    <x v="0"/>
    <s v="Order assembled"/>
    <x v="0"/>
    <x v="0"/>
    <x v="1"/>
    <x v="217"/>
    <n v="260.26"/>
  </r>
  <r>
    <s v="AD01-9364"/>
    <x v="1"/>
    <s v="Feb"/>
    <x v="0"/>
    <x v="0"/>
    <s v="Order assembled"/>
    <x v="0"/>
    <x v="0"/>
    <x v="1"/>
    <x v="167"/>
    <n v="328.9"/>
  </r>
  <r>
    <s v="AD01-9365"/>
    <x v="1"/>
    <s v="Feb"/>
    <x v="0"/>
    <x v="0"/>
    <s v="Order assembled"/>
    <x v="0"/>
    <x v="0"/>
    <x v="1"/>
    <x v="319"/>
    <n v="225.94"/>
  </r>
  <r>
    <s v="AD01-9362"/>
    <x v="1"/>
    <s v="Feb"/>
    <x v="0"/>
    <x v="0"/>
    <s v="Order assembled"/>
    <x v="0"/>
    <x v="0"/>
    <x v="1"/>
    <x v="219"/>
    <n v="263.12"/>
  </r>
  <r>
    <s v="AD01-9361"/>
    <x v="1"/>
    <s v="Feb"/>
    <x v="0"/>
    <x v="0"/>
    <s v="Order assembled"/>
    <x v="0"/>
    <x v="0"/>
    <x v="1"/>
    <x v="361"/>
    <n v="220.22"/>
  </r>
  <r>
    <s v="AD01-9362"/>
    <x v="1"/>
    <s v="Feb"/>
    <x v="0"/>
    <x v="0"/>
    <s v="Order assembled"/>
    <x v="0"/>
    <x v="0"/>
    <x v="0"/>
    <x v="396"/>
    <n v="526.24"/>
  </r>
  <r>
    <s v="AD01-9365"/>
    <x v="1"/>
    <s v="Feb"/>
    <x v="0"/>
    <x v="0"/>
    <s v="Order assembled"/>
    <x v="0"/>
    <x v="0"/>
    <x v="0"/>
    <x v="397"/>
    <n v="526.24"/>
  </r>
  <r>
    <s v="AD01-9363"/>
    <x v="1"/>
    <s v="Feb"/>
    <x v="0"/>
    <x v="0"/>
    <s v="Order assembled"/>
    <x v="0"/>
    <x v="0"/>
    <x v="0"/>
    <x v="398"/>
    <n v="526.24"/>
  </r>
  <r>
    <s v="AD01-9361"/>
    <x v="1"/>
    <s v="Feb"/>
    <x v="0"/>
    <x v="0"/>
    <s v="Order assembled"/>
    <x v="0"/>
    <x v="0"/>
    <x v="1"/>
    <x v="399"/>
    <n v="980.98"/>
  </r>
  <r>
    <s v="AD01-9363"/>
    <x v="1"/>
    <s v="Feb"/>
    <x v="0"/>
    <x v="0"/>
    <s v="Order assembled"/>
    <x v="0"/>
    <x v="0"/>
    <x v="1"/>
    <x v="400"/>
    <n v="1028.17"/>
  </r>
  <r>
    <s v="AD01-9362"/>
    <x v="1"/>
    <s v="Feb"/>
    <x v="0"/>
    <x v="0"/>
    <s v="Order assembled"/>
    <x v="0"/>
    <x v="0"/>
    <x v="1"/>
    <x v="26"/>
    <n v="1103.96"/>
  </r>
  <r>
    <s v="AD01-9364"/>
    <x v="1"/>
    <s v="Feb"/>
    <x v="0"/>
    <x v="0"/>
    <s v="Order assembled"/>
    <x v="0"/>
    <x v="0"/>
    <x v="0"/>
    <x v="349"/>
    <n v="270.27"/>
  </r>
  <r>
    <s v="AD01-9363"/>
    <x v="1"/>
    <s v="Feb"/>
    <x v="0"/>
    <x v="0"/>
    <s v="Order assembled"/>
    <x v="0"/>
    <x v="0"/>
    <x v="0"/>
    <x v="376"/>
    <n v="261.69"/>
  </r>
  <r>
    <s v="AD01-9362"/>
    <x v="1"/>
    <s v="Feb"/>
    <x v="0"/>
    <x v="0"/>
    <s v="Order assembled"/>
    <x v="0"/>
    <x v="0"/>
    <x v="1"/>
    <x v="376"/>
    <n v="261.69"/>
  </r>
  <r>
    <s v="AD01-9362"/>
    <x v="1"/>
    <s v="Feb"/>
    <x v="0"/>
    <x v="0"/>
    <s v="Order assembled"/>
    <x v="0"/>
    <x v="0"/>
    <x v="1"/>
    <x v="401"/>
    <n v="526.24"/>
  </r>
  <r>
    <s v="AD01-9361"/>
    <x v="1"/>
    <s v="Feb"/>
    <x v="0"/>
    <x v="0"/>
    <s v="Order assembled"/>
    <x v="0"/>
    <x v="0"/>
    <x v="1"/>
    <x v="321"/>
    <n v="526.24"/>
  </r>
  <r>
    <s v="AD01-9361"/>
    <x v="1"/>
    <s v="Feb"/>
    <x v="0"/>
    <x v="0"/>
    <s v="Order assembled"/>
    <x v="0"/>
    <x v="0"/>
    <x v="1"/>
    <x v="231"/>
    <n v="258.83"/>
  </r>
  <r>
    <s v="AD01-9365"/>
    <x v="1"/>
    <s v="Feb"/>
    <x v="0"/>
    <x v="0"/>
    <s v="Order assembled"/>
    <x v="0"/>
    <x v="0"/>
    <x v="1"/>
    <x v="182"/>
    <n v="327.47000000000003"/>
  </r>
  <r>
    <s v="AD01-9362"/>
    <x v="1"/>
    <s v="Feb"/>
    <x v="0"/>
    <x v="0"/>
    <s v="Order assembled"/>
    <x v="0"/>
    <x v="0"/>
    <x v="1"/>
    <x v="365"/>
    <n v="224.51"/>
  </r>
  <r>
    <s v="AD01-9362"/>
    <x v="1"/>
    <s v="Feb"/>
    <x v="0"/>
    <x v="0"/>
    <s v="Order assembled"/>
    <x v="0"/>
    <x v="0"/>
    <x v="0"/>
    <x v="71"/>
    <n v="273.13"/>
  </r>
  <r>
    <s v="AD01-9362"/>
    <x v="1"/>
    <s v="Feb"/>
    <x v="0"/>
    <x v="0"/>
    <s v="Order assembled"/>
    <x v="0"/>
    <x v="0"/>
    <x v="0"/>
    <x v="402"/>
    <n v="264.55"/>
  </r>
  <r>
    <s v="AD01-9362"/>
    <x v="1"/>
    <s v="Feb"/>
    <x v="0"/>
    <x v="0"/>
    <s v="Order assembled"/>
    <x v="0"/>
    <x v="0"/>
    <x v="0"/>
    <x v="403"/>
    <n v="255.97"/>
  </r>
  <r>
    <s v="AD01-9365"/>
    <x v="1"/>
    <s v="Feb"/>
    <x v="0"/>
    <x v="0"/>
    <s v="Order assembled"/>
    <x v="0"/>
    <x v="0"/>
    <x v="1"/>
    <x v="402"/>
    <n v="264.55"/>
  </r>
  <r>
    <s v="AD01-9363"/>
    <x v="1"/>
    <s v="Feb"/>
    <x v="0"/>
    <x v="0"/>
    <s v="Order assembled"/>
    <x v="0"/>
    <x v="0"/>
    <x v="1"/>
    <x v="144"/>
    <n v="324.61"/>
  </r>
  <r>
    <s v="AD01-9361"/>
    <x v="1"/>
    <s v="Feb"/>
    <x v="0"/>
    <x v="0"/>
    <s v="Order assembled"/>
    <x v="0"/>
    <x v="0"/>
    <x v="1"/>
    <x v="378"/>
    <n v="1116.83"/>
  </r>
  <r>
    <s v="AD01-9364"/>
    <x v="1"/>
    <s v="Jan"/>
    <x v="0"/>
    <x v="0"/>
    <s v="Order assembled"/>
    <x v="0"/>
    <x v="0"/>
    <x v="0"/>
    <x v="168"/>
    <n v="526.24"/>
  </r>
  <r>
    <s v="AD01-9362"/>
    <x v="1"/>
    <s v="Jan"/>
    <x v="0"/>
    <x v="0"/>
    <s v="Order assembled"/>
    <x v="0"/>
    <x v="0"/>
    <x v="0"/>
    <x v="129"/>
    <n v="526.24"/>
  </r>
  <r>
    <s v="AD01-9364"/>
    <x v="1"/>
    <s v="Jan"/>
    <x v="0"/>
    <x v="0"/>
    <s v="Order assembled"/>
    <x v="0"/>
    <x v="0"/>
    <x v="1"/>
    <x v="31"/>
    <n v="268.84000000000003"/>
  </r>
  <r>
    <s v="AD01-9362"/>
    <x v="1"/>
    <s v="Jan"/>
    <x v="0"/>
    <x v="0"/>
    <s v="Order assembled"/>
    <x v="0"/>
    <x v="0"/>
    <x v="1"/>
    <x v="2"/>
    <n v="337.48"/>
  </r>
  <r>
    <s v="AD01-9364"/>
    <x v="1"/>
    <s v="Jan"/>
    <x v="0"/>
    <x v="0"/>
    <s v="Order assembled"/>
    <x v="0"/>
    <x v="0"/>
    <x v="1"/>
    <x v="34"/>
    <n v="271.7"/>
  </r>
  <r>
    <s v="AD01-9361"/>
    <x v="1"/>
    <s v="Jan"/>
    <x v="0"/>
    <x v="0"/>
    <s v="Order assembled"/>
    <x v="0"/>
    <x v="0"/>
    <x v="1"/>
    <x v="169"/>
    <n v="331.76"/>
  </r>
  <r>
    <s v="AD01-9362"/>
    <x v="1"/>
    <s v="Jan"/>
    <x v="0"/>
    <x v="0"/>
    <s v="Order assembled"/>
    <x v="0"/>
    <x v="0"/>
    <x v="1"/>
    <x v="320"/>
    <n v="228.8"/>
  </r>
  <r>
    <s v="AD01-9361"/>
    <x v="1"/>
    <s v="Jan"/>
    <x v="0"/>
    <x v="0"/>
    <s v="Order assembled"/>
    <x v="0"/>
    <x v="0"/>
    <x v="0"/>
    <x v="404"/>
    <n v="526.24"/>
  </r>
  <r>
    <s v="AD01-9362"/>
    <x v="1"/>
    <s v="Jan"/>
    <x v="0"/>
    <x v="0"/>
    <s v="Order assembled"/>
    <x v="0"/>
    <x v="0"/>
    <x v="0"/>
    <x v="405"/>
    <n v="526.24"/>
  </r>
  <r>
    <s v="AD01-9364"/>
    <x v="1"/>
    <s v="Jan"/>
    <x v="0"/>
    <x v="0"/>
    <s v="Order assembled"/>
    <x v="0"/>
    <x v="0"/>
    <x v="0"/>
    <x v="406"/>
    <n v="526.24"/>
  </r>
  <r>
    <s v="AD01-9361"/>
    <x v="1"/>
    <s v="Jan"/>
    <x v="0"/>
    <x v="0"/>
    <s v="Order assembled"/>
    <x v="0"/>
    <x v="0"/>
    <x v="1"/>
    <x v="407"/>
    <n v="979.55"/>
  </r>
  <r>
    <s v="AD01-9361"/>
    <x v="1"/>
    <s v="Jan"/>
    <x v="0"/>
    <x v="0"/>
    <s v="Order assembled"/>
    <x v="0"/>
    <x v="0"/>
    <x v="1"/>
    <x v="408"/>
    <n v="1026.74"/>
  </r>
  <r>
    <s v="AD01-9362"/>
    <x v="1"/>
    <s v="Jan"/>
    <x v="0"/>
    <x v="0"/>
    <s v="Order assembled"/>
    <x v="0"/>
    <x v="0"/>
    <x v="1"/>
    <x v="163"/>
    <n v="1102.53"/>
  </r>
  <r>
    <s v="AD01-9362"/>
    <x v="1"/>
    <s v="Jan"/>
    <x v="0"/>
    <x v="0"/>
    <s v="Order assembled"/>
    <x v="0"/>
    <x v="0"/>
    <x v="0"/>
    <x v="228"/>
    <n v="296.01"/>
  </r>
  <r>
    <s v="AD01-9361"/>
    <x v="1"/>
    <s v="Jan"/>
    <x v="0"/>
    <x v="0"/>
    <s v="Order assembled"/>
    <x v="0"/>
    <x v="0"/>
    <x v="0"/>
    <x v="197"/>
    <n v="287.43"/>
  </r>
  <r>
    <s v="AD01-9361"/>
    <x v="1"/>
    <s v="Jan"/>
    <x v="0"/>
    <x v="0"/>
    <s v="Order assembled"/>
    <x v="0"/>
    <x v="0"/>
    <x v="0"/>
    <x v="66"/>
    <n v="278.85000000000002"/>
  </r>
  <r>
    <s v="AD01-9362"/>
    <x v="1"/>
    <s v="Jan"/>
    <x v="0"/>
    <x v="0"/>
    <s v="Order assembled"/>
    <x v="0"/>
    <x v="0"/>
    <x v="1"/>
    <x v="349"/>
    <n v="270.27"/>
  </r>
  <r>
    <s v="AD01-9361"/>
    <x v="1"/>
    <s v="Jan"/>
    <x v="0"/>
    <x v="0"/>
    <s v="Order assembled"/>
    <x v="0"/>
    <x v="0"/>
    <x v="1"/>
    <x v="409"/>
    <n v="526.24"/>
  </r>
  <r>
    <s v="AD01-9361"/>
    <x v="1"/>
    <s v="Jan"/>
    <x v="0"/>
    <x v="0"/>
    <s v="Order assembled"/>
    <x v="0"/>
    <x v="0"/>
    <x v="1"/>
    <x v="251"/>
    <n v="526.24"/>
  </r>
  <r>
    <s v="AD01-9362"/>
    <x v="1"/>
    <s v="Jan"/>
    <x v="0"/>
    <x v="0"/>
    <s v="Order assembled"/>
    <x v="0"/>
    <x v="0"/>
    <x v="1"/>
    <x v="47"/>
    <n v="267.40999999999997"/>
  </r>
  <r>
    <s v="AD01-9362"/>
    <x v="1"/>
    <s v="Jan"/>
    <x v="0"/>
    <x v="0"/>
    <s v="Order assembled"/>
    <x v="0"/>
    <x v="0"/>
    <x v="1"/>
    <x v="19"/>
    <n v="336.05"/>
  </r>
  <r>
    <s v="AD01-9364"/>
    <x v="1"/>
    <s v="Jan"/>
    <x v="0"/>
    <x v="0"/>
    <s v="Order assembled"/>
    <x v="0"/>
    <x v="0"/>
    <x v="1"/>
    <x v="324"/>
    <n v="233.09"/>
  </r>
  <r>
    <s v="AD01-9363"/>
    <x v="1"/>
    <s v="Jan"/>
    <x v="0"/>
    <x v="0"/>
    <s v="Order assembled"/>
    <x v="0"/>
    <x v="0"/>
    <x v="0"/>
    <x v="232"/>
    <n v="298.87"/>
  </r>
  <r>
    <s v="AD01-9362"/>
    <x v="1"/>
    <s v="Jan"/>
    <x v="0"/>
    <x v="0"/>
    <s v="Order assembled"/>
    <x v="0"/>
    <x v="0"/>
    <x v="0"/>
    <x v="215"/>
    <n v="290.28999999999996"/>
  </r>
  <r>
    <s v="AD01-9361"/>
    <x v="1"/>
    <s v="Jan"/>
    <x v="0"/>
    <x v="0"/>
    <s v="Order assembled"/>
    <x v="0"/>
    <x v="0"/>
    <x v="0"/>
    <x v="201"/>
    <n v="281.70999999999998"/>
  </r>
  <r>
    <s v="AD01-9364"/>
    <x v="1"/>
    <s v="Jan"/>
    <x v="0"/>
    <x v="0"/>
    <s v="Order assembled"/>
    <x v="0"/>
    <x v="0"/>
    <x v="1"/>
    <x v="188"/>
    <n v="333.19"/>
  </r>
  <r>
    <s v="AD01-9364"/>
    <x v="1"/>
    <s v="Jan"/>
    <x v="0"/>
    <x v="0"/>
    <s v="Order assembled"/>
    <x v="0"/>
    <x v="0"/>
    <x v="1"/>
    <x v="377"/>
    <n v="1115.4000000000001"/>
  </r>
  <r>
    <s v="AD01-9361"/>
    <x v="1"/>
    <s v="Jul"/>
    <x v="0"/>
    <x v="0"/>
    <s v="Order assembled"/>
    <x v="0"/>
    <x v="0"/>
    <x v="0"/>
    <x v="148"/>
    <n v="509.08"/>
  </r>
  <r>
    <s v="AD01-9361"/>
    <x v="1"/>
    <s v="Jul"/>
    <x v="0"/>
    <x v="0"/>
    <s v="Order assembled"/>
    <x v="0"/>
    <x v="0"/>
    <x v="0"/>
    <x v="0"/>
    <n v="500.5"/>
  </r>
  <r>
    <s v="AD01-9364"/>
    <x v="1"/>
    <s v="Jul"/>
    <x v="0"/>
    <x v="0"/>
    <s v="Order assembled"/>
    <x v="0"/>
    <x v="0"/>
    <x v="1"/>
    <x v="319"/>
    <n v="214.88"/>
  </r>
  <r>
    <s v="AD01-9362"/>
    <x v="1"/>
    <s v="Jul"/>
    <x v="0"/>
    <x v="0"/>
    <s v="Order assembled"/>
    <x v="0"/>
    <x v="0"/>
    <x v="1"/>
    <x v="129"/>
    <n v="286"/>
  </r>
  <r>
    <s v="AD01-9362"/>
    <x v="1"/>
    <s v="Jul"/>
    <x v="0"/>
    <x v="0"/>
    <s v="Order assembled"/>
    <x v="0"/>
    <x v="0"/>
    <x v="1"/>
    <x v="233"/>
    <n v="183.04"/>
  </r>
  <r>
    <s v="AD01-9363"/>
    <x v="1"/>
    <s v="Jul"/>
    <x v="0"/>
    <x v="0"/>
    <s v="Order assembled"/>
    <x v="0"/>
    <x v="0"/>
    <x v="1"/>
    <x v="361"/>
    <n v="220.22"/>
  </r>
  <r>
    <s v="AD01-9362"/>
    <x v="1"/>
    <s v="Jul"/>
    <x v="0"/>
    <x v="0"/>
    <s v="Order assembled"/>
    <x v="0"/>
    <x v="0"/>
    <x v="1"/>
    <x v="170"/>
    <n v="288.86"/>
  </r>
  <r>
    <s v="AD01-9364"/>
    <x v="1"/>
    <s v="Jul"/>
    <x v="0"/>
    <x v="0"/>
    <s v="Order assembled"/>
    <x v="0"/>
    <x v="0"/>
    <x v="1"/>
    <x v="235"/>
    <n v="185.9"/>
  </r>
  <r>
    <s v="AD01-9362"/>
    <x v="1"/>
    <s v="Jul"/>
    <x v="0"/>
    <x v="0"/>
    <s v="Order assembled"/>
    <x v="0"/>
    <x v="0"/>
    <x v="1"/>
    <x v="151"/>
    <n v="526.24"/>
  </r>
  <r>
    <s v="AD01-9361"/>
    <x v="1"/>
    <s v="Jul"/>
    <x v="0"/>
    <x v="0"/>
    <s v="Order assembled"/>
    <x v="0"/>
    <x v="0"/>
    <x v="1"/>
    <x v="7"/>
    <n v="526.24"/>
  </r>
  <r>
    <s v="AD01-9361"/>
    <x v="1"/>
    <s v="Jul"/>
    <x v="0"/>
    <x v="0"/>
    <s v="Order assembled"/>
    <x v="0"/>
    <x v="0"/>
    <x v="1"/>
    <x v="8"/>
    <n v="526.24"/>
  </r>
  <r>
    <s v="AD01-9361"/>
    <x v="1"/>
    <s v="Jul"/>
    <x v="0"/>
    <x v="0"/>
    <s v="Order assembled"/>
    <x v="0"/>
    <x v="0"/>
    <x v="1"/>
    <x v="410"/>
    <n v="986.7"/>
  </r>
  <r>
    <s v="AD01-9362"/>
    <x v="1"/>
    <s v="Jul"/>
    <x v="0"/>
    <x v="0"/>
    <s v="Order assembled"/>
    <x v="0"/>
    <x v="0"/>
    <x v="1"/>
    <x v="411"/>
    <n v="1033.8899999999999"/>
  </r>
  <r>
    <s v="AD01-9362"/>
    <x v="1"/>
    <s v="Jul"/>
    <x v="0"/>
    <x v="0"/>
    <s v="Order assembled"/>
    <x v="0"/>
    <x v="0"/>
    <x v="1"/>
    <x v="157"/>
    <n v="510.51"/>
  </r>
  <r>
    <s v="AD01-9362"/>
    <x v="1"/>
    <s v="Jul"/>
    <x v="0"/>
    <x v="0"/>
    <s v="Order assembled"/>
    <x v="0"/>
    <x v="0"/>
    <x v="1"/>
    <x v="13"/>
    <n v="501.93"/>
  </r>
  <r>
    <s v="AD01-9362"/>
    <x v="1"/>
    <s v="Jul"/>
    <x v="0"/>
    <x v="0"/>
    <s v="Order assembled"/>
    <x v="0"/>
    <x v="0"/>
    <x v="1"/>
    <x v="14"/>
    <n v="493.35"/>
  </r>
  <r>
    <s v="AD01-9361"/>
    <x v="1"/>
    <s v="Jul"/>
    <x v="0"/>
    <x v="0"/>
    <s v="Order assembled"/>
    <x v="0"/>
    <x v="0"/>
    <x v="1"/>
    <x v="12"/>
    <n v="526.24"/>
  </r>
  <r>
    <s v="AD01-9361"/>
    <x v="1"/>
    <s v="Jul"/>
    <x v="0"/>
    <x v="0"/>
    <s v="Order assembled"/>
    <x v="0"/>
    <x v="0"/>
    <x v="1"/>
    <x v="327"/>
    <n v="526.24"/>
  </r>
  <r>
    <s v="AD01-9364"/>
    <x v="1"/>
    <s v="Jul"/>
    <x v="0"/>
    <x v="0"/>
    <s v="Order assembled"/>
    <x v="0"/>
    <x v="0"/>
    <x v="1"/>
    <x v="365"/>
    <n v="224.51"/>
  </r>
  <r>
    <s v="AD01-9362"/>
    <x v="1"/>
    <s v="Jul"/>
    <x v="0"/>
    <x v="0"/>
    <s v="Order assembled"/>
    <x v="0"/>
    <x v="0"/>
    <x v="1"/>
    <x v="184"/>
    <n v="293.14999999999998"/>
  </r>
  <r>
    <s v="AD01-9363"/>
    <x v="1"/>
    <s v="Jul"/>
    <x v="0"/>
    <x v="0"/>
    <s v="Order assembled"/>
    <x v="0"/>
    <x v="0"/>
    <x v="1"/>
    <x v="366"/>
    <n v="181.61"/>
  </r>
  <r>
    <s v="AD01-9361"/>
    <x v="1"/>
    <s v="Jul"/>
    <x v="0"/>
    <x v="0"/>
    <s v="Order assembled"/>
    <x v="0"/>
    <x v="0"/>
    <x v="0"/>
    <x v="284"/>
    <n v="513.37"/>
  </r>
  <r>
    <s v="AD01-9361"/>
    <x v="1"/>
    <s v="Jul"/>
    <x v="0"/>
    <x v="0"/>
    <s v="Order assembled"/>
    <x v="0"/>
    <x v="0"/>
    <x v="0"/>
    <x v="248"/>
    <n v="504.78999999999996"/>
  </r>
  <r>
    <s v="AD01-9365"/>
    <x v="1"/>
    <s v="Jul"/>
    <x v="0"/>
    <x v="0"/>
    <s v="Order assembled"/>
    <x v="0"/>
    <x v="0"/>
    <x v="0"/>
    <x v="280"/>
    <n v="496.21000000000004"/>
  </r>
  <r>
    <s v="AD01-9362"/>
    <x v="1"/>
    <s v="Jul"/>
    <x v="0"/>
    <x v="0"/>
    <s v="Order assembled"/>
    <x v="0"/>
    <x v="0"/>
    <x v="1"/>
    <x v="389"/>
    <n v="221.65"/>
  </r>
  <r>
    <s v="AD01-9361"/>
    <x v="1"/>
    <s v="Jul"/>
    <x v="0"/>
    <x v="0"/>
    <s v="Order assembled"/>
    <x v="0"/>
    <x v="0"/>
    <x v="1"/>
    <x v="215"/>
    <n v="290.28999999999996"/>
  </r>
  <r>
    <s v="AD01-9364"/>
    <x v="1"/>
    <s v="Jul"/>
    <x v="0"/>
    <x v="0"/>
    <s v="Order assembled"/>
    <x v="0"/>
    <x v="0"/>
    <x v="1"/>
    <x v="412"/>
    <n v="1122.55"/>
  </r>
  <r>
    <s v="AD01-9362"/>
    <x v="1"/>
    <s v="Jun"/>
    <x v="0"/>
    <x v="0"/>
    <s v="Order assembled"/>
    <x v="0"/>
    <x v="0"/>
    <x v="0"/>
    <x v="233"/>
    <n v="526.24"/>
  </r>
  <r>
    <s v="AD01-9364"/>
    <x v="1"/>
    <s v="Jun"/>
    <x v="0"/>
    <x v="0"/>
    <s v="Order assembled"/>
    <x v="0"/>
    <x v="0"/>
    <x v="0"/>
    <x v="146"/>
    <n v="526.24"/>
  </r>
  <r>
    <s v="AD01-9362"/>
    <x v="1"/>
    <s v="Jun"/>
    <x v="0"/>
    <x v="0"/>
    <s v="Order assembled"/>
    <x v="0"/>
    <x v="0"/>
    <x v="0"/>
    <x v="147"/>
    <n v="517.66"/>
  </r>
  <r>
    <s v="AD01-9361"/>
    <x v="1"/>
    <s v="Jun"/>
    <x v="0"/>
    <x v="0"/>
    <s v="Order assembled"/>
    <x v="0"/>
    <x v="0"/>
    <x v="1"/>
    <x v="168"/>
    <n v="294.58"/>
  </r>
  <r>
    <s v="AD01-9361"/>
    <x v="1"/>
    <s v="Jun"/>
    <x v="0"/>
    <x v="0"/>
    <s v="Order assembled"/>
    <x v="0"/>
    <x v="0"/>
    <x v="1"/>
    <x v="290"/>
    <n v="191.62"/>
  </r>
  <r>
    <s v="AD01-9361"/>
    <x v="1"/>
    <s v="Jun"/>
    <x v="0"/>
    <x v="0"/>
    <s v="Order assembled"/>
    <x v="0"/>
    <x v="0"/>
    <x v="1"/>
    <x v="320"/>
    <n v="228.8"/>
  </r>
  <r>
    <s v="AD01-9362"/>
    <x v="1"/>
    <s v="Jun"/>
    <x v="0"/>
    <x v="0"/>
    <s v="Order assembled"/>
    <x v="0"/>
    <x v="0"/>
    <x v="1"/>
    <x v="6"/>
    <n v="297.44"/>
  </r>
  <r>
    <s v="AD01-9361"/>
    <x v="1"/>
    <s v="Jun"/>
    <x v="0"/>
    <x v="0"/>
    <s v="Order assembled"/>
    <x v="0"/>
    <x v="0"/>
    <x v="1"/>
    <x v="291"/>
    <n v="194.48"/>
  </r>
  <r>
    <s v="AD01-9362"/>
    <x v="1"/>
    <s v="Jun"/>
    <x v="0"/>
    <x v="0"/>
    <s v="Order assembled"/>
    <x v="0"/>
    <x v="0"/>
    <x v="1"/>
    <x v="94"/>
    <n v="526.24"/>
  </r>
  <r>
    <s v="AD01-9362"/>
    <x v="1"/>
    <s v="Jun"/>
    <x v="0"/>
    <x v="0"/>
    <s v="Order assembled"/>
    <x v="0"/>
    <x v="0"/>
    <x v="1"/>
    <x v="150"/>
    <n v="526.24"/>
  </r>
  <r>
    <s v="AD01-9361"/>
    <x v="1"/>
    <s v="Jun"/>
    <x v="0"/>
    <x v="0"/>
    <s v="Order assembled"/>
    <x v="0"/>
    <x v="0"/>
    <x v="1"/>
    <x v="413"/>
    <n v="985.27"/>
  </r>
  <r>
    <s v="AD01-9364"/>
    <x v="1"/>
    <s v="Jun"/>
    <x v="0"/>
    <x v="0"/>
    <s v="Order assembled"/>
    <x v="0"/>
    <x v="0"/>
    <x v="1"/>
    <x v="414"/>
    <n v="1032.46"/>
  </r>
  <r>
    <s v="AD01-9362"/>
    <x v="1"/>
    <s v="Jun"/>
    <x v="0"/>
    <x v="0"/>
    <s v="Order assembled"/>
    <x v="0"/>
    <x v="0"/>
    <x v="1"/>
    <x v="52"/>
    <n v="1109.68"/>
  </r>
  <r>
    <s v="AD01-9364"/>
    <x v="1"/>
    <s v="Jun"/>
    <x v="0"/>
    <x v="0"/>
    <s v="Order assembled"/>
    <x v="0"/>
    <x v="0"/>
    <x v="1"/>
    <x v="239"/>
    <n v="184.47"/>
  </r>
  <r>
    <s v="AD01-9362"/>
    <x v="1"/>
    <s v="Jun"/>
    <x v="0"/>
    <x v="0"/>
    <s v="Order assembled"/>
    <x v="0"/>
    <x v="0"/>
    <x v="1"/>
    <x v="155"/>
    <n v="527.66999999999996"/>
  </r>
  <r>
    <s v="AD01-9361"/>
    <x v="1"/>
    <s v="Jun"/>
    <x v="0"/>
    <x v="0"/>
    <s v="Order assembled"/>
    <x v="0"/>
    <x v="0"/>
    <x v="1"/>
    <x v="156"/>
    <n v="519.09"/>
  </r>
  <r>
    <s v="AD01-9362"/>
    <x v="1"/>
    <s v="Jun"/>
    <x v="0"/>
    <x v="0"/>
    <s v="Order assembled"/>
    <x v="0"/>
    <x v="0"/>
    <x v="1"/>
    <x v="385"/>
    <n v="227.37"/>
  </r>
  <r>
    <s v="AD01-9362"/>
    <x v="1"/>
    <s v="Jun"/>
    <x v="0"/>
    <x v="0"/>
    <s v="Order assembled"/>
    <x v="0"/>
    <x v="0"/>
    <x v="1"/>
    <x v="154"/>
    <n v="526.24"/>
  </r>
  <r>
    <s v="AD01-9361"/>
    <x v="1"/>
    <s v="Jun"/>
    <x v="0"/>
    <x v="0"/>
    <s v="Order assembled"/>
    <x v="0"/>
    <x v="0"/>
    <x v="1"/>
    <x v="346"/>
    <n v="526.24"/>
  </r>
  <r>
    <s v="AD01-9361"/>
    <x v="1"/>
    <s v="Jun"/>
    <x v="0"/>
    <x v="0"/>
    <s v="Order assembled"/>
    <x v="0"/>
    <x v="0"/>
    <x v="1"/>
    <x v="324"/>
    <n v="233.09"/>
  </r>
  <r>
    <s v="AD01-9361"/>
    <x v="1"/>
    <s v="Jun"/>
    <x v="0"/>
    <x v="0"/>
    <s v="Order assembled"/>
    <x v="0"/>
    <x v="0"/>
    <x v="1"/>
    <x v="325"/>
    <n v="190.19"/>
  </r>
  <r>
    <s v="AD01-9361"/>
    <x v="1"/>
    <s v="Jun"/>
    <x v="0"/>
    <x v="0"/>
    <s v="Order assembled"/>
    <x v="0"/>
    <x v="0"/>
    <x v="0"/>
    <x v="302"/>
    <n v="530.53"/>
  </r>
  <r>
    <s v="AD01-9364"/>
    <x v="1"/>
    <s v="Jun"/>
    <x v="0"/>
    <x v="0"/>
    <s v="Order assembled"/>
    <x v="0"/>
    <x v="0"/>
    <x v="0"/>
    <x v="289"/>
    <n v="521.95000000000005"/>
  </r>
  <r>
    <s v="AD01-9361"/>
    <x v="1"/>
    <s v="Jun"/>
    <x v="0"/>
    <x v="0"/>
    <s v="Order assembled"/>
    <x v="0"/>
    <x v="0"/>
    <x v="1"/>
    <x v="388"/>
    <n v="230.23000000000002"/>
  </r>
  <r>
    <s v="AD01-9362"/>
    <x v="1"/>
    <s v="Jun"/>
    <x v="0"/>
    <x v="0"/>
    <s v="Order assembled"/>
    <x v="0"/>
    <x v="0"/>
    <x v="1"/>
    <x v="232"/>
    <n v="298.87"/>
  </r>
  <r>
    <s v="AD01-9364"/>
    <x v="1"/>
    <s v="Mar"/>
    <x v="0"/>
    <x v="0"/>
    <s v="Order assembled"/>
    <x v="0"/>
    <x v="0"/>
    <x v="0"/>
    <x v="203"/>
    <n v="526.24"/>
  </r>
  <r>
    <s v="AD01-9361"/>
    <x v="1"/>
    <s v="Mar"/>
    <x v="0"/>
    <x v="0"/>
    <s v="Order assembled"/>
    <x v="0"/>
    <x v="0"/>
    <x v="0"/>
    <x v="190"/>
    <n v="526.24"/>
  </r>
  <r>
    <s v="AD01-9364"/>
    <x v="1"/>
    <s v="Mar"/>
    <x v="0"/>
    <x v="0"/>
    <s v="Order assembled"/>
    <x v="0"/>
    <x v="0"/>
    <x v="0"/>
    <x v="57"/>
    <n v="526.24"/>
  </r>
  <r>
    <s v="AD01-9361"/>
    <x v="1"/>
    <s v="Mar"/>
    <x v="0"/>
    <x v="0"/>
    <s v="Order assembled"/>
    <x v="0"/>
    <x v="0"/>
    <x v="1"/>
    <x v="203"/>
    <n v="251.68"/>
  </r>
  <r>
    <s v="AD01-9361"/>
    <x v="1"/>
    <s v="Mar"/>
    <x v="0"/>
    <x v="0"/>
    <s v="Order assembled"/>
    <x v="0"/>
    <x v="0"/>
    <x v="1"/>
    <x v="53"/>
    <n v="320.32"/>
  </r>
  <r>
    <s v="AD01-9361"/>
    <x v="1"/>
    <s v="Mar"/>
    <x v="0"/>
    <x v="0"/>
    <s v="Order assembled"/>
    <x v="0"/>
    <x v="0"/>
    <x v="1"/>
    <x v="352"/>
    <n v="217.36"/>
  </r>
  <r>
    <s v="AD01-9362"/>
    <x v="1"/>
    <s v="Mar"/>
    <x v="0"/>
    <x v="0"/>
    <s v="Order assembled"/>
    <x v="0"/>
    <x v="0"/>
    <x v="1"/>
    <x v="204"/>
    <n v="254.54"/>
  </r>
  <r>
    <s v="AD01-9361"/>
    <x v="1"/>
    <s v="Mar"/>
    <x v="0"/>
    <x v="0"/>
    <s v="Order assembled"/>
    <x v="0"/>
    <x v="0"/>
    <x v="1"/>
    <x v="93"/>
    <n v="323.18"/>
  </r>
  <r>
    <s v="AD01-9364"/>
    <x v="1"/>
    <s v="Mar"/>
    <x v="0"/>
    <x v="0"/>
    <s v="Order assembled"/>
    <x v="0"/>
    <x v="0"/>
    <x v="1"/>
    <x v="273"/>
    <n v="211.64"/>
  </r>
  <r>
    <s v="AD01-9362"/>
    <x v="1"/>
    <s v="Mar"/>
    <x v="0"/>
    <x v="0"/>
    <s v="Order assembled"/>
    <x v="0"/>
    <x v="0"/>
    <x v="0"/>
    <x v="415"/>
    <n v="526.24"/>
  </r>
  <r>
    <s v="AD01-9362"/>
    <x v="1"/>
    <s v="Mar"/>
    <x v="0"/>
    <x v="0"/>
    <s v="Order assembled"/>
    <x v="0"/>
    <x v="0"/>
    <x v="0"/>
    <x v="416"/>
    <n v="526.24"/>
  </r>
  <r>
    <s v="AD01-9362"/>
    <x v="1"/>
    <s v="Mar"/>
    <x v="0"/>
    <x v="0"/>
    <s v="Order assembled"/>
    <x v="0"/>
    <x v="0"/>
    <x v="1"/>
    <x v="417"/>
    <n v="1029.5999999999999"/>
  </r>
  <r>
    <s v="AD01-9362"/>
    <x v="1"/>
    <s v="Mar"/>
    <x v="0"/>
    <x v="0"/>
    <s v="Order assembled"/>
    <x v="0"/>
    <x v="0"/>
    <x v="1"/>
    <x v="189"/>
    <n v="1105.3899999999999"/>
  </r>
  <r>
    <s v="AD01-9361"/>
    <x v="1"/>
    <s v="Mar"/>
    <x v="0"/>
    <x v="0"/>
    <s v="Order assembled"/>
    <x v="0"/>
    <x v="0"/>
    <x v="0"/>
    <x v="372"/>
    <n v="253.11"/>
  </r>
  <r>
    <s v="AD01-9361"/>
    <x v="1"/>
    <s v="Mar"/>
    <x v="0"/>
    <x v="0"/>
    <s v="Order assembled"/>
    <x v="0"/>
    <x v="0"/>
    <x v="0"/>
    <x v="369"/>
    <n v="244.53"/>
  </r>
  <r>
    <s v="AD01-9362"/>
    <x v="1"/>
    <s v="Mar"/>
    <x v="0"/>
    <x v="0"/>
    <s v="Order assembled"/>
    <x v="0"/>
    <x v="0"/>
    <x v="0"/>
    <x v="335"/>
    <n v="235.95"/>
  </r>
  <r>
    <s v="AD01-9362"/>
    <x v="1"/>
    <s v="Mar"/>
    <x v="0"/>
    <x v="0"/>
    <s v="Order assembled"/>
    <x v="0"/>
    <x v="0"/>
    <x v="1"/>
    <x v="372"/>
    <n v="253.11"/>
  </r>
  <r>
    <s v="AD01-9362"/>
    <x v="1"/>
    <s v="Mar"/>
    <x v="0"/>
    <x v="0"/>
    <s v="Order assembled"/>
    <x v="0"/>
    <x v="0"/>
    <x v="1"/>
    <x v="418"/>
    <n v="526.24"/>
  </r>
  <r>
    <s v="AD01-9364"/>
    <x v="1"/>
    <s v="Mar"/>
    <x v="0"/>
    <x v="0"/>
    <s v="Order assembled"/>
    <x v="0"/>
    <x v="0"/>
    <x v="1"/>
    <x v="213"/>
    <n v="250.25"/>
  </r>
  <r>
    <s v="AD01-9362"/>
    <x v="1"/>
    <s v="Mar"/>
    <x v="0"/>
    <x v="0"/>
    <s v="Order assembled"/>
    <x v="0"/>
    <x v="0"/>
    <x v="1"/>
    <x v="100"/>
    <n v="318.89"/>
  </r>
  <r>
    <s v="AD01-9362"/>
    <x v="1"/>
    <s v="Mar"/>
    <x v="0"/>
    <x v="0"/>
    <s v="Order assembled"/>
    <x v="0"/>
    <x v="0"/>
    <x v="1"/>
    <x v="344"/>
    <n v="215.93"/>
  </r>
  <r>
    <s v="AD01-9364"/>
    <x v="1"/>
    <s v="Mar"/>
    <x v="0"/>
    <x v="0"/>
    <s v="Order assembled"/>
    <x v="0"/>
    <x v="0"/>
    <x v="0"/>
    <x v="390"/>
    <n v="247.39"/>
  </r>
  <r>
    <s v="AD01-9362"/>
    <x v="1"/>
    <s v="Mar"/>
    <x v="0"/>
    <x v="0"/>
    <s v="Order assembled"/>
    <x v="0"/>
    <x v="0"/>
    <x v="0"/>
    <x v="419"/>
    <n v="238.81"/>
  </r>
  <r>
    <s v="AD01-9361"/>
    <x v="1"/>
    <s v="Mar"/>
    <x v="0"/>
    <x v="0"/>
    <s v="Order assembled"/>
    <x v="0"/>
    <x v="0"/>
    <x v="1"/>
    <x v="403"/>
    <n v="255.97"/>
  </r>
  <r>
    <s v="AD01-9361"/>
    <x v="1"/>
    <s v="Mar"/>
    <x v="0"/>
    <x v="0"/>
    <s v="Order assembled"/>
    <x v="0"/>
    <x v="0"/>
    <x v="1"/>
    <x v="379"/>
    <n v="1118.26"/>
  </r>
  <r>
    <s v="AD01-9364"/>
    <x v="1"/>
    <s v="May"/>
    <x v="0"/>
    <x v="0"/>
    <s v="Order assembled"/>
    <x v="0"/>
    <x v="0"/>
    <x v="0"/>
    <x v="271"/>
    <n v="526.24"/>
  </r>
  <r>
    <s v="AD01-9361"/>
    <x v="1"/>
    <s v="May"/>
    <x v="0"/>
    <x v="0"/>
    <s v="Order assembled"/>
    <x v="0"/>
    <x v="0"/>
    <x v="0"/>
    <x v="254"/>
    <n v="526.24"/>
  </r>
  <r>
    <s v="AD01-9361"/>
    <x v="1"/>
    <s v="May"/>
    <x v="0"/>
    <x v="0"/>
    <s v="Order assembled"/>
    <x v="0"/>
    <x v="0"/>
    <x v="0"/>
    <x v="290"/>
    <n v="526.24"/>
  </r>
  <r>
    <s v="AD01-9361"/>
    <x v="1"/>
    <s v="May"/>
    <x v="0"/>
    <x v="0"/>
    <s v="Order assembled"/>
    <x v="0"/>
    <x v="0"/>
    <x v="1"/>
    <x v="57"/>
    <n v="234.51999999999998"/>
  </r>
  <r>
    <s v="AD01-9363"/>
    <x v="1"/>
    <s v="May"/>
    <x v="0"/>
    <x v="0"/>
    <s v="Order assembled"/>
    <x v="0"/>
    <x v="0"/>
    <x v="1"/>
    <x v="29"/>
    <n v="303.15999999999997"/>
  </r>
  <r>
    <s v="AD01-9362"/>
    <x v="1"/>
    <s v="May"/>
    <x v="0"/>
    <x v="0"/>
    <s v="Order assembled"/>
    <x v="0"/>
    <x v="0"/>
    <x v="1"/>
    <x v="254"/>
    <n v="200.2"/>
  </r>
  <r>
    <s v="AD01-9362"/>
    <x v="1"/>
    <s v="May"/>
    <x v="0"/>
    <x v="0"/>
    <s v="Order assembled"/>
    <x v="0"/>
    <x v="0"/>
    <x v="1"/>
    <x v="58"/>
    <n v="237.38"/>
  </r>
  <r>
    <s v="AD01-9362"/>
    <x v="1"/>
    <s v="May"/>
    <x v="0"/>
    <x v="0"/>
    <s v="Order assembled"/>
    <x v="0"/>
    <x v="0"/>
    <x v="1"/>
    <x v="32"/>
    <n v="306.02"/>
  </r>
  <r>
    <s v="AD01-9363"/>
    <x v="1"/>
    <s v="May"/>
    <x v="0"/>
    <x v="0"/>
    <s v="Order assembled"/>
    <x v="0"/>
    <x v="0"/>
    <x v="1"/>
    <x v="257"/>
    <n v="203.06"/>
  </r>
  <r>
    <s v="AD01-9362"/>
    <x v="1"/>
    <s v="May"/>
    <x v="0"/>
    <x v="0"/>
    <s v="Order assembled"/>
    <x v="0"/>
    <x v="0"/>
    <x v="1"/>
    <x v="420"/>
    <n v="526.24"/>
  </r>
  <r>
    <s v="AD01-9362"/>
    <x v="1"/>
    <s v="May"/>
    <x v="0"/>
    <x v="0"/>
    <s v="Order assembled"/>
    <x v="0"/>
    <x v="0"/>
    <x v="1"/>
    <x v="421"/>
    <n v="526.24"/>
  </r>
  <r>
    <s v="AD01-9365"/>
    <x v="1"/>
    <s v="May"/>
    <x v="0"/>
    <x v="0"/>
    <s v="Order assembled"/>
    <x v="0"/>
    <x v="0"/>
    <x v="1"/>
    <x v="422"/>
    <n v="526.24"/>
  </r>
  <r>
    <s v="AD01-9361"/>
    <x v="1"/>
    <s v="May"/>
    <x v="0"/>
    <x v="0"/>
    <s v="Order assembled"/>
    <x v="0"/>
    <x v="0"/>
    <x v="1"/>
    <x v="423"/>
    <n v="983.83999999999992"/>
  </r>
  <r>
    <s v="AD01-9364"/>
    <x v="1"/>
    <s v="May"/>
    <x v="0"/>
    <x v="0"/>
    <s v="Order assembled"/>
    <x v="0"/>
    <x v="0"/>
    <x v="1"/>
    <x v="124"/>
    <n v="1108.25"/>
  </r>
  <r>
    <s v="AD01-9362"/>
    <x v="1"/>
    <s v="May"/>
    <x v="0"/>
    <x v="0"/>
    <s v="Order assembled"/>
    <x v="0"/>
    <x v="0"/>
    <x v="1"/>
    <x v="260"/>
    <n v="201.63"/>
  </r>
  <r>
    <s v="AD01-9363"/>
    <x v="1"/>
    <s v="May"/>
    <x v="0"/>
    <x v="0"/>
    <s v="Order assembled"/>
    <x v="0"/>
    <x v="0"/>
    <x v="1"/>
    <x v="293"/>
    <n v="193.05"/>
  </r>
  <r>
    <s v="AD01-9364"/>
    <x v="1"/>
    <s v="May"/>
    <x v="0"/>
    <x v="0"/>
    <s v="Order assembled"/>
    <x v="0"/>
    <x v="0"/>
    <x v="1"/>
    <x v="335"/>
    <n v="235.95"/>
  </r>
  <r>
    <s v="AD01-9362"/>
    <x v="1"/>
    <s v="May"/>
    <x v="0"/>
    <x v="0"/>
    <s v="Order assembled"/>
    <x v="0"/>
    <x v="0"/>
    <x v="1"/>
    <x v="80"/>
    <n v="526.24"/>
  </r>
  <r>
    <s v="AD01-9361"/>
    <x v="1"/>
    <s v="May"/>
    <x v="0"/>
    <x v="0"/>
    <s v="Order assembled"/>
    <x v="0"/>
    <x v="0"/>
    <x v="1"/>
    <x v="353"/>
    <n v="526.24"/>
  </r>
  <r>
    <s v="AD01-9363"/>
    <x v="1"/>
    <s v="May"/>
    <x v="0"/>
    <x v="0"/>
    <s v="Order assembled"/>
    <x v="0"/>
    <x v="0"/>
    <x v="1"/>
    <x v="200"/>
    <n v="241.67000000000002"/>
  </r>
  <r>
    <s v="AD01-9365"/>
    <x v="1"/>
    <s v="May"/>
    <x v="0"/>
    <x v="0"/>
    <s v="Order assembled"/>
    <x v="0"/>
    <x v="0"/>
    <x v="1"/>
    <x v="21"/>
    <n v="301.73"/>
  </r>
  <r>
    <s v="AD01-9362"/>
    <x v="1"/>
    <s v="May"/>
    <x v="0"/>
    <x v="0"/>
    <s v="Order assembled"/>
    <x v="0"/>
    <x v="0"/>
    <x v="1"/>
    <x v="330"/>
    <n v="198.76999999999998"/>
  </r>
  <r>
    <s v="AD01-9361"/>
    <x v="1"/>
    <s v="May"/>
    <x v="0"/>
    <x v="0"/>
    <s v="Order assembled"/>
    <x v="0"/>
    <x v="0"/>
    <x v="0"/>
    <x v="269"/>
    <n v="204.49"/>
  </r>
  <r>
    <s v="AD01-9362"/>
    <x v="1"/>
    <s v="May"/>
    <x v="0"/>
    <x v="0"/>
    <s v="Order assembled"/>
    <x v="0"/>
    <x v="0"/>
    <x v="0"/>
    <x v="295"/>
    <n v="195.91"/>
  </r>
  <r>
    <s v="AD01-9363"/>
    <x v="1"/>
    <s v="May"/>
    <x v="0"/>
    <x v="0"/>
    <s v="Order assembled"/>
    <x v="0"/>
    <x v="0"/>
    <x v="0"/>
    <x v="242"/>
    <n v="187.32999999999998"/>
  </r>
  <r>
    <s v="AD01-9362"/>
    <x v="1"/>
    <s v="May"/>
    <x v="0"/>
    <x v="0"/>
    <s v="Order assembled"/>
    <x v="0"/>
    <x v="0"/>
    <x v="1"/>
    <x v="419"/>
    <n v="238.81"/>
  </r>
  <r>
    <s v="AD01-9362"/>
    <x v="1"/>
    <s v="May"/>
    <x v="0"/>
    <x v="0"/>
    <s v="Order assembled"/>
    <x v="0"/>
    <x v="0"/>
    <x v="1"/>
    <x v="50"/>
    <n v="307.45"/>
  </r>
  <r>
    <s v="AD01-9361"/>
    <x v="1"/>
    <s v="May"/>
    <x v="0"/>
    <x v="0"/>
    <s v="Order assembled"/>
    <x v="0"/>
    <x v="0"/>
    <x v="1"/>
    <x v="424"/>
    <n v="1121.1199999999999"/>
  </r>
  <r>
    <s v="AD01-9362"/>
    <x v="1"/>
    <s v="Nov"/>
    <x v="0"/>
    <x v="0"/>
    <s v="Order assembled"/>
    <x v="0"/>
    <x v="0"/>
    <x v="1"/>
    <x v="290"/>
    <n v="182.24"/>
  </r>
  <r>
    <s v="AD01-9361"/>
    <x v="1"/>
    <s v="Nov"/>
    <x v="0"/>
    <x v="0"/>
    <s v="Order assembled"/>
    <x v="0"/>
    <x v="0"/>
    <x v="1"/>
    <x v="217"/>
    <n v="260.26"/>
  </r>
  <r>
    <s v="AD01-9361"/>
    <x v="1"/>
    <s v="Nov"/>
    <x v="0"/>
    <x v="0"/>
    <s v="Order assembled"/>
    <x v="0"/>
    <x v="0"/>
    <x v="1"/>
    <x v="291"/>
    <n v="194.48"/>
  </r>
  <r>
    <s v="AD01-9361"/>
    <x v="1"/>
    <s v="Nov"/>
    <x v="0"/>
    <x v="0"/>
    <s v="Order assembled"/>
    <x v="0"/>
    <x v="0"/>
    <x v="1"/>
    <x v="425"/>
    <n v="992.42000000000007"/>
  </r>
  <r>
    <s v="AD01-9365"/>
    <x v="1"/>
    <s v="Nov"/>
    <x v="0"/>
    <x v="0"/>
    <s v="Order assembled"/>
    <x v="0"/>
    <x v="0"/>
    <x v="1"/>
    <x v="426"/>
    <n v="1039.6100000000001"/>
  </r>
  <r>
    <s v="AD01-9362"/>
    <x v="1"/>
    <s v="Nov"/>
    <x v="0"/>
    <x v="0"/>
    <s v="Order assembled"/>
    <x v="0"/>
    <x v="0"/>
    <x v="1"/>
    <x v="293"/>
    <n v="193.05"/>
  </r>
  <r>
    <s v="AD01-9365"/>
    <x v="1"/>
    <s v="Nov"/>
    <x v="0"/>
    <x v="0"/>
    <s v="Order assembled"/>
    <x v="0"/>
    <x v="0"/>
    <x v="1"/>
    <x v="113"/>
    <n v="526.24"/>
  </r>
  <r>
    <s v="AD01-9361"/>
    <x v="1"/>
    <s v="Nov"/>
    <x v="0"/>
    <x v="0"/>
    <s v="Order assembled"/>
    <x v="0"/>
    <x v="0"/>
    <x v="1"/>
    <x v="325"/>
    <n v="190.19"/>
  </r>
  <r>
    <s v="AD01-9361"/>
    <x v="1"/>
    <s v="Nov"/>
    <x v="0"/>
    <x v="0"/>
    <s v="Order assembled"/>
    <x v="0"/>
    <x v="0"/>
    <x v="1"/>
    <x v="231"/>
    <n v="258.83"/>
  </r>
  <r>
    <s v="AD01-9362"/>
    <x v="1"/>
    <s v="Nov"/>
    <x v="0"/>
    <x v="0"/>
    <s v="Order assembled"/>
    <x v="0"/>
    <x v="0"/>
    <x v="1"/>
    <x v="295"/>
    <n v="195.91"/>
  </r>
  <r>
    <s v="AD01-9361"/>
    <x v="1"/>
    <s v="Nov"/>
    <x v="0"/>
    <x v="0"/>
    <s v="Order assembled"/>
    <x v="0"/>
    <x v="0"/>
    <x v="1"/>
    <x v="403"/>
    <n v="255.97"/>
  </r>
  <r>
    <s v="AD01-9362"/>
    <x v="1"/>
    <s v="Oct"/>
    <x v="0"/>
    <x v="0"/>
    <s v="Order assembled"/>
    <x v="0"/>
    <x v="0"/>
    <x v="1"/>
    <x v="254"/>
    <n v="190.4"/>
  </r>
  <r>
    <s v="AD01-9364"/>
    <x v="1"/>
    <s v="Oct"/>
    <x v="0"/>
    <x v="0"/>
    <s v="Order assembled"/>
    <x v="0"/>
    <x v="0"/>
    <x v="1"/>
    <x v="31"/>
    <n v="268.84000000000003"/>
  </r>
  <r>
    <s v="AD01-9362"/>
    <x v="1"/>
    <s v="Oct"/>
    <x v="0"/>
    <x v="0"/>
    <s v="Order assembled"/>
    <x v="0"/>
    <x v="0"/>
    <x v="1"/>
    <x v="257"/>
    <n v="203.06"/>
  </r>
  <r>
    <s v="AD01-9364"/>
    <x v="1"/>
    <s v="Oct"/>
    <x v="0"/>
    <x v="0"/>
    <s v="Order assembled"/>
    <x v="0"/>
    <x v="0"/>
    <x v="1"/>
    <x v="219"/>
    <n v="263.12"/>
  </r>
  <r>
    <s v="AD01-9362"/>
    <x v="1"/>
    <s v="Oct"/>
    <x v="0"/>
    <x v="0"/>
    <s v="Order assembled"/>
    <x v="0"/>
    <x v="0"/>
    <x v="0"/>
    <x v="133"/>
    <n v="526.24"/>
  </r>
  <r>
    <s v="AD01-9365"/>
    <x v="1"/>
    <s v="Oct"/>
    <x v="0"/>
    <x v="0"/>
    <s v="Order assembled"/>
    <x v="0"/>
    <x v="0"/>
    <x v="1"/>
    <x v="427"/>
    <n v="990.99"/>
  </r>
  <r>
    <s v="AD01-9364"/>
    <x v="1"/>
    <s v="Oct"/>
    <x v="0"/>
    <x v="0"/>
    <s v="Order assembled"/>
    <x v="0"/>
    <x v="0"/>
    <x v="1"/>
    <x v="428"/>
    <n v="1038.18"/>
  </r>
  <r>
    <s v="AD01-9364"/>
    <x v="1"/>
    <s v="Oct"/>
    <x v="0"/>
    <x v="0"/>
    <s v="Order assembled"/>
    <x v="0"/>
    <x v="0"/>
    <x v="1"/>
    <x v="260"/>
    <n v="201.63"/>
  </r>
  <r>
    <s v="AD01-9362"/>
    <x v="1"/>
    <s v="Oct"/>
    <x v="0"/>
    <x v="0"/>
    <s v="Order assembled"/>
    <x v="0"/>
    <x v="0"/>
    <x v="1"/>
    <x v="135"/>
    <n v="526.24"/>
  </r>
  <r>
    <s v="AD01-9362"/>
    <x v="1"/>
    <s v="Oct"/>
    <x v="0"/>
    <x v="0"/>
    <s v="Order assembled"/>
    <x v="0"/>
    <x v="0"/>
    <x v="1"/>
    <x v="330"/>
    <n v="198.76999999999998"/>
  </r>
  <r>
    <s v="AD01-9362"/>
    <x v="1"/>
    <s v="Oct"/>
    <x v="0"/>
    <x v="0"/>
    <s v="Order assembled"/>
    <x v="0"/>
    <x v="0"/>
    <x v="1"/>
    <x v="47"/>
    <n v="267.40999999999997"/>
  </r>
  <r>
    <s v="AD01-9362"/>
    <x v="1"/>
    <s v="Oct"/>
    <x v="0"/>
    <x v="0"/>
    <s v="Order assembled"/>
    <x v="0"/>
    <x v="0"/>
    <x v="0"/>
    <x v="270"/>
    <n v="444.73"/>
  </r>
  <r>
    <s v="AD01-9363"/>
    <x v="1"/>
    <s v="Oct"/>
    <x v="0"/>
    <x v="0"/>
    <s v="Order assembled"/>
    <x v="0"/>
    <x v="0"/>
    <x v="1"/>
    <x v="402"/>
    <n v="264.55"/>
  </r>
  <r>
    <s v="AD01-9361"/>
    <x v="1"/>
    <s v="Sep"/>
    <x v="0"/>
    <x v="0"/>
    <s v="Order assembled"/>
    <x v="0"/>
    <x v="0"/>
    <x v="0"/>
    <x v="166"/>
    <n v="466.18"/>
  </r>
  <r>
    <s v="AD01-9364"/>
    <x v="1"/>
    <s v="Sep"/>
    <x v="0"/>
    <x v="0"/>
    <s v="Order assembled"/>
    <x v="0"/>
    <x v="0"/>
    <x v="0"/>
    <x v="125"/>
    <n v="457.6"/>
  </r>
  <r>
    <s v="AD01-9361"/>
    <x v="1"/>
    <s v="Sep"/>
    <x v="0"/>
    <x v="0"/>
    <s v="Order assembled"/>
    <x v="0"/>
    <x v="0"/>
    <x v="0"/>
    <x v="126"/>
    <n v="449.02"/>
  </r>
  <r>
    <s v="AD01-9364"/>
    <x v="1"/>
    <s v="Sep"/>
    <x v="0"/>
    <x v="0"/>
    <s v="Order assembled"/>
    <x v="0"/>
    <x v="0"/>
    <x v="1"/>
    <x v="271"/>
    <n v="198.56"/>
  </r>
  <r>
    <s v="AD01-9361"/>
    <x v="1"/>
    <s v="Sep"/>
    <x v="0"/>
    <x v="0"/>
    <s v="Order assembled"/>
    <x v="0"/>
    <x v="0"/>
    <x v="1"/>
    <x v="55"/>
    <n v="277.42"/>
  </r>
  <r>
    <s v="AD01-9361"/>
    <x v="1"/>
    <s v="Sep"/>
    <x v="0"/>
    <x v="0"/>
    <s v="Order assembled"/>
    <x v="0"/>
    <x v="0"/>
    <x v="1"/>
    <x v="34"/>
    <n v="271.7"/>
  </r>
  <r>
    <s v="AD01-9361"/>
    <x v="1"/>
    <s v="Sep"/>
    <x v="0"/>
    <x v="0"/>
    <s v="Order assembled"/>
    <x v="0"/>
    <x v="0"/>
    <x v="1"/>
    <x v="285"/>
    <n v="520.52"/>
  </r>
  <r>
    <s v="AD01-9361"/>
    <x v="1"/>
    <s v="Sep"/>
    <x v="0"/>
    <x v="0"/>
    <s v="Order assembled"/>
    <x v="0"/>
    <x v="0"/>
    <x v="0"/>
    <x v="173"/>
    <n v="526.24"/>
  </r>
  <r>
    <s v="AD01-9361"/>
    <x v="1"/>
    <s v="Sep"/>
    <x v="0"/>
    <x v="0"/>
    <s v="Order assembled"/>
    <x v="0"/>
    <x v="0"/>
    <x v="0"/>
    <x v="132"/>
    <n v="526.24"/>
  </r>
  <r>
    <s v="AD01-9362"/>
    <x v="1"/>
    <s v="Sep"/>
    <x v="0"/>
    <x v="0"/>
    <s v="Order assembled"/>
    <x v="0"/>
    <x v="0"/>
    <x v="1"/>
    <x v="429"/>
    <n v="989.56"/>
  </r>
  <r>
    <s v="AD01-9364"/>
    <x v="1"/>
    <s v="Sep"/>
    <x v="0"/>
    <x v="0"/>
    <s v="Order assembled"/>
    <x v="0"/>
    <x v="0"/>
    <x v="1"/>
    <x v="430"/>
    <n v="1036.75"/>
  </r>
  <r>
    <s v="AD01-9362"/>
    <x v="1"/>
    <s v="Sep"/>
    <x v="0"/>
    <x v="0"/>
    <s v="Order assembled"/>
    <x v="0"/>
    <x v="0"/>
    <x v="1"/>
    <x v="202"/>
    <n v="1112.54"/>
  </r>
  <r>
    <s v="AD01-9361"/>
    <x v="1"/>
    <s v="Sep"/>
    <x v="0"/>
    <x v="0"/>
    <s v="Order assembled"/>
    <x v="0"/>
    <x v="0"/>
    <x v="0"/>
    <x v="178"/>
    <n v="467.61"/>
  </r>
  <r>
    <s v="AD01-9364"/>
    <x v="1"/>
    <s v="Sep"/>
    <x v="0"/>
    <x v="0"/>
    <s v="Order assembled"/>
    <x v="0"/>
    <x v="0"/>
    <x v="0"/>
    <x v="136"/>
    <n v="459.03"/>
  </r>
  <r>
    <s v="AD01-9361"/>
    <x v="1"/>
    <s v="Sep"/>
    <x v="0"/>
    <x v="0"/>
    <s v="Order assembled"/>
    <x v="0"/>
    <x v="0"/>
    <x v="0"/>
    <x v="137"/>
    <n v="450.45"/>
  </r>
  <r>
    <s v="AD01-9362"/>
    <x v="1"/>
    <s v="Sep"/>
    <x v="0"/>
    <x v="0"/>
    <s v="Order assembled"/>
    <x v="0"/>
    <x v="0"/>
    <x v="1"/>
    <x v="277"/>
    <n v="210.21"/>
  </r>
  <r>
    <s v="AD01-9361"/>
    <x v="1"/>
    <s v="Sep"/>
    <x v="0"/>
    <x v="0"/>
    <s v="Order assembled"/>
    <x v="0"/>
    <x v="0"/>
    <x v="1"/>
    <x v="340"/>
    <n v="207.35"/>
  </r>
  <r>
    <s v="AD01-9361"/>
    <x v="1"/>
    <s v="Sep"/>
    <x v="0"/>
    <x v="0"/>
    <s v="Order assembled"/>
    <x v="0"/>
    <x v="0"/>
    <x v="1"/>
    <x v="68"/>
    <n v="275.99"/>
  </r>
  <r>
    <s v="AD01-9364"/>
    <x v="1"/>
    <s v="Sep"/>
    <x v="0"/>
    <x v="0"/>
    <s v="Order assembled"/>
    <x v="0"/>
    <x v="0"/>
    <x v="0"/>
    <x v="301"/>
    <n v="461.89"/>
  </r>
  <r>
    <s v="AD01-9361"/>
    <x v="1"/>
    <s v="Sep"/>
    <x v="0"/>
    <x v="0"/>
    <s v="Order assembled"/>
    <x v="0"/>
    <x v="0"/>
    <x v="0"/>
    <x v="281"/>
    <n v="453.31"/>
  </r>
  <r>
    <s v="AD01-9364"/>
    <x v="1"/>
    <s v="Sep"/>
    <x v="0"/>
    <x v="0"/>
    <s v="Order assembled"/>
    <x v="0"/>
    <x v="0"/>
    <x v="1"/>
    <x v="269"/>
    <n v="204.49"/>
  </r>
  <r>
    <s v="AD01-9361"/>
    <x v="1"/>
    <s v="Sep"/>
    <x v="0"/>
    <x v="0"/>
    <s v="Order assembled"/>
    <x v="0"/>
    <x v="0"/>
    <x v="1"/>
    <x v="71"/>
    <n v="273.13"/>
  </r>
  <r>
    <s v="AD01-9364"/>
    <x v="1"/>
    <s v="Sep"/>
    <x v="0"/>
    <x v="0"/>
    <s v="Order assembled"/>
    <x v="0"/>
    <x v="0"/>
    <x v="1"/>
    <x v="431"/>
    <n v="1125.4099999999999"/>
  </r>
  <r>
    <s v="AD01-9362"/>
    <x v="1"/>
    <s v="Apr"/>
    <x v="1"/>
    <x v="0"/>
    <s v="Order assembled"/>
    <x v="0"/>
    <x v="0"/>
    <x v="0"/>
    <x v="106"/>
    <n v="380.38"/>
  </r>
  <r>
    <s v="AD01-9362"/>
    <x v="1"/>
    <s v="Apr"/>
    <x v="1"/>
    <x v="0"/>
    <s v="Order assembled"/>
    <x v="0"/>
    <x v="0"/>
    <x v="0"/>
    <x v="126"/>
    <n v="449.02"/>
  </r>
  <r>
    <s v="AD01-9361"/>
    <x v="1"/>
    <s v="Apr"/>
    <x v="1"/>
    <x v="0"/>
    <s v="Order assembled"/>
    <x v="0"/>
    <x v="0"/>
    <x v="0"/>
    <x v="2"/>
    <n v="337.48"/>
  </r>
  <r>
    <s v="AD01-9362"/>
    <x v="1"/>
    <s v="Apr"/>
    <x v="1"/>
    <x v="0"/>
    <s v="Order assembled"/>
    <x v="0"/>
    <x v="0"/>
    <x v="0"/>
    <x v="243"/>
    <n v="526.24"/>
  </r>
  <r>
    <s v="AD01-9364"/>
    <x v="1"/>
    <s v="Apr"/>
    <x v="1"/>
    <x v="0"/>
    <s v="Order assembled"/>
    <x v="0"/>
    <x v="0"/>
    <x v="0"/>
    <x v="4"/>
    <n v="526.24"/>
  </r>
  <r>
    <s v="AD01-9361"/>
    <x v="1"/>
    <s v="Apr"/>
    <x v="1"/>
    <x v="0"/>
    <s v="Order assembled"/>
    <x v="0"/>
    <x v="0"/>
    <x v="0"/>
    <x v="432"/>
    <n v="1430"/>
  </r>
  <r>
    <s v="AD01-9363"/>
    <x v="1"/>
    <s v="Apr"/>
    <x v="1"/>
    <x v="0"/>
    <s v="Order assembled"/>
    <x v="0"/>
    <x v="0"/>
    <x v="0"/>
    <x v="433"/>
    <n v="1477.19"/>
  </r>
  <r>
    <s v="AD01-9364"/>
    <x v="1"/>
    <s v="Apr"/>
    <x v="1"/>
    <x v="0"/>
    <s v="Order assembled"/>
    <x v="0"/>
    <x v="0"/>
    <x v="0"/>
    <x v="192"/>
    <n v="343.2"/>
  </r>
  <r>
    <s v="AD01-9364"/>
    <x v="1"/>
    <s v="Apr"/>
    <x v="1"/>
    <x v="0"/>
    <s v="Order assembled"/>
    <x v="0"/>
    <x v="0"/>
    <x v="0"/>
    <x v="226"/>
    <n v="381.81"/>
  </r>
  <r>
    <s v="AD01-9361"/>
    <x v="1"/>
    <s v="Apr"/>
    <x v="1"/>
    <x v="0"/>
    <s v="Order assembled"/>
    <x v="0"/>
    <x v="0"/>
    <x v="0"/>
    <x v="16"/>
    <n v="338.90999999999997"/>
  </r>
  <r>
    <s v="AD01-9364"/>
    <x v="1"/>
    <s v="Apr"/>
    <x v="1"/>
    <x v="0"/>
    <s v="Order assembled"/>
    <x v="0"/>
    <x v="0"/>
    <x v="0"/>
    <x v="378"/>
    <n v="1116.83"/>
  </r>
  <r>
    <s v="AD01-9361"/>
    <x v="1"/>
    <s v="Apr"/>
    <x v="1"/>
    <x v="0"/>
    <s v="Order assembled"/>
    <x v="0"/>
    <x v="0"/>
    <x v="0"/>
    <x v="353"/>
    <n v="1164.02"/>
  </r>
  <r>
    <s v="AD01-9361"/>
    <x v="1"/>
    <s v="Apr"/>
    <x v="1"/>
    <x v="0"/>
    <s v="Order assembled"/>
    <x v="0"/>
    <x v="0"/>
    <x v="0"/>
    <x v="51"/>
    <n v="376.09000000000003"/>
  </r>
  <r>
    <s v="AD01-9361"/>
    <x v="1"/>
    <s v="Apr"/>
    <x v="1"/>
    <x v="0"/>
    <s v="Order assembled"/>
    <x v="0"/>
    <x v="0"/>
    <x v="0"/>
    <x v="270"/>
    <n v="444.73"/>
  </r>
  <r>
    <s v="AD01-9362"/>
    <x v="1"/>
    <s v="Apr"/>
    <x v="1"/>
    <x v="0"/>
    <s v="Order assembled"/>
    <x v="0"/>
    <x v="0"/>
    <x v="0"/>
    <x v="72"/>
    <n v="341.77"/>
  </r>
  <r>
    <s v="AD01-9361"/>
    <x v="1"/>
    <s v="Aug"/>
    <x v="1"/>
    <x v="0"/>
    <s v="Order assembled"/>
    <x v="0"/>
    <x v="0"/>
    <x v="0"/>
    <x v="56"/>
    <n v="346.06"/>
  </r>
  <r>
    <s v="AD01-9365"/>
    <x v="1"/>
    <s v="Aug"/>
    <x v="1"/>
    <x v="0"/>
    <s v="Order assembled"/>
    <x v="0"/>
    <x v="0"/>
    <x v="0"/>
    <x v="27"/>
    <n v="414.7"/>
  </r>
  <r>
    <s v="AD01-9362"/>
    <x v="1"/>
    <s v="Aug"/>
    <x v="0"/>
    <x v="0"/>
    <s v="Order assembled"/>
    <x v="0"/>
    <x v="0"/>
    <x v="0"/>
    <x v="54"/>
    <n v="311.74"/>
  </r>
  <r>
    <s v="AD01-9362"/>
    <x v="1"/>
    <s v="Aug"/>
    <x v="0"/>
    <x v="0"/>
    <s v="Order assembled"/>
    <x v="0"/>
    <x v="0"/>
    <x v="0"/>
    <x v="75"/>
    <n v="526.24"/>
  </r>
  <r>
    <s v="AD01-9361"/>
    <x v="1"/>
    <s v="Aug"/>
    <x v="0"/>
    <x v="0"/>
    <s v="Order assembled"/>
    <x v="0"/>
    <x v="0"/>
    <x v="0"/>
    <x v="76"/>
    <n v="526.24"/>
  </r>
  <r>
    <s v="AD01-9362"/>
    <x v="1"/>
    <s v="Aug"/>
    <x v="0"/>
    <x v="0"/>
    <s v="Order assembled"/>
    <x v="0"/>
    <x v="0"/>
    <x v="0"/>
    <x v="434"/>
    <n v="1434.29"/>
  </r>
  <r>
    <s v="AD01-9362"/>
    <x v="1"/>
    <s v="Aug"/>
    <x v="0"/>
    <x v="0"/>
    <s v="Order assembled"/>
    <x v="0"/>
    <x v="0"/>
    <x v="0"/>
    <x v="435"/>
    <n v="1482.9099999999999"/>
  </r>
  <r>
    <s v="AD01-9361"/>
    <x v="1"/>
    <s v="Aug"/>
    <x v="0"/>
    <x v="0"/>
    <s v="Order assembled"/>
    <x v="0"/>
    <x v="0"/>
    <x v="0"/>
    <x v="60"/>
    <n v="308.88"/>
  </r>
  <r>
    <s v="AD01-9361"/>
    <x v="1"/>
    <s v="Aug"/>
    <x v="0"/>
    <x v="0"/>
    <s v="Order assembled"/>
    <x v="0"/>
    <x v="0"/>
    <x v="0"/>
    <x v="158"/>
    <n v="347.49"/>
  </r>
  <r>
    <s v="AD01-9361"/>
    <x v="1"/>
    <s v="Aug"/>
    <x v="0"/>
    <x v="0"/>
    <s v="Order assembled"/>
    <x v="0"/>
    <x v="0"/>
    <x v="0"/>
    <x v="116"/>
    <n v="416.13"/>
  </r>
  <r>
    <s v="AD01-9362"/>
    <x v="1"/>
    <s v="Aug"/>
    <x v="0"/>
    <x v="0"/>
    <s v="Order assembled"/>
    <x v="0"/>
    <x v="0"/>
    <x v="0"/>
    <x v="65"/>
    <n v="313.17"/>
  </r>
  <r>
    <s v="AD01-9361"/>
    <x v="1"/>
    <s v="Aug"/>
    <x v="0"/>
    <x v="0"/>
    <s v="Order assembled"/>
    <x v="0"/>
    <x v="0"/>
    <x v="0"/>
    <x v="343"/>
    <n v="1169.74"/>
  </r>
  <r>
    <s v="AD01-9362"/>
    <x v="1"/>
    <s v="Aug"/>
    <x v="0"/>
    <x v="0"/>
    <s v="Order assembled"/>
    <x v="0"/>
    <x v="0"/>
    <x v="0"/>
    <x v="436"/>
    <n v="1245.53"/>
  </r>
  <r>
    <s v="AD01-9362"/>
    <x v="1"/>
    <s v="Aug"/>
    <x v="0"/>
    <x v="0"/>
    <s v="Order assembled"/>
    <x v="0"/>
    <x v="0"/>
    <x v="0"/>
    <x v="86"/>
    <n v="350.35"/>
  </r>
  <r>
    <s v="AD01-9361"/>
    <x v="1"/>
    <s v="Aug"/>
    <x v="0"/>
    <x v="0"/>
    <s v="Order assembled"/>
    <x v="0"/>
    <x v="0"/>
    <x v="0"/>
    <x v="87"/>
    <n v="418.99"/>
  </r>
  <r>
    <s v="AD01-9361"/>
    <x v="1"/>
    <s v="Aug"/>
    <x v="0"/>
    <x v="0"/>
    <s v="Order assembled"/>
    <x v="0"/>
    <x v="0"/>
    <x v="0"/>
    <x v="50"/>
    <n v="307.45"/>
  </r>
  <r>
    <s v="AD01-9361"/>
    <x v="1"/>
    <s v="Dec"/>
    <x v="0"/>
    <x v="0"/>
    <s v="Order assembled"/>
    <x v="0"/>
    <x v="0"/>
    <x v="1"/>
    <x v="74"/>
    <n v="354.64"/>
  </r>
  <r>
    <s v="AD01-9363"/>
    <x v="1"/>
    <s v="Dec"/>
    <x v="0"/>
    <x v="0"/>
    <s v="Order assembled"/>
    <x v="0"/>
    <x v="0"/>
    <x v="1"/>
    <x v="56"/>
    <n v="346.06"/>
  </r>
  <r>
    <s v="AD01-9362"/>
    <x v="1"/>
    <s v="Dec"/>
    <x v="0"/>
    <x v="0"/>
    <s v="Order assembled"/>
    <x v="0"/>
    <x v="0"/>
    <x v="1"/>
    <x v="2"/>
    <n v="337.48"/>
  </r>
  <r>
    <s v="AD01-9362"/>
    <x v="1"/>
    <s v="Dec"/>
    <x v="0"/>
    <x v="0"/>
    <s v="Order assembled"/>
    <x v="0"/>
    <x v="0"/>
    <x v="0"/>
    <x v="53"/>
    <n v="320.32"/>
  </r>
  <r>
    <s v="AD01-9361"/>
    <x v="1"/>
    <s v="Dec"/>
    <x v="0"/>
    <x v="0"/>
    <s v="Order assembled"/>
    <x v="0"/>
    <x v="0"/>
    <x v="0"/>
    <x v="91"/>
    <n v="357.5"/>
  </r>
  <r>
    <s v="AD01-9364"/>
    <x v="1"/>
    <s v="Dec"/>
    <x v="0"/>
    <x v="0"/>
    <s v="Order assembled"/>
    <x v="0"/>
    <x v="0"/>
    <x v="0"/>
    <x v="75"/>
    <n v="348.92"/>
  </r>
  <r>
    <s v="AD01-9364"/>
    <x v="1"/>
    <s v="Dec"/>
    <x v="0"/>
    <x v="0"/>
    <s v="Order assembled"/>
    <x v="0"/>
    <x v="0"/>
    <x v="0"/>
    <x v="4"/>
    <n v="340.34000000000003"/>
  </r>
  <r>
    <s v="AD01-9362"/>
    <x v="1"/>
    <s v="Dec"/>
    <x v="0"/>
    <x v="0"/>
    <s v="Order assembled"/>
    <x v="0"/>
    <x v="0"/>
    <x v="0"/>
    <x v="77"/>
    <n v="526.24"/>
  </r>
  <r>
    <s v="AD01-9362"/>
    <x v="1"/>
    <s v="Dec"/>
    <x v="0"/>
    <x v="0"/>
    <s v="Order assembled"/>
    <x v="0"/>
    <x v="0"/>
    <x v="0"/>
    <x v="107"/>
    <n v="526.24"/>
  </r>
  <r>
    <s v="AD01-9362"/>
    <x v="1"/>
    <s v="Dec"/>
    <x v="0"/>
    <x v="0"/>
    <s v="Order assembled"/>
    <x v="0"/>
    <x v="0"/>
    <x v="0"/>
    <x v="437"/>
    <n v="1440.01"/>
  </r>
  <r>
    <s v="AD01-9362"/>
    <x v="1"/>
    <s v="Dec"/>
    <x v="0"/>
    <x v="0"/>
    <s v="Order assembled"/>
    <x v="0"/>
    <x v="0"/>
    <x v="0"/>
    <x v="438"/>
    <n v="1487.2"/>
  </r>
  <r>
    <s v="AD01-9361"/>
    <x v="1"/>
    <s v="Dec"/>
    <x v="0"/>
    <x v="0"/>
    <s v="Order assembled"/>
    <x v="0"/>
    <x v="0"/>
    <x v="0"/>
    <x v="64"/>
    <n v="321.75"/>
  </r>
  <r>
    <s v="AD01-9361"/>
    <x v="1"/>
    <s v="Dec"/>
    <x v="0"/>
    <x v="0"/>
    <s v="Order assembled"/>
    <x v="0"/>
    <x v="0"/>
    <x v="0"/>
    <x v="226"/>
    <n v="381.81"/>
  </r>
  <r>
    <s v="AD01-9362"/>
    <x v="1"/>
    <s v="Dec"/>
    <x v="0"/>
    <x v="0"/>
    <s v="Order assembled"/>
    <x v="0"/>
    <x v="0"/>
    <x v="0"/>
    <x v="84"/>
    <n v="353.21"/>
  </r>
  <r>
    <s v="AD01-9362"/>
    <x v="1"/>
    <s v="Dec"/>
    <x v="0"/>
    <x v="0"/>
    <s v="Order assembled"/>
    <x v="0"/>
    <x v="0"/>
    <x v="0"/>
    <x v="69"/>
    <n v="344.63"/>
  </r>
  <r>
    <s v="AD01-9362"/>
    <x v="1"/>
    <s v="Dec"/>
    <x v="0"/>
    <x v="0"/>
    <s v="Order assembled"/>
    <x v="0"/>
    <x v="0"/>
    <x v="0"/>
    <x v="19"/>
    <n v="336.05"/>
  </r>
  <r>
    <s v="AD01-9364"/>
    <x v="1"/>
    <s v="Dec"/>
    <x v="0"/>
    <x v="0"/>
    <s v="Order assembled"/>
    <x v="0"/>
    <x v="0"/>
    <x v="0"/>
    <x v="279"/>
    <n v="1126.8399999999999"/>
  </r>
  <r>
    <s v="AD01-9362"/>
    <x v="1"/>
    <s v="Dec"/>
    <x v="0"/>
    <x v="0"/>
    <s v="Order assembled"/>
    <x v="0"/>
    <x v="0"/>
    <x v="0"/>
    <x v="326"/>
    <n v="1174.03"/>
  </r>
  <r>
    <s v="AD01-9361"/>
    <x v="1"/>
    <s v="Dec"/>
    <x v="0"/>
    <x v="0"/>
    <s v="Order assembled"/>
    <x v="0"/>
    <x v="0"/>
    <x v="1"/>
    <x v="86"/>
    <n v="350.35"/>
  </r>
  <r>
    <s v="AD01-9361"/>
    <x v="1"/>
    <s v="Dec"/>
    <x v="0"/>
    <x v="0"/>
    <s v="Order assembled"/>
    <x v="0"/>
    <x v="0"/>
    <x v="1"/>
    <x v="72"/>
    <n v="341.77"/>
  </r>
  <r>
    <s v="AD01-9364"/>
    <x v="1"/>
    <s v="Dec"/>
    <x v="0"/>
    <x v="0"/>
    <s v="Order assembled"/>
    <x v="0"/>
    <x v="0"/>
    <x v="0"/>
    <x v="70"/>
    <n v="316.02999999999997"/>
  </r>
  <r>
    <s v="AD01-9361"/>
    <x v="1"/>
    <s v="Dec"/>
    <x v="0"/>
    <x v="0"/>
    <s v="Order assembled"/>
    <x v="0"/>
    <x v="0"/>
    <x v="0"/>
    <x v="123"/>
    <n v="384.67"/>
  </r>
  <r>
    <s v="AD01-9361"/>
    <x v="1"/>
    <s v="Feb"/>
    <x v="0"/>
    <x v="0"/>
    <s v="Order assembled"/>
    <x v="0"/>
    <x v="0"/>
    <x v="0"/>
    <x v="28"/>
    <n v="397.53999999999996"/>
  </r>
  <r>
    <s v="AD01-9362"/>
    <x v="1"/>
    <s v="Feb"/>
    <x v="0"/>
    <x v="0"/>
    <s v="Order assembled"/>
    <x v="0"/>
    <x v="0"/>
    <x v="0"/>
    <x v="125"/>
    <n v="457.6"/>
  </r>
  <r>
    <s v="AD01-9362"/>
    <x v="1"/>
    <s v="Feb"/>
    <x v="0"/>
    <x v="0"/>
    <s v="Order assembled"/>
    <x v="0"/>
    <x v="0"/>
    <x v="0"/>
    <x v="74"/>
    <n v="354.64"/>
  </r>
  <r>
    <s v="AD01-9361"/>
    <x v="1"/>
    <s v="Feb"/>
    <x v="0"/>
    <x v="0"/>
    <s v="Order assembled"/>
    <x v="0"/>
    <x v="0"/>
    <x v="0"/>
    <x v="130"/>
    <n v="526.24"/>
  </r>
  <r>
    <s v="AD01-9362"/>
    <x v="1"/>
    <s v="Feb"/>
    <x v="0"/>
    <x v="0"/>
    <s v="Order assembled"/>
    <x v="0"/>
    <x v="0"/>
    <x v="0"/>
    <x v="297"/>
    <n v="526.24"/>
  </r>
  <r>
    <s v="AD01-9362"/>
    <x v="1"/>
    <s v="Feb"/>
    <x v="0"/>
    <x v="0"/>
    <s v="Order assembled"/>
    <x v="0"/>
    <x v="0"/>
    <x v="0"/>
    <x v="91"/>
    <n v="526.24"/>
  </r>
  <r>
    <s v="AD01-9365"/>
    <x v="1"/>
    <s v="Feb"/>
    <x v="0"/>
    <x v="0"/>
    <s v="Order assembled"/>
    <x v="0"/>
    <x v="0"/>
    <x v="0"/>
    <x v="439"/>
    <n v="1427.1399999999999"/>
  </r>
  <r>
    <s v="AD01-9362"/>
    <x v="1"/>
    <s v="Feb"/>
    <x v="0"/>
    <x v="0"/>
    <s v="Order assembled"/>
    <x v="0"/>
    <x v="0"/>
    <x v="0"/>
    <x v="440"/>
    <n v="1474.33"/>
  </r>
  <r>
    <s v="AD01-9361"/>
    <x v="1"/>
    <s v="Feb"/>
    <x v="0"/>
    <x v="0"/>
    <s v="Order assembled"/>
    <x v="0"/>
    <x v="0"/>
    <x v="0"/>
    <x v="136"/>
    <n v="459.03"/>
  </r>
  <r>
    <s v="AD01-9365"/>
    <x v="1"/>
    <s v="Feb"/>
    <x v="0"/>
    <x v="0"/>
    <s v="Order assembled"/>
    <x v="0"/>
    <x v="0"/>
    <x v="0"/>
    <x v="81"/>
    <n v="356.07"/>
  </r>
  <r>
    <s v="AD01-9362"/>
    <x v="1"/>
    <s v="Feb"/>
    <x v="0"/>
    <x v="0"/>
    <s v="Order assembled"/>
    <x v="0"/>
    <x v="0"/>
    <x v="0"/>
    <x v="73"/>
    <n v="1113.97"/>
  </r>
  <r>
    <s v="AD01-9361"/>
    <x v="1"/>
    <s v="Feb"/>
    <x v="0"/>
    <x v="0"/>
    <s v="Order assembled"/>
    <x v="0"/>
    <x v="0"/>
    <x v="0"/>
    <x v="321"/>
    <n v="1161.1599999999999"/>
  </r>
  <r>
    <s v="AD01-9361"/>
    <x v="1"/>
    <s v="Feb"/>
    <x v="0"/>
    <x v="0"/>
    <s v="Order assembled"/>
    <x v="0"/>
    <x v="0"/>
    <x v="0"/>
    <x v="441"/>
    <n v="1238.3800000000001"/>
  </r>
  <r>
    <s v="AD01-9362"/>
    <x v="1"/>
    <s v="Feb"/>
    <x v="0"/>
    <x v="0"/>
    <s v="Order assembled"/>
    <x v="0"/>
    <x v="0"/>
    <x v="0"/>
    <x v="49"/>
    <n v="393.25"/>
  </r>
  <r>
    <s v="AD01-9362"/>
    <x v="1"/>
    <s v="Feb"/>
    <x v="0"/>
    <x v="0"/>
    <s v="Order assembled"/>
    <x v="0"/>
    <x v="0"/>
    <x v="0"/>
    <x v="301"/>
    <n v="461.89"/>
  </r>
  <r>
    <s v="AD01-9361"/>
    <x v="1"/>
    <s v="Feb"/>
    <x v="0"/>
    <x v="0"/>
    <s v="Order assembled"/>
    <x v="0"/>
    <x v="0"/>
    <x v="0"/>
    <x v="102"/>
    <n v="358.93"/>
  </r>
  <r>
    <s v="AD01-9361"/>
    <x v="1"/>
    <s v="Jan"/>
    <x v="0"/>
    <x v="0"/>
    <s v="Order assembled"/>
    <x v="0"/>
    <x v="0"/>
    <x v="0"/>
    <x v="166"/>
    <n v="466.18"/>
  </r>
  <r>
    <s v="AD01-9361"/>
    <x v="1"/>
    <s v="Jan"/>
    <x v="0"/>
    <x v="0"/>
    <s v="Order assembled"/>
    <x v="0"/>
    <x v="0"/>
    <x v="0"/>
    <x v="88"/>
    <n v="363.22"/>
  </r>
  <r>
    <s v="AD01-9364"/>
    <x v="1"/>
    <s v="Jan"/>
    <x v="0"/>
    <x v="0"/>
    <s v="Order assembled"/>
    <x v="0"/>
    <x v="0"/>
    <x v="0"/>
    <x v="5"/>
    <n v="526.24"/>
  </r>
  <r>
    <s v="AD01-9362"/>
    <x v="1"/>
    <s v="Jan"/>
    <x v="0"/>
    <x v="0"/>
    <s v="Order assembled"/>
    <x v="0"/>
    <x v="0"/>
    <x v="0"/>
    <x v="234"/>
    <n v="526.24"/>
  </r>
  <r>
    <s v="AD01-9364"/>
    <x v="1"/>
    <s v="Jan"/>
    <x v="0"/>
    <x v="0"/>
    <s v="Order assembled"/>
    <x v="0"/>
    <x v="0"/>
    <x v="0"/>
    <x v="218"/>
    <n v="526.24"/>
  </r>
  <r>
    <s v="AD01-9364"/>
    <x v="1"/>
    <s v="Jan"/>
    <x v="0"/>
    <x v="0"/>
    <s v="Order assembled"/>
    <x v="0"/>
    <x v="0"/>
    <x v="0"/>
    <x v="442"/>
    <n v="1425.71"/>
  </r>
  <r>
    <s v="AD01-9363"/>
    <x v="1"/>
    <s v="Jan"/>
    <x v="0"/>
    <x v="0"/>
    <s v="Order assembled"/>
    <x v="0"/>
    <x v="0"/>
    <x v="0"/>
    <x v="443"/>
    <n v="1472.9"/>
  </r>
  <r>
    <s v="AD01-9363"/>
    <x v="1"/>
    <s v="Jan"/>
    <x v="0"/>
    <x v="0"/>
    <s v="Order assembled"/>
    <x v="0"/>
    <x v="0"/>
    <x v="0"/>
    <x v="206"/>
    <n v="360.36"/>
  </r>
  <r>
    <s v="AD01-9363"/>
    <x v="1"/>
    <s v="Jan"/>
    <x v="0"/>
    <x v="0"/>
    <s v="Order assembled"/>
    <x v="0"/>
    <x v="0"/>
    <x v="0"/>
    <x v="41"/>
    <n v="398.97"/>
  </r>
  <r>
    <s v="AD01-9362"/>
    <x v="1"/>
    <s v="Jan"/>
    <x v="0"/>
    <x v="0"/>
    <s v="Order assembled"/>
    <x v="0"/>
    <x v="0"/>
    <x v="0"/>
    <x v="178"/>
    <n v="467.61"/>
  </r>
  <r>
    <s v="AD01-9364"/>
    <x v="1"/>
    <s v="Jan"/>
    <x v="0"/>
    <x v="0"/>
    <s v="Order assembled"/>
    <x v="0"/>
    <x v="0"/>
    <x v="0"/>
    <x v="210"/>
    <n v="364.65"/>
  </r>
  <r>
    <s v="AD01-9364"/>
    <x v="1"/>
    <s v="Jan"/>
    <x v="0"/>
    <x v="0"/>
    <s v="Order assembled"/>
    <x v="0"/>
    <x v="0"/>
    <x v="0"/>
    <x v="202"/>
    <n v="1112.54"/>
  </r>
  <r>
    <s v="AD01-9364"/>
    <x v="1"/>
    <s v="Jan"/>
    <x v="0"/>
    <x v="0"/>
    <s v="Order assembled"/>
    <x v="0"/>
    <x v="0"/>
    <x v="0"/>
    <x v="444"/>
    <n v="1236.95"/>
  </r>
  <r>
    <s v="AD01-9361"/>
    <x v="1"/>
    <s v="Jan"/>
    <x v="0"/>
    <x v="0"/>
    <s v="Order assembled"/>
    <x v="0"/>
    <x v="0"/>
    <x v="0"/>
    <x v="25"/>
    <n v="401.83"/>
  </r>
  <r>
    <s v="AD01-9364"/>
    <x v="1"/>
    <s v="Jan"/>
    <x v="0"/>
    <x v="0"/>
    <s v="Order assembled"/>
    <x v="0"/>
    <x v="0"/>
    <x v="0"/>
    <x v="241"/>
    <n v="470.47"/>
  </r>
  <r>
    <s v="AD01-9361"/>
    <x v="1"/>
    <s v="Jul"/>
    <x v="0"/>
    <x v="0"/>
    <s v="Order assembled"/>
    <x v="0"/>
    <x v="0"/>
    <x v="0"/>
    <x v="74"/>
    <n v="354.64"/>
  </r>
  <r>
    <s v="AD01-9361"/>
    <x v="1"/>
    <s v="Jul"/>
    <x v="0"/>
    <x v="0"/>
    <s v="Order assembled"/>
    <x v="0"/>
    <x v="0"/>
    <x v="0"/>
    <x v="89"/>
    <n v="423.28"/>
  </r>
  <r>
    <s v="AD01-9361"/>
    <x v="1"/>
    <s v="Jul"/>
    <x v="0"/>
    <x v="0"/>
    <s v="Order assembled"/>
    <x v="0"/>
    <x v="0"/>
    <x v="0"/>
    <x v="53"/>
    <n v="320.32"/>
  </r>
  <r>
    <s v="AD01-9361"/>
    <x v="1"/>
    <s v="Jul"/>
    <x v="0"/>
    <x v="0"/>
    <s v="Order assembled"/>
    <x v="0"/>
    <x v="0"/>
    <x v="0"/>
    <x v="91"/>
    <n v="526.24"/>
  </r>
  <r>
    <s v="AD01-9361"/>
    <x v="1"/>
    <s v="Jul"/>
    <x v="0"/>
    <x v="0"/>
    <s v="Order assembled"/>
    <x v="0"/>
    <x v="0"/>
    <x v="0"/>
    <x v="92"/>
    <n v="526.24"/>
  </r>
  <r>
    <s v="AD01-9362"/>
    <x v="1"/>
    <s v="Jul"/>
    <x v="0"/>
    <x v="0"/>
    <s v="Order assembled"/>
    <x v="0"/>
    <x v="0"/>
    <x v="0"/>
    <x v="77"/>
    <n v="526.24"/>
  </r>
  <r>
    <s v="AD01-9365"/>
    <x v="1"/>
    <s v="Jul"/>
    <x v="0"/>
    <x v="0"/>
    <s v="Order assembled"/>
    <x v="0"/>
    <x v="0"/>
    <x v="0"/>
    <x v="445"/>
    <n v="1481.48"/>
  </r>
  <r>
    <s v="AD01-9363"/>
    <x v="1"/>
    <s v="Jul"/>
    <x v="0"/>
    <x v="0"/>
    <s v="Order assembled"/>
    <x v="0"/>
    <x v="0"/>
    <x v="0"/>
    <x v="59"/>
    <n v="317.45999999999998"/>
  </r>
  <r>
    <s v="AD01-9363"/>
    <x v="1"/>
    <s v="Jul"/>
    <x v="0"/>
    <x v="0"/>
    <s v="Order assembled"/>
    <x v="0"/>
    <x v="0"/>
    <x v="0"/>
    <x v="81"/>
    <n v="356.07"/>
  </r>
  <r>
    <s v="AD01-9361"/>
    <x v="1"/>
    <s v="Jul"/>
    <x v="0"/>
    <x v="0"/>
    <s v="Order assembled"/>
    <x v="0"/>
    <x v="0"/>
    <x v="0"/>
    <x v="115"/>
    <n v="424.71"/>
  </r>
  <r>
    <s v="AD01-9362"/>
    <x v="1"/>
    <s v="Jul"/>
    <x v="0"/>
    <x v="0"/>
    <s v="Order assembled"/>
    <x v="0"/>
    <x v="0"/>
    <x v="0"/>
    <x v="424"/>
    <n v="1121.1199999999999"/>
  </r>
  <r>
    <s v="AD01-9361"/>
    <x v="1"/>
    <s v="Jul"/>
    <x v="0"/>
    <x v="0"/>
    <s v="Order assembled"/>
    <x v="0"/>
    <x v="0"/>
    <x v="0"/>
    <x v="374"/>
    <n v="1168.31"/>
  </r>
  <r>
    <s v="AD01-9361"/>
    <x v="1"/>
    <s v="Jul"/>
    <x v="0"/>
    <x v="0"/>
    <s v="Order assembled"/>
    <x v="0"/>
    <x v="0"/>
    <x v="0"/>
    <x v="446"/>
    <n v="1244.0999999999999"/>
  </r>
  <r>
    <s v="AD01-9361"/>
    <x v="1"/>
    <s v="Jul"/>
    <x v="0"/>
    <x v="0"/>
    <s v="Order assembled"/>
    <x v="0"/>
    <x v="0"/>
    <x v="0"/>
    <x v="102"/>
    <n v="358.93"/>
  </r>
  <r>
    <s v="AD01-9361"/>
    <x v="1"/>
    <s v="Jul"/>
    <x v="0"/>
    <x v="0"/>
    <s v="Order assembled"/>
    <x v="0"/>
    <x v="0"/>
    <x v="0"/>
    <x v="70"/>
    <n v="316.02999999999997"/>
  </r>
  <r>
    <s v="AD01-9362"/>
    <x v="1"/>
    <s v="Jun"/>
    <x v="0"/>
    <x v="0"/>
    <s v="Order assembled"/>
    <x v="0"/>
    <x v="0"/>
    <x v="0"/>
    <x v="88"/>
    <n v="363.22"/>
  </r>
  <r>
    <s v="AD01-9361"/>
    <x v="1"/>
    <s v="Jun"/>
    <x v="0"/>
    <x v="0"/>
    <s v="Order assembled"/>
    <x v="0"/>
    <x v="0"/>
    <x v="0"/>
    <x v="105"/>
    <n v="431.86"/>
  </r>
  <r>
    <s v="AD01-9365"/>
    <x v="1"/>
    <s v="Jun"/>
    <x v="0"/>
    <x v="0"/>
    <s v="Order assembled"/>
    <x v="0"/>
    <x v="0"/>
    <x v="0"/>
    <x v="167"/>
    <n v="328.9"/>
  </r>
  <r>
    <s v="AD01-9362"/>
    <x v="1"/>
    <s v="Jun"/>
    <x v="0"/>
    <x v="0"/>
    <s v="Order assembled"/>
    <x v="0"/>
    <x v="0"/>
    <x v="0"/>
    <x v="218"/>
    <n v="526.24"/>
  </r>
  <r>
    <s v="AD01-9361"/>
    <x v="1"/>
    <s v="Jun"/>
    <x v="0"/>
    <x v="0"/>
    <s v="Order assembled"/>
    <x v="0"/>
    <x v="0"/>
    <x v="0"/>
    <x v="93"/>
    <n v="526.24"/>
  </r>
  <r>
    <s v="AD01-9361"/>
    <x v="1"/>
    <s v="Jun"/>
    <x v="0"/>
    <x v="0"/>
    <s v="Order assembled"/>
    <x v="0"/>
    <x v="0"/>
    <x v="0"/>
    <x v="447"/>
    <n v="1432.8600000000001"/>
  </r>
  <r>
    <s v="AD01-9364"/>
    <x v="1"/>
    <s v="Jun"/>
    <x v="0"/>
    <x v="0"/>
    <s v="Order assembled"/>
    <x v="0"/>
    <x v="0"/>
    <x v="0"/>
    <x v="448"/>
    <n v="1480.05"/>
  </r>
  <r>
    <s v="AD01-9361"/>
    <x v="1"/>
    <s v="Jun"/>
    <x v="0"/>
    <x v="0"/>
    <s v="Order assembled"/>
    <x v="0"/>
    <x v="0"/>
    <x v="0"/>
    <x v="194"/>
    <n v="326.03999999999996"/>
  </r>
  <r>
    <s v="AD01-9361"/>
    <x v="1"/>
    <s v="Jun"/>
    <x v="0"/>
    <x v="0"/>
    <s v="Order assembled"/>
    <x v="0"/>
    <x v="0"/>
    <x v="0"/>
    <x v="210"/>
    <n v="364.65"/>
  </r>
  <r>
    <s v="AD01-9362"/>
    <x v="1"/>
    <s v="Jun"/>
    <x v="0"/>
    <x v="0"/>
    <s v="Order assembled"/>
    <x v="0"/>
    <x v="0"/>
    <x v="0"/>
    <x v="114"/>
    <n v="433.28999999999996"/>
  </r>
  <r>
    <s v="AD01-9361"/>
    <x v="1"/>
    <s v="Jun"/>
    <x v="0"/>
    <x v="0"/>
    <s v="Order assembled"/>
    <x v="0"/>
    <x v="0"/>
    <x v="0"/>
    <x v="64"/>
    <n v="321.75"/>
  </r>
  <r>
    <s v="AD01-9361"/>
    <x v="1"/>
    <s v="Jun"/>
    <x v="0"/>
    <x v="0"/>
    <s v="Order assembled"/>
    <x v="0"/>
    <x v="0"/>
    <x v="0"/>
    <x v="391"/>
    <n v="1119.69"/>
  </r>
  <r>
    <s v="AD01-9364"/>
    <x v="1"/>
    <s v="Jun"/>
    <x v="0"/>
    <x v="0"/>
    <s v="Order assembled"/>
    <x v="0"/>
    <x v="0"/>
    <x v="0"/>
    <x v="327"/>
    <n v="1166.8800000000001"/>
  </r>
  <r>
    <s v="AD01-9362"/>
    <x v="1"/>
    <s v="Jun"/>
    <x v="0"/>
    <x v="0"/>
    <s v="Order assembled"/>
    <x v="0"/>
    <x v="0"/>
    <x v="0"/>
    <x v="449"/>
    <n v="1242.67"/>
  </r>
  <r>
    <s v="AD01-9365"/>
    <x v="1"/>
    <s v="Jun"/>
    <x v="0"/>
    <x v="0"/>
    <s v="Order assembled"/>
    <x v="0"/>
    <x v="0"/>
    <x v="0"/>
    <x v="214"/>
    <n v="367.51"/>
  </r>
  <r>
    <s v="AD01-9362"/>
    <x v="1"/>
    <s v="Jun"/>
    <x v="0"/>
    <x v="0"/>
    <s v="Order assembled"/>
    <x v="0"/>
    <x v="0"/>
    <x v="0"/>
    <x v="103"/>
    <n v="427.57"/>
  </r>
  <r>
    <s v="AD01-9362"/>
    <x v="1"/>
    <s v="Jun"/>
    <x v="0"/>
    <x v="0"/>
    <s v="Order assembled"/>
    <x v="0"/>
    <x v="0"/>
    <x v="0"/>
    <x v="144"/>
    <n v="324.61"/>
  </r>
  <r>
    <s v="AD01-9361"/>
    <x v="1"/>
    <s v="Mar"/>
    <x v="0"/>
    <x v="0"/>
    <s v="Order assembled"/>
    <x v="0"/>
    <x v="0"/>
    <x v="0"/>
    <x v="128"/>
    <n v="388.96"/>
  </r>
  <r>
    <s v="AD01-9362"/>
    <x v="1"/>
    <s v="Mar"/>
    <x v="0"/>
    <x v="0"/>
    <s v="Order assembled"/>
    <x v="0"/>
    <x v="0"/>
    <x v="0"/>
    <x v="56"/>
    <n v="346.06"/>
  </r>
  <r>
    <s v="AD01-9362"/>
    <x v="1"/>
    <s v="Mar"/>
    <x v="0"/>
    <x v="0"/>
    <s v="Order assembled"/>
    <x v="0"/>
    <x v="0"/>
    <x v="0"/>
    <x v="107"/>
    <n v="526.24"/>
  </r>
  <r>
    <s v="AD01-9362"/>
    <x v="1"/>
    <s v="Mar"/>
    <x v="0"/>
    <x v="0"/>
    <s v="Order assembled"/>
    <x v="0"/>
    <x v="0"/>
    <x v="0"/>
    <x v="274"/>
    <n v="526.24"/>
  </r>
  <r>
    <s v="AD01-9361"/>
    <x v="1"/>
    <s v="Mar"/>
    <x v="0"/>
    <x v="0"/>
    <s v="Order assembled"/>
    <x v="0"/>
    <x v="0"/>
    <x v="0"/>
    <x v="75"/>
    <n v="526.24"/>
  </r>
  <r>
    <s v="AD01-9362"/>
    <x v="1"/>
    <s v="Mar"/>
    <x v="0"/>
    <x v="0"/>
    <s v="Order assembled"/>
    <x v="0"/>
    <x v="0"/>
    <x v="0"/>
    <x v="450"/>
    <n v="1428.57"/>
  </r>
  <r>
    <s v="AD01-9364"/>
    <x v="1"/>
    <s v="Mar"/>
    <x v="0"/>
    <x v="0"/>
    <s v="Order assembled"/>
    <x v="0"/>
    <x v="0"/>
    <x v="0"/>
    <x v="451"/>
    <n v="1475.76"/>
  </r>
  <r>
    <s v="AD01-9362"/>
    <x v="1"/>
    <s v="Mar"/>
    <x v="0"/>
    <x v="0"/>
    <s v="Order assembled"/>
    <x v="0"/>
    <x v="0"/>
    <x v="0"/>
    <x v="207"/>
    <n v="351.78"/>
  </r>
  <r>
    <s v="AD01-9362"/>
    <x v="1"/>
    <s v="Mar"/>
    <x v="0"/>
    <x v="0"/>
    <s v="Order assembled"/>
    <x v="0"/>
    <x v="0"/>
    <x v="0"/>
    <x v="225"/>
    <n v="390.39"/>
  </r>
  <r>
    <s v="AD01-9364"/>
    <x v="1"/>
    <s v="Mar"/>
    <x v="0"/>
    <x v="0"/>
    <s v="Order assembled"/>
    <x v="0"/>
    <x v="0"/>
    <x v="0"/>
    <x v="137"/>
    <n v="450.45"/>
  </r>
  <r>
    <s v="AD01-9362"/>
    <x v="1"/>
    <s v="Mar"/>
    <x v="0"/>
    <x v="0"/>
    <s v="Order assembled"/>
    <x v="0"/>
    <x v="0"/>
    <x v="0"/>
    <x v="158"/>
    <n v="347.49"/>
  </r>
  <r>
    <s v="AD01-9361"/>
    <x v="1"/>
    <s v="Mar"/>
    <x v="0"/>
    <x v="0"/>
    <s v="Order assembled"/>
    <x v="0"/>
    <x v="0"/>
    <x v="0"/>
    <x v="377"/>
    <n v="1115.4000000000001"/>
  </r>
  <r>
    <s v="AD01-9364"/>
    <x v="1"/>
    <s v="Mar"/>
    <x v="0"/>
    <x v="0"/>
    <s v="Order assembled"/>
    <x v="0"/>
    <x v="0"/>
    <x v="0"/>
    <x v="362"/>
    <n v="1162.5899999999999"/>
  </r>
  <r>
    <s v="AD01-9362"/>
    <x v="1"/>
    <s v="Mar"/>
    <x v="0"/>
    <x v="0"/>
    <s v="Order assembled"/>
    <x v="0"/>
    <x v="0"/>
    <x v="0"/>
    <x v="452"/>
    <n v="1239.81"/>
  </r>
  <r>
    <s v="AD01-9362"/>
    <x v="1"/>
    <s v="Mar"/>
    <x v="0"/>
    <x v="0"/>
    <s v="Order assembled"/>
    <x v="0"/>
    <x v="0"/>
    <x v="0"/>
    <x v="123"/>
    <n v="384.67"/>
  </r>
  <r>
    <s v="AD01-9361"/>
    <x v="1"/>
    <s v="Mar"/>
    <x v="0"/>
    <x v="0"/>
    <s v="Order assembled"/>
    <x v="0"/>
    <x v="0"/>
    <x v="0"/>
    <x v="281"/>
    <n v="453.31"/>
  </r>
  <r>
    <s v="AD01-9361"/>
    <x v="1"/>
    <s v="Mar"/>
    <x v="0"/>
    <x v="0"/>
    <s v="Order assembled"/>
    <x v="0"/>
    <x v="0"/>
    <x v="0"/>
    <x v="86"/>
    <n v="350.35"/>
  </r>
  <r>
    <s v="AD01-9361"/>
    <x v="1"/>
    <s v="May"/>
    <x v="0"/>
    <x v="0"/>
    <s v="Order assembled"/>
    <x v="0"/>
    <x v="0"/>
    <x v="0"/>
    <x v="30"/>
    <n v="371.8"/>
  </r>
  <r>
    <s v="AD01-9361"/>
    <x v="1"/>
    <s v="May"/>
    <x v="0"/>
    <x v="0"/>
    <s v="Order assembled"/>
    <x v="0"/>
    <x v="0"/>
    <x v="0"/>
    <x v="127"/>
    <n v="440.44"/>
  </r>
  <r>
    <s v="AD01-9364"/>
    <x v="1"/>
    <s v="May"/>
    <x v="0"/>
    <x v="0"/>
    <s v="Order assembled"/>
    <x v="0"/>
    <x v="0"/>
    <x v="0"/>
    <x v="33"/>
    <n v="526.24"/>
  </r>
  <r>
    <s v="AD01-9363"/>
    <x v="1"/>
    <s v="May"/>
    <x v="0"/>
    <x v="0"/>
    <s v="Order assembled"/>
    <x v="0"/>
    <x v="0"/>
    <x v="0"/>
    <x v="236"/>
    <n v="526.24"/>
  </r>
  <r>
    <s v="AD01-9362"/>
    <x v="1"/>
    <s v="May"/>
    <x v="0"/>
    <x v="0"/>
    <s v="Order assembled"/>
    <x v="0"/>
    <x v="0"/>
    <x v="0"/>
    <x v="169"/>
    <n v="526.24"/>
  </r>
  <r>
    <s v="AD01-9362"/>
    <x v="1"/>
    <s v="May"/>
    <x v="0"/>
    <x v="0"/>
    <s v="Order assembled"/>
    <x v="0"/>
    <x v="0"/>
    <x v="0"/>
    <x v="453"/>
    <n v="1431.43"/>
  </r>
  <r>
    <s v="AD01-9362"/>
    <x v="1"/>
    <s v="May"/>
    <x v="0"/>
    <x v="0"/>
    <s v="Order assembled"/>
    <x v="0"/>
    <x v="0"/>
    <x v="0"/>
    <x v="454"/>
    <n v="1478.62"/>
  </r>
  <r>
    <s v="AD01-9361"/>
    <x v="1"/>
    <s v="May"/>
    <x v="0"/>
    <x v="0"/>
    <s v="Order assembled"/>
    <x v="0"/>
    <x v="0"/>
    <x v="0"/>
    <x v="193"/>
    <n v="334.62"/>
  </r>
  <r>
    <s v="AD01-9361"/>
    <x v="1"/>
    <s v="May"/>
    <x v="0"/>
    <x v="0"/>
    <s v="Order assembled"/>
    <x v="0"/>
    <x v="0"/>
    <x v="0"/>
    <x v="227"/>
    <n v="373.23"/>
  </r>
  <r>
    <s v="AD01-9364"/>
    <x v="1"/>
    <s v="May"/>
    <x v="0"/>
    <x v="0"/>
    <s v="Order assembled"/>
    <x v="0"/>
    <x v="0"/>
    <x v="0"/>
    <x v="138"/>
    <n v="441.87"/>
  </r>
  <r>
    <s v="AD01-9362"/>
    <x v="1"/>
    <s v="May"/>
    <x v="0"/>
    <x v="0"/>
    <s v="Order assembled"/>
    <x v="0"/>
    <x v="0"/>
    <x v="0"/>
    <x v="179"/>
    <n v="330.33"/>
  </r>
  <r>
    <s v="AD01-9362"/>
    <x v="1"/>
    <s v="May"/>
    <x v="0"/>
    <x v="0"/>
    <s v="Order assembled"/>
    <x v="0"/>
    <x v="0"/>
    <x v="0"/>
    <x v="379"/>
    <n v="1118.26"/>
  </r>
  <r>
    <s v="AD01-9361"/>
    <x v="1"/>
    <s v="May"/>
    <x v="0"/>
    <x v="0"/>
    <s v="Order assembled"/>
    <x v="0"/>
    <x v="0"/>
    <x v="0"/>
    <x v="346"/>
    <n v="1165.45"/>
  </r>
  <r>
    <s v="AD01-9364"/>
    <x v="1"/>
    <s v="May"/>
    <x v="0"/>
    <x v="0"/>
    <s v="Order assembled"/>
    <x v="0"/>
    <x v="0"/>
    <x v="0"/>
    <x v="455"/>
    <n v="1241.24"/>
  </r>
  <r>
    <s v="AD01-9361"/>
    <x v="1"/>
    <s v="May"/>
    <x v="0"/>
    <x v="0"/>
    <s v="Order assembled"/>
    <x v="0"/>
    <x v="0"/>
    <x v="0"/>
    <x v="296"/>
    <n v="436.15"/>
  </r>
  <r>
    <s v="AD01-9361"/>
    <x v="1"/>
    <s v="May"/>
    <x v="0"/>
    <x v="0"/>
    <s v="Order assembled"/>
    <x v="0"/>
    <x v="0"/>
    <x v="0"/>
    <x v="188"/>
    <n v="333.19"/>
  </r>
  <r>
    <s v="AD01-9362"/>
    <x v="1"/>
    <s v="Nov"/>
    <x v="1"/>
    <x v="0"/>
    <s v="Order assembled"/>
    <x v="0"/>
    <x v="0"/>
    <x v="1"/>
    <x v="106"/>
    <n v="380.38"/>
  </r>
  <r>
    <s v="AD01-9362"/>
    <x v="1"/>
    <s v="Nov"/>
    <x v="1"/>
    <x v="0"/>
    <s v="Order assembled"/>
    <x v="0"/>
    <x v="0"/>
    <x v="1"/>
    <x v="30"/>
    <n v="371.8"/>
  </r>
  <r>
    <s v="AD01-9361"/>
    <x v="1"/>
    <s v="Nov"/>
    <x v="1"/>
    <x v="0"/>
    <s v="Order assembled"/>
    <x v="0"/>
    <x v="0"/>
    <x v="1"/>
    <x v="88"/>
    <n v="363.22"/>
  </r>
  <r>
    <s v="AD01-9361"/>
    <x v="1"/>
    <s v="Nov"/>
    <x v="1"/>
    <x v="0"/>
    <s v="Order assembled"/>
    <x v="0"/>
    <x v="0"/>
    <x v="0"/>
    <x v="167"/>
    <n v="328.9"/>
  </r>
  <r>
    <s v="AD01-9361"/>
    <x v="1"/>
    <s v="Nov"/>
    <x v="1"/>
    <x v="0"/>
    <s v="Order assembled"/>
    <x v="0"/>
    <x v="0"/>
    <x v="0"/>
    <x v="128"/>
    <n v="388.96"/>
  </r>
  <r>
    <s v="AD01-9364"/>
    <x v="1"/>
    <s v="Nov"/>
    <x v="1"/>
    <x v="0"/>
    <s v="Order assembled"/>
    <x v="0"/>
    <x v="0"/>
    <x v="0"/>
    <x v="33"/>
    <n v="374.65999999999997"/>
  </r>
  <r>
    <s v="AD01-9362"/>
    <x v="1"/>
    <s v="Nov"/>
    <x v="1"/>
    <x v="0"/>
    <s v="Order assembled"/>
    <x v="0"/>
    <x v="0"/>
    <x v="0"/>
    <x v="218"/>
    <n v="366.08"/>
  </r>
  <r>
    <s v="AD01-9364"/>
    <x v="1"/>
    <s v="Nov"/>
    <x v="1"/>
    <x v="0"/>
    <s v="Order assembled"/>
    <x v="0"/>
    <x v="0"/>
    <x v="0"/>
    <x v="93"/>
    <n v="526.24"/>
  </r>
  <r>
    <s v="AD01-9364"/>
    <x v="1"/>
    <s v="Nov"/>
    <x v="1"/>
    <x v="0"/>
    <s v="Order assembled"/>
    <x v="0"/>
    <x v="0"/>
    <x v="0"/>
    <x v="130"/>
    <n v="526.24"/>
  </r>
  <r>
    <s v="AD01-9365"/>
    <x v="1"/>
    <s v="Nov"/>
    <x v="1"/>
    <x v="0"/>
    <s v="Order assembled"/>
    <x v="0"/>
    <x v="0"/>
    <x v="0"/>
    <x v="456"/>
    <n v="1438.58"/>
  </r>
  <r>
    <s v="AD01-9363"/>
    <x v="1"/>
    <s v="Nov"/>
    <x v="1"/>
    <x v="0"/>
    <s v="Order assembled"/>
    <x v="0"/>
    <x v="0"/>
    <x v="0"/>
    <x v="457"/>
    <n v="1485.77"/>
  </r>
  <r>
    <s v="AD01-9363"/>
    <x v="1"/>
    <s v="Nov"/>
    <x v="1"/>
    <x v="0"/>
    <s v="Order assembled"/>
    <x v="0"/>
    <x v="0"/>
    <x v="0"/>
    <x v="225"/>
    <n v="390.39"/>
  </r>
  <r>
    <s v="AD01-9361"/>
    <x v="1"/>
    <s v="Nov"/>
    <x v="1"/>
    <x v="0"/>
    <s v="Order assembled"/>
    <x v="0"/>
    <x v="0"/>
    <x v="0"/>
    <x v="119"/>
    <n v="378.95"/>
  </r>
  <r>
    <s v="AD01-9365"/>
    <x v="1"/>
    <s v="Nov"/>
    <x v="1"/>
    <x v="0"/>
    <s v="Order assembled"/>
    <x v="0"/>
    <x v="0"/>
    <x v="0"/>
    <x v="46"/>
    <n v="370.37"/>
  </r>
  <r>
    <s v="AD01-9364"/>
    <x v="1"/>
    <s v="Nov"/>
    <x v="1"/>
    <x v="0"/>
    <s v="Order assembled"/>
    <x v="0"/>
    <x v="0"/>
    <x v="0"/>
    <x v="99"/>
    <n v="361.78999999999996"/>
  </r>
  <r>
    <s v="AD01-9364"/>
    <x v="1"/>
    <s v="Nov"/>
    <x v="1"/>
    <x v="0"/>
    <s v="Order assembled"/>
    <x v="0"/>
    <x v="0"/>
    <x v="0"/>
    <x v="431"/>
    <n v="1125.4099999999999"/>
  </r>
  <r>
    <s v="AD01-9364"/>
    <x v="1"/>
    <s v="Nov"/>
    <x v="1"/>
    <x v="0"/>
    <s v="Order assembled"/>
    <x v="0"/>
    <x v="0"/>
    <x v="0"/>
    <x v="360"/>
    <n v="1172.5999999999999"/>
  </r>
  <r>
    <s v="AD01-9361"/>
    <x v="1"/>
    <s v="Nov"/>
    <x v="1"/>
    <x v="0"/>
    <s v="Order assembled"/>
    <x v="0"/>
    <x v="0"/>
    <x v="1"/>
    <x v="51"/>
    <n v="376.09000000000003"/>
  </r>
  <r>
    <s v="AD01-9362"/>
    <x v="1"/>
    <s v="Nov"/>
    <x v="1"/>
    <x v="0"/>
    <s v="Order assembled"/>
    <x v="0"/>
    <x v="0"/>
    <x v="1"/>
    <x v="214"/>
    <n v="367.51"/>
  </r>
  <r>
    <s v="AD01-9361"/>
    <x v="1"/>
    <s v="Nov"/>
    <x v="1"/>
    <x v="0"/>
    <s v="Order assembled"/>
    <x v="0"/>
    <x v="0"/>
    <x v="1"/>
    <x v="102"/>
    <n v="358.93"/>
  </r>
  <r>
    <s v="AD01-9362"/>
    <x v="1"/>
    <s v="Nov"/>
    <x v="1"/>
    <x v="0"/>
    <s v="Order assembled"/>
    <x v="0"/>
    <x v="0"/>
    <x v="0"/>
    <x v="144"/>
    <n v="324.61"/>
  </r>
  <r>
    <s v="AD01-9362"/>
    <x v="1"/>
    <s v="Nov"/>
    <x v="1"/>
    <x v="0"/>
    <s v="Order assembled"/>
    <x v="0"/>
    <x v="0"/>
    <x v="0"/>
    <x v="49"/>
    <n v="393.25"/>
  </r>
  <r>
    <s v="AD01-9364"/>
    <x v="1"/>
    <s v="Oct"/>
    <x v="1"/>
    <x v="0"/>
    <s v="Order assembled"/>
    <x v="0"/>
    <x v="0"/>
    <x v="1"/>
    <x v="28"/>
    <n v="397.53999999999996"/>
  </r>
  <r>
    <s v="AD01-9362"/>
    <x v="1"/>
    <s v="Oct"/>
    <x v="1"/>
    <x v="0"/>
    <s v="Order assembled"/>
    <x v="0"/>
    <x v="0"/>
    <x v="1"/>
    <x v="128"/>
    <n v="388.96"/>
  </r>
  <r>
    <s v="AD01-9361"/>
    <x v="1"/>
    <s v="Oct"/>
    <x v="1"/>
    <x v="0"/>
    <s v="Order assembled"/>
    <x v="0"/>
    <x v="0"/>
    <x v="0"/>
    <x v="28"/>
    <n v="397.53999999999996"/>
  </r>
  <r>
    <s v="AD01-9362"/>
    <x v="1"/>
    <s v="Oct"/>
    <x v="1"/>
    <x v="0"/>
    <s v="Order assembled"/>
    <x v="0"/>
    <x v="0"/>
    <x v="0"/>
    <x v="5"/>
    <n v="400.4"/>
  </r>
  <r>
    <s v="AD01-9362"/>
    <x v="1"/>
    <s v="Oct"/>
    <x v="1"/>
    <x v="0"/>
    <s v="Order assembled"/>
    <x v="0"/>
    <x v="0"/>
    <x v="0"/>
    <x v="130"/>
    <n v="391.82"/>
  </r>
  <r>
    <s v="AD01-9361"/>
    <x v="1"/>
    <s v="Oct"/>
    <x v="1"/>
    <x v="0"/>
    <s v="Order assembled"/>
    <x v="0"/>
    <x v="0"/>
    <x v="0"/>
    <x v="107"/>
    <n v="383.24"/>
  </r>
  <r>
    <s v="AD01-9364"/>
    <x v="1"/>
    <s v="Oct"/>
    <x v="1"/>
    <x v="0"/>
    <s v="Order assembled"/>
    <x v="0"/>
    <x v="0"/>
    <x v="0"/>
    <x v="169"/>
    <n v="526.24"/>
  </r>
  <r>
    <s v="AD01-9361"/>
    <x v="1"/>
    <s v="Oct"/>
    <x v="1"/>
    <x v="0"/>
    <s v="Order assembled"/>
    <x v="0"/>
    <x v="0"/>
    <x v="0"/>
    <x v="5"/>
    <n v="526.24"/>
  </r>
  <r>
    <s v="AD01-9363"/>
    <x v="1"/>
    <s v="Oct"/>
    <x v="1"/>
    <x v="0"/>
    <s v="Order assembled"/>
    <x v="0"/>
    <x v="0"/>
    <x v="0"/>
    <x v="458"/>
    <n v="1437.15"/>
  </r>
  <r>
    <s v="AD01-9362"/>
    <x v="1"/>
    <s v="Oct"/>
    <x v="1"/>
    <x v="0"/>
    <s v="Order assembled"/>
    <x v="0"/>
    <x v="0"/>
    <x v="0"/>
    <x v="459"/>
    <n v="1484.34"/>
  </r>
  <r>
    <s v="AD01-9361"/>
    <x v="1"/>
    <s v="Oct"/>
    <x v="1"/>
    <x v="0"/>
    <s v="Order assembled"/>
    <x v="0"/>
    <x v="0"/>
    <x v="0"/>
    <x v="179"/>
    <n v="330.33"/>
  </r>
  <r>
    <s v="AD01-9362"/>
    <x v="1"/>
    <s v="Oct"/>
    <x v="1"/>
    <x v="0"/>
    <s v="Order assembled"/>
    <x v="0"/>
    <x v="0"/>
    <x v="0"/>
    <x v="41"/>
    <n v="398.97"/>
  </r>
  <r>
    <s v="AD01-9363"/>
    <x v="1"/>
    <s v="Oct"/>
    <x v="1"/>
    <x v="0"/>
    <s v="Order assembled"/>
    <x v="0"/>
    <x v="0"/>
    <x v="0"/>
    <x v="183"/>
    <n v="396.11"/>
  </r>
  <r>
    <s v="AD01-9364"/>
    <x v="1"/>
    <s v="Oct"/>
    <x v="1"/>
    <x v="0"/>
    <s v="Order assembled"/>
    <x v="0"/>
    <x v="0"/>
    <x v="0"/>
    <x v="140"/>
    <n v="387.53"/>
  </r>
  <r>
    <s v="AD01-9362"/>
    <x v="1"/>
    <s v="Oct"/>
    <x v="1"/>
    <x v="0"/>
    <s v="Order assembled"/>
    <x v="0"/>
    <x v="0"/>
    <x v="0"/>
    <x v="394"/>
    <n v="1123.98"/>
  </r>
  <r>
    <s v="AD01-9362"/>
    <x v="1"/>
    <s v="Oct"/>
    <x v="1"/>
    <x v="0"/>
    <s v="Order assembled"/>
    <x v="0"/>
    <x v="0"/>
    <x v="1"/>
    <x v="25"/>
    <n v="401.83"/>
  </r>
  <r>
    <s v="AD01-9362"/>
    <x v="1"/>
    <s v="Oct"/>
    <x v="1"/>
    <x v="0"/>
    <s v="Order assembled"/>
    <x v="0"/>
    <x v="0"/>
    <x v="1"/>
    <x v="49"/>
    <n v="393.25"/>
  </r>
  <r>
    <s v="AD01-9365"/>
    <x v="1"/>
    <s v="Oct"/>
    <x v="1"/>
    <x v="0"/>
    <s v="Order assembled"/>
    <x v="0"/>
    <x v="0"/>
    <x v="1"/>
    <x v="123"/>
    <n v="384.67"/>
  </r>
  <r>
    <s v="AD01-9362"/>
    <x v="1"/>
    <s v="Oct"/>
    <x v="1"/>
    <x v="0"/>
    <s v="Order assembled"/>
    <x v="0"/>
    <x v="0"/>
    <x v="0"/>
    <x v="188"/>
    <n v="333.19"/>
  </r>
  <r>
    <s v="AD01-9364"/>
    <x v="1"/>
    <s v="Oct"/>
    <x v="1"/>
    <x v="0"/>
    <s v="Order assembled"/>
    <x v="0"/>
    <x v="0"/>
    <x v="0"/>
    <x v="25"/>
    <n v="401.83"/>
  </r>
  <r>
    <s v="AD01-9364"/>
    <x v="1"/>
    <s v="Sep"/>
    <x v="1"/>
    <x v="0"/>
    <s v="Order assembled"/>
    <x v="0"/>
    <x v="0"/>
    <x v="1"/>
    <x v="3"/>
    <n v="406.12"/>
  </r>
  <r>
    <s v="AD01-9361"/>
    <x v="1"/>
    <s v="Sep"/>
    <x v="1"/>
    <x v="0"/>
    <s v="Order assembled"/>
    <x v="0"/>
    <x v="0"/>
    <x v="0"/>
    <x v="2"/>
    <n v="337.48"/>
  </r>
  <r>
    <s v="AD01-9361"/>
    <x v="1"/>
    <s v="Sep"/>
    <x v="1"/>
    <x v="0"/>
    <s v="Order assembled"/>
    <x v="0"/>
    <x v="0"/>
    <x v="0"/>
    <x v="3"/>
    <n v="406.12"/>
  </r>
  <r>
    <s v="AD01-9362"/>
    <x v="1"/>
    <s v="Sep"/>
    <x v="1"/>
    <x v="0"/>
    <s v="Order assembled"/>
    <x v="0"/>
    <x v="0"/>
    <x v="0"/>
    <x v="29"/>
    <n v="303.15999999999997"/>
  </r>
  <r>
    <s v="AD01-9364"/>
    <x v="1"/>
    <s v="Sep"/>
    <x v="1"/>
    <x v="0"/>
    <s v="Order assembled"/>
    <x v="0"/>
    <x v="0"/>
    <x v="0"/>
    <x v="149"/>
    <n v="408.98"/>
  </r>
  <r>
    <s v="AD01-9364"/>
    <x v="1"/>
    <s v="Sep"/>
    <x v="1"/>
    <x v="0"/>
    <s v="Order assembled"/>
    <x v="0"/>
    <x v="0"/>
    <x v="0"/>
    <x v="4"/>
    <n v="526.24"/>
  </r>
  <r>
    <s v="AD01-9364"/>
    <x v="1"/>
    <s v="Sep"/>
    <x v="1"/>
    <x v="0"/>
    <s v="Order assembled"/>
    <x v="0"/>
    <x v="0"/>
    <x v="0"/>
    <x v="149"/>
    <n v="526.24"/>
  </r>
  <r>
    <s v="AD01-9361"/>
    <x v="1"/>
    <s v="Sep"/>
    <x v="1"/>
    <x v="0"/>
    <s v="Order assembled"/>
    <x v="0"/>
    <x v="0"/>
    <x v="0"/>
    <x v="32"/>
    <n v="526.24"/>
  </r>
  <r>
    <s v="AD01-9361"/>
    <x v="1"/>
    <s v="Sep"/>
    <x v="1"/>
    <x v="0"/>
    <s v="Order assembled"/>
    <x v="0"/>
    <x v="0"/>
    <x v="0"/>
    <x v="460"/>
    <n v="1435.72"/>
  </r>
  <r>
    <s v="AD01-9364"/>
    <x v="1"/>
    <s v="Sep"/>
    <x v="1"/>
    <x v="0"/>
    <s v="Order assembled"/>
    <x v="0"/>
    <x v="0"/>
    <x v="0"/>
    <x v="16"/>
    <n v="338.90999999999997"/>
  </r>
  <r>
    <s v="AD01-9364"/>
    <x v="1"/>
    <s v="Sep"/>
    <x v="1"/>
    <x v="0"/>
    <s v="Order assembled"/>
    <x v="0"/>
    <x v="1"/>
    <x v="0"/>
    <x v="40"/>
    <n v="407.55"/>
  </r>
  <r>
    <s v="AD01-9361"/>
    <x v="1"/>
    <s v="Sep"/>
    <x v="1"/>
    <x v="0"/>
    <s v="Order assembled"/>
    <x v="0"/>
    <x v="1"/>
    <x v="0"/>
    <x v="42"/>
    <n v="304.59000000000003"/>
  </r>
  <r>
    <s v="AD01-9361"/>
    <x v="1"/>
    <s v="Sep"/>
    <x v="1"/>
    <x v="0"/>
    <s v="Order assembled"/>
    <x v="0"/>
    <x v="1"/>
    <x v="0"/>
    <x v="20"/>
    <n v="404.69"/>
  </r>
  <r>
    <s v="AD01-9361"/>
    <x v="1"/>
    <s v="Sep"/>
    <x v="1"/>
    <x v="0"/>
    <s v="Order assembled"/>
    <x v="0"/>
    <x v="1"/>
    <x v="0"/>
    <x v="412"/>
    <n v="1122.55"/>
  </r>
  <r>
    <s v="AD01-9361"/>
    <x v="1"/>
    <s v="Sep"/>
    <x v="1"/>
    <x v="0"/>
    <s v="Order assembled"/>
    <x v="0"/>
    <x v="1"/>
    <x v="0"/>
    <x v="332"/>
    <n v="1171.17"/>
  </r>
  <r>
    <s v="AD01-9364"/>
    <x v="1"/>
    <s v="Sep"/>
    <x v="1"/>
    <x v="0"/>
    <s v="Order assembled"/>
    <x v="0"/>
    <x v="1"/>
    <x v="0"/>
    <x v="461"/>
    <n v="1246.96"/>
  </r>
  <r>
    <s v="AD01-9362"/>
    <x v="1"/>
    <s v="Sep"/>
    <x v="1"/>
    <x v="0"/>
    <s v="Order assembled"/>
    <x v="0"/>
    <x v="1"/>
    <x v="1"/>
    <x v="48"/>
    <n v="410.40999999999997"/>
  </r>
  <r>
    <s v="AD01-9362"/>
    <x v="1"/>
    <s v="Sep"/>
    <x v="1"/>
    <x v="0"/>
    <s v="Order assembled"/>
    <x v="0"/>
    <x v="1"/>
    <x v="0"/>
    <x v="72"/>
    <n v="341.77"/>
  </r>
  <r>
    <s v="AD01-9361"/>
    <x v="1"/>
    <s v="Sep"/>
    <x v="1"/>
    <x v="0"/>
    <s v="Order assembled"/>
    <x v="0"/>
    <x v="1"/>
    <x v="0"/>
    <x v="48"/>
    <n v="410.40999999999997"/>
  </r>
  <r>
    <s v="AD01-9362"/>
    <x v="1"/>
    <s v="Apr"/>
    <x v="0"/>
    <x v="1"/>
    <s v="Cancelld"/>
    <x v="1"/>
    <x v="1"/>
    <x v="2"/>
    <x v="320"/>
    <n v="228.8"/>
  </r>
  <r>
    <s v="AD01-9361"/>
    <x v="1"/>
    <s v="Apr"/>
    <x v="0"/>
    <x v="1"/>
    <s v="Cancelld"/>
    <x v="1"/>
    <x v="1"/>
    <x v="2"/>
    <x v="361"/>
    <n v="220.22"/>
  </r>
  <r>
    <s v="AD01-9362"/>
    <x v="1"/>
    <s v="Apr"/>
    <x v="0"/>
    <x v="1"/>
    <s v="Cancelld"/>
    <x v="1"/>
    <x v="1"/>
    <x v="2"/>
    <x v="273"/>
    <n v="211.64"/>
  </r>
  <r>
    <s v="AD01-9362"/>
    <x v="1"/>
    <s v="Apr"/>
    <x v="0"/>
    <x v="1"/>
    <s v="Cancelld"/>
    <x v="1"/>
    <x v="1"/>
    <x v="2"/>
    <x v="365"/>
    <n v="224.51"/>
  </r>
  <r>
    <s v="AD01-9362"/>
    <x v="1"/>
    <s v="Apr"/>
    <x v="0"/>
    <x v="1"/>
    <s v="Cancelld"/>
    <x v="1"/>
    <x v="1"/>
    <x v="2"/>
    <x v="344"/>
    <n v="215.93"/>
  </r>
  <r>
    <s v="AD01-9362"/>
    <x v="1"/>
    <s v="Aug"/>
    <x v="0"/>
    <x v="1"/>
    <s v="Cancelld"/>
    <x v="1"/>
    <x v="1"/>
    <x v="2"/>
    <x v="263"/>
    <n v="490.49"/>
  </r>
  <r>
    <s v="AD01-9364"/>
    <x v="1"/>
    <s v="Dec"/>
    <x v="0"/>
    <x v="1"/>
    <s v="Cancelld"/>
    <x v="1"/>
    <x v="1"/>
    <x v="0"/>
    <x v="5"/>
    <n v="400.4"/>
  </r>
  <r>
    <s v="AD01-9362"/>
    <x v="1"/>
    <s v="Dec"/>
    <x v="0"/>
    <x v="1"/>
    <s v="Cancelld"/>
    <x v="1"/>
    <x v="1"/>
    <x v="0"/>
    <x v="130"/>
    <n v="391.82"/>
  </r>
  <r>
    <s v="AD01-9362"/>
    <x v="1"/>
    <s v="Dec"/>
    <x v="0"/>
    <x v="1"/>
    <s v="Cancelld"/>
    <x v="1"/>
    <x v="1"/>
    <x v="0"/>
    <x v="107"/>
    <n v="383.24"/>
  </r>
  <r>
    <s v="AD01-9362"/>
    <x v="1"/>
    <s v="Dec"/>
    <x v="0"/>
    <x v="1"/>
    <s v="Cancelld"/>
    <x v="1"/>
    <x v="1"/>
    <x v="0"/>
    <x v="183"/>
    <n v="396.11"/>
  </r>
  <r>
    <s v="AD01-9362"/>
    <x v="1"/>
    <s v="Dec"/>
    <x v="0"/>
    <x v="1"/>
    <s v="Cancelld"/>
    <x v="1"/>
    <x v="1"/>
    <x v="0"/>
    <x v="140"/>
    <n v="387.53"/>
  </r>
  <r>
    <s v="AD01-9361"/>
    <x v="1"/>
    <s v="Dec"/>
    <x v="0"/>
    <x v="1"/>
    <s v="Cancelld"/>
    <x v="1"/>
    <x v="0"/>
    <x v="0"/>
    <x v="119"/>
    <n v="378.95"/>
  </r>
  <r>
    <s v="AD01-9364"/>
    <x v="1"/>
    <s v="Feb"/>
    <x v="0"/>
    <x v="1"/>
    <s v="Cancelld"/>
    <x v="1"/>
    <x v="0"/>
    <x v="0"/>
    <x v="34"/>
    <n v="271.7"/>
  </r>
  <r>
    <s v="AD01-9361"/>
    <x v="1"/>
    <s v="Feb"/>
    <x v="0"/>
    <x v="1"/>
    <s v="Cancelld"/>
    <x v="1"/>
    <x v="0"/>
    <x v="0"/>
    <x v="219"/>
    <n v="263.12"/>
  </r>
  <r>
    <s v="AD01-9364"/>
    <x v="1"/>
    <s v="Feb"/>
    <x v="0"/>
    <x v="1"/>
    <s v="Cancelld"/>
    <x v="1"/>
    <x v="0"/>
    <x v="0"/>
    <x v="68"/>
    <n v="275.99"/>
  </r>
  <r>
    <s v="AD01-9364"/>
    <x v="1"/>
    <s v="Feb"/>
    <x v="0"/>
    <x v="1"/>
    <s v="Cancelld"/>
    <x v="1"/>
    <x v="0"/>
    <x v="0"/>
    <x v="47"/>
    <n v="267.40999999999997"/>
  </r>
  <r>
    <s v="AD01-9361"/>
    <x v="1"/>
    <s v="Feb"/>
    <x v="0"/>
    <x v="1"/>
    <s v="Cancelld"/>
    <x v="1"/>
    <x v="0"/>
    <x v="0"/>
    <x v="231"/>
    <n v="258.83"/>
  </r>
  <r>
    <s v="AD01-9362"/>
    <x v="1"/>
    <s v="Jan"/>
    <x v="0"/>
    <x v="1"/>
    <s v="Cancelld"/>
    <x v="1"/>
    <x v="0"/>
    <x v="0"/>
    <x v="6"/>
    <n v="297.44"/>
  </r>
  <r>
    <s v="AD01-9361"/>
    <x v="1"/>
    <s v="Jan"/>
    <x v="0"/>
    <x v="1"/>
    <s v="Cancelld"/>
    <x v="1"/>
    <x v="0"/>
    <x v="0"/>
    <x v="170"/>
    <n v="288.86"/>
  </r>
  <r>
    <s v="AD01-9364"/>
    <x v="1"/>
    <s v="Jan"/>
    <x v="0"/>
    <x v="1"/>
    <s v="Cancelld"/>
    <x v="1"/>
    <x v="0"/>
    <x v="0"/>
    <x v="131"/>
    <n v="280.27999999999997"/>
  </r>
  <r>
    <s v="AD01-9362"/>
    <x v="1"/>
    <s v="Jan"/>
    <x v="0"/>
    <x v="1"/>
    <s v="Cancelld"/>
    <x v="1"/>
    <x v="0"/>
    <x v="0"/>
    <x v="184"/>
    <n v="293.14999999999998"/>
  </r>
  <r>
    <s v="AD01-9361"/>
    <x v="1"/>
    <s v="Jan"/>
    <x v="0"/>
    <x v="1"/>
    <s v="Cancelld"/>
    <x v="1"/>
    <x v="0"/>
    <x v="0"/>
    <x v="141"/>
    <n v="284.57"/>
  </r>
  <r>
    <s v="AD01-9363"/>
    <x v="1"/>
    <s v="Jul"/>
    <x v="0"/>
    <x v="1"/>
    <s v="Cancelld"/>
    <x v="1"/>
    <x v="0"/>
    <x v="2"/>
    <x v="272"/>
    <n v="511.94"/>
  </r>
  <r>
    <s v="AD01-9361"/>
    <x v="1"/>
    <s v="Jul"/>
    <x v="0"/>
    <x v="1"/>
    <s v="Cancelld"/>
    <x v="1"/>
    <x v="0"/>
    <x v="2"/>
    <x v="244"/>
    <n v="503.36"/>
  </r>
  <r>
    <s v="AD01-9362"/>
    <x v="1"/>
    <s v="Jul"/>
    <x v="0"/>
    <x v="1"/>
    <s v="Cancelld"/>
    <x v="1"/>
    <x v="0"/>
    <x v="2"/>
    <x v="255"/>
    <n v="494.78"/>
  </r>
  <r>
    <s v="AD01-9362"/>
    <x v="1"/>
    <s v="Jul"/>
    <x v="0"/>
    <x v="1"/>
    <s v="Cancelld"/>
    <x v="1"/>
    <x v="0"/>
    <x v="2"/>
    <x v="261"/>
    <n v="507.65"/>
  </r>
  <r>
    <s v="AD01-9364"/>
    <x v="1"/>
    <s v="Jul"/>
    <x v="0"/>
    <x v="1"/>
    <s v="Cancelld"/>
    <x v="1"/>
    <x v="0"/>
    <x v="2"/>
    <x v="262"/>
    <n v="499.07"/>
  </r>
  <r>
    <s v="AD01-9362"/>
    <x v="1"/>
    <s v="Jun"/>
    <x v="0"/>
    <x v="1"/>
    <s v="Cancelld"/>
    <x v="1"/>
    <x v="0"/>
    <x v="2"/>
    <x v="235"/>
    <n v="185.9"/>
  </r>
  <r>
    <s v="AD01-9362"/>
    <x v="1"/>
    <s v="Jun"/>
    <x v="0"/>
    <x v="1"/>
    <s v="Cancelld"/>
    <x v="1"/>
    <x v="0"/>
    <x v="2"/>
    <x v="90"/>
    <n v="529.1"/>
  </r>
  <r>
    <s v="AD01-9361"/>
    <x v="1"/>
    <s v="Jun"/>
    <x v="0"/>
    <x v="1"/>
    <s v="Cancelld"/>
    <x v="1"/>
    <x v="0"/>
    <x v="2"/>
    <x v="285"/>
    <n v="520.52"/>
  </r>
  <r>
    <s v="AD01-9361"/>
    <x v="1"/>
    <s v="Jun"/>
    <x v="0"/>
    <x v="1"/>
    <s v="Cancelld"/>
    <x v="1"/>
    <x v="0"/>
    <x v="2"/>
    <x v="366"/>
    <n v="181.61"/>
  </r>
  <r>
    <s v="AD01-9362"/>
    <x v="1"/>
    <s v="Jun"/>
    <x v="0"/>
    <x v="1"/>
    <s v="Cancelld"/>
    <x v="1"/>
    <x v="0"/>
    <x v="2"/>
    <x v="355"/>
    <n v="524.80999999999995"/>
  </r>
  <r>
    <s v="AD01-9361"/>
    <x v="1"/>
    <s v="Jun"/>
    <x v="0"/>
    <x v="1"/>
    <s v="Cancelld"/>
    <x v="1"/>
    <x v="0"/>
    <x v="2"/>
    <x v="350"/>
    <n v="516.23"/>
  </r>
  <r>
    <s v="AD01-9362"/>
    <x v="1"/>
    <s v="Mar"/>
    <x v="0"/>
    <x v="1"/>
    <s v="Cancelld"/>
    <x v="1"/>
    <x v="0"/>
    <x v="0"/>
    <x v="204"/>
    <n v="254.54"/>
  </r>
  <r>
    <s v="AD01-9362"/>
    <x v="1"/>
    <s v="Mar"/>
    <x v="0"/>
    <x v="1"/>
    <s v="Cancelld"/>
    <x v="1"/>
    <x v="0"/>
    <x v="0"/>
    <x v="191"/>
    <n v="245.95999999999998"/>
  </r>
  <r>
    <s v="AD01-9363"/>
    <x v="1"/>
    <s v="Mar"/>
    <x v="0"/>
    <x v="1"/>
    <s v="Cancelld"/>
    <x v="1"/>
    <x v="0"/>
    <x v="0"/>
    <x v="58"/>
    <n v="237.38"/>
  </r>
  <r>
    <s v="AD01-9362"/>
    <x v="1"/>
    <s v="Mar"/>
    <x v="0"/>
    <x v="1"/>
    <s v="Cancelld"/>
    <x v="1"/>
    <x v="0"/>
    <x v="0"/>
    <x v="213"/>
    <n v="250.25"/>
  </r>
  <r>
    <s v="AD01-9361"/>
    <x v="1"/>
    <s v="Mar"/>
    <x v="0"/>
    <x v="1"/>
    <s v="Cancelld"/>
    <x v="1"/>
    <x v="0"/>
    <x v="0"/>
    <x v="200"/>
    <n v="241.67000000000002"/>
  </r>
  <r>
    <s v="AD01-9362"/>
    <x v="1"/>
    <s v="Mar"/>
    <x v="0"/>
    <x v="1"/>
    <s v="Cancelld"/>
    <x v="1"/>
    <x v="0"/>
    <x v="2"/>
    <x v="324"/>
    <n v="233.09"/>
  </r>
  <r>
    <s v="AD01-9363"/>
    <x v="1"/>
    <s v="May"/>
    <x v="0"/>
    <x v="1"/>
    <s v="Cancelld"/>
    <x v="1"/>
    <x v="0"/>
    <x v="2"/>
    <x v="257"/>
    <n v="203.06"/>
  </r>
  <r>
    <s v="AD01-9362"/>
    <x v="1"/>
    <s v="May"/>
    <x v="0"/>
    <x v="1"/>
    <s v="Cancelld"/>
    <x v="1"/>
    <x v="0"/>
    <x v="2"/>
    <x v="291"/>
    <n v="194.48"/>
  </r>
  <r>
    <s v="AD01-9361"/>
    <x v="1"/>
    <s v="May"/>
    <x v="0"/>
    <x v="1"/>
    <s v="Cancelld"/>
    <x v="1"/>
    <x v="0"/>
    <x v="2"/>
    <x v="340"/>
    <n v="207.35"/>
  </r>
  <r>
    <s v="AD01-9361"/>
    <x v="1"/>
    <s v="May"/>
    <x v="0"/>
    <x v="1"/>
    <s v="Cancelld"/>
    <x v="1"/>
    <x v="0"/>
    <x v="2"/>
    <x v="330"/>
    <n v="198.76999999999998"/>
  </r>
  <r>
    <s v="AD01-9361"/>
    <x v="1"/>
    <s v="May"/>
    <x v="0"/>
    <x v="1"/>
    <s v="Cancelld"/>
    <x v="1"/>
    <x v="0"/>
    <x v="2"/>
    <x v="325"/>
    <n v="190.19"/>
  </r>
  <r>
    <s v="AD01-9362"/>
    <x v="1"/>
    <s v="Nov"/>
    <x v="0"/>
    <x v="1"/>
    <s v="Cancelld"/>
    <x v="1"/>
    <x v="0"/>
    <x v="0"/>
    <x v="76"/>
    <n v="417.56"/>
  </r>
  <r>
    <s v="AD01-9362"/>
    <x v="1"/>
    <s v="Nov"/>
    <x v="0"/>
    <x v="1"/>
    <s v="Cancelld"/>
    <x v="1"/>
    <x v="0"/>
    <x v="0"/>
    <x v="149"/>
    <n v="408.98"/>
  </r>
  <r>
    <s v="AD01-9362"/>
    <x v="1"/>
    <s v="Nov"/>
    <x v="0"/>
    <x v="1"/>
    <s v="Cancelld"/>
    <x v="1"/>
    <x v="0"/>
    <x v="0"/>
    <x v="85"/>
    <n v="421.85"/>
  </r>
  <r>
    <s v="AD01-9361"/>
    <x v="1"/>
    <s v="Nov"/>
    <x v="0"/>
    <x v="1"/>
    <s v="Cancelld"/>
    <x v="1"/>
    <x v="0"/>
    <x v="0"/>
    <x v="160"/>
    <n v="413.27"/>
  </r>
  <r>
    <s v="AD01-9362"/>
    <x v="1"/>
    <s v="Nov"/>
    <x v="0"/>
    <x v="1"/>
    <s v="Cancelld"/>
    <x v="1"/>
    <x v="0"/>
    <x v="0"/>
    <x v="20"/>
    <n v="404.69"/>
  </r>
  <r>
    <s v="AD01-9362"/>
    <x v="1"/>
    <s v="Oct"/>
    <x v="0"/>
    <x v="1"/>
    <s v="Cancelld"/>
    <x v="1"/>
    <x v="0"/>
    <x v="0"/>
    <x v="243"/>
    <n v="443.3"/>
  </r>
  <r>
    <s v="AD01-9364"/>
    <x v="1"/>
    <s v="Oct"/>
    <x v="0"/>
    <x v="1"/>
    <s v="Cancelld"/>
    <x v="1"/>
    <x v="0"/>
    <x v="0"/>
    <x v="236"/>
    <n v="434.72"/>
  </r>
  <r>
    <s v="AD01-9361"/>
    <x v="1"/>
    <s v="Oct"/>
    <x v="0"/>
    <x v="1"/>
    <s v="Cancelld"/>
    <x v="1"/>
    <x v="0"/>
    <x v="0"/>
    <x v="92"/>
    <n v="426.14"/>
  </r>
  <r>
    <s v="AD01-9361"/>
    <x v="1"/>
    <s v="Oct"/>
    <x v="0"/>
    <x v="1"/>
    <s v="Cancelld"/>
    <x v="1"/>
    <x v="0"/>
    <x v="0"/>
    <x v="315"/>
    <n v="439.01"/>
  </r>
  <r>
    <s v="AD01-9365"/>
    <x v="1"/>
    <s v="Oct"/>
    <x v="0"/>
    <x v="1"/>
    <s v="Cancelld"/>
    <x v="1"/>
    <x v="0"/>
    <x v="0"/>
    <x v="312"/>
    <n v="430.43"/>
  </r>
  <r>
    <s v="AD01-9361"/>
    <x v="1"/>
    <s v="Apr"/>
    <x v="1"/>
    <x v="1"/>
    <s v="Cancelld"/>
    <x v="1"/>
    <x v="0"/>
    <x v="2"/>
    <x v="1"/>
    <n v="491.91999999999996"/>
  </r>
  <r>
    <s v="AD01-9362"/>
    <x v="1"/>
    <s v="Apr"/>
    <x v="1"/>
    <x v="1"/>
    <s v="Cancelld"/>
    <x v="1"/>
    <x v="0"/>
    <x v="2"/>
    <x v="126"/>
    <n v="449.02"/>
  </r>
  <r>
    <s v="AD01-9361"/>
    <x v="1"/>
    <s v="Apr"/>
    <x v="1"/>
    <x v="1"/>
    <s v="Cancelld"/>
    <x v="1"/>
    <x v="0"/>
    <x v="2"/>
    <x v="256"/>
    <n v="486.2"/>
  </r>
  <r>
    <s v="AD01-9362"/>
    <x v="1"/>
    <s v="Apr"/>
    <x v="1"/>
    <x v="1"/>
    <s v="Cancelld"/>
    <x v="1"/>
    <x v="0"/>
    <x v="2"/>
    <x v="257"/>
    <n v="203.06"/>
  </r>
  <r>
    <s v="AD01-9362"/>
    <x v="1"/>
    <s v="Apr"/>
    <x v="1"/>
    <x v="1"/>
    <s v="Cancelld"/>
    <x v="1"/>
    <x v="0"/>
    <x v="2"/>
    <x v="274"/>
    <n v="451.88"/>
  </r>
  <r>
    <s v="AD01-9364"/>
    <x v="1"/>
    <s v="Apr"/>
    <x v="1"/>
    <x v="1"/>
    <s v="Cancelld"/>
    <x v="1"/>
    <x v="0"/>
    <x v="2"/>
    <x v="356"/>
    <n v="1176.8899999999999"/>
  </r>
  <r>
    <s v="AD01-9362"/>
    <x v="1"/>
    <s v="Apr"/>
    <x v="1"/>
    <x v="1"/>
    <s v="Cancelld"/>
    <x v="1"/>
    <x v="0"/>
    <x v="2"/>
    <x v="294"/>
    <n v="1224.08"/>
  </r>
  <r>
    <s v="AD01-9362"/>
    <x v="1"/>
    <s v="Apr"/>
    <x v="1"/>
    <x v="1"/>
    <s v="Cancelld"/>
    <x v="1"/>
    <x v="0"/>
    <x v="2"/>
    <x v="462"/>
    <n v="1299.8699999999999"/>
  </r>
  <r>
    <s v="AD01-9362"/>
    <x v="1"/>
    <s v="Apr"/>
    <x v="1"/>
    <x v="1"/>
    <s v="Cancelld"/>
    <x v="1"/>
    <x v="0"/>
    <x v="2"/>
    <x v="307"/>
    <n v="526.24"/>
  </r>
  <r>
    <s v="AD01-9362"/>
    <x v="1"/>
    <s v="Apr"/>
    <x v="1"/>
    <x v="1"/>
    <s v="Cancelld"/>
    <x v="1"/>
    <x v="0"/>
    <x v="2"/>
    <x v="260"/>
    <n v="526.24"/>
  </r>
  <r>
    <s v="AD01-9364"/>
    <x v="1"/>
    <s v="Apr"/>
    <x v="1"/>
    <x v="1"/>
    <s v="Cancelld"/>
    <x v="1"/>
    <x v="0"/>
    <x v="2"/>
    <x v="137"/>
    <n v="450.45"/>
  </r>
  <r>
    <s v="AD01-9362"/>
    <x v="1"/>
    <s v="Apr"/>
    <x v="1"/>
    <x v="1"/>
    <s v="Cancelld"/>
    <x v="1"/>
    <x v="0"/>
    <x v="2"/>
    <x v="263"/>
    <n v="490.49"/>
  </r>
  <r>
    <s v="AD01-9362"/>
    <x v="1"/>
    <s v="Apr"/>
    <x v="1"/>
    <x v="1"/>
    <s v="Cancelld"/>
    <x v="1"/>
    <x v="0"/>
    <x v="2"/>
    <x v="340"/>
    <n v="207.35"/>
  </r>
  <r>
    <s v="AD01-9361"/>
    <x v="1"/>
    <s v="Apr"/>
    <x v="1"/>
    <x v="1"/>
    <s v="Cancelld"/>
    <x v="1"/>
    <x v="0"/>
    <x v="2"/>
    <x v="314"/>
    <n v="447.59000000000003"/>
  </r>
  <r>
    <s v="AD01-9362"/>
    <x v="1"/>
    <s v="Apr"/>
    <x v="1"/>
    <x v="1"/>
    <s v="Cancelld"/>
    <x v="1"/>
    <x v="0"/>
    <x v="2"/>
    <x v="463"/>
    <n v="1189.76"/>
  </r>
  <r>
    <s v="AD01-9361"/>
    <x v="1"/>
    <s v="Apr"/>
    <x v="1"/>
    <x v="1"/>
    <s v="Cancelld"/>
    <x v="1"/>
    <x v="0"/>
    <x v="2"/>
    <x v="444"/>
    <n v="1236.95"/>
  </r>
  <r>
    <s v="AD01-9361"/>
    <x v="1"/>
    <s v="Apr"/>
    <x v="1"/>
    <x v="1"/>
    <s v="Cancelld"/>
    <x v="1"/>
    <x v="0"/>
    <x v="2"/>
    <x v="281"/>
    <n v="453.31"/>
  </r>
  <r>
    <s v="AD01-9361"/>
    <x v="1"/>
    <s v="Aug"/>
    <x v="1"/>
    <x v="1"/>
    <s v="Cancelld"/>
    <x v="1"/>
    <x v="0"/>
    <x v="2"/>
    <x v="125"/>
    <n v="457.6"/>
  </r>
  <r>
    <s v="AD01-9362"/>
    <x v="1"/>
    <s v="Aug"/>
    <x v="1"/>
    <x v="1"/>
    <s v="Cancelld"/>
    <x v="1"/>
    <x v="0"/>
    <x v="2"/>
    <x v="146"/>
    <n v="526.24"/>
  </r>
  <r>
    <s v="AD01-9362"/>
    <x v="1"/>
    <s v="Aug"/>
    <x v="1"/>
    <x v="1"/>
    <s v="Cancelld"/>
    <x v="1"/>
    <x v="0"/>
    <x v="2"/>
    <x v="89"/>
    <n v="423.28"/>
  </r>
  <r>
    <s v="AD01-9365"/>
    <x v="1"/>
    <s v="Aug"/>
    <x v="0"/>
    <x v="1"/>
    <s v="Cancelld"/>
    <x v="1"/>
    <x v="0"/>
    <x v="2"/>
    <x v="297"/>
    <n v="460.46000000000004"/>
  </r>
  <r>
    <s v="AD01-9362"/>
    <x v="1"/>
    <s v="Aug"/>
    <x v="0"/>
    <x v="1"/>
    <s v="Cancelld"/>
    <x v="1"/>
    <x v="0"/>
    <x v="2"/>
    <x v="90"/>
    <n v="529.1"/>
  </r>
  <r>
    <s v="AD01-9362"/>
    <x v="1"/>
    <s v="Aug"/>
    <x v="0"/>
    <x v="1"/>
    <s v="Cancelld"/>
    <x v="1"/>
    <x v="0"/>
    <x v="2"/>
    <x v="76"/>
    <n v="417.56"/>
  </r>
  <r>
    <s v="AD01-9364"/>
    <x v="1"/>
    <s v="Aug"/>
    <x v="0"/>
    <x v="1"/>
    <s v="Cancelld"/>
    <x v="1"/>
    <x v="1"/>
    <x v="2"/>
    <x v="247"/>
    <n v="1229.8"/>
  </r>
  <r>
    <s v="AD01-9362"/>
    <x v="1"/>
    <s v="Aug"/>
    <x v="0"/>
    <x v="1"/>
    <s v="Cancelld"/>
    <x v="1"/>
    <x v="1"/>
    <x v="2"/>
    <x v="464"/>
    <n v="1305.5899999999999"/>
  </r>
  <r>
    <s v="AD01-9362"/>
    <x v="1"/>
    <s v="Aug"/>
    <x v="0"/>
    <x v="1"/>
    <s v="Cancelld"/>
    <x v="1"/>
    <x v="1"/>
    <x v="2"/>
    <x v="441"/>
    <n v="526.24"/>
  </r>
  <r>
    <s v="AD01-9364"/>
    <x v="1"/>
    <s v="Aug"/>
    <x v="0"/>
    <x v="1"/>
    <s v="Cancelld"/>
    <x v="1"/>
    <x v="1"/>
    <x v="2"/>
    <x v="155"/>
    <n v="526.24"/>
  </r>
  <r>
    <s v="AD01-9362"/>
    <x v="1"/>
    <s v="Aug"/>
    <x v="0"/>
    <x v="1"/>
    <s v="Cancelld"/>
    <x v="1"/>
    <x v="1"/>
    <x v="2"/>
    <x v="313"/>
    <n v="456.16999999999996"/>
  </r>
  <r>
    <s v="AD01-9362"/>
    <x v="1"/>
    <s v="Aug"/>
    <x v="0"/>
    <x v="1"/>
    <s v="Cancelld"/>
    <x v="1"/>
    <x v="1"/>
    <x v="2"/>
    <x v="355"/>
    <n v="524.80999999999995"/>
  </r>
  <r>
    <s v="AD01-9365"/>
    <x v="1"/>
    <s v="Aug"/>
    <x v="0"/>
    <x v="1"/>
    <s v="Cancelld"/>
    <x v="1"/>
    <x v="1"/>
    <x v="2"/>
    <x v="85"/>
    <n v="421.85"/>
  </r>
  <r>
    <s v="AD01-9362"/>
    <x v="1"/>
    <s v="Aug"/>
    <x v="0"/>
    <x v="1"/>
    <s v="Cancelld"/>
    <x v="1"/>
    <x v="1"/>
    <x v="2"/>
    <x v="465"/>
    <n v="1194.05"/>
  </r>
  <r>
    <s v="AD01-9361"/>
    <x v="1"/>
    <s v="Aug"/>
    <x v="0"/>
    <x v="1"/>
    <s v="Cancelld"/>
    <x v="1"/>
    <x v="1"/>
    <x v="2"/>
    <x v="87"/>
    <n v="418.99"/>
  </r>
  <r>
    <s v="AD01-9364"/>
    <x v="1"/>
    <s v="Dec"/>
    <x v="0"/>
    <x v="1"/>
    <s v="Cancelld"/>
    <x v="1"/>
    <x v="1"/>
    <x v="2"/>
    <x v="105"/>
    <n v="431.86"/>
  </r>
  <r>
    <s v="AD01-9361"/>
    <x v="1"/>
    <s v="Dec"/>
    <x v="0"/>
    <x v="1"/>
    <s v="Cancelld"/>
    <x v="1"/>
    <x v="1"/>
    <x v="2"/>
    <x v="1"/>
    <n v="491.91999999999996"/>
  </r>
  <r>
    <s v="AD01-9363"/>
    <x v="1"/>
    <s v="Dec"/>
    <x v="0"/>
    <x v="1"/>
    <s v="Cancelld"/>
    <x v="1"/>
    <x v="1"/>
    <x v="2"/>
    <x v="92"/>
    <n v="426.14"/>
  </r>
  <r>
    <s v="AD01-9362"/>
    <x v="1"/>
    <s v="Dec"/>
    <x v="0"/>
    <x v="1"/>
    <s v="Cancelld"/>
    <x v="1"/>
    <x v="1"/>
    <x v="2"/>
    <x v="255"/>
    <n v="494.78"/>
  </r>
  <r>
    <s v="AD01-9361"/>
    <x v="1"/>
    <s v="Dec"/>
    <x v="0"/>
    <x v="1"/>
    <s v="Cancelld"/>
    <x v="1"/>
    <x v="1"/>
    <x v="2"/>
    <x v="466"/>
    <n v="1186.9000000000001"/>
  </r>
  <r>
    <s v="AD01-9362"/>
    <x v="1"/>
    <s v="Dec"/>
    <x v="0"/>
    <x v="1"/>
    <s v="Cancelld"/>
    <x v="1"/>
    <x v="1"/>
    <x v="2"/>
    <x v="305"/>
    <n v="1234.0899999999999"/>
  </r>
  <r>
    <s v="AD01-9364"/>
    <x v="1"/>
    <s v="Dec"/>
    <x v="0"/>
    <x v="1"/>
    <s v="Cancelld"/>
    <x v="1"/>
    <x v="1"/>
    <x v="2"/>
    <x v="467"/>
    <n v="1317.03"/>
  </r>
  <r>
    <s v="AD01-9362"/>
    <x v="1"/>
    <s v="Dec"/>
    <x v="0"/>
    <x v="1"/>
    <s v="Cancelld"/>
    <x v="1"/>
    <x v="1"/>
    <x v="2"/>
    <x v="468"/>
    <n v="1318.46"/>
  </r>
  <r>
    <s v="AD01-9362"/>
    <x v="1"/>
    <s v="Dec"/>
    <x v="0"/>
    <x v="1"/>
    <s v="Cancelld"/>
    <x v="1"/>
    <x v="1"/>
    <x v="2"/>
    <x v="14"/>
    <n v="493.35"/>
  </r>
  <r>
    <s v="AD01-9364"/>
    <x v="1"/>
    <s v="Dec"/>
    <x v="0"/>
    <x v="1"/>
    <s v="Cancelld"/>
    <x v="1"/>
    <x v="1"/>
    <x v="2"/>
    <x v="81"/>
    <n v="356.07"/>
  </r>
  <r>
    <s v="AD01-9361"/>
    <x v="1"/>
    <s v="Dec"/>
    <x v="0"/>
    <x v="1"/>
    <s v="Cancelld"/>
    <x v="1"/>
    <x v="1"/>
    <x v="2"/>
    <x v="158"/>
    <n v="347.49"/>
  </r>
  <r>
    <s v="AD01-9363"/>
    <x v="1"/>
    <s v="Dec"/>
    <x v="0"/>
    <x v="1"/>
    <s v="Cancelld"/>
    <x v="1"/>
    <x v="1"/>
    <x v="2"/>
    <x v="16"/>
    <n v="338.90999999999997"/>
  </r>
  <r>
    <s v="AD01-9364"/>
    <x v="1"/>
    <s v="Dec"/>
    <x v="0"/>
    <x v="1"/>
    <s v="Cancelld"/>
    <x v="1"/>
    <x v="1"/>
    <x v="2"/>
    <x v="312"/>
    <n v="430.43"/>
  </r>
  <r>
    <s v="AD01-9364"/>
    <x v="1"/>
    <s v="Dec"/>
    <x v="0"/>
    <x v="1"/>
    <s v="Cancelld"/>
    <x v="1"/>
    <x v="1"/>
    <x v="2"/>
    <x v="262"/>
    <n v="499.07"/>
  </r>
  <r>
    <s v="AD01-9362"/>
    <x v="1"/>
    <s v="Dec"/>
    <x v="0"/>
    <x v="1"/>
    <s v="Cancelld"/>
    <x v="1"/>
    <x v="1"/>
    <x v="2"/>
    <x v="469"/>
    <n v="1199.77"/>
  </r>
  <r>
    <s v="AD01-9362"/>
    <x v="1"/>
    <s v="Dec"/>
    <x v="0"/>
    <x v="1"/>
    <s v="Cancelld"/>
    <x v="1"/>
    <x v="1"/>
    <x v="2"/>
    <x v="461"/>
    <n v="1246.96"/>
  </r>
  <r>
    <s v="AD01-9361"/>
    <x v="1"/>
    <s v="Feb"/>
    <x v="0"/>
    <x v="1"/>
    <s v="Cancelld"/>
    <x v="1"/>
    <x v="1"/>
    <x v="2"/>
    <x v="352"/>
    <n v="217.36"/>
  </r>
  <r>
    <s v="AD01-9361"/>
    <x v="1"/>
    <s v="Feb"/>
    <x v="0"/>
    <x v="1"/>
    <s v="Cancelld"/>
    <x v="1"/>
    <x v="1"/>
    <x v="2"/>
    <x v="166"/>
    <n v="466.18"/>
  </r>
  <r>
    <s v="AD01-9362"/>
    <x v="1"/>
    <s v="Feb"/>
    <x v="0"/>
    <x v="1"/>
    <s v="Cancelld"/>
    <x v="1"/>
    <x v="1"/>
    <x v="2"/>
    <x v="244"/>
    <n v="503.36"/>
  </r>
  <r>
    <s v="AD01-9364"/>
    <x v="1"/>
    <s v="Feb"/>
    <x v="0"/>
    <x v="1"/>
    <s v="Cancelld"/>
    <x v="1"/>
    <x v="1"/>
    <x v="2"/>
    <x v="361"/>
    <n v="220.22"/>
  </r>
  <r>
    <s v="AD01-9361"/>
    <x v="1"/>
    <s v="Feb"/>
    <x v="0"/>
    <x v="1"/>
    <s v="Cancelld"/>
    <x v="1"/>
    <x v="1"/>
    <x v="2"/>
    <x v="234"/>
    <n v="469.03999999999996"/>
  </r>
  <r>
    <s v="AD01-9362"/>
    <x v="1"/>
    <s v="Feb"/>
    <x v="0"/>
    <x v="1"/>
    <s v="Cancelld"/>
    <x v="1"/>
    <x v="1"/>
    <x v="2"/>
    <x v="326"/>
    <n v="1174.03"/>
  </r>
  <r>
    <s v="AD01-9364"/>
    <x v="1"/>
    <s v="Feb"/>
    <x v="0"/>
    <x v="1"/>
    <s v="Cancelld"/>
    <x v="1"/>
    <x v="1"/>
    <x v="2"/>
    <x v="278"/>
    <n v="1221.22"/>
  </r>
  <r>
    <s v="AD01-9363"/>
    <x v="1"/>
    <s v="Feb"/>
    <x v="0"/>
    <x v="1"/>
    <s v="Cancelld"/>
    <x v="1"/>
    <x v="1"/>
    <x v="2"/>
    <x v="470"/>
    <n v="1298.44"/>
  </r>
  <r>
    <s v="AD01-9363"/>
    <x v="1"/>
    <s v="Feb"/>
    <x v="0"/>
    <x v="1"/>
    <s v="Cancelld"/>
    <x v="1"/>
    <x v="1"/>
    <x v="2"/>
    <x v="310"/>
    <n v="526.24"/>
  </r>
  <r>
    <s v="AD01-9361"/>
    <x v="1"/>
    <s v="Feb"/>
    <x v="0"/>
    <x v="1"/>
    <s v="Cancelld"/>
    <x v="1"/>
    <x v="1"/>
    <x v="2"/>
    <x v="386"/>
    <n v="526.24"/>
  </r>
  <r>
    <s v="AD01-9362"/>
    <x v="1"/>
    <s v="Feb"/>
    <x v="0"/>
    <x v="1"/>
    <s v="Cancelld"/>
    <x v="1"/>
    <x v="1"/>
    <x v="2"/>
    <x v="178"/>
    <n v="467.61"/>
  </r>
  <r>
    <s v="AD01-9361"/>
    <x v="1"/>
    <s v="Feb"/>
    <x v="0"/>
    <x v="1"/>
    <s v="Cancelld"/>
    <x v="1"/>
    <x v="1"/>
    <x v="2"/>
    <x v="261"/>
    <n v="507.65"/>
  </r>
  <r>
    <s v="AD01-9362"/>
    <x v="1"/>
    <s v="Feb"/>
    <x v="0"/>
    <x v="1"/>
    <s v="Cancelld"/>
    <x v="1"/>
    <x v="0"/>
    <x v="2"/>
    <x v="318"/>
    <n v="464.75"/>
  </r>
  <r>
    <s v="AD01-9361"/>
    <x v="1"/>
    <s v="Feb"/>
    <x v="0"/>
    <x v="1"/>
    <s v="Cancelld"/>
    <x v="1"/>
    <x v="0"/>
    <x v="2"/>
    <x v="466"/>
    <n v="1186.9000000000001"/>
  </r>
  <r>
    <s v="AD01-9364"/>
    <x v="1"/>
    <s v="Feb"/>
    <x v="0"/>
    <x v="1"/>
    <s v="Cancelld"/>
    <x v="1"/>
    <x v="0"/>
    <x v="2"/>
    <x v="305"/>
    <n v="1234.0899999999999"/>
  </r>
  <r>
    <s v="AD01-9362"/>
    <x v="1"/>
    <s v="Jan"/>
    <x v="0"/>
    <x v="1"/>
    <s v="Cancelld"/>
    <x v="1"/>
    <x v="0"/>
    <x v="2"/>
    <x v="148"/>
    <n v="509.08"/>
  </r>
  <r>
    <s v="AD01-9361"/>
    <x v="1"/>
    <s v="Jan"/>
    <x v="0"/>
    <x v="1"/>
    <s v="Cancelld"/>
    <x v="1"/>
    <x v="0"/>
    <x v="2"/>
    <x v="319"/>
    <n v="225.94"/>
  </r>
  <r>
    <s v="AD01-9362"/>
    <x v="1"/>
    <s v="Jan"/>
    <x v="0"/>
    <x v="1"/>
    <s v="Cancelld"/>
    <x v="1"/>
    <x v="0"/>
    <x v="2"/>
    <x v="165"/>
    <n v="474.76"/>
  </r>
  <r>
    <s v="AD01-9362"/>
    <x v="1"/>
    <s v="Jan"/>
    <x v="0"/>
    <x v="1"/>
    <s v="Cancelld"/>
    <x v="1"/>
    <x v="0"/>
    <x v="2"/>
    <x v="272"/>
    <n v="511.94"/>
  </r>
  <r>
    <s v="AD01-9362"/>
    <x v="1"/>
    <s v="Jan"/>
    <x v="0"/>
    <x v="1"/>
    <s v="Cancelld"/>
    <x v="1"/>
    <x v="0"/>
    <x v="2"/>
    <x v="320"/>
    <n v="228.8"/>
  </r>
  <r>
    <s v="AD01-9363"/>
    <x v="1"/>
    <s v="Jan"/>
    <x v="0"/>
    <x v="1"/>
    <s v="Cancelld"/>
    <x v="1"/>
    <x v="0"/>
    <x v="2"/>
    <x v="249"/>
    <n v="477.62"/>
  </r>
  <r>
    <s v="AD01-9362"/>
    <x v="1"/>
    <s v="Jan"/>
    <x v="0"/>
    <x v="1"/>
    <s v="Cancelld"/>
    <x v="1"/>
    <x v="0"/>
    <x v="2"/>
    <x v="360"/>
    <n v="1172.5999999999999"/>
  </r>
  <r>
    <s v="AD01-9362"/>
    <x v="1"/>
    <s v="Jan"/>
    <x v="0"/>
    <x v="1"/>
    <s v="Cancelld"/>
    <x v="1"/>
    <x v="0"/>
    <x v="2"/>
    <x v="471"/>
    <n v="1297.01"/>
  </r>
  <r>
    <s v="AD01-9362"/>
    <x v="1"/>
    <s v="Jan"/>
    <x v="0"/>
    <x v="1"/>
    <s v="Cancelld"/>
    <x v="1"/>
    <x v="0"/>
    <x v="2"/>
    <x v="247"/>
    <n v="526.24"/>
  </r>
  <r>
    <s v="AD01-9361"/>
    <x v="1"/>
    <s v="Jan"/>
    <x v="0"/>
    <x v="1"/>
    <s v="Cancelld"/>
    <x v="1"/>
    <x v="0"/>
    <x v="2"/>
    <x v="385"/>
    <n v="526.24"/>
  </r>
  <r>
    <s v="AD01-9362"/>
    <x v="1"/>
    <s v="Jan"/>
    <x v="0"/>
    <x v="1"/>
    <s v="Cancelld"/>
    <x v="1"/>
    <x v="0"/>
    <x v="2"/>
    <x v="177"/>
    <n v="476.19"/>
  </r>
  <r>
    <s v="AD01-9363"/>
    <x v="1"/>
    <s v="Jan"/>
    <x v="0"/>
    <x v="1"/>
    <s v="Cancelld"/>
    <x v="1"/>
    <x v="0"/>
    <x v="2"/>
    <x v="350"/>
    <n v="516.23"/>
  </r>
  <r>
    <s v="AD01-9364"/>
    <x v="1"/>
    <s v="Jan"/>
    <x v="0"/>
    <x v="1"/>
    <s v="Cancelld"/>
    <x v="1"/>
    <x v="0"/>
    <x v="2"/>
    <x v="365"/>
    <n v="224.51"/>
  </r>
  <r>
    <s v="AD01-9362"/>
    <x v="1"/>
    <s v="Jan"/>
    <x v="0"/>
    <x v="1"/>
    <s v="Cancelld"/>
    <x v="1"/>
    <x v="0"/>
    <x v="2"/>
    <x v="317"/>
    <n v="473.33"/>
  </r>
  <r>
    <s v="AD01-9362"/>
    <x v="1"/>
    <s v="Jan"/>
    <x v="0"/>
    <x v="1"/>
    <s v="Cancelld"/>
    <x v="1"/>
    <x v="0"/>
    <x v="2"/>
    <x v="472"/>
    <n v="1185.47"/>
  </r>
  <r>
    <s v="AD01-9362"/>
    <x v="1"/>
    <s v="Jan"/>
    <x v="0"/>
    <x v="1"/>
    <s v="Cancelld"/>
    <x v="1"/>
    <x v="0"/>
    <x v="2"/>
    <x v="307"/>
    <n v="1232.6599999999999"/>
  </r>
  <r>
    <s v="AD01-9362"/>
    <x v="1"/>
    <s v="Jan"/>
    <x v="0"/>
    <x v="1"/>
    <s v="Cancelld"/>
    <x v="1"/>
    <x v="0"/>
    <x v="2"/>
    <x v="241"/>
    <n v="470.47"/>
  </r>
  <r>
    <s v="AD01-9362"/>
    <x v="1"/>
    <s v="Jul"/>
    <x v="0"/>
    <x v="1"/>
    <s v="Cancelld"/>
    <x v="1"/>
    <x v="0"/>
    <x v="2"/>
    <x v="166"/>
    <n v="466.18"/>
  </r>
  <r>
    <s v="AD01-9362"/>
    <x v="1"/>
    <s v="Jul"/>
    <x v="0"/>
    <x v="1"/>
    <s v="Cancelld"/>
    <x v="1"/>
    <x v="0"/>
    <x v="2"/>
    <x v="233"/>
    <n v="183.04"/>
  </r>
  <r>
    <s v="AD01-9361"/>
    <x v="1"/>
    <s v="Jul"/>
    <x v="0"/>
    <x v="1"/>
    <s v="Cancelld"/>
    <x v="1"/>
    <x v="0"/>
    <x v="2"/>
    <x v="105"/>
    <n v="431.86"/>
  </r>
  <r>
    <s v="AD01-9362"/>
    <x v="1"/>
    <s v="Jul"/>
    <x v="0"/>
    <x v="1"/>
    <s v="Cancelld"/>
    <x v="1"/>
    <x v="0"/>
    <x v="2"/>
    <x v="234"/>
    <n v="469.03999999999996"/>
  </r>
  <r>
    <s v="AD01-9364"/>
    <x v="1"/>
    <s v="Jul"/>
    <x v="0"/>
    <x v="1"/>
    <s v="Cancelld"/>
    <x v="1"/>
    <x v="0"/>
    <x v="2"/>
    <x v="92"/>
    <n v="426.14"/>
  </r>
  <r>
    <s v="AD01-9362"/>
    <x v="1"/>
    <s v="Jul"/>
    <x v="0"/>
    <x v="1"/>
    <s v="Cancelld"/>
    <x v="1"/>
    <x v="0"/>
    <x v="2"/>
    <x v="373"/>
    <n v="1181.18"/>
  </r>
  <r>
    <s v="AD01-9364"/>
    <x v="1"/>
    <s v="Jul"/>
    <x v="0"/>
    <x v="1"/>
    <s v="Cancelld"/>
    <x v="1"/>
    <x v="0"/>
    <x v="2"/>
    <x v="288"/>
    <n v="1228.3699999999999"/>
  </r>
  <r>
    <s v="AD01-9364"/>
    <x v="1"/>
    <s v="Jul"/>
    <x v="0"/>
    <x v="1"/>
    <s v="Cancelld"/>
    <x v="1"/>
    <x v="0"/>
    <x v="2"/>
    <x v="473"/>
    <n v="1304.1599999999999"/>
  </r>
  <r>
    <s v="AD01-9364"/>
    <x v="1"/>
    <s v="Jul"/>
    <x v="0"/>
    <x v="1"/>
    <s v="Cancelld"/>
    <x v="1"/>
    <x v="0"/>
    <x v="2"/>
    <x v="444"/>
    <n v="526.24"/>
  </r>
  <r>
    <s v="AD01-9363"/>
    <x v="1"/>
    <s v="Jul"/>
    <x v="0"/>
    <x v="1"/>
    <s v="Cancelld"/>
    <x v="1"/>
    <x v="0"/>
    <x v="2"/>
    <x v="239"/>
    <n v="526.24"/>
  </r>
  <r>
    <s v="AD01-9362"/>
    <x v="1"/>
    <s v="Jul"/>
    <x v="0"/>
    <x v="1"/>
    <s v="Cancelld"/>
    <x v="1"/>
    <x v="0"/>
    <x v="2"/>
    <x v="115"/>
    <n v="424.71"/>
  </r>
  <r>
    <s v="AD01-9364"/>
    <x v="1"/>
    <s v="Jul"/>
    <x v="0"/>
    <x v="1"/>
    <s v="Cancelld"/>
    <x v="1"/>
    <x v="0"/>
    <x v="2"/>
    <x v="318"/>
    <n v="464.75"/>
  </r>
  <r>
    <s v="AD01-9361"/>
    <x v="1"/>
    <s v="Jul"/>
    <x v="0"/>
    <x v="1"/>
    <s v="Cancelld"/>
    <x v="1"/>
    <x v="0"/>
    <x v="2"/>
    <x v="366"/>
    <n v="181.61"/>
  </r>
  <r>
    <s v="AD01-9362"/>
    <x v="1"/>
    <s v="Jul"/>
    <x v="0"/>
    <x v="1"/>
    <s v="Cancelld"/>
    <x v="1"/>
    <x v="0"/>
    <x v="2"/>
    <x v="312"/>
    <n v="430.43"/>
  </r>
  <r>
    <s v="AD01-9361"/>
    <x v="1"/>
    <s v="Jul"/>
    <x v="0"/>
    <x v="1"/>
    <s v="Cancelld"/>
    <x v="1"/>
    <x v="0"/>
    <x v="2"/>
    <x v="474"/>
    <n v="1192.6199999999999"/>
  </r>
  <r>
    <s v="AD01-9362"/>
    <x v="1"/>
    <s v="Jul"/>
    <x v="0"/>
    <x v="1"/>
    <s v="Cancelld"/>
    <x v="1"/>
    <x v="0"/>
    <x v="2"/>
    <x v="455"/>
    <n v="1241.24"/>
  </r>
  <r>
    <s v="AD01-9362"/>
    <x v="1"/>
    <s v="Jul"/>
    <x v="0"/>
    <x v="1"/>
    <s v="Cancelld"/>
    <x v="1"/>
    <x v="0"/>
    <x v="2"/>
    <x v="103"/>
    <n v="427.57"/>
  </r>
  <r>
    <s v="AD01-9365"/>
    <x v="1"/>
    <s v="Jun"/>
    <x v="0"/>
    <x v="1"/>
    <s v="Cancelld"/>
    <x v="1"/>
    <x v="0"/>
    <x v="2"/>
    <x v="165"/>
    <n v="474.76"/>
  </r>
  <r>
    <s v="AD01-9361"/>
    <x v="1"/>
    <s v="Jun"/>
    <x v="0"/>
    <x v="1"/>
    <s v="Cancelld"/>
    <x v="1"/>
    <x v="0"/>
    <x v="2"/>
    <x v="290"/>
    <n v="191.62"/>
  </r>
  <r>
    <s v="AD01-9363"/>
    <x v="1"/>
    <s v="Jun"/>
    <x v="0"/>
    <x v="1"/>
    <s v="Cancelld"/>
    <x v="1"/>
    <x v="0"/>
    <x v="2"/>
    <x v="249"/>
    <n v="477.62"/>
  </r>
  <r>
    <s v="AD01-9361"/>
    <x v="1"/>
    <s v="Jun"/>
    <x v="0"/>
    <x v="1"/>
    <s v="Cancelld"/>
    <x v="1"/>
    <x v="0"/>
    <x v="2"/>
    <x v="235"/>
    <n v="185.9"/>
  </r>
  <r>
    <s v="AD01-9362"/>
    <x v="1"/>
    <s v="Jun"/>
    <x v="0"/>
    <x v="1"/>
    <s v="Cancelld"/>
    <x v="1"/>
    <x v="0"/>
    <x v="2"/>
    <x v="236"/>
    <n v="434.72"/>
  </r>
  <r>
    <s v="AD01-9364"/>
    <x v="1"/>
    <s v="Jun"/>
    <x v="0"/>
    <x v="1"/>
    <s v="Cancelld"/>
    <x v="1"/>
    <x v="0"/>
    <x v="2"/>
    <x v="331"/>
    <n v="1179.75"/>
  </r>
  <r>
    <s v="AD01-9362"/>
    <x v="1"/>
    <s v="Jun"/>
    <x v="0"/>
    <x v="1"/>
    <s v="Cancelld"/>
    <x v="1"/>
    <x v="0"/>
    <x v="2"/>
    <x v="300"/>
    <n v="1226.94"/>
  </r>
  <r>
    <s v="AD01-9361"/>
    <x v="1"/>
    <s v="Jun"/>
    <x v="0"/>
    <x v="1"/>
    <s v="Cancelld"/>
    <x v="1"/>
    <x v="0"/>
    <x v="2"/>
    <x v="475"/>
    <n v="1302.73"/>
  </r>
  <r>
    <s v="AD01-9361"/>
    <x v="1"/>
    <s v="Jun"/>
    <x v="0"/>
    <x v="1"/>
    <s v="Cancelld"/>
    <x v="1"/>
    <x v="0"/>
    <x v="2"/>
    <x v="252"/>
    <n v="526.24"/>
  </r>
  <r>
    <s v="AD01-9362"/>
    <x v="1"/>
    <s v="Jun"/>
    <x v="0"/>
    <x v="1"/>
    <s v="Cancelld"/>
    <x v="1"/>
    <x v="0"/>
    <x v="2"/>
    <x v="293"/>
    <n v="526.24"/>
  </r>
  <r>
    <s v="AD01-9364"/>
    <x v="1"/>
    <s v="Jun"/>
    <x v="0"/>
    <x v="1"/>
    <s v="Cancelld"/>
    <x v="1"/>
    <x v="0"/>
    <x v="2"/>
    <x v="114"/>
    <n v="433.28999999999996"/>
  </r>
  <r>
    <s v="AD01-9362"/>
    <x v="1"/>
    <s v="Jun"/>
    <x v="0"/>
    <x v="1"/>
    <s v="Cancelld"/>
    <x v="1"/>
    <x v="0"/>
    <x v="2"/>
    <x v="317"/>
    <n v="473.33"/>
  </r>
  <r>
    <s v="AD01-9362"/>
    <x v="1"/>
    <s v="Jun"/>
    <x v="0"/>
    <x v="1"/>
    <s v="Cancelld"/>
    <x v="1"/>
    <x v="0"/>
    <x v="2"/>
    <x v="325"/>
    <n v="190.19"/>
  </r>
  <r>
    <s v="AD01-9363"/>
    <x v="1"/>
    <s v="Jun"/>
    <x v="0"/>
    <x v="1"/>
    <s v="Cancelld"/>
    <x v="1"/>
    <x v="0"/>
    <x v="2"/>
    <x v="315"/>
    <n v="439.01"/>
  </r>
  <r>
    <s v="AD01-9361"/>
    <x v="1"/>
    <s v="Jun"/>
    <x v="0"/>
    <x v="1"/>
    <s v="Cancelld"/>
    <x v="1"/>
    <x v="0"/>
    <x v="2"/>
    <x v="452"/>
    <n v="1239.81"/>
  </r>
  <r>
    <s v="AD01-9365"/>
    <x v="1"/>
    <s v="Jun"/>
    <x v="0"/>
    <x v="1"/>
    <s v="Cancelld"/>
    <x v="1"/>
    <x v="0"/>
    <x v="2"/>
    <x v="296"/>
    <n v="436.15"/>
  </r>
  <r>
    <s v="AD01-9365"/>
    <x v="1"/>
    <s v="Mar"/>
    <x v="0"/>
    <x v="1"/>
    <s v="Cancelld"/>
    <x v="1"/>
    <x v="0"/>
    <x v="2"/>
    <x v="0"/>
    <n v="500.5"/>
  </r>
  <r>
    <s v="AD01-9362"/>
    <x v="1"/>
    <s v="Mar"/>
    <x v="0"/>
    <x v="1"/>
    <s v="Cancelld"/>
    <x v="1"/>
    <x v="0"/>
    <x v="2"/>
    <x v="271"/>
    <n v="208.78"/>
  </r>
  <r>
    <s v="AD01-9364"/>
    <x v="1"/>
    <s v="Mar"/>
    <x v="0"/>
    <x v="1"/>
    <s v="Cancelld"/>
    <x v="1"/>
    <x v="0"/>
    <x v="2"/>
    <x v="125"/>
    <n v="457.6"/>
  </r>
  <r>
    <s v="AD01-9361"/>
    <x v="1"/>
    <s v="Mar"/>
    <x v="0"/>
    <x v="1"/>
    <s v="Cancelld"/>
    <x v="1"/>
    <x v="0"/>
    <x v="2"/>
    <x v="255"/>
    <n v="494.78"/>
  </r>
  <r>
    <s v="AD01-9361"/>
    <x v="1"/>
    <s v="Mar"/>
    <x v="0"/>
    <x v="1"/>
    <s v="Cancelld"/>
    <x v="1"/>
    <x v="0"/>
    <x v="2"/>
    <x v="273"/>
    <n v="211.64"/>
  </r>
  <r>
    <s v="AD01-9362"/>
    <x v="1"/>
    <s v="Mar"/>
    <x v="0"/>
    <x v="1"/>
    <s v="Cancelld"/>
    <x v="1"/>
    <x v="0"/>
    <x v="2"/>
    <x v="297"/>
    <n v="460.46000000000004"/>
  </r>
  <r>
    <s v="AD01-9362"/>
    <x v="1"/>
    <s v="Mar"/>
    <x v="0"/>
    <x v="1"/>
    <s v="Cancelld"/>
    <x v="1"/>
    <x v="1"/>
    <x v="2"/>
    <x v="367"/>
    <n v="1175.46"/>
  </r>
  <r>
    <s v="AD01-9362"/>
    <x v="1"/>
    <s v="Mar"/>
    <x v="0"/>
    <x v="1"/>
    <s v="Cancelld"/>
    <x v="1"/>
    <x v="1"/>
    <x v="2"/>
    <x v="264"/>
    <n v="1222.6500000000001"/>
  </r>
  <r>
    <s v="AD01-9363"/>
    <x v="1"/>
    <s v="Mar"/>
    <x v="0"/>
    <x v="1"/>
    <s v="Cancelld"/>
    <x v="1"/>
    <x v="1"/>
    <x v="2"/>
    <x v="277"/>
    <n v="526.24"/>
  </r>
  <r>
    <s v="AD01-9362"/>
    <x v="1"/>
    <s v="Mar"/>
    <x v="0"/>
    <x v="1"/>
    <s v="Cancelld"/>
    <x v="1"/>
    <x v="1"/>
    <x v="2"/>
    <x v="136"/>
    <n v="459.03"/>
  </r>
  <r>
    <s v="AD01-9362"/>
    <x v="1"/>
    <s v="Mar"/>
    <x v="0"/>
    <x v="1"/>
    <s v="Cancelld"/>
    <x v="1"/>
    <x v="1"/>
    <x v="2"/>
    <x v="262"/>
    <n v="499.07"/>
  </r>
  <r>
    <s v="AD01-9362"/>
    <x v="1"/>
    <s v="Mar"/>
    <x v="0"/>
    <x v="1"/>
    <s v="Cancelld"/>
    <x v="1"/>
    <x v="1"/>
    <x v="2"/>
    <x v="344"/>
    <n v="215.93"/>
  </r>
  <r>
    <s v="AD01-9361"/>
    <x v="1"/>
    <s v="Mar"/>
    <x v="0"/>
    <x v="1"/>
    <s v="Cancelld"/>
    <x v="1"/>
    <x v="1"/>
    <x v="2"/>
    <x v="313"/>
    <n v="456.16999999999996"/>
  </r>
  <r>
    <s v="AD01-9364"/>
    <x v="1"/>
    <s v="Mar"/>
    <x v="0"/>
    <x v="1"/>
    <s v="Cancelld"/>
    <x v="1"/>
    <x v="1"/>
    <x v="2"/>
    <x v="476"/>
    <n v="1188.33"/>
  </r>
  <r>
    <s v="AD01-9362"/>
    <x v="1"/>
    <s v="Mar"/>
    <x v="0"/>
    <x v="1"/>
    <s v="Cancelld"/>
    <x v="1"/>
    <x v="1"/>
    <x v="2"/>
    <x v="252"/>
    <n v="1235.52"/>
  </r>
  <r>
    <s v="AD01-9365"/>
    <x v="1"/>
    <s v="Mar"/>
    <x v="0"/>
    <x v="1"/>
    <s v="Cancelld"/>
    <x v="1"/>
    <x v="1"/>
    <x v="2"/>
    <x v="301"/>
    <n v="461.89"/>
  </r>
  <r>
    <s v="AD01-9362"/>
    <x v="1"/>
    <s v="May"/>
    <x v="0"/>
    <x v="1"/>
    <s v="Cancelld"/>
    <x v="1"/>
    <x v="1"/>
    <x v="2"/>
    <x v="164"/>
    <n v="483.34000000000003"/>
  </r>
  <r>
    <s v="AD01-9361"/>
    <x v="1"/>
    <s v="May"/>
    <x v="0"/>
    <x v="1"/>
    <s v="Cancelld"/>
    <x v="1"/>
    <x v="1"/>
    <x v="2"/>
    <x v="254"/>
    <n v="200.2"/>
  </r>
  <r>
    <s v="AD01-9361"/>
    <x v="1"/>
    <s v="May"/>
    <x v="0"/>
    <x v="1"/>
    <s v="Cancelld"/>
    <x v="1"/>
    <x v="1"/>
    <x v="2"/>
    <x v="127"/>
    <n v="440.44"/>
  </r>
  <r>
    <s v="AD01-9361"/>
    <x v="1"/>
    <s v="May"/>
    <x v="0"/>
    <x v="1"/>
    <s v="Cancelld"/>
    <x v="1"/>
    <x v="1"/>
    <x v="2"/>
    <x v="291"/>
    <n v="194.48"/>
  </r>
  <r>
    <s v="AD01-9364"/>
    <x v="1"/>
    <s v="May"/>
    <x v="0"/>
    <x v="1"/>
    <s v="Cancelld"/>
    <x v="1"/>
    <x v="1"/>
    <x v="2"/>
    <x v="243"/>
    <n v="443.3"/>
  </r>
  <r>
    <s v="AD01-9364"/>
    <x v="1"/>
    <s v="May"/>
    <x v="0"/>
    <x v="1"/>
    <s v="Cancelld"/>
    <x v="1"/>
    <x v="1"/>
    <x v="2"/>
    <x v="351"/>
    <n v="1178.32"/>
  </r>
  <r>
    <s v="AD01-9361"/>
    <x v="1"/>
    <s v="May"/>
    <x v="0"/>
    <x v="1"/>
    <s v="Cancelld"/>
    <x v="1"/>
    <x v="1"/>
    <x v="2"/>
    <x v="240"/>
    <n v="1225.51"/>
  </r>
  <r>
    <s v="AD01-9362"/>
    <x v="1"/>
    <s v="May"/>
    <x v="0"/>
    <x v="1"/>
    <s v="Cancelld"/>
    <x v="1"/>
    <x v="1"/>
    <x v="2"/>
    <x v="477"/>
    <n v="1301.3"/>
  </r>
  <r>
    <s v="AD01-9362"/>
    <x v="1"/>
    <s v="May"/>
    <x v="0"/>
    <x v="1"/>
    <s v="Cancelld"/>
    <x v="1"/>
    <x v="1"/>
    <x v="2"/>
    <x v="305"/>
    <n v="526.24"/>
  </r>
  <r>
    <s v="AD01-9364"/>
    <x v="1"/>
    <s v="May"/>
    <x v="0"/>
    <x v="1"/>
    <s v="Cancelld"/>
    <x v="1"/>
    <x v="1"/>
    <x v="2"/>
    <x v="138"/>
    <n v="441.87"/>
  </r>
  <r>
    <s v="AD01-9364"/>
    <x v="1"/>
    <s v="May"/>
    <x v="0"/>
    <x v="1"/>
    <s v="Cancelld"/>
    <x v="1"/>
    <x v="1"/>
    <x v="2"/>
    <x v="316"/>
    <n v="481.90999999999997"/>
  </r>
  <r>
    <s v="AD01-9363"/>
    <x v="1"/>
    <s v="May"/>
    <x v="0"/>
    <x v="1"/>
    <s v="Cancelld"/>
    <x v="1"/>
    <x v="1"/>
    <x v="2"/>
    <x v="330"/>
    <n v="198.76999999999998"/>
  </r>
  <r>
    <s v="AD01-9361"/>
    <x v="1"/>
    <s v="May"/>
    <x v="0"/>
    <x v="1"/>
    <s v="Cancelld"/>
    <x v="1"/>
    <x v="1"/>
    <x v="2"/>
    <x v="478"/>
    <n v="1191.19"/>
  </r>
  <r>
    <s v="AD01-9362"/>
    <x v="1"/>
    <s v="May"/>
    <x v="0"/>
    <x v="1"/>
    <s v="Cancelld"/>
    <x v="1"/>
    <x v="1"/>
    <x v="2"/>
    <x v="441"/>
    <n v="1238.3800000000001"/>
  </r>
  <r>
    <s v="AD01-9362"/>
    <x v="1"/>
    <s v="May"/>
    <x v="0"/>
    <x v="1"/>
    <s v="Cancelld"/>
    <x v="1"/>
    <x v="1"/>
    <x v="2"/>
    <x v="270"/>
    <n v="444.73"/>
  </r>
  <r>
    <s v="AD01-9362"/>
    <x v="1"/>
    <s v="Nov"/>
    <x v="1"/>
    <x v="1"/>
    <s v="Cancelld"/>
    <x v="1"/>
    <x v="1"/>
    <x v="2"/>
    <x v="0"/>
    <n v="500.5"/>
  </r>
  <r>
    <s v="AD01-9361"/>
    <x v="1"/>
    <s v="Nov"/>
    <x v="1"/>
    <x v="1"/>
    <s v="Cancelld"/>
    <x v="1"/>
    <x v="1"/>
    <x v="2"/>
    <x v="236"/>
    <n v="434.72"/>
  </r>
  <r>
    <s v="AD01-9361"/>
    <x v="1"/>
    <s v="Nov"/>
    <x v="1"/>
    <x v="1"/>
    <s v="Cancelld"/>
    <x v="1"/>
    <x v="1"/>
    <x v="2"/>
    <x v="244"/>
    <n v="503.36"/>
  </r>
  <r>
    <s v="AD01-9361"/>
    <x v="1"/>
    <s v="Nov"/>
    <x v="1"/>
    <x v="1"/>
    <s v="Cancelld"/>
    <x v="1"/>
    <x v="1"/>
    <x v="2"/>
    <x v="472"/>
    <n v="1185.47"/>
  </r>
  <r>
    <s v="AD01-9362"/>
    <x v="1"/>
    <s v="Nov"/>
    <x v="1"/>
    <x v="1"/>
    <s v="Cancelld"/>
    <x v="1"/>
    <x v="1"/>
    <x v="2"/>
    <x v="307"/>
    <n v="1232.6599999999999"/>
  </r>
  <r>
    <s v="AD01-9361"/>
    <x v="1"/>
    <s v="Nov"/>
    <x v="1"/>
    <x v="1"/>
    <s v="Cancelld"/>
    <x v="1"/>
    <x v="1"/>
    <x v="2"/>
    <x v="479"/>
    <n v="1312.74"/>
  </r>
  <r>
    <s v="AD01-9361"/>
    <x v="1"/>
    <s v="Nov"/>
    <x v="1"/>
    <x v="1"/>
    <s v="Cancelld"/>
    <x v="1"/>
    <x v="1"/>
    <x v="2"/>
    <x v="480"/>
    <n v="1314.17"/>
  </r>
  <r>
    <s v="AD01-9362"/>
    <x v="1"/>
    <s v="Nov"/>
    <x v="1"/>
    <x v="1"/>
    <s v="Cancelld"/>
    <x v="1"/>
    <x v="1"/>
    <x v="2"/>
    <x v="481"/>
    <n v="1315.6"/>
  </r>
  <r>
    <s v="AD01-9362"/>
    <x v="1"/>
    <s v="Nov"/>
    <x v="1"/>
    <x v="1"/>
    <s v="Cancelld"/>
    <x v="1"/>
    <x v="1"/>
    <x v="2"/>
    <x v="449"/>
    <n v="526.24"/>
  </r>
  <r>
    <s v="AD01-9362"/>
    <x v="1"/>
    <s v="Nov"/>
    <x v="1"/>
    <x v="1"/>
    <s v="Cancelld"/>
    <x v="1"/>
    <x v="1"/>
    <x v="2"/>
    <x v="13"/>
    <n v="501.93"/>
  </r>
  <r>
    <s v="AD01-9361"/>
    <x v="1"/>
    <s v="Nov"/>
    <x v="1"/>
    <x v="1"/>
    <s v="Cancelld"/>
    <x v="1"/>
    <x v="1"/>
    <x v="2"/>
    <x v="227"/>
    <n v="373.23"/>
  </r>
  <r>
    <s v="AD01-9361"/>
    <x v="1"/>
    <s v="Nov"/>
    <x v="1"/>
    <x v="1"/>
    <s v="Cancelld"/>
    <x v="1"/>
    <x v="1"/>
    <x v="2"/>
    <x v="210"/>
    <n v="364.65"/>
  </r>
  <r>
    <s v="AD01-9361"/>
    <x v="1"/>
    <s v="Nov"/>
    <x v="1"/>
    <x v="1"/>
    <s v="Cancelld"/>
    <x v="1"/>
    <x v="1"/>
    <x v="2"/>
    <x v="315"/>
    <n v="439.01"/>
  </r>
  <r>
    <s v="AD01-9361"/>
    <x v="1"/>
    <s v="Nov"/>
    <x v="1"/>
    <x v="1"/>
    <s v="Cancelld"/>
    <x v="1"/>
    <x v="1"/>
    <x v="2"/>
    <x v="482"/>
    <n v="1198.3399999999999"/>
  </r>
  <r>
    <s v="AD01-9362"/>
    <x v="1"/>
    <s v="Nov"/>
    <x v="1"/>
    <x v="1"/>
    <s v="Cancelld"/>
    <x v="1"/>
    <x v="1"/>
    <x v="2"/>
    <x v="436"/>
    <n v="1245.53"/>
  </r>
  <r>
    <s v="AD01-9362"/>
    <x v="1"/>
    <s v="Oct"/>
    <x v="1"/>
    <x v="1"/>
    <s v="Cancelld"/>
    <x v="1"/>
    <x v="1"/>
    <x v="2"/>
    <x v="127"/>
    <n v="440.44"/>
  </r>
  <r>
    <s v="AD01-9365"/>
    <x v="1"/>
    <s v="Oct"/>
    <x v="1"/>
    <x v="1"/>
    <s v="Cancelld"/>
    <x v="1"/>
    <x v="1"/>
    <x v="2"/>
    <x v="148"/>
    <n v="509.08"/>
  </r>
  <r>
    <s v="AD01-9362"/>
    <x v="1"/>
    <s v="Oct"/>
    <x v="1"/>
    <x v="1"/>
    <s v="Cancelld"/>
    <x v="1"/>
    <x v="1"/>
    <x v="2"/>
    <x v="243"/>
    <n v="443.3"/>
  </r>
  <r>
    <s v="AD01-9361"/>
    <x v="1"/>
    <s v="Oct"/>
    <x v="1"/>
    <x v="1"/>
    <s v="Cancelld"/>
    <x v="1"/>
    <x v="1"/>
    <x v="2"/>
    <x v="272"/>
    <n v="511.94"/>
  </r>
  <r>
    <s v="AD01-9361"/>
    <x v="1"/>
    <s v="Oct"/>
    <x v="1"/>
    <x v="1"/>
    <s v="Cancelld"/>
    <x v="1"/>
    <x v="1"/>
    <x v="2"/>
    <x v="336"/>
    <n v="1184.04"/>
  </r>
  <r>
    <s v="AD01-9363"/>
    <x v="1"/>
    <s v="Oct"/>
    <x v="1"/>
    <x v="1"/>
    <s v="Cancelld"/>
    <x v="1"/>
    <x v="1"/>
    <x v="2"/>
    <x v="483"/>
    <n v="1308.45"/>
  </r>
  <r>
    <s v="AD01-9362"/>
    <x v="1"/>
    <s v="Oct"/>
    <x v="1"/>
    <x v="1"/>
    <s v="Cancelld"/>
    <x v="1"/>
    <x v="1"/>
    <x v="2"/>
    <x v="484"/>
    <n v="1309.8800000000001"/>
  </r>
  <r>
    <s v="AD01-9362"/>
    <x v="1"/>
    <s v="Oct"/>
    <x v="1"/>
    <x v="1"/>
    <s v="Cancelld"/>
    <x v="1"/>
    <x v="1"/>
    <x v="2"/>
    <x v="485"/>
    <n v="1311.31"/>
  </r>
  <r>
    <s v="AD01-9362"/>
    <x v="1"/>
    <s v="Oct"/>
    <x v="1"/>
    <x v="1"/>
    <s v="Cancelld"/>
    <x v="1"/>
    <x v="1"/>
    <x v="2"/>
    <x v="455"/>
    <n v="526.24"/>
  </r>
  <r>
    <s v="AD01-9364"/>
    <x v="1"/>
    <s v="Oct"/>
    <x v="1"/>
    <x v="1"/>
    <s v="Cancelld"/>
    <x v="1"/>
    <x v="1"/>
    <x v="2"/>
    <x v="157"/>
    <n v="526.24"/>
  </r>
  <r>
    <s v="AD01-9361"/>
    <x v="1"/>
    <s v="Oct"/>
    <x v="1"/>
    <x v="1"/>
    <s v="Cancelld"/>
    <x v="1"/>
    <x v="1"/>
    <x v="2"/>
    <x v="41"/>
    <n v="398.97"/>
  </r>
  <r>
    <s v="AD01-9362"/>
    <x v="1"/>
    <s v="Oct"/>
    <x v="1"/>
    <x v="1"/>
    <s v="Cancelld"/>
    <x v="1"/>
    <x v="1"/>
    <x v="2"/>
    <x v="225"/>
    <n v="390.39"/>
  </r>
  <r>
    <s v="AD01-9362"/>
    <x v="1"/>
    <s v="Oct"/>
    <x v="1"/>
    <x v="1"/>
    <s v="Cancelld"/>
    <x v="1"/>
    <x v="1"/>
    <x v="2"/>
    <x v="226"/>
    <n v="381.81"/>
  </r>
  <r>
    <s v="AD01-9363"/>
    <x v="1"/>
    <s v="Oct"/>
    <x v="1"/>
    <x v="1"/>
    <s v="Cancelld"/>
    <x v="1"/>
    <x v="1"/>
    <x v="2"/>
    <x v="314"/>
    <n v="447.59000000000003"/>
  </r>
  <r>
    <s v="AD01-9361"/>
    <x v="1"/>
    <s v="Oct"/>
    <x v="1"/>
    <x v="1"/>
    <s v="Cancelld"/>
    <x v="1"/>
    <x v="1"/>
    <x v="2"/>
    <x v="261"/>
    <n v="507.65"/>
  </r>
  <r>
    <s v="AD01-9362"/>
    <x v="1"/>
    <s v="Oct"/>
    <x v="1"/>
    <x v="1"/>
    <s v="Cancelld"/>
    <x v="1"/>
    <x v="1"/>
    <x v="2"/>
    <x v="486"/>
    <n v="1196.9099999999999"/>
  </r>
  <r>
    <s v="AD01-9362"/>
    <x v="1"/>
    <s v="Oct"/>
    <x v="1"/>
    <x v="1"/>
    <s v="Cancelld"/>
    <x v="1"/>
    <x v="1"/>
    <x v="2"/>
    <x v="446"/>
    <n v="1244.0999999999999"/>
  </r>
  <r>
    <s v="AD01-9361"/>
    <x v="1"/>
    <s v="Sep"/>
    <x v="1"/>
    <x v="1"/>
    <s v="Cancelld"/>
    <x v="1"/>
    <x v="1"/>
    <x v="2"/>
    <x v="126"/>
    <n v="449.02"/>
  </r>
  <r>
    <s v="AD01-9364"/>
    <x v="1"/>
    <s v="Sep"/>
    <x v="1"/>
    <x v="1"/>
    <s v="Cancelld"/>
    <x v="1"/>
    <x v="1"/>
    <x v="2"/>
    <x v="147"/>
    <n v="517.66"/>
  </r>
  <r>
    <s v="AD01-9361"/>
    <x v="1"/>
    <s v="Sep"/>
    <x v="1"/>
    <x v="1"/>
    <s v="Cancelld"/>
    <x v="1"/>
    <x v="1"/>
    <x v="2"/>
    <x v="27"/>
    <n v="414.7"/>
  </r>
  <r>
    <s v="AD01-9361"/>
    <x v="1"/>
    <s v="Sep"/>
    <x v="1"/>
    <x v="1"/>
    <s v="Cancelld"/>
    <x v="1"/>
    <x v="1"/>
    <x v="2"/>
    <x v="274"/>
    <n v="451.88"/>
  </r>
  <r>
    <s v="AD01-9362"/>
    <x v="1"/>
    <s v="Sep"/>
    <x v="1"/>
    <x v="1"/>
    <s v="Cancelld"/>
    <x v="1"/>
    <x v="1"/>
    <x v="2"/>
    <x v="285"/>
    <n v="520.52"/>
  </r>
  <r>
    <s v="AD01-9362"/>
    <x v="1"/>
    <s v="Sep"/>
    <x v="1"/>
    <x v="1"/>
    <s v="Cancelld"/>
    <x v="1"/>
    <x v="1"/>
    <x v="2"/>
    <x v="370"/>
    <n v="1182.6100000000001"/>
  </r>
  <r>
    <s v="AD01-9361"/>
    <x v="1"/>
    <s v="Sep"/>
    <x v="1"/>
    <x v="1"/>
    <s v="Cancelld"/>
    <x v="1"/>
    <x v="1"/>
    <x v="2"/>
    <x v="310"/>
    <n v="1231.23"/>
  </r>
  <r>
    <s v="AD01-9361"/>
    <x v="1"/>
    <s v="Sep"/>
    <x v="1"/>
    <x v="1"/>
    <s v="Cancelld"/>
    <x v="1"/>
    <x v="1"/>
    <x v="2"/>
    <x v="487"/>
    <n v="1307.02"/>
  </r>
  <r>
    <s v="AD01-9361"/>
    <x v="1"/>
    <s v="Sep"/>
    <x v="1"/>
    <x v="1"/>
    <s v="Cancelld"/>
    <x v="1"/>
    <x v="1"/>
    <x v="2"/>
    <x v="452"/>
    <n v="526.24"/>
  </r>
  <r>
    <s v="AD01-9362"/>
    <x v="1"/>
    <s v="Sep"/>
    <x v="1"/>
    <x v="1"/>
    <s v="Cancelld"/>
    <x v="1"/>
    <x v="1"/>
    <x v="2"/>
    <x v="156"/>
    <n v="526.24"/>
  </r>
  <r>
    <s v="AD01-9362"/>
    <x v="1"/>
    <s v="Sep"/>
    <x v="1"/>
    <x v="1"/>
    <s v="Cancelld"/>
    <x v="1"/>
    <x v="1"/>
    <x v="2"/>
    <x v="116"/>
    <n v="416.13"/>
  </r>
  <r>
    <s v="AD01-9361"/>
    <x v="1"/>
    <s v="Sep"/>
    <x v="1"/>
    <x v="1"/>
    <s v="Cancelld"/>
    <x v="1"/>
    <x v="1"/>
    <x v="2"/>
    <x v="40"/>
    <n v="407.55"/>
  </r>
  <r>
    <s v="AD01-9361"/>
    <x v="1"/>
    <s v="Sep"/>
    <x v="1"/>
    <x v="1"/>
    <s v="Cancelld"/>
    <x v="1"/>
    <x v="1"/>
    <x v="2"/>
    <x v="350"/>
    <n v="516.23"/>
  </r>
  <r>
    <s v="AD01-9361"/>
    <x v="1"/>
    <s v="Sep"/>
    <x v="1"/>
    <x v="1"/>
    <s v="Cancelld"/>
    <x v="1"/>
    <x v="1"/>
    <x v="2"/>
    <x v="160"/>
    <n v="413.27"/>
  </r>
  <r>
    <s v="AD01-9361"/>
    <x v="1"/>
    <s v="Sep"/>
    <x v="1"/>
    <x v="1"/>
    <s v="Cancelld"/>
    <x v="1"/>
    <x v="1"/>
    <x v="2"/>
    <x v="488"/>
    <n v="1195.48"/>
  </r>
  <r>
    <s v="AD01-9361"/>
    <x v="1"/>
    <s v="Sep"/>
    <x v="1"/>
    <x v="1"/>
    <s v="Cancelld"/>
    <x v="1"/>
    <x v="1"/>
    <x v="2"/>
    <x v="449"/>
    <n v="1242.67"/>
  </r>
  <r>
    <s v="AD01-9364"/>
    <x v="1"/>
    <s v="Aug"/>
    <x v="0"/>
    <x v="1"/>
    <s v="Cancelld"/>
    <x v="0"/>
    <x v="1"/>
    <x v="0"/>
    <x v="256"/>
    <n v="486.2"/>
  </r>
  <r>
    <s v="AD01-9362"/>
    <x v="1"/>
    <s v="Aug"/>
    <x v="0"/>
    <x v="1"/>
    <s v="Cancelld"/>
    <x v="0"/>
    <x v="1"/>
    <x v="0"/>
    <x v="249"/>
    <n v="477.62"/>
  </r>
  <r>
    <s v="AD01-9362"/>
    <x v="1"/>
    <s v="Aug"/>
    <x v="0"/>
    <x v="1"/>
    <s v="Cancelld"/>
    <x v="0"/>
    <x v="1"/>
    <x v="0"/>
    <x v="316"/>
    <n v="481.90999999999997"/>
  </r>
  <r>
    <s v="AD01-9364"/>
    <x v="1"/>
    <s v="Aug"/>
    <x v="0"/>
    <x v="1"/>
    <s v="Cancelld"/>
    <x v="0"/>
    <x v="1"/>
    <x v="0"/>
    <x v="317"/>
    <n v="473.33"/>
  </r>
  <r>
    <s v="AD01-9361"/>
    <x v="1"/>
    <s v="Sep"/>
    <x v="0"/>
    <x v="1"/>
    <s v="Cancelld"/>
    <x v="0"/>
    <x v="1"/>
    <x v="0"/>
    <x v="234"/>
    <n v="469.03999999999996"/>
  </r>
  <r>
    <s v="AD01-9362"/>
    <x v="1"/>
    <s v="Sep"/>
    <x v="0"/>
    <x v="1"/>
    <s v="Cancelld"/>
    <x v="0"/>
    <x v="1"/>
    <x v="0"/>
    <x v="297"/>
    <n v="460.46000000000004"/>
  </r>
  <r>
    <s v="AD01-9361"/>
    <x v="1"/>
    <s v="Sep"/>
    <x v="0"/>
    <x v="1"/>
    <s v="Cancelld"/>
    <x v="0"/>
    <x v="1"/>
    <x v="0"/>
    <x v="274"/>
    <n v="451.88"/>
  </r>
  <r>
    <s v="AD01-9362"/>
    <x v="1"/>
    <s v="Sep"/>
    <x v="0"/>
    <x v="1"/>
    <s v="Cancelld"/>
    <x v="0"/>
    <x v="1"/>
    <x v="0"/>
    <x v="318"/>
    <n v="464.75"/>
  </r>
  <r>
    <s v="AD01-9364"/>
    <x v="1"/>
    <s v="Sep"/>
    <x v="0"/>
    <x v="1"/>
    <s v="Cancelld"/>
    <x v="0"/>
    <x v="1"/>
    <x v="0"/>
    <x v="313"/>
    <n v="456.16999999999996"/>
  </r>
  <r>
    <s v="AD01-9361"/>
    <x v="1"/>
    <s v="Sep"/>
    <x v="0"/>
    <x v="1"/>
    <s v="Cancelld"/>
    <x v="0"/>
    <x v="1"/>
    <x v="0"/>
    <x v="314"/>
    <n v="447.59000000000003"/>
  </r>
  <r>
    <s v="AD01-9364"/>
    <x v="2"/>
    <s v="Apr"/>
    <x v="0"/>
    <x v="0"/>
    <s v="Order assembled"/>
    <x v="1"/>
    <x v="0"/>
    <x v="0"/>
    <x v="29"/>
    <n v="303.15999999999997"/>
  </r>
  <r>
    <s v="AD01-9362"/>
    <x v="2"/>
    <s v="Apr"/>
    <x v="0"/>
    <x v="0"/>
    <s v="Order assembled"/>
    <x v="1"/>
    <x v="0"/>
    <x v="0"/>
    <x v="168"/>
    <n v="294.58"/>
  </r>
  <r>
    <s v="AD01-9364"/>
    <x v="2"/>
    <s v="Apr"/>
    <x v="0"/>
    <x v="0"/>
    <s v="Order assembled"/>
    <x v="1"/>
    <x v="0"/>
    <x v="1"/>
    <x v="60"/>
    <n v="308.88"/>
  </r>
  <r>
    <s v="AD01-9362"/>
    <x v="2"/>
    <s v="Apr"/>
    <x v="0"/>
    <x v="0"/>
    <s v="Order assembled"/>
    <x v="1"/>
    <x v="0"/>
    <x v="1"/>
    <x v="404"/>
    <n v="300.3"/>
  </r>
  <r>
    <s v="AD01-9364"/>
    <x v="2"/>
    <s v="Apr"/>
    <x v="0"/>
    <x v="0"/>
    <s v="Order assembled"/>
    <x v="1"/>
    <x v="0"/>
    <x v="1"/>
    <x v="405"/>
    <n v="291.72000000000003"/>
  </r>
  <r>
    <s v="AD01-9364"/>
    <x v="2"/>
    <s v="Apr"/>
    <x v="0"/>
    <x v="0"/>
    <s v="Order assembled"/>
    <x v="1"/>
    <x v="0"/>
    <x v="1"/>
    <x v="42"/>
    <n v="304.59000000000003"/>
  </r>
  <r>
    <s v="AD01-9361"/>
    <x v="2"/>
    <s v="Apr"/>
    <x v="0"/>
    <x v="0"/>
    <s v="Order assembled"/>
    <x v="1"/>
    <x v="0"/>
    <x v="1"/>
    <x v="228"/>
    <n v="296.01"/>
  </r>
  <r>
    <s v="AD01-9362"/>
    <x v="2"/>
    <s v="Apr"/>
    <x v="0"/>
    <x v="0"/>
    <s v="Order assembled"/>
    <x v="1"/>
    <x v="0"/>
    <x v="1"/>
    <x v="197"/>
    <n v="287.43"/>
  </r>
  <r>
    <s v="AD01-9362"/>
    <x v="2"/>
    <s v="Apr"/>
    <x v="0"/>
    <x v="0"/>
    <s v="Order assembled"/>
    <x v="1"/>
    <x v="0"/>
    <x v="0"/>
    <x v="50"/>
    <n v="307.45"/>
  </r>
  <r>
    <s v="AD01-9362"/>
    <x v="2"/>
    <s v="Apr"/>
    <x v="0"/>
    <x v="0"/>
    <s v="Order assembled"/>
    <x v="1"/>
    <x v="0"/>
    <x v="0"/>
    <x v="232"/>
    <n v="298.87"/>
  </r>
  <r>
    <s v="AD01-9363"/>
    <x v="2"/>
    <s v="Apr"/>
    <x v="0"/>
    <x v="0"/>
    <s v="Order assembled"/>
    <x v="1"/>
    <x v="0"/>
    <x v="0"/>
    <x v="215"/>
    <n v="290.28999999999996"/>
  </r>
  <r>
    <s v="AD01-9362"/>
    <x v="2"/>
    <s v="Aug"/>
    <x v="0"/>
    <x v="0"/>
    <s v="Order assembled"/>
    <x v="1"/>
    <x v="0"/>
    <x v="1"/>
    <x v="319"/>
    <n v="225.94"/>
  </r>
  <r>
    <s v="AD01-9362"/>
    <x v="2"/>
    <s v="Aug"/>
    <x v="0"/>
    <x v="0"/>
    <s v="Order assembled"/>
    <x v="1"/>
    <x v="0"/>
    <x v="1"/>
    <x v="320"/>
    <n v="228.8"/>
  </r>
  <r>
    <s v="AD01-9365"/>
    <x v="2"/>
    <s v="Aug"/>
    <x v="0"/>
    <x v="0"/>
    <s v="Order assembled"/>
    <x v="1"/>
    <x v="0"/>
    <x v="1"/>
    <x v="380"/>
    <n v="231.66"/>
  </r>
  <r>
    <s v="AD01-9361"/>
    <x v="2"/>
    <s v="Aug"/>
    <x v="0"/>
    <x v="0"/>
    <s v="Order assembled"/>
    <x v="1"/>
    <x v="0"/>
    <x v="1"/>
    <x v="385"/>
    <n v="227.37"/>
  </r>
  <r>
    <s v="AD01-9362"/>
    <x v="2"/>
    <s v="Aug"/>
    <x v="0"/>
    <x v="0"/>
    <s v="Order assembled"/>
    <x v="1"/>
    <x v="0"/>
    <x v="1"/>
    <x v="388"/>
    <n v="230.23000000000002"/>
  </r>
  <r>
    <s v="AD01-9363"/>
    <x v="2"/>
    <s v="Feb"/>
    <x v="0"/>
    <x v="0"/>
    <s v="Order assembled"/>
    <x v="1"/>
    <x v="0"/>
    <x v="0"/>
    <x v="74"/>
    <n v="354.64"/>
  </r>
  <r>
    <s v="AD01-9362"/>
    <x v="2"/>
    <s v="Feb"/>
    <x v="0"/>
    <x v="0"/>
    <s v="Order assembled"/>
    <x v="1"/>
    <x v="0"/>
    <x v="0"/>
    <x v="56"/>
    <n v="346.06"/>
  </r>
  <r>
    <s v="AD01-9364"/>
    <x v="2"/>
    <s v="Feb"/>
    <x v="0"/>
    <x v="0"/>
    <s v="Order assembled"/>
    <x v="1"/>
    <x v="0"/>
    <x v="0"/>
    <x v="2"/>
    <n v="337.48"/>
  </r>
  <r>
    <s v="AD01-9364"/>
    <x v="2"/>
    <s v="Feb"/>
    <x v="0"/>
    <x v="0"/>
    <s v="Order assembled"/>
    <x v="1"/>
    <x v="0"/>
    <x v="1"/>
    <x v="207"/>
    <n v="351.78"/>
  </r>
  <r>
    <s v="AD01-9361"/>
    <x v="2"/>
    <s v="Feb"/>
    <x v="0"/>
    <x v="0"/>
    <s v="Order assembled"/>
    <x v="1"/>
    <x v="0"/>
    <x v="1"/>
    <x v="192"/>
    <n v="343.2"/>
  </r>
  <r>
    <s v="AD01-9364"/>
    <x v="2"/>
    <s v="Feb"/>
    <x v="0"/>
    <x v="0"/>
    <s v="Order assembled"/>
    <x v="1"/>
    <x v="0"/>
    <x v="1"/>
    <x v="193"/>
    <n v="334.62"/>
  </r>
  <r>
    <s v="AD01-9361"/>
    <x v="2"/>
    <s v="Feb"/>
    <x v="0"/>
    <x v="0"/>
    <s v="Order assembled"/>
    <x v="1"/>
    <x v="0"/>
    <x v="1"/>
    <x v="158"/>
    <n v="347.49"/>
  </r>
  <r>
    <s v="AD01-9362"/>
    <x v="2"/>
    <s v="Feb"/>
    <x v="0"/>
    <x v="0"/>
    <s v="Order assembled"/>
    <x v="1"/>
    <x v="0"/>
    <x v="1"/>
    <x v="16"/>
    <n v="338.90999999999997"/>
  </r>
  <r>
    <s v="AD01-9364"/>
    <x v="2"/>
    <s v="Feb"/>
    <x v="0"/>
    <x v="0"/>
    <s v="Order assembled"/>
    <x v="1"/>
    <x v="0"/>
    <x v="0"/>
    <x v="86"/>
    <n v="350.35"/>
  </r>
  <r>
    <s v="AD01-9362"/>
    <x v="2"/>
    <s v="Feb"/>
    <x v="0"/>
    <x v="0"/>
    <s v="Order assembled"/>
    <x v="1"/>
    <x v="0"/>
    <x v="0"/>
    <x v="72"/>
    <n v="341.77"/>
  </r>
  <r>
    <s v="AD01-9362"/>
    <x v="2"/>
    <s v="Feb"/>
    <x v="0"/>
    <x v="0"/>
    <s v="Order assembled"/>
    <x v="1"/>
    <x v="0"/>
    <x v="0"/>
    <x v="188"/>
    <n v="333.19"/>
  </r>
  <r>
    <s v="AD01-9362"/>
    <x v="2"/>
    <s v="Jan"/>
    <x v="0"/>
    <x v="0"/>
    <s v="Order assembled"/>
    <x v="1"/>
    <x v="0"/>
    <x v="0"/>
    <x v="30"/>
    <n v="371.8"/>
  </r>
  <r>
    <s v="AD01-9364"/>
    <x v="2"/>
    <s v="Jan"/>
    <x v="0"/>
    <x v="0"/>
    <s v="Order assembled"/>
    <x v="1"/>
    <x v="0"/>
    <x v="0"/>
    <x v="88"/>
    <n v="363.22"/>
  </r>
  <r>
    <s v="AD01-9361"/>
    <x v="2"/>
    <s v="Jan"/>
    <x v="0"/>
    <x v="0"/>
    <s v="Order assembled"/>
    <x v="1"/>
    <x v="0"/>
    <x v="0"/>
    <x v="221"/>
    <n v="526.24"/>
  </r>
  <r>
    <s v="AD01-9364"/>
    <x v="2"/>
    <s v="Jan"/>
    <x v="0"/>
    <x v="0"/>
    <s v="Order assembled"/>
    <x v="1"/>
    <x v="0"/>
    <x v="1"/>
    <x v="205"/>
    <n v="526.24"/>
  </r>
  <r>
    <s v="AD01-9362"/>
    <x v="2"/>
    <s v="Jan"/>
    <x v="0"/>
    <x v="0"/>
    <s v="Order assembled"/>
    <x v="1"/>
    <x v="0"/>
    <x v="1"/>
    <x v="206"/>
    <n v="360.36"/>
  </r>
  <r>
    <s v="AD01-9361"/>
    <x v="2"/>
    <s v="Jan"/>
    <x v="0"/>
    <x v="0"/>
    <s v="Order assembled"/>
    <x v="1"/>
    <x v="0"/>
    <x v="0"/>
    <x v="227"/>
    <n v="373.23"/>
  </r>
  <r>
    <s v="AD01-9362"/>
    <x v="2"/>
    <s v="Jan"/>
    <x v="0"/>
    <x v="0"/>
    <s v="Order assembled"/>
    <x v="1"/>
    <x v="0"/>
    <x v="1"/>
    <x v="210"/>
    <n v="364.65"/>
  </r>
  <r>
    <s v="AD01-9361"/>
    <x v="2"/>
    <s v="Jan"/>
    <x v="0"/>
    <x v="0"/>
    <s v="Order assembled"/>
    <x v="1"/>
    <x v="0"/>
    <x v="1"/>
    <x v="81"/>
    <n v="356.07"/>
  </r>
  <r>
    <s v="AD01-9363"/>
    <x v="2"/>
    <s v="Jan"/>
    <x v="0"/>
    <x v="0"/>
    <s v="Order assembled"/>
    <x v="1"/>
    <x v="0"/>
    <x v="0"/>
    <x v="51"/>
    <n v="376.09000000000003"/>
  </r>
  <r>
    <s v="AD01-9362"/>
    <x v="2"/>
    <s v="Jan"/>
    <x v="0"/>
    <x v="0"/>
    <s v="Order assembled"/>
    <x v="1"/>
    <x v="0"/>
    <x v="0"/>
    <x v="214"/>
    <n v="367.51"/>
  </r>
  <r>
    <s v="AD01-9361"/>
    <x v="2"/>
    <s v="Jan"/>
    <x v="0"/>
    <x v="0"/>
    <s v="Order assembled"/>
    <x v="1"/>
    <x v="0"/>
    <x v="0"/>
    <x v="102"/>
    <n v="358.93"/>
  </r>
  <r>
    <s v="AD01-9365"/>
    <x v="2"/>
    <s v="Jul"/>
    <x v="0"/>
    <x v="0"/>
    <s v="Order assembled"/>
    <x v="1"/>
    <x v="0"/>
    <x v="1"/>
    <x v="57"/>
    <n v="234.51999999999998"/>
  </r>
  <r>
    <s v="AD01-9362"/>
    <x v="2"/>
    <s v="Jul"/>
    <x v="0"/>
    <x v="0"/>
    <s v="Order assembled"/>
    <x v="1"/>
    <x v="0"/>
    <x v="1"/>
    <x v="58"/>
    <n v="237.38"/>
  </r>
  <r>
    <s v="AD01-9362"/>
    <x v="2"/>
    <s v="Jul"/>
    <x v="0"/>
    <x v="0"/>
    <s v="Order assembled"/>
    <x v="1"/>
    <x v="0"/>
    <x v="1"/>
    <x v="416"/>
    <n v="240.24"/>
  </r>
  <r>
    <s v="AD01-9364"/>
    <x v="2"/>
    <s v="Jul"/>
    <x v="0"/>
    <x v="0"/>
    <s v="Order assembled"/>
    <x v="1"/>
    <x v="0"/>
    <x v="1"/>
    <x v="335"/>
    <n v="235.95"/>
  </r>
  <r>
    <s v="AD01-9362"/>
    <x v="2"/>
    <s v="Jul"/>
    <x v="0"/>
    <x v="0"/>
    <s v="Order assembled"/>
    <x v="1"/>
    <x v="0"/>
    <x v="1"/>
    <x v="324"/>
    <n v="233.09"/>
  </r>
  <r>
    <s v="AD01-9365"/>
    <x v="2"/>
    <s v="Jul"/>
    <x v="0"/>
    <x v="0"/>
    <s v="Order assembled"/>
    <x v="1"/>
    <x v="0"/>
    <x v="1"/>
    <x v="419"/>
    <n v="238.81"/>
  </r>
  <r>
    <s v="AD01-9362"/>
    <x v="2"/>
    <s v="Jun"/>
    <x v="0"/>
    <x v="0"/>
    <s v="Order assembled"/>
    <x v="1"/>
    <x v="0"/>
    <x v="0"/>
    <x v="217"/>
    <n v="260.26"/>
  </r>
  <r>
    <s v="AD01-9362"/>
    <x v="2"/>
    <s v="Jun"/>
    <x v="0"/>
    <x v="0"/>
    <s v="Order assembled"/>
    <x v="1"/>
    <x v="0"/>
    <x v="0"/>
    <x v="203"/>
    <n v="251.68"/>
  </r>
  <r>
    <s v="AD01-9362"/>
    <x v="2"/>
    <s v="Jun"/>
    <x v="0"/>
    <x v="0"/>
    <s v="Order assembled"/>
    <x v="1"/>
    <x v="0"/>
    <x v="0"/>
    <x v="190"/>
    <n v="243.1"/>
  </r>
  <r>
    <s v="AD01-9362"/>
    <x v="2"/>
    <s v="Jun"/>
    <x v="0"/>
    <x v="0"/>
    <s v="Order assembled"/>
    <x v="1"/>
    <x v="0"/>
    <x v="1"/>
    <x v="398"/>
    <n v="257.39999999999998"/>
  </r>
  <r>
    <s v="AD01-9361"/>
    <x v="2"/>
    <s v="Jun"/>
    <x v="0"/>
    <x v="0"/>
    <s v="Order assembled"/>
    <x v="1"/>
    <x v="0"/>
    <x v="1"/>
    <x v="415"/>
    <n v="248.82"/>
  </r>
  <r>
    <s v="AD01-9361"/>
    <x v="2"/>
    <s v="Jun"/>
    <x v="0"/>
    <x v="0"/>
    <s v="Order assembled"/>
    <x v="1"/>
    <x v="0"/>
    <x v="1"/>
    <x v="376"/>
    <n v="261.69"/>
  </r>
  <r>
    <s v="AD01-9362"/>
    <x v="2"/>
    <s v="Jun"/>
    <x v="0"/>
    <x v="0"/>
    <s v="Order assembled"/>
    <x v="1"/>
    <x v="0"/>
    <x v="1"/>
    <x v="372"/>
    <n v="253.11"/>
  </r>
  <r>
    <s v="AD01-9362"/>
    <x v="2"/>
    <s v="Jun"/>
    <x v="0"/>
    <x v="0"/>
    <s v="Order assembled"/>
    <x v="1"/>
    <x v="0"/>
    <x v="1"/>
    <x v="369"/>
    <n v="244.53"/>
  </r>
  <r>
    <s v="AD01-9363"/>
    <x v="2"/>
    <s v="Jun"/>
    <x v="0"/>
    <x v="0"/>
    <s v="Order assembled"/>
    <x v="1"/>
    <x v="0"/>
    <x v="0"/>
    <x v="403"/>
    <n v="255.97"/>
  </r>
  <r>
    <s v="AD01-9361"/>
    <x v="2"/>
    <s v="Jun"/>
    <x v="0"/>
    <x v="0"/>
    <s v="Order assembled"/>
    <x v="1"/>
    <x v="0"/>
    <x v="0"/>
    <x v="390"/>
    <n v="247.39"/>
  </r>
  <r>
    <s v="AD01-9361"/>
    <x v="2"/>
    <s v="Mar"/>
    <x v="0"/>
    <x v="0"/>
    <s v="Order assembled"/>
    <x v="1"/>
    <x v="0"/>
    <x v="0"/>
    <x v="167"/>
    <n v="328.9"/>
  </r>
  <r>
    <s v="AD01-9362"/>
    <x v="2"/>
    <s v="Mar"/>
    <x v="0"/>
    <x v="0"/>
    <s v="Order assembled"/>
    <x v="1"/>
    <x v="0"/>
    <x v="0"/>
    <x v="53"/>
    <n v="320.32"/>
  </r>
  <r>
    <s v="AD01-9363"/>
    <x v="2"/>
    <s v="Mar"/>
    <x v="0"/>
    <x v="0"/>
    <s v="Order assembled"/>
    <x v="1"/>
    <x v="0"/>
    <x v="0"/>
    <x v="54"/>
    <n v="311.74"/>
  </r>
  <r>
    <s v="AD01-9362"/>
    <x v="2"/>
    <s v="Mar"/>
    <x v="0"/>
    <x v="0"/>
    <s v="Order assembled"/>
    <x v="1"/>
    <x v="0"/>
    <x v="1"/>
    <x v="194"/>
    <n v="326.03999999999996"/>
  </r>
  <r>
    <s v="AD01-9362"/>
    <x v="2"/>
    <s v="Mar"/>
    <x v="0"/>
    <x v="0"/>
    <s v="Order assembled"/>
    <x v="1"/>
    <x v="0"/>
    <x v="1"/>
    <x v="59"/>
    <n v="317.45999999999998"/>
  </r>
  <r>
    <s v="AD01-9363"/>
    <x v="2"/>
    <s v="Mar"/>
    <x v="0"/>
    <x v="0"/>
    <s v="Order assembled"/>
    <x v="1"/>
    <x v="0"/>
    <x v="1"/>
    <x v="179"/>
    <n v="330.33"/>
  </r>
  <r>
    <s v="AD01-9364"/>
    <x v="2"/>
    <s v="Mar"/>
    <x v="0"/>
    <x v="0"/>
    <s v="Order assembled"/>
    <x v="1"/>
    <x v="0"/>
    <x v="1"/>
    <x v="64"/>
    <n v="321.75"/>
  </r>
  <r>
    <s v="AD01-9365"/>
    <x v="2"/>
    <s v="Mar"/>
    <x v="0"/>
    <x v="0"/>
    <s v="Order assembled"/>
    <x v="1"/>
    <x v="0"/>
    <x v="1"/>
    <x v="65"/>
    <n v="526.24"/>
  </r>
  <r>
    <s v="AD01-9361"/>
    <x v="2"/>
    <s v="Mar"/>
    <x v="0"/>
    <x v="0"/>
    <s v="Order assembled"/>
    <x v="1"/>
    <x v="0"/>
    <x v="0"/>
    <x v="144"/>
    <n v="324.61"/>
  </r>
  <r>
    <s v="AD01-9361"/>
    <x v="2"/>
    <s v="Mar"/>
    <x v="0"/>
    <x v="0"/>
    <s v="Order assembled"/>
    <x v="1"/>
    <x v="0"/>
    <x v="0"/>
    <x v="70"/>
    <n v="316.02999999999997"/>
  </r>
  <r>
    <s v="AD01-9361"/>
    <x v="2"/>
    <s v="May"/>
    <x v="0"/>
    <x v="0"/>
    <s v="Order assembled"/>
    <x v="1"/>
    <x v="0"/>
    <x v="0"/>
    <x v="129"/>
    <n v="286"/>
  </r>
  <r>
    <s v="AD01-9362"/>
    <x v="2"/>
    <s v="May"/>
    <x v="0"/>
    <x v="0"/>
    <s v="Order assembled"/>
    <x v="1"/>
    <x v="0"/>
    <x v="0"/>
    <x v="55"/>
    <n v="277.42"/>
  </r>
  <r>
    <s v="AD01-9362"/>
    <x v="2"/>
    <s v="May"/>
    <x v="0"/>
    <x v="0"/>
    <s v="Order assembled"/>
    <x v="1"/>
    <x v="0"/>
    <x v="0"/>
    <x v="31"/>
    <n v="268.84000000000003"/>
  </r>
  <r>
    <s v="AD01-9362"/>
    <x v="2"/>
    <s v="May"/>
    <x v="0"/>
    <x v="0"/>
    <s v="Order assembled"/>
    <x v="1"/>
    <x v="0"/>
    <x v="1"/>
    <x v="406"/>
    <n v="283.14"/>
  </r>
  <r>
    <s v="AD01-9362"/>
    <x v="2"/>
    <s v="May"/>
    <x v="0"/>
    <x v="0"/>
    <s v="Order assembled"/>
    <x v="1"/>
    <x v="0"/>
    <x v="1"/>
    <x v="396"/>
    <n v="274.56"/>
  </r>
  <r>
    <s v="AD01-9362"/>
    <x v="2"/>
    <s v="May"/>
    <x v="0"/>
    <x v="0"/>
    <s v="Order assembled"/>
    <x v="1"/>
    <x v="0"/>
    <x v="1"/>
    <x v="397"/>
    <n v="265.98"/>
  </r>
  <r>
    <s v="AD01-9361"/>
    <x v="2"/>
    <s v="May"/>
    <x v="0"/>
    <x v="0"/>
    <s v="Order assembled"/>
    <x v="1"/>
    <x v="0"/>
    <x v="1"/>
    <x v="66"/>
    <n v="278.85000000000002"/>
  </r>
  <r>
    <s v="AD01-9364"/>
    <x v="2"/>
    <s v="May"/>
    <x v="0"/>
    <x v="0"/>
    <s v="Order assembled"/>
    <x v="1"/>
    <x v="0"/>
    <x v="1"/>
    <x v="349"/>
    <n v="270.27"/>
  </r>
  <r>
    <s v="AD01-9364"/>
    <x v="2"/>
    <s v="May"/>
    <x v="0"/>
    <x v="0"/>
    <s v="Order assembled"/>
    <x v="1"/>
    <x v="0"/>
    <x v="0"/>
    <x v="201"/>
    <n v="281.70999999999998"/>
  </r>
  <r>
    <s v="AD01-9364"/>
    <x v="2"/>
    <s v="May"/>
    <x v="0"/>
    <x v="0"/>
    <s v="Order assembled"/>
    <x v="1"/>
    <x v="0"/>
    <x v="0"/>
    <x v="71"/>
    <n v="273.13"/>
  </r>
  <r>
    <s v="AD01-9364"/>
    <x v="2"/>
    <s v="May"/>
    <x v="0"/>
    <x v="0"/>
    <s v="Order assembled"/>
    <x v="1"/>
    <x v="0"/>
    <x v="0"/>
    <x v="402"/>
    <n v="264.55"/>
  </r>
  <r>
    <s v="AD01-9361"/>
    <x v="2"/>
    <s v="Sep"/>
    <x v="0"/>
    <x v="0"/>
    <s v="Order assembled"/>
    <x v="1"/>
    <x v="0"/>
    <x v="1"/>
    <x v="361"/>
    <n v="220.22"/>
  </r>
  <r>
    <s v="AD01-9362"/>
    <x v="2"/>
    <s v="Sep"/>
    <x v="0"/>
    <x v="0"/>
    <s v="Order assembled"/>
    <x v="1"/>
    <x v="0"/>
    <x v="1"/>
    <x v="381"/>
    <n v="223.07999999999998"/>
  </r>
  <r>
    <s v="AD01-9362"/>
    <x v="2"/>
    <s v="Sep"/>
    <x v="0"/>
    <x v="0"/>
    <s v="Order assembled"/>
    <x v="1"/>
    <x v="0"/>
    <x v="1"/>
    <x v="386"/>
    <n v="218.79"/>
  </r>
  <r>
    <s v="AD01-9361"/>
    <x v="2"/>
    <s v="Sep"/>
    <x v="0"/>
    <x v="0"/>
    <s v="Order assembled"/>
    <x v="1"/>
    <x v="0"/>
    <x v="1"/>
    <x v="365"/>
    <n v="224.51"/>
  </r>
  <r>
    <s v="AD01-9363"/>
    <x v="2"/>
    <s v="Sep"/>
    <x v="0"/>
    <x v="0"/>
    <s v="Order assembled"/>
    <x v="1"/>
    <x v="0"/>
    <x v="1"/>
    <x v="389"/>
    <n v="221.65"/>
  </r>
  <r>
    <s v="AD01-9361"/>
    <x v="2"/>
    <s v="Sep"/>
    <x v="0"/>
    <x v="0"/>
    <s v="Order assembled"/>
    <x v="1"/>
    <x v="0"/>
    <x v="0"/>
    <x v="268"/>
    <n v="487.63"/>
  </r>
  <r>
    <s v="AD01-9361"/>
    <x v="2"/>
    <s v="Aug"/>
    <x v="1"/>
    <x v="0"/>
    <s v="Order assembled"/>
    <x v="1"/>
    <x v="0"/>
    <x v="0"/>
    <x v="88"/>
    <n v="363.22"/>
  </r>
  <r>
    <s v="AD01-9362"/>
    <x v="2"/>
    <s v="Aug"/>
    <x v="1"/>
    <x v="0"/>
    <s v="Order assembled"/>
    <x v="1"/>
    <x v="0"/>
    <x v="0"/>
    <x v="218"/>
    <n v="366.08"/>
  </r>
  <r>
    <s v="AD01-9362"/>
    <x v="2"/>
    <s v="Aug"/>
    <x v="1"/>
    <x v="0"/>
    <s v="Order assembled"/>
    <x v="1"/>
    <x v="0"/>
    <x v="0"/>
    <x v="489"/>
    <n v="1374.23"/>
  </r>
  <r>
    <s v="AD01-9362"/>
    <x v="2"/>
    <s v="Aug"/>
    <x v="1"/>
    <x v="0"/>
    <s v="Order assembled"/>
    <x v="1"/>
    <x v="0"/>
    <x v="0"/>
    <x v="210"/>
    <n v="364.65"/>
  </r>
  <r>
    <s v="AD01-9364"/>
    <x v="2"/>
    <s v="Aug"/>
    <x v="1"/>
    <x v="0"/>
    <s v="Order assembled"/>
    <x v="1"/>
    <x v="0"/>
    <x v="0"/>
    <x v="99"/>
    <n v="361.78999999999996"/>
  </r>
  <r>
    <s v="AD01-9364"/>
    <x v="2"/>
    <s v="Aug"/>
    <x v="1"/>
    <x v="0"/>
    <s v="Order assembled"/>
    <x v="1"/>
    <x v="0"/>
    <x v="0"/>
    <x v="102"/>
    <n v="358.93"/>
  </r>
  <r>
    <s v="AD01-9362"/>
    <x v="2"/>
    <s v="Jul"/>
    <x v="1"/>
    <x v="0"/>
    <s v="Order assembled"/>
    <x v="1"/>
    <x v="0"/>
    <x v="0"/>
    <x v="30"/>
    <n v="371.8"/>
  </r>
  <r>
    <s v="AD01-9362"/>
    <x v="2"/>
    <s v="Jul"/>
    <x v="1"/>
    <x v="0"/>
    <s v="Order assembled"/>
    <x v="1"/>
    <x v="0"/>
    <x v="0"/>
    <x v="490"/>
    <n v="1372.8"/>
  </r>
  <r>
    <s v="AD01-9363"/>
    <x v="2"/>
    <s v="Jul"/>
    <x v="1"/>
    <x v="0"/>
    <s v="Order assembled"/>
    <x v="1"/>
    <x v="0"/>
    <x v="0"/>
    <x v="227"/>
    <n v="373.23"/>
  </r>
  <r>
    <s v="AD01-9362"/>
    <x v="2"/>
    <s v="Jul"/>
    <x v="1"/>
    <x v="0"/>
    <s v="Order assembled"/>
    <x v="1"/>
    <x v="0"/>
    <x v="0"/>
    <x v="46"/>
    <n v="370.37"/>
  </r>
  <r>
    <s v="AD01-9362"/>
    <x v="2"/>
    <s v="Jul"/>
    <x v="1"/>
    <x v="0"/>
    <s v="Order assembled"/>
    <x v="1"/>
    <x v="0"/>
    <x v="0"/>
    <x v="214"/>
    <n v="367.51"/>
  </r>
  <r>
    <s v="AD01-9361"/>
    <x v="2"/>
    <s v="Sep"/>
    <x v="1"/>
    <x v="0"/>
    <s v="Order assembled"/>
    <x v="1"/>
    <x v="0"/>
    <x v="0"/>
    <x v="74"/>
    <n v="354.64"/>
  </r>
  <r>
    <s v="AD01-9364"/>
    <x v="2"/>
    <s v="Sep"/>
    <x v="1"/>
    <x v="0"/>
    <s v="Order assembled"/>
    <x v="1"/>
    <x v="0"/>
    <x v="0"/>
    <x v="91"/>
    <n v="526.24"/>
  </r>
  <r>
    <s v="AD01-9362"/>
    <x v="2"/>
    <s v="Sep"/>
    <x v="1"/>
    <x v="0"/>
    <s v="Order assembled"/>
    <x v="1"/>
    <x v="0"/>
    <x v="0"/>
    <x v="81"/>
    <n v="356.07"/>
  </r>
  <r>
    <s v="AD01-9361"/>
    <x v="2"/>
    <s v="Sep"/>
    <x v="1"/>
    <x v="0"/>
    <s v="Order assembled"/>
    <x v="1"/>
    <x v="0"/>
    <x v="0"/>
    <x v="84"/>
    <n v="353.21"/>
  </r>
  <r>
    <s v="AD01-9361"/>
    <x v="2"/>
    <s v="Apr"/>
    <x v="0"/>
    <x v="0"/>
    <s v="Order assembled"/>
    <x v="0"/>
    <x v="0"/>
    <x v="1"/>
    <x v="148"/>
    <n v="484.15999999999997"/>
  </r>
  <r>
    <s v="AD01-9362"/>
    <x v="2"/>
    <s v="Apr"/>
    <x v="0"/>
    <x v="0"/>
    <s v="Order assembled"/>
    <x v="0"/>
    <x v="0"/>
    <x v="1"/>
    <x v="352"/>
    <n v="217.36"/>
  </r>
  <r>
    <s v="AD01-9364"/>
    <x v="2"/>
    <s v="Apr"/>
    <x v="0"/>
    <x v="1"/>
    <s v="Order assembled"/>
    <x v="0"/>
    <x v="0"/>
    <x v="1"/>
    <x v="244"/>
    <n v="503.36"/>
  </r>
  <r>
    <s v="AD01-9361"/>
    <x v="2"/>
    <s v="Apr"/>
    <x v="0"/>
    <x v="1"/>
    <s v="Order assembled"/>
    <x v="0"/>
    <x v="0"/>
    <x v="1"/>
    <x v="361"/>
    <n v="220.22"/>
  </r>
  <r>
    <s v="AD01-9365"/>
    <x v="2"/>
    <s v="Apr"/>
    <x v="0"/>
    <x v="1"/>
    <s v="Order assembled"/>
    <x v="0"/>
    <x v="0"/>
    <x v="1"/>
    <x v="491"/>
    <n v="998.14"/>
  </r>
  <r>
    <s v="AD01-9364"/>
    <x v="2"/>
    <s v="Apr"/>
    <x v="0"/>
    <x v="1"/>
    <s v="Order assembled"/>
    <x v="0"/>
    <x v="0"/>
    <x v="1"/>
    <x v="492"/>
    <n v="1045.33"/>
  </r>
  <r>
    <s v="AD01-9364"/>
    <x v="2"/>
    <s v="Apr"/>
    <x v="0"/>
    <x v="1"/>
    <s v="Order assembled"/>
    <x v="0"/>
    <x v="0"/>
    <x v="1"/>
    <x v="163"/>
    <n v="526.24"/>
  </r>
  <r>
    <s v="AD01-9364"/>
    <x v="2"/>
    <s v="Apr"/>
    <x v="0"/>
    <x v="1"/>
    <s v="Order assembled"/>
    <x v="0"/>
    <x v="0"/>
    <x v="1"/>
    <x v="261"/>
    <n v="507.65"/>
  </r>
  <r>
    <s v="AD01-9364"/>
    <x v="2"/>
    <s v="Apr"/>
    <x v="0"/>
    <x v="1"/>
    <s v="Order assembled"/>
    <x v="0"/>
    <x v="0"/>
    <x v="1"/>
    <x v="365"/>
    <n v="224.51"/>
  </r>
  <r>
    <s v="AD01-9362"/>
    <x v="2"/>
    <s v="Apr"/>
    <x v="0"/>
    <x v="1"/>
    <s v="Order assembled"/>
    <x v="0"/>
    <x v="0"/>
    <x v="1"/>
    <x v="248"/>
    <n v="504.78999999999996"/>
  </r>
  <r>
    <s v="AD01-9362"/>
    <x v="2"/>
    <s v="Apr"/>
    <x v="0"/>
    <x v="1"/>
    <s v="Order assembled"/>
    <x v="0"/>
    <x v="0"/>
    <x v="1"/>
    <x v="389"/>
    <n v="221.65"/>
  </r>
  <r>
    <s v="AD01-9362"/>
    <x v="2"/>
    <s v="Aug"/>
    <x v="0"/>
    <x v="1"/>
    <s v="Order assembled"/>
    <x v="0"/>
    <x v="0"/>
    <x v="1"/>
    <x v="165"/>
    <n v="451.52"/>
  </r>
  <r>
    <s v="AD01-9362"/>
    <x v="2"/>
    <s v="Aug"/>
    <x v="0"/>
    <x v="1"/>
    <s v="Order assembled"/>
    <x v="0"/>
    <x v="0"/>
    <x v="1"/>
    <x v="290"/>
    <n v="191.62"/>
  </r>
  <r>
    <s v="AD01-9361"/>
    <x v="2"/>
    <s v="Aug"/>
    <x v="0"/>
    <x v="1"/>
    <s v="Order assembled"/>
    <x v="0"/>
    <x v="0"/>
    <x v="1"/>
    <x v="249"/>
    <n v="477.62"/>
  </r>
  <r>
    <s v="AD01-9362"/>
    <x v="2"/>
    <s v="Aug"/>
    <x v="0"/>
    <x v="1"/>
    <s v="Order assembled"/>
    <x v="0"/>
    <x v="0"/>
    <x v="1"/>
    <x v="493"/>
    <n v="1003.86"/>
  </r>
  <r>
    <s v="AD01-9361"/>
    <x v="2"/>
    <s v="Aug"/>
    <x v="0"/>
    <x v="1"/>
    <s v="Order assembled"/>
    <x v="0"/>
    <x v="0"/>
    <x v="1"/>
    <x v="494"/>
    <n v="1051.05"/>
  </r>
  <r>
    <s v="AD01-9362"/>
    <x v="2"/>
    <s v="Aug"/>
    <x v="0"/>
    <x v="1"/>
    <s v="Order assembled"/>
    <x v="0"/>
    <x v="0"/>
    <x v="1"/>
    <x v="177"/>
    <n v="526.24"/>
  </r>
  <r>
    <s v="AD01-9365"/>
    <x v="2"/>
    <s v="Aug"/>
    <x v="0"/>
    <x v="1"/>
    <s v="Order assembled"/>
    <x v="0"/>
    <x v="0"/>
    <x v="1"/>
    <x v="145"/>
    <n v="526.24"/>
  </r>
  <r>
    <s v="AD01-9362"/>
    <x v="2"/>
    <s v="Aug"/>
    <x v="0"/>
    <x v="1"/>
    <s v="Order assembled"/>
    <x v="0"/>
    <x v="0"/>
    <x v="1"/>
    <x v="317"/>
    <n v="473.33"/>
  </r>
  <r>
    <s v="AD01-9362"/>
    <x v="2"/>
    <s v="Aug"/>
    <x v="0"/>
    <x v="1"/>
    <s v="Order assembled"/>
    <x v="0"/>
    <x v="0"/>
    <x v="1"/>
    <x v="325"/>
    <n v="190.19"/>
  </r>
  <r>
    <s v="AD01-9363"/>
    <x v="2"/>
    <s v="Aug"/>
    <x v="0"/>
    <x v="1"/>
    <s v="Order assembled"/>
    <x v="0"/>
    <x v="0"/>
    <x v="1"/>
    <x v="253"/>
    <n v="479.05"/>
  </r>
  <r>
    <s v="AD01-9362"/>
    <x v="2"/>
    <s v="Aug"/>
    <x v="0"/>
    <x v="1"/>
    <s v="Order assembled"/>
    <x v="0"/>
    <x v="0"/>
    <x v="1"/>
    <x v="242"/>
    <n v="187.32999999999998"/>
  </r>
  <r>
    <s v="AD01-9363"/>
    <x v="2"/>
    <s v="Dec"/>
    <x v="0"/>
    <x v="1"/>
    <s v="Order assembled"/>
    <x v="0"/>
    <x v="0"/>
    <x v="1"/>
    <x v="254"/>
    <n v="200.2"/>
  </r>
  <r>
    <s v="AD01-9362"/>
    <x v="2"/>
    <s v="Dec"/>
    <x v="0"/>
    <x v="1"/>
    <s v="Order assembled"/>
    <x v="0"/>
    <x v="0"/>
    <x v="1"/>
    <x v="148"/>
    <n v="509.08"/>
  </r>
  <r>
    <s v="AD01-9362"/>
    <x v="2"/>
    <s v="Dec"/>
    <x v="0"/>
    <x v="1"/>
    <s v="Order assembled"/>
    <x v="0"/>
    <x v="0"/>
    <x v="1"/>
    <x v="243"/>
    <n v="443.3"/>
  </r>
  <r>
    <s v="AD01-9361"/>
    <x v="2"/>
    <s v="Dec"/>
    <x v="0"/>
    <x v="1"/>
    <s v="Order assembled"/>
    <x v="0"/>
    <x v="0"/>
    <x v="1"/>
    <x v="272"/>
    <n v="511.94"/>
  </r>
  <r>
    <s v="AD01-9365"/>
    <x v="2"/>
    <s v="Dec"/>
    <x v="0"/>
    <x v="1"/>
    <s v="Order assembled"/>
    <x v="0"/>
    <x v="0"/>
    <x v="1"/>
    <x v="421"/>
    <n v="197.34"/>
  </r>
  <r>
    <s v="AD01-9364"/>
    <x v="2"/>
    <s v="Dec"/>
    <x v="0"/>
    <x v="1"/>
    <s v="Order assembled"/>
    <x v="0"/>
    <x v="0"/>
    <x v="1"/>
    <x v="495"/>
    <n v="1008.15"/>
  </r>
  <r>
    <s v="AD01-9361"/>
    <x v="2"/>
    <s v="Dec"/>
    <x v="0"/>
    <x v="1"/>
    <s v="Order assembled"/>
    <x v="0"/>
    <x v="0"/>
    <x v="1"/>
    <x v="496"/>
    <n v="1055.3399999999999"/>
  </r>
  <r>
    <s v="AD01-9361"/>
    <x v="2"/>
    <s v="Dec"/>
    <x v="0"/>
    <x v="1"/>
    <s v="Order assembled"/>
    <x v="0"/>
    <x v="0"/>
    <x v="1"/>
    <x v="260"/>
    <n v="201.63"/>
  </r>
  <r>
    <s v="AD01-9364"/>
    <x v="2"/>
    <s v="Dec"/>
    <x v="0"/>
    <x v="1"/>
    <s v="Order assembled"/>
    <x v="0"/>
    <x v="0"/>
    <x v="1"/>
    <x v="138"/>
    <n v="526.24"/>
  </r>
  <r>
    <s v="AD01-9365"/>
    <x v="2"/>
    <s v="Dec"/>
    <x v="0"/>
    <x v="1"/>
    <s v="Order assembled"/>
    <x v="0"/>
    <x v="0"/>
    <x v="1"/>
    <x v="202"/>
    <n v="526.24"/>
  </r>
  <r>
    <s v="AD01-9361"/>
    <x v="2"/>
    <s v="Dec"/>
    <x v="0"/>
    <x v="1"/>
    <s v="Order assembled"/>
    <x v="0"/>
    <x v="0"/>
    <x v="1"/>
    <x v="330"/>
    <n v="198.76999999999998"/>
  </r>
  <r>
    <s v="AD01-9362"/>
    <x v="2"/>
    <s v="Dec"/>
    <x v="0"/>
    <x v="1"/>
    <s v="Order assembled"/>
    <x v="0"/>
    <x v="0"/>
    <x v="1"/>
    <x v="314"/>
    <n v="447.59000000000003"/>
  </r>
  <r>
    <s v="AD01-9362"/>
    <x v="2"/>
    <s v="Dec"/>
    <x v="0"/>
    <x v="1"/>
    <s v="Order assembled"/>
    <x v="0"/>
    <x v="0"/>
    <x v="1"/>
    <x v="295"/>
    <n v="195.91"/>
  </r>
  <r>
    <s v="AD01-9361"/>
    <x v="2"/>
    <s v="Dec"/>
    <x v="0"/>
    <x v="1"/>
    <s v="Order assembled"/>
    <x v="0"/>
    <x v="0"/>
    <x v="1"/>
    <x v="270"/>
    <n v="444.73"/>
  </r>
  <r>
    <s v="AD01-9363"/>
    <x v="2"/>
    <s v="Dec"/>
    <x v="0"/>
    <x v="1"/>
    <s v="Order assembled"/>
    <x v="0"/>
    <x v="0"/>
    <x v="1"/>
    <x v="97"/>
    <n v="1068.21"/>
  </r>
  <r>
    <s v="AD01-9361"/>
    <x v="2"/>
    <s v="Feb"/>
    <x v="0"/>
    <x v="1"/>
    <s v="Order assembled"/>
    <x v="0"/>
    <x v="0"/>
    <x v="1"/>
    <x v="147"/>
    <n v="492.32"/>
  </r>
  <r>
    <s v="AD01-9362"/>
    <x v="2"/>
    <s v="Feb"/>
    <x v="0"/>
    <x v="1"/>
    <s v="Order assembled"/>
    <x v="0"/>
    <x v="0"/>
    <x v="1"/>
    <x v="57"/>
    <n v="234.51999999999998"/>
  </r>
  <r>
    <s v="AD01-9364"/>
    <x v="2"/>
    <s v="Feb"/>
    <x v="0"/>
    <x v="1"/>
    <s v="Order assembled"/>
    <x v="0"/>
    <x v="0"/>
    <x v="1"/>
    <x v="285"/>
    <n v="520.52"/>
  </r>
  <r>
    <s v="AD01-9361"/>
    <x v="2"/>
    <s v="Feb"/>
    <x v="0"/>
    <x v="1"/>
    <s v="Order assembled"/>
    <x v="0"/>
    <x v="0"/>
    <x v="1"/>
    <x v="58"/>
    <n v="237.38"/>
  </r>
  <r>
    <s v="AD01-9361"/>
    <x v="2"/>
    <s v="Feb"/>
    <x v="0"/>
    <x v="1"/>
    <s v="Order assembled"/>
    <x v="0"/>
    <x v="0"/>
    <x v="1"/>
    <x v="497"/>
    <n v="995.28"/>
  </r>
  <r>
    <s v="AD01-9364"/>
    <x v="2"/>
    <s v="Feb"/>
    <x v="0"/>
    <x v="1"/>
    <s v="Order assembled"/>
    <x v="0"/>
    <x v="0"/>
    <x v="1"/>
    <x v="156"/>
    <n v="519.09"/>
  </r>
  <r>
    <s v="AD01-9361"/>
    <x v="2"/>
    <s v="Feb"/>
    <x v="0"/>
    <x v="1"/>
    <s v="Order assembled"/>
    <x v="0"/>
    <x v="0"/>
    <x v="1"/>
    <x v="104"/>
    <n v="526.24"/>
  </r>
  <r>
    <s v="AD01-9361"/>
    <x v="2"/>
    <s v="Feb"/>
    <x v="0"/>
    <x v="1"/>
    <s v="Order assembled"/>
    <x v="0"/>
    <x v="0"/>
    <x v="1"/>
    <x v="355"/>
    <n v="524.80999999999995"/>
  </r>
  <r>
    <s v="AD01-9364"/>
    <x v="2"/>
    <s v="Feb"/>
    <x v="0"/>
    <x v="1"/>
    <s v="Order assembled"/>
    <x v="0"/>
    <x v="0"/>
    <x v="1"/>
    <x v="324"/>
    <n v="233.09"/>
  </r>
  <r>
    <s v="AD01-9362"/>
    <x v="2"/>
    <s v="Feb"/>
    <x v="0"/>
    <x v="1"/>
    <s v="Order assembled"/>
    <x v="0"/>
    <x v="0"/>
    <x v="1"/>
    <x v="289"/>
    <n v="521.95000000000005"/>
  </r>
  <r>
    <s v="AD01-9364"/>
    <x v="2"/>
    <s v="Feb"/>
    <x v="0"/>
    <x v="1"/>
    <s v="Order assembled"/>
    <x v="0"/>
    <x v="0"/>
    <x v="1"/>
    <x v="419"/>
    <n v="238.81"/>
  </r>
  <r>
    <s v="AD01-9361"/>
    <x v="2"/>
    <s v="Jan"/>
    <x v="0"/>
    <x v="1"/>
    <s v="Order assembled"/>
    <x v="0"/>
    <x v="0"/>
    <x v="1"/>
    <x v="146"/>
    <n v="500.48"/>
  </r>
  <r>
    <s v="AD01-9362"/>
    <x v="2"/>
    <s v="Jan"/>
    <x v="0"/>
    <x v="1"/>
    <s v="Order assembled"/>
    <x v="0"/>
    <x v="0"/>
    <x v="1"/>
    <x v="190"/>
    <n v="243.1"/>
  </r>
  <r>
    <s v="AD01-9362"/>
    <x v="2"/>
    <s v="Jan"/>
    <x v="0"/>
    <x v="1"/>
    <s v="Order assembled"/>
    <x v="0"/>
    <x v="0"/>
    <x v="1"/>
    <x v="90"/>
    <n v="529.1"/>
  </r>
  <r>
    <s v="AD01-9361"/>
    <x v="2"/>
    <s v="Jan"/>
    <x v="0"/>
    <x v="1"/>
    <s v="Order assembled"/>
    <x v="0"/>
    <x v="0"/>
    <x v="1"/>
    <x v="191"/>
    <n v="245.95999999999998"/>
  </r>
  <r>
    <s v="AD01-9362"/>
    <x v="2"/>
    <s v="Jan"/>
    <x v="0"/>
    <x v="1"/>
    <s v="Order assembled"/>
    <x v="0"/>
    <x v="0"/>
    <x v="1"/>
    <x v="498"/>
    <n v="993.85"/>
  </r>
  <r>
    <s v="AD01-9361"/>
    <x v="2"/>
    <s v="Jan"/>
    <x v="0"/>
    <x v="1"/>
    <s v="Order assembled"/>
    <x v="0"/>
    <x v="0"/>
    <x v="1"/>
    <x v="499"/>
    <n v="1042.47"/>
  </r>
  <r>
    <s v="AD01-9361"/>
    <x v="2"/>
    <s v="Jan"/>
    <x v="0"/>
    <x v="1"/>
    <s v="Order assembled"/>
    <x v="0"/>
    <x v="0"/>
    <x v="1"/>
    <x v="155"/>
    <n v="527.66999999999996"/>
  </r>
  <r>
    <s v="AD01-9364"/>
    <x v="2"/>
    <s v="Jan"/>
    <x v="0"/>
    <x v="1"/>
    <s v="Order assembled"/>
    <x v="0"/>
    <x v="0"/>
    <x v="1"/>
    <x v="224"/>
    <n v="526.24"/>
  </r>
  <r>
    <s v="AD01-9362"/>
    <x v="2"/>
    <s v="Jan"/>
    <x v="0"/>
    <x v="1"/>
    <s v="Order assembled"/>
    <x v="0"/>
    <x v="0"/>
    <x v="1"/>
    <x v="200"/>
    <n v="241.67000000000002"/>
  </r>
  <r>
    <s v="AD01-9362"/>
    <x v="2"/>
    <s v="Jan"/>
    <x v="0"/>
    <x v="1"/>
    <s v="Order assembled"/>
    <x v="0"/>
    <x v="0"/>
    <x v="1"/>
    <x v="302"/>
    <n v="530.53"/>
  </r>
  <r>
    <s v="AD01-9361"/>
    <x v="2"/>
    <s v="Jan"/>
    <x v="0"/>
    <x v="1"/>
    <s v="Order assembled"/>
    <x v="0"/>
    <x v="0"/>
    <x v="1"/>
    <x v="390"/>
    <n v="247.39"/>
  </r>
  <r>
    <s v="AD01-9361"/>
    <x v="2"/>
    <s v="Jul"/>
    <x v="0"/>
    <x v="1"/>
    <s v="Order assembled"/>
    <x v="0"/>
    <x v="0"/>
    <x v="1"/>
    <x v="164"/>
    <n v="459.68"/>
  </r>
  <r>
    <s v="AD01-9365"/>
    <x v="2"/>
    <s v="Jul"/>
    <x v="0"/>
    <x v="1"/>
    <s v="Order assembled"/>
    <x v="0"/>
    <x v="0"/>
    <x v="1"/>
    <x v="254"/>
    <n v="200.2"/>
  </r>
  <r>
    <s v="AD01-9362"/>
    <x v="2"/>
    <s v="Jul"/>
    <x v="0"/>
    <x v="1"/>
    <s v="Order assembled"/>
    <x v="0"/>
    <x v="0"/>
    <x v="1"/>
    <x v="256"/>
    <n v="486.2"/>
  </r>
  <r>
    <s v="AD01-9362"/>
    <x v="2"/>
    <s v="Jul"/>
    <x v="0"/>
    <x v="1"/>
    <s v="Order assembled"/>
    <x v="0"/>
    <x v="0"/>
    <x v="1"/>
    <x v="291"/>
    <n v="194.48"/>
  </r>
  <r>
    <s v="AD01-9361"/>
    <x v="2"/>
    <s v="Jul"/>
    <x v="0"/>
    <x v="1"/>
    <s v="Order assembled"/>
    <x v="0"/>
    <x v="0"/>
    <x v="1"/>
    <x v="500"/>
    <n v="1002.4300000000001"/>
  </r>
  <r>
    <s v="AD01-9364"/>
    <x v="2"/>
    <s v="Jul"/>
    <x v="0"/>
    <x v="1"/>
    <s v="Order assembled"/>
    <x v="0"/>
    <x v="0"/>
    <x v="1"/>
    <x v="501"/>
    <n v="1049.6199999999999"/>
  </r>
  <r>
    <s v="AD01-9361"/>
    <x v="2"/>
    <s v="Jul"/>
    <x v="0"/>
    <x v="1"/>
    <s v="Order assembled"/>
    <x v="0"/>
    <x v="0"/>
    <x v="1"/>
    <x v="15"/>
    <n v="526.24"/>
  </r>
  <r>
    <s v="AD01-9362"/>
    <x v="2"/>
    <s v="Jul"/>
    <x v="0"/>
    <x v="1"/>
    <s v="Order assembled"/>
    <x v="0"/>
    <x v="0"/>
    <x v="1"/>
    <x v="189"/>
    <n v="526.24"/>
  </r>
  <r>
    <s v="AD01-9361"/>
    <x v="2"/>
    <s v="Jul"/>
    <x v="0"/>
    <x v="1"/>
    <s v="Order assembled"/>
    <x v="0"/>
    <x v="0"/>
    <x v="1"/>
    <x v="316"/>
    <n v="481.90999999999997"/>
  </r>
  <r>
    <s v="AD01-9362"/>
    <x v="2"/>
    <s v="Jul"/>
    <x v="0"/>
    <x v="1"/>
    <s v="Order assembled"/>
    <x v="0"/>
    <x v="0"/>
    <x v="1"/>
    <x v="330"/>
    <n v="198.76999999999998"/>
  </r>
  <r>
    <s v="AD01-9365"/>
    <x v="2"/>
    <s v="Jul"/>
    <x v="0"/>
    <x v="1"/>
    <s v="Order assembled"/>
    <x v="0"/>
    <x v="0"/>
    <x v="1"/>
    <x v="295"/>
    <n v="195.91"/>
  </r>
  <r>
    <s v="AD01-9365"/>
    <x v="2"/>
    <s v="Jun"/>
    <x v="0"/>
    <x v="1"/>
    <s v="Order assembled"/>
    <x v="0"/>
    <x v="0"/>
    <x v="1"/>
    <x v="1"/>
    <n v="467.84"/>
  </r>
  <r>
    <s v="AD01-9361"/>
    <x v="2"/>
    <s v="Jun"/>
    <x v="0"/>
    <x v="1"/>
    <s v="Order assembled"/>
    <x v="0"/>
    <x v="0"/>
    <x v="1"/>
    <x v="271"/>
    <n v="208.78"/>
  </r>
  <r>
    <s v="AD01-9362"/>
    <x v="2"/>
    <s v="Jun"/>
    <x v="0"/>
    <x v="1"/>
    <s v="Order assembled"/>
    <x v="0"/>
    <x v="0"/>
    <x v="1"/>
    <x v="257"/>
    <n v="203.06"/>
  </r>
  <r>
    <s v="AD01-9361"/>
    <x v="2"/>
    <s v="Jun"/>
    <x v="0"/>
    <x v="1"/>
    <s v="Order assembled"/>
    <x v="0"/>
    <x v="0"/>
    <x v="1"/>
    <x v="502"/>
    <n v="1001"/>
  </r>
  <r>
    <s v="AD01-9362"/>
    <x v="2"/>
    <s v="Jun"/>
    <x v="0"/>
    <x v="1"/>
    <s v="Order assembled"/>
    <x v="0"/>
    <x v="0"/>
    <x v="1"/>
    <x v="503"/>
    <n v="1048.19"/>
  </r>
  <r>
    <s v="AD01-9362"/>
    <x v="2"/>
    <s v="Jun"/>
    <x v="0"/>
    <x v="1"/>
    <s v="Order assembled"/>
    <x v="0"/>
    <x v="0"/>
    <x v="1"/>
    <x v="14"/>
    <n v="526.24"/>
  </r>
  <r>
    <s v="AD01-9362"/>
    <x v="2"/>
    <s v="Jun"/>
    <x v="0"/>
    <x v="1"/>
    <s v="Order assembled"/>
    <x v="0"/>
    <x v="0"/>
    <x v="1"/>
    <x v="263"/>
    <n v="490.49"/>
  </r>
  <r>
    <s v="AD01-9362"/>
    <x v="2"/>
    <s v="Jun"/>
    <x v="0"/>
    <x v="1"/>
    <s v="Order assembled"/>
    <x v="0"/>
    <x v="0"/>
    <x v="1"/>
    <x v="340"/>
    <n v="207.35"/>
  </r>
  <r>
    <s v="AD01-9362"/>
    <x v="2"/>
    <s v="Jun"/>
    <x v="0"/>
    <x v="1"/>
    <s v="Order assembled"/>
    <x v="0"/>
    <x v="0"/>
    <x v="1"/>
    <x v="268"/>
    <n v="487.63"/>
  </r>
  <r>
    <s v="AD01-9361"/>
    <x v="2"/>
    <s v="Jun"/>
    <x v="0"/>
    <x v="1"/>
    <s v="Order assembled"/>
    <x v="0"/>
    <x v="0"/>
    <x v="1"/>
    <x v="269"/>
    <n v="204.49"/>
  </r>
  <r>
    <s v="AD01-9365"/>
    <x v="2"/>
    <s v="Mar"/>
    <x v="0"/>
    <x v="1"/>
    <s v="Order assembled"/>
    <x v="0"/>
    <x v="0"/>
    <x v="1"/>
    <x v="319"/>
    <n v="225.94"/>
  </r>
  <r>
    <s v="AD01-9364"/>
    <x v="2"/>
    <s v="Mar"/>
    <x v="0"/>
    <x v="1"/>
    <s v="Order assembled"/>
    <x v="0"/>
    <x v="0"/>
    <x v="1"/>
    <x v="272"/>
    <n v="511.94"/>
  </r>
  <r>
    <s v="AD01-9364"/>
    <x v="2"/>
    <s v="Mar"/>
    <x v="0"/>
    <x v="1"/>
    <s v="Order assembled"/>
    <x v="0"/>
    <x v="0"/>
    <x v="1"/>
    <x v="320"/>
    <n v="228.8"/>
  </r>
  <r>
    <s v="AD01-9363"/>
    <x v="2"/>
    <s v="Mar"/>
    <x v="0"/>
    <x v="1"/>
    <s v="Order assembled"/>
    <x v="0"/>
    <x v="0"/>
    <x v="1"/>
    <x v="504"/>
    <n v="996.71"/>
  </r>
  <r>
    <s v="AD01-9363"/>
    <x v="2"/>
    <s v="Mar"/>
    <x v="0"/>
    <x v="1"/>
    <s v="Order assembled"/>
    <x v="0"/>
    <x v="0"/>
    <x v="1"/>
    <x v="505"/>
    <n v="1043.9000000000001"/>
  </r>
  <r>
    <s v="AD01-9361"/>
    <x v="2"/>
    <s v="Mar"/>
    <x v="0"/>
    <x v="1"/>
    <s v="Order assembled"/>
    <x v="0"/>
    <x v="0"/>
    <x v="1"/>
    <x v="157"/>
    <n v="510.51"/>
  </r>
  <r>
    <s v="AD01-9362"/>
    <x v="2"/>
    <s v="Mar"/>
    <x v="0"/>
    <x v="1"/>
    <s v="Order assembled"/>
    <x v="0"/>
    <x v="0"/>
    <x v="1"/>
    <x v="63"/>
    <n v="526.24"/>
  </r>
  <r>
    <s v="AD01-9362"/>
    <x v="2"/>
    <s v="Mar"/>
    <x v="0"/>
    <x v="1"/>
    <s v="Order assembled"/>
    <x v="0"/>
    <x v="0"/>
    <x v="1"/>
    <x v="350"/>
    <n v="516.23"/>
  </r>
  <r>
    <s v="AD01-9362"/>
    <x v="2"/>
    <s v="Mar"/>
    <x v="0"/>
    <x v="1"/>
    <s v="Order assembled"/>
    <x v="0"/>
    <x v="0"/>
    <x v="1"/>
    <x v="284"/>
    <n v="513.37"/>
  </r>
  <r>
    <s v="AD01-9362"/>
    <x v="2"/>
    <s v="Mar"/>
    <x v="0"/>
    <x v="1"/>
    <s v="Order assembled"/>
    <x v="0"/>
    <x v="0"/>
    <x v="1"/>
    <x v="388"/>
    <n v="230.23000000000002"/>
  </r>
  <r>
    <s v="AD01-9362"/>
    <x v="2"/>
    <s v="May"/>
    <x v="0"/>
    <x v="1"/>
    <s v="Order assembled"/>
    <x v="0"/>
    <x v="0"/>
    <x v="1"/>
    <x v="0"/>
    <n v="476"/>
  </r>
  <r>
    <s v="AD01-9362"/>
    <x v="2"/>
    <s v="May"/>
    <x v="0"/>
    <x v="1"/>
    <s v="Order assembled"/>
    <x v="0"/>
    <x v="0"/>
    <x v="1"/>
    <x v="255"/>
    <n v="494.78"/>
  </r>
  <r>
    <s v="AD01-9364"/>
    <x v="2"/>
    <s v="May"/>
    <x v="0"/>
    <x v="1"/>
    <s v="Order assembled"/>
    <x v="0"/>
    <x v="0"/>
    <x v="1"/>
    <x v="273"/>
    <n v="211.64"/>
  </r>
  <r>
    <s v="AD01-9362"/>
    <x v="2"/>
    <s v="May"/>
    <x v="0"/>
    <x v="1"/>
    <s v="Order assembled"/>
    <x v="0"/>
    <x v="0"/>
    <x v="1"/>
    <x v="506"/>
    <n v="999.56999999999994"/>
  </r>
  <r>
    <s v="AD01-9361"/>
    <x v="2"/>
    <s v="May"/>
    <x v="0"/>
    <x v="1"/>
    <s v="Order assembled"/>
    <x v="0"/>
    <x v="0"/>
    <x v="1"/>
    <x v="507"/>
    <n v="1046.76"/>
  </r>
  <r>
    <s v="AD01-9361"/>
    <x v="2"/>
    <s v="May"/>
    <x v="0"/>
    <x v="1"/>
    <s v="Order assembled"/>
    <x v="0"/>
    <x v="0"/>
    <x v="1"/>
    <x v="13"/>
    <n v="526.24"/>
  </r>
  <r>
    <s v="AD01-9362"/>
    <x v="2"/>
    <s v="May"/>
    <x v="0"/>
    <x v="1"/>
    <s v="Order assembled"/>
    <x v="0"/>
    <x v="0"/>
    <x v="1"/>
    <x v="26"/>
    <n v="526.24"/>
  </r>
  <r>
    <s v="AD01-9364"/>
    <x v="2"/>
    <s v="May"/>
    <x v="0"/>
    <x v="1"/>
    <s v="Order assembled"/>
    <x v="0"/>
    <x v="0"/>
    <x v="1"/>
    <x v="262"/>
    <n v="499.07"/>
  </r>
  <r>
    <s v="AD01-9362"/>
    <x v="2"/>
    <s v="May"/>
    <x v="0"/>
    <x v="1"/>
    <s v="Order assembled"/>
    <x v="0"/>
    <x v="0"/>
    <x v="1"/>
    <x v="344"/>
    <n v="215.93"/>
  </r>
  <r>
    <s v="AD01-9364"/>
    <x v="2"/>
    <s v="May"/>
    <x v="0"/>
    <x v="1"/>
    <s v="Order assembled"/>
    <x v="0"/>
    <x v="0"/>
    <x v="1"/>
    <x v="280"/>
    <n v="496.21000000000004"/>
  </r>
  <r>
    <s v="AD01-9362"/>
    <x v="2"/>
    <s v="May"/>
    <x v="0"/>
    <x v="1"/>
    <s v="Order assembled"/>
    <x v="0"/>
    <x v="0"/>
    <x v="1"/>
    <x v="345"/>
    <n v="213.07"/>
  </r>
  <r>
    <s v="AD01-9364"/>
    <x v="2"/>
    <s v="Nov"/>
    <x v="0"/>
    <x v="1"/>
    <s v="Order assembled"/>
    <x v="0"/>
    <x v="0"/>
    <x v="1"/>
    <x v="271"/>
    <n v="208.78"/>
  </r>
  <r>
    <s v="AD01-9365"/>
    <x v="2"/>
    <s v="Nov"/>
    <x v="0"/>
    <x v="1"/>
    <s v="Order assembled"/>
    <x v="0"/>
    <x v="0"/>
    <x v="1"/>
    <x v="126"/>
    <n v="449.02"/>
  </r>
  <r>
    <s v="AD01-9361"/>
    <x v="2"/>
    <s v="Nov"/>
    <x v="0"/>
    <x v="1"/>
    <s v="Order assembled"/>
    <x v="0"/>
    <x v="0"/>
    <x v="1"/>
    <x v="147"/>
    <n v="517.66"/>
  </r>
  <r>
    <s v="AD01-9364"/>
    <x v="2"/>
    <s v="Nov"/>
    <x v="0"/>
    <x v="1"/>
    <s v="Order assembled"/>
    <x v="0"/>
    <x v="0"/>
    <x v="1"/>
    <x v="257"/>
    <n v="203.06"/>
  </r>
  <r>
    <s v="AD01-9361"/>
    <x v="2"/>
    <s v="Nov"/>
    <x v="0"/>
    <x v="1"/>
    <s v="Order assembled"/>
    <x v="0"/>
    <x v="0"/>
    <x v="1"/>
    <x v="274"/>
    <n v="451.88"/>
  </r>
  <r>
    <s v="AD01-9362"/>
    <x v="2"/>
    <s v="Nov"/>
    <x v="0"/>
    <x v="1"/>
    <s v="Order assembled"/>
    <x v="0"/>
    <x v="0"/>
    <x v="1"/>
    <x v="285"/>
    <n v="520.52"/>
  </r>
  <r>
    <s v="AD01-9361"/>
    <x v="2"/>
    <s v="Nov"/>
    <x v="0"/>
    <x v="1"/>
    <s v="Order assembled"/>
    <x v="0"/>
    <x v="0"/>
    <x v="1"/>
    <x v="420"/>
    <n v="205.92000000000002"/>
  </r>
  <r>
    <s v="AD01-9364"/>
    <x v="2"/>
    <s v="Nov"/>
    <x v="0"/>
    <x v="1"/>
    <s v="Order assembled"/>
    <x v="0"/>
    <x v="0"/>
    <x v="1"/>
    <x v="508"/>
    <n v="1006.72"/>
  </r>
  <r>
    <s v="AD01-9364"/>
    <x v="2"/>
    <s v="Nov"/>
    <x v="0"/>
    <x v="1"/>
    <s v="Order assembled"/>
    <x v="0"/>
    <x v="0"/>
    <x v="1"/>
    <x v="137"/>
    <n v="526.24"/>
  </r>
  <r>
    <s v="AD01-9361"/>
    <x v="2"/>
    <s v="Nov"/>
    <x v="0"/>
    <x v="1"/>
    <s v="Order assembled"/>
    <x v="0"/>
    <x v="0"/>
    <x v="1"/>
    <x v="216"/>
    <n v="526.24"/>
  </r>
  <r>
    <s v="AD01-9362"/>
    <x v="2"/>
    <s v="Nov"/>
    <x v="0"/>
    <x v="1"/>
    <s v="Order assembled"/>
    <x v="0"/>
    <x v="0"/>
    <x v="1"/>
    <x v="340"/>
    <n v="207.35"/>
  </r>
  <r>
    <s v="AD01-9362"/>
    <x v="2"/>
    <s v="Nov"/>
    <x v="0"/>
    <x v="1"/>
    <s v="Order assembled"/>
    <x v="0"/>
    <x v="0"/>
    <x v="1"/>
    <x v="313"/>
    <n v="456.16999999999996"/>
  </r>
  <r>
    <s v="AD01-9364"/>
    <x v="2"/>
    <s v="Nov"/>
    <x v="0"/>
    <x v="1"/>
    <s v="Order assembled"/>
    <x v="0"/>
    <x v="0"/>
    <x v="1"/>
    <x v="350"/>
    <n v="516.23"/>
  </r>
  <r>
    <s v="AD01-9361"/>
    <x v="2"/>
    <s v="Nov"/>
    <x v="0"/>
    <x v="1"/>
    <s v="Order assembled"/>
    <x v="0"/>
    <x v="0"/>
    <x v="1"/>
    <x v="269"/>
    <n v="204.49"/>
  </r>
  <r>
    <s v="AD01-9361"/>
    <x v="2"/>
    <s v="Nov"/>
    <x v="0"/>
    <x v="1"/>
    <s v="Order assembled"/>
    <x v="0"/>
    <x v="0"/>
    <x v="1"/>
    <x v="281"/>
    <n v="453.31"/>
  </r>
  <r>
    <s v="AD01-9364"/>
    <x v="2"/>
    <s v="Nov"/>
    <x v="0"/>
    <x v="1"/>
    <s v="Order assembled"/>
    <x v="0"/>
    <x v="0"/>
    <x v="1"/>
    <x v="509"/>
    <n v="1066.78"/>
  </r>
  <r>
    <s v="AD01-9362"/>
    <x v="2"/>
    <s v="Oct"/>
    <x v="0"/>
    <x v="1"/>
    <s v="Order assembled"/>
    <x v="0"/>
    <x v="0"/>
    <x v="1"/>
    <x v="352"/>
    <n v="217.36"/>
  </r>
  <r>
    <s v="AD01-9363"/>
    <x v="2"/>
    <s v="Oct"/>
    <x v="0"/>
    <x v="1"/>
    <s v="Order assembled"/>
    <x v="0"/>
    <x v="0"/>
    <x v="1"/>
    <x v="125"/>
    <n v="457.6"/>
  </r>
  <r>
    <s v="AD01-9364"/>
    <x v="2"/>
    <s v="Oct"/>
    <x v="0"/>
    <x v="1"/>
    <s v="Order assembled"/>
    <x v="0"/>
    <x v="0"/>
    <x v="1"/>
    <x v="146"/>
    <n v="526.24"/>
  </r>
  <r>
    <s v="AD01-9361"/>
    <x v="2"/>
    <s v="Oct"/>
    <x v="0"/>
    <x v="1"/>
    <s v="Order assembled"/>
    <x v="0"/>
    <x v="0"/>
    <x v="1"/>
    <x v="273"/>
    <n v="211.64"/>
  </r>
  <r>
    <s v="AD01-9361"/>
    <x v="2"/>
    <s v="Oct"/>
    <x v="0"/>
    <x v="1"/>
    <s v="Order assembled"/>
    <x v="0"/>
    <x v="0"/>
    <x v="1"/>
    <x v="297"/>
    <n v="460.46000000000004"/>
  </r>
  <r>
    <s v="AD01-9362"/>
    <x v="2"/>
    <s v="Oct"/>
    <x v="0"/>
    <x v="1"/>
    <s v="Order assembled"/>
    <x v="0"/>
    <x v="0"/>
    <x v="1"/>
    <x v="90"/>
    <n v="529.1"/>
  </r>
  <r>
    <s v="AD01-9361"/>
    <x v="2"/>
    <s v="Oct"/>
    <x v="0"/>
    <x v="1"/>
    <s v="Order assembled"/>
    <x v="0"/>
    <x v="0"/>
    <x v="1"/>
    <x v="382"/>
    <n v="214.5"/>
  </r>
  <r>
    <s v="AD01-9364"/>
    <x v="2"/>
    <s v="Oct"/>
    <x v="0"/>
    <x v="1"/>
    <s v="Order assembled"/>
    <x v="0"/>
    <x v="0"/>
    <x v="1"/>
    <x v="510"/>
    <n v="1005.29"/>
  </r>
  <r>
    <s v="AD01-9365"/>
    <x v="2"/>
    <s v="Oct"/>
    <x v="0"/>
    <x v="1"/>
    <s v="Order assembled"/>
    <x v="0"/>
    <x v="0"/>
    <x v="1"/>
    <x v="511"/>
    <n v="1053.9099999999999"/>
  </r>
  <r>
    <s v="AD01-9365"/>
    <x v="2"/>
    <s v="Oct"/>
    <x v="0"/>
    <x v="1"/>
    <s v="Order assembled"/>
    <x v="0"/>
    <x v="0"/>
    <x v="1"/>
    <x v="277"/>
    <n v="210.21"/>
  </r>
  <r>
    <s v="AD01-9362"/>
    <x v="2"/>
    <s v="Oct"/>
    <x v="0"/>
    <x v="1"/>
    <s v="Order assembled"/>
    <x v="0"/>
    <x v="0"/>
    <x v="1"/>
    <x v="136"/>
    <n v="526.24"/>
  </r>
  <r>
    <s v="AD01-9361"/>
    <x v="2"/>
    <s v="Oct"/>
    <x v="0"/>
    <x v="1"/>
    <s v="Order assembled"/>
    <x v="0"/>
    <x v="0"/>
    <x v="1"/>
    <x v="52"/>
    <n v="526.24"/>
  </r>
  <r>
    <s v="AD01-9362"/>
    <x v="2"/>
    <s v="Oct"/>
    <x v="0"/>
    <x v="1"/>
    <s v="Order assembled"/>
    <x v="0"/>
    <x v="0"/>
    <x v="1"/>
    <x v="344"/>
    <n v="215.93"/>
  </r>
  <r>
    <s v="AD01-9361"/>
    <x v="2"/>
    <s v="Oct"/>
    <x v="0"/>
    <x v="1"/>
    <s v="Order assembled"/>
    <x v="0"/>
    <x v="0"/>
    <x v="1"/>
    <x v="355"/>
    <n v="524.80999999999995"/>
  </r>
  <r>
    <s v="AD01-9364"/>
    <x v="2"/>
    <s v="Oct"/>
    <x v="0"/>
    <x v="1"/>
    <s v="Order assembled"/>
    <x v="0"/>
    <x v="0"/>
    <x v="1"/>
    <x v="345"/>
    <n v="213.07"/>
  </r>
  <r>
    <s v="AD01-9364"/>
    <x v="2"/>
    <s v="Oct"/>
    <x v="0"/>
    <x v="1"/>
    <s v="Order assembled"/>
    <x v="0"/>
    <x v="0"/>
    <x v="1"/>
    <x v="301"/>
    <n v="461.89"/>
  </r>
  <r>
    <s v="AD01-9362"/>
    <x v="2"/>
    <s v="Oct"/>
    <x v="0"/>
    <x v="1"/>
    <s v="Order assembled"/>
    <x v="0"/>
    <x v="0"/>
    <x v="1"/>
    <x v="302"/>
    <n v="530.53"/>
  </r>
  <r>
    <s v="AD01-9361"/>
    <x v="2"/>
    <s v="Sep"/>
    <x v="0"/>
    <x v="1"/>
    <s v="Order assembled"/>
    <x v="0"/>
    <x v="0"/>
    <x v="1"/>
    <x v="166"/>
    <n v="443.36"/>
  </r>
  <r>
    <s v="AD01-9363"/>
    <x v="2"/>
    <s v="Sep"/>
    <x v="0"/>
    <x v="1"/>
    <s v="Order assembled"/>
    <x v="0"/>
    <x v="0"/>
    <x v="1"/>
    <x v="233"/>
    <n v="183.04"/>
  </r>
  <r>
    <s v="AD01-9361"/>
    <x v="2"/>
    <s v="Sep"/>
    <x v="0"/>
    <x v="1"/>
    <s v="Order assembled"/>
    <x v="0"/>
    <x v="0"/>
    <x v="1"/>
    <x v="234"/>
    <n v="469.03999999999996"/>
  </r>
  <r>
    <s v="AD01-9361"/>
    <x v="2"/>
    <s v="Sep"/>
    <x v="0"/>
    <x v="1"/>
    <s v="Order assembled"/>
    <x v="0"/>
    <x v="0"/>
    <x v="1"/>
    <x v="235"/>
    <n v="185.9"/>
  </r>
  <r>
    <s v="AD01-9362"/>
    <x v="2"/>
    <s v="Sep"/>
    <x v="0"/>
    <x v="1"/>
    <s v="Order assembled"/>
    <x v="0"/>
    <x v="0"/>
    <x v="1"/>
    <x v="512"/>
    <n v="1052.48"/>
  </r>
  <r>
    <s v="AD01-9361"/>
    <x v="2"/>
    <s v="Sep"/>
    <x v="0"/>
    <x v="1"/>
    <s v="Order assembled"/>
    <x v="0"/>
    <x v="0"/>
    <x v="1"/>
    <x v="178"/>
    <n v="526.24"/>
  </r>
  <r>
    <s v="AD01-9362"/>
    <x v="2"/>
    <s v="Sep"/>
    <x v="0"/>
    <x v="1"/>
    <s v="Order assembled"/>
    <x v="0"/>
    <x v="0"/>
    <x v="1"/>
    <x v="124"/>
    <n v="526.24"/>
  </r>
  <r>
    <s v="AD01-9362"/>
    <x v="2"/>
    <s v="Sep"/>
    <x v="0"/>
    <x v="1"/>
    <s v="Order assembled"/>
    <x v="0"/>
    <x v="0"/>
    <x v="1"/>
    <x v="318"/>
    <n v="464.75"/>
  </r>
  <r>
    <s v="AD01-9361"/>
    <x v="2"/>
    <s v="Sep"/>
    <x v="0"/>
    <x v="1"/>
    <s v="Order assembled"/>
    <x v="0"/>
    <x v="0"/>
    <x v="1"/>
    <x v="366"/>
    <n v="181.61"/>
  </r>
  <r>
    <s v="AD01-9361"/>
    <x v="2"/>
    <s v="Sep"/>
    <x v="0"/>
    <x v="1"/>
    <s v="Order assembled"/>
    <x v="0"/>
    <x v="0"/>
    <x v="1"/>
    <x v="241"/>
    <n v="470.47"/>
  </r>
  <r>
    <s v="AD01-9364"/>
    <x v="2"/>
    <s v="Apr"/>
    <x v="1"/>
    <x v="0"/>
    <s v="Order assembled"/>
    <x v="0"/>
    <x v="0"/>
    <x v="1"/>
    <x v="217"/>
    <n v="260.26"/>
  </r>
  <r>
    <s v="AD01-9362"/>
    <x v="2"/>
    <s v="Apr"/>
    <x v="1"/>
    <x v="0"/>
    <s v="Order assembled"/>
    <x v="0"/>
    <x v="0"/>
    <x v="1"/>
    <x v="203"/>
    <n v="251.68"/>
  </r>
  <r>
    <s v="AD01-9361"/>
    <x v="2"/>
    <s v="Apr"/>
    <x v="1"/>
    <x v="0"/>
    <s v="Order assembled"/>
    <x v="0"/>
    <x v="0"/>
    <x v="0"/>
    <x v="129"/>
    <n v="286"/>
  </r>
  <r>
    <s v="AD01-9362"/>
    <x v="2"/>
    <s v="Apr"/>
    <x v="1"/>
    <x v="0"/>
    <s v="Order assembled"/>
    <x v="0"/>
    <x v="0"/>
    <x v="0"/>
    <x v="74"/>
    <n v="354.64"/>
  </r>
  <r>
    <s v="AD01-9361"/>
    <x v="2"/>
    <s v="Apr"/>
    <x v="1"/>
    <x v="0"/>
    <s v="Order assembled"/>
    <x v="0"/>
    <x v="0"/>
    <x v="0"/>
    <x v="219"/>
    <n v="263.12"/>
  </r>
  <r>
    <s v="AD01-9361"/>
    <x v="2"/>
    <s v="Apr"/>
    <x v="1"/>
    <x v="0"/>
    <s v="Order assembled"/>
    <x v="0"/>
    <x v="0"/>
    <x v="0"/>
    <x v="204"/>
    <n v="254.54"/>
  </r>
  <r>
    <s v="AD01-9362"/>
    <x v="2"/>
    <s v="Apr"/>
    <x v="1"/>
    <x v="0"/>
    <s v="Order assembled"/>
    <x v="0"/>
    <x v="0"/>
    <x v="0"/>
    <x v="191"/>
    <n v="245.95999999999998"/>
  </r>
  <r>
    <s v="AD01-9361"/>
    <x v="2"/>
    <s v="Apr"/>
    <x v="1"/>
    <x v="0"/>
    <s v="Order assembled"/>
    <x v="0"/>
    <x v="0"/>
    <x v="0"/>
    <x v="170"/>
    <n v="526.24"/>
  </r>
  <r>
    <s v="AD01-9362"/>
    <x v="2"/>
    <s v="Apr"/>
    <x v="1"/>
    <x v="0"/>
    <s v="Order assembled"/>
    <x v="0"/>
    <x v="0"/>
    <x v="0"/>
    <x v="91"/>
    <n v="526.24"/>
  </r>
  <r>
    <s v="AD01-9363"/>
    <x v="2"/>
    <s v="Apr"/>
    <x v="1"/>
    <x v="0"/>
    <s v="Order assembled"/>
    <x v="0"/>
    <x v="0"/>
    <x v="0"/>
    <x v="207"/>
    <n v="351.78"/>
  </r>
  <r>
    <s v="AD01-9361"/>
    <x v="2"/>
    <s v="Apr"/>
    <x v="1"/>
    <x v="0"/>
    <s v="Order assembled"/>
    <x v="0"/>
    <x v="0"/>
    <x v="0"/>
    <x v="197"/>
    <n v="287.43"/>
  </r>
  <r>
    <s v="AD01-9364"/>
    <x v="2"/>
    <s v="Apr"/>
    <x v="1"/>
    <x v="0"/>
    <s v="Order assembled"/>
    <x v="0"/>
    <x v="0"/>
    <x v="0"/>
    <x v="81"/>
    <n v="356.07"/>
  </r>
  <r>
    <s v="AD01-9361"/>
    <x v="2"/>
    <s v="Apr"/>
    <x v="1"/>
    <x v="0"/>
    <s v="Order assembled"/>
    <x v="0"/>
    <x v="0"/>
    <x v="0"/>
    <x v="231"/>
    <n v="258.83"/>
  </r>
  <r>
    <s v="AD01-9361"/>
    <x v="2"/>
    <s v="Apr"/>
    <x v="1"/>
    <x v="0"/>
    <s v="Order assembled"/>
    <x v="0"/>
    <x v="0"/>
    <x v="0"/>
    <x v="213"/>
    <n v="250.25"/>
  </r>
  <r>
    <s v="AD01-9362"/>
    <x v="2"/>
    <s v="Apr"/>
    <x v="1"/>
    <x v="0"/>
    <s v="Order assembled"/>
    <x v="0"/>
    <x v="0"/>
    <x v="0"/>
    <x v="513"/>
    <n v="1132.56"/>
  </r>
  <r>
    <s v="AD01-9362"/>
    <x v="2"/>
    <s v="Apr"/>
    <x v="1"/>
    <x v="0"/>
    <s v="Order assembled"/>
    <x v="0"/>
    <x v="0"/>
    <x v="0"/>
    <x v="331"/>
    <n v="1179.75"/>
  </r>
  <r>
    <s v="AD01-9361"/>
    <x v="2"/>
    <s v="Apr"/>
    <x v="1"/>
    <x v="0"/>
    <s v="Order assembled"/>
    <x v="0"/>
    <x v="0"/>
    <x v="1"/>
    <x v="402"/>
    <n v="264.55"/>
  </r>
  <r>
    <s v="AD01-9365"/>
    <x v="2"/>
    <s v="Apr"/>
    <x v="1"/>
    <x v="0"/>
    <s v="Order assembled"/>
    <x v="0"/>
    <x v="0"/>
    <x v="1"/>
    <x v="403"/>
    <n v="255.97"/>
  </r>
  <r>
    <s v="AD01-9364"/>
    <x v="2"/>
    <s v="Apr"/>
    <x v="1"/>
    <x v="0"/>
    <s v="Order assembled"/>
    <x v="0"/>
    <x v="0"/>
    <x v="1"/>
    <x v="390"/>
    <n v="247.39"/>
  </r>
  <r>
    <s v="AD01-9361"/>
    <x v="2"/>
    <s v="Apr"/>
    <x v="1"/>
    <x v="0"/>
    <s v="Order assembled"/>
    <x v="0"/>
    <x v="0"/>
    <x v="0"/>
    <x v="215"/>
    <n v="290.28999999999996"/>
  </r>
  <r>
    <s v="AD01-9363"/>
    <x v="2"/>
    <s v="Aug"/>
    <x v="1"/>
    <x v="0"/>
    <s v="Order assembled"/>
    <x v="0"/>
    <x v="0"/>
    <x v="1"/>
    <x v="146"/>
    <n v="526.24"/>
  </r>
  <r>
    <s v="AD01-9362"/>
    <x v="2"/>
    <s v="Aug"/>
    <x v="1"/>
    <x v="0"/>
    <s v="Order assembled"/>
    <x v="0"/>
    <x v="0"/>
    <x v="1"/>
    <x v="147"/>
    <n v="517.66"/>
  </r>
  <r>
    <s v="AD01-9362"/>
    <x v="2"/>
    <s v="Aug"/>
    <x v="1"/>
    <x v="0"/>
    <s v="Order assembled"/>
    <x v="0"/>
    <x v="0"/>
    <x v="1"/>
    <x v="148"/>
    <n v="509.08"/>
  </r>
  <r>
    <s v="AD01-9362"/>
    <x v="2"/>
    <s v="Aug"/>
    <x v="1"/>
    <x v="0"/>
    <s v="Order assembled"/>
    <x v="0"/>
    <x v="0"/>
    <x v="0"/>
    <x v="217"/>
    <n v="260.26"/>
  </r>
  <r>
    <s v="AD01-9364"/>
    <x v="2"/>
    <s v="Aug"/>
    <x v="1"/>
    <x v="0"/>
    <s v="Order assembled"/>
    <x v="0"/>
    <x v="0"/>
    <x v="0"/>
    <x v="53"/>
    <n v="320.32"/>
  </r>
  <r>
    <s v="AD01-9364"/>
    <x v="2"/>
    <s v="Aug"/>
    <x v="1"/>
    <x v="0"/>
    <s v="Order assembled"/>
    <x v="0"/>
    <x v="0"/>
    <x v="0"/>
    <x v="285"/>
    <n v="520.52"/>
  </r>
  <r>
    <s v="AD01-9362"/>
    <x v="2"/>
    <s v="Aug"/>
    <x v="1"/>
    <x v="0"/>
    <s v="Order assembled"/>
    <x v="0"/>
    <x v="0"/>
    <x v="0"/>
    <x v="272"/>
    <n v="511.94"/>
  </r>
  <r>
    <s v="AD01-9365"/>
    <x v="2"/>
    <s v="Aug"/>
    <x v="1"/>
    <x v="0"/>
    <s v="Order assembled"/>
    <x v="0"/>
    <x v="0"/>
    <x v="0"/>
    <x v="204"/>
    <n v="526.24"/>
  </r>
  <r>
    <s v="AD01-9364"/>
    <x v="2"/>
    <s v="Aug"/>
    <x v="1"/>
    <x v="0"/>
    <s v="Order assembled"/>
    <x v="0"/>
    <x v="0"/>
    <x v="0"/>
    <x v="93"/>
    <n v="526.24"/>
  </r>
  <r>
    <s v="AD01-9362"/>
    <x v="2"/>
    <s v="Aug"/>
    <x v="1"/>
    <x v="0"/>
    <s v="Order assembled"/>
    <x v="0"/>
    <x v="0"/>
    <x v="0"/>
    <x v="514"/>
    <n v="1450.02"/>
  </r>
  <r>
    <s v="AD01-9362"/>
    <x v="2"/>
    <s v="Aug"/>
    <x v="1"/>
    <x v="0"/>
    <s v="Order assembled"/>
    <x v="0"/>
    <x v="0"/>
    <x v="0"/>
    <x v="194"/>
    <n v="326.03999999999996"/>
  </r>
  <r>
    <s v="AD01-9362"/>
    <x v="2"/>
    <s v="Aug"/>
    <x v="1"/>
    <x v="0"/>
    <s v="Order assembled"/>
    <x v="0"/>
    <x v="0"/>
    <x v="0"/>
    <x v="64"/>
    <n v="321.75"/>
  </r>
  <r>
    <s v="AD01-9362"/>
    <x v="2"/>
    <s v="Aug"/>
    <x v="1"/>
    <x v="0"/>
    <s v="Order assembled"/>
    <x v="0"/>
    <x v="0"/>
    <x v="0"/>
    <x v="355"/>
    <n v="524.80999999999995"/>
  </r>
  <r>
    <s v="AD01-9362"/>
    <x v="2"/>
    <s v="Aug"/>
    <x v="1"/>
    <x v="0"/>
    <s v="Order assembled"/>
    <x v="0"/>
    <x v="0"/>
    <x v="0"/>
    <x v="350"/>
    <n v="516.23"/>
  </r>
  <r>
    <s v="AD01-9365"/>
    <x v="2"/>
    <s v="Aug"/>
    <x v="1"/>
    <x v="0"/>
    <s v="Order assembled"/>
    <x v="0"/>
    <x v="0"/>
    <x v="0"/>
    <x v="261"/>
    <n v="507.65"/>
  </r>
  <r>
    <s v="AD01-9364"/>
    <x v="2"/>
    <s v="Aug"/>
    <x v="1"/>
    <x v="0"/>
    <s v="Order assembled"/>
    <x v="0"/>
    <x v="0"/>
    <x v="0"/>
    <x v="515"/>
    <n v="1136.8499999999999"/>
  </r>
  <r>
    <s v="AD01-9362"/>
    <x v="2"/>
    <s v="Aug"/>
    <x v="1"/>
    <x v="0"/>
    <s v="Order assembled"/>
    <x v="0"/>
    <x v="0"/>
    <x v="0"/>
    <x v="336"/>
    <n v="1184.04"/>
  </r>
  <r>
    <s v="AD01-9361"/>
    <x v="2"/>
    <s v="Aug"/>
    <x v="1"/>
    <x v="0"/>
    <s v="Order assembled"/>
    <x v="0"/>
    <x v="0"/>
    <x v="1"/>
    <x v="289"/>
    <n v="521.95000000000005"/>
  </r>
  <r>
    <s v="AD01-9362"/>
    <x v="2"/>
    <s v="Aug"/>
    <x v="1"/>
    <x v="0"/>
    <s v="Order assembled"/>
    <x v="0"/>
    <x v="0"/>
    <x v="1"/>
    <x v="284"/>
    <n v="513.37"/>
  </r>
  <r>
    <s v="AD01-9362"/>
    <x v="2"/>
    <s v="Aug"/>
    <x v="1"/>
    <x v="0"/>
    <s v="Order assembled"/>
    <x v="0"/>
    <x v="0"/>
    <x v="1"/>
    <x v="248"/>
    <n v="504.78999999999996"/>
  </r>
  <r>
    <s v="AD01-9362"/>
    <x v="2"/>
    <s v="Aug"/>
    <x v="1"/>
    <x v="0"/>
    <s v="Order assembled"/>
    <x v="0"/>
    <x v="0"/>
    <x v="0"/>
    <x v="403"/>
    <n v="255.97"/>
  </r>
  <r>
    <s v="AD01-9361"/>
    <x v="2"/>
    <s v="Aug"/>
    <x v="1"/>
    <x v="0"/>
    <s v="Order assembled"/>
    <x v="0"/>
    <x v="0"/>
    <x v="0"/>
    <x v="144"/>
    <n v="324.61"/>
  </r>
  <r>
    <s v="AD01-9362"/>
    <x v="2"/>
    <s v="Dec"/>
    <x v="1"/>
    <x v="0"/>
    <s v="Order assembled"/>
    <x v="0"/>
    <x v="0"/>
    <x v="1"/>
    <x v="105"/>
    <n v="431.86"/>
  </r>
  <r>
    <s v="AD01-9361"/>
    <x v="2"/>
    <s v="Dec"/>
    <x v="1"/>
    <x v="0"/>
    <s v="Order assembled"/>
    <x v="0"/>
    <x v="0"/>
    <x v="1"/>
    <x v="89"/>
    <n v="423.28"/>
  </r>
  <r>
    <s v="AD01-9364"/>
    <x v="2"/>
    <s v="Dec"/>
    <x v="1"/>
    <x v="0"/>
    <s v="Order assembled"/>
    <x v="0"/>
    <x v="0"/>
    <x v="1"/>
    <x v="27"/>
    <n v="414.7"/>
  </r>
  <r>
    <s v="AD01-9362"/>
    <x v="2"/>
    <s v="Dec"/>
    <x v="1"/>
    <x v="0"/>
    <s v="Order assembled"/>
    <x v="0"/>
    <x v="0"/>
    <x v="0"/>
    <x v="167"/>
    <n v="328.9"/>
  </r>
  <r>
    <s v="AD01-9364"/>
    <x v="2"/>
    <s v="Dec"/>
    <x v="1"/>
    <x v="0"/>
    <s v="Order assembled"/>
    <x v="0"/>
    <x v="0"/>
    <x v="0"/>
    <x v="319"/>
    <n v="225.94"/>
  </r>
  <r>
    <s v="AD01-9361"/>
    <x v="2"/>
    <s v="Dec"/>
    <x v="1"/>
    <x v="0"/>
    <s v="Order assembled"/>
    <x v="0"/>
    <x v="0"/>
    <x v="0"/>
    <x v="168"/>
    <n v="294.58"/>
  </r>
  <r>
    <s v="AD01-9361"/>
    <x v="2"/>
    <s v="Dec"/>
    <x v="1"/>
    <x v="0"/>
    <s v="Order assembled"/>
    <x v="0"/>
    <x v="0"/>
    <x v="0"/>
    <x v="236"/>
    <n v="434.72"/>
  </r>
  <r>
    <s v="AD01-9362"/>
    <x v="2"/>
    <s v="Dec"/>
    <x v="1"/>
    <x v="0"/>
    <s v="Order assembled"/>
    <x v="0"/>
    <x v="0"/>
    <x v="0"/>
    <x v="92"/>
    <n v="426.14"/>
  </r>
  <r>
    <s v="AD01-9364"/>
    <x v="2"/>
    <s v="Dec"/>
    <x v="1"/>
    <x v="0"/>
    <s v="Order assembled"/>
    <x v="0"/>
    <x v="0"/>
    <x v="0"/>
    <x v="76"/>
    <n v="417.56"/>
  </r>
  <r>
    <s v="AD01-9362"/>
    <x v="2"/>
    <s v="Dec"/>
    <x v="1"/>
    <x v="0"/>
    <s v="Order assembled"/>
    <x v="0"/>
    <x v="0"/>
    <x v="0"/>
    <x v="169"/>
    <n v="526.24"/>
  </r>
  <r>
    <s v="AD01-9361"/>
    <x v="2"/>
    <s v="Dec"/>
    <x v="1"/>
    <x v="0"/>
    <s v="Order assembled"/>
    <x v="0"/>
    <x v="0"/>
    <x v="0"/>
    <x v="320"/>
    <n v="526.24"/>
  </r>
  <r>
    <s v="AD01-9362"/>
    <x v="2"/>
    <s v="Dec"/>
    <x v="1"/>
    <x v="0"/>
    <s v="Order assembled"/>
    <x v="0"/>
    <x v="0"/>
    <x v="0"/>
    <x v="516"/>
    <n v="1378.52"/>
  </r>
  <r>
    <s v="AD01-9361"/>
    <x v="2"/>
    <s v="Dec"/>
    <x v="1"/>
    <x v="0"/>
    <s v="Order assembled"/>
    <x v="0"/>
    <x v="0"/>
    <x v="0"/>
    <x v="517"/>
    <n v="1455.74"/>
  </r>
  <r>
    <s v="AD01-9364"/>
    <x v="2"/>
    <s v="Dec"/>
    <x v="1"/>
    <x v="0"/>
    <s v="Order assembled"/>
    <x v="0"/>
    <x v="0"/>
    <x v="0"/>
    <x v="405"/>
    <n v="291.72000000000003"/>
  </r>
  <r>
    <s v="AD01-9364"/>
    <x v="2"/>
    <s v="Dec"/>
    <x v="1"/>
    <x v="0"/>
    <s v="Order assembled"/>
    <x v="0"/>
    <x v="0"/>
    <x v="0"/>
    <x v="179"/>
    <n v="330.33"/>
  </r>
  <r>
    <s v="AD01-9362"/>
    <x v="2"/>
    <s v="Dec"/>
    <x v="1"/>
    <x v="0"/>
    <s v="Order assembled"/>
    <x v="0"/>
    <x v="0"/>
    <x v="0"/>
    <x v="385"/>
    <n v="227.37"/>
  </r>
  <r>
    <s v="AD01-9362"/>
    <x v="2"/>
    <s v="Dec"/>
    <x v="1"/>
    <x v="0"/>
    <s v="Order assembled"/>
    <x v="0"/>
    <x v="0"/>
    <x v="0"/>
    <x v="228"/>
    <n v="296.01"/>
  </r>
  <r>
    <s v="AD01-9361"/>
    <x v="2"/>
    <s v="Dec"/>
    <x v="1"/>
    <x v="0"/>
    <s v="Order assembled"/>
    <x v="0"/>
    <x v="0"/>
    <x v="0"/>
    <x v="312"/>
    <n v="430.43"/>
  </r>
  <r>
    <s v="AD01-9364"/>
    <x v="2"/>
    <s v="Dec"/>
    <x v="1"/>
    <x v="0"/>
    <s v="Order assembled"/>
    <x v="0"/>
    <x v="0"/>
    <x v="0"/>
    <x v="85"/>
    <n v="421.85"/>
  </r>
  <r>
    <s v="AD01-9361"/>
    <x v="2"/>
    <s v="Dec"/>
    <x v="1"/>
    <x v="0"/>
    <s v="Order assembled"/>
    <x v="0"/>
    <x v="0"/>
    <x v="0"/>
    <x v="160"/>
    <n v="413.27"/>
  </r>
  <r>
    <s v="AD01-9364"/>
    <x v="2"/>
    <s v="Dec"/>
    <x v="1"/>
    <x v="0"/>
    <s v="Order assembled"/>
    <x v="0"/>
    <x v="0"/>
    <x v="0"/>
    <x v="518"/>
    <n v="1142.57"/>
  </r>
  <r>
    <s v="AD01-9362"/>
    <x v="2"/>
    <s v="Dec"/>
    <x v="1"/>
    <x v="0"/>
    <s v="Order assembled"/>
    <x v="0"/>
    <x v="0"/>
    <x v="0"/>
    <x v="463"/>
    <n v="1189.76"/>
  </r>
  <r>
    <s v="AD01-9364"/>
    <x v="2"/>
    <s v="Dec"/>
    <x v="1"/>
    <x v="0"/>
    <s v="Order assembled"/>
    <x v="0"/>
    <x v="0"/>
    <x v="1"/>
    <x v="103"/>
    <n v="427.57"/>
  </r>
  <r>
    <s v="AD01-9362"/>
    <x v="2"/>
    <s v="Dec"/>
    <x v="1"/>
    <x v="0"/>
    <s v="Order assembled"/>
    <x v="0"/>
    <x v="0"/>
    <x v="1"/>
    <x v="87"/>
    <n v="418.99"/>
  </r>
  <r>
    <s v="AD01-9361"/>
    <x v="2"/>
    <s v="Dec"/>
    <x v="1"/>
    <x v="0"/>
    <s v="Order assembled"/>
    <x v="0"/>
    <x v="0"/>
    <x v="0"/>
    <x v="188"/>
    <n v="333.19"/>
  </r>
  <r>
    <s v="AD01-9361"/>
    <x v="2"/>
    <s v="Dec"/>
    <x v="1"/>
    <x v="0"/>
    <s v="Order assembled"/>
    <x v="0"/>
    <x v="0"/>
    <x v="0"/>
    <x v="388"/>
    <n v="230.23000000000002"/>
  </r>
  <r>
    <s v="AD01-9362"/>
    <x v="2"/>
    <s v="Dec"/>
    <x v="1"/>
    <x v="0"/>
    <s v="Order assembled"/>
    <x v="0"/>
    <x v="0"/>
    <x v="0"/>
    <x v="215"/>
    <n v="290.28999999999996"/>
  </r>
  <r>
    <s v="AD01-9361"/>
    <x v="2"/>
    <s v="Feb"/>
    <x v="1"/>
    <x v="0"/>
    <s v="Order assembled"/>
    <x v="0"/>
    <x v="0"/>
    <x v="1"/>
    <x v="54"/>
    <n v="311.74"/>
  </r>
  <r>
    <s v="AD01-9362"/>
    <x v="2"/>
    <s v="Feb"/>
    <x v="1"/>
    <x v="0"/>
    <s v="Order assembled"/>
    <x v="0"/>
    <x v="0"/>
    <x v="1"/>
    <x v="29"/>
    <n v="303.15999999999997"/>
  </r>
  <r>
    <s v="AD01-9364"/>
    <x v="2"/>
    <s v="Feb"/>
    <x v="1"/>
    <x v="0"/>
    <s v="Order assembled"/>
    <x v="0"/>
    <x v="0"/>
    <x v="1"/>
    <x v="168"/>
    <n v="294.58"/>
  </r>
  <r>
    <s v="AD01-9361"/>
    <x v="2"/>
    <s v="Feb"/>
    <x v="1"/>
    <x v="0"/>
    <s v="Order assembled"/>
    <x v="0"/>
    <x v="0"/>
    <x v="0"/>
    <x v="29"/>
    <n v="303.15999999999997"/>
  </r>
  <r>
    <s v="AD01-9364"/>
    <x v="2"/>
    <s v="Feb"/>
    <x v="1"/>
    <x v="0"/>
    <s v="Order assembled"/>
    <x v="0"/>
    <x v="0"/>
    <x v="0"/>
    <x v="30"/>
    <n v="371.8"/>
  </r>
  <r>
    <s v="AD01-9361"/>
    <x v="2"/>
    <s v="Feb"/>
    <x v="1"/>
    <x v="0"/>
    <s v="Order assembled"/>
    <x v="0"/>
    <x v="0"/>
    <x v="0"/>
    <x v="32"/>
    <n v="306.02"/>
  </r>
  <r>
    <s v="AD01-9361"/>
    <x v="2"/>
    <s v="Feb"/>
    <x v="1"/>
    <x v="0"/>
    <s v="Order assembled"/>
    <x v="0"/>
    <x v="0"/>
    <x v="0"/>
    <x v="6"/>
    <n v="297.44"/>
  </r>
  <r>
    <s v="AD01-9362"/>
    <x v="2"/>
    <s v="Feb"/>
    <x v="1"/>
    <x v="0"/>
    <s v="Order assembled"/>
    <x v="0"/>
    <x v="0"/>
    <x v="0"/>
    <x v="32"/>
    <n v="526.24"/>
  </r>
  <r>
    <s v="AD01-9362"/>
    <x v="2"/>
    <s v="Feb"/>
    <x v="1"/>
    <x v="0"/>
    <s v="Order assembled"/>
    <x v="0"/>
    <x v="0"/>
    <x v="0"/>
    <x v="218"/>
    <n v="526.24"/>
  </r>
  <r>
    <s v="AD01-9361"/>
    <x v="2"/>
    <s v="Feb"/>
    <x v="1"/>
    <x v="0"/>
    <s v="Order assembled"/>
    <x v="0"/>
    <x v="0"/>
    <x v="0"/>
    <x v="519"/>
    <n v="1442.87"/>
  </r>
  <r>
    <s v="AD01-9362"/>
    <x v="2"/>
    <s v="Feb"/>
    <x v="1"/>
    <x v="0"/>
    <s v="Order assembled"/>
    <x v="0"/>
    <x v="0"/>
    <x v="0"/>
    <x v="205"/>
    <n v="368.94"/>
  </r>
  <r>
    <s v="AD01-9361"/>
    <x v="2"/>
    <s v="Feb"/>
    <x v="1"/>
    <x v="0"/>
    <s v="Order assembled"/>
    <x v="0"/>
    <x v="0"/>
    <x v="0"/>
    <x v="42"/>
    <n v="304.59000000000003"/>
  </r>
  <r>
    <s v="AD01-9363"/>
    <x v="2"/>
    <s v="Feb"/>
    <x v="1"/>
    <x v="0"/>
    <s v="Order assembled"/>
    <x v="0"/>
    <x v="0"/>
    <x v="0"/>
    <x v="227"/>
    <n v="373.23"/>
  </r>
  <r>
    <s v="AD01-9362"/>
    <x v="2"/>
    <s v="Feb"/>
    <x v="1"/>
    <x v="0"/>
    <s v="Order assembled"/>
    <x v="0"/>
    <x v="0"/>
    <x v="0"/>
    <x v="45"/>
    <n v="310.31"/>
  </r>
  <r>
    <s v="AD01-9361"/>
    <x v="2"/>
    <s v="Feb"/>
    <x v="1"/>
    <x v="0"/>
    <s v="Order assembled"/>
    <x v="0"/>
    <x v="0"/>
    <x v="0"/>
    <x v="21"/>
    <n v="301.73"/>
  </r>
  <r>
    <s v="AD01-9361"/>
    <x v="2"/>
    <s v="Feb"/>
    <x v="1"/>
    <x v="0"/>
    <s v="Order assembled"/>
    <x v="0"/>
    <x v="0"/>
    <x v="0"/>
    <x v="184"/>
    <n v="293.14999999999998"/>
  </r>
  <r>
    <s v="AD01-9361"/>
    <x v="2"/>
    <s v="Feb"/>
    <x v="1"/>
    <x v="0"/>
    <s v="Order assembled"/>
    <x v="0"/>
    <x v="0"/>
    <x v="0"/>
    <x v="266"/>
    <n v="1129.7"/>
  </r>
  <r>
    <s v="AD01-9362"/>
    <x v="2"/>
    <s v="Feb"/>
    <x v="1"/>
    <x v="0"/>
    <s v="Order assembled"/>
    <x v="0"/>
    <x v="0"/>
    <x v="0"/>
    <x v="356"/>
    <n v="1176.8899999999999"/>
  </r>
  <r>
    <s v="AD01-9361"/>
    <x v="2"/>
    <s v="Feb"/>
    <x v="1"/>
    <x v="0"/>
    <s v="Order assembled"/>
    <x v="0"/>
    <x v="0"/>
    <x v="1"/>
    <x v="50"/>
    <n v="307.45"/>
  </r>
  <r>
    <s v="AD01-9364"/>
    <x v="2"/>
    <s v="Feb"/>
    <x v="1"/>
    <x v="0"/>
    <s v="Order assembled"/>
    <x v="0"/>
    <x v="0"/>
    <x v="1"/>
    <x v="232"/>
    <n v="298.87"/>
  </r>
  <r>
    <s v="AD01-9361"/>
    <x v="2"/>
    <s v="Feb"/>
    <x v="1"/>
    <x v="0"/>
    <s v="Order assembled"/>
    <x v="0"/>
    <x v="0"/>
    <x v="1"/>
    <x v="215"/>
    <n v="290.28999999999996"/>
  </r>
  <r>
    <s v="AD01-9364"/>
    <x v="2"/>
    <s v="Feb"/>
    <x v="1"/>
    <x v="0"/>
    <s v="Order assembled"/>
    <x v="0"/>
    <x v="0"/>
    <x v="0"/>
    <x v="214"/>
    <n v="367.51"/>
  </r>
  <r>
    <s v="AD01-9362"/>
    <x v="2"/>
    <s v="Jan"/>
    <x v="1"/>
    <x v="0"/>
    <s v="Order assembled"/>
    <x v="0"/>
    <x v="0"/>
    <x v="1"/>
    <x v="167"/>
    <n v="328.9"/>
  </r>
  <r>
    <s v="AD01-9361"/>
    <x v="2"/>
    <s v="Jan"/>
    <x v="1"/>
    <x v="0"/>
    <s v="Order assembled"/>
    <x v="0"/>
    <x v="0"/>
    <x v="1"/>
    <x v="53"/>
    <n v="320.32"/>
  </r>
  <r>
    <s v="AD01-9365"/>
    <x v="2"/>
    <s v="Jan"/>
    <x v="1"/>
    <x v="0"/>
    <s v="Order assembled"/>
    <x v="0"/>
    <x v="0"/>
    <x v="0"/>
    <x v="54"/>
    <n v="311.74"/>
  </r>
  <r>
    <s v="AD01-9363"/>
    <x v="2"/>
    <s v="Jan"/>
    <x v="1"/>
    <x v="0"/>
    <s v="Order assembled"/>
    <x v="0"/>
    <x v="0"/>
    <x v="0"/>
    <x v="106"/>
    <n v="380.38"/>
  </r>
  <r>
    <s v="AD01-9362"/>
    <x v="2"/>
    <s v="Jan"/>
    <x v="1"/>
    <x v="0"/>
    <s v="Order assembled"/>
    <x v="0"/>
    <x v="0"/>
    <x v="0"/>
    <x v="169"/>
    <n v="331.76"/>
  </r>
  <r>
    <s v="AD01-9362"/>
    <x v="2"/>
    <s v="Jan"/>
    <x v="1"/>
    <x v="0"/>
    <s v="Order assembled"/>
    <x v="0"/>
    <x v="0"/>
    <x v="0"/>
    <x v="93"/>
    <n v="323.18"/>
  </r>
  <r>
    <s v="AD01-9362"/>
    <x v="2"/>
    <s v="Jan"/>
    <x v="1"/>
    <x v="0"/>
    <s v="Order assembled"/>
    <x v="0"/>
    <x v="0"/>
    <x v="0"/>
    <x v="77"/>
    <n v="314.60000000000002"/>
  </r>
  <r>
    <s v="AD01-9361"/>
    <x v="2"/>
    <s v="Jan"/>
    <x v="1"/>
    <x v="0"/>
    <s v="Order assembled"/>
    <x v="0"/>
    <x v="0"/>
    <x v="0"/>
    <x v="33"/>
    <n v="526.24"/>
  </r>
  <r>
    <s v="AD01-9361"/>
    <x v="2"/>
    <s v="Jan"/>
    <x v="1"/>
    <x v="0"/>
    <s v="Order assembled"/>
    <x v="0"/>
    <x v="0"/>
    <x v="0"/>
    <x v="520"/>
    <n v="1441.44"/>
  </r>
  <r>
    <s v="AD01-9362"/>
    <x v="2"/>
    <s v="Jan"/>
    <x v="1"/>
    <x v="0"/>
    <s v="Order assembled"/>
    <x v="0"/>
    <x v="0"/>
    <x v="0"/>
    <x v="521"/>
    <n v="1488.63"/>
  </r>
  <r>
    <s v="AD01-9362"/>
    <x v="2"/>
    <s v="Jan"/>
    <x v="1"/>
    <x v="0"/>
    <s v="Order assembled"/>
    <x v="0"/>
    <x v="0"/>
    <x v="0"/>
    <x v="65"/>
    <n v="313.17"/>
  </r>
  <r>
    <s v="AD01-9365"/>
    <x v="2"/>
    <s v="Jan"/>
    <x v="1"/>
    <x v="0"/>
    <s v="Order assembled"/>
    <x v="0"/>
    <x v="0"/>
    <x v="0"/>
    <x v="182"/>
    <n v="327.47000000000003"/>
  </r>
  <r>
    <s v="AD01-9361"/>
    <x v="2"/>
    <s v="Jan"/>
    <x v="1"/>
    <x v="0"/>
    <s v="Order assembled"/>
    <x v="0"/>
    <x v="0"/>
    <x v="0"/>
    <x v="100"/>
    <n v="318.89"/>
  </r>
  <r>
    <s v="AD01-9362"/>
    <x v="2"/>
    <s v="Jan"/>
    <x v="1"/>
    <x v="0"/>
    <s v="Order assembled"/>
    <x v="0"/>
    <x v="0"/>
    <x v="0"/>
    <x v="265"/>
    <n v="1128.27"/>
  </r>
  <r>
    <s v="AD01-9362"/>
    <x v="2"/>
    <s v="Jan"/>
    <x v="1"/>
    <x v="0"/>
    <s v="Order assembled"/>
    <x v="0"/>
    <x v="0"/>
    <x v="0"/>
    <x v="367"/>
    <n v="1175.46"/>
  </r>
  <r>
    <s v="AD01-9362"/>
    <x v="2"/>
    <s v="Jan"/>
    <x v="1"/>
    <x v="0"/>
    <s v="Order assembled"/>
    <x v="0"/>
    <x v="0"/>
    <x v="1"/>
    <x v="188"/>
    <n v="333.19"/>
  </r>
  <r>
    <s v="AD01-9362"/>
    <x v="2"/>
    <s v="Jan"/>
    <x v="1"/>
    <x v="0"/>
    <s v="Order assembled"/>
    <x v="0"/>
    <x v="0"/>
    <x v="1"/>
    <x v="144"/>
    <n v="324.61"/>
  </r>
  <r>
    <s v="AD01-9361"/>
    <x v="2"/>
    <s v="Jan"/>
    <x v="1"/>
    <x v="0"/>
    <s v="Order assembled"/>
    <x v="0"/>
    <x v="0"/>
    <x v="1"/>
    <x v="70"/>
    <n v="316.02999999999997"/>
  </r>
  <r>
    <s v="AD01-9362"/>
    <x v="2"/>
    <s v="Jan"/>
    <x v="1"/>
    <x v="0"/>
    <s v="Order assembled"/>
    <x v="0"/>
    <x v="0"/>
    <x v="0"/>
    <x v="50"/>
    <n v="307.45"/>
  </r>
  <r>
    <s v="AD01-9364"/>
    <x v="2"/>
    <s v="Jan"/>
    <x v="1"/>
    <x v="0"/>
    <s v="Order assembled"/>
    <x v="0"/>
    <x v="0"/>
    <x v="0"/>
    <x v="51"/>
    <n v="376.09000000000003"/>
  </r>
  <r>
    <s v="AD01-9361"/>
    <x v="2"/>
    <s v="Jul"/>
    <x v="1"/>
    <x v="0"/>
    <s v="Order assembled"/>
    <x v="0"/>
    <x v="0"/>
    <x v="1"/>
    <x v="290"/>
    <n v="191.62"/>
  </r>
  <r>
    <s v="AD01-9361"/>
    <x v="2"/>
    <s v="Jul"/>
    <x v="1"/>
    <x v="0"/>
    <s v="Order assembled"/>
    <x v="0"/>
    <x v="0"/>
    <x v="1"/>
    <x v="233"/>
    <n v="183.04"/>
  </r>
  <r>
    <s v="AD01-9362"/>
    <x v="2"/>
    <s v="Jul"/>
    <x v="1"/>
    <x v="0"/>
    <s v="Order assembled"/>
    <x v="0"/>
    <x v="0"/>
    <x v="0"/>
    <x v="167"/>
    <n v="328.9"/>
  </r>
  <r>
    <s v="AD01-9362"/>
    <x v="2"/>
    <s v="Jul"/>
    <x v="1"/>
    <x v="0"/>
    <s v="Order assembled"/>
    <x v="0"/>
    <x v="0"/>
    <x v="0"/>
    <x v="291"/>
    <n v="194.48"/>
  </r>
  <r>
    <s v="AD01-9361"/>
    <x v="2"/>
    <s v="Jul"/>
    <x v="1"/>
    <x v="0"/>
    <s v="Order assembled"/>
    <x v="0"/>
    <x v="0"/>
    <x v="0"/>
    <x v="235"/>
    <n v="185.9"/>
  </r>
  <r>
    <s v="AD01-9364"/>
    <x v="2"/>
    <s v="Jul"/>
    <x v="1"/>
    <x v="0"/>
    <s v="Order assembled"/>
    <x v="0"/>
    <x v="0"/>
    <x v="0"/>
    <x v="90"/>
    <n v="529.1"/>
  </r>
  <r>
    <s v="AD01-9362"/>
    <x v="2"/>
    <s v="Jul"/>
    <x v="1"/>
    <x v="0"/>
    <s v="Order assembled"/>
    <x v="0"/>
    <x v="0"/>
    <x v="0"/>
    <x v="219"/>
    <n v="526.24"/>
  </r>
  <r>
    <s v="AD01-9362"/>
    <x v="2"/>
    <s v="Jul"/>
    <x v="1"/>
    <x v="0"/>
    <s v="Order assembled"/>
    <x v="0"/>
    <x v="0"/>
    <x v="0"/>
    <x v="169"/>
    <n v="526.24"/>
  </r>
  <r>
    <s v="AD01-9364"/>
    <x v="2"/>
    <s v="Jul"/>
    <x v="1"/>
    <x v="0"/>
    <s v="Order assembled"/>
    <x v="0"/>
    <x v="0"/>
    <x v="0"/>
    <x v="522"/>
    <n v="1448.59"/>
  </r>
  <r>
    <s v="AD01-9363"/>
    <x v="2"/>
    <s v="Jul"/>
    <x v="1"/>
    <x v="0"/>
    <s v="Order assembled"/>
    <x v="0"/>
    <x v="0"/>
    <x v="0"/>
    <x v="193"/>
    <n v="334.62"/>
  </r>
  <r>
    <s v="AD01-9364"/>
    <x v="2"/>
    <s v="Jul"/>
    <x v="1"/>
    <x v="0"/>
    <s v="Order assembled"/>
    <x v="0"/>
    <x v="0"/>
    <x v="0"/>
    <x v="376"/>
    <n v="261.69"/>
  </r>
  <r>
    <s v="AD01-9362"/>
    <x v="2"/>
    <s v="Jul"/>
    <x v="1"/>
    <x v="0"/>
    <s v="Order assembled"/>
    <x v="0"/>
    <x v="0"/>
    <x v="0"/>
    <x v="179"/>
    <n v="330.33"/>
  </r>
  <r>
    <s v="AD01-9364"/>
    <x v="2"/>
    <s v="Jul"/>
    <x v="1"/>
    <x v="0"/>
    <s v="Order assembled"/>
    <x v="0"/>
    <x v="0"/>
    <x v="0"/>
    <x v="325"/>
    <n v="190.19"/>
  </r>
  <r>
    <s v="AD01-9362"/>
    <x v="2"/>
    <s v="Jul"/>
    <x v="1"/>
    <x v="0"/>
    <s v="Order assembled"/>
    <x v="0"/>
    <x v="0"/>
    <x v="0"/>
    <x v="366"/>
    <n v="181.61"/>
  </r>
  <r>
    <s v="AD01-9362"/>
    <x v="2"/>
    <s v="Jul"/>
    <x v="1"/>
    <x v="0"/>
    <s v="Order assembled"/>
    <x v="0"/>
    <x v="0"/>
    <x v="0"/>
    <x v="523"/>
    <n v="1135.42"/>
  </r>
  <r>
    <s v="AD01-9362"/>
    <x v="2"/>
    <s v="Jul"/>
    <x v="1"/>
    <x v="0"/>
    <s v="Order assembled"/>
    <x v="0"/>
    <x v="0"/>
    <x v="1"/>
    <x v="295"/>
    <n v="195.91"/>
  </r>
  <r>
    <s v="AD01-9361"/>
    <x v="2"/>
    <s v="Jul"/>
    <x v="1"/>
    <x v="0"/>
    <s v="Order assembled"/>
    <x v="0"/>
    <x v="0"/>
    <x v="1"/>
    <x v="242"/>
    <n v="187.32999999999998"/>
  </r>
  <r>
    <s v="AD01-9361"/>
    <x v="2"/>
    <s v="Jul"/>
    <x v="1"/>
    <x v="0"/>
    <s v="Order assembled"/>
    <x v="0"/>
    <x v="0"/>
    <x v="1"/>
    <x v="302"/>
    <n v="530.53"/>
  </r>
  <r>
    <s v="AD01-9361"/>
    <x v="2"/>
    <s v="Jul"/>
    <x v="1"/>
    <x v="0"/>
    <s v="Order assembled"/>
    <x v="0"/>
    <x v="0"/>
    <x v="0"/>
    <x v="402"/>
    <n v="264.55"/>
  </r>
  <r>
    <s v="AD01-9362"/>
    <x v="2"/>
    <s v="Jul"/>
    <x v="1"/>
    <x v="0"/>
    <s v="Order assembled"/>
    <x v="0"/>
    <x v="0"/>
    <x v="0"/>
    <x v="188"/>
    <n v="333.19"/>
  </r>
  <r>
    <s v="AD01-9362"/>
    <x v="2"/>
    <s v="Jun"/>
    <x v="1"/>
    <x v="0"/>
    <s v="Order assembled"/>
    <x v="0"/>
    <x v="0"/>
    <x v="1"/>
    <x v="352"/>
    <n v="217.36"/>
  </r>
  <r>
    <s v="AD01-9362"/>
    <x v="2"/>
    <s v="Jun"/>
    <x v="1"/>
    <x v="0"/>
    <s v="Order assembled"/>
    <x v="0"/>
    <x v="0"/>
    <x v="1"/>
    <x v="271"/>
    <n v="208.78"/>
  </r>
  <r>
    <s v="AD01-9362"/>
    <x v="2"/>
    <s v="Jun"/>
    <x v="1"/>
    <x v="0"/>
    <s v="Order assembled"/>
    <x v="0"/>
    <x v="0"/>
    <x v="1"/>
    <x v="254"/>
    <n v="200.2"/>
  </r>
  <r>
    <s v="AD01-9365"/>
    <x v="2"/>
    <s v="Jun"/>
    <x v="1"/>
    <x v="0"/>
    <s v="Order assembled"/>
    <x v="0"/>
    <x v="0"/>
    <x v="0"/>
    <x v="31"/>
    <n v="268.84000000000003"/>
  </r>
  <r>
    <s v="AD01-9361"/>
    <x v="2"/>
    <s v="Jun"/>
    <x v="1"/>
    <x v="0"/>
    <s v="Order assembled"/>
    <x v="0"/>
    <x v="0"/>
    <x v="0"/>
    <x v="2"/>
    <n v="337.48"/>
  </r>
  <r>
    <s v="AD01-9362"/>
    <x v="2"/>
    <s v="Jun"/>
    <x v="1"/>
    <x v="0"/>
    <s v="Order assembled"/>
    <x v="0"/>
    <x v="0"/>
    <x v="0"/>
    <x v="361"/>
    <n v="220.22"/>
  </r>
  <r>
    <s v="AD01-9361"/>
    <x v="2"/>
    <s v="Jun"/>
    <x v="1"/>
    <x v="0"/>
    <s v="Order assembled"/>
    <x v="0"/>
    <x v="0"/>
    <x v="0"/>
    <x v="273"/>
    <n v="211.64"/>
  </r>
  <r>
    <s v="AD01-9364"/>
    <x v="2"/>
    <s v="Jun"/>
    <x v="1"/>
    <x v="0"/>
    <s v="Order assembled"/>
    <x v="0"/>
    <x v="0"/>
    <x v="0"/>
    <x v="257"/>
    <n v="203.06"/>
  </r>
  <r>
    <s v="AD01-9361"/>
    <x v="2"/>
    <s v="Jun"/>
    <x v="1"/>
    <x v="0"/>
    <s v="Order assembled"/>
    <x v="0"/>
    <x v="0"/>
    <x v="0"/>
    <x v="34"/>
    <n v="526.24"/>
  </r>
  <r>
    <s v="AD01-9363"/>
    <x v="2"/>
    <s v="Jun"/>
    <x v="1"/>
    <x v="0"/>
    <s v="Order assembled"/>
    <x v="0"/>
    <x v="0"/>
    <x v="0"/>
    <x v="4"/>
    <n v="526.24"/>
  </r>
  <r>
    <s v="AD01-9364"/>
    <x v="2"/>
    <s v="Jun"/>
    <x v="1"/>
    <x v="0"/>
    <s v="Order assembled"/>
    <x v="0"/>
    <x v="0"/>
    <x v="0"/>
    <x v="524"/>
    <n v="1447.1599999999999"/>
  </r>
  <r>
    <s v="AD01-9364"/>
    <x v="2"/>
    <s v="Jun"/>
    <x v="1"/>
    <x v="0"/>
    <s v="Order assembled"/>
    <x v="0"/>
    <x v="0"/>
    <x v="0"/>
    <x v="349"/>
    <n v="270.27"/>
  </r>
  <r>
    <s v="AD01-9362"/>
    <x v="2"/>
    <s v="Jun"/>
    <x v="1"/>
    <x v="0"/>
    <s v="Order assembled"/>
    <x v="0"/>
    <x v="0"/>
    <x v="0"/>
    <x v="16"/>
    <n v="338.90999999999997"/>
  </r>
  <r>
    <s v="AD01-9364"/>
    <x v="2"/>
    <s v="Jun"/>
    <x v="1"/>
    <x v="0"/>
    <s v="Order assembled"/>
    <x v="0"/>
    <x v="0"/>
    <x v="0"/>
    <x v="344"/>
    <n v="215.93"/>
  </r>
  <r>
    <s v="AD01-9361"/>
    <x v="2"/>
    <s v="Jun"/>
    <x v="1"/>
    <x v="0"/>
    <s v="Order assembled"/>
    <x v="0"/>
    <x v="0"/>
    <x v="0"/>
    <x v="340"/>
    <n v="207.35"/>
  </r>
  <r>
    <s v="AD01-9365"/>
    <x v="2"/>
    <s v="Jun"/>
    <x v="1"/>
    <x v="0"/>
    <s v="Order assembled"/>
    <x v="0"/>
    <x v="0"/>
    <x v="0"/>
    <x v="330"/>
    <n v="198.76999999999998"/>
  </r>
  <r>
    <s v="AD01-9362"/>
    <x v="2"/>
    <s v="Jun"/>
    <x v="1"/>
    <x v="0"/>
    <s v="Order assembled"/>
    <x v="0"/>
    <x v="0"/>
    <x v="0"/>
    <x v="525"/>
    <n v="1133.99"/>
  </r>
  <r>
    <s v="AD01-9362"/>
    <x v="2"/>
    <s v="Jun"/>
    <x v="1"/>
    <x v="0"/>
    <s v="Order assembled"/>
    <x v="0"/>
    <x v="0"/>
    <x v="0"/>
    <x v="370"/>
    <n v="1182.6100000000001"/>
  </r>
  <r>
    <s v="AD01-9365"/>
    <x v="2"/>
    <s v="Jun"/>
    <x v="1"/>
    <x v="0"/>
    <s v="Order assembled"/>
    <x v="0"/>
    <x v="0"/>
    <x v="1"/>
    <x v="345"/>
    <n v="213.07"/>
  </r>
  <r>
    <s v="AD01-9361"/>
    <x v="2"/>
    <s v="Jun"/>
    <x v="1"/>
    <x v="0"/>
    <s v="Order assembled"/>
    <x v="0"/>
    <x v="0"/>
    <x v="1"/>
    <x v="269"/>
    <n v="204.49"/>
  </r>
  <r>
    <s v="AD01-9361"/>
    <x v="2"/>
    <s v="Jun"/>
    <x v="1"/>
    <x v="0"/>
    <s v="Order assembled"/>
    <x v="0"/>
    <x v="0"/>
    <x v="0"/>
    <x v="71"/>
    <n v="273.13"/>
  </r>
  <r>
    <s v="AD01-9362"/>
    <x v="2"/>
    <s v="Jun"/>
    <x v="1"/>
    <x v="0"/>
    <s v="Order assembled"/>
    <x v="0"/>
    <x v="0"/>
    <x v="0"/>
    <x v="72"/>
    <n v="341.77"/>
  </r>
  <r>
    <s v="AD01-9362"/>
    <x v="2"/>
    <s v="Mar"/>
    <x v="1"/>
    <x v="0"/>
    <s v="Order assembled"/>
    <x v="0"/>
    <x v="0"/>
    <x v="1"/>
    <x v="129"/>
    <n v="286"/>
  </r>
  <r>
    <s v="AD01-9362"/>
    <x v="2"/>
    <s v="Mar"/>
    <x v="1"/>
    <x v="0"/>
    <s v="Order assembled"/>
    <x v="0"/>
    <x v="0"/>
    <x v="1"/>
    <x v="55"/>
    <n v="277.42"/>
  </r>
  <r>
    <s v="AD01-9361"/>
    <x v="2"/>
    <s v="Mar"/>
    <x v="1"/>
    <x v="0"/>
    <s v="Order assembled"/>
    <x v="0"/>
    <x v="0"/>
    <x v="1"/>
    <x v="31"/>
    <n v="268.84000000000003"/>
  </r>
  <r>
    <s v="AD01-9362"/>
    <x v="2"/>
    <s v="Mar"/>
    <x v="1"/>
    <x v="0"/>
    <s v="Order assembled"/>
    <x v="0"/>
    <x v="0"/>
    <x v="0"/>
    <x v="168"/>
    <n v="294.58"/>
  </r>
  <r>
    <s v="AD01-9361"/>
    <x v="2"/>
    <s v="Mar"/>
    <x v="1"/>
    <x v="0"/>
    <s v="Order assembled"/>
    <x v="0"/>
    <x v="0"/>
    <x v="0"/>
    <x v="88"/>
    <n v="363.22"/>
  </r>
  <r>
    <s v="AD01-9363"/>
    <x v="2"/>
    <s v="Mar"/>
    <x v="1"/>
    <x v="0"/>
    <s v="Order assembled"/>
    <x v="0"/>
    <x v="0"/>
    <x v="0"/>
    <x v="170"/>
    <n v="288.86"/>
  </r>
  <r>
    <s v="AD01-9362"/>
    <x v="2"/>
    <s v="Mar"/>
    <x v="1"/>
    <x v="0"/>
    <s v="Order assembled"/>
    <x v="0"/>
    <x v="0"/>
    <x v="0"/>
    <x v="131"/>
    <n v="280.27999999999997"/>
  </r>
  <r>
    <s v="AD01-9362"/>
    <x v="2"/>
    <s v="Mar"/>
    <x v="1"/>
    <x v="0"/>
    <s v="Order assembled"/>
    <x v="0"/>
    <x v="0"/>
    <x v="0"/>
    <x v="34"/>
    <n v="271.7"/>
  </r>
  <r>
    <s v="AD01-9361"/>
    <x v="2"/>
    <s v="Mar"/>
    <x v="1"/>
    <x v="0"/>
    <s v="Order assembled"/>
    <x v="0"/>
    <x v="0"/>
    <x v="0"/>
    <x v="6"/>
    <n v="526.24"/>
  </r>
  <r>
    <s v="AD01-9362"/>
    <x v="2"/>
    <s v="Mar"/>
    <x v="1"/>
    <x v="0"/>
    <s v="Order assembled"/>
    <x v="0"/>
    <x v="0"/>
    <x v="0"/>
    <x v="526"/>
    <n v="1444.3"/>
  </r>
  <r>
    <s v="AD01-9361"/>
    <x v="2"/>
    <s v="Mar"/>
    <x v="1"/>
    <x v="0"/>
    <s v="Order assembled"/>
    <x v="0"/>
    <x v="0"/>
    <x v="0"/>
    <x v="206"/>
    <n v="360.36"/>
  </r>
  <r>
    <s v="AD01-9362"/>
    <x v="2"/>
    <s v="Mar"/>
    <x v="1"/>
    <x v="0"/>
    <s v="Order assembled"/>
    <x v="0"/>
    <x v="0"/>
    <x v="0"/>
    <x v="228"/>
    <n v="296.01"/>
  </r>
  <r>
    <s v="AD01-9361"/>
    <x v="2"/>
    <s v="Mar"/>
    <x v="1"/>
    <x v="0"/>
    <s v="Order assembled"/>
    <x v="0"/>
    <x v="0"/>
    <x v="0"/>
    <x v="210"/>
    <n v="364.65"/>
  </r>
  <r>
    <s v="AD01-9361"/>
    <x v="2"/>
    <s v="Mar"/>
    <x v="1"/>
    <x v="0"/>
    <s v="Order assembled"/>
    <x v="0"/>
    <x v="0"/>
    <x v="0"/>
    <x v="141"/>
    <n v="284.57"/>
  </r>
  <r>
    <s v="AD01-9362"/>
    <x v="2"/>
    <s v="Mar"/>
    <x v="1"/>
    <x v="0"/>
    <s v="Order assembled"/>
    <x v="0"/>
    <x v="0"/>
    <x v="0"/>
    <x v="68"/>
    <n v="275.99"/>
  </r>
  <r>
    <s v="AD01-9362"/>
    <x v="2"/>
    <s v="Mar"/>
    <x v="1"/>
    <x v="0"/>
    <s v="Order assembled"/>
    <x v="0"/>
    <x v="0"/>
    <x v="0"/>
    <x v="47"/>
    <n v="267.40999999999997"/>
  </r>
  <r>
    <s v="AD01-9362"/>
    <x v="2"/>
    <s v="Mar"/>
    <x v="1"/>
    <x v="0"/>
    <s v="Order assembled"/>
    <x v="0"/>
    <x v="0"/>
    <x v="0"/>
    <x v="267"/>
    <n v="1131.1300000000001"/>
  </r>
  <r>
    <s v="AD01-9362"/>
    <x v="2"/>
    <s v="Mar"/>
    <x v="1"/>
    <x v="0"/>
    <s v="Order assembled"/>
    <x v="0"/>
    <x v="0"/>
    <x v="0"/>
    <x v="351"/>
    <n v="1178.32"/>
  </r>
  <r>
    <s v="AD01-9363"/>
    <x v="2"/>
    <s v="Mar"/>
    <x v="1"/>
    <x v="0"/>
    <s v="Order assembled"/>
    <x v="0"/>
    <x v="0"/>
    <x v="1"/>
    <x v="201"/>
    <n v="281.70999999999998"/>
  </r>
  <r>
    <s v="AD01-9364"/>
    <x v="2"/>
    <s v="Mar"/>
    <x v="1"/>
    <x v="0"/>
    <s v="Order assembled"/>
    <x v="0"/>
    <x v="0"/>
    <x v="1"/>
    <x v="71"/>
    <n v="273.13"/>
  </r>
  <r>
    <s v="AD01-9363"/>
    <x v="2"/>
    <s v="Mar"/>
    <x v="1"/>
    <x v="0"/>
    <s v="Order assembled"/>
    <x v="0"/>
    <x v="0"/>
    <x v="0"/>
    <x v="232"/>
    <n v="298.87"/>
  </r>
  <r>
    <s v="AD01-9363"/>
    <x v="2"/>
    <s v="Mar"/>
    <x v="1"/>
    <x v="0"/>
    <s v="Order assembled"/>
    <x v="0"/>
    <x v="0"/>
    <x v="0"/>
    <x v="102"/>
    <n v="358.93"/>
  </r>
  <r>
    <s v="AD01-9361"/>
    <x v="2"/>
    <s v="May"/>
    <x v="1"/>
    <x v="0"/>
    <s v="Order assembled"/>
    <x v="0"/>
    <x v="0"/>
    <x v="1"/>
    <x v="190"/>
    <n v="243.1"/>
  </r>
  <r>
    <s v="AD01-9364"/>
    <x v="2"/>
    <s v="May"/>
    <x v="1"/>
    <x v="0"/>
    <s v="Order assembled"/>
    <x v="0"/>
    <x v="0"/>
    <x v="1"/>
    <x v="57"/>
    <n v="234.51999999999998"/>
  </r>
  <r>
    <s v="AD01-9364"/>
    <x v="2"/>
    <s v="May"/>
    <x v="1"/>
    <x v="0"/>
    <s v="Order assembled"/>
    <x v="0"/>
    <x v="0"/>
    <x v="1"/>
    <x v="319"/>
    <n v="225.94"/>
  </r>
  <r>
    <s v="AD01-9363"/>
    <x v="2"/>
    <s v="May"/>
    <x v="1"/>
    <x v="0"/>
    <s v="Order assembled"/>
    <x v="0"/>
    <x v="0"/>
    <x v="0"/>
    <x v="55"/>
    <n v="277.42"/>
  </r>
  <r>
    <s v="AD01-9364"/>
    <x v="2"/>
    <s v="May"/>
    <x v="1"/>
    <x v="0"/>
    <s v="Order assembled"/>
    <x v="0"/>
    <x v="0"/>
    <x v="0"/>
    <x v="56"/>
    <n v="346.06"/>
  </r>
  <r>
    <s v="AD01-9364"/>
    <x v="2"/>
    <s v="May"/>
    <x v="1"/>
    <x v="0"/>
    <s v="Order assembled"/>
    <x v="0"/>
    <x v="0"/>
    <x v="0"/>
    <x v="58"/>
    <n v="237.38"/>
  </r>
  <r>
    <s v="AD01-9362"/>
    <x v="2"/>
    <s v="May"/>
    <x v="1"/>
    <x v="0"/>
    <s v="Order assembled"/>
    <x v="0"/>
    <x v="0"/>
    <x v="0"/>
    <x v="320"/>
    <n v="228.8"/>
  </r>
  <r>
    <s v="AD01-9361"/>
    <x v="2"/>
    <s v="May"/>
    <x v="1"/>
    <x v="0"/>
    <s v="Order assembled"/>
    <x v="0"/>
    <x v="0"/>
    <x v="0"/>
    <x v="131"/>
    <n v="526.24"/>
  </r>
  <r>
    <s v="AD01-9364"/>
    <x v="2"/>
    <s v="May"/>
    <x v="1"/>
    <x v="0"/>
    <s v="Order assembled"/>
    <x v="0"/>
    <x v="0"/>
    <x v="0"/>
    <x v="75"/>
    <n v="526.24"/>
  </r>
  <r>
    <s v="AD01-9364"/>
    <x v="2"/>
    <s v="May"/>
    <x v="1"/>
    <x v="0"/>
    <s v="Order assembled"/>
    <x v="0"/>
    <x v="0"/>
    <x v="0"/>
    <x v="527"/>
    <n v="1445.73"/>
  </r>
  <r>
    <s v="AD01-9364"/>
    <x v="2"/>
    <s v="May"/>
    <x v="1"/>
    <x v="0"/>
    <s v="Order assembled"/>
    <x v="0"/>
    <x v="0"/>
    <x v="0"/>
    <x v="192"/>
    <n v="343.2"/>
  </r>
  <r>
    <s v="AD01-9362"/>
    <x v="2"/>
    <s v="May"/>
    <x v="1"/>
    <x v="0"/>
    <s v="Order assembled"/>
    <x v="0"/>
    <x v="0"/>
    <x v="0"/>
    <x v="66"/>
    <n v="278.85000000000002"/>
  </r>
  <r>
    <s v="AD01-9362"/>
    <x v="2"/>
    <s v="May"/>
    <x v="1"/>
    <x v="0"/>
    <s v="Order assembled"/>
    <x v="0"/>
    <x v="0"/>
    <x v="0"/>
    <x v="158"/>
    <n v="347.49"/>
  </r>
  <r>
    <s v="AD01-9364"/>
    <x v="2"/>
    <s v="May"/>
    <x v="1"/>
    <x v="0"/>
    <s v="Order assembled"/>
    <x v="0"/>
    <x v="0"/>
    <x v="0"/>
    <x v="200"/>
    <n v="241.67000000000002"/>
  </r>
  <r>
    <s v="AD01-9361"/>
    <x v="2"/>
    <s v="May"/>
    <x v="1"/>
    <x v="0"/>
    <s v="Order assembled"/>
    <x v="0"/>
    <x v="0"/>
    <x v="0"/>
    <x v="324"/>
    <n v="233.09"/>
  </r>
  <r>
    <s v="AD01-9363"/>
    <x v="2"/>
    <s v="May"/>
    <x v="1"/>
    <x v="0"/>
    <s v="Order assembled"/>
    <x v="0"/>
    <x v="0"/>
    <x v="0"/>
    <x v="365"/>
    <n v="224.51"/>
  </r>
  <r>
    <s v="AD01-9362"/>
    <x v="2"/>
    <s v="May"/>
    <x v="1"/>
    <x v="0"/>
    <s v="Order assembled"/>
    <x v="0"/>
    <x v="0"/>
    <x v="0"/>
    <x v="373"/>
    <n v="1181.18"/>
  </r>
  <r>
    <s v="AD01-9362"/>
    <x v="2"/>
    <s v="May"/>
    <x v="1"/>
    <x v="0"/>
    <s v="Order assembled"/>
    <x v="0"/>
    <x v="0"/>
    <x v="1"/>
    <x v="419"/>
    <n v="238.81"/>
  </r>
  <r>
    <s v="AD01-9362"/>
    <x v="2"/>
    <s v="May"/>
    <x v="1"/>
    <x v="0"/>
    <s v="Order assembled"/>
    <x v="0"/>
    <x v="0"/>
    <x v="1"/>
    <x v="388"/>
    <n v="230.23000000000002"/>
  </r>
  <r>
    <s v="AD01-9362"/>
    <x v="2"/>
    <s v="May"/>
    <x v="1"/>
    <x v="0"/>
    <s v="Order assembled"/>
    <x v="0"/>
    <x v="0"/>
    <x v="1"/>
    <x v="389"/>
    <n v="221.65"/>
  </r>
  <r>
    <s v="AD01-9364"/>
    <x v="2"/>
    <s v="May"/>
    <x v="1"/>
    <x v="0"/>
    <s v="Order assembled"/>
    <x v="0"/>
    <x v="0"/>
    <x v="0"/>
    <x v="201"/>
    <n v="281.70999999999998"/>
  </r>
  <r>
    <s v="AD01-9361"/>
    <x v="2"/>
    <s v="May"/>
    <x v="1"/>
    <x v="0"/>
    <s v="Order assembled"/>
    <x v="0"/>
    <x v="0"/>
    <x v="0"/>
    <x v="86"/>
    <n v="350.35"/>
  </r>
  <r>
    <s v="AD01-9362"/>
    <x v="2"/>
    <s v="Nov"/>
    <x v="1"/>
    <x v="0"/>
    <s v="Order assembled"/>
    <x v="0"/>
    <x v="0"/>
    <x v="1"/>
    <x v="125"/>
    <n v="457.6"/>
  </r>
  <r>
    <s v="AD01-9361"/>
    <x v="2"/>
    <s v="Nov"/>
    <x v="1"/>
    <x v="0"/>
    <s v="Order assembled"/>
    <x v="0"/>
    <x v="0"/>
    <x v="1"/>
    <x v="126"/>
    <n v="449.02"/>
  </r>
  <r>
    <s v="AD01-9364"/>
    <x v="2"/>
    <s v="Nov"/>
    <x v="1"/>
    <x v="0"/>
    <s v="Order assembled"/>
    <x v="0"/>
    <x v="0"/>
    <x v="1"/>
    <x v="127"/>
    <n v="440.44"/>
  </r>
  <r>
    <s v="AD01-9361"/>
    <x v="2"/>
    <s v="Nov"/>
    <x v="1"/>
    <x v="0"/>
    <s v="Order assembled"/>
    <x v="0"/>
    <x v="0"/>
    <x v="0"/>
    <x v="2"/>
    <n v="337.48"/>
  </r>
  <r>
    <s v="AD01-9362"/>
    <x v="2"/>
    <s v="Nov"/>
    <x v="1"/>
    <x v="0"/>
    <s v="Order assembled"/>
    <x v="0"/>
    <x v="0"/>
    <x v="0"/>
    <x v="57"/>
    <n v="234.51999999999998"/>
  </r>
  <r>
    <s v="AD01-9361"/>
    <x v="2"/>
    <s v="Nov"/>
    <x v="1"/>
    <x v="0"/>
    <s v="Order assembled"/>
    <x v="0"/>
    <x v="0"/>
    <x v="0"/>
    <x v="29"/>
    <n v="303.15999999999997"/>
  </r>
  <r>
    <s v="AD01-9362"/>
    <x v="2"/>
    <s v="Nov"/>
    <x v="1"/>
    <x v="0"/>
    <s v="Order assembled"/>
    <x v="0"/>
    <x v="0"/>
    <x v="0"/>
    <x v="274"/>
    <n v="451.88"/>
  </r>
  <r>
    <s v="AD01-9361"/>
    <x v="2"/>
    <s v="Nov"/>
    <x v="1"/>
    <x v="0"/>
    <s v="Order assembled"/>
    <x v="0"/>
    <x v="0"/>
    <x v="0"/>
    <x v="243"/>
    <n v="443.3"/>
  </r>
  <r>
    <s v="AD01-9362"/>
    <x v="2"/>
    <s v="Nov"/>
    <x v="1"/>
    <x v="0"/>
    <s v="Order assembled"/>
    <x v="0"/>
    <x v="0"/>
    <x v="0"/>
    <x v="4"/>
    <n v="526.24"/>
  </r>
  <r>
    <s v="AD01-9362"/>
    <x v="2"/>
    <s v="Nov"/>
    <x v="1"/>
    <x v="0"/>
    <s v="Order assembled"/>
    <x v="0"/>
    <x v="0"/>
    <x v="0"/>
    <x v="58"/>
    <n v="526.24"/>
  </r>
  <r>
    <s v="AD01-9361"/>
    <x v="2"/>
    <s v="Nov"/>
    <x v="1"/>
    <x v="0"/>
    <s v="Order assembled"/>
    <x v="0"/>
    <x v="0"/>
    <x v="0"/>
    <x v="6"/>
    <n v="526.24"/>
  </r>
  <r>
    <s v="AD01-9364"/>
    <x v="2"/>
    <s v="Nov"/>
    <x v="1"/>
    <x v="0"/>
    <s v="Order assembled"/>
    <x v="0"/>
    <x v="0"/>
    <x v="0"/>
    <x v="528"/>
    <n v="1377.09"/>
  </r>
  <r>
    <s v="AD01-9361"/>
    <x v="2"/>
    <s v="Nov"/>
    <x v="1"/>
    <x v="0"/>
    <s v="Order assembled"/>
    <x v="0"/>
    <x v="0"/>
    <x v="0"/>
    <x v="529"/>
    <n v="1454.31"/>
  </r>
  <r>
    <s v="AD01-9361"/>
    <x v="2"/>
    <s v="Nov"/>
    <x v="1"/>
    <x v="0"/>
    <s v="Order assembled"/>
    <x v="0"/>
    <x v="0"/>
    <x v="0"/>
    <x v="404"/>
    <n v="300.3"/>
  </r>
  <r>
    <s v="AD01-9361"/>
    <x v="2"/>
    <s v="Nov"/>
    <x v="1"/>
    <x v="0"/>
    <s v="Order assembled"/>
    <x v="0"/>
    <x v="0"/>
    <x v="0"/>
    <x v="16"/>
    <n v="338.90999999999997"/>
  </r>
  <r>
    <s v="AD01-9362"/>
    <x v="2"/>
    <s v="Nov"/>
    <x v="1"/>
    <x v="0"/>
    <s v="Order assembled"/>
    <x v="0"/>
    <x v="0"/>
    <x v="0"/>
    <x v="335"/>
    <n v="235.95"/>
  </r>
  <r>
    <s v="AD01-9364"/>
    <x v="2"/>
    <s v="Nov"/>
    <x v="1"/>
    <x v="0"/>
    <s v="Order assembled"/>
    <x v="0"/>
    <x v="0"/>
    <x v="0"/>
    <x v="42"/>
    <n v="304.59000000000003"/>
  </r>
  <r>
    <s v="AD01-9362"/>
    <x v="2"/>
    <s v="Nov"/>
    <x v="1"/>
    <x v="0"/>
    <s v="Order assembled"/>
    <x v="0"/>
    <x v="0"/>
    <x v="0"/>
    <x v="313"/>
    <n v="456.16999999999996"/>
  </r>
  <r>
    <s v="AD01-9362"/>
    <x v="2"/>
    <s v="Nov"/>
    <x v="1"/>
    <x v="0"/>
    <s v="Order assembled"/>
    <x v="0"/>
    <x v="0"/>
    <x v="0"/>
    <x v="314"/>
    <n v="447.59000000000003"/>
  </r>
  <r>
    <s v="AD01-9361"/>
    <x v="2"/>
    <s v="Nov"/>
    <x v="1"/>
    <x v="0"/>
    <s v="Order assembled"/>
    <x v="0"/>
    <x v="0"/>
    <x v="0"/>
    <x v="315"/>
    <n v="439.01"/>
  </r>
  <r>
    <s v="AD01-9361"/>
    <x v="2"/>
    <s v="Nov"/>
    <x v="1"/>
    <x v="0"/>
    <s v="Order assembled"/>
    <x v="0"/>
    <x v="0"/>
    <x v="0"/>
    <x v="19"/>
    <n v="336.05"/>
  </r>
  <r>
    <s v="AD01-9361"/>
    <x v="2"/>
    <s v="Nov"/>
    <x v="1"/>
    <x v="0"/>
    <s v="Order assembled"/>
    <x v="0"/>
    <x v="0"/>
    <x v="0"/>
    <x v="530"/>
    <n v="1141.1399999999999"/>
  </r>
  <r>
    <s v="AD01-9362"/>
    <x v="2"/>
    <s v="Nov"/>
    <x v="1"/>
    <x v="0"/>
    <s v="Order assembled"/>
    <x v="0"/>
    <x v="0"/>
    <x v="0"/>
    <x v="476"/>
    <n v="1188.33"/>
  </r>
  <r>
    <s v="AD01-9364"/>
    <x v="2"/>
    <s v="Nov"/>
    <x v="1"/>
    <x v="0"/>
    <s v="Order assembled"/>
    <x v="0"/>
    <x v="0"/>
    <x v="1"/>
    <x v="281"/>
    <n v="453.31"/>
  </r>
  <r>
    <s v="AD01-9361"/>
    <x v="2"/>
    <s v="Nov"/>
    <x v="1"/>
    <x v="0"/>
    <s v="Order assembled"/>
    <x v="0"/>
    <x v="0"/>
    <x v="1"/>
    <x v="270"/>
    <n v="444.73"/>
  </r>
  <r>
    <s v="AD01-9365"/>
    <x v="2"/>
    <s v="Nov"/>
    <x v="1"/>
    <x v="0"/>
    <s v="Order assembled"/>
    <x v="0"/>
    <x v="0"/>
    <x v="1"/>
    <x v="296"/>
    <n v="436.15"/>
  </r>
  <r>
    <s v="AD01-9361"/>
    <x v="2"/>
    <s v="Nov"/>
    <x v="1"/>
    <x v="0"/>
    <s v="Order assembled"/>
    <x v="0"/>
    <x v="0"/>
    <x v="0"/>
    <x v="72"/>
    <n v="341.77"/>
  </r>
  <r>
    <s v="AD01-9361"/>
    <x v="2"/>
    <s v="Nov"/>
    <x v="1"/>
    <x v="0"/>
    <s v="Order assembled"/>
    <x v="0"/>
    <x v="0"/>
    <x v="0"/>
    <x v="232"/>
    <n v="298.87"/>
  </r>
  <r>
    <s v="AD01-9364"/>
    <x v="2"/>
    <s v="Oct"/>
    <x v="1"/>
    <x v="0"/>
    <s v="Order assembled"/>
    <x v="0"/>
    <x v="0"/>
    <x v="1"/>
    <x v="165"/>
    <n v="474.76"/>
  </r>
  <r>
    <s v="AD01-9362"/>
    <x v="2"/>
    <s v="Oct"/>
    <x v="1"/>
    <x v="0"/>
    <s v="Order assembled"/>
    <x v="0"/>
    <x v="0"/>
    <x v="1"/>
    <x v="166"/>
    <n v="466.18"/>
  </r>
  <r>
    <s v="AD01-9361"/>
    <x v="2"/>
    <s v="Oct"/>
    <x v="1"/>
    <x v="0"/>
    <s v="Order assembled"/>
    <x v="0"/>
    <x v="0"/>
    <x v="0"/>
    <x v="56"/>
    <n v="346.06"/>
  </r>
  <r>
    <s v="AD01-9361"/>
    <x v="2"/>
    <s v="Oct"/>
    <x v="1"/>
    <x v="0"/>
    <s v="Order assembled"/>
    <x v="0"/>
    <x v="0"/>
    <x v="0"/>
    <x v="190"/>
    <n v="243.1"/>
  </r>
  <r>
    <s v="AD01-9361"/>
    <x v="2"/>
    <s v="Oct"/>
    <x v="1"/>
    <x v="0"/>
    <s v="Order assembled"/>
    <x v="0"/>
    <x v="0"/>
    <x v="0"/>
    <x v="54"/>
    <n v="311.74"/>
  </r>
  <r>
    <s v="AD01-9361"/>
    <x v="2"/>
    <s v="Oct"/>
    <x v="1"/>
    <x v="0"/>
    <s v="Order assembled"/>
    <x v="0"/>
    <x v="0"/>
    <x v="0"/>
    <x v="249"/>
    <n v="477.62"/>
  </r>
  <r>
    <s v="AD01-9363"/>
    <x v="2"/>
    <s v="Oct"/>
    <x v="1"/>
    <x v="0"/>
    <s v="Order assembled"/>
    <x v="0"/>
    <x v="0"/>
    <x v="0"/>
    <x v="234"/>
    <n v="469.03999999999996"/>
  </r>
  <r>
    <s v="AD01-9362"/>
    <x v="2"/>
    <s v="Oct"/>
    <x v="1"/>
    <x v="0"/>
    <s v="Order assembled"/>
    <x v="0"/>
    <x v="0"/>
    <x v="0"/>
    <x v="297"/>
    <n v="460.46000000000004"/>
  </r>
  <r>
    <s v="AD01-9362"/>
    <x v="2"/>
    <s v="Oct"/>
    <x v="1"/>
    <x v="0"/>
    <s v="Order assembled"/>
    <x v="0"/>
    <x v="0"/>
    <x v="0"/>
    <x v="75"/>
    <n v="526.24"/>
  </r>
  <r>
    <s v="AD01-9362"/>
    <x v="2"/>
    <s v="Oct"/>
    <x v="1"/>
    <x v="0"/>
    <s v="Order assembled"/>
    <x v="0"/>
    <x v="0"/>
    <x v="0"/>
    <x v="32"/>
    <n v="526.24"/>
  </r>
  <r>
    <s v="AD01-9361"/>
    <x v="2"/>
    <s v="Oct"/>
    <x v="1"/>
    <x v="0"/>
    <s v="Order assembled"/>
    <x v="0"/>
    <x v="0"/>
    <x v="0"/>
    <x v="531"/>
    <n v="1452.88"/>
  </r>
  <r>
    <s v="AD01-9362"/>
    <x v="2"/>
    <s v="Oct"/>
    <x v="1"/>
    <x v="0"/>
    <s v="Order assembled"/>
    <x v="0"/>
    <x v="0"/>
    <x v="0"/>
    <x v="60"/>
    <n v="308.88"/>
  </r>
  <r>
    <s v="AD01-9362"/>
    <x v="2"/>
    <s v="Oct"/>
    <x v="1"/>
    <x v="0"/>
    <s v="Order assembled"/>
    <x v="0"/>
    <x v="0"/>
    <x v="0"/>
    <x v="158"/>
    <n v="347.49"/>
  </r>
  <r>
    <s v="AD01-9361"/>
    <x v="2"/>
    <s v="Oct"/>
    <x v="1"/>
    <x v="0"/>
    <s v="Order assembled"/>
    <x v="0"/>
    <x v="0"/>
    <x v="0"/>
    <x v="369"/>
    <n v="244.53"/>
  </r>
  <r>
    <s v="AD01-9361"/>
    <x v="2"/>
    <s v="Oct"/>
    <x v="1"/>
    <x v="0"/>
    <s v="Order assembled"/>
    <x v="0"/>
    <x v="0"/>
    <x v="0"/>
    <x v="317"/>
    <n v="473.33"/>
  </r>
  <r>
    <s v="AD01-9361"/>
    <x v="2"/>
    <s v="Oct"/>
    <x v="1"/>
    <x v="0"/>
    <s v="Order assembled"/>
    <x v="0"/>
    <x v="0"/>
    <x v="0"/>
    <x v="318"/>
    <n v="464.75"/>
  </r>
  <r>
    <s v="AD01-9362"/>
    <x v="2"/>
    <s v="Oct"/>
    <x v="1"/>
    <x v="0"/>
    <s v="Order assembled"/>
    <x v="0"/>
    <x v="0"/>
    <x v="0"/>
    <x v="69"/>
    <n v="344.63"/>
  </r>
  <r>
    <s v="AD01-9363"/>
    <x v="2"/>
    <s v="Oct"/>
    <x v="1"/>
    <x v="0"/>
    <s v="Order assembled"/>
    <x v="0"/>
    <x v="0"/>
    <x v="0"/>
    <x v="532"/>
    <n v="1139.71"/>
  </r>
  <r>
    <s v="AD01-9362"/>
    <x v="2"/>
    <s v="Oct"/>
    <x v="1"/>
    <x v="0"/>
    <s v="Order assembled"/>
    <x v="0"/>
    <x v="0"/>
    <x v="0"/>
    <x v="466"/>
    <n v="1186.9000000000001"/>
  </r>
  <r>
    <s v="AD01-9364"/>
    <x v="2"/>
    <s v="Oct"/>
    <x v="1"/>
    <x v="0"/>
    <s v="Order assembled"/>
    <x v="0"/>
    <x v="0"/>
    <x v="1"/>
    <x v="253"/>
    <n v="479.05"/>
  </r>
  <r>
    <s v="AD01-9361"/>
    <x v="2"/>
    <s v="Oct"/>
    <x v="1"/>
    <x v="0"/>
    <s v="Order assembled"/>
    <x v="0"/>
    <x v="0"/>
    <x v="1"/>
    <x v="241"/>
    <n v="470.47"/>
  </r>
  <r>
    <s v="AD01-9363"/>
    <x v="2"/>
    <s v="Oct"/>
    <x v="1"/>
    <x v="0"/>
    <s v="Order assembled"/>
    <x v="0"/>
    <x v="0"/>
    <x v="1"/>
    <x v="301"/>
    <n v="461.89"/>
  </r>
  <r>
    <s v="AD01-9361"/>
    <x v="2"/>
    <s v="Oct"/>
    <x v="1"/>
    <x v="0"/>
    <s v="Order assembled"/>
    <x v="0"/>
    <x v="0"/>
    <x v="0"/>
    <x v="86"/>
    <n v="350.35"/>
  </r>
  <r>
    <s v="AD01-9362"/>
    <x v="2"/>
    <s v="Oct"/>
    <x v="1"/>
    <x v="0"/>
    <s v="Order assembled"/>
    <x v="0"/>
    <x v="0"/>
    <x v="0"/>
    <x v="419"/>
    <n v="238.81"/>
  </r>
  <r>
    <s v="AD01-9361"/>
    <x v="2"/>
    <s v="Oct"/>
    <x v="1"/>
    <x v="0"/>
    <s v="Order assembled"/>
    <x v="0"/>
    <x v="0"/>
    <x v="0"/>
    <x v="50"/>
    <n v="307.45"/>
  </r>
  <r>
    <s v="AD01-9361"/>
    <x v="2"/>
    <s v="Sep"/>
    <x v="1"/>
    <x v="0"/>
    <s v="Order assembled"/>
    <x v="0"/>
    <x v="0"/>
    <x v="1"/>
    <x v="0"/>
    <n v="500.5"/>
  </r>
  <r>
    <s v="AD01-9361"/>
    <x v="2"/>
    <s v="Sep"/>
    <x v="1"/>
    <x v="0"/>
    <s v="Order assembled"/>
    <x v="0"/>
    <x v="0"/>
    <x v="1"/>
    <x v="1"/>
    <n v="491.91999999999996"/>
  </r>
  <r>
    <s v="AD01-9362"/>
    <x v="2"/>
    <s v="Sep"/>
    <x v="1"/>
    <x v="0"/>
    <s v="Order assembled"/>
    <x v="0"/>
    <x v="0"/>
    <x v="1"/>
    <x v="164"/>
    <n v="483.34000000000003"/>
  </r>
  <r>
    <s v="AD01-9361"/>
    <x v="2"/>
    <s v="Sep"/>
    <x v="1"/>
    <x v="0"/>
    <s v="Order assembled"/>
    <x v="0"/>
    <x v="0"/>
    <x v="0"/>
    <x v="203"/>
    <n v="251.68"/>
  </r>
  <r>
    <s v="AD01-9362"/>
    <x v="2"/>
    <s v="Sep"/>
    <x v="1"/>
    <x v="0"/>
    <s v="Order assembled"/>
    <x v="0"/>
    <x v="0"/>
    <x v="0"/>
    <x v="244"/>
    <n v="503.36"/>
  </r>
  <r>
    <s v="AD01-9362"/>
    <x v="2"/>
    <s v="Sep"/>
    <x v="1"/>
    <x v="0"/>
    <s v="Order assembled"/>
    <x v="0"/>
    <x v="0"/>
    <x v="0"/>
    <x v="255"/>
    <n v="494.78"/>
  </r>
  <r>
    <s v="AD01-9361"/>
    <x v="2"/>
    <s v="Sep"/>
    <x v="1"/>
    <x v="0"/>
    <s v="Order assembled"/>
    <x v="0"/>
    <x v="0"/>
    <x v="0"/>
    <x v="256"/>
    <n v="486.2"/>
  </r>
  <r>
    <s v="AD01-9361"/>
    <x v="2"/>
    <s v="Sep"/>
    <x v="1"/>
    <x v="0"/>
    <s v="Order assembled"/>
    <x v="0"/>
    <x v="0"/>
    <x v="0"/>
    <x v="191"/>
    <n v="526.24"/>
  </r>
  <r>
    <s v="AD01-9361"/>
    <x v="2"/>
    <s v="Sep"/>
    <x v="1"/>
    <x v="0"/>
    <s v="Order assembled"/>
    <x v="0"/>
    <x v="0"/>
    <x v="0"/>
    <x v="77"/>
    <n v="526.24"/>
  </r>
  <r>
    <s v="AD01-9362"/>
    <x v="2"/>
    <s v="Sep"/>
    <x v="1"/>
    <x v="0"/>
    <s v="Order assembled"/>
    <x v="0"/>
    <x v="0"/>
    <x v="0"/>
    <x v="533"/>
    <n v="1375.6599999999999"/>
  </r>
  <r>
    <s v="AD01-9362"/>
    <x v="2"/>
    <s v="Sep"/>
    <x v="1"/>
    <x v="0"/>
    <s v="Order assembled"/>
    <x v="0"/>
    <x v="0"/>
    <x v="0"/>
    <x v="534"/>
    <n v="1451.45"/>
  </r>
  <r>
    <s v="AD01-9362"/>
    <x v="2"/>
    <s v="Sep"/>
    <x v="1"/>
    <x v="0"/>
    <s v="Order assembled"/>
    <x v="0"/>
    <x v="0"/>
    <x v="0"/>
    <x v="59"/>
    <n v="317.45999999999998"/>
  </r>
  <r>
    <s v="AD01-9362"/>
    <x v="2"/>
    <s v="Sep"/>
    <x v="1"/>
    <x v="0"/>
    <s v="Order assembled"/>
    <x v="0"/>
    <x v="0"/>
    <x v="0"/>
    <x v="372"/>
    <n v="253.11"/>
  </r>
  <r>
    <s v="AD01-9362"/>
    <x v="2"/>
    <s v="Sep"/>
    <x v="1"/>
    <x v="0"/>
    <s v="Order assembled"/>
    <x v="0"/>
    <x v="0"/>
    <x v="0"/>
    <x v="65"/>
    <n v="313.17"/>
  </r>
  <r>
    <s v="AD01-9361"/>
    <x v="2"/>
    <s v="Sep"/>
    <x v="1"/>
    <x v="0"/>
    <s v="Order assembled"/>
    <x v="0"/>
    <x v="0"/>
    <x v="0"/>
    <x v="262"/>
    <n v="499.07"/>
  </r>
  <r>
    <s v="AD01-9362"/>
    <x v="2"/>
    <s v="Sep"/>
    <x v="1"/>
    <x v="0"/>
    <s v="Order assembled"/>
    <x v="0"/>
    <x v="0"/>
    <x v="0"/>
    <x v="263"/>
    <n v="490.49"/>
  </r>
  <r>
    <s v="AD01-9361"/>
    <x v="2"/>
    <s v="Sep"/>
    <x v="1"/>
    <x v="0"/>
    <s v="Order assembled"/>
    <x v="0"/>
    <x v="0"/>
    <x v="0"/>
    <x v="316"/>
    <n v="481.90999999999997"/>
  </r>
  <r>
    <s v="AD01-9362"/>
    <x v="2"/>
    <s v="Sep"/>
    <x v="1"/>
    <x v="0"/>
    <s v="Order assembled"/>
    <x v="0"/>
    <x v="0"/>
    <x v="0"/>
    <x v="535"/>
    <n v="1138.28"/>
  </r>
  <r>
    <s v="AD01-9364"/>
    <x v="2"/>
    <s v="Sep"/>
    <x v="1"/>
    <x v="0"/>
    <s v="Order assembled"/>
    <x v="0"/>
    <x v="0"/>
    <x v="0"/>
    <x v="472"/>
    <n v="1185.47"/>
  </r>
  <r>
    <s v="AD01-9361"/>
    <x v="2"/>
    <s v="Sep"/>
    <x v="1"/>
    <x v="0"/>
    <s v="Order assembled"/>
    <x v="0"/>
    <x v="0"/>
    <x v="1"/>
    <x v="280"/>
    <n v="496.21000000000004"/>
  </r>
  <r>
    <s v="AD01-9361"/>
    <x v="2"/>
    <s v="Sep"/>
    <x v="1"/>
    <x v="0"/>
    <s v="Order assembled"/>
    <x v="0"/>
    <x v="0"/>
    <x v="1"/>
    <x v="268"/>
    <n v="487.63"/>
  </r>
  <r>
    <s v="AD01-9361"/>
    <x v="2"/>
    <s v="Sep"/>
    <x v="1"/>
    <x v="0"/>
    <s v="Order assembled"/>
    <x v="0"/>
    <x v="0"/>
    <x v="0"/>
    <x v="390"/>
    <n v="247.39"/>
  </r>
  <r>
    <s v="AD01-9361"/>
    <x v="2"/>
    <s v="Sep"/>
    <x v="1"/>
    <x v="0"/>
    <s v="Order assembled"/>
    <x v="0"/>
    <x v="0"/>
    <x v="0"/>
    <x v="70"/>
    <n v="316.02999999999997"/>
  </r>
  <r>
    <s v="AD01-9361"/>
    <x v="2"/>
    <s v="Apr"/>
    <x v="0"/>
    <x v="1"/>
    <s v="Cancelld"/>
    <x v="1"/>
    <x v="0"/>
    <x v="2"/>
    <x v="32"/>
    <n v="306.02"/>
  </r>
  <r>
    <s v="AD01-9364"/>
    <x v="2"/>
    <s v="Apr"/>
    <x v="0"/>
    <x v="1"/>
    <s v="Cancelld"/>
    <x v="1"/>
    <x v="0"/>
    <x v="2"/>
    <x v="6"/>
    <n v="297.44"/>
  </r>
  <r>
    <s v="AD01-9362"/>
    <x v="2"/>
    <s v="Apr"/>
    <x v="0"/>
    <x v="1"/>
    <s v="Cancelld"/>
    <x v="1"/>
    <x v="0"/>
    <x v="2"/>
    <x v="170"/>
    <n v="288.86"/>
  </r>
  <r>
    <s v="AD01-9365"/>
    <x v="2"/>
    <s v="Apr"/>
    <x v="0"/>
    <x v="1"/>
    <s v="Cancelld"/>
    <x v="1"/>
    <x v="0"/>
    <x v="2"/>
    <x v="21"/>
    <n v="301.73"/>
  </r>
  <r>
    <s v="AD01-9361"/>
    <x v="2"/>
    <s v="Apr"/>
    <x v="0"/>
    <x v="1"/>
    <s v="Cancelld"/>
    <x v="1"/>
    <x v="0"/>
    <x v="2"/>
    <x v="184"/>
    <n v="293.14999999999998"/>
  </r>
  <r>
    <s v="AD01-9362"/>
    <x v="2"/>
    <s v="Feb"/>
    <x v="0"/>
    <x v="1"/>
    <s v="Cancelld"/>
    <x v="1"/>
    <x v="0"/>
    <x v="2"/>
    <x v="75"/>
    <n v="348.92"/>
  </r>
  <r>
    <s v="AD01-9361"/>
    <x v="2"/>
    <s v="Feb"/>
    <x v="0"/>
    <x v="1"/>
    <s v="Cancelld"/>
    <x v="1"/>
    <x v="0"/>
    <x v="2"/>
    <x v="4"/>
    <n v="340.34000000000003"/>
  </r>
  <r>
    <s v="AD01-9361"/>
    <x v="2"/>
    <s v="Feb"/>
    <x v="0"/>
    <x v="1"/>
    <s v="Cancelld"/>
    <x v="1"/>
    <x v="0"/>
    <x v="2"/>
    <x v="84"/>
    <n v="353.21"/>
  </r>
  <r>
    <s v="AD01-9362"/>
    <x v="2"/>
    <s v="Feb"/>
    <x v="0"/>
    <x v="1"/>
    <s v="Cancelld"/>
    <x v="1"/>
    <x v="0"/>
    <x v="2"/>
    <x v="69"/>
    <n v="344.63"/>
  </r>
  <r>
    <s v="AD01-9364"/>
    <x v="2"/>
    <s v="Feb"/>
    <x v="0"/>
    <x v="1"/>
    <s v="Cancelld"/>
    <x v="1"/>
    <x v="0"/>
    <x v="2"/>
    <x v="19"/>
    <n v="336.05"/>
  </r>
  <r>
    <s v="AD01-9362"/>
    <x v="2"/>
    <s v="Jan"/>
    <x v="0"/>
    <x v="1"/>
    <s v="Cancelld"/>
    <x v="1"/>
    <x v="0"/>
    <x v="0"/>
    <x v="33"/>
    <n v="374.65999999999997"/>
  </r>
  <r>
    <s v="AD01-9362"/>
    <x v="2"/>
    <s v="Jan"/>
    <x v="0"/>
    <x v="1"/>
    <s v="Cancelld"/>
    <x v="1"/>
    <x v="0"/>
    <x v="2"/>
    <x v="218"/>
    <n v="366.08"/>
  </r>
  <r>
    <s v="AD01-9362"/>
    <x v="2"/>
    <s v="Jan"/>
    <x v="0"/>
    <x v="1"/>
    <s v="Cancelld"/>
    <x v="1"/>
    <x v="0"/>
    <x v="2"/>
    <x v="91"/>
    <n v="357.5"/>
  </r>
  <r>
    <s v="AD01-9362"/>
    <x v="2"/>
    <s v="Jan"/>
    <x v="0"/>
    <x v="1"/>
    <s v="Cancelld"/>
    <x v="1"/>
    <x v="0"/>
    <x v="2"/>
    <x v="46"/>
    <n v="370.37"/>
  </r>
  <r>
    <s v="AD01-9364"/>
    <x v="2"/>
    <s v="Jan"/>
    <x v="0"/>
    <x v="1"/>
    <s v="Cancelld"/>
    <x v="1"/>
    <x v="0"/>
    <x v="2"/>
    <x v="99"/>
    <n v="361.78999999999996"/>
  </r>
  <r>
    <s v="AD01-9362"/>
    <x v="2"/>
    <s v="Jun"/>
    <x v="0"/>
    <x v="1"/>
    <s v="Cancelld"/>
    <x v="1"/>
    <x v="0"/>
    <x v="2"/>
    <x v="219"/>
    <n v="263.12"/>
  </r>
  <r>
    <s v="AD01-9363"/>
    <x v="2"/>
    <s v="Jun"/>
    <x v="0"/>
    <x v="1"/>
    <s v="Cancelld"/>
    <x v="1"/>
    <x v="0"/>
    <x v="2"/>
    <x v="204"/>
    <n v="254.54"/>
  </r>
  <r>
    <s v="AD01-9364"/>
    <x v="2"/>
    <s v="Jun"/>
    <x v="0"/>
    <x v="1"/>
    <s v="Cancelld"/>
    <x v="1"/>
    <x v="0"/>
    <x v="2"/>
    <x v="191"/>
    <n v="245.95999999999998"/>
  </r>
  <r>
    <s v="AD01-9361"/>
    <x v="2"/>
    <s v="Jun"/>
    <x v="0"/>
    <x v="1"/>
    <s v="Cancelld"/>
    <x v="1"/>
    <x v="0"/>
    <x v="2"/>
    <x v="231"/>
    <n v="258.83"/>
  </r>
  <r>
    <s v="AD01-9363"/>
    <x v="2"/>
    <s v="Jun"/>
    <x v="0"/>
    <x v="1"/>
    <s v="Cancelld"/>
    <x v="1"/>
    <x v="0"/>
    <x v="2"/>
    <x v="213"/>
    <n v="250.25"/>
  </r>
  <r>
    <s v="AD01-9362"/>
    <x v="2"/>
    <s v="Jun"/>
    <x v="0"/>
    <x v="1"/>
    <s v="Cancelld"/>
    <x v="1"/>
    <x v="0"/>
    <x v="2"/>
    <x v="200"/>
    <n v="241.67000000000002"/>
  </r>
  <r>
    <s v="AD01-9361"/>
    <x v="2"/>
    <s v="Mar"/>
    <x v="0"/>
    <x v="1"/>
    <s v="Cancelld"/>
    <x v="1"/>
    <x v="0"/>
    <x v="2"/>
    <x v="169"/>
    <n v="331.76"/>
  </r>
  <r>
    <s v="AD01-9362"/>
    <x v="2"/>
    <s v="Mar"/>
    <x v="0"/>
    <x v="1"/>
    <s v="Cancelld"/>
    <x v="1"/>
    <x v="0"/>
    <x v="2"/>
    <x v="93"/>
    <n v="323.18"/>
  </r>
  <r>
    <s v="AD01-9362"/>
    <x v="2"/>
    <s v="Mar"/>
    <x v="0"/>
    <x v="1"/>
    <s v="Cancelld"/>
    <x v="1"/>
    <x v="0"/>
    <x v="2"/>
    <x v="77"/>
    <n v="314.60000000000002"/>
  </r>
  <r>
    <s v="AD01-9364"/>
    <x v="2"/>
    <s v="Mar"/>
    <x v="0"/>
    <x v="1"/>
    <s v="Cancelld"/>
    <x v="1"/>
    <x v="0"/>
    <x v="2"/>
    <x v="182"/>
    <n v="327.47000000000003"/>
  </r>
  <r>
    <s v="AD01-9361"/>
    <x v="2"/>
    <s v="Mar"/>
    <x v="0"/>
    <x v="1"/>
    <s v="Cancelld"/>
    <x v="1"/>
    <x v="0"/>
    <x v="2"/>
    <x v="100"/>
    <n v="318.89"/>
  </r>
  <r>
    <s v="AD01-9361"/>
    <x v="2"/>
    <s v="Mar"/>
    <x v="0"/>
    <x v="1"/>
    <s v="Cancelld"/>
    <x v="1"/>
    <x v="0"/>
    <x v="2"/>
    <x v="45"/>
    <n v="310.31"/>
  </r>
  <r>
    <s v="AD01-9362"/>
    <x v="2"/>
    <s v="May"/>
    <x v="0"/>
    <x v="1"/>
    <s v="Cancelld"/>
    <x v="1"/>
    <x v="0"/>
    <x v="2"/>
    <x v="131"/>
    <n v="280.27999999999997"/>
  </r>
  <r>
    <s v="AD01-9361"/>
    <x v="2"/>
    <s v="May"/>
    <x v="0"/>
    <x v="1"/>
    <s v="Cancelld"/>
    <x v="1"/>
    <x v="0"/>
    <x v="2"/>
    <x v="34"/>
    <n v="271.7"/>
  </r>
  <r>
    <s v="AD01-9361"/>
    <x v="2"/>
    <s v="May"/>
    <x v="0"/>
    <x v="1"/>
    <s v="Cancelld"/>
    <x v="1"/>
    <x v="0"/>
    <x v="2"/>
    <x v="141"/>
    <n v="284.57"/>
  </r>
  <r>
    <s v="AD01-9361"/>
    <x v="2"/>
    <s v="May"/>
    <x v="0"/>
    <x v="1"/>
    <s v="Cancelld"/>
    <x v="1"/>
    <x v="0"/>
    <x v="2"/>
    <x v="68"/>
    <n v="275.99"/>
  </r>
  <r>
    <s v="AD01-9361"/>
    <x v="2"/>
    <s v="May"/>
    <x v="0"/>
    <x v="1"/>
    <s v="Cancelld"/>
    <x v="1"/>
    <x v="0"/>
    <x v="2"/>
    <x v="47"/>
    <n v="267.40999999999997"/>
  </r>
  <r>
    <s v="AD01-9362"/>
    <x v="2"/>
    <s v="Apr"/>
    <x v="1"/>
    <x v="1"/>
    <s v="Cancelld"/>
    <x v="1"/>
    <x v="0"/>
    <x v="2"/>
    <x v="28"/>
    <n v="397.53999999999996"/>
  </r>
  <r>
    <s v="AD01-9365"/>
    <x v="2"/>
    <s v="Apr"/>
    <x v="1"/>
    <x v="1"/>
    <s v="Cancelld"/>
    <x v="1"/>
    <x v="0"/>
    <x v="2"/>
    <x v="166"/>
    <n v="466.18"/>
  </r>
  <r>
    <s v="AD01-9361"/>
    <x v="2"/>
    <s v="Apr"/>
    <x v="1"/>
    <x v="1"/>
    <s v="Cancelld"/>
    <x v="1"/>
    <x v="0"/>
    <x v="2"/>
    <x v="5"/>
    <n v="400.4"/>
  </r>
  <r>
    <s v="AD01-9361"/>
    <x v="2"/>
    <s v="Apr"/>
    <x v="1"/>
    <x v="1"/>
    <s v="Cancelld"/>
    <x v="1"/>
    <x v="0"/>
    <x v="2"/>
    <x v="474"/>
    <n v="1192.6199999999999"/>
  </r>
  <r>
    <s v="AD01-9361"/>
    <x v="2"/>
    <s v="Apr"/>
    <x v="1"/>
    <x v="1"/>
    <s v="Cancelld"/>
    <x v="1"/>
    <x v="0"/>
    <x v="2"/>
    <x v="452"/>
    <n v="1239.81"/>
  </r>
  <r>
    <s v="AD01-9362"/>
    <x v="2"/>
    <s v="Apr"/>
    <x v="1"/>
    <x v="1"/>
    <s v="Cancelld"/>
    <x v="1"/>
    <x v="0"/>
    <x v="2"/>
    <x v="536"/>
    <n v="1331.33"/>
  </r>
  <r>
    <s v="AD01-9362"/>
    <x v="2"/>
    <s v="Apr"/>
    <x v="1"/>
    <x v="1"/>
    <s v="Cancelld"/>
    <x v="1"/>
    <x v="0"/>
    <x v="2"/>
    <x v="537"/>
    <n v="1332.76"/>
  </r>
  <r>
    <s v="AD01-9361"/>
    <x v="2"/>
    <s v="Apr"/>
    <x v="1"/>
    <x v="1"/>
    <s v="Cancelld"/>
    <x v="1"/>
    <x v="0"/>
    <x v="2"/>
    <x v="538"/>
    <n v="1334.19"/>
  </r>
  <r>
    <s v="AD01-9362"/>
    <x v="2"/>
    <s v="Apr"/>
    <x v="1"/>
    <x v="1"/>
    <s v="Cancelld"/>
    <x v="1"/>
    <x v="0"/>
    <x v="2"/>
    <x v="101"/>
    <n v="526.24"/>
  </r>
  <r>
    <s v="AD01-9361"/>
    <x v="2"/>
    <s v="Apr"/>
    <x v="1"/>
    <x v="1"/>
    <s v="Cancelld"/>
    <x v="1"/>
    <x v="0"/>
    <x v="2"/>
    <x v="178"/>
    <n v="467.61"/>
  </r>
  <r>
    <s v="AD01-9361"/>
    <x v="2"/>
    <s v="Apr"/>
    <x v="1"/>
    <x v="1"/>
    <s v="Cancelld"/>
    <x v="1"/>
    <x v="0"/>
    <x v="2"/>
    <x v="376"/>
    <n v="261.69"/>
  </r>
  <r>
    <s v="AD01-9362"/>
    <x v="2"/>
    <s v="Apr"/>
    <x v="1"/>
    <x v="1"/>
    <s v="Cancelld"/>
    <x v="1"/>
    <x v="0"/>
    <x v="2"/>
    <x v="372"/>
    <n v="253.11"/>
  </r>
  <r>
    <s v="AD01-9361"/>
    <x v="2"/>
    <s v="Apr"/>
    <x v="1"/>
    <x v="1"/>
    <s v="Cancelld"/>
    <x v="1"/>
    <x v="0"/>
    <x v="2"/>
    <x v="369"/>
    <n v="244.53"/>
  </r>
  <r>
    <s v="AD01-9361"/>
    <x v="2"/>
    <s v="Apr"/>
    <x v="1"/>
    <x v="1"/>
    <s v="Cancelld"/>
    <x v="1"/>
    <x v="0"/>
    <x v="2"/>
    <x v="183"/>
    <n v="396.11"/>
  </r>
  <r>
    <s v="AD01-9364"/>
    <x v="2"/>
    <s v="Apr"/>
    <x v="1"/>
    <x v="1"/>
    <s v="Cancelld"/>
    <x v="1"/>
    <x v="0"/>
    <x v="2"/>
    <x v="318"/>
    <n v="464.75"/>
  </r>
  <r>
    <s v="AD01-9362"/>
    <x v="2"/>
    <s v="Apr"/>
    <x v="1"/>
    <x v="1"/>
    <s v="Cancelld"/>
    <x v="1"/>
    <x v="0"/>
    <x v="2"/>
    <x v="539"/>
    <n v="1204.06"/>
  </r>
  <r>
    <s v="AD01-9362"/>
    <x v="2"/>
    <s v="Apr"/>
    <x v="1"/>
    <x v="1"/>
    <s v="Cancelld"/>
    <x v="1"/>
    <x v="0"/>
    <x v="2"/>
    <x v="22"/>
    <n v="1252.68"/>
  </r>
  <r>
    <s v="AD01-9362"/>
    <x v="2"/>
    <s v="Aug"/>
    <x v="1"/>
    <x v="1"/>
    <s v="Cancelld"/>
    <x v="1"/>
    <x v="0"/>
    <x v="2"/>
    <x v="165"/>
    <n v="474.76"/>
  </r>
  <r>
    <s v="AD01-9362"/>
    <x v="2"/>
    <s v="Aug"/>
    <x v="1"/>
    <x v="1"/>
    <s v="Cancelld"/>
    <x v="1"/>
    <x v="0"/>
    <x v="2"/>
    <x v="105"/>
    <n v="431.86"/>
  </r>
  <r>
    <s v="AD01-9364"/>
    <x v="2"/>
    <s v="Aug"/>
    <x v="1"/>
    <x v="1"/>
    <s v="Cancelld"/>
    <x v="1"/>
    <x v="0"/>
    <x v="2"/>
    <x v="218"/>
    <n v="366.08"/>
  </r>
  <r>
    <s v="AD01-9363"/>
    <x v="2"/>
    <s v="Aug"/>
    <x v="1"/>
    <x v="1"/>
    <s v="Cancelld"/>
    <x v="1"/>
    <x v="0"/>
    <x v="2"/>
    <x v="236"/>
    <n v="434.72"/>
  </r>
  <r>
    <s v="AD01-9361"/>
    <x v="2"/>
    <s v="Aug"/>
    <x v="1"/>
    <x v="1"/>
    <s v="Cancelld"/>
    <x v="1"/>
    <x v="0"/>
    <x v="2"/>
    <x v="424"/>
    <n v="1121.1199999999999"/>
  </r>
  <r>
    <s v="AD01-9363"/>
    <x v="2"/>
    <s v="Aug"/>
    <x v="1"/>
    <x v="1"/>
    <s v="Cancelld"/>
    <x v="1"/>
    <x v="0"/>
    <x v="2"/>
    <x v="486"/>
    <n v="1196.9099999999999"/>
  </r>
  <r>
    <s v="AD01-9362"/>
    <x v="2"/>
    <s v="Aug"/>
    <x v="1"/>
    <x v="1"/>
    <s v="Cancelld"/>
    <x v="1"/>
    <x v="0"/>
    <x v="2"/>
    <x v="446"/>
    <n v="1244.0999999999999"/>
  </r>
  <r>
    <s v="AD01-9362"/>
    <x v="2"/>
    <s v="Aug"/>
    <x v="1"/>
    <x v="1"/>
    <s v="Cancelld"/>
    <x v="1"/>
    <x v="0"/>
    <x v="2"/>
    <x v="540"/>
    <n v="1347.06"/>
  </r>
  <r>
    <s v="AD01-9362"/>
    <x v="2"/>
    <s v="Aug"/>
    <x v="1"/>
    <x v="1"/>
    <s v="Cancelld"/>
    <x v="1"/>
    <x v="0"/>
    <x v="2"/>
    <x v="541"/>
    <n v="1348.49"/>
  </r>
  <r>
    <s v="AD01-9361"/>
    <x v="2"/>
    <s v="Aug"/>
    <x v="1"/>
    <x v="1"/>
    <s v="Cancelld"/>
    <x v="1"/>
    <x v="0"/>
    <x v="2"/>
    <x v="542"/>
    <n v="1349.92"/>
  </r>
  <r>
    <s v="AD01-9362"/>
    <x v="2"/>
    <s v="Aug"/>
    <x v="1"/>
    <x v="1"/>
    <s v="Cancelld"/>
    <x v="1"/>
    <x v="0"/>
    <x v="2"/>
    <x v="356"/>
    <n v="526.24"/>
  </r>
  <r>
    <s v="AD01-9361"/>
    <x v="2"/>
    <s v="Aug"/>
    <x v="1"/>
    <x v="1"/>
    <s v="Cancelld"/>
    <x v="1"/>
    <x v="0"/>
    <x v="2"/>
    <x v="23"/>
    <n v="526.24"/>
  </r>
  <r>
    <s v="AD01-9361"/>
    <x v="2"/>
    <s v="Aug"/>
    <x v="1"/>
    <x v="1"/>
    <s v="Cancelld"/>
    <x v="1"/>
    <x v="0"/>
    <x v="2"/>
    <x v="114"/>
    <n v="433.28999999999996"/>
  </r>
  <r>
    <s v="AD01-9363"/>
    <x v="2"/>
    <s v="Aug"/>
    <x v="1"/>
    <x v="1"/>
    <s v="Cancelld"/>
    <x v="1"/>
    <x v="0"/>
    <x v="2"/>
    <x v="156"/>
    <n v="519.09"/>
  </r>
  <r>
    <s v="AD01-9364"/>
    <x v="2"/>
    <s v="Aug"/>
    <x v="1"/>
    <x v="1"/>
    <s v="Cancelld"/>
    <x v="1"/>
    <x v="0"/>
    <x v="2"/>
    <x v="157"/>
    <n v="510.51"/>
  </r>
  <r>
    <s v="AD01-9363"/>
    <x v="2"/>
    <s v="Aug"/>
    <x v="1"/>
    <x v="1"/>
    <s v="Cancelld"/>
    <x v="1"/>
    <x v="0"/>
    <x v="2"/>
    <x v="317"/>
    <n v="473.33"/>
  </r>
  <r>
    <s v="AD01-9362"/>
    <x v="2"/>
    <s v="Aug"/>
    <x v="1"/>
    <x v="1"/>
    <s v="Cancelld"/>
    <x v="1"/>
    <x v="0"/>
    <x v="2"/>
    <x v="46"/>
    <n v="370.37"/>
  </r>
  <r>
    <s v="AD01-9362"/>
    <x v="2"/>
    <s v="Aug"/>
    <x v="1"/>
    <x v="1"/>
    <s v="Cancelld"/>
    <x v="1"/>
    <x v="0"/>
    <x v="2"/>
    <x v="525"/>
    <n v="1133.99"/>
  </r>
  <r>
    <s v="AD01-9362"/>
    <x v="2"/>
    <s v="Aug"/>
    <x v="1"/>
    <x v="1"/>
    <s v="Cancelld"/>
    <x v="1"/>
    <x v="0"/>
    <x v="2"/>
    <x v="363"/>
    <n v="1209.78"/>
  </r>
  <r>
    <s v="AD01-9362"/>
    <x v="2"/>
    <s v="Aug"/>
    <x v="1"/>
    <x v="1"/>
    <s v="Cancelld"/>
    <x v="1"/>
    <x v="0"/>
    <x v="2"/>
    <x v="185"/>
    <n v="1256.97"/>
  </r>
  <r>
    <s v="AD01-9362"/>
    <x v="2"/>
    <s v="Dec"/>
    <x v="1"/>
    <x v="1"/>
    <s v="Cancelld"/>
    <x v="1"/>
    <x v="0"/>
    <x v="2"/>
    <x v="127"/>
    <n v="440.44"/>
  </r>
  <r>
    <s v="AD01-9361"/>
    <x v="2"/>
    <s v="Dec"/>
    <x v="1"/>
    <x v="1"/>
    <s v="Cancelld"/>
    <x v="1"/>
    <x v="0"/>
    <x v="2"/>
    <x v="2"/>
    <n v="337.48"/>
  </r>
  <r>
    <s v="AD01-9362"/>
    <x v="2"/>
    <s v="Dec"/>
    <x v="1"/>
    <x v="1"/>
    <s v="Cancelld"/>
    <x v="1"/>
    <x v="0"/>
    <x v="2"/>
    <x v="3"/>
    <n v="406.12"/>
  </r>
  <r>
    <s v="AD01-9362"/>
    <x v="2"/>
    <s v="Dec"/>
    <x v="1"/>
    <x v="1"/>
    <s v="Cancelld"/>
    <x v="1"/>
    <x v="0"/>
    <x v="2"/>
    <x v="243"/>
    <n v="443.3"/>
  </r>
  <r>
    <s v="AD01-9362"/>
    <x v="2"/>
    <s v="Dec"/>
    <x v="1"/>
    <x v="1"/>
    <s v="Cancelld"/>
    <x v="1"/>
    <x v="0"/>
    <x v="2"/>
    <x v="4"/>
    <n v="340.34000000000003"/>
  </r>
  <r>
    <s v="AD01-9362"/>
    <x v="2"/>
    <s v="Dec"/>
    <x v="1"/>
    <x v="1"/>
    <s v="Cancelld"/>
    <x v="1"/>
    <x v="0"/>
    <x v="2"/>
    <x v="5"/>
    <n v="400.4"/>
  </r>
  <r>
    <s v="AD01-9361"/>
    <x v="2"/>
    <s v="Dec"/>
    <x v="1"/>
    <x v="1"/>
    <s v="Cancelld"/>
    <x v="1"/>
    <x v="0"/>
    <x v="2"/>
    <x v="431"/>
    <n v="1125.4099999999999"/>
  </r>
  <r>
    <s v="AD01-9361"/>
    <x v="2"/>
    <s v="Dec"/>
    <x v="1"/>
    <x v="1"/>
    <s v="Cancelld"/>
    <x v="1"/>
    <x v="0"/>
    <x v="2"/>
    <x v="543"/>
    <n v="1202.6300000000001"/>
  </r>
  <r>
    <s v="AD01-9364"/>
    <x v="2"/>
    <s v="Dec"/>
    <x v="1"/>
    <x v="1"/>
    <s v="Cancelld"/>
    <x v="1"/>
    <x v="0"/>
    <x v="2"/>
    <x v="161"/>
    <n v="1249.82"/>
  </r>
  <r>
    <s v="AD01-9361"/>
    <x v="2"/>
    <s v="Dec"/>
    <x v="1"/>
    <x v="1"/>
    <s v="Cancelld"/>
    <x v="1"/>
    <x v="0"/>
    <x v="2"/>
    <x v="544"/>
    <n v="1362.79"/>
  </r>
  <r>
    <s v="AD01-9361"/>
    <x v="2"/>
    <s v="Dec"/>
    <x v="1"/>
    <x v="1"/>
    <s v="Cancelld"/>
    <x v="1"/>
    <x v="0"/>
    <x v="2"/>
    <x v="545"/>
    <n v="1364.22"/>
  </r>
  <r>
    <s v="AD01-9364"/>
    <x v="2"/>
    <s v="Dec"/>
    <x v="1"/>
    <x v="1"/>
    <s v="Cancelld"/>
    <x v="1"/>
    <x v="0"/>
    <x v="2"/>
    <x v="370"/>
    <n v="526.24"/>
  </r>
  <r>
    <s v="AD01-9361"/>
    <x v="2"/>
    <s v="Dec"/>
    <x v="1"/>
    <x v="1"/>
    <s v="Cancelld"/>
    <x v="1"/>
    <x v="0"/>
    <x v="2"/>
    <x v="186"/>
    <n v="526.24"/>
  </r>
  <r>
    <s v="AD01-9361"/>
    <x v="2"/>
    <s v="Dec"/>
    <x v="1"/>
    <x v="1"/>
    <s v="Cancelld"/>
    <x v="1"/>
    <x v="0"/>
    <x v="2"/>
    <x v="40"/>
    <n v="407.55"/>
  </r>
  <r>
    <s v="AD01-9362"/>
    <x v="2"/>
    <s v="Dec"/>
    <x v="1"/>
    <x v="1"/>
    <s v="Cancelld"/>
    <x v="1"/>
    <x v="0"/>
    <x v="2"/>
    <x v="114"/>
    <n v="433.28999999999996"/>
  </r>
  <r>
    <s v="AD01-9361"/>
    <x v="2"/>
    <s v="Dec"/>
    <x v="1"/>
    <x v="1"/>
    <s v="Cancelld"/>
    <x v="1"/>
    <x v="0"/>
    <x v="2"/>
    <x v="115"/>
    <n v="424.71"/>
  </r>
  <r>
    <s v="AD01-9361"/>
    <x v="2"/>
    <s v="Dec"/>
    <x v="1"/>
    <x v="1"/>
    <s v="Cancelld"/>
    <x v="1"/>
    <x v="0"/>
    <x v="2"/>
    <x v="116"/>
    <n v="416.13"/>
  </r>
  <r>
    <s v="AD01-9362"/>
    <x v="2"/>
    <s v="Dec"/>
    <x v="1"/>
    <x v="1"/>
    <s v="Cancelld"/>
    <x v="1"/>
    <x v="0"/>
    <x v="2"/>
    <x v="315"/>
    <n v="439.01"/>
  </r>
  <r>
    <s v="AD01-9361"/>
    <x v="2"/>
    <s v="Dec"/>
    <x v="1"/>
    <x v="1"/>
    <s v="Cancelld"/>
    <x v="1"/>
    <x v="0"/>
    <x v="2"/>
    <x v="19"/>
    <n v="336.05"/>
  </r>
  <r>
    <s v="AD01-9362"/>
    <x v="2"/>
    <s v="Dec"/>
    <x v="1"/>
    <x v="1"/>
    <s v="Cancelld"/>
    <x v="1"/>
    <x v="0"/>
    <x v="2"/>
    <x v="20"/>
    <n v="404.69"/>
  </r>
  <r>
    <s v="AD01-9362"/>
    <x v="2"/>
    <s v="Dec"/>
    <x v="1"/>
    <x v="1"/>
    <s v="Cancelld"/>
    <x v="1"/>
    <x v="0"/>
    <x v="2"/>
    <x v="535"/>
    <n v="1138.28"/>
  </r>
  <r>
    <s v="AD01-9362"/>
    <x v="2"/>
    <s v="Dec"/>
    <x v="1"/>
    <x v="1"/>
    <s v="Cancelld"/>
    <x v="1"/>
    <x v="0"/>
    <x v="2"/>
    <x v="143"/>
    <n v="1262.69"/>
  </r>
  <r>
    <s v="AD01-9364"/>
    <x v="2"/>
    <s v="Feb"/>
    <x v="1"/>
    <x v="1"/>
    <s v="Cancelld"/>
    <x v="1"/>
    <x v="0"/>
    <x v="2"/>
    <x v="27"/>
    <n v="414.7"/>
  </r>
  <r>
    <s v="AD01-9361"/>
    <x v="2"/>
    <s v="Feb"/>
    <x v="1"/>
    <x v="1"/>
    <s v="Cancelld"/>
    <x v="1"/>
    <x v="0"/>
    <x v="2"/>
    <x v="164"/>
    <n v="483.34000000000003"/>
  </r>
  <r>
    <s v="AD01-9364"/>
    <x v="2"/>
    <s v="Feb"/>
    <x v="1"/>
    <x v="1"/>
    <s v="Cancelld"/>
    <x v="1"/>
    <x v="0"/>
    <x v="2"/>
    <x v="249"/>
    <n v="477.62"/>
  </r>
  <r>
    <s v="AD01-9362"/>
    <x v="2"/>
    <s v="Feb"/>
    <x v="1"/>
    <x v="1"/>
    <s v="Cancelld"/>
    <x v="1"/>
    <x v="0"/>
    <x v="2"/>
    <x v="463"/>
    <n v="1189.76"/>
  </r>
  <r>
    <s v="AD01-9362"/>
    <x v="2"/>
    <s v="Feb"/>
    <x v="1"/>
    <x v="1"/>
    <s v="Cancelld"/>
    <x v="1"/>
    <x v="0"/>
    <x v="2"/>
    <x v="444"/>
    <n v="1236.95"/>
  </r>
  <r>
    <s v="AD01-9362"/>
    <x v="2"/>
    <s v="Feb"/>
    <x v="1"/>
    <x v="1"/>
    <s v="Cancelld"/>
    <x v="1"/>
    <x v="0"/>
    <x v="2"/>
    <x v="546"/>
    <n v="1324.18"/>
  </r>
  <r>
    <s v="AD01-9361"/>
    <x v="2"/>
    <s v="Feb"/>
    <x v="1"/>
    <x v="1"/>
    <s v="Cancelld"/>
    <x v="1"/>
    <x v="0"/>
    <x v="2"/>
    <x v="547"/>
    <n v="1325.6100000000001"/>
  </r>
  <r>
    <s v="AD01-9364"/>
    <x v="2"/>
    <s v="Feb"/>
    <x v="1"/>
    <x v="1"/>
    <s v="Cancelld"/>
    <x v="1"/>
    <x v="0"/>
    <x v="2"/>
    <x v="548"/>
    <n v="1327.04"/>
  </r>
  <r>
    <s v="AD01-9362"/>
    <x v="2"/>
    <s v="Feb"/>
    <x v="1"/>
    <x v="1"/>
    <s v="Cancelld"/>
    <x v="1"/>
    <x v="0"/>
    <x v="2"/>
    <x v="436"/>
    <n v="526.24"/>
  </r>
  <r>
    <s v="AD01-9364"/>
    <x v="2"/>
    <s v="Feb"/>
    <x v="1"/>
    <x v="1"/>
    <s v="Cancelld"/>
    <x v="1"/>
    <x v="0"/>
    <x v="2"/>
    <x v="42"/>
    <n v="304.59000000000003"/>
  </r>
  <r>
    <s v="AD01-9362"/>
    <x v="2"/>
    <s v="Feb"/>
    <x v="1"/>
    <x v="1"/>
    <s v="Cancelld"/>
    <x v="1"/>
    <x v="0"/>
    <x v="2"/>
    <x v="228"/>
    <n v="296.01"/>
  </r>
  <r>
    <s v="AD01-9361"/>
    <x v="2"/>
    <s v="Feb"/>
    <x v="1"/>
    <x v="1"/>
    <s v="Cancelld"/>
    <x v="1"/>
    <x v="0"/>
    <x v="2"/>
    <x v="160"/>
    <n v="413.27"/>
  </r>
  <r>
    <s v="AD01-9362"/>
    <x v="2"/>
    <s v="Feb"/>
    <x v="1"/>
    <x v="1"/>
    <s v="Cancelld"/>
    <x v="1"/>
    <x v="0"/>
    <x v="2"/>
    <x v="316"/>
    <n v="481.90999999999997"/>
  </r>
  <r>
    <s v="AD01-9364"/>
    <x v="2"/>
    <s v="Feb"/>
    <x v="1"/>
    <x v="1"/>
    <s v="Cancelld"/>
    <x v="1"/>
    <x v="0"/>
    <x v="2"/>
    <x v="543"/>
    <n v="1202.6300000000001"/>
  </r>
  <r>
    <s v="AD01-9361"/>
    <x v="2"/>
    <s v="Feb"/>
    <x v="1"/>
    <x v="1"/>
    <s v="Cancelld"/>
    <x v="1"/>
    <x v="0"/>
    <x v="2"/>
    <x v="161"/>
    <n v="1249.82"/>
  </r>
  <r>
    <s v="AD01-9364"/>
    <x v="2"/>
    <s v="Jan"/>
    <x v="1"/>
    <x v="1"/>
    <s v="Cancelld"/>
    <x v="1"/>
    <x v="0"/>
    <x v="2"/>
    <x v="89"/>
    <n v="423.28"/>
  </r>
  <r>
    <s v="AD01-9365"/>
    <x v="2"/>
    <s v="Jan"/>
    <x v="1"/>
    <x v="1"/>
    <s v="Cancelld"/>
    <x v="1"/>
    <x v="0"/>
    <x v="2"/>
    <x v="76"/>
    <n v="417.56"/>
  </r>
  <r>
    <s v="AD01-9364"/>
    <x v="2"/>
    <s v="Jan"/>
    <x v="1"/>
    <x v="1"/>
    <s v="Cancelld"/>
    <x v="1"/>
    <x v="0"/>
    <x v="2"/>
    <x v="256"/>
    <n v="486.2"/>
  </r>
  <r>
    <s v="AD01-9361"/>
    <x v="2"/>
    <s v="Jan"/>
    <x v="1"/>
    <x v="1"/>
    <s v="Cancelld"/>
    <x v="1"/>
    <x v="0"/>
    <x v="2"/>
    <x v="476"/>
    <n v="1188.33"/>
  </r>
  <r>
    <s v="AD01-9362"/>
    <x v="2"/>
    <s v="Jan"/>
    <x v="1"/>
    <x v="1"/>
    <s v="Cancelld"/>
    <x v="1"/>
    <x v="0"/>
    <x v="2"/>
    <x v="252"/>
    <n v="1235.52"/>
  </r>
  <r>
    <s v="AD01-9362"/>
    <x v="2"/>
    <s v="Jan"/>
    <x v="1"/>
    <x v="1"/>
    <s v="Cancelld"/>
    <x v="1"/>
    <x v="0"/>
    <x v="2"/>
    <x v="549"/>
    <n v="1319.8899999999999"/>
  </r>
  <r>
    <s v="AD01-9361"/>
    <x v="2"/>
    <s v="Jan"/>
    <x v="1"/>
    <x v="1"/>
    <s v="Cancelld"/>
    <x v="1"/>
    <x v="0"/>
    <x v="2"/>
    <x v="550"/>
    <n v="1321.32"/>
  </r>
  <r>
    <s v="AD01-9364"/>
    <x v="2"/>
    <s v="Jan"/>
    <x v="1"/>
    <x v="1"/>
    <s v="Cancelld"/>
    <x v="1"/>
    <x v="0"/>
    <x v="2"/>
    <x v="551"/>
    <n v="1322.75"/>
  </r>
  <r>
    <s v="AD01-9362"/>
    <x v="2"/>
    <s v="Jan"/>
    <x v="1"/>
    <x v="1"/>
    <s v="Cancelld"/>
    <x v="1"/>
    <x v="0"/>
    <x v="2"/>
    <x v="446"/>
    <n v="526.24"/>
  </r>
  <r>
    <s v="AD01-9362"/>
    <x v="2"/>
    <s v="Jan"/>
    <x v="1"/>
    <x v="1"/>
    <s v="Cancelld"/>
    <x v="1"/>
    <x v="0"/>
    <x v="2"/>
    <x v="15"/>
    <n v="484.77"/>
  </r>
  <r>
    <s v="AD01-9364"/>
    <x v="2"/>
    <s v="Jan"/>
    <x v="1"/>
    <x v="1"/>
    <s v="Cancelld"/>
    <x v="1"/>
    <x v="0"/>
    <x v="2"/>
    <x v="179"/>
    <n v="330.33"/>
  </r>
  <r>
    <s v="AD01-9361"/>
    <x v="2"/>
    <s v="Jan"/>
    <x v="1"/>
    <x v="1"/>
    <s v="Cancelld"/>
    <x v="1"/>
    <x v="0"/>
    <x v="2"/>
    <x v="64"/>
    <n v="321.75"/>
  </r>
  <r>
    <s v="AD01-9365"/>
    <x v="2"/>
    <s v="Jan"/>
    <x v="1"/>
    <x v="1"/>
    <s v="Cancelld"/>
    <x v="1"/>
    <x v="0"/>
    <x v="2"/>
    <x v="65"/>
    <n v="313.17"/>
  </r>
  <r>
    <s v="AD01-9361"/>
    <x v="2"/>
    <s v="Jan"/>
    <x v="1"/>
    <x v="1"/>
    <s v="Cancelld"/>
    <x v="1"/>
    <x v="0"/>
    <x v="2"/>
    <x v="85"/>
    <n v="421.85"/>
  </r>
  <r>
    <s v="AD01-9362"/>
    <x v="2"/>
    <s v="Jan"/>
    <x v="1"/>
    <x v="1"/>
    <s v="Cancelld"/>
    <x v="1"/>
    <x v="0"/>
    <x v="2"/>
    <x v="263"/>
    <n v="490.49"/>
  </r>
  <r>
    <s v="AD01-9364"/>
    <x v="2"/>
    <s v="Jan"/>
    <x v="1"/>
    <x v="1"/>
    <s v="Cancelld"/>
    <x v="1"/>
    <x v="0"/>
    <x v="2"/>
    <x v="552"/>
    <n v="1201.2"/>
  </r>
  <r>
    <s v="AD01-9362"/>
    <x v="2"/>
    <s v="Jan"/>
    <x v="1"/>
    <x v="1"/>
    <s v="Cancelld"/>
    <x v="1"/>
    <x v="1"/>
    <x v="2"/>
    <x v="101"/>
    <n v="1248.3899999999999"/>
  </r>
  <r>
    <s v="AD01-9363"/>
    <x v="2"/>
    <s v="Jul"/>
    <x v="1"/>
    <x v="1"/>
    <s v="Cancelld"/>
    <x v="1"/>
    <x v="1"/>
    <x v="2"/>
    <x v="164"/>
    <n v="483.34000000000003"/>
  </r>
  <r>
    <s v="AD01-9361"/>
    <x v="2"/>
    <s v="Jul"/>
    <x v="1"/>
    <x v="1"/>
    <s v="Cancelld"/>
    <x v="1"/>
    <x v="1"/>
    <x v="2"/>
    <x v="30"/>
    <n v="371.8"/>
  </r>
  <r>
    <s v="AD01-9364"/>
    <x v="2"/>
    <s v="Jul"/>
    <x v="1"/>
    <x v="1"/>
    <s v="Cancelld"/>
    <x v="1"/>
    <x v="1"/>
    <x v="2"/>
    <x v="127"/>
    <n v="440.44"/>
  </r>
  <r>
    <s v="AD01-9365"/>
    <x v="2"/>
    <s v="Jul"/>
    <x v="1"/>
    <x v="1"/>
    <s v="Cancelld"/>
    <x v="1"/>
    <x v="1"/>
    <x v="2"/>
    <x v="249"/>
    <n v="477.62"/>
  </r>
  <r>
    <s v="AD01-9364"/>
    <x v="2"/>
    <s v="Jul"/>
    <x v="1"/>
    <x v="1"/>
    <s v="Cancelld"/>
    <x v="1"/>
    <x v="1"/>
    <x v="2"/>
    <x v="33"/>
    <n v="374.65999999999997"/>
  </r>
  <r>
    <s v="AD01-9362"/>
    <x v="2"/>
    <s v="Jul"/>
    <x v="1"/>
    <x v="1"/>
    <s v="Cancelld"/>
    <x v="1"/>
    <x v="1"/>
    <x v="2"/>
    <x v="243"/>
    <n v="443.3"/>
  </r>
  <r>
    <s v="AD01-9362"/>
    <x v="2"/>
    <s v="Jul"/>
    <x v="1"/>
    <x v="1"/>
    <s v="Cancelld"/>
    <x v="1"/>
    <x v="1"/>
    <x v="2"/>
    <x v="391"/>
    <n v="1119.69"/>
  </r>
  <r>
    <s v="AD01-9361"/>
    <x v="2"/>
    <s v="Jul"/>
    <x v="1"/>
    <x v="1"/>
    <s v="Cancelld"/>
    <x v="1"/>
    <x v="1"/>
    <x v="2"/>
    <x v="488"/>
    <n v="1195.48"/>
  </r>
  <r>
    <s v="AD01-9361"/>
    <x v="2"/>
    <s v="Jul"/>
    <x v="1"/>
    <x v="1"/>
    <s v="Cancelld"/>
    <x v="1"/>
    <x v="1"/>
    <x v="2"/>
    <x v="553"/>
    <n v="1342.77"/>
  </r>
  <r>
    <s v="AD01-9362"/>
    <x v="2"/>
    <s v="Jul"/>
    <x v="1"/>
    <x v="1"/>
    <s v="Cancelld"/>
    <x v="1"/>
    <x v="1"/>
    <x v="2"/>
    <x v="554"/>
    <n v="1344.2"/>
  </r>
  <r>
    <s v="AD01-9364"/>
    <x v="2"/>
    <s v="Jul"/>
    <x v="1"/>
    <x v="1"/>
    <s v="Cancelld"/>
    <x v="1"/>
    <x v="1"/>
    <x v="2"/>
    <x v="555"/>
    <n v="1345.63"/>
  </r>
  <r>
    <s v="AD01-9364"/>
    <x v="2"/>
    <s v="Jul"/>
    <x v="1"/>
    <x v="1"/>
    <s v="Cancelld"/>
    <x v="1"/>
    <x v="1"/>
    <x v="2"/>
    <x v="22"/>
    <n v="526.24"/>
  </r>
  <r>
    <s v="AD01-9362"/>
    <x v="2"/>
    <s v="Jul"/>
    <x v="1"/>
    <x v="1"/>
    <s v="Cancelld"/>
    <x v="1"/>
    <x v="1"/>
    <x v="2"/>
    <x v="138"/>
    <n v="441.87"/>
  </r>
  <r>
    <s v="AD01-9361"/>
    <x v="2"/>
    <s v="Jul"/>
    <x v="1"/>
    <x v="1"/>
    <s v="Cancelld"/>
    <x v="1"/>
    <x v="1"/>
    <x v="2"/>
    <x v="293"/>
    <n v="193.05"/>
  </r>
  <r>
    <s v="AD01-9364"/>
    <x v="2"/>
    <s v="Jul"/>
    <x v="1"/>
    <x v="1"/>
    <s v="Cancelld"/>
    <x v="1"/>
    <x v="1"/>
    <x v="2"/>
    <x v="239"/>
    <n v="184.47"/>
  </r>
  <r>
    <s v="AD01-9361"/>
    <x v="2"/>
    <s v="Jul"/>
    <x v="1"/>
    <x v="1"/>
    <s v="Cancelld"/>
    <x v="1"/>
    <x v="1"/>
    <x v="2"/>
    <x v="155"/>
    <n v="527.66999999999996"/>
  </r>
  <r>
    <s v="AD01-9362"/>
    <x v="2"/>
    <s v="Jul"/>
    <x v="1"/>
    <x v="1"/>
    <s v="Cancelld"/>
    <x v="1"/>
    <x v="1"/>
    <x v="2"/>
    <x v="316"/>
    <n v="481.90999999999997"/>
  </r>
  <r>
    <s v="AD01-9361"/>
    <x v="2"/>
    <s v="Jul"/>
    <x v="1"/>
    <x v="1"/>
    <s v="Cancelld"/>
    <x v="1"/>
    <x v="1"/>
    <x v="2"/>
    <x v="119"/>
    <n v="378.95"/>
  </r>
  <r>
    <s v="AD01-9365"/>
    <x v="2"/>
    <s v="Jul"/>
    <x v="1"/>
    <x v="1"/>
    <s v="Cancelld"/>
    <x v="1"/>
    <x v="1"/>
    <x v="2"/>
    <x v="315"/>
    <n v="439.01"/>
  </r>
  <r>
    <s v="AD01-9364"/>
    <x v="2"/>
    <s v="Jul"/>
    <x v="1"/>
    <x v="1"/>
    <s v="Cancelld"/>
    <x v="1"/>
    <x v="1"/>
    <x v="2"/>
    <x v="513"/>
    <n v="1132.56"/>
  </r>
  <r>
    <s v="AD01-9362"/>
    <x v="2"/>
    <s v="Jul"/>
    <x v="1"/>
    <x v="1"/>
    <s v="Cancelld"/>
    <x v="1"/>
    <x v="1"/>
    <x v="2"/>
    <x v="357"/>
    <n v="1208.3499999999999"/>
  </r>
  <r>
    <s v="AD01-9363"/>
    <x v="2"/>
    <s v="Jul"/>
    <x v="1"/>
    <x v="1"/>
    <s v="Cancelld"/>
    <x v="1"/>
    <x v="1"/>
    <x v="2"/>
    <x v="24"/>
    <n v="1255.54"/>
  </r>
  <r>
    <s v="AD01-9361"/>
    <x v="2"/>
    <s v="Jun"/>
    <x v="1"/>
    <x v="1"/>
    <s v="Cancelld"/>
    <x v="1"/>
    <x v="1"/>
    <x v="2"/>
    <x v="106"/>
    <n v="380.38"/>
  </r>
  <r>
    <s v="AD01-9363"/>
    <x v="2"/>
    <s v="Jun"/>
    <x v="1"/>
    <x v="1"/>
    <s v="Cancelld"/>
    <x v="1"/>
    <x v="1"/>
    <x v="2"/>
    <x v="126"/>
    <n v="449.02"/>
  </r>
  <r>
    <s v="AD01-9362"/>
    <x v="2"/>
    <s v="Jun"/>
    <x v="1"/>
    <x v="1"/>
    <s v="Cancelld"/>
    <x v="1"/>
    <x v="1"/>
    <x v="2"/>
    <x v="107"/>
    <n v="383.24"/>
  </r>
  <r>
    <s v="AD01-9361"/>
    <x v="2"/>
    <s v="Jun"/>
    <x v="1"/>
    <x v="1"/>
    <s v="Cancelld"/>
    <x v="1"/>
    <x v="1"/>
    <x v="2"/>
    <x v="274"/>
    <n v="451.88"/>
  </r>
  <r>
    <s v="AD01-9362"/>
    <x v="2"/>
    <s v="Jun"/>
    <x v="1"/>
    <x v="1"/>
    <s v="Cancelld"/>
    <x v="1"/>
    <x v="1"/>
    <x v="2"/>
    <x v="465"/>
    <n v="1194.05"/>
  </r>
  <r>
    <s v="AD01-9362"/>
    <x v="2"/>
    <s v="Jun"/>
    <x v="1"/>
    <x v="1"/>
    <s v="Cancelld"/>
    <x v="1"/>
    <x v="1"/>
    <x v="2"/>
    <x v="449"/>
    <n v="1242.67"/>
  </r>
  <r>
    <s v="AD01-9362"/>
    <x v="2"/>
    <s v="Jun"/>
    <x v="1"/>
    <x v="1"/>
    <s v="Cancelld"/>
    <x v="1"/>
    <x v="1"/>
    <x v="2"/>
    <x v="556"/>
    <n v="1339.9099999999999"/>
  </r>
  <r>
    <s v="AD01-9361"/>
    <x v="2"/>
    <s v="Jun"/>
    <x v="1"/>
    <x v="1"/>
    <s v="Cancelld"/>
    <x v="1"/>
    <x v="1"/>
    <x v="2"/>
    <x v="557"/>
    <n v="1341.34"/>
  </r>
  <r>
    <s v="AD01-9361"/>
    <x v="2"/>
    <s v="Jun"/>
    <x v="1"/>
    <x v="1"/>
    <s v="Cancelld"/>
    <x v="1"/>
    <x v="1"/>
    <x v="2"/>
    <x v="162"/>
    <n v="526.24"/>
  </r>
  <r>
    <s v="AD01-9363"/>
    <x v="2"/>
    <s v="Jun"/>
    <x v="1"/>
    <x v="1"/>
    <s v="Cancelld"/>
    <x v="1"/>
    <x v="1"/>
    <x v="2"/>
    <x v="137"/>
    <n v="450.45"/>
  </r>
  <r>
    <s v="AD01-9362"/>
    <x v="2"/>
    <s v="Jun"/>
    <x v="1"/>
    <x v="1"/>
    <s v="Cancelld"/>
    <x v="1"/>
    <x v="1"/>
    <x v="2"/>
    <x v="386"/>
    <n v="218.79"/>
  </r>
  <r>
    <s v="AD01-9362"/>
    <x v="2"/>
    <s v="Jun"/>
    <x v="1"/>
    <x v="1"/>
    <s v="Cancelld"/>
    <x v="1"/>
    <x v="1"/>
    <x v="2"/>
    <x v="277"/>
    <n v="210.21"/>
  </r>
  <r>
    <s v="AD01-9361"/>
    <x v="2"/>
    <s v="Jun"/>
    <x v="1"/>
    <x v="1"/>
    <s v="Cancelld"/>
    <x v="1"/>
    <x v="1"/>
    <x v="2"/>
    <x v="260"/>
    <n v="201.63"/>
  </r>
  <r>
    <s v="AD01-9364"/>
    <x v="2"/>
    <s v="Jun"/>
    <x v="1"/>
    <x v="1"/>
    <s v="Cancelld"/>
    <x v="1"/>
    <x v="1"/>
    <x v="2"/>
    <x v="314"/>
    <n v="447.59000000000003"/>
  </r>
  <r>
    <s v="AD01-9362"/>
    <x v="2"/>
    <s v="Jun"/>
    <x v="1"/>
    <x v="1"/>
    <s v="Cancelld"/>
    <x v="1"/>
    <x v="1"/>
    <x v="2"/>
    <x v="337"/>
    <n v="1206.92"/>
  </r>
  <r>
    <s v="AD01-9362"/>
    <x v="2"/>
    <s v="Jun"/>
    <x v="1"/>
    <x v="1"/>
    <s v="Cancelld"/>
    <x v="1"/>
    <x v="1"/>
    <x v="2"/>
    <x v="23"/>
    <n v="1254.1100000000001"/>
  </r>
  <r>
    <s v="AD01-9362"/>
    <x v="2"/>
    <s v="Mar"/>
    <x v="1"/>
    <x v="1"/>
    <s v="Cancelld"/>
    <x v="1"/>
    <x v="1"/>
    <x v="2"/>
    <x v="3"/>
    <n v="406.12"/>
  </r>
  <r>
    <s v="AD01-9364"/>
    <x v="2"/>
    <s v="Mar"/>
    <x v="1"/>
    <x v="1"/>
    <s v="Cancelld"/>
    <x v="1"/>
    <x v="1"/>
    <x v="2"/>
    <x v="165"/>
    <n v="474.76"/>
  </r>
  <r>
    <s v="AD01-9362"/>
    <x v="2"/>
    <s v="Mar"/>
    <x v="1"/>
    <x v="1"/>
    <s v="Cancelld"/>
    <x v="1"/>
    <x v="1"/>
    <x v="2"/>
    <x v="149"/>
    <n v="408.98"/>
  </r>
  <r>
    <s v="AD01-9361"/>
    <x v="2"/>
    <s v="Mar"/>
    <x v="1"/>
    <x v="1"/>
    <s v="Cancelld"/>
    <x v="1"/>
    <x v="1"/>
    <x v="2"/>
    <x v="234"/>
    <n v="469.03999999999996"/>
  </r>
  <r>
    <s v="AD01-9365"/>
    <x v="2"/>
    <s v="Mar"/>
    <x v="1"/>
    <x v="1"/>
    <s v="Cancelld"/>
    <x v="1"/>
    <x v="1"/>
    <x v="2"/>
    <x v="478"/>
    <n v="1191.19"/>
  </r>
  <r>
    <s v="AD01-9361"/>
    <x v="2"/>
    <s v="Mar"/>
    <x v="1"/>
    <x v="1"/>
    <s v="Cancelld"/>
    <x v="1"/>
    <x v="1"/>
    <x v="2"/>
    <x v="441"/>
    <n v="1238.3800000000001"/>
  </r>
  <r>
    <s v="AD01-9364"/>
    <x v="2"/>
    <s v="Mar"/>
    <x v="1"/>
    <x v="1"/>
    <s v="Cancelld"/>
    <x v="1"/>
    <x v="1"/>
    <x v="2"/>
    <x v="558"/>
    <n v="1328.47"/>
  </r>
  <r>
    <s v="AD01-9362"/>
    <x v="2"/>
    <s v="Mar"/>
    <x v="1"/>
    <x v="1"/>
    <s v="Cancelld"/>
    <x v="1"/>
    <x v="1"/>
    <x v="2"/>
    <x v="559"/>
    <n v="1329.9"/>
  </r>
  <r>
    <s v="AD01-9364"/>
    <x v="2"/>
    <s v="Mar"/>
    <x v="1"/>
    <x v="1"/>
    <s v="Cancelld"/>
    <x v="1"/>
    <x v="1"/>
    <x v="2"/>
    <x v="461"/>
    <n v="526.24"/>
  </r>
  <r>
    <s v="AD01-9361"/>
    <x v="2"/>
    <s v="Mar"/>
    <x v="1"/>
    <x v="1"/>
    <s v="Cancelld"/>
    <x v="1"/>
    <x v="1"/>
    <x v="2"/>
    <x v="177"/>
    <n v="476.19"/>
  </r>
  <r>
    <s v="AD01-9362"/>
    <x v="2"/>
    <s v="Mar"/>
    <x v="1"/>
    <x v="1"/>
    <s v="Cancelld"/>
    <x v="1"/>
    <x v="1"/>
    <x v="2"/>
    <x v="197"/>
    <n v="287.43"/>
  </r>
  <r>
    <s v="AD01-9362"/>
    <x v="2"/>
    <s v="Mar"/>
    <x v="1"/>
    <x v="1"/>
    <s v="Cancelld"/>
    <x v="1"/>
    <x v="1"/>
    <x v="2"/>
    <x v="66"/>
    <n v="278.85000000000002"/>
  </r>
  <r>
    <s v="AD01-9365"/>
    <x v="2"/>
    <s v="Mar"/>
    <x v="1"/>
    <x v="1"/>
    <s v="Cancelld"/>
    <x v="1"/>
    <x v="1"/>
    <x v="2"/>
    <x v="349"/>
    <n v="270.27"/>
  </r>
  <r>
    <s v="AD01-9362"/>
    <x v="2"/>
    <s v="Mar"/>
    <x v="1"/>
    <x v="1"/>
    <s v="Cancelld"/>
    <x v="1"/>
    <x v="1"/>
    <x v="2"/>
    <x v="20"/>
    <n v="404.69"/>
  </r>
  <r>
    <s v="AD01-9362"/>
    <x v="2"/>
    <s v="Mar"/>
    <x v="1"/>
    <x v="1"/>
    <s v="Cancelld"/>
    <x v="1"/>
    <x v="1"/>
    <x v="2"/>
    <x v="317"/>
    <n v="473.33"/>
  </r>
  <r>
    <s v="AD01-9362"/>
    <x v="2"/>
    <s v="Mar"/>
    <x v="1"/>
    <x v="1"/>
    <s v="Cancelld"/>
    <x v="1"/>
    <x v="1"/>
    <x v="2"/>
    <x v="162"/>
    <n v="1251.25"/>
  </r>
  <r>
    <s v="AD01-9361"/>
    <x v="2"/>
    <s v="May"/>
    <x v="1"/>
    <x v="1"/>
    <s v="Cancelld"/>
    <x v="1"/>
    <x v="1"/>
    <x v="2"/>
    <x v="128"/>
    <n v="388.96"/>
  </r>
  <r>
    <s v="AD01-9361"/>
    <x v="2"/>
    <s v="May"/>
    <x v="1"/>
    <x v="1"/>
    <s v="Cancelld"/>
    <x v="1"/>
    <x v="1"/>
    <x v="2"/>
    <x v="125"/>
    <n v="457.6"/>
  </r>
  <r>
    <s v="AD01-9361"/>
    <x v="2"/>
    <s v="May"/>
    <x v="1"/>
    <x v="1"/>
    <s v="Cancelld"/>
    <x v="1"/>
    <x v="1"/>
    <x v="2"/>
    <x v="130"/>
    <n v="391.82"/>
  </r>
  <r>
    <s v="AD01-9361"/>
    <x v="2"/>
    <s v="May"/>
    <x v="1"/>
    <x v="1"/>
    <s v="Cancelld"/>
    <x v="1"/>
    <x v="1"/>
    <x v="2"/>
    <x v="297"/>
    <n v="460.46000000000004"/>
  </r>
  <r>
    <s v="AD01-9361"/>
    <x v="2"/>
    <s v="May"/>
    <x v="1"/>
    <x v="1"/>
    <s v="Cancelld"/>
    <x v="1"/>
    <x v="1"/>
    <x v="2"/>
    <x v="455"/>
    <n v="1241.24"/>
  </r>
  <r>
    <s v="AD01-9361"/>
    <x v="2"/>
    <s v="May"/>
    <x v="1"/>
    <x v="1"/>
    <s v="Cancelld"/>
    <x v="1"/>
    <x v="1"/>
    <x v="2"/>
    <x v="560"/>
    <n v="1335.62"/>
  </r>
  <r>
    <s v="AD01-9363"/>
    <x v="2"/>
    <s v="May"/>
    <x v="1"/>
    <x v="1"/>
    <s v="Cancelld"/>
    <x v="1"/>
    <x v="1"/>
    <x v="2"/>
    <x v="561"/>
    <n v="1337.05"/>
  </r>
  <r>
    <s v="AD01-9362"/>
    <x v="2"/>
    <s v="May"/>
    <x v="1"/>
    <x v="1"/>
    <s v="Cancelld"/>
    <x v="1"/>
    <x v="1"/>
    <x v="2"/>
    <x v="562"/>
    <n v="1338.48"/>
  </r>
  <r>
    <s v="AD01-9363"/>
    <x v="2"/>
    <s v="May"/>
    <x v="1"/>
    <x v="1"/>
    <s v="Cancelld"/>
    <x v="1"/>
    <x v="1"/>
    <x v="2"/>
    <x v="161"/>
    <n v="526.24"/>
  </r>
  <r>
    <s v="AD01-9362"/>
    <x v="2"/>
    <s v="May"/>
    <x v="1"/>
    <x v="1"/>
    <s v="Cancelld"/>
    <x v="1"/>
    <x v="1"/>
    <x v="2"/>
    <x v="136"/>
    <n v="459.03"/>
  </r>
  <r>
    <s v="AD01-9361"/>
    <x v="2"/>
    <s v="May"/>
    <x v="1"/>
    <x v="1"/>
    <s v="Cancelld"/>
    <x v="1"/>
    <x v="1"/>
    <x v="2"/>
    <x v="335"/>
    <n v="235.95"/>
  </r>
  <r>
    <s v="AD01-9361"/>
    <x v="2"/>
    <s v="May"/>
    <x v="1"/>
    <x v="1"/>
    <s v="Cancelld"/>
    <x v="1"/>
    <x v="1"/>
    <x v="2"/>
    <x v="385"/>
    <n v="227.37"/>
  </r>
  <r>
    <s v="AD01-9362"/>
    <x v="2"/>
    <s v="May"/>
    <x v="1"/>
    <x v="1"/>
    <s v="Cancelld"/>
    <x v="1"/>
    <x v="1"/>
    <x v="2"/>
    <x v="140"/>
    <n v="387.53"/>
  </r>
  <r>
    <s v="AD01-9361"/>
    <x v="2"/>
    <s v="May"/>
    <x v="1"/>
    <x v="1"/>
    <s v="Cancelld"/>
    <x v="1"/>
    <x v="1"/>
    <x v="2"/>
    <x v="313"/>
    <n v="456.16999999999996"/>
  </r>
  <r>
    <s v="AD01-9361"/>
    <x v="2"/>
    <s v="May"/>
    <x v="1"/>
    <x v="1"/>
    <s v="Cancelld"/>
    <x v="1"/>
    <x v="1"/>
    <x v="2"/>
    <x v="341"/>
    <n v="1205.49"/>
  </r>
  <r>
    <s v="AD01-9362"/>
    <x v="2"/>
    <s v="Nov"/>
    <x v="1"/>
    <x v="1"/>
    <s v="Cancelld"/>
    <x v="1"/>
    <x v="1"/>
    <x v="2"/>
    <x v="126"/>
    <n v="449.02"/>
  </r>
  <r>
    <s v="AD01-9365"/>
    <x v="2"/>
    <s v="Nov"/>
    <x v="1"/>
    <x v="1"/>
    <s v="Cancelld"/>
    <x v="1"/>
    <x v="1"/>
    <x v="2"/>
    <x v="56"/>
    <n v="346.06"/>
  </r>
  <r>
    <s v="AD01-9362"/>
    <x v="2"/>
    <s v="Nov"/>
    <x v="1"/>
    <x v="1"/>
    <s v="Cancelld"/>
    <x v="1"/>
    <x v="1"/>
    <x v="2"/>
    <x v="27"/>
    <n v="414.7"/>
  </r>
  <r>
    <s v="AD01-9362"/>
    <x v="2"/>
    <s v="Nov"/>
    <x v="1"/>
    <x v="1"/>
    <s v="Cancelld"/>
    <x v="1"/>
    <x v="1"/>
    <x v="2"/>
    <x v="274"/>
    <n v="451.88"/>
  </r>
  <r>
    <s v="AD01-9362"/>
    <x v="2"/>
    <s v="Nov"/>
    <x v="1"/>
    <x v="1"/>
    <s v="Cancelld"/>
    <x v="1"/>
    <x v="1"/>
    <x v="2"/>
    <x v="149"/>
    <n v="408.98"/>
  </r>
  <r>
    <s v="AD01-9361"/>
    <x v="2"/>
    <s v="Nov"/>
    <x v="1"/>
    <x v="1"/>
    <s v="Cancelld"/>
    <x v="1"/>
    <x v="1"/>
    <x v="2"/>
    <x v="552"/>
    <n v="1201.2"/>
  </r>
  <r>
    <s v="AD01-9361"/>
    <x v="2"/>
    <s v="Nov"/>
    <x v="1"/>
    <x v="1"/>
    <s v="Cancelld"/>
    <x v="1"/>
    <x v="1"/>
    <x v="2"/>
    <x v="101"/>
    <n v="1248.3899999999999"/>
  </r>
  <r>
    <s v="AD01-9362"/>
    <x v="2"/>
    <s v="Nov"/>
    <x v="1"/>
    <x v="1"/>
    <s v="Cancelld"/>
    <x v="1"/>
    <x v="1"/>
    <x v="2"/>
    <x v="563"/>
    <n v="1358.5"/>
  </r>
  <r>
    <s v="AD01-9362"/>
    <x v="2"/>
    <s v="Nov"/>
    <x v="1"/>
    <x v="1"/>
    <s v="Cancelld"/>
    <x v="1"/>
    <x v="1"/>
    <x v="2"/>
    <x v="564"/>
    <n v="1359.93"/>
  </r>
  <r>
    <s v="AD01-9362"/>
    <x v="2"/>
    <s v="Nov"/>
    <x v="1"/>
    <x v="1"/>
    <s v="Cancelld"/>
    <x v="1"/>
    <x v="1"/>
    <x v="2"/>
    <x v="565"/>
    <n v="1361.3600000000001"/>
  </r>
  <r>
    <s v="AD01-9361"/>
    <x v="2"/>
    <s v="Nov"/>
    <x v="1"/>
    <x v="1"/>
    <s v="Cancelld"/>
    <x v="1"/>
    <x v="1"/>
    <x v="2"/>
    <x v="373"/>
    <n v="526.24"/>
  </r>
  <r>
    <s v="AD01-9362"/>
    <x v="2"/>
    <s v="Nov"/>
    <x v="1"/>
    <x v="1"/>
    <s v="Cancelld"/>
    <x v="1"/>
    <x v="1"/>
    <x v="2"/>
    <x v="185"/>
    <n v="526.24"/>
  </r>
  <r>
    <s v="AD01-9365"/>
    <x v="2"/>
    <s v="Nov"/>
    <x v="1"/>
    <x v="1"/>
    <s v="Cancelld"/>
    <x v="1"/>
    <x v="1"/>
    <x v="2"/>
    <x v="137"/>
    <n v="450.45"/>
  </r>
  <r>
    <s v="AD01-9361"/>
    <x v="2"/>
    <s v="Nov"/>
    <x v="1"/>
    <x v="1"/>
    <s v="Cancelld"/>
    <x v="1"/>
    <x v="1"/>
    <x v="2"/>
    <x v="138"/>
    <n v="441.87"/>
  </r>
  <r>
    <s v="AD01-9362"/>
    <x v="2"/>
    <s v="Nov"/>
    <x v="1"/>
    <x v="1"/>
    <s v="Cancelld"/>
    <x v="1"/>
    <x v="1"/>
    <x v="2"/>
    <x v="314"/>
    <n v="447.59000000000003"/>
  </r>
  <r>
    <s v="AD01-9362"/>
    <x v="2"/>
    <s v="Nov"/>
    <x v="1"/>
    <x v="1"/>
    <s v="Cancelld"/>
    <x v="1"/>
    <x v="1"/>
    <x v="2"/>
    <x v="69"/>
    <n v="344.63"/>
  </r>
  <r>
    <s v="AD01-9362"/>
    <x v="2"/>
    <s v="Nov"/>
    <x v="1"/>
    <x v="1"/>
    <s v="Cancelld"/>
    <x v="1"/>
    <x v="1"/>
    <x v="2"/>
    <x v="160"/>
    <n v="413.27"/>
  </r>
  <r>
    <s v="AD01-9362"/>
    <x v="2"/>
    <s v="Nov"/>
    <x v="1"/>
    <x v="1"/>
    <s v="Cancelld"/>
    <x v="1"/>
    <x v="1"/>
    <x v="2"/>
    <x v="515"/>
    <n v="1136.8499999999999"/>
  </r>
  <r>
    <s v="AD01-9362"/>
    <x v="2"/>
    <s v="Nov"/>
    <x v="1"/>
    <x v="1"/>
    <s v="Cancelld"/>
    <x v="1"/>
    <x v="1"/>
    <x v="2"/>
    <x v="328"/>
    <n v="1214.07"/>
  </r>
  <r>
    <s v="AD01-9362"/>
    <x v="2"/>
    <s v="Nov"/>
    <x v="1"/>
    <x v="1"/>
    <s v="Cancelld"/>
    <x v="1"/>
    <x v="1"/>
    <x v="2"/>
    <x v="142"/>
    <n v="1261.26"/>
  </r>
  <r>
    <s v="AD01-9362"/>
    <x v="2"/>
    <s v="Oct"/>
    <x v="1"/>
    <x v="1"/>
    <s v="Cancelld"/>
    <x v="1"/>
    <x v="1"/>
    <x v="2"/>
    <x v="125"/>
    <n v="457.6"/>
  </r>
  <r>
    <s v="AD01-9362"/>
    <x v="2"/>
    <s v="Oct"/>
    <x v="1"/>
    <x v="1"/>
    <s v="Cancelld"/>
    <x v="1"/>
    <x v="1"/>
    <x v="2"/>
    <x v="74"/>
    <n v="354.64"/>
  </r>
  <r>
    <s v="AD01-9362"/>
    <x v="2"/>
    <s v="Oct"/>
    <x v="1"/>
    <x v="1"/>
    <s v="Cancelld"/>
    <x v="1"/>
    <x v="1"/>
    <x v="2"/>
    <x v="297"/>
    <n v="460.46000000000004"/>
  </r>
  <r>
    <s v="AD01-9362"/>
    <x v="2"/>
    <s v="Oct"/>
    <x v="1"/>
    <x v="1"/>
    <s v="Cancelld"/>
    <x v="1"/>
    <x v="1"/>
    <x v="2"/>
    <x v="75"/>
    <n v="348.92"/>
  </r>
  <r>
    <s v="AD01-9364"/>
    <x v="2"/>
    <s v="Oct"/>
    <x v="1"/>
    <x v="1"/>
    <s v="Cancelld"/>
    <x v="1"/>
    <x v="1"/>
    <x v="2"/>
    <x v="76"/>
    <n v="417.56"/>
  </r>
  <r>
    <s v="AD01-9362"/>
    <x v="2"/>
    <s v="Oct"/>
    <x v="1"/>
    <x v="1"/>
    <s v="Cancelld"/>
    <x v="1"/>
    <x v="1"/>
    <x v="2"/>
    <x v="394"/>
    <n v="1123.98"/>
  </r>
  <r>
    <s v="AD01-9362"/>
    <x v="2"/>
    <s v="Oct"/>
    <x v="1"/>
    <x v="1"/>
    <s v="Cancelld"/>
    <x v="1"/>
    <x v="1"/>
    <x v="2"/>
    <x v="469"/>
    <n v="1199.77"/>
  </r>
  <r>
    <s v="AD01-9361"/>
    <x v="2"/>
    <s v="Oct"/>
    <x v="1"/>
    <x v="1"/>
    <s v="Cancelld"/>
    <x v="1"/>
    <x v="1"/>
    <x v="2"/>
    <x v="461"/>
    <n v="1246.96"/>
  </r>
  <r>
    <s v="AD01-9361"/>
    <x v="2"/>
    <s v="Oct"/>
    <x v="1"/>
    <x v="1"/>
    <s v="Cancelld"/>
    <x v="1"/>
    <x v="1"/>
    <x v="2"/>
    <x v="566"/>
    <n v="1354.21"/>
  </r>
  <r>
    <s v="AD01-9364"/>
    <x v="2"/>
    <s v="Oct"/>
    <x v="1"/>
    <x v="1"/>
    <s v="Cancelld"/>
    <x v="1"/>
    <x v="1"/>
    <x v="2"/>
    <x v="567"/>
    <n v="1355.6399999999999"/>
  </r>
  <r>
    <s v="AD01-9364"/>
    <x v="2"/>
    <s v="Oct"/>
    <x v="1"/>
    <x v="1"/>
    <s v="Cancelld"/>
    <x v="1"/>
    <x v="1"/>
    <x v="2"/>
    <x v="568"/>
    <n v="1357.07"/>
  </r>
  <r>
    <s v="AD01-9361"/>
    <x v="2"/>
    <s v="Oct"/>
    <x v="1"/>
    <x v="1"/>
    <s v="Cancelld"/>
    <x v="1"/>
    <x v="1"/>
    <x v="2"/>
    <x v="331"/>
    <n v="526.24"/>
  </r>
  <r>
    <s v="AD01-9361"/>
    <x v="2"/>
    <s v="Oct"/>
    <x v="1"/>
    <x v="1"/>
    <s v="Cancelld"/>
    <x v="1"/>
    <x v="1"/>
    <x v="2"/>
    <x v="24"/>
    <n v="526.24"/>
  </r>
  <r>
    <s v="AD01-9362"/>
    <x v="2"/>
    <s v="Oct"/>
    <x v="1"/>
    <x v="1"/>
    <s v="Cancelld"/>
    <x v="1"/>
    <x v="1"/>
    <x v="2"/>
    <x v="116"/>
    <n v="416.13"/>
  </r>
  <r>
    <s v="AD01-9362"/>
    <x v="2"/>
    <s v="Oct"/>
    <x v="1"/>
    <x v="1"/>
    <s v="Cancelld"/>
    <x v="1"/>
    <x v="1"/>
    <x v="2"/>
    <x v="177"/>
    <n v="476.19"/>
  </r>
  <r>
    <s v="AD01-9362"/>
    <x v="2"/>
    <s v="Oct"/>
    <x v="1"/>
    <x v="1"/>
    <s v="Cancelld"/>
    <x v="1"/>
    <x v="1"/>
    <x v="2"/>
    <x v="178"/>
    <n v="467.61"/>
  </r>
  <r>
    <s v="AD01-9362"/>
    <x v="2"/>
    <s v="Oct"/>
    <x v="1"/>
    <x v="1"/>
    <s v="Cancelld"/>
    <x v="1"/>
    <x v="1"/>
    <x v="2"/>
    <x v="136"/>
    <n v="459.03"/>
  </r>
  <r>
    <s v="AD01-9364"/>
    <x v="2"/>
    <s v="Oct"/>
    <x v="1"/>
    <x v="1"/>
    <s v="Cancelld"/>
    <x v="1"/>
    <x v="1"/>
    <x v="2"/>
    <x v="313"/>
    <n v="456.16999999999996"/>
  </r>
  <r>
    <s v="AD01-9364"/>
    <x v="2"/>
    <s v="Oct"/>
    <x v="1"/>
    <x v="1"/>
    <s v="Cancelld"/>
    <x v="1"/>
    <x v="1"/>
    <x v="2"/>
    <x v="84"/>
    <n v="353.21"/>
  </r>
  <r>
    <s v="AD01-9362"/>
    <x v="2"/>
    <s v="Oct"/>
    <x v="1"/>
    <x v="1"/>
    <s v="Cancelld"/>
    <x v="1"/>
    <x v="1"/>
    <x v="2"/>
    <x v="85"/>
    <n v="421.85"/>
  </r>
  <r>
    <s v="AD01-9364"/>
    <x v="2"/>
    <s v="Oct"/>
    <x v="1"/>
    <x v="1"/>
    <s v="Cancelld"/>
    <x v="1"/>
    <x v="1"/>
    <x v="2"/>
    <x v="347"/>
    <n v="1212.6399999999999"/>
  </r>
  <r>
    <s v="AD01-9362"/>
    <x v="2"/>
    <s v="Oct"/>
    <x v="1"/>
    <x v="1"/>
    <s v="Cancelld"/>
    <x v="1"/>
    <x v="1"/>
    <x v="2"/>
    <x v="187"/>
    <n v="1259.83"/>
  </r>
  <r>
    <s v="AD01-9361"/>
    <x v="2"/>
    <s v="Sep"/>
    <x v="1"/>
    <x v="1"/>
    <s v="Cancelld"/>
    <x v="1"/>
    <x v="1"/>
    <x v="2"/>
    <x v="166"/>
    <n v="466.18"/>
  </r>
  <r>
    <s v="AD01-9361"/>
    <x v="2"/>
    <s v="Sep"/>
    <x v="1"/>
    <x v="1"/>
    <s v="Cancelld"/>
    <x v="1"/>
    <x v="1"/>
    <x v="2"/>
    <x v="88"/>
    <n v="363.22"/>
  </r>
  <r>
    <s v="AD01-9362"/>
    <x v="2"/>
    <s v="Sep"/>
    <x v="1"/>
    <x v="1"/>
    <s v="Cancelld"/>
    <x v="1"/>
    <x v="1"/>
    <x v="2"/>
    <x v="89"/>
    <n v="423.28"/>
  </r>
  <r>
    <s v="AD01-9361"/>
    <x v="2"/>
    <s v="Sep"/>
    <x v="1"/>
    <x v="1"/>
    <s v="Cancelld"/>
    <x v="1"/>
    <x v="1"/>
    <x v="2"/>
    <x v="234"/>
    <n v="469.03999999999996"/>
  </r>
  <r>
    <s v="AD01-9364"/>
    <x v="2"/>
    <s v="Sep"/>
    <x v="1"/>
    <x v="1"/>
    <s v="Cancelld"/>
    <x v="1"/>
    <x v="1"/>
    <x v="2"/>
    <x v="91"/>
    <n v="357.5"/>
  </r>
  <r>
    <s v="AD01-9362"/>
    <x v="2"/>
    <s v="Sep"/>
    <x v="1"/>
    <x v="1"/>
    <s v="Cancelld"/>
    <x v="1"/>
    <x v="1"/>
    <x v="2"/>
    <x v="92"/>
    <n v="426.14"/>
  </r>
  <r>
    <s v="AD01-9361"/>
    <x v="2"/>
    <s v="Sep"/>
    <x v="1"/>
    <x v="1"/>
    <s v="Cancelld"/>
    <x v="1"/>
    <x v="1"/>
    <x v="2"/>
    <x v="412"/>
    <n v="1122.55"/>
  </r>
  <r>
    <s v="AD01-9365"/>
    <x v="2"/>
    <s v="Sep"/>
    <x v="1"/>
    <x v="1"/>
    <s v="Cancelld"/>
    <x v="1"/>
    <x v="1"/>
    <x v="2"/>
    <x v="482"/>
    <n v="1198.3399999999999"/>
  </r>
  <r>
    <s v="AD01-9365"/>
    <x v="2"/>
    <s v="Sep"/>
    <x v="1"/>
    <x v="1"/>
    <s v="Cancelld"/>
    <x v="1"/>
    <x v="1"/>
    <x v="2"/>
    <x v="436"/>
    <n v="1245.53"/>
  </r>
  <r>
    <s v="AD01-9364"/>
    <x v="2"/>
    <s v="Sep"/>
    <x v="1"/>
    <x v="1"/>
    <s v="Cancelld"/>
    <x v="1"/>
    <x v="1"/>
    <x v="2"/>
    <x v="569"/>
    <n v="1351.35"/>
  </r>
  <r>
    <s v="AD01-9362"/>
    <x v="2"/>
    <s v="Sep"/>
    <x v="1"/>
    <x v="1"/>
    <s v="Cancelld"/>
    <x v="1"/>
    <x v="1"/>
    <x v="2"/>
    <x v="570"/>
    <n v="1352.78"/>
  </r>
  <r>
    <s v="AD01-9365"/>
    <x v="2"/>
    <s v="Sep"/>
    <x v="1"/>
    <x v="1"/>
    <s v="Cancelld"/>
    <x v="1"/>
    <x v="1"/>
    <x v="2"/>
    <x v="351"/>
    <n v="526.24"/>
  </r>
  <r>
    <s v="AD01-9361"/>
    <x v="2"/>
    <s v="Sep"/>
    <x v="1"/>
    <x v="1"/>
    <s v="Cancelld"/>
    <x v="1"/>
    <x v="1"/>
    <x v="2"/>
    <x v="115"/>
    <n v="424.71"/>
  </r>
  <r>
    <s v="AD01-9361"/>
    <x v="2"/>
    <s v="Sep"/>
    <x v="1"/>
    <x v="1"/>
    <s v="Cancelld"/>
    <x v="1"/>
    <x v="1"/>
    <x v="2"/>
    <x v="13"/>
    <n v="501.93"/>
  </r>
  <r>
    <s v="AD01-9365"/>
    <x v="2"/>
    <s v="Sep"/>
    <x v="1"/>
    <x v="1"/>
    <s v="Cancelld"/>
    <x v="1"/>
    <x v="1"/>
    <x v="2"/>
    <x v="14"/>
    <n v="493.35"/>
  </r>
  <r>
    <s v="AD01-9364"/>
    <x v="2"/>
    <s v="Sep"/>
    <x v="1"/>
    <x v="1"/>
    <s v="Cancelld"/>
    <x v="1"/>
    <x v="1"/>
    <x v="2"/>
    <x v="15"/>
    <n v="484.77"/>
  </r>
  <r>
    <s v="AD01-9362"/>
    <x v="2"/>
    <s v="Sep"/>
    <x v="1"/>
    <x v="1"/>
    <s v="Cancelld"/>
    <x v="1"/>
    <x v="1"/>
    <x v="2"/>
    <x v="318"/>
    <n v="464.75"/>
  </r>
  <r>
    <s v="AD01-9364"/>
    <x v="2"/>
    <s v="Sep"/>
    <x v="1"/>
    <x v="1"/>
    <s v="Cancelld"/>
    <x v="1"/>
    <x v="1"/>
    <x v="2"/>
    <x v="99"/>
    <n v="361.78999999999996"/>
  </r>
  <r>
    <s v="AD01-9361"/>
    <x v="2"/>
    <s v="Sep"/>
    <x v="1"/>
    <x v="1"/>
    <s v="Cancelld"/>
    <x v="1"/>
    <x v="1"/>
    <x v="2"/>
    <x v="312"/>
    <n v="430.43"/>
  </r>
  <r>
    <s v="AD01-9362"/>
    <x v="2"/>
    <s v="Sep"/>
    <x v="1"/>
    <x v="1"/>
    <s v="Cancelld"/>
    <x v="1"/>
    <x v="1"/>
    <x v="2"/>
    <x v="523"/>
    <n v="1135.42"/>
  </r>
  <r>
    <s v="AD01-9362"/>
    <x v="2"/>
    <s v="Sep"/>
    <x v="1"/>
    <x v="1"/>
    <s v="Cancelld"/>
    <x v="1"/>
    <x v="1"/>
    <x v="2"/>
    <x v="354"/>
    <n v="1211.21"/>
  </r>
  <r>
    <s v="AD01-9361"/>
    <x v="2"/>
    <s v="Sep"/>
    <x v="1"/>
    <x v="1"/>
    <s v="Cancelld"/>
    <x v="1"/>
    <x v="1"/>
    <x v="2"/>
    <x v="186"/>
    <n v="1258.4000000000001"/>
  </r>
  <r>
    <s v="AD01-9361"/>
    <x v="3"/>
    <s v="Apr"/>
    <x v="0"/>
    <x v="1"/>
    <s v="Order assembled"/>
    <x v="0"/>
    <x v="0"/>
    <x v="1"/>
    <x v="147"/>
    <n v="553.86"/>
  </r>
  <r>
    <s v="AD01-9362"/>
    <x v="3"/>
    <s v="Apr"/>
    <x v="0"/>
    <x v="1"/>
    <s v="Order assembled"/>
    <x v="0"/>
    <x v="0"/>
    <x v="1"/>
    <x v="164"/>
    <n v="483.34000000000003"/>
  </r>
  <r>
    <s v="AD01-9363"/>
    <x v="3"/>
    <s v="Apr"/>
    <x v="0"/>
    <x v="1"/>
    <s v="Order assembled"/>
    <x v="0"/>
    <x v="0"/>
    <x v="1"/>
    <x v="285"/>
    <n v="520.52"/>
  </r>
  <r>
    <s v="AD01-9362"/>
    <x v="3"/>
    <s v="Apr"/>
    <x v="0"/>
    <x v="1"/>
    <s v="Order assembled"/>
    <x v="0"/>
    <x v="0"/>
    <x v="1"/>
    <x v="249"/>
    <n v="477.62"/>
  </r>
  <r>
    <s v="AD01-9362"/>
    <x v="3"/>
    <s v="Apr"/>
    <x v="0"/>
    <x v="1"/>
    <s v="Order assembled"/>
    <x v="0"/>
    <x v="0"/>
    <x v="1"/>
    <x v="571"/>
    <n v="936.65"/>
  </r>
  <r>
    <s v="AD01-9361"/>
    <x v="3"/>
    <s v="Apr"/>
    <x v="0"/>
    <x v="1"/>
    <s v="Order assembled"/>
    <x v="0"/>
    <x v="0"/>
    <x v="1"/>
    <x v="572"/>
    <n v="1061.06"/>
  </r>
  <r>
    <s v="AD01-9361"/>
    <x v="3"/>
    <s v="Apr"/>
    <x v="0"/>
    <x v="1"/>
    <s v="Order assembled"/>
    <x v="0"/>
    <x v="0"/>
    <x v="1"/>
    <x v="156"/>
    <n v="519.09"/>
  </r>
  <r>
    <s v="AD01-9362"/>
    <x v="3"/>
    <s v="Apr"/>
    <x v="0"/>
    <x v="1"/>
    <s v="Order assembled"/>
    <x v="0"/>
    <x v="0"/>
    <x v="1"/>
    <x v="378"/>
    <n v="526.24"/>
  </r>
  <r>
    <s v="AD01-9362"/>
    <x v="3"/>
    <s v="Apr"/>
    <x v="0"/>
    <x v="1"/>
    <s v="Order assembled"/>
    <x v="0"/>
    <x v="0"/>
    <x v="1"/>
    <x v="350"/>
    <n v="516.23"/>
  </r>
  <r>
    <s v="AD01-9363"/>
    <x v="3"/>
    <s v="Apr"/>
    <x v="0"/>
    <x v="1"/>
    <s v="Order assembled"/>
    <x v="0"/>
    <x v="0"/>
    <x v="1"/>
    <x v="316"/>
    <n v="481.90999999999997"/>
  </r>
  <r>
    <s v="AD01-9362"/>
    <x v="3"/>
    <s v="Apr"/>
    <x v="0"/>
    <x v="1"/>
    <s v="Order assembled"/>
    <x v="0"/>
    <x v="0"/>
    <x v="1"/>
    <x v="289"/>
    <n v="521.95000000000005"/>
  </r>
  <r>
    <s v="AD01-9361"/>
    <x v="3"/>
    <s v="Apr"/>
    <x v="0"/>
    <x v="1"/>
    <s v="Order assembled"/>
    <x v="0"/>
    <x v="0"/>
    <x v="1"/>
    <x v="139"/>
    <n v="1073.93"/>
  </r>
  <r>
    <s v="AD01-9363"/>
    <x v="3"/>
    <s v="Aug"/>
    <x v="0"/>
    <x v="1"/>
    <s v="Order assembled"/>
    <x v="0"/>
    <x v="0"/>
    <x v="1"/>
    <x v="1"/>
    <n v="526.32000000000005"/>
  </r>
  <r>
    <s v="AD01-9361"/>
    <x v="3"/>
    <s v="Aug"/>
    <x v="0"/>
    <x v="1"/>
    <s v="Order assembled"/>
    <x v="0"/>
    <x v="0"/>
    <x v="1"/>
    <x v="126"/>
    <n v="449.02"/>
  </r>
  <r>
    <s v="AD01-9362"/>
    <x v="3"/>
    <s v="Aug"/>
    <x v="0"/>
    <x v="0"/>
    <s v="Order assembled"/>
    <x v="0"/>
    <x v="0"/>
    <x v="1"/>
    <x v="256"/>
    <n v="486.2"/>
  </r>
  <r>
    <s v="AD01-9361"/>
    <x v="3"/>
    <s v="Aug"/>
    <x v="0"/>
    <x v="0"/>
    <s v="Order assembled"/>
    <x v="0"/>
    <x v="0"/>
    <x v="1"/>
    <x v="274"/>
    <n v="451.88"/>
  </r>
  <r>
    <s v="AD01-9362"/>
    <x v="3"/>
    <s v="Aug"/>
    <x v="0"/>
    <x v="0"/>
    <s v="Order assembled"/>
    <x v="0"/>
    <x v="0"/>
    <x v="1"/>
    <x v="573"/>
    <n v="942.37"/>
  </r>
  <r>
    <s v="AD01-9362"/>
    <x v="3"/>
    <s v="Aug"/>
    <x v="0"/>
    <x v="0"/>
    <s v="Order assembled"/>
    <x v="0"/>
    <x v="0"/>
    <x v="1"/>
    <x v="412"/>
    <n v="526.24"/>
  </r>
  <r>
    <s v="AD01-9361"/>
    <x v="3"/>
    <s v="Aug"/>
    <x v="0"/>
    <x v="0"/>
    <s v="Order assembled"/>
    <x v="0"/>
    <x v="0"/>
    <x v="1"/>
    <x v="263"/>
    <n v="490.49"/>
  </r>
  <r>
    <s v="AD01-9362"/>
    <x v="3"/>
    <s v="Aug"/>
    <x v="0"/>
    <x v="0"/>
    <s v="Order assembled"/>
    <x v="0"/>
    <x v="0"/>
    <x v="1"/>
    <x v="314"/>
    <n v="447.59000000000003"/>
  </r>
  <r>
    <s v="AD01-9361"/>
    <x v="3"/>
    <s v="Aug"/>
    <x v="0"/>
    <x v="0"/>
    <s v="Order assembled"/>
    <x v="0"/>
    <x v="0"/>
    <x v="1"/>
    <x v="268"/>
    <n v="487.63"/>
  </r>
  <r>
    <s v="AD01-9363"/>
    <x v="3"/>
    <s v="Aug"/>
    <x v="0"/>
    <x v="0"/>
    <s v="Order assembled"/>
    <x v="0"/>
    <x v="0"/>
    <x v="1"/>
    <x v="229"/>
    <n v="1078.22"/>
  </r>
  <r>
    <s v="AD01-9363"/>
    <x v="3"/>
    <s v="Dec"/>
    <x v="0"/>
    <x v="0"/>
    <s v="Order assembled"/>
    <x v="0"/>
    <x v="0"/>
    <x v="1"/>
    <x v="125"/>
    <n v="489.6"/>
  </r>
  <r>
    <s v="AD01-9361"/>
    <x v="3"/>
    <s v="Dec"/>
    <x v="0"/>
    <x v="0"/>
    <s v="Order assembled"/>
    <x v="0"/>
    <x v="0"/>
    <x v="1"/>
    <x v="89"/>
    <n v="423.28"/>
  </r>
  <r>
    <s v="AD01-9362"/>
    <x v="3"/>
    <s v="Dec"/>
    <x v="0"/>
    <x v="0"/>
    <s v="Order assembled"/>
    <x v="0"/>
    <x v="0"/>
    <x v="1"/>
    <x v="297"/>
    <n v="460.46000000000004"/>
  </r>
  <r>
    <s v="AD01-9362"/>
    <x v="3"/>
    <s v="Dec"/>
    <x v="0"/>
    <x v="0"/>
    <s v="Order assembled"/>
    <x v="0"/>
    <x v="0"/>
    <x v="1"/>
    <x v="76"/>
    <n v="417.56"/>
  </r>
  <r>
    <s v="AD01-9362"/>
    <x v="3"/>
    <s v="Dec"/>
    <x v="0"/>
    <x v="0"/>
    <s v="Order assembled"/>
    <x v="0"/>
    <x v="0"/>
    <x v="1"/>
    <x v="17"/>
    <n v="1071.07"/>
  </r>
  <r>
    <s v="AD01-9362"/>
    <x v="3"/>
    <s v="Dec"/>
    <x v="0"/>
    <x v="0"/>
    <s v="Order assembled"/>
    <x v="0"/>
    <x v="0"/>
    <x v="1"/>
    <x v="136"/>
    <n v="459.03"/>
  </r>
  <r>
    <s v="AD01-9362"/>
    <x v="3"/>
    <s v="Dec"/>
    <x v="0"/>
    <x v="0"/>
    <s v="Order assembled"/>
    <x v="0"/>
    <x v="0"/>
    <x v="1"/>
    <x v="313"/>
    <n v="456.16999999999996"/>
  </r>
  <r>
    <s v="AD01-9362"/>
    <x v="3"/>
    <s v="Dec"/>
    <x v="0"/>
    <x v="0"/>
    <s v="Order assembled"/>
    <x v="0"/>
    <x v="0"/>
    <x v="1"/>
    <x v="85"/>
    <n v="421.85"/>
  </r>
  <r>
    <s v="AD01-9361"/>
    <x v="3"/>
    <s v="Dec"/>
    <x v="0"/>
    <x v="0"/>
    <s v="Order assembled"/>
    <x v="0"/>
    <x v="0"/>
    <x v="1"/>
    <x v="301"/>
    <n v="461.89"/>
  </r>
  <r>
    <s v="AD01-9363"/>
    <x v="3"/>
    <s v="Dec"/>
    <x v="0"/>
    <x v="0"/>
    <s v="Order assembled"/>
    <x v="0"/>
    <x v="0"/>
    <x v="1"/>
    <x v="401"/>
    <n v="1083.94"/>
  </r>
  <r>
    <s v="AD01-9365"/>
    <x v="3"/>
    <s v="Feb"/>
    <x v="0"/>
    <x v="0"/>
    <s v="Order assembled"/>
    <x v="0"/>
    <x v="0"/>
    <x v="1"/>
    <x v="233"/>
    <n v="195.84"/>
  </r>
  <r>
    <s v="AD01-9361"/>
    <x v="3"/>
    <s v="Feb"/>
    <x v="0"/>
    <x v="0"/>
    <s v="Order assembled"/>
    <x v="0"/>
    <x v="0"/>
    <x v="1"/>
    <x v="105"/>
    <n v="431.86"/>
  </r>
  <r>
    <s v="AD01-9361"/>
    <x v="3"/>
    <s v="Feb"/>
    <x v="0"/>
    <x v="0"/>
    <s v="Order assembled"/>
    <x v="0"/>
    <x v="0"/>
    <x v="1"/>
    <x v="235"/>
    <n v="185.9"/>
  </r>
  <r>
    <s v="AD01-9361"/>
    <x v="3"/>
    <s v="Feb"/>
    <x v="0"/>
    <x v="0"/>
    <s v="Order assembled"/>
    <x v="0"/>
    <x v="0"/>
    <x v="1"/>
    <x v="255"/>
    <n v="494.78"/>
  </r>
  <r>
    <s v="AD01-9362"/>
    <x v="3"/>
    <s v="Feb"/>
    <x v="0"/>
    <x v="0"/>
    <s v="Order assembled"/>
    <x v="0"/>
    <x v="0"/>
    <x v="1"/>
    <x v="94"/>
    <n v="531.96"/>
  </r>
  <r>
    <s v="AD01-9364"/>
    <x v="3"/>
    <s v="Feb"/>
    <x v="0"/>
    <x v="0"/>
    <s v="Order assembled"/>
    <x v="0"/>
    <x v="0"/>
    <x v="1"/>
    <x v="574"/>
    <n v="1058.2"/>
  </r>
  <r>
    <s v="AD01-9364"/>
    <x v="3"/>
    <s v="Feb"/>
    <x v="0"/>
    <x v="0"/>
    <s v="Order assembled"/>
    <x v="0"/>
    <x v="0"/>
    <x v="1"/>
    <x v="239"/>
    <n v="184.47"/>
  </r>
  <r>
    <s v="AD01-9362"/>
    <x v="3"/>
    <s v="Feb"/>
    <x v="0"/>
    <x v="0"/>
    <s v="Order assembled"/>
    <x v="0"/>
    <x v="0"/>
    <x v="1"/>
    <x v="509"/>
    <n v="526.24"/>
  </r>
  <r>
    <s v="AD01-9362"/>
    <x v="3"/>
    <s v="Feb"/>
    <x v="0"/>
    <x v="0"/>
    <s v="Order assembled"/>
    <x v="0"/>
    <x v="0"/>
    <x v="1"/>
    <x v="377"/>
    <n v="526.24"/>
  </r>
  <r>
    <s v="AD01-9361"/>
    <x v="3"/>
    <s v="Feb"/>
    <x v="0"/>
    <x v="0"/>
    <s v="Order assembled"/>
    <x v="0"/>
    <x v="0"/>
    <x v="1"/>
    <x v="366"/>
    <n v="181.61"/>
  </r>
  <r>
    <s v="AD01-9362"/>
    <x v="3"/>
    <s v="Feb"/>
    <x v="0"/>
    <x v="0"/>
    <s v="Order assembled"/>
    <x v="0"/>
    <x v="0"/>
    <x v="1"/>
    <x v="312"/>
    <n v="430.43"/>
  </r>
  <r>
    <s v="AD01-9361"/>
    <x v="3"/>
    <s v="Feb"/>
    <x v="0"/>
    <x v="0"/>
    <s v="Order assembled"/>
    <x v="0"/>
    <x v="0"/>
    <x v="1"/>
    <x v="262"/>
    <n v="499.07"/>
  </r>
  <r>
    <s v="AD01-9365"/>
    <x v="3"/>
    <s v="Feb"/>
    <x v="0"/>
    <x v="0"/>
    <s v="Order assembled"/>
    <x v="0"/>
    <x v="0"/>
    <x v="1"/>
    <x v="17"/>
    <n v="1071.07"/>
  </r>
  <r>
    <s v="AD01-9364"/>
    <x v="3"/>
    <s v="Jan"/>
    <x v="0"/>
    <x v="0"/>
    <s v="Order assembled"/>
    <x v="0"/>
    <x v="0"/>
    <x v="1"/>
    <x v="290"/>
    <n v="191.62"/>
  </r>
  <r>
    <s v="AD01-9362"/>
    <x v="3"/>
    <s v="Jan"/>
    <x v="0"/>
    <x v="0"/>
    <s v="Order assembled"/>
    <x v="0"/>
    <x v="0"/>
    <x v="1"/>
    <x v="127"/>
    <n v="440.44"/>
  </r>
  <r>
    <s v="AD01-9361"/>
    <x v="3"/>
    <s v="Jan"/>
    <x v="0"/>
    <x v="0"/>
    <s v="Order assembled"/>
    <x v="0"/>
    <x v="0"/>
    <x v="1"/>
    <x v="0"/>
    <n v="500.5"/>
  </r>
  <r>
    <s v="AD01-9361"/>
    <x v="3"/>
    <s v="Jan"/>
    <x v="0"/>
    <x v="0"/>
    <s v="Order assembled"/>
    <x v="0"/>
    <x v="0"/>
    <x v="1"/>
    <x v="291"/>
    <n v="194.48"/>
  </r>
  <r>
    <s v="AD01-9365"/>
    <x v="3"/>
    <s v="Jan"/>
    <x v="0"/>
    <x v="0"/>
    <s v="Order assembled"/>
    <x v="0"/>
    <x v="0"/>
    <x v="1"/>
    <x v="236"/>
    <n v="434.72"/>
  </r>
  <r>
    <s v="AD01-9361"/>
    <x v="3"/>
    <s v="Jan"/>
    <x v="0"/>
    <x v="0"/>
    <s v="Order assembled"/>
    <x v="0"/>
    <x v="0"/>
    <x v="1"/>
    <x v="244"/>
    <n v="503.36"/>
  </r>
  <r>
    <s v="AD01-9361"/>
    <x v="3"/>
    <s v="Jan"/>
    <x v="0"/>
    <x v="0"/>
    <s v="Order assembled"/>
    <x v="0"/>
    <x v="0"/>
    <x v="1"/>
    <x v="422"/>
    <n v="188.76"/>
  </r>
  <r>
    <s v="AD01-9362"/>
    <x v="3"/>
    <s v="Jan"/>
    <x v="0"/>
    <x v="0"/>
    <s v="Order assembled"/>
    <x v="0"/>
    <x v="0"/>
    <x v="1"/>
    <x v="575"/>
    <n v="1009.5799999999999"/>
  </r>
  <r>
    <s v="AD01-9361"/>
    <x v="3"/>
    <s v="Jan"/>
    <x v="0"/>
    <x v="0"/>
    <s v="Order assembled"/>
    <x v="0"/>
    <x v="0"/>
    <x v="1"/>
    <x v="576"/>
    <n v="1056.77"/>
  </r>
  <r>
    <s v="AD01-9361"/>
    <x v="3"/>
    <s v="Jan"/>
    <x v="0"/>
    <x v="0"/>
    <s v="Order assembled"/>
    <x v="0"/>
    <x v="0"/>
    <x v="1"/>
    <x v="293"/>
    <n v="193.05"/>
  </r>
  <r>
    <s v="AD01-9361"/>
    <x v="3"/>
    <s v="Jan"/>
    <x v="0"/>
    <x v="0"/>
    <s v="Order assembled"/>
    <x v="0"/>
    <x v="0"/>
    <x v="1"/>
    <x v="73"/>
    <n v="526.24"/>
  </r>
  <r>
    <s v="AD01-9361"/>
    <x v="3"/>
    <s v="Jan"/>
    <x v="0"/>
    <x v="0"/>
    <s v="Order assembled"/>
    <x v="0"/>
    <x v="0"/>
    <x v="1"/>
    <x v="325"/>
    <n v="190.19"/>
  </r>
  <r>
    <s v="AD01-9364"/>
    <x v="3"/>
    <s v="Jan"/>
    <x v="0"/>
    <x v="0"/>
    <s v="Order assembled"/>
    <x v="0"/>
    <x v="0"/>
    <x v="1"/>
    <x v="315"/>
    <n v="439.01"/>
  </r>
  <r>
    <s v="AD01-9361"/>
    <x v="3"/>
    <s v="Jan"/>
    <x v="0"/>
    <x v="0"/>
    <s v="Order assembled"/>
    <x v="0"/>
    <x v="0"/>
    <x v="1"/>
    <x v="261"/>
    <n v="507.65"/>
  </r>
  <r>
    <s v="AD01-9361"/>
    <x v="3"/>
    <s v="Jan"/>
    <x v="0"/>
    <x v="0"/>
    <s v="Order assembled"/>
    <x v="0"/>
    <x v="0"/>
    <x v="1"/>
    <x v="242"/>
    <n v="187.32999999999998"/>
  </r>
  <r>
    <s v="AD01-9362"/>
    <x v="3"/>
    <s v="Jan"/>
    <x v="0"/>
    <x v="0"/>
    <s v="Order assembled"/>
    <x v="0"/>
    <x v="0"/>
    <x v="1"/>
    <x v="296"/>
    <n v="436.15"/>
  </r>
  <r>
    <s v="AD01-9364"/>
    <x v="3"/>
    <s v="Jan"/>
    <x v="0"/>
    <x v="0"/>
    <s v="Order assembled"/>
    <x v="0"/>
    <x v="0"/>
    <x v="1"/>
    <x v="82"/>
    <n v="1069.6399999999999"/>
  </r>
  <r>
    <s v="AD01-9361"/>
    <x v="3"/>
    <s v="Jul"/>
    <x v="0"/>
    <x v="0"/>
    <s v="Order assembled"/>
    <x v="0"/>
    <x v="0"/>
    <x v="1"/>
    <x v="0"/>
    <n v="535.5"/>
  </r>
  <r>
    <s v="AD01-9361"/>
    <x v="3"/>
    <s v="Jul"/>
    <x v="0"/>
    <x v="0"/>
    <s v="Order assembled"/>
    <x v="0"/>
    <x v="0"/>
    <x v="1"/>
    <x v="125"/>
    <n v="457.6"/>
  </r>
  <r>
    <s v="AD01-9364"/>
    <x v="3"/>
    <s v="Jul"/>
    <x v="0"/>
    <x v="0"/>
    <s v="Order assembled"/>
    <x v="0"/>
    <x v="0"/>
    <x v="1"/>
    <x v="255"/>
    <n v="494.78"/>
  </r>
  <r>
    <s v="AD01-9363"/>
    <x v="3"/>
    <s v="Jul"/>
    <x v="0"/>
    <x v="0"/>
    <s v="Order assembled"/>
    <x v="0"/>
    <x v="0"/>
    <x v="1"/>
    <x v="297"/>
    <n v="460.46000000000004"/>
  </r>
  <r>
    <s v="AD01-9361"/>
    <x v="3"/>
    <s v="Jul"/>
    <x v="0"/>
    <x v="0"/>
    <s v="Order assembled"/>
    <x v="0"/>
    <x v="0"/>
    <x v="1"/>
    <x v="577"/>
    <n v="940.94"/>
  </r>
  <r>
    <s v="AD01-9364"/>
    <x v="3"/>
    <s v="Jul"/>
    <x v="0"/>
    <x v="0"/>
    <s v="Order assembled"/>
    <x v="0"/>
    <x v="0"/>
    <x v="1"/>
    <x v="578"/>
    <n v="1065.3499999999999"/>
  </r>
  <r>
    <s v="AD01-9364"/>
    <x v="3"/>
    <s v="Jul"/>
    <x v="0"/>
    <x v="0"/>
    <s v="Order assembled"/>
    <x v="0"/>
    <x v="0"/>
    <x v="1"/>
    <x v="14"/>
    <n v="493.35"/>
  </r>
  <r>
    <s v="AD01-9361"/>
    <x v="3"/>
    <s v="Jul"/>
    <x v="0"/>
    <x v="0"/>
    <s v="Order assembled"/>
    <x v="0"/>
    <x v="0"/>
    <x v="1"/>
    <x v="424"/>
    <n v="526.24"/>
  </r>
  <r>
    <s v="AD01-9363"/>
    <x v="3"/>
    <s v="Jul"/>
    <x v="0"/>
    <x v="0"/>
    <s v="Order assembled"/>
    <x v="0"/>
    <x v="0"/>
    <x v="1"/>
    <x v="262"/>
    <n v="499.07"/>
  </r>
  <r>
    <s v="AD01-9364"/>
    <x v="3"/>
    <s v="Jul"/>
    <x v="0"/>
    <x v="0"/>
    <s v="Order assembled"/>
    <x v="0"/>
    <x v="0"/>
    <x v="1"/>
    <x v="313"/>
    <n v="456.16999999999996"/>
  </r>
  <r>
    <s v="AD01-9361"/>
    <x v="3"/>
    <s v="Jul"/>
    <x v="0"/>
    <x v="0"/>
    <s v="Order assembled"/>
    <x v="0"/>
    <x v="0"/>
    <x v="1"/>
    <x v="280"/>
    <n v="496.21000000000004"/>
  </r>
  <r>
    <s v="AD01-9361"/>
    <x v="3"/>
    <s v="Jul"/>
    <x v="0"/>
    <x v="0"/>
    <s v="Order assembled"/>
    <x v="0"/>
    <x v="0"/>
    <x v="1"/>
    <x v="43"/>
    <n v="1076.79"/>
  </r>
  <r>
    <s v="AD01-9361"/>
    <x v="3"/>
    <s v="Jun"/>
    <x v="0"/>
    <x v="0"/>
    <s v="Order assembled"/>
    <x v="0"/>
    <x v="0"/>
    <x v="1"/>
    <x v="166"/>
    <n v="466.18"/>
  </r>
  <r>
    <s v="AD01-9362"/>
    <x v="3"/>
    <s v="Jun"/>
    <x v="0"/>
    <x v="0"/>
    <s v="Order assembled"/>
    <x v="0"/>
    <x v="0"/>
    <x v="1"/>
    <x v="244"/>
    <n v="503.36"/>
  </r>
  <r>
    <s v="AD01-9361"/>
    <x v="3"/>
    <s v="Jun"/>
    <x v="0"/>
    <x v="0"/>
    <s v="Order assembled"/>
    <x v="0"/>
    <x v="0"/>
    <x v="1"/>
    <x v="234"/>
    <n v="469.03999999999996"/>
  </r>
  <r>
    <s v="AD01-9362"/>
    <x v="3"/>
    <s v="Jun"/>
    <x v="0"/>
    <x v="0"/>
    <s v="Order assembled"/>
    <x v="0"/>
    <x v="0"/>
    <x v="1"/>
    <x v="579"/>
    <n v="939.51"/>
  </r>
  <r>
    <s v="AD01-9361"/>
    <x v="3"/>
    <s v="Jun"/>
    <x v="0"/>
    <x v="0"/>
    <s v="Order assembled"/>
    <x v="0"/>
    <x v="0"/>
    <x v="1"/>
    <x v="580"/>
    <n v="1063.92"/>
  </r>
  <r>
    <s v="AD01-9361"/>
    <x v="3"/>
    <s v="Jun"/>
    <x v="0"/>
    <x v="0"/>
    <s v="Order assembled"/>
    <x v="0"/>
    <x v="0"/>
    <x v="1"/>
    <x v="13"/>
    <n v="501.93"/>
  </r>
  <r>
    <s v="AD01-9362"/>
    <x v="3"/>
    <s v="Jun"/>
    <x v="0"/>
    <x v="0"/>
    <s v="Order assembled"/>
    <x v="0"/>
    <x v="0"/>
    <x v="1"/>
    <x v="391"/>
    <n v="526.24"/>
  </r>
  <r>
    <s v="AD01-9361"/>
    <x v="3"/>
    <s v="Jun"/>
    <x v="0"/>
    <x v="0"/>
    <s v="Order assembled"/>
    <x v="0"/>
    <x v="0"/>
    <x v="1"/>
    <x v="261"/>
    <n v="507.65"/>
  </r>
  <r>
    <s v="AD01-9362"/>
    <x v="3"/>
    <s v="Jun"/>
    <x v="0"/>
    <x v="0"/>
    <s v="Order assembled"/>
    <x v="0"/>
    <x v="0"/>
    <x v="1"/>
    <x v="318"/>
    <n v="464.75"/>
  </r>
  <r>
    <s v="AD01-9361"/>
    <x v="3"/>
    <s v="Jun"/>
    <x v="0"/>
    <x v="0"/>
    <s v="Order assembled"/>
    <x v="0"/>
    <x v="0"/>
    <x v="1"/>
    <x v="248"/>
    <n v="504.78999999999996"/>
  </r>
  <r>
    <s v="AD01-9362"/>
    <x v="3"/>
    <s v="Mar"/>
    <x v="0"/>
    <x v="0"/>
    <s v="Order assembled"/>
    <x v="0"/>
    <x v="0"/>
    <x v="1"/>
    <x v="146"/>
    <n v="563.04"/>
  </r>
  <r>
    <s v="AD01-9362"/>
    <x v="3"/>
    <s v="Mar"/>
    <x v="0"/>
    <x v="0"/>
    <s v="Order assembled"/>
    <x v="0"/>
    <x v="0"/>
    <x v="1"/>
    <x v="1"/>
    <n v="491.91999999999996"/>
  </r>
  <r>
    <s v="AD01-9362"/>
    <x v="3"/>
    <s v="Mar"/>
    <x v="0"/>
    <x v="0"/>
    <s v="Order assembled"/>
    <x v="0"/>
    <x v="0"/>
    <x v="1"/>
    <x v="90"/>
    <n v="529.1"/>
  </r>
  <r>
    <s v="AD01-9362"/>
    <x v="3"/>
    <s v="Mar"/>
    <x v="0"/>
    <x v="0"/>
    <s v="Order assembled"/>
    <x v="0"/>
    <x v="0"/>
    <x v="1"/>
    <x v="256"/>
    <n v="486.2"/>
  </r>
  <r>
    <s v="AD01-9361"/>
    <x v="3"/>
    <s v="Mar"/>
    <x v="0"/>
    <x v="0"/>
    <s v="Order assembled"/>
    <x v="0"/>
    <x v="0"/>
    <x v="1"/>
    <x v="581"/>
    <n v="1059.6300000000001"/>
  </r>
  <r>
    <s v="AD01-9361"/>
    <x v="3"/>
    <s v="Mar"/>
    <x v="0"/>
    <x v="0"/>
    <s v="Order assembled"/>
    <x v="0"/>
    <x v="0"/>
    <x v="1"/>
    <x v="155"/>
    <n v="527.66999999999996"/>
  </r>
  <r>
    <s v="AD01-9362"/>
    <x v="3"/>
    <s v="Mar"/>
    <x v="0"/>
    <x v="0"/>
    <s v="Order assembled"/>
    <x v="0"/>
    <x v="0"/>
    <x v="1"/>
    <x v="355"/>
    <n v="524.80999999999995"/>
  </r>
  <r>
    <s v="AD01-9362"/>
    <x v="3"/>
    <s v="Mar"/>
    <x v="0"/>
    <x v="0"/>
    <s v="Order assembled"/>
    <x v="0"/>
    <x v="0"/>
    <x v="1"/>
    <x v="263"/>
    <n v="490.49"/>
  </r>
  <r>
    <s v="AD01-9362"/>
    <x v="3"/>
    <s v="Mar"/>
    <x v="0"/>
    <x v="0"/>
    <s v="Order assembled"/>
    <x v="0"/>
    <x v="0"/>
    <x v="1"/>
    <x v="302"/>
    <n v="530.53"/>
  </r>
  <r>
    <s v="AD01-9362"/>
    <x v="3"/>
    <s v="Mar"/>
    <x v="0"/>
    <x v="0"/>
    <s v="Order assembled"/>
    <x v="0"/>
    <x v="0"/>
    <x v="1"/>
    <x v="180"/>
    <n v="1072.5"/>
  </r>
  <r>
    <s v="AD01-9362"/>
    <x v="3"/>
    <s v="May"/>
    <x v="0"/>
    <x v="0"/>
    <s v="Order assembled"/>
    <x v="0"/>
    <x v="0"/>
    <x v="1"/>
    <x v="148"/>
    <n v="544.68000000000006"/>
  </r>
  <r>
    <s v="AD01-9361"/>
    <x v="3"/>
    <s v="May"/>
    <x v="0"/>
    <x v="0"/>
    <s v="Order assembled"/>
    <x v="0"/>
    <x v="0"/>
    <x v="1"/>
    <x v="165"/>
    <n v="474.76"/>
  </r>
  <r>
    <s v="AD01-9362"/>
    <x v="3"/>
    <s v="May"/>
    <x v="0"/>
    <x v="0"/>
    <s v="Order assembled"/>
    <x v="0"/>
    <x v="0"/>
    <x v="1"/>
    <x v="272"/>
    <n v="511.94"/>
  </r>
  <r>
    <s v="AD01-9361"/>
    <x v="3"/>
    <s v="May"/>
    <x v="0"/>
    <x v="0"/>
    <s v="Order assembled"/>
    <x v="0"/>
    <x v="0"/>
    <x v="1"/>
    <x v="582"/>
    <n v="938.07999999999993"/>
  </r>
  <r>
    <s v="AD01-9364"/>
    <x v="3"/>
    <s v="May"/>
    <x v="0"/>
    <x v="0"/>
    <s v="Order assembled"/>
    <x v="0"/>
    <x v="0"/>
    <x v="1"/>
    <x v="583"/>
    <n v="1062.49"/>
  </r>
  <r>
    <s v="AD01-9364"/>
    <x v="3"/>
    <s v="May"/>
    <x v="0"/>
    <x v="0"/>
    <s v="Order assembled"/>
    <x v="0"/>
    <x v="0"/>
    <x v="1"/>
    <x v="157"/>
    <n v="510.51"/>
  </r>
  <r>
    <s v="AD01-9361"/>
    <x v="3"/>
    <s v="May"/>
    <x v="0"/>
    <x v="0"/>
    <s v="Order assembled"/>
    <x v="0"/>
    <x v="0"/>
    <x v="1"/>
    <x v="379"/>
    <n v="526.24"/>
  </r>
  <r>
    <s v="AD01-9362"/>
    <x v="3"/>
    <s v="May"/>
    <x v="0"/>
    <x v="0"/>
    <s v="Order assembled"/>
    <x v="0"/>
    <x v="0"/>
    <x v="1"/>
    <x v="317"/>
    <n v="473.33"/>
  </r>
  <r>
    <s v="AD01-9361"/>
    <x v="3"/>
    <s v="May"/>
    <x v="0"/>
    <x v="0"/>
    <s v="Order assembled"/>
    <x v="0"/>
    <x v="0"/>
    <x v="1"/>
    <x v="284"/>
    <n v="513.37"/>
  </r>
  <r>
    <s v="AD01-9362"/>
    <x v="3"/>
    <s v="May"/>
    <x v="0"/>
    <x v="0"/>
    <s v="Order assembled"/>
    <x v="0"/>
    <x v="0"/>
    <x v="1"/>
    <x v="117"/>
    <n v="1075.3600000000001"/>
  </r>
  <r>
    <s v="AD01-9361"/>
    <x v="3"/>
    <s v="Nov"/>
    <x v="0"/>
    <x v="0"/>
    <s v="Order assembled"/>
    <x v="0"/>
    <x v="0"/>
    <x v="1"/>
    <x v="166"/>
    <n v="498.78"/>
  </r>
  <r>
    <s v="AD01-9364"/>
    <x v="3"/>
    <s v="Nov"/>
    <x v="0"/>
    <x v="0"/>
    <s v="Order assembled"/>
    <x v="0"/>
    <x v="0"/>
    <x v="1"/>
    <x v="234"/>
    <n v="469.03999999999996"/>
  </r>
  <r>
    <s v="AD01-9362"/>
    <x v="3"/>
    <s v="Nov"/>
    <x v="0"/>
    <x v="0"/>
    <s v="Order assembled"/>
    <x v="0"/>
    <x v="0"/>
    <x v="1"/>
    <x v="92"/>
    <n v="426.14"/>
  </r>
  <r>
    <s v="AD01-9364"/>
    <x v="3"/>
    <s v="Nov"/>
    <x v="0"/>
    <x v="0"/>
    <s v="Order assembled"/>
    <x v="0"/>
    <x v="0"/>
    <x v="1"/>
    <x v="584"/>
    <n v="946.66"/>
  </r>
  <r>
    <s v="AD01-9364"/>
    <x v="3"/>
    <s v="Nov"/>
    <x v="0"/>
    <x v="0"/>
    <s v="Order assembled"/>
    <x v="0"/>
    <x v="0"/>
    <x v="1"/>
    <x v="82"/>
    <n v="1069.6399999999999"/>
  </r>
  <r>
    <s v="AD01-9364"/>
    <x v="3"/>
    <s v="Nov"/>
    <x v="0"/>
    <x v="0"/>
    <s v="Order assembled"/>
    <x v="0"/>
    <x v="0"/>
    <x v="1"/>
    <x v="178"/>
    <n v="467.61"/>
  </r>
  <r>
    <s v="AD01-9364"/>
    <x v="3"/>
    <s v="Nov"/>
    <x v="0"/>
    <x v="0"/>
    <s v="Order assembled"/>
    <x v="0"/>
    <x v="0"/>
    <x v="1"/>
    <x v="279"/>
    <n v="526.24"/>
  </r>
  <r>
    <s v="AD01-9362"/>
    <x v="3"/>
    <s v="Nov"/>
    <x v="0"/>
    <x v="0"/>
    <s v="Order assembled"/>
    <x v="0"/>
    <x v="0"/>
    <x v="1"/>
    <x v="318"/>
    <n v="464.75"/>
  </r>
  <r>
    <s v="AD01-9364"/>
    <x v="3"/>
    <s v="Nov"/>
    <x v="0"/>
    <x v="0"/>
    <s v="Order assembled"/>
    <x v="0"/>
    <x v="0"/>
    <x v="1"/>
    <x v="312"/>
    <n v="430.43"/>
  </r>
  <r>
    <s v="AD01-9361"/>
    <x v="3"/>
    <s v="Nov"/>
    <x v="0"/>
    <x v="0"/>
    <s v="Order assembled"/>
    <x v="0"/>
    <x v="0"/>
    <x v="1"/>
    <x v="409"/>
    <n v="1082.51"/>
  </r>
  <r>
    <s v="AD01-9364"/>
    <x v="3"/>
    <s v="Oct"/>
    <x v="0"/>
    <x v="0"/>
    <s v="Order assembled"/>
    <x v="0"/>
    <x v="0"/>
    <x v="1"/>
    <x v="165"/>
    <n v="507.96000000000004"/>
  </r>
  <r>
    <s v="AD01-9362"/>
    <x v="3"/>
    <s v="Oct"/>
    <x v="0"/>
    <x v="0"/>
    <s v="Order assembled"/>
    <x v="0"/>
    <x v="0"/>
    <x v="1"/>
    <x v="105"/>
    <n v="431.86"/>
  </r>
  <r>
    <s v="AD01-9361"/>
    <x v="3"/>
    <s v="Oct"/>
    <x v="0"/>
    <x v="0"/>
    <s v="Order assembled"/>
    <x v="0"/>
    <x v="0"/>
    <x v="1"/>
    <x v="249"/>
    <n v="477.62"/>
  </r>
  <r>
    <s v="AD01-9365"/>
    <x v="3"/>
    <s v="Oct"/>
    <x v="0"/>
    <x v="0"/>
    <s v="Order assembled"/>
    <x v="0"/>
    <x v="0"/>
    <x v="1"/>
    <x v="236"/>
    <n v="434.72"/>
  </r>
  <r>
    <s v="AD01-9362"/>
    <x v="3"/>
    <s v="Oct"/>
    <x v="0"/>
    <x v="0"/>
    <s v="Order assembled"/>
    <x v="0"/>
    <x v="0"/>
    <x v="1"/>
    <x v="585"/>
    <n v="945.23"/>
  </r>
  <r>
    <s v="AD01-9361"/>
    <x v="3"/>
    <s v="Oct"/>
    <x v="0"/>
    <x v="0"/>
    <s v="Order assembled"/>
    <x v="0"/>
    <x v="0"/>
    <x v="1"/>
    <x v="97"/>
    <n v="1068.21"/>
  </r>
  <r>
    <s v="AD01-9361"/>
    <x v="3"/>
    <s v="Oct"/>
    <x v="0"/>
    <x v="0"/>
    <s v="Order assembled"/>
    <x v="0"/>
    <x v="0"/>
    <x v="1"/>
    <x v="177"/>
    <n v="476.19"/>
  </r>
  <r>
    <s v="AD01-9362"/>
    <x v="3"/>
    <s v="Oct"/>
    <x v="0"/>
    <x v="0"/>
    <s v="Order assembled"/>
    <x v="0"/>
    <x v="0"/>
    <x v="1"/>
    <x v="431"/>
    <n v="526.24"/>
  </r>
  <r>
    <s v="AD01-9365"/>
    <x v="3"/>
    <s v="Oct"/>
    <x v="0"/>
    <x v="0"/>
    <s v="Order assembled"/>
    <x v="0"/>
    <x v="0"/>
    <x v="1"/>
    <x v="317"/>
    <n v="473.33"/>
  </r>
  <r>
    <s v="AD01-9361"/>
    <x v="3"/>
    <s v="Oct"/>
    <x v="0"/>
    <x v="0"/>
    <s v="Order assembled"/>
    <x v="0"/>
    <x v="0"/>
    <x v="1"/>
    <x v="315"/>
    <n v="439.01"/>
  </r>
  <r>
    <s v="AD01-9362"/>
    <x v="3"/>
    <s v="Oct"/>
    <x v="0"/>
    <x v="0"/>
    <s v="Order assembled"/>
    <x v="0"/>
    <x v="0"/>
    <x v="1"/>
    <x v="241"/>
    <n v="470.47"/>
  </r>
  <r>
    <s v="AD01-9364"/>
    <x v="3"/>
    <s v="Oct"/>
    <x v="0"/>
    <x v="0"/>
    <s v="Order assembled"/>
    <x v="0"/>
    <x v="0"/>
    <x v="1"/>
    <x v="198"/>
    <n v="1081.08"/>
  </r>
  <r>
    <s v="AD01-9362"/>
    <x v="3"/>
    <s v="Sep"/>
    <x v="0"/>
    <x v="0"/>
    <s v="Order assembled"/>
    <x v="0"/>
    <x v="0"/>
    <x v="1"/>
    <x v="164"/>
    <n v="517.14"/>
  </r>
  <r>
    <s v="AD01-9362"/>
    <x v="3"/>
    <s v="Sep"/>
    <x v="0"/>
    <x v="0"/>
    <s v="Order assembled"/>
    <x v="0"/>
    <x v="0"/>
    <x v="1"/>
    <x v="127"/>
    <n v="440.44"/>
  </r>
  <r>
    <s v="AD01-9365"/>
    <x v="3"/>
    <s v="Sep"/>
    <x v="0"/>
    <x v="0"/>
    <s v="Order assembled"/>
    <x v="0"/>
    <x v="0"/>
    <x v="1"/>
    <x v="243"/>
    <n v="443.3"/>
  </r>
  <r>
    <s v="AD01-9361"/>
    <x v="3"/>
    <s v="Sep"/>
    <x v="0"/>
    <x v="0"/>
    <s v="Order assembled"/>
    <x v="0"/>
    <x v="0"/>
    <x v="1"/>
    <x v="586"/>
    <n v="943.8"/>
  </r>
  <r>
    <s v="AD01-9364"/>
    <x v="3"/>
    <s v="Sep"/>
    <x v="0"/>
    <x v="0"/>
    <s v="Order assembled"/>
    <x v="0"/>
    <x v="0"/>
    <x v="1"/>
    <x v="509"/>
    <n v="1066.78"/>
  </r>
  <r>
    <s v="AD01-9364"/>
    <x v="3"/>
    <s v="Sep"/>
    <x v="0"/>
    <x v="0"/>
    <s v="Order assembled"/>
    <x v="0"/>
    <x v="0"/>
    <x v="1"/>
    <x v="15"/>
    <n v="484.77"/>
  </r>
  <r>
    <s v="AD01-9361"/>
    <x v="3"/>
    <s v="Sep"/>
    <x v="0"/>
    <x v="0"/>
    <s v="Order assembled"/>
    <x v="0"/>
    <x v="0"/>
    <x v="1"/>
    <x v="394"/>
    <n v="526.24"/>
  </r>
  <r>
    <s v="AD01-9365"/>
    <x v="3"/>
    <s v="Sep"/>
    <x v="0"/>
    <x v="0"/>
    <s v="Order assembled"/>
    <x v="0"/>
    <x v="0"/>
    <x v="1"/>
    <x v="316"/>
    <n v="481.90999999999997"/>
  </r>
  <r>
    <s v="AD01-9362"/>
    <x v="3"/>
    <s v="Sep"/>
    <x v="0"/>
    <x v="0"/>
    <s v="Order assembled"/>
    <x v="0"/>
    <x v="0"/>
    <x v="1"/>
    <x v="253"/>
    <n v="479.05"/>
  </r>
  <r>
    <s v="AD01-9362"/>
    <x v="3"/>
    <s v="Sep"/>
    <x v="0"/>
    <x v="0"/>
    <s v="Order assembled"/>
    <x v="0"/>
    <x v="0"/>
    <x v="1"/>
    <x v="211"/>
    <n v="1079.6500000000001"/>
  </r>
  <r>
    <s v="AD01-9362"/>
    <x v="3"/>
    <s v="Apr"/>
    <x v="1"/>
    <x v="0"/>
    <s v="Order assembled"/>
    <x v="0"/>
    <x v="0"/>
    <x v="0"/>
    <x v="29"/>
    <n v="303.15999999999997"/>
  </r>
  <r>
    <s v="AD01-9361"/>
    <x v="3"/>
    <s v="Apr"/>
    <x v="1"/>
    <x v="0"/>
    <s v="Order assembled"/>
    <x v="0"/>
    <x v="0"/>
    <x v="0"/>
    <x v="217"/>
    <n v="260.26"/>
  </r>
  <r>
    <s v="AD01-9362"/>
    <x v="3"/>
    <s v="Apr"/>
    <x v="1"/>
    <x v="0"/>
    <s v="Order assembled"/>
    <x v="0"/>
    <x v="0"/>
    <x v="0"/>
    <x v="219"/>
    <n v="526.24"/>
  </r>
  <r>
    <s v="AD01-9362"/>
    <x v="3"/>
    <s v="Apr"/>
    <x v="1"/>
    <x v="0"/>
    <s v="Order assembled"/>
    <x v="0"/>
    <x v="0"/>
    <x v="0"/>
    <x v="587"/>
    <n v="1384.24"/>
  </r>
  <r>
    <s v="AD01-9365"/>
    <x v="3"/>
    <s v="Apr"/>
    <x v="1"/>
    <x v="0"/>
    <s v="Order assembled"/>
    <x v="0"/>
    <x v="0"/>
    <x v="0"/>
    <x v="397"/>
    <n v="265.98"/>
  </r>
  <r>
    <s v="AD01-9365"/>
    <x v="3"/>
    <s v="Apr"/>
    <x v="1"/>
    <x v="0"/>
    <s v="Order assembled"/>
    <x v="0"/>
    <x v="0"/>
    <x v="0"/>
    <x v="42"/>
    <n v="304.59000000000003"/>
  </r>
  <r>
    <s v="AD01-9362"/>
    <x v="3"/>
    <s v="Apr"/>
    <x v="1"/>
    <x v="0"/>
    <s v="Order assembled"/>
    <x v="0"/>
    <x v="0"/>
    <x v="0"/>
    <x v="376"/>
    <n v="261.69"/>
  </r>
  <r>
    <s v="AD01-9362"/>
    <x v="3"/>
    <s v="Apr"/>
    <x v="1"/>
    <x v="0"/>
    <s v="Order assembled"/>
    <x v="0"/>
    <x v="0"/>
    <x v="0"/>
    <x v="17"/>
    <n v="1071.07"/>
  </r>
  <r>
    <s v="AD01-9361"/>
    <x v="3"/>
    <s v="Apr"/>
    <x v="1"/>
    <x v="0"/>
    <s v="Order assembled"/>
    <x v="0"/>
    <x v="0"/>
    <x v="0"/>
    <x v="232"/>
    <n v="298.87"/>
  </r>
  <r>
    <s v="AD01-9362"/>
    <x v="3"/>
    <s v="Apr"/>
    <x v="1"/>
    <x v="0"/>
    <s v="Order assembled"/>
    <x v="0"/>
    <x v="0"/>
    <x v="0"/>
    <x v="402"/>
    <n v="264.55"/>
  </r>
  <r>
    <s v="AD01-9362"/>
    <x v="3"/>
    <s v="Aug"/>
    <x v="1"/>
    <x v="0"/>
    <s v="Order assembled"/>
    <x v="0"/>
    <x v="0"/>
    <x v="0"/>
    <x v="31"/>
    <n v="268.84000000000003"/>
  </r>
  <r>
    <s v="AD01-9361"/>
    <x v="3"/>
    <s v="Aug"/>
    <x v="1"/>
    <x v="0"/>
    <s v="Order assembled"/>
    <x v="0"/>
    <x v="0"/>
    <x v="0"/>
    <x v="57"/>
    <n v="234.51999999999998"/>
  </r>
  <r>
    <s v="AD01-9364"/>
    <x v="3"/>
    <s v="Aug"/>
    <x v="1"/>
    <x v="0"/>
    <s v="Order assembled"/>
    <x v="0"/>
    <x v="0"/>
    <x v="0"/>
    <x v="34"/>
    <n v="526.24"/>
  </r>
  <r>
    <s v="AD01-9361"/>
    <x v="3"/>
    <s v="Aug"/>
    <x v="1"/>
    <x v="0"/>
    <s v="Order assembled"/>
    <x v="0"/>
    <x v="0"/>
    <x v="0"/>
    <x v="320"/>
    <n v="526.24"/>
  </r>
  <r>
    <s v="AD01-9362"/>
    <x v="3"/>
    <s v="Aug"/>
    <x v="1"/>
    <x v="0"/>
    <s v="Order assembled"/>
    <x v="0"/>
    <x v="0"/>
    <x v="0"/>
    <x v="588"/>
    <n v="1388.53"/>
  </r>
  <r>
    <s v="AD01-9361"/>
    <x v="3"/>
    <s v="Aug"/>
    <x v="1"/>
    <x v="0"/>
    <s v="Order assembled"/>
    <x v="0"/>
    <x v="0"/>
    <x v="0"/>
    <x v="380"/>
    <n v="231.66"/>
  </r>
  <r>
    <s v="AD01-9361"/>
    <x v="3"/>
    <s v="Aug"/>
    <x v="1"/>
    <x v="0"/>
    <s v="Order assembled"/>
    <x v="0"/>
    <x v="0"/>
    <x v="0"/>
    <x v="349"/>
    <n v="270.27"/>
  </r>
  <r>
    <s v="AD01-9362"/>
    <x v="3"/>
    <s v="Aug"/>
    <x v="1"/>
    <x v="0"/>
    <s v="Order assembled"/>
    <x v="0"/>
    <x v="0"/>
    <x v="0"/>
    <x v="335"/>
    <n v="235.95"/>
  </r>
  <r>
    <s v="AD01-9361"/>
    <x v="3"/>
    <s v="Aug"/>
    <x v="1"/>
    <x v="0"/>
    <s v="Order assembled"/>
    <x v="0"/>
    <x v="0"/>
    <x v="0"/>
    <x v="43"/>
    <n v="1076.79"/>
  </r>
  <r>
    <s v="AD01-9364"/>
    <x v="3"/>
    <s v="Aug"/>
    <x v="1"/>
    <x v="0"/>
    <s v="Order assembled"/>
    <x v="0"/>
    <x v="0"/>
    <x v="0"/>
    <x v="469"/>
    <n v="1199.77"/>
  </r>
  <r>
    <s v="AD01-9361"/>
    <x v="3"/>
    <s v="Aug"/>
    <x v="1"/>
    <x v="0"/>
    <s v="Order assembled"/>
    <x v="0"/>
    <x v="0"/>
    <x v="0"/>
    <x v="71"/>
    <n v="273.13"/>
  </r>
  <r>
    <s v="AD01-9362"/>
    <x v="3"/>
    <s v="Aug"/>
    <x v="1"/>
    <x v="0"/>
    <s v="Order assembled"/>
    <x v="0"/>
    <x v="0"/>
    <x v="0"/>
    <x v="388"/>
    <n v="230.23000000000002"/>
  </r>
  <r>
    <s v="AD01-9361"/>
    <x v="3"/>
    <s v="Dec"/>
    <x v="1"/>
    <x v="0"/>
    <s v="Order assembled"/>
    <x v="0"/>
    <x v="0"/>
    <x v="0"/>
    <x v="190"/>
    <n v="243.1"/>
  </r>
  <r>
    <s v="AD01-9361"/>
    <x v="3"/>
    <s v="Dec"/>
    <x v="1"/>
    <x v="0"/>
    <s v="Order assembled"/>
    <x v="0"/>
    <x v="0"/>
    <x v="0"/>
    <x v="254"/>
    <n v="200.2"/>
  </r>
  <r>
    <s v="AD01-9361"/>
    <x v="3"/>
    <s v="Dec"/>
    <x v="1"/>
    <x v="0"/>
    <s v="Order assembled"/>
    <x v="0"/>
    <x v="0"/>
    <x v="0"/>
    <x v="58"/>
    <n v="526.24"/>
  </r>
  <r>
    <s v="AD01-9361"/>
    <x v="3"/>
    <s v="Dec"/>
    <x v="1"/>
    <x v="0"/>
    <s v="Order assembled"/>
    <x v="0"/>
    <x v="0"/>
    <x v="0"/>
    <x v="257"/>
    <n v="526.24"/>
  </r>
  <r>
    <s v="AD01-9362"/>
    <x v="3"/>
    <s v="Dec"/>
    <x v="1"/>
    <x v="0"/>
    <s v="Order assembled"/>
    <x v="0"/>
    <x v="0"/>
    <x v="0"/>
    <x v="589"/>
    <n v="1394.25"/>
  </r>
  <r>
    <s v="AD01-9362"/>
    <x v="3"/>
    <s v="Dec"/>
    <x v="1"/>
    <x v="0"/>
    <s v="Order assembled"/>
    <x v="0"/>
    <x v="0"/>
    <x v="0"/>
    <x v="260"/>
    <n v="201.63"/>
  </r>
  <r>
    <s v="AD01-9361"/>
    <x v="3"/>
    <s v="Dec"/>
    <x v="1"/>
    <x v="0"/>
    <s v="Order assembled"/>
    <x v="0"/>
    <x v="0"/>
    <x v="0"/>
    <x v="198"/>
    <n v="1081.08"/>
  </r>
  <r>
    <s v="AD01-9361"/>
    <x v="3"/>
    <s v="Dec"/>
    <x v="1"/>
    <x v="0"/>
    <s v="Order assembled"/>
    <x v="0"/>
    <x v="0"/>
    <x v="0"/>
    <x v="341"/>
    <n v="1205.49"/>
  </r>
  <r>
    <s v="AD01-9361"/>
    <x v="3"/>
    <s v="Dec"/>
    <x v="1"/>
    <x v="0"/>
    <s v="Order assembled"/>
    <x v="0"/>
    <x v="0"/>
    <x v="0"/>
    <x v="419"/>
    <n v="238.81"/>
  </r>
  <r>
    <s v="AD01-9361"/>
    <x v="3"/>
    <s v="Dec"/>
    <x v="1"/>
    <x v="0"/>
    <s v="Order assembled"/>
    <x v="0"/>
    <x v="0"/>
    <x v="0"/>
    <x v="269"/>
    <n v="204.49"/>
  </r>
  <r>
    <s v="AD01-9362"/>
    <x v="3"/>
    <s v="Feb"/>
    <x v="1"/>
    <x v="0"/>
    <s v="Order assembled"/>
    <x v="0"/>
    <x v="0"/>
    <x v="1"/>
    <x v="128"/>
    <n v="388.96"/>
  </r>
  <r>
    <s v="AD01-9362"/>
    <x v="3"/>
    <s v="Feb"/>
    <x v="1"/>
    <x v="0"/>
    <s v="Order assembled"/>
    <x v="0"/>
    <x v="0"/>
    <x v="1"/>
    <x v="106"/>
    <n v="380.38"/>
  </r>
  <r>
    <s v="AD01-9361"/>
    <x v="3"/>
    <s v="Feb"/>
    <x v="1"/>
    <x v="0"/>
    <s v="Order assembled"/>
    <x v="0"/>
    <x v="0"/>
    <x v="0"/>
    <x v="53"/>
    <n v="320.32"/>
  </r>
  <r>
    <s v="AD01-9361"/>
    <x v="3"/>
    <s v="Feb"/>
    <x v="1"/>
    <x v="0"/>
    <s v="Order assembled"/>
    <x v="0"/>
    <x v="0"/>
    <x v="0"/>
    <x v="55"/>
    <n v="277.42"/>
  </r>
  <r>
    <s v="AD01-9364"/>
    <x v="3"/>
    <s v="Feb"/>
    <x v="1"/>
    <x v="0"/>
    <s v="Order assembled"/>
    <x v="0"/>
    <x v="0"/>
    <x v="0"/>
    <x v="107"/>
    <n v="383.24"/>
  </r>
  <r>
    <s v="AD01-9364"/>
    <x v="3"/>
    <s v="Feb"/>
    <x v="1"/>
    <x v="0"/>
    <s v="Order assembled"/>
    <x v="0"/>
    <x v="0"/>
    <x v="0"/>
    <x v="77"/>
    <n v="526.24"/>
  </r>
  <r>
    <s v="AD01-9364"/>
    <x v="3"/>
    <s v="Feb"/>
    <x v="1"/>
    <x v="0"/>
    <s v="Order assembled"/>
    <x v="0"/>
    <x v="0"/>
    <x v="0"/>
    <x v="131"/>
    <n v="526.24"/>
  </r>
  <r>
    <s v="AD01-9365"/>
    <x v="3"/>
    <s v="Feb"/>
    <x v="1"/>
    <x v="0"/>
    <s v="Order assembled"/>
    <x v="0"/>
    <x v="0"/>
    <x v="0"/>
    <x v="590"/>
    <n v="1381.38"/>
  </r>
  <r>
    <s v="AD01-9361"/>
    <x v="3"/>
    <s v="Feb"/>
    <x v="1"/>
    <x v="0"/>
    <s v="Order assembled"/>
    <x v="0"/>
    <x v="0"/>
    <x v="0"/>
    <x v="591"/>
    <n v="1457.17"/>
  </r>
  <r>
    <s v="AD01-9361"/>
    <x v="3"/>
    <s v="Feb"/>
    <x v="1"/>
    <x v="0"/>
    <s v="Order assembled"/>
    <x v="0"/>
    <x v="0"/>
    <x v="0"/>
    <x v="396"/>
    <n v="274.56"/>
  </r>
  <r>
    <s v="AD01-9361"/>
    <x v="3"/>
    <s v="Feb"/>
    <x v="1"/>
    <x v="0"/>
    <s v="Order assembled"/>
    <x v="0"/>
    <x v="0"/>
    <x v="0"/>
    <x v="65"/>
    <n v="313.17"/>
  </r>
  <r>
    <s v="AD01-9365"/>
    <x v="3"/>
    <s v="Feb"/>
    <x v="1"/>
    <x v="0"/>
    <s v="Order assembled"/>
    <x v="0"/>
    <x v="0"/>
    <x v="0"/>
    <x v="66"/>
    <n v="278.85000000000002"/>
  </r>
  <r>
    <s v="AD01-9361"/>
    <x v="3"/>
    <s v="Feb"/>
    <x v="1"/>
    <x v="0"/>
    <s v="Order assembled"/>
    <x v="0"/>
    <x v="0"/>
    <x v="0"/>
    <x v="140"/>
    <n v="387.53"/>
  </r>
  <r>
    <s v="AD01-9364"/>
    <x v="3"/>
    <s v="Feb"/>
    <x v="1"/>
    <x v="0"/>
    <s v="Order assembled"/>
    <x v="0"/>
    <x v="0"/>
    <x v="0"/>
    <x v="97"/>
    <n v="1068.21"/>
  </r>
  <r>
    <s v="AD01-9364"/>
    <x v="3"/>
    <s v="Feb"/>
    <x v="1"/>
    <x v="0"/>
    <s v="Order assembled"/>
    <x v="0"/>
    <x v="0"/>
    <x v="0"/>
    <x v="474"/>
    <n v="1192.6199999999999"/>
  </r>
  <r>
    <s v="AD01-9361"/>
    <x v="3"/>
    <s v="Feb"/>
    <x v="1"/>
    <x v="0"/>
    <s v="Order assembled"/>
    <x v="0"/>
    <x v="0"/>
    <x v="1"/>
    <x v="123"/>
    <n v="384.67"/>
  </r>
  <r>
    <s v="AD01-9361"/>
    <x v="3"/>
    <s v="Feb"/>
    <x v="1"/>
    <x v="0"/>
    <s v="Order assembled"/>
    <x v="0"/>
    <x v="0"/>
    <x v="0"/>
    <x v="70"/>
    <n v="316.02999999999997"/>
  </r>
  <r>
    <s v="AD01-9364"/>
    <x v="3"/>
    <s v="Feb"/>
    <x v="1"/>
    <x v="0"/>
    <s v="Order assembled"/>
    <x v="0"/>
    <x v="0"/>
    <x v="0"/>
    <x v="345"/>
    <n v="213.07"/>
  </r>
  <r>
    <s v="AD01-9361"/>
    <x v="3"/>
    <s v="Feb"/>
    <x v="1"/>
    <x v="0"/>
    <s v="Order assembled"/>
    <x v="0"/>
    <x v="0"/>
    <x v="0"/>
    <x v="201"/>
    <n v="281.70999999999998"/>
  </r>
  <r>
    <s v="AD01-9364"/>
    <x v="3"/>
    <s v="Jan"/>
    <x v="1"/>
    <x v="0"/>
    <s v="Order assembled"/>
    <x v="0"/>
    <x v="0"/>
    <x v="1"/>
    <x v="3"/>
    <n v="406.12"/>
  </r>
  <r>
    <s v="AD01-9362"/>
    <x v="3"/>
    <s v="Jan"/>
    <x v="1"/>
    <x v="0"/>
    <s v="Order assembled"/>
    <x v="0"/>
    <x v="0"/>
    <x v="1"/>
    <x v="28"/>
    <n v="397.53999999999996"/>
  </r>
  <r>
    <s v="AD01-9364"/>
    <x v="3"/>
    <s v="Jan"/>
    <x v="1"/>
    <x v="0"/>
    <s v="Order assembled"/>
    <x v="0"/>
    <x v="0"/>
    <x v="0"/>
    <x v="352"/>
    <n v="217.36"/>
  </r>
  <r>
    <s v="AD01-9361"/>
    <x v="3"/>
    <s v="Jan"/>
    <x v="1"/>
    <x v="0"/>
    <s v="Order assembled"/>
    <x v="0"/>
    <x v="0"/>
    <x v="0"/>
    <x v="129"/>
    <n v="286"/>
  </r>
  <r>
    <s v="AD01-9362"/>
    <x v="3"/>
    <s v="Jan"/>
    <x v="1"/>
    <x v="0"/>
    <s v="Order assembled"/>
    <x v="0"/>
    <x v="0"/>
    <x v="0"/>
    <x v="149"/>
    <n v="408.98"/>
  </r>
  <r>
    <s v="AD01-9362"/>
    <x v="3"/>
    <s v="Jan"/>
    <x v="1"/>
    <x v="0"/>
    <s v="Order assembled"/>
    <x v="0"/>
    <x v="0"/>
    <x v="0"/>
    <x v="5"/>
    <n v="400.4"/>
  </r>
  <r>
    <s v="AD01-9361"/>
    <x v="3"/>
    <s v="Jan"/>
    <x v="1"/>
    <x v="0"/>
    <s v="Order assembled"/>
    <x v="0"/>
    <x v="0"/>
    <x v="0"/>
    <x v="130"/>
    <n v="391.82"/>
  </r>
  <r>
    <s v="AD01-9362"/>
    <x v="3"/>
    <s v="Jan"/>
    <x v="1"/>
    <x v="0"/>
    <s v="Order assembled"/>
    <x v="0"/>
    <x v="0"/>
    <x v="0"/>
    <x v="93"/>
    <n v="526.24"/>
  </r>
  <r>
    <s v="AD01-9363"/>
    <x v="3"/>
    <s v="Jan"/>
    <x v="1"/>
    <x v="0"/>
    <s v="Order assembled"/>
    <x v="0"/>
    <x v="0"/>
    <x v="0"/>
    <x v="361"/>
    <n v="526.24"/>
  </r>
  <r>
    <s v="AD01-9361"/>
    <x v="3"/>
    <s v="Jan"/>
    <x v="1"/>
    <x v="0"/>
    <s v="Order assembled"/>
    <x v="0"/>
    <x v="0"/>
    <x v="0"/>
    <x v="170"/>
    <n v="526.24"/>
  </r>
  <r>
    <s v="AD01-9364"/>
    <x v="3"/>
    <s v="Jan"/>
    <x v="1"/>
    <x v="0"/>
    <s v="Order assembled"/>
    <x v="0"/>
    <x v="0"/>
    <x v="0"/>
    <x v="592"/>
    <n v="1379.95"/>
  </r>
  <r>
    <s v="AD01-9362"/>
    <x v="3"/>
    <s v="Jan"/>
    <x v="1"/>
    <x v="0"/>
    <s v="Order assembled"/>
    <x v="0"/>
    <x v="0"/>
    <x v="0"/>
    <x v="406"/>
    <n v="283.14"/>
  </r>
  <r>
    <s v="AD01-9362"/>
    <x v="3"/>
    <s v="Jan"/>
    <x v="1"/>
    <x v="0"/>
    <s v="Order assembled"/>
    <x v="0"/>
    <x v="0"/>
    <x v="0"/>
    <x v="64"/>
    <n v="321.75"/>
  </r>
  <r>
    <s v="AD01-9362"/>
    <x v="3"/>
    <s v="Jan"/>
    <x v="1"/>
    <x v="0"/>
    <s v="Order assembled"/>
    <x v="0"/>
    <x v="0"/>
    <x v="0"/>
    <x v="386"/>
    <n v="218.79"/>
  </r>
  <r>
    <s v="AD01-9364"/>
    <x v="3"/>
    <s v="Jan"/>
    <x v="1"/>
    <x v="0"/>
    <s v="Order assembled"/>
    <x v="0"/>
    <x v="0"/>
    <x v="0"/>
    <x v="197"/>
    <n v="287.43"/>
  </r>
  <r>
    <s v="AD01-9363"/>
    <x v="3"/>
    <s v="Jan"/>
    <x v="1"/>
    <x v="0"/>
    <s v="Order assembled"/>
    <x v="0"/>
    <x v="0"/>
    <x v="0"/>
    <x v="20"/>
    <n v="404.69"/>
  </r>
  <r>
    <s v="AD01-9364"/>
    <x v="3"/>
    <s v="Jan"/>
    <x v="1"/>
    <x v="0"/>
    <s v="Order assembled"/>
    <x v="0"/>
    <x v="0"/>
    <x v="0"/>
    <x v="183"/>
    <n v="396.11"/>
  </r>
  <r>
    <s v="AD01-9361"/>
    <x v="3"/>
    <s v="Jan"/>
    <x v="1"/>
    <x v="0"/>
    <s v="Order assembled"/>
    <x v="0"/>
    <x v="0"/>
    <x v="0"/>
    <x v="509"/>
    <n v="1066.78"/>
  </r>
  <r>
    <s v="AD01-9361"/>
    <x v="3"/>
    <s v="Jan"/>
    <x v="1"/>
    <x v="0"/>
    <s v="Order assembled"/>
    <x v="0"/>
    <x v="0"/>
    <x v="0"/>
    <x v="98"/>
    <n v="1144"/>
  </r>
  <r>
    <s v="AD01-9362"/>
    <x v="3"/>
    <s v="Jan"/>
    <x v="1"/>
    <x v="0"/>
    <s v="Order assembled"/>
    <x v="0"/>
    <x v="0"/>
    <x v="0"/>
    <x v="478"/>
    <n v="1191.19"/>
  </r>
  <r>
    <s v="AD01-9362"/>
    <x v="3"/>
    <s v="Jan"/>
    <x v="1"/>
    <x v="0"/>
    <s v="Order assembled"/>
    <x v="0"/>
    <x v="0"/>
    <x v="1"/>
    <x v="48"/>
    <n v="410.40999999999997"/>
  </r>
  <r>
    <s v="AD01-9362"/>
    <x v="3"/>
    <s v="Jan"/>
    <x v="1"/>
    <x v="0"/>
    <s v="Order assembled"/>
    <x v="0"/>
    <x v="0"/>
    <x v="1"/>
    <x v="25"/>
    <n v="401.83"/>
  </r>
  <r>
    <s v="AD01-9365"/>
    <x v="3"/>
    <s v="Jan"/>
    <x v="1"/>
    <x v="0"/>
    <s v="Order assembled"/>
    <x v="0"/>
    <x v="0"/>
    <x v="1"/>
    <x v="49"/>
    <n v="393.25"/>
  </r>
  <r>
    <s v="AD01-9361"/>
    <x v="3"/>
    <s v="Jan"/>
    <x v="1"/>
    <x v="0"/>
    <s v="Order assembled"/>
    <x v="0"/>
    <x v="0"/>
    <x v="0"/>
    <x v="144"/>
    <n v="324.61"/>
  </r>
  <r>
    <s v="AD01-9362"/>
    <x v="3"/>
    <s v="Jan"/>
    <x v="1"/>
    <x v="0"/>
    <s v="Order assembled"/>
    <x v="0"/>
    <x v="0"/>
    <x v="0"/>
    <x v="389"/>
    <n v="221.65"/>
  </r>
  <r>
    <s v="AD01-9361"/>
    <x v="3"/>
    <s v="Jul"/>
    <x v="1"/>
    <x v="0"/>
    <s v="Order assembled"/>
    <x v="0"/>
    <x v="0"/>
    <x v="0"/>
    <x v="55"/>
    <n v="277.42"/>
  </r>
  <r>
    <s v="AD01-9364"/>
    <x v="3"/>
    <s v="Jul"/>
    <x v="1"/>
    <x v="0"/>
    <s v="Order assembled"/>
    <x v="0"/>
    <x v="0"/>
    <x v="0"/>
    <x v="190"/>
    <n v="243.1"/>
  </r>
  <r>
    <s v="AD01-9364"/>
    <x v="3"/>
    <s v="Jul"/>
    <x v="1"/>
    <x v="0"/>
    <s v="Order assembled"/>
    <x v="0"/>
    <x v="0"/>
    <x v="0"/>
    <x v="131"/>
    <n v="526.24"/>
  </r>
  <r>
    <s v="AD01-9364"/>
    <x v="3"/>
    <s v="Jul"/>
    <x v="1"/>
    <x v="0"/>
    <s v="Order assembled"/>
    <x v="0"/>
    <x v="0"/>
    <x v="0"/>
    <x v="58"/>
    <n v="526.24"/>
  </r>
  <r>
    <s v="AD01-9365"/>
    <x v="3"/>
    <s v="Jul"/>
    <x v="1"/>
    <x v="0"/>
    <s v="Order assembled"/>
    <x v="0"/>
    <x v="0"/>
    <x v="0"/>
    <x v="416"/>
    <n v="240.24"/>
  </r>
  <r>
    <s v="AD01-9365"/>
    <x v="3"/>
    <s v="Jul"/>
    <x v="1"/>
    <x v="0"/>
    <s v="Order assembled"/>
    <x v="0"/>
    <x v="0"/>
    <x v="0"/>
    <x v="66"/>
    <n v="278.85000000000002"/>
  </r>
  <r>
    <s v="AD01-9364"/>
    <x v="3"/>
    <s v="Jul"/>
    <x v="1"/>
    <x v="0"/>
    <s v="Order assembled"/>
    <x v="0"/>
    <x v="0"/>
    <x v="0"/>
    <x v="117"/>
    <n v="1075.3600000000001"/>
  </r>
  <r>
    <s v="AD01-9364"/>
    <x v="3"/>
    <s v="Jul"/>
    <x v="1"/>
    <x v="0"/>
    <s v="Order assembled"/>
    <x v="0"/>
    <x v="0"/>
    <x v="0"/>
    <x v="482"/>
    <n v="1198.3399999999999"/>
  </r>
  <r>
    <s v="AD01-9364"/>
    <x v="3"/>
    <s v="Jul"/>
    <x v="1"/>
    <x v="0"/>
    <s v="Order assembled"/>
    <x v="0"/>
    <x v="0"/>
    <x v="0"/>
    <x v="201"/>
    <n v="281.70999999999998"/>
  </r>
  <r>
    <s v="AD01-9361"/>
    <x v="3"/>
    <s v="Jul"/>
    <x v="1"/>
    <x v="0"/>
    <s v="Order assembled"/>
    <x v="0"/>
    <x v="0"/>
    <x v="0"/>
    <x v="419"/>
    <n v="238.81"/>
  </r>
  <r>
    <s v="AD01-9363"/>
    <x v="3"/>
    <s v="Jun"/>
    <x v="1"/>
    <x v="0"/>
    <s v="Order assembled"/>
    <x v="0"/>
    <x v="0"/>
    <x v="0"/>
    <x v="129"/>
    <n v="286"/>
  </r>
  <r>
    <s v="AD01-9361"/>
    <x v="3"/>
    <s v="Jun"/>
    <x v="1"/>
    <x v="0"/>
    <s v="Order assembled"/>
    <x v="0"/>
    <x v="0"/>
    <x v="0"/>
    <x v="170"/>
    <n v="526.24"/>
  </r>
  <r>
    <s v="AD01-9361"/>
    <x v="3"/>
    <s v="Jun"/>
    <x v="1"/>
    <x v="0"/>
    <s v="Order assembled"/>
    <x v="0"/>
    <x v="0"/>
    <x v="0"/>
    <x v="191"/>
    <n v="526.24"/>
  </r>
  <r>
    <s v="AD01-9361"/>
    <x v="3"/>
    <s v="Jun"/>
    <x v="1"/>
    <x v="0"/>
    <s v="Order assembled"/>
    <x v="0"/>
    <x v="0"/>
    <x v="0"/>
    <x v="593"/>
    <n v="1387.1"/>
  </r>
  <r>
    <s v="AD01-9361"/>
    <x v="3"/>
    <s v="Jun"/>
    <x v="1"/>
    <x v="0"/>
    <s v="Order assembled"/>
    <x v="0"/>
    <x v="0"/>
    <x v="0"/>
    <x v="415"/>
    <n v="248.82"/>
  </r>
  <r>
    <s v="AD01-9361"/>
    <x v="3"/>
    <s v="Jun"/>
    <x v="1"/>
    <x v="0"/>
    <s v="Order assembled"/>
    <x v="0"/>
    <x v="0"/>
    <x v="0"/>
    <x v="197"/>
    <n v="287.43"/>
  </r>
  <r>
    <s v="AD01-9361"/>
    <x v="3"/>
    <s v="Jun"/>
    <x v="1"/>
    <x v="0"/>
    <s v="Order assembled"/>
    <x v="0"/>
    <x v="0"/>
    <x v="0"/>
    <x v="369"/>
    <n v="244.53"/>
  </r>
  <r>
    <s v="AD01-9361"/>
    <x v="3"/>
    <s v="Jun"/>
    <x v="1"/>
    <x v="0"/>
    <s v="Order assembled"/>
    <x v="0"/>
    <x v="0"/>
    <x v="0"/>
    <x v="139"/>
    <n v="1073.93"/>
  </r>
  <r>
    <s v="AD01-9361"/>
    <x v="3"/>
    <s v="Jun"/>
    <x v="1"/>
    <x v="0"/>
    <s v="Order assembled"/>
    <x v="0"/>
    <x v="0"/>
    <x v="0"/>
    <x v="486"/>
    <n v="1196.9099999999999"/>
  </r>
  <r>
    <s v="AD01-9363"/>
    <x v="3"/>
    <s v="Jun"/>
    <x v="1"/>
    <x v="0"/>
    <s v="Order assembled"/>
    <x v="0"/>
    <x v="0"/>
    <x v="0"/>
    <x v="390"/>
    <n v="247.39"/>
  </r>
  <r>
    <s v="AD01-9362"/>
    <x v="3"/>
    <s v="Mar"/>
    <x v="1"/>
    <x v="0"/>
    <s v="Order assembled"/>
    <x v="0"/>
    <x v="0"/>
    <x v="0"/>
    <x v="54"/>
    <n v="311.74"/>
  </r>
  <r>
    <s v="AD01-9362"/>
    <x v="3"/>
    <s v="Mar"/>
    <x v="1"/>
    <x v="0"/>
    <s v="Order assembled"/>
    <x v="0"/>
    <x v="0"/>
    <x v="0"/>
    <x v="31"/>
    <n v="268.84000000000003"/>
  </r>
  <r>
    <s v="AD01-9362"/>
    <x v="3"/>
    <s v="Mar"/>
    <x v="1"/>
    <x v="0"/>
    <s v="Order assembled"/>
    <x v="0"/>
    <x v="0"/>
    <x v="0"/>
    <x v="32"/>
    <n v="526.24"/>
  </r>
  <r>
    <s v="AD01-9362"/>
    <x v="3"/>
    <s v="Mar"/>
    <x v="1"/>
    <x v="0"/>
    <s v="Order assembled"/>
    <x v="0"/>
    <x v="0"/>
    <x v="0"/>
    <x v="34"/>
    <n v="526.24"/>
  </r>
  <r>
    <s v="AD01-9362"/>
    <x v="3"/>
    <s v="Mar"/>
    <x v="1"/>
    <x v="0"/>
    <s v="Order assembled"/>
    <x v="0"/>
    <x v="0"/>
    <x v="0"/>
    <x v="594"/>
    <n v="1382.81"/>
  </r>
  <r>
    <s v="AD01-9362"/>
    <x v="3"/>
    <s v="Mar"/>
    <x v="1"/>
    <x v="0"/>
    <s v="Order assembled"/>
    <x v="0"/>
    <x v="0"/>
    <x v="0"/>
    <x v="349"/>
    <n v="270.27"/>
  </r>
  <r>
    <s v="AD01-9362"/>
    <x v="3"/>
    <s v="Mar"/>
    <x v="1"/>
    <x v="0"/>
    <s v="Order assembled"/>
    <x v="0"/>
    <x v="0"/>
    <x v="0"/>
    <x v="82"/>
    <n v="1069.6399999999999"/>
  </r>
  <r>
    <s v="AD01-9362"/>
    <x v="3"/>
    <s v="Mar"/>
    <x v="1"/>
    <x v="0"/>
    <s v="Order assembled"/>
    <x v="0"/>
    <x v="0"/>
    <x v="0"/>
    <x v="465"/>
    <n v="1194.05"/>
  </r>
  <r>
    <s v="AD01-9362"/>
    <x v="3"/>
    <s v="Mar"/>
    <x v="1"/>
    <x v="0"/>
    <s v="Order assembled"/>
    <x v="0"/>
    <x v="0"/>
    <x v="0"/>
    <x v="50"/>
    <n v="307.45"/>
  </r>
  <r>
    <s v="AD01-9362"/>
    <x v="3"/>
    <s v="Mar"/>
    <x v="1"/>
    <x v="0"/>
    <s v="Order assembled"/>
    <x v="0"/>
    <x v="0"/>
    <x v="0"/>
    <x v="71"/>
    <n v="273.13"/>
  </r>
  <r>
    <s v="AD01-9365"/>
    <x v="3"/>
    <s v="May"/>
    <x v="1"/>
    <x v="0"/>
    <s v="Order assembled"/>
    <x v="0"/>
    <x v="0"/>
    <x v="0"/>
    <x v="168"/>
    <n v="294.58"/>
  </r>
  <r>
    <s v="AD01-9362"/>
    <x v="3"/>
    <s v="May"/>
    <x v="1"/>
    <x v="0"/>
    <s v="Order assembled"/>
    <x v="0"/>
    <x v="0"/>
    <x v="0"/>
    <x v="203"/>
    <n v="251.68"/>
  </r>
  <r>
    <s v="AD01-9362"/>
    <x v="3"/>
    <s v="May"/>
    <x v="1"/>
    <x v="0"/>
    <s v="Order assembled"/>
    <x v="0"/>
    <x v="0"/>
    <x v="0"/>
    <x v="6"/>
    <n v="526.24"/>
  </r>
  <r>
    <s v="AD01-9362"/>
    <x v="3"/>
    <s v="May"/>
    <x v="1"/>
    <x v="0"/>
    <s v="Order assembled"/>
    <x v="0"/>
    <x v="0"/>
    <x v="0"/>
    <x v="204"/>
    <n v="526.24"/>
  </r>
  <r>
    <s v="AD01-9362"/>
    <x v="3"/>
    <s v="May"/>
    <x v="1"/>
    <x v="0"/>
    <s v="Order assembled"/>
    <x v="0"/>
    <x v="0"/>
    <x v="0"/>
    <x v="595"/>
    <n v="1385.67"/>
  </r>
  <r>
    <s v="AD01-9362"/>
    <x v="3"/>
    <s v="May"/>
    <x v="1"/>
    <x v="0"/>
    <s v="Order assembled"/>
    <x v="0"/>
    <x v="0"/>
    <x v="0"/>
    <x v="398"/>
    <n v="257.39999999999998"/>
  </r>
  <r>
    <s v="AD01-9362"/>
    <x v="3"/>
    <s v="May"/>
    <x v="1"/>
    <x v="0"/>
    <s v="Order assembled"/>
    <x v="0"/>
    <x v="0"/>
    <x v="0"/>
    <x v="228"/>
    <n v="296.01"/>
  </r>
  <r>
    <s v="AD01-9362"/>
    <x v="3"/>
    <s v="May"/>
    <x v="1"/>
    <x v="0"/>
    <s v="Order assembled"/>
    <x v="0"/>
    <x v="0"/>
    <x v="0"/>
    <x v="372"/>
    <n v="253.11"/>
  </r>
  <r>
    <s v="AD01-9362"/>
    <x v="3"/>
    <s v="May"/>
    <x v="1"/>
    <x v="0"/>
    <s v="Order assembled"/>
    <x v="0"/>
    <x v="0"/>
    <x v="0"/>
    <x v="180"/>
    <n v="1072.5"/>
  </r>
  <r>
    <s v="AD01-9362"/>
    <x v="3"/>
    <s v="May"/>
    <x v="1"/>
    <x v="0"/>
    <s v="Order assembled"/>
    <x v="0"/>
    <x v="0"/>
    <x v="0"/>
    <x v="488"/>
    <n v="1195.48"/>
  </r>
  <r>
    <s v="AD01-9362"/>
    <x v="3"/>
    <s v="May"/>
    <x v="1"/>
    <x v="0"/>
    <s v="Order assembled"/>
    <x v="0"/>
    <x v="0"/>
    <x v="0"/>
    <x v="215"/>
    <n v="290.28999999999996"/>
  </r>
  <r>
    <s v="AD01-9365"/>
    <x v="3"/>
    <s v="May"/>
    <x v="1"/>
    <x v="0"/>
    <s v="Order assembled"/>
    <x v="0"/>
    <x v="0"/>
    <x v="0"/>
    <x v="403"/>
    <n v="255.97"/>
  </r>
  <r>
    <s v="AD01-9361"/>
    <x v="3"/>
    <s v="Nov"/>
    <x v="1"/>
    <x v="0"/>
    <s v="Order assembled"/>
    <x v="0"/>
    <x v="0"/>
    <x v="0"/>
    <x v="203"/>
    <n v="251.68"/>
  </r>
  <r>
    <s v="AD01-9361"/>
    <x v="3"/>
    <s v="Nov"/>
    <x v="1"/>
    <x v="0"/>
    <s v="Order assembled"/>
    <x v="0"/>
    <x v="0"/>
    <x v="0"/>
    <x v="271"/>
    <n v="208.78"/>
  </r>
  <r>
    <s v="AD01-9361"/>
    <x v="3"/>
    <s v="Nov"/>
    <x v="1"/>
    <x v="0"/>
    <s v="Order assembled"/>
    <x v="0"/>
    <x v="0"/>
    <x v="0"/>
    <x v="191"/>
    <n v="526.24"/>
  </r>
  <r>
    <s v="AD01-9364"/>
    <x v="3"/>
    <s v="Nov"/>
    <x v="1"/>
    <x v="0"/>
    <s v="Order assembled"/>
    <x v="0"/>
    <x v="0"/>
    <x v="0"/>
    <x v="273"/>
    <n v="526.24"/>
  </r>
  <r>
    <s v="AD01-9364"/>
    <x v="3"/>
    <s v="Nov"/>
    <x v="1"/>
    <x v="0"/>
    <s v="Order assembled"/>
    <x v="0"/>
    <x v="0"/>
    <x v="0"/>
    <x v="596"/>
    <n v="1392.82"/>
  </r>
  <r>
    <s v="AD01-9361"/>
    <x v="3"/>
    <s v="Nov"/>
    <x v="1"/>
    <x v="0"/>
    <s v="Order assembled"/>
    <x v="0"/>
    <x v="0"/>
    <x v="0"/>
    <x v="420"/>
    <n v="205.92000000000002"/>
  </r>
  <r>
    <s v="AD01-9361"/>
    <x v="3"/>
    <s v="Nov"/>
    <x v="1"/>
    <x v="0"/>
    <s v="Order assembled"/>
    <x v="0"/>
    <x v="0"/>
    <x v="0"/>
    <x v="369"/>
    <n v="244.53"/>
  </r>
  <r>
    <s v="AD01-9364"/>
    <x v="3"/>
    <s v="Nov"/>
    <x v="1"/>
    <x v="0"/>
    <s v="Order assembled"/>
    <x v="0"/>
    <x v="0"/>
    <x v="0"/>
    <x v="277"/>
    <n v="210.21"/>
  </r>
  <r>
    <s v="AD01-9364"/>
    <x v="3"/>
    <s v="Nov"/>
    <x v="1"/>
    <x v="0"/>
    <s v="Order assembled"/>
    <x v="0"/>
    <x v="0"/>
    <x v="0"/>
    <x v="211"/>
    <n v="1079.6500000000001"/>
  </r>
  <r>
    <s v="AD01-9361"/>
    <x v="3"/>
    <s v="Nov"/>
    <x v="1"/>
    <x v="0"/>
    <s v="Order assembled"/>
    <x v="0"/>
    <x v="0"/>
    <x v="0"/>
    <x v="539"/>
    <n v="1204.06"/>
  </r>
  <r>
    <s v="AD01-9361"/>
    <x v="3"/>
    <s v="Nov"/>
    <x v="1"/>
    <x v="0"/>
    <s v="Order assembled"/>
    <x v="0"/>
    <x v="0"/>
    <x v="0"/>
    <x v="390"/>
    <n v="247.39"/>
  </r>
  <r>
    <s v="AD01-9361"/>
    <x v="3"/>
    <s v="Nov"/>
    <x v="1"/>
    <x v="0"/>
    <s v="Order assembled"/>
    <x v="0"/>
    <x v="0"/>
    <x v="0"/>
    <x v="345"/>
    <n v="213.07"/>
  </r>
  <r>
    <s v="AD01-9365"/>
    <x v="3"/>
    <s v="Oct"/>
    <x v="1"/>
    <x v="0"/>
    <s v="Order assembled"/>
    <x v="0"/>
    <x v="0"/>
    <x v="0"/>
    <x v="352"/>
    <n v="217.36"/>
  </r>
  <r>
    <s v="AD01-9361"/>
    <x v="3"/>
    <s v="Oct"/>
    <x v="1"/>
    <x v="0"/>
    <s v="Order assembled"/>
    <x v="0"/>
    <x v="0"/>
    <x v="0"/>
    <x v="204"/>
    <n v="526.24"/>
  </r>
  <r>
    <s v="AD01-9361"/>
    <x v="3"/>
    <s v="Oct"/>
    <x v="1"/>
    <x v="0"/>
    <s v="Order assembled"/>
    <x v="0"/>
    <x v="0"/>
    <x v="0"/>
    <x v="361"/>
    <n v="526.24"/>
  </r>
  <r>
    <s v="AD01-9364"/>
    <x v="3"/>
    <s v="Oct"/>
    <x v="1"/>
    <x v="0"/>
    <s v="Order assembled"/>
    <x v="0"/>
    <x v="0"/>
    <x v="0"/>
    <x v="597"/>
    <n v="1391.3899999999999"/>
  </r>
  <r>
    <s v="AD01-9362"/>
    <x v="3"/>
    <s v="Oct"/>
    <x v="1"/>
    <x v="0"/>
    <s v="Order assembled"/>
    <x v="0"/>
    <x v="0"/>
    <x v="0"/>
    <x v="382"/>
    <n v="214.5"/>
  </r>
  <r>
    <s v="AD01-9362"/>
    <x v="3"/>
    <s v="Oct"/>
    <x v="1"/>
    <x v="0"/>
    <s v="Order assembled"/>
    <x v="0"/>
    <x v="0"/>
    <x v="0"/>
    <x v="372"/>
    <n v="253.11"/>
  </r>
  <r>
    <s v="AD01-9364"/>
    <x v="3"/>
    <s v="Oct"/>
    <x v="1"/>
    <x v="0"/>
    <s v="Order assembled"/>
    <x v="0"/>
    <x v="0"/>
    <x v="0"/>
    <x v="386"/>
    <n v="218.79"/>
  </r>
  <r>
    <s v="AD01-9361"/>
    <x v="3"/>
    <s v="Oct"/>
    <x v="1"/>
    <x v="0"/>
    <s v="Order assembled"/>
    <x v="0"/>
    <x v="0"/>
    <x v="0"/>
    <x v="229"/>
    <n v="1078.22"/>
  </r>
  <r>
    <s v="AD01-9361"/>
    <x v="3"/>
    <s v="Oct"/>
    <x v="1"/>
    <x v="0"/>
    <s v="Order assembled"/>
    <x v="0"/>
    <x v="0"/>
    <x v="0"/>
    <x v="543"/>
    <n v="1202.6300000000001"/>
  </r>
  <r>
    <s v="AD01-9365"/>
    <x v="3"/>
    <s v="Oct"/>
    <x v="1"/>
    <x v="0"/>
    <s v="Order assembled"/>
    <x v="0"/>
    <x v="0"/>
    <x v="0"/>
    <x v="403"/>
    <n v="255.97"/>
  </r>
  <r>
    <s v="AD01-9361"/>
    <x v="3"/>
    <s v="Sep"/>
    <x v="1"/>
    <x v="0"/>
    <s v="Order assembled"/>
    <x v="0"/>
    <x v="0"/>
    <x v="0"/>
    <x v="217"/>
    <n v="260.26"/>
  </r>
  <r>
    <s v="AD01-9362"/>
    <x v="3"/>
    <s v="Sep"/>
    <x v="1"/>
    <x v="0"/>
    <s v="Order assembled"/>
    <x v="0"/>
    <x v="0"/>
    <x v="0"/>
    <x v="319"/>
    <n v="225.94"/>
  </r>
  <r>
    <s v="AD01-9362"/>
    <x v="3"/>
    <s v="Sep"/>
    <x v="1"/>
    <x v="0"/>
    <s v="Order assembled"/>
    <x v="0"/>
    <x v="0"/>
    <x v="0"/>
    <x v="219"/>
    <n v="526.24"/>
  </r>
  <r>
    <s v="AD01-9364"/>
    <x v="3"/>
    <s v="Sep"/>
    <x v="1"/>
    <x v="0"/>
    <s v="Order assembled"/>
    <x v="0"/>
    <x v="0"/>
    <x v="0"/>
    <x v="598"/>
    <n v="1389.96"/>
  </r>
  <r>
    <s v="AD01-9361"/>
    <x v="3"/>
    <s v="Sep"/>
    <x v="1"/>
    <x v="0"/>
    <s v="Order assembled"/>
    <x v="0"/>
    <x v="0"/>
    <x v="0"/>
    <x v="381"/>
    <n v="223.07999999999998"/>
  </r>
  <r>
    <s v="AD01-9361"/>
    <x v="3"/>
    <s v="Sep"/>
    <x v="1"/>
    <x v="0"/>
    <s v="Order assembled"/>
    <x v="0"/>
    <x v="0"/>
    <x v="0"/>
    <x v="376"/>
    <n v="261.69"/>
  </r>
  <r>
    <s v="AD01-9364"/>
    <x v="3"/>
    <s v="Sep"/>
    <x v="1"/>
    <x v="0"/>
    <s v="Order assembled"/>
    <x v="0"/>
    <x v="0"/>
    <x v="0"/>
    <x v="385"/>
    <n v="227.37"/>
  </r>
  <r>
    <s v="AD01-9362"/>
    <x v="3"/>
    <s v="Sep"/>
    <x v="1"/>
    <x v="0"/>
    <s v="Order assembled"/>
    <x v="0"/>
    <x v="0"/>
    <x v="0"/>
    <x v="552"/>
    <n v="1201.2"/>
  </r>
  <r>
    <s v="AD01-9362"/>
    <x v="3"/>
    <s v="Sep"/>
    <x v="1"/>
    <x v="0"/>
    <s v="Order assembled"/>
    <x v="0"/>
    <x v="0"/>
    <x v="0"/>
    <x v="402"/>
    <n v="264.55"/>
  </r>
  <r>
    <s v="AD01-9361"/>
    <x v="3"/>
    <s v="Sep"/>
    <x v="1"/>
    <x v="0"/>
    <s v="Order assembled"/>
    <x v="0"/>
    <x v="0"/>
    <x v="0"/>
    <x v="389"/>
    <n v="221.65"/>
  </r>
  <r>
    <s v="AD01-9362"/>
    <x v="3"/>
    <s v="Apr"/>
    <x v="1"/>
    <x v="1"/>
    <s v="Cancelld"/>
    <x v="1"/>
    <x v="1"/>
    <x v="2"/>
    <x v="27"/>
    <n v="414.7"/>
  </r>
  <r>
    <s v="AD01-9364"/>
    <x v="3"/>
    <s v="Apr"/>
    <x v="1"/>
    <x v="1"/>
    <s v="Cancelld"/>
    <x v="1"/>
    <x v="1"/>
    <x v="2"/>
    <x v="30"/>
    <n v="371.8"/>
  </r>
  <r>
    <s v="AD01-9362"/>
    <x v="3"/>
    <s v="Apr"/>
    <x v="1"/>
    <x v="1"/>
    <s v="Cancelld"/>
    <x v="1"/>
    <x v="1"/>
    <x v="2"/>
    <x v="149"/>
    <n v="408.98"/>
  </r>
  <r>
    <s v="AD01-9362"/>
    <x v="3"/>
    <s v="Apr"/>
    <x v="1"/>
    <x v="1"/>
    <s v="Cancelld"/>
    <x v="1"/>
    <x v="1"/>
    <x v="2"/>
    <x v="33"/>
    <n v="374.65999999999997"/>
  </r>
  <r>
    <s v="AD01-9364"/>
    <x v="3"/>
    <s v="Apr"/>
    <x v="1"/>
    <x v="1"/>
    <s v="Cancelld"/>
    <x v="1"/>
    <x v="1"/>
    <x v="2"/>
    <x v="267"/>
    <n v="1131.1300000000001"/>
  </r>
  <r>
    <s v="AD01-9364"/>
    <x v="3"/>
    <s v="Apr"/>
    <x v="1"/>
    <x v="1"/>
    <s v="Cancelld"/>
    <x v="1"/>
    <x v="1"/>
    <x v="2"/>
    <x v="227"/>
    <n v="373.23"/>
  </r>
  <r>
    <s v="AD01-9362"/>
    <x v="3"/>
    <s v="Apr"/>
    <x v="1"/>
    <x v="1"/>
    <s v="Cancelld"/>
    <x v="1"/>
    <x v="1"/>
    <x v="2"/>
    <x v="160"/>
    <n v="413.27"/>
  </r>
  <r>
    <s v="AD01-9362"/>
    <x v="3"/>
    <s v="Apr"/>
    <x v="1"/>
    <x v="1"/>
    <s v="Cancelld"/>
    <x v="1"/>
    <x v="1"/>
    <x v="2"/>
    <x v="46"/>
    <n v="370.37"/>
  </r>
  <r>
    <s v="AD01-9364"/>
    <x v="3"/>
    <s v="Apr"/>
    <x v="1"/>
    <x v="1"/>
    <s v="Cancelld"/>
    <x v="1"/>
    <x v="1"/>
    <x v="2"/>
    <x v="98"/>
    <n v="1144"/>
  </r>
  <r>
    <s v="AD01-9362"/>
    <x v="3"/>
    <s v="Apr"/>
    <x v="1"/>
    <x v="1"/>
    <s v="Cancelld"/>
    <x v="1"/>
    <x v="1"/>
    <x v="2"/>
    <x v="122"/>
    <n v="1266.98"/>
  </r>
  <r>
    <s v="AD01-9362"/>
    <x v="3"/>
    <s v="Aug"/>
    <x v="1"/>
    <x v="1"/>
    <s v="Cancelld"/>
    <x v="1"/>
    <x v="1"/>
    <x v="2"/>
    <x v="106"/>
    <n v="380.38"/>
  </r>
  <r>
    <s v="AD01-9361"/>
    <x v="3"/>
    <s v="Aug"/>
    <x v="1"/>
    <x v="1"/>
    <s v="Cancelld"/>
    <x v="1"/>
    <x v="1"/>
    <x v="2"/>
    <x v="56"/>
    <n v="346.06"/>
  </r>
  <r>
    <s v="AD01-9361"/>
    <x v="3"/>
    <s v="Aug"/>
    <x v="1"/>
    <x v="1"/>
    <s v="Cancelld"/>
    <x v="1"/>
    <x v="1"/>
    <x v="2"/>
    <x v="107"/>
    <n v="383.24"/>
  </r>
  <r>
    <s v="AD01-9361"/>
    <x v="3"/>
    <s v="Aug"/>
    <x v="1"/>
    <x v="1"/>
    <s v="Cancelld"/>
    <x v="1"/>
    <x v="1"/>
    <x v="2"/>
    <x v="4"/>
    <n v="340.34000000000003"/>
  </r>
  <r>
    <s v="AD01-9361"/>
    <x v="3"/>
    <s v="Aug"/>
    <x v="1"/>
    <x v="1"/>
    <s v="Cancelld"/>
    <x v="1"/>
    <x v="1"/>
    <x v="2"/>
    <x v="187"/>
    <n v="1259.83"/>
  </r>
  <r>
    <s v="AD01-9361"/>
    <x v="3"/>
    <s v="Aug"/>
    <x v="1"/>
    <x v="1"/>
    <s v="Cancelld"/>
    <x v="1"/>
    <x v="1"/>
    <x v="2"/>
    <x v="474"/>
    <n v="526.24"/>
  </r>
  <r>
    <s v="AD01-9361"/>
    <x v="3"/>
    <s v="Aug"/>
    <x v="1"/>
    <x v="1"/>
    <s v="Cancelld"/>
    <x v="1"/>
    <x v="1"/>
    <x v="2"/>
    <x v="119"/>
    <n v="378.95"/>
  </r>
  <r>
    <s v="AD01-9361"/>
    <x v="3"/>
    <s v="Aug"/>
    <x v="1"/>
    <x v="1"/>
    <s v="Cancelld"/>
    <x v="1"/>
    <x v="1"/>
    <x v="2"/>
    <x v="69"/>
    <n v="344.63"/>
  </r>
  <r>
    <s v="AD01-9361"/>
    <x v="3"/>
    <s v="Aug"/>
    <x v="1"/>
    <x v="1"/>
    <s v="Cancelld"/>
    <x v="1"/>
    <x v="1"/>
    <x v="2"/>
    <x v="18"/>
    <n v="1148.29"/>
  </r>
  <r>
    <s v="AD01-9362"/>
    <x v="3"/>
    <s v="Aug"/>
    <x v="1"/>
    <x v="1"/>
    <s v="Cancelld"/>
    <x v="1"/>
    <x v="1"/>
    <x v="2"/>
    <x v="72"/>
    <n v="341.77"/>
  </r>
  <r>
    <s v="AD01-9362"/>
    <x v="3"/>
    <s v="Dec"/>
    <x v="1"/>
    <x v="1"/>
    <s v="Cancelld"/>
    <x v="1"/>
    <x v="1"/>
    <x v="2"/>
    <x v="74"/>
    <n v="354.64"/>
  </r>
  <r>
    <s v="AD01-9363"/>
    <x v="3"/>
    <s v="Dec"/>
    <x v="1"/>
    <x v="1"/>
    <s v="Cancelld"/>
    <x v="1"/>
    <x v="1"/>
    <x v="2"/>
    <x v="54"/>
    <n v="311.74"/>
  </r>
  <r>
    <s v="AD01-9362"/>
    <x v="3"/>
    <s v="Dec"/>
    <x v="1"/>
    <x v="1"/>
    <s v="Cancelld"/>
    <x v="1"/>
    <x v="1"/>
    <x v="2"/>
    <x v="75"/>
    <n v="348.92"/>
  </r>
  <r>
    <s v="AD01-9362"/>
    <x v="3"/>
    <s v="Dec"/>
    <x v="1"/>
    <x v="1"/>
    <s v="Cancelld"/>
    <x v="1"/>
    <x v="1"/>
    <x v="2"/>
    <x v="77"/>
    <n v="314.60000000000002"/>
  </r>
  <r>
    <s v="AD01-9364"/>
    <x v="3"/>
    <s v="Dec"/>
    <x v="1"/>
    <x v="1"/>
    <s v="Cancelld"/>
    <x v="1"/>
    <x v="1"/>
    <x v="2"/>
    <x v="530"/>
    <n v="1141.1399999999999"/>
  </r>
  <r>
    <s v="AD01-9362"/>
    <x v="3"/>
    <s v="Dec"/>
    <x v="1"/>
    <x v="1"/>
    <s v="Cancelld"/>
    <x v="1"/>
    <x v="1"/>
    <x v="2"/>
    <x v="121"/>
    <n v="1265.55"/>
  </r>
  <r>
    <s v="AD01-9362"/>
    <x v="3"/>
    <s v="Dec"/>
    <x v="1"/>
    <x v="1"/>
    <s v="Cancelld"/>
    <x v="1"/>
    <x v="1"/>
    <x v="2"/>
    <x v="482"/>
    <n v="526.24"/>
  </r>
  <r>
    <s v="AD01-9364"/>
    <x v="3"/>
    <s v="Dec"/>
    <x v="1"/>
    <x v="1"/>
    <s v="Cancelld"/>
    <x v="1"/>
    <x v="1"/>
    <x v="2"/>
    <x v="65"/>
    <n v="313.17"/>
  </r>
  <r>
    <s v="AD01-9362"/>
    <x v="3"/>
    <s v="Dec"/>
    <x v="1"/>
    <x v="1"/>
    <s v="Cancelld"/>
    <x v="1"/>
    <x v="1"/>
    <x v="2"/>
    <x v="84"/>
    <n v="353.21"/>
  </r>
  <r>
    <s v="AD01-9362"/>
    <x v="3"/>
    <s v="Dec"/>
    <x v="1"/>
    <x v="1"/>
    <s v="Cancelld"/>
    <x v="1"/>
    <x v="1"/>
    <x v="2"/>
    <x v="45"/>
    <n v="310.31"/>
  </r>
  <r>
    <s v="AD01-9363"/>
    <x v="3"/>
    <s v="Dec"/>
    <x v="1"/>
    <x v="1"/>
    <s v="Cancelld"/>
    <x v="1"/>
    <x v="1"/>
    <x v="2"/>
    <x v="230"/>
    <n v="1154.01"/>
  </r>
  <r>
    <s v="AD01-9362"/>
    <x v="3"/>
    <s v="Dec"/>
    <x v="1"/>
    <x v="1"/>
    <s v="Cancelld"/>
    <x v="1"/>
    <x v="1"/>
    <x v="2"/>
    <x v="70"/>
    <n v="316.02999999999997"/>
  </r>
  <r>
    <s v="AD01-9362"/>
    <x v="3"/>
    <s v="Feb"/>
    <x v="1"/>
    <x v="1"/>
    <s v="Cancelld"/>
    <x v="1"/>
    <x v="1"/>
    <x v="2"/>
    <x v="128"/>
    <n v="388.96"/>
  </r>
  <r>
    <s v="AD01-9362"/>
    <x v="3"/>
    <s v="Feb"/>
    <x v="1"/>
    <x v="1"/>
    <s v="Cancelld"/>
    <x v="1"/>
    <x v="1"/>
    <x v="2"/>
    <x v="92"/>
    <n v="426.14"/>
  </r>
  <r>
    <s v="AD01-9361"/>
    <x v="3"/>
    <s v="Feb"/>
    <x v="1"/>
    <x v="1"/>
    <s v="Cancelld"/>
    <x v="1"/>
    <x v="1"/>
    <x v="2"/>
    <x v="93"/>
    <n v="323.18"/>
  </r>
  <r>
    <s v="AD01-9362"/>
    <x v="3"/>
    <s v="Feb"/>
    <x v="1"/>
    <x v="1"/>
    <s v="Cancelld"/>
    <x v="1"/>
    <x v="1"/>
    <x v="2"/>
    <x v="130"/>
    <n v="391.82"/>
  </r>
  <r>
    <s v="AD01-9362"/>
    <x v="3"/>
    <s v="Feb"/>
    <x v="1"/>
    <x v="1"/>
    <s v="Cancelld"/>
    <x v="1"/>
    <x v="1"/>
    <x v="2"/>
    <x v="265"/>
    <n v="1128.27"/>
  </r>
  <r>
    <s v="AD01-9364"/>
    <x v="3"/>
    <s v="Feb"/>
    <x v="1"/>
    <x v="1"/>
    <s v="Cancelld"/>
    <x v="1"/>
    <x v="1"/>
    <x v="2"/>
    <x v="22"/>
    <n v="1252.68"/>
  </r>
  <r>
    <s v="AD01-9361"/>
    <x v="3"/>
    <s v="Feb"/>
    <x v="1"/>
    <x v="1"/>
    <s v="Cancelld"/>
    <x v="1"/>
    <x v="1"/>
    <x v="2"/>
    <x v="599"/>
    <n v="1369.94"/>
  </r>
  <r>
    <s v="AD01-9364"/>
    <x v="3"/>
    <s v="Feb"/>
    <x v="1"/>
    <x v="1"/>
    <s v="Cancelld"/>
    <x v="1"/>
    <x v="1"/>
    <x v="2"/>
    <x v="472"/>
    <n v="526.24"/>
  </r>
  <r>
    <s v="AD01-9362"/>
    <x v="3"/>
    <s v="Feb"/>
    <x v="1"/>
    <x v="1"/>
    <s v="Cancelld"/>
    <x v="1"/>
    <x v="1"/>
    <x v="2"/>
    <x v="225"/>
    <n v="390.39"/>
  </r>
  <r>
    <s v="AD01-9361"/>
    <x v="3"/>
    <s v="Feb"/>
    <x v="1"/>
    <x v="1"/>
    <s v="Cancelld"/>
    <x v="1"/>
    <x v="1"/>
    <x v="2"/>
    <x v="226"/>
    <n v="381.81"/>
  </r>
  <r>
    <s v="AD01-9362"/>
    <x v="3"/>
    <s v="Feb"/>
    <x v="1"/>
    <x v="1"/>
    <s v="Cancelld"/>
    <x v="1"/>
    <x v="1"/>
    <x v="2"/>
    <x v="312"/>
    <n v="430.43"/>
  </r>
  <r>
    <s v="AD01-9362"/>
    <x v="3"/>
    <s v="Feb"/>
    <x v="1"/>
    <x v="1"/>
    <s v="Cancelld"/>
    <x v="1"/>
    <x v="1"/>
    <x v="2"/>
    <x v="140"/>
    <n v="387.53"/>
  </r>
  <r>
    <s v="AD01-9362"/>
    <x v="3"/>
    <s v="Feb"/>
    <x v="1"/>
    <x v="1"/>
    <s v="Cancelld"/>
    <x v="1"/>
    <x v="1"/>
    <x v="2"/>
    <x v="530"/>
    <n v="1141.1399999999999"/>
  </r>
  <r>
    <s v="AD01-9361"/>
    <x v="3"/>
    <s v="Feb"/>
    <x v="1"/>
    <x v="1"/>
    <s v="Cancelld"/>
    <x v="1"/>
    <x v="1"/>
    <x v="2"/>
    <x v="359"/>
    <n v="1216.93"/>
  </r>
  <r>
    <s v="AD01-9361"/>
    <x v="3"/>
    <s v="Jan"/>
    <x v="1"/>
    <x v="1"/>
    <s v="Cancelld"/>
    <x v="1"/>
    <x v="1"/>
    <x v="2"/>
    <x v="105"/>
    <n v="431.86"/>
  </r>
  <r>
    <s v="AD01-9362"/>
    <x v="3"/>
    <s v="Jan"/>
    <x v="1"/>
    <x v="1"/>
    <s v="Cancelld"/>
    <x v="1"/>
    <x v="1"/>
    <x v="2"/>
    <x v="167"/>
    <n v="328.9"/>
  </r>
  <r>
    <s v="AD01-9364"/>
    <x v="3"/>
    <s v="Jan"/>
    <x v="1"/>
    <x v="1"/>
    <s v="Cancelld"/>
    <x v="1"/>
    <x v="1"/>
    <x v="2"/>
    <x v="28"/>
    <n v="397.53999999999996"/>
  </r>
  <r>
    <s v="AD01-9361"/>
    <x v="3"/>
    <s v="Jan"/>
    <x v="1"/>
    <x v="1"/>
    <s v="Cancelld"/>
    <x v="1"/>
    <x v="1"/>
    <x v="2"/>
    <x v="236"/>
    <n v="434.72"/>
  </r>
  <r>
    <s v="AD01-9361"/>
    <x v="3"/>
    <s v="Jan"/>
    <x v="1"/>
    <x v="1"/>
    <s v="Cancelld"/>
    <x v="1"/>
    <x v="1"/>
    <x v="2"/>
    <x v="169"/>
    <n v="331.76"/>
  </r>
  <r>
    <s v="AD01-9362"/>
    <x v="3"/>
    <s v="Jan"/>
    <x v="1"/>
    <x v="1"/>
    <s v="Cancelld"/>
    <x v="1"/>
    <x v="1"/>
    <x v="2"/>
    <x v="279"/>
    <n v="1126.8399999999999"/>
  </r>
  <r>
    <s v="AD01-9362"/>
    <x v="3"/>
    <s v="Jan"/>
    <x v="1"/>
    <x v="1"/>
    <s v="Cancelld"/>
    <x v="1"/>
    <x v="1"/>
    <x v="2"/>
    <x v="539"/>
    <n v="1204.06"/>
  </r>
  <r>
    <s v="AD01-9361"/>
    <x v="3"/>
    <s v="Jan"/>
    <x v="1"/>
    <x v="1"/>
    <s v="Cancelld"/>
    <x v="1"/>
    <x v="1"/>
    <x v="2"/>
    <x v="162"/>
    <n v="1251.25"/>
  </r>
  <r>
    <s v="AD01-9363"/>
    <x v="3"/>
    <s v="Jan"/>
    <x v="1"/>
    <x v="1"/>
    <s v="Cancelld"/>
    <x v="1"/>
    <x v="1"/>
    <x v="2"/>
    <x v="600"/>
    <n v="1365.65"/>
  </r>
  <r>
    <s v="AD01-9362"/>
    <x v="3"/>
    <s v="Jan"/>
    <x v="1"/>
    <x v="1"/>
    <s v="Cancelld"/>
    <x v="1"/>
    <x v="1"/>
    <x v="2"/>
    <x v="601"/>
    <n v="1367.08"/>
  </r>
  <r>
    <s v="AD01-9362"/>
    <x v="3"/>
    <s v="Jan"/>
    <x v="1"/>
    <x v="1"/>
    <s v="Cancelld"/>
    <x v="1"/>
    <x v="1"/>
    <x v="2"/>
    <x v="602"/>
    <n v="1368.51"/>
  </r>
  <r>
    <s v="AD01-9361"/>
    <x v="3"/>
    <s v="Jan"/>
    <x v="1"/>
    <x v="1"/>
    <s v="Cancelld"/>
    <x v="1"/>
    <x v="1"/>
    <x v="2"/>
    <x v="336"/>
    <n v="526.24"/>
  </r>
  <r>
    <s v="AD01-9362"/>
    <x v="3"/>
    <s v="Jan"/>
    <x v="1"/>
    <x v="1"/>
    <s v="Cancelld"/>
    <x v="1"/>
    <x v="1"/>
    <x v="2"/>
    <x v="187"/>
    <n v="526.24"/>
  </r>
  <r>
    <s v="AD01-9362"/>
    <x v="3"/>
    <s v="Jan"/>
    <x v="1"/>
    <x v="1"/>
    <s v="Cancelld"/>
    <x v="1"/>
    <x v="1"/>
    <x v="2"/>
    <x v="41"/>
    <n v="398.97"/>
  </r>
  <r>
    <s v="AD01-9361"/>
    <x v="3"/>
    <s v="Jan"/>
    <x v="1"/>
    <x v="1"/>
    <s v="Cancelld"/>
    <x v="1"/>
    <x v="1"/>
    <x v="2"/>
    <x v="40"/>
    <n v="407.55"/>
  </r>
  <r>
    <s v="AD01-9362"/>
    <x v="3"/>
    <s v="Jan"/>
    <x v="1"/>
    <x v="1"/>
    <s v="Cancelld"/>
    <x v="1"/>
    <x v="1"/>
    <x v="2"/>
    <x v="41"/>
    <n v="398.97"/>
  </r>
  <r>
    <s v="AD01-9362"/>
    <x v="3"/>
    <s v="Jan"/>
    <x v="1"/>
    <x v="1"/>
    <s v="Cancelld"/>
    <x v="1"/>
    <x v="1"/>
    <x v="2"/>
    <x v="225"/>
    <n v="390.39"/>
  </r>
  <r>
    <s v="AD01-9362"/>
    <x v="3"/>
    <s v="Jan"/>
    <x v="1"/>
    <x v="1"/>
    <s v="Cancelld"/>
    <x v="1"/>
    <x v="1"/>
    <x v="2"/>
    <x v="182"/>
    <n v="327.47000000000003"/>
  </r>
  <r>
    <s v="AD01-9361"/>
    <x v="3"/>
    <s v="Jan"/>
    <x v="1"/>
    <x v="1"/>
    <s v="Cancelld"/>
    <x v="1"/>
    <x v="1"/>
    <x v="2"/>
    <x v="183"/>
    <n v="396.11"/>
  </r>
  <r>
    <s v="AD01-9364"/>
    <x v="3"/>
    <s v="Jan"/>
    <x v="1"/>
    <x v="1"/>
    <s v="Cancelld"/>
    <x v="1"/>
    <x v="1"/>
    <x v="2"/>
    <x v="532"/>
    <n v="1139.71"/>
  </r>
  <r>
    <s v="AD01-9363"/>
    <x v="3"/>
    <s v="Jan"/>
    <x v="1"/>
    <x v="1"/>
    <s v="Cancelld"/>
    <x v="1"/>
    <x v="1"/>
    <x v="2"/>
    <x v="339"/>
    <n v="1215.5"/>
  </r>
  <r>
    <s v="AD01-9361"/>
    <x v="3"/>
    <s v="Jan"/>
    <x v="1"/>
    <x v="1"/>
    <s v="Cancelld"/>
    <x v="1"/>
    <x v="1"/>
    <x v="2"/>
    <x v="120"/>
    <n v="1264.1199999999999"/>
  </r>
  <r>
    <s v="AD01-9364"/>
    <x v="3"/>
    <s v="Jul"/>
    <x v="1"/>
    <x v="1"/>
    <s v="Cancelld"/>
    <x v="1"/>
    <x v="1"/>
    <x v="2"/>
    <x v="128"/>
    <n v="388.96"/>
  </r>
  <r>
    <s v="AD01-9364"/>
    <x v="3"/>
    <s v="Jul"/>
    <x v="1"/>
    <x v="1"/>
    <s v="Cancelld"/>
    <x v="1"/>
    <x v="1"/>
    <x v="2"/>
    <x v="130"/>
    <n v="391.82"/>
  </r>
  <r>
    <s v="AD01-9364"/>
    <x v="3"/>
    <s v="Jul"/>
    <x v="1"/>
    <x v="1"/>
    <s v="Cancelld"/>
    <x v="1"/>
    <x v="1"/>
    <x v="2"/>
    <x v="75"/>
    <n v="348.92"/>
  </r>
  <r>
    <s v="AD01-9362"/>
    <x v="3"/>
    <s v="Jul"/>
    <x v="1"/>
    <x v="1"/>
    <s v="Cancelld"/>
    <x v="1"/>
    <x v="1"/>
    <x v="2"/>
    <x v="523"/>
    <n v="1135.42"/>
  </r>
  <r>
    <s v="AD01-9362"/>
    <x v="3"/>
    <s v="Jul"/>
    <x v="1"/>
    <x v="1"/>
    <s v="Cancelld"/>
    <x v="1"/>
    <x v="1"/>
    <x v="2"/>
    <x v="186"/>
    <n v="1258.4000000000001"/>
  </r>
  <r>
    <s v="AD01-9362"/>
    <x v="3"/>
    <s v="Jul"/>
    <x v="1"/>
    <x v="1"/>
    <s v="Cancelld"/>
    <x v="1"/>
    <x v="1"/>
    <x v="2"/>
    <x v="478"/>
    <n v="526.24"/>
  </r>
  <r>
    <s v="AD01-9362"/>
    <x v="3"/>
    <s v="Jul"/>
    <x v="1"/>
    <x v="1"/>
    <s v="Cancelld"/>
    <x v="1"/>
    <x v="1"/>
    <x v="2"/>
    <x v="158"/>
    <n v="347.49"/>
  </r>
  <r>
    <s v="AD01-9364"/>
    <x v="3"/>
    <s v="Jul"/>
    <x v="1"/>
    <x v="1"/>
    <s v="Cancelld"/>
    <x v="1"/>
    <x v="1"/>
    <x v="2"/>
    <x v="140"/>
    <n v="387.53"/>
  </r>
  <r>
    <s v="AD01-9364"/>
    <x v="3"/>
    <s v="Jul"/>
    <x v="1"/>
    <x v="1"/>
    <s v="Cancelld"/>
    <x v="1"/>
    <x v="1"/>
    <x v="2"/>
    <x v="84"/>
    <n v="353.21"/>
  </r>
  <r>
    <s v="AD01-9364"/>
    <x v="3"/>
    <s v="Jul"/>
    <x v="1"/>
    <x v="1"/>
    <s v="Cancelld"/>
    <x v="1"/>
    <x v="1"/>
    <x v="2"/>
    <x v="86"/>
    <n v="350.35"/>
  </r>
  <r>
    <s v="AD01-9365"/>
    <x v="3"/>
    <s v="Jun"/>
    <x v="1"/>
    <x v="1"/>
    <s v="Cancelld"/>
    <x v="1"/>
    <x v="1"/>
    <x v="2"/>
    <x v="28"/>
    <n v="397.53999999999996"/>
  </r>
  <r>
    <s v="AD01-9361"/>
    <x v="3"/>
    <s v="Jun"/>
    <x v="1"/>
    <x v="1"/>
    <s v="Cancelld"/>
    <x v="1"/>
    <x v="1"/>
    <x v="2"/>
    <x v="74"/>
    <n v="354.64"/>
  </r>
  <r>
    <s v="AD01-9364"/>
    <x v="3"/>
    <s v="Jun"/>
    <x v="1"/>
    <x v="1"/>
    <s v="Cancelld"/>
    <x v="1"/>
    <x v="1"/>
    <x v="2"/>
    <x v="5"/>
    <n v="400.4"/>
  </r>
  <r>
    <s v="AD01-9361"/>
    <x v="3"/>
    <s v="Jun"/>
    <x v="1"/>
    <x v="1"/>
    <s v="Cancelld"/>
    <x v="1"/>
    <x v="1"/>
    <x v="2"/>
    <x v="91"/>
    <n v="357.5"/>
  </r>
  <r>
    <s v="AD01-9362"/>
    <x v="3"/>
    <s v="Jun"/>
    <x v="1"/>
    <x v="1"/>
    <s v="Cancelld"/>
    <x v="1"/>
    <x v="1"/>
    <x v="2"/>
    <x v="525"/>
    <n v="1133.99"/>
  </r>
  <r>
    <s v="AD01-9361"/>
    <x v="3"/>
    <s v="Jun"/>
    <x v="1"/>
    <x v="1"/>
    <s v="Cancelld"/>
    <x v="1"/>
    <x v="1"/>
    <x v="2"/>
    <x v="185"/>
    <n v="1256.97"/>
  </r>
  <r>
    <s v="AD01-9361"/>
    <x v="3"/>
    <s v="Jun"/>
    <x v="1"/>
    <x v="1"/>
    <s v="Cancelld"/>
    <x v="1"/>
    <x v="1"/>
    <x v="2"/>
    <x v="463"/>
    <n v="526.24"/>
  </r>
  <r>
    <s v="AD01-9362"/>
    <x v="3"/>
    <s v="Jun"/>
    <x v="1"/>
    <x v="1"/>
    <s v="Cancelld"/>
    <x v="1"/>
    <x v="1"/>
    <x v="2"/>
    <x v="81"/>
    <n v="356.07"/>
  </r>
  <r>
    <s v="AD01-9361"/>
    <x v="3"/>
    <s v="Jun"/>
    <x v="1"/>
    <x v="1"/>
    <s v="Cancelld"/>
    <x v="1"/>
    <x v="1"/>
    <x v="2"/>
    <x v="183"/>
    <n v="396.11"/>
  </r>
  <r>
    <s v="AD01-9364"/>
    <x v="3"/>
    <s v="Jun"/>
    <x v="1"/>
    <x v="1"/>
    <s v="Cancelld"/>
    <x v="1"/>
    <x v="1"/>
    <x v="2"/>
    <x v="99"/>
    <n v="361.78999999999996"/>
  </r>
  <r>
    <s v="AD01-9361"/>
    <x v="3"/>
    <s v="Jun"/>
    <x v="1"/>
    <x v="1"/>
    <s v="Cancelld"/>
    <x v="1"/>
    <x v="1"/>
    <x v="2"/>
    <x v="159"/>
    <n v="1146.8600000000001"/>
  </r>
  <r>
    <s v="AD01-9365"/>
    <x v="3"/>
    <s v="Jun"/>
    <x v="1"/>
    <x v="1"/>
    <s v="Cancelld"/>
    <x v="1"/>
    <x v="1"/>
    <x v="2"/>
    <x v="102"/>
    <n v="358.93"/>
  </r>
  <r>
    <s v="AD01-9364"/>
    <x v="3"/>
    <s v="Mar"/>
    <x v="1"/>
    <x v="1"/>
    <s v="Cancelld"/>
    <x v="1"/>
    <x v="1"/>
    <x v="2"/>
    <x v="89"/>
    <n v="423.28"/>
  </r>
  <r>
    <s v="AD01-9364"/>
    <x v="3"/>
    <s v="Mar"/>
    <x v="1"/>
    <x v="1"/>
    <s v="Cancelld"/>
    <x v="1"/>
    <x v="1"/>
    <x v="2"/>
    <x v="106"/>
    <n v="380.38"/>
  </r>
  <r>
    <s v="AD01-9362"/>
    <x v="3"/>
    <s v="Mar"/>
    <x v="1"/>
    <x v="1"/>
    <s v="Cancelld"/>
    <x v="1"/>
    <x v="1"/>
    <x v="2"/>
    <x v="76"/>
    <n v="417.56"/>
  </r>
  <r>
    <s v="AD01-9364"/>
    <x v="3"/>
    <s v="Mar"/>
    <x v="1"/>
    <x v="1"/>
    <s v="Cancelld"/>
    <x v="1"/>
    <x v="1"/>
    <x v="2"/>
    <x v="107"/>
    <n v="383.24"/>
  </r>
  <r>
    <s v="AD01-9364"/>
    <x v="3"/>
    <s v="Mar"/>
    <x v="1"/>
    <x v="1"/>
    <s v="Cancelld"/>
    <x v="1"/>
    <x v="1"/>
    <x v="2"/>
    <x v="266"/>
    <n v="1129.7"/>
  </r>
  <r>
    <s v="AD01-9362"/>
    <x v="3"/>
    <s v="Mar"/>
    <x v="1"/>
    <x v="1"/>
    <s v="Cancelld"/>
    <x v="1"/>
    <x v="1"/>
    <x v="2"/>
    <x v="23"/>
    <n v="1254.1100000000001"/>
  </r>
  <r>
    <s v="AD01-9362"/>
    <x v="3"/>
    <s v="Mar"/>
    <x v="1"/>
    <x v="1"/>
    <s v="Cancelld"/>
    <x v="1"/>
    <x v="1"/>
    <x v="2"/>
    <x v="466"/>
    <n v="526.24"/>
  </r>
  <r>
    <s v="AD01-9364"/>
    <x v="3"/>
    <s v="Mar"/>
    <x v="1"/>
    <x v="1"/>
    <s v="Cancelld"/>
    <x v="1"/>
    <x v="1"/>
    <x v="2"/>
    <x v="226"/>
    <n v="381.81"/>
  </r>
  <r>
    <s v="AD01-9364"/>
    <x v="3"/>
    <s v="Mar"/>
    <x v="1"/>
    <x v="1"/>
    <s v="Cancelld"/>
    <x v="1"/>
    <x v="1"/>
    <x v="2"/>
    <x v="85"/>
    <n v="421.85"/>
  </r>
  <r>
    <s v="AD01-9362"/>
    <x v="3"/>
    <s v="Mar"/>
    <x v="1"/>
    <x v="1"/>
    <s v="Cancelld"/>
    <x v="1"/>
    <x v="1"/>
    <x v="2"/>
    <x v="119"/>
    <n v="378.95"/>
  </r>
  <r>
    <s v="AD01-9364"/>
    <x v="3"/>
    <s v="Mar"/>
    <x v="1"/>
    <x v="1"/>
    <s v="Cancelld"/>
    <x v="1"/>
    <x v="1"/>
    <x v="2"/>
    <x v="518"/>
    <n v="1142.57"/>
  </r>
  <r>
    <s v="AD01-9364"/>
    <x v="3"/>
    <s v="Mar"/>
    <x v="1"/>
    <x v="1"/>
    <s v="Cancelld"/>
    <x v="1"/>
    <x v="1"/>
    <x v="2"/>
    <x v="121"/>
    <n v="1265.55"/>
  </r>
  <r>
    <s v="AD01-9362"/>
    <x v="3"/>
    <s v="May"/>
    <x v="1"/>
    <x v="1"/>
    <s v="Cancelld"/>
    <x v="1"/>
    <x v="1"/>
    <x v="2"/>
    <x v="3"/>
    <n v="406.12"/>
  </r>
  <r>
    <s v="AD01-9364"/>
    <x v="3"/>
    <s v="May"/>
    <x v="1"/>
    <x v="1"/>
    <s v="Cancelld"/>
    <x v="1"/>
    <x v="1"/>
    <x v="2"/>
    <x v="88"/>
    <n v="363.22"/>
  </r>
  <r>
    <s v="AD01-9362"/>
    <x v="3"/>
    <s v="May"/>
    <x v="1"/>
    <x v="1"/>
    <s v="Cancelld"/>
    <x v="1"/>
    <x v="1"/>
    <x v="2"/>
    <x v="218"/>
    <n v="366.08"/>
  </r>
  <r>
    <s v="AD01-9362"/>
    <x v="3"/>
    <s v="May"/>
    <x v="1"/>
    <x v="1"/>
    <s v="Cancelld"/>
    <x v="1"/>
    <x v="1"/>
    <x v="2"/>
    <x v="513"/>
    <n v="1132.56"/>
  </r>
  <r>
    <s v="AD01-9362"/>
    <x v="3"/>
    <s v="May"/>
    <x v="1"/>
    <x v="1"/>
    <s v="Cancelld"/>
    <x v="1"/>
    <x v="1"/>
    <x v="2"/>
    <x v="24"/>
    <n v="1255.54"/>
  </r>
  <r>
    <s v="AD01-9362"/>
    <x v="3"/>
    <s v="May"/>
    <x v="1"/>
    <x v="1"/>
    <s v="Cancelld"/>
    <x v="1"/>
    <x v="1"/>
    <x v="2"/>
    <x v="476"/>
    <n v="526.24"/>
  </r>
  <r>
    <s v="AD01-9362"/>
    <x v="3"/>
    <s v="May"/>
    <x v="1"/>
    <x v="1"/>
    <s v="Cancelld"/>
    <x v="1"/>
    <x v="1"/>
    <x v="2"/>
    <x v="210"/>
    <n v="364.65"/>
  </r>
  <r>
    <s v="AD01-9362"/>
    <x v="3"/>
    <s v="May"/>
    <x v="1"/>
    <x v="1"/>
    <s v="Cancelld"/>
    <x v="1"/>
    <x v="1"/>
    <x v="2"/>
    <x v="20"/>
    <n v="404.69"/>
  </r>
  <r>
    <s v="AD01-9364"/>
    <x v="3"/>
    <s v="May"/>
    <x v="1"/>
    <x v="1"/>
    <s v="Cancelld"/>
    <x v="1"/>
    <x v="1"/>
    <x v="2"/>
    <x v="83"/>
    <n v="1145.43"/>
  </r>
  <r>
    <s v="AD01-9362"/>
    <x v="3"/>
    <s v="May"/>
    <x v="1"/>
    <x v="1"/>
    <s v="Cancelld"/>
    <x v="1"/>
    <x v="1"/>
    <x v="2"/>
    <x v="214"/>
    <n v="367.51"/>
  </r>
  <r>
    <s v="AD01-9361"/>
    <x v="3"/>
    <s v="Nov"/>
    <x v="1"/>
    <x v="1"/>
    <s v="Cancelld"/>
    <x v="1"/>
    <x v="1"/>
    <x v="2"/>
    <x v="53"/>
    <n v="320.32"/>
  </r>
  <r>
    <s v="AD01-9361"/>
    <x v="3"/>
    <s v="Nov"/>
    <x v="1"/>
    <x v="1"/>
    <s v="Cancelld"/>
    <x v="1"/>
    <x v="1"/>
    <x v="2"/>
    <x v="91"/>
    <n v="357.5"/>
  </r>
  <r>
    <s v="AD01-9361"/>
    <x v="3"/>
    <s v="Nov"/>
    <x v="1"/>
    <x v="1"/>
    <s v="Cancelld"/>
    <x v="1"/>
    <x v="1"/>
    <x v="2"/>
    <x v="93"/>
    <n v="323.18"/>
  </r>
  <r>
    <s v="AD01-9361"/>
    <x v="3"/>
    <s v="Nov"/>
    <x v="1"/>
    <x v="1"/>
    <s v="Cancelld"/>
    <x v="1"/>
    <x v="1"/>
    <x v="2"/>
    <x v="532"/>
    <n v="1139.71"/>
  </r>
  <r>
    <s v="AD01-9361"/>
    <x v="3"/>
    <s v="Nov"/>
    <x v="1"/>
    <x v="1"/>
    <s v="Cancelld"/>
    <x v="1"/>
    <x v="1"/>
    <x v="2"/>
    <x v="120"/>
    <n v="1264.1199999999999"/>
  </r>
  <r>
    <s v="AD01-9361"/>
    <x v="3"/>
    <s v="Nov"/>
    <x v="1"/>
    <x v="1"/>
    <s v="Cancelld"/>
    <x v="1"/>
    <x v="1"/>
    <x v="2"/>
    <x v="486"/>
    <n v="526.24"/>
  </r>
  <r>
    <s v="AD01-9361"/>
    <x v="3"/>
    <s v="Nov"/>
    <x v="1"/>
    <x v="1"/>
    <s v="Cancelld"/>
    <x v="1"/>
    <x v="1"/>
    <x v="2"/>
    <x v="64"/>
    <n v="321.75"/>
  </r>
  <r>
    <s v="AD01-9361"/>
    <x v="3"/>
    <s v="Nov"/>
    <x v="1"/>
    <x v="1"/>
    <s v="Cancelld"/>
    <x v="1"/>
    <x v="1"/>
    <x v="2"/>
    <x v="99"/>
    <n v="361.78999999999996"/>
  </r>
  <r>
    <s v="AD01-9361"/>
    <x v="3"/>
    <s v="Nov"/>
    <x v="1"/>
    <x v="1"/>
    <s v="Cancelld"/>
    <x v="1"/>
    <x v="1"/>
    <x v="2"/>
    <x v="100"/>
    <n v="318.89"/>
  </r>
  <r>
    <s v="AD01-9361"/>
    <x v="3"/>
    <s v="Nov"/>
    <x v="1"/>
    <x v="1"/>
    <s v="Cancelld"/>
    <x v="1"/>
    <x v="1"/>
    <x v="2"/>
    <x v="44"/>
    <n v="1152.58"/>
  </r>
  <r>
    <s v="AD01-9362"/>
    <x v="3"/>
    <s v="Oct"/>
    <x v="1"/>
    <x v="1"/>
    <s v="Cancelld"/>
    <x v="1"/>
    <x v="1"/>
    <x v="2"/>
    <x v="88"/>
    <n v="363.22"/>
  </r>
  <r>
    <s v="AD01-9362"/>
    <x v="3"/>
    <s v="Oct"/>
    <x v="1"/>
    <x v="1"/>
    <s v="Cancelld"/>
    <x v="1"/>
    <x v="1"/>
    <x v="2"/>
    <x v="167"/>
    <n v="328.9"/>
  </r>
  <r>
    <s v="AD01-9362"/>
    <x v="3"/>
    <s v="Oct"/>
    <x v="1"/>
    <x v="1"/>
    <s v="Cancelld"/>
    <x v="1"/>
    <x v="1"/>
    <x v="2"/>
    <x v="218"/>
    <n v="366.08"/>
  </r>
  <r>
    <s v="AD01-9362"/>
    <x v="3"/>
    <s v="Oct"/>
    <x v="1"/>
    <x v="1"/>
    <s v="Cancelld"/>
    <x v="1"/>
    <x v="1"/>
    <x v="2"/>
    <x v="535"/>
    <n v="1138.28"/>
  </r>
  <r>
    <s v="AD01-9361"/>
    <x v="3"/>
    <s v="Oct"/>
    <x v="1"/>
    <x v="1"/>
    <s v="Cancelld"/>
    <x v="1"/>
    <x v="1"/>
    <x v="2"/>
    <x v="143"/>
    <n v="1262.69"/>
  </r>
  <r>
    <s v="AD01-9361"/>
    <x v="3"/>
    <s v="Oct"/>
    <x v="1"/>
    <x v="1"/>
    <s v="Cancelld"/>
    <x v="1"/>
    <x v="1"/>
    <x v="2"/>
    <x v="488"/>
    <n v="526.24"/>
  </r>
  <r>
    <s v="AD01-9362"/>
    <x v="3"/>
    <s v="Oct"/>
    <x v="1"/>
    <x v="1"/>
    <s v="Cancelld"/>
    <x v="1"/>
    <x v="1"/>
    <x v="2"/>
    <x v="179"/>
    <n v="330.33"/>
  </r>
  <r>
    <s v="AD01-9362"/>
    <x v="3"/>
    <s v="Oct"/>
    <x v="1"/>
    <x v="1"/>
    <s v="Cancelld"/>
    <x v="1"/>
    <x v="1"/>
    <x v="2"/>
    <x v="182"/>
    <n v="327.47000000000003"/>
  </r>
  <r>
    <s v="AD01-9362"/>
    <x v="3"/>
    <s v="Oct"/>
    <x v="1"/>
    <x v="1"/>
    <s v="Cancelld"/>
    <x v="1"/>
    <x v="1"/>
    <x v="2"/>
    <x v="118"/>
    <n v="1151.1500000000001"/>
  </r>
  <r>
    <s v="AD01-9362"/>
    <x v="3"/>
    <s v="Oct"/>
    <x v="1"/>
    <x v="1"/>
    <s v="Cancelld"/>
    <x v="1"/>
    <x v="1"/>
    <x v="2"/>
    <x v="144"/>
    <n v="324.61"/>
  </r>
  <r>
    <s v="AD01-9364"/>
    <x v="3"/>
    <s v="Sep"/>
    <x v="1"/>
    <x v="1"/>
    <s v="Cancelld"/>
    <x v="1"/>
    <x v="1"/>
    <x v="2"/>
    <x v="30"/>
    <n v="371.8"/>
  </r>
  <r>
    <s v="AD01-9361"/>
    <x v="3"/>
    <s v="Sep"/>
    <x v="1"/>
    <x v="1"/>
    <s v="Cancelld"/>
    <x v="1"/>
    <x v="1"/>
    <x v="2"/>
    <x v="2"/>
    <n v="337.48"/>
  </r>
  <r>
    <s v="AD01-9362"/>
    <x v="3"/>
    <s v="Sep"/>
    <x v="1"/>
    <x v="1"/>
    <s v="Cancelld"/>
    <x v="1"/>
    <x v="1"/>
    <x v="2"/>
    <x v="33"/>
    <n v="374.65999999999997"/>
  </r>
  <r>
    <s v="AD01-9365"/>
    <x v="3"/>
    <s v="Sep"/>
    <x v="1"/>
    <x v="1"/>
    <s v="Cancelld"/>
    <x v="1"/>
    <x v="1"/>
    <x v="2"/>
    <x v="169"/>
    <n v="331.76"/>
  </r>
  <r>
    <s v="AD01-9361"/>
    <x v="3"/>
    <s v="Sep"/>
    <x v="1"/>
    <x v="1"/>
    <s v="Cancelld"/>
    <x v="1"/>
    <x v="1"/>
    <x v="2"/>
    <x v="515"/>
    <n v="1136.8499999999999"/>
  </r>
  <r>
    <s v="AD01-9362"/>
    <x v="3"/>
    <s v="Sep"/>
    <x v="1"/>
    <x v="1"/>
    <s v="Cancelld"/>
    <x v="1"/>
    <x v="1"/>
    <x v="2"/>
    <x v="142"/>
    <n v="1261.26"/>
  </r>
  <r>
    <s v="AD01-9362"/>
    <x v="3"/>
    <s v="Sep"/>
    <x v="1"/>
    <x v="1"/>
    <s v="Cancelld"/>
    <x v="1"/>
    <x v="1"/>
    <x v="2"/>
    <x v="465"/>
    <n v="526.24"/>
  </r>
  <r>
    <s v="AD01-9361"/>
    <x v="3"/>
    <s v="Sep"/>
    <x v="1"/>
    <x v="1"/>
    <s v="Cancelld"/>
    <x v="1"/>
    <x v="1"/>
    <x v="2"/>
    <x v="16"/>
    <n v="338.90999999999997"/>
  </r>
  <r>
    <s v="AD01-9365"/>
    <x v="3"/>
    <s v="Sep"/>
    <x v="1"/>
    <x v="1"/>
    <s v="Cancelld"/>
    <x v="1"/>
    <x v="1"/>
    <x v="2"/>
    <x v="46"/>
    <n v="370.37"/>
  </r>
  <r>
    <s v="AD01-9362"/>
    <x v="3"/>
    <s v="Sep"/>
    <x v="1"/>
    <x v="1"/>
    <s v="Cancelld"/>
    <x v="1"/>
    <x v="1"/>
    <x v="2"/>
    <x v="19"/>
    <n v="336.05"/>
  </r>
  <r>
    <s v="AD01-9361"/>
    <x v="3"/>
    <s v="Sep"/>
    <x v="1"/>
    <x v="1"/>
    <s v="Cancelld"/>
    <x v="1"/>
    <x v="1"/>
    <x v="2"/>
    <x v="181"/>
    <n v="1149.72"/>
  </r>
  <r>
    <s v="AD01-9364"/>
    <x v="3"/>
    <s v="Sep"/>
    <x v="1"/>
    <x v="1"/>
    <s v="Cancelld"/>
    <x v="1"/>
    <x v="1"/>
    <x v="2"/>
    <x v="188"/>
    <n v="333.19"/>
  </r>
  <r>
    <s v="AD01-9362"/>
    <x v="4"/>
    <s v="Apr"/>
    <x v="0"/>
    <x v="0"/>
    <s v="Order assembled"/>
    <x v="0"/>
    <x v="0"/>
    <x v="1"/>
    <x v="105"/>
    <n v="462.06"/>
  </r>
  <r>
    <s v="AD01-9361"/>
    <x v="4"/>
    <s v="Apr"/>
    <x v="0"/>
    <x v="0"/>
    <s v="Order assembled"/>
    <x v="0"/>
    <x v="0"/>
    <x v="1"/>
    <x v="128"/>
    <n v="388.96"/>
  </r>
  <r>
    <s v="AD01-9362"/>
    <x v="4"/>
    <s v="Apr"/>
    <x v="0"/>
    <x v="0"/>
    <s v="Order assembled"/>
    <x v="0"/>
    <x v="0"/>
    <x v="1"/>
    <x v="92"/>
    <n v="426.14"/>
  </r>
  <r>
    <s v="AD01-9362"/>
    <x v="4"/>
    <s v="Apr"/>
    <x v="0"/>
    <x v="0"/>
    <s v="Order assembled"/>
    <x v="0"/>
    <x v="0"/>
    <x v="1"/>
    <x v="130"/>
    <n v="391.82"/>
  </r>
  <r>
    <s v="AD01-9361"/>
    <x v="4"/>
    <s v="Apr"/>
    <x v="0"/>
    <x v="0"/>
    <s v="Order assembled"/>
    <x v="0"/>
    <x v="0"/>
    <x v="1"/>
    <x v="603"/>
    <n v="952.38"/>
  </r>
  <r>
    <s v="AD01-9364"/>
    <x v="4"/>
    <s v="Apr"/>
    <x v="0"/>
    <x v="0"/>
    <s v="Order assembled"/>
    <x v="0"/>
    <x v="0"/>
    <x v="1"/>
    <x v="43"/>
    <n v="1076.79"/>
  </r>
  <r>
    <s v="AD01-9364"/>
    <x v="4"/>
    <s v="Apr"/>
    <x v="0"/>
    <x v="0"/>
    <s v="Order assembled"/>
    <x v="0"/>
    <x v="0"/>
    <x v="1"/>
    <x v="115"/>
    <n v="424.71"/>
  </r>
  <r>
    <s v="AD01-9361"/>
    <x v="4"/>
    <s v="Apr"/>
    <x v="0"/>
    <x v="0"/>
    <s v="Order assembled"/>
    <x v="0"/>
    <x v="0"/>
    <x v="1"/>
    <x v="513"/>
    <n v="526.24"/>
  </r>
  <r>
    <s v="AD01-9362"/>
    <x v="4"/>
    <s v="Apr"/>
    <x v="0"/>
    <x v="0"/>
    <s v="Order assembled"/>
    <x v="0"/>
    <x v="0"/>
    <x v="1"/>
    <x v="312"/>
    <n v="430.43"/>
  </r>
  <r>
    <s v="AD01-9362"/>
    <x v="4"/>
    <s v="Apr"/>
    <x v="0"/>
    <x v="0"/>
    <s v="Order assembled"/>
    <x v="0"/>
    <x v="0"/>
    <x v="1"/>
    <x v="140"/>
    <n v="387.53"/>
  </r>
  <r>
    <s v="AD01-9361"/>
    <x v="4"/>
    <s v="Apr"/>
    <x v="0"/>
    <x v="0"/>
    <s v="Order assembled"/>
    <x v="0"/>
    <x v="0"/>
    <x v="1"/>
    <x v="103"/>
    <n v="427.57"/>
  </r>
  <r>
    <s v="AD01-9362"/>
    <x v="4"/>
    <s v="Apr"/>
    <x v="0"/>
    <x v="0"/>
    <s v="Order assembled"/>
    <x v="0"/>
    <x v="0"/>
    <x v="1"/>
    <x v="80"/>
    <n v="1088.23"/>
  </r>
  <r>
    <s v="AD01-9361"/>
    <x v="4"/>
    <s v="Aug"/>
    <x v="0"/>
    <x v="0"/>
    <s v="Order assembled"/>
    <x v="0"/>
    <x v="0"/>
    <x v="1"/>
    <x v="28"/>
    <n v="425.34000000000003"/>
  </r>
  <r>
    <s v="AD01-9362"/>
    <x v="4"/>
    <s v="Aug"/>
    <x v="0"/>
    <x v="0"/>
    <s v="Order assembled"/>
    <x v="0"/>
    <x v="0"/>
    <x v="1"/>
    <x v="5"/>
    <n v="400.4"/>
  </r>
  <r>
    <s v="AD01-9361"/>
    <x v="4"/>
    <s v="Aug"/>
    <x v="0"/>
    <x v="0"/>
    <s v="Order assembled"/>
    <x v="0"/>
    <x v="0"/>
    <x v="1"/>
    <x v="91"/>
    <n v="357.5"/>
  </r>
  <r>
    <s v="AD01-9362"/>
    <x v="4"/>
    <s v="Aug"/>
    <x v="0"/>
    <x v="0"/>
    <s v="Order assembled"/>
    <x v="0"/>
    <x v="0"/>
    <x v="1"/>
    <x v="604"/>
    <n v="958.1"/>
  </r>
  <r>
    <s v="AD01-9361"/>
    <x v="4"/>
    <s v="Aug"/>
    <x v="0"/>
    <x v="0"/>
    <s v="Order assembled"/>
    <x v="0"/>
    <x v="0"/>
    <x v="1"/>
    <x v="198"/>
    <n v="1081.08"/>
  </r>
  <r>
    <s v="AD01-9361"/>
    <x v="4"/>
    <s v="Aug"/>
    <x v="0"/>
    <x v="0"/>
    <s v="Order assembled"/>
    <x v="0"/>
    <x v="0"/>
    <x v="1"/>
    <x v="41"/>
    <n v="398.97"/>
  </r>
  <r>
    <s v="AD01-9362"/>
    <x v="4"/>
    <s v="Aug"/>
    <x v="0"/>
    <x v="0"/>
    <s v="Order assembled"/>
    <x v="0"/>
    <x v="0"/>
    <x v="1"/>
    <x v="535"/>
    <n v="526.24"/>
  </r>
  <r>
    <s v="AD01-9361"/>
    <x v="4"/>
    <s v="Aug"/>
    <x v="0"/>
    <x v="0"/>
    <s v="Order assembled"/>
    <x v="0"/>
    <x v="0"/>
    <x v="1"/>
    <x v="183"/>
    <n v="396.11"/>
  </r>
  <r>
    <s v="AD01-9362"/>
    <x v="4"/>
    <s v="Aug"/>
    <x v="0"/>
    <x v="0"/>
    <s v="Order assembled"/>
    <x v="0"/>
    <x v="0"/>
    <x v="1"/>
    <x v="99"/>
    <n v="361.78999999999996"/>
  </r>
  <r>
    <s v="AD01-9361"/>
    <x v="4"/>
    <s v="Aug"/>
    <x v="0"/>
    <x v="0"/>
    <s v="Order assembled"/>
    <x v="0"/>
    <x v="0"/>
    <x v="1"/>
    <x v="135"/>
    <n v="1093.95"/>
  </r>
  <r>
    <s v="AD01-9361"/>
    <x v="4"/>
    <s v="Dec"/>
    <x v="0"/>
    <x v="0"/>
    <s v="Order assembled"/>
    <x v="0"/>
    <x v="0"/>
    <x v="1"/>
    <x v="167"/>
    <n v="328.9"/>
  </r>
  <r>
    <s v="AD01-9362"/>
    <x v="4"/>
    <s v="Dec"/>
    <x v="0"/>
    <x v="0"/>
    <s v="Order assembled"/>
    <x v="0"/>
    <x v="0"/>
    <x v="1"/>
    <x v="218"/>
    <n v="366.08"/>
  </r>
  <r>
    <s v="AD01-9363"/>
    <x v="4"/>
    <s v="Dec"/>
    <x v="0"/>
    <x v="0"/>
    <s v="Order assembled"/>
    <x v="0"/>
    <x v="0"/>
    <x v="1"/>
    <x v="169"/>
    <n v="331.76"/>
  </r>
  <r>
    <s v="AD01-9364"/>
    <x v="4"/>
    <s v="Dec"/>
    <x v="0"/>
    <x v="0"/>
    <s v="Order assembled"/>
    <x v="0"/>
    <x v="0"/>
    <x v="1"/>
    <x v="605"/>
    <n v="962.39"/>
  </r>
  <r>
    <s v="AD01-9362"/>
    <x v="4"/>
    <s v="Dec"/>
    <x v="0"/>
    <x v="0"/>
    <s v="Order assembled"/>
    <x v="0"/>
    <x v="0"/>
    <x v="1"/>
    <x v="387"/>
    <n v="1086.8"/>
  </r>
  <r>
    <s v="AD01-9362"/>
    <x v="4"/>
    <s v="Dec"/>
    <x v="0"/>
    <x v="0"/>
    <s v="Order assembled"/>
    <x v="0"/>
    <x v="0"/>
    <x v="1"/>
    <x v="210"/>
    <n v="364.65"/>
  </r>
  <r>
    <s v="AD01-9364"/>
    <x v="4"/>
    <s v="Dec"/>
    <x v="0"/>
    <x v="0"/>
    <s v="Order assembled"/>
    <x v="0"/>
    <x v="0"/>
    <x v="1"/>
    <x v="518"/>
    <n v="526.24"/>
  </r>
  <r>
    <s v="AD01-9363"/>
    <x v="4"/>
    <s v="Dec"/>
    <x v="0"/>
    <x v="0"/>
    <s v="Order assembled"/>
    <x v="0"/>
    <x v="0"/>
    <x v="1"/>
    <x v="46"/>
    <n v="370.37"/>
  </r>
  <r>
    <s v="AD01-9362"/>
    <x v="4"/>
    <s v="Dec"/>
    <x v="0"/>
    <x v="0"/>
    <s v="Order assembled"/>
    <x v="0"/>
    <x v="0"/>
    <x v="1"/>
    <x v="182"/>
    <n v="327.47000000000003"/>
  </r>
  <r>
    <s v="AD01-9361"/>
    <x v="4"/>
    <s v="Dec"/>
    <x v="0"/>
    <x v="0"/>
    <s v="Order assembled"/>
    <x v="0"/>
    <x v="0"/>
    <x v="1"/>
    <x v="214"/>
    <n v="367.51"/>
  </r>
  <r>
    <s v="AD01-9364"/>
    <x v="4"/>
    <s v="Feb"/>
    <x v="0"/>
    <x v="0"/>
    <s v="Order assembled"/>
    <x v="0"/>
    <x v="0"/>
    <x v="1"/>
    <x v="127"/>
    <n v="471.24"/>
  </r>
  <r>
    <s v="AD01-9361"/>
    <x v="4"/>
    <s v="Feb"/>
    <x v="0"/>
    <x v="0"/>
    <s v="Order assembled"/>
    <x v="0"/>
    <x v="0"/>
    <x v="1"/>
    <x v="3"/>
    <n v="406.12"/>
  </r>
  <r>
    <s v="AD01-9361"/>
    <x v="4"/>
    <s v="Feb"/>
    <x v="0"/>
    <x v="0"/>
    <s v="Order assembled"/>
    <x v="0"/>
    <x v="0"/>
    <x v="1"/>
    <x v="243"/>
    <n v="443.3"/>
  </r>
  <r>
    <s v="AD01-9362"/>
    <x v="4"/>
    <s v="Feb"/>
    <x v="0"/>
    <x v="0"/>
    <s v="Order assembled"/>
    <x v="0"/>
    <x v="0"/>
    <x v="1"/>
    <x v="606"/>
    <n v="949.52"/>
  </r>
  <r>
    <s v="AD01-9361"/>
    <x v="4"/>
    <s v="Feb"/>
    <x v="0"/>
    <x v="0"/>
    <s v="Order assembled"/>
    <x v="0"/>
    <x v="0"/>
    <x v="1"/>
    <x v="139"/>
    <n v="1073.93"/>
  </r>
  <r>
    <s v="AD01-9361"/>
    <x v="4"/>
    <s v="Feb"/>
    <x v="0"/>
    <x v="0"/>
    <s v="Order assembled"/>
    <x v="0"/>
    <x v="0"/>
    <x v="1"/>
    <x v="138"/>
    <n v="441.87"/>
  </r>
  <r>
    <s v="AD01-9362"/>
    <x v="4"/>
    <s v="Feb"/>
    <x v="0"/>
    <x v="0"/>
    <s v="Order assembled"/>
    <x v="0"/>
    <x v="0"/>
    <x v="1"/>
    <x v="266"/>
    <n v="526.24"/>
  </r>
  <r>
    <s v="AD01-9361"/>
    <x v="4"/>
    <s v="Feb"/>
    <x v="0"/>
    <x v="0"/>
    <s v="Order assembled"/>
    <x v="0"/>
    <x v="0"/>
    <x v="1"/>
    <x v="20"/>
    <n v="404.69"/>
  </r>
  <r>
    <s v="AD01-9361"/>
    <x v="4"/>
    <s v="Feb"/>
    <x v="0"/>
    <x v="0"/>
    <s v="Order assembled"/>
    <x v="0"/>
    <x v="0"/>
    <x v="1"/>
    <x v="270"/>
    <n v="444.73"/>
  </r>
  <r>
    <s v="AD01-9364"/>
    <x v="4"/>
    <s v="Feb"/>
    <x v="0"/>
    <x v="0"/>
    <s v="Order assembled"/>
    <x v="0"/>
    <x v="0"/>
    <x v="1"/>
    <x v="387"/>
    <n v="1086.8"/>
  </r>
  <r>
    <s v="AD01-9362"/>
    <x v="4"/>
    <s v="Jan"/>
    <x v="0"/>
    <x v="0"/>
    <s v="Order assembled"/>
    <x v="0"/>
    <x v="0"/>
    <x v="1"/>
    <x v="126"/>
    <n v="480.42"/>
  </r>
  <r>
    <s v="AD01-9362"/>
    <x v="4"/>
    <s v="Jan"/>
    <x v="0"/>
    <x v="0"/>
    <s v="Order assembled"/>
    <x v="0"/>
    <x v="0"/>
    <x v="1"/>
    <x v="27"/>
    <n v="414.7"/>
  </r>
  <r>
    <s v="AD01-9362"/>
    <x v="4"/>
    <s v="Jan"/>
    <x v="0"/>
    <x v="0"/>
    <s v="Order assembled"/>
    <x v="0"/>
    <x v="0"/>
    <x v="1"/>
    <x v="274"/>
    <n v="451.88"/>
  </r>
  <r>
    <s v="AD01-9363"/>
    <x v="4"/>
    <s v="Jan"/>
    <x v="0"/>
    <x v="0"/>
    <s v="Order assembled"/>
    <x v="0"/>
    <x v="0"/>
    <x v="1"/>
    <x v="149"/>
    <n v="408.98"/>
  </r>
  <r>
    <s v="AD01-9362"/>
    <x v="4"/>
    <s v="Jan"/>
    <x v="0"/>
    <x v="0"/>
    <s v="Order assembled"/>
    <x v="0"/>
    <x v="0"/>
    <x v="1"/>
    <x v="607"/>
    <n v="948.08999999999992"/>
  </r>
  <r>
    <s v="AD01-9362"/>
    <x v="4"/>
    <s v="Jan"/>
    <x v="0"/>
    <x v="0"/>
    <s v="Order assembled"/>
    <x v="0"/>
    <x v="0"/>
    <x v="1"/>
    <x v="180"/>
    <n v="1072.5"/>
  </r>
  <r>
    <s v="AD01-9362"/>
    <x v="4"/>
    <s v="Jan"/>
    <x v="0"/>
    <x v="0"/>
    <s v="Order assembled"/>
    <x v="0"/>
    <x v="0"/>
    <x v="1"/>
    <x v="137"/>
    <n v="450.45"/>
  </r>
  <r>
    <s v="AD01-9362"/>
    <x v="4"/>
    <s v="Jan"/>
    <x v="0"/>
    <x v="0"/>
    <s v="Order assembled"/>
    <x v="0"/>
    <x v="0"/>
    <x v="1"/>
    <x v="265"/>
    <n v="526.24"/>
  </r>
  <r>
    <s v="AD01-9363"/>
    <x v="4"/>
    <s v="Jan"/>
    <x v="0"/>
    <x v="0"/>
    <s v="Order assembled"/>
    <x v="0"/>
    <x v="0"/>
    <x v="1"/>
    <x v="314"/>
    <n v="447.59000000000003"/>
  </r>
  <r>
    <s v="AD01-9362"/>
    <x v="4"/>
    <s v="Jan"/>
    <x v="0"/>
    <x v="0"/>
    <s v="Order assembled"/>
    <x v="0"/>
    <x v="0"/>
    <x v="1"/>
    <x v="160"/>
    <n v="413.27"/>
  </r>
  <r>
    <s v="AD01-9362"/>
    <x v="4"/>
    <s v="Jan"/>
    <x v="0"/>
    <x v="0"/>
    <s v="Order assembled"/>
    <x v="0"/>
    <x v="0"/>
    <x v="1"/>
    <x v="281"/>
    <n v="453.31"/>
  </r>
  <r>
    <s v="AD01-9362"/>
    <x v="4"/>
    <s v="Jan"/>
    <x v="0"/>
    <x v="0"/>
    <s v="Order assembled"/>
    <x v="0"/>
    <x v="0"/>
    <x v="1"/>
    <x v="418"/>
    <n v="1085.3699999999999"/>
  </r>
  <r>
    <s v="AD01-9362"/>
    <x v="4"/>
    <s v="Jul"/>
    <x v="0"/>
    <x v="0"/>
    <s v="Order assembled"/>
    <x v="0"/>
    <x v="0"/>
    <x v="1"/>
    <x v="3"/>
    <n v="434.52"/>
  </r>
  <r>
    <s v="AD01-9362"/>
    <x v="4"/>
    <s v="Jul"/>
    <x v="0"/>
    <x v="0"/>
    <s v="Order assembled"/>
    <x v="0"/>
    <x v="0"/>
    <x v="1"/>
    <x v="88"/>
    <n v="363.22"/>
  </r>
  <r>
    <s v="AD01-9362"/>
    <x v="4"/>
    <s v="Jul"/>
    <x v="0"/>
    <x v="0"/>
    <s v="Order assembled"/>
    <x v="0"/>
    <x v="0"/>
    <x v="1"/>
    <x v="149"/>
    <n v="408.98"/>
  </r>
  <r>
    <s v="AD01-9361"/>
    <x v="4"/>
    <s v="Jul"/>
    <x v="0"/>
    <x v="0"/>
    <s v="Order assembled"/>
    <x v="0"/>
    <x v="0"/>
    <x v="1"/>
    <x v="218"/>
    <n v="366.08"/>
  </r>
  <r>
    <s v="AD01-9362"/>
    <x v="4"/>
    <s v="Jul"/>
    <x v="0"/>
    <x v="0"/>
    <s v="Order assembled"/>
    <x v="0"/>
    <x v="0"/>
    <x v="1"/>
    <x v="608"/>
    <n v="956.67000000000007"/>
  </r>
  <r>
    <s v="AD01-9361"/>
    <x v="4"/>
    <s v="Jul"/>
    <x v="0"/>
    <x v="0"/>
    <s v="Order assembled"/>
    <x v="0"/>
    <x v="0"/>
    <x v="1"/>
    <x v="211"/>
    <n v="1079.6500000000001"/>
  </r>
  <r>
    <s v="AD01-9361"/>
    <x v="4"/>
    <s v="Jul"/>
    <x v="0"/>
    <x v="0"/>
    <s v="Order assembled"/>
    <x v="0"/>
    <x v="0"/>
    <x v="1"/>
    <x v="40"/>
    <n v="407.55"/>
  </r>
  <r>
    <s v="AD01-9362"/>
    <x v="4"/>
    <s v="Jul"/>
    <x v="0"/>
    <x v="0"/>
    <s v="Order assembled"/>
    <x v="0"/>
    <x v="0"/>
    <x v="1"/>
    <x v="515"/>
    <n v="526.24"/>
  </r>
  <r>
    <s v="AD01-9361"/>
    <x v="4"/>
    <s v="Jul"/>
    <x v="0"/>
    <x v="0"/>
    <s v="Order assembled"/>
    <x v="0"/>
    <x v="0"/>
    <x v="1"/>
    <x v="20"/>
    <n v="404.69"/>
  </r>
  <r>
    <s v="AD01-9362"/>
    <x v="4"/>
    <s v="Jul"/>
    <x v="0"/>
    <x v="0"/>
    <s v="Order assembled"/>
    <x v="0"/>
    <x v="0"/>
    <x v="1"/>
    <x v="46"/>
    <n v="370.37"/>
  </r>
  <r>
    <s v="AD01-9362"/>
    <x v="4"/>
    <s v="Jul"/>
    <x v="0"/>
    <x v="0"/>
    <s v="Order assembled"/>
    <x v="0"/>
    <x v="0"/>
    <x v="1"/>
    <x v="25"/>
    <n v="401.83"/>
  </r>
  <r>
    <s v="AD01-9362"/>
    <x v="4"/>
    <s v="Jul"/>
    <x v="0"/>
    <x v="0"/>
    <s v="Order assembled"/>
    <x v="0"/>
    <x v="0"/>
    <x v="1"/>
    <x v="176"/>
    <n v="1092.52"/>
  </r>
  <r>
    <s v="AD01-9364"/>
    <x v="4"/>
    <s v="Jun"/>
    <x v="0"/>
    <x v="0"/>
    <s v="Order assembled"/>
    <x v="0"/>
    <x v="0"/>
    <x v="1"/>
    <x v="27"/>
    <n v="443.70000000000005"/>
  </r>
  <r>
    <s v="AD01-9364"/>
    <x v="4"/>
    <s v="Jun"/>
    <x v="0"/>
    <x v="0"/>
    <s v="Order assembled"/>
    <x v="0"/>
    <x v="0"/>
    <x v="1"/>
    <x v="30"/>
    <n v="371.8"/>
  </r>
  <r>
    <s v="AD01-9362"/>
    <x v="4"/>
    <s v="Jun"/>
    <x v="0"/>
    <x v="0"/>
    <s v="Order assembled"/>
    <x v="0"/>
    <x v="0"/>
    <x v="1"/>
    <x v="33"/>
    <n v="374.65999999999997"/>
  </r>
  <r>
    <s v="AD01-9364"/>
    <x v="4"/>
    <s v="Jun"/>
    <x v="0"/>
    <x v="0"/>
    <s v="Order assembled"/>
    <x v="0"/>
    <x v="0"/>
    <x v="1"/>
    <x v="609"/>
    <n v="955.24"/>
  </r>
  <r>
    <s v="AD01-9364"/>
    <x v="4"/>
    <s v="Jun"/>
    <x v="0"/>
    <x v="0"/>
    <s v="Order assembled"/>
    <x v="0"/>
    <x v="0"/>
    <x v="1"/>
    <x v="229"/>
    <n v="1078.22"/>
  </r>
  <r>
    <s v="AD01-9364"/>
    <x v="4"/>
    <s v="Jun"/>
    <x v="0"/>
    <x v="0"/>
    <s v="Order assembled"/>
    <x v="0"/>
    <x v="0"/>
    <x v="1"/>
    <x v="116"/>
    <n v="416.13"/>
  </r>
  <r>
    <s v="AD01-9364"/>
    <x v="4"/>
    <s v="Jun"/>
    <x v="0"/>
    <x v="0"/>
    <s v="Order assembled"/>
    <x v="0"/>
    <x v="0"/>
    <x v="1"/>
    <x v="523"/>
    <n v="526.24"/>
  </r>
  <r>
    <s v="AD01-9362"/>
    <x v="4"/>
    <s v="Jun"/>
    <x v="0"/>
    <x v="0"/>
    <s v="Order assembled"/>
    <x v="0"/>
    <x v="0"/>
    <x v="1"/>
    <x v="160"/>
    <n v="413.27"/>
  </r>
  <r>
    <s v="AD01-9364"/>
    <x v="4"/>
    <s v="Jun"/>
    <x v="0"/>
    <x v="0"/>
    <s v="Order assembled"/>
    <x v="0"/>
    <x v="0"/>
    <x v="1"/>
    <x v="48"/>
    <n v="410.40999999999997"/>
  </r>
  <r>
    <s v="AD01-9364"/>
    <x v="4"/>
    <s v="Jun"/>
    <x v="0"/>
    <x v="0"/>
    <s v="Order assembled"/>
    <x v="0"/>
    <x v="0"/>
    <x v="1"/>
    <x v="12"/>
    <n v="1091.0899999999999"/>
  </r>
  <r>
    <s v="AD01-9361"/>
    <x v="4"/>
    <s v="Mar"/>
    <x v="0"/>
    <x v="0"/>
    <s v="Order assembled"/>
    <x v="0"/>
    <x v="0"/>
    <x v="1"/>
    <x v="28"/>
    <n v="397.53999999999996"/>
  </r>
  <r>
    <s v="AD01-9362"/>
    <x v="4"/>
    <s v="Mar"/>
    <x v="0"/>
    <x v="0"/>
    <s v="Order assembled"/>
    <x v="0"/>
    <x v="0"/>
    <x v="1"/>
    <x v="236"/>
    <n v="434.72"/>
  </r>
  <r>
    <s v="AD01-9362"/>
    <x v="4"/>
    <s v="Mar"/>
    <x v="0"/>
    <x v="0"/>
    <s v="Order assembled"/>
    <x v="0"/>
    <x v="0"/>
    <x v="1"/>
    <x v="5"/>
    <n v="400.4"/>
  </r>
  <r>
    <s v="AD01-9362"/>
    <x v="4"/>
    <s v="Mar"/>
    <x v="0"/>
    <x v="0"/>
    <s v="Order assembled"/>
    <x v="0"/>
    <x v="0"/>
    <x v="1"/>
    <x v="610"/>
    <n v="950.95"/>
  </r>
  <r>
    <s v="AD01-9364"/>
    <x v="4"/>
    <s v="Mar"/>
    <x v="0"/>
    <x v="0"/>
    <s v="Order assembled"/>
    <x v="0"/>
    <x v="0"/>
    <x v="1"/>
    <x v="117"/>
    <n v="1075.3600000000001"/>
  </r>
  <r>
    <s v="AD01-9364"/>
    <x v="4"/>
    <s v="Mar"/>
    <x v="0"/>
    <x v="0"/>
    <s v="Order assembled"/>
    <x v="0"/>
    <x v="0"/>
    <x v="1"/>
    <x v="114"/>
    <n v="433.28999999999996"/>
  </r>
  <r>
    <s v="AD01-9362"/>
    <x v="4"/>
    <s v="Mar"/>
    <x v="0"/>
    <x v="0"/>
    <s v="Order assembled"/>
    <x v="0"/>
    <x v="0"/>
    <x v="1"/>
    <x v="267"/>
    <n v="526.24"/>
  </r>
  <r>
    <s v="AD01-9362"/>
    <x v="4"/>
    <s v="Mar"/>
    <x v="0"/>
    <x v="0"/>
    <s v="Order assembled"/>
    <x v="0"/>
    <x v="0"/>
    <x v="1"/>
    <x v="315"/>
    <n v="439.01"/>
  </r>
  <r>
    <s v="AD01-9362"/>
    <x v="4"/>
    <s v="Mar"/>
    <x v="0"/>
    <x v="0"/>
    <s v="Order assembled"/>
    <x v="0"/>
    <x v="0"/>
    <x v="1"/>
    <x v="183"/>
    <n v="396.11"/>
  </r>
  <r>
    <s v="AD01-9361"/>
    <x v="4"/>
    <s v="Mar"/>
    <x v="0"/>
    <x v="0"/>
    <s v="Order assembled"/>
    <x v="0"/>
    <x v="0"/>
    <x v="1"/>
    <x v="296"/>
    <n v="436.15"/>
  </r>
  <r>
    <s v="AD01-9362"/>
    <x v="4"/>
    <s v="May"/>
    <x v="0"/>
    <x v="0"/>
    <s v="Order assembled"/>
    <x v="0"/>
    <x v="0"/>
    <x v="1"/>
    <x v="89"/>
    <n v="452.88"/>
  </r>
  <r>
    <s v="AD01-9362"/>
    <x v="4"/>
    <s v="May"/>
    <x v="0"/>
    <x v="0"/>
    <s v="Order assembled"/>
    <x v="0"/>
    <x v="0"/>
    <x v="1"/>
    <x v="106"/>
    <n v="380.38"/>
  </r>
  <r>
    <s v="AD01-9362"/>
    <x v="4"/>
    <s v="May"/>
    <x v="0"/>
    <x v="0"/>
    <s v="Order assembled"/>
    <x v="0"/>
    <x v="0"/>
    <x v="1"/>
    <x v="76"/>
    <n v="417.56"/>
  </r>
  <r>
    <s v="AD01-9362"/>
    <x v="4"/>
    <s v="May"/>
    <x v="0"/>
    <x v="0"/>
    <s v="Order assembled"/>
    <x v="0"/>
    <x v="0"/>
    <x v="1"/>
    <x v="107"/>
    <n v="383.24"/>
  </r>
  <r>
    <s v="AD01-9361"/>
    <x v="4"/>
    <s v="May"/>
    <x v="0"/>
    <x v="0"/>
    <s v="Order assembled"/>
    <x v="0"/>
    <x v="0"/>
    <x v="1"/>
    <x v="611"/>
    <n v="953.81"/>
  </r>
  <r>
    <s v="AD01-9361"/>
    <x v="4"/>
    <s v="May"/>
    <x v="0"/>
    <x v="0"/>
    <s v="Order assembled"/>
    <x v="0"/>
    <x v="0"/>
    <x v="1"/>
    <x v="525"/>
    <n v="526.24"/>
  </r>
  <r>
    <s v="AD01-9362"/>
    <x v="4"/>
    <s v="May"/>
    <x v="0"/>
    <x v="0"/>
    <s v="Order assembled"/>
    <x v="0"/>
    <x v="0"/>
    <x v="1"/>
    <x v="85"/>
    <n v="421.85"/>
  </r>
  <r>
    <s v="AD01-9362"/>
    <x v="4"/>
    <s v="May"/>
    <x v="0"/>
    <x v="0"/>
    <s v="Order assembled"/>
    <x v="0"/>
    <x v="0"/>
    <x v="1"/>
    <x v="119"/>
    <n v="378.95"/>
  </r>
  <r>
    <s v="AD01-9362"/>
    <x v="4"/>
    <s v="May"/>
    <x v="0"/>
    <x v="0"/>
    <s v="Order assembled"/>
    <x v="0"/>
    <x v="0"/>
    <x v="1"/>
    <x v="87"/>
    <n v="418.99"/>
  </r>
  <r>
    <s v="AD01-9362"/>
    <x v="4"/>
    <s v="May"/>
    <x v="0"/>
    <x v="0"/>
    <s v="Order assembled"/>
    <x v="0"/>
    <x v="0"/>
    <x v="1"/>
    <x v="154"/>
    <n v="1089.6599999999999"/>
  </r>
  <r>
    <s v="AD01-9361"/>
    <x v="4"/>
    <s v="Nov"/>
    <x v="0"/>
    <x v="0"/>
    <s v="Order assembled"/>
    <x v="0"/>
    <x v="0"/>
    <x v="1"/>
    <x v="30"/>
    <n v="397.8"/>
  </r>
  <r>
    <s v="AD01-9362"/>
    <x v="4"/>
    <s v="Nov"/>
    <x v="0"/>
    <x v="0"/>
    <s v="Order assembled"/>
    <x v="0"/>
    <x v="0"/>
    <x v="1"/>
    <x v="2"/>
    <n v="337.48"/>
  </r>
  <r>
    <s v="AD01-9361"/>
    <x v="4"/>
    <s v="Nov"/>
    <x v="0"/>
    <x v="0"/>
    <s v="Order assembled"/>
    <x v="0"/>
    <x v="0"/>
    <x v="1"/>
    <x v="33"/>
    <n v="374.65999999999997"/>
  </r>
  <r>
    <s v="AD01-9365"/>
    <x v="4"/>
    <s v="Nov"/>
    <x v="0"/>
    <x v="0"/>
    <s v="Order assembled"/>
    <x v="0"/>
    <x v="0"/>
    <x v="1"/>
    <x v="612"/>
    <n v="960.96"/>
  </r>
  <r>
    <s v="AD01-9362"/>
    <x v="4"/>
    <s v="Nov"/>
    <x v="0"/>
    <x v="0"/>
    <s v="Order assembled"/>
    <x v="0"/>
    <x v="0"/>
    <x v="1"/>
    <x v="418"/>
    <n v="1085.3699999999999"/>
  </r>
  <r>
    <s v="AD01-9362"/>
    <x v="4"/>
    <s v="Nov"/>
    <x v="0"/>
    <x v="0"/>
    <s v="Order assembled"/>
    <x v="0"/>
    <x v="0"/>
    <x v="1"/>
    <x v="227"/>
    <n v="373.23"/>
  </r>
  <r>
    <s v="AD01-9365"/>
    <x v="4"/>
    <s v="Nov"/>
    <x v="0"/>
    <x v="0"/>
    <s v="Order assembled"/>
    <x v="0"/>
    <x v="0"/>
    <x v="1"/>
    <x v="530"/>
    <n v="526.24"/>
  </r>
  <r>
    <s v="AD01-9361"/>
    <x v="4"/>
    <s v="Nov"/>
    <x v="0"/>
    <x v="0"/>
    <s v="Order assembled"/>
    <x v="0"/>
    <x v="0"/>
    <x v="1"/>
    <x v="19"/>
    <n v="336.05"/>
  </r>
  <r>
    <s v="AD01-9362"/>
    <x v="4"/>
    <s v="Nov"/>
    <x v="0"/>
    <x v="0"/>
    <s v="Order assembled"/>
    <x v="0"/>
    <x v="0"/>
    <x v="1"/>
    <x v="51"/>
    <n v="376.09000000000003"/>
  </r>
  <r>
    <s v="AD01-9361"/>
    <x v="4"/>
    <s v="Nov"/>
    <x v="0"/>
    <x v="0"/>
    <s v="Order assembled"/>
    <x v="0"/>
    <x v="0"/>
    <x v="1"/>
    <x v="224"/>
    <n v="1098.24"/>
  </r>
  <r>
    <s v="AD01-9362"/>
    <x v="4"/>
    <s v="Oct"/>
    <x v="0"/>
    <x v="0"/>
    <s v="Order assembled"/>
    <x v="0"/>
    <x v="0"/>
    <x v="1"/>
    <x v="106"/>
    <n v="406.98"/>
  </r>
  <r>
    <s v="AD01-9364"/>
    <x v="4"/>
    <s v="Oct"/>
    <x v="0"/>
    <x v="0"/>
    <s v="Order assembled"/>
    <x v="0"/>
    <x v="0"/>
    <x v="1"/>
    <x v="56"/>
    <n v="346.06"/>
  </r>
  <r>
    <s v="AD01-9362"/>
    <x v="4"/>
    <s v="Oct"/>
    <x v="0"/>
    <x v="0"/>
    <s v="Order assembled"/>
    <x v="0"/>
    <x v="0"/>
    <x v="1"/>
    <x v="107"/>
    <n v="383.24"/>
  </r>
  <r>
    <s v="AD01-9362"/>
    <x v="4"/>
    <s v="Oct"/>
    <x v="0"/>
    <x v="0"/>
    <s v="Order assembled"/>
    <x v="0"/>
    <x v="0"/>
    <x v="1"/>
    <x v="4"/>
    <n v="340.34000000000003"/>
  </r>
  <r>
    <s v="AD01-9362"/>
    <x v="4"/>
    <s v="Oct"/>
    <x v="0"/>
    <x v="0"/>
    <s v="Order assembled"/>
    <x v="0"/>
    <x v="0"/>
    <x v="1"/>
    <x v="613"/>
    <n v="959.53"/>
  </r>
  <r>
    <s v="AD01-9364"/>
    <x v="4"/>
    <s v="Oct"/>
    <x v="0"/>
    <x v="0"/>
    <s v="Order assembled"/>
    <x v="0"/>
    <x v="0"/>
    <x v="1"/>
    <x v="401"/>
    <n v="1083.94"/>
  </r>
  <r>
    <s v="AD01-9364"/>
    <x v="4"/>
    <s v="Oct"/>
    <x v="0"/>
    <x v="0"/>
    <s v="Order assembled"/>
    <x v="0"/>
    <x v="0"/>
    <x v="1"/>
    <x v="226"/>
    <n v="381.81"/>
  </r>
  <r>
    <s v="AD01-9362"/>
    <x v="4"/>
    <s v="Oct"/>
    <x v="0"/>
    <x v="0"/>
    <s v="Order assembled"/>
    <x v="0"/>
    <x v="0"/>
    <x v="1"/>
    <x v="532"/>
    <n v="526.24"/>
  </r>
  <r>
    <s v="AD01-9362"/>
    <x v="4"/>
    <s v="Oct"/>
    <x v="0"/>
    <x v="0"/>
    <s v="Order assembled"/>
    <x v="0"/>
    <x v="0"/>
    <x v="1"/>
    <x v="119"/>
    <n v="378.95"/>
  </r>
  <r>
    <s v="AD01-9362"/>
    <x v="4"/>
    <s v="Oct"/>
    <x v="0"/>
    <x v="0"/>
    <s v="Order assembled"/>
    <x v="0"/>
    <x v="0"/>
    <x v="1"/>
    <x v="69"/>
    <n v="344.63"/>
  </r>
  <r>
    <s v="AD01-9364"/>
    <x v="4"/>
    <s v="Oct"/>
    <x v="0"/>
    <x v="0"/>
    <s v="Order assembled"/>
    <x v="0"/>
    <x v="0"/>
    <x v="1"/>
    <x v="123"/>
    <n v="384.67"/>
  </r>
  <r>
    <s v="AD01-9362"/>
    <x v="4"/>
    <s v="Oct"/>
    <x v="0"/>
    <x v="0"/>
    <s v="Order assembled"/>
    <x v="0"/>
    <x v="0"/>
    <x v="1"/>
    <x v="39"/>
    <n v="1096.81"/>
  </r>
  <r>
    <s v="AD01-9364"/>
    <x v="4"/>
    <s v="Sep"/>
    <x v="0"/>
    <x v="0"/>
    <s v="Order assembled"/>
    <x v="0"/>
    <x v="0"/>
    <x v="1"/>
    <x v="128"/>
    <n v="416.15999999999997"/>
  </r>
  <r>
    <s v="AD01-9364"/>
    <x v="4"/>
    <s v="Sep"/>
    <x v="0"/>
    <x v="0"/>
    <s v="Order assembled"/>
    <x v="0"/>
    <x v="0"/>
    <x v="1"/>
    <x v="74"/>
    <n v="354.64"/>
  </r>
  <r>
    <s v="AD01-9365"/>
    <x v="4"/>
    <s v="Sep"/>
    <x v="0"/>
    <x v="0"/>
    <s v="Order assembled"/>
    <x v="0"/>
    <x v="0"/>
    <x v="1"/>
    <x v="130"/>
    <n v="391.82"/>
  </r>
  <r>
    <s v="AD01-9361"/>
    <x v="4"/>
    <s v="Sep"/>
    <x v="0"/>
    <x v="0"/>
    <s v="Order assembled"/>
    <x v="0"/>
    <x v="0"/>
    <x v="1"/>
    <x v="75"/>
    <n v="348.92"/>
  </r>
  <r>
    <s v="AD01-9362"/>
    <x v="4"/>
    <s v="Sep"/>
    <x v="0"/>
    <x v="0"/>
    <s v="Order assembled"/>
    <x v="0"/>
    <x v="0"/>
    <x v="1"/>
    <x v="409"/>
    <n v="1082.51"/>
  </r>
  <r>
    <s v="AD01-9362"/>
    <x v="4"/>
    <s v="Sep"/>
    <x v="0"/>
    <x v="0"/>
    <s v="Order assembled"/>
    <x v="0"/>
    <x v="0"/>
    <x v="1"/>
    <x v="225"/>
    <n v="390.39"/>
  </r>
  <r>
    <s v="AD01-9361"/>
    <x v="4"/>
    <s v="Sep"/>
    <x v="0"/>
    <x v="0"/>
    <s v="Order assembled"/>
    <x v="0"/>
    <x v="0"/>
    <x v="1"/>
    <x v="140"/>
    <n v="387.53"/>
  </r>
  <r>
    <s v="AD01-9365"/>
    <x v="4"/>
    <s v="Sep"/>
    <x v="0"/>
    <x v="0"/>
    <s v="Order assembled"/>
    <x v="0"/>
    <x v="0"/>
    <x v="1"/>
    <x v="84"/>
    <n v="353.21"/>
  </r>
  <r>
    <s v="AD01-9364"/>
    <x v="4"/>
    <s v="Sep"/>
    <x v="0"/>
    <x v="0"/>
    <s v="Order assembled"/>
    <x v="0"/>
    <x v="0"/>
    <x v="1"/>
    <x v="49"/>
    <n v="393.25"/>
  </r>
  <r>
    <s v="AD01-9364"/>
    <x v="4"/>
    <s v="Sep"/>
    <x v="0"/>
    <x v="0"/>
    <s v="Order assembled"/>
    <x v="0"/>
    <x v="0"/>
    <x v="1"/>
    <x v="113"/>
    <n v="1095.3800000000001"/>
  </r>
  <r>
    <s v="AD01-9362"/>
    <x v="4"/>
    <s v="Apr"/>
    <x v="1"/>
    <x v="0"/>
    <s v="Order assembled"/>
    <x v="0"/>
    <x v="0"/>
    <x v="0"/>
    <x v="271"/>
    <n v="208.78"/>
  </r>
  <r>
    <s v="AD01-9364"/>
    <x v="4"/>
    <s v="Apr"/>
    <x v="1"/>
    <x v="0"/>
    <s v="Order assembled"/>
    <x v="0"/>
    <x v="0"/>
    <x v="0"/>
    <x v="146"/>
    <n v="526.24"/>
  </r>
  <r>
    <s v="AD01-9361"/>
    <x v="4"/>
    <s v="Apr"/>
    <x v="1"/>
    <x v="0"/>
    <s v="Order assembled"/>
    <x v="0"/>
    <x v="0"/>
    <x v="0"/>
    <x v="273"/>
    <n v="526.24"/>
  </r>
  <r>
    <s v="AD01-9363"/>
    <x v="4"/>
    <s v="Apr"/>
    <x v="1"/>
    <x v="0"/>
    <s v="Order assembled"/>
    <x v="0"/>
    <x v="0"/>
    <x v="0"/>
    <x v="285"/>
    <n v="526.24"/>
  </r>
  <r>
    <s v="AD01-9363"/>
    <x v="4"/>
    <s v="Apr"/>
    <x v="1"/>
    <x v="0"/>
    <s v="Order assembled"/>
    <x v="0"/>
    <x v="0"/>
    <x v="0"/>
    <x v="150"/>
    <n v="523.38"/>
  </r>
  <r>
    <s v="AD01-9363"/>
    <x v="4"/>
    <s v="Apr"/>
    <x v="1"/>
    <x v="0"/>
    <s v="Order assembled"/>
    <x v="0"/>
    <x v="0"/>
    <x v="0"/>
    <x v="277"/>
    <n v="210.21"/>
  </r>
  <r>
    <s v="AD01-9363"/>
    <x v="4"/>
    <s v="Apr"/>
    <x v="1"/>
    <x v="0"/>
    <s v="Order assembled"/>
    <x v="0"/>
    <x v="0"/>
    <x v="0"/>
    <x v="387"/>
    <n v="1086.8"/>
  </r>
  <r>
    <s v="AD01-9361"/>
    <x v="4"/>
    <s v="Apr"/>
    <x v="1"/>
    <x v="0"/>
    <s v="Order assembled"/>
    <x v="0"/>
    <x v="0"/>
    <x v="0"/>
    <x v="363"/>
    <n v="1209.78"/>
  </r>
  <r>
    <s v="AD01-9364"/>
    <x v="4"/>
    <s v="Apr"/>
    <x v="1"/>
    <x v="0"/>
    <s v="Order assembled"/>
    <x v="0"/>
    <x v="0"/>
    <x v="0"/>
    <x v="345"/>
    <n v="213.07"/>
  </r>
  <r>
    <s v="AD01-9362"/>
    <x v="4"/>
    <s v="Apr"/>
    <x v="1"/>
    <x v="0"/>
    <s v="Order assembled"/>
    <x v="0"/>
    <x v="0"/>
    <x v="0"/>
    <x v="289"/>
    <n v="521.95000000000005"/>
  </r>
  <r>
    <s v="AD01-9361"/>
    <x v="4"/>
    <s v="Aug"/>
    <x v="1"/>
    <x v="0"/>
    <s v="Order assembled"/>
    <x v="0"/>
    <x v="0"/>
    <x v="0"/>
    <x v="233"/>
    <n v="183.04"/>
  </r>
  <r>
    <s v="AD01-9361"/>
    <x v="4"/>
    <s v="Aug"/>
    <x v="1"/>
    <x v="0"/>
    <s v="Order assembled"/>
    <x v="0"/>
    <x v="0"/>
    <x v="0"/>
    <x v="1"/>
    <n v="491.91999999999996"/>
  </r>
  <r>
    <s v="AD01-9361"/>
    <x v="4"/>
    <s v="Aug"/>
    <x v="1"/>
    <x v="0"/>
    <s v="Order assembled"/>
    <x v="0"/>
    <x v="0"/>
    <x v="0"/>
    <x v="90"/>
    <n v="526.24"/>
  </r>
  <r>
    <s v="AD01-9361"/>
    <x v="4"/>
    <s v="Aug"/>
    <x v="1"/>
    <x v="0"/>
    <s v="Order assembled"/>
    <x v="0"/>
    <x v="0"/>
    <x v="0"/>
    <x v="255"/>
    <n v="526.24"/>
  </r>
  <r>
    <s v="AD01-9362"/>
    <x v="4"/>
    <s v="Aug"/>
    <x v="1"/>
    <x v="0"/>
    <s v="Order assembled"/>
    <x v="0"/>
    <x v="0"/>
    <x v="0"/>
    <x v="614"/>
    <n v="1404.26"/>
  </r>
  <r>
    <s v="AD01-9361"/>
    <x v="4"/>
    <s v="Aug"/>
    <x v="1"/>
    <x v="0"/>
    <s v="Order assembled"/>
    <x v="0"/>
    <x v="0"/>
    <x v="0"/>
    <x v="9"/>
    <n v="489.06"/>
  </r>
  <r>
    <s v="AD01-9361"/>
    <x v="4"/>
    <s v="Aug"/>
    <x v="1"/>
    <x v="0"/>
    <s v="Order assembled"/>
    <x v="0"/>
    <x v="0"/>
    <x v="0"/>
    <x v="155"/>
    <n v="527.66999999999996"/>
  </r>
  <r>
    <s v="AD01-9362"/>
    <x v="4"/>
    <s v="Aug"/>
    <x v="1"/>
    <x v="0"/>
    <s v="Order assembled"/>
    <x v="0"/>
    <x v="0"/>
    <x v="0"/>
    <x v="14"/>
    <n v="493.35"/>
  </r>
  <r>
    <s v="AD01-9361"/>
    <x v="4"/>
    <s v="Aug"/>
    <x v="1"/>
    <x v="0"/>
    <s v="Order assembled"/>
    <x v="0"/>
    <x v="0"/>
    <x v="0"/>
    <x v="12"/>
    <n v="1091.0899999999999"/>
  </r>
  <r>
    <s v="AD01-9361"/>
    <x v="4"/>
    <s v="Aug"/>
    <x v="1"/>
    <x v="0"/>
    <s v="Order assembled"/>
    <x v="0"/>
    <x v="0"/>
    <x v="0"/>
    <x v="339"/>
    <n v="1215.5"/>
  </r>
  <r>
    <s v="AD01-9361"/>
    <x v="4"/>
    <s v="Aug"/>
    <x v="1"/>
    <x v="0"/>
    <s v="Order assembled"/>
    <x v="0"/>
    <x v="0"/>
    <x v="0"/>
    <x v="302"/>
    <n v="530.53"/>
  </r>
  <r>
    <s v="AD01-9361"/>
    <x v="4"/>
    <s v="Aug"/>
    <x v="1"/>
    <x v="0"/>
    <s v="Order assembled"/>
    <x v="0"/>
    <x v="0"/>
    <x v="0"/>
    <x v="280"/>
    <n v="496.21000000000004"/>
  </r>
  <r>
    <s v="AD01-9361"/>
    <x v="4"/>
    <s v="Dec"/>
    <x v="1"/>
    <x v="0"/>
    <s v="Order assembled"/>
    <x v="0"/>
    <x v="0"/>
    <x v="0"/>
    <x v="0"/>
    <n v="500.5"/>
  </r>
  <r>
    <s v="AD01-9364"/>
    <x v="4"/>
    <s v="Dec"/>
    <x v="1"/>
    <x v="0"/>
    <s v="Order assembled"/>
    <x v="0"/>
    <x v="0"/>
    <x v="0"/>
    <x v="244"/>
    <n v="526.24"/>
  </r>
  <r>
    <s v="AD01-9362"/>
    <x v="4"/>
    <s v="Dec"/>
    <x v="1"/>
    <x v="0"/>
    <s v="Order assembled"/>
    <x v="0"/>
    <x v="0"/>
    <x v="0"/>
    <x v="297"/>
    <n v="526.24"/>
  </r>
  <r>
    <s v="AD01-9362"/>
    <x v="4"/>
    <s v="Dec"/>
    <x v="1"/>
    <x v="0"/>
    <s v="Order assembled"/>
    <x v="0"/>
    <x v="0"/>
    <x v="0"/>
    <x v="615"/>
    <n v="1409.98"/>
  </r>
  <r>
    <s v="AD01-9361"/>
    <x v="4"/>
    <s v="Dec"/>
    <x v="1"/>
    <x v="0"/>
    <s v="Order assembled"/>
    <x v="0"/>
    <x v="0"/>
    <x v="0"/>
    <x v="173"/>
    <n v="463.32"/>
  </r>
  <r>
    <s v="AD01-9361"/>
    <x v="4"/>
    <s v="Dec"/>
    <x v="1"/>
    <x v="0"/>
    <s v="Order assembled"/>
    <x v="0"/>
    <x v="0"/>
    <x v="0"/>
    <x v="13"/>
    <n v="501.93"/>
  </r>
  <r>
    <s v="AD01-9362"/>
    <x v="4"/>
    <s v="Dec"/>
    <x v="1"/>
    <x v="0"/>
    <s v="Order assembled"/>
    <x v="0"/>
    <x v="0"/>
    <x v="0"/>
    <x v="136"/>
    <n v="459.03"/>
  </r>
  <r>
    <s v="AD01-9362"/>
    <x v="4"/>
    <s v="Dec"/>
    <x v="1"/>
    <x v="0"/>
    <s v="Order assembled"/>
    <x v="0"/>
    <x v="0"/>
    <x v="0"/>
    <x v="39"/>
    <n v="1096.81"/>
  </r>
  <r>
    <s v="AD01-9364"/>
    <x v="4"/>
    <s v="Dec"/>
    <x v="1"/>
    <x v="0"/>
    <s v="Order assembled"/>
    <x v="0"/>
    <x v="0"/>
    <x v="0"/>
    <x v="333"/>
    <n v="1219.79"/>
  </r>
  <r>
    <s v="AD01-9361"/>
    <x v="4"/>
    <s v="Dec"/>
    <x v="1"/>
    <x v="0"/>
    <s v="Order assembled"/>
    <x v="0"/>
    <x v="0"/>
    <x v="0"/>
    <x v="301"/>
    <n v="461.89"/>
  </r>
  <r>
    <s v="AD01-9364"/>
    <x v="4"/>
    <s v="Feb"/>
    <x v="1"/>
    <x v="0"/>
    <s v="Order assembled"/>
    <x v="0"/>
    <x v="0"/>
    <x v="0"/>
    <x v="319"/>
    <n v="225.94"/>
  </r>
  <r>
    <s v="AD01-9361"/>
    <x v="4"/>
    <s v="Feb"/>
    <x v="1"/>
    <x v="0"/>
    <s v="Order assembled"/>
    <x v="0"/>
    <x v="0"/>
    <x v="0"/>
    <x v="233"/>
    <n v="183.04"/>
  </r>
  <r>
    <s v="AD01-9364"/>
    <x v="4"/>
    <s v="Feb"/>
    <x v="1"/>
    <x v="0"/>
    <s v="Order assembled"/>
    <x v="0"/>
    <x v="0"/>
    <x v="0"/>
    <x v="320"/>
    <n v="526.24"/>
  </r>
  <r>
    <s v="AD01-9362"/>
    <x v="4"/>
    <s v="Feb"/>
    <x v="1"/>
    <x v="0"/>
    <s v="Order assembled"/>
    <x v="0"/>
    <x v="0"/>
    <x v="0"/>
    <x v="235"/>
    <n v="526.24"/>
  </r>
  <r>
    <s v="AD01-9362"/>
    <x v="4"/>
    <s v="Feb"/>
    <x v="1"/>
    <x v="0"/>
    <s v="Order assembled"/>
    <x v="0"/>
    <x v="0"/>
    <x v="0"/>
    <x v="616"/>
    <n v="1397.1100000000001"/>
  </r>
  <r>
    <s v="AD01-9361"/>
    <x v="4"/>
    <s v="Feb"/>
    <x v="1"/>
    <x v="0"/>
    <s v="Order assembled"/>
    <x v="0"/>
    <x v="0"/>
    <x v="0"/>
    <x v="422"/>
    <n v="188.76"/>
  </r>
  <r>
    <s v="AD01-9361"/>
    <x v="4"/>
    <s v="Feb"/>
    <x v="1"/>
    <x v="0"/>
    <s v="Order assembled"/>
    <x v="0"/>
    <x v="0"/>
    <x v="0"/>
    <x v="385"/>
    <n v="227.37"/>
  </r>
  <r>
    <s v="AD01-9362"/>
    <x v="4"/>
    <s v="Feb"/>
    <x v="1"/>
    <x v="0"/>
    <s v="Order assembled"/>
    <x v="0"/>
    <x v="0"/>
    <x v="0"/>
    <x v="239"/>
    <n v="184.47"/>
  </r>
  <r>
    <s v="AD01-9362"/>
    <x v="4"/>
    <s v="Feb"/>
    <x v="1"/>
    <x v="0"/>
    <s v="Order assembled"/>
    <x v="0"/>
    <x v="0"/>
    <x v="0"/>
    <x v="401"/>
    <n v="1083.94"/>
  </r>
  <r>
    <s v="AD01-9364"/>
    <x v="4"/>
    <s v="Feb"/>
    <x v="1"/>
    <x v="0"/>
    <s v="Order assembled"/>
    <x v="0"/>
    <x v="0"/>
    <x v="0"/>
    <x v="337"/>
    <n v="1206.92"/>
  </r>
  <r>
    <s v="AD01-9361"/>
    <x v="4"/>
    <s v="Feb"/>
    <x v="1"/>
    <x v="0"/>
    <s v="Order assembled"/>
    <x v="0"/>
    <x v="0"/>
    <x v="0"/>
    <x v="389"/>
    <n v="221.65"/>
  </r>
  <r>
    <s v="AD01-9364"/>
    <x v="4"/>
    <s v="Feb"/>
    <x v="1"/>
    <x v="0"/>
    <s v="Order assembled"/>
    <x v="0"/>
    <x v="0"/>
    <x v="0"/>
    <x v="242"/>
    <n v="187.32999999999998"/>
  </r>
  <r>
    <s v="AD01-9361"/>
    <x v="4"/>
    <s v="Jan"/>
    <x v="1"/>
    <x v="0"/>
    <s v="Order assembled"/>
    <x v="0"/>
    <x v="0"/>
    <x v="0"/>
    <x v="57"/>
    <n v="234.51999999999998"/>
  </r>
  <r>
    <s v="AD01-9363"/>
    <x v="4"/>
    <s v="Jan"/>
    <x v="1"/>
    <x v="0"/>
    <s v="Order assembled"/>
    <x v="0"/>
    <x v="0"/>
    <x v="0"/>
    <x v="290"/>
    <n v="191.62"/>
  </r>
  <r>
    <s v="AD01-9362"/>
    <x v="4"/>
    <s v="Jan"/>
    <x v="1"/>
    <x v="0"/>
    <s v="Order assembled"/>
    <x v="0"/>
    <x v="0"/>
    <x v="0"/>
    <x v="291"/>
    <n v="526.24"/>
  </r>
  <r>
    <s v="AD01-9362"/>
    <x v="4"/>
    <s v="Jan"/>
    <x v="1"/>
    <x v="0"/>
    <s v="Order assembled"/>
    <x v="0"/>
    <x v="0"/>
    <x v="0"/>
    <x v="617"/>
    <n v="1395.68"/>
  </r>
  <r>
    <s v="AD01-9362"/>
    <x v="4"/>
    <s v="Jan"/>
    <x v="1"/>
    <x v="0"/>
    <s v="Order assembled"/>
    <x v="0"/>
    <x v="0"/>
    <x v="0"/>
    <x v="421"/>
    <n v="197.34"/>
  </r>
  <r>
    <s v="AD01-9362"/>
    <x v="4"/>
    <s v="Jan"/>
    <x v="1"/>
    <x v="0"/>
    <s v="Order assembled"/>
    <x v="0"/>
    <x v="0"/>
    <x v="0"/>
    <x v="335"/>
    <n v="235.95"/>
  </r>
  <r>
    <s v="AD01-9362"/>
    <x v="4"/>
    <s v="Jan"/>
    <x v="1"/>
    <x v="0"/>
    <s v="Order assembled"/>
    <x v="0"/>
    <x v="0"/>
    <x v="0"/>
    <x v="293"/>
    <n v="193.05"/>
  </r>
  <r>
    <s v="AD01-9362"/>
    <x v="4"/>
    <s v="Jan"/>
    <x v="1"/>
    <x v="0"/>
    <s v="Order assembled"/>
    <x v="0"/>
    <x v="0"/>
    <x v="0"/>
    <x v="409"/>
    <n v="1082.51"/>
  </r>
  <r>
    <s v="AD01-9363"/>
    <x v="4"/>
    <s v="Jan"/>
    <x v="1"/>
    <x v="0"/>
    <s v="Order assembled"/>
    <x v="0"/>
    <x v="0"/>
    <x v="0"/>
    <x v="388"/>
    <n v="230.23000000000002"/>
  </r>
  <r>
    <s v="AD01-9361"/>
    <x v="4"/>
    <s v="Jan"/>
    <x v="1"/>
    <x v="0"/>
    <s v="Order assembled"/>
    <x v="0"/>
    <x v="0"/>
    <x v="0"/>
    <x v="295"/>
    <n v="195.91"/>
  </r>
  <r>
    <s v="AD01-9362"/>
    <x v="4"/>
    <s v="Jul"/>
    <x v="1"/>
    <x v="0"/>
    <s v="Order assembled"/>
    <x v="0"/>
    <x v="0"/>
    <x v="0"/>
    <x v="0"/>
    <n v="500.5"/>
  </r>
  <r>
    <s v="AD01-9361"/>
    <x v="4"/>
    <s v="Jul"/>
    <x v="1"/>
    <x v="0"/>
    <s v="Order assembled"/>
    <x v="0"/>
    <x v="0"/>
    <x v="0"/>
    <x v="235"/>
    <n v="526.24"/>
  </r>
  <r>
    <s v="AD01-9362"/>
    <x v="4"/>
    <s v="Jul"/>
    <x v="1"/>
    <x v="0"/>
    <s v="Order assembled"/>
    <x v="0"/>
    <x v="0"/>
    <x v="0"/>
    <x v="244"/>
    <n v="526.24"/>
  </r>
  <r>
    <s v="AD01-9364"/>
    <x v="4"/>
    <s v="Jul"/>
    <x v="1"/>
    <x v="0"/>
    <s v="Order assembled"/>
    <x v="0"/>
    <x v="0"/>
    <x v="0"/>
    <x v="618"/>
    <n v="1402.83"/>
  </r>
  <r>
    <s v="AD01-9362"/>
    <x v="4"/>
    <s v="Jul"/>
    <x v="1"/>
    <x v="0"/>
    <s v="Order assembled"/>
    <x v="0"/>
    <x v="0"/>
    <x v="0"/>
    <x v="8"/>
    <n v="497.64"/>
  </r>
  <r>
    <s v="AD01-9362"/>
    <x v="4"/>
    <s v="Jul"/>
    <x v="1"/>
    <x v="0"/>
    <s v="Order assembled"/>
    <x v="0"/>
    <x v="0"/>
    <x v="0"/>
    <x v="239"/>
    <n v="184.47"/>
  </r>
  <r>
    <s v="AD01-9364"/>
    <x v="4"/>
    <s v="Jul"/>
    <x v="1"/>
    <x v="0"/>
    <s v="Order assembled"/>
    <x v="0"/>
    <x v="0"/>
    <x v="0"/>
    <x v="13"/>
    <n v="501.93"/>
  </r>
  <r>
    <s v="AD01-9362"/>
    <x v="4"/>
    <s v="Jul"/>
    <x v="1"/>
    <x v="0"/>
    <s v="Order assembled"/>
    <x v="0"/>
    <x v="0"/>
    <x v="0"/>
    <x v="154"/>
    <n v="1089.6599999999999"/>
  </r>
  <r>
    <s v="AD01-9361"/>
    <x v="4"/>
    <s v="Jul"/>
    <x v="1"/>
    <x v="0"/>
    <s v="Order assembled"/>
    <x v="0"/>
    <x v="0"/>
    <x v="0"/>
    <x v="328"/>
    <n v="1214.07"/>
  </r>
  <r>
    <s v="AD01-9362"/>
    <x v="4"/>
    <s v="Jul"/>
    <x v="1"/>
    <x v="0"/>
    <s v="Order assembled"/>
    <x v="0"/>
    <x v="0"/>
    <x v="0"/>
    <x v="242"/>
    <n v="187.32999999999998"/>
  </r>
  <r>
    <s v="AD01-9364"/>
    <x v="4"/>
    <s v="Jun"/>
    <x v="1"/>
    <x v="0"/>
    <s v="Order assembled"/>
    <x v="0"/>
    <x v="0"/>
    <x v="0"/>
    <x v="290"/>
    <n v="191.62"/>
  </r>
  <r>
    <s v="AD01-9364"/>
    <x v="4"/>
    <s v="Jun"/>
    <x v="1"/>
    <x v="0"/>
    <s v="Order assembled"/>
    <x v="0"/>
    <x v="0"/>
    <x v="0"/>
    <x v="148"/>
    <n v="509.08"/>
  </r>
  <r>
    <s v="AD01-9364"/>
    <x v="4"/>
    <s v="Jun"/>
    <x v="1"/>
    <x v="0"/>
    <s v="Order assembled"/>
    <x v="0"/>
    <x v="0"/>
    <x v="0"/>
    <x v="291"/>
    <n v="526.24"/>
  </r>
  <r>
    <s v="AD01-9364"/>
    <x v="4"/>
    <s v="Jun"/>
    <x v="1"/>
    <x v="0"/>
    <s v="Order assembled"/>
    <x v="0"/>
    <x v="0"/>
    <x v="0"/>
    <x v="619"/>
    <n v="1401.4"/>
  </r>
  <r>
    <s v="AD01-9362"/>
    <x v="4"/>
    <s v="Jun"/>
    <x v="1"/>
    <x v="0"/>
    <s v="Order assembled"/>
    <x v="0"/>
    <x v="0"/>
    <x v="0"/>
    <x v="7"/>
    <n v="506.22"/>
  </r>
  <r>
    <s v="AD01-9362"/>
    <x v="4"/>
    <s v="Jun"/>
    <x v="1"/>
    <x v="0"/>
    <s v="Order assembled"/>
    <x v="0"/>
    <x v="0"/>
    <x v="0"/>
    <x v="293"/>
    <n v="193.05"/>
  </r>
  <r>
    <s v="AD01-9364"/>
    <x v="4"/>
    <s v="Jun"/>
    <x v="1"/>
    <x v="0"/>
    <s v="Order assembled"/>
    <x v="0"/>
    <x v="0"/>
    <x v="0"/>
    <x v="157"/>
    <n v="510.51"/>
  </r>
  <r>
    <s v="AD01-9364"/>
    <x v="4"/>
    <s v="Jun"/>
    <x v="1"/>
    <x v="0"/>
    <s v="Order assembled"/>
    <x v="0"/>
    <x v="0"/>
    <x v="0"/>
    <x v="347"/>
    <n v="1212.6399999999999"/>
  </r>
  <r>
    <s v="AD01-9364"/>
    <x v="4"/>
    <s v="Jun"/>
    <x v="1"/>
    <x v="0"/>
    <s v="Order assembled"/>
    <x v="0"/>
    <x v="0"/>
    <x v="0"/>
    <x v="295"/>
    <n v="195.91"/>
  </r>
  <r>
    <s v="AD01-9364"/>
    <x v="4"/>
    <s v="Jun"/>
    <x v="1"/>
    <x v="0"/>
    <s v="Order assembled"/>
    <x v="0"/>
    <x v="0"/>
    <x v="0"/>
    <x v="248"/>
    <n v="504.78999999999996"/>
  </r>
  <r>
    <s v="AD01-9362"/>
    <x v="4"/>
    <s v="Mar"/>
    <x v="1"/>
    <x v="0"/>
    <s v="Order assembled"/>
    <x v="0"/>
    <x v="0"/>
    <x v="0"/>
    <x v="352"/>
    <n v="217.36"/>
  </r>
  <r>
    <s v="AD01-9362"/>
    <x v="4"/>
    <s v="Mar"/>
    <x v="1"/>
    <x v="0"/>
    <s v="Order assembled"/>
    <x v="0"/>
    <x v="0"/>
    <x v="0"/>
    <x v="361"/>
    <n v="526.24"/>
  </r>
  <r>
    <s v="AD01-9362"/>
    <x v="4"/>
    <s v="Mar"/>
    <x v="1"/>
    <x v="0"/>
    <s v="Order assembled"/>
    <x v="0"/>
    <x v="0"/>
    <x v="0"/>
    <x v="90"/>
    <n v="526.24"/>
  </r>
  <r>
    <s v="AD01-9362"/>
    <x v="4"/>
    <s v="Mar"/>
    <x v="1"/>
    <x v="0"/>
    <s v="Order assembled"/>
    <x v="0"/>
    <x v="0"/>
    <x v="0"/>
    <x v="620"/>
    <n v="1398.54"/>
  </r>
  <r>
    <s v="AD01-9361"/>
    <x v="4"/>
    <s v="Mar"/>
    <x v="1"/>
    <x v="0"/>
    <s v="Order assembled"/>
    <x v="0"/>
    <x v="0"/>
    <x v="0"/>
    <x v="94"/>
    <n v="531.96"/>
  </r>
  <r>
    <s v="AD01-9361"/>
    <x v="4"/>
    <s v="Mar"/>
    <x v="1"/>
    <x v="0"/>
    <s v="Order assembled"/>
    <x v="0"/>
    <x v="0"/>
    <x v="0"/>
    <x v="386"/>
    <n v="218.79"/>
  </r>
  <r>
    <s v="AD01-9362"/>
    <x v="4"/>
    <s v="Mar"/>
    <x v="1"/>
    <x v="0"/>
    <s v="Order assembled"/>
    <x v="0"/>
    <x v="0"/>
    <x v="0"/>
    <x v="155"/>
    <n v="527.66999999999996"/>
  </r>
  <r>
    <s v="AD01-9362"/>
    <x v="4"/>
    <s v="Mar"/>
    <x v="1"/>
    <x v="0"/>
    <s v="Order assembled"/>
    <x v="0"/>
    <x v="0"/>
    <x v="0"/>
    <x v="418"/>
    <n v="1085.3699999999999"/>
  </r>
  <r>
    <s v="AD01-9362"/>
    <x v="4"/>
    <s v="Mar"/>
    <x v="1"/>
    <x v="0"/>
    <s v="Order assembled"/>
    <x v="0"/>
    <x v="0"/>
    <x v="0"/>
    <x v="357"/>
    <n v="1208.3499999999999"/>
  </r>
  <r>
    <s v="AD01-9362"/>
    <x v="4"/>
    <s v="Mar"/>
    <x v="1"/>
    <x v="0"/>
    <s v="Order assembled"/>
    <x v="0"/>
    <x v="0"/>
    <x v="0"/>
    <x v="302"/>
    <n v="530.53"/>
  </r>
  <r>
    <s v="AD01-9364"/>
    <x v="4"/>
    <s v="May"/>
    <x v="1"/>
    <x v="0"/>
    <s v="Order assembled"/>
    <x v="0"/>
    <x v="0"/>
    <x v="0"/>
    <x v="254"/>
    <n v="200.2"/>
  </r>
  <r>
    <s v="AD01-9361"/>
    <x v="4"/>
    <s v="May"/>
    <x v="1"/>
    <x v="0"/>
    <s v="Order assembled"/>
    <x v="0"/>
    <x v="0"/>
    <x v="0"/>
    <x v="147"/>
    <n v="517.66"/>
  </r>
  <r>
    <s v="AD01-9364"/>
    <x v="4"/>
    <s v="May"/>
    <x v="1"/>
    <x v="0"/>
    <s v="Order assembled"/>
    <x v="0"/>
    <x v="0"/>
    <x v="0"/>
    <x v="257"/>
    <n v="526.24"/>
  </r>
  <r>
    <s v="AD01-9361"/>
    <x v="4"/>
    <s v="May"/>
    <x v="1"/>
    <x v="0"/>
    <s v="Order assembled"/>
    <x v="0"/>
    <x v="0"/>
    <x v="0"/>
    <x v="272"/>
    <n v="526.24"/>
  </r>
  <r>
    <s v="AD01-9362"/>
    <x v="4"/>
    <s v="May"/>
    <x v="1"/>
    <x v="0"/>
    <s v="Order assembled"/>
    <x v="0"/>
    <x v="0"/>
    <x v="0"/>
    <x v="621"/>
    <n v="1399.97"/>
  </r>
  <r>
    <s v="AD01-9364"/>
    <x v="4"/>
    <s v="May"/>
    <x v="1"/>
    <x v="0"/>
    <s v="Order assembled"/>
    <x v="0"/>
    <x v="0"/>
    <x v="0"/>
    <x v="151"/>
    <n v="514.79999999999995"/>
  </r>
  <r>
    <s v="AD01-9364"/>
    <x v="4"/>
    <s v="May"/>
    <x v="1"/>
    <x v="0"/>
    <s v="Order assembled"/>
    <x v="0"/>
    <x v="0"/>
    <x v="0"/>
    <x v="260"/>
    <n v="201.63"/>
  </r>
  <r>
    <s v="AD01-9362"/>
    <x v="4"/>
    <s v="May"/>
    <x v="1"/>
    <x v="0"/>
    <s v="Order assembled"/>
    <x v="0"/>
    <x v="0"/>
    <x v="0"/>
    <x v="156"/>
    <n v="519.09"/>
  </r>
  <r>
    <s v="AD01-9361"/>
    <x v="4"/>
    <s v="May"/>
    <x v="1"/>
    <x v="0"/>
    <s v="Order assembled"/>
    <x v="0"/>
    <x v="0"/>
    <x v="0"/>
    <x v="80"/>
    <n v="1088.23"/>
  </r>
  <r>
    <s v="AD01-9364"/>
    <x v="4"/>
    <s v="May"/>
    <x v="1"/>
    <x v="0"/>
    <s v="Order assembled"/>
    <x v="0"/>
    <x v="0"/>
    <x v="0"/>
    <x v="354"/>
    <n v="1211.21"/>
  </r>
  <r>
    <s v="AD01-9361"/>
    <x v="4"/>
    <s v="May"/>
    <x v="1"/>
    <x v="0"/>
    <s v="Order assembled"/>
    <x v="0"/>
    <x v="0"/>
    <x v="0"/>
    <x v="269"/>
    <n v="204.49"/>
  </r>
  <r>
    <s v="AD01-9364"/>
    <x v="4"/>
    <s v="May"/>
    <x v="1"/>
    <x v="0"/>
    <s v="Order assembled"/>
    <x v="0"/>
    <x v="0"/>
    <x v="0"/>
    <x v="284"/>
    <n v="513.37"/>
  </r>
  <r>
    <s v="AD01-9361"/>
    <x v="4"/>
    <s v="Nov"/>
    <x v="1"/>
    <x v="0"/>
    <s v="Order assembled"/>
    <x v="0"/>
    <x v="0"/>
    <x v="0"/>
    <x v="148"/>
    <n v="509.08"/>
  </r>
  <r>
    <s v="AD01-9361"/>
    <x v="4"/>
    <s v="Nov"/>
    <x v="1"/>
    <x v="0"/>
    <s v="Order assembled"/>
    <x v="0"/>
    <x v="0"/>
    <x v="0"/>
    <x v="166"/>
    <n v="466.18"/>
  </r>
  <r>
    <s v="AD01-9364"/>
    <x v="4"/>
    <s v="Nov"/>
    <x v="1"/>
    <x v="0"/>
    <s v="Order assembled"/>
    <x v="0"/>
    <x v="0"/>
    <x v="0"/>
    <x v="272"/>
    <n v="526.24"/>
  </r>
  <r>
    <s v="AD01-9364"/>
    <x v="4"/>
    <s v="Nov"/>
    <x v="1"/>
    <x v="0"/>
    <s v="Order assembled"/>
    <x v="0"/>
    <x v="0"/>
    <x v="0"/>
    <x v="234"/>
    <n v="526.24"/>
  </r>
  <r>
    <s v="AD01-9362"/>
    <x v="4"/>
    <s v="Nov"/>
    <x v="1"/>
    <x v="0"/>
    <s v="Order assembled"/>
    <x v="0"/>
    <x v="0"/>
    <x v="0"/>
    <x v="622"/>
    <n v="1408.55"/>
  </r>
  <r>
    <s v="AD01-9361"/>
    <x v="4"/>
    <s v="Nov"/>
    <x v="1"/>
    <x v="0"/>
    <s v="Order assembled"/>
    <x v="0"/>
    <x v="0"/>
    <x v="0"/>
    <x v="172"/>
    <n v="471.9"/>
  </r>
  <r>
    <s v="AD01-9361"/>
    <x v="4"/>
    <s v="Nov"/>
    <x v="1"/>
    <x v="0"/>
    <s v="Order assembled"/>
    <x v="0"/>
    <x v="0"/>
    <x v="0"/>
    <x v="157"/>
    <n v="510.51"/>
  </r>
  <r>
    <s v="AD01-9362"/>
    <x v="4"/>
    <s v="Nov"/>
    <x v="1"/>
    <x v="0"/>
    <s v="Order assembled"/>
    <x v="0"/>
    <x v="0"/>
    <x v="0"/>
    <x v="178"/>
    <n v="467.61"/>
  </r>
  <r>
    <s v="AD01-9364"/>
    <x v="4"/>
    <s v="Nov"/>
    <x v="1"/>
    <x v="0"/>
    <s v="Order assembled"/>
    <x v="0"/>
    <x v="0"/>
    <x v="0"/>
    <x v="113"/>
    <n v="1095.3800000000001"/>
  </r>
  <r>
    <s v="AD01-9364"/>
    <x v="4"/>
    <s v="Nov"/>
    <x v="1"/>
    <x v="0"/>
    <s v="Order assembled"/>
    <x v="0"/>
    <x v="0"/>
    <x v="0"/>
    <x v="323"/>
    <n v="1218.3600000000001"/>
  </r>
  <r>
    <s v="AD01-9361"/>
    <x v="4"/>
    <s v="Nov"/>
    <x v="1"/>
    <x v="0"/>
    <s v="Order assembled"/>
    <x v="0"/>
    <x v="0"/>
    <x v="0"/>
    <x v="248"/>
    <n v="504.78999999999996"/>
  </r>
  <r>
    <s v="AD01-9361"/>
    <x v="4"/>
    <s v="Nov"/>
    <x v="1"/>
    <x v="0"/>
    <s v="Order assembled"/>
    <x v="0"/>
    <x v="0"/>
    <x v="0"/>
    <x v="241"/>
    <n v="470.47"/>
  </r>
  <r>
    <s v="AD01-9361"/>
    <x v="4"/>
    <s v="Oct"/>
    <x v="1"/>
    <x v="0"/>
    <s v="Order assembled"/>
    <x v="0"/>
    <x v="0"/>
    <x v="0"/>
    <x v="147"/>
    <n v="517.66"/>
  </r>
  <r>
    <s v="AD01-9362"/>
    <x v="4"/>
    <s v="Oct"/>
    <x v="1"/>
    <x v="0"/>
    <s v="Order assembled"/>
    <x v="0"/>
    <x v="0"/>
    <x v="0"/>
    <x v="165"/>
    <n v="474.76"/>
  </r>
  <r>
    <s v="AD01-9362"/>
    <x v="4"/>
    <s v="Oct"/>
    <x v="1"/>
    <x v="0"/>
    <s v="Order assembled"/>
    <x v="0"/>
    <x v="0"/>
    <x v="0"/>
    <x v="249"/>
    <n v="526.24"/>
  </r>
  <r>
    <s v="AD01-9363"/>
    <x v="4"/>
    <s v="Oct"/>
    <x v="1"/>
    <x v="0"/>
    <s v="Order assembled"/>
    <x v="0"/>
    <x v="0"/>
    <x v="0"/>
    <x v="623"/>
    <n v="1407.12"/>
  </r>
  <r>
    <s v="AD01-9364"/>
    <x v="4"/>
    <s v="Oct"/>
    <x v="1"/>
    <x v="0"/>
    <s v="Order assembled"/>
    <x v="0"/>
    <x v="0"/>
    <x v="0"/>
    <x v="171"/>
    <n v="480.48"/>
  </r>
  <r>
    <s v="AD01-9364"/>
    <x v="4"/>
    <s v="Oct"/>
    <x v="1"/>
    <x v="0"/>
    <s v="Order assembled"/>
    <x v="0"/>
    <x v="0"/>
    <x v="0"/>
    <x v="156"/>
    <n v="519.09"/>
  </r>
  <r>
    <s v="AD01-9363"/>
    <x v="4"/>
    <s v="Oct"/>
    <x v="1"/>
    <x v="0"/>
    <s v="Order assembled"/>
    <x v="0"/>
    <x v="0"/>
    <x v="0"/>
    <x v="177"/>
    <n v="476.19"/>
  </r>
  <r>
    <s v="AD01-9362"/>
    <x v="4"/>
    <s v="Oct"/>
    <x v="1"/>
    <x v="0"/>
    <s v="Order assembled"/>
    <x v="0"/>
    <x v="0"/>
    <x v="0"/>
    <x v="135"/>
    <n v="1093.95"/>
  </r>
  <r>
    <s v="AD01-9362"/>
    <x v="4"/>
    <s v="Oct"/>
    <x v="1"/>
    <x v="0"/>
    <s v="Order assembled"/>
    <x v="0"/>
    <x v="0"/>
    <x v="0"/>
    <x v="284"/>
    <n v="513.37"/>
  </r>
  <r>
    <s v="AD01-9361"/>
    <x v="4"/>
    <s v="Oct"/>
    <x v="1"/>
    <x v="0"/>
    <s v="Order assembled"/>
    <x v="0"/>
    <x v="0"/>
    <x v="0"/>
    <x v="253"/>
    <n v="479.05"/>
  </r>
  <r>
    <s v="AD01-9361"/>
    <x v="4"/>
    <s v="Sep"/>
    <x v="1"/>
    <x v="0"/>
    <s v="Order assembled"/>
    <x v="0"/>
    <x v="0"/>
    <x v="0"/>
    <x v="146"/>
    <n v="526.24"/>
  </r>
  <r>
    <s v="AD01-9362"/>
    <x v="4"/>
    <s v="Sep"/>
    <x v="1"/>
    <x v="0"/>
    <s v="Order assembled"/>
    <x v="0"/>
    <x v="0"/>
    <x v="0"/>
    <x v="164"/>
    <n v="483.34000000000003"/>
  </r>
  <r>
    <s v="AD01-9364"/>
    <x v="4"/>
    <s v="Sep"/>
    <x v="1"/>
    <x v="0"/>
    <s v="Order assembled"/>
    <x v="0"/>
    <x v="0"/>
    <x v="0"/>
    <x v="285"/>
    <n v="526.24"/>
  </r>
  <r>
    <s v="AD01-9361"/>
    <x v="4"/>
    <s v="Sep"/>
    <x v="1"/>
    <x v="0"/>
    <s v="Order assembled"/>
    <x v="0"/>
    <x v="0"/>
    <x v="0"/>
    <x v="256"/>
    <n v="526.24"/>
  </r>
  <r>
    <s v="AD01-9361"/>
    <x v="4"/>
    <s v="Sep"/>
    <x v="1"/>
    <x v="0"/>
    <s v="Order assembled"/>
    <x v="0"/>
    <x v="0"/>
    <x v="0"/>
    <x v="624"/>
    <n v="1405.69"/>
  </r>
  <r>
    <s v="AD01-9361"/>
    <x v="4"/>
    <s v="Sep"/>
    <x v="1"/>
    <x v="0"/>
    <s v="Order assembled"/>
    <x v="0"/>
    <x v="0"/>
    <x v="0"/>
    <x v="15"/>
    <n v="484.77"/>
  </r>
  <r>
    <s v="AD01-9361"/>
    <x v="4"/>
    <s v="Sep"/>
    <x v="1"/>
    <x v="0"/>
    <s v="Order assembled"/>
    <x v="0"/>
    <x v="0"/>
    <x v="0"/>
    <x v="176"/>
    <n v="1092.52"/>
  </r>
  <r>
    <s v="AD01-9364"/>
    <x v="4"/>
    <s v="Sep"/>
    <x v="1"/>
    <x v="0"/>
    <s v="Order assembled"/>
    <x v="0"/>
    <x v="0"/>
    <x v="0"/>
    <x v="359"/>
    <n v="1216.93"/>
  </r>
  <r>
    <s v="AD01-9362"/>
    <x v="4"/>
    <s v="Sep"/>
    <x v="1"/>
    <x v="0"/>
    <s v="Order assembled"/>
    <x v="0"/>
    <x v="0"/>
    <x v="0"/>
    <x v="289"/>
    <n v="521.95000000000005"/>
  </r>
  <r>
    <s v="AD01-9361"/>
    <x v="4"/>
    <s v="Sep"/>
    <x v="1"/>
    <x v="0"/>
    <s v="Order assembled"/>
    <x v="0"/>
    <x v="0"/>
    <x v="0"/>
    <x v="268"/>
    <n v="487.63"/>
  </r>
  <r>
    <s v="AD01-9361"/>
    <x v="4"/>
    <s v="Apr"/>
    <x v="1"/>
    <x v="1"/>
    <s v="Cancelld"/>
    <x v="1"/>
    <x v="1"/>
    <x v="2"/>
    <x v="53"/>
    <n v="320.32"/>
  </r>
  <r>
    <s v="AD01-9361"/>
    <x v="4"/>
    <s v="Apr"/>
    <x v="1"/>
    <x v="1"/>
    <s v="Cancelld"/>
    <x v="1"/>
    <x v="1"/>
    <x v="2"/>
    <x v="93"/>
    <n v="323.18"/>
  </r>
  <r>
    <s v="AD01-9362"/>
    <x v="4"/>
    <s v="Apr"/>
    <x v="1"/>
    <x v="1"/>
    <s v="Cancelld"/>
    <x v="1"/>
    <x v="1"/>
    <x v="2"/>
    <x v="131"/>
    <n v="280.27999999999997"/>
  </r>
  <r>
    <s v="AD01-9362"/>
    <x v="4"/>
    <s v="Apr"/>
    <x v="1"/>
    <x v="1"/>
    <s v="Cancelld"/>
    <x v="1"/>
    <x v="1"/>
    <x v="2"/>
    <x v="159"/>
    <n v="1146.8600000000001"/>
  </r>
  <r>
    <s v="AD01-9365"/>
    <x v="4"/>
    <s v="Apr"/>
    <x v="1"/>
    <x v="1"/>
    <s v="Cancelld"/>
    <x v="1"/>
    <x v="1"/>
    <x v="2"/>
    <x v="625"/>
    <n v="1269.8399999999999"/>
  </r>
  <r>
    <s v="AD01-9365"/>
    <x v="4"/>
    <s v="Apr"/>
    <x v="1"/>
    <x v="1"/>
    <s v="Cancelld"/>
    <x v="1"/>
    <x v="1"/>
    <x v="2"/>
    <x v="543"/>
    <n v="526.24"/>
  </r>
  <r>
    <s v="AD01-9362"/>
    <x v="4"/>
    <s v="Apr"/>
    <x v="1"/>
    <x v="1"/>
    <s v="Cancelld"/>
    <x v="1"/>
    <x v="1"/>
    <x v="2"/>
    <x v="66"/>
    <n v="278.85000000000002"/>
  </r>
  <r>
    <s v="AD01-9362"/>
    <x v="4"/>
    <s v="Apr"/>
    <x v="1"/>
    <x v="1"/>
    <s v="Cancelld"/>
    <x v="1"/>
    <x v="1"/>
    <x v="2"/>
    <x v="100"/>
    <n v="318.89"/>
  </r>
  <r>
    <s v="AD01-9361"/>
    <x v="4"/>
    <s v="Apr"/>
    <x v="1"/>
    <x v="1"/>
    <s v="Cancelld"/>
    <x v="1"/>
    <x v="1"/>
    <x v="2"/>
    <x v="141"/>
    <n v="284.57"/>
  </r>
  <r>
    <s v="AD01-9361"/>
    <x v="4"/>
    <s v="Apr"/>
    <x v="1"/>
    <x v="1"/>
    <s v="Cancelld"/>
    <x v="1"/>
    <x v="1"/>
    <x v="2"/>
    <x v="201"/>
    <n v="281.70999999999998"/>
  </r>
  <r>
    <s v="AD01-9362"/>
    <x v="4"/>
    <s v="Aug"/>
    <x v="1"/>
    <x v="1"/>
    <s v="Cancelld"/>
    <x v="1"/>
    <x v="1"/>
    <x v="2"/>
    <x v="203"/>
    <n v="251.68"/>
  </r>
  <r>
    <s v="AD01-9361"/>
    <x v="4"/>
    <s v="Aug"/>
    <x v="1"/>
    <x v="1"/>
    <s v="Cancelld"/>
    <x v="1"/>
    <x v="1"/>
    <x v="2"/>
    <x v="170"/>
    <n v="288.86"/>
  </r>
  <r>
    <s v="AD01-9362"/>
    <x v="4"/>
    <s v="Aug"/>
    <x v="1"/>
    <x v="1"/>
    <s v="Cancelld"/>
    <x v="1"/>
    <x v="1"/>
    <x v="2"/>
    <x v="204"/>
    <n v="254.54"/>
  </r>
  <r>
    <s v="AD01-9364"/>
    <x v="4"/>
    <s v="Aug"/>
    <x v="1"/>
    <x v="1"/>
    <s v="Cancelld"/>
    <x v="1"/>
    <x v="1"/>
    <x v="2"/>
    <x v="118"/>
    <n v="1151.1500000000001"/>
  </r>
  <r>
    <s v="AD01-9363"/>
    <x v="4"/>
    <s v="Aug"/>
    <x v="1"/>
    <x v="1"/>
    <s v="Cancelld"/>
    <x v="1"/>
    <x v="1"/>
    <x v="2"/>
    <x v="626"/>
    <n v="1275.56"/>
  </r>
  <r>
    <s v="AD01-9363"/>
    <x v="4"/>
    <s v="Aug"/>
    <x v="1"/>
    <x v="1"/>
    <s v="Cancelld"/>
    <x v="1"/>
    <x v="1"/>
    <x v="2"/>
    <x v="357"/>
    <n v="526.24"/>
  </r>
  <r>
    <s v="AD01-9364"/>
    <x v="4"/>
    <s v="Aug"/>
    <x v="1"/>
    <x v="1"/>
    <s v="Cancelld"/>
    <x v="1"/>
    <x v="1"/>
    <x v="2"/>
    <x v="372"/>
    <n v="253.11"/>
  </r>
  <r>
    <s v="AD01-9362"/>
    <x v="4"/>
    <s v="Aug"/>
    <x v="1"/>
    <x v="1"/>
    <s v="Cancelld"/>
    <x v="1"/>
    <x v="1"/>
    <x v="2"/>
    <x v="184"/>
    <n v="293.14999999999998"/>
  </r>
  <r>
    <s v="AD01-9361"/>
    <x v="4"/>
    <s v="Aug"/>
    <x v="1"/>
    <x v="1"/>
    <s v="Cancelld"/>
    <x v="1"/>
    <x v="1"/>
    <x v="2"/>
    <x v="213"/>
    <n v="250.25"/>
  </r>
  <r>
    <s v="AD01-9362"/>
    <x v="4"/>
    <s v="Aug"/>
    <x v="1"/>
    <x v="1"/>
    <s v="Cancelld"/>
    <x v="1"/>
    <x v="1"/>
    <x v="2"/>
    <x v="353"/>
    <n v="1164.02"/>
  </r>
  <r>
    <s v="AD01-9365"/>
    <x v="4"/>
    <s v="Dec"/>
    <x v="1"/>
    <x v="1"/>
    <s v="Cancelld"/>
    <x v="1"/>
    <x v="1"/>
    <x v="2"/>
    <x v="217"/>
    <n v="260.26"/>
  </r>
  <r>
    <s v="AD01-9364"/>
    <x v="4"/>
    <s v="Dec"/>
    <x v="1"/>
    <x v="1"/>
    <s v="Cancelld"/>
    <x v="1"/>
    <x v="1"/>
    <x v="2"/>
    <x v="352"/>
    <n v="217.36"/>
  </r>
  <r>
    <s v="AD01-9361"/>
    <x v="4"/>
    <s v="Dec"/>
    <x v="1"/>
    <x v="1"/>
    <s v="Cancelld"/>
    <x v="1"/>
    <x v="1"/>
    <x v="2"/>
    <x v="219"/>
    <n v="263.12"/>
  </r>
  <r>
    <s v="AD01-9363"/>
    <x v="4"/>
    <s v="Dec"/>
    <x v="1"/>
    <x v="1"/>
    <s v="Cancelld"/>
    <x v="1"/>
    <x v="1"/>
    <x v="2"/>
    <x v="361"/>
    <n v="220.22"/>
  </r>
  <r>
    <s v="AD01-9363"/>
    <x v="4"/>
    <s v="Dec"/>
    <x v="1"/>
    <x v="1"/>
    <s v="Cancelld"/>
    <x v="1"/>
    <x v="1"/>
    <x v="2"/>
    <x v="199"/>
    <n v="1156.8699999999999"/>
  </r>
  <r>
    <s v="AD01-9362"/>
    <x v="4"/>
    <s v="Dec"/>
    <x v="1"/>
    <x v="1"/>
    <s v="Cancelld"/>
    <x v="1"/>
    <x v="1"/>
    <x v="2"/>
    <x v="627"/>
    <n v="1279.8499999999999"/>
  </r>
  <r>
    <s v="AD01-9362"/>
    <x v="4"/>
    <s v="Dec"/>
    <x v="1"/>
    <x v="1"/>
    <s v="Cancelld"/>
    <x v="1"/>
    <x v="1"/>
    <x v="2"/>
    <x v="347"/>
    <n v="526.24"/>
  </r>
  <r>
    <s v="AD01-9363"/>
    <x v="4"/>
    <s v="Dec"/>
    <x v="1"/>
    <x v="1"/>
    <s v="Cancelld"/>
    <x v="1"/>
    <x v="1"/>
    <x v="2"/>
    <x v="386"/>
    <n v="218.79"/>
  </r>
  <r>
    <s v="AD01-9363"/>
    <x v="4"/>
    <s v="Dec"/>
    <x v="1"/>
    <x v="1"/>
    <s v="Cancelld"/>
    <x v="1"/>
    <x v="1"/>
    <x v="2"/>
    <x v="231"/>
    <n v="258.83"/>
  </r>
  <r>
    <s v="AD01-9361"/>
    <x v="4"/>
    <s v="Dec"/>
    <x v="1"/>
    <x v="1"/>
    <s v="Cancelld"/>
    <x v="1"/>
    <x v="1"/>
    <x v="2"/>
    <x v="365"/>
    <n v="224.51"/>
  </r>
  <r>
    <s v="AD01-9364"/>
    <x v="4"/>
    <s v="Dec"/>
    <x v="1"/>
    <x v="1"/>
    <s v="Cancelld"/>
    <x v="1"/>
    <x v="1"/>
    <x v="2"/>
    <x v="343"/>
    <n v="1169.74"/>
  </r>
  <r>
    <s v="AD01-9365"/>
    <x v="4"/>
    <s v="Dec"/>
    <x v="1"/>
    <x v="1"/>
    <s v="Cancelld"/>
    <x v="1"/>
    <x v="1"/>
    <x v="2"/>
    <x v="389"/>
    <n v="221.65"/>
  </r>
  <r>
    <s v="AD01-9361"/>
    <x v="4"/>
    <s v="Feb"/>
    <x v="1"/>
    <x v="1"/>
    <s v="Cancelld"/>
    <x v="1"/>
    <x v="1"/>
    <x v="2"/>
    <x v="2"/>
    <n v="337.48"/>
  </r>
  <r>
    <s v="AD01-9361"/>
    <x v="4"/>
    <s v="Feb"/>
    <x v="1"/>
    <x v="1"/>
    <s v="Cancelld"/>
    <x v="1"/>
    <x v="1"/>
    <x v="2"/>
    <x v="168"/>
    <n v="294.58"/>
  </r>
  <r>
    <s v="AD01-9363"/>
    <x v="4"/>
    <s v="Feb"/>
    <x v="1"/>
    <x v="1"/>
    <s v="Cancelld"/>
    <x v="1"/>
    <x v="1"/>
    <x v="2"/>
    <x v="6"/>
    <n v="297.44"/>
  </r>
  <r>
    <s v="AD01-9362"/>
    <x v="4"/>
    <s v="Feb"/>
    <x v="1"/>
    <x v="1"/>
    <s v="Cancelld"/>
    <x v="1"/>
    <x v="1"/>
    <x v="2"/>
    <x v="98"/>
    <n v="1144"/>
  </r>
  <r>
    <s v="AD01-9364"/>
    <x v="4"/>
    <s v="Feb"/>
    <x v="1"/>
    <x v="1"/>
    <s v="Cancelld"/>
    <x v="1"/>
    <x v="1"/>
    <x v="2"/>
    <x v="122"/>
    <n v="1266.98"/>
  </r>
  <r>
    <s v="AD01-9364"/>
    <x v="4"/>
    <s v="Feb"/>
    <x v="1"/>
    <x v="1"/>
    <s v="Cancelld"/>
    <x v="1"/>
    <x v="1"/>
    <x v="2"/>
    <x v="469"/>
    <n v="526.24"/>
  </r>
  <r>
    <s v="AD01-9362"/>
    <x v="4"/>
    <s v="Feb"/>
    <x v="1"/>
    <x v="1"/>
    <s v="Cancelld"/>
    <x v="1"/>
    <x v="1"/>
    <x v="2"/>
    <x v="228"/>
    <n v="296.01"/>
  </r>
  <r>
    <s v="AD01-9363"/>
    <x v="4"/>
    <s v="Feb"/>
    <x v="1"/>
    <x v="1"/>
    <s v="Cancelld"/>
    <x v="1"/>
    <x v="1"/>
    <x v="2"/>
    <x v="19"/>
    <n v="336.05"/>
  </r>
  <r>
    <s v="AD01-9361"/>
    <x v="4"/>
    <s v="Feb"/>
    <x v="1"/>
    <x v="1"/>
    <s v="Cancelld"/>
    <x v="1"/>
    <x v="1"/>
    <x v="2"/>
    <x v="199"/>
    <n v="1156.8699999999999"/>
  </r>
  <r>
    <s v="AD01-9361"/>
    <x v="4"/>
    <s v="Feb"/>
    <x v="1"/>
    <x v="1"/>
    <s v="Cancelld"/>
    <x v="1"/>
    <x v="1"/>
    <x v="2"/>
    <x v="232"/>
    <n v="298.87"/>
  </r>
  <r>
    <s v="AD01-9361"/>
    <x v="4"/>
    <s v="Jan"/>
    <x v="1"/>
    <x v="1"/>
    <s v="Cancelld"/>
    <x v="1"/>
    <x v="1"/>
    <x v="2"/>
    <x v="56"/>
    <n v="346.06"/>
  </r>
  <r>
    <s v="AD01-9364"/>
    <x v="4"/>
    <s v="Jan"/>
    <x v="1"/>
    <x v="1"/>
    <s v="Cancelld"/>
    <x v="1"/>
    <x v="1"/>
    <x v="2"/>
    <x v="29"/>
    <n v="303.15999999999997"/>
  </r>
  <r>
    <s v="AD01-9362"/>
    <x v="4"/>
    <s v="Jan"/>
    <x v="1"/>
    <x v="1"/>
    <s v="Cancelld"/>
    <x v="1"/>
    <x v="1"/>
    <x v="2"/>
    <x v="4"/>
    <n v="340.34000000000003"/>
  </r>
  <r>
    <s v="AD01-9364"/>
    <x v="4"/>
    <s v="Jan"/>
    <x v="1"/>
    <x v="1"/>
    <s v="Cancelld"/>
    <x v="1"/>
    <x v="1"/>
    <x v="2"/>
    <x v="32"/>
    <n v="306.02"/>
  </r>
  <r>
    <s v="AD01-9362"/>
    <x v="4"/>
    <s v="Jan"/>
    <x v="1"/>
    <x v="1"/>
    <s v="Cancelld"/>
    <x v="1"/>
    <x v="1"/>
    <x v="2"/>
    <x v="518"/>
    <n v="1142.57"/>
  </r>
  <r>
    <s v="AD01-9362"/>
    <x v="4"/>
    <s v="Jan"/>
    <x v="1"/>
    <x v="1"/>
    <s v="Cancelld"/>
    <x v="1"/>
    <x v="1"/>
    <x v="2"/>
    <x v="42"/>
    <n v="304.59000000000003"/>
  </r>
  <r>
    <s v="AD01-9364"/>
    <x v="4"/>
    <s v="Jan"/>
    <x v="1"/>
    <x v="1"/>
    <s v="Cancelld"/>
    <x v="1"/>
    <x v="1"/>
    <x v="2"/>
    <x v="69"/>
    <n v="344.63"/>
  </r>
  <r>
    <s v="AD01-9362"/>
    <x v="4"/>
    <s v="Jan"/>
    <x v="1"/>
    <x v="1"/>
    <s v="Cancelld"/>
    <x v="1"/>
    <x v="1"/>
    <x v="2"/>
    <x v="21"/>
    <n v="301.73"/>
  </r>
  <r>
    <s v="AD01-9364"/>
    <x v="4"/>
    <s v="Jan"/>
    <x v="1"/>
    <x v="1"/>
    <s v="Cancelld"/>
    <x v="1"/>
    <x v="1"/>
    <x v="2"/>
    <x v="212"/>
    <n v="1155.44"/>
  </r>
  <r>
    <s v="AD01-9361"/>
    <x v="4"/>
    <s v="Jan"/>
    <x v="1"/>
    <x v="1"/>
    <s v="Cancelld"/>
    <x v="1"/>
    <x v="1"/>
    <x v="2"/>
    <x v="50"/>
    <n v="307.45"/>
  </r>
  <r>
    <s v="AD01-9361"/>
    <x v="4"/>
    <s v="Jul"/>
    <x v="1"/>
    <x v="1"/>
    <s v="Cancelld"/>
    <x v="1"/>
    <x v="1"/>
    <x v="2"/>
    <x v="168"/>
    <n v="294.58"/>
  </r>
  <r>
    <s v="AD01-9362"/>
    <x v="4"/>
    <s v="Jul"/>
    <x v="1"/>
    <x v="1"/>
    <s v="Cancelld"/>
    <x v="1"/>
    <x v="1"/>
    <x v="2"/>
    <x v="217"/>
    <n v="260.26"/>
  </r>
  <r>
    <s v="AD01-9362"/>
    <x v="4"/>
    <s v="Jul"/>
    <x v="1"/>
    <x v="1"/>
    <s v="Cancelld"/>
    <x v="1"/>
    <x v="1"/>
    <x v="2"/>
    <x v="6"/>
    <n v="297.44"/>
  </r>
  <r>
    <s v="AD01-9362"/>
    <x v="4"/>
    <s v="Jul"/>
    <x v="1"/>
    <x v="1"/>
    <s v="Cancelld"/>
    <x v="1"/>
    <x v="1"/>
    <x v="2"/>
    <x v="181"/>
    <n v="1149.72"/>
  </r>
  <r>
    <s v="AD01-9361"/>
    <x v="4"/>
    <s v="Jul"/>
    <x v="1"/>
    <x v="1"/>
    <s v="Cancelld"/>
    <x v="1"/>
    <x v="1"/>
    <x v="2"/>
    <x v="628"/>
    <n v="1274.1300000000001"/>
  </r>
  <r>
    <s v="AD01-9361"/>
    <x v="4"/>
    <s v="Jul"/>
    <x v="1"/>
    <x v="1"/>
    <s v="Cancelld"/>
    <x v="1"/>
    <x v="1"/>
    <x v="2"/>
    <x v="337"/>
    <n v="526.24"/>
  </r>
  <r>
    <s v="AD01-9362"/>
    <x v="4"/>
    <s v="Jul"/>
    <x v="1"/>
    <x v="1"/>
    <s v="Cancelld"/>
    <x v="1"/>
    <x v="1"/>
    <x v="2"/>
    <x v="376"/>
    <n v="261.69"/>
  </r>
  <r>
    <s v="AD01-9362"/>
    <x v="4"/>
    <s v="Jul"/>
    <x v="1"/>
    <x v="1"/>
    <s v="Cancelld"/>
    <x v="1"/>
    <x v="1"/>
    <x v="2"/>
    <x v="231"/>
    <n v="258.83"/>
  </r>
  <r>
    <s v="AD01-9362"/>
    <x v="4"/>
    <s v="Jul"/>
    <x v="1"/>
    <x v="1"/>
    <s v="Cancelld"/>
    <x v="1"/>
    <x v="1"/>
    <x v="2"/>
    <x v="362"/>
    <n v="1162.5899999999999"/>
  </r>
  <r>
    <s v="AD01-9361"/>
    <x v="4"/>
    <s v="Jul"/>
    <x v="1"/>
    <x v="1"/>
    <s v="Cancelld"/>
    <x v="1"/>
    <x v="1"/>
    <x v="2"/>
    <x v="403"/>
    <n v="255.97"/>
  </r>
  <r>
    <s v="AD01-9362"/>
    <x v="4"/>
    <s v="Jun"/>
    <x v="1"/>
    <x v="1"/>
    <s v="Cancelld"/>
    <x v="1"/>
    <x v="1"/>
    <x v="2"/>
    <x v="29"/>
    <n v="303.15999999999997"/>
  </r>
  <r>
    <s v="AD01-9364"/>
    <x v="4"/>
    <s v="Jun"/>
    <x v="1"/>
    <x v="1"/>
    <s v="Cancelld"/>
    <x v="1"/>
    <x v="1"/>
    <x v="2"/>
    <x v="31"/>
    <n v="268.84000000000003"/>
  </r>
  <r>
    <s v="AD01-9363"/>
    <x v="4"/>
    <s v="Jun"/>
    <x v="1"/>
    <x v="1"/>
    <s v="Cancelld"/>
    <x v="1"/>
    <x v="1"/>
    <x v="2"/>
    <x v="32"/>
    <n v="306.02"/>
  </r>
  <r>
    <s v="AD01-9364"/>
    <x v="4"/>
    <s v="Jun"/>
    <x v="1"/>
    <x v="1"/>
    <s v="Cancelld"/>
    <x v="1"/>
    <x v="1"/>
    <x v="2"/>
    <x v="219"/>
    <n v="263.12"/>
  </r>
  <r>
    <s v="AD01-9363"/>
    <x v="4"/>
    <s v="Jun"/>
    <x v="1"/>
    <x v="1"/>
    <s v="Cancelld"/>
    <x v="1"/>
    <x v="1"/>
    <x v="2"/>
    <x v="18"/>
    <n v="1148.29"/>
  </r>
  <r>
    <s v="AD01-9364"/>
    <x v="4"/>
    <s v="Jun"/>
    <x v="1"/>
    <x v="1"/>
    <s v="Cancelld"/>
    <x v="1"/>
    <x v="1"/>
    <x v="2"/>
    <x v="629"/>
    <n v="1272.7"/>
  </r>
  <r>
    <s v="AD01-9364"/>
    <x v="4"/>
    <s v="Jun"/>
    <x v="1"/>
    <x v="1"/>
    <s v="Cancelld"/>
    <x v="1"/>
    <x v="1"/>
    <x v="2"/>
    <x v="341"/>
    <n v="526.24"/>
  </r>
  <r>
    <s v="AD01-9363"/>
    <x v="4"/>
    <s v="Jun"/>
    <x v="1"/>
    <x v="1"/>
    <s v="Cancelld"/>
    <x v="1"/>
    <x v="1"/>
    <x v="2"/>
    <x v="349"/>
    <n v="270.27"/>
  </r>
  <r>
    <s v="AD01-9364"/>
    <x v="4"/>
    <s v="Jun"/>
    <x v="1"/>
    <x v="1"/>
    <s v="Cancelld"/>
    <x v="1"/>
    <x v="1"/>
    <x v="2"/>
    <x v="21"/>
    <n v="301.73"/>
  </r>
  <r>
    <s v="AD01-9363"/>
    <x v="4"/>
    <s v="Jun"/>
    <x v="1"/>
    <x v="1"/>
    <s v="Cancelld"/>
    <x v="1"/>
    <x v="1"/>
    <x v="2"/>
    <x v="47"/>
    <n v="267.40999999999997"/>
  </r>
  <r>
    <s v="AD01-9364"/>
    <x v="4"/>
    <s v="Jun"/>
    <x v="1"/>
    <x v="1"/>
    <s v="Cancelld"/>
    <x v="1"/>
    <x v="1"/>
    <x v="2"/>
    <x v="321"/>
    <n v="1161.1599999999999"/>
  </r>
  <r>
    <s v="AD01-9362"/>
    <x v="4"/>
    <s v="Jun"/>
    <x v="1"/>
    <x v="1"/>
    <s v="Cancelld"/>
    <x v="1"/>
    <x v="1"/>
    <x v="2"/>
    <x v="402"/>
    <n v="264.55"/>
  </r>
  <r>
    <s v="AD01-9362"/>
    <x v="4"/>
    <s v="Mar"/>
    <x v="1"/>
    <x v="1"/>
    <s v="Cancelld"/>
    <x v="1"/>
    <x v="1"/>
    <x v="2"/>
    <x v="167"/>
    <n v="328.9"/>
  </r>
  <r>
    <s v="AD01-9361"/>
    <x v="4"/>
    <s v="Mar"/>
    <x v="1"/>
    <x v="1"/>
    <s v="Cancelld"/>
    <x v="1"/>
    <x v="1"/>
    <x v="2"/>
    <x v="129"/>
    <n v="286"/>
  </r>
  <r>
    <s v="AD01-9361"/>
    <x v="4"/>
    <s v="Mar"/>
    <x v="1"/>
    <x v="1"/>
    <s v="Cancelld"/>
    <x v="1"/>
    <x v="1"/>
    <x v="2"/>
    <x v="169"/>
    <n v="331.76"/>
  </r>
  <r>
    <s v="AD01-9364"/>
    <x v="4"/>
    <s v="Mar"/>
    <x v="1"/>
    <x v="1"/>
    <s v="Cancelld"/>
    <x v="1"/>
    <x v="1"/>
    <x v="2"/>
    <x v="170"/>
    <n v="288.86"/>
  </r>
  <r>
    <s v="AD01-9361"/>
    <x v="4"/>
    <s v="Mar"/>
    <x v="1"/>
    <x v="1"/>
    <s v="Cancelld"/>
    <x v="1"/>
    <x v="1"/>
    <x v="2"/>
    <x v="83"/>
    <n v="1145.43"/>
  </r>
  <r>
    <s v="AD01-9361"/>
    <x v="4"/>
    <s v="Mar"/>
    <x v="1"/>
    <x v="1"/>
    <s v="Cancelld"/>
    <x v="1"/>
    <x v="1"/>
    <x v="2"/>
    <x v="630"/>
    <n v="1268.4099999999999"/>
  </r>
  <r>
    <s v="AD01-9361"/>
    <x v="4"/>
    <s v="Mar"/>
    <x v="1"/>
    <x v="1"/>
    <s v="Cancelld"/>
    <x v="1"/>
    <x v="1"/>
    <x v="2"/>
    <x v="552"/>
    <n v="526.24"/>
  </r>
  <r>
    <s v="AD01-9361"/>
    <x v="4"/>
    <s v="Mar"/>
    <x v="1"/>
    <x v="1"/>
    <s v="Cancelld"/>
    <x v="1"/>
    <x v="1"/>
    <x v="2"/>
    <x v="197"/>
    <n v="287.43"/>
  </r>
  <r>
    <s v="AD01-9364"/>
    <x v="4"/>
    <s v="Mar"/>
    <x v="1"/>
    <x v="1"/>
    <s v="Cancelld"/>
    <x v="1"/>
    <x v="1"/>
    <x v="2"/>
    <x v="182"/>
    <n v="327.47000000000003"/>
  </r>
  <r>
    <s v="AD01-9361"/>
    <x v="4"/>
    <s v="Mar"/>
    <x v="1"/>
    <x v="1"/>
    <s v="Cancelld"/>
    <x v="1"/>
    <x v="1"/>
    <x v="2"/>
    <x v="184"/>
    <n v="293.14999999999998"/>
  </r>
  <r>
    <s v="AD01-9361"/>
    <x v="4"/>
    <s v="Mar"/>
    <x v="1"/>
    <x v="1"/>
    <s v="Cancelld"/>
    <x v="1"/>
    <x v="1"/>
    <x v="2"/>
    <x v="67"/>
    <n v="1158.3"/>
  </r>
  <r>
    <s v="AD01-9362"/>
    <x v="4"/>
    <s v="Mar"/>
    <x v="1"/>
    <x v="1"/>
    <s v="Cancelld"/>
    <x v="1"/>
    <x v="1"/>
    <x v="2"/>
    <x v="215"/>
    <n v="290.28999999999996"/>
  </r>
  <r>
    <s v="AD01-9364"/>
    <x v="4"/>
    <s v="May"/>
    <x v="1"/>
    <x v="1"/>
    <s v="Cancelld"/>
    <x v="1"/>
    <x v="1"/>
    <x v="2"/>
    <x v="54"/>
    <n v="311.74"/>
  </r>
  <r>
    <s v="AD01-9364"/>
    <x v="4"/>
    <s v="May"/>
    <x v="1"/>
    <x v="1"/>
    <s v="Cancelld"/>
    <x v="1"/>
    <x v="1"/>
    <x v="2"/>
    <x v="55"/>
    <n v="277.42"/>
  </r>
  <r>
    <s v="AD01-9362"/>
    <x v="4"/>
    <s v="May"/>
    <x v="1"/>
    <x v="1"/>
    <s v="Cancelld"/>
    <x v="1"/>
    <x v="1"/>
    <x v="2"/>
    <x v="77"/>
    <n v="314.60000000000002"/>
  </r>
  <r>
    <s v="AD01-9362"/>
    <x v="4"/>
    <s v="May"/>
    <x v="1"/>
    <x v="1"/>
    <s v="Cancelld"/>
    <x v="1"/>
    <x v="1"/>
    <x v="2"/>
    <x v="34"/>
    <n v="271.7"/>
  </r>
  <r>
    <s v="AD01-9362"/>
    <x v="4"/>
    <s v="May"/>
    <x v="1"/>
    <x v="1"/>
    <s v="Cancelld"/>
    <x v="1"/>
    <x v="1"/>
    <x v="2"/>
    <x v="631"/>
    <n v="1271.27"/>
  </r>
  <r>
    <s v="AD01-9362"/>
    <x v="4"/>
    <s v="May"/>
    <x v="1"/>
    <x v="1"/>
    <s v="Cancelld"/>
    <x v="1"/>
    <x v="1"/>
    <x v="2"/>
    <x v="539"/>
    <n v="526.24"/>
  </r>
  <r>
    <s v="AD01-9362"/>
    <x v="4"/>
    <s v="May"/>
    <x v="1"/>
    <x v="1"/>
    <s v="Cancelld"/>
    <x v="1"/>
    <x v="1"/>
    <x v="2"/>
    <x v="45"/>
    <n v="310.31"/>
  </r>
  <r>
    <s v="AD01-9362"/>
    <x v="4"/>
    <s v="May"/>
    <x v="1"/>
    <x v="1"/>
    <s v="Cancelld"/>
    <x v="1"/>
    <x v="1"/>
    <x v="2"/>
    <x v="68"/>
    <n v="275.99"/>
  </r>
  <r>
    <s v="AD01-9364"/>
    <x v="4"/>
    <s v="May"/>
    <x v="1"/>
    <x v="1"/>
    <s v="Cancelld"/>
    <x v="1"/>
    <x v="1"/>
    <x v="2"/>
    <x v="251"/>
    <n v="1159.73"/>
  </r>
  <r>
    <s v="AD01-9364"/>
    <x v="4"/>
    <s v="May"/>
    <x v="1"/>
    <x v="1"/>
    <s v="Cancelld"/>
    <x v="1"/>
    <x v="1"/>
    <x v="2"/>
    <x v="71"/>
    <n v="273.13"/>
  </r>
  <r>
    <s v="AD01-9362"/>
    <x v="4"/>
    <s v="Nov"/>
    <x v="1"/>
    <x v="1"/>
    <s v="Cancelld"/>
    <x v="1"/>
    <x v="1"/>
    <x v="2"/>
    <x v="31"/>
    <n v="268.84000000000003"/>
  </r>
  <r>
    <s v="AD01-9365"/>
    <x v="4"/>
    <s v="Nov"/>
    <x v="1"/>
    <x v="1"/>
    <s v="Cancelld"/>
    <x v="1"/>
    <x v="1"/>
    <x v="2"/>
    <x v="319"/>
    <n v="225.94"/>
  </r>
  <r>
    <s v="AD01-9361"/>
    <x v="4"/>
    <s v="Nov"/>
    <x v="1"/>
    <x v="1"/>
    <s v="Cancelld"/>
    <x v="1"/>
    <x v="1"/>
    <x v="2"/>
    <x v="320"/>
    <n v="228.8"/>
  </r>
  <r>
    <s v="AD01-9361"/>
    <x v="4"/>
    <s v="Nov"/>
    <x v="1"/>
    <x v="1"/>
    <s v="Cancelld"/>
    <x v="1"/>
    <x v="1"/>
    <x v="2"/>
    <x v="212"/>
    <n v="1155.44"/>
  </r>
  <r>
    <s v="AD01-9362"/>
    <x v="4"/>
    <s v="Nov"/>
    <x v="1"/>
    <x v="1"/>
    <s v="Cancelld"/>
    <x v="1"/>
    <x v="1"/>
    <x v="2"/>
    <x v="632"/>
    <n v="1278.42"/>
  </r>
  <r>
    <s v="AD01-9362"/>
    <x v="4"/>
    <s v="Nov"/>
    <x v="1"/>
    <x v="1"/>
    <s v="Cancelld"/>
    <x v="1"/>
    <x v="1"/>
    <x v="2"/>
    <x v="354"/>
    <n v="526.24"/>
  </r>
  <r>
    <s v="AD01-9361"/>
    <x v="4"/>
    <s v="Nov"/>
    <x v="1"/>
    <x v="1"/>
    <s v="Cancelld"/>
    <x v="1"/>
    <x v="1"/>
    <x v="2"/>
    <x v="385"/>
    <n v="227.37"/>
  </r>
  <r>
    <s v="AD01-9361"/>
    <x v="4"/>
    <s v="Nov"/>
    <x v="1"/>
    <x v="1"/>
    <s v="Cancelld"/>
    <x v="1"/>
    <x v="1"/>
    <x v="2"/>
    <x v="47"/>
    <n v="267.40999999999997"/>
  </r>
  <r>
    <s v="AD01-9365"/>
    <x v="4"/>
    <s v="Nov"/>
    <x v="1"/>
    <x v="1"/>
    <s v="Cancelld"/>
    <x v="1"/>
    <x v="1"/>
    <x v="2"/>
    <x v="374"/>
    <n v="1168.31"/>
  </r>
  <r>
    <s v="AD01-9362"/>
    <x v="4"/>
    <s v="Nov"/>
    <x v="1"/>
    <x v="1"/>
    <s v="Cancelld"/>
    <x v="1"/>
    <x v="1"/>
    <x v="2"/>
    <x v="388"/>
    <n v="230.23000000000002"/>
  </r>
  <r>
    <s v="AD01-9361"/>
    <x v="4"/>
    <s v="Oct"/>
    <x v="1"/>
    <x v="1"/>
    <s v="Cancelld"/>
    <x v="1"/>
    <x v="1"/>
    <x v="2"/>
    <x v="55"/>
    <n v="277.42"/>
  </r>
  <r>
    <s v="AD01-9362"/>
    <x v="4"/>
    <s v="Oct"/>
    <x v="1"/>
    <x v="1"/>
    <s v="Cancelld"/>
    <x v="1"/>
    <x v="1"/>
    <x v="2"/>
    <x v="57"/>
    <n v="234.51999999999998"/>
  </r>
  <r>
    <s v="AD01-9362"/>
    <x v="4"/>
    <s v="Oct"/>
    <x v="1"/>
    <x v="1"/>
    <s v="Cancelld"/>
    <x v="1"/>
    <x v="1"/>
    <x v="2"/>
    <x v="34"/>
    <n v="271.7"/>
  </r>
  <r>
    <s v="AD01-9363"/>
    <x v="4"/>
    <s v="Oct"/>
    <x v="1"/>
    <x v="1"/>
    <s v="Cancelld"/>
    <x v="1"/>
    <x v="1"/>
    <x v="2"/>
    <x v="58"/>
    <n v="237.38"/>
  </r>
  <r>
    <s v="AD01-9361"/>
    <x v="4"/>
    <s v="Oct"/>
    <x v="1"/>
    <x v="1"/>
    <s v="Cancelld"/>
    <x v="1"/>
    <x v="1"/>
    <x v="2"/>
    <x v="230"/>
    <n v="1154.01"/>
  </r>
  <r>
    <s v="AD01-9361"/>
    <x v="4"/>
    <s v="Oct"/>
    <x v="1"/>
    <x v="1"/>
    <s v="Cancelld"/>
    <x v="1"/>
    <x v="1"/>
    <x v="2"/>
    <x v="335"/>
    <n v="235.95"/>
  </r>
  <r>
    <s v="AD01-9363"/>
    <x v="4"/>
    <s v="Oct"/>
    <x v="1"/>
    <x v="1"/>
    <s v="Cancelld"/>
    <x v="1"/>
    <x v="1"/>
    <x v="2"/>
    <x v="68"/>
    <n v="275.99"/>
  </r>
  <r>
    <s v="AD01-9362"/>
    <x v="4"/>
    <s v="Oct"/>
    <x v="1"/>
    <x v="1"/>
    <s v="Cancelld"/>
    <x v="1"/>
    <x v="1"/>
    <x v="2"/>
    <x v="324"/>
    <n v="233.09"/>
  </r>
  <r>
    <s v="AD01-9362"/>
    <x v="4"/>
    <s v="Oct"/>
    <x v="1"/>
    <x v="1"/>
    <s v="Cancelld"/>
    <x v="1"/>
    <x v="1"/>
    <x v="2"/>
    <x v="327"/>
    <n v="1166.8800000000001"/>
  </r>
  <r>
    <s v="AD01-9361"/>
    <x v="4"/>
    <s v="Oct"/>
    <x v="1"/>
    <x v="1"/>
    <s v="Cancelld"/>
    <x v="1"/>
    <x v="1"/>
    <x v="2"/>
    <x v="419"/>
    <n v="238.81"/>
  </r>
  <r>
    <s v="AD01-9362"/>
    <x v="4"/>
    <s v="Sep"/>
    <x v="1"/>
    <x v="1"/>
    <s v="Cancelld"/>
    <x v="1"/>
    <x v="1"/>
    <x v="2"/>
    <x v="129"/>
    <n v="286"/>
  </r>
  <r>
    <s v="AD01-9361"/>
    <x v="4"/>
    <s v="Sep"/>
    <x v="1"/>
    <x v="1"/>
    <s v="Cancelld"/>
    <x v="1"/>
    <x v="1"/>
    <x v="2"/>
    <x v="190"/>
    <n v="243.1"/>
  </r>
  <r>
    <s v="AD01-9361"/>
    <x v="4"/>
    <s v="Sep"/>
    <x v="1"/>
    <x v="1"/>
    <s v="Cancelld"/>
    <x v="1"/>
    <x v="1"/>
    <x v="2"/>
    <x v="131"/>
    <n v="280.27999999999997"/>
  </r>
  <r>
    <s v="AD01-9362"/>
    <x v="4"/>
    <s v="Sep"/>
    <x v="1"/>
    <x v="1"/>
    <s v="Cancelld"/>
    <x v="1"/>
    <x v="1"/>
    <x v="2"/>
    <x v="191"/>
    <n v="245.95999999999998"/>
  </r>
  <r>
    <s v="AD01-9362"/>
    <x v="4"/>
    <s v="Sep"/>
    <x v="1"/>
    <x v="1"/>
    <s v="Cancelld"/>
    <x v="1"/>
    <x v="1"/>
    <x v="2"/>
    <x v="44"/>
    <n v="1152.58"/>
  </r>
  <r>
    <s v="AD01-9361"/>
    <x v="4"/>
    <s v="Sep"/>
    <x v="1"/>
    <x v="1"/>
    <s v="Cancelld"/>
    <x v="1"/>
    <x v="1"/>
    <x v="2"/>
    <x v="633"/>
    <n v="1276.99"/>
  </r>
  <r>
    <s v="AD01-9361"/>
    <x v="4"/>
    <s v="Sep"/>
    <x v="1"/>
    <x v="1"/>
    <s v="Cancelld"/>
    <x v="1"/>
    <x v="1"/>
    <x v="2"/>
    <x v="363"/>
    <n v="526.24"/>
  </r>
  <r>
    <s v="AD01-9362"/>
    <x v="4"/>
    <s v="Sep"/>
    <x v="1"/>
    <x v="1"/>
    <s v="Cancelld"/>
    <x v="1"/>
    <x v="1"/>
    <x v="2"/>
    <x v="369"/>
    <n v="244.53"/>
  </r>
  <r>
    <s v="AD01-9362"/>
    <x v="4"/>
    <s v="Sep"/>
    <x v="1"/>
    <x v="1"/>
    <s v="Cancelld"/>
    <x v="1"/>
    <x v="1"/>
    <x v="2"/>
    <x v="141"/>
    <n v="284.57"/>
  </r>
  <r>
    <s v="AD01-9361"/>
    <x v="4"/>
    <s v="Sep"/>
    <x v="1"/>
    <x v="1"/>
    <s v="Cancelld"/>
    <x v="1"/>
    <x v="1"/>
    <x v="2"/>
    <x v="200"/>
    <n v="241.67000000000002"/>
  </r>
  <r>
    <s v="AD01-9361"/>
    <x v="4"/>
    <s v="Sep"/>
    <x v="1"/>
    <x v="1"/>
    <s v="Cancelld"/>
    <x v="1"/>
    <x v="1"/>
    <x v="2"/>
    <x v="346"/>
    <n v="1165.45"/>
  </r>
  <r>
    <s v="AD01-9362"/>
    <x v="4"/>
    <s v="Sep"/>
    <x v="1"/>
    <x v="1"/>
    <s v="Cancelld"/>
    <x v="1"/>
    <x v="1"/>
    <x v="2"/>
    <x v="390"/>
    <n v="24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E178BBB-CBB0-4BE0-B7FF-4E4FE73144A5}"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V5:W6" firstHeaderRow="0" firstDataRow="1" firstDataCol="0"/>
  <pivotFields count="9">
    <pivotField showAll="0">
      <items count="6">
        <item x="0"/>
        <item x="1"/>
        <item x="2"/>
        <item x="3"/>
        <item x="4"/>
        <item t="default"/>
      </items>
    </pivotField>
    <pivotField showAll="0"/>
    <pivotField showAll="0" sortType="descending">
      <items count="7">
        <item x="3"/>
        <item x="2"/>
        <item x="1"/>
        <item x="0"/>
        <item x="5"/>
        <item x="4"/>
        <item t="default"/>
      </items>
    </pivotField>
    <pivotField showAll="0"/>
    <pivotField numFmtId="165" showAll="0"/>
    <pivotField dataField="1" numFmtId="165" showAll="0"/>
    <pivotField dataField="1" numFmtId="165" showAll="0"/>
    <pivotField numFmtId="165" showAll="0"/>
    <pivotField showAll="0"/>
  </pivotFields>
  <rowItems count="1">
    <i/>
  </rowItems>
  <colFields count="1">
    <field x="-2"/>
  </colFields>
  <colItems count="2">
    <i>
      <x/>
    </i>
    <i i="1">
      <x v="1"/>
    </i>
  </colItems>
  <dataFields count="2">
    <dataField name="Sum of Income" fld="5" baseField="0" baseItem="0" numFmtId="165"/>
    <dataField name="Sum of Target Income" fld="6" baseField="0" baseItem="0" numFmtId="165"/>
  </dataFields>
  <formats count="15">
    <format dxfId="14">
      <pivotArea outline="0" collapsedLevelsAreSubtotals="1" fieldPosition="0"/>
    </format>
    <format dxfId="13">
      <pivotArea dataOnly="0" labelOnly="1" grandRow="1" outline="0" fieldPosition="0"/>
    </format>
    <format dxfId="12">
      <pivotArea dataOnly="0" labelOnly="1" grandRow="1" outline="0" fieldPosition="0"/>
    </format>
    <format dxfId="11">
      <pivotArea dataOnly="0" labelOnly="1" grandRow="1" outline="0" fieldPosition="0"/>
    </format>
    <format dxfId="10">
      <pivotArea field="2" type="button" dataOnly="0" labelOnly="1" outline="0"/>
    </format>
    <format dxfId="9">
      <pivotArea field="2" type="button" dataOnly="0" labelOnly="1" outline="0"/>
    </format>
    <format dxfId="8">
      <pivotArea outline="0" collapsedLevelsAreSubtotals="1" fieldPosition="0">
        <references count="1">
          <reference field="4294967294" count="1" selected="0">
            <x v="0"/>
          </reference>
        </references>
      </pivotArea>
    </format>
    <format dxfId="7">
      <pivotArea outline="0" collapsedLevelsAreSubtotals="1" fieldPosition="0">
        <references count="1">
          <reference field="4294967294" count="1" selected="0">
            <x v="1"/>
          </reference>
        </references>
      </pivotArea>
    </format>
    <format dxfId="6">
      <pivotArea dataOnly="0" labelOnly="1" outline="0" fieldPosition="0">
        <references count="1">
          <reference field="4294967294" count="1">
            <x v="1"/>
          </reference>
        </references>
      </pivotArea>
    </format>
    <format dxfId="5">
      <pivotArea type="all" dataOnly="0" outline="0" fieldPosition="0"/>
    </format>
    <format dxfId="4">
      <pivotArea outline="0" collapsedLevelsAreSubtotals="1" fieldPosition="0"/>
    </format>
    <format dxfId="3">
      <pivotArea dataOnly="0" labelOnly="1" outline="0" fieldPosition="0">
        <references count="1">
          <reference field="4294967294" count="2">
            <x v="0"/>
            <x v="1"/>
          </reference>
        </references>
      </pivotArea>
    </format>
    <format dxfId="2">
      <pivotArea type="all" dataOnly="0" outline="0" fieldPosition="0"/>
    </format>
    <format dxfId="1">
      <pivotArea outline="0" collapsedLevelsAreSubtotals="1" fieldPosition="0"/>
    </format>
    <format dxfId="0">
      <pivotArea dataOnly="0" labelOnly="1" outline="0" fieldPosition="0">
        <references count="1">
          <reference field="4294967294" count="2">
            <x v="0"/>
            <x v="1"/>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209722-7B8D-4FB8-BA01-96159E7A35E5}"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D5:AF18" firstHeaderRow="0" firstDataRow="1" firstDataCol="1"/>
  <pivotFields count="9">
    <pivotField showAll="0">
      <items count="6">
        <item x="0"/>
        <item x="1"/>
        <item x="2"/>
        <item x="3"/>
        <item x="4"/>
        <item t="default"/>
      </items>
    </pivotField>
    <pivotField axis="axisRow"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dataField="1" numFmtId="165" showAll="0"/>
    <pivotField numFmtId="165" showAll="0"/>
    <pivotField numFmtId="165" showAll="0"/>
    <pivotField showAll="0"/>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Sum of Income" fld="5" baseField="0" baseItem="0" numFmtId="165"/>
    <dataField name="Sum of Income2" fld="5" baseField="0" baseItem="0"/>
  </dataFields>
  <formats count="17">
    <format dxfId="31">
      <pivotArea outline="0" collapsedLevelsAreSubtotals="1" fieldPosition="0"/>
    </format>
    <format dxfId="30">
      <pivotArea dataOnly="0" labelOnly="1" grandRow="1" outline="0" fieldPosition="0"/>
    </format>
    <format dxfId="29">
      <pivotArea field="2" type="button" dataOnly="0" labelOnly="1" outline="0"/>
    </format>
    <format dxfId="28">
      <pivotArea field="2" type="button" dataOnly="0" labelOnly="1" outline="0"/>
    </format>
    <format dxfId="27">
      <pivotArea outline="0" collapsedLevelsAreSubtotals="1" fieldPosition="0">
        <references count="1">
          <reference field="4294967294" count="1" selected="0">
            <x v="0"/>
          </reference>
        </references>
      </pivotArea>
    </format>
    <format dxfId="26">
      <pivotArea type="all" dataOnly="0" outline="0" fieldPosition="0"/>
    </format>
    <format dxfId="25">
      <pivotArea outline="0" collapsedLevelsAreSubtotals="1" fieldPosition="0"/>
    </format>
    <format dxfId="24">
      <pivotArea field="1" type="button" dataOnly="0" labelOnly="1" outline="0" axis="axisRow" fieldPosition="0"/>
    </format>
    <format dxfId="23">
      <pivotArea dataOnly="0" labelOnly="1" fieldPosition="0">
        <references count="1">
          <reference field="1" count="0"/>
        </references>
      </pivotArea>
    </format>
    <format dxfId="22">
      <pivotArea dataOnly="0" labelOnly="1" grandRow="1" outline="0" fieldPosition="0"/>
    </format>
    <format dxfId="21">
      <pivotArea dataOnly="0" labelOnly="1" outline="0" fieldPosition="0">
        <references count="1">
          <reference field="4294967294" count="2">
            <x v="0"/>
            <x v="1"/>
          </reference>
        </references>
      </pivotArea>
    </format>
    <format dxfId="20">
      <pivotArea type="all" dataOnly="0" outline="0" fieldPosition="0"/>
    </format>
    <format dxfId="19">
      <pivotArea outline="0" collapsedLevelsAreSubtotals="1" fieldPosition="0"/>
    </format>
    <format dxfId="18">
      <pivotArea field="1" type="button" dataOnly="0" labelOnly="1" outline="0" axis="axisRow" fieldPosition="0"/>
    </format>
    <format dxfId="17">
      <pivotArea dataOnly="0" labelOnly="1" fieldPosition="0">
        <references count="1">
          <reference field="1" count="0"/>
        </references>
      </pivotArea>
    </format>
    <format dxfId="16">
      <pivotArea dataOnly="0" labelOnly="1" grandRow="1" outline="0" fieldPosition="0"/>
    </format>
    <format dxfId="15">
      <pivotArea dataOnly="0" labelOnly="1" outline="0" fieldPosition="0">
        <references count="1">
          <reference field="4294967294" count="2">
            <x v="0"/>
            <x v="1"/>
          </reference>
        </references>
      </pivotArea>
    </format>
  </formats>
  <chartFormats count="2">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8FFEB5D-D9A1-403E-951A-242C7081CE5D}" name="PivotTable9"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49:D50" firstHeaderRow="0" firstDataRow="1" firstDataCol="0"/>
  <pivotFields count="11">
    <pivotField showAll="0"/>
    <pivotField showAll="0">
      <items count="6">
        <item x="0"/>
        <item x="1"/>
        <item x="2"/>
        <item x="3"/>
        <item x="4"/>
        <item t="default"/>
      </items>
    </pivotField>
    <pivotField showAll="0"/>
    <pivotField showAll="0"/>
    <pivotField showAll="0"/>
    <pivotField showAll="0"/>
    <pivotField showAll="0"/>
    <pivotField showAll="0"/>
    <pivotField showAll="0"/>
    <pivotField dataField="1" showAll="0"/>
    <pivotField dataField="1" showAll="0"/>
  </pivotFields>
  <rowItems count="1">
    <i/>
  </rowItems>
  <colFields count="1">
    <field x="-2"/>
  </colFields>
  <colItems count="2">
    <i>
      <x/>
    </i>
    <i i="1">
      <x v="1"/>
    </i>
  </colItems>
  <dataFields count="2">
    <dataField name="Sum of Amount" fld="9" baseField="0" baseItem="0"/>
    <dataField name="Sum of Target" fld="10" baseField="0" baseItem="0"/>
  </dataFields>
  <formats count="7">
    <format dxfId="38">
      <pivotArea outline="0" collapsedLevelsAreSubtotals="1" fieldPosition="0"/>
    </format>
    <format dxfId="37">
      <pivotArea type="all" dataOnly="0" outline="0" fieldPosition="0"/>
    </format>
    <format dxfId="36">
      <pivotArea outline="0" collapsedLevelsAreSubtotals="1" fieldPosition="0"/>
    </format>
    <format dxfId="35">
      <pivotArea dataOnly="0" labelOnly="1" outline="0" fieldPosition="0">
        <references count="1">
          <reference field="4294967294" count="2">
            <x v="0"/>
            <x v="1"/>
          </reference>
        </references>
      </pivotArea>
    </format>
    <format dxfId="34">
      <pivotArea type="all" dataOnly="0" outline="0" fieldPosition="0"/>
    </format>
    <format dxfId="33">
      <pivotArea outline="0" collapsedLevelsAreSubtotals="1" fieldPosition="0"/>
    </format>
    <format dxfId="32">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F44B2E2-FEDA-49A3-AC38-0AEF5E94CCAB}"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5:G12" firstHeaderRow="0" firstDataRow="1" firstDataCol="1"/>
  <pivotFields count="9">
    <pivotField showAll="0">
      <items count="6">
        <item x="0"/>
        <item x="1"/>
        <item x="2"/>
        <item x="3"/>
        <item x="4"/>
        <item t="default"/>
      </items>
    </pivotField>
    <pivotField showAll="0"/>
    <pivotField axis="axisRow" showAll="0" sortType="descending">
      <items count="7">
        <item x="3"/>
        <item x="2"/>
        <item x="1"/>
        <item x="0"/>
        <item x="5"/>
        <item x="4"/>
        <item t="default"/>
      </items>
    </pivotField>
    <pivotField showAll="0"/>
    <pivotField dataField="1" numFmtId="165" showAll="0"/>
    <pivotField dataField="1" numFmtId="165" showAll="0"/>
    <pivotField numFmtId="165" showAll="0"/>
    <pivotField numFmtId="165" showAll="0"/>
    <pivotField showAll="0"/>
  </pivotFields>
  <rowFields count="1">
    <field x="2"/>
  </rowFields>
  <rowItems count="7">
    <i>
      <x/>
    </i>
    <i>
      <x v="1"/>
    </i>
    <i>
      <x v="2"/>
    </i>
    <i>
      <x v="3"/>
    </i>
    <i>
      <x v="4"/>
    </i>
    <i>
      <x v="5"/>
    </i>
    <i t="grand">
      <x/>
    </i>
  </rowItems>
  <colFields count="1">
    <field x="-2"/>
  </colFields>
  <colItems count="4">
    <i>
      <x/>
    </i>
    <i i="1">
      <x v="1"/>
    </i>
    <i i="2">
      <x v="2"/>
    </i>
    <i i="3">
      <x v="3"/>
    </i>
  </colItems>
  <dataFields count="4">
    <dataField name="Sum of Income" fld="5" baseField="0" baseItem="0"/>
    <dataField name="Sum of Income2" fld="5" showDataAs="percentOfCol" baseField="2" baseItem="0" numFmtId="10"/>
    <dataField name="Sum of Counts" fld="4" baseField="0" baseItem="0"/>
    <dataField name="Sum of Counts2" fld="4" showDataAs="percentOfCol" baseField="2" baseItem="0" numFmtId="10"/>
  </dataFields>
  <formats count="16">
    <format dxfId="54">
      <pivotArea outline="0" collapsedLevelsAreSubtotals="1" fieldPosition="0"/>
    </format>
    <format dxfId="53">
      <pivotArea dataOnly="0" labelOnly="1" fieldPosition="0">
        <references count="1">
          <reference field="2" count="0"/>
        </references>
      </pivotArea>
    </format>
    <format dxfId="52">
      <pivotArea dataOnly="0" labelOnly="1" grandRow="1" outline="0" fieldPosition="0"/>
    </format>
    <format dxfId="51">
      <pivotArea outline="0" fieldPosition="0">
        <references count="1">
          <reference field="4294967294" count="1">
            <x v="3"/>
          </reference>
        </references>
      </pivotArea>
    </format>
    <format dxfId="50">
      <pivotArea type="all" dataOnly="0" outline="0" fieldPosition="0"/>
    </format>
    <format dxfId="49">
      <pivotArea outline="0" collapsedLevelsAreSubtotals="1" fieldPosition="0"/>
    </format>
    <format dxfId="48">
      <pivotArea field="2" type="button" dataOnly="0" labelOnly="1" outline="0" axis="axisRow" fieldPosition="0"/>
    </format>
    <format dxfId="47">
      <pivotArea dataOnly="0" labelOnly="1" fieldPosition="0">
        <references count="1">
          <reference field="2" count="0"/>
        </references>
      </pivotArea>
    </format>
    <format dxfId="46">
      <pivotArea dataOnly="0" labelOnly="1" grandRow="1" outline="0" fieldPosition="0"/>
    </format>
    <format dxfId="45">
      <pivotArea dataOnly="0" labelOnly="1" outline="0" fieldPosition="0">
        <references count="1">
          <reference field="4294967294" count="4">
            <x v="0"/>
            <x v="1"/>
            <x v="2"/>
            <x v="3"/>
          </reference>
        </references>
      </pivotArea>
    </format>
    <format dxfId="44">
      <pivotArea type="all" dataOnly="0" outline="0" fieldPosition="0"/>
    </format>
    <format dxfId="43">
      <pivotArea outline="0" collapsedLevelsAreSubtotals="1" fieldPosition="0"/>
    </format>
    <format dxfId="42">
      <pivotArea field="2" type="button" dataOnly="0" labelOnly="1" outline="0" axis="axisRow" fieldPosition="0"/>
    </format>
    <format dxfId="41">
      <pivotArea dataOnly="0" labelOnly="1" fieldPosition="0">
        <references count="1">
          <reference field="2" count="0"/>
        </references>
      </pivotArea>
    </format>
    <format dxfId="40">
      <pivotArea dataOnly="0" labelOnly="1" grandRow="1" outline="0" fieldPosition="0"/>
    </format>
    <format dxfId="39">
      <pivotArea dataOnly="0" labelOnly="1" outline="0" fieldPosition="0">
        <references count="1">
          <reference field="4294967294" count="4">
            <x v="0"/>
            <x v="1"/>
            <x v="2"/>
            <x v="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4B2D944-A826-41AB-A1CB-650A31AEE2C3}" name="PivotTable15"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87:D91" firstHeaderRow="1" firstDataRow="1" firstDataCol="1"/>
  <pivotFields count="11">
    <pivotField showAll="0"/>
    <pivotField showAll="0">
      <items count="6">
        <item x="0"/>
        <item x="1"/>
        <item x="2"/>
        <item x="3"/>
        <item x="4"/>
        <item t="default"/>
      </items>
    </pivotField>
    <pivotField showAll="0"/>
    <pivotField showAll="0">
      <items count="3">
        <item x="1"/>
        <item x="0"/>
        <item t="default"/>
      </items>
    </pivotField>
    <pivotField showAll="0">
      <items count="3">
        <item x="1"/>
        <item x="0"/>
        <item t="default"/>
      </items>
    </pivotField>
    <pivotField showAll="0"/>
    <pivotField showAll="0"/>
    <pivotField showAll="0">
      <items count="3">
        <item x="0"/>
        <item x="1"/>
        <item t="default"/>
      </items>
    </pivotField>
    <pivotField axis="axisRow" showAll="0">
      <items count="4">
        <item x="2"/>
        <item x="1"/>
        <item x="0"/>
        <item t="default"/>
      </items>
    </pivotField>
    <pivotField dataField="1"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8"/>
  </rowFields>
  <rowItems count="4">
    <i>
      <x/>
    </i>
    <i>
      <x v="1"/>
    </i>
    <i>
      <x v="2"/>
    </i>
    <i t="grand">
      <x/>
    </i>
  </rowItems>
  <colItems count="1">
    <i/>
  </colItems>
  <dataFields count="1">
    <dataField name="Sum of Amount" fld="9" baseField="0" baseItem="0"/>
  </dataFields>
  <formats count="13">
    <format dxfId="67">
      <pivotArea outline="0" collapsedLevelsAreSubtotals="1" fieldPosition="0"/>
    </format>
    <format dxfId="66">
      <pivotArea type="all" dataOnly="0" outline="0" fieldPosition="0"/>
    </format>
    <format dxfId="65">
      <pivotArea outline="0" collapsedLevelsAreSubtotals="1" fieldPosition="0"/>
    </format>
    <format dxfId="64">
      <pivotArea field="8" type="button" dataOnly="0" labelOnly="1" outline="0" axis="axisRow" fieldPosition="0"/>
    </format>
    <format dxfId="63">
      <pivotArea dataOnly="0" labelOnly="1" fieldPosition="0">
        <references count="1">
          <reference field="8" count="0"/>
        </references>
      </pivotArea>
    </format>
    <format dxfId="62">
      <pivotArea dataOnly="0" labelOnly="1" grandRow="1" outline="0" fieldPosition="0"/>
    </format>
    <format dxfId="61">
      <pivotArea dataOnly="0" labelOnly="1" outline="0" axis="axisValues" fieldPosition="0"/>
    </format>
    <format dxfId="60">
      <pivotArea type="all" dataOnly="0" outline="0" fieldPosition="0"/>
    </format>
    <format dxfId="59">
      <pivotArea outline="0" collapsedLevelsAreSubtotals="1" fieldPosition="0"/>
    </format>
    <format dxfId="58">
      <pivotArea field="8" type="button" dataOnly="0" labelOnly="1" outline="0" axis="axisRow" fieldPosition="0"/>
    </format>
    <format dxfId="57">
      <pivotArea dataOnly="0" labelOnly="1" fieldPosition="0">
        <references count="1">
          <reference field="8" count="0"/>
        </references>
      </pivotArea>
    </format>
    <format dxfId="56">
      <pivotArea dataOnly="0" labelOnly="1" grandRow="1" outline="0" fieldPosition="0"/>
    </format>
    <format dxfId="5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574F1C0-18FA-420E-8148-740B83F787E1}"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2">
  <location ref="BB5:BD27" firstHeaderRow="0" firstDataRow="1" firstDataCol="1"/>
  <pivotFields count="9">
    <pivotField showAll="0">
      <items count="6">
        <item x="0"/>
        <item x="1"/>
        <item x="2"/>
        <item x="3"/>
        <item x="4"/>
        <item t="default"/>
      </items>
    </pivotField>
    <pivotField showAll="0">
      <items count="13">
        <item x="0"/>
        <item x="1"/>
        <item x="2"/>
        <item x="3"/>
        <item x="4"/>
        <item x="5"/>
        <item x="6"/>
        <item x="7"/>
        <item x="8"/>
        <item x="9"/>
        <item x="10"/>
        <item x="11"/>
        <item t="default"/>
      </items>
    </pivotField>
    <pivotField axis="axisRow" showAll="0" sortType="descending">
      <items count="7">
        <item x="3"/>
        <item x="2"/>
        <item x="1"/>
        <item x="0"/>
        <item x="5"/>
        <item x="4"/>
        <item t="default"/>
      </items>
    </pivotField>
    <pivotField axis="axisRow" showAll="0">
      <items count="16">
        <item x="13"/>
        <item x="10"/>
        <item x="2"/>
        <item x="8"/>
        <item x="1"/>
        <item x="9"/>
        <item x="12"/>
        <item x="6"/>
        <item x="7"/>
        <item x="5"/>
        <item x="3"/>
        <item x="4"/>
        <item x="0"/>
        <item x="14"/>
        <item x="11"/>
        <item t="default"/>
      </items>
    </pivotField>
    <pivotField numFmtId="165" showAll="0"/>
    <pivotField dataField="1" numFmtId="165" showAll="0"/>
    <pivotField numFmtId="165" showAll="0"/>
    <pivotField numFmtId="165" showAll="0"/>
    <pivotField showAll="0">
      <items count="3">
        <item x="0"/>
        <item x="1"/>
        <item t="default"/>
      </items>
    </pivotField>
  </pivotFields>
  <rowFields count="2">
    <field x="2"/>
    <field x="3"/>
  </rowFields>
  <rowItems count="22">
    <i>
      <x/>
    </i>
    <i r="1">
      <x v="7"/>
    </i>
    <i r="1">
      <x v="11"/>
    </i>
    <i>
      <x v="1"/>
    </i>
    <i r="1">
      <x v="9"/>
    </i>
    <i r="1">
      <x v="10"/>
    </i>
    <i>
      <x v="2"/>
    </i>
    <i r="1">
      <x v="2"/>
    </i>
    <i r="1">
      <x v="6"/>
    </i>
    <i r="1">
      <x v="8"/>
    </i>
    <i>
      <x v="3"/>
    </i>
    <i r="1">
      <x v="4"/>
    </i>
    <i r="1">
      <x v="12"/>
    </i>
    <i>
      <x v="4"/>
    </i>
    <i r="1">
      <x/>
    </i>
    <i>
      <x v="5"/>
    </i>
    <i r="1">
      <x v="1"/>
    </i>
    <i r="1">
      <x v="3"/>
    </i>
    <i r="1">
      <x v="5"/>
    </i>
    <i r="1">
      <x v="13"/>
    </i>
    <i r="1">
      <x v="14"/>
    </i>
    <i t="grand">
      <x/>
    </i>
  </rowItems>
  <colFields count="1">
    <field x="-2"/>
  </colFields>
  <colItems count="2">
    <i>
      <x/>
    </i>
    <i i="1">
      <x v="1"/>
    </i>
  </colItems>
  <dataFields count="2">
    <dataField name="Sum of Income" fld="5" baseField="0" baseItem="0"/>
    <dataField name="Sum of Income2" fld="5" showDataAs="percentOfCol" baseField="8" baseItem="0" numFmtId="10"/>
  </dataFields>
  <formats count="27">
    <format dxfId="94">
      <pivotArea outline="0" collapsedLevelsAreSubtotals="1" fieldPosition="0"/>
    </format>
    <format dxfId="93">
      <pivotArea dataOnly="0" labelOnly="1" grandRow="1" outline="0" fieldPosition="0"/>
    </format>
    <format dxfId="92">
      <pivotArea outline="0" fieldPosition="0">
        <references count="1">
          <reference field="4294967294" count="1">
            <x v="1"/>
          </reference>
        </references>
      </pivotArea>
    </format>
    <format dxfId="91">
      <pivotArea type="all" dataOnly="0" outline="0" fieldPosition="0"/>
    </format>
    <format dxfId="90">
      <pivotArea outline="0" collapsedLevelsAreSubtotals="1" fieldPosition="0"/>
    </format>
    <format dxfId="89">
      <pivotArea field="2" type="button" dataOnly="0" labelOnly="1" outline="0" axis="axisRow" fieldPosition="0"/>
    </format>
    <format dxfId="88">
      <pivotArea dataOnly="0" labelOnly="1" fieldPosition="0">
        <references count="1">
          <reference field="2" count="0"/>
        </references>
      </pivotArea>
    </format>
    <format dxfId="87">
      <pivotArea dataOnly="0" labelOnly="1" grandRow="1" outline="0" fieldPosition="0"/>
    </format>
    <format dxfId="86">
      <pivotArea dataOnly="0" labelOnly="1" fieldPosition="0">
        <references count="2">
          <reference field="2" count="1" selected="0">
            <x v="0"/>
          </reference>
          <reference field="3" count="2">
            <x v="7"/>
            <x v="11"/>
          </reference>
        </references>
      </pivotArea>
    </format>
    <format dxfId="85">
      <pivotArea dataOnly="0" labelOnly="1" fieldPosition="0">
        <references count="2">
          <reference field="2" count="1" selected="0">
            <x v="1"/>
          </reference>
          <reference field="3" count="2">
            <x v="9"/>
            <x v="10"/>
          </reference>
        </references>
      </pivotArea>
    </format>
    <format dxfId="84">
      <pivotArea dataOnly="0" labelOnly="1" fieldPosition="0">
        <references count="2">
          <reference field="2" count="1" selected="0">
            <x v="2"/>
          </reference>
          <reference field="3" count="3">
            <x v="2"/>
            <x v="6"/>
            <x v="8"/>
          </reference>
        </references>
      </pivotArea>
    </format>
    <format dxfId="83">
      <pivotArea dataOnly="0" labelOnly="1" fieldPosition="0">
        <references count="2">
          <reference field="2" count="1" selected="0">
            <x v="3"/>
          </reference>
          <reference field="3" count="2">
            <x v="4"/>
            <x v="12"/>
          </reference>
        </references>
      </pivotArea>
    </format>
    <format dxfId="82">
      <pivotArea dataOnly="0" labelOnly="1" fieldPosition="0">
        <references count="2">
          <reference field="2" count="1" selected="0">
            <x v="4"/>
          </reference>
          <reference field="3" count="1">
            <x v="0"/>
          </reference>
        </references>
      </pivotArea>
    </format>
    <format dxfId="81">
      <pivotArea dataOnly="0" labelOnly="1" fieldPosition="0">
        <references count="2">
          <reference field="2" count="1" selected="0">
            <x v="5"/>
          </reference>
          <reference field="3" count="5">
            <x v="1"/>
            <x v="3"/>
            <x v="5"/>
            <x v="13"/>
            <x v="14"/>
          </reference>
        </references>
      </pivotArea>
    </format>
    <format dxfId="80">
      <pivotArea dataOnly="0" labelOnly="1" outline="0" fieldPosition="0">
        <references count="1">
          <reference field="4294967294" count="2">
            <x v="0"/>
            <x v="1"/>
          </reference>
        </references>
      </pivotArea>
    </format>
    <format dxfId="79">
      <pivotArea type="all" dataOnly="0" outline="0" fieldPosition="0"/>
    </format>
    <format dxfId="78">
      <pivotArea outline="0" collapsedLevelsAreSubtotals="1" fieldPosition="0"/>
    </format>
    <format dxfId="77">
      <pivotArea field="2" type="button" dataOnly="0" labelOnly="1" outline="0" axis="axisRow" fieldPosition="0"/>
    </format>
    <format dxfId="76">
      <pivotArea dataOnly="0" labelOnly="1" fieldPosition="0">
        <references count="1">
          <reference field="2" count="0"/>
        </references>
      </pivotArea>
    </format>
    <format dxfId="75">
      <pivotArea dataOnly="0" labelOnly="1" grandRow="1" outline="0" fieldPosition="0"/>
    </format>
    <format dxfId="74">
      <pivotArea dataOnly="0" labelOnly="1" fieldPosition="0">
        <references count="2">
          <reference field="2" count="1" selected="0">
            <x v="0"/>
          </reference>
          <reference field="3" count="2">
            <x v="7"/>
            <x v="11"/>
          </reference>
        </references>
      </pivotArea>
    </format>
    <format dxfId="73">
      <pivotArea dataOnly="0" labelOnly="1" fieldPosition="0">
        <references count="2">
          <reference field="2" count="1" selected="0">
            <x v="1"/>
          </reference>
          <reference field="3" count="2">
            <x v="9"/>
            <x v="10"/>
          </reference>
        </references>
      </pivotArea>
    </format>
    <format dxfId="72">
      <pivotArea dataOnly="0" labelOnly="1" fieldPosition="0">
        <references count="2">
          <reference field="2" count="1" selected="0">
            <x v="2"/>
          </reference>
          <reference field="3" count="3">
            <x v="2"/>
            <x v="6"/>
            <x v="8"/>
          </reference>
        </references>
      </pivotArea>
    </format>
    <format dxfId="71">
      <pivotArea dataOnly="0" labelOnly="1" fieldPosition="0">
        <references count="2">
          <reference field="2" count="1" selected="0">
            <x v="3"/>
          </reference>
          <reference field="3" count="2">
            <x v="4"/>
            <x v="12"/>
          </reference>
        </references>
      </pivotArea>
    </format>
    <format dxfId="70">
      <pivotArea dataOnly="0" labelOnly="1" fieldPosition="0">
        <references count="2">
          <reference field="2" count="1" selected="0">
            <x v="4"/>
          </reference>
          <reference field="3" count="1">
            <x v="0"/>
          </reference>
        </references>
      </pivotArea>
    </format>
    <format dxfId="69">
      <pivotArea dataOnly="0" labelOnly="1" fieldPosition="0">
        <references count="2">
          <reference field="2" count="1" selected="0">
            <x v="5"/>
          </reference>
          <reference field="3" count="5">
            <x v="1"/>
            <x v="3"/>
            <x v="5"/>
            <x v="13"/>
            <x v="14"/>
          </reference>
        </references>
      </pivotArea>
    </format>
    <format dxfId="68">
      <pivotArea dataOnly="0" labelOnly="1" outline="0" fieldPosition="0">
        <references count="1">
          <reference field="4294967294" count="2">
            <x v="0"/>
            <x v="1"/>
          </reference>
        </references>
      </pivotArea>
    </format>
  </formats>
  <chartFormats count="6">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21" format="12" series="1">
      <pivotArea type="data" outline="0" fieldPosition="0">
        <references count="1">
          <reference field="4294967294" count="1" selected="0">
            <x v="0"/>
          </reference>
        </references>
      </pivotArea>
    </chartFormat>
    <chartFormat chart="21" format="15"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1AFB2BD-B80A-42E7-B178-FFA32FDD68E3}"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2">
  <location ref="AQ5:AS8" firstHeaderRow="0" firstDataRow="1" firstDataCol="1"/>
  <pivotFields count="9">
    <pivotField showAll="0">
      <items count="6">
        <item x="0"/>
        <item x="1"/>
        <item x="2"/>
        <item x="3"/>
        <item x="4"/>
        <item t="default"/>
      </items>
    </pivotField>
    <pivotField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dataField="1" numFmtId="165" showAll="0"/>
    <pivotField numFmtId="165" showAll="0"/>
    <pivotField numFmtId="165" showAll="0"/>
    <pivotField axis="axisRow" showAll="0">
      <items count="3">
        <item x="0"/>
        <item x="1"/>
        <item t="default"/>
      </items>
    </pivotField>
  </pivotFields>
  <rowFields count="1">
    <field x="8"/>
  </rowFields>
  <rowItems count="3">
    <i>
      <x/>
    </i>
    <i>
      <x v="1"/>
    </i>
    <i t="grand">
      <x/>
    </i>
  </rowItems>
  <colFields count="1">
    <field x="-2"/>
  </colFields>
  <colItems count="2">
    <i>
      <x/>
    </i>
    <i i="1">
      <x v="1"/>
    </i>
  </colItems>
  <dataFields count="2">
    <dataField name="Sum of Income" fld="5" baseField="0" baseItem="0"/>
    <dataField name="Sum of Income2" fld="5" showDataAs="percentOfCol" baseField="8" baseItem="0" numFmtId="10"/>
  </dataFields>
  <formats count="18">
    <format dxfId="112">
      <pivotArea outline="0" collapsedLevelsAreSubtotals="1" fieldPosition="0"/>
    </format>
    <format dxfId="111">
      <pivotArea dataOnly="0" labelOnly="1" grandRow="1" outline="0" fieldPosition="0"/>
    </format>
    <format dxfId="110">
      <pivotArea field="2" type="button" dataOnly="0" labelOnly="1" outline="0"/>
    </format>
    <format dxfId="109">
      <pivotArea field="2" type="button" dataOnly="0" labelOnly="1" outline="0"/>
    </format>
    <format dxfId="108">
      <pivotArea outline="0" fieldPosition="0">
        <references count="1">
          <reference field="4294967294" count="1">
            <x v="1"/>
          </reference>
        </references>
      </pivotArea>
    </format>
    <format dxfId="107">
      <pivotArea dataOnly="0" labelOnly="1" fieldPosition="0">
        <references count="1">
          <reference field="8" count="1">
            <x v="1"/>
          </reference>
        </references>
      </pivotArea>
    </format>
    <format dxfId="106">
      <pivotArea type="all" dataOnly="0" outline="0" fieldPosition="0"/>
    </format>
    <format dxfId="105">
      <pivotArea outline="0" collapsedLevelsAreSubtotals="1" fieldPosition="0"/>
    </format>
    <format dxfId="104">
      <pivotArea field="8" type="button" dataOnly="0" labelOnly="1" outline="0" axis="axisRow" fieldPosition="0"/>
    </format>
    <format dxfId="103">
      <pivotArea dataOnly="0" labelOnly="1" fieldPosition="0">
        <references count="1">
          <reference field="8" count="0"/>
        </references>
      </pivotArea>
    </format>
    <format dxfId="102">
      <pivotArea dataOnly="0" labelOnly="1" grandRow="1" outline="0" fieldPosition="0"/>
    </format>
    <format dxfId="101">
      <pivotArea dataOnly="0" labelOnly="1" outline="0" fieldPosition="0">
        <references count="1">
          <reference field="4294967294" count="2">
            <x v="0"/>
            <x v="1"/>
          </reference>
        </references>
      </pivotArea>
    </format>
    <format dxfId="100">
      <pivotArea type="all" dataOnly="0" outline="0" fieldPosition="0"/>
    </format>
    <format dxfId="99">
      <pivotArea outline="0" collapsedLevelsAreSubtotals="1" fieldPosition="0"/>
    </format>
    <format dxfId="98">
      <pivotArea field="8" type="button" dataOnly="0" labelOnly="1" outline="0" axis="axisRow" fieldPosition="0"/>
    </format>
    <format dxfId="97">
      <pivotArea dataOnly="0" labelOnly="1" fieldPosition="0">
        <references count="1">
          <reference field="8" count="0"/>
        </references>
      </pivotArea>
    </format>
    <format dxfId="96">
      <pivotArea dataOnly="0" labelOnly="1" grandRow="1" outline="0" fieldPosition="0"/>
    </format>
    <format dxfId="95">
      <pivotArea dataOnly="0" labelOnly="1" outline="0" fieldPosition="0">
        <references count="1">
          <reference field="4294967294" count="2">
            <x v="0"/>
            <x v="1"/>
          </reference>
        </references>
      </pivotArea>
    </format>
  </formats>
  <chartFormats count="14">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18" format="2">
      <pivotArea type="data" outline="0" fieldPosition="0">
        <references count="2">
          <reference field="4294967294" count="1" selected="0">
            <x v="1"/>
          </reference>
          <reference field="8" count="1" selected="0">
            <x v="0"/>
          </reference>
        </references>
      </pivotArea>
    </chartFormat>
    <chartFormat chart="18" format="3">
      <pivotArea type="data" outline="0" fieldPosition="0">
        <references count="2">
          <reference field="4294967294" count="1" selected="0">
            <x v="0"/>
          </reference>
          <reference field="8" count="1" selected="0">
            <x v="0"/>
          </reference>
        </references>
      </pivotArea>
    </chartFormat>
    <chartFormat chart="18" format="4">
      <pivotArea type="data" outline="0" fieldPosition="0">
        <references count="2">
          <reference field="4294967294" count="1" selected="0">
            <x v="0"/>
          </reference>
          <reference field="8" count="1" selected="0">
            <x v="1"/>
          </reference>
        </references>
      </pivotArea>
    </chartFormat>
    <chartFormat chart="18" format="5">
      <pivotArea type="data" outline="0" fieldPosition="0">
        <references count="2">
          <reference field="4294967294" count="1" selected="0">
            <x v="1"/>
          </reference>
          <reference field="8" count="1" selected="0">
            <x v="1"/>
          </reference>
        </references>
      </pivotArea>
    </chartFormat>
    <chartFormat chart="21" format="12" series="1">
      <pivotArea type="data" outline="0" fieldPosition="0">
        <references count="1">
          <reference field="4294967294" count="1" selected="0">
            <x v="0"/>
          </reference>
        </references>
      </pivotArea>
    </chartFormat>
    <chartFormat chart="21" format="13">
      <pivotArea type="data" outline="0" fieldPosition="0">
        <references count="2">
          <reference field="4294967294" count="1" selected="0">
            <x v="0"/>
          </reference>
          <reference field="8" count="1" selected="0">
            <x v="0"/>
          </reference>
        </references>
      </pivotArea>
    </chartFormat>
    <chartFormat chart="21" format="14">
      <pivotArea type="data" outline="0" fieldPosition="0">
        <references count="2">
          <reference field="4294967294" count="1" selected="0">
            <x v="0"/>
          </reference>
          <reference field="8" count="1" selected="0">
            <x v="1"/>
          </reference>
        </references>
      </pivotArea>
    </chartFormat>
    <chartFormat chart="21" format="15" series="1">
      <pivotArea type="data" outline="0" fieldPosition="0">
        <references count="1">
          <reference field="4294967294" count="1" selected="0">
            <x v="1"/>
          </reference>
        </references>
      </pivotArea>
    </chartFormat>
    <chartFormat chart="21" format="16">
      <pivotArea type="data" outline="0" fieldPosition="0">
        <references count="2">
          <reference field="4294967294" count="1" selected="0">
            <x v="1"/>
          </reference>
          <reference field="8" count="1" selected="0">
            <x v="0"/>
          </reference>
        </references>
      </pivotArea>
    </chartFormat>
    <chartFormat chart="21" format="17">
      <pivotArea type="data" outline="0" fieldPosition="0">
        <references count="2">
          <reference field="4294967294" count="1" selected="0">
            <x v="1"/>
          </reference>
          <reference field="8"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6162C2D-2A78-44DD-93C3-29F6491CA2B4}" name="PivotTable13"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77:C78" firstHeaderRow="1" firstDataRow="1" firstDataCol="0"/>
  <pivotFields count="11">
    <pivotField dataField="1" showAll="0"/>
    <pivotField showAll="0">
      <items count="6">
        <item x="0"/>
        <item x="1"/>
        <item x="2"/>
        <item x="3"/>
        <item x="4"/>
        <item t="default"/>
      </items>
    </pivotField>
    <pivotField showAll="0"/>
    <pivotField showAll="0">
      <items count="3">
        <item x="1"/>
        <item x="0"/>
        <item t="default"/>
      </items>
    </pivotField>
    <pivotField showAll="0">
      <items count="3">
        <item x="1"/>
        <item x="0"/>
        <item t="default"/>
      </items>
    </pivotField>
    <pivotField showAll="0"/>
    <pivotField showAll="0"/>
    <pivotField showAll="0"/>
    <pivotField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Items count="1">
    <i/>
  </rowItems>
  <colItems count="1">
    <i/>
  </colItems>
  <dataFields count="1">
    <dataField name="Count of Order Number" fld="0" subtotal="count" baseField="0" baseItem="0"/>
  </dataFields>
  <formats count="7">
    <format dxfId="119">
      <pivotArea outline="0" collapsedLevelsAreSubtotals="1" fieldPosition="0"/>
    </format>
    <format dxfId="118">
      <pivotArea type="all" dataOnly="0" outline="0" fieldPosition="0"/>
    </format>
    <format dxfId="117">
      <pivotArea outline="0" collapsedLevelsAreSubtotals="1" fieldPosition="0"/>
    </format>
    <format dxfId="116">
      <pivotArea dataOnly="0" labelOnly="1" outline="0" axis="axisValues" fieldPosition="0"/>
    </format>
    <format dxfId="115">
      <pivotArea type="all" dataOnly="0" outline="0" fieldPosition="0"/>
    </format>
    <format dxfId="114">
      <pivotArea outline="0" collapsedLevelsAreSubtotals="1" fieldPosition="0"/>
    </format>
    <format dxfId="11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9EF84C2-6BE2-421D-B386-117C735DCD4E}" name="PivotTable17"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C101:D104" firstHeaderRow="1" firstDataRow="1" firstDataCol="1"/>
  <pivotFields count="11">
    <pivotField showAll="0"/>
    <pivotField showAll="0">
      <items count="6">
        <item x="0"/>
        <item x="1"/>
        <item x="2"/>
        <item x="3"/>
        <item x="4"/>
        <item t="default"/>
      </items>
    </pivotField>
    <pivotField showAll="0"/>
    <pivotField showAll="0">
      <items count="3">
        <item x="1"/>
        <item x="0"/>
        <item t="default"/>
      </items>
    </pivotField>
    <pivotField showAll="0">
      <items count="3">
        <item x="1"/>
        <item x="0"/>
        <item t="default"/>
      </items>
    </pivotField>
    <pivotField showAll="0"/>
    <pivotField showAll="0"/>
    <pivotField axis="axisRow" dataField="1" showAll="0">
      <items count="3">
        <item x="0"/>
        <item x="1"/>
        <item t="default"/>
      </items>
    </pivotField>
    <pivotField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7"/>
  </rowFields>
  <rowItems count="3">
    <i>
      <x/>
    </i>
    <i>
      <x v="1"/>
    </i>
    <i t="grand">
      <x/>
    </i>
  </rowItems>
  <colItems count="1">
    <i/>
  </colItems>
  <dataFields count="1">
    <dataField name="Count of Sale Status" fld="7" subtotal="count" showDataAs="percentOfCol" baseField="7" baseItem="0" numFmtId="10"/>
  </dataFields>
  <formats count="15">
    <format dxfId="134">
      <pivotArea outline="0" collapsedLevelsAreSubtotals="1" fieldPosition="0"/>
    </format>
    <format dxfId="133">
      <pivotArea outline="0" fieldPosition="0">
        <references count="1">
          <reference field="4294967294" count="1">
            <x v="0"/>
          </reference>
        </references>
      </pivotArea>
    </format>
    <format dxfId="132">
      <pivotArea collapsedLevelsAreSubtotals="1" fieldPosition="0">
        <references count="1">
          <reference field="7" count="0"/>
        </references>
      </pivotArea>
    </format>
    <format dxfId="131">
      <pivotArea type="all" dataOnly="0" outline="0" fieldPosition="0"/>
    </format>
    <format dxfId="130">
      <pivotArea outline="0" collapsedLevelsAreSubtotals="1" fieldPosition="0"/>
    </format>
    <format dxfId="129">
      <pivotArea field="7" type="button" dataOnly="0" labelOnly="1" outline="0" axis="axisRow" fieldPosition="0"/>
    </format>
    <format dxfId="128">
      <pivotArea dataOnly="0" labelOnly="1" fieldPosition="0">
        <references count="1">
          <reference field="7" count="0"/>
        </references>
      </pivotArea>
    </format>
    <format dxfId="127">
      <pivotArea dataOnly="0" labelOnly="1" grandRow="1" outline="0" fieldPosition="0"/>
    </format>
    <format dxfId="126">
      <pivotArea dataOnly="0" labelOnly="1" outline="0" axis="axisValues" fieldPosition="0"/>
    </format>
    <format dxfId="125">
      <pivotArea type="all" dataOnly="0" outline="0" fieldPosition="0"/>
    </format>
    <format dxfId="124">
      <pivotArea outline="0" collapsedLevelsAreSubtotals="1" fieldPosition="0"/>
    </format>
    <format dxfId="123">
      <pivotArea field="7" type="button" dataOnly="0" labelOnly="1" outline="0" axis="axisRow" fieldPosition="0"/>
    </format>
    <format dxfId="122">
      <pivotArea dataOnly="0" labelOnly="1" fieldPosition="0">
        <references count="1">
          <reference field="7" count="0"/>
        </references>
      </pivotArea>
    </format>
    <format dxfId="121">
      <pivotArea dataOnly="0" labelOnly="1" grandRow="1" outline="0" fieldPosition="0"/>
    </format>
    <format dxfId="120">
      <pivotArea dataOnly="0" labelOnly="1" outline="0" axis="axisValues" fieldPosition="0"/>
    </format>
  </formats>
  <chartFormats count="3">
    <chartFormat chart="12" format="4" series="1">
      <pivotArea type="data" outline="0" fieldPosition="0">
        <references count="1">
          <reference field="4294967294" count="1" selected="0">
            <x v="0"/>
          </reference>
        </references>
      </pivotArea>
    </chartFormat>
    <chartFormat chart="12" format="5">
      <pivotArea type="data" outline="0" fieldPosition="0">
        <references count="2">
          <reference field="4294967294" count="1" selected="0">
            <x v="0"/>
          </reference>
          <reference field="7" count="1" selected="0">
            <x v="0"/>
          </reference>
        </references>
      </pivotArea>
    </chartFormat>
    <chartFormat chart="12" format="6">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FFC89AB-24A4-45AD-868A-36BA235BD6C1}" name="PivotTable8"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L25:M26" firstHeaderRow="0" firstDataRow="1" firstDataCol="0"/>
  <pivotFields count="4">
    <pivotField showAll="0">
      <items count="6">
        <item x="0"/>
        <item x="1"/>
        <item x="2"/>
        <item x="3"/>
        <item x="4"/>
        <item t="default"/>
      </items>
    </pivotField>
    <pivotField showAll="0">
      <items count="7">
        <item x="4"/>
        <item x="5"/>
        <item x="0"/>
        <item x="2"/>
        <item x="3"/>
        <item x="1"/>
        <item t="default"/>
      </items>
    </pivotField>
    <pivotField dataField="1" numFmtId="1" showAll="0">
      <items count="31">
        <item x="29"/>
        <item x="28"/>
        <item x="23"/>
        <item x="22"/>
        <item x="27"/>
        <item x="26"/>
        <item x="25"/>
        <item x="17"/>
        <item x="5"/>
        <item x="4"/>
        <item x="16"/>
        <item x="20"/>
        <item x="11"/>
        <item x="19"/>
        <item x="10"/>
        <item x="3"/>
        <item x="15"/>
        <item x="2"/>
        <item x="13"/>
        <item x="24"/>
        <item x="1"/>
        <item x="18"/>
        <item x="9"/>
        <item x="21"/>
        <item x="8"/>
        <item x="7"/>
        <item x="6"/>
        <item x="0"/>
        <item x="12"/>
        <item x="14"/>
        <item t="default"/>
      </items>
    </pivotField>
    <pivotField dataField="1" numFmtId="1" showAll="0"/>
  </pivotFields>
  <rowItems count="1">
    <i/>
  </rowItems>
  <colFields count="1">
    <field x="-2"/>
  </colFields>
  <colItems count="2">
    <i>
      <x/>
    </i>
    <i i="1">
      <x v="1"/>
    </i>
  </colItems>
  <dataFields count="2">
    <dataField name="Sum of Amount" fld="2" baseField="0" baseItem="0"/>
    <dataField name="Sum of Target" fld="3" baseField="0" baseItem="0"/>
  </dataFields>
  <formats count="6">
    <format dxfId="140">
      <pivotArea type="all" dataOnly="0" outline="0" fieldPosition="0"/>
    </format>
    <format dxfId="139">
      <pivotArea outline="0" collapsedLevelsAreSubtotals="1" fieldPosition="0"/>
    </format>
    <format dxfId="138">
      <pivotArea dataOnly="0" labelOnly="1" outline="0" fieldPosition="0">
        <references count="1">
          <reference field="4294967294" count="2">
            <x v="0"/>
            <x v="1"/>
          </reference>
        </references>
      </pivotArea>
    </format>
    <format dxfId="137">
      <pivotArea type="all" dataOnly="0" outline="0" fieldPosition="0"/>
    </format>
    <format dxfId="136">
      <pivotArea outline="0" collapsedLevelsAreSubtotals="1" fieldPosition="0"/>
    </format>
    <format dxfId="13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A794AFA-E8A8-44FC-ACA0-C57B98CA57EF}" name="PivotTable16"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C94:D98" firstHeaderRow="1" firstDataRow="1" firstDataCol="1"/>
  <pivotFields count="11">
    <pivotField showAll="0"/>
    <pivotField showAll="0">
      <items count="6">
        <item x="0"/>
        <item x="1"/>
        <item x="2"/>
        <item x="3"/>
        <item x="4"/>
        <item t="default"/>
      </items>
    </pivotField>
    <pivotField showAll="0"/>
    <pivotField showAll="0">
      <items count="3">
        <item x="1"/>
        <item x="0"/>
        <item t="default"/>
      </items>
    </pivotField>
    <pivotField showAll="0">
      <items count="3">
        <item x="1"/>
        <item x="0"/>
        <item t="default"/>
      </items>
    </pivotField>
    <pivotField showAll="0"/>
    <pivotField showAll="0"/>
    <pivotField showAll="0">
      <items count="3">
        <item x="0"/>
        <item x="1"/>
        <item t="default"/>
      </items>
    </pivotField>
    <pivotField axis="axisRow" dataField="1"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8"/>
  </rowFields>
  <rowItems count="4">
    <i>
      <x/>
    </i>
    <i>
      <x v="1"/>
    </i>
    <i>
      <x v="2"/>
    </i>
    <i t="grand">
      <x/>
    </i>
  </rowItems>
  <colItems count="1">
    <i/>
  </colItems>
  <dataFields count="1">
    <dataField name="Count of Delivery Type" fld="8" subtotal="count" baseField="0" baseItem="0"/>
  </dataFields>
  <formats count="13">
    <format dxfId="153">
      <pivotArea outline="0" collapsedLevelsAreSubtotals="1" fieldPosition="0"/>
    </format>
    <format dxfId="152">
      <pivotArea type="all" dataOnly="0" outline="0" fieldPosition="0"/>
    </format>
    <format dxfId="151">
      <pivotArea outline="0" collapsedLevelsAreSubtotals="1" fieldPosition="0"/>
    </format>
    <format dxfId="150">
      <pivotArea field="8" type="button" dataOnly="0" labelOnly="1" outline="0" axis="axisRow" fieldPosition="0"/>
    </format>
    <format dxfId="149">
      <pivotArea dataOnly="0" labelOnly="1" fieldPosition="0">
        <references count="1">
          <reference field="8" count="0"/>
        </references>
      </pivotArea>
    </format>
    <format dxfId="148">
      <pivotArea dataOnly="0" labelOnly="1" grandRow="1" outline="0" fieldPosition="0"/>
    </format>
    <format dxfId="147">
      <pivotArea dataOnly="0" labelOnly="1" outline="0" axis="axisValues" fieldPosition="0"/>
    </format>
    <format dxfId="146">
      <pivotArea type="all" dataOnly="0" outline="0" fieldPosition="0"/>
    </format>
    <format dxfId="145">
      <pivotArea outline="0" collapsedLevelsAreSubtotals="1" fieldPosition="0"/>
    </format>
    <format dxfId="144">
      <pivotArea field="8" type="button" dataOnly="0" labelOnly="1" outline="0" axis="axisRow" fieldPosition="0"/>
    </format>
    <format dxfId="143">
      <pivotArea dataOnly="0" labelOnly="1" fieldPosition="0">
        <references count="1">
          <reference field="8" count="0"/>
        </references>
      </pivotArea>
    </format>
    <format dxfId="142">
      <pivotArea dataOnly="0" labelOnly="1" grandRow="1" outline="0" fieldPosition="0"/>
    </format>
    <format dxfId="141">
      <pivotArea dataOnly="0" labelOnly="1" outline="0" axis="axisValues" fieldPosition="0"/>
    </format>
  </format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95C3A85-6DE8-46A1-AE5A-9A58CF3F853E}" name="PivotTable5"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25:E32" firstHeaderRow="0" firstDataRow="1" firstDataCol="1"/>
  <pivotFields count="4">
    <pivotField showAll="0">
      <items count="6">
        <item x="0"/>
        <item x="1"/>
        <item x="2"/>
        <item x="3"/>
        <item x="4"/>
        <item t="default"/>
      </items>
    </pivotField>
    <pivotField axis="axisRow" showAll="0" sortType="descending">
      <items count="7">
        <item x="4"/>
        <item x="5"/>
        <item x="0"/>
        <item x="2"/>
        <item x="3"/>
        <item x="1"/>
        <item t="default"/>
      </items>
      <autoSortScope>
        <pivotArea dataOnly="0" outline="0" fieldPosition="0">
          <references count="1">
            <reference field="4294967294" count="1" selected="0">
              <x v="0"/>
            </reference>
          </references>
        </pivotArea>
      </autoSortScope>
    </pivotField>
    <pivotField dataField="1" numFmtId="1" showAll="0"/>
    <pivotField numFmtId="1" showAll="0"/>
  </pivotFields>
  <rowFields count="1">
    <field x="1"/>
  </rowFields>
  <rowItems count="7">
    <i>
      <x v="2"/>
    </i>
    <i>
      <x v="5"/>
    </i>
    <i>
      <x v="3"/>
    </i>
    <i>
      <x v="4"/>
    </i>
    <i>
      <x v="1"/>
    </i>
    <i>
      <x/>
    </i>
    <i t="grand">
      <x/>
    </i>
  </rowItems>
  <colFields count="1">
    <field x="-2"/>
  </colFields>
  <colItems count="2">
    <i>
      <x/>
    </i>
    <i i="1">
      <x v="1"/>
    </i>
  </colItems>
  <dataFields count="2">
    <dataField name="Sum of Amount" fld="2" baseField="0" baseItem="0"/>
    <dataField name="Sum of Amount2" fld="2" showDataAs="percentOfCol" baseField="1" baseItem="0" numFmtId="10"/>
  </dataFields>
  <formats count="17">
    <format dxfId="170">
      <pivotArea collapsedLevelsAreSubtotals="1" fieldPosition="0">
        <references count="2">
          <reference field="4294967294" count="1" selected="0">
            <x v="0"/>
          </reference>
          <reference field="1" count="0"/>
        </references>
      </pivotArea>
    </format>
    <format dxfId="169">
      <pivotArea dataOnly="0" fieldPosition="0">
        <references count="1">
          <reference field="1" count="0"/>
        </references>
      </pivotArea>
    </format>
    <format dxfId="168">
      <pivotArea dataOnly="0" fieldPosition="0">
        <references count="1">
          <reference field="1" count="0"/>
        </references>
      </pivotArea>
    </format>
    <format dxfId="167">
      <pivotArea dataOnly="0" fieldPosition="0">
        <references count="1">
          <reference field="1" count="0"/>
        </references>
      </pivotArea>
    </format>
    <format dxfId="166">
      <pivotArea dataOnly="0" fieldPosition="0">
        <references count="1">
          <reference field="1" count="0"/>
        </references>
      </pivotArea>
    </format>
    <format dxfId="165">
      <pivotArea type="all" dataOnly="0" outline="0" fieldPosition="0"/>
    </format>
    <format dxfId="164">
      <pivotArea outline="0" collapsedLevelsAreSubtotals="1" fieldPosition="0"/>
    </format>
    <format dxfId="163">
      <pivotArea field="1" type="button" dataOnly="0" labelOnly="1" outline="0" axis="axisRow" fieldPosition="0"/>
    </format>
    <format dxfId="162">
      <pivotArea dataOnly="0" labelOnly="1" fieldPosition="0">
        <references count="1">
          <reference field="1" count="0"/>
        </references>
      </pivotArea>
    </format>
    <format dxfId="161">
      <pivotArea dataOnly="0" labelOnly="1" grandRow="1" outline="0" fieldPosition="0"/>
    </format>
    <format dxfId="160">
      <pivotArea dataOnly="0" labelOnly="1" outline="0" fieldPosition="0">
        <references count="1">
          <reference field="4294967294" count="2">
            <x v="0"/>
            <x v="1"/>
          </reference>
        </references>
      </pivotArea>
    </format>
    <format dxfId="159">
      <pivotArea type="all" dataOnly="0" outline="0" fieldPosition="0"/>
    </format>
    <format dxfId="158">
      <pivotArea outline="0" collapsedLevelsAreSubtotals="1" fieldPosition="0"/>
    </format>
    <format dxfId="157">
      <pivotArea field="1" type="button" dataOnly="0" labelOnly="1" outline="0" axis="axisRow" fieldPosition="0"/>
    </format>
    <format dxfId="156">
      <pivotArea dataOnly="0" labelOnly="1" fieldPosition="0">
        <references count="1">
          <reference field="1" count="0"/>
        </references>
      </pivotArea>
    </format>
    <format dxfId="155">
      <pivotArea dataOnly="0" labelOnly="1" grandRow="1" outline="0" fieldPosition="0"/>
    </format>
    <format dxfId="15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9D3A995-8674-4345-B2ED-678A05D899C7}" name="PivotTable1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64:D67" firstHeaderRow="1" firstDataRow="1" firstDataCol="1"/>
  <pivotFields count="11">
    <pivotField showAll="0"/>
    <pivotField showAll="0">
      <items count="6">
        <item x="0"/>
        <item x="1"/>
        <item x="2"/>
        <item x="3"/>
        <item x="4"/>
        <item t="default"/>
      </items>
    </pivotField>
    <pivotField showAll="0"/>
    <pivotField showAll="0">
      <items count="3">
        <item x="1"/>
        <item x="0"/>
        <item t="default"/>
      </items>
    </pivotField>
    <pivotField axis="axisRow" dataField="1"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4"/>
  </rowFields>
  <rowItems count="3">
    <i>
      <x v="1"/>
    </i>
    <i>
      <x/>
    </i>
    <i t="grand">
      <x/>
    </i>
  </rowItems>
  <colItems count="1">
    <i/>
  </colItems>
  <dataFields count="1">
    <dataField name="Count of Payment Method" fld="4" subtotal="count" baseField="0" baseItem="0"/>
  </dataFields>
  <formats count="13">
    <format dxfId="183">
      <pivotArea outline="0" collapsedLevelsAreSubtotals="1" fieldPosition="0"/>
    </format>
    <format dxfId="182">
      <pivotArea type="all" dataOnly="0" outline="0" fieldPosition="0"/>
    </format>
    <format dxfId="181">
      <pivotArea outline="0" collapsedLevelsAreSubtotals="1" fieldPosition="0"/>
    </format>
    <format dxfId="180">
      <pivotArea field="4" type="button" dataOnly="0" labelOnly="1" outline="0" axis="axisRow" fieldPosition="0"/>
    </format>
    <format dxfId="179">
      <pivotArea dataOnly="0" labelOnly="1" fieldPosition="0">
        <references count="1">
          <reference field="4" count="0"/>
        </references>
      </pivotArea>
    </format>
    <format dxfId="178">
      <pivotArea dataOnly="0" labelOnly="1" grandRow="1" outline="0" fieldPosition="0"/>
    </format>
    <format dxfId="177">
      <pivotArea dataOnly="0" labelOnly="1" outline="0" axis="axisValues" fieldPosition="0"/>
    </format>
    <format dxfId="176">
      <pivotArea type="all" dataOnly="0" outline="0" fieldPosition="0"/>
    </format>
    <format dxfId="175">
      <pivotArea outline="0" collapsedLevelsAreSubtotals="1" fieldPosition="0"/>
    </format>
    <format dxfId="174">
      <pivotArea field="4" type="button" dataOnly="0" labelOnly="1" outline="0" axis="axisRow" fieldPosition="0"/>
    </format>
    <format dxfId="173">
      <pivotArea dataOnly="0" labelOnly="1" fieldPosition="0">
        <references count="1">
          <reference field="4" count="0"/>
        </references>
      </pivotArea>
    </format>
    <format dxfId="172">
      <pivotArea dataOnly="0" labelOnly="1" grandRow="1" outline="0" fieldPosition="0"/>
    </format>
    <format dxfId="17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4CA4722-D297-447E-8FE3-45A392E1D86C}" name="PivotTable12"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70:D73" firstHeaderRow="1" firstDataRow="1" firstDataCol="1"/>
  <pivotFields count="11">
    <pivotField showAll="0"/>
    <pivotField showAll="0">
      <items count="6">
        <item x="0"/>
        <item x="1"/>
        <item x="2"/>
        <item x="3"/>
        <item x="4"/>
        <item t="default"/>
      </items>
    </pivotField>
    <pivotField showAll="0"/>
    <pivotField showAll="0">
      <items count="3">
        <item x="1"/>
        <item x="0"/>
        <item t="default"/>
      </items>
    </pivotField>
    <pivotField showAll="0">
      <items count="3">
        <item x="1"/>
        <item x="0"/>
        <item t="default"/>
      </items>
    </pivotField>
    <pivotField showAll="0"/>
    <pivotField axis="axisRow" dataField="1"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6"/>
  </rowFields>
  <rowItems count="3">
    <i>
      <x v="1"/>
    </i>
    <i>
      <x/>
    </i>
    <i t="grand">
      <x/>
    </i>
  </rowItems>
  <colItems count="1">
    <i/>
  </colItems>
  <dataFields count="1">
    <dataField name="Count of Registration Status" fld="6" subtotal="count" baseField="0" baseItem="0"/>
  </dataFields>
  <formats count="13">
    <format dxfId="196">
      <pivotArea outline="0" collapsedLevelsAreSubtotals="1" fieldPosition="0"/>
    </format>
    <format dxfId="195">
      <pivotArea type="all" dataOnly="0" outline="0" fieldPosition="0"/>
    </format>
    <format dxfId="194">
      <pivotArea outline="0" collapsedLevelsAreSubtotals="1" fieldPosition="0"/>
    </format>
    <format dxfId="193">
      <pivotArea field="6" type="button" dataOnly="0" labelOnly="1" outline="0" axis="axisRow" fieldPosition="0"/>
    </format>
    <format dxfId="192">
      <pivotArea dataOnly="0" labelOnly="1" fieldPosition="0">
        <references count="1">
          <reference field="6" count="0"/>
        </references>
      </pivotArea>
    </format>
    <format dxfId="191">
      <pivotArea dataOnly="0" labelOnly="1" grandRow="1" outline="0" fieldPosition="0"/>
    </format>
    <format dxfId="190">
      <pivotArea dataOnly="0" labelOnly="1" outline="0" axis="axisValues" fieldPosition="0"/>
    </format>
    <format dxfId="189">
      <pivotArea type="all" dataOnly="0" outline="0" fieldPosition="0"/>
    </format>
    <format dxfId="188">
      <pivotArea outline="0" collapsedLevelsAreSubtotals="1" fieldPosition="0"/>
    </format>
    <format dxfId="187">
      <pivotArea field="6" type="button" dataOnly="0" labelOnly="1" outline="0" axis="axisRow" fieldPosition="0"/>
    </format>
    <format dxfId="186">
      <pivotArea dataOnly="0" labelOnly="1" fieldPosition="0">
        <references count="1">
          <reference field="6" count="0"/>
        </references>
      </pivotArea>
    </format>
    <format dxfId="185">
      <pivotArea dataOnly="0" labelOnly="1" grandRow="1" outline="0" fieldPosition="0"/>
    </format>
    <format dxfId="18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10ACAE0-DFC4-42FA-8C27-7ED344D2068B}" name="PivotTable14"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81:D84" firstHeaderRow="1" firstDataRow="1" firstDataCol="1"/>
  <pivotFields count="11">
    <pivotField dataField="1" showAll="0"/>
    <pivotField showAll="0">
      <items count="6">
        <item x="0"/>
        <item x="1"/>
        <item x="2"/>
        <item x="3"/>
        <item x="4"/>
        <item t="default"/>
      </items>
    </pivotField>
    <pivotField showAll="0"/>
    <pivotField showAll="0">
      <items count="3">
        <item x="1"/>
        <item x="0"/>
        <item t="default"/>
      </items>
    </pivotField>
    <pivotField showAll="0">
      <items count="3">
        <item x="1"/>
        <item x="0"/>
        <item t="default"/>
      </items>
    </pivotField>
    <pivotField showAll="0"/>
    <pivotField showAll="0"/>
    <pivotField axis="axisRow" showAll="0">
      <items count="3">
        <item x="0"/>
        <item x="1"/>
        <item t="default"/>
      </items>
    </pivotField>
    <pivotField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7"/>
  </rowFields>
  <rowItems count="3">
    <i>
      <x/>
    </i>
    <i>
      <x v="1"/>
    </i>
    <i t="grand">
      <x/>
    </i>
  </rowItems>
  <colItems count="1">
    <i/>
  </colItems>
  <dataFields count="1">
    <dataField name="Count of Order Number" fld="0" subtotal="count" baseField="0" baseItem="0"/>
  </dataFields>
  <formats count="13">
    <format dxfId="209">
      <pivotArea outline="0" collapsedLevelsAreSubtotals="1" fieldPosition="0"/>
    </format>
    <format dxfId="208">
      <pivotArea type="all" dataOnly="0" outline="0" fieldPosition="0"/>
    </format>
    <format dxfId="207">
      <pivotArea outline="0" collapsedLevelsAreSubtotals="1" fieldPosition="0"/>
    </format>
    <format dxfId="206">
      <pivotArea field="7" type="button" dataOnly="0" labelOnly="1" outline="0" axis="axisRow" fieldPosition="0"/>
    </format>
    <format dxfId="205">
      <pivotArea dataOnly="0" labelOnly="1" fieldPosition="0">
        <references count="1">
          <reference field="7" count="0"/>
        </references>
      </pivotArea>
    </format>
    <format dxfId="204">
      <pivotArea dataOnly="0" labelOnly="1" grandRow="1" outline="0" fieldPosition="0"/>
    </format>
    <format dxfId="203">
      <pivotArea dataOnly="0" labelOnly="1" outline="0" axis="axisValues" fieldPosition="0"/>
    </format>
    <format dxfId="202">
      <pivotArea type="all" dataOnly="0" outline="0" fieldPosition="0"/>
    </format>
    <format dxfId="201">
      <pivotArea outline="0" collapsedLevelsAreSubtotals="1" fieldPosition="0"/>
    </format>
    <format dxfId="200">
      <pivotArea field="7" type="button" dataOnly="0" labelOnly="1" outline="0" axis="axisRow" fieldPosition="0"/>
    </format>
    <format dxfId="199">
      <pivotArea dataOnly="0" labelOnly="1" fieldPosition="0">
        <references count="1">
          <reference field="7" count="0"/>
        </references>
      </pivotArea>
    </format>
    <format dxfId="198">
      <pivotArea dataOnly="0" labelOnly="1" grandRow="1" outline="0" fieldPosition="0"/>
    </format>
    <format dxfId="19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60F3EB5-0DAF-4B07-AE40-390258AFBC8E}" name="PivotTable10"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58:D61" firstHeaderRow="1" firstDataRow="1" firstDataCol="1"/>
  <pivotFields count="11">
    <pivotField showAll="0"/>
    <pivotField showAll="0">
      <items count="6">
        <item x="0"/>
        <item x="1"/>
        <item x="2"/>
        <item x="3"/>
        <item x="4"/>
        <item t="default"/>
      </items>
    </pivotField>
    <pivotField showAll="0"/>
    <pivotField axis="axisRow" dataField="1"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3"/>
  </rowFields>
  <rowItems count="3">
    <i>
      <x/>
    </i>
    <i>
      <x v="1"/>
    </i>
    <i t="grand">
      <x/>
    </i>
  </rowItems>
  <colItems count="1">
    <i/>
  </colItems>
  <dataFields count="1">
    <dataField name="Count of POS" fld="3" subtotal="count" baseField="0" baseItem="0"/>
  </dataFields>
  <formats count="13">
    <format dxfId="222">
      <pivotArea outline="0" collapsedLevelsAreSubtotals="1" fieldPosition="0"/>
    </format>
    <format dxfId="221">
      <pivotArea type="all" dataOnly="0" outline="0" fieldPosition="0"/>
    </format>
    <format dxfId="220">
      <pivotArea outline="0" collapsedLevelsAreSubtotals="1" fieldPosition="0"/>
    </format>
    <format dxfId="219">
      <pivotArea field="3" type="button" dataOnly="0" labelOnly="1" outline="0" axis="axisRow" fieldPosition="0"/>
    </format>
    <format dxfId="218">
      <pivotArea dataOnly="0" labelOnly="1" fieldPosition="0">
        <references count="1">
          <reference field="3" count="0"/>
        </references>
      </pivotArea>
    </format>
    <format dxfId="217">
      <pivotArea dataOnly="0" labelOnly="1" grandRow="1" outline="0" fieldPosition="0"/>
    </format>
    <format dxfId="216">
      <pivotArea dataOnly="0" labelOnly="1" outline="0" axis="axisValues" fieldPosition="0"/>
    </format>
    <format dxfId="215">
      <pivotArea type="all" dataOnly="0" outline="0" fieldPosition="0"/>
    </format>
    <format dxfId="214">
      <pivotArea outline="0" collapsedLevelsAreSubtotals="1" fieldPosition="0"/>
    </format>
    <format dxfId="213">
      <pivotArea field="3" type="button" dataOnly="0" labelOnly="1" outline="0" axis="axisRow" fieldPosition="0"/>
    </format>
    <format dxfId="212">
      <pivotArea dataOnly="0" labelOnly="1" fieldPosition="0">
        <references count="1">
          <reference field="3" count="0"/>
        </references>
      </pivotArea>
    </format>
    <format dxfId="211">
      <pivotArea dataOnly="0" labelOnly="1" grandRow="1" outline="0" fieldPosition="0"/>
    </format>
    <format dxfId="21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713ECED-E9D7-4E18-83EE-503F70B62FE4}"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AK5:AL18" firstHeaderRow="1" firstDataRow="1" firstDataCol="1"/>
  <pivotFields count="9">
    <pivotField showAll="0">
      <items count="6">
        <item x="0"/>
        <item x="1"/>
        <item x="2"/>
        <item x="3"/>
        <item x="4"/>
        <item t="default"/>
      </items>
    </pivotField>
    <pivotField axis="axisRow"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numFmtId="165" showAll="0"/>
    <pivotField numFmtId="165" showAll="0"/>
    <pivotField dataField="1" numFmtId="165" showAll="0"/>
    <pivotField showAll="0"/>
  </pivotFields>
  <rowFields count="1">
    <field x="1"/>
  </rowFields>
  <rowItems count="13">
    <i>
      <x/>
    </i>
    <i>
      <x v="1"/>
    </i>
    <i>
      <x v="2"/>
    </i>
    <i>
      <x v="3"/>
    </i>
    <i>
      <x v="4"/>
    </i>
    <i>
      <x v="5"/>
    </i>
    <i>
      <x v="6"/>
    </i>
    <i>
      <x v="7"/>
    </i>
    <i>
      <x v="8"/>
    </i>
    <i>
      <x v="9"/>
    </i>
    <i>
      <x v="10"/>
    </i>
    <i>
      <x v="11"/>
    </i>
    <i t="grand">
      <x/>
    </i>
  </rowItems>
  <colItems count="1">
    <i/>
  </colItems>
  <dataFields count="1">
    <dataField name="Sum of operating profit" fld="7" baseField="0" baseItem="0"/>
  </dataFields>
  <formats count="14">
    <format dxfId="236">
      <pivotArea outline="0" collapsedLevelsAreSubtotals="1" fieldPosition="0"/>
    </format>
    <format dxfId="235">
      <pivotArea dataOnly="0" labelOnly="1" grandRow="1" outline="0" fieldPosition="0"/>
    </format>
    <format dxfId="234">
      <pivotArea type="all" dataOnly="0" outline="0" fieldPosition="0"/>
    </format>
    <format dxfId="233">
      <pivotArea outline="0" collapsedLevelsAreSubtotals="1" fieldPosition="0"/>
    </format>
    <format dxfId="232">
      <pivotArea field="1" type="button" dataOnly="0" labelOnly="1" outline="0" axis="axisRow" fieldPosition="0"/>
    </format>
    <format dxfId="231">
      <pivotArea dataOnly="0" labelOnly="1" fieldPosition="0">
        <references count="1">
          <reference field="1" count="0"/>
        </references>
      </pivotArea>
    </format>
    <format dxfId="230">
      <pivotArea dataOnly="0" labelOnly="1" grandRow="1" outline="0" fieldPosition="0"/>
    </format>
    <format dxfId="229">
      <pivotArea dataOnly="0" labelOnly="1" outline="0" axis="axisValues" fieldPosition="0"/>
    </format>
    <format dxfId="228">
      <pivotArea type="all" dataOnly="0" outline="0" fieldPosition="0"/>
    </format>
    <format dxfId="227">
      <pivotArea outline="0" collapsedLevelsAreSubtotals="1" fieldPosition="0"/>
    </format>
    <format dxfId="226">
      <pivotArea field="1" type="button" dataOnly="0" labelOnly="1" outline="0" axis="axisRow" fieldPosition="0"/>
    </format>
    <format dxfId="225">
      <pivotArea dataOnly="0" labelOnly="1" fieldPosition="0">
        <references count="1">
          <reference field="1" count="0"/>
        </references>
      </pivotArea>
    </format>
    <format dxfId="224">
      <pivotArea dataOnly="0" labelOnly="1" grandRow="1" outline="0" fieldPosition="0"/>
    </format>
    <format dxfId="223">
      <pivotArea dataOnly="0" labelOnly="1" outline="0" axis="axisValues" fieldPosition="0"/>
    </format>
  </formats>
  <chartFormats count="2">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C471F69-6FA6-42D1-BABB-0B487807B918}" sourceName="Year">
  <pivotTables>
    <pivotTable tabId="6" name="PivotTable1"/>
    <pivotTable tabId="6" name="PivotTable2"/>
    <pivotTable tabId="6" name="PivotTable3"/>
    <pivotTable tabId="6" name="PivotTable6"/>
    <pivotTable tabId="6" name="PivotTable7"/>
    <pivotTable tabId="6" name="PivotTable4"/>
  </pivotTables>
  <data>
    <tabular pivotCacheId="1818031476">
      <items count="5">
        <i x="0" s="1"/>
        <i x="1" s="1"/>
        <i x="2" s="1"/>
        <i x="3" s="1"/>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61B0DACF-F679-4F28-A2C9-295ACE817A0D}" sourceName="Year">
  <pivotTables>
    <pivotTable tabId="6" name="PivotTable5"/>
    <pivotTable tabId="6" name="PivotTable8"/>
  </pivotTables>
  <data>
    <tabular pivotCacheId="1183615428">
      <items count="5">
        <i x="0" s="1"/>
        <i x="1" s="1"/>
        <i x="2" s="1"/>
        <i x="3" s="1"/>
        <i x="4"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034AABE9-B814-4987-9652-621B74C63027}" sourceName="Year">
  <pivotTables>
    <pivotTable tabId="6" name="PivotTable10"/>
    <pivotTable tabId="6" name="PivotTable11"/>
    <pivotTable tabId="6" name="PivotTable12"/>
    <pivotTable tabId="6" name="PivotTable9"/>
    <pivotTable tabId="6" name="PivotTable13"/>
    <pivotTable tabId="6" name="PivotTable14"/>
    <pivotTable tabId="6" name="PivotTable15"/>
    <pivotTable tabId="6" name="PivotTable16"/>
    <pivotTable tabId="6" name="PivotTable17"/>
  </pivotTables>
  <data>
    <tabular pivotCacheId="373940768">
      <items count="5">
        <i x="0" s="1"/>
        <i x="1" s="1"/>
        <i x="2" s="1"/>
        <i x="3" s="1"/>
        <i x="4"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9DBE8F0-FB20-433C-B7B9-6075733CD410}" cache="Slicer_Year" caption="Year" columnCount="5" showCaption="0" style="SlicerStyleDark3 2" lockedPosition="1" rowHeight="27432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2875BEFD-55AE-437A-82E3-0A6DA70BE07F}" cache="Slicer_Year1" caption="Year" columnCount="5" showCaption="0" style="SlicerStyleDark3 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0F9243E7-7214-4C90-BD3F-2181CE7A1E40}" cache="Slicer_Year2" caption="Year" columnCount="5" showCaption="0" style="SlicerStyleDark3 2" lockedPosition="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BFC0C3-23ED-4555-A20E-E6E1836748EE}" name="Table_1" displayName="Table_1" ref="A1:K3116">
  <tableColumns count="11">
    <tableColumn id="1" xr3:uid="{11B85BF4-F911-4A2A-9837-ACCCB1A7D297}" name="Order Number"/>
    <tableColumn id="2" xr3:uid="{43C34437-E3AD-4B8F-B674-722B8F5C1082}" name="Year"/>
    <tableColumn id="3" xr3:uid="{EEE97EB3-B49A-49D6-85B3-11A10CFD2F74}" name="Month"/>
    <tableColumn id="4" xr3:uid="{DE7297E1-630C-4909-914D-E07B1C91E932}" name="POS"/>
    <tableColumn id="5" xr3:uid="{2DA2C297-996E-4AF6-A8C2-B082CFB13623}" name="Payment Method"/>
    <tableColumn id="6" xr3:uid="{48D6B12F-2500-4AD5-BFCF-FFF2C07DDC14}" name="Assembly Stage"/>
    <tableColumn id="7" xr3:uid="{24EADA17-B362-4BFB-B164-6511B36B05DF}" name="Registration Status"/>
    <tableColumn id="8" xr3:uid="{FC2238F2-3391-4AA3-A4F8-EBCC239FBB92}" name="Sale Status"/>
    <tableColumn id="9" xr3:uid="{BE09703E-4343-45E5-A48D-FA4CE5CBA12F}" name="Delivery Type"/>
    <tableColumn id="10" xr3:uid="{28EE39CF-EEBD-4C72-8BD2-C3CF4406CCDE}" name="Amount"/>
    <tableColumn id="11" xr3:uid="{4E497E8B-B854-432C-9820-62FC253B1EDD}" name="Target"/>
  </tableColumns>
  <tableStyleInfo name="Data Tables-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D28505-F379-4A7E-A508-B65DF599BA8F}" name="Table3" displayName="Table3" ref="A1:I901" totalsRowShown="0" headerRowDxfId="255" dataDxfId="253" headerRowBorderDxfId="254" tableBorderDxfId="252">
  <autoFilter ref="A1:I901" xr:uid="{10D28505-F379-4A7E-A508-B65DF599BA8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A2:I901">
    <sortCondition ref="A2:A901" customList="Jan,Feb,Mar,Apr,May,Jun,Jul,Aug,Sep,Oct,Nov,Dec"/>
  </sortState>
  <tableColumns count="9">
    <tableColumn id="1" xr3:uid="{F1B2F5AF-1872-4D88-A8AD-82C5ABEDAC5E}" name="Year" dataDxfId="251"/>
    <tableColumn id="2" xr3:uid="{A68E4C5E-63A7-44F3-94A9-B3DC035142E3}" name="Month" dataDxfId="250"/>
    <tableColumn id="3" xr3:uid="{FCFD0908-B2CD-4A82-AD2C-8F47574C7344}" name="Income sources" dataDxfId="249"/>
    <tableColumn id="4" xr3:uid="{B21922F0-2DEC-409B-A10C-800CA1A1B0C5}" name="Income Breakdowns" dataDxfId="248"/>
    <tableColumn id="5" xr3:uid="{065303FF-72C4-4F8F-BB0C-F9118DF0DFDF}" name="Counts" dataDxfId="247"/>
    <tableColumn id="6" xr3:uid="{DABCF258-4449-4DEA-86B9-64B7C52EA6A0}" name="Income" dataDxfId="246"/>
    <tableColumn id="7" xr3:uid="{21324F5C-E6CA-43C7-8626-2541ACD89257}" name="Target Income" dataDxfId="245"/>
    <tableColumn id="8" xr3:uid="{A4C67C2A-7CF2-4AF9-8525-5806E64C6993}" name="operating profit" dataDxfId="244"/>
    <tableColumn id="9" xr3:uid="{C6352437-E1F6-2340-AE38-441D5A24EB63}" name="Marketing Strategies" dataDxfId="243"/>
  </tableColumns>
  <tableStyleInfo name="TableStyleLight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3A88EA-F785-4042-8D71-476C6027A55A}" name="Map" displayName="Map" ref="M1:P31" totalsRowShown="0" headerRowDxfId="242" dataDxfId="241">
  <sortState xmlns:xlrd2="http://schemas.microsoft.com/office/spreadsheetml/2017/richdata2" ref="M2:P31">
    <sortCondition ref="M1:M31"/>
  </sortState>
  <tableColumns count="4">
    <tableColumn id="1" xr3:uid="{70A61EDA-A5B3-457B-90DE-9FEC894613B8}" name="Year" dataDxfId="240"/>
    <tableColumn id="2" xr3:uid="{4205EDD8-A82A-49BC-84BA-B23B05943933}" name="Country" dataDxfId="239"/>
    <tableColumn id="3" xr3:uid="{04CDE895-61A6-4754-BCA5-900B29571730}" name="Amount" dataDxfId="238"/>
    <tableColumn id="4" xr3:uid="{6C3C184C-D80D-4741-B3A7-F69C39DF9414}" name="Target" dataDxfId="237"/>
  </tableColumns>
  <tableStyleInfo name="TableStyleLight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rinterSettings" Target="../printerSettings/printerSettings3.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099E4-BFB7-4F38-95AE-FD2366C4E2F6}">
  <sheetPr codeName="Sheet1">
    <tabColor theme="2" tint="-0.499984740745262"/>
  </sheetPr>
  <dimension ref="A1:K3116"/>
  <sheetViews>
    <sheetView tabSelected="1" topLeftCell="A16" workbookViewId="0">
      <selection activeCell="A2" sqref="A2"/>
    </sheetView>
  </sheetViews>
  <sheetFormatPr defaultRowHeight="14.4" x14ac:dyDescent="0.3"/>
  <cols>
    <col min="1" max="1" width="13.77734375" bestFit="1" customWidth="1"/>
    <col min="2" max="2" width="5.44140625" bestFit="1" customWidth="1"/>
    <col min="3" max="3" width="6.5546875" bestFit="1" customWidth="1"/>
    <col min="4" max="4" width="9.44140625" bestFit="1" customWidth="1"/>
    <col min="5" max="6" width="16.33203125" bestFit="1" customWidth="1"/>
    <col min="7" max="7" width="28.33203125" bestFit="1" customWidth="1"/>
    <col min="8" max="8" width="11.21875" bestFit="1" customWidth="1"/>
    <col min="9" max="9" width="13.44140625" bestFit="1" customWidth="1"/>
    <col min="10" max="10" width="7.6640625" bestFit="1" customWidth="1"/>
    <col min="11" max="11" width="8.77734375" bestFit="1" customWidth="1"/>
  </cols>
  <sheetData>
    <row r="1" spans="1:11" x14ac:dyDescent="0.3">
      <c r="A1" s="35" t="s">
        <v>83</v>
      </c>
      <c r="B1" s="35" t="s">
        <v>16</v>
      </c>
      <c r="C1" s="35" t="s">
        <v>17</v>
      </c>
      <c r="D1" s="35" t="s">
        <v>84</v>
      </c>
      <c r="E1" s="35" t="s">
        <v>85</v>
      </c>
      <c r="F1" s="35" t="s">
        <v>86</v>
      </c>
      <c r="G1" s="35" t="s">
        <v>87</v>
      </c>
      <c r="H1" s="35" t="s">
        <v>88</v>
      </c>
      <c r="I1" s="35" t="s">
        <v>89</v>
      </c>
      <c r="J1" s="35" t="s">
        <v>49</v>
      </c>
      <c r="K1" s="35" t="s">
        <v>53</v>
      </c>
    </row>
    <row r="2" spans="1:11" x14ac:dyDescent="0.3">
      <c r="A2" s="36" t="s">
        <v>90</v>
      </c>
      <c r="B2" s="36">
        <v>2020</v>
      </c>
      <c r="C2" s="36" t="s">
        <v>3</v>
      </c>
      <c r="D2" s="36" t="s">
        <v>91</v>
      </c>
      <c r="E2" s="36" t="s">
        <v>92</v>
      </c>
      <c r="F2" s="36" t="s">
        <v>93</v>
      </c>
      <c r="G2" s="36" t="s">
        <v>94</v>
      </c>
      <c r="H2" s="36" t="s">
        <v>95</v>
      </c>
      <c r="I2" s="36" t="s">
        <v>96</v>
      </c>
      <c r="J2" s="36">
        <v>350</v>
      </c>
      <c r="K2" s="36">
        <v>500.5</v>
      </c>
    </row>
    <row r="3" spans="1:11" x14ac:dyDescent="0.3">
      <c r="A3" s="36" t="s">
        <v>90</v>
      </c>
      <c r="B3" s="36">
        <v>2020</v>
      </c>
      <c r="C3" s="36" t="s">
        <v>3</v>
      </c>
      <c r="D3" s="36" t="s">
        <v>91</v>
      </c>
      <c r="E3" s="36" t="s">
        <v>92</v>
      </c>
      <c r="F3" s="36" t="s">
        <v>93</v>
      </c>
      <c r="G3" s="36" t="s">
        <v>94</v>
      </c>
      <c r="H3" s="36" t="s">
        <v>95</v>
      </c>
      <c r="I3" s="36" t="s">
        <v>96</v>
      </c>
      <c r="J3" s="36">
        <v>344</v>
      </c>
      <c r="K3" s="36">
        <v>491.91999999999996</v>
      </c>
    </row>
    <row r="4" spans="1:11" x14ac:dyDescent="0.3">
      <c r="A4" s="36" t="s">
        <v>97</v>
      </c>
      <c r="B4" s="36">
        <v>2020</v>
      </c>
      <c r="C4" s="36" t="s">
        <v>3</v>
      </c>
      <c r="D4" s="36" t="s">
        <v>91</v>
      </c>
      <c r="E4" s="36" t="s">
        <v>92</v>
      </c>
      <c r="F4" s="36" t="s">
        <v>93</v>
      </c>
      <c r="G4" s="36" t="s">
        <v>94</v>
      </c>
      <c r="H4" s="36" t="s">
        <v>95</v>
      </c>
      <c r="I4" s="36" t="s">
        <v>98</v>
      </c>
      <c r="J4" s="36">
        <v>236</v>
      </c>
      <c r="K4" s="36">
        <v>337.48</v>
      </c>
    </row>
    <row r="5" spans="1:11" x14ac:dyDescent="0.3">
      <c r="A5" s="36" t="s">
        <v>97</v>
      </c>
      <c r="B5" s="36">
        <v>2020</v>
      </c>
      <c r="C5" s="36" t="s">
        <v>3</v>
      </c>
      <c r="D5" s="36" t="s">
        <v>91</v>
      </c>
      <c r="E5" s="36" t="s">
        <v>92</v>
      </c>
      <c r="F5" s="36" t="s">
        <v>93</v>
      </c>
      <c r="G5" s="36" t="s">
        <v>94</v>
      </c>
      <c r="H5" s="36" t="s">
        <v>95</v>
      </c>
      <c r="I5" s="36" t="s">
        <v>98</v>
      </c>
      <c r="J5" s="36">
        <v>284</v>
      </c>
      <c r="K5" s="36">
        <v>406.12</v>
      </c>
    </row>
    <row r="6" spans="1:11" x14ac:dyDescent="0.3">
      <c r="A6" s="36" t="s">
        <v>99</v>
      </c>
      <c r="B6" s="36">
        <v>2020</v>
      </c>
      <c r="C6" s="36" t="s">
        <v>3</v>
      </c>
      <c r="D6" s="36" t="s">
        <v>91</v>
      </c>
      <c r="E6" s="36" t="s">
        <v>92</v>
      </c>
      <c r="F6" s="36" t="s">
        <v>93</v>
      </c>
      <c r="G6" s="36" t="s">
        <v>94</v>
      </c>
      <c r="H6" s="36" t="s">
        <v>95</v>
      </c>
      <c r="I6" s="36" t="s">
        <v>98</v>
      </c>
      <c r="J6" s="36">
        <v>238</v>
      </c>
      <c r="K6" s="36">
        <v>340.34000000000003</v>
      </c>
    </row>
    <row r="7" spans="1:11" x14ac:dyDescent="0.3">
      <c r="A7" s="36" t="s">
        <v>90</v>
      </c>
      <c r="B7" s="36">
        <v>2020</v>
      </c>
      <c r="C7" s="36" t="s">
        <v>3</v>
      </c>
      <c r="D7" s="36" t="s">
        <v>91</v>
      </c>
      <c r="E7" s="36" t="s">
        <v>92</v>
      </c>
      <c r="F7" s="36" t="s">
        <v>93</v>
      </c>
      <c r="G7" s="36" t="s">
        <v>94</v>
      </c>
      <c r="H7" s="36" t="s">
        <v>95</v>
      </c>
      <c r="I7" s="36" t="s">
        <v>98</v>
      </c>
      <c r="J7" s="36">
        <v>280</v>
      </c>
      <c r="K7" s="36">
        <v>400.4</v>
      </c>
    </row>
    <row r="8" spans="1:11" x14ac:dyDescent="0.3">
      <c r="A8" s="36" t="s">
        <v>90</v>
      </c>
      <c r="B8" s="36">
        <v>2020</v>
      </c>
      <c r="C8" s="36" t="s">
        <v>3</v>
      </c>
      <c r="D8" s="36" t="s">
        <v>91</v>
      </c>
      <c r="E8" s="36" t="s">
        <v>92</v>
      </c>
      <c r="F8" s="36" t="s">
        <v>93</v>
      </c>
      <c r="G8" s="36" t="s">
        <v>94</v>
      </c>
      <c r="H8" s="36" t="s">
        <v>95</v>
      </c>
      <c r="I8" s="36" t="s">
        <v>98</v>
      </c>
      <c r="J8" s="36">
        <v>208</v>
      </c>
      <c r="K8" s="36">
        <v>297.44</v>
      </c>
    </row>
    <row r="9" spans="1:11" x14ac:dyDescent="0.3">
      <c r="A9" s="36" t="s">
        <v>97</v>
      </c>
      <c r="B9" s="36">
        <v>2020</v>
      </c>
      <c r="C9" s="36" t="s">
        <v>3</v>
      </c>
      <c r="D9" s="36" t="s">
        <v>91</v>
      </c>
      <c r="E9" s="36" t="s">
        <v>92</v>
      </c>
      <c r="F9" s="36" t="s">
        <v>93</v>
      </c>
      <c r="G9" s="36" t="s">
        <v>94</v>
      </c>
      <c r="H9" s="36" t="s">
        <v>95</v>
      </c>
      <c r="I9" s="36" t="s">
        <v>96</v>
      </c>
      <c r="J9" s="36">
        <v>354</v>
      </c>
      <c r="K9" s="36">
        <v>526.24</v>
      </c>
    </row>
    <row r="10" spans="1:11" x14ac:dyDescent="0.3">
      <c r="A10" s="36" t="s">
        <v>90</v>
      </c>
      <c r="B10" s="36">
        <v>2020</v>
      </c>
      <c r="C10" s="36" t="s">
        <v>3</v>
      </c>
      <c r="D10" s="36" t="s">
        <v>91</v>
      </c>
      <c r="E10" s="36" t="s">
        <v>92</v>
      </c>
      <c r="F10" s="36" t="s">
        <v>93</v>
      </c>
      <c r="G10" s="36" t="s">
        <v>94</v>
      </c>
      <c r="H10" s="36" t="s">
        <v>95</v>
      </c>
      <c r="I10" s="36" t="s">
        <v>96</v>
      </c>
      <c r="J10" s="36">
        <v>348</v>
      </c>
      <c r="K10" s="36">
        <v>526.24</v>
      </c>
    </row>
    <row r="11" spans="1:11" x14ac:dyDescent="0.3">
      <c r="A11" s="36" t="s">
        <v>99</v>
      </c>
      <c r="B11" s="36">
        <v>2020</v>
      </c>
      <c r="C11" s="36" t="s">
        <v>3</v>
      </c>
      <c r="D11" s="36" t="s">
        <v>91</v>
      </c>
      <c r="E11" s="36" t="s">
        <v>92</v>
      </c>
      <c r="F11" s="36" t="s">
        <v>93</v>
      </c>
      <c r="G11" s="36" t="s">
        <v>94</v>
      </c>
      <c r="H11" s="36" t="s">
        <v>95</v>
      </c>
      <c r="I11" s="36" t="s">
        <v>96</v>
      </c>
      <c r="J11" s="36">
        <v>342</v>
      </c>
      <c r="K11" s="36">
        <v>526.24</v>
      </c>
    </row>
    <row r="12" spans="1:11" x14ac:dyDescent="0.3">
      <c r="A12" s="36" t="s">
        <v>100</v>
      </c>
      <c r="B12" s="36">
        <v>2020</v>
      </c>
      <c r="C12" s="36" t="s">
        <v>3</v>
      </c>
      <c r="D12" s="36" t="s">
        <v>91</v>
      </c>
      <c r="E12" s="36" t="s">
        <v>92</v>
      </c>
      <c r="F12" s="36" t="s">
        <v>93</v>
      </c>
      <c r="G12" s="36" t="s">
        <v>94</v>
      </c>
      <c r="H12" s="36" t="s">
        <v>95</v>
      </c>
      <c r="I12" s="36" t="s">
        <v>98</v>
      </c>
      <c r="J12" s="36">
        <v>677</v>
      </c>
      <c r="K12" s="36">
        <v>968.11</v>
      </c>
    </row>
    <row r="13" spans="1:11" x14ac:dyDescent="0.3">
      <c r="A13" s="36" t="s">
        <v>99</v>
      </c>
      <c r="B13" s="36">
        <v>2020</v>
      </c>
      <c r="C13" s="36" t="s">
        <v>3</v>
      </c>
      <c r="D13" s="36" t="s">
        <v>91</v>
      </c>
      <c r="E13" s="36" t="s">
        <v>92</v>
      </c>
      <c r="F13" s="36" t="s">
        <v>93</v>
      </c>
      <c r="G13" s="36" t="s">
        <v>94</v>
      </c>
      <c r="H13" s="36" t="s">
        <v>95</v>
      </c>
      <c r="I13" s="36" t="s">
        <v>98</v>
      </c>
      <c r="J13" s="36">
        <v>710</v>
      </c>
      <c r="K13" s="36">
        <v>1015.3</v>
      </c>
    </row>
    <row r="14" spans="1:11" x14ac:dyDescent="0.3">
      <c r="A14" s="36" t="s">
        <v>97</v>
      </c>
      <c r="B14" s="36">
        <v>2020</v>
      </c>
      <c r="C14" s="36" t="s">
        <v>3</v>
      </c>
      <c r="D14" s="36" t="s">
        <v>91</v>
      </c>
      <c r="E14" s="36" t="s">
        <v>92</v>
      </c>
      <c r="F14" s="36" t="s">
        <v>93</v>
      </c>
      <c r="G14" s="36" t="s">
        <v>94</v>
      </c>
      <c r="H14" s="36" t="s">
        <v>95</v>
      </c>
      <c r="I14" s="36" t="s">
        <v>98</v>
      </c>
      <c r="J14" s="36">
        <v>763</v>
      </c>
      <c r="K14" s="36">
        <v>1091.0899999999999</v>
      </c>
    </row>
    <row r="15" spans="1:11" x14ac:dyDescent="0.3">
      <c r="A15" s="36" t="s">
        <v>97</v>
      </c>
      <c r="B15" s="36">
        <v>2020</v>
      </c>
      <c r="C15" s="36" t="s">
        <v>3</v>
      </c>
      <c r="D15" s="36" t="s">
        <v>91</v>
      </c>
      <c r="E15" s="36" t="s">
        <v>92</v>
      </c>
      <c r="F15" s="36" t="s">
        <v>93</v>
      </c>
      <c r="G15" s="36" t="s">
        <v>94</v>
      </c>
      <c r="H15" s="36" t="s">
        <v>95</v>
      </c>
      <c r="I15" s="36" t="s">
        <v>96</v>
      </c>
      <c r="J15" s="36">
        <v>351</v>
      </c>
      <c r="K15" s="36">
        <v>501.93</v>
      </c>
    </row>
    <row r="16" spans="1:11" x14ac:dyDescent="0.3">
      <c r="A16" s="36" t="s">
        <v>99</v>
      </c>
      <c r="B16" s="36">
        <v>2020</v>
      </c>
      <c r="C16" s="36" t="s">
        <v>3</v>
      </c>
      <c r="D16" s="36" t="s">
        <v>91</v>
      </c>
      <c r="E16" s="36" t="s">
        <v>92</v>
      </c>
      <c r="F16" s="36" t="s">
        <v>93</v>
      </c>
      <c r="G16" s="36" t="s">
        <v>94</v>
      </c>
      <c r="H16" s="36" t="s">
        <v>95</v>
      </c>
      <c r="I16" s="36" t="s">
        <v>96</v>
      </c>
      <c r="J16" s="36">
        <v>345</v>
      </c>
      <c r="K16" s="36">
        <v>493.35</v>
      </c>
    </row>
    <row r="17" spans="1:11" x14ac:dyDescent="0.3">
      <c r="A17" s="36" t="s">
        <v>90</v>
      </c>
      <c r="B17" s="36">
        <v>2020</v>
      </c>
      <c r="C17" s="36" t="s">
        <v>3</v>
      </c>
      <c r="D17" s="36" t="s">
        <v>91</v>
      </c>
      <c r="E17" s="36" t="s">
        <v>92</v>
      </c>
      <c r="F17" s="36" t="s">
        <v>93</v>
      </c>
      <c r="G17" s="36" t="s">
        <v>94</v>
      </c>
      <c r="H17" s="36" t="s">
        <v>95</v>
      </c>
      <c r="I17" s="36" t="s">
        <v>96</v>
      </c>
      <c r="J17" s="36">
        <v>339</v>
      </c>
      <c r="K17" s="36">
        <v>484.77</v>
      </c>
    </row>
    <row r="18" spans="1:11" x14ac:dyDescent="0.3">
      <c r="A18" s="36" t="s">
        <v>97</v>
      </c>
      <c r="B18" s="36">
        <v>2020</v>
      </c>
      <c r="C18" s="36" t="s">
        <v>3</v>
      </c>
      <c r="D18" s="36" t="s">
        <v>91</v>
      </c>
      <c r="E18" s="36" t="s">
        <v>92</v>
      </c>
      <c r="F18" s="36" t="s">
        <v>93</v>
      </c>
      <c r="G18" s="36" t="s">
        <v>94</v>
      </c>
      <c r="H18" s="36" t="s">
        <v>95</v>
      </c>
      <c r="I18" s="36" t="s">
        <v>98</v>
      </c>
      <c r="J18" s="36">
        <v>237</v>
      </c>
      <c r="K18" s="36">
        <v>338.90999999999997</v>
      </c>
    </row>
    <row r="19" spans="1:11" x14ac:dyDescent="0.3">
      <c r="A19" s="36" t="s">
        <v>97</v>
      </c>
      <c r="B19" s="36">
        <v>2020</v>
      </c>
      <c r="C19" s="36" t="s">
        <v>3</v>
      </c>
      <c r="D19" s="36" t="s">
        <v>91</v>
      </c>
      <c r="E19" s="36" t="s">
        <v>92</v>
      </c>
      <c r="F19" s="36" t="s">
        <v>93</v>
      </c>
      <c r="G19" s="36" t="s">
        <v>94</v>
      </c>
      <c r="H19" s="36" t="s">
        <v>95</v>
      </c>
      <c r="I19" s="36" t="s">
        <v>98</v>
      </c>
      <c r="J19" s="36">
        <v>749</v>
      </c>
      <c r="K19" s="36">
        <v>526.24</v>
      </c>
    </row>
    <row r="20" spans="1:11" x14ac:dyDescent="0.3">
      <c r="A20" s="36" t="s">
        <v>100</v>
      </c>
      <c r="B20" s="36">
        <v>2020</v>
      </c>
      <c r="C20" s="36" t="s">
        <v>3</v>
      </c>
      <c r="D20" s="36" t="s">
        <v>91</v>
      </c>
      <c r="E20" s="36" t="s">
        <v>92</v>
      </c>
      <c r="F20" s="36" t="s">
        <v>93</v>
      </c>
      <c r="G20" s="36" t="s">
        <v>94</v>
      </c>
      <c r="H20" s="36" t="s">
        <v>95</v>
      </c>
      <c r="I20" s="36" t="s">
        <v>98</v>
      </c>
      <c r="J20" s="36">
        <v>803</v>
      </c>
      <c r="K20" s="36">
        <v>526.24</v>
      </c>
    </row>
    <row r="21" spans="1:11" x14ac:dyDescent="0.3">
      <c r="A21" s="36" t="s">
        <v>90</v>
      </c>
      <c r="B21" s="36">
        <v>2020</v>
      </c>
      <c r="C21" s="36" t="s">
        <v>3</v>
      </c>
      <c r="D21" s="36" t="s">
        <v>91</v>
      </c>
      <c r="E21" s="36" t="s">
        <v>92</v>
      </c>
      <c r="F21" s="36" t="s">
        <v>93</v>
      </c>
      <c r="G21" s="36" t="s">
        <v>94</v>
      </c>
      <c r="H21" s="36" t="s">
        <v>95</v>
      </c>
      <c r="I21" s="36" t="s">
        <v>98</v>
      </c>
      <c r="J21" s="36">
        <v>235</v>
      </c>
      <c r="K21" s="36">
        <v>336.05</v>
      </c>
    </row>
    <row r="22" spans="1:11" x14ac:dyDescent="0.3">
      <c r="A22" s="36" t="s">
        <v>90</v>
      </c>
      <c r="B22" s="36">
        <v>2020</v>
      </c>
      <c r="C22" s="36" t="s">
        <v>3</v>
      </c>
      <c r="D22" s="36" t="s">
        <v>91</v>
      </c>
      <c r="E22" s="36" t="s">
        <v>92</v>
      </c>
      <c r="F22" s="36" t="s">
        <v>93</v>
      </c>
      <c r="G22" s="36" t="s">
        <v>94</v>
      </c>
      <c r="H22" s="36" t="s">
        <v>95</v>
      </c>
      <c r="I22" s="36" t="s">
        <v>98</v>
      </c>
      <c r="J22" s="36">
        <v>283</v>
      </c>
      <c r="K22" s="36">
        <v>404.69</v>
      </c>
    </row>
    <row r="23" spans="1:11" x14ac:dyDescent="0.3">
      <c r="A23" s="36" t="s">
        <v>99</v>
      </c>
      <c r="B23" s="36">
        <v>2020</v>
      </c>
      <c r="C23" s="36" t="s">
        <v>3</v>
      </c>
      <c r="D23" s="36" t="s">
        <v>91</v>
      </c>
      <c r="E23" s="36" t="s">
        <v>92</v>
      </c>
      <c r="F23" s="36" t="s">
        <v>93</v>
      </c>
      <c r="G23" s="36" t="s">
        <v>94</v>
      </c>
      <c r="H23" s="36" t="s">
        <v>95</v>
      </c>
      <c r="I23" s="36" t="s">
        <v>98</v>
      </c>
      <c r="J23" s="36">
        <v>211</v>
      </c>
      <c r="K23" s="36">
        <v>301.73</v>
      </c>
    </row>
    <row r="24" spans="1:11" x14ac:dyDescent="0.3">
      <c r="A24" s="36" t="s">
        <v>90</v>
      </c>
      <c r="B24" s="36">
        <v>2020</v>
      </c>
      <c r="C24" s="36" t="s">
        <v>3</v>
      </c>
      <c r="D24" s="36" t="s">
        <v>91</v>
      </c>
      <c r="E24" s="36" t="s">
        <v>92</v>
      </c>
      <c r="F24" s="36" t="s">
        <v>93</v>
      </c>
      <c r="G24" s="36" t="s">
        <v>94</v>
      </c>
      <c r="H24" s="36" t="s">
        <v>95</v>
      </c>
      <c r="I24" s="36" t="s">
        <v>96</v>
      </c>
      <c r="J24" s="36">
        <v>876</v>
      </c>
      <c r="K24" s="36">
        <v>1252.68</v>
      </c>
    </row>
    <row r="25" spans="1:11" x14ac:dyDescent="0.3">
      <c r="A25" s="36" t="s">
        <v>90</v>
      </c>
      <c r="B25" s="36">
        <v>2020</v>
      </c>
      <c r="C25" s="36" t="s">
        <v>3</v>
      </c>
      <c r="D25" s="36" t="s">
        <v>91</v>
      </c>
      <c r="E25" s="36" t="s">
        <v>92</v>
      </c>
      <c r="F25" s="36" t="s">
        <v>93</v>
      </c>
      <c r="G25" s="36" t="s">
        <v>94</v>
      </c>
      <c r="H25" s="36" t="s">
        <v>95</v>
      </c>
      <c r="I25" s="36" t="s">
        <v>96</v>
      </c>
      <c r="J25" s="36">
        <v>877</v>
      </c>
      <c r="K25" s="36">
        <v>1254.1100000000001</v>
      </c>
    </row>
    <row r="26" spans="1:11" x14ac:dyDescent="0.3">
      <c r="A26" s="36" t="s">
        <v>90</v>
      </c>
      <c r="B26" s="36">
        <v>2020</v>
      </c>
      <c r="C26" s="36" t="s">
        <v>3</v>
      </c>
      <c r="D26" s="36" t="s">
        <v>91</v>
      </c>
      <c r="E26" s="36" t="s">
        <v>92</v>
      </c>
      <c r="F26" s="36" t="s">
        <v>93</v>
      </c>
      <c r="G26" s="36" t="s">
        <v>94</v>
      </c>
      <c r="H26" s="36" t="s">
        <v>95</v>
      </c>
      <c r="I26" s="36" t="s">
        <v>96</v>
      </c>
      <c r="J26" s="36">
        <v>878</v>
      </c>
      <c r="K26" s="36">
        <v>1255.54</v>
      </c>
    </row>
    <row r="27" spans="1:11" x14ac:dyDescent="0.3">
      <c r="A27" s="36" t="s">
        <v>99</v>
      </c>
      <c r="B27" s="36">
        <v>2020</v>
      </c>
      <c r="C27" s="36" t="s">
        <v>3</v>
      </c>
      <c r="D27" s="36" t="s">
        <v>91</v>
      </c>
      <c r="E27" s="36" t="s">
        <v>92</v>
      </c>
      <c r="F27" s="36" t="s">
        <v>93</v>
      </c>
      <c r="G27" s="36" t="s">
        <v>94</v>
      </c>
      <c r="H27" s="36" t="s">
        <v>95</v>
      </c>
      <c r="I27" s="36" t="s">
        <v>98</v>
      </c>
      <c r="J27" s="36">
        <v>281</v>
      </c>
      <c r="K27" s="36">
        <v>401.83</v>
      </c>
    </row>
    <row r="28" spans="1:11" x14ac:dyDescent="0.3">
      <c r="A28" s="36" t="s">
        <v>97</v>
      </c>
      <c r="B28" s="36">
        <v>2020</v>
      </c>
      <c r="C28" s="36" t="s">
        <v>3</v>
      </c>
      <c r="D28" s="36" t="s">
        <v>91</v>
      </c>
      <c r="E28" s="36" t="s">
        <v>92</v>
      </c>
      <c r="F28" s="36" t="s">
        <v>93</v>
      </c>
      <c r="G28" s="36" t="s">
        <v>94</v>
      </c>
      <c r="H28" s="36" t="s">
        <v>95</v>
      </c>
      <c r="I28" s="36" t="s">
        <v>98</v>
      </c>
      <c r="J28" s="36">
        <v>772</v>
      </c>
      <c r="K28" s="36">
        <v>1103.96</v>
      </c>
    </row>
    <row r="29" spans="1:11" x14ac:dyDescent="0.3">
      <c r="A29" s="36" t="s">
        <v>90</v>
      </c>
      <c r="B29" s="36">
        <v>2020</v>
      </c>
      <c r="C29" s="36" t="s">
        <v>7</v>
      </c>
      <c r="D29" s="36" t="s">
        <v>91</v>
      </c>
      <c r="E29" s="36" t="s">
        <v>92</v>
      </c>
      <c r="F29" s="36" t="s">
        <v>93</v>
      </c>
      <c r="G29" s="36" t="s">
        <v>94</v>
      </c>
      <c r="H29" s="36" t="s">
        <v>95</v>
      </c>
      <c r="I29" s="36" t="s">
        <v>96</v>
      </c>
      <c r="J29" s="36">
        <v>290</v>
      </c>
      <c r="K29" s="36">
        <v>414.7</v>
      </c>
    </row>
    <row r="30" spans="1:11" x14ac:dyDescent="0.3">
      <c r="A30" s="36" t="s">
        <v>90</v>
      </c>
      <c r="B30" s="36">
        <v>2020</v>
      </c>
      <c r="C30" s="36" t="s">
        <v>7</v>
      </c>
      <c r="D30" s="36" t="s">
        <v>91</v>
      </c>
      <c r="E30" s="36" t="s">
        <v>92</v>
      </c>
      <c r="F30" s="36" t="s">
        <v>93</v>
      </c>
      <c r="G30" s="36" t="s">
        <v>94</v>
      </c>
      <c r="H30" s="36" t="s">
        <v>95</v>
      </c>
      <c r="I30" s="36" t="s">
        <v>96</v>
      </c>
      <c r="J30" s="36">
        <v>284</v>
      </c>
      <c r="K30" s="36">
        <v>406.12</v>
      </c>
    </row>
    <row r="31" spans="1:11" x14ac:dyDescent="0.3">
      <c r="A31" s="36" t="s">
        <v>101</v>
      </c>
      <c r="B31" s="36">
        <v>2020</v>
      </c>
      <c r="C31" s="36" t="s">
        <v>7</v>
      </c>
      <c r="D31" s="36" t="s">
        <v>91</v>
      </c>
      <c r="E31" s="36" t="s">
        <v>92</v>
      </c>
      <c r="F31" s="36" t="s">
        <v>93</v>
      </c>
      <c r="G31" s="36" t="s">
        <v>94</v>
      </c>
      <c r="H31" s="36" t="s">
        <v>95</v>
      </c>
      <c r="I31" s="36" t="s">
        <v>96</v>
      </c>
      <c r="J31" s="36">
        <v>278</v>
      </c>
      <c r="K31" s="36">
        <v>397.53999999999996</v>
      </c>
    </row>
    <row r="32" spans="1:11" x14ac:dyDescent="0.3">
      <c r="A32" s="36" t="s">
        <v>97</v>
      </c>
      <c r="B32" s="36">
        <v>2020</v>
      </c>
      <c r="C32" s="36" t="s">
        <v>7</v>
      </c>
      <c r="D32" s="36" t="s">
        <v>91</v>
      </c>
      <c r="E32" s="36" t="s">
        <v>92</v>
      </c>
      <c r="F32" s="36" t="s">
        <v>93</v>
      </c>
      <c r="G32" s="36" t="s">
        <v>94</v>
      </c>
      <c r="H32" s="36" t="s">
        <v>95</v>
      </c>
      <c r="I32" s="36" t="s">
        <v>98</v>
      </c>
      <c r="J32" s="36">
        <v>212</v>
      </c>
      <c r="K32" s="36">
        <v>303.15999999999997</v>
      </c>
    </row>
    <row r="33" spans="1:11" x14ac:dyDescent="0.3">
      <c r="A33" s="36" t="s">
        <v>90</v>
      </c>
      <c r="B33" s="36">
        <v>2020</v>
      </c>
      <c r="C33" s="36" t="s">
        <v>7</v>
      </c>
      <c r="D33" s="36" t="s">
        <v>91</v>
      </c>
      <c r="E33" s="36" t="s">
        <v>92</v>
      </c>
      <c r="F33" s="36" t="s">
        <v>93</v>
      </c>
      <c r="G33" s="36" t="s">
        <v>94</v>
      </c>
      <c r="H33" s="36" t="s">
        <v>95</v>
      </c>
      <c r="I33" s="36" t="s">
        <v>98</v>
      </c>
      <c r="J33" s="36">
        <v>260</v>
      </c>
      <c r="K33" s="36">
        <v>371.8</v>
      </c>
    </row>
    <row r="34" spans="1:11" x14ac:dyDescent="0.3">
      <c r="A34" s="36" t="s">
        <v>90</v>
      </c>
      <c r="B34" s="36">
        <v>2020</v>
      </c>
      <c r="C34" s="36" t="s">
        <v>7</v>
      </c>
      <c r="D34" s="36" t="s">
        <v>91</v>
      </c>
      <c r="E34" s="36" t="s">
        <v>92</v>
      </c>
      <c r="F34" s="36" t="s">
        <v>93</v>
      </c>
      <c r="G34" s="36" t="s">
        <v>94</v>
      </c>
      <c r="H34" s="36" t="s">
        <v>95</v>
      </c>
      <c r="I34" s="36" t="s">
        <v>98</v>
      </c>
      <c r="J34" s="36">
        <v>188</v>
      </c>
      <c r="K34" s="36">
        <v>268.84000000000003</v>
      </c>
    </row>
    <row r="35" spans="1:11" x14ac:dyDescent="0.3">
      <c r="A35" s="36" t="s">
        <v>99</v>
      </c>
      <c r="B35" s="36">
        <v>2020</v>
      </c>
      <c r="C35" s="36" t="s">
        <v>7</v>
      </c>
      <c r="D35" s="36" t="s">
        <v>91</v>
      </c>
      <c r="E35" s="36" t="s">
        <v>92</v>
      </c>
      <c r="F35" s="36" t="s">
        <v>93</v>
      </c>
      <c r="G35" s="36" t="s">
        <v>94</v>
      </c>
      <c r="H35" s="36" t="s">
        <v>95</v>
      </c>
      <c r="I35" s="36" t="s">
        <v>98</v>
      </c>
      <c r="J35" s="36">
        <v>214</v>
      </c>
      <c r="K35" s="36">
        <v>306.02</v>
      </c>
    </row>
    <row r="36" spans="1:11" x14ac:dyDescent="0.3">
      <c r="A36" s="36" t="s">
        <v>97</v>
      </c>
      <c r="B36" s="36">
        <v>2020</v>
      </c>
      <c r="C36" s="36" t="s">
        <v>7</v>
      </c>
      <c r="D36" s="36" t="s">
        <v>91</v>
      </c>
      <c r="E36" s="36" t="s">
        <v>92</v>
      </c>
      <c r="F36" s="36" t="s">
        <v>93</v>
      </c>
      <c r="G36" s="36" t="s">
        <v>94</v>
      </c>
      <c r="H36" s="36" t="s">
        <v>95</v>
      </c>
      <c r="I36" s="36" t="s">
        <v>98</v>
      </c>
      <c r="J36" s="36">
        <v>262</v>
      </c>
      <c r="K36" s="36">
        <v>374.65999999999997</v>
      </c>
    </row>
    <row r="37" spans="1:11" x14ac:dyDescent="0.3">
      <c r="A37" s="36" t="s">
        <v>99</v>
      </c>
      <c r="B37" s="36">
        <v>2020</v>
      </c>
      <c r="C37" s="36" t="s">
        <v>7</v>
      </c>
      <c r="D37" s="36" t="s">
        <v>91</v>
      </c>
      <c r="E37" s="36" t="s">
        <v>92</v>
      </c>
      <c r="F37" s="36" t="s">
        <v>93</v>
      </c>
      <c r="G37" s="36" t="s">
        <v>94</v>
      </c>
      <c r="H37" s="36" t="s">
        <v>95</v>
      </c>
      <c r="I37" s="36" t="s">
        <v>98</v>
      </c>
      <c r="J37" s="36">
        <v>190</v>
      </c>
      <c r="K37" s="36">
        <v>271.7</v>
      </c>
    </row>
    <row r="38" spans="1:11" x14ac:dyDescent="0.3">
      <c r="A38" s="36" t="s">
        <v>100</v>
      </c>
      <c r="B38" s="36">
        <v>2020</v>
      </c>
      <c r="C38" s="36" t="s">
        <v>7</v>
      </c>
      <c r="D38" s="36" t="s">
        <v>91</v>
      </c>
      <c r="E38" s="36" t="s">
        <v>92</v>
      </c>
      <c r="F38" s="36" t="s">
        <v>93</v>
      </c>
      <c r="G38" s="36" t="s">
        <v>94</v>
      </c>
      <c r="H38" s="36" t="s">
        <v>95</v>
      </c>
      <c r="I38" s="36" t="s">
        <v>98</v>
      </c>
      <c r="J38" s="36">
        <v>288</v>
      </c>
      <c r="K38" s="36">
        <v>526.24</v>
      </c>
    </row>
    <row r="39" spans="1:11" x14ac:dyDescent="0.3">
      <c r="A39" s="36" t="s">
        <v>99</v>
      </c>
      <c r="B39" s="36">
        <v>2020</v>
      </c>
      <c r="C39" s="36" t="s">
        <v>7</v>
      </c>
      <c r="D39" s="36" t="s">
        <v>91</v>
      </c>
      <c r="E39" s="36" t="s">
        <v>92</v>
      </c>
      <c r="F39" s="36" t="s">
        <v>93</v>
      </c>
      <c r="G39" s="36" t="s">
        <v>94</v>
      </c>
      <c r="H39" s="36" t="s">
        <v>95</v>
      </c>
      <c r="I39" s="36" t="s">
        <v>98</v>
      </c>
      <c r="J39" s="36">
        <v>282</v>
      </c>
      <c r="K39" s="36">
        <v>526.24</v>
      </c>
    </row>
    <row r="40" spans="1:11" x14ac:dyDescent="0.3">
      <c r="A40" s="36" t="s">
        <v>90</v>
      </c>
      <c r="B40" s="36">
        <v>2020</v>
      </c>
      <c r="C40" s="36" t="s">
        <v>7</v>
      </c>
      <c r="D40" s="36" t="s">
        <v>91</v>
      </c>
      <c r="E40" s="36" t="s">
        <v>92</v>
      </c>
      <c r="F40" s="36" t="s">
        <v>93</v>
      </c>
      <c r="G40" s="36" t="s">
        <v>94</v>
      </c>
      <c r="H40" s="36" t="s">
        <v>95</v>
      </c>
      <c r="I40" s="36" t="s">
        <v>98</v>
      </c>
      <c r="J40" s="36">
        <v>276</v>
      </c>
      <c r="K40" s="36">
        <v>526.24</v>
      </c>
    </row>
    <row r="41" spans="1:11" x14ac:dyDescent="0.3">
      <c r="A41" s="36" t="s">
        <v>90</v>
      </c>
      <c r="B41" s="36">
        <v>2020</v>
      </c>
      <c r="C41" s="36" t="s">
        <v>7</v>
      </c>
      <c r="D41" s="36" t="s">
        <v>91</v>
      </c>
      <c r="E41" s="36" t="s">
        <v>92</v>
      </c>
      <c r="F41" s="36" t="s">
        <v>93</v>
      </c>
      <c r="G41" s="36" t="s">
        <v>94</v>
      </c>
      <c r="H41" s="36" t="s">
        <v>95</v>
      </c>
      <c r="I41" s="36" t="s">
        <v>98</v>
      </c>
      <c r="J41" s="36">
        <v>680</v>
      </c>
      <c r="K41" s="36">
        <v>972.4</v>
      </c>
    </row>
    <row r="42" spans="1:11" x14ac:dyDescent="0.3">
      <c r="A42" s="36" t="s">
        <v>99</v>
      </c>
      <c r="B42" s="36">
        <v>2020</v>
      </c>
      <c r="C42" s="36" t="s">
        <v>7</v>
      </c>
      <c r="D42" s="36" t="s">
        <v>91</v>
      </c>
      <c r="E42" s="36" t="s">
        <v>92</v>
      </c>
      <c r="F42" s="36" t="s">
        <v>93</v>
      </c>
      <c r="G42" s="36" t="s">
        <v>94</v>
      </c>
      <c r="H42" s="36" t="s">
        <v>95</v>
      </c>
      <c r="I42" s="36" t="s">
        <v>98</v>
      </c>
      <c r="J42" s="36">
        <v>767</v>
      </c>
      <c r="K42" s="36">
        <v>1096.81</v>
      </c>
    </row>
    <row r="43" spans="1:11" x14ac:dyDescent="0.3">
      <c r="A43" s="36" t="s">
        <v>97</v>
      </c>
      <c r="B43" s="36">
        <v>2020</v>
      </c>
      <c r="C43" s="36" t="s">
        <v>7</v>
      </c>
      <c r="D43" s="36" t="s">
        <v>91</v>
      </c>
      <c r="E43" s="36" t="s">
        <v>92</v>
      </c>
      <c r="F43" s="36" t="s">
        <v>93</v>
      </c>
      <c r="G43" s="36" t="s">
        <v>94</v>
      </c>
      <c r="H43" s="36" t="s">
        <v>95</v>
      </c>
      <c r="I43" s="36" t="s">
        <v>98</v>
      </c>
      <c r="J43" s="36">
        <v>285</v>
      </c>
      <c r="K43" s="36">
        <v>407.55</v>
      </c>
    </row>
    <row r="44" spans="1:11" x14ac:dyDescent="0.3">
      <c r="A44" s="36" t="s">
        <v>90</v>
      </c>
      <c r="B44" s="36">
        <v>2020</v>
      </c>
      <c r="C44" s="36" t="s">
        <v>7</v>
      </c>
      <c r="D44" s="36" t="s">
        <v>91</v>
      </c>
      <c r="E44" s="36" t="s">
        <v>92</v>
      </c>
      <c r="F44" s="36" t="s">
        <v>93</v>
      </c>
      <c r="G44" s="36" t="s">
        <v>94</v>
      </c>
      <c r="H44" s="36" t="s">
        <v>95</v>
      </c>
      <c r="I44" s="36" t="s">
        <v>98</v>
      </c>
      <c r="J44" s="36">
        <v>279</v>
      </c>
      <c r="K44" s="36">
        <v>398.97</v>
      </c>
    </row>
    <row r="45" spans="1:11" x14ac:dyDescent="0.3">
      <c r="A45" s="36" t="s">
        <v>99</v>
      </c>
      <c r="B45" s="36">
        <v>2020</v>
      </c>
      <c r="C45" s="36" t="s">
        <v>7</v>
      </c>
      <c r="D45" s="36" t="s">
        <v>91</v>
      </c>
      <c r="E45" s="36" t="s">
        <v>92</v>
      </c>
      <c r="F45" s="36" t="s">
        <v>93</v>
      </c>
      <c r="G45" s="36" t="s">
        <v>94</v>
      </c>
      <c r="H45" s="36" t="s">
        <v>95</v>
      </c>
      <c r="I45" s="36" t="s">
        <v>98</v>
      </c>
      <c r="J45" s="36">
        <v>213</v>
      </c>
      <c r="K45" s="36">
        <v>304.59000000000003</v>
      </c>
    </row>
    <row r="46" spans="1:11" x14ac:dyDescent="0.3">
      <c r="A46" s="36" t="s">
        <v>99</v>
      </c>
      <c r="B46" s="36">
        <v>2020</v>
      </c>
      <c r="C46" s="36" t="s">
        <v>7</v>
      </c>
      <c r="D46" s="36" t="s">
        <v>91</v>
      </c>
      <c r="E46" s="36" t="s">
        <v>92</v>
      </c>
      <c r="F46" s="36" t="s">
        <v>93</v>
      </c>
      <c r="G46" s="36" t="s">
        <v>94</v>
      </c>
      <c r="H46" s="36" t="s">
        <v>95</v>
      </c>
      <c r="I46" s="36" t="s">
        <v>98</v>
      </c>
      <c r="J46" s="36">
        <v>753</v>
      </c>
      <c r="K46" s="36">
        <v>526.24</v>
      </c>
    </row>
    <row r="47" spans="1:11" x14ac:dyDescent="0.3">
      <c r="A47" s="36" t="s">
        <v>90</v>
      </c>
      <c r="B47" s="36">
        <v>2020</v>
      </c>
      <c r="C47" s="36" t="s">
        <v>7</v>
      </c>
      <c r="D47" s="36" t="s">
        <v>91</v>
      </c>
      <c r="E47" s="36" t="s">
        <v>92</v>
      </c>
      <c r="F47" s="36" t="s">
        <v>93</v>
      </c>
      <c r="G47" s="36" t="s">
        <v>94</v>
      </c>
      <c r="H47" s="36" t="s">
        <v>95</v>
      </c>
      <c r="I47" s="36" t="s">
        <v>98</v>
      </c>
      <c r="J47" s="36">
        <v>806</v>
      </c>
      <c r="K47" s="36">
        <v>526.24</v>
      </c>
    </row>
    <row r="48" spans="1:11" x14ac:dyDescent="0.3">
      <c r="A48" s="36" t="s">
        <v>99</v>
      </c>
      <c r="B48" s="36">
        <v>2020</v>
      </c>
      <c r="C48" s="36" t="s">
        <v>7</v>
      </c>
      <c r="D48" s="36" t="s">
        <v>91</v>
      </c>
      <c r="E48" s="36" t="s">
        <v>92</v>
      </c>
      <c r="F48" s="36" t="s">
        <v>93</v>
      </c>
      <c r="G48" s="36" t="s">
        <v>94</v>
      </c>
      <c r="H48" s="36" t="s">
        <v>95</v>
      </c>
      <c r="I48" s="36" t="s">
        <v>98</v>
      </c>
      <c r="J48" s="36">
        <v>217</v>
      </c>
      <c r="K48" s="36">
        <v>310.31</v>
      </c>
    </row>
    <row r="49" spans="1:11" x14ac:dyDescent="0.3">
      <c r="A49" s="36" t="s">
        <v>90</v>
      </c>
      <c r="B49" s="36">
        <v>2020</v>
      </c>
      <c r="C49" s="36" t="s">
        <v>7</v>
      </c>
      <c r="D49" s="36" t="s">
        <v>91</v>
      </c>
      <c r="E49" s="36" t="s">
        <v>92</v>
      </c>
      <c r="F49" s="36" t="s">
        <v>93</v>
      </c>
      <c r="G49" s="36" t="s">
        <v>94</v>
      </c>
      <c r="H49" s="36" t="s">
        <v>95</v>
      </c>
      <c r="I49" s="36" t="s">
        <v>98</v>
      </c>
      <c r="J49" s="36">
        <v>259</v>
      </c>
      <c r="K49" s="36">
        <v>370.37</v>
      </c>
    </row>
    <row r="50" spans="1:11" x14ac:dyDescent="0.3">
      <c r="A50" s="36" t="s">
        <v>99</v>
      </c>
      <c r="B50" s="36">
        <v>2020</v>
      </c>
      <c r="C50" s="36" t="s">
        <v>7</v>
      </c>
      <c r="D50" s="36" t="s">
        <v>91</v>
      </c>
      <c r="E50" s="36" t="s">
        <v>92</v>
      </c>
      <c r="F50" s="36" t="s">
        <v>93</v>
      </c>
      <c r="G50" s="36" t="s">
        <v>94</v>
      </c>
      <c r="H50" s="36" t="s">
        <v>95</v>
      </c>
      <c r="I50" s="36" t="s">
        <v>98</v>
      </c>
      <c r="J50" s="36">
        <v>187</v>
      </c>
      <c r="K50" s="36">
        <v>267.40999999999997</v>
      </c>
    </row>
    <row r="51" spans="1:11" x14ac:dyDescent="0.3">
      <c r="A51" s="36" t="s">
        <v>90</v>
      </c>
      <c r="B51" s="36">
        <v>2020</v>
      </c>
      <c r="C51" s="36" t="s">
        <v>7</v>
      </c>
      <c r="D51" s="36" t="s">
        <v>91</v>
      </c>
      <c r="E51" s="36" t="s">
        <v>92</v>
      </c>
      <c r="F51" s="36" t="s">
        <v>93</v>
      </c>
      <c r="G51" s="36" t="s">
        <v>94</v>
      </c>
      <c r="H51" s="36" t="s">
        <v>95</v>
      </c>
      <c r="I51" s="36" t="s">
        <v>96</v>
      </c>
      <c r="J51" s="36">
        <v>287</v>
      </c>
      <c r="K51" s="36">
        <v>410.40999999999997</v>
      </c>
    </row>
    <row r="52" spans="1:11" x14ac:dyDescent="0.3">
      <c r="A52" s="36" t="s">
        <v>97</v>
      </c>
      <c r="B52" s="36">
        <v>2020</v>
      </c>
      <c r="C52" s="36" t="s">
        <v>7</v>
      </c>
      <c r="D52" s="36" t="s">
        <v>91</v>
      </c>
      <c r="E52" s="36" t="s">
        <v>92</v>
      </c>
      <c r="F52" s="36" t="s">
        <v>93</v>
      </c>
      <c r="G52" s="36" t="s">
        <v>102</v>
      </c>
      <c r="H52" s="36" t="s">
        <v>95</v>
      </c>
      <c r="I52" s="36" t="s">
        <v>96</v>
      </c>
      <c r="J52" s="36">
        <v>281</v>
      </c>
      <c r="K52" s="36">
        <v>401.83</v>
      </c>
    </row>
    <row r="53" spans="1:11" x14ac:dyDescent="0.3">
      <c r="A53" s="36" t="s">
        <v>97</v>
      </c>
      <c r="B53" s="36">
        <v>2020</v>
      </c>
      <c r="C53" s="36" t="s">
        <v>7</v>
      </c>
      <c r="D53" s="36" t="s">
        <v>91</v>
      </c>
      <c r="E53" s="36" t="s">
        <v>92</v>
      </c>
      <c r="F53" s="36" t="s">
        <v>93</v>
      </c>
      <c r="G53" s="36" t="s">
        <v>102</v>
      </c>
      <c r="H53" s="36" t="s">
        <v>95</v>
      </c>
      <c r="I53" s="36" t="s">
        <v>96</v>
      </c>
      <c r="J53" s="36">
        <v>275</v>
      </c>
      <c r="K53" s="36">
        <v>393.25</v>
      </c>
    </row>
    <row r="54" spans="1:11" x14ac:dyDescent="0.3">
      <c r="A54" s="36" t="s">
        <v>90</v>
      </c>
      <c r="B54" s="36">
        <v>2020</v>
      </c>
      <c r="C54" s="36" t="s">
        <v>7</v>
      </c>
      <c r="D54" s="36" t="s">
        <v>91</v>
      </c>
      <c r="E54" s="36" t="s">
        <v>92</v>
      </c>
      <c r="F54" s="36" t="s">
        <v>93</v>
      </c>
      <c r="G54" s="36" t="s">
        <v>102</v>
      </c>
      <c r="H54" s="36" t="s">
        <v>95</v>
      </c>
      <c r="I54" s="36" t="s">
        <v>98</v>
      </c>
      <c r="J54" s="36">
        <v>215</v>
      </c>
      <c r="K54" s="36">
        <v>307.45</v>
      </c>
    </row>
    <row r="55" spans="1:11" x14ac:dyDescent="0.3">
      <c r="A55" s="36" t="s">
        <v>100</v>
      </c>
      <c r="B55" s="36">
        <v>2020</v>
      </c>
      <c r="C55" s="36" t="s">
        <v>7</v>
      </c>
      <c r="D55" s="36" t="s">
        <v>91</v>
      </c>
      <c r="E55" s="36" t="s">
        <v>92</v>
      </c>
      <c r="F55" s="36" t="s">
        <v>93</v>
      </c>
      <c r="G55" s="36" t="s">
        <v>102</v>
      </c>
      <c r="H55" s="36" t="s">
        <v>95</v>
      </c>
      <c r="I55" s="36" t="s">
        <v>98</v>
      </c>
      <c r="J55" s="36">
        <v>263</v>
      </c>
      <c r="K55" s="36">
        <v>376.09000000000003</v>
      </c>
    </row>
    <row r="56" spans="1:11" x14ac:dyDescent="0.3">
      <c r="A56" s="36" t="s">
        <v>97</v>
      </c>
      <c r="B56" s="36">
        <v>2020</v>
      </c>
      <c r="C56" s="36" t="s">
        <v>7</v>
      </c>
      <c r="D56" s="36" t="s">
        <v>91</v>
      </c>
      <c r="E56" s="36" t="s">
        <v>92</v>
      </c>
      <c r="F56" s="36" t="s">
        <v>93</v>
      </c>
      <c r="G56" s="36" t="s">
        <v>102</v>
      </c>
      <c r="H56" s="36" t="s">
        <v>95</v>
      </c>
      <c r="I56" s="36" t="s">
        <v>98</v>
      </c>
      <c r="J56" s="36">
        <v>776</v>
      </c>
      <c r="K56" s="36">
        <v>1109.68</v>
      </c>
    </row>
    <row r="57" spans="1:11" x14ac:dyDescent="0.3">
      <c r="A57" s="36" t="s">
        <v>90</v>
      </c>
      <c r="B57" s="36">
        <v>2020</v>
      </c>
      <c r="C57" s="36" t="s">
        <v>11</v>
      </c>
      <c r="D57" s="36" t="s">
        <v>91</v>
      </c>
      <c r="E57" s="36" t="s">
        <v>92</v>
      </c>
      <c r="F57" s="36" t="s">
        <v>93</v>
      </c>
      <c r="G57" s="36" t="s">
        <v>102</v>
      </c>
      <c r="H57" s="36" t="s">
        <v>95</v>
      </c>
      <c r="I57" s="36" t="s">
        <v>96</v>
      </c>
      <c r="J57" s="36">
        <v>224</v>
      </c>
      <c r="K57" s="36">
        <v>526.24</v>
      </c>
    </row>
    <row r="58" spans="1:11" x14ac:dyDescent="0.3">
      <c r="A58" s="36" t="s">
        <v>90</v>
      </c>
      <c r="B58" s="36">
        <v>2020</v>
      </c>
      <c r="C58" s="36" t="s">
        <v>11</v>
      </c>
      <c r="D58" s="36" t="s">
        <v>91</v>
      </c>
      <c r="E58" s="36" t="s">
        <v>92</v>
      </c>
      <c r="F58" s="36" t="s">
        <v>93</v>
      </c>
      <c r="G58" s="36" t="s">
        <v>102</v>
      </c>
      <c r="H58" s="36" t="s">
        <v>95</v>
      </c>
      <c r="I58" s="36" t="s">
        <v>96</v>
      </c>
      <c r="J58" s="36">
        <v>218</v>
      </c>
      <c r="K58" s="36">
        <v>526.24</v>
      </c>
    </row>
    <row r="59" spans="1:11" x14ac:dyDescent="0.3">
      <c r="A59" s="36" t="s">
        <v>90</v>
      </c>
      <c r="B59" s="36">
        <v>2020</v>
      </c>
      <c r="C59" s="36" t="s">
        <v>11</v>
      </c>
      <c r="D59" s="36" t="s">
        <v>91</v>
      </c>
      <c r="E59" s="36" t="s">
        <v>92</v>
      </c>
      <c r="F59" s="36" t="s">
        <v>93</v>
      </c>
      <c r="G59" s="36" t="s">
        <v>102</v>
      </c>
      <c r="H59" s="36" t="s">
        <v>95</v>
      </c>
      <c r="I59" s="36" t="s">
        <v>96</v>
      </c>
      <c r="J59" s="36">
        <v>212</v>
      </c>
      <c r="K59" s="36">
        <v>526.24</v>
      </c>
    </row>
    <row r="60" spans="1:11" x14ac:dyDescent="0.3">
      <c r="A60" s="36" t="s">
        <v>90</v>
      </c>
      <c r="B60" s="36">
        <v>2020</v>
      </c>
      <c r="C60" s="36" t="s">
        <v>11</v>
      </c>
      <c r="D60" s="36" t="s">
        <v>91</v>
      </c>
      <c r="E60" s="36" t="s">
        <v>92</v>
      </c>
      <c r="F60" s="36" t="s">
        <v>93</v>
      </c>
      <c r="G60" s="36" t="s">
        <v>102</v>
      </c>
      <c r="H60" s="36" t="s">
        <v>95</v>
      </c>
      <c r="I60" s="36" t="s">
        <v>98</v>
      </c>
      <c r="J60" s="36">
        <v>194</v>
      </c>
      <c r="K60" s="36">
        <v>277.42</v>
      </c>
    </row>
    <row r="61" spans="1:11" x14ac:dyDescent="0.3">
      <c r="A61" s="36" t="s">
        <v>97</v>
      </c>
      <c r="B61" s="36">
        <v>2020</v>
      </c>
      <c r="C61" s="36" t="s">
        <v>11</v>
      </c>
      <c r="D61" s="36" t="s">
        <v>91</v>
      </c>
      <c r="E61" s="36" t="s">
        <v>92</v>
      </c>
      <c r="F61" s="36" t="s">
        <v>93</v>
      </c>
      <c r="G61" s="36" t="s">
        <v>102</v>
      </c>
      <c r="H61" s="36" t="s">
        <v>95</v>
      </c>
      <c r="I61" s="36" t="s">
        <v>98</v>
      </c>
      <c r="J61" s="36">
        <v>242</v>
      </c>
      <c r="K61" s="36">
        <v>346.06</v>
      </c>
    </row>
    <row r="62" spans="1:11" x14ac:dyDescent="0.3">
      <c r="A62" s="36" t="s">
        <v>97</v>
      </c>
      <c r="B62" s="36">
        <v>2020</v>
      </c>
      <c r="C62" s="36" t="s">
        <v>11</v>
      </c>
      <c r="D62" s="36" t="s">
        <v>91</v>
      </c>
      <c r="E62" s="36" t="s">
        <v>92</v>
      </c>
      <c r="F62" s="36" t="s">
        <v>93</v>
      </c>
      <c r="G62" s="36" t="s">
        <v>102</v>
      </c>
      <c r="H62" s="36" t="s">
        <v>95</v>
      </c>
      <c r="I62" s="36" t="s">
        <v>98</v>
      </c>
      <c r="J62" s="36">
        <v>164</v>
      </c>
      <c r="K62" s="36">
        <v>234.51999999999998</v>
      </c>
    </row>
    <row r="63" spans="1:11" x14ac:dyDescent="0.3">
      <c r="A63" s="36" t="s">
        <v>99</v>
      </c>
      <c r="B63" s="36">
        <v>2020</v>
      </c>
      <c r="C63" s="36" t="s">
        <v>11</v>
      </c>
      <c r="D63" s="36" t="s">
        <v>91</v>
      </c>
      <c r="E63" s="36" t="s">
        <v>92</v>
      </c>
      <c r="F63" s="36" t="s">
        <v>93</v>
      </c>
      <c r="G63" s="36" t="s">
        <v>102</v>
      </c>
      <c r="H63" s="36" t="s">
        <v>95</v>
      </c>
      <c r="I63" s="36" t="s">
        <v>98</v>
      </c>
      <c r="J63" s="36">
        <v>238</v>
      </c>
      <c r="K63" s="36">
        <v>340.34000000000003</v>
      </c>
    </row>
    <row r="64" spans="1:11" x14ac:dyDescent="0.3">
      <c r="A64" s="36" t="s">
        <v>90</v>
      </c>
      <c r="B64" s="36">
        <v>2020</v>
      </c>
      <c r="C64" s="36" t="s">
        <v>11</v>
      </c>
      <c r="D64" s="36" t="s">
        <v>91</v>
      </c>
      <c r="E64" s="36" t="s">
        <v>92</v>
      </c>
      <c r="F64" s="36" t="s">
        <v>93</v>
      </c>
      <c r="G64" s="36" t="s">
        <v>102</v>
      </c>
      <c r="H64" s="36" t="s">
        <v>95</v>
      </c>
      <c r="I64" s="36" t="s">
        <v>98</v>
      </c>
      <c r="J64" s="36">
        <v>166</v>
      </c>
      <c r="K64" s="36">
        <v>237.38</v>
      </c>
    </row>
    <row r="65" spans="1:11" x14ac:dyDescent="0.3">
      <c r="A65" s="36" t="s">
        <v>99</v>
      </c>
      <c r="B65" s="36">
        <v>2020</v>
      </c>
      <c r="C65" s="36" t="s">
        <v>11</v>
      </c>
      <c r="D65" s="36" t="s">
        <v>91</v>
      </c>
      <c r="E65" s="36" t="s">
        <v>92</v>
      </c>
      <c r="F65" s="36" t="s">
        <v>93</v>
      </c>
      <c r="G65" s="36" t="s">
        <v>102</v>
      </c>
      <c r="H65" s="36" t="s">
        <v>95</v>
      </c>
      <c r="I65" s="36" t="s">
        <v>96</v>
      </c>
      <c r="J65" s="36">
        <v>222</v>
      </c>
      <c r="K65" s="36">
        <v>526.24</v>
      </c>
    </row>
    <row r="66" spans="1:11" x14ac:dyDescent="0.3">
      <c r="A66" s="36" t="s">
        <v>90</v>
      </c>
      <c r="B66" s="36">
        <v>2020</v>
      </c>
      <c r="C66" s="36" t="s">
        <v>11</v>
      </c>
      <c r="D66" s="36" t="s">
        <v>91</v>
      </c>
      <c r="E66" s="36" t="s">
        <v>92</v>
      </c>
      <c r="F66" s="36" t="s">
        <v>93</v>
      </c>
      <c r="G66" s="36" t="s">
        <v>102</v>
      </c>
      <c r="H66" s="36" t="s">
        <v>95</v>
      </c>
      <c r="I66" s="36" t="s">
        <v>96</v>
      </c>
      <c r="J66" s="36">
        <v>216</v>
      </c>
      <c r="K66" s="36">
        <v>526.24</v>
      </c>
    </row>
    <row r="67" spans="1:11" x14ac:dyDescent="0.3">
      <c r="A67" s="36" t="s">
        <v>97</v>
      </c>
      <c r="B67" s="36">
        <v>2020</v>
      </c>
      <c r="C67" s="36" t="s">
        <v>11</v>
      </c>
      <c r="D67" s="36" t="s">
        <v>91</v>
      </c>
      <c r="E67" s="36" t="s">
        <v>92</v>
      </c>
      <c r="F67" s="36" t="s">
        <v>93</v>
      </c>
      <c r="G67" s="36" t="s">
        <v>102</v>
      </c>
      <c r="H67" s="36" t="s">
        <v>95</v>
      </c>
      <c r="I67" s="36" t="s">
        <v>98</v>
      </c>
      <c r="J67" s="36">
        <v>684</v>
      </c>
      <c r="K67" s="36">
        <v>978.12</v>
      </c>
    </row>
    <row r="68" spans="1:11" x14ac:dyDescent="0.3">
      <c r="A68" s="36" t="s">
        <v>100</v>
      </c>
      <c r="B68" s="36">
        <v>2020</v>
      </c>
      <c r="C68" s="36" t="s">
        <v>11</v>
      </c>
      <c r="D68" s="36" t="s">
        <v>91</v>
      </c>
      <c r="E68" s="36" t="s">
        <v>92</v>
      </c>
      <c r="F68" s="36" t="s">
        <v>93</v>
      </c>
      <c r="G68" s="36" t="s">
        <v>102</v>
      </c>
      <c r="H68" s="36" t="s">
        <v>95</v>
      </c>
      <c r="I68" s="36" t="s">
        <v>98</v>
      </c>
      <c r="J68" s="36">
        <v>717</v>
      </c>
      <c r="K68" s="36">
        <v>1025.31</v>
      </c>
    </row>
    <row r="69" spans="1:11" x14ac:dyDescent="0.3">
      <c r="A69" s="36" t="s">
        <v>97</v>
      </c>
      <c r="B69" s="36">
        <v>2020</v>
      </c>
      <c r="C69" s="36" t="s">
        <v>11</v>
      </c>
      <c r="D69" s="36" t="s">
        <v>91</v>
      </c>
      <c r="E69" s="36" t="s">
        <v>92</v>
      </c>
      <c r="F69" s="36" t="s">
        <v>93</v>
      </c>
      <c r="G69" s="36" t="s">
        <v>102</v>
      </c>
      <c r="H69" s="36" t="s">
        <v>95</v>
      </c>
      <c r="I69" s="36" t="s">
        <v>98</v>
      </c>
      <c r="J69" s="36">
        <v>770</v>
      </c>
      <c r="K69" s="36">
        <v>1101.0999999999999</v>
      </c>
    </row>
    <row r="70" spans="1:11" x14ac:dyDescent="0.3">
      <c r="A70" s="36" t="s">
        <v>97</v>
      </c>
      <c r="B70" s="36">
        <v>2020</v>
      </c>
      <c r="C70" s="36" t="s">
        <v>11</v>
      </c>
      <c r="D70" s="36" t="s">
        <v>91</v>
      </c>
      <c r="E70" s="36" t="s">
        <v>92</v>
      </c>
      <c r="F70" s="36" t="s">
        <v>93</v>
      </c>
      <c r="G70" s="36" t="s">
        <v>102</v>
      </c>
      <c r="H70" s="36" t="s">
        <v>95</v>
      </c>
      <c r="I70" s="36" t="s">
        <v>96</v>
      </c>
      <c r="J70" s="36">
        <v>225</v>
      </c>
      <c r="K70" s="36">
        <v>321.75</v>
      </c>
    </row>
    <row r="71" spans="1:11" x14ac:dyDescent="0.3">
      <c r="A71" s="36" t="s">
        <v>100</v>
      </c>
      <c r="B71" s="36">
        <v>2020</v>
      </c>
      <c r="C71" s="36" t="s">
        <v>11</v>
      </c>
      <c r="D71" s="36" t="s">
        <v>91</v>
      </c>
      <c r="E71" s="36" t="s">
        <v>92</v>
      </c>
      <c r="F71" s="36" t="s">
        <v>93</v>
      </c>
      <c r="G71" s="36" t="s">
        <v>102</v>
      </c>
      <c r="H71" s="36" t="s">
        <v>95</v>
      </c>
      <c r="I71" s="36" t="s">
        <v>96</v>
      </c>
      <c r="J71" s="36">
        <v>219</v>
      </c>
      <c r="K71" s="36">
        <v>313.17</v>
      </c>
    </row>
    <row r="72" spans="1:11" x14ac:dyDescent="0.3">
      <c r="A72" s="36" t="s">
        <v>99</v>
      </c>
      <c r="B72" s="36">
        <v>2020</v>
      </c>
      <c r="C72" s="36" t="s">
        <v>11</v>
      </c>
      <c r="D72" s="36" t="s">
        <v>91</v>
      </c>
      <c r="E72" s="36" t="s">
        <v>92</v>
      </c>
      <c r="F72" s="36" t="s">
        <v>93</v>
      </c>
      <c r="G72" s="36" t="s">
        <v>102</v>
      </c>
      <c r="H72" s="36" t="s">
        <v>95</v>
      </c>
      <c r="I72" s="36" t="s">
        <v>96</v>
      </c>
      <c r="J72" s="36">
        <v>213</v>
      </c>
      <c r="K72" s="36">
        <v>304.59000000000003</v>
      </c>
    </row>
    <row r="73" spans="1:11" x14ac:dyDescent="0.3">
      <c r="A73" s="36" t="s">
        <v>97</v>
      </c>
      <c r="B73" s="36">
        <v>2020</v>
      </c>
      <c r="C73" s="36" t="s">
        <v>11</v>
      </c>
      <c r="D73" s="36" t="s">
        <v>91</v>
      </c>
      <c r="E73" s="36" t="s">
        <v>92</v>
      </c>
      <c r="F73" s="36" t="s">
        <v>93</v>
      </c>
      <c r="G73" s="36" t="s">
        <v>102</v>
      </c>
      <c r="H73" s="36" t="s">
        <v>95</v>
      </c>
      <c r="I73" s="36" t="s">
        <v>98</v>
      </c>
      <c r="J73" s="36">
        <v>195</v>
      </c>
      <c r="K73" s="36">
        <v>278.85000000000002</v>
      </c>
    </row>
    <row r="74" spans="1:11" x14ac:dyDescent="0.3">
      <c r="A74" s="36" t="s">
        <v>97</v>
      </c>
      <c r="B74" s="36">
        <v>2020</v>
      </c>
      <c r="C74" s="36" t="s">
        <v>11</v>
      </c>
      <c r="D74" s="36" t="s">
        <v>91</v>
      </c>
      <c r="E74" s="36" t="s">
        <v>92</v>
      </c>
      <c r="F74" s="36" t="s">
        <v>93</v>
      </c>
      <c r="G74" s="36" t="s">
        <v>102</v>
      </c>
      <c r="H74" s="36" t="s">
        <v>95</v>
      </c>
      <c r="I74" s="36" t="s">
        <v>98</v>
      </c>
      <c r="J74" s="36">
        <v>810</v>
      </c>
      <c r="K74" s="36">
        <v>526.24</v>
      </c>
    </row>
    <row r="75" spans="1:11" x14ac:dyDescent="0.3">
      <c r="A75" s="36" t="s">
        <v>90</v>
      </c>
      <c r="B75" s="36">
        <v>2020</v>
      </c>
      <c r="C75" s="36" t="s">
        <v>11</v>
      </c>
      <c r="D75" s="36" t="s">
        <v>91</v>
      </c>
      <c r="E75" s="36" t="s">
        <v>92</v>
      </c>
      <c r="F75" s="36" t="s">
        <v>93</v>
      </c>
      <c r="G75" s="36" t="s">
        <v>102</v>
      </c>
      <c r="H75" s="36" t="s">
        <v>95</v>
      </c>
      <c r="I75" s="36" t="s">
        <v>98</v>
      </c>
      <c r="J75" s="36">
        <v>193</v>
      </c>
      <c r="K75" s="36">
        <v>275.99</v>
      </c>
    </row>
    <row r="76" spans="1:11" x14ac:dyDescent="0.3">
      <c r="A76" s="36" t="s">
        <v>99</v>
      </c>
      <c r="B76" s="36">
        <v>2020</v>
      </c>
      <c r="C76" s="36" t="s">
        <v>11</v>
      </c>
      <c r="D76" s="36" t="s">
        <v>91</v>
      </c>
      <c r="E76" s="36" t="s">
        <v>92</v>
      </c>
      <c r="F76" s="36" t="s">
        <v>93</v>
      </c>
      <c r="G76" s="36" t="s">
        <v>102</v>
      </c>
      <c r="H76" s="36" t="s">
        <v>95</v>
      </c>
      <c r="I76" s="36" t="s">
        <v>98</v>
      </c>
      <c r="J76" s="36">
        <v>241</v>
      </c>
      <c r="K76" s="36">
        <v>344.63</v>
      </c>
    </row>
    <row r="77" spans="1:11" x14ac:dyDescent="0.3">
      <c r="A77" s="36" t="s">
        <v>90</v>
      </c>
      <c r="B77" s="36">
        <v>2020</v>
      </c>
      <c r="C77" s="36" t="s">
        <v>11</v>
      </c>
      <c r="D77" s="36" t="s">
        <v>91</v>
      </c>
      <c r="E77" s="36" t="s">
        <v>92</v>
      </c>
      <c r="F77" s="36" t="s">
        <v>93</v>
      </c>
      <c r="G77" s="36" t="s">
        <v>102</v>
      </c>
      <c r="H77" s="36" t="s">
        <v>95</v>
      </c>
      <c r="I77" s="36" t="s">
        <v>96</v>
      </c>
      <c r="J77" s="36">
        <v>221</v>
      </c>
      <c r="K77" s="36">
        <v>316.02999999999997</v>
      </c>
    </row>
    <row r="78" spans="1:11" x14ac:dyDescent="0.3">
      <c r="A78" s="36" t="s">
        <v>97</v>
      </c>
      <c r="B78" s="36">
        <v>2020</v>
      </c>
      <c r="C78" s="36" t="s">
        <v>11</v>
      </c>
      <c r="D78" s="36" t="s">
        <v>91</v>
      </c>
      <c r="E78" s="36" t="s">
        <v>92</v>
      </c>
      <c r="F78" s="36" t="s">
        <v>93</v>
      </c>
      <c r="G78" s="36" t="s">
        <v>102</v>
      </c>
      <c r="H78" s="36" t="s">
        <v>95</v>
      </c>
      <c r="I78" s="36" t="s">
        <v>96</v>
      </c>
      <c r="J78" s="36">
        <v>215</v>
      </c>
      <c r="K78" s="36">
        <v>307.45</v>
      </c>
    </row>
    <row r="79" spans="1:11" x14ac:dyDescent="0.3">
      <c r="A79" s="36" t="s">
        <v>97</v>
      </c>
      <c r="B79" s="36">
        <v>2020</v>
      </c>
      <c r="C79" s="36" t="s">
        <v>11</v>
      </c>
      <c r="D79" s="36" t="s">
        <v>91</v>
      </c>
      <c r="E79" s="36" t="s">
        <v>92</v>
      </c>
      <c r="F79" s="36" t="s">
        <v>93</v>
      </c>
      <c r="G79" s="36" t="s">
        <v>102</v>
      </c>
      <c r="H79" s="36" t="s">
        <v>95</v>
      </c>
      <c r="I79" s="36" t="s">
        <v>98</v>
      </c>
      <c r="J79" s="36">
        <v>191</v>
      </c>
      <c r="K79" s="36">
        <v>273.13</v>
      </c>
    </row>
    <row r="80" spans="1:11" x14ac:dyDescent="0.3">
      <c r="A80" s="36" t="s">
        <v>90</v>
      </c>
      <c r="B80" s="36">
        <v>2020</v>
      </c>
      <c r="C80" s="36" t="s">
        <v>11</v>
      </c>
      <c r="D80" s="36" t="s">
        <v>91</v>
      </c>
      <c r="E80" s="36" t="s">
        <v>92</v>
      </c>
      <c r="F80" s="36" t="s">
        <v>93</v>
      </c>
      <c r="G80" s="36" t="s">
        <v>102</v>
      </c>
      <c r="H80" s="36" t="s">
        <v>95</v>
      </c>
      <c r="I80" s="36" t="s">
        <v>98</v>
      </c>
      <c r="J80" s="36">
        <v>239</v>
      </c>
      <c r="K80" s="36">
        <v>341.77</v>
      </c>
    </row>
    <row r="81" spans="1:11" x14ac:dyDescent="0.3">
      <c r="A81" s="36" t="s">
        <v>90</v>
      </c>
      <c r="B81" s="36">
        <v>2020</v>
      </c>
      <c r="C81" s="36" t="s">
        <v>11</v>
      </c>
      <c r="D81" s="36" t="s">
        <v>91</v>
      </c>
      <c r="E81" s="36" t="s">
        <v>92</v>
      </c>
      <c r="F81" s="36" t="s">
        <v>93</v>
      </c>
      <c r="G81" s="36" t="s">
        <v>102</v>
      </c>
      <c r="H81" s="36" t="s">
        <v>95</v>
      </c>
      <c r="I81" s="36" t="s">
        <v>98</v>
      </c>
      <c r="J81" s="36">
        <v>779</v>
      </c>
      <c r="K81" s="36">
        <v>1113.97</v>
      </c>
    </row>
    <row r="82" spans="1:11" x14ac:dyDescent="0.3">
      <c r="A82" s="36" t="s">
        <v>97</v>
      </c>
      <c r="B82" s="36">
        <v>2020</v>
      </c>
      <c r="C82" s="36" t="s">
        <v>1</v>
      </c>
      <c r="D82" s="36" t="s">
        <v>91</v>
      </c>
      <c r="E82" s="36" t="s">
        <v>92</v>
      </c>
      <c r="F82" s="36" t="s">
        <v>93</v>
      </c>
      <c r="G82" s="36" t="s">
        <v>102</v>
      </c>
      <c r="H82" s="36" t="s">
        <v>95</v>
      </c>
      <c r="I82" s="36" t="s">
        <v>98</v>
      </c>
      <c r="J82" s="36">
        <v>248</v>
      </c>
      <c r="K82" s="36">
        <v>354.64</v>
      </c>
    </row>
    <row r="83" spans="1:11" x14ac:dyDescent="0.3">
      <c r="A83" s="36" t="s">
        <v>99</v>
      </c>
      <c r="B83" s="36">
        <v>2020</v>
      </c>
      <c r="C83" s="36" t="s">
        <v>1</v>
      </c>
      <c r="D83" s="36" t="s">
        <v>91</v>
      </c>
      <c r="E83" s="36" t="s">
        <v>92</v>
      </c>
      <c r="F83" s="36" t="s">
        <v>93</v>
      </c>
      <c r="G83" s="36" t="s">
        <v>102</v>
      </c>
      <c r="H83" s="36" t="s">
        <v>95</v>
      </c>
      <c r="I83" s="36" t="s">
        <v>98</v>
      </c>
      <c r="J83" s="36">
        <v>218</v>
      </c>
      <c r="K83" s="36">
        <v>311.74</v>
      </c>
    </row>
    <row r="84" spans="1:11" x14ac:dyDescent="0.3">
      <c r="A84" s="36" t="s">
        <v>97</v>
      </c>
      <c r="B84" s="36">
        <v>2020</v>
      </c>
      <c r="C84" s="36" t="s">
        <v>1</v>
      </c>
      <c r="D84" s="36" t="s">
        <v>91</v>
      </c>
      <c r="E84" s="36" t="s">
        <v>92</v>
      </c>
      <c r="F84" s="36" t="s">
        <v>93</v>
      </c>
      <c r="G84" s="36" t="s">
        <v>102</v>
      </c>
      <c r="H84" s="36" t="s">
        <v>95</v>
      </c>
      <c r="I84" s="36" t="s">
        <v>98</v>
      </c>
      <c r="J84" s="36">
        <v>244</v>
      </c>
      <c r="K84" s="36">
        <v>348.92</v>
      </c>
    </row>
    <row r="85" spans="1:11" x14ac:dyDescent="0.3">
      <c r="A85" s="36" t="s">
        <v>99</v>
      </c>
      <c r="B85" s="36">
        <v>2020</v>
      </c>
      <c r="C85" s="36" t="s">
        <v>1</v>
      </c>
      <c r="D85" s="36" t="s">
        <v>91</v>
      </c>
      <c r="E85" s="36" t="s">
        <v>92</v>
      </c>
      <c r="F85" s="36" t="s">
        <v>93</v>
      </c>
      <c r="G85" s="36" t="s">
        <v>102</v>
      </c>
      <c r="H85" s="36" t="s">
        <v>95</v>
      </c>
      <c r="I85" s="36" t="s">
        <v>98</v>
      </c>
      <c r="J85" s="36">
        <v>292</v>
      </c>
      <c r="K85" s="36">
        <v>417.56</v>
      </c>
    </row>
    <row r="86" spans="1:11" x14ac:dyDescent="0.3">
      <c r="A86" s="36" t="s">
        <v>97</v>
      </c>
      <c r="B86" s="36">
        <v>2020</v>
      </c>
      <c r="C86" s="36" t="s">
        <v>1</v>
      </c>
      <c r="D86" s="36" t="s">
        <v>91</v>
      </c>
      <c r="E86" s="36" t="s">
        <v>92</v>
      </c>
      <c r="F86" s="36" t="s">
        <v>93</v>
      </c>
      <c r="G86" s="36" t="s">
        <v>102</v>
      </c>
      <c r="H86" s="36" t="s">
        <v>95</v>
      </c>
      <c r="I86" s="36" t="s">
        <v>98</v>
      </c>
      <c r="J86" s="36">
        <v>220</v>
      </c>
      <c r="K86" s="36">
        <v>314.60000000000002</v>
      </c>
    </row>
    <row r="87" spans="1:11" x14ac:dyDescent="0.3">
      <c r="A87" s="36" t="s">
        <v>99</v>
      </c>
      <c r="B87" s="36">
        <v>2020</v>
      </c>
      <c r="C87" s="36" t="s">
        <v>1</v>
      </c>
      <c r="D87" s="36" t="s">
        <v>91</v>
      </c>
      <c r="E87" s="36" t="s">
        <v>92</v>
      </c>
      <c r="F87" s="36" t="s">
        <v>93</v>
      </c>
      <c r="G87" s="36" t="s">
        <v>102</v>
      </c>
      <c r="H87" s="36" t="s">
        <v>95</v>
      </c>
      <c r="I87" s="36" t="s">
        <v>98</v>
      </c>
      <c r="J87" s="36">
        <v>675</v>
      </c>
      <c r="K87" s="36">
        <v>965.25</v>
      </c>
    </row>
    <row r="88" spans="1:11" x14ac:dyDescent="0.3">
      <c r="A88" s="36" t="s">
        <v>97</v>
      </c>
      <c r="B88" s="36">
        <v>2020</v>
      </c>
      <c r="C88" s="36" t="s">
        <v>1</v>
      </c>
      <c r="D88" s="36" t="s">
        <v>91</v>
      </c>
      <c r="E88" s="36" t="s">
        <v>92</v>
      </c>
      <c r="F88" s="36" t="s">
        <v>93</v>
      </c>
      <c r="G88" s="36" t="s">
        <v>102</v>
      </c>
      <c r="H88" s="36" t="s">
        <v>95</v>
      </c>
      <c r="I88" s="36" t="s">
        <v>98</v>
      </c>
      <c r="J88" s="36">
        <v>708</v>
      </c>
      <c r="K88" s="36">
        <v>1012.44</v>
      </c>
    </row>
    <row r="89" spans="1:11" x14ac:dyDescent="0.3">
      <c r="A89" s="36" t="s">
        <v>90</v>
      </c>
      <c r="B89" s="36">
        <v>2020</v>
      </c>
      <c r="C89" s="36" t="s">
        <v>1</v>
      </c>
      <c r="D89" s="36" t="s">
        <v>91</v>
      </c>
      <c r="E89" s="36" t="s">
        <v>92</v>
      </c>
      <c r="F89" s="36" t="s">
        <v>93</v>
      </c>
      <c r="G89" s="36" t="s">
        <v>102</v>
      </c>
      <c r="H89" s="36" t="s">
        <v>95</v>
      </c>
      <c r="I89" s="36" t="s">
        <v>98</v>
      </c>
      <c r="J89" s="36">
        <v>761</v>
      </c>
      <c r="K89" s="36">
        <v>1088.23</v>
      </c>
    </row>
    <row r="90" spans="1:11" x14ac:dyDescent="0.3">
      <c r="A90" s="36" t="s">
        <v>90</v>
      </c>
      <c r="B90" s="36">
        <v>2020</v>
      </c>
      <c r="C90" s="36" t="s">
        <v>1</v>
      </c>
      <c r="D90" s="36" t="s">
        <v>91</v>
      </c>
      <c r="E90" s="36" t="s">
        <v>92</v>
      </c>
      <c r="F90" s="36" t="s">
        <v>93</v>
      </c>
      <c r="G90" s="36" t="s">
        <v>102</v>
      </c>
      <c r="H90" s="36" t="s">
        <v>95</v>
      </c>
      <c r="I90" s="36" t="s">
        <v>98</v>
      </c>
      <c r="J90" s="36">
        <v>249</v>
      </c>
      <c r="K90" s="36">
        <v>356.07</v>
      </c>
    </row>
    <row r="91" spans="1:11" x14ac:dyDescent="0.3">
      <c r="A91" s="36" t="s">
        <v>97</v>
      </c>
      <c r="B91" s="36">
        <v>2020</v>
      </c>
      <c r="C91" s="36" t="s">
        <v>1</v>
      </c>
      <c r="D91" s="36" t="s">
        <v>91</v>
      </c>
      <c r="E91" s="36" t="s">
        <v>92</v>
      </c>
      <c r="F91" s="36" t="s">
        <v>93</v>
      </c>
      <c r="G91" s="36" t="s">
        <v>102</v>
      </c>
      <c r="H91" s="36" t="s">
        <v>95</v>
      </c>
      <c r="I91" s="36" t="s">
        <v>98</v>
      </c>
      <c r="J91" s="36">
        <v>748</v>
      </c>
      <c r="K91" s="36">
        <v>526.24</v>
      </c>
    </row>
    <row r="92" spans="1:11" x14ac:dyDescent="0.3">
      <c r="A92" s="36" t="s">
        <v>99</v>
      </c>
      <c r="B92" s="36">
        <v>2020</v>
      </c>
      <c r="C92" s="36" t="s">
        <v>1</v>
      </c>
      <c r="D92" s="36" t="s">
        <v>91</v>
      </c>
      <c r="E92" s="36" t="s">
        <v>92</v>
      </c>
      <c r="F92" s="36" t="s">
        <v>93</v>
      </c>
      <c r="G92" s="36" t="s">
        <v>102</v>
      </c>
      <c r="H92" s="36" t="s">
        <v>95</v>
      </c>
      <c r="I92" s="36" t="s">
        <v>98</v>
      </c>
      <c r="J92" s="36">
        <v>801</v>
      </c>
      <c r="K92" s="36">
        <v>526.24</v>
      </c>
    </row>
    <row r="93" spans="1:11" x14ac:dyDescent="0.3">
      <c r="A93" s="36" t="s">
        <v>97</v>
      </c>
      <c r="B93" s="36">
        <v>2020</v>
      </c>
      <c r="C93" s="36" t="s">
        <v>1</v>
      </c>
      <c r="D93" s="36" t="s">
        <v>91</v>
      </c>
      <c r="E93" s="36" t="s">
        <v>92</v>
      </c>
      <c r="F93" s="36" t="s">
        <v>93</v>
      </c>
      <c r="G93" s="36" t="s">
        <v>102</v>
      </c>
      <c r="H93" s="36" t="s">
        <v>95</v>
      </c>
      <c r="I93" s="36" t="s">
        <v>98</v>
      </c>
      <c r="J93" s="36">
        <v>247</v>
      </c>
      <c r="K93" s="36">
        <v>353.21</v>
      </c>
    </row>
    <row r="94" spans="1:11" x14ac:dyDescent="0.3">
      <c r="A94" s="36" t="s">
        <v>97</v>
      </c>
      <c r="B94" s="36">
        <v>2020</v>
      </c>
      <c r="C94" s="36" t="s">
        <v>1</v>
      </c>
      <c r="D94" s="36" t="s">
        <v>91</v>
      </c>
      <c r="E94" s="36" t="s">
        <v>92</v>
      </c>
      <c r="F94" s="36" t="s">
        <v>93</v>
      </c>
      <c r="G94" s="36" t="s">
        <v>102</v>
      </c>
      <c r="H94" s="36" t="s">
        <v>95</v>
      </c>
      <c r="I94" s="36" t="s">
        <v>98</v>
      </c>
      <c r="J94" s="36">
        <v>295</v>
      </c>
      <c r="K94" s="36">
        <v>421.85</v>
      </c>
    </row>
    <row r="95" spans="1:11" x14ac:dyDescent="0.3">
      <c r="A95" s="36" t="s">
        <v>97</v>
      </c>
      <c r="B95" s="36">
        <v>2020</v>
      </c>
      <c r="C95" s="36" t="s">
        <v>1</v>
      </c>
      <c r="D95" s="36" t="s">
        <v>91</v>
      </c>
      <c r="E95" s="36" t="s">
        <v>92</v>
      </c>
      <c r="F95" s="36" t="s">
        <v>93</v>
      </c>
      <c r="G95" s="36" t="s">
        <v>102</v>
      </c>
      <c r="H95" s="36" t="s">
        <v>95</v>
      </c>
      <c r="I95" s="36" t="s">
        <v>98</v>
      </c>
      <c r="J95" s="36">
        <v>217</v>
      </c>
      <c r="K95" s="36">
        <v>310.31</v>
      </c>
    </row>
    <row r="96" spans="1:11" x14ac:dyDescent="0.3">
      <c r="A96" s="36" t="s">
        <v>99</v>
      </c>
      <c r="B96" s="36">
        <v>2020</v>
      </c>
      <c r="C96" s="36" t="s">
        <v>1</v>
      </c>
      <c r="D96" s="36" t="s">
        <v>91</v>
      </c>
      <c r="E96" s="36" t="s">
        <v>92</v>
      </c>
      <c r="F96" s="36" t="s">
        <v>93</v>
      </c>
      <c r="G96" s="36" t="s">
        <v>102</v>
      </c>
      <c r="H96" s="36" t="s">
        <v>95</v>
      </c>
      <c r="I96" s="36" t="s">
        <v>98</v>
      </c>
      <c r="J96" s="36">
        <v>245</v>
      </c>
      <c r="K96" s="36">
        <v>350.35</v>
      </c>
    </row>
    <row r="97" spans="1:11" x14ac:dyDescent="0.3">
      <c r="A97" s="36" t="s">
        <v>90</v>
      </c>
      <c r="B97" s="36">
        <v>2020</v>
      </c>
      <c r="C97" s="36" t="s">
        <v>1</v>
      </c>
      <c r="D97" s="36" t="s">
        <v>91</v>
      </c>
      <c r="E97" s="36" t="s">
        <v>92</v>
      </c>
      <c r="F97" s="36" t="s">
        <v>93</v>
      </c>
      <c r="G97" s="36" t="s">
        <v>102</v>
      </c>
      <c r="H97" s="36" t="s">
        <v>95</v>
      </c>
      <c r="I97" s="36" t="s">
        <v>98</v>
      </c>
      <c r="J97" s="36">
        <v>293</v>
      </c>
      <c r="K97" s="36">
        <v>418.99</v>
      </c>
    </row>
    <row r="98" spans="1:11" x14ac:dyDescent="0.3">
      <c r="A98" s="36" t="s">
        <v>97</v>
      </c>
      <c r="B98" s="36">
        <v>2020</v>
      </c>
      <c r="C98" s="36" t="s">
        <v>1</v>
      </c>
      <c r="D98" s="36" t="s">
        <v>91</v>
      </c>
      <c r="E98" s="36" t="s">
        <v>92</v>
      </c>
      <c r="F98" s="36" t="s">
        <v>93</v>
      </c>
      <c r="G98" s="36" t="s">
        <v>102</v>
      </c>
      <c r="H98" s="36" t="s">
        <v>95</v>
      </c>
      <c r="I98" s="36" t="s">
        <v>98</v>
      </c>
      <c r="J98" s="36">
        <v>770</v>
      </c>
      <c r="K98" s="36">
        <v>1101.0999999999999</v>
      </c>
    </row>
    <row r="99" spans="1:11" x14ac:dyDescent="0.3">
      <c r="A99" s="36" t="s">
        <v>90</v>
      </c>
      <c r="B99" s="36">
        <v>2020</v>
      </c>
      <c r="C99" s="36" t="s">
        <v>0</v>
      </c>
      <c r="D99" s="36" t="s">
        <v>91</v>
      </c>
      <c r="E99" s="36" t="s">
        <v>92</v>
      </c>
      <c r="F99" s="36" t="s">
        <v>93</v>
      </c>
      <c r="G99" s="36" t="s">
        <v>102</v>
      </c>
      <c r="H99" s="36" t="s">
        <v>95</v>
      </c>
      <c r="I99" s="36" t="s">
        <v>98</v>
      </c>
      <c r="J99" s="36">
        <v>254</v>
      </c>
      <c r="K99" s="36">
        <v>388.62</v>
      </c>
    </row>
    <row r="100" spans="1:11" x14ac:dyDescent="0.3">
      <c r="A100" s="36" t="s">
        <v>90</v>
      </c>
      <c r="B100" s="36">
        <v>2020</v>
      </c>
      <c r="C100" s="36" t="s">
        <v>0</v>
      </c>
      <c r="D100" s="36" t="s">
        <v>91</v>
      </c>
      <c r="E100" s="36" t="s">
        <v>92</v>
      </c>
      <c r="F100" s="36" t="s">
        <v>93</v>
      </c>
      <c r="G100" s="36" t="s">
        <v>102</v>
      </c>
      <c r="H100" s="36" t="s">
        <v>95</v>
      </c>
      <c r="I100" s="36" t="s">
        <v>98</v>
      </c>
      <c r="J100" s="36">
        <v>296</v>
      </c>
      <c r="K100" s="36">
        <v>423.28</v>
      </c>
    </row>
    <row r="101" spans="1:11" x14ac:dyDescent="0.3">
      <c r="A101" s="36" t="s">
        <v>99</v>
      </c>
      <c r="B101" s="36">
        <v>2020</v>
      </c>
      <c r="C101" s="36" t="s">
        <v>0</v>
      </c>
      <c r="D101" s="36" t="s">
        <v>91</v>
      </c>
      <c r="E101" s="36" t="s">
        <v>92</v>
      </c>
      <c r="F101" s="36" t="s">
        <v>93</v>
      </c>
      <c r="G101" s="36" t="s">
        <v>102</v>
      </c>
      <c r="H101" s="36" t="s">
        <v>95</v>
      </c>
      <c r="I101" s="36" t="s">
        <v>98</v>
      </c>
      <c r="J101" s="36">
        <v>224</v>
      </c>
      <c r="K101" s="36">
        <v>320.32</v>
      </c>
    </row>
    <row r="102" spans="1:11" x14ac:dyDescent="0.3">
      <c r="A102" s="36" t="s">
        <v>97</v>
      </c>
      <c r="B102" s="36">
        <v>2020</v>
      </c>
      <c r="C102" s="36" t="s">
        <v>0</v>
      </c>
      <c r="D102" s="36" t="s">
        <v>91</v>
      </c>
      <c r="E102" s="36" t="s">
        <v>92</v>
      </c>
      <c r="F102" s="36" t="s">
        <v>93</v>
      </c>
      <c r="G102" s="36" t="s">
        <v>102</v>
      </c>
      <c r="H102" s="36" t="s">
        <v>95</v>
      </c>
      <c r="I102" s="36" t="s">
        <v>96</v>
      </c>
      <c r="J102" s="36">
        <v>370</v>
      </c>
      <c r="K102" s="36">
        <v>529.1</v>
      </c>
    </row>
    <row r="103" spans="1:11" x14ac:dyDescent="0.3">
      <c r="A103" s="36" t="s">
        <v>97</v>
      </c>
      <c r="B103" s="36">
        <v>2020</v>
      </c>
      <c r="C103" s="36" t="s">
        <v>0</v>
      </c>
      <c r="D103" s="36" t="s">
        <v>91</v>
      </c>
      <c r="E103" s="36" t="s">
        <v>92</v>
      </c>
      <c r="F103" s="36" t="s">
        <v>93</v>
      </c>
      <c r="G103" s="36" t="s">
        <v>102</v>
      </c>
      <c r="H103" s="36" t="s">
        <v>95</v>
      </c>
      <c r="I103" s="36" t="s">
        <v>98</v>
      </c>
      <c r="J103" s="36">
        <v>250</v>
      </c>
      <c r="K103" s="36">
        <v>357.5</v>
      </c>
    </row>
    <row r="104" spans="1:11" x14ac:dyDescent="0.3">
      <c r="A104" s="36" t="s">
        <v>97</v>
      </c>
      <c r="B104" s="36">
        <v>2020</v>
      </c>
      <c r="C104" s="36" t="s">
        <v>0</v>
      </c>
      <c r="D104" s="36" t="s">
        <v>91</v>
      </c>
      <c r="E104" s="36" t="s">
        <v>92</v>
      </c>
      <c r="F104" s="36" t="s">
        <v>93</v>
      </c>
      <c r="G104" s="36" t="s">
        <v>102</v>
      </c>
      <c r="H104" s="36" t="s">
        <v>95</v>
      </c>
      <c r="I104" s="36" t="s">
        <v>98</v>
      </c>
      <c r="J104" s="36">
        <v>298</v>
      </c>
      <c r="K104" s="36">
        <v>426.14</v>
      </c>
    </row>
    <row r="105" spans="1:11" x14ac:dyDescent="0.3">
      <c r="A105" s="36" t="s">
        <v>99</v>
      </c>
      <c r="B105" s="36">
        <v>2020</v>
      </c>
      <c r="C105" s="36" t="s">
        <v>0</v>
      </c>
      <c r="D105" s="36" t="s">
        <v>91</v>
      </c>
      <c r="E105" s="36" t="s">
        <v>92</v>
      </c>
      <c r="F105" s="36" t="s">
        <v>93</v>
      </c>
      <c r="G105" s="36" t="s">
        <v>102</v>
      </c>
      <c r="H105" s="36" t="s">
        <v>95</v>
      </c>
      <c r="I105" s="36" t="s">
        <v>98</v>
      </c>
      <c r="J105" s="36">
        <v>226</v>
      </c>
      <c r="K105" s="36">
        <v>323.18</v>
      </c>
    </row>
    <row r="106" spans="1:11" x14ac:dyDescent="0.3">
      <c r="A106" s="36" t="s">
        <v>99</v>
      </c>
      <c r="B106" s="36">
        <v>2020</v>
      </c>
      <c r="C106" s="36" t="s">
        <v>0</v>
      </c>
      <c r="D106" s="36" t="s">
        <v>91</v>
      </c>
      <c r="E106" s="36" t="s">
        <v>92</v>
      </c>
      <c r="F106" s="36" t="s">
        <v>93</v>
      </c>
      <c r="G106" s="36" t="s">
        <v>102</v>
      </c>
      <c r="H106" s="36" t="s">
        <v>95</v>
      </c>
      <c r="I106" s="36" t="s">
        <v>96</v>
      </c>
      <c r="J106" s="36">
        <v>372</v>
      </c>
      <c r="K106" s="36">
        <v>526.24</v>
      </c>
    </row>
    <row r="107" spans="1:11" x14ac:dyDescent="0.3">
      <c r="A107" s="36" t="s">
        <v>100</v>
      </c>
      <c r="B107" s="36">
        <v>2020</v>
      </c>
      <c r="C107" s="36" t="s">
        <v>0</v>
      </c>
      <c r="D107" s="36" t="s">
        <v>91</v>
      </c>
      <c r="E107" s="36" t="s">
        <v>92</v>
      </c>
      <c r="F107" s="36" t="s">
        <v>93</v>
      </c>
      <c r="G107" s="36" t="s">
        <v>102</v>
      </c>
      <c r="H107" s="36" t="s">
        <v>95</v>
      </c>
      <c r="I107" s="36" t="s">
        <v>98</v>
      </c>
      <c r="J107" s="36">
        <v>674</v>
      </c>
      <c r="K107" s="36">
        <v>963.81999999999994</v>
      </c>
    </row>
    <row r="108" spans="1:11" x14ac:dyDescent="0.3">
      <c r="A108" s="36" t="s">
        <v>99</v>
      </c>
      <c r="B108" s="36">
        <v>2020</v>
      </c>
      <c r="C108" s="36" t="s">
        <v>0</v>
      </c>
      <c r="D108" s="36" t="s">
        <v>91</v>
      </c>
      <c r="E108" s="36" t="s">
        <v>92</v>
      </c>
      <c r="F108" s="36" t="s">
        <v>93</v>
      </c>
      <c r="G108" s="36" t="s">
        <v>102</v>
      </c>
      <c r="H108" s="36" t="s">
        <v>95</v>
      </c>
      <c r="I108" s="36" t="s">
        <v>98</v>
      </c>
      <c r="J108" s="36">
        <v>707</v>
      </c>
      <c r="K108" s="36">
        <v>1011.01</v>
      </c>
    </row>
    <row r="109" spans="1:11" x14ac:dyDescent="0.3">
      <c r="A109" s="36" t="s">
        <v>90</v>
      </c>
      <c r="B109" s="36">
        <v>2020</v>
      </c>
      <c r="C109" s="36" t="s">
        <v>0</v>
      </c>
      <c r="D109" s="36" t="s">
        <v>91</v>
      </c>
      <c r="E109" s="36" t="s">
        <v>92</v>
      </c>
      <c r="F109" s="36" t="s">
        <v>93</v>
      </c>
      <c r="G109" s="36" t="s">
        <v>102</v>
      </c>
      <c r="H109" s="36" t="s">
        <v>95</v>
      </c>
      <c r="I109" s="36" t="s">
        <v>98</v>
      </c>
      <c r="J109" s="36">
        <v>747</v>
      </c>
      <c r="K109" s="36">
        <v>526.24</v>
      </c>
    </row>
    <row r="110" spans="1:11" x14ac:dyDescent="0.3">
      <c r="A110" s="36" t="s">
        <v>100</v>
      </c>
      <c r="B110" s="36">
        <v>2020</v>
      </c>
      <c r="C110" s="36" t="s">
        <v>0</v>
      </c>
      <c r="D110" s="36" t="s">
        <v>91</v>
      </c>
      <c r="E110" s="36" t="s">
        <v>92</v>
      </c>
      <c r="F110" s="36" t="s">
        <v>93</v>
      </c>
      <c r="G110" s="36" t="s">
        <v>102</v>
      </c>
      <c r="H110" s="36" t="s">
        <v>95</v>
      </c>
      <c r="I110" s="36" t="s">
        <v>98</v>
      </c>
      <c r="J110" s="36">
        <v>800</v>
      </c>
      <c r="K110" s="36">
        <v>526.24</v>
      </c>
    </row>
    <row r="111" spans="1:11" x14ac:dyDescent="0.3">
      <c r="A111" s="36" t="s">
        <v>99</v>
      </c>
      <c r="B111" s="36">
        <v>2020</v>
      </c>
      <c r="C111" s="36" t="s">
        <v>0</v>
      </c>
      <c r="D111" s="36" t="s">
        <v>91</v>
      </c>
      <c r="E111" s="36" t="s">
        <v>92</v>
      </c>
      <c r="F111" s="36" t="s">
        <v>93</v>
      </c>
      <c r="G111" s="36" t="s">
        <v>102</v>
      </c>
      <c r="H111" s="36" t="s">
        <v>95</v>
      </c>
      <c r="I111" s="36" t="s">
        <v>98</v>
      </c>
      <c r="J111" s="36">
        <v>253</v>
      </c>
      <c r="K111" s="36">
        <v>361.78999999999996</v>
      </c>
    </row>
    <row r="112" spans="1:11" x14ac:dyDescent="0.3">
      <c r="A112" s="36" t="s">
        <v>97</v>
      </c>
      <c r="B112" s="36">
        <v>2020</v>
      </c>
      <c r="C112" s="36" t="s">
        <v>0</v>
      </c>
      <c r="D112" s="36" t="s">
        <v>91</v>
      </c>
      <c r="E112" s="36" t="s">
        <v>92</v>
      </c>
      <c r="F112" s="36" t="s">
        <v>93</v>
      </c>
      <c r="G112" s="36" t="s">
        <v>102</v>
      </c>
      <c r="H112" s="36" t="s">
        <v>95</v>
      </c>
      <c r="I112" s="36" t="s">
        <v>98</v>
      </c>
      <c r="J112" s="36">
        <v>223</v>
      </c>
      <c r="K112" s="36">
        <v>318.89</v>
      </c>
    </row>
    <row r="113" spans="1:11" x14ac:dyDescent="0.3">
      <c r="A113" s="36" t="s">
        <v>90</v>
      </c>
      <c r="B113" s="36">
        <v>2020</v>
      </c>
      <c r="C113" s="36" t="s">
        <v>0</v>
      </c>
      <c r="D113" s="36" t="s">
        <v>91</v>
      </c>
      <c r="E113" s="36" t="s">
        <v>92</v>
      </c>
      <c r="F113" s="36" t="s">
        <v>93</v>
      </c>
      <c r="G113" s="36" t="s">
        <v>102</v>
      </c>
      <c r="H113" s="36" t="s">
        <v>95</v>
      </c>
      <c r="I113" s="36" t="s">
        <v>96</v>
      </c>
      <c r="J113" s="36">
        <v>873</v>
      </c>
      <c r="K113" s="36">
        <v>1248.3899999999999</v>
      </c>
    </row>
    <row r="114" spans="1:11" x14ac:dyDescent="0.3">
      <c r="A114" s="36" t="s">
        <v>99</v>
      </c>
      <c r="B114" s="36">
        <v>2020</v>
      </c>
      <c r="C114" s="36" t="s">
        <v>0</v>
      </c>
      <c r="D114" s="36" t="s">
        <v>91</v>
      </c>
      <c r="E114" s="36" t="s">
        <v>92</v>
      </c>
      <c r="F114" s="36" t="s">
        <v>93</v>
      </c>
      <c r="G114" s="36" t="s">
        <v>102</v>
      </c>
      <c r="H114" s="36" t="s">
        <v>95</v>
      </c>
      <c r="I114" s="36" t="s">
        <v>98</v>
      </c>
      <c r="J114" s="36">
        <v>251</v>
      </c>
      <c r="K114" s="36">
        <v>358.93</v>
      </c>
    </row>
    <row r="115" spans="1:11" x14ac:dyDescent="0.3">
      <c r="A115" s="36" t="s">
        <v>90</v>
      </c>
      <c r="B115" s="36">
        <v>2020</v>
      </c>
      <c r="C115" s="36" t="s">
        <v>0</v>
      </c>
      <c r="D115" s="36" t="s">
        <v>91</v>
      </c>
      <c r="E115" s="36" t="s">
        <v>92</v>
      </c>
      <c r="F115" s="36" t="s">
        <v>93</v>
      </c>
      <c r="G115" s="36" t="s">
        <v>102</v>
      </c>
      <c r="H115" s="36" t="s">
        <v>95</v>
      </c>
      <c r="I115" s="36" t="s">
        <v>98</v>
      </c>
      <c r="J115" s="36">
        <v>299</v>
      </c>
      <c r="K115" s="36">
        <v>427.57</v>
      </c>
    </row>
    <row r="116" spans="1:11" x14ac:dyDescent="0.3">
      <c r="A116" s="36" t="s">
        <v>90</v>
      </c>
      <c r="B116" s="36">
        <v>2020</v>
      </c>
      <c r="C116" s="36" t="s">
        <v>0</v>
      </c>
      <c r="D116" s="36" t="s">
        <v>91</v>
      </c>
      <c r="E116" s="36" t="s">
        <v>92</v>
      </c>
      <c r="F116" s="36" t="s">
        <v>93</v>
      </c>
      <c r="G116" s="36" t="s">
        <v>102</v>
      </c>
      <c r="H116" s="36" t="s">
        <v>95</v>
      </c>
      <c r="I116" s="36" t="s">
        <v>98</v>
      </c>
      <c r="J116" s="36">
        <v>769</v>
      </c>
      <c r="K116" s="36">
        <v>1099.67</v>
      </c>
    </row>
    <row r="117" spans="1:11" x14ac:dyDescent="0.3">
      <c r="A117" s="36" t="s">
        <v>90</v>
      </c>
      <c r="B117" s="36">
        <v>2020</v>
      </c>
      <c r="C117" s="36" t="s">
        <v>6</v>
      </c>
      <c r="D117" s="36" t="s">
        <v>91</v>
      </c>
      <c r="E117" s="36" t="s">
        <v>92</v>
      </c>
      <c r="F117" s="36" t="s">
        <v>93</v>
      </c>
      <c r="G117" s="36" t="s">
        <v>102</v>
      </c>
      <c r="H117" s="36" t="s">
        <v>95</v>
      </c>
      <c r="I117" s="36" t="s">
        <v>96</v>
      </c>
      <c r="J117" s="36">
        <v>302</v>
      </c>
      <c r="K117" s="36">
        <v>431.86</v>
      </c>
    </row>
    <row r="118" spans="1:11" x14ac:dyDescent="0.3">
      <c r="A118" s="36" t="s">
        <v>97</v>
      </c>
      <c r="B118" s="36">
        <v>2020</v>
      </c>
      <c r="C118" s="36" t="s">
        <v>6</v>
      </c>
      <c r="D118" s="36" t="s">
        <v>91</v>
      </c>
      <c r="E118" s="36" t="s">
        <v>92</v>
      </c>
      <c r="F118" s="36" t="s">
        <v>93</v>
      </c>
      <c r="G118" s="36" t="s">
        <v>102</v>
      </c>
      <c r="H118" s="36" t="s">
        <v>95</v>
      </c>
      <c r="I118" s="36" t="s">
        <v>96</v>
      </c>
      <c r="J118" s="36">
        <v>296</v>
      </c>
      <c r="K118" s="36">
        <v>423.28</v>
      </c>
    </row>
    <row r="119" spans="1:11" x14ac:dyDescent="0.3">
      <c r="A119" s="36" t="s">
        <v>97</v>
      </c>
      <c r="B119" s="36">
        <v>2020</v>
      </c>
      <c r="C119" s="36" t="s">
        <v>6</v>
      </c>
      <c r="D119" s="36" t="s">
        <v>91</v>
      </c>
      <c r="E119" s="36" t="s">
        <v>92</v>
      </c>
      <c r="F119" s="36" t="s">
        <v>93</v>
      </c>
      <c r="G119" s="36" t="s">
        <v>102</v>
      </c>
      <c r="H119" s="36" t="s">
        <v>95</v>
      </c>
      <c r="I119" s="36" t="s">
        <v>98</v>
      </c>
      <c r="J119" s="36">
        <v>218</v>
      </c>
      <c r="K119" s="36">
        <v>311.74</v>
      </c>
    </row>
    <row r="120" spans="1:11" x14ac:dyDescent="0.3">
      <c r="A120" s="36" t="s">
        <v>90</v>
      </c>
      <c r="B120" s="36">
        <v>2020</v>
      </c>
      <c r="C120" s="36" t="s">
        <v>6</v>
      </c>
      <c r="D120" s="36" t="s">
        <v>91</v>
      </c>
      <c r="E120" s="36" t="s">
        <v>92</v>
      </c>
      <c r="F120" s="36" t="s">
        <v>93</v>
      </c>
      <c r="G120" s="36" t="s">
        <v>102</v>
      </c>
      <c r="H120" s="36" t="s">
        <v>95</v>
      </c>
      <c r="I120" s="36" t="s">
        <v>98</v>
      </c>
      <c r="J120" s="36">
        <v>266</v>
      </c>
      <c r="K120" s="36">
        <v>380.38</v>
      </c>
    </row>
    <row r="121" spans="1:11" x14ac:dyDescent="0.3">
      <c r="A121" s="36" t="s">
        <v>97</v>
      </c>
      <c r="B121" s="36">
        <v>2020</v>
      </c>
      <c r="C121" s="36" t="s">
        <v>6</v>
      </c>
      <c r="D121" s="36" t="s">
        <v>91</v>
      </c>
      <c r="E121" s="36" t="s">
        <v>92</v>
      </c>
      <c r="F121" s="36" t="s">
        <v>93</v>
      </c>
      <c r="G121" s="36" t="s">
        <v>102</v>
      </c>
      <c r="H121" s="36" t="s">
        <v>95</v>
      </c>
      <c r="I121" s="36" t="s">
        <v>98</v>
      </c>
      <c r="J121" s="36">
        <v>194</v>
      </c>
      <c r="K121" s="36">
        <v>277.42</v>
      </c>
    </row>
    <row r="122" spans="1:11" x14ac:dyDescent="0.3">
      <c r="A122" s="36" t="s">
        <v>90</v>
      </c>
      <c r="B122" s="36">
        <v>2020</v>
      </c>
      <c r="C122" s="36" t="s">
        <v>6</v>
      </c>
      <c r="D122" s="36" t="s">
        <v>91</v>
      </c>
      <c r="E122" s="36" t="s">
        <v>92</v>
      </c>
      <c r="F122" s="36" t="s">
        <v>93</v>
      </c>
      <c r="G122" s="36" t="s">
        <v>102</v>
      </c>
      <c r="H122" s="36" t="s">
        <v>95</v>
      </c>
      <c r="I122" s="36" t="s">
        <v>98</v>
      </c>
      <c r="J122" s="36">
        <v>220</v>
      </c>
      <c r="K122" s="36">
        <v>314.60000000000002</v>
      </c>
    </row>
    <row r="123" spans="1:11" x14ac:dyDescent="0.3">
      <c r="A123" s="36" t="s">
        <v>90</v>
      </c>
      <c r="B123" s="36">
        <v>2020</v>
      </c>
      <c r="C123" s="36" t="s">
        <v>6</v>
      </c>
      <c r="D123" s="36" t="s">
        <v>91</v>
      </c>
      <c r="E123" s="36" t="s">
        <v>92</v>
      </c>
      <c r="F123" s="36" t="s">
        <v>93</v>
      </c>
      <c r="G123" s="36" t="s">
        <v>102</v>
      </c>
      <c r="H123" s="36" t="s">
        <v>95</v>
      </c>
      <c r="I123" s="36" t="s">
        <v>98</v>
      </c>
      <c r="J123" s="36">
        <v>268</v>
      </c>
      <c r="K123" s="36">
        <v>383.24</v>
      </c>
    </row>
    <row r="124" spans="1:11" x14ac:dyDescent="0.3">
      <c r="A124" s="36" t="s">
        <v>97</v>
      </c>
      <c r="B124" s="36">
        <v>2020</v>
      </c>
      <c r="C124" s="36" t="s">
        <v>6</v>
      </c>
      <c r="D124" s="36" t="s">
        <v>91</v>
      </c>
      <c r="E124" s="36" t="s">
        <v>92</v>
      </c>
      <c r="F124" s="36" t="s">
        <v>93</v>
      </c>
      <c r="G124" s="36" t="s">
        <v>102</v>
      </c>
      <c r="H124" s="36" t="s">
        <v>95</v>
      </c>
      <c r="I124" s="36" t="s">
        <v>98</v>
      </c>
      <c r="J124" s="36">
        <v>306</v>
      </c>
      <c r="K124" s="36">
        <v>526.24</v>
      </c>
    </row>
    <row r="125" spans="1:11" x14ac:dyDescent="0.3">
      <c r="A125" s="36" t="s">
        <v>99</v>
      </c>
      <c r="B125" s="36">
        <v>2020</v>
      </c>
      <c r="C125" s="36" t="s">
        <v>6</v>
      </c>
      <c r="D125" s="36" t="s">
        <v>91</v>
      </c>
      <c r="E125" s="36" t="s">
        <v>92</v>
      </c>
      <c r="F125" s="36" t="s">
        <v>93</v>
      </c>
      <c r="G125" s="36" t="s">
        <v>102</v>
      </c>
      <c r="H125" s="36" t="s">
        <v>95</v>
      </c>
      <c r="I125" s="36" t="s">
        <v>98</v>
      </c>
      <c r="J125" s="36">
        <v>300</v>
      </c>
      <c r="K125" s="36">
        <v>526.24</v>
      </c>
    </row>
    <row r="126" spans="1:11" x14ac:dyDescent="0.3">
      <c r="A126" s="36" t="s">
        <v>97</v>
      </c>
      <c r="B126" s="36">
        <v>2020</v>
      </c>
      <c r="C126" s="36" t="s">
        <v>6</v>
      </c>
      <c r="D126" s="36" t="s">
        <v>91</v>
      </c>
      <c r="E126" s="36" t="s">
        <v>92</v>
      </c>
      <c r="F126" s="36" t="s">
        <v>93</v>
      </c>
      <c r="G126" s="36" t="s">
        <v>102</v>
      </c>
      <c r="H126" s="36" t="s">
        <v>95</v>
      </c>
      <c r="I126" s="36" t="s">
        <v>98</v>
      </c>
      <c r="J126" s="36">
        <v>294</v>
      </c>
      <c r="K126" s="36">
        <v>526.24</v>
      </c>
    </row>
    <row r="127" spans="1:11" x14ac:dyDescent="0.3">
      <c r="A127" s="36" t="s">
        <v>97</v>
      </c>
      <c r="B127" s="36">
        <v>2020</v>
      </c>
      <c r="C127" s="36" t="s">
        <v>6</v>
      </c>
      <c r="D127" s="36" t="s">
        <v>91</v>
      </c>
      <c r="E127" s="36" t="s">
        <v>92</v>
      </c>
      <c r="F127" s="36" t="s">
        <v>93</v>
      </c>
      <c r="G127" s="36" t="s">
        <v>102</v>
      </c>
      <c r="H127" s="36" t="s">
        <v>95</v>
      </c>
      <c r="I127" s="36" t="s">
        <v>98</v>
      </c>
      <c r="J127" s="36">
        <v>679</v>
      </c>
      <c r="K127" s="36">
        <v>970.97</v>
      </c>
    </row>
    <row r="128" spans="1:11" x14ac:dyDescent="0.3">
      <c r="A128" s="36" t="s">
        <v>97</v>
      </c>
      <c r="B128" s="36">
        <v>2020</v>
      </c>
      <c r="C128" s="36" t="s">
        <v>6</v>
      </c>
      <c r="D128" s="36" t="s">
        <v>91</v>
      </c>
      <c r="E128" s="36" t="s">
        <v>92</v>
      </c>
      <c r="F128" s="36" t="s">
        <v>93</v>
      </c>
      <c r="G128" s="36" t="s">
        <v>102</v>
      </c>
      <c r="H128" s="36" t="s">
        <v>95</v>
      </c>
      <c r="I128" s="36" t="s">
        <v>98</v>
      </c>
      <c r="J128" s="36">
        <v>713</v>
      </c>
      <c r="K128" s="36">
        <v>1019.5899999999999</v>
      </c>
    </row>
    <row r="129" spans="1:11" x14ac:dyDescent="0.3">
      <c r="A129" s="36" t="s">
        <v>99</v>
      </c>
      <c r="B129" s="36">
        <v>2020</v>
      </c>
      <c r="C129" s="36" t="s">
        <v>6</v>
      </c>
      <c r="D129" s="36" t="s">
        <v>91</v>
      </c>
      <c r="E129" s="36" t="s">
        <v>92</v>
      </c>
      <c r="F129" s="36" t="s">
        <v>93</v>
      </c>
      <c r="G129" s="36" t="s">
        <v>102</v>
      </c>
      <c r="H129" s="36" t="s">
        <v>95</v>
      </c>
      <c r="I129" s="36" t="s">
        <v>98</v>
      </c>
      <c r="J129" s="36">
        <v>766</v>
      </c>
      <c r="K129" s="36">
        <v>1095.3800000000001</v>
      </c>
    </row>
    <row r="130" spans="1:11" x14ac:dyDescent="0.3">
      <c r="A130" s="36" t="s">
        <v>90</v>
      </c>
      <c r="B130" s="36">
        <v>2020</v>
      </c>
      <c r="C130" s="36" t="s">
        <v>6</v>
      </c>
      <c r="D130" s="36" t="s">
        <v>91</v>
      </c>
      <c r="E130" s="36" t="s">
        <v>92</v>
      </c>
      <c r="F130" s="36" t="s">
        <v>93</v>
      </c>
      <c r="G130" s="36" t="s">
        <v>102</v>
      </c>
      <c r="H130" s="36" t="s">
        <v>95</v>
      </c>
      <c r="I130" s="36" t="s">
        <v>98</v>
      </c>
      <c r="J130" s="36">
        <v>303</v>
      </c>
      <c r="K130" s="36">
        <v>433.28999999999996</v>
      </c>
    </row>
    <row r="131" spans="1:11" x14ac:dyDescent="0.3">
      <c r="A131" s="36" t="s">
        <v>90</v>
      </c>
      <c r="B131" s="36">
        <v>2020</v>
      </c>
      <c r="C131" s="36" t="s">
        <v>6</v>
      </c>
      <c r="D131" s="36" t="s">
        <v>91</v>
      </c>
      <c r="E131" s="36" t="s">
        <v>92</v>
      </c>
      <c r="F131" s="36" t="s">
        <v>93</v>
      </c>
      <c r="G131" s="36" t="s">
        <v>102</v>
      </c>
      <c r="H131" s="36" t="s">
        <v>95</v>
      </c>
      <c r="I131" s="36" t="s">
        <v>98</v>
      </c>
      <c r="J131" s="36">
        <v>297</v>
      </c>
      <c r="K131" s="36">
        <v>424.71</v>
      </c>
    </row>
    <row r="132" spans="1:11" x14ac:dyDescent="0.3">
      <c r="A132" s="36" t="s">
        <v>97</v>
      </c>
      <c r="B132" s="36">
        <v>2020</v>
      </c>
      <c r="C132" s="36" t="s">
        <v>6</v>
      </c>
      <c r="D132" s="36" t="s">
        <v>91</v>
      </c>
      <c r="E132" s="36" t="s">
        <v>92</v>
      </c>
      <c r="F132" s="36" t="s">
        <v>93</v>
      </c>
      <c r="G132" s="36" t="s">
        <v>102</v>
      </c>
      <c r="H132" s="36" t="s">
        <v>95</v>
      </c>
      <c r="I132" s="36" t="s">
        <v>98</v>
      </c>
      <c r="J132" s="36">
        <v>291</v>
      </c>
      <c r="K132" s="36">
        <v>416.13</v>
      </c>
    </row>
    <row r="133" spans="1:11" x14ac:dyDescent="0.3">
      <c r="A133" s="36" t="s">
        <v>99</v>
      </c>
      <c r="B133" s="36">
        <v>2020</v>
      </c>
      <c r="C133" s="36" t="s">
        <v>6</v>
      </c>
      <c r="D133" s="36" t="s">
        <v>91</v>
      </c>
      <c r="E133" s="36" t="s">
        <v>92</v>
      </c>
      <c r="F133" s="36" t="s">
        <v>93</v>
      </c>
      <c r="G133" s="36" t="s">
        <v>102</v>
      </c>
      <c r="H133" s="36" t="s">
        <v>95</v>
      </c>
      <c r="I133" s="36" t="s">
        <v>98</v>
      </c>
      <c r="J133" s="36">
        <v>219</v>
      </c>
      <c r="K133" s="36">
        <v>313.17</v>
      </c>
    </row>
    <row r="134" spans="1:11" x14ac:dyDescent="0.3">
      <c r="A134" s="36" t="s">
        <v>99</v>
      </c>
      <c r="B134" s="36">
        <v>2020</v>
      </c>
      <c r="C134" s="36" t="s">
        <v>6</v>
      </c>
      <c r="D134" s="36" t="s">
        <v>91</v>
      </c>
      <c r="E134" s="36" t="s">
        <v>92</v>
      </c>
      <c r="F134" s="36" t="s">
        <v>93</v>
      </c>
      <c r="G134" s="36" t="s">
        <v>102</v>
      </c>
      <c r="H134" s="36" t="s">
        <v>95</v>
      </c>
      <c r="I134" s="36" t="s">
        <v>98</v>
      </c>
      <c r="J134" s="36">
        <v>752</v>
      </c>
      <c r="K134" s="36">
        <v>526.24</v>
      </c>
    </row>
    <row r="135" spans="1:11" x14ac:dyDescent="0.3">
      <c r="A135" s="36" t="s">
        <v>97</v>
      </c>
      <c r="B135" s="36">
        <v>2020</v>
      </c>
      <c r="C135" s="36" t="s">
        <v>6</v>
      </c>
      <c r="D135" s="36" t="s">
        <v>91</v>
      </c>
      <c r="E135" s="36" t="s">
        <v>92</v>
      </c>
      <c r="F135" s="36" t="s">
        <v>93</v>
      </c>
      <c r="G135" s="36" t="s">
        <v>102</v>
      </c>
      <c r="H135" s="36" t="s">
        <v>95</v>
      </c>
      <c r="I135" s="36" t="s">
        <v>98</v>
      </c>
      <c r="J135" s="36">
        <v>805</v>
      </c>
      <c r="K135" s="36">
        <v>526.24</v>
      </c>
    </row>
    <row r="136" spans="1:11" x14ac:dyDescent="0.3">
      <c r="A136" s="36" t="s">
        <v>97</v>
      </c>
      <c r="B136" s="36">
        <v>2020</v>
      </c>
      <c r="C136" s="36" t="s">
        <v>6</v>
      </c>
      <c r="D136" s="36" t="s">
        <v>91</v>
      </c>
      <c r="E136" s="36" t="s">
        <v>92</v>
      </c>
      <c r="F136" s="36" t="s">
        <v>93</v>
      </c>
      <c r="G136" s="36" t="s">
        <v>102</v>
      </c>
      <c r="H136" s="36" t="s">
        <v>95</v>
      </c>
      <c r="I136" s="36" t="s">
        <v>98</v>
      </c>
      <c r="J136" s="36">
        <v>265</v>
      </c>
      <c r="K136" s="36">
        <v>378.95</v>
      </c>
    </row>
    <row r="137" spans="1:11" x14ac:dyDescent="0.3">
      <c r="A137" s="36" t="s">
        <v>90</v>
      </c>
      <c r="B137" s="36">
        <v>2020</v>
      </c>
      <c r="C137" s="36" t="s">
        <v>6</v>
      </c>
      <c r="D137" s="36" t="s">
        <v>91</v>
      </c>
      <c r="E137" s="36" t="s">
        <v>92</v>
      </c>
      <c r="F137" s="36" t="s">
        <v>93</v>
      </c>
      <c r="G137" s="36" t="s">
        <v>102</v>
      </c>
      <c r="H137" s="36" t="s">
        <v>95</v>
      </c>
      <c r="I137" s="36" t="s">
        <v>98</v>
      </c>
      <c r="J137" s="36">
        <v>193</v>
      </c>
      <c r="K137" s="36">
        <v>275.99</v>
      </c>
    </row>
    <row r="138" spans="1:11" x14ac:dyDescent="0.3">
      <c r="A138" s="36" t="s">
        <v>99</v>
      </c>
      <c r="B138" s="36">
        <v>2020</v>
      </c>
      <c r="C138" s="36" t="s">
        <v>6</v>
      </c>
      <c r="D138" s="36" t="s">
        <v>91</v>
      </c>
      <c r="E138" s="36" t="s">
        <v>92</v>
      </c>
      <c r="F138" s="36" t="s">
        <v>93</v>
      </c>
      <c r="G138" s="36" t="s">
        <v>102</v>
      </c>
      <c r="H138" s="36" t="s">
        <v>95</v>
      </c>
      <c r="I138" s="36" t="s">
        <v>96</v>
      </c>
      <c r="J138" s="36">
        <v>884</v>
      </c>
      <c r="K138" s="36">
        <v>1264.1199999999999</v>
      </c>
    </row>
    <row r="139" spans="1:11" x14ac:dyDescent="0.3">
      <c r="A139" s="36" t="s">
        <v>97</v>
      </c>
      <c r="B139" s="36">
        <v>2020</v>
      </c>
      <c r="C139" s="36" t="s">
        <v>6</v>
      </c>
      <c r="D139" s="36" t="s">
        <v>91</v>
      </c>
      <c r="E139" s="36" t="s">
        <v>92</v>
      </c>
      <c r="F139" s="36" t="s">
        <v>93</v>
      </c>
      <c r="G139" s="36" t="s">
        <v>102</v>
      </c>
      <c r="H139" s="36" t="s">
        <v>95</v>
      </c>
      <c r="I139" s="36" t="s">
        <v>96</v>
      </c>
      <c r="J139" s="36">
        <v>885</v>
      </c>
      <c r="K139" s="36">
        <v>1265.55</v>
      </c>
    </row>
    <row r="140" spans="1:11" x14ac:dyDescent="0.3">
      <c r="A140" s="36" t="s">
        <v>97</v>
      </c>
      <c r="B140" s="36">
        <v>2020</v>
      </c>
      <c r="C140" s="36" t="s">
        <v>6</v>
      </c>
      <c r="D140" s="36" t="s">
        <v>91</v>
      </c>
      <c r="E140" s="36" t="s">
        <v>92</v>
      </c>
      <c r="F140" s="36" t="s">
        <v>93</v>
      </c>
      <c r="G140" s="36" t="s">
        <v>102</v>
      </c>
      <c r="H140" s="36" t="s">
        <v>95</v>
      </c>
      <c r="I140" s="36" t="s">
        <v>96</v>
      </c>
      <c r="J140" s="36">
        <v>886</v>
      </c>
      <c r="K140" s="36">
        <v>1266.98</v>
      </c>
    </row>
    <row r="141" spans="1:11" x14ac:dyDescent="0.3">
      <c r="A141" s="36" t="s">
        <v>97</v>
      </c>
      <c r="B141" s="36">
        <v>2020</v>
      </c>
      <c r="C141" s="36" t="s">
        <v>6</v>
      </c>
      <c r="D141" s="36" t="s">
        <v>91</v>
      </c>
      <c r="E141" s="36" t="s">
        <v>92</v>
      </c>
      <c r="F141" s="36" t="s">
        <v>93</v>
      </c>
      <c r="G141" s="36" t="s">
        <v>102</v>
      </c>
      <c r="H141" s="36" t="s">
        <v>95</v>
      </c>
      <c r="I141" s="36" t="s">
        <v>98</v>
      </c>
      <c r="J141" s="36">
        <v>221</v>
      </c>
      <c r="K141" s="36">
        <v>316.02999999999997</v>
      </c>
    </row>
    <row r="142" spans="1:11" x14ac:dyDescent="0.3">
      <c r="A142" s="36" t="s">
        <v>97</v>
      </c>
      <c r="B142" s="36">
        <v>2020</v>
      </c>
      <c r="C142" s="36" t="s">
        <v>6</v>
      </c>
      <c r="D142" s="36" t="s">
        <v>91</v>
      </c>
      <c r="E142" s="36" t="s">
        <v>92</v>
      </c>
      <c r="F142" s="36" t="s">
        <v>93</v>
      </c>
      <c r="G142" s="36" t="s">
        <v>102</v>
      </c>
      <c r="H142" s="36" t="s">
        <v>95</v>
      </c>
      <c r="I142" s="36" t="s">
        <v>98</v>
      </c>
      <c r="J142" s="36">
        <v>269</v>
      </c>
      <c r="K142" s="36">
        <v>384.67</v>
      </c>
    </row>
    <row r="143" spans="1:11" x14ac:dyDescent="0.3">
      <c r="A143" s="36" t="s">
        <v>97</v>
      </c>
      <c r="B143" s="36">
        <v>2020</v>
      </c>
      <c r="C143" s="36" t="s">
        <v>6</v>
      </c>
      <c r="D143" s="36" t="s">
        <v>91</v>
      </c>
      <c r="E143" s="36" t="s">
        <v>92</v>
      </c>
      <c r="F143" s="36" t="s">
        <v>93</v>
      </c>
      <c r="G143" s="36" t="s">
        <v>102</v>
      </c>
      <c r="H143" s="36" t="s">
        <v>95</v>
      </c>
      <c r="I143" s="36" t="s">
        <v>98</v>
      </c>
      <c r="J143" s="36">
        <v>775</v>
      </c>
      <c r="K143" s="36">
        <v>1108.25</v>
      </c>
    </row>
    <row r="144" spans="1:11" x14ac:dyDescent="0.3">
      <c r="A144" s="36" t="s">
        <v>90</v>
      </c>
      <c r="B144" s="36">
        <v>2020</v>
      </c>
      <c r="C144" s="36" t="s">
        <v>5</v>
      </c>
      <c r="D144" s="36" t="s">
        <v>91</v>
      </c>
      <c r="E144" s="36" t="s">
        <v>92</v>
      </c>
      <c r="F144" s="36" t="s">
        <v>93</v>
      </c>
      <c r="G144" s="36" t="s">
        <v>102</v>
      </c>
      <c r="H144" s="36" t="s">
        <v>95</v>
      </c>
      <c r="I144" s="36" t="s">
        <v>96</v>
      </c>
      <c r="J144" s="36">
        <v>320</v>
      </c>
      <c r="K144" s="36">
        <v>457.6</v>
      </c>
    </row>
    <row r="145" spans="1:11" x14ac:dyDescent="0.3">
      <c r="A145" s="36" t="s">
        <v>97</v>
      </c>
      <c r="B145" s="36">
        <v>2020</v>
      </c>
      <c r="C145" s="36" t="s">
        <v>5</v>
      </c>
      <c r="D145" s="36" t="s">
        <v>91</v>
      </c>
      <c r="E145" s="36" t="s">
        <v>92</v>
      </c>
      <c r="F145" s="36" t="s">
        <v>93</v>
      </c>
      <c r="G145" s="36" t="s">
        <v>102</v>
      </c>
      <c r="H145" s="36" t="s">
        <v>95</v>
      </c>
      <c r="I145" s="36" t="s">
        <v>96</v>
      </c>
      <c r="J145" s="36">
        <v>314</v>
      </c>
      <c r="K145" s="36">
        <v>449.02</v>
      </c>
    </row>
    <row r="146" spans="1:11" x14ac:dyDescent="0.3">
      <c r="A146" s="36" t="s">
        <v>90</v>
      </c>
      <c r="B146" s="36">
        <v>2020</v>
      </c>
      <c r="C146" s="36" t="s">
        <v>5</v>
      </c>
      <c r="D146" s="36" t="s">
        <v>91</v>
      </c>
      <c r="E146" s="36" t="s">
        <v>92</v>
      </c>
      <c r="F146" s="36" t="s">
        <v>93</v>
      </c>
      <c r="G146" s="36" t="s">
        <v>102</v>
      </c>
      <c r="H146" s="36" t="s">
        <v>95</v>
      </c>
      <c r="I146" s="36" t="s">
        <v>96</v>
      </c>
      <c r="J146" s="36">
        <v>308</v>
      </c>
      <c r="K146" s="36">
        <v>440.44</v>
      </c>
    </row>
    <row r="147" spans="1:11" x14ac:dyDescent="0.3">
      <c r="A147" s="36" t="s">
        <v>97</v>
      </c>
      <c r="B147" s="36">
        <v>2020</v>
      </c>
      <c r="C147" s="36" t="s">
        <v>5</v>
      </c>
      <c r="D147" s="36" t="s">
        <v>91</v>
      </c>
      <c r="E147" s="36" t="s">
        <v>92</v>
      </c>
      <c r="F147" s="36" t="s">
        <v>93</v>
      </c>
      <c r="G147" s="36" t="s">
        <v>102</v>
      </c>
      <c r="H147" s="36" t="s">
        <v>95</v>
      </c>
      <c r="I147" s="36" t="s">
        <v>98</v>
      </c>
      <c r="J147" s="36">
        <v>224</v>
      </c>
      <c r="K147" s="36">
        <v>320.32</v>
      </c>
    </row>
    <row r="148" spans="1:11" x14ac:dyDescent="0.3">
      <c r="A148" s="36" t="s">
        <v>90</v>
      </c>
      <c r="B148" s="36">
        <v>2020</v>
      </c>
      <c r="C148" s="36" t="s">
        <v>5</v>
      </c>
      <c r="D148" s="36" t="s">
        <v>91</v>
      </c>
      <c r="E148" s="36" t="s">
        <v>92</v>
      </c>
      <c r="F148" s="36" t="s">
        <v>93</v>
      </c>
      <c r="G148" s="36" t="s">
        <v>102</v>
      </c>
      <c r="H148" s="36" t="s">
        <v>95</v>
      </c>
      <c r="I148" s="36" t="s">
        <v>98</v>
      </c>
      <c r="J148" s="36">
        <v>272</v>
      </c>
      <c r="K148" s="36">
        <v>388.96</v>
      </c>
    </row>
    <row r="149" spans="1:11" x14ac:dyDescent="0.3">
      <c r="A149" s="36" t="s">
        <v>99</v>
      </c>
      <c r="B149" s="36">
        <v>2020</v>
      </c>
      <c r="C149" s="36" t="s">
        <v>5</v>
      </c>
      <c r="D149" s="36" t="s">
        <v>91</v>
      </c>
      <c r="E149" s="36" t="s">
        <v>92</v>
      </c>
      <c r="F149" s="36" t="s">
        <v>93</v>
      </c>
      <c r="G149" s="36" t="s">
        <v>102</v>
      </c>
      <c r="H149" s="36" t="s">
        <v>95</v>
      </c>
      <c r="I149" s="36" t="s">
        <v>98</v>
      </c>
      <c r="J149" s="36">
        <v>200</v>
      </c>
      <c r="K149" s="36">
        <v>286</v>
      </c>
    </row>
    <row r="150" spans="1:11" x14ac:dyDescent="0.3">
      <c r="A150" s="36" t="s">
        <v>97</v>
      </c>
      <c r="B150" s="36">
        <v>2020</v>
      </c>
      <c r="C150" s="36" t="s">
        <v>5</v>
      </c>
      <c r="D150" s="36" t="s">
        <v>91</v>
      </c>
      <c r="E150" s="36" t="s">
        <v>92</v>
      </c>
      <c r="F150" s="36" t="s">
        <v>93</v>
      </c>
      <c r="G150" s="36" t="s">
        <v>102</v>
      </c>
      <c r="H150" s="36" t="s">
        <v>95</v>
      </c>
      <c r="I150" s="36" t="s">
        <v>98</v>
      </c>
      <c r="J150" s="36">
        <v>226</v>
      </c>
      <c r="K150" s="36">
        <v>323.18</v>
      </c>
    </row>
    <row r="151" spans="1:11" x14ac:dyDescent="0.3">
      <c r="A151" s="36" t="s">
        <v>97</v>
      </c>
      <c r="B151" s="36">
        <v>2020</v>
      </c>
      <c r="C151" s="36" t="s">
        <v>5</v>
      </c>
      <c r="D151" s="36" t="s">
        <v>91</v>
      </c>
      <c r="E151" s="36" t="s">
        <v>92</v>
      </c>
      <c r="F151" s="36" t="s">
        <v>93</v>
      </c>
      <c r="G151" s="36" t="s">
        <v>102</v>
      </c>
      <c r="H151" s="36" t="s">
        <v>95</v>
      </c>
      <c r="I151" s="36" t="s">
        <v>98</v>
      </c>
      <c r="J151" s="36">
        <v>274</v>
      </c>
      <c r="K151" s="36">
        <v>391.82</v>
      </c>
    </row>
    <row r="152" spans="1:11" x14ac:dyDescent="0.3">
      <c r="A152" s="36" t="s">
        <v>97</v>
      </c>
      <c r="B152" s="36">
        <v>2020</v>
      </c>
      <c r="C152" s="36" t="s">
        <v>5</v>
      </c>
      <c r="D152" s="36" t="s">
        <v>91</v>
      </c>
      <c r="E152" s="36" t="s">
        <v>92</v>
      </c>
      <c r="F152" s="36" t="s">
        <v>93</v>
      </c>
      <c r="G152" s="36" t="s">
        <v>102</v>
      </c>
      <c r="H152" s="36" t="s">
        <v>95</v>
      </c>
      <c r="I152" s="36" t="s">
        <v>98</v>
      </c>
      <c r="J152" s="36">
        <v>196</v>
      </c>
      <c r="K152" s="36">
        <v>280.27999999999997</v>
      </c>
    </row>
    <row r="153" spans="1:11" x14ac:dyDescent="0.3">
      <c r="A153" s="36" t="s">
        <v>90</v>
      </c>
      <c r="B153" s="36">
        <v>2020</v>
      </c>
      <c r="C153" s="36" t="s">
        <v>5</v>
      </c>
      <c r="D153" s="36" t="s">
        <v>91</v>
      </c>
      <c r="E153" s="36" t="s">
        <v>92</v>
      </c>
      <c r="F153" s="36" t="s">
        <v>93</v>
      </c>
      <c r="G153" s="36" t="s">
        <v>102</v>
      </c>
      <c r="H153" s="36" t="s">
        <v>95</v>
      </c>
      <c r="I153" s="36" t="s">
        <v>98</v>
      </c>
      <c r="J153" s="36">
        <v>318</v>
      </c>
      <c r="K153" s="36">
        <v>526.24</v>
      </c>
    </row>
    <row r="154" spans="1:11" x14ac:dyDescent="0.3">
      <c r="A154" s="36" t="s">
        <v>101</v>
      </c>
      <c r="B154" s="36">
        <v>2020</v>
      </c>
      <c r="C154" s="36" t="s">
        <v>5</v>
      </c>
      <c r="D154" s="36" t="s">
        <v>91</v>
      </c>
      <c r="E154" s="36" t="s">
        <v>92</v>
      </c>
      <c r="F154" s="36" t="s">
        <v>93</v>
      </c>
      <c r="G154" s="36" t="s">
        <v>102</v>
      </c>
      <c r="H154" s="36" t="s">
        <v>95</v>
      </c>
      <c r="I154" s="36" t="s">
        <v>98</v>
      </c>
      <c r="J154" s="36">
        <v>312</v>
      </c>
      <c r="K154" s="36">
        <v>526.24</v>
      </c>
    </row>
    <row r="155" spans="1:11" x14ac:dyDescent="0.3">
      <c r="A155" s="36" t="s">
        <v>99</v>
      </c>
      <c r="B155" s="36">
        <v>2020</v>
      </c>
      <c r="C155" s="36" t="s">
        <v>5</v>
      </c>
      <c r="D155" s="36" t="s">
        <v>91</v>
      </c>
      <c r="E155" s="36" t="s">
        <v>92</v>
      </c>
      <c r="F155" s="36" t="s">
        <v>93</v>
      </c>
      <c r="G155" s="36" t="s">
        <v>102</v>
      </c>
      <c r="H155" s="36" t="s">
        <v>95</v>
      </c>
      <c r="I155" s="36" t="s">
        <v>98</v>
      </c>
      <c r="J155" s="36">
        <v>712</v>
      </c>
      <c r="K155" s="36">
        <v>1018.16</v>
      </c>
    </row>
    <row r="156" spans="1:11" x14ac:dyDescent="0.3">
      <c r="A156" s="36" t="s">
        <v>90</v>
      </c>
      <c r="B156" s="36">
        <v>2020</v>
      </c>
      <c r="C156" s="36" t="s">
        <v>5</v>
      </c>
      <c r="D156" s="36" t="s">
        <v>91</v>
      </c>
      <c r="E156" s="36" t="s">
        <v>92</v>
      </c>
      <c r="F156" s="36" t="s">
        <v>93</v>
      </c>
      <c r="G156" s="36" t="s">
        <v>102</v>
      </c>
      <c r="H156" s="36" t="s">
        <v>95</v>
      </c>
      <c r="I156" s="36" t="s">
        <v>98</v>
      </c>
      <c r="J156" s="36">
        <v>765</v>
      </c>
      <c r="K156" s="36">
        <v>1093.95</v>
      </c>
    </row>
    <row r="157" spans="1:11" x14ac:dyDescent="0.3">
      <c r="A157" s="36" t="s">
        <v>97</v>
      </c>
      <c r="B157" s="36">
        <v>2020</v>
      </c>
      <c r="C157" s="36" t="s">
        <v>5</v>
      </c>
      <c r="D157" s="36" t="s">
        <v>91</v>
      </c>
      <c r="E157" s="36" t="s">
        <v>92</v>
      </c>
      <c r="F157" s="36" t="s">
        <v>93</v>
      </c>
      <c r="G157" s="36" t="s">
        <v>102</v>
      </c>
      <c r="H157" s="36" t="s">
        <v>95</v>
      </c>
      <c r="I157" s="36" t="s">
        <v>96</v>
      </c>
      <c r="J157" s="36">
        <v>321</v>
      </c>
      <c r="K157" s="36">
        <v>459.03</v>
      </c>
    </row>
    <row r="158" spans="1:11" x14ac:dyDescent="0.3">
      <c r="A158" s="36" t="s">
        <v>90</v>
      </c>
      <c r="B158" s="36">
        <v>2020</v>
      </c>
      <c r="C158" s="36" t="s">
        <v>5</v>
      </c>
      <c r="D158" s="36" t="s">
        <v>91</v>
      </c>
      <c r="E158" s="36" t="s">
        <v>92</v>
      </c>
      <c r="F158" s="36" t="s">
        <v>93</v>
      </c>
      <c r="G158" s="36" t="s">
        <v>102</v>
      </c>
      <c r="H158" s="36" t="s">
        <v>95</v>
      </c>
      <c r="I158" s="36" t="s">
        <v>98</v>
      </c>
      <c r="J158" s="36">
        <v>315</v>
      </c>
      <c r="K158" s="36">
        <v>450.45</v>
      </c>
    </row>
    <row r="159" spans="1:11" x14ac:dyDescent="0.3">
      <c r="A159" s="36" t="s">
        <v>99</v>
      </c>
      <c r="B159" s="36">
        <v>2020</v>
      </c>
      <c r="C159" s="36" t="s">
        <v>5</v>
      </c>
      <c r="D159" s="36" t="s">
        <v>91</v>
      </c>
      <c r="E159" s="36" t="s">
        <v>92</v>
      </c>
      <c r="F159" s="36" t="s">
        <v>93</v>
      </c>
      <c r="G159" s="36" t="s">
        <v>102</v>
      </c>
      <c r="H159" s="36" t="s">
        <v>95</v>
      </c>
      <c r="I159" s="36" t="s">
        <v>98</v>
      </c>
      <c r="J159" s="36">
        <v>309</v>
      </c>
      <c r="K159" s="36">
        <v>441.87</v>
      </c>
    </row>
    <row r="160" spans="1:11" x14ac:dyDescent="0.3">
      <c r="A160" s="36" t="s">
        <v>90</v>
      </c>
      <c r="B160" s="36">
        <v>2020</v>
      </c>
      <c r="C160" s="36" t="s">
        <v>5</v>
      </c>
      <c r="D160" s="36" t="s">
        <v>91</v>
      </c>
      <c r="E160" s="36" t="s">
        <v>92</v>
      </c>
      <c r="F160" s="36" t="s">
        <v>93</v>
      </c>
      <c r="G160" s="36" t="s">
        <v>102</v>
      </c>
      <c r="H160" s="36" t="s">
        <v>95</v>
      </c>
      <c r="I160" s="36" t="s">
        <v>98</v>
      </c>
      <c r="J160" s="36">
        <v>225</v>
      </c>
      <c r="K160" s="36">
        <v>321.75</v>
      </c>
    </row>
    <row r="161" spans="1:11" x14ac:dyDescent="0.3">
      <c r="A161" s="36" t="s">
        <v>90</v>
      </c>
      <c r="B161" s="36">
        <v>2020</v>
      </c>
      <c r="C161" s="36" t="s">
        <v>5</v>
      </c>
      <c r="D161" s="36" t="s">
        <v>91</v>
      </c>
      <c r="E161" s="36" t="s">
        <v>92</v>
      </c>
      <c r="F161" s="36" t="s">
        <v>93</v>
      </c>
      <c r="G161" s="36" t="s">
        <v>102</v>
      </c>
      <c r="H161" s="36" t="s">
        <v>95</v>
      </c>
      <c r="I161" s="36" t="s">
        <v>98</v>
      </c>
      <c r="J161" s="36">
        <v>751</v>
      </c>
      <c r="K161" s="36">
        <v>526.24</v>
      </c>
    </row>
    <row r="162" spans="1:11" x14ac:dyDescent="0.3">
      <c r="A162" s="36" t="s">
        <v>97</v>
      </c>
      <c r="B162" s="36">
        <v>2020</v>
      </c>
      <c r="C162" s="36" t="s">
        <v>5</v>
      </c>
      <c r="D162" s="36" t="s">
        <v>91</v>
      </c>
      <c r="E162" s="36" t="s">
        <v>92</v>
      </c>
      <c r="F162" s="36" t="s">
        <v>93</v>
      </c>
      <c r="G162" s="36" t="s">
        <v>102</v>
      </c>
      <c r="H162" s="36" t="s">
        <v>95</v>
      </c>
      <c r="I162" s="36" t="s">
        <v>98</v>
      </c>
      <c r="J162" s="36">
        <v>223</v>
      </c>
      <c r="K162" s="36">
        <v>318.89</v>
      </c>
    </row>
    <row r="163" spans="1:11" x14ac:dyDescent="0.3">
      <c r="A163" s="36" t="s">
        <v>101</v>
      </c>
      <c r="B163" s="36">
        <v>2020</v>
      </c>
      <c r="C163" s="36" t="s">
        <v>5</v>
      </c>
      <c r="D163" s="36" t="s">
        <v>91</v>
      </c>
      <c r="E163" s="36" t="s">
        <v>92</v>
      </c>
      <c r="F163" s="36" t="s">
        <v>93</v>
      </c>
      <c r="G163" s="36" t="s">
        <v>102</v>
      </c>
      <c r="H163" s="36" t="s">
        <v>95</v>
      </c>
      <c r="I163" s="36" t="s">
        <v>98</v>
      </c>
      <c r="J163" s="36">
        <v>271</v>
      </c>
      <c r="K163" s="36">
        <v>387.53</v>
      </c>
    </row>
    <row r="164" spans="1:11" x14ac:dyDescent="0.3">
      <c r="A164" s="36" t="s">
        <v>97</v>
      </c>
      <c r="B164" s="36">
        <v>2020</v>
      </c>
      <c r="C164" s="36" t="s">
        <v>5</v>
      </c>
      <c r="D164" s="36" t="s">
        <v>91</v>
      </c>
      <c r="E164" s="36" t="s">
        <v>92</v>
      </c>
      <c r="F164" s="36" t="s">
        <v>93</v>
      </c>
      <c r="G164" s="36" t="s">
        <v>102</v>
      </c>
      <c r="H164" s="36" t="s">
        <v>95</v>
      </c>
      <c r="I164" s="36" t="s">
        <v>98</v>
      </c>
      <c r="J164" s="36">
        <v>199</v>
      </c>
      <c r="K164" s="36">
        <v>284.57</v>
      </c>
    </row>
    <row r="165" spans="1:11" x14ac:dyDescent="0.3">
      <c r="A165" s="36" t="s">
        <v>99</v>
      </c>
      <c r="B165" s="36">
        <v>2020</v>
      </c>
      <c r="C165" s="36" t="s">
        <v>5</v>
      </c>
      <c r="D165" s="36" t="s">
        <v>91</v>
      </c>
      <c r="E165" s="36" t="s">
        <v>92</v>
      </c>
      <c r="F165" s="36" t="s">
        <v>93</v>
      </c>
      <c r="G165" s="36" t="s">
        <v>102</v>
      </c>
      <c r="H165" s="36" t="s">
        <v>95</v>
      </c>
      <c r="I165" s="36" t="s">
        <v>96</v>
      </c>
      <c r="J165" s="36">
        <v>882</v>
      </c>
      <c r="K165" s="36">
        <v>1261.26</v>
      </c>
    </row>
    <row r="166" spans="1:11" x14ac:dyDescent="0.3">
      <c r="A166" s="36" t="s">
        <v>90</v>
      </c>
      <c r="B166" s="36">
        <v>2020</v>
      </c>
      <c r="C166" s="36" t="s">
        <v>5</v>
      </c>
      <c r="D166" s="36" t="s">
        <v>91</v>
      </c>
      <c r="E166" s="36" t="s">
        <v>92</v>
      </c>
      <c r="F166" s="36" t="s">
        <v>93</v>
      </c>
      <c r="G166" s="36" t="s">
        <v>102</v>
      </c>
      <c r="H166" s="36" t="s">
        <v>95</v>
      </c>
      <c r="I166" s="36" t="s">
        <v>96</v>
      </c>
      <c r="J166" s="36">
        <v>883</v>
      </c>
      <c r="K166" s="36">
        <v>1262.69</v>
      </c>
    </row>
    <row r="167" spans="1:11" x14ac:dyDescent="0.3">
      <c r="A167" s="36" t="s">
        <v>99</v>
      </c>
      <c r="B167" s="36">
        <v>2020</v>
      </c>
      <c r="C167" s="36" t="s">
        <v>5</v>
      </c>
      <c r="D167" s="36" t="s">
        <v>91</v>
      </c>
      <c r="E167" s="36" t="s">
        <v>92</v>
      </c>
      <c r="F167" s="36" t="s">
        <v>93</v>
      </c>
      <c r="G167" s="36" t="s">
        <v>102</v>
      </c>
      <c r="H167" s="36" t="s">
        <v>95</v>
      </c>
      <c r="I167" s="36" t="s">
        <v>98</v>
      </c>
      <c r="J167" s="36">
        <v>227</v>
      </c>
      <c r="K167" s="36">
        <v>324.61</v>
      </c>
    </row>
    <row r="168" spans="1:11" x14ac:dyDescent="0.3">
      <c r="A168" s="36" t="s">
        <v>97</v>
      </c>
      <c r="B168" s="36">
        <v>2020</v>
      </c>
      <c r="C168" s="36" t="s">
        <v>5</v>
      </c>
      <c r="D168" s="36" t="s">
        <v>91</v>
      </c>
      <c r="E168" s="36" t="s">
        <v>92</v>
      </c>
      <c r="F168" s="36" t="s">
        <v>93</v>
      </c>
      <c r="G168" s="36" t="s">
        <v>102</v>
      </c>
      <c r="H168" s="36" t="s">
        <v>95</v>
      </c>
      <c r="I168" s="36" t="s">
        <v>98</v>
      </c>
      <c r="J168" s="36">
        <v>774</v>
      </c>
      <c r="K168" s="36">
        <v>1106.82</v>
      </c>
    </row>
    <row r="169" spans="1:11" x14ac:dyDescent="0.3">
      <c r="A169" s="36" t="s">
        <v>99</v>
      </c>
      <c r="B169" s="36">
        <v>2020</v>
      </c>
      <c r="C169" s="36" t="s">
        <v>2</v>
      </c>
      <c r="D169" s="36" t="s">
        <v>91</v>
      </c>
      <c r="E169" s="36" t="s">
        <v>92</v>
      </c>
      <c r="F169" s="36" t="s">
        <v>93</v>
      </c>
      <c r="G169" s="36" t="s">
        <v>102</v>
      </c>
      <c r="H169" s="36" t="s">
        <v>95</v>
      </c>
      <c r="I169" s="36" t="s">
        <v>98</v>
      </c>
      <c r="J169" s="36">
        <v>368</v>
      </c>
      <c r="K169" s="36">
        <v>526.24</v>
      </c>
    </row>
    <row r="170" spans="1:11" x14ac:dyDescent="0.3">
      <c r="A170" s="36" t="s">
        <v>99</v>
      </c>
      <c r="B170" s="36">
        <v>2020</v>
      </c>
      <c r="C170" s="36" t="s">
        <v>2</v>
      </c>
      <c r="D170" s="36" t="s">
        <v>91</v>
      </c>
      <c r="E170" s="36" t="s">
        <v>92</v>
      </c>
      <c r="F170" s="36" t="s">
        <v>93</v>
      </c>
      <c r="G170" s="36" t="s">
        <v>102</v>
      </c>
      <c r="H170" s="36" t="s">
        <v>95</v>
      </c>
      <c r="I170" s="36" t="s">
        <v>96</v>
      </c>
      <c r="J170" s="36">
        <v>362</v>
      </c>
      <c r="K170" s="36">
        <v>517.66</v>
      </c>
    </row>
    <row r="171" spans="1:11" x14ac:dyDescent="0.3">
      <c r="A171" s="36" t="s">
        <v>99</v>
      </c>
      <c r="B171" s="36">
        <v>2020</v>
      </c>
      <c r="C171" s="36" t="s">
        <v>2</v>
      </c>
      <c r="D171" s="36" t="s">
        <v>91</v>
      </c>
      <c r="E171" s="36" t="s">
        <v>92</v>
      </c>
      <c r="F171" s="36" t="s">
        <v>93</v>
      </c>
      <c r="G171" s="36" t="s">
        <v>102</v>
      </c>
      <c r="H171" s="36" t="s">
        <v>95</v>
      </c>
      <c r="I171" s="36" t="s">
        <v>96</v>
      </c>
      <c r="J171" s="36">
        <v>356</v>
      </c>
      <c r="K171" s="36">
        <v>509.08</v>
      </c>
    </row>
    <row r="172" spans="1:11" x14ac:dyDescent="0.3">
      <c r="A172" s="36" t="s">
        <v>100</v>
      </c>
      <c r="B172" s="36">
        <v>2020</v>
      </c>
      <c r="C172" s="36" t="s">
        <v>2</v>
      </c>
      <c r="D172" s="36" t="s">
        <v>91</v>
      </c>
      <c r="E172" s="36" t="s">
        <v>92</v>
      </c>
      <c r="F172" s="36" t="s">
        <v>93</v>
      </c>
      <c r="G172" s="36" t="s">
        <v>102</v>
      </c>
      <c r="H172" s="36" t="s">
        <v>95</v>
      </c>
      <c r="I172" s="36" t="s">
        <v>98</v>
      </c>
      <c r="J172" s="36">
        <v>242</v>
      </c>
      <c r="K172" s="36">
        <v>346.06</v>
      </c>
    </row>
    <row r="173" spans="1:11" x14ac:dyDescent="0.3">
      <c r="A173" s="36" t="s">
        <v>90</v>
      </c>
      <c r="B173" s="36">
        <v>2020</v>
      </c>
      <c r="C173" s="36" t="s">
        <v>2</v>
      </c>
      <c r="D173" s="36" t="s">
        <v>91</v>
      </c>
      <c r="E173" s="36" t="s">
        <v>92</v>
      </c>
      <c r="F173" s="36" t="s">
        <v>93</v>
      </c>
      <c r="G173" s="36" t="s">
        <v>102</v>
      </c>
      <c r="H173" s="36" t="s">
        <v>95</v>
      </c>
      <c r="I173" s="36" t="s">
        <v>98</v>
      </c>
      <c r="J173" s="36">
        <v>290</v>
      </c>
      <c r="K173" s="36">
        <v>414.7</v>
      </c>
    </row>
    <row r="174" spans="1:11" x14ac:dyDescent="0.3">
      <c r="A174" s="36" t="s">
        <v>97</v>
      </c>
      <c r="B174" s="36">
        <v>2020</v>
      </c>
      <c r="C174" s="36" t="s">
        <v>2</v>
      </c>
      <c r="D174" s="36" t="s">
        <v>91</v>
      </c>
      <c r="E174" s="36" t="s">
        <v>92</v>
      </c>
      <c r="F174" s="36" t="s">
        <v>93</v>
      </c>
      <c r="G174" s="36" t="s">
        <v>102</v>
      </c>
      <c r="H174" s="36" t="s">
        <v>95</v>
      </c>
      <c r="I174" s="36" t="s">
        <v>98</v>
      </c>
      <c r="J174" s="36">
        <v>212</v>
      </c>
      <c r="K174" s="36">
        <v>303.15999999999997</v>
      </c>
    </row>
    <row r="175" spans="1:11" x14ac:dyDescent="0.3">
      <c r="A175" s="36" t="s">
        <v>101</v>
      </c>
      <c r="B175" s="36">
        <v>2020</v>
      </c>
      <c r="C175" s="36" t="s">
        <v>2</v>
      </c>
      <c r="D175" s="36" t="s">
        <v>91</v>
      </c>
      <c r="E175" s="36" t="s">
        <v>92</v>
      </c>
      <c r="F175" s="36" t="s">
        <v>93</v>
      </c>
      <c r="G175" s="36" t="s">
        <v>102</v>
      </c>
      <c r="H175" s="36" t="s">
        <v>95</v>
      </c>
      <c r="I175" s="36" t="s">
        <v>98</v>
      </c>
      <c r="J175" s="36">
        <v>286</v>
      </c>
      <c r="K175" s="36">
        <v>408.98</v>
      </c>
    </row>
    <row r="176" spans="1:11" x14ac:dyDescent="0.3">
      <c r="A176" s="36" t="s">
        <v>100</v>
      </c>
      <c r="B176" s="36">
        <v>2020</v>
      </c>
      <c r="C176" s="36" t="s">
        <v>2</v>
      </c>
      <c r="D176" s="36" t="s">
        <v>91</v>
      </c>
      <c r="E176" s="36" t="s">
        <v>92</v>
      </c>
      <c r="F176" s="36" t="s">
        <v>93</v>
      </c>
      <c r="G176" s="36" t="s">
        <v>102</v>
      </c>
      <c r="H176" s="36" t="s">
        <v>95</v>
      </c>
      <c r="I176" s="36" t="s">
        <v>98</v>
      </c>
      <c r="J176" s="36">
        <v>214</v>
      </c>
      <c r="K176" s="36">
        <v>306.02</v>
      </c>
    </row>
    <row r="177" spans="1:11" x14ac:dyDescent="0.3">
      <c r="A177" s="36" t="s">
        <v>97</v>
      </c>
      <c r="B177" s="36">
        <v>2020</v>
      </c>
      <c r="C177" s="36" t="s">
        <v>2</v>
      </c>
      <c r="D177" s="36" t="s">
        <v>91</v>
      </c>
      <c r="E177" s="36" t="s">
        <v>92</v>
      </c>
      <c r="F177" s="36" t="s">
        <v>93</v>
      </c>
      <c r="G177" s="36" t="s">
        <v>102</v>
      </c>
      <c r="H177" s="36" t="s">
        <v>95</v>
      </c>
      <c r="I177" s="36" t="s">
        <v>98</v>
      </c>
      <c r="J177" s="36">
        <v>366</v>
      </c>
      <c r="K177" s="36">
        <v>526.24</v>
      </c>
    </row>
    <row r="178" spans="1:11" x14ac:dyDescent="0.3">
      <c r="A178" s="36" t="s">
        <v>97</v>
      </c>
      <c r="B178" s="36">
        <v>2020</v>
      </c>
      <c r="C178" s="36" t="s">
        <v>2</v>
      </c>
      <c r="D178" s="36" t="s">
        <v>91</v>
      </c>
      <c r="E178" s="36" t="s">
        <v>92</v>
      </c>
      <c r="F178" s="36" t="s">
        <v>93</v>
      </c>
      <c r="G178" s="36" t="s">
        <v>102</v>
      </c>
      <c r="H178" s="36" t="s">
        <v>95</v>
      </c>
      <c r="I178" s="36" t="s">
        <v>96</v>
      </c>
      <c r="J178" s="36">
        <v>360</v>
      </c>
      <c r="K178" s="36">
        <v>526.24</v>
      </c>
    </row>
    <row r="179" spans="1:11" x14ac:dyDescent="0.3">
      <c r="A179" s="36" t="s">
        <v>99</v>
      </c>
      <c r="B179" s="36">
        <v>2020</v>
      </c>
      <c r="C179" s="36" t="s">
        <v>2</v>
      </c>
      <c r="D179" s="36" t="s">
        <v>91</v>
      </c>
      <c r="E179" s="36" t="s">
        <v>92</v>
      </c>
      <c r="F179" s="36" t="s">
        <v>93</v>
      </c>
      <c r="G179" s="36" t="s">
        <v>102</v>
      </c>
      <c r="H179" s="36" t="s">
        <v>95</v>
      </c>
      <c r="I179" s="36" t="s">
        <v>98</v>
      </c>
      <c r="J179" s="36">
        <v>676</v>
      </c>
      <c r="K179" s="36">
        <v>966.68000000000006</v>
      </c>
    </row>
    <row r="180" spans="1:11" x14ac:dyDescent="0.3">
      <c r="A180" s="36" t="s">
        <v>99</v>
      </c>
      <c r="B180" s="36">
        <v>2020</v>
      </c>
      <c r="C180" s="36" t="s">
        <v>2</v>
      </c>
      <c r="D180" s="36" t="s">
        <v>91</v>
      </c>
      <c r="E180" s="36" t="s">
        <v>92</v>
      </c>
      <c r="F180" s="36" t="s">
        <v>93</v>
      </c>
      <c r="G180" s="36" t="s">
        <v>102</v>
      </c>
      <c r="H180" s="36" t="s">
        <v>95</v>
      </c>
      <c r="I180" s="36" t="s">
        <v>98</v>
      </c>
      <c r="J180" s="36">
        <v>709</v>
      </c>
      <c r="K180" s="36">
        <v>1013.87</v>
      </c>
    </row>
    <row r="181" spans="1:11" x14ac:dyDescent="0.3">
      <c r="A181" s="36" t="s">
        <v>90</v>
      </c>
      <c r="B181" s="36">
        <v>2020</v>
      </c>
      <c r="C181" s="36" t="s">
        <v>2</v>
      </c>
      <c r="D181" s="36" t="s">
        <v>91</v>
      </c>
      <c r="E181" s="36" t="s">
        <v>92</v>
      </c>
      <c r="F181" s="36" t="s">
        <v>93</v>
      </c>
      <c r="G181" s="36" t="s">
        <v>102</v>
      </c>
      <c r="H181" s="36" t="s">
        <v>95</v>
      </c>
      <c r="I181" s="36" t="s">
        <v>98</v>
      </c>
      <c r="J181" s="36">
        <v>762</v>
      </c>
      <c r="K181" s="36">
        <v>1089.6599999999999</v>
      </c>
    </row>
    <row r="182" spans="1:11" x14ac:dyDescent="0.3">
      <c r="A182" s="36" t="s">
        <v>90</v>
      </c>
      <c r="B182" s="36">
        <v>2020</v>
      </c>
      <c r="C182" s="36" t="s">
        <v>2</v>
      </c>
      <c r="D182" s="36" t="s">
        <v>91</v>
      </c>
      <c r="E182" s="36" t="s">
        <v>92</v>
      </c>
      <c r="F182" s="36" t="s">
        <v>93</v>
      </c>
      <c r="G182" s="36" t="s">
        <v>102</v>
      </c>
      <c r="H182" s="36" t="s">
        <v>95</v>
      </c>
      <c r="I182" s="36" t="s">
        <v>98</v>
      </c>
      <c r="J182" s="36">
        <v>369</v>
      </c>
      <c r="K182" s="36">
        <v>527.66999999999996</v>
      </c>
    </row>
    <row r="183" spans="1:11" x14ac:dyDescent="0.3">
      <c r="A183" s="36" t="s">
        <v>99</v>
      </c>
      <c r="B183" s="36">
        <v>2020</v>
      </c>
      <c r="C183" s="36" t="s">
        <v>2</v>
      </c>
      <c r="D183" s="36" t="s">
        <v>91</v>
      </c>
      <c r="E183" s="36" t="s">
        <v>92</v>
      </c>
      <c r="F183" s="36" t="s">
        <v>93</v>
      </c>
      <c r="G183" s="36" t="s">
        <v>102</v>
      </c>
      <c r="H183" s="36" t="s">
        <v>95</v>
      </c>
      <c r="I183" s="36" t="s">
        <v>98</v>
      </c>
      <c r="J183" s="36">
        <v>363</v>
      </c>
      <c r="K183" s="36">
        <v>519.09</v>
      </c>
    </row>
    <row r="184" spans="1:11" x14ac:dyDescent="0.3">
      <c r="A184" s="36" t="s">
        <v>101</v>
      </c>
      <c r="B184" s="36">
        <v>2020</v>
      </c>
      <c r="C184" s="36" t="s">
        <v>2</v>
      </c>
      <c r="D184" s="36" t="s">
        <v>91</v>
      </c>
      <c r="E184" s="36" t="s">
        <v>92</v>
      </c>
      <c r="F184" s="36" t="s">
        <v>93</v>
      </c>
      <c r="G184" s="36" t="s">
        <v>102</v>
      </c>
      <c r="H184" s="36" t="s">
        <v>95</v>
      </c>
      <c r="I184" s="36" t="s">
        <v>96</v>
      </c>
      <c r="J184" s="36">
        <v>357</v>
      </c>
      <c r="K184" s="36">
        <v>510.51</v>
      </c>
    </row>
    <row r="185" spans="1:11" x14ac:dyDescent="0.3">
      <c r="A185" s="36" t="s">
        <v>90</v>
      </c>
      <c r="B185" s="36">
        <v>2020</v>
      </c>
      <c r="C185" s="36" t="s">
        <v>2</v>
      </c>
      <c r="D185" s="36" t="s">
        <v>91</v>
      </c>
      <c r="E185" s="36" t="s">
        <v>92</v>
      </c>
      <c r="F185" s="36" t="s">
        <v>93</v>
      </c>
      <c r="G185" s="36" t="s">
        <v>102</v>
      </c>
      <c r="H185" s="36" t="s">
        <v>95</v>
      </c>
      <c r="I185" s="36" t="s">
        <v>98</v>
      </c>
      <c r="J185" s="36">
        <v>243</v>
      </c>
      <c r="K185" s="36">
        <v>347.49</v>
      </c>
    </row>
    <row r="186" spans="1:11" x14ac:dyDescent="0.3">
      <c r="A186" s="36" t="s">
        <v>99</v>
      </c>
      <c r="B186" s="36">
        <v>2020</v>
      </c>
      <c r="C186" s="36" t="s">
        <v>2</v>
      </c>
      <c r="D186" s="36" t="s">
        <v>91</v>
      </c>
      <c r="E186" s="36" t="s">
        <v>92</v>
      </c>
      <c r="F186" s="36" t="s">
        <v>93</v>
      </c>
      <c r="G186" s="36" t="s">
        <v>102</v>
      </c>
      <c r="H186" s="36" t="s">
        <v>95</v>
      </c>
      <c r="I186" s="36" t="s">
        <v>98</v>
      </c>
      <c r="J186" s="36">
        <v>802</v>
      </c>
      <c r="K186" s="36">
        <v>526.24</v>
      </c>
    </row>
    <row r="187" spans="1:11" x14ac:dyDescent="0.3">
      <c r="A187" s="36" t="s">
        <v>100</v>
      </c>
      <c r="B187" s="36">
        <v>2020</v>
      </c>
      <c r="C187" s="36" t="s">
        <v>2</v>
      </c>
      <c r="D187" s="36" t="s">
        <v>91</v>
      </c>
      <c r="E187" s="36" t="s">
        <v>92</v>
      </c>
      <c r="F187" s="36" t="s">
        <v>93</v>
      </c>
      <c r="G187" s="36" t="s">
        <v>102</v>
      </c>
      <c r="H187" s="36" t="s">
        <v>95</v>
      </c>
      <c r="I187" s="36" t="s">
        <v>98</v>
      </c>
      <c r="J187" s="36">
        <v>241</v>
      </c>
      <c r="K187" s="36">
        <v>344.63</v>
      </c>
    </row>
    <row r="188" spans="1:11" x14ac:dyDescent="0.3">
      <c r="A188" s="36" t="s">
        <v>97</v>
      </c>
      <c r="B188" s="36">
        <v>2020</v>
      </c>
      <c r="C188" s="36" t="s">
        <v>2</v>
      </c>
      <c r="D188" s="36" t="s">
        <v>91</v>
      </c>
      <c r="E188" s="36" t="s">
        <v>92</v>
      </c>
      <c r="F188" s="36" t="s">
        <v>93</v>
      </c>
      <c r="G188" s="36" t="s">
        <v>102</v>
      </c>
      <c r="H188" s="36" t="s">
        <v>95</v>
      </c>
      <c r="I188" s="36" t="s">
        <v>98</v>
      </c>
      <c r="J188" s="36">
        <v>289</v>
      </c>
      <c r="K188" s="36">
        <v>413.27</v>
      </c>
    </row>
    <row r="189" spans="1:11" x14ac:dyDescent="0.3">
      <c r="A189" s="36" t="s">
        <v>99</v>
      </c>
      <c r="B189" s="36">
        <v>2020</v>
      </c>
      <c r="C189" s="36" t="s">
        <v>2</v>
      </c>
      <c r="D189" s="36" t="s">
        <v>91</v>
      </c>
      <c r="E189" s="36" t="s">
        <v>92</v>
      </c>
      <c r="F189" s="36" t="s">
        <v>93</v>
      </c>
      <c r="G189" s="36" t="s">
        <v>102</v>
      </c>
      <c r="H189" s="36" t="s">
        <v>95</v>
      </c>
      <c r="I189" s="36" t="s">
        <v>98</v>
      </c>
      <c r="J189" s="36">
        <v>874</v>
      </c>
      <c r="K189" s="36">
        <v>1249.82</v>
      </c>
    </row>
    <row r="190" spans="1:11" x14ac:dyDescent="0.3">
      <c r="A190" s="36" t="s">
        <v>90</v>
      </c>
      <c r="B190" s="36">
        <v>2020</v>
      </c>
      <c r="C190" s="36" t="s">
        <v>2</v>
      </c>
      <c r="D190" s="36" t="s">
        <v>91</v>
      </c>
      <c r="E190" s="36" t="s">
        <v>92</v>
      </c>
      <c r="F190" s="36" t="s">
        <v>93</v>
      </c>
      <c r="G190" s="36" t="s">
        <v>102</v>
      </c>
      <c r="H190" s="36" t="s">
        <v>95</v>
      </c>
      <c r="I190" s="36" t="s">
        <v>96</v>
      </c>
      <c r="J190" s="36">
        <v>875</v>
      </c>
      <c r="K190" s="36">
        <v>1251.25</v>
      </c>
    </row>
    <row r="191" spans="1:11" x14ac:dyDescent="0.3">
      <c r="A191" s="36" t="s">
        <v>97</v>
      </c>
      <c r="B191" s="36">
        <v>2020</v>
      </c>
      <c r="C191" s="36" t="s">
        <v>2</v>
      </c>
      <c r="D191" s="36" t="s">
        <v>91</v>
      </c>
      <c r="E191" s="36" t="s">
        <v>92</v>
      </c>
      <c r="F191" s="36" t="s">
        <v>93</v>
      </c>
      <c r="G191" s="36" t="s">
        <v>102</v>
      </c>
      <c r="H191" s="36" t="s">
        <v>95</v>
      </c>
      <c r="I191" s="36" t="s">
        <v>98</v>
      </c>
      <c r="J191" s="36">
        <v>239</v>
      </c>
      <c r="K191" s="36">
        <v>341.77</v>
      </c>
    </row>
    <row r="192" spans="1:11" x14ac:dyDescent="0.3">
      <c r="A192" s="36" t="s">
        <v>97</v>
      </c>
      <c r="B192" s="36">
        <v>2020</v>
      </c>
      <c r="C192" s="36" t="s">
        <v>2</v>
      </c>
      <c r="D192" s="36" t="s">
        <v>91</v>
      </c>
      <c r="E192" s="36" t="s">
        <v>92</v>
      </c>
      <c r="F192" s="36" t="s">
        <v>93</v>
      </c>
      <c r="G192" s="36" t="s">
        <v>102</v>
      </c>
      <c r="H192" s="36" t="s">
        <v>95</v>
      </c>
      <c r="I192" s="36" t="s">
        <v>98</v>
      </c>
      <c r="J192" s="36">
        <v>287</v>
      </c>
      <c r="K192" s="36">
        <v>410.40999999999997</v>
      </c>
    </row>
    <row r="193" spans="1:11" x14ac:dyDescent="0.3">
      <c r="A193" s="36" t="s">
        <v>100</v>
      </c>
      <c r="B193" s="36">
        <v>2020</v>
      </c>
      <c r="C193" s="36" t="s">
        <v>2</v>
      </c>
      <c r="D193" s="36" t="s">
        <v>91</v>
      </c>
      <c r="E193" s="36" t="s">
        <v>92</v>
      </c>
      <c r="F193" s="36" t="s">
        <v>93</v>
      </c>
      <c r="G193" s="36" t="s">
        <v>102</v>
      </c>
      <c r="H193" s="36" t="s">
        <v>95</v>
      </c>
      <c r="I193" s="36" t="s">
        <v>98</v>
      </c>
      <c r="J193" s="36">
        <v>771</v>
      </c>
      <c r="K193" s="36">
        <v>1102.53</v>
      </c>
    </row>
    <row r="194" spans="1:11" x14ac:dyDescent="0.3">
      <c r="A194" s="36" t="s">
        <v>90</v>
      </c>
      <c r="B194" s="36">
        <v>2020</v>
      </c>
      <c r="C194" s="36" t="s">
        <v>4</v>
      </c>
      <c r="D194" s="36" t="s">
        <v>91</v>
      </c>
      <c r="E194" s="36" t="s">
        <v>92</v>
      </c>
      <c r="F194" s="36" t="s">
        <v>93</v>
      </c>
      <c r="G194" s="36" t="s">
        <v>102</v>
      </c>
      <c r="H194" s="36" t="s">
        <v>95</v>
      </c>
      <c r="I194" s="36" t="s">
        <v>96</v>
      </c>
      <c r="J194" s="36">
        <v>338</v>
      </c>
      <c r="K194" s="36">
        <v>483.34000000000003</v>
      </c>
    </row>
    <row r="195" spans="1:11" x14ac:dyDescent="0.3">
      <c r="A195" s="36" t="s">
        <v>90</v>
      </c>
      <c r="B195" s="36">
        <v>2020</v>
      </c>
      <c r="C195" s="36" t="s">
        <v>4</v>
      </c>
      <c r="D195" s="36" t="s">
        <v>91</v>
      </c>
      <c r="E195" s="36" t="s">
        <v>92</v>
      </c>
      <c r="F195" s="36" t="s">
        <v>93</v>
      </c>
      <c r="G195" s="36" t="s">
        <v>102</v>
      </c>
      <c r="H195" s="36" t="s">
        <v>95</v>
      </c>
      <c r="I195" s="36" t="s">
        <v>96</v>
      </c>
      <c r="J195" s="36">
        <v>332</v>
      </c>
      <c r="K195" s="36">
        <v>474.76</v>
      </c>
    </row>
    <row r="196" spans="1:11" x14ac:dyDescent="0.3">
      <c r="A196" s="36" t="s">
        <v>97</v>
      </c>
      <c r="B196" s="36">
        <v>2020</v>
      </c>
      <c r="C196" s="36" t="s">
        <v>4</v>
      </c>
      <c r="D196" s="36" t="s">
        <v>91</v>
      </c>
      <c r="E196" s="36" t="s">
        <v>92</v>
      </c>
      <c r="F196" s="36" t="s">
        <v>93</v>
      </c>
      <c r="G196" s="36" t="s">
        <v>102</v>
      </c>
      <c r="H196" s="36" t="s">
        <v>95</v>
      </c>
      <c r="I196" s="36" t="s">
        <v>96</v>
      </c>
      <c r="J196" s="36">
        <v>326</v>
      </c>
      <c r="K196" s="36">
        <v>466.18</v>
      </c>
    </row>
    <row r="197" spans="1:11" x14ac:dyDescent="0.3">
      <c r="A197" s="36" t="s">
        <v>97</v>
      </c>
      <c r="B197" s="36">
        <v>2020</v>
      </c>
      <c r="C197" s="36" t="s">
        <v>4</v>
      </c>
      <c r="D197" s="36" t="s">
        <v>91</v>
      </c>
      <c r="E197" s="36" t="s">
        <v>92</v>
      </c>
      <c r="F197" s="36" t="s">
        <v>93</v>
      </c>
      <c r="G197" s="36" t="s">
        <v>102</v>
      </c>
      <c r="H197" s="36" t="s">
        <v>95</v>
      </c>
      <c r="I197" s="36" t="s">
        <v>98</v>
      </c>
      <c r="J197" s="36">
        <v>230</v>
      </c>
      <c r="K197" s="36">
        <v>328.9</v>
      </c>
    </row>
    <row r="198" spans="1:11" x14ac:dyDescent="0.3">
      <c r="A198" s="36" t="s">
        <v>99</v>
      </c>
      <c r="B198" s="36">
        <v>2020</v>
      </c>
      <c r="C198" s="36" t="s">
        <v>4</v>
      </c>
      <c r="D198" s="36" t="s">
        <v>91</v>
      </c>
      <c r="E198" s="36" t="s">
        <v>92</v>
      </c>
      <c r="F198" s="36" t="s">
        <v>93</v>
      </c>
      <c r="G198" s="36" t="s">
        <v>102</v>
      </c>
      <c r="H198" s="36" t="s">
        <v>95</v>
      </c>
      <c r="I198" s="36" t="s">
        <v>98</v>
      </c>
      <c r="J198" s="36">
        <v>278</v>
      </c>
      <c r="K198" s="36">
        <v>397.53999999999996</v>
      </c>
    </row>
    <row r="199" spans="1:11" x14ac:dyDescent="0.3">
      <c r="A199" s="36" t="s">
        <v>97</v>
      </c>
      <c r="B199" s="36">
        <v>2020</v>
      </c>
      <c r="C199" s="36" t="s">
        <v>4</v>
      </c>
      <c r="D199" s="36" t="s">
        <v>91</v>
      </c>
      <c r="E199" s="36" t="s">
        <v>92</v>
      </c>
      <c r="F199" s="36" t="s">
        <v>93</v>
      </c>
      <c r="G199" s="36" t="s">
        <v>102</v>
      </c>
      <c r="H199" s="36" t="s">
        <v>95</v>
      </c>
      <c r="I199" s="36" t="s">
        <v>98</v>
      </c>
      <c r="J199" s="36">
        <v>206</v>
      </c>
      <c r="K199" s="36">
        <v>294.58</v>
      </c>
    </row>
    <row r="200" spans="1:11" x14ac:dyDescent="0.3">
      <c r="A200" s="36" t="s">
        <v>90</v>
      </c>
      <c r="B200" s="36">
        <v>2020</v>
      </c>
      <c r="C200" s="36" t="s">
        <v>4</v>
      </c>
      <c r="D200" s="36" t="s">
        <v>91</v>
      </c>
      <c r="E200" s="36" t="s">
        <v>92</v>
      </c>
      <c r="F200" s="36" t="s">
        <v>93</v>
      </c>
      <c r="G200" s="36" t="s">
        <v>102</v>
      </c>
      <c r="H200" s="36" t="s">
        <v>95</v>
      </c>
      <c r="I200" s="36" t="s">
        <v>98</v>
      </c>
      <c r="J200" s="36">
        <v>232</v>
      </c>
      <c r="K200" s="36">
        <v>331.76</v>
      </c>
    </row>
    <row r="201" spans="1:11" x14ac:dyDescent="0.3">
      <c r="A201" s="36" t="s">
        <v>90</v>
      </c>
      <c r="B201" s="36">
        <v>2020</v>
      </c>
      <c r="C201" s="36" t="s">
        <v>4</v>
      </c>
      <c r="D201" s="36" t="s">
        <v>91</v>
      </c>
      <c r="E201" s="36" t="s">
        <v>92</v>
      </c>
      <c r="F201" s="36" t="s">
        <v>93</v>
      </c>
      <c r="G201" s="36" t="s">
        <v>102</v>
      </c>
      <c r="H201" s="36" t="s">
        <v>95</v>
      </c>
      <c r="I201" s="36" t="s">
        <v>98</v>
      </c>
      <c r="J201" s="36">
        <v>202</v>
      </c>
      <c r="K201" s="36">
        <v>288.86</v>
      </c>
    </row>
    <row r="202" spans="1:11" x14ac:dyDescent="0.3">
      <c r="A202" s="36" t="s">
        <v>99</v>
      </c>
      <c r="B202" s="36">
        <v>2020</v>
      </c>
      <c r="C202" s="36" t="s">
        <v>4</v>
      </c>
      <c r="D202" s="36" t="s">
        <v>91</v>
      </c>
      <c r="E202" s="36" t="s">
        <v>92</v>
      </c>
      <c r="F202" s="36" t="s">
        <v>93</v>
      </c>
      <c r="G202" s="36" t="s">
        <v>102</v>
      </c>
      <c r="H202" s="36" t="s">
        <v>95</v>
      </c>
      <c r="I202" s="36" t="s">
        <v>96</v>
      </c>
      <c r="J202" s="36">
        <v>336</v>
      </c>
      <c r="K202" s="36">
        <v>526.24</v>
      </c>
    </row>
    <row r="203" spans="1:11" x14ac:dyDescent="0.3">
      <c r="A203" s="36" t="s">
        <v>97</v>
      </c>
      <c r="B203" s="36">
        <v>2020</v>
      </c>
      <c r="C203" s="36" t="s">
        <v>4</v>
      </c>
      <c r="D203" s="36" t="s">
        <v>91</v>
      </c>
      <c r="E203" s="36" t="s">
        <v>92</v>
      </c>
      <c r="F203" s="36" t="s">
        <v>93</v>
      </c>
      <c r="G203" s="36" t="s">
        <v>102</v>
      </c>
      <c r="H203" s="36" t="s">
        <v>95</v>
      </c>
      <c r="I203" s="36" t="s">
        <v>96</v>
      </c>
      <c r="J203" s="36">
        <v>330</v>
      </c>
      <c r="K203" s="36">
        <v>526.24</v>
      </c>
    </row>
    <row r="204" spans="1:11" x14ac:dyDescent="0.3">
      <c r="A204" s="36" t="s">
        <v>90</v>
      </c>
      <c r="B204" s="36">
        <v>2020</v>
      </c>
      <c r="C204" s="36" t="s">
        <v>4</v>
      </c>
      <c r="D204" s="36" t="s">
        <v>91</v>
      </c>
      <c r="E204" s="36" t="s">
        <v>92</v>
      </c>
      <c r="F204" s="36" t="s">
        <v>93</v>
      </c>
      <c r="G204" s="36" t="s">
        <v>102</v>
      </c>
      <c r="H204" s="36" t="s">
        <v>95</v>
      </c>
      <c r="I204" s="36" t="s">
        <v>96</v>
      </c>
      <c r="J204" s="36">
        <v>324</v>
      </c>
      <c r="K204" s="36">
        <v>526.24</v>
      </c>
    </row>
    <row r="205" spans="1:11" x14ac:dyDescent="0.3">
      <c r="A205" s="36" t="s">
        <v>97</v>
      </c>
      <c r="B205" s="36">
        <v>2020</v>
      </c>
      <c r="C205" s="36" t="s">
        <v>4</v>
      </c>
      <c r="D205" s="36" t="s">
        <v>91</v>
      </c>
      <c r="E205" s="36" t="s">
        <v>92</v>
      </c>
      <c r="F205" s="36" t="s">
        <v>93</v>
      </c>
      <c r="G205" s="36" t="s">
        <v>102</v>
      </c>
      <c r="H205" s="36" t="s">
        <v>95</v>
      </c>
      <c r="I205" s="36" t="s">
        <v>98</v>
      </c>
      <c r="J205" s="36">
        <v>678</v>
      </c>
      <c r="K205" s="36">
        <v>969.54</v>
      </c>
    </row>
    <row r="206" spans="1:11" x14ac:dyDescent="0.3">
      <c r="A206" s="36" t="s">
        <v>99</v>
      </c>
      <c r="B206" s="36">
        <v>2020</v>
      </c>
      <c r="C206" s="36" t="s">
        <v>4</v>
      </c>
      <c r="D206" s="36" t="s">
        <v>91</v>
      </c>
      <c r="E206" s="36" t="s">
        <v>92</v>
      </c>
      <c r="F206" s="36" t="s">
        <v>93</v>
      </c>
      <c r="G206" s="36" t="s">
        <v>102</v>
      </c>
      <c r="H206" s="36" t="s">
        <v>95</v>
      </c>
      <c r="I206" s="36" t="s">
        <v>98</v>
      </c>
      <c r="J206" s="36">
        <v>711</v>
      </c>
      <c r="K206" s="36">
        <v>1016.73</v>
      </c>
    </row>
    <row r="207" spans="1:11" x14ac:dyDescent="0.3">
      <c r="A207" s="36" t="s">
        <v>97</v>
      </c>
      <c r="B207" s="36">
        <v>2020</v>
      </c>
      <c r="C207" s="36" t="s">
        <v>4</v>
      </c>
      <c r="D207" s="36" t="s">
        <v>91</v>
      </c>
      <c r="E207" s="36" t="s">
        <v>92</v>
      </c>
      <c r="F207" s="36" t="s">
        <v>93</v>
      </c>
      <c r="G207" s="36" t="s">
        <v>102</v>
      </c>
      <c r="H207" s="36" t="s">
        <v>95</v>
      </c>
      <c r="I207" s="36" t="s">
        <v>98</v>
      </c>
      <c r="J207" s="36">
        <v>764</v>
      </c>
      <c r="K207" s="36">
        <v>1092.52</v>
      </c>
    </row>
    <row r="208" spans="1:11" x14ac:dyDescent="0.3">
      <c r="A208" s="36" t="s">
        <v>99</v>
      </c>
      <c r="B208" s="36">
        <v>2020</v>
      </c>
      <c r="C208" s="36" t="s">
        <v>4</v>
      </c>
      <c r="D208" s="36" t="s">
        <v>91</v>
      </c>
      <c r="E208" s="36" t="s">
        <v>92</v>
      </c>
      <c r="F208" s="36" t="s">
        <v>93</v>
      </c>
      <c r="G208" s="36" t="s">
        <v>102</v>
      </c>
      <c r="H208" s="36" t="s">
        <v>95</v>
      </c>
      <c r="I208" s="36" t="s">
        <v>96</v>
      </c>
      <c r="J208" s="36">
        <v>333</v>
      </c>
      <c r="K208" s="36">
        <v>476.19</v>
      </c>
    </row>
    <row r="209" spans="1:11" x14ac:dyDescent="0.3">
      <c r="A209" s="36" t="s">
        <v>99</v>
      </c>
      <c r="B209" s="36">
        <v>2020</v>
      </c>
      <c r="C209" s="36" t="s">
        <v>4</v>
      </c>
      <c r="D209" s="36" t="s">
        <v>91</v>
      </c>
      <c r="E209" s="36" t="s">
        <v>92</v>
      </c>
      <c r="F209" s="36" t="s">
        <v>93</v>
      </c>
      <c r="G209" s="36" t="s">
        <v>102</v>
      </c>
      <c r="H209" s="36" t="s">
        <v>95</v>
      </c>
      <c r="I209" s="36" t="s">
        <v>96</v>
      </c>
      <c r="J209" s="36">
        <v>327</v>
      </c>
      <c r="K209" s="36">
        <v>467.61</v>
      </c>
    </row>
    <row r="210" spans="1:11" x14ac:dyDescent="0.3">
      <c r="A210" s="36" t="s">
        <v>97</v>
      </c>
      <c r="B210" s="36">
        <v>2020</v>
      </c>
      <c r="C210" s="36" t="s">
        <v>4</v>
      </c>
      <c r="D210" s="36" t="s">
        <v>91</v>
      </c>
      <c r="E210" s="36" t="s">
        <v>92</v>
      </c>
      <c r="F210" s="36" t="s">
        <v>93</v>
      </c>
      <c r="G210" s="36" t="s">
        <v>102</v>
      </c>
      <c r="H210" s="36" t="s">
        <v>95</v>
      </c>
      <c r="I210" s="36" t="s">
        <v>98</v>
      </c>
      <c r="J210" s="36">
        <v>231</v>
      </c>
      <c r="K210" s="36">
        <v>330.33</v>
      </c>
    </row>
    <row r="211" spans="1:11" x14ac:dyDescent="0.3">
      <c r="A211" s="36" t="s">
        <v>99</v>
      </c>
      <c r="B211" s="36">
        <v>2020</v>
      </c>
      <c r="C211" s="36" t="s">
        <v>4</v>
      </c>
      <c r="D211" s="36" t="s">
        <v>91</v>
      </c>
      <c r="E211" s="36" t="s">
        <v>92</v>
      </c>
      <c r="F211" s="36" t="s">
        <v>93</v>
      </c>
      <c r="G211" s="36" t="s">
        <v>102</v>
      </c>
      <c r="H211" s="36" t="s">
        <v>95</v>
      </c>
      <c r="I211" s="36" t="s">
        <v>98</v>
      </c>
      <c r="J211" s="36">
        <v>750</v>
      </c>
      <c r="K211" s="36">
        <v>526.24</v>
      </c>
    </row>
    <row r="212" spans="1:11" x14ac:dyDescent="0.3">
      <c r="A212" s="36" t="s">
        <v>97</v>
      </c>
      <c r="B212" s="36">
        <v>2020</v>
      </c>
      <c r="C212" s="36" t="s">
        <v>4</v>
      </c>
      <c r="D212" s="36" t="s">
        <v>91</v>
      </c>
      <c r="E212" s="36" t="s">
        <v>92</v>
      </c>
      <c r="F212" s="36" t="s">
        <v>93</v>
      </c>
      <c r="G212" s="36" t="s">
        <v>102</v>
      </c>
      <c r="H212" s="36" t="s">
        <v>95</v>
      </c>
      <c r="I212" s="36" t="s">
        <v>98</v>
      </c>
      <c r="J212" s="36">
        <v>804</v>
      </c>
      <c r="K212" s="36">
        <v>526.24</v>
      </c>
    </row>
    <row r="213" spans="1:11" x14ac:dyDescent="0.3">
      <c r="A213" s="36" t="s">
        <v>90</v>
      </c>
      <c r="B213" s="36">
        <v>2020</v>
      </c>
      <c r="C213" s="36" t="s">
        <v>4</v>
      </c>
      <c r="D213" s="36" t="s">
        <v>91</v>
      </c>
      <c r="E213" s="36" t="s">
        <v>92</v>
      </c>
      <c r="F213" s="36" t="s">
        <v>93</v>
      </c>
      <c r="G213" s="36" t="s">
        <v>102</v>
      </c>
      <c r="H213" s="36" t="s">
        <v>95</v>
      </c>
      <c r="I213" s="36" t="s">
        <v>98</v>
      </c>
      <c r="J213" s="36">
        <v>229</v>
      </c>
      <c r="K213" s="36">
        <v>327.47000000000003</v>
      </c>
    </row>
    <row r="214" spans="1:11" x14ac:dyDescent="0.3">
      <c r="A214" s="36" t="s">
        <v>97</v>
      </c>
      <c r="B214" s="36">
        <v>2020</v>
      </c>
      <c r="C214" s="36" t="s">
        <v>4</v>
      </c>
      <c r="D214" s="36" t="s">
        <v>91</v>
      </c>
      <c r="E214" s="36" t="s">
        <v>92</v>
      </c>
      <c r="F214" s="36" t="s">
        <v>93</v>
      </c>
      <c r="G214" s="36" t="s">
        <v>102</v>
      </c>
      <c r="H214" s="36" t="s">
        <v>95</v>
      </c>
      <c r="I214" s="36" t="s">
        <v>98</v>
      </c>
      <c r="J214" s="36">
        <v>277</v>
      </c>
      <c r="K214" s="36">
        <v>396.11</v>
      </c>
    </row>
    <row r="215" spans="1:11" x14ac:dyDescent="0.3">
      <c r="A215" s="36" t="s">
        <v>90</v>
      </c>
      <c r="B215" s="36">
        <v>2020</v>
      </c>
      <c r="C215" s="36" t="s">
        <v>4</v>
      </c>
      <c r="D215" s="36" t="s">
        <v>91</v>
      </c>
      <c r="E215" s="36" t="s">
        <v>92</v>
      </c>
      <c r="F215" s="36" t="s">
        <v>93</v>
      </c>
      <c r="G215" s="36" t="s">
        <v>94</v>
      </c>
      <c r="H215" s="36" t="s">
        <v>95</v>
      </c>
      <c r="I215" s="36" t="s">
        <v>98</v>
      </c>
      <c r="J215" s="36">
        <v>205</v>
      </c>
      <c r="K215" s="36">
        <v>293.14999999999998</v>
      </c>
    </row>
    <row r="216" spans="1:11" x14ac:dyDescent="0.3">
      <c r="A216" s="36" t="s">
        <v>90</v>
      </c>
      <c r="B216" s="36">
        <v>2020</v>
      </c>
      <c r="C216" s="36" t="s">
        <v>4</v>
      </c>
      <c r="D216" s="36" t="s">
        <v>91</v>
      </c>
      <c r="E216" s="36" t="s">
        <v>92</v>
      </c>
      <c r="F216" s="36" t="s">
        <v>93</v>
      </c>
      <c r="G216" s="36" t="s">
        <v>94</v>
      </c>
      <c r="H216" s="36" t="s">
        <v>95</v>
      </c>
      <c r="I216" s="36" t="s">
        <v>96</v>
      </c>
      <c r="J216" s="36">
        <v>879</v>
      </c>
      <c r="K216" s="36">
        <v>1256.97</v>
      </c>
    </row>
    <row r="217" spans="1:11" x14ac:dyDescent="0.3">
      <c r="A217" s="36" t="s">
        <v>101</v>
      </c>
      <c r="B217" s="36">
        <v>2020</v>
      </c>
      <c r="C217" s="36" t="s">
        <v>4</v>
      </c>
      <c r="D217" s="36" t="s">
        <v>91</v>
      </c>
      <c r="E217" s="36" t="s">
        <v>92</v>
      </c>
      <c r="F217" s="36" t="s">
        <v>93</v>
      </c>
      <c r="G217" s="36" t="s">
        <v>94</v>
      </c>
      <c r="H217" s="36" t="s">
        <v>95</v>
      </c>
      <c r="I217" s="36" t="s">
        <v>96</v>
      </c>
      <c r="J217" s="36">
        <v>880</v>
      </c>
      <c r="K217" s="36">
        <v>1258.4000000000001</v>
      </c>
    </row>
    <row r="218" spans="1:11" x14ac:dyDescent="0.3">
      <c r="A218" s="36" t="s">
        <v>97</v>
      </c>
      <c r="B218" s="36">
        <v>2020</v>
      </c>
      <c r="C218" s="36" t="s">
        <v>4</v>
      </c>
      <c r="D218" s="36" t="s">
        <v>91</v>
      </c>
      <c r="E218" s="36" t="s">
        <v>92</v>
      </c>
      <c r="F218" s="36" t="s">
        <v>93</v>
      </c>
      <c r="G218" s="36" t="s">
        <v>94</v>
      </c>
      <c r="H218" s="36" t="s">
        <v>95</v>
      </c>
      <c r="I218" s="36" t="s">
        <v>96</v>
      </c>
      <c r="J218" s="36">
        <v>881</v>
      </c>
      <c r="K218" s="36">
        <v>1259.83</v>
      </c>
    </row>
    <row r="219" spans="1:11" x14ac:dyDescent="0.3">
      <c r="A219" s="36" t="s">
        <v>97</v>
      </c>
      <c r="B219" s="36">
        <v>2020</v>
      </c>
      <c r="C219" s="36" t="s">
        <v>4</v>
      </c>
      <c r="D219" s="36" t="s">
        <v>91</v>
      </c>
      <c r="E219" s="36" t="s">
        <v>92</v>
      </c>
      <c r="F219" s="36" t="s">
        <v>93</v>
      </c>
      <c r="G219" s="36" t="s">
        <v>94</v>
      </c>
      <c r="H219" s="36" t="s">
        <v>95</v>
      </c>
      <c r="I219" s="36" t="s">
        <v>98</v>
      </c>
      <c r="J219" s="36">
        <v>233</v>
      </c>
      <c r="K219" s="36">
        <v>333.19</v>
      </c>
    </row>
    <row r="220" spans="1:11" x14ac:dyDescent="0.3">
      <c r="A220" s="36" t="s">
        <v>90</v>
      </c>
      <c r="B220" s="36">
        <v>2020</v>
      </c>
      <c r="C220" s="36" t="s">
        <v>4</v>
      </c>
      <c r="D220" s="36" t="s">
        <v>91</v>
      </c>
      <c r="E220" s="36" t="s">
        <v>92</v>
      </c>
      <c r="F220" s="36" t="s">
        <v>93</v>
      </c>
      <c r="G220" s="36" t="s">
        <v>94</v>
      </c>
      <c r="H220" s="36" t="s">
        <v>95</v>
      </c>
      <c r="I220" s="36" t="s">
        <v>98</v>
      </c>
      <c r="J220" s="36">
        <v>275</v>
      </c>
      <c r="K220" s="36">
        <v>393.25</v>
      </c>
    </row>
    <row r="221" spans="1:11" x14ac:dyDescent="0.3">
      <c r="A221" s="36" t="s">
        <v>97</v>
      </c>
      <c r="B221" s="36">
        <v>2020</v>
      </c>
      <c r="C221" s="36" t="s">
        <v>4</v>
      </c>
      <c r="D221" s="36" t="s">
        <v>91</v>
      </c>
      <c r="E221" s="36" t="s">
        <v>92</v>
      </c>
      <c r="F221" s="36" t="s">
        <v>93</v>
      </c>
      <c r="G221" s="36" t="s">
        <v>94</v>
      </c>
      <c r="H221" s="36" t="s">
        <v>95</v>
      </c>
      <c r="I221" s="36" t="s">
        <v>98</v>
      </c>
      <c r="J221" s="36">
        <v>773</v>
      </c>
      <c r="K221" s="36">
        <v>1105.3899999999999</v>
      </c>
    </row>
    <row r="222" spans="1:11" x14ac:dyDescent="0.3">
      <c r="A222" s="36" t="s">
        <v>100</v>
      </c>
      <c r="B222" s="36">
        <v>2020</v>
      </c>
      <c r="C222" s="36" t="s">
        <v>10</v>
      </c>
      <c r="D222" s="36" t="s">
        <v>91</v>
      </c>
      <c r="E222" s="36" t="s">
        <v>92</v>
      </c>
      <c r="F222" s="36" t="s">
        <v>93</v>
      </c>
      <c r="G222" s="36" t="s">
        <v>94</v>
      </c>
      <c r="H222" s="36" t="s">
        <v>95</v>
      </c>
      <c r="I222" s="36" t="s">
        <v>96</v>
      </c>
      <c r="J222" s="36">
        <v>242</v>
      </c>
      <c r="K222" s="36">
        <v>526.24</v>
      </c>
    </row>
    <row r="223" spans="1:11" x14ac:dyDescent="0.3">
      <c r="A223" s="36" t="s">
        <v>97</v>
      </c>
      <c r="B223" s="36">
        <v>2020</v>
      </c>
      <c r="C223" s="36" t="s">
        <v>10</v>
      </c>
      <c r="D223" s="36" t="s">
        <v>91</v>
      </c>
      <c r="E223" s="36" t="s">
        <v>92</v>
      </c>
      <c r="F223" s="36" t="s">
        <v>93</v>
      </c>
      <c r="G223" s="36" t="s">
        <v>94</v>
      </c>
      <c r="H223" s="36" t="s">
        <v>95</v>
      </c>
      <c r="I223" s="36" t="s">
        <v>96</v>
      </c>
      <c r="J223" s="36">
        <v>236</v>
      </c>
      <c r="K223" s="36">
        <v>526.24</v>
      </c>
    </row>
    <row r="224" spans="1:11" x14ac:dyDescent="0.3">
      <c r="A224" s="36" t="s">
        <v>99</v>
      </c>
      <c r="B224" s="36">
        <v>2020</v>
      </c>
      <c r="C224" s="36" t="s">
        <v>10</v>
      </c>
      <c r="D224" s="36" t="s">
        <v>91</v>
      </c>
      <c r="E224" s="36" t="s">
        <v>92</v>
      </c>
      <c r="F224" s="36" t="s">
        <v>93</v>
      </c>
      <c r="G224" s="36" t="s">
        <v>94</v>
      </c>
      <c r="H224" s="36" t="s">
        <v>95</v>
      </c>
      <c r="I224" s="36" t="s">
        <v>96</v>
      </c>
      <c r="J224" s="36">
        <v>230</v>
      </c>
      <c r="K224" s="36">
        <v>526.24</v>
      </c>
    </row>
    <row r="225" spans="1:11" x14ac:dyDescent="0.3">
      <c r="A225" s="36" t="s">
        <v>100</v>
      </c>
      <c r="B225" s="36">
        <v>2020</v>
      </c>
      <c r="C225" s="36" t="s">
        <v>10</v>
      </c>
      <c r="D225" s="36" t="s">
        <v>91</v>
      </c>
      <c r="E225" s="36" t="s">
        <v>92</v>
      </c>
      <c r="F225" s="36" t="s">
        <v>93</v>
      </c>
      <c r="G225" s="36" t="s">
        <v>94</v>
      </c>
      <c r="H225" s="36" t="s">
        <v>95</v>
      </c>
      <c r="I225" s="36" t="s">
        <v>98</v>
      </c>
      <c r="J225" s="36">
        <v>200</v>
      </c>
      <c r="K225" s="36">
        <v>286</v>
      </c>
    </row>
    <row r="226" spans="1:11" x14ac:dyDescent="0.3">
      <c r="A226" s="36" t="s">
        <v>99</v>
      </c>
      <c r="B226" s="36">
        <v>2020</v>
      </c>
      <c r="C226" s="36" t="s">
        <v>10</v>
      </c>
      <c r="D226" s="36" t="s">
        <v>91</v>
      </c>
      <c r="E226" s="36" t="s">
        <v>92</v>
      </c>
      <c r="F226" s="36" t="s">
        <v>93</v>
      </c>
      <c r="G226" s="36" t="s">
        <v>94</v>
      </c>
      <c r="H226" s="36" t="s">
        <v>95</v>
      </c>
      <c r="I226" s="36" t="s">
        <v>98</v>
      </c>
      <c r="J226" s="36">
        <v>170</v>
      </c>
      <c r="K226" s="36">
        <v>243.1</v>
      </c>
    </row>
    <row r="227" spans="1:11" x14ac:dyDescent="0.3">
      <c r="A227" s="36" t="s">
        <v>99</v>
      </c>
      <c r="B227" s="36">
        <v>2020</v>
      </c>
      <c r="C227" s="36" t="s">
        <v>10</v>
      </c>
      <c r="D227" s="36" t="s">
        <v>91</v>
      </c>
      <c r="E227" s="36" t="s">
        <v>92</v>
      </c>
      <c r="F227" s="36" t="s">
        <v>93</v>
      </c>
      <c r="G227" s="36" t="s">
        <v>94</v>
      </c>
      <c r="H227" s="36" t="s">
        <v>95</v>
      </c>
      <c r="I227" s="36" t="s">
        <v>98</v>
      </c>
      <c r="J227" s="36">
        <v>196</v>
      </c>
      <c r="K227" s="36">
        <v>280.27999999999997</v>
      </c>
    </row>
    <row r="228" spans="1:11" x14ac:dyDescent="0.3">
      <c r="A228" s="36" t="s">
        <v>97</v>
      </c>
      <c r="B228" s="36">
        <v>2020</v>
      </c>
      <c r="C228" s="36" t="s">
        <v>10</v>
      </c>
      <c r="D228" s="36" t="s">
        <v>91</v>
      </c>
      <c r="E228" s="36" t="s">
        <v>92</v>
      </c>
      <c r="F228" s="36" t="s">
        <v>93</v>
      </c>
      <c r="G228" s="36" t="s">
        <v>94</v>
      </c>
      <c r="H228" s="36" t="s">
        <v>95</v>
      </c>
      <c r="I228" s="36" t="s">
        <v>98</v>
      </c>
      <c r="J228" s="36">
        <v>244</v>
      </c>
      <c r="K228" s="36">
        <v>348.92</v>
      </c>
    </row>
    <row r="229" spans="1:11" x14ac:dyDescent="0.3">
      <c r="A229" s="36" t="s">
        <v>90</v>
      </c>
      <c r="B229" s="36">
        <v>2020</v>
      </c>
      <c r="C229" s="36" t="s">
        <v>10</v>
      </c>
      <c r="D229" s="36" t="s">
        <v>91</v>
      </c>
      <c r="E229" s="36" t="s">
        <v>92</v>
      </c>
      <c r="F229" s="36" t="s">
        <v>93</v>
      </c>
      <c r="G229" s="36" t="s">
        <v>94</v>
      </c>
      <c r="H229" s="36" t="s">
        <v>95</v>
      </c>
      <c r="I229" s="36" t="s">
        <v>98</v>
      </c>
      <c r="J229" s="36">
        <v>172</v>
      </c>
      <c r="K229" s="36">
        <v>245.95999999999998</v>
      </c>
    </row>
    <row r="230" spans="1:11" x14ac:dyDescent="0.3">
      <c r="A230" s="36" t="s">
        <v>90</v>
      </c>
      <c r="B230" s="36">
        <v>2020</v>
      </c>
      <c r="C230" s="36" t="s">
        <v>10</v>
      </c>
      <c r="D230" s="36" t="s">
        <v>91</v>
      </c>
      <c r="E230" s="36" t="s">
        <v>92</v>
      </c>
      <c r="F230" s="36" t="s">
        <v>93</v>
      </c>
      <c r="G230" s="36" t="s">
        <v>94</v>
      </c>
      <c r="H230" s="36" t="s">
        <v>95</v>
      </c>
      <c r="I230" s="36" t="s">
        <v>96</v>
      </c>
      <c r="J230" s="36">
        <v>240</v>
      </c>
      <c r="K230" s="36">
        <v>526.24</v>
      </c>
    </row>
    <row r="231" spans="1:11" x14ac:dyDescent="0.3">
      <c r="A231" s="36" t="s">
        <v>99</v>
      </c>
      <c r="B231" s="36">
        <v>2020</v>
      </c>
      <c r="C231" s="36" t="s">
        <v>10</v>
      </c>
      <c r="D231" s="36" t="s">
        <v>91</v>
      </c>
      <c r="E231" s="36" t="s">
        <v>92</v>
      </c>
      <c r="F231" s="36" t="s">
        <v>93</v>
      </c>
      <c r="G231" s="36" t="s">
        <v>94</v>
      </c>
      <c r="H231" s="36" t="s">
        <v>95</v>
      </c>
      <c r="I231" s="36" t="s">
        <v>96</v>
      </c>
      <c r="J231" s="36">
        <v>234</v>
      </c>
      <c r="K231" s="36">
        <v>526.24</v>
      </c>
    </row>
    <row r="232" spans="1:11" x14ac:dyDescent="0.3">
      <c r="A232" s="36" t="s">
        <v>97</v>
      </c>
      <c r="B232" s="36">
        <v>2020</v>
      </c>
      <c r="C232" s="36" t="s">
        <v>10</v>
      </c>
      <c r="D232" s="36" t="s">
        <v>91</v>
      </c>
      <c r="E232" s="36" t="s">
        <v>92</v>
      </c>
      <c r="F232" s="36" t="s">
        <v>93</v>
      </c>
      <c r="G232" s="36" t="s">
        <v>94</v>
      </c>
      <c r="H232" s="36" t="s">
        <v>95</v>
      </c>
      <c r="I232" s="36" t="s">
        <v>96</v>
      </c>
      <c r="J232" s="36">
        <v>228</v>
      </c>
      <c r="K232" s="36">
        <v>526.24</v>
      </c>
    </row>
    <row r="233" spans="1:11" x14ac:dyDescent="0.3">
      <c r="A233" s="36" t="s">
        <v>90</v>
      </c>
      <c r="B233" s="36">
        <v>2020</v>
      </c>
      <c r="C233" s="36" t="s">
        <v>10</v>
      </c>
      <c r="D233" s="36" t="s">
        <v>91</v>
      </c>
      <c r="E233" s="36" t="s">
        <v>92</v>
      </c>
      <c r="F233" s="36" t="s">
        <v>93</v>
      </c>
      <c r="G233" s="36" t="s">
        <v>94</v>
      </c>
      <c r="H233" s="36" t="s">
        <v>95</v>
      </c>
      <c r="I233" s="36" t="s">
        <v>98</v>
      </c>
      <c r="J233" s="36">
        <v>683</v>
      </c>
      <c r="K233" s="36">
        <v>976.69</v>
      </c>
    </row>
    <row r="234" spans="1:11" x14ac:dyDescent="0.3">
      <c r="A234" s="36" t="s">
        <v>97</v>
      </c>
      <c r="B234" s="36">
        <v>2020</v>
      </c>
      <c r="C234" s="36" t="s">
        <v>10</v>
      </c>
      <c r="D234" s="36" t="s">
        <v>91</v>
      </c>
      <c r="E234" s="36" t="s">
        <v>92</v>
      </c>
      <c r="F234" s="36" t="s">
        <v>93</v>
      </c>
      <c r="G234" s="36" t="s">
        <v>94</v>
      </c>
      <c r="H234" s="36" t="s">
        <v>95</v>
      </c>
      <c r="I234" s="36" t="s">
        <v>98</v>
      </c>
      <c r="J234" s="36">
        <v>716</v>
      </c>
      <c r="K234" s="36">
        <v>1023.88</v>
      </c>
    </row>
    <row r="235" spans="1:11" x14ac:dyDescent="0.3">
      <c r="A235" s="36" t="s">
        <v>99</v>
      </c>
      <c r="B235" s="36">
        <v>2020</v>
      </c>
      <c r="C235" s="36" t="s">
        <v>10</v>
      </c>
      <c r="D235" s="36" t="s">
        <v>91</v>
      </c>
      <c r="E235" s="36" t="s">
        <v>92</v>
      </c>
      <c r="F235" s="36" t="s">
        <v>93</v>
      </c>
      <c r="G235" s="36" t="s">
        <v>94</v>
      </c>
      <c r="H235" s="36" t="s">
        <v>95</v>
      </c>
      <c r="I235" s="36" t="s">
        <v>98</v>
      </c>
      <c r="J235" s="36">
        <v>769</v>
      </c>
      <c r="K235" s="36">
        <v>1099.67</v>
      </c>
    </row>
    <row r="236" spans="1:11" x14ac:dyDescent="0.3">
      <c r="A236" s="36" t="s">
        <v>97</v>
      </c>
      <c r="B236" s="36">
        <v>2020</v>
      </c>
      <c r="C236" s="36" t="s">
        <v>10</v>
      </c>
      <c r="D236" s="36" t="s">
        <v>91</v>
      </c>
      <c r="E236" s="36" t="s">
        <v>92</v>
      </c>
      <c r="F236" s="36" t="s">
        <v>93</v>
      </c>
      <c r="G236" s="36" t="s">
        <v>94</v>
      </c>
      <c r="H236" s="36" t="s">
        <v>95</v>
      </c>
      <c r="I236" s="36" t="s">
        <v>96</v>
      </c>
      <c r="J236" s="36">
        <v>237</v>
      </c>
      <c r="K236" s="36">
        <v>338.90999999999997</v>
      </c>
    </row>
    <row r="237" spans="1:11" x14ac:dyDescent="0.3">
      <c r="A237" s="36" t="s">
        <v>97</v>
      </c>
      <c r="B237" s="36">
        <v>2020</v>
      </c>
      <c r="C237" s="36" t="s">
        <v>10</v>
      </c>
      <c r="D237" s="36" t="s">
        <v>91</v>
      </c>
      <c r="E237" s="36" t="s">
        <v>92</v>
      </c>
      <c r="F237" s="36" t="s">
        <v>93</v>
      </c>
      <c r="G237" s="36" t="s">
        <v>94</v>
      </c>
      <c r="H237" s="36" t="s">
        <v>95</v>
      </c>
      <c r="I237" s="36" t="s">
        <v>96</v>
      </c>
      <c r="J237" s="36">
        <v>231</v>
      </c>
      <c r="K237" s="36">
        <v>330.33</v>
      </c>
    </row>
    <row r="238" spans="1:11" x14ac:dyDescent="0.3">
      <c r="A238" s="36" t="s">
        <v>99</v>
      </c>
      <c r="B238" s="36">
        <v>2020</v>
      </c>
      <c r="C238" s="36" t="s">
        <v>10</v>
      </c>
      <c r="D238" s="36" t="s">
        <v>91</v>
      </c>
      <c r="E238" s="36" t="s">
        <v>92</v>
      </c>
      <c r="F238" s="36" t="s">
        <v>93</v>
      </c>
      <c r="G238" s="36" t="s">
        <v>94</v>
      </c>
      <c r="H238" s="36" t="s">
        <v>95</v>
      </c>
      <c r="I238" s="36" t="s">
        <v>98</v>
      </c>
      <c r="J238" s="36">
        <v>201</v>
      </c>
      <c r="K238" s="36">
        <v>287.43</v>
      </c>
    </row>
    <row r="239" spans="1:11" x14ac:dyDescent="0.3">
      <c r="A239" s="36" t="s">
        <v>97</v>
      </c>
      <c r="B239" s="36">
        <v>2020</v>
      </c>
      <c r="C239" s="36" t="s">
        <v>10</v>
      </c>
      <c r="D239" s="36" t="s">
        <v>91</v>
      </c>
      <c r="E239" s="36" t="s">
        <v>92</v>
      </c>
      <c r="F239" s="36" t="s">
        <v>93</v>
      </c>
      <c r="G239" s="36" t="s">
        <v>94</v>
      </c>
      <c r="H239" s="36" t="s">
        <v>95</v>
      </c>
      <c r="I239" s="36" t="s">
        <v>98</v>
      </c>
      <c r="J239" s="36">
        <v>756</v>
      </c>
      <c r="K239" s="36">
        <v>526.24</v>
      </c>
    </row>
    <row r="240" spans="1:11" x14ac:dyDescent="0.3">
      <c r="A240" s="36" t="s">
        <v>90</v>
      </c>
      <c r="B240" s="36">
        <v>2020</v>
      </c>
      <c r="C240" s="36" t="s">
        <v>10</v>
      </c>
      <c r="D240" s="36" t="s">
        <v>91</v>
      </c>
      <c r="E240" s="36" t="s">
        <v>92</v>
      </c>
      <c r="F240" s="36" t="s">
        <v>93</v>
      </c>
      <c r="G240" s="36" t="s">
        <v>94</v>
      </c>
      <c r="H240" s="36" t="s">
        <v>95</v>
      </c>
      <c r="I240" s="36" t="s">
        <v>98</v>
      </c>
      <c r="J240" s="36">
        <v>809</v>
      </c>
      <c r="K240" s="36">
        <v>526.24</v>
      </c>
    </row>
    <row r="241" spans="1:11" x14ac:dyDescent="0.3">
      <c r="A241" s="36" t="s">
        <v>90</v>
      </c>
      <c r="B241" s="36">
        <v>2020</v>
      </c>
      <c r="C241" s="36" t="s">
        <v>10</v>
      </c>
      <c r="D241" s="36" t="s">
        <v>91</v>
      </c>
      <c r="E241" s="36" t="s">
        <v>92</v>
      </c>
      <c r="F241" s="36" t="s">
        <v>93</v>
      </c>
      <c r="G241" s="36" t="s">
        <v>94</v>
      </c>
      <c r="H241" s="36" t="s">
        <v>95</v>
      </c>
      <c r="I241" s="36" t="s">
        <v>98</v>
      </c>
      <c r="J241" s="36">
        <v>199</v>
      </c>
      <c r="K241" s="36">
        <v>284.57</v>
      </c>
    </row>
    <row r="242" spans="1:11" x14ac:dyDescent="0.3">
      <c r="A242" s="36" t="s">
        <v>90</v>
      </c>
      <c r="B242" s="36">
        <v>2020</v>
      </c>
      <c r="C242" s="36" t="s">
        <v>10</v>
      </c>
      <c r="D242" s="36" t="s">
        <v>91</v>
      </c>
      <c r="E242" s="36" t="s">
        <v>92</v>
      </c>
      <c r="F242" s="36" t="s">
        <v>93</v>
      </c>
      <c r="G242" s="36" t="s">
        <v>94</v>
      </c>
      <c r="H242" s="36" t="s">
        <v>95</v>
      </c>
      <c r="I242" s="36" t="s">
        <v>98</v>
      </c>
      <c r="J242" s="36">
        <v>247</v>
      </c>
      <c r="K242" s="36">
        <v>353.21</v>
      </c>
    </row>
    <row r="243" spans="1:11" x14ac:dyDescent="0.3">
      <c r="A243" s="36" t="s">
        <v>99</v>
      </c>
      <c r="B243" s="36">
        <v>2020</v>
      </c>
      <c r="C243" s="36" t="s">
        <v>10</v>
      </c>
      <c r="D243" s="36" t="s">
        <v>91</v>
      </c>
      <c r="E243" s="36" t="s">
        <v>92</v>
      </c>
      <c r="F243" s="36" t="s">
        <v>93</v>
      </c>
      <c r="G243" s="36" t="s">
        <v>94</v>
      </c>
      <c r="H243" s="36" t="s">
        <v>95</v>
      </c>
      <c r="I243" s="36" t="s">
        <v>98</v>
      </c>
      <c r="J243" s="36">
        <v>169</v>
      </c>
      <c r="K243" s="36">
        <v>241.67000000000002</v>
      </c>
    </row>
    <row r="244" spans="1:11" x14ac:dyDescent="0.3">
      <c r="A244" s="36" t="s">
        <v>90</v>
      </c>
      <c r="B244" s="36">
        <v>2020</v>
      </c>
      <c r="C244" s="36" t="s">
        <v>10</v>
      </c>
      <c r="D244" s="36" t="s">
        <v>91</v>
      </c>
      <c r="E244" s="36" t="s">
        <v>92</v>
      </c>
      <c r="F244" s="36" t="s">
        <v>93</v>
      </c>
      <c r="G244" s="36" t="s">
        <v>94</v>
      </c>
      <c r="H244" s="36" t="s">
        <v>95</v>
      </c>
      <c r="I244" s="36" t="s">
        <v>96</v>
      </c>
      <c r="J244" s="36">
        <v>239</v>
      </c>
      <c r="K244" s="36">
        <v>341.77</v>
      </c>
    </row>
    <row r="245" spans="1:11" x14ac:dyDescent="0.3">
      <c r="A245" s="36" t="s">
        <v>97</v>
      </c>
      <c r="B245" s="36">
        <v>2020</v>
      </c>
      <c r="C245" s="36" t="s">
        <v>10</v>
      </c>
      <c r="D245" s="36" t="s">
        <v>91</v>
      </c>
      <c r="E245" s="36" t="s">
        <v>92</v>
      </c>
      <c r="F245" s="36" t="s">
        <v>93</v>
      </c>
      <c r="G245" s="36" t="s">
        <v>94</v>
      </c>
      <c r="H245" s="36" t="s">
        <v>95</v>
      </c>
      <c r="I245" s="36" t="s">
        <v>96</v>
      </c>
      <c r="J245" s="36">
        <v>233</v>
      </c>
      <c r="K245" s="36">
        <v>333.19</v>
      </c>
    </row>
    <row r="246" spans="1:11" x14ac:dyDescent="0.3">
      <c r="A246" s="36" t="s">
        <v>99</v>
      </c>
      <c r="B246" s="36">
        <v>2020</v>
      </c>
      <c r="C246" s="36" t="s">
        <v>10</v>
      </c>
      <c r="D246" s="36" t="s">
        <v>91</v>
      </c>
      <c r="E246" s="36" t="s">
        <v>92</v>
      </c>
      <c r="F246" s="36" t="s">
        <v>93</v>
      </c>
      <c r="G246" s="36" t="s">
        <v>94</v>
      </c>
      <c r="H246" s="36" t="s">
        <v>95</v>
      </c>
      <c r="I246" s="36" t="s">
        <v>96</v>
      </c>
      <c r="J246" s="36">
        <v>227</v>
      </c>
      <c r="K246" s="36">
        <v>324.61</v>
      </c>
    </row>
    <row r="247" spans="1:11" x14ac:dyDescent="0.3">
      <c r="A247" s="36" t="s">
        <v>99</v>
      </c>
      <c r="B247" s="36">
        <v>2020</v>
      </c>
      <c r="C247" s="36" t="s">
        <v>10</v>
      </c>
      <c r="D247" s="36" t="s">
        <v>91</v>
      </c>
      <c r="E247" s="36" t="s">
        <v>92</v>
      </c>
      <c r="F247" s="36" t="s">
        <v>93</v>
      </c>
      <c r="G247" s="36" t="s">
        <v>94</v>
      </c>
      <c r="H247" s="36" t="s">
        <v>95</v>
      </c>
      <c r="I247" s="36" t="s">
        <v>98</v>
      </c>
      <c r="J247" s="36">
        <v>197</v>
      </c>
      <c r="K247" s="36">
        <v>281.70999999999998</v>
      </c>
    </row>
    <row r="248" spans="1:11" x14ac:dyDescent="0.3">
      <c r="A248" s="36" t="s">
        <v>99</v>
      </c>
      <c r="B248" s="36">
        <v>2020</v>
      </c>
      <c r="C248" s="36" t="s">
        <v>10</v>
      </c>
      <c r="D248" s="36" t="s">
        <v>91</v>
      </c>
      <c r="E248" s="36" t="s">
        <v>92</v>
      </c>
      <c r="F248" s="36" t="s">
        <v>93</v>
      </c>
      <c r="G248" s="36" t="s">
        <v>94</v>
      </c>
      <c r="H248" s="36" t="s">
        <v>95</v>
      </c>
      <c r="I248" s="36" t="s">
        <v>98</v>
      </c>
      <c r="J248" s="36">
        <v>245</v>
      </c>
      <c r="K248" s="36">
        <v>350.35</v>
      </c>
    </row>
    <row r="249" spans="1:11" x14ac:dyDescent="0.3">
      <c r="A249" s="36" t="s">
        <v>100</v>
      </c>
      <c r="B249" s="36">
        <v>2020</v>
      </c>
      <c r="C249" s="36" t="s">
        <v>10</v>
      </c>
      <c r="D249" s="36" t="s">
        <v>91</v>
      </c>
      <c r="E249" s="36" t="s">
        <v>92</v>
      </c>
      <c r="F249" s="36" t="s">
        <v>93</v>
      </c>
      <c r="G249" s="36" t="s">
        <v>94</v>
      </c>
      <c r="H249" s="36" t="s">
        <v>95</v>
      </c>
      <c r="I249" s="36" t="s">
        <v>98</v>
      </c>
      <c r="J249" s="36">
        <v>778</v>
      </c>
      <c r="K249" s="36">
        <v>1112.54</v>
      </c>
    </row>
    <row r="250" spans="1:11" x14ac:dyDescent="0.3">
      <c r="A250" s="36" t="s">
        <v>97</v>
      </c>
      <c r="B250" s="36">
        <v>2020</v>
      </c>
      <c r="C250" s="36" t="s">
        <v>9</v>
      </c>
      <c r="D250" s="36" t="s">
        <v>91</v>
      </c>
      <c r="E250" s="36" t="s">
        <v>92</v>
      </c>
      <c r="F250" s="36" t="s">
        <v>93</v>
      </c>
      <c r="G250" s="36" t="s">
        <v>94</v>
      </c>
      <c r="H250" s="36" t="s">
        <v>95</v>
      </c>
      <c r="I250" s="36" t="s">
        <v>96</v>
      </c>
      <c r="J250" s="36">
        <v>254</v>
      </c>
      <c r="K250" s="36">
        <v>526.24</v>
      </c>
    </row>
    <row r="251" spans="1:11" x14ac:dyDescent="0.3">
      <c r="A251" s="36" t="s">
        <v>97</v>
      </c>
      <c r="B251" s="36">
        <v>2020</v>
      </c>
      <c r="C251" s="36" t="s">
        <v>9</v>
      </c>
      <c r="D251" s="36" t="s">
        <v>91</v>
      </c>
      <c r="E251" s="36" t="s">
        <v>92</v>
      </c>
      <c r="F251" s="36" t="s">
        <v>93</v>
      </c>
      <c r="G251" s="36" t="s">
        <v>94</v>
      </c>
      <c r="H251" s="36" t="s">
        <v>95</v>
      </c>
      <c r="I251" s="36" t="s">
        <v>96</v>
      </c>
      <c r="J251" s="36">
        <v>248</v>
      </c>
      <c r="K251" s="36">
        <v>526.24</v>
      </c>
    </row>
    <row r="252" spans="1:11" x14ac:dyDescent="0.3">
      <c r="A252" s="36" t="s">
        <v>97</v>
      </c>
      <c r="B252" s="36">
        <v>2020</v>
      </c>
      <c r="C252" s="36" t="s">
        <v>9</v>
      </c>
      <c r="D252" s="36" t="s">
        <v>91</v>
      </c>
      <c r="E252" s="36" t="s">
        <v>92</v>
      </c>
      <c r="F252" s="36" t="s">
        <v>93</v>
      </c>
      <c r="G252" s="36" t="s">
        <v>94</v>
      </c>
      <c r="H252" s="36" t="s">
        <v>95</v>
      </c>
      <c r="I252" s="36" t="s">
        <v>98</v>
      </c>
      <c r="J252" s="36">
        <v>206</v>
      </c>
      <c r="K252" s="36">
        <v>294.58</v>
      </c>
    </row>
    <row r="253" spans="1:11" x14ac:dyDescent="0.3">
      <c r="A253" s="36" t="s">
        <v>90</v>
      </c>
      <c r="B253" s="36">
        <v>2020</v>
      </c>
      <c r="C253" s="36" t="s">
        <v>9</v>
      </c>
      <c r="D253" s="36" t="s">
        <v>91</v>
      </c>
      <c r="E253" s="36" t="s">
        <v>92</v>
      </c>
      <c r="F253" s="36" t="s">
        <v>93</v>
      </c>
      <c r="G253" s="36" t="s">
        <v>94</v>
      </c>
      <c r="H253" s="36" t="s">
        <v>95</v>
      </c>
      <c r="I253" s="36" t="s">
        <v>98</v>
      </c>
      <c r="J253" s="36">
        <v>248</v>
      </c>
      <c r="K253" s="36">
        <v>354.64</v>
      </c>
    </row>
    <row r="254" spans="1:11" x14ac:dyDescent="0.3">
      <c r="A254" s="36" t="s">
        <v>99</v>
      </c>
      <c r="B254" s="36">
        <v>2020</v>
      </c>
      <c r="C254" s="36" t="s">
        <v>9</v>
      </c>
      <c r="D254" s="36" t="s">
        <v>91</v>
      </c>
      <c r="E254" s="36" t="s">
        <v>92</v>
      </c>
      <c r="F254" s="36" t="s">
        <v>93</v>
      </c>
      <c r="G254" s="36" t="s">
        <v>94</v>
      </c>
      <c r="H254" s="36" t="s">
        <v>95</v>
      </c>
      <c r="I254" s="36" t="s">
        <v>98</v>
      </c>
      <c r="J254" s="36">
        <v>176</v>
      </c>
      <c r="K254" s="36">
        <v>251.68</v>
      </c>
    </row>
    <row r="255" spans="1:11" x14ac:dyDescent="0.3">
      <c r="A255" s="36" t="s">
        <v>101</v>
      </c>
      <c r="B255" s="36">
        <v>2020</v>
      </c>
      <c r="C255" s="36" t="s">
        <v>9</v>
      </c>
      <c r="D255" s="36" t="s">
        <v>91</v>
      </c>
      <c r="E255" s="36" t="s">
        <v>92</v>
      </c>
      <c r="F255" s="36" t="s">
        <v>93</v>
      </c>
      <c r="G255" s="36" t="s">
        <v>94</v>
      </c>
      <c r="H255" s="36" t="s">
        <v>95</v>
      </c>
      <c r="I255" s="36" t="s">
        <v>98</v>
      </c>
      <c r="J255" s="36">
        <v>202</v>
      </c>
      <c r="K255" s="36">
        <v>288.86</v>
      </c>
    </row>
    <row r="256" spans="1:11" x14ac:dyDescent="0.3">
      <c r="A256" s="36" t="s">
        <v>97</v>
      </c>
      <c r="B256" s="36">
        <v>2020</v>
      </c>
      <c r="C256" s="36" t="s">
        <v>9</v>
      </c>
      <c r="D256" s="36" t="s">
        <v>91</v>
      </c>
      <c r="E256" s="36" t="s">
        <v>92</v>
      </c>
      <c r="F256" s="36" t="s">
        <v>93</v>
      </c>
      <c r="G256" s="36" t="s">
        <v>94</v>
      </c>
      <c r="H256" s="36" t="s">
        <v>95</v>
      </c>
      <c r="I256" s="36" t="s">
        <v>98</v>
      </c>
      <c r="J256" s="36">
        <v>250</v>
      </c>
      <c r="K256" s="36">
        <v>357.5</v>
      </c>
    </row>
    <row r="257" spans="1:11" x14ac:dyDescent="0.3">
      <c r="A257" s="36" t="s">
        <v>90</v>
      </c>
      <c r="B257" s="36">
        <v>2020</v>
      </c>
      <c r="C257" s="36" t="s">
        <v>9</v>
      </c>
      <c r="D257" s="36" t="s">
        <v>91</v>
      </c>
      <c r="E257" s="36" t="s">
        <v>92</v>
      </c>
      <c r="F257" s="36" t="s">
        <v>93</v>
      </c>
      <c r="G257" s="36" t="s">
        <v>94</v>
      </c>
      <c r="H257" s="36" t="s">
        <v>95</v>
      </c>
      <c r="I257" s="36" t="s">
        <v>98</v>
      </c>
      <c r="J257" s="36">
        <v>178</v>
      </c>
      <c r="K257" s="36">
        <v>254.54</v>
      </c>
    </row>
    <row r="258" spans="1:11" x14ac:dyDescent="0.3">
      <c r="A258" s="36" t="s">
        <v>90</v>
      </c>
      <c r="B258" s="36">
        <v>2020</v>
      </c>
      <c r="C258" s="36" t="s">
        <v>9</v>
      </c>
      <c r="D258" s="36" t="s">
        <v>91</v>
      </c>
      <c r="E258" s="36" t="s">
        <v>92</v>
      </c>
      <c r="F258" s="36" t="s">
        <v>93</v>
      </c>
      <c r="G258" s="36" t="s">
        <v>94</v>
      </c>
      <c r="H258" s="36" t="s">
        <v>95</v>
      </c>
      <c r="I258" s="36" t="s">
        <v>98</v>
      </c>
      <c r="J258" s="36">
        <v>258</v>
      </c>
      <c r="K258" s="36">
        <v>526.24</v>
      </c>
    </row>
    <row r="259" spans="1:11" x14ac:dyDescent="0.3">
      <c r="A259" s="36" t="s">
        <v>90</v>
      </c>
      <c r="B259" s="36">
        <v>2020</v>
      </c>
      <c r="C259" s="36" t="s">
        <v>9</v>
      </c>
      <c r="D259" s="36" t="s">
        <v>91</v>
      </c>
      <c r="E259" s="36" t="s">
        <v>92</v>
      </c>
      <c r="F259" s="36" t="s">
        <v>93</v>
      </c>
      <c r="G259" s="36" t="s">
        <v>94</v>
      </c>
      <c r="H259" s="36" t="s">
        <v>95</v>
      </c>
      <c r="I259" s="36" t="s">
        <v>98</v>
      </c>
      <c r="J259" s="36">
        <v>252</v>
      </c>
      <c r="K259" s="36">
        <v>526.24</v>
      </c>
    </row>
    <row r="260" spans="1:11" x14ac:dyDescent="0.3">
      <c r="A260" s="36" t="s">
        <v>90</v>
      </c>
      <c r="B260" s="36">
        <v>2020</v>
      </c>
      <c r="C260" s="36" t="s">
        <v>9</v>
      </c>
      <c r="D260" s="36" t="s">
        <v>91</v>
      </c>
      <c r="E260" s="36" t="s">
        <v>92</v>
      </c>
      <c r="F260" s="36" t="s">
        <v>93</v>
      </c>
      <c r="G260" s="36" t="s">
        <v>94</v>
      </c>
      <c r="H260" s="36" t="s">
        <v>95</v>
      </c>
      <c r="I260" s="36" t="s">
        <v>96</v>
      </c>
      <c r="J260" s="36">
        <v>246</v>
      </c>
      <c r="K260" s="36">
        <v>526.24</v>
      </c>
    </row>
    <row r="261" spans="1:11" x14ac:dyDescent="0.3">
      <c r="A261" s="36" t="s">
        <v>99</v>
      </c>
      <c r="B261" s="36">
        <v>2020</v>
      </c>
      <c r="C261" s="36" t="s">
        <v>9</v>
      </c>
      <c r="D261" s="36" t="s">
        <v>91</v>
      </c>
      <c r="E261" s="36" t="s">
        <v>92</v>
      </c>
      <c r="F261" s="36" t="s">
        <v>93</v>
      </c>
      <c r="G261" s="36" t="s">
        <v>94</v>
      </c>
      <c r="H261" s="36" t="s">
        <v>95</v>
      </c>
      <c r="I261" s="36" t="s">
        <v>98</v>
      </c>
      <c r="J261" s="36">
        <v>682</v>
      </c>
      <c r="K261" s="36">
        <v>975.26</v>
      </c>
    </row>
    <row r="262" spans="1:11" x14ac:dyDescent="0.3">
      <c r="A262" s="36" t="s">
        <v>97</v>
      </c>
      <c r="B262" s="36">
        <v>2020</v>
      </c>
      <c r="C262" s="36" t="s">
        <v>9</v>
      </c>
      <c r="D262" s="36" t="s">
        <v>91</v>
      </c>
      <c r="E262" s="36" t="s">
        <v>92</v>
      </c>
      <c r="F262" s="36" t="s">
        <v>93</v>
      </c>
      <c r="G262" s="36" t="s">
        <v>94</v>
      </c>
      <c r="H262" s="36" t="s">
        <v>95</v>
      </c>
      <c r="I262" s="36" t="s">
        <v>98</v>
      </c>
      <c r="J262" s="36">
        <v>715</v>
      </c>
      <c r="K262" s="36">
        <v>1022.45</v>
      </c>
    </row>
    <row r="263" spans="1:11" x14ac:dyDescent="0.3">
      <c r="A263" s="36" t="s">
        <v>97</v>
      </c>
      <c r="B263" s="36">
        <v>2020</v>
      </c>
      <c r="C263" s="36" t="s">
        <v>9</v>
      </c>
      <c r="D263" s="36" t="s">
        <v>91</v>
      </c>
      <c r="E263" s="36" t="s">
        <v>92</v>
      </c>
      <c r="F263" s="36" t="s">
        <v>93</v>
      </c>
      <c r="G263" s="36" t="s">
        <v>94</v>
      </c>
      <c r="H263" s="36" t="s">
        <v>95</v>
      </c>
      <c r="I263" s="36" t="s">
        <v>98</v>
      </c>
      <c r="J263" s="36">
        <v>255</v>
      </c>
      <c r="K263" s="36">
        <v>364.65</v>
      </c>
    </row>
    <row r="264" spans="1:11" x14ac:dyDescent="0.3">
      <c r="A264" s="36" t="s">
        <v>97</v>
      </c>
      <c r="B264" s="36">
        <v>2020</v>
      </c>
      <c r="C264" s="36" t="s">
        <v>9</v>
      </c>
      <c r="D264" s="36" t="s">
        <v>91</v>
      </c>
      <c r="E264" s="36" t="s">
        <v>92</v>
      </c>
      <c r="F264" s="36" t="s">
        <v>93</v>
      </c>
      <c r="G264" s="36" t="s">
        <v>94</v>
      </c>
      <c r="H264" s="36" t="s">
        <v>95</v>
      </c>
      <c r="I264" s="36" t="s">
        <v>98</v>
      </c>
      <c r="J264" s="36">
        <v>249</v>
      </c>
      <c r="K264" s="36">
        <v>356.07</v>
      </c>
    </row>
    <row r="265" spans="1:11" x14ac:dyDescent="0.3">
      <c r="A265" s="36" t="s">
        <v>90</v>
      </c>
      <c r="B265" s="36">
        <v>2020</v>
      </c>
      <c r="C265" s="36" t="s">
        <v>9</v>
      </c>
      <c r="D265" s="36" t="s">
        <v>91</v>
      </c>
      <c r="E265" s="36" t="s">
        <v>92</v>
      </c>
      <c r="F265" s="36" t="s">
        <v>93</v>
      </c>
      <c r="G265" s="36" t="s">
        <v>94</v>
      </c>
      <c r="H265" s="36" t="s">
        <v>95</v>
      </c>
      <c r="I265" s="36" t="s">
        <v>96</v>
      </c>
      <c r="J265" s="36">
        <v>243</v>
      </c>
      <c r="K265" s="36">
        <v>347.49</v>
      </c>
    </row>
    <row r="266" spans="1:11" x14ac:dyDescent="0.3">
      <c r="A266" s="36" t="s">
        <v>90</v>
      </c>
      <c r="B266" s="36">
        <v>2020</v>
      </c>
      <c r="C266" s="36" t="s">
        <v>9</v>
      </c>
      <c r="D266" s="36" t="s">
        <v>91</v>
      </c>
      <c r="E266" s="36" t="s">
        <v>92</v>
      </c>
      <c r="F266" s="36" t="s">
        <v>93</v>
      </c>
      <c r="G266" s="36" t="s">
        <v>94</v>
      </c>
      <c r="H266" s="36" t="s">
        <v>95</v>
      </c>
      <c r="I266" s="36" t="s">
        <v>98</v>
      </c>
      <c r="J266" s="36">
        <v>755</v>
      </c>
      <c r="K266" s="36">
        <v>526.24</v>
      </c>
    </row>
    <row r="267" spans="1:11" x14ac:dyDescent="0.3">
      <c r="A267" s="36" t="s">
        <v>99</v>
      </c>
      <c r="B267" s="36">
        <v>2020</v>
      </c>
      <c r="C267" s="36" t="s">
        <v>9</v>
      </c>
      <c r="D267" s="36" t="s">
        <v>91</v>
      </c>
      <c r="E267" s="36" t="s">
        <v>92</v>
      </c>
      <c r="F267" s="36" t="s">
        <v>93</v>
      </c>
      <c r="G267" s="36" t="s">
        <v>94</v>
      </c>
      <c r="H267" s="36" t="s">
        <v>95</v>
      </c>
      <c r="I267" s="36" t="s">
        <v>98</v>
      </c>
      <c r="J267" s="36">
        <v>808</v>
      </c>
      <c r="K267" s="36">
        <v>526.24</v>
      </c>
    </row>
    <row r="268" spans="1:11" x14ac:dyDescent="0.3">
      <c r="A268" s="36" t="s">
        <v>90</v>
      </c>
      <c r="B268" s="36">
        <v>2020</v>
      </c>
      <c r="C268" s="36" t="s">
        <v>9</v>
      </c>
      <c r="D268" s="36" t="s">
        <v>91</v>
      </c>
      <c r="E268" s="36" t="s">
        <v>92</v>
      </c>
      <c r="F268" s="36" t="s">
        <v>93</v>
      </c>
      <c r="G268" s="36" t="s">
        <v>94</v>
      </c>
      <c r="H268" s="36" t="s">
        <v>95</v>
      </c>
      <c r="I268" s="36" t="s">
        <v>98</v>
      </c>
      <c r="J268" s="36">
        <v>205</v>
      </c>
      <c r="K268" s="36">
        <v>293.14999999999998</v>
      </c>
    </row>
    <row r="269" spans="1:11" x14ac:dyDescent="0.3">
      <c r="A269" s="36" t="s">
        <v>90</v>
      </c>
      <c r="B269" s="36">
        <v>2020</v>
      </c>
      <c r="C269" s="36" t="s">
        <v>9</v>
      </c>
      <c r="D269" s="36" t="s">
        <v>91</v>
      </c>
      <c r="E269" s="36" t="s">
        <v>92</v>
      </c>
      <c r="F269" s="36" t="s">
        <v>93</v>
      </c>
      <c r="G269" s="36" t="s">
        <v>94</v>
      </c>
      <c r="H269" s="36" t="s">
        <v>95</v>
      </c>
      <c r="I269" s="36" t="s">
        <v>98</v>
      </c>
      <c r="J269" s="36">
        <v>253</v>
      </c>
      <c r="K269" s="36">
        <v>361.78999999999996</v>
      </c>
    </row>
    <row r="270" spans="1:11" x14ac:dyDescent="0.3">
      <c r="A270" s="36" t="s">
        <v>101</v>
      </c>
      <c r="B270" s="36">
        <v>2020</v>
      </c>
      <c r="C270" s="36" t="s">
        <v>9</v>
      </c>
      <c r="D270" s="36" t="s">
        <v>91</v>
      </c>
      <c r="E270" s="36" t="s">
        <v>92</v>
      </c>
      <c r="F270" s="36" t="s">
        <v>93</v>
      </c>
      <c r="G270" s="36" t="s">
        <v>94</v>
      </c>
      <c r="H270" s="36" t="s">
        <v>95</v>
      </c>
      <c r="I270" s="36" t="s">
        <v>98</v>
      </c>
      <c r="J270" s="36">
        <v>175</v>
      </c>
      <c r="K270" s="36">
        <v>250.25</v>
      </c>
    </row>
    <row r="271" spans="1:11" x14ac:dyDescent="0.3">
      <c r="A271" s="36" t="s">
        <v>100</v>
      </c>
      <c r="B271" s="36">
        <v>2020</v>
      </c>
      <c r="C271" s="36" t="s">
        <v>9</v>
      </c>
      <c r="D271" s="36" t="s">
        <v>91</v>
      </c>
      <c r="E271" s="36" t="s">
        <v>92</v>
      </c>
      <c r="F271" s="36" t="s">
        <v>93</v>
      </c>
      <c r="G271" s="36" t="s">
        <v>94</v>
      </c>
      <c r="H271" s="36" t="s">
        <v>95</v>
      </c>
      <c r="I271" s="36" t="s">
        <v>96</v>
      </c>
      <c r="J271" s="36">
        <v>257</v>
      </c>
      <c r="K271" s="36">
        <v>367.51</v>
      </c>
    </row>
    <row r="272" spans="1:11" x14ac:dyDescent="0.3">
      <c r="A272" s="36" t="s">
        <v>100</v>
      </c>
      <c r="B272" s="36">
        <v>2020</v>
      </c>
      <c r="C272" s="36" t="s">
        <v>9</v>
      </c>
      <c r="D272" s="36" t="s">
        <v>91</v>
      </c>
      <c r="E272" s="36" t="s">
        <v>92</v>
      </c>
      <c r="F272" s="36" t="s">
        <v>93</v>
      </c>
      <c r="G272" s="36" t="s">
        <v>94</v>
      </c>
      <c r="H272" s="36" t="s">
        <v>95</v>
      </c>
      <c r="I272" s="36" t="s">
        <v>96</v>
      </c>
      <c r="J272" s="36">
        <v>251</v>
      </c>
      <c r="K272" s="36">
        <v>358.93</v>
      </c>
    </row>
    <row r="273" spans="1:11" x14ac:dyDescent="0.3">
      <c r="A273" s="36" t="s">
        <v>97</v>
      </c>
      <c r="B273" s="36">
        <v>2020</v>
      </c>
      <c r="C273" s="36" t="s">
        <v>9</v>
      </c>
      <c r="D273" s="36" t="s">
        <v>91</v>
      </c>
      <c r="E273" s="36" t="s">
        <v>92</v>
      </c>
      <c r="F273" s="36" t="s">
        <v>93</v>
      </c>
      <c r="G273" s="36" t="s">
        <v>94</v>
      </c>
      <c r="H273" s="36" t="s">
        <v>95</v>
      </c>
      <c r="I273" s="36" t="s">
        <v>96</v>
      </c>
      <c r="J273" s="36">
        <v>245</v>
      </c>
      <c r="K273" s="36">
        <v>350.35</v>
      </c>
    </row>
    <row r="274" spans="1:11" x14ac:dyDescent="0.3">
      <c r="A274" s="36" t="s">
        <v>99</v>
      </c>
      <c r="B274" s="36">
        <v>2020</v>
      </c>
      <c r="C274" s="36" t="s">
        <v>9</v>
      </c>
      <c r="D274" s="36" t="s">
        <v>91</v>
      </c>
      <c r="E274" s="36" t="s">
        <v>92</v>
      </c>
      <c r="F274" s="36" t="s">
        <v>93</v>
      </c>
      <c r="G274" s="36" t="s">
        <v>94</v>
      </c>
      <c r="H274" s="36" t="s">
        <v>95</v>
      </c>
      <c r="I274" s="36" t="s">
        <v>98</v>
      </c>
      <c r="J274" s="36">
        <v>203</v>
      </c>
      <c r="K274" s="36">
        <v>290.28999999999996</v>
      </c>
    </row>
    <row r="275" spans="1:11" x14ac:dyDescent="0.3">
      <c r="A275" s="36" t="s">
        <v>90</v>
      </c>
      <c r="B275" s="36">
        <v>2020</v>
      </c>
      <c r="C275" s="36" t="s">
        <v>9</v>
      </c>
      <c r="D275" s="36" t="s">
        <v>91</v>
      </c>
      <c r="E275" s="36" t="s">
        <v>92</v>
      </c>
      <c r="F275" s="36" t="s">
        <v>93</v>
      </c>
      <c r="G275" s="36" t="s">
        <v>94</v>
      </c>
      <c r="H275" s="36" t="s">
        <v>95</v>
      </c>
      <c r="I275" s="36" t="s">
        <v>98</v>
      </c>
      <c r="J275" s="36">
        <v>251</v>
      </c>
      <c r="K275" s="36">
        <v>358.93</v>
      </c>
    </row>
    <row r="276" spans="1:11" x14ac:dyDescent="0.3">
      <c r="A276" s="36" t="s">
        <v>97</v>
      </c>
      <c r="B276" s="36">
        <v>2020</v>
      </c>
      <c r="C276" s="36" t="s">
        <v>9</v>
      </c>
      <c r="D276" s="36" t="s">
        <v>91</v>
      </c>
      <c r="E276" s="36" t="s">
        <v>92</v>
      </c>
      <c r="F276" s="36" t="s">
        <v>93</v>
      </c>
      <c r="G276" s="36" t="s">
        <v>94</v>
      </c>
      <c r="H276" s="36" t="s">
        <v>95</v>
      </c>
      <c r="I276" s="36" t="s">
        <v>98</v>
      </c>
      <c r="J276" s="36">
        <v>777</v>
      </c>
      <c r="K276" s="36">
        <v>1111.1100000000001</v>
      </c>
    </row>
    <row r="277" spans="1:11" x14ac:dyDescent="0.3">
      <c r="A277" s="36" t="s">
        <v>90</v>
      </c>
      <c r="B277" s="36">
        <v>2020</v>
      </c>
      <c r="C277" s="36" t="s">
        <v>8</v>
      </c>
      <c r="D277" s="36" t="s">
        <v>91</v>
      </c>
      <c r="E277" s="36" t="s">
        <v>92</v>
      </c>
      <c r="F277" s="36" t="s">
        <v>93</v>
      </c>
      <c r="G277" s="36" t="s">
        <v>94</v>
      </c>
      <c r="H277" s="36" t="s">
        <v>95</v>
      </c>
      <c r="I277" s="36" t="s">
        <v>96</v>
      </c>
      <c r="J277" s="36">
        <v>272</v>
      </c>
      <c r="K277" s="36">
        <v>526.24</v>
      </c>
    </row>
    <row r="278" spans="1:11" x14ac:dyDescent="0.3">
      <c r="A278" s="36" t="s">
        <v>90</v>
      </c>
      <c r="B278" s="36">
        <v>2020</v>
      </c>
      <c r="C278" s="36" t="s">
        <v>8</v>
      </c>
      <c r="D278" s="36" t="s">
        <v>91</v>
      </c>
      <c r="E278" s="36" t="s">
        <v>92</v>
      </c>
      <c r="F278" s="36" t="s">
        <v>93</v>
      </c>
      <c r="G278" s="36" t="s">
        <v>94</v>
      </c>
      <c r="H278" s="36" t="s">
        <v>95</v>
      </c>
      <c r="I278" s="36" t="s">
        <v>96</v>
      </c>
      <c r="J278" s="36">
        <v>266</v>
      </c>
      <c r="K278" s="36">
        <v>526.24</v>
      </c>
    </row>
    <row r="279" spans="1:11" x14ac:dyDescent="0.3">
      <c r="A279" s="36" t="s">
        <v>90</v>
      </c>
      <c r="B279" s="36">
        <v>2020</v>
      </c>
      <c r="C279" s="36" t="s">
        <v>8</v>
      </c>
      <c r="D279" s="36" t="s">
        <v>91</v>
      </c>
      <c r="E279" s="36" t="s">
        <v>92</v>
      </c>
      <c r="F279" s="36" t="s">
        <v>93</v>
      </c>
      <c r="G279" s="36" t="s">
        <v>94</v>
      </c>
      <c r="H279" s="36" t="s">
        <v>95</v>
      </c>
      <c r="I279" s="36" t="s">
        <v>96</v>
      </c>
      <c r="J279" s="36">
        <v>260</v>
      </c>
      <c r="K279" s="36">
        <v>526.24</v>
      </c>
    </row>
    <row r="280" spans="1:11" x14ac:dyDescent="0.3">
      <c r="A280" s="36" t="s">
        <v>99</v>
      </c>
      <c r="B280" s="36">
        <v>2020</v>
      </c>
      <c r="C280" s="36" t="s">
        <v>8</v>
      </c>
      <c r="D280" s="36" t="s">
        <v>91</v>
      </c>
      <c r="E280" s="36" t="s">
        <v>92</v>
      </c>
      <c r="F280" s="36" t="s">
        <v>93</v>
      </c>
      <c r="G280" s="36" t="s">
        <v>94</v>
      </c>
      <c r="H280" s="36" t="s">
        <v>95</v>
      </c>
      <c r="I280" s="36" t="s">
        <v>98</v>
      </c>
      <c r="J280" s="36">
        <v>254</v>
      </c>
      <c r="K280" s="36">
        <v>363.22</v>
      </c>
    </row>
    <row r="281" spans="1:11" x14ac:dyDescent="0.3">
      <c r="A281" s="36" t="s">
        <v>90</v>
      </c>
      <c r="B281" s="36">
        <v>2020</v>
      </c>
      <c r="C281" s="36" t="s">
        <v>8</v>
      </c>
      <c r="D281" s="36" t="s">
        <v>91</v>
      </c>
      <c r="E281" s="36" t="s">
        <v>92</v>
      </c>
      <c r="F281" s="36" t="s">
        <v>93</v>
      </c>
      <c r="G281" s="36" t="s">
        <v>94</v>
      </c>
      <c r="H281" s="36" t="s">
        <v>95</v>
      </c>
      <c r="I281" s="36" t="s">
        <v>98</v>
      </c>
      <c r="J281" s="36">
        <v>182</v>
      </c>
      <c r="K281" s="36">
        <v>260.26</v>
      </c>
    </row>
    <row r="282" spans="1:11" x14ac:dyDescent="0.3">
      <c r="A282" s="36" t="s">
        <v>100</v>
      </c>
      <c r="B282" s="36">
        <v>2020</v>
      </c>
      <c r="C282" s="36" t="s">
        <v>8</v>
      </c>
      <c r="D282" s="36" t="s">
        <v>91</v>
      </c>
      <c r="E282" s="36" t="s">
        <v>92</v>
      </c>
      <c r="F282" s="36" t="s">
        <v>93</v>
      </c>
      <c r="G282" s="36" t="s">
        <v>94</v>
      </c>
      <c r="H282" s="36" t="s">
        <v>95</v>
      </c>
      <c r="I282" s="36" t="s">
        <v>98</v>
      </c>
      <c r="J282" s="36">
        <v>208</v>
      </c>
      <c r="K282" s="36">
        <v>297.44</v>
      </c>
    </row>
    <row r="283" spans="1:11" x14ac:dyDescent="0.3">
      <c r="A283" s="36" t="s">
        <v>100</v>
      </c>
      <c r="B283" s="36">
        <v>2020</v>
      </c>
      <c r="C283" s="36" t="s">
        <v>8</v>
      </c>
      <c r="D283" s="36" t="s">
        <v>91</v>
      </c>
      <c r="E283" s="36" t="s">
        <v>92</v>
      </c>
      <c r="F283" s="36" t="s">
        <v>93</v>
      </c>
      <c r="G283" s="36" t="s">
        <v>94</v>
      </c>
      <c r="H283" s="36" t="s">
        <v>95</v>
      </c>
      <c r="I283" s="36" t="s">
        <v>98</v>
      </c>
      <c r="J283" s="36">
        <v>256</v>
      </c>
      <c r="K283" s="36">
        <v>366.08</v>
      </c>
    </row>
    <row r="284" spans="1:11" x14ac:dyDescent="0.3">
      <c r="A284" s="36" t="s">
        <v>99</v>
      </c>
      <c r="B284" s="36">
        <v>2020</v>
      </c>
      <c r="C284" s="36" t="s">
        <v>8</v>
      </c>
      <c r="D284" s="36" t="s">
        <v>91</v>
      </c>
      <c r="E284" s="36" t="s">
        <v>92</v>
      </c>
      <c r="F284" s="36" t="s">
        <v>93</v>
      </c>
      <c r="G284" s="36" t="s">
        <v>94</v>
      </c>
      <c r="H284" s="36" t="s">
        <v>95</v>
      </c>
      <c r="I284" s="36" t="s">
        <v>98</v>
      </c>
      <c r="J284" s="36">
        <v>184</v>
      </c>
      <c r="K284" s="36">
        <v>263.12</v>
      </c>
    </row>
    <row r="285" spans="1:11" x14ac:dyDescent="0.3">
      <c r="A285" s="36" t="s">
        <v>101</v>
      </c>
      <c r="B285" s="36">
        <v>2020</v>
      </c>
      <c r="C285" s="36" t="s">
        <v>8</v>
      </c>
      <c r="D285" s="36" t="s">
        <v>91</v>
      </c>
      <c r="E285" s="36" t="s">
        <v>92</v>
      </c>
      <c r="F285" s="36" t="s">
        <v>93</v>
      </c>
      <c r="G285" s="36" t="s">
        <v>94</v>
      </c>
      <c r="H285" s="36" t="s">
        <v>95</v>
      </c>
      <c r="I285" s="36" t="s">
        <v>98</v>
      </c>
      <c r="J285" s="36">
        <v>270</v>
      </c>
      <c r="K285" s="36">
        <v>526.24</v>
      </c>
    </row>
    <row r="286" spans="1:11" x14ac:dyDescent="0.3">
      <c r="A286" s="36" t="s">
        <v>90</v>
      </c>
      <c r="B286" s="36">
        <v>2020</v>
      </c>
      <c r="C286" s="36" t="s">
        <v>8</v>
      </c>
      <c r="D286" s="36" t="s">
        <v>91</v>
      </c>
      <c r="E286" s="36" t="s">
        <v>92</v>
      </c>
      <c r="F286" s="36" t="s">
        <v>93</v>
      </c>
      <c r="G286" s="36" t="s">
        <v>94</v>
      </c>
      <c r="H286" s="36" t="s">
        <v>95</v>
      </c>
      <c r="I286" s="36" t="s">
        <v>98</v>
      </c>
      <c r="J286" s="36">
        <v>264</v>
      </c>
      <c r="K286" s="36">
        <v>526.24</v>
      </c>
    </row>
    <row r="287" spans="1:11" x14ac:dyDescent="0.3">
      <c r="A287" s="36" t="s">
        <v>100</v>
      </c>
      <c r="B287" s="36">
        <v>2020</v>
      </c>
      <c r="C287" s="36" t="s">
        <v>8</v>
      </c>
      <c r="D287" s="36" t="s">
        <v>91</v>
      </c>
      <c r="E287" s="36" t="s">
        <v>92</v>
      </c>
      <c r="F287" s="36" t="s">
        <v>93</v>
      </c>
      <c r="G287" s="36" t="s">
        <v>94</v>
      </c>
      <c r="H287" s="36" t="s">
        <v>95</v>
      </c>
      <c r="I287" s="36" t="s">
        <v>98</v>
      </c>
      <c r="J287" s="36">
        <v>681</v>
      </c>
      <c r="K287" s="36">
        <v>973.82999999999993</v>
      </c>
    </row>
    <row r="288" spans="1:11" x14ac:dyDescent="0.3">
      <c r="A288" s="36" t="s">
        <v>90</v>
      </c>
      <c r="B288" s="36">
        <v>2020</v>
      </c>
      <c r="C288" s="36" t="s">
        <v>8</v>
      </c>
      <c r="D288" s="36" t="s">
        <v>91</v>
      </c>
      <c r="E288" s="36" t="s">
        <v>92</v>
      </c>
      <c r="F288" s="36" t="s">
        <v>93</v>
      </c>
      <c r="G288" s="36" t="s">
        <v>94</v>
      </c>
      <c r="H288" s="36" t="s">
        <v>95</v>
      </c>
      <c r="I288" s="36" t="s">
        <v>98</v>
      </c>
      <c r="J288" s="36">
        <v>714</v>
      </c>
      <c r="K288" s="36">
        <v>1021.02</v>
      </c>
    </row>
    <row r="289" spans="1:11" x14ac:dyDescent="0.3">
      <c r="A289" s="36" t="s">
        <v>90</v>
      </c>
      <c r="B289" s="36">
        <v>2020</v>
      </c>
      <c r="C289" s="36" t="s">
        <v>8</v>
      </c>
      <c r="D289" s="36" t="s">
        <v>91</v>
      </c>
      <c r="E289" s="36" t="s">
        <v>92</v>
      </c>
      <c r="F289" s="36" t="s">
        <v>93</v>
      </c>
      <c r="G289" s="36" t="s">
        <v>94</v>
      </c>
      <c r="H289" s="36" t="s">
        <v>95</v>
      </c>
      <c r="I289" s="36" t="s">
        <v>98</v>
      </c>
      <c r="J289" s="36">
        <v>768</v>
      </c>
      <c r="K289" s="36">
        <v>1098.24</v>
      </c>
    </row>
    <row r="290" spans="1:11" x14ac:dyDescent="0.3">
      <c r="A290" s="36" t="s">
        <v>90</v>
      </c>
      <c r="B290" s="36">
        <v>2020</v>
      </c>
      <c r="C290" s="36" t="s">
        <v>8</v>
      </c>
      <c r="D290" s="36" t="s">
        <v>91</v>
      </c>
      <c r="E290" s="36" t="s">
        <v>92</v>
      </c>
      <c r="F290" s="36" t="s">
        <v>93</v>
      </c>
      <c r="G290" s="36" t="s">
        <v>94</v>
      </c>
      <c r="H290" s="36" t="s">
        <v>95</v>
      </c>
      <c r="I290" s="36" t="s">
        <v>98</v>
      </c>
      <c r="J290" s="36">
        <v>273</v>
      </c>
      <c r="K290" s="36">
        <v>390.39</v>
      </c>
    </row>
    <row r="291" spans="1:11" x14ac:dyDescent="0.3">
      <c r="A291" s="36" t="s">
        <v>100</v>
      </c>
      <c r="B291" s="36">
        <v>2020</v>
      </c>
      <c r="C291" s="36" t="s">
        <v>8</v>
      </c>
      <c r="D291" s="36" t="s">
        <v>91</v>
      </c>
      <c r="E291" s="36" t="s">
        <v>92</v>
      </c>
      <c r="F291" s="36" t="s">
        <v>93</v>
      </c>
      <c r="G291" s="36" t="s">
        <v>94</v>
      </c>
      <c r="H291" s="36" t="s">
        <v>95</v>
      </c>
      <c r="I291" s="36" t="s">
        <v>98</v>
      </c>
      <c r="J291" s="36">
        <v>267</v>
      </c>
      <c r="K291" s="36">
        <v>381.81</v>
      </c>
    </row>
    <row r="292" spans="1:11" x14ac:dyDescent="0.3">
      <c r="A292" s="36" t="s">
        <v>99</v>
      </c>
      <c r="B292" s="36">
        <v>2020</v>
      </c>
      <c r="C292" s="36" t="s">
        <v>8</v>
      </c>
      <c r="D292" s="36" t="s">
        <v>91</v>
      </c>
      <c r="E292" s="36" t="s">
        <v>92</v>
      </c>
      <c r="F292" s="36" t="s">
        <v>93</v>
      </c>
      <c r="G292" s="36" t="s">
        <v>94</v>
      </c>
      <c r="H292" s="36" t="s">
        <v>95</v>
      </c>
      <c r="I292" s="36" t="s">
        <v>98</v>
      </c>
      <c r="J292" s="36">
        <v>261</v>
      </c>
      <c r="K292" s="36">
        <v>373.23</v>
      </c>
    </row>
    <row r="293" spans="1:11" x14ac:dyDescent="0.3">
      <c r="A293" s="36" t="s">
        <v>90</v>
      </c>
      <c r="B293" s="36">
        <v>2020</v>
      </c>
      <c r="C293" s="36" t="s">
        <v>8</v>
      </c>
      <c r="D293" s="36" t="s">
        <v>91</v>
      </c>
      <c r="E293" s="36" t="s">
        <v>92</v>
      </c>
      <c r="F293" s="36" t="s">
        <v>93</v>
      </c>
      <c r="G293" s="36" t="s">
        <v>94</v>
      </c>
      <c r="H293" s="36" t="s">
        <v>95</v>
      </c>
      <c r="I293" s="36" t="s">
        <v>98</v>
      </c>
      <c r="J293" s="36">
        <v>207</v>
      </c>
      <c r="K293" s="36">
        <v>296.01</v>
      </c>
    </row>
    <row r="294" spans="1:11" x14ac:dyDescent="0.3">
      <c r="A294" s="36" t="s">
        <v>90</v>
      </c>
      <c r="B294" s="36">
        <v>2020</v>
      </c>
      <c r="C294" s="36" t="s">
        <v>8</v>
      </c>
      <c r="D294" s="36" t="s">
        <v>91</v>
      </c>
      <c r="E294" s="36" t="s">
        <v>92</v>
      </c>
      <c r="F294" s="36" t="s">
        <v>93</v>
      </c>
      <c r="G294" s="36" t="s">
        <v>94</v>
      </c>
      <c r="H294" s="36" t="s">
        <v>95</v>
      </c>
      <c r="I294" s="36" t="s">
        <v>98</v>
      </c>
      <c r="J294" s="36">
        <v>754</v>
      </c>
      <c r="K294" s="36">
        <v>526.24</v>
      </c>
    </row>
    <row r="295" spans="1:11" x14ac:dyDescent="0.3">
      <c r="A295" s="36" t="s">
        <v>100</v>
      </c>
      <c r="B295" s="36">
        <v>2020</v>
      </c>
      <c r="C295" s="36" t="s">
        <v>8</v>
      </c>
      <c r="D295" s="36" t="s">
        <v>91</v>
      </c>
      <c r="E295" s="36" t="s">
        <v>92</v>
      </c>
      <c r="F295" s="36" t="s">
        <v>93</v>
      </c>
      <c r="G295" s="36" t="s">
        <v>94</v>
      </c>
      <c r="H295" s="36" t="s">
        <v>95</v>
      </c>
      <c r="I295" s="36" t="s">
        <v>98</v>
      </c>
      <c r="J295" s="36">
        <v>807</v>
      </c>
      <c r="K295" s="36">
        <v>526.24</v>
      </c>
    </row>
    <row r="296" spans="1:11" x14ac:dyDescent="0.3">
      <c r="A296" s="36" t="s">
        <v>99</v>
      </c>
      <c r="B296" s="36">
        <v>2020</v>
      </c>
      <c r="C296" s="36" t="s">
        <v>8</v>
      </c>
      <c r="D296" s="36" t="s">
        <v>91</v>
      </c>
      <c r="E296" s="36" t="s">
        <v>92</v>
      </c>
      <c r="F296" s="36" t="s">
        <v>93</v>
      </c>
      <c r="G296" s="36" t="s">
        <v>94</v>
      </c>
      <c r="H296" s="36" t="s">
        <v>95</v>
      </c>
      <c r="I296" s="36" t="s">
        <v>98</v>
      </c>
      <c r="J296" s="36">
        <v>211</v>
      </c>
      <c r="K296" s="36">
        <v>301.73</v>
      </c>
    </row>
    <row r="297" spans="1:11" x14ac:dyDescent="0.3">
      <c r="A297" s="36" t="s">
        <v>100</v>
      </c>
      <c r="B297" s="36">
        <v>2020</v>
      </c>
      <c r="C297" s="36" t="s">
        <v>8</v>
      </c>
      <c r="D297" s="36" t="s">
        <v>91</v>
      </c>
      <c r="E297" s="36" t="s">
        <v>92</v>
      </c>
      <c r="F297" s="36" t="s">
        <v>93</v>
      </c>
      <c r="G297" s="36" t="s">
        <v>94</v>
      </c>
      <c r="H297" s="36" t="s">
        <v>95</v>
      </c>
      <c r="I297" s="36" t="s">
        <v>98</v>
      </c>
      <c r="J297" s="36">
        <v>181</v>
      </c>
      <c r="K297" s="36">
        <v>258.83</v>
      </c>
    </row>
    <row r="298" spans="1:11" x14ac:dyDescent="0.3">
      <c r="A298" s="36" t="s">
        <v>90</v>
      </c>
      <c r="B298" s="36">
        <v>2020</v>
      </c>
      <c r="C298" s="36" t="s">
        <v>8</v>
      </c>
      <c r="D298" s="36" t="s">
        <v>91</v>
      </c>
      <c r="E298" s="36" t="s">
        <v>92</v>
      </c>
      <c r="F298" s="36" t="s">
        <v>93</v>
      </c>
      <c r="G298" s="36" t="s">
        <v>94</v>
      </c>
      <c r="H298" s="36" t="s">
        <v>95</v>
      </c>
      <c r="I298" s="36" t="s">
        <v>96</v>
      </c>
      <c r="J298" s="36">
        <v>269</v>
      </c>
      <c r="K298" s="36">
        <v>384.67</v>
      </c>
    </row>
    <row r="299" spans="1:11" x14ac:dyDescent="0.3">
      <c r="A299" s="36" t="s">
        <v>97</v>
      </c>
      <c r="B299" s="36">
        <v>2020</v>
      </c>
      <c r="C299" s="36" t="s">
        <v>8</v>
      </c>
      <c r="D299" s="36" t="s">
        <v>91</v>
      </c>
      <c r="E299" s="36" t="s">
        <v>92</v>
      </c>
      <c r="F299" s="36" t="s">
        <v>93</v>
      </c>
      <c r="G299" s="36" t="s">
        <v>94</v>
      </c>
      <c r="H299" s="36" t="s">
        <v>95</v>
      </c>
      <c r="I299" s="36" t="s">
        <v>96</v>
      </c>
      <c r="J299" s="36">
        <v>263</v>
      </c>
      <c r="K299" s="36">
        <v>376.09000000000003</v>
      </c>
    </row>
    <row r="300" spans="1:11" x14ac:dyDescent="0.3">
      <c r="A300" s="36" t="s">
        <v>90</v>
      </c>
      <c r="B300" s="36">
        <v>2020</v>
      </c>
      <c r="C300" s="36" t="s">
        <v>8</v>
      </c>
      <c r="D300" s="36" t="s">
        <v>91</v>
      </c>
      <c r="E300" s="36" t="s">
        <v>92</v>
      </c>
      <c r="F300" s="36" t="s">
        <v>93</v>
      </c>
      <c r="G300" s="36" t="s">
        <v>94</v>
      </c>
      <c r="H300" s="36" t="s">
        <v>95</v>
      </c>
      <c r="I300" s="36" t="s">
        <v>98</v>
      </c>
      <c r="J300" s="36">
        <v>209</v>
      </c>
      <c r="K300" s="36">
        <v>298.87</v>
      </c>
    </row>
    <row r="301" spans="1:11" x14ac:dyDescent="0.3">
      <c r="A301" s="36" t="s">
        <v>101</v>
      </c>
      <c r="B301" s="36">
        <v>2020</v>
      </c>
      <c r="C301" s="36" t="s">
        <v>8</v>
      </c>
      <c r="D301" s="36" t="s">
        <v>91</v>
      </c>
      <c r="E301" s="36" t="s">
        <v>92</v>
      </c>
      <c r="F301" s="36" t="s">
        <v>93</v>
      </c>
      <c r="G301" s="36" t="s">
        <v>94</v>
      </c>
      <c r="H301" s="36" t="s">
        <v>95</v>
      </c>
      <c r="I301" s="36" t="s">
        <v>98</v>
      </c>
      <c r="J301" s="36">
        <v>257</v>
      </c>
      <c r="K301" s="36">
        <v>367.51</v>
      </c>
    </row>
    <row r="302" spans="1:11" x14ac:dyDescent="0.3">
      <c r="A302" s="36" t="s">
        <v>90</v>
      </c>
      <c r="B302" s="36">
        <v>2020</v>
      </c>
      <c r="C302" s="36" t="s">
        <v>3</v>
      </c>
      <c r="D302" s="36" t="s">
        <v>103</v>
      </c>
      <c r="E302" s="36" t="s">
        <v>92</v>
      </c>
      <c r="F302" s="36" t="s">
        <v>93</v>
      </c>
      <c r="G302" s="36" t="s">
        <v>94</v>
      </c>
      <c r="H302" s="36" t="s">
        <v>95</v>
      </c>
      <c r="I302" s="36" t="s">
        <v>96</v>
      </c>
      <c r="J302" s="36">
        <v>128</v>
      </c>
      <c r="K302" s="36">
        <v>183.04</v>
      </c>
    </row>
    <row r="303" spans="1:11" x14ac:dyDescent="0.3">
      <c r="A303" s="36" t="s">
        <v>99</v>
      </c>
      <c r="B303" s="36">
        <v>2020</v>
      </c>
      <c r="C303" s="36" t="s">
        <v>3</v>
      </c>
      <c r="D303" s="36" t="s">
        <v>103</v>
      </c>
      <c r="E303" s="36" t="s">
        <v>92</v>
      </c>
      <c r="F303" s="36" t="s">
        <v>93</v>
      </c>
      <c r="G303" s="36" t="s">
        <v>94</v>
      </c>
      <c r="H303" s="36" t="s">
        <v>95</v>
      </c>
      <c r="I303" s="36" t="s">
        <v>96</v>
      </c>
      <c r="J303" s="36">
        <v>302</v>
      </c>
      <c r="K303" s="36">
        <v>431.86</v>
      </c>
    </row>
    <row r="304" spans="1:11" x14ac:dyDescent="0.3">
      <c r="A304" s="36" t="s">
        <v>97</v>
      </c>
      <c r="B304" s="36">
        <v>2020</v>
      </c>
      <c r="C304" s="36" t="s">
        <v>3</v>
      </c>
      <c r="D304" s="36" t="s">
        <v>103</v>
      </c>
      <c r="E304" s="36" t="s">
        <v>92</v>
      </c>
      <c r="F304" s="36" t="s">
        <v>93</v>
      </c>
      <c r="G304" s="36" t="s">
        <v>94</v>
      </c>
      <c r="H304" s="36" t="s">
        <v>95</v>
      </c>
      <c r="I304" s="36" t="s">
        <v>96</v>
      </c>
      <c r="J304" s="36">
        <v>328</v>
      </c>
      <c r="K304" s="36">
        <v>526.24</v>
      </c>
    </row>
    <row r="305" spans="1:11" x14ac:dyDescent="0.3">
      <c r="A305" s="36" t="s">
        <v>90</v>
      </c>
      <c r="B305" s="36">
        <v>2020</v>
      </c>
      <c r="C305" s="36" t="s">
        <v>3</v>
      </c>
      <c r="D305" s="36" t="s">
        <v>103</v>
      </c>
      <c r="E305" s="36" t="s">
        <v>92</v>
      </c>
      <c r="F305" s="36" t="s">
        <v>93</v>
      </c>
      <c r="G305" s="36" t="s">
        <v>94</v>
      </c>
      <c r="H305" s="36" t="s">
        <v>95</v>
      </c>
      <c r="I305" s="36" t="s">
        <v>96</v>
      </c>
      <c r="J305" s="36">
        <v>130</v>
      </c>
      <c r="K305" s="36">
        <v>526.24</v>
      </c>
    </row>
    <row r="306" spans="1:11" x14ac:dyDescent="0.3">
      <c r="A306" s="36" t="s">
        <v>90</v>
      </c>
      <c r="B306" s="36">
        <v>2020</v>
      </c>
      <c r="C306" s="36" t="s">
        <v>3</v>
      </c>
      <c r="D306" s="36" t="s">
        <v>103</v>
      </c>
      <c r="E306" s="36" t="s">
        <v>92</v>
      </c>
      <c r="F306" s="36" t="s">
        <v>93</v>
      </c>
      <c r="G306" s="36" t="s">
        <v>94</v>
      </c>
      <c r="H306" s="36" t="s">
        <v>95</v>
      </c>
      <c r="I306" s="36" t="s">
        <v>96</v>
      </c>
      <c r="J306" s="36">
        <v>304</v>
      </c>
      <c r="K306" s="36">
        <v>526.24</v>
      </c>
    </row>
    <row r="307" spans="1:11" x14ac:dyDescent="0.3">
      <c r="A307" s="36" t="s">
        <v>97</v>
      </c>
      <c r="B307" s="36">
        <v>2020</v>
      </c>
      <c r="C307" s="36" t="s">
        <v>3</v>
      </c>
      <c r="D307" s="36" t="s">
        <v>103</v>
      </c>
      <c r="E307" s="36" t="s">
        <v>92</v>
      </c>
      <c r="F307" s="36" t="s">
        <v>93</v>
      </c>
      <c r="G307" s="36" t="s">
        <v>94</v>
      </c>
      <c r="H307" s="36" t="s">
        <v>95</v>
      </c>
      <c r="I307" s="36" t="s">
        <v>96</v>
      </c>
      <c r="J307" s="36">
        <v>989</v>
      </c>
      <c r="K307" s="36">
        <v>1414.27</v>
      </c>
    </row>
    <row r="308" spans="1:11" x14ac:dyDescent="0.3">
      <c r="A308" s="36" t="s">
        <v>90</v>
      </c>
      <c r="B308" s="36">
        <v>2020</v>
      </c>
      <c r="C308" s="36" t="s">
        <v>3</v>
      </c>
      <c r="D308" s="36" t="s">
        <v>103</v>
      </c>
      <c r="E308" s="36" t="s">
        <v>92</v>
      </c>
      <c r="F308" s="36" t="s">
        <v>93</v>
      </c>
      <c r="G308" s="36" t="s">
        <v>94</v>
      </c>
      <c r="H308" s="36" t="s">
        <v>95</v>
      </c>
      <c r="I308" s="36" t="s">
        <v>96</v>
      </c>
      <c r="J308" s="36">
        <v>1022</v>
      </c>
      <c r="K308" s="36">
        <v>1461.46</v>
      </c>
    </row>
    <row r="309" spans="1:11" x14ac:dyDescent="0.3">
      <c r="A309" s="36" t="s">
        <v>99</v>
      </c>
      <c r="B309" s="36">
        <v>2020</v>
      </c>
      <c r="C309" s="36" t="s">
        <v>3</v>
      </c>
      <c r="D309" s="36" t="s">
        <v>103</v>
      </c>
      <c r="E309" s="36" t="s">
        <v>92</v>
      </c>
      <c r="F309" s="36" t="s">
        <v>93</v>
      </c>
      <c r="G309" s="36" t="s">
        <v>94</v>
      </c>
      <c r="H309" s="36" t="s">
        <v>95</v>
      </c>
      <c r="I309" s="36" t="s">
        <v>96</v>
      </c>
      <c r="J309" s="36">
        <v>300</v>
      </c>
      <c r="K309" s="36">
        <v>429</v>
      </c>
    </row>
    <row r="310" spans="1:11" x14ac:dyDescent="0.3">
      <c r="A310" s="36" t="s">
        <v>99</v>
      </c>
      <c r="B310" s="36">
        <v>2020</v>
      </c>
      <c r="C310" s="36" t="s">
        <v>3</v>
      </c>
      <c r="D310" s="36" t="s">
        <v>103</v>
      </c>
      <c r="E310" s="36" t="s">
        <v>92</v>
      </c>
      <c r="F310" s="36" t="s">
        <v>93</v>
      </c>
      <c r="G310" s="36" t="s">
        <v>94</v>
      </c>
      <c r="H310" s="36" t="s">
        <v>95</v>
      </c>
      <c r="I310" s="36" t="s">
        <v>96</v>
      </c>
      <c r="J310" s="36">
        <v>327</v>
      </c>
      <c r="K310" s="36">
        <v>467.61</v>
      </c>
    </row>
    <row r="311" spans="1:11" x14ac:dyDescent="0.3">
      <c r="A311" s="36" t="s">
        <v>90</v>
      </c>
      <c r="B311" s="36">
        <v>2020</v>
      </c>
      <c r="C311" s="36" t="s">
        <v>3</v>
      </c>
      <c r="D311" s="36" t="s">
        <v>103</v>
      </c>
      <c r="E311" s="36" t="s">
        <v>92</v>
      </c>
      <c r="F311" s="36" t="s">
        <v>93</v>
      </c>
      <c r="G311" s="36" t="s">
        <v>94</v>
      </c>
      <c r="H311" s="36" t="s">
        <v>95</v>
      </c>
      <c r="I311" s="36" t="s">
        <v>96</v>
      </c>
      <c r="J311" s="36">
        <v>129</v>
      </c>
      <c r="K311" s="36">
        <v>184.47</v>
      </c>
    </row>
    <row r="312" spans="1:11" x14ac:dyDescent="0.3">
      <c r="A312" s="36" t="s">
        <v>97</v>
      </c>
      <c r="B312" s="36">
        <v>2020</v>
      </c>
      <c r="C312" s="36" t="s">
        <v>3</v>
      </c>
      <c r="D312" s="36" t="s">
        <v>103</v>
      </c>
      <c r="E312" s="36" t="s">
        <v>92</v>
      </c>
      <c r="F312" s="36" t="s">
        <v>93</v>
      </c>
      <c r="G312" s="36" t="s">
        <v>94</v>
      </c>
      <c r="H312" s="36" t="s">
        <v>95</v>
      </c>
      <c r="I312" s="36" t="s">
        <v>96</v>
      </c>
      <c r="J312" s="36">
        <v>303</v>
      </c>
      <c r="K312" s="36">
        <v>433.28999999999996</v>
      </c>
    </row>
    <row r="313" spans="1:11" x14ac:dyDescent="0.3">
      <c r="A313" s="36" t="s">
        <v>90</v>
      </c>
      <c r="B313" s="36">
        <v>2020</v>
      </c>
      <c r="C313" s="36" t="s">
        <v>3</v>
      </c>
      <c r="D313" s="36" t="s">
        <v>103</v>
      </c>
      <c r="E313" s="36" t="s">
        <v>92</v>
      </c>
      <c r="F313" s="36" t="s">
        <v>93</v>
      </c>
      <c r="G313" s="36" t="s">
        <v>94</v>
      </c>
      <c r="H313" s="36" t="s">
        <v>95</v>
      </c>
      <c r="I313" s="36" t="s">
        <v>96</v>
      </c>
      <c r="J313" s="36">
        <v>770</v>
      </c>
      <c r="K313" s="36">
        <v>1101.0999999999999</v>
      </c>
    </row>
    <row r="314" spans="1:11" x14ac:dyDescent="0.3">
      <c r="A314" s="36" t="s">
        <v>97</v>
      </c>
      <c r="B314" s="36">
        <v>2020</v>
      </c>
      <c r="C314" s="36" t="s">
        <v>3</v>
      </c>
      <c r="D314" s="36" t="s">
        <v>103</v>
      </c>
      <c r="E314" s="36" t="s">
        <v>92</v>
      </c>
      <c r="F314" s="36" t="s">
        <v>93</v>
      </c>
      <c r="G314" s="36" t="s">
        <v>94</v>
      </c>
      <c r="H314" s="36" t="s">
        <v>95</v>
      </c>
      <c r="I314" s="36" t="s">
        <v>96</v>
      </c>
      <c r="J314" s="36">
        <v>857</v>
      </c>
      <c r="K314" s="36">
        <v>1225.51</v>
      </c>
    </row>
    <row r="315" spans="1:11" x14ac:dyDescent="0.3">
      <c r="A315" s="36" t="s">
        <v>99</v>
      </c>
      <c r="B315" s="36">
        <v>2020</v>
      </c>
      <c r="C315" s="36" t="s">
        <v>3</v>
      </c>
      <c r="D315" s="36" t="s">
        <v>103</v>
      </c>
      <c r="E315" s="36" t="s">
        <v>92</v>
      </c>
      <c r="F315" s="36" t="s">
        <v>93</v>
      </c>
      <c r="G315" s="36" t="s">
        <v>94</v>
      </c>
      <c r="H315" s="36" t="s">
        <v>95</v>
      </c>
      <c r="I315" s="36" t="s">
        <v>96</v>
      </c>
      <c r="J315" s="36">
        <v>329</v>
      </c>
      <c r="K315" s="36">
        <v>470.47</v>
      </c>
    </row>
    <row r="316" spans="1:11" x14ac:dyDescent="0.3">
      <c r="A316" s="36" t="s">
        <v>90</v>
      </c>
      <c r="B316" s="36">
        <v>2020</v>
      </c>
      <c r="C316" s="36" t="s">
        <v>3</v>
      </c>
      <c r="D316" s="36" t="s">
        <v>103</v>
      </c>
      <c r="E316" s="36" t="s">
        <v>92</v>
      </c>
      <c r="F316" s="36" t="s">
        <v>93</v>
      </c>
      <c r="G316" s="36" t="s">
        <v>94</v>
      </c>
      <c r="H316" s="36" t="s">
        <v>95</v>
      </c>
      <c r="I316" s="36" t="s">
        <v>96</v>
      </c>
      <c r="J316" s="36">
        <v>131</v>
      </c>
      <c r="K316" s="36">
        <v>187.32999999999998</v>
      </c>
    </row>
    <row r="317" spans="1:11" x14ac:dyDescent="0.3">
      <c r="A317" s="36" t="s">
        <v>99</v>
      </c>
      <c r="B317" s="36">
        <v>2020</v>
      </c>
      <c r="C317" s="36" t="s">
        <v>7</v>
      </c>
      <c r="D317" s="36" t="s">
        <v>103</v>
      </c>
      <c r="E317" s="36" t="s">
        <v>92</v>
      </c>
      <c r="F317" s="36" t="s">
        <v>93</v>
      </c>
      <c r="G317" s="36" t="s">
        <v>94</v>
      </c>
      <c r="H317" s="36" t="s">
        <v>95</v>
      </c>
      <c r="I317" s="36" t="s">
        <v>96</v>
      </c>
      <c r="J317" s="36">
        <v>308</v>
      </c>
      <c r="K317" s="36">
        <v>440.44</v>
      </c>
    </row>
    <row r="318" spans="1:11" x14ac:dyDescent="0.3">
      <c r="A318" s="36" t="s">
        <v>90</v>
      </c>
      <c r="B318" s="36">
        <v>2020</v>
      </c>
      <c r="C318" s="36" t="s">
        <v>7</v>
      </c>
      <c r="D318" s="36" t="s">
        <v>103</v>
      </c>
      <c r="E318" s="36" t="s">
        <v>92</v>
      </c>
      <c r="F318" s="36" t="s">
        <v>93</v>
      </c>
      <c r="G318" s="36" t="s">
        <v>94</v>
      </c>
      <c r="H318" s="36" t="s">
        <v>95</v>
      </c>
      <c r="I318" s="36" t="s">
        <v>96</v>
      </c>
      <c r="J318" s="36">
        <v>356</v>
      </c>
      <c r="K318" s="36">
        <v>509.08</v>
      </c>
    </row>
    <row r="319" spans="1:11" x14ac:dyDescent="0.3">
      <c r="A319" s="36" t="s">
        <v>97</v>
      </c>
      <c r="B319" s="36">
        <v>2020</v>
      </c>
      <c r="C319" s="36" t="s">
        <v>7</v>
      </c>
      <c r="D319" s="36" t="s">
        <v>103</v>
      </c>
      <c r="E319" s="36" t="s">
        <v>92</v>
      </c>
      <c r="F319" s="36" t="s">
        <v>93</v>
      </c>
      <c r="G319" s="36" t="s">
        <v>94</v>
      </c>
      <c r="H319" s="36" t="s">
        <v>95</v>
      </c>
      <c r="I319" s="36" t="s">
        <v>96</v>
      </c>
      <c r="J319" s="36">
        <v>310</v>
      </c>
      <c r="K319" s="36">
        <v>526.24</v>
      </c>
    </row>
    <row r="320" spans="1:11" x14ac:dyDescent="0.3">
      <c r="A320" s="36" t="s">
        <v>97</v>
      </c>
      <c r="B320" s="36">
        <v>2020</v>
      </c>
      <c r="C320" s="36" t="s">
        <v>7</v>
      </c>
      <c r="D320" s="36" t="s">
        <v>103</v>
      </c>
      <c r="E320" s="36" t="s">
        <v>92</v>
      </c>
      <c r="F320" s="36" t="s">
        <v>93</v>
      </c>
      <c r="G320" s="36" t="s">
        <v>94</v>
      </c>
      <c r="H320" s="36" t="s">
        <v>95</v>
      </c>
      <c r="I320" s="36" t="s">
        <v>96</v>
      </c>
      <c r="J320" s="36">
        <v>352</v>
      </c>
      <c r="K320" s="36">
        <v>526.24</v>
      </c>
    </row>
    <row r="321" spans="1:11" x14ac:dyDescent="0.3">
      <c r="A321" s="36" t="s">
        <v>97</v>
      </c>
      <c r="B321" s="36">
        <v>2020</v>
      </c>
      <c r="C321" s="36" t="s">
        <v>7</v>
      </c>
      <c r="D321" s="36" t="s">
        <v>103</v>
      </c>
      <c r="E321" s="36" t="s">
        <v>92</v>
      </c>
      <c r="F321" s="36" t="s">
        <v>93</v>
      </c>
      <c r="G321" s="36" t="s">
        <v>94</v>
      </c>
      <c r="H321" s="36" t="s">
        <v>95</v>
      </c>
      <c r="I321" s="36" t="s">
        <v>96</v>
      </c>
      <c r="J321" s="36">
        <v>280</v>
      </c>
      <c r="K321" s="36">
        <v>526.24</v>
      </c>
    </row>
    <row r="322" spans="1:11" x14ac:dyDescent="0.3">
      <c r="A322" s="36" t="s">
        <v>97</v>
      </c>
      <c r="B322" s="36">
        <v>2020</v>
      </c>
      <c r="C322" s="36" t="s">
        <v>7</v>
      </c>
      <c r="D322" s="36" t="s">
        <v>103</v>
      </c>
      <c r="E322" s="36" t="s">
        <v>92</v>
      </c>
      <c r="F322" s="36" t="s">
        <v>93</v>
      </c>
      <c r="G322" s="36" t="s">
        <v>94</v>
      </c>
      <c r="H322" s="36" t="s">
        <v>95</v>
      </c>
      <c r="I322" s="36" t="s">
        <v>96</v>
      </c>
      <c r="J322" s="36">
        <v>993</v>
      </c>
      <c r="K322" s="36">
        <v>1419.99</v>
      </c>
    </row>
    <row r="323" spans="1:11" x14ac:dyDescent="0.3">
      <c r="A323" s="36" t="s">
        <v>97</v>
      </c>
      <c r="B323" s="36">
        <v>2020</v>
      </c>
      <c r="C323" s="36" t="s">
        <v>7</v>
      </c>
      <c r="D323" s="36" t="s">
        <v>103</v>
      </c>
      <c r="E323" s="36" t="s">
        <v>92</v>
      </c>
      <c r="F323" s="36" t="s">
        <v>93</v>
      </c>
      <c r="G323" s="36" t="s">
        <v>94</v>
      </c>
      <c r="H323" s="36" t="s">
        <v>95</v>
      </c>
      <c r="I323" s="36" t="s">
        <v>96</v>
      </c>
      <c r="J323" s="36">
        <v>1026</v>
      </c>
      <c r="K323" s="36">
        <v>1467.18</v>
      </c>
    </row>
    <row r="324" spans="1:11" x14ac:dyDescent="0.3">
      <c r="A324" s="36" t="s">
        <v>99</v>
      </c>
      <c r="B324" s="36">
        <v>2020</v>
      </c>
      <c r="C324" s="36" t="s">
        <v>7</v>
      </c>
      <c r="D324" s="36" t="s">
        <v>103</v>
      </c>
      <c r="E324" s="36" t="s">
        <v>92</v>
      </c>
      <c r="F324" s="36" t="s">
        <v>93</v>
      </c>
      <c r="G324" s="36" t="s">
        <v>94</v>
      </c>
      <c r="H324" s="36" t="s">
        <v>95</v>
      </c>
      <c r="I324" s="36" t="s">
        <v>96</v>
      </c>
      <c r="J324" s="36">
        <v>282</v>
      </c>
      <c r="K324" s="36">
        <v>403.26</v>
      </c>
    </row>
    <row r="325" spans="1:11" x14ac:dyDescent="0.3">
      <c r="A325" s="36" t="s">
        <v>99</v>
      </c>
      <c r="B325" s="36">
        <v>2020</v>
      </c>
      <c r="C325" s="36" t="s">
        <v>7</v>
      </c>
      <c r="D325" s="36" t="s">
        <v>103</v>
      </c>
      <c r="E325" s="36" t="s">
        <v>92</v>
      </c>
      <c r="F325" s="36" t="s">
        <v>93</v>
      </c>
      <c r="G325" s="36" t="s">
        <v>94</v>
      </c>
      <c r="H325" s="36" t="s">
        <v>95</v>
      </c>
      <c r="I325" s="36" t="s">
        <v>96</v>
      </c>
      <c r="J325" s="36">
        <v>309</v>
      </c>
      <c r="K325" s="36">
        <v>441.87</v>
      </c>
    </row>
    <row r="326" spans="1:11" x14ac:dyDescent="0.3">
      <c r="A326" s="36" t="s">
        <v>90</v>
      </c>
      <c r="B326" s="36">
        <v>2020</v>
      </c>
      <c r="C326" s="36" t="s">
        <v>7</v>
      </c>
      <c r="D326" s="36" t="s">
        <v>103</v>
      </c>
      <c r="E326" s="36" t="s">
        <v>92</v>
      </c>
      <c r="F326" s="36" t="s">
        <v>93</v>
      </c>
      <c r="G326" s="36" t="s">
        <v>94</v>
      </c>
      <c r="H326" s="36" t="s">
        <v>95</v>
      </c>
      <c r="I326" s="36" t="s">
        <v>96</v>
      </c>
      <c r="J326" s="36">
        <v>357</v>
      </c>
      <c r="K326" s="36">
        <v>510.51</v>
      </c>
    </row>
    <row r="327" spans="1:11" x14ac:dyDescent="0.3">
      <c r="A327" s="36" t="s">
        <v>97</v>
      </c>
      <c r="B327" s="36">
        <v>2020</v>
      </c>
      <c r="C327" s="36" t="s">
        <v>7</v>
      </c>
      <c r="D327" s="36" t="s">
        <v>103</v>
      </c>
      <c r="E327" s="36" t="s">
        <v>92</v>
      </c>
      <c r="F327" s="36" t="s">
        <v>93</v>
      </c>
      <c r="G327" s="36" t="s">
        <v>94</v>
      </c>
      <c r="H327" s="36" t="s">
        <v>95</v>
      </c>
      <c r="I327" s="36" t="s">
        <v>96</v>
      </c>
      <c r="J327" s="36">
        <v>279</v>
      </c>
      <c r="K327" s="36">
        <v>398.97</v>
      </c>
    </row>
    <row r="328" spans="1:11" x14ac:dyDescent="0.3">
      <c r="A328" s="36" t="s">
        <v>97</v>
      </c>
      <c r="B328" s="36">
        <v>2020</v>
      </c>
      <c r="C328" s="36" t="s">
        <v>7</v>
      </c>
      <c r="D328" s="36" t="s">
        <v>103</v>
      </c>
      <c r="E328" s="36" t="s">
        <v>92</v>
      </c>
      <c r="F328" s="36" t="s">
        <v>93</v>
      </c>
      <c r="G328" s="36" t="s">
        <v>94</v>
      </c>
      <c r="H328" s="36" t="s">
        <v>95</v>
      </c>
      <c r="I328" s="36" t="s">
        <v>96</v>
      </c>
      <c r="J328" s="36">
        <v>774</v>
      </c>
      <c r="K328" s="36">
        <v>1106.82</v>
      </c>
    </row>
    <row r="329" spans="1:11" x14ac:dyDescent="0.3">
      <c r="A329" s="36" t="s">
        <v>90</v>
      </c>
      <c r="B329" s="36">
        <v>2020</v>
      </c>
      <c r="C329" s="36" t="s">
        <v>7</v>
      </c>
      <c r="D329" s="36" t="s">
        <v>103</v>
      </c>
      <c r="E329" s="36" t="s">
        <v>92</v>
      </c>
      <c r="F329" s="36" t="s">
        <v>93</v>
      </c>
      <c r="G329" s="36" t="s">
        <v>94</v>
      </c>
      <c r="H329" s="36" t="s">
        <v>95</v>
      </c>
      <c r="I329" s="36" t="s">
        <v>96</v>
      </c>
      <c r="J329" s="36">
        <v>807</v>
      </c>
      <c r="K329" s="36">
        <v>1154.01</v>
      </c>
    </row>
    <row r="330" spans="1:11" x14ac:dyDescent="0.3">
      <c r="A330" s="36" t="s">
        <v>97</v>
      </c>
      <c r="B330" s="36">
        <v>2020</v>
      </c>
      <c r="C330" s="36" t="s">
        <v>7</v>
      </c>
      <c r="D330" s="36" t="s">
        <v>103</v>
      </c>
      <c r="E330" s="36" t="s">
        <v>92</v>
      </c>
      <c r="F330" s="36" t="s">
        <v>93</v>
      </c>
      <c r="G330" s="36" t="s">
        <v>94</v>
      </c>
      <c r="H330" s="36" t="s">
        <v>95</v>
      </c>
      <c r="I330" s="36" t="s">
        <v>96</v>
      </c>
      <c r="J330" s="36">
        <v>860</v>
      </c>
      <c r="K330" s="36">
        <v>1229.8</v>
      </c>
    </row>
    <row r="331" spans="1:11" x14ac:dyDescent="0.3">
      <c r="A331" s="36" t="s">
        <v>101</v>
      </c>
      <c r="B331" s="36">
        <v>2020</v>
      </c>
      <c r="C331" s="36" t="s">
        <v>7</v>
      </c>
      <c r="D331" s="36" t="s">
        <v>103</v>
      </c>
      <c r="E331" s="36" t="s">
        <v>92</v>
      </c>
      <c r="F331" s="36" t="s">
        <v>93</v>
      </c>
      <c r="G331" s="36" t="s">
        <v>94</v>
      </c>
      <c r="H331" s="36" t="s">
        <v>95</v>
      </c>
      <c r="I331" s="36" t="s">
        <v>96</v>
      </c>
      <c r="J331" s="36">
        <v>353</v>
      </c>
      <c r="K331" s="36">
        <v>504.78999999999996</v>
      </c>
    </row>
    <row r="332" spans="1:11" x14ac:dyDescent="0.3">
      <c r="A332" s="36" t="s">
        <v>99</v>
      </c>
      <c r="B332" s="36">
        <v>2020</v>
      </c>
      <c r="C332" s="36" t="s">
        <v>7</v>
      </c>
      <c r="D332" s="36" t="s">
        <v>103</v>
      </c>
      <c r="E332" s="36" t="s">
        <v>92</v>
      </c>
      <c r="F332" s="36" t="s">
        <v>93</v>
      </c>
      <c r="G332" s="36" t="s">
        <v>94</v>
      </c>
      <c r="H332" s="36" t="s">
        <v>95</v>
      </c>
      <c r="I332" s="36" t="s">
        <v>96</v>
      </c>
      <c r="J332" s="36">
        <v>281</v>
      </c>
      <c r="K332" s="36">
        <v>401.83</v>
      </c>
    </row>
    <row r="333" spans="1:11" x14ac:dyDescent="0.3">
      <c r="A333" s="36" t="s">
        <v>99</v>
      </c>
      <c r="B333" s="36">
        <v>2020</v>
      </c>
      <c r="C333" s="36" t="s">
        <v>11</v>
      </c>
      <c r="D333" s="36" t="s">
        <v>103</v>
      </c>
      <c r="E333" s="36" t="s">
        <v>92</v>
      </c>
      <c r="F333" s="36" t="s">
        <v>93</v>
      </c>
      <c r="G333" s="36" t="s">
        <v>94</v>
      </c>
      <c r="H333" s="36" t="s">
        <v>95</v>
      </c>
      <c r="I333" s="36" t="s">
        <v>96</v>
      </c>
      <c r="J333" s="36">
        <v>284</v>
      </c>
      <c r="K333" s="36">
        <v>406.12</v>
      </c>
    </row>
    <row r="334" spans="1:11" x14ac:dyDescent="0.3">
      <c r="A334" s="36" t="s">
        <v>97</v>
      </c>
      <c r="B334" s="36">
        <v>2020</v>
      </c>
      <c r="C334" s="36" t="s">
        <v>11</v>
      </c>
      <c r="D334" s="36" t="s">
        <v>103</v>
      </c>
      <c r="E334" s="36" t="s">
        <v>92</v>
      </c>
      <c r="F334" s="36" t="s">
        <v>93</v>
      </c>
      <c r="G334" s="36" t="s">
        <v>94</v>
      </c>
      <c r="H334" s="36" t="s">
        <v>95</v>
      </c>
      <c r="I334" s="36" t="s">
        <v>96</v>
      </c>
      <c r="J334" s="36">
        <v>332</v>
      </c>
      <c r="K334" s="36">
        <v>474.76</v>
      </c>
    </row>
    <row r="335" spans="1:11" x14ac:dyDescent="0.3">
      <c r="A335" s="36" t="s">
        <v>99</v>
      </c>
      <c r="B335" s="36">
        <v>2020</v>
      </c>
      <c r="C335" s="36" t="s">
        <v>11</v>
      </c>
      <c r="D335" s="36" t="s">
        <v>103</v>
      </c>
      <c r="E335" s="36" t="s">
        <v>92</v>
      </c>
      <c r="F335" s="36" t="s">
        <v>93</v>
      </c>
      <c r="G335" s="36" t="s">
        <v>94</v>
      </c>
      <c r="H335" s="36" t="s">
        <v>95</v>
      </c>
      <c r="I335" s="36" t="s">
        <v>96</v>
      </c>
      <c r="J335" s="36">
        <v>260</v>
      </c>
      <c r="K335" s="36">
        <v>371.8</v>
      </c>
    </row>
    <row r="336" spans="1:11" x14ac:dyDescent="0.3">
      <c r="A336" s="36" t="s">
        <v>97</v>
      </c>
      <c r="B336" s="36">
        <v>2020</v>
      </c>
      <c r="C336" s="36" t="s">
        <v>11</v>
      </c>
      <c r="D336" s="36" t="s">
        <v>103</v>
      </c>
      <c r="E336" s="36" t="s">
        <v>92</v>
      </c>
      <c r="F336" s="36" t="s">
        <v>93</v>
      </c>
      <c r="G336" s="36" t="s">
        <v>94</v>
      </c>
      <c r="H336" s="36" t="s">
        <v>95</v>
      </c>
      <c r="I336" s="36" t="s">
        <v>96</v>
      </c>
      <c r="J336" s="36">
        <v>286</v>
      </c>
      <c r="K336" s="36">
        <v>526.24</v>
      </c>
    </row>
    <row r="337" spans="1:11" x14ac:dyDescent="0.3">
      <c r="A337" s="36" t="s">
        <v>90</v>
      </c>
      <c r="B337" s="36">
        <v>2020</v>
      </c>
      <c r="C337" s="36" t="s">
        <v>11</v>
      </c>
      <c r="D337" s="36" t="s">
        <v>103</v>
      </c>
      <c r="E337" s="36" t="s">
        <v>92</v>
      </c>
      <c r="F337" s="36" t="s">
        <v>93</v>
      </c>
      <c r="G337" s="36" t="s">
        <v>94</v>
      </c>
      <c r="H337" s="36" t="s">
        <v>95</v>
      </c>
      <c r="I337" s="36" t="s">
        <v>96</v>
      </c>
      <c r="J337" s="36">
        <v>334</v>
      </c>
      <c r="K337" s="36">
        <v>526.24</v>
      </c>
    </row>
    <row r="338" spans="1:11" x14ac:dyDescent="0.3">
      <c r="A338" s="36" t="s">
        <v>97</v>
      </c>
      <c r="B338" s="36">
        <v>2020</v>
      </c>
      <c r="C338" s="36" t="s">
        <v>11</v>
      </c>
      <c r="D338" s="36" t="s">
        <v>103</v>
      </c>
      <c r="E338" s="36" t="s">
        <v>92</v>
      </c>
      <c r="F338" s="36" t="s">
        <v>93</v>
      </c>
      <c r="G338" s="36" t="s">
        <v>94</v>
      </c>
      <c r="H338" s="36" t="s">
        <v>95</v>
      </c>
      <c r="I338" s="36" t="s">
        <v>96</v>
      </c>
      <c r="J338" s="36">
        <v>262</v>
      </c>
      <c r="K338" s="36">
        <v>526.24</v>
      </c>
    </row>
    <row r="339" spans="1:11" x14ac:dyDescent="0.3">
      <c r="A339" s="36" t="s">
        <v>90</v>
      </c>
      <c r="B339" s="36">
        <v>2020</v>
      </c>
      <c r="C339" s="36" t="s">
        <v>11</v>
      </c>
      <c r="D339" s="36" t="s">
        <v>103</v>
      </c>
      <c r="E339" s="36" t="s">
        <v>92</v>
      </c>
      <c r="F339" s="36" t="s">
        <v>93</v>
      </c>
      <c r="G339" s="36" t="s">
        <v>94</v>
      </c>
      <c r="H339" s="36" t="s">
        <v>95</v>
      </c>
      <c r="I339" s="36" t="s">
        <v>96</v>
      </c>
      <c r="J339" s="36">
        <v>996</v>
      </c>
      <c r="K339" s="36">
        <v>1424.28</v>
      </c>
    </row>
    <row r="340" spans="1:11" x14ac:dyDescent="0.3">
      <c r="A340" s="36" t="s">
        <v>97</v>
      </c>
      <c r="B340" s="36">
        <v>2020</v>
      </c>
      <c r="C340" s="36" t="s">
        <v>11</v>
      </c>
      <c r="D340" s="36" t="s">
        <v>103</v>
      </c>
      <c r="E340" s="36" t="s">
        <v>92</v>
      </c>
      <c r="F340" s="36" t="s">
        <v>93</v>
      </c>
      <c r="G340" s="36" t="s">
        <v>94</v>
      </c>
      <c r="H340" s="36" t="s">
        <v>95</v>
      </c>
      <c r="I340" s="36" t="s">
        <v>96</v>
      </c>
      <c r="J340" s="36">
        <v>258</v>
      </c>
      <c r="K340" s="36">
        <v>368.94</v>
      </c>
    </row>
    <row r="341" spans="1:11" x14ac:dyDescent="0.3">
      <c r="A341" s="36" t="s">
        <v>97</v>
      </c>
      <c r="B341" s="36">
        <v>2020</v>
      </c>
      <c r="C341" s="36" t="s">
        <v>11</v>
      </c>
      <c r="D341" s="36" t="s">
        <v>103</v>
      </c>
      <c r="E341" s="36" t="s">
        <v>92</v>
      </c>
      <c r="F341" s="36" t="s">
        <v>93</v>
      </c>
      <c r="G341" s="36" t="s">
        <v>94</v>
      </c>
      <c r="H341" s="36" t="s">
        <v>95</v>
      </c>
      <c r="I341" s="36" t="s">
        <v>96</v>
      </c>
      <c r="J341" s="36">
        <v>285</v>
      </c>
      <c r="K341" s="36">
        <v>407.55</v>
      </c>
    </row>
    <row r="342" spans="1:11" x14ac:dyDescent="0.3">
      <c r="A342" s="36" t="s">
        <v>90</v>
      </c>
      <c r="B342" s="36">
        <v>2020</v>
      </c>
      <c r="C342" s="36" t="s">
        <v>11</v>
      </c>
      <c r="D342" s="36" t="s">
        <v>103</v>
      </c>
      <c r="E342" s="36" t="s">
        <v>92</v>
      </c>
      <c r="F342" s="36" t="s">
        <v>93</v>
      </c>
      <c r="G342" s="36" t="s">
        <v>94</v>
      </c>
      <c r="H342" s="36" t="s">
        <v>95</v>
      </c>
      <c r="I342" s="36" t="s">
        <v>96</v>
      </c>
      <c r="J342" s="36">
        <v>333</v>
      </c>
      <c r="K342" s="36">
        <v>476.19</v>
      </c>
    </row>
    <row r="343" spans="1:11" x14ac:dyDescent="0.3">
      <c r="A343" s="36" t="s">
        <v>90</v>
      </c>
      <c r="B343" s="36">
        <v>2020</v>
      </c>
      <c r="C343" s="36" t="s">
        <v>11</v>
      </c>
      <c r="D343" s="36" t="s">
        <v>103</v>
      </c>
      <c r="E343" s="36" t="s">
        <v>92</v>
      </c>
      <c r="F343" s="36" t="s">
        <v>93</v>
      </c>
      <c r="G343" s="36" t="s">
        <v>94</v>
      </c>
      <c r="H343" s="36" t="s">
        <v>95</v>
      </c>
      <c r="I343" s="36" t="s">
        <v>96</v>
      </c>
      <c r="J343" s="36">
        <v>261</v>
      </c>
      <c r="K343" s="36">
        <v>373.23</v>
      </c>
    </row>
    <row r="344" spans="1:11" x14ac:dyDescent="0.3">
      <c r="A344" s="36" t="s">
        <v>97</v>
      </c>
      <c r="B344" s="36">
        <v>2020</v>
      </c>
      <c r="C344" s="36" t="s">
        <v>11</v>
      </c>
      <c r="D344" s="36" t="s">
        <v>103</v>
      </c>
      <c r="E344" s="36" t="s">
        <v>92</v>
      </c>
      <c r="F344" s="36" t="s">
        <v>93</v>
      </c>
      <c r="G344" s="36" t="s">
        <v>94</v>
      </c>
      <c r="H344" s="36" t="s">
        <v>95</v>
      </c>
      <c r="I344" s="36" t="s">
        <v>96</v>
      </c>
      <c r="J344" s="36">
        <v>777</v>
      </c>
      <c r="K344" s="36">
        <v>1111.1100000000001</v>
      </c>
    </row>
    <row r="345" spans="1:11" x14ac:dyDescent="0.3">
      <c r="A345" s="36" t="s">
        <v>90</v>
      </c>
      <c r="B345" s="36">
        <v>2020</v>
      </c>
      <c r="C345" s="36" t="s">
        <v>11</v>
      </c>
      <c r="D345" s="36" t="s">
        <v>103</v>
      </c>
      <c r="E345" s="36" t="s">
        <v>92</v>
      </c>
      <c r="F345" s="36" t="s">
        <v>93</v>
      </c>
      <c r="G345" s="36" t="s">
        <v>94</v>
      </c>
      <c r="H345" s="36" t="s">
        <v>95</v>
      </c>
      <c r="I345" s="36" t="s">
        <v>96</v>
      </c>
      <c r="J345" s="36">
        <v>811</v>
      </c>
      <c r="K345" s="36">
        <v>1159.73</v>
      </c>
    </row>
    <row r="346" spans="1:11" x14ac:dyDescent="0.3">
      <c r="A346" s="36" t="s">
        <v>97</v>
      </c>
      <c r="B346" s="36">
        <v>2020</v>
      </c>
      <c r="C346" s="36" t="s">
        <v>11</v>
      </c>
      <c r="D346" s="36" t="s">
        <v>103</v>
      </c>
      <c r="E346" s="36" t="s">
        <v>92</v>
      </c>
      <c r="F346" s="36" t="s">
        <v>93</v>
      </c>
      <c r="G346" s="36" t="s">
        <v>94</v>
      </c>
      <c r="H346" s="36" t="s">
        <v>95</v>
      </c>
      <c r="I346" s="36" t="s">
        <v>96</v>
      </c>
      <c r="J346" s="36">
        <v>864</v>
      </c>
      <c r="K346" s="36">
        <v>1235.52</v>
      </c>
    </row>
    <row r="347" spans="1:11" x14ac:dyDescent="0.3">
      <c r="A347" s="36" t="s">
        <v>99</v>
      </c>
      <c r="B347" s="36">
        <v>2020</v>
      </c>
      <c r="C347" s="36" t="s">
        <v>11</v>
      </c>
      <c r="D347" s="36" t="s">
        <v>103</v>
      </c>
      <c r="E347" s="36" t="s">
        <v>92</v>
      </c>
      <c r="F347" s="36" t="s">
        <v>93</v>
      </c>
      <c r="G347" s="36" t="s">
        <v>94</v>
      </c>
      <c r="H347" s="36" t="s">
        <v>95</v>
      </c>
      <c r="I347" s="36" t="s">
        <v>96</v>
      </c>
      <c r="J347" s="36">
        <v>287</v>
      </c>
      <c r="K347" s="36">
        <v>410.40999999999997</v>
      </c>
    </row>
    <row r="348" spans="1:11" x14ac:dyDescent="0.3">
      <c r="A348" s="36" t="s">
        <v>90</v>
      </c>
      <c r="B348" s="36">
        <v>2020</v>
      </c>
      <c r="C348" s="36" t="s">
        <v>11</v>
      </c>
      <c r="D348" s="36" t="s">
        <v>103</v>
      </c>
      <c r="E348" s="36" t="s">
        <v>92</v>
      </c>
      <c r="F348" s="36" t="s">
        <v>93</v>
      </c>
      <c r="G348" s="36" t="s">
        <v>94</v>
      </c>
      <c r="H348" s="36" t="s">
        <v>95</v>
      </c>
      <c r="I348" s="36" t="s">
        <v>96</v>
      </c>
      <c r="J348" s="36">
        <v>335</v>
      </c>
      <c r="K348" s="36">
        <v>479.05</v>
      </c>
    </row>
    <row r="349" spans="1:11" x14ac:dyDescent="0.3">
      <c r="A349" s="36" t="s">
        <v>99</v>
      </c>
      <c r="B349" s="36">
        <v>2020</v>
      </c>
      <c r="C349" s="36" t="s">
        <v>11</v>
      </c>
      <c r="D349" s="36" t="s">
        <v>103</v>
      </c>
      <c r="E349" s="36" t="s">
        <v>92</v>
      </c>
      <c r="F349" s="36" t="s">
        <v>93</v>
      </c>
      <c r="G349" s="36" t="s">
        <v>94</v>
      </c>
      <c r="H349" s="36" t="s">
        <v>95</v>
      </c>
      <c r="I349" s="36" t="s">
        <v>96</v>
      </c>
      <c r="J349" s="36">
        <v>257</v>
      </c>
      <c r="K349" s="36">
        <v>367.51</v>
      </c>
    </row>
    <row r="350" spans="1:11" x14ac:dyDescent="0.3">
      <c r="A350" s="36" t="s">
        <v>97</v>
      </c>
      <c r="B350" s="36">
        <v>2020</v>
      </c>
      <c r="C350" s="36" t="s">
        <v>1</v>
      </c>
      <c r="D350" s="36" t="s">
        <v>103</v>
      </c>
      <c r="E350" s="36" t="s">
        <v>92</v>
      </c>
      <c r="F350" s="36" t="s">
        <v>93</v>
      </c>
      <c r="G350" s="36" t="s">
        <v>94</v>
      </c>
      <c r="H350" s="36" t="s">
        <v>95</v>
      </c>
      <c r="I350" s="36" t="s">
        <v>98</v>
      </c>
      <c r="J350" s="36">
        <v>350</v>
      </c>
      <c r="K350" s="36">
        <v>500.5</v>
      </c>
    </row>
    <row r="351" spans="1:11" x14ac:dyDescent="0.3">
      <c r="A351" s="36" t="s">
        <v>99</v>
      </c>
      <c r="B351" s="36">
        <v>2020</v>
      </c>
      <c r="C351" s="36" t="s">
        <v>1</v>
      </c>
      <c r="D351" s="36" t="s">
        <v>103</v>
      </c>
      <c r="E351" s="36" t="s">
        <v>92</v>
      </c>
      <c r="F351" s="36" t="s">
        <v>93</v>
      </c>
      <c r="G351" s="36" t="s">
        <v>94</v>
      </c>
      <c r="H351" s="36" t="s">
        <v>95</v>
      </c>
      <c r="I351" s="36" t="s">
        <v>98</v>
      </c>
      <c r="J351" s="36">
        <v>344</v>
      </c>
      <c r="K351" s="36">
        <v>491.91999999999996</v>
      </c>
    </row>
    <row r="352" spans="1:11" x14ac:dyDescent="0.3">
      <c r="A352" s="36" t="s">
        <v>90</v>
      </c>
      <c r="B352" s="36">
        <v>2020</v>
      </c>
      <c r="C352" s="36" t="s">
        <v>1</v>
      </c>
      <c r="D352" s="36" t="s">
        <v>103</v>
      </c>
      <c r="E352" s="36" t="s">
        <v>92</v>
      </c>
      <c r="F352" s="36" t="s">
        <v>93</v>
      </c>
      <c r="G352" s="36" t="s">
        <v>94</v>
      </c>
      <c r="H352" s="36" t="s">
        <v>95</v>
      </c>
      <c r="I352" s="36" t="s">
        <v>96</v>
      </c>
      <c r="J352" s="36">
        <v>338</v>
      </c>
      <c r="K352" s="36">
        <v>483.34000000000003</v>
      </c>
    </row>
    <row r="353" spans="1:11" x14ac:dyDescent="0.3">
      <c r="A353" s="36" t="s">
        <v>90</v>
      </c>
      <c r="B353" s="36">
        <v>2020</v>
      </c>
      <c r="C353" s="36" t="s">
        <v>1</v>
      </c>
      <c r="D353" s="36" t="s">
        <v>103</v>
      </c>
      <c r="E353" s="36" t="s">
        <v>92</v>
      </c>
      <c r="F353" s="36" t="s">
        <v>93</v>
      </c>
      <c r="G353" s="36" t="s">
        <v>94</v>
      </c>
      <c r="H353" s="36" t="s">
        <v>95</v>
      </c>
      <c r="I353" s="36" t="s">
        <v>96</v>
      </c>
      <c r="J353" s="36">
        <v>140</v>
      </c>
      <c r="K353" s="36">
        <v>200.2</v>
      </c>
    </row>
    <row r="354" spans="1:11" x14ac:dyDescent="0.3">
      <c r="A354" s="36" t="s">
        <v>100</v>
      </c>
      <c r="B354" s="36">
        <v>2020</v>
      </c>
      <c r="C354" s="36" t="s">
        <v>1</v>
      </c>
      <c r="D354" s="36" t="s">
        <v>103</v>
      </c>
      <c r="E354" s="36" t="s">
        <v>92</v>
      </c>
      <c r="F354" s="36" t="s">
        <v>93</v>
      </c>
      <c r="G354" s="36" t="s">
        <v>94</v>
      </c>
      <c r="H354" s="36" t="s">
        <v>95</v>
      </c>
      <c r="I354" s="36" t="s">
        <v>96</v>
      </c>
      <c r="J354" s="36">
        <v>314</v>
      </c>
      <c r="K354" s="36">
        <v>449.02</v>
      </c>
    </row>
    <row r="355" spans="1:11" x14ac:dyDescent="0.3">
      <c r="A355" s="36" t="s">
        <v>90</v>
      </c>
      <c r="B355" s="36">
        <v>2020</v>
      </c>
      <c r="C355" s="36" t="s">
        <v>1</v>
      </c>
      <c r="D355" s="36" t="s">
        <v>103</v>
      </c>
      <c r="E355" s="36" t="s">
        <v>92</v>
      </c>
      <c r="F355" s="36" t="s">
        <v>93</v>
      </c>
      <c r="G355" s="36" t="s">
        <v>94</v>
      </c>
      <c r="H355" s="36" t="s">
        <v>95</v>
      </c>
      <c r="I355" s="36" t="s">
        <v>98</v>
      </c>
      <c r="J355" s="36">
        <v>352</v>
      </c>
      <c r="K355" s="36">
        <v>503.36</v>
      </c>
    </row>
    <row r="356" spans="1:11" x14ac:dyDescent="0.3">
      <c r="A356" s="36" t="s">
        <v>90</v>
      </c>
      <c r="B356" s="36">
        <v>2020</v>
      </c>
      <c r="C356" s="36" t="s">
        <v>1</v>
      </c>
      <c r="D356" s="36" t="s">
        <v>103</v>
      </c>
      <c r="E356" s="36" t="s">
        <v>92</v>
      </c>
      <c r="F356" s="36" t="s">
        <v>93</v>
      </c>
      <c r="G356" s="36" t="s">
        <v>94</v>
      </c>
      <c r="H356" s="36" t="s">
        <v>95</v>
      </c>
      <c r="I356" s="36" t="s">
        <v>98</v>
      </c>
      <c r="J356" s="36">
        <v>346</v>
      </c>
      <c r="K356" s="36">
        <v>494.78</v>
      </c>
    </row>
    <row r="357" spans="1:11" x14ac:dyDescent="0.3">
      <c r="A357" s="36" t="s">
        <v>97</v>
      </c>
      <c r="B357" s="36">
        <v>2020</v>
      </c>
      <c r="C357" s="36" t="s">
        <v>1</v>
      </c>
      <c r="D357" s="36" t="s">
        <v>103</v>
      </c>
      <c r="E357" s="36" t="s">
        <v>92</v>
      </c>
      <c r="F357" s="36" t="s">
        <v>93</v>
      </c>
      <c r="G357" s="36" t="s">
        <v>94</v>
      </c>
      <c r="H357" s="36" t="s">
        <v>95</v>
      </c>
      <c r="I357" s="36" t="s">
        <v>98</v>
      </c>
      <c r="J357" s="36">
        <v>340</v>
      </c>
      <c r="K357" s="36">
        <v>486.2</v>
      </c>
    </row>
    <row r="358" spans="1:11" x14ac:dyDescent="0.3">
      <c r="A358" s="36" t="s">
        <v>97</v>
      </c>
      <c r="B358" s="36">
        <v>2020</v>
      </c>
      <c r="C358" s="36" t="s">
        <v>1</v>
      </c>
      <c r="D358" s="36" t="s">
        <v>103</v>
      </c>
      <c r="E358" s="36" t="s">
        <v>92</v>
      </c>
      <c r="F358" s="36" t="s">
        <v>93</v>
      </c>
      <c r="G358" s="36" t="s">
        <v>94</v>
      </c>
      <c r="H358" s="36" t="s">
        <v>95</v>
      </c>
      <c r="I358" s="36" t="s">
        <v>96</v>
      </c>
      <c r="J358" s="36">
        <v>340</v>
      </c>
      <c r="K358" s="36">
        <v>526.24</v>
      </c>
    </row>
    <row r="359" spans="1:11" x14ac:dyDescent="0.3">
      <c r="A359" s="36" t="s">
        <v>90</v>
      </c>
      <c r="B359" s="36">
        <v>2020</v>
      </c>
      <c r="C359" s="36" t="s">
        <v>1</v>
      </c>
      <c r="D359" s="36" t="s">
        <v>103</v>
      </c>
      <c r="E359" s="36" t="s">
        <v>92</v>
      </c>
      <c r="F359" s="36" t="s">
        <v>93</v>
      </c>
      <c r="G359" s="36" t="s">
        <v>94</v>
      </c>
      <c r="H359" s="36" t="s">
        <v>95</v>
      </c>
      <c r="I359" s="36" t="s">
        <v>96</v>
      </c>
      <c r="J359" s="36">
        <v>142</v>
      </c>
      <c r="K359" s="36">
        <v>526.24</v>
      </c>
    </row>
    <row r="360" spans="1:11" x14ac:dyDescent="0.3">
      <c r="A360" s="36" t="s">
        <v>97</v>
      </c>
      <c r="B360" s="36">
        <v>2020</v>
      </c>
      <c r="C360" s="36" t="s">
        <v>1</v>
      </c>
      <c r="D360" s="36" t="s">
        <v>103</v>
      </c>
      <c r="E360" s="36" t="s">
        <v>92</v>
      </c>
      <c r="F360" s="36" t="s">
        <v>93</v>
      </c>
      <c r="G360" s="36" t="s">
        <v>94</v>
      </c>
      <c r="H360" s="36" t="s">
        <v>95</v>
      </c>
      <c r="I360" s="36" t="s">
        <v>96</v>
      </c>
      <c r="J360" s="36">
        <v>987</v>
      </c>
      <c r="K360" s="36">
        <v>1411.4099999999999</v>
      </c>
    </row>
    <row r="361" spans="1:11" x14ac:dyDescent="0.3">
      <c r="A361" s="36" t="s">
        <v>97</v>
      </c>
      <c r="B361" s="36">
        <v>2020</v>
      </c>
      <c r="C361" s="36" t="s">
        <v>1</v>
      </c>
      <c r="D361" s="36" t="s">
        <v>103</v>
      </c>
      <c r="E361" s="36" t="s">
        <v>92</v>
      </c>
      <c r="F361" s="36" t="s">
        <v>93</v>
      </c>
      <c r="G361" s="36" t="s">
        <v>94</v>
      </c>
      <c r="H361" s="36" t="s">
        <v>95</v>
      </c>
      <c r="I361" s="36" t="s">
        <v>96</v>
      </c>
      <c r="J361" s="36">
        <v>1021</v>
      </c>
      <c r="K361" s="36">
        <v>1460.03</v>
      </c>
    </row>
    <row r="362" spans="1:11" x14ac:dyDescent="0.3">
      <c r="A362" s="36" t="s">
        <v>97</v>
      </c>
      <c r="B362" s="36">
        <v>2020</v>
      </c>
      <c r="C362" s="36" t="s">
        <v>1</v>
      </c>
      <c r="D362" s="36" t="s">
        <v>103</v>
      </c>
      <c r="E362" s="36" t="s">
        <v>92</v>
      </c>
      <c r="F362" s="36" t="s">
        <v>93</v>
      </c>
      <c r="G362" s="36" t="s">
        <v>94</v>
      </c>
      <c r="H362" s="36" t="s">
        <v>95</v>
      </c>
      <c r="I362" s="36" t="s">
        <v>96</v>
      </c>
      <c r="J362" s="36">
        <v>312</v>
      </c>
      <c r="K362" s="36">
        <v>446.15999999999997</v>
      </c>
    </row>
    <row r="363" spans="1:11" x14ac:dyDescent="0.3">
      <c r="A363" s="36" t="s">
        <v>97</v>
      </c>
      <c r="B363" s="36">
        <v>2020</v>
      </c>
      <c r="C363" s="36" t="s">
        <v>1</v>
      </c>
      <c r="D363" s="36" t="s">
        <v>103</v>
      </c>
      <c r="E363" s="36" t="s">
        <v>92</v>
      </c>
      <c r="F363" s="36" t="s">
        <v>93</v>
      </c>
      <c r="G363" s="36" t="s">
        <v>94</v>
      </c>
      <c r="H363" s="36" t="s">
        <v>95</v>
      </c>
      <c r="I363" s="36" t="s">
        <v>96</v>
      </c>
      <c r="J363" s="36">
        <v>339</v>
      </c>
      <c r="K363" s="36">
        <v>484.77</v>
      </c>
    </row>
    <row r="364" spans="1:11" x14ac:dyDescent="0.3">
      <c r="A364" s="36" t="s">
        <v>90</v>
      </c>
      <c r="B364" s="36">
        <v>2020</v>
      </c>
      <c r="C364" s="36" t="s">
        <v>1</v>
      </c>
      <c r="D364" s="36" t="s">
        <v>103</v>
      </c>
      <c r="E364" s="36" t="s">
        <v>92</v>
      </c>
      <c r="F364" s="36" t="s">
        <v>93</v>
      </c>
      <c r="G364" s="36" t="s">
        <v>94</v>
      </c>
      <c r="H364" s="36" t="s">
        <v>95</v>
      </c>
      <c r="I364" s="36" t="s">
        <v>96</v>
      </c>
      <c r="J364" s="36">
        <v>141</v>
      </c>
      <c r="K364" s="36">
        <v>201.63</v>
      </c>
    </row>
    <row r="365" spans="1:11" x14ac:dyDescent="0.3">
      <c r="A365" s="36" t="s">
        <v>97</v>
      </c>
      <c r="B365" s="36">
        <v>2020</v>
      </c>
      <c r="C365" s="36" t="s">
        <v>1</v>
      </c>
      <c r="D365" s="36" t="s">
        <v>103</v>
      </c>
      <c r="E365" s="36" t="s">
        <v>92</v>
      </c>
      <c r="F365" s="36" t="s">
        <v>93</v>
      </c>
      <c r="G365" s="36" t="s">
        <v>94</v>
      </c>
      <c r="H365" s="36" t="s">
        <v>95</v>
      </c>
      <c r="I365" s="36" t="s">
        <v>96</v>
      </c>
      <c r="J365" s="36">
        <v>315</v>
      </c>
      <c r="K365" s="36">
        <v>450.45</v>
      </c>
    </row>
    <row r="366" spans="1:11" x14ac:dyDescent="0.3">
      <c r="A366" s="36" t="s">
        <v>97</v>
      </c>
      <c r="B366" s="36">
        <v>2020</v>
      </c>
      <c r="C366" s="36" t="s">
        <v>1</v>
      </c>
      <c r="D366" s="36" t="s">
        <v>103</v>
      </c>
      <c r="E366" s="36" t="s">
        <v>92</v>
      </c>
      <c r="F366" s="36" t="s">
        <v>93</v>
      </c>
      <c r="G366" s="36" t="s">
        <v>94</v>
      </c>
      <c r="H366" s="36" t="s">
        <v>95</v>
      </c>
      <c r="I366" s="36" t="s">
        <v>96</v>
      </c>
      <c r="J366" s="36">
        <v>355</v>
      </c>
      <c r="K366" s="36">
        <v>507.65</v>
      </c>
    </row>
    <row r="367" spans="1:11" x14ac:dyDescent="0.3">
      <c r="A367" s="36" t="s">
        <v>90</v>
      </c>
      <c r="B367" s="36">
        <v>2020</v>
      </c>
      <c r="C367" s="36" t="s">
        <v>1</v>
      </c>
      <c r="D367" s="36" t="s">
        <v>103</v>
      </c>
      <c r="E367" s="36" t="s">
        <v>92</v>
      </c>
      <c r="F367" s="36" t="s">
        <v>93</v>
      </c>
      <c r="G367" s="36" t="s">
        <v>94</v>
      </c>
      <c r="H367" s="36" t="s">
        <v>95</v>
      </c>
      <c r="I367" s="36" t="s">
        <v>98</v>
      </c>
      <c r="J367" s="36">
        <v>349</v>
      </c>
      <c r="K367" s="36">
        <v>499.07</v>
      </c>
    </row>
    <row r="368" spans="1:11" x14ac:dyDescent="0.3">
      <c r="A368" s="36" t="s">
        <v>97</v>
      </c>
      <c r="B368" s="36">
        <v>2020</v>
      </c>
      <c r="C368" s="36" t="s">
        <v>1</v>
      </c>
      <c r="D368" s="36" t="s">
        <v>103</v>
      </c>
      <c r="E368" s="36" t="s">
        <v>92</v>
      </c>
      <c r="F368" s="36" t="s">
        <v>93</v>
      </c>
      <c r="G368" s="36" t="s">
        <v>94</v>
      </c>
      <c r="H368" s="36" t="s">
        <v>95</v>
      </c>
      <c r="I368" s="36" t="s">
        <v>98</v>
      </c>
      <c r="J368" s="36">
        <v>343</v>
      </c>
      <c r="K368" s="36">
        <v>490.49</v>
      </c>
    </row>
    <row r="369" spans="1:11" x14ac:dyDescent="0.3">
      <c r="A369" s="36" t="s">
        <v>97</v>
      </c>
      <c r="B369" s="36">
        <v>2020</v>
      </c>
      <c r="C369" s="36" t="s">
        <v>1</v>
      </c>
      <c r="D369" s="36" t="s">
        <v>103</v>
      </c>
      <c r="E369" s="36" t="s">
        <v>92</v>
      </c>
      <c r="F369" s="36" t="s">
        <v>93</v>
      </c>
      <c r="G369" s="36" t="s">
        <v>94</v>
      </c>
      <c r="H369" s="36" t="s">
        <v>95</v>
      </c>
      <c r="I369" s="36" t="s">
        <v>96</v>
      </c>
      <c r="J369" s="36">
        <v>802</v>
      </c>
      <c r="K369" s="36">
        <v>1146.8600000000001</v>
      </c>
    </row>
    <row r="370" spans="1:11" x14ac:dyDescent="0.3">
      <c r="A370" s="36" t="s">
        <v>97</v>
      </c>
      <c r="B370" s="36">
        <v>2020</v>
      </c>
      <c r="C370" s="36" t="s">
        <v>1</v>
      </c>
      <c r="D370" s="36" t="s">
        <v>103</v>
      </c>
      <c r="E370" s="36" t="s">
        <v>92</v>
      </c>
      <c r="F370" s="36" t="s">
        <v>93</v>
      </c>
      <c r="G370" s="36" t="s">
        <v>94</v>
      </c>
      <c r="H370" s="36" t="s">
        <v>95</v>
      </c>
      <c r="I370" s="36" t="s">
        <v>96</v>
      </c>
      <c r="J370" s="36">
        <v>855</v>
      </c>
      <c r="K370" s="36">
        <v>1222.6500000000001</v>
      </c>
    </row>
    <row r="371" spans="1:11" x14ac:dyDescent="0.3">
      <c r="A371" s="36" t="s">
        <v>97</v>
      </c>
      <c r="B371" s="36">
        <v>2020</v>
      </c>
      <c r="C371" s="36" t="s">
        <v>1</v>
      </c>
      <c r="D371" s="36" t="s">
        <v>103</v>
      </c>
      <c r="E371" s="36" t="s">
        <v>92</v>
      </c>
      <c r="F371" s="36" t="s">
        <v>93</v>
      </c>
      <c r="G371" s="36" t="s">
        <v>94</v>
      </c>
      <c r="H371" s="36" t="s">
        <v>95</v>
      </c>
      <c r="I371" s="36" t="s">
        <v>98</v>
      </c>
      <c r="J371" s="36">
        <v>789</v>
      </c>
      <c r="K371" s="36">
        <v>1128.27</v>
      </c>
    </row>
    <row r="372" spans="1:11" x14ac:dyDescent="0.3">
      <c r="A372" s="36" t="s">
        <v>90</v>
      </c>
      <c r="B372" s="36">
        <v>2020</v>
      </c>
      <c r="C372" s="36" t="s">
        <v>1</v>
      </c>
      <c r="D372" s="36" t="s">
        <v>103</v>
      </c>
      <c r="E372" s="36" t="s">
        <v>92</v>
      </c>
      <c r="F372" s="36" t="s">
        <v>93</v>
      </c>
      <c r="G372" s="36" t="s">
        <v>94</v>
      </c>
      <c r="H372" s="36" t="s">
        <v>95</v>
      </c>
      <c r="I372" s="36" t="s">
        <v>98</v>
      </c>
      <c r="J372" s="36">
        <v>790</v>
      </c>
      <c r="K372" s="36">
        <v>1129.7</v>
      </c>
    </row>
    <row r="373" spans="1:11" x14ac:dyDescent="0.3">
      <c r="A373" s="36" t="s">
        <v>97</v>
      </c>
      <c r="B373" s="36">
        <v>2020</v>
      </c>
      <c r="C373" s="36" t="s">
        <v>1</v>
      </c>
      <c r="D373" s="36" t="s">
        <v>103</v>
      </c>
      <c r="E373" s="36" t="s">
        <v>92</v>
      </c>
      <c r="F373" s="36" t="s">
        <v>93</v>
      </c>
      <c r="G373" s="36" t="s">
        <v>94</v>
      </c>
      <c r="H373" s="36" t="s">
        <v>95</v>
      </c>
      <c r="I373" s="36" t="s">
        <v>98</v>
      </c>
      <c r="J373" s="36">
        <v>791</v>
      </c>
      <c r="K373" s="36">
        <v>1131.1300000000001</v>
      </c>
    </row>
    <row r="374" spans="1:11" x14ac:dyDescent="0.3">
      <c r="A374" s="36" t="s">
        <v>100</v>
      </c>
      <c r="B374" s="36">
        <v>2020</v>
      </c>
      <c r="C374" s="36" t="s">
        <v>1</v>
      </c>
      <c r="D374" s="36" t="s">
        <v>103</v>
      </c>
      <c r="E374" s="36" t="s">
        <v>92</v>
      </c>
      <c r="F374" s="36" t="s">
        <v>93</v>
      </c>
      <c r="G374" s="36" t="s">
        <v>94</v>
      </c>
      <c r="H374" s="36" t="s">
        <v>95</v>
      </c>
      <c r="I374" s="36" t="s">
        <v>96</v>
      </c>
      <c r="J374" s="36">
        <v>341</v>
      </c>
      <c r="K374" s="36">
        <v>487.63</v>
      </c>
    </row>
    <row r="375" spans="1:11" x14ac:dyDescent="0.3">
      <c r="A375" s="36" t="s">
        <v>97</v>
      </c>
      <c r="B375" s="36">
        <v>2020</v>
      </c>
      <c r="C375" s="36" t="s">
        <v>1</v>
      </c>
      <c r="D375" s="36" t="s">
        <v>103</v>
      </c>
      <c r="E375" s="36" t="s">
        <v>92</v>
      </c>
      <c r="F375" s="36" t="s">
        <v>93</v>
      </c>
      <c r="G375" s="36" t="s">
        <v>94</v>
      </c>
      <c r="H375" s="36" t="s">
        <v>95</v>
      </c>
      <c r="I375" s="36" t="s">
        <v>96</v>
      </c>
      <c r="J375" s="36">
        <v>143</v>
      </c>
      <c r="K375" s="36">
        <v>204.49</v>
      </c>
    </row>
    <row r="376" spans="1:11" x14ac:dyDescent="0.3">
      <c r="A376" s="36" t="s">
        <v>90</v>
      </c>
      <c r="B376" s="36">
        <v>2020</v>
      </c>
      <c r="C376" s="36" t="s">
        <v>1</v>
      </c>
      <c r="D376" s="36" t="s">
        <v>103</v>
      </c>
      <c r="E376" s="36" t="s">
        <v>92</v>
      </c>
      <c r="F376" s="36" t="s">
        <v>93</v>
      </c>
      <c r="G376" s="36" t="s">
        <v>94</v>
      </c>
      <c r="H376" s="36" t="s">
        <v>95</v>
      </c>
      <c r="I376" s="36" t="s">
        <v>96</v>
      </c>
      <c r="J376" s="36">
        <v>311</v>
      </c>
      <c r="K376" s="36">
        <v>444.73</v>
      </c>
    </row>
    <row r="377" spans="1:11" x14ac:dyDescent="0.3">
      <c r="A377" s="36" t="s">
        <v>90</v>
      </c>
      <c r="B377" s="36">
        <v>2020</v>
      </c>
      <c r="C377" s="36" t="s">
        <v>0</v>
      </c>
      <c r="D377" s="36" t="s">
        <v>103</v>
      </c>
      <c r="E377" s="36" t="s">
        <v>92</v>
      </c>
      <c r="F377" s="36" t="s">
        <v>93</v>
      </c>
      <c r="G377" s="36" t="s">
        <v>94</v>
      </c>
      <c r="H377" s="36" t="s">
        <v>95</v>
      </c>
      <c r="I377" s="36" t="s">
        <v>96</v>
      </c>
      <c r="J377" s="36">
        <v>356</v>
      </c>
      <c r="K377" s="36">
        <v>509.08</v>
      </c>
    </row>
    <row r="378" spans="1:11" x14ac:dyDescent="0.3">
      <c r="A378" s="36" t="s">
        <v>99</v>
      </c>
      <c r="B378" s="36">
        <v>2020</v>
      </c>
      <c r="C378" s="36" t="s">
        <v>0</v>
      </c>
      <c r="D378" s="36" t="s">
        <v>103</v>
      </c>
      <c r="E378" s="36" t="s">
        <v>92</v>
      </c>
      <c r="F378" s="36" t="s">
        <v>93</v>
      </c>
      <c r="G378" s="36" t="s">
        <v>94</v>
      </c>
      <c r="H378" s="36" t="s">
        <v>95</v>
      </c>
      <c r="I378" s="36" t="s">
        <v>96</v>
      </c>
      <c r="J378" s="36">
        <v>344</v>
      </c>
      <c r="K378" s="36">
        <v>491.91999999999996</v>
      </c>
    </row>
    <row r="379" spans="1:11" x14ac:dyDescent="0.3">
      <c r="A379" s="36" t="s">
        <v>97</v>
      </c>
      <c r="B379" s="36">
        <v>2020</v>
      </c>
      <c r="C379" s="36" t="s">
        <v>0</v>
      </c>
      <c r="D379" s="36" t="s">
        <v>103</v>
      </c>
      <c r="E379" s="36" t="s">
        <v>92</v>
      </c>
      <c r="F379" s="36" t="s">
        <v>93</v>
      </c>
      <c r="G379" s="36" t="s">
        <v>94</v>
      </c>
      <c r="H379" s="36" t="s">
        <v>95</v>
      </c>
      <c r="I379" s="36" t="s">
        <v>96</v>
      </c>
      <c r="J379" s="36">
        <v>146</v>
      </c>
      <c r="K379" s="36">
        <v>208.78</v>
      </c>
    </row>
    <row r="380" spans="1:11" x14ac:dyDescent="0.3">
      <c r="A380" s="36" t="s">
        <v>97</v>
      </c>
      <c r="B380" s="36">
        <v>2020</v>
      </c>
      <c r="C380" s="36" t="s">
        <v>0</v>
      </c>
      <c r="D380" s="36" t="s">
        <v>103</v>
      </c>
      <c r="E380" s="36" t="s">
        <v>92</v>
      </c>
      <c r="F380" s="36" t="s">
        <v>93</v>
      </c>
      <c r="G380" s="36" t="s">
        <v>94</v>
      </c>
      <c r="H380" s="36" t="s">
        <v>95</v>
      </c>
      <c r="I380" s="36" t="s">
        <v>96</v>
      </c>
      <c r="J380" s="36">
        <v>320</v>
      </c>
      <c r="K380" s="36">
        <v>457.6</v>
      </c>
    </row>
    <row r="381" spans="1:11" x14ac:dyDescent="0.3">
      <c r="A381" s="36" t="s">
        <v>97</v>
      </c>
      <c r="B381" s="36">
        <v>2020</v>
      </c>
      <c r="C381" s="36" t="s">
        <v>0</v>
      </c>
      <c r="D381" s="36" t="s">
        <v>103</v>
      </c>
      <c r="E381" s="36" t="s">
        <v>92</v>
      </c>
      <c r="F381" s="36" t="s">
        <v>93</v>
      </c>
      <c r="G381" s="36" t="s">
        <v>94</v>
      </c>
      <c r="H381" s="36" t="s">
        <v>95</v>
      </c>
      <c r="I381" s="36" t="s">
        <v>96</v>
      </c>
      <c r="J381" s="36">
        <v>358</v>
      </c>
      <c r="K381" s="36">
        <v>511.94</v>
      </c>
    </row>
    <row r="382" spans="1:11" x14ac:dyDescent="0.3">
      <c r="A382" s="36" t="s">
        <v>90</v>
      </c>
      <c r="B382" s="36">
        <v>2020</v>
      </c>
      <c r="C382" s="36" t="s">
        <v>0</v>
      </c>
      <c r="D382" s="36" t="s">
        <v>103</v>
      </c>
      <c r="E382" s="36" t="s">
        <v>92</v>
      </c>
      <c r="F382" s="36" t="s">
        <v>93</v>
      </c>
      <c r="G382" s="36" t="s">
        <v>94</v>
      </c>
      <c r="H382" s="36" t="s">
        <v>95</v>
      </c>
      <c r="I382" s="36" t="s">
        <v>96</v>
      </c>
      <c r="J382" s="36">
        <v>262</v>
      </c>
      <c r="K382" s="36">
        <v>374.65999999999997</v>
      </c>
    </row>
    <row r="383" spans="1:11" x14ac:dyDescent="0.3">
      <c r="A383" s="36" t="s">
        <v>99</v>
      </c>
      <c r="B383" s="36">
        <v>2020</v>
      </c>
      <c r="C383" s="36" t="s">
        <v>0</v>
      </c>
      <c r="D383" s="36" t="s">
        <v>103</v>
      </c>
      <c r="E383" s="36" t="s">
        <v>92</v>
      </c>
      <c r="F383" s="36" t="s">
        <v>93</v>
      </c>
      <c r="G383" s="36" t="s">
        <v>94</v>
      </c>
      <c r="H383" s="36" t="s">
        <v>95</v>
      </c>
      <c r="I383" s="36" t="s">
        <v>96</v>
      </c>
      <c r="J383" s="36">
        <v>346</v>
      </c>
      <c r="K383" s="36">
        <v>526.24</v>
      </c>
    </row>
    <row r="384" spans="1:11" x14ac:dyDescent="0.3">
      <c r="A384" s="36" t="s">
        <v>99</v>
      </c>
      <c r="B384" s="36">
        <v>2020</v>
      </c>
      <c r="C384" s="36" t="s">
        <v>0</v>
      </c>
      <c r="D384" s="36" t="s">
        <v>103</v>
      </c>
      <c r="E384" s="36" t="s">
        <v>92</v>
      </c>
      <c r="F384" s="36" t="s">
        <v>93</v>
      </c>
      <c r="G384" s="36" t="s">
        <v>94</v>
      </c>
      <c r="H384" s="36" t="s">
        <v>95</v>
      </c>
      <c r="I384" s="36" t="s">
        <v>96</v>
      </c>
      <c r="J384" s="36">
        <v>148</v>
      </c>
      <c r="K384" s="36">
        <v>526.24</v>
      </c>
    </row>
    <row r="385" spans="1:11" x14ac:dyDescent="0.3">
      <c r="A385" s="36" t="s">
        <v>97</v>
      </c>
      <c r="B385" s="36">
        <v>2020</v>
      </c>
      <c r="C385" s="36" t="s">
        <v>0</v>
      </c>
      <c r="D385" s="36" t="s">
        <v>103</v>
      </c>
      <c r="E385" s="36" t="s">
        <v>92</v>
      </c>
      <c r="F385" s="36" t="s">
        <v>93</v>
      </c>
      <c r="G385" s="36" t="s">
        <v>94</v>
      </c>
      <c r="H385" s="36" t="s">
        <v>95</v>
      </c>
      <c r="I385" s="36" t="s">
        <v>96</v>
      </c>
      <c r="J385" s="36">
        <v>316</v>
      </c>
      <c r="K385" s="36">
        <v>526.24</v>
      </c>
    </row>
    <row r="386" spans="1:11" x14ac:dyDescent="0.3">
      <c r="A386" s="36" t="s">
        <v>99</v>
      </c>
      <c r="B386" s="36">
        <v>2020</v>
      </c>
      <c r="C386" s="36" t="s">
        <v>0</v>
      </c>
      <c r="D386" s="36" t="s">
        <v>103</v>
      </c>
      <c r="E386" s="36" t="s">
        <v>92</v>
      </c>
      <c r="F386" s="36" t="s">
        <v>93</v>
      </c>
      <c r="G386" s="36" t="s">
        <v>94</v>
      </c>
      <c r="H386" s="36" t="s">
        <v>95</v>
      </c>
      <c r="I386" s="36" t="s">
        <v>96</v>
      </c>
      <c r="J386" s="36">
        <v>959</v>
      </c>
      <c r="K386" s="36">
        <v>1371.37</v>
      </c>
    </row>
    <row r="387" spans="1:11" x14ac:dyDescent="0.3">
      <c r="A387" s="36" t="s">
        <v>97</v>
      </c>
      <c r="B387" s="36">
        <v>2020</v>
      </c>
      <c r="C387" s="36" t="s">
        <v>0</v>
      </c>
      <c r="D387" s="36" t="s">
        <v>103</v>
      </c>
      <c r="E387" s="36" t="s">
        <v>92</v>
      </c>
      <c r="F387" s="36" t="s">
        <v>93</v>
      </c>
      <c r="G387" s="36" t="s">
        <v>94</v>
      </c>
      <c r="H387" s="36" t="s">
        <v>95</v>
      </c>
      <c r="I387" s="36" t="s">
        <v>96</v>
      </c>
      <c r="J387" s="36">
        <v>1020</v>
      </c>
      <c r="K387" s="36">
        <v>1458.6</v>
      </c>
    </row>
    <row r="388" spans="1:11" x14ac:dyDescent="0.3">
      <c r="A388" s="36" t="s">
        <v>97</v>
      </c>
      <c r="B388" s="36">
        <v>2020</v>
      </c>
      <c r="C388" s="36" t="s">
        <v>0</v>
      </c>
      <c r="D388" s="36" t="s">
        <v>103</v>
      </c>
      <c r="E388" s="36" t="s">
        <v>92</v>
      </c>
      <c r="F388" s="36" t="s">
        <v>93</v>
      </c>
      <c r="G388" s="36" t="s">
        <v>94</v>
      </c>
      <c r="H388" s="36" t="s">
        <v>95</v>
      </c>
      <c r="I388" s="36" t="s">
        <v>96</v>
      </c>
      <c r="J388" s="36">
        <v>318</v>
      </c>
      <c r="K388" s="36">
        <v>454.74</v>
      </c>
    </row>
    <row r="389" spans="1:11" x14ac:dyDescent="0.3">
      <c r="A389" s="36" t="s">
        <v>97</v>
      </c>
      <c r="B389" s="36">
        <v>2020</v>
      </c>
      <c r="C389" s="36" t="s">
        <v>0</v>
      </c>
      <c r="D389" s="36" t="s">
        <v>103</v>
      </c>
      <c r="E389" s="36" t="s">
        <v>92</v>
      </c>
      <c r="F389" s="36" t="s">
        <v>93</v>
      </c>
      <c r="G389" s="36" t="s">
        <v>94</v>
      </c>
      <c r="H389" s="36" t="s">
        <v>95</v>
      </c>
      <c r="I389" s="36" t="s">
        <v>96</v>
      </c>
      <c r="J389" s="36">
        <v>345</v>
      </c>
      <c r="K389" s="36">
        <v>493.35</v>
      </c>
    </row>
    <row r="390" spans="1:11" x14ac:dyDescent="0.3">
      <c r="A390" s="36" t="s">
        <v>99</v>
      </c>
      <c r="B390" s="36">
        <v>2020</v>
      </c>
      <c r="C390" s="36" t="s">
        <v>0</v>
      </c>
      <c r="D390" s="36" t="s">
        <v>103</v>
      </c>
      <c r="E390" s="36" t="s">
        <v>92</v>
      </c>
      <c r="F390" s="36" t="s">
        <v>93</v>
      </c>
      <c r="G390" s="36" t="s">
        <v>94</v>
      </c>
      <c r="H390" s="36" t="s">
        <v>95</v>
      </c>
      <c r="I390" s="36" t="s">
        <v>96</v>
      </c>
      <c r="J390" s="36">
        <v>147</v>
      </c>
      <c r="K390" s="36">
        <v>210.21</v>
      </c>
    </row>
    <row r="391" spans="1:11" x14ac:dyDescent="0.3">
      <c r="A391" s="36" t="s">
        <v>99</v>
      </c>
      <c r="B391" s="36">
        <v>2020</v>
      </c>
      <c r="C391" s="36" t="s">
        <v>0</v>
      </c>
      <c r="D391" s="36" t="s">
        <v>103</v>
      </c>
      <c r="E391" s="36" t="s">
        <v>92</v>
      </c>
      <c r="F391" s="36" t="s">
        <v>93</v>
      </c>
      <c r="G391" s="36" t="s">
        <v>94</v>
      </c>
      <c r="H391" s="36" t="s">
        <v>95</v>
      </c>
      <c r="I391" s="36" t="s">
        <v>96</v>
      </c>
      <c r="J391" s="36">
        <v>265</v>
      </c>
      <c r="K391" s="36">
        <v>378.95</v>
      </c>
    </row>
    <row r="392" spans="1:11" x14ac:dyDescent="0.3">
      <c r="A392" s="36" t="s">
        <v>97</v>
      </c>
      <c r="B392" s="36">
        <v>2020</v>
      </c>
      <c r="C392" s="36" t="s">
        <v>0</v>
      </c>
      <c r="D392" s="36" t="s">
        <v>103</v>
      </c>
      <c r="E392" s="36" t="s">
        <v>92</v>
      </c>
      <c r="F392" s="36" t="s">
        <v>93</v>
      </c>
      <c r="G392" s="36" t="s">
        <v>94</v>
      </c>
      <c r="H392" s="36" t="s">
        <v>95</v>
      </c>
      <c r="I392" s="36" t="s">
        <v>96</v>
      </c>
      <c r="J392" s="36">
        <v>768</v>
      </c>
      <c r="K392" s="36">
        <v>1098.24</v>
      </c>
    </row>
    <row r="393" spans="1:11" x14ac:dyDescent="0.3">
      <c r="A393" s="36" t="s">
        <v>90</v>
      </c>
      <c r="B393" s="36">
        <v>2020</v>
      </c>
      <c r="C393" s="36" t="s">
        <v>0</v>
      </c>
      <c r="D393" s="36" t="s">
        <v>103</v>
      </c>
      <c r="E393" s="36" t="s">
        <v>92</v>
      </c>
      <c r="F393" s="36" t="s">
        <v>93</v>
      </c>
      <c r="G393" s="36" t="s">
        <v>94</v>
      </c>
      <c r="H393" s="36" t="s">
        <v>95</v>
      </c>
      <c r="I393" s="36" t="s">
        <v>96</v>
      </c>
      <c r="J393" s="36">
        <v>801</v>
      </c>
      <c r="K393" s="36">
        <v>1145.43</v>
      </c>
    </row>
    <row r="394" spans="1:11" x14ac:dyDescent="0.3">
      <c r="A394" s="36" t="s">
        <v>99</v>
      </c>
      <c r="B394" s="36">
        <v>2020</v>
      </c>
      <c r="C394" s="36" t="s">
        <v>0</v>
      </c>
      <c r="D394" s="36" t="s">
        <v>103</v>
      </c>
      <c r="E394" s="36" t="s">
        <v>92</v>
      </c>
      <c r="F394" s="36" t="s">
        <v>93</v>
      </c>
      <c r="G394" s="36" t="s">
        <v>94</v>
      </c>
      <c r="H394" s="36" t="s">
        <v>95</v>
      </c>
      <c r="I394" s="36" t="s">
        <v>96</v>
      </c>
      <c r="J394" s="36">
        <v>854</v>
      </c>
      <c r="K394" s="36">
        <v>1221.22</v>
      </c>
    </row>
    <row r="395" spans="1:11" x14ac:dyDescent="0.3">
      <c r="A395" s="36" t="s">
        <v>90</v>
      </c>
      <c r="B395" s="36">
        <v>2020</v>
      </c>
      <c r="C395" s="36" t="s">
        <v>0</v>
      </c>
      <c r="D395" s="36" t="s">
        <v>103</v>
      </c>
      <c r="E395" s="36" t="s">
        <v>92</v>
      </c>
      <c r="F395" s="36" t="s">
        <v>93</v>
      </c>
      <c r="G395" s="36" t="s">
        <v>94</v>
      </c>
      <c r="H395" s="36" t="s">
        <v>95</v>
      </c>
      <c r="I395" s="36" t="s">
        <v>96</v>
      </c>
      <c r="J395" s="36">
        <v>788</v>
      </c>
      <c r="K395" s="36">
        <v>1126.8399999999999</v>
      </c>
    </row>
    <row r="396" spans="1:11" x14ac:dyDescent="0.3">
      <c r="A396" s="36" t="s">
        <v>97</v>
      </c>
      <c r="B396" s="36">
        <v>2020</v>
      </c>
      <c r="C396" s="36" t="s">
        <v>0</v>
      </c>
      <c r="D396" s="36" t="s">
        <v>103</v>
      </c>
      <c r="E396" s="36" t="s">
        <v>92</v>
      </c>
      <c r="F396" s="36" t="s">
        <v>93</v>
      </c>
      <c r="G396" s="36" t="s">
        <v>94</v>
      </c>
      <c r="H396" s="36" t="s">
        <v>95</v>
      </c>
      <c r="I396" s="36" t="s">
        <v>96</v>
      </c>
      <c r="J396" s="36">
        <v>263</v>
      </c>
      <c r="K396" s="36">
        <v>376.09000000000003</v>
      </c>
    </row>
    <row r="397" spans="1:11" x14ac:dyDescent="0.3">
      <c r="A397" s="36" t="s">
        <v>97</v>
      </c>
      <c r="B397" s="36">
        <v>2020</v>
      </c>
      <c r="C397" s="36" t="s">
        <v>0</v>
      </c>
      <c r="D397" s="36" t="s">
        <v>103</v>
      </c>
      <c r="E397" s="36" t="s">
        <v>92</v>
      </c>
      <c r="F397" s="36" t="s">
        <v>93</v>
      </c>
      <c r="G397" s="36" t="s">
        <v>94</v>
      </c>
      <c r="H397" s="36" t="s">
        <v>95</v>
      </c>
      <c r="I397" s="36" t="s">
        <v>96</v>
      </c>
      <c r="J397" s="36">
        <v>347</v>
      </c>
      <c r="K397" s="36">
        <v>496.21000000000004</v>
      </c>
    </row>
    <row r="398" spans="1:11" x14ac:dyDescent="0.3">
      <c r="A398" s="36" t="s">
        <v>99</v>
      </c>
      <c r="B398" s="36">
        <v>2020</v>
      </c>
      <c r="C398" s="36" t="s">
        <v>0</v>
      </c>
      <c r="D398" s="36" t="s">
        <v>103</v>
      </c>
      <c r="E398" s="36" t="s">
        <v>92</v>
      </c>
      <c r="F398" s="36" t="s">
        <v>93</v>
      </c>
      <c r="G398" s="36" t="s">
        <v>94</v>
      </c>
      <c r="H398" s="36" t="s">
        <v>95</v>
      </c>
      <c r="I398" s="36" t="s">
        <v>96</v>
      </c>
      <c r="J398" s="36">
        <v>317</v>
      </c>
      <c r="K398" s="36">
        <v>453.31</v>
      </c>
    </row>
    <row r="399" spans="1:11" x14ac:dyDescent="0.3">
      <c r="A399" s="36" t="s">
        <v>97</v>
      </c>
      <c r="B399" s="36">
        <v>2020</v>
      </c>
      <c r="C399" s="36" t="s">
        <v>6</v>
      </c>
      <c r="D399" s="36" t="s">
        <v>103</v>
      </c>
      <c r="E399" s="36" t="s">
        <v>92</v>
      </c>
      <c r="F399" s="36" t="s">
        <v>93</v>
      </c>
      <c r="G399" s="36" t="s">
        <v>94</v>
      </c>
      <c r="H399" s="36" t="s">
        <v>95</v>
      </c>
      <c r="I399" s="36" t="s">
        <v>96</v>
      </c>
      <c r="J399" s="36">
        <v>314</v>
      </c>
      <c r="K399" s="36">
        <v>449.02</v>
      </c>
    </row>
    <row r="400" spans="1:11" x14ac:dyDescent="0.3">
      <c r="A400" s="36" t="s">
        <v>99</v>
      </c>
      <c r="B400" s="36">
        <v>2020</v>
      </c>
      <c r="C400" s="36" t="s">
        <v>6</v>
      </c>
      <c r="D400" s="36" t="s">
        <v>103</v>
      </c>
      <c r="E400" s="36" t="s">
        <v>92</v>
      </c>
      <c r="F400" s="36" t="s">
        <v>93</v>
      </c>
      <c r="G400" s="36" t="s">
        <v>94</v>
      </c>
      <c r="H400" s="36" t="s">
        <v>95</v>
      </c>
      <c r="I400" s="36" t="s">
        <v>96</v>
      </c>
      <c r="J400" s="36">
        <v>362</v>
      </c>
      <c r="K400" s="36">
        <v>517.66</v>
      </c>
    </row>
    <row r="401" spans="1:11" x14ac:dyDescent="0.3">
      <c r="A401" s="36" t="s">
        <v>97</v>
      </c>
      <c r="B401" s="36">
        <v>2020</v>
      </c>
      <c r="C401" s="36" t="s">
        <v>6</v>
      </c>
      <c r="D401" s="36" t="s">
        <v>103</v>
      </c>
      <c r="E401" s="36" t="s">
        <v>92</v>
      </c>
      <c r="F401" s="36" t="s">
        <v>93</v>
      </c>
      <c r="G401" s="36" t="s">
        <v>94</v>
      </c>
      <c r="H401" s="36" t="s">
        <v>95</v>
      </c>
      <c r="I401" s="36" t="s">
        <v>96</v>
      </c>
      <c r="J401" s="36">
        <v>284</v>
      </c>
      <c r="K401" s="36">
        <v>406.12</v>
      </c>
    </row>
    <row r="402" spans="1:11" x14ac:dyDescent="0.3">
      <c r="A402" s="36" t="s">
        <v>97</v>
      </c>
      <c r="B402" s="36">
        <v>2020</v>
      </c>
      <c r="C402" s="36" t="s">
        <v>6</v>
      </c>
      <c r="D402" s="36" t="s">
        <v>103</v>
      </c>
      <c r="E402" s="36" t="s">
        <v>92</v>
      </c>
      <c r="F402" s="36" t="s">
        <v>93</v>
      </c>
      <c r="G402" s="36" t="s">
        <v>94</v>
      </c>
      <c r="H402" s="36" t="s">
        <v>95</v>
      </c>
      <c r="I402" s="36" t="s">
        <v>96</v>
      </c>
      <c r="J402" s="36">
        <v>358</v>
      </c>
      <c r="K402" s="36">
        <v>526.24</v>
      </c>
    </row>
    <row r="403" spans="1:11" x14ac:dyDescent="0.3">
      <c r="A403" s="36" t="s">
        <v>97</v>
      </c>
      <c r="B403" s="36">
        <v>2020</v>
      </c>
      <c r="C403" s="36" t="s">
        <v>6</v>
      </c>
      <c r="D403" s="36" t="s">
        <v>103</v>
      </c>
      <c r="E403" s="36" t="s">
        <v>92</v>
      </c>
      <c r="F403" s="36" t="s">
        <v>93</v>
      </c>
      <c r="G403" s="36" t="s">
        <v>94</v>
      </c>
      <c r="H403" s="36" t="s">
        <v>95</v>
      </c>
      <c r="I403" s="36" t="s">
        <v>96</v>
      </c>
      <c r="J403" s="36">
        <v>286</v>
      </c>
      <c r="K403" s="36">
        <v>526.24</v>
      </c>
    </row>
    <row r="404" spans="1:11" x14ac:dyDescent="0.3">
      <c r="A404" s="36" t="s">
        <v>97</v>
      </c>
      <c r="B404" s="36">
        <v>2020</v>
      </c>
      <c r="C404" s="36" t="s">
        <v>6</v>
      </c>
      <c r="D404" s="36" t="s">
        <v>103</v>
      </c>
      <c r="E404" s="36" t="s">
        <v>92</v>
      </c>
      <c r="F404" s="36" t="s">
        <v>93</v>
      </c>
      <c r="G404" s="36" t="s">
        <v>94</v>
      </c>
      <c r="H404" s="36" t="s">
        <v>95</v>
      </c>
      <c r="I404" s="36" t="s">
        <v>96</v>
      </c>
      <c r="J404" s="36">
        <v>992</v>
      </c>
      <c r="K404" s="36">
        <v>1418.56</v>
      </c>
    </row>
    <row r="405" spans="1:11" x14ac:dyDescent="0.3">
      <c r="A405" s="36" t="s">
        <v>97</v>
      </c>
      <c r="B405" s="36">
        <v>2020</v>
      </c>
      <c r="C405" s="36" t="s">
        <v>6</v>
      </c>
      <c r="D405" s="36" t="s">
        <v>103</v>
      </c>
      <c r="E405" s="36" t="s">
        <v>92</v>
      </c>
      <c r="F405" s="36" t="s">
        <v>93</v>
      </c>
      <c r="G405" s="36" t="s">
        <v>94</v>
      </c>
      <c r="H405" s="36" t="s">
        <v>95</v>
      </c>
      <c r="I405" s="36" t="s">
        <v>96</v>
      </c>
      <c r="J405" s="36">
        <v>1025</v>
      </c>
      <c r="K405" s="36">
        <v>1465.75</v>
      </c>
    </row>
    <row r="406" spans="1:11" x14ac:dyDescent="0.3">
      <c r="A406" s="36" t="s">
        <v>90</v>
      </c>
      <c r="B406" s="36">
        <v>2020</v>
      </c>
      <c r="C406" s="36" t="s">
        <v>6</v>
      </c>
      <c r="D406" s="36" t="s">
        <v>103</v>
      </c>
      <c r="E406" s="36" t="s">
        <v>92</v>
      </c>
      <c r="F406" s="36" t="s">
        <v>93</v>
      </c>
      <c r="G406" s="36" t="s">
        <v>94</v>
      </c>
      <c r="H406" s="36" t="s">
        <v>95</v>
      </c>
      <c r="I406" s="36" t="s">
        <v>96</v>
      </c>
      <c r="J406" s="36">
        <v>288</v>
      </c>
      <c r="K406" s="36">
        <v>411.84000000000003</v>
      </c>
    </row>
    <row r="407" spans="1:11" x14ac:dyDescent="0.3">
      <c r="A407" s="36" t="s">
        <v>90</v>
      </c>
      <c r="B407" s="36">
        <v>2020</v>
      </c>
      <c r="C407" s="36" t="s">
        <v>6</v>
      </c>
      <c r="D407" s="36" t="s">
        <v>103</v>
      </c>
      <c r="E407" s="36" t="s">
        <v>92</v>
      </c>
      <c r="F407" s="36" t="s">
        <v>93</v>
      </c>
      <c r="G407" s="36" t="s">
        <v>94</v>
      </c>
      <c r="H407" s="36" t="s">
        <v>95</v>
      </c>
      <c r="I407" s="36" t="s">
        <v>96</v>
      </c>
      <c r="J407" s="36">
        <v>315</v>
      </c>
      <c r="K407" s="36">
        <v>450.45</v>
      </c>
    </row>
    <row r="408" spans="1:11" x14ac:dyDescent="0.3">
      <c r="A408" s="36" t="s">
        <v>97</v>
      </c>
      <c r="B408" s="36">
        <v>2020</v>
      </c>
      <c r="C408" s="36" t="s">
        <v>6</v>
      </c>
      <c r="D408" s="36" t="s">
        <v>103</v>
      </c>
      <c r="E408" s="36" t="s">
        <v>92</v>
      </c>
      <c r="F408" s="36" t="s">
        <v>93</v>
      </c>
      <c r="G408" s="36" t="s">
        <v>94</v>
      </c>
      <c r="H408" s="36" t="s">
        <v>95</v>
      </c>
      <c r="I408" s="36" t="s">
        <v>96</v>
      </c>
      <c r="J408" s="36">
        <v>285</v>
      </c>
      <c r="K408" s="36">
        <v>407.55</v>
      </c>
    </row>
    <row r="409" spans="1:11" x14ac:dyDescent="0.3">
      <c r="A409" s="36" t="s">
        <v>97</v>
      </c>
      <c r="B409" s="36">
        <v>2020</v>
      </c>
      <c r="C409" s="36" t="s">
        <v>6</v>
      </c>
      <c r="D409" s="36" t="s">
        <v>103</v>
      </c>
      <c r="E409" s="36" t="s">
        <v>92</v>
      </c>
      <c r="F409" s="36" t="s">
        <v>93</v>
      </c>
      <c r="G409" s="36" t="s">
        <v>94</v>
      </c>
      <c r="H409" s="36" t="s">
        <v>95</v>
      </c>
      <c r="I409" s="36" t="s">
        <v>96</v>
      </c>
      <c r="J409" s="36">
        <v>773</v>
      </c>
      <c r="K409" s="36">
        <v>1105.3899999999999</v>
      </c>
    </row>
    <row r="410" spans="1:11" x14ac:dyDescent="0.3">
      <c r="A410" s="36" t="s">
        <v>90</v>
      </c>
      <c r="B410" s="36">
        <v>2020</v>
      </c>
      <c r="C410" s="36" t="s">
        <v>6</v>
      </c>
      <c r="D410" s="36" t="s">
        <v>103</v>
      </c>
      <c r="E410" s="36" t="s">
        <v>92</v>
      </c>
      <c r="F410" s="36" t="s">
        <v>93</v>
      </c>
      <c r="G410" s="36" t="s">
        <v>94</v>
      </c>
      <c r="H410" s="36" t="s">
        <v>95</v>
      </c>
      <c r="I410" s="36" t="s">
        <v>96</v>
      </c>
      <c r="J410" s="36">
        <v>806</v>
      </c>
      <c r="K410" s="36">
        <v>1152.58</v>
      </c>
    </row>
    <row r="411" spans="1:11" x14ac:dyDescent="0.3">
      <c r="A411" s="36" t="s">
        <v>97</v>
      </c>
      <c r="B411" s="36">
        <v>2020</v>
      </c>
      <c r="C411" s="36" t="s">
        <v>6</v>
      </c>
      <c r="D411" s="36" t="s">
        <v>103</v>
      </c>
      <c r="E411" s="36" t="s">
        <v>92</v>
      </c>
      <c r="F411" s="36" t="s">
        <v>93</v>
      </c>
      <c r="G411" s="36" t="s">
        <v>94</v>
      </c>
      <c r="H411" s="36" t="s">
        <v>95</v>
      </c>
      <c r="I411" s="36" t="s">
        <v>96</v>
      </c>
      <c r="J411" s="36">
        <v>311</v>
      </c>
      <c r="K411" s="36">
        <v>444.73</v>
      </c>
    </row>
    <row r="412" spans="1:11" x14ac:dyDescent="0.3">
      <c r="A412" s="36" t="s">
        <v>97</v>
      </c>
      <c r="B412" s="36">
        <v>2020</v>
      </c>
      <c r="C412" s="36" t="s">
        <v>6</v>
      </c>
      <c r="D412" s="36" t="s">
        <v>103</v>
      </c>
      <c r="E412" s="36" t="s">
        <v>92</v>
      </c>
      <c r="F412" s="36" t="s">
        <v>93</v>
      </c>
      <c r="G412" s="36" t="s">
        <v>94</v>
      </c>
      <c r="H412" s="36" t="s">
        <v>95</v>
      </c>
      <c r="I412" s="36" t="s">
        <v>96</v>
      </c>
      <c r="J412" s="36">
        <v>359</v>
      </c>
      <c r="K412" s="36">
        <v>513.37</v>
      </c>
    </row>
    <row r="413" spans="1:11" x14ac:dyDescent="0.3">
      <c r="A413" s="36" t="s">
        <v>97</v>
      </c>
      <c r="B413" s="36">
        <v>2020</v>
      </c>
      <c r="C413" s="36" t="s">
        <v>6</v>
      </c>
      <c r="D413" s="36" t="s">
        <v>103</v>
      </c>
      <c r="E413" s="36" t="s">
        <v>92</v>
      </c>
      <c r="F413" s="36" t="s">
        <v>93</v>
      </c>
      <c r="G413" s="36" t="s">
        <v>94</v>
      </c>
      <c r="H413" s="36" t="s">
        <v>95</v>
      </c>
      <c r="I413" s="36" t="s">
        <v>96</v>
      </c>
      <c r="J413" s="36">
        <v>287</v>
      </c>
      <c r="K413" s="36">
        <v>410.40999999999997</v>
      </c>
    </row>
    <row r="414" spans="1:11" x14ac:dyDescent="0.3">
      <c r="A414" s="36" t="s">
        <v>97</v>
      </c>
      <c r="B414" s="36">
        <v>2020</v>
      </c>
      <c r="C414" s="36" t="s">
        <v>5</v>
      </c>
      <c r="D414" s="36" t="s">
        <v>103</v>
      </c>
      <c r="E414" s="36" t="s">
        <v>92</v>
      </c>
      <c r="F414" s="36" t="s">
        <v>93</v>
      </c>
      <c r="G414" s="36" t="s">
        <v>94</v>
      </c>
      <c r="H414" s="36" t="s">
        <v>95</v>
      </c>
      <c r="I414" s="36" t="s">
        <v>96</v>
      </c>
      <c r="J414" s="36">
        <v>320</v>
      </c>
      <c r="K414" s="36">
        <v>457.6</v>
      </c>
    </row>
    <row r="415" spans="1:11" x14ac:dyDescent="0.3">
      <c r="A415" s="36" t="s">
        <v>97</v>
      </c>
      <c r="B415" s="36">
        <v>2020</v>
      </c>
      <c r="C415" s="36" t="s">
        <v>5</v>
      </c>
      <c r="D415" s="36" t="s">
        <v>103</v>
      </c>
      <c r="E415" s="36" t="s">
        <v>92</v>
      </c>
      <c r="F415" s="36" t="s">
        <v>93</v>
      </c>
      <c r="G415" s="36" t="s">
        <v>94</v>
      </c>
      <c r="H415" s="36" t="s">
        <v>95</v>
      </c>
      <c r="I415" s="36" t="s">
        <v>96</v>
      </c>
      <c r="J415" s="36">
        <v>290</v>
      </c>
      <c r="K415" s="36">
        <v>414.7</v>
      </c>
    </row>
    <row r="416" spans="1:11" x14ac:dyDescent="0.3">
      <c r="A416" s="36" t="s">
        <v>101</v>
      </c>
      <c r="B416" s="36">
        <v>2020</v>
      </c>
      <c r="C416" s="36" t="s">
        <v>5</v>
      </c>
      <c r="D416" s="36" t="s">
        <v>103</v>
      </c>
      <c r="E416" s="36" t="s">
        <v>92</v>
      </c>
      <c r="F416" s="36" t="s">
        <v>93</v>
      </c>
      <c r="G416" s="36" t="s">
        <v>94</v>
      </c>
      <c r="H416" s="36" t="s">
        <v>95</v>
      </c>
      <c r="I416" s="36" t="s">
        <v>96</v>
      </c>
      <c r="J416" s="36">
        <v>316</v>
      </c>
      <c r="K416" s="36">
        <v>526.24</v>
      </c>
    </row>
    <row r="417" spans="1:11" x14ac:dyDescent="0.3">
      <c r="A417" s="36" t="s">
        <v>90</v>
      </c>
      <c r="B417" s="36">
        <v>2020</v>
      </c>
      <c r="C417" s="36" t="s">
        <v>5</v>
      </c>
      <c r="D417" s="36" t="s">
        <v>103</v>
      </c>
      <c r="E417" s="36" t="s">
        <v>92</v>
      </c>
      <c r="F417" s="36" t="s">
        <v>93</v>
      </c>
      <c r="G417" s="36" t="s">
        <v>94</v>
      </c>
      <c r="H417" s="36" t="s">
        <v>95</v>
      </c>
      <c r="I417" s="36" t="s">
        <v>96</v>
      </c>
      <c r="J417" s="36">
        <v>364</v>
      </c>
      <c r="K417" s="36">
        <v>526.24</v>
      </c>
    </row>
    <row r="418" spans="1:11" x14ac:dyDescent="0.3">
      <c r="A418" s="36" t="s">
        <v>101</v>
      </c>
      <c r="B418" s="36">
        <v>2020</v>
      </c>
      <c r="C418" s="36" t="s">
        <v>5</v>
      </c>
      <c r="D418" s="36" t="s">
        <v>103</v>
      </c>
      <c r="E418" s="36" t="s">
        <v>92</v>
      </c>
      <c r="F418" s="36" t="s">
        <v>93</v>
      </c>
      <c r="G418" s="36" t="s">
        <v>94</v>
      </c>
      <c r="H418" s="36" t="s">
        <v>95</v>
      </c>
      <c r="I418" s="36" t="s">
        <v>96</v>
      </c>
      <c r="J418" s="36">
        <v>292</v>
      </c>
      <c r="K418" s="36">
        <v>526.24</v>
      </c>
    </row>
    <row r="419" spans="1:11" x14ac:dyDescent="0.3">
      <c r="A419" s="36" t="s">
        <v>97</v>
      </c>
      <c r="B419" s="36">
        <v>2020</v>
      </c>
      <c r="C419" s="36" t="s">
        <v>5</v>
      </c>
      <c r="D419" s="36" t="s">
        <v>103</v>
      </c>
      <c r="E419" s="36" t="s">
        <v>92</v>
      </c>
      <c r="F419" s="36" t="s">
        <v>93</v>
      </c>
      <c r="G419" s="36" t="s">
        <v>94</v>
      </c>
      <c r="H419" s="36" t="s">
        <v>95</v>
      </c>
      <c r="I419" s="36" t="s">
        <v>96</v>
      </c>
      <c r="J419" s="36">
        <v>991</v>
      </c>
      <c r="K419" s="36">
        <v>1417.13</v>
      </c>
    </row>
    <row r="420" spans="1:11" x14ac:dyDescent="0.3">
      <c r="A420" s="36" t="s">
        <v>99</v>
      </c>
      <c r="B420" s="36">
        <v>2020</v>
      </c>
      <c r="C420" s="36" t="s">
        <v>5</v>
      </c>
      <c r="D420" s="36" t="s">
        <v>103</v>
      </c>
      <c r="E420" s="36" t="s">
        <v>92</v>
      </c>
      <c r="F420" s="36" t="s">
        <v>93</v>
      </c>
      <c r="G420" s="36" t="s">
        <v>94</v>
      </c>
      <c r="H420" s="36" t="s">
        <v>95</v>
      </c>
      <c r="I420" s="36" t="s">
        <v>96</v>
      </c>
      <c r="J420" s="36">
        <v>1024</v>
      </c>
      <c r="K420" s="36">
        <v>1464.32</v>
      </c>
    </row>
    <row r="421" spans="1:11" x14ac:dyDescent="0.3">
      <c r="A421" s="36" t="s">
        <v>90</v>
      </c>
      <c r="B421" s="36">
        <v>2020</v>
      </c>
      <c r="C421" s="36" t="s">
        <v>5</v>
      </c>
      <c r="D421" s="36" t="s">
        <v>103</v>
      </c>
      <c r="E421" s="36" t="s">
        <v>92</v>
      </c>
      <c r="F421" s="36" t="s">
        <v>93</v>
      </c>
      <c r="G421" s="36" t="s">
        <v>94</v>
      </c>
      <c r="H421" s="36" t="s">
        <v>95</v>
      </c>
      <c r="I421" s="36" t="s">
        <v>96</v>
      </c>
      <c r="J421" s="36">
        <v>294</v>
      </c>
      <c r="K421" s="36">
        <v>420.42</v>
      </c>
    </row>
    <row r="422" spans="1:11" x14ac:dyDescent="0.3">
      <c r="A422" s="36" t="s">
        <v>90</v>
      </c>
      <c r="B422" s="36">
        <v>2020</v>
      </c>
      <c r="C422" s="36" t="s">
        <v>5</v>
      </c>
      <c r="D422" s="36" t="s">
        <v>103</v>
      </c>
      <c r="E422" s="36" t="s">
        <v>92</v>
      </c>
      <c r="F422" s="36" t="s">
        <v>93</v>
      </c>
      <c r="G422" s="36" t="s">
        <v>94</v>
      </c>
      <c r="H422" s="36" t="s">
        <v>95</v>
      </c>
      <c r="I422" s="36" t="s">
        <v>96</v>
      </c>
      <c r="J422" s="36">
        <v>321</v>
      </c>
      <c r="K422" s="36">
        <v>459.03</v>
      </c>
    </row>
    <row r="423" spans="1:11" x14ac:dyDescent="0.3">
      <c r="A423" s="36" t="s">
        <v>90</v>
      </c>
      <c r="B423" s="36">
        <v>2020</v>
      </c>
      <c r="C423" s="36" t="s">
        <v>5</v>
      </c>
      <c r="D423" s="36" t="s">
        <v>103</v>
      </c>
      <c r="E423" s="36" t="s">
        <v>92</v>
      </c>
      <c r="F423" s="36" t="s">
        <v>93</v>
      </c>
      <c r="G423" s="36" t="s">
        <v>94</v>
      </c>
      <c r="H423" s="36" t="s">
        <v>95</v>
      </c>
      <c r="I423" s="36" t="s">
        <v>96</v>
      </c>
      <c r="J423" s="36">
        <v>363</v>
      </c>
      <c r="K423" s="36">
        <v>519.09</v>
      </c>
    </row>
    <row r="424" spans="1:11" x14ac:dyDescent="0.3">
      <c r="A424" s="36" t="s">
        <v>97</v>
      </c>
      <c r="B424" s="36">
        <v>2020</v>
      </c>
      <c r="C424" s="36" t="s">
        <v>5</v>
      </c>
      <c r="D424" s="36" t="s">
        <v>103</v>
      </c>
      <c r="E424" s="36" t="s">
        <v>92</v>
      </c>
      <c r="F424" s="36" t="s">
        <v>93</v>
      </c>
      <c r="G424" s="36" t="s">
        <v>94</v>
      </c>
      <c r="H424" s="36" t="s">
        <v>95</v>
      </c>
      <c r="I424" s="36" t="s">
        <v>96</v>
      </c>
      <c r="J424" s="36">
        <v>291</v>
      </c>
      <c r="K424" s="36">
        <v>416.13</v>
      </c>
    </row>
    <row r="425" spans="1:11" x14ac:dyDescent="0.3">
      <c r="A425" s="36" t="s">
        <v>101</v>
      </c>
      <c r="B425" s="36">
        <v>2020</v>
      </c>
      <c r="C425" s="36" t="s">
        <v>5</v>
      </c>
      <c r="D425" s="36" t="s">
        <v>103</v>
      </c>
      <c r="E425" s="36" t="s">
        <v>92</v>
      </c>
      <c r="F425" s="36" t="s">
        <v>93</v>
      </c>
      <c r="G425" s="36" t="s">
        <v>94</v>
      </c>
      <c r="H425" s="36" t="s">
        <v>95</v>
      </c>
      <c r="I425" s="36" t="s">
        <v>96</v>
      </c>
      <c r="J425" s="36">
        <v>772</v>
      </c>
      <c r="K425" s="36">
        <v>1103.96</v>
      </c>
    </row>
    <row r="426" spans="1:11" x14ac:dyDescent="0.3">
      <c r="A426" s="36" t="s">
        <v>90</v>
      </c>
      <c r="B426" s="36">
        <v>2020</v>
      </c>
      <c r="C426" s="36" t="s">
        <v>5</v>
      </c>
      <c r="D426" s="36" t="s">
        <v>103</v>
      </c>
      <c r="E426" s="36" t="s">
        <v>92</v>
      </c>
      <c r="F426" s="36" t="s">
        <v>93</v>
      </c>
      <c r="G426" s="36" t="s">
        <v>94</v>
      </c>
      <c r="H426" s="36" t="s">
        <v>95</v>
      </c>
      <c r="I426" s="36" t="s">
        <v>96</v>
      </c>
      <c r="J426" s="36">
        <v>805</v>
      </c>
      <c r="K426" s="36">
        <v>1151.1500000000001</v>
      </c>
    </row>
    <row r="427" spans="1:11" x14ac:dyDescent="0.3">
      <c r="A427" s="36" t="s">
        <v>101</v>
      </c>
      <c r="B427" s="36">
        <v>2020</v>
      </c>
      <c r="C427" s="36" t="s">
        <v>5</v>
      </c>
      <c r="D427" s="36" t="s">
        <v>103</v>
      </c>
      <c r="E427" s="36" t="s">
        <v>92</v>
      </c>
      <c r="F427" s="36" t="s">
        <v>93</v>
      </c>
      <c r="G427" s="36" t="s">
        <v>94</v>
      </c>
      <c r="H427" s="36" t="s">
        <v>95</v>
      </c>
      <c r="I427" s="36" t="s">
        <v>96</v>
      </c>
      <c r="J427" s="36">
        <v>859</v>
      </c>
      <c r="K427" s="36">
        <v>1228.3699999999999</v>
      </c>
    </row>
    <row r="428" spans="1:11" x14ac:dyDescent="0.3">
      <c r="A428" s="36" t="s">
        <v>97</v>
      </c>
      <c r="B428" s="36">
        <v>2020</v>
      </c>
      <c r="C428" s="36" t="s">
        <v>5</v>
      </c>
      <c r="D428" s="36" t="s">
        <v>103</v>
      </c>
      <c r="E428" s="36" t="s">
        <v>92</v>
      </c>
      <c r="F428" s="36" t="s">
        <v>93</v>
      </c>
      <c r="G428" s="36" t="s">
        <v>94</v>
      </c>
      <c r="H428" s="36" t="s">
        <v>95</v>
      </c>
      <c r="I428" s="36" t="s">
        <v>96</v>
      </c>
      <c r="J428" s="36">
        <v>317</v>
      </c>
      <c r="K428" s="36">
        <v>453.31</v>
      </c>
    </row>
    <row r="429" spans="1:11" x14ac:dyDescent="0.3">
      <c r="A429" s="36" t="s">
        <v>97</v>
      </c>
      <c r="B429" s="36">
        <v>2020</v>
      </c>
      <c r="C429" s="36" t="s">
        <v>5</v>
      </c>
      <c r="D429" s="36" t="s">
        <v>103</v>
      </c>
      <c r="E429" s="36" t="s">
        <v>92</v>
      </c>
      <c r="F429" s="36" t="s">
        <v>93</v>
      </c>
      <c r="G429" s="36" t="s">
        <v>94</v>
      </c>
      <c r="H429" s="36" t="s">
        <v>95</v>
      </c>
      <c r="I429" s="36" t="s">
        <v>96</v>
      </c>
      <c r="J429" s="36">
        <v>365</v>
      </c>
      <c r="K429" s="36">
        <v>521.95000000000005</v>
      </c>
    </row>
    <row r="430" spans="1:11" x14ac:dyDescent="0.3">
      <c r="A430" s="36" t="s">
        <v>97</v>
      </c>
      <c r="B430" s="36">
        <v>2020</v>
      </c>
      <c r="C430" s="36" t="s">
        <v>5</v>
      </c>
      <c r="D430" s="36" t="s">
        <v>103</v>
      </c>
      <c r="E430" s="36" t="s">
        <v>92</v>
      </c>
      <c r="F430" s="36" t="s">
        <v>93</v>
      </c>
      <c r="G430" s="36" t="s">
        <v>94</v>
      </c>
      <c r="H430" s="36" t="s">
        <v>95</v>
      </c>
      <c r="I430" s="36" t="s">
        <v>96</v>
      </c>
      <c r="J430" s="36">
        <v>293</v>
      </c>
      <c r="K430" s="36">
        <v>418.99</v>
      </c>
    </row>
    <row r="431" spans="1:11" x14ac:dyDescent="0.3">
      <c r="A431" s="36" t="s">
        <v>99</v>
      </c>
      <c r="B431" s="36">
        <v>2020</v>
      </c>
      <c r="C431" s="36" t="s">
        <v>2</v>
      </c>
      <c r="D431" s="36" t="s">
        <v>103</v>
      </c>
      <c r="E431" s="36" t="s">
        <v>92</v>
      </c>
      <c r="F431" s="36" t="s">
        <v>93</v>
      </c>
      <c r="G431" s="36" t="s">
        <v>94</v>
      </c>
      <c r="H431" s="36" t="s">
        <v>95</v>
      </c>
      <c r="I431" s="36" t="s">
        <v>96</v>
      </c>
      <c r="J431" s="36">
        <v>332</v>
      </c>
      <c r="K431" s="36">
        <v>474.76</v>
      </c>
    </row>
    <row r="432" spans="1:11" x14ac:dyDescent="0.3">
      <c r="A432" s="36" t="s">
        <v>90</v>
      </c>
      <c r="B432" s="36">
        <v>2020</v>
      </c>
      <c r="C432" s="36" t="s">
        <v>2</v>
      </c>
      <c r="D432" s="36" t="s">
        <v>103</v>
      </c>
      <c r="E432" s="36" t="s">
        <v>92</v>
      </c>
      <c r="F432" s="36" t="s">
        <v>93</v>
      </c>
      <c r="G432" s="36" t="s">
        <v>94</v>
      </c>
      <c r="H432" s="36" t="s">
        <v>95</v>
      </c>
      <c r="I432" s="36" t="s">
        <v>96</v>
      </c>
      <c r="J432" s="36">
        <v>134</v>
      </c>
      <c r="K432" s="36">
        <v>191.62</v>
      </c>
    </row>
    <row r="433" spans="1:11" x14ac:dyDescent="0.3">
      <c r="A433" s="36" t="s">
        <v>97</v>
      </c>
      <c r="B433" s="36">
        <v>2020</v>
      </c>
      <c r="C433" s="36" t="s">
        <v>2</v>
      </c>
      <c r="D433" s="36" t="s">
        <v>103</v>
      </c>
      <c r="E433" s="36" t="s">
        <v>92</v>
      </c>
      <c r="F433" s="36" t="s">
        <v>93</v>
      </c>
      <c r="G433" s="36" t="s">
        <v>94</v>
      </c>
      <c r="H433" s="36" t="s">
        <v>95</v>
      </c>
      <c r="I433" s="36" t="s">
        <v>96</v>
      </c>
      <c r="J433" s="36">
        <v>308</v>
      </c>
      <c r="K433" s="36">
        <v>440.44</v>
      </c>
    </row>
    <row r="434" spans="1:11" x14ac:dyDescent="0.3">
      <c r="A434" s="36" t="s">
        <v>99</v>
      </c>
      <c r="B434" s="36">
        <v>2020</v>
      </c>
      <c r="C434" s="36" t="s">
        <v>2</v>
      </c>
      <c r="D434" s="36" t="s">
        <v>103</v>
      </c>
      <c r="E434" s="36" t="s">
        <v>92</v>
      </c>
      <c r="F434" s="36" t="s">
        <v>93</v>
      </c>
      <c r="G434" s="36" t="s">
        <v>94</v>
      </c>
      <c r="H434" s="36" t="s">
        <v>95</v>
      </c>
      <c r="I434" s="36" t="s">
        <v>96</v>
      </c>
      <c r="J434" s="36">
        <v>334</v>
      </c>
      <c r="K434" s="36">
        <v>526.24</v>
      </c>
    </row>
    <row r="435" spans="1:11" x14ac:dyDescent="0.3">
      <c r="A435" s="36" t="s">
        <v>99</v>
      </c>
      <c r="B435" s="36">
        <v>2020</v>
      </c>
      <c r="C435" s="36" t="s">
        <v>2</v>
      </c>
      <c r="D435" s="36" t="s">
        <v>103</v>
      </c>
      <c r="E435" s="36" t="s">
        <v>92</v>
      </c>
      <c r="F435" s="36" t="s">
        <v>93</v>
      </c>
      <c r="G435" s="36" t="s">
        <v>94</v>
      </c>
      <c r="H435" s="36" t="s">
        <v>95</v>
      </c>
      <c r="I435" s="36" t="s">
        <v>96</v>
      </c>
      <c r="J435" s="36">
        <v>136</v>
      </c>
      <c r="K435" s="36">
        <v>526.24</v>
      </c>
    </row>
    <row r="436" spans="1:11" x14ac:dyDescent="0.3">
      <c r="A436" s="36" t="s">
        <v>97</v>
      </c>
      <c r="B436" s="36">
        <v>2020</v>
      </c>
      <c r="C436" s="36" t="s">
        <v>2</v>
      </c>
      <c r="D436" s="36" t="s">
        <v>103</v>
      </c>
      <c r="E436" s="36" t="s">
        <v>92</v>
      </c>
      <c r="F436" s="36" t="s">
        <v>93</v>
      </c>
      <c r="G436" s="36" t="s">
        <v>94</v>
      </c>
      <c r="H436" s="36" t="s">
        <v>95</v>
      </c>
      <c r="I436" s="36" t="s">
        <v>96</v>
      </c>
      <c r="J436" s="36">
        <v>310</v>
      </c>
      <c r="K436" s="36">
        <v>526.24</v>
      </c>
    </row>
    <row r="437" spans="1:11" x14ac:dyDescent="0.3">
      <c r="A437" s="36" t="s">
        <v>97</v>
      </c>
      <c r="B437" s="36">
        <v>2020</v>
      </c>
      <c r="C437" s="36" t="s">
        <v>2</v>
      </c>
      <c r="D437" s="36" t="s">
        <v>103</v>
      </c>
      <c r="E437" s="36" t="s">
        <v>92</v>
      </c>
      <c r="F437" s="36" t="s">
        <v>93</v>
      </c>
      <c r="G437" s="36" t="s">
        <v>94</v>
      </c>
      <c r="H437" s="36" t="s">
        <v>95</v>
      </c>
      <c r="I437" s="36" t="s">
        <v>96</v>
      </c>
      <c r="J437" s="36">
        <v>988</v>
      </c>
      <c r="K437" s="36">
        <v>1412.84</v>
      </c>
    </row>
    <row r="438" spans="1:11" x14ac:dyDescent="0.3">
      <c r="A438" s="36" t="s">
        <v>90</v>
      </c>
      <c r="B438" s="36">
        <v>2020</v>
      </c>
      <c r="C438" s="36" t="s">
        <v>2</v>
      </c>
      <c r="D438" s="36" t="s">
        <v>103</v>
      </c>
      <c r="E438" s="36" t="s">
        <v>92</v>
      </c>
      <c r="F438" s="36" t="s">
        <v>93</v>
      </c>
      <c r="G438" s="36" t="s">
        <v>94</v>
      </c>
      <c r="H438" s="36" t="s">
        <v>95</v>
      </c>
      <c r="I438" s="36" t="s">
        <v>96</v>
      </c>
      <c r="J438" s="36">
        <v>306</v>
      </c>
      <c r="K438" s="36">
        <v>437.58</v>
      </c>
    </row>
    <row r="439" spans="1:11" x14ac:dyDescent="0.3">
      <c r="A439" s="36" t="s">
        <v>90</v>
      </c>
      <c r="B439" s="36">
        <v>2020</v>
      </c>
      <c r="C439" s="36" t="s">
        <v>2</v>
      </c>
      <c r="D439" s="36" t="s">
        <v>103</v>
      </c>
      <c r="E439" s="36" t="s">
        <v>92</v>
      </c>
      <c r="F439" s="36" t="s">
        <v>93</v>
      </c>
      <c r="G439" s="36" t="s">
        <v>94</v>
      </c>
      <c r="H439" s="36" t="s">
        <v>95</v>
      </c>
      <c r="I439" s="36" t="s">
        <v>96</v>
      </c>
      <c r="J439" s="36">
        <v>333</v>
      </c>
      <c r="K439" s="36">
        <v>476.19</v>
      </c>
    </row>
    <row r="440" spans="1:11" x14ac:dyDescent="0.3">
      <c r="A440" s="36" t="s">
        <v>99</v>
      </c>
      <c r="B440" s="36">
        <v>2020</v>
      </c>
      <c r="C440" s="36" t="s">
        <v>2</v>
      </c>
      <c r="D440" s="36" t="s">
        <v>103</v>
      </c>
      <c r="E440" s="36" t="s">
        <v>92</v>
      </c>
      <c r="F440" s="36" t="s">
        <v>93</v>
      </c>
      <c r="G440" s="36" t="s">
        <v>94</v>
      </c>
      <c r="H440" s="36" t="s">
        <v>95</v>
      </c>
      <c r="I440" s="36" t="s">
        <v>96</v>
      </c>
      <c r="J440" s="36">
        <v>135</v>
      </c>
      <c r="K440" s="36">
        <v>193.05</v>
      </c>
    </row>
    <row r="441" spans="1:11" x14ac:dyDescent="0.3">
      <c r="A441" s="36" t="s">
        <v>97</v>
      </c>
      <c r="B441" s="36">
        <v>2020</v>
      </c>
      <c r="C441" s="36" t="s">
        <v>2</v>
      </c>
      <c r="D441" s="36" t="s">
        <v>103</v>
      </c>
      <c r="E441" s="36" t="s">
        <v>92</v>
      </c>
      <c r="F441" s="36" t="s">
        <v>93</v>
      </c>
      <c r="G441" s="36" t="s">
        <v>94</v>
      </c>
      <c r="H441" s="36" t="s">
        <v>95</v>
      </c>
      <c r="I441" s="36" t="s">
        <v>96</v>
      </c>
      <c r="J441" s="36">
        <v>309</v>
      </c>
      <c r="K441" s="36">
        <v>441.87</v>
      </c>
    </row>
    <row r="442" spans="1:11" x14ac:dyDescent="0.3">
      <c r="A442" s="36" t="s">
        <v>97</v>
      </c>
      <c r="B442" s="36">
        <v>2020</v>
      </c>
      <c r="C442" s="36" t="s">
        <v>2</v>
      </c>
      <c r="D442" s="36" t="s">
        <v>103</v>
      </c>
      <c r="E442" s="36" t="s">
        <v>92</v>
      </c>
      <c r="F442" s="36" t="s">
        <v>93</v>
      </c>
      <c r="G442" s="36" t="s">
        <v>94</v>
      </c>
      <c r="H442" s="36" t="s">
        <v>95</v>
      </c>
      <c r="I442" s="36" t="s">
        <v>96</v>
      </c>
      <c r="J442" s="36">
        <v>769</v>
      </c>
      <c r="K442" s="36">
        <v>1099.67</v>
      </c>
    </row>
    <row r="443" spans="1:11" x14ac:dyDescent="0.3">
      <c r="A443" s="36" t="s">
        <v>99</v>
      </c>
      <c r="B443" s="36">
        <v>2020</v>
      </c>
      <c r="C443" s="36" t="s">
        <v>2</v>
      </c>
      <c r="D443" s="36" t="s">
        <v>103</v>
      </c>
      <c r="E443" s="36" t="s">
        <v>92</v>
      </c>
      <c r="F443" s="36" t="s">
        <v>93</v>
      </c>
      <c r="G443" s="36" t="s">
        <v>94</v>
      </c>
      <c r="H443" s="36" t="s">
        <v>95</v>
      </c>
      <c r="I443" s="36" t="s">
        <v>96</v>
      </c>
      <c r="J443" s="36">
        <v>803</v>
      </c>
      <c r="K443" s="36">
        <v>1148.29</v>
      </c>
    </row>
    <row r="444" spans="1:11" x14ac:dyDescent="0.3">
      <c r="A444" s="36" t="s">
        <v>99</v>
      </c>
      <c r="B444" s="36">
        <v>2020</v>
      </c>
      <c r="C444" s="36" t="s">
        <v>2</v>
      </c>
      <c r="D444" s="36" t="s">
        <v>103</v>
      </c>
      <c r="E444" s="36" t="s">
        <v>92</v>
      </c>
      <c r="F444" s="36" t="s">
        <v>93</v>
      </c>
      <c r="G444" s="36" t="s">
        <v>94</v>
      </c>
      <c r="H444" s="36" t="s">
        <v>95</v>
      </c>
      <c r="I444" s="36" t="s">
        <v>96</v>
      </c>
      <c r="J444" s="36">
        <v>856</v>
      </c>
      <c r="K444" s="36">
        <v>1224.08</v>
      </c>
    </row>
    <row r="445" spans="1:11" x14ac:dyDescent="0.3">
      <c r="A445" s="36" t="s">
        <v>97</v>
      </c>
      <c r="B445" s="36">
        <v>2020</v>
      </c>
      <c r="C445" s="36" t="s">
        <v>2</v>
      </c>
      <c r="D445" s="36" t="s">
        <v>103</v>
      </c>
      <c r="E445" s="36" t="s">
        <v>92</v>
      </c>
      <c r="F445" s="36" t="s">
        <v>93</v>
      </c>
      <c r="G445" s="36" t="s">
        <v>94</v>
      </c>
      <c r="H445" s="36" t="s">
        <v>95</v>
      </c>
      <c r="I445" s="36" t="s">
        <v>96</v>
      </c>
      <c r="J445" s="36">
        <v>335</v>
      </c>
      <c r="K445" s="36">
        <v>479.05</v>
      </c>
    </row>
    <row r="446" spans="1:11" x14ac:dyDescent="0.3">
      <c r="A446" s="36" t="s">
        <v>99</v>
      </c>
      <c r="B446" s="36">
        <v>2020</v>
      </c>
      <c r="C446" s="36" t="s">
        <v>2</v>
      </c>
      <c r="D446" s="36" t="s">
        <v>103</v>
      </c>
      <c r="E446" s="36" t="s">
        <v>92</v>
      </c>
      <c r="F446" s="36" t="s">
        <v>93</v>
      </c>
      <c r="G446" s="36" t="s">
        <v>94</v>
      </c>
      <c r="H446" s="36" t="s">
        <v>95</v>
      </c>
      <c r="I446" s="36" t="s">
        <v>96</v>
      </c>
      <c r="J446" s="36">
        <v>137</v>
      </c>
      <c r="K446" s="36">
        <v>195.91</v>
      </c>
    </row>
    <row r="447" spans="1:11" x14ac:dyDescent="0.3">
      <c r="A447" s="36" t="s">
        <v>99</v>
      </c>
      <c r="B447" s="36">
        <v>2020</v>
      </c>
      <c r="C447" s="36" t="s">
        <v>2</v>
      </c>
      <c r="D447" s="36" t="s">
        <v>103</v>
      </c>
      <c r="E447" s="36" t="s">
        <v>92</v>
      </c>
      <c r="F447" s="36" t="s">
        <v>93</v>
      </c>
      <c r="G447" s="36" t="s">
        <v>94</v>
      </c>
      <c r="H447" s="36" t="s">
        <v>95</v>
      </c>
      <c r="I447" s="36" t="s">
        <v>96</v>
      </c>
      <c r="J447" s="36">
        <v>305</v>
      </c>
      <c r="K447" s="36">
        <v>436.15</v>
      </c>
    </row>
    <row r="448" spans="1:11" x14ac:dyDescent="0.3">
      <c r="A448" s="36" t="s">
        <v>90</v>
      </c>
      <c r="B448" s="36">
        <v>2020</v>
      </c>
      <c r="C448" s="36" t="s">
        <v>4</v>
      </c>
      <c r="D448" s="36" t="s">
        <v>103</v>
      </c>
      <c r="E448" s="36" t="s">
        <v>92</v>
      </c>
      <c r="F448" s="36" t="s">
        <v>93</v>
      </c>
      <c r="G448" s="36" t="s">
        <v>94</v>
      </c>
      <c r="H448" s="36" t="s">
        <v>95</v>
      </c>
      <c r="I448" s="36" t="s">
        <v>96</v>
      </c>
      <c r="J448" s="36">
        <v>326</v>
      </c>
      <c r="K448" s="36">
        <v>466.18</v>
      </c>
    </row>
    <row r="449" spans="1:11" x14ac:dyDescent="0.3">
      <c r="A449" s="36" t="s">
        <v>97</v>
      </c>
      <c r="B449" s="36">
        <v>2020</v>
      </c>
      <c r="C449" s="36" t="s">
        <v>4</v>
      </c>
      <c r="D449" s="36" t="s">
        <v>103</v>
      </c>
      <c r="E449" s="36" t="s">
        <v>92</v>
      </c>
      <c r="F449" s="36" t="s">
        <v>93</v>
      </c>
      <c r="G449" s="36" t="s">
        <v>94</v>
      </c>
      <c r="H449" s="36" t="s">
        <v>95</v>
      </c>
      <c r="I449" s="36" t="s">
        <v>96</v>
      </c>
      <c r="J449" s="36">
        <v>368</v>
      </c>
      <c r="K449" s="36">
        <v>526.24</v>
      </c>
    </row>
    <row r="450" spans="1:11" x14ac:dyDescent="0.3">
      <c r="A450" s="36" t="s">
        <v>97</v>
      </c>
      <c r="B450" s="36">
        <v>2020</v>
      </c>
      <c r="C450" s="36" t="s">
        <v>4</v>
      </c>
      <c r="D450" s="36" t="s">
        <v>103</v>
      </c>
      <c r="E450" s="36" t="s">
        <v>92</v>
      </c>
      <c r="F450" s="36" t="s">
        <v>93</v>
      </c>
      <c r="G450" s="36" t="s">
        <v>94</v>
      </c>
      <c r="H450" s="36" t="s">
        <v>95</v>
      </c>
      <c r="I450" s="36" t="s">
        <v>96</v>
      </c>
      <c r="J450" s="36">
        <v>296</v>
      </c>
      <c r="K450" s="36">
        <v>423.28</v>
      </c>
    </row>
    <row r="451" spans="1:11" x14ac:dyDescent="0.3">
      <c r="A451" s="36" t="s">
        <v>97</v>
      </c>
      <c r="B451" s="36">
        <v>2020</v>
      </c>
      <c r="C451" s="36" t="s">
        <v>4</v>
      </c>
      <c r="D451" s="36" t="s">
        <v>103</v>
      </c>
      <c r="E451" s="36" t="s">
        <v>92</v>
      </c>
      <c r="F451" s="36" t="s">
        <v>93</v>
      </c>
      <c r="G451" s="36" t="s">
        <v>94</v>
      </c>
      <c r="H451" s="36" t="s">
        <v>95</v>
      </c>
      <c r="I451" s="36" t="s">
        <v>96</v>
      </c>
      <c r="J451" s="36">
        <v>322</v>
      </c>
      <c r="K451" s="36">
        <v>526.24</v>
      </c>
    </row>
    <row r="452" spans="1:11" x14ac:dyDescent="0.3">
      <c r="A452" s="36" t="s">
        <v>101</v>
      </c>
      <c r="B452" s="36">
        <v>2020</v>
      </c>
      <c r="C452" s="36" t="s">
        <v>4</v>
      </c>
      <c r="D452" s="36" t="s">
        <v>103</v>
      </c>
      <c r="E452" s="36" t="s">
        <v>92</v>
      </c>
      <c r="F452" s="36" t="s">
        <v>93</v>
      </c>
      <c r="G452" s="36" t="s">
        <v>94</v>
      </c>
      <c r="H452" s="36" t="s">
        <v>95</v>
      </c>
      <c r="I452" s="36" t="s">
        <v>96</v>
      </c>
      <c r="J452" s="36">
        <v>370</v>
      </c>
      <c r="K452" s="36">
        <v>526.24</v>
      </c>
    </row>
    <row r="453" spans="1:11" x14ac:dyDescent="0.3">
      <c r="A453" s="36" t="s">
        <v>99</v>
      </c>
      <c r="B453" s="36">
        <v>2020</v>
      </c>
      <c r="C453" s="36" t="s">
        <v>4</v>
      </c>
      <c r="D453" s="36" t="s">
        <v>103</v>
      </c>
      <c r="E453" s="36" t="s">
        <v>92</v>
      </c>
      <c r="F453" s="36" t="s">
        <v>93</v>
      </c>
      <c r="G453" s="36" t="s">
        <v>94</v>
      </c>
      <c r="H453" s="36" t="s">
        <v>95</v>
      </c>
      <c r="I453" s="36" t="s">
        <v>96</v>
      </c>
      <c r="J453" s="36">
        <v>298</v>
      </c>
      <c r="K453" s="36">
        <v>526.24</v>
      </c>
    </row>
    <row r="454" spans="1:11" x14ac:dyDescent="0.3">
      <c r="A454" s="36" t="s">
        <v>99</v>
      </c>
      <c r="B454" s="36">
        <v>2020</v>
      </c>
      <c r="C454" s="36" t="s">
        <v>4</v>
      </c>
      <c r="D454" s="36" t="s">
        <v>103</v>
      </c>
      <c r="E454" s="36" t="s">
        <v>92</v>
      </c>
      <c r="F454" s="36" t="s">
        <v>93</v>
      </c>
      <c r="G454" s="36" t="s">
        <v>94</v>
      </c>
      <c r="H454" s="36" t="s">
        <v>95</v>
      </c>
      <c r="I454" s="36" t="s">
        <v>96</v>
      </c>
      <c r="J454" s="36">
        <v>990</v>
      </c>
      <c r="K454" s="36">
        <v>1415.7</v>
      </c>
    </row>
    <row r="455" spans="1:11" x14ac:dyDescent="0.3">
      <c r="A455" s="36" t="s">
        <v>90</v>
      </c>
      <c r="B455" s="36">
        <v>2020</v>
      </c>
      <c r="C455" s="36" t="s">
        <v>4</v>
      </c>
      <c r="D455" s="36" t="s">
        <v>103</v>
      </c>
      <c r="E455" s="36" t="s">
        <v>92</v>
      </c>
      <c r="F455" s="36" t="s">
        <v>93</v>
      </c>
      <c r="G455" s="36" t="s">
        <v>94</v>
      </c>
      <c r="H455" s="36" t="s">
        <v>95</v>
      </c>
      <c r="I455" s="36" t="s">
        <v>96</v>
      </c>
      <c r="J455" s="36">
        <v>1023</v>
      </c>
      <c r="K455" s="36">
        <v>1462.8899999999999</v>
      </c>
    </row>
    <row r="456" spans="1:11" x14ac:dyDescent="0.3">
      <c r="A456" s="36" t="s">
        <v>97</v>
      </c>
      <c r="B456" s="36">
        <v>2020</v>
      </c>
      <c r="C456" s="36" t="s">
        <v>4</v>
      </c>
      <c r="D456" s="36" t="s">
        <v>103</v>
      </c>
      <c r="E456" s="36" t="s">
        <v>92</v>
      </c>
      <c r="F456" s="36" t="s">
        <v>93</v>
      </c>
      <c r="G456" s="36" t="s">
        <v>94</v>
      </c>
      <c r="H456" s="36" t="s">
        <v>95</v>
      </c>
      <c r="I456" s="36" t="s">
        <v>96</v>
      </c>
      <c r="J456" s="36">
        <v>369</v>
      </c>
      <c r="K456" s="36">
        <v>527.66999999999996</v>
      </c>
    </row>
    <row r="457" spans="1:11" x14ac:dyDescent="0.3">
      <c r="A457" s="36" t="s">
        <v>99</v>
      </c>
      <c r="B457" s="36">
        <v>2020</v>
      </c>
      <c r="C457" s="36" t="s">
        <v>4</v>
      </c>
      <c r="D457" s="36" t="s">
        <v>103</v>
      </c>
      <c r="E457" s="36" t="s">
        <v>92</v>
      </c>
      <c r="F457" s="36" t="s">
        <v>93</v>
      </c>
      <c r="G457" s="36" t="s">
        <v>94</v>
      </c>
      <c r="H457" s="36" t="s">
        <v>95</v>
      </c>
      <c r="I457" s="36" t="s">
        <v>96</v>
      </c>
      <c r="J457" s="36">
        <v>297</v>
      </c>
      <c r="K457" s="36">
        <v>424.71</v>
      </c>
    </row>
    <row r="458" spans="1:11" x14ac:dyDescent="0.3">
      <c r="A458" s="36" t="s">
        <v>99</v>
      </c>
      <c r="B458" s="36">
        <v>2020</v>
      </c>
      <c r="C458" s="36" t="s">
        <v>4</v>
      </c>
      <c r="D458" s="36" t="s">
        <v>103</v>
      </c>
      <c r="E458" s="36" t="s">
        <v>92</v>
      </c>
      <c r="F458" s="36" t="s">
        <v>93</v>
      </c>
      <c r="G458" s="36" t="s">
        <v>94</v>
      </c>
      <c r="H458" s="36" t="s">
        <v>95</v>
      </c>
      <c r="I458" s="36" t="s">
        <v>96</v>
      </c>
      <c r="J458" s="36">
        <v>771</v>
      </c>
      <c r="K458" s="36">
        <v>1102.53</v>
      </c>
    </row>
    <row r="459" spans="1:11" x14ac:dyDescent="0.3">
      <c r="A459" s="36" t="s">
        <v>90</v>
      </c>
      <c r="B459" s="36">
        <v>2020</v>
      </c>
      <c r="C459" s="36" t="s">
        <v>4</v>
      </c>
      <c r="D459" s="36" t="s">
        <v>103</v>
      </c>
      <c r="E459" s="36" t="s">
        <v>92</v>
      </c>
      <c r="F459" s="36" t="s">
        <v>93</v>
      </c>
      <c r="G459" s="36" t="s">
        <v>94</v>
      </c>
      <c r="H459" s="36" t="s">
        <v>95</v>
      </c>
      <c r="I459" s="36" t="s">
        <v>96</v>
      </c>
      <c r="J459" s="36">
        <v>804</v>
      </c>
      <c r="K459" s="36">
        <v>1149.72</v>
      </c>
    </row>
    <row r="460" spans="1:11" x14ac:dyDescent="0.3">
      <c r="A460" s="36" t="s">
        <v>97</v>
      </c>
      <c r="B460" s="36">
        <v>2020</v>
      </c>
      <c r="C460" s="36" t="s">
        <v>4</v>
      </c>
      <c r="D460" s="36" t="s">
        <v>103</v>
      </c>
      <c r="E460" s="36" t="s">
        <v>92</v>
      </c>
      <c r="F460" s="36" t="s">
        <v>93</v>
      </c>
      <c r="G460" s="36" t="s">
        <v>94</v>
      </c>
      <c r="H460" s="36" t="s">
        <v>95</v>
      </c>
      <c r="I460" s="36" t="s">
        <v>96</v>
      </c>
      <c r="J460" s="36">
        <v>858</v>
      </c>
      <c r="K460" s="36">
        <v>1226.94</v>
      </c>
    </row>
    <row r="461" spans="1:11" x14ac:dyDescent="0.3">
      <c r="A461" s="36" t="s">
        <v>97</v>
      </c>
      <c r="B461" s="36">
        <v>2020</v>
      </c>
      <c r="C461" s="36" t="s">
        <v>4</v>
      </c>
      <c r="D461" s="36" t="s">
        <v>103</v>
      </c>
      <c r="E461" s="36" t="s">
        <v>92</v>
      </c>
      <c r="F461" s="36" t="s">
        <v>93</v>
      </c>
      <c r="G461" s="36" t="s">
        <v>94</v>
      </c>
      <c r="H461" s="36" t="s">
        <v>95</v>
      </c>
      <c r="I461" s="36" t="s">
        <v>96</v>
      </c>
      <c r="J461" s="36">
        <v>323</v>
      </c>
      <c r="K461" s="36">
        <v>461.89</v>
      </c>
    </row>
    <row r="462" spans="1:11" x14ac:dyDescent="0.3">
      <c r="A462" s="36" t="s">
        <v>90</v>
      </c>
      <c r="B462" s="36">
        <v>2020</v>
      </c>
      <c r="C462" s="36" t="s">
        <v>4</v>
      </c>
      <c r="D462" s="36" t="s">
        <v>103</v>
      </c>
      <c r="E462" s="36" t="s">
        <v>92</v>
      </c>
      <c r="F462" s="36" t="s">
        <v>93</v>
      </c>
      <c r="G462" s="36" t="s">
        <v>94</v>
      </c>
      <c r="H462" s="36" t="s">
        <v>95</v>
      </c>
      <c r="I462" s="36" t="s">
        <v>96</v>
      </c>
      <c r="J462" s="36">
        <v>371</v>
      </c>
      <c r="K462" s="36">
        <v>530.53</v>
      </c>
    </row>
    <row r="463" spans="1:11" x14ac:dyDescent="0.3">
      <c r="A463" s="36" t="s">
        <v>90</v>
      </c>
      <c r="B463" s="36">
        <v>2020</v>
      </c>
      <c r="C463" s="36" t="s">
        <v>4</v>
      </c>
      <c r="D463" s="36" t="s">
        <v>103</v>
      </c>
      <c r="E463" s="36" t="s">
        <v>92</v>
      </c>
      <c r="F463" s="36" t="s">
        <v>93</v>
      </c>
      <c r="G463" s="36" t="s">
        <v>94</v>
      </c>
      <c r="H463" s="36" t="s">
        <v>95</v>
      </c>
      <c r="I463" s="36" t="s">
        <v>96</v>
      </c>
      <c r="J463" s="36">
        <v>299</v>
      </c>
      <c r="K463" s="36">
        <v>427.57</v>
      </c>
    </row>
    <row r="464" spans="1:11" x14ac:dyDescent="0.3">
      <c r="A464" s="36" t="s">
        <v>90</v>
      </c>
      <c r="B464" s="36">
        <v>2020</v>
      </c>
      <c r="C464" s="36" t="s">
        <v>10</v>
      </c>
      <c r="D464" s="36" t="s">
        <v>103</v>
      </c>
      <c r="E464" s="36" t="s">
        <v>92</v>
      </c>
      <c r="F464" s="36" t="s">
        <v>93</v>
      </c>
      <c r="G464" s="36" t="s">
        <v>94</v>
      </c>
      <c r="H464" s="36" t="s">
        <v>95</v>
      </c>
      <c r="I464" s="36" t="s">
        <v>96</v>
      </c>
      <c r="J464" s="36">
        <v>290</v>
      </c>
      <c r="K464" s="36">
        <v>414.7</v>
      </c>
    </row>
    <row r="465" spans="1:11" x14ac:dyDescent="0.3">
      <c r="A465" s="36" t="s">
        <v>97</v>
      </c>
      <c r="B465" s="36">
        <v>2020</v>
      </c>
      <c r="C465" s="36" t="s">
        <v>10</v>
      </c>
      <c r="D465" s="36" t="s">
        <v>103</v>
      </c>
      <c r="E465" s="36" t="s">
        <v>92</v>
      </c>
      <c r="F465" s="36" t="s">
        <v>93</v>
      </c>
      <c r="G465" s="36" t="s">
        <v>94</v>
      </c>
      <c r="H465" s="36" t="s">
        <v>95</v>
      </c>
      <c r="I465" s="36" t="s">
        <v>96</v>
      </c>
      <c r="J465" s="36">
        <v>338</v>
      </c>
      <c r="K465" s="36">
        <v>483.34000000000003</v>
      </c>
    </row>
    <row r="466" spans="1:11" x14ac:dyDescent="0.3">
      <c r="A466" s="36" t="s">
        <v>97</v>
      </c>
      <c r="B466" s="36">
        <v>2020</v>
      </c>
      <c r="C466" s="36" t="s">
        <v>10</v>
      </c>
      <c r="D466" s="36" t="s">
        <v>103</v>
      </c>
      <c r="E466" s="36" t="s">
        <v>92</v>
      </c>
      <c r="F466" s="36" t="s">
        <v>93</v>
      </c>
      <c r="G466" s="36" t="s">
        <v>94</v>
      </c>
      <c r="H466" s="36" t="s">
        <v>95</v>
      </c>
      <c r="I466" s="36" t="s">
        <v>96</v>
      </c>
      <c r="J466" s="36">
        <v>266</v>
      </c>
      <c r="K466" s="36">
        <v>380.38</v>
      </c>
    </row>
    <row r="467" spans="1:11" x14ac:dyDescent="0.3">
      <c r="A467" s="36" t="s">
        <v>90</v>
      </c>
      <c r="B467" s="36">
        <v>2020</v>
      </c>
      <c r="C467" s="36" t="s">
        <v>10</v>
      </c>
      <c r="D467" s="36" t="s">
        <v>103</v>
      </c>
      <c r="E467" s="36" t="s">
        <v>92</v>
      </c>
      <c r="F467" s="36" t="s">
        <v>93</v>
      </c>
      <c r="G467" s="36" t="s">
        <v>94</v>
      </c>
      <c r="H467" s="36" t="s">
        <v>95</v>
      </c>
      <c r="I467" s="36" t="s">
        <v>96</v>
      </c>
      <c r="J467" s="36">
        <v>292</v>
      </c>
      <c r="K467" s="36">
        <v>526.24</v>
      </c>
    </row>
    <row r="468" spans="1:11" x14ac:dyDescent="0.3">
      <c r="A468" s="36" t="s">
        <v>90</v>
      </c>
      <c r="B468" s="36">
        <v>2020</v>
      </c>
      <c r="C468" s="36" t="s">
        <v>10</v>
      </c>
      <c r="D468" s="36" t="s">
        <v>103</v>
      </c>
      <c r="E468" s="36" t="s">
        <v>92</v>
      </c>
      <c r="F468" s="36" t="s">
        <v>93</v>
      </c>
      <c r="G468" s="36" t="s">
        <v>94</v>
      </c>
      <c r="H468" s="36" t="s">
        <v>95</v>
      </c>
      <c r="I468" s="36" t="s">
        <v>96</v>
      </c>
      <c r="J468" s="36">
        <v>340</v>
      </c>
      <c r="K468" s="36">
        <v>526.24</v>
      </c>
    </row>
    <row r="469" spans="1:11" x14ac:dyDescent="0.3">
      <c r="A469" s="36" t="s">
        <v>97</v>
      </c>
      <c r="B469" s="36">
        <v>2020</v>
      </c>
      <c r="C469" s="36" t="s">
        <v>10</v>
      </c>
      <c r="D469" s="36" t="s">
        <v>103</v>
      </c>
      <c r="E469" s="36" t="s">
        <v>92</v>
      </c>
      <c r="F469" s="36" t="s">
        <v>93</v>
      </c>
      <c r="G469" s="36" t="s">
        <v>94</v>
      </c>
      <c r="H469" s="36" t="s">
        <v>95</v>
      </c>
      <c r="I469" s="36" t="s">
        <v>96</v>
      </c>
      <c r="J469" s="36">
        <v>995</v>
      </c>
      <c r="K469" s="36">
        <v>1422.85</v>
      </c>
    </row>
    <row r="470" spans="1:11" x14ac:dyDescent="0.3">
      <c r="A470" s="36" t="s">
        <v>99</v>
      </c>
      <c r="B470" s="36">
        <v>2020</v>
      </c>
      <c r="C470" s="36" t="s">
        <v>10</v>
      </c>
      <c r="D470" s="36" t="s">
        <v>103</v>
      </c>
      <c r="E470" s="36" t="s">
        <v>92</v>
      </c>
      <c r="F470" s="36" t="s">
        <v>93</v>
      </c>
      <c r="G470" s="36" t="s">
        <v>94</v>
      </c>
      <c r="H470" s="36" t="s">
        <v>95</v>
      </c>
      <c r="I470" s="36" t="s">
        <v>96</v>
      </c>
      <c r="J470" s="36">
        <v>1029</v>
      </c>
      <c r="K470" s="36">
        <v>1471.47</v>
      </c>
    </row>
    <row r="471" spans="1:11" x14ac:dyDescent="0.3">
      <c r="A471" s="36" t="s">
        <v>97</v>
      </c>
      <c r="B471" s="36">
        <v>2020</v>
      </c>
      <c r="C471" s="36" t="s">
        <v>10</v>
      </c>
      <c r="D471" s="36" t="s">
        <v>103</v>
      </c>
      <c r="E471" s="36" t="s">
        <v>92</v>
      </c>
      <c r="F471" s="36" t="s">
        <v>93</v>
      </c>
      <c r="G471" s="36" t="s">
        <v>94</v>
      </c>
      <c r="H471" s="36" t="s">
        <v>95</v>
      </c>
      <c r="I471" s="36" t="s">
        <v>96</v>
      </c>
      <c r="J471" s="36">
        <v>264</v>
      </c>
      <c r="K471" s="36">
        <v>377.52</v>
      </c>
    </row>
    <row r="472" spans="1:11" x14ac:dyDescent="0.3">
      <c r="A472" s="36" t="s">
        <v>97</v>
      </c>
      <c r="B472" s="36">
        <v>2020</v>
      </c>
      <c r="C472" s="36" t="s">
        <v>10</v>
      </c>
      <c r="D472" s="36" t="s">
        <v>103</v>
      </c>
      <c r="E472" s="36" t="s">
        <v>92</v>
      </c>
      <c r="F472" s="36" t="s">
        <v>93</v>
      </c>
      <c r="G472" s="36" t="s">
        <v>94</v>
      </c>
      <c r="H472" s="36" t="s">
        <v>95</v>
      </c>
      <c r="I472" s="36" t="s">
        <v>96</v>
      </c>
      <c r="J472" s="36">
        <v>291</v>
      </c>
      <c r="K472" s="36">
        <v>416.13</v>
      </c>
    </row>
    <row r="473" spans="1:11" x14ac:dyDescent="0.3">
      <c r="A473" s="36" t="s">
        <v>97</v>
      </c>
      <c r="B473" s="36">
        <v>2020</v>
      </c>
      <c r="C473" s="36" t="s">
        <v>10</v>
      </c>
      <c r="D473" s="36" t="s">
        <v>103</v>
      </c>
      <c r="E473" s="36" t="s">
        <v>92</v>
      </c>
      <c r="F473" s="36" t="s">
        <v>93</v>
      </c>
      <c r="G473" s="36" t="s">
        <v>94</v>
      </c>
      <c r="H473" s="36" t="s">
        <v>95</v>
      </c>
      <c r="I473" s="36" t="s">
        <v>96</v>
      </c>
      <c r="J473" s="36">
        <v>339</v>
      </c>
      <c r="K473" s="36">
        <v>484.77</v>
      </c>
    </row>
    <row r="474" spans="1:11" x14ac:dyDescent="0.3">
      <c r="A474" s="36" t="s">
        <v>97</v>
      </c>
      <c r="B474" s="36">
        <v>2020</v>
      </c>
      <c r="C474" s="36" t="s">
        <v>10</v>
      </c>
      <c r="D474" s="36" t="s">
        <v>103</v>
      </c>
      <c r="E474" s="36" t="s">
        <v>92</v>
      </c>
      <c r="F474" s="36" t="s">
        <v>93</v>
      </c>
      <c r="G474" s="36" t="s">
        <v>94</v>
      </c>
      <c r="H474" s="36" t="s">
        <v>95</v>
      </c>
      <c r="I474" s="36" t="s">
        <v>96</v>
      </c>
      <c r="J474" s="36">
        <v>267</v>
      </c>
      <c r="K474" s="36">
        <v>381.81</v>
      </c>
    </row>
    <row r="475" spans="1:11" x14ac:dyDescent="0.3">
      <c r="A475" s="36" t="s">
        <v>99</v>
      </c>
      <c r="B475" s="36">
        <v>2020</v>
      </c>
      <c r="C475" s="36" t="s">
        <v>10</v>
      </c>
      <c r="D475" s="36" t="s">
        <v>103</v>
      </c>
      <c r="E475" s="36" t="s">
        <v>92</v>
      </c>
      <c r="F475" s="36" t="s">
        <v>93</v>
      </c>
      <c r="G475" s="36" t="s">
        <v>94</v>
      </c>
      <c r="H475" s="36" t="s">
        <v>95</v>
      </c>
      <c r="I475" s="36" t="s">
        <v>96</v>
      </c>
      <c r="J475" s="36">
        <v>810</v>
      </c>
      <c r="K475" s="36">
        <v>1158.3</v>
      </c>
    </row>
    <row r="476" spans="1:11" x14ac:dyDescent="0.3">
      <c r="A476" s="36" t="s">
        <v>90</v>
      </c>
      <c r="B476" s="36">
        <v>2020</v>
      </c>
      <c r="C476" s="36" t="s">
        <v>10</v>
      </c>
      <c r="D476" s="36" t="s">
        <v>103</v>
      </c>
      <c r="E476" s="36" t="s">
        <v>92</v>
      </c>
      <c r="F476" s="36" t="s">
        <v>93</v>
      </c>
      <c r="G476" s="36" t="s">
        <v>94</v>
      </c>
      <c r="H476" s="36" t="s">
        <v>95</v>
      </c>
      <c r="I476" s="36" t="s">
        <v>96</v>
      </c>
      <c r="J476" s="36">
        <v>863</v>
      </c>
      <c r="K476" s="36">
        <v>1234.0899999999999</v>
      </c>
    </row>
    <row r="477" spans="1:11" x14ac:dyDescent="0.3">
      <c r="A477" s="36" t="s">
        <v>97</v>
      </c>
      <c r="B477" s="36">
        <v>2020</v>
      </c>
      <c r="C477" s="36" t="s">
        <v>10</v>
      </c>
      <c r="D477" s="36" t="s">
        <v>103</v>
      </c>
      <c r="E477" s="36" t="s">
        <v>92</v>
      </c>
      <c r="F477" s="36" t="s">
        <v>93</v>
      </c>
      <c r="G477" s="36" t="s">
        <v>94</v>
      </c>
      <c r="H477" s="36" t="s">
        <v>104</v>
      </c>
      <c r="I477" s="36" t="s">
        <v>96</v>
      </c>
      <c r="J477" s="36">
        <v>293</v>
      </c>
      <c r="K477" s="36">
        <v>418.99</v>
      </c>
    </row>
    <row r="478" spans="1:11" x14ac:dyDescent="0.3">
      <c r="A478" s="36" t="s">
        <v>100</v>
      </c>
      <c r="B478" s="36">
        <v>2020</v>
      </c>
      <c r="C478" s="36" t="s">
        <v>10</v>
      </c>
      <c r="D478" s="36" t="s">
        <v>103</v>
      </c>
      <c r="E478" s="36" t="s">
        <v>92</v>
      </c>
      <c r="F478" s="36" t="s">
        <v>93</v>
      </c>
      <c r="G478" s="36" t="s">
        <v>94</v>
      </c>
      <c r="H478" s="36" t="s">
        <v>104</v>
      </c>
      <c r="I478" s="36" t="s">
        <v>96</v>
      </c>
      <c r="J478" s="36">
        <v>341</v>
      </c>
      <c r="K478" s="36">
        <v>487.63</v>
      </c>
    </row>
    <row r="479" spans="1:11" x14ac:dyDescent="0.3">
      <c r="A479" s="36" t="s">
        <v>90</v>
      </c>
      <c r="B479" s="36">
        <v>2020</v>
      </c>
      <c r="C479" s="36" t="s">
        <v>10</v>
      </c>
      <c r="D479" s="36" t="s">
        <v>103</v>
      </c>
      <c r="E479" s="36" t="s">
        <v>92</v>
      </c>
      <c r="F479" s="36" t="s">
        <v>93</v>
      </c>
      <c r="G479" s="36" t="s">
        <v>94</v>
      </c>
      <c r="H479" s="36" t="s">
        <v>104</v>
      </c>
      <c r="I479" s="36" t="s">
        <v>96</v>
      </c>
      <c r="J479" s="36">
        <v>263</v>
      </c>
      <c r="K479" s="36">
        <v>376.09000000000003</v>
      </c>
    </row>
    <row r="480" spans="1:11" x14ac:dyDescent="0.3">
      <c r="A480" s="36" t="s">
        <v>97</v>
      </c>
      <c r="B480" s="36">
        <v>2020</v>
      </c>
      <c r="C480" s="36" t="s">
        <v>9</v>
      </c>
      <c r="D480" s="36" t="s">
        <v>103</v>
      </c>
      <c r="E480" s="36" t="s">
        <v>92</v>
      </c>
      <c r="F480" s="36" t="s">
        <v>93</v>
      </c>
      <c r="G480" s="36" t="s">
        <v>94</v>
      </c>
      <c r="H480" s="36" t="s">
        <v>104</v>
      </c>
      <c r="I480" s="36" t="s">
        <v>96</v>
      </c>
      <c r="J480" s="36">
        <v>296</v>
      </c>
      <c r="K480" s="36">
        <v>423.28</v>
      </c>
    </row>
    <row r="481" spans="1:11" x14ac:dyDescent="0.3">
      <c r="A481" s="36" t="s">
        <v>100</v>
      </c>
      <c r="B481" s="36">
        <v>2020</v>
      </c>
      <c r="C481" s="36" t="s">
        <v>9</v>
      </c>
      <c r="D481" s="36" t="s">
        <v>103</v>
      </c>
      <c r="E481" s="36" t="s">
        <v>92</v>
      </c>
      <c r="F481" s="36" t="s">
        <v>93</v>
      </c>
      <c r="G481" s="36" t="s">
        <v>94</v>
      </c>
      <c r="H481" s="36" t="s">
        <v>104</v>
      </c>
      <c r="I481" s="36" t="s">
        <v>96</v>
      </c>
      <c r="J481" s="36">
        <v>344</v>
      </c>
      <c r="K481" s="36">
        <v>491.91999999999996</v>
      </c>
    </row>
    <row r="482" spans="1:11" x14ac:dyDescent="0.3">
      <c r="A482" s="36" t="s">
        <v>97</v>
      </c>
      <c r="B482" s="36">
        <v>2020</v>
      </c>
      <c r="C482" s="36" t="s">
        <v>9</v>
      </c>
      <c r="D482" s="36" t="s">
        <v>103</v>
      </c>
      <c r="E482" s="36" t="s">
        <v>92</v>
      </c>
      <c r="F482" s="36" t="s">
        <v>93</v>
      </c>
      <c r="G482" s="36" t="s">
        <v>94</v>
      </c>
      <c r="H482" s="36" t="s">
        <v>104</v>
      </c>
      <c r="I482" s="36" t="s">
        <v>96</v>
      </c>
      <c r="J482" s="36">
        <v>272</v>
      </c>
      <c r="K482" s="36">
        <v>388.96</v>
      </c>
    </row>
    <row r="483" spans="1:11" x14ac:dyDescent="0.3">
      <c r="A483" s="36" t="s">
        <v>90</v>
      </c>
      <c r="B483" s="36">
        <v>2020</v>
      </c>
      <c r="C483" s="36" t="s">
        <v>9</v>
      </c>
      <c r="D483" s="36" t="s">
        <v>103</v>
      </c>
      <c r="E483" s="36" t="s">
        <v>92</v>
      </c>
      <c r="F483" s="36" t="s">
        <v>93</v>
      </c>
      <c r="G483" s="36" t="s">
        <v>94</v>
      </c>
      <c r="H483" s="36" t="s">
        <v>104</v>
      </c>
      <c r="I483" s="36" t="s">
        <v>96</v>
      </c>
      <c r="J483" s="36">
        <v>298</v>
      </c>
      <c r="K483" s="36">
        <v>526.24</v>
      </c>
    </row>
    <row r="484" spans="1:11" x14ac:dyDescent="0.3">
      <c r="A484" s="36" t="s">
        <v>100</v>
      </c>
      <c r="B484" s="36">
        <v>2020</v>
      </c>
      <c r="C484" s="36" t="s">
        <v>9</v>
      </c>
      <c r="D484" s="36" t="s">
        <v>103</v>
      </c>
      <c r="E484" s="36" t="s">
        <v>92</v>
      </c>
      <c r="F484" s="36" t="s">
        <v>93</v>
      </c>
      <c r="G484" s="36" t="s">
        <v>94</v>
      </c>
      <c r="H484" s="36" t="s">
        <v>104</v>
      </c>
      <c r="I484" s="36" t="s">
        <v>96</v>
      </c>
      <c r="J484" s="36">
        <v>346</v>
      </c>
      <c r="K484" s="36">
        <v>526.24</v>
      </c>
    </row>
    <row r="485" spans="1:11" x14ac:dyDescent="0.3">
      <c r="A485" s="36" t="s">
        <v>101</v>
      </c>
      <c r="B485" s="36">
        <v>2020</v>
      </c>
      <c r="C485" s="36" t="s">
        <v>9</v>
      </c>
      <c r="D485" s="36" t="s">
        <v>103</v>
      </c>
      <c r="E485" s="36" t="s">
        <v>92</v>
      </c>
      <c r="F485" s="36" t="s">
        <v>93</v>
      </c>
      <c r="G485" s="36" t="s">
        <v>94</v>
      </c>
      <c r="H485" s="36" t="s">
        <v>104</v>
      </c>
      <c r="I485" s="36" t="s">
        <v>96</v>
      </c>
      <c r="J485" s="36">
        <v>268</v>
      </c>
      <c r="K485" s="36">
        <v>526.24</v>
      </c>
    </row>
    <row r="486" spans="1:11" x14ac:dyDescent="0.3">
      <c r="A486" s="36" t="s">
        <v>97</v>
      </c>
      <c r="B486" s="36">
        <v>2020</v>
      </c>
      <c r="C486" s="36" t="s">
        <v>9</v>
      </c>
      <c r="D486" s="36" t="s">
        <v>103</v>
      </c>
      <c r="E486" s="36" t="s">
        <v>92</v>
      </c>
      <c r="F486" s="36" t="s">
        <v>93</v>
      </c>
      <c r="G486" s="36" t="s">
        <v>94</v>
      </c>
      <c r="H486" s="36" t="s">
        <v>104</v>
      </c>
      <c r="I486" s="36" t="s">
        <v>96</v>
      </c>
      <c r="J486" s="36">
        <v>1028</v>
      </c>
      <c r="K486" s="36">
        <v>1470.04</v>
      </c>
    </row>
    <row r="487" spans="1:11" x14ac:dyDescent="0.3">
      <c r="A487" s="36" t="s">
        <v>99</v>
      </c>
      <c r="B487" s="36">
        <v>2020</v>
      </c>
      <c r="C487" s="36" t="s">
        <v>9</v>
      </c>
      <c r="D487" s="36" t="s">
        <v>103</v>
      </c>
      <c r="E487" s="36" t="s">
        <v>92</v>
      </c>
      <c r="F487" s="36" t="s">
        <v>93</v>
      </c>
      <c r="G487" s="36" t="s">
        <v>94</v>
      </c>
      <c r="H487" s="36" t="s">
        <v>104</v>
      </c>
      <c r="I487" s="36" t="s">
        <v>96</v>
      </c>
      <c r="J487" s="36">
        <v>270</v>
      </c>
      <c r="K487" s="36">
        <v>386.1</v>
      </c>
    </row>
    <row r="488" spans="1:11" x14ac:dyDescent="0.3">
      <c r="A488" s="36" t="s">
        <v>99</v>
      </c>
      <c r="B488" s="36">
        <v>2020</v>
      </c>
      <c r="C488" s="36" t="s">
        <v>9</v>
      </c>
      <c r="D488" s="36" t="s">
        <v>103</v>
      </c>
      <c r="E488" s="36" t="s">
        <v>92</v>
      </c>
      <c r="F488" s="36" t="s">
        <v>93</v>
      </c>
      <c r="G488" s="36" t="s">
        <v>94</v>
      </c>
      <c r="H488" s="36" t="s">
        <v>104</v>
      </c>
      <c r="I488" s="36" t="s">
        <v>96</v>
      </c>
      <c r="J488" s="36">
        <v>297</v>
      </c>
      <c r="K488" s="36">
        <v>424.71</v>
      </c>
    </row>
    <row r="489" spans="1:11" x14ac:dyDescent="0.3">
      <c r="A489" s="36" t="s">
        <v>97</v>
      </c>
      <c r="B489" s="36">
        <v>2020</v>
      </c>
      <c r="C489" s="36" t="s">
        <v>9</v>
      </c>
      <c r="D489" s="36" t="s">
        <v>103</v>
      </c>
      <c r="E489" s="36" t="s">
        <v>92</v>
      </c>
      <c r="F489" s="36" t="s">
        <v>93</v>
      </c>
      <c r="G489" s="36" t="s">
        <v>94</v>
      </c>
      <c r="H489" s="36" t="s">
        <v>104</v>
      </c>
      <c r="I489" s="36" t="s">
        <v>96</v>
      </c>
      <c r="J489" s="36">
        <v>345</v>
      </c>
      <c r="K489" s="36">
        <v>493.35</v>
      </c>
    </row>
    <row r="490" spans="1:11" x14ac:dyDescent="0.3">
      <c r="A490" s="36" t="s">
        <v>101</v>
      </c>
      <c r="B490" s="36">
        <v>2020</v>
      </c>
      <c r="C490" s="36" t="s">
        <v>9</v>
      </c>
      <c r="D490" s="36" t="s">
        <v>103</v>
      </c>
      <c r="E490" s="36" t="s">
        <v>92</v>
      </c>
      <c r="F490" s="36" t="s">
        <v>93</v>
      </c>
      <c r="G490" s="36" t="s">
        <v>94</v>
      </c>
      <c r="H490" s="36" t="s">
        <v>104</v>
      </c>
      <c r="I490" s="36" t="s">
        <v>96</v>
      </c>
      <c r="J490" s="36">
        <v>776</v>
      </c>
      <c r="K490" s="36">
        <v>1109.68</v>
      </c>
    </row>
    <row r="491" spans="1:11" x14ac:dyDescent="0.3">
      <c r="A491" s="36" t="s">
        <v>97</v>
      </c>
      <c r="B491" s="36">
        <v>2020</v>
      </c>
      <c r="C491" s="36" t="s">
        <v>9</v>
      </c>
      <c r="D491" s="36" t="s">
        <v>103</v>
      </c>
      <c r="E491" s="36" t="s">
        <v>92</v>
      </c>
      <c r="F491" s="36" t="s">
        <v>93</v>
      </c>
      <c r="G491" s="36" t="s">
        <v>94</v>
      </c>
      <c r="H491" s="36" t="s">
        <v>104</v>
      </c>
      <c r="I491" s="36" t="s">
        <v>96</v>
      </c>
      <c r="J491" s="36">
        <v>809</v>
      </c>
      <c r="K491" s="36">
        <v>1156.8699999999999</v>
      </c>
    </row>
    <row r="492" spans="1:11" x14ac:dyDescent="0.3">
      <c r="A492" s="36" t="s">
        <v>90</v>
      </c>
      <c r="B492" s="36">
        <v>2020</v>
      </c>
      <c r="C492" s="36" t="s">
        <v>9</v>
      </c>
      <c r="D492" s="36" t="s">
        <v>103</v>
      </c>
      <c r="E492" s="36" t="s">
        <v>92</v>
      </c>
      <c r="F492" s="36" t="s">
        <v>93</v>
      </c>
      <c r="G492" s="36" t="s">
        <v>94</v>
      </c>
      <c r="H492" s="36" t="s">
        <v>104</v>
      </c>
      <c r="I492" s="36" t="s">
        <v>96</v>
      </c>
      <c r="J492" s="36">
        <v>862</v>
      </c>
      <c r="K492" s="36">
        <v>1232.6599999999999</v>
      </c>
    </row>
    <row r="493" spans="1:11" x14ac:dyDescent="0.3">
      <c r="A493" s="36" t="s">
        <v>97</v>
      </c>
      <c r="B493" s="36">
        <v>2020</v>
      </c>
      <c r="C493" s="36" t="s">
        <v>9</v>
      </c>
      <c r="D493" s="36" t="s">
        <v>103</v>
      </c>
      <c r="E493" s="36" t="s">
        <v>92</v>
      </c>
      <c r="F493" s="36" t="s">
        <v>93</v>
      </c>
      <c r="G493" s="36" t="s">
        <v>94</v>
      </c>
      <c r="H493" s="36" t="s">
        <v>104</v>
      </c>
      <c r="I493" s="36" t="s">
        <v>96</v>
      </c>
      <c r="J493" s="36">
        <v>299</v>
      </c>
      <c r="K493" s="36">
        <v>427.57</v>
      </c>
    </row>
    <row r="494" spans="1:11" x14ac:dyDescent="0.3">
      <c r="A494" s="36" t="s">
        <v>97</v>
      </c>
      <c r="B494" s="36">
        <v>2020</v>
      </c>
      <c r="C494" s="36" t="s">
        <v>9</v>
      </c>
      <c r="D494" s="36" t="s">
        <v>103</v>
      </c>
      <c r="E494" s="36" t="s">
        <v>92</v>
      </c>
      <c r="F494" s="36" t="s">
        <v>93</v>
      </c>
      <c r="G494" s="36" t="s">
        <v>94</v>
      </c>
      <c r="H494" s="36" t="s">
        <v>104</v>
      </c>
      <c r="I494" s="36" t="s">
        <v>96</v>
      </c>
      <c r="J494" s="36">
        <v>269</v>
      </c>
      <c r="K494" s="36">
        <v>384.67</v>
      </c>
    </row>
    <row r="495" spans="1:11" x14ac:dyDescent="0.3">
      <c r="A495" s="36" t="s">
        <v>97</v>
      </c>
      <c r="B495" s="36">
        <v>2020</v>
      </c>
      <c r="C495" s="36" t="s">
        <v>8</v>
      </c>
      <c r="D495" s="36" t="s">
        <v>103</v>
      </c>
      <c r="E495" s="36" t="s">
        <v>92</v>
      </c>
      <c r="F495" s="36" t="s">
        <v>93</v>
      </c>
      <c r="G495" s="36" t="s">
        <v>94</v>
      </c>
      <c r="H495" s="36" t="s">
        <v>104</v>
      </c>
      <c r="I495" s="36" t="s">
        <v>96</v>
      </c>
      <c r="J495" s="36">
        <v>302</v>
      </c>
      <c r="K495" s="36">
        <v>431.86</v>
      </c>
    </row>
    <row r="496" spans="1:11" x14ac:dyDescent="0.3">
      <c r="A496" s="36" t="s">
        <v>90</v>
      </c>
      <c r="B496" s="36">
        <v>2020</v>
      </c>
      <c r="C496" s="36" t="s">
        <v>8</v>
      </c>
      <c r="D496" s="36" t="s">
        <v>103</v>
      </c>
      <c r="E496" s="36" t="s">
        <v>92</v>
      </c>
      <c r="F496" s="36" t="s">
        <v>93</v>
      </c>
      <c r="G496" s="36" t="s">
        <v>94</v>
      </c>
      <c r="H496" s="36" t="s">
        <v>104</v>
      </c>
      <c r="I496" s="36" t="s">
        <v>96</v>
      </c>
      <c r="J496" s="36">
        <v>350</v>
      </c>
      <c r="K496" s="36">
        <v>500.5</v>
      </c>
    </row>
    <row r="497" spans="1:11" x14ac:dyDescent="0.3">
      <c r="A497" s="36" t="s">
        <v>90</v>
      </c>
      <c r="B497" s="36">
        <v>2020</v>
      </c>
      <c r="C497" s="36" t="s">
        <v>8</v>
      </c>
      <c r="D497" s="36" t="s">
        <v>103</v>
      </c>
      <c r="E497" s="36" t="s">
        <v>92</v>
      </c>
      <c r="F497" s="36" t="s">
        <v>93</v>
      </c>
      <c r="G497" s="36" t="s">
        <v>94</v>
      </c>
      <c r="H497" s="36" t="s">
        <v>104</v>
      </c>
      <c r="I497" s="36" t="s">
        <v>96</v>
      </c>
      <c r="J497" s="36">
        <v>278</v>
      </c>
      <c r="K497" s="36">
        <v>397.53999999999996</v>
      </c>
    </row>
    <row r="498" spans="1:11" x14ac:dyDescent="0.3">
      <c r="A498" s="36" t="s">
        <v>97</v>
      </c>
      <c r="B498" s="36">
        <v>2020</v>
      </c>
      <c r="C498" s="36" t="s">
        <v>8</v>
      </c>
      <c r="D498" s="36" t="s">
        <v>103</v>
      </c>
      <c r="E498" s="36" t="s">
        <v>92</v>
      </c>
      <c r="F498" s="36" t="s">
        <v>93</v>
      </c>
      <c r="G498" s="36" t="s">
        <v>94</v>
      </c>
      <c r="H498" s="36" t="s">
        <v>104</v>
      </c>
      <c r="I498" s="36" t="s">
        <v>96</v>
      </c>
      <c r="J498" s="36">
        <v>304</v>
      </c>
      <c r="K498" s="36">
        <v>526.24</v>
      </c>
    </row>
    <row r="499" spans="1:11" x14ac:dyDescent="0.3">
      <c r="A499" s="36" t="s">
        <v>90</v>
      </c>
      <c r="B499" s="36">
        <v>2020</v>
      </c>
      <c r="C499" s="36" t="s">
        <v>8</v>
      </c>
      <c r="D499" s="36" t="s">
        <v>103</v>
      </c>
      <c r="E499" s="36" t="s">
        <v>92</v>
      </c>
      <c r="F499" s="36" t="s">
        <v>93</v>
      </c>
      <c r="G499" s="36" t="s">
        <v>94</v>
      </c>
      <c r="H499" s="36" t="s">
        <v>104</v>
      </c>
      <c r="I499" s="36" t="s">
        <v>96</v>
      </c>
      <c r="J499" s="36">
        <v>274</v>
      </c>
      <c r="K499" s="36">
        <v>526.24</v>
      </c>
    </row>
    <row r="500" spans="1:11" x14ac:dyDescent="0.3">
      <c r="A500" s="36" t="s">
        <v>100</v>
      </c>
      <c r="B500" s="36">
        <v>2020</v>
      </c>
      <c r="C500" s="36" t="s">
        <v>8</v>
      </c>
      <c r="D500" s="36" t="s">
        <v>103</v>
      </c>
      <c r="E500" s="36" t="s">
        <v>92</v>
      </c>
      <c r="F500" s="36" t="s">
        <v>93</v>
      </c>
      <c r="G500" s="36" t="s">
        <v>94</v>
      </c>
      <c r="H500" s="36" t="s">
        <v>104</v>
      </c>
      <c r="I500" s="36" t="s">
        <v>96</v>
      </c>
      <c r="J500" s="36">
        <v>994</v>
      </c>
      <c r="K500" s="36">
        <v>1421.42</v>
      </c>
    </row>
    <row r="501" spans="1:11" x14ac:dyDescent="0.3">
      <c r="A501" s="36" t="s">
        <v>97</v>
      </c>
      <c r="B501" s="36">
        <v>2020</v>
      </c>
      <c r="C501" s="36" t="s">
        <v>8</v>
      </c>
      <c r="D501" s="36" t="s">
        <v>103</v>
      </c>
      <c r="E501" s="36" t="s">
        <v>92</v>
      </c>
      <c r="F501" s="36" t="s">
        <v>93</v>
      </c>
      <c r="G501" s="36" t="s">
        <v>94</v>
      </c>
      <c r="H501" s="36" t="s">
        <v>104</v>
      </c>
      <c r="I501" s="36" t="s">
        <v>96</v>
      </c>
      <c r="J501" s="36">
        <v>1027</v>
      </c>
      <c r="K501" s="36">
        <v>1468.6100000000001</v>
      </c>
    </row>
    <row r="502" spans="1:11" x14ac:dyDescent="0.3">
      <c r="A502" s="36" t="s">
        <v>90</v>
      </c>
      <c r="B502" s="36">
        <v>2020</v>
      </c>
      <c r="C502" s="36" t="s">
        <v>8</v>
      </c>
      <c r="D502" s="36" t="s">
        <v>103</v>
      </c>
      <c r="E502" s="36" t="s">
        <v>92</v>
      </c>
      <c r="F502" s="36" t="s">
        <v>93</v>
      </c>
      <c r="G502" s="36" t="s">
        <v>94</v>
      </c>
      <c r="H502" s="36" t="s">
        <v>104</v>
      </c>
      <c r="I502" s="36" t="s">
        <v>96</v>
      </c>
      <c r="J502" s="36">
        <v>276</v>
      </c>
      <c r="K502" s="36">
        <v>394.68</v>
      </c>
    </row>
    <row r="503" spans="1:11" x14ac:dyDescent="0.3">
      <c r="A503" s="36" t="s">
        <v>90</v>
      </c>
      <c r="B503" s="36">
        <v>2020</v>
      </c>
      <c r="C503" s="36" t="s">
        <v>8</v>
      </c>
      <c r="D503" s="36" t="s">
        <v>103</v>
      </c>
      <c r="E503" s="36" t="s">
        <v>92</v>
      </c>
      <c r="F503" s="36" t="s">
        <v>93</v>
      </c>
      <c r="G503" s="36" t="s">
        <v>94</v>
      </c>
      <c r="H503" s="36" t="s">
        <v>104</v>
      </c>
      <c r="I503" s="36" t="s">
        <v>96</v>
      </c>
      <c r="J503" s="36">
        <v>303</v>
      </c>
      <c r="K503" s="36">
        <v>433.28999999999996</v>
      </c>
    </row>
    <row r="504" spans="1:11" x14ac:dyDescent="0.3">
      <c r="A504" s="36" t="s">
        <v>90</v>
      </c>
      <c r="B504" s="36">
        <v>2020</v>
      </c>
      <c r="C504" s="36" t="s">
        <v>8</v>
      </c>
      <c r="D504" s="36" t="s">
        <v>103</v>
      </c>
      <c r="E504" s="36" t="s">
        <v>92</v>
      </c>
      <c r="F504" s="36" t="s">
        <v>93</v>
      </c>
      <c r="G504" s="36" t="s">
        <v>94</v>
      </c>
      <c r="H504" s="36" t="s">
        <v>104</v>
      </c>
      <c r="I504" s="36" t="s">
        <v>96</v>
      </c>
      <c r="J504" s="36">
        <v>351</v>
      </c>
      <c r="K504" s="36">
        <v>501.93</v>
      </c>
    </row>
    <row r="505" spans="1:11" x14ac:dyDescent="0.3">
      <c r="A505" s="36" t="s">
        <v>100</v>
      </c>
      <c r="B505" s="36">
        <v>2020</v>
      </c>
      <c r="C505" s="36" t="s">
        <v>8</v>
      </c>
      <c r="D505" s="36" t="s">
        <v>103</v>
      </c>
      <c r="E505" s="36" t="s">
        <v>92</v>
      </c>
      <c r="F505" s="36" t="s">
        <v>93</v>
      </c>
      <c r="G505" s="36" t="s">
        <v>94</v>
      </c>
      <c r="H505" s="36" t="s">
        <v>104</v>
      </c>
      <c r="I505" s="36" t="s">
        <v>96</v>
      </c>
      <c r="J505" s="36">
        <v>273</v>
      </c>
      <c r="K505" s="36">
        <v>390.39</v>
      </c>
    </row>
    <row r="506" spans="1:11" x14ac:dyDescent="0.3">
      <c r="A506" s="36" t="s">
        <v>90</v>
      </c>
      <c r="B506" s="36">
        <v>2020</v>
      </c>
      <c r="C506" s="36" t="s">
        <v>8</v>
      </c>
      <c r="D506" s="36" t="s">
        <v>103</v>
      </c>
      <c r="E506" s="36" t="s">
        <v>92</v>
      </c>
      <c r="F506" s="36" t="s">
        <v>93</v>
      </c>
      <c r="G506" s="36" t="s">
        <v>94</v>
      </c>
      <c r="H506" s="36" t="s">
        <v>104</v>
      </c>
      <c r="I506" s="36" t="s">
        <v>96</v>
      </c>
      <c r="J506" s="36">
        <v>775</v>
      </c>
      <c r="K506" s="36">
        <v>1108.25</v>
      </c>
    </row>
    <row r="507" spans="1:11" x14ac:dyDescent="0.3">
      <c r="A507" s="36" t="s">
        <v>90</v>
      </c>
      <c r="B507" s="36">
        <v>2020</v>
      </c>
      <c r="C507" s="36" t="s">
        <v>8</v>
      </c>
      <c r="D507" s="36" t="s">
        <v>103</v>
      </c>
      <c r="E507" s="36" t="s">
        <v>92</v>
      </c>
      <c r="F507" s="36" t="s">
        <v>93</v>
      </c>
      <c r="G507" s="36" t="s">
        <v>94</v>
      </c>
      <c r="H507" s="36" t="s">
        <v>104</v>
      </c>
      <c r="I507" s="36" t="s">
        <v>96</v>
      </c>
      <c r="J507" s="36">
        <v>808</v>
      </c>
      <c r="K507" s="36">
        <v>1155.44</v>
      </c>
    </row>
    <row r="508" spans="1:11" x14ac:dyDescent="0.3">
      <c r="A508" s="36" t="s">
        <v>97</v>
      </c>
      <c r="B508" s="36">
        <v>2020</v>
      </c>
      <c r="C508" s="36" t="s">
        <v>8</v>
      </c>
      <c r="D508" s="36" t="s">
        <v>103</v>
      </c>
      <c r="E508" s="36" t="s">
        <v>92</v>
      </c>
      <c r="F508" s="36" t="s">
        <v>93</v>
      </c>
      <c r="G508" s="36" t="s">
        <v>94</v>
      </c>
      <c r="H508" s="36" t="s">
        <v>104</v>
      </c>
      <c r="I508" s="36" t="s">
        <v>96</v>
      </c>
      <c r="J508" s="36">
        <v>861</v>
      </c>
      <c r="K508" s="36">
        <v>1231.23</v>
      </c>
    </row>
    <row r="509" spans="1:11" x14ac:dyDescent="0.3">
      <c r="A509" s="36" t="s">
        <v>90</v>
      </c>
      <c r="B509" s="36">
        <v>2020</v>
      </c>
      <c r="C509" s="36" t="s">
        <v>8</v>
      </c>
      <c r="D509" s="36" t="s">
        <v>103</v>
      </c>
      <c r="E509" s="36" t="s">
        <v>92</v>
      </c>
      <c r="F509" s="36" t="s">
        <v>93</v>
      </c>
      <c r="G509" s="36" t="s">
        <v>94</v>
      </c>
      <c r="H509" s="36" t="s">
        <v>104</v>
      </c>
      <c r="I509" s="36" t="s">
        <v>96</v>
      </c>
      <c r="J509" s="36">
        <v>305</v>
      </c>
      <c r="K509" s="36">
        <v>436.15</v>
      </c>
    </row>
    <row r="510" spans="1:11" x14ac:dyDescent="0.3">
      <c r="A510" s="36" t="s">
        <v>90</v>
      </c>
      <c r="B510" s="36">
        <v>2020</v>
      </c>
      <c r="C510" s="36" t="s">
        <v>8</v>
      </c>
      <c r="D510" s="36" t="s">
        <v>103</v>
      </c>
      <c r="E510" s="36" t="s">
        <v>92</v>
      </c>
      <c r="F510" s="36" t="s">
        <v>93</v>
      </c>
      <c r="G510" s="36" t="s">
        <v>94</v>
      </c>
      <c r="H510" s="36" t="s">
        <v>104</v>
      </c>
      <c r="I510" s="36" t="s">
        <v>96</v>
      </c>
      <c r="J510" s="36">
        <v>347</v>
      </c>
      <c r="K510" s="36">
        <v>496.21000000000004</v>
      </c>
    </row>
    <row r="511" spans="1:11" x14ac:dyDescent="0.3">
      <c r="A511" s="36" t="s">
        <v>97</v>
      </c>
      <c r="B511" s="36">
        <v>2020</v>
      </c>
      <c r="C511" s="36" t="s">
        <v>8</v>
      </c>
      <c r="D511" s="36" t="s">
        <v>103</v>
      </c>
      <c r="E511" s="36" t="s">
        <v>92</v>
      </c>
      <c r="F511" s="36" t="s">
        <v>93</v>
      </c>
      <c r="G511" s="36" t="s">
        <v>94</v>
      </c>
      <c r="H511" s="36" t="s">
        <v>104</v>
      </c>
      <c r="I511" s="36" t="s">
        <v>96</v>
      </c>
      <c r="J511" s="36">
        <v>1111</v>
      </c>
      <c r="K511" s="36">
        <v>1588.73</v>
      </c>
    </row>
    <row r="512" spans="1:11" x14ac:dyDescent="0.3">
      <c r="A512" s="36" t="s">
        <v>97</v>
      </c>
      <c r="B512" s="36">
        <v>2020</v>
      </c>
      <c r="C512" s="36" t="s">
        <v>3</v>
      </c>
      <c r="D512" s="36" t="s">
        <v>91</v>
      </c>
      <c r="E512" s="36" t="s">
        <v>105</v>
      </c>
      <c r="F512" s="36" t="s">
        <v>106</v>
      </c>
      <c r="G512" s="36" t="s">
        <v>102</v>
      </c>
      <c r="H512" s="36" t="s">
        <v>104</v>
      </c>
      <c r="I512" s="36" t="s">
        <v>96</v>
      </c>
      <c r="J512" s="36">
        <v>352</v>
      </c>
      <c r="K512" s="36">
        <v>503.36</v>
      </c>
    </row>
    <row r="513" spans="1:11" x14ac:dyDescent="0.3">
      <c r="A513" s="36" t="s">
        <v>97</v>
      </c>
      <c r="B513" s="36">
        <v>2020</v>
      </c>
      <c r="C513" s="36" t="s">
        <v>3</v>
      </c>
      <c r="D513" s="36" t="s">
        <v>91</v>
      </c>
      <c r="E513" s="36" t="s">
        <v>105</v>
      </c>
      <c r="F513" s="36" t="s">
        <v>106</v>
      </c>
      <c r="G513" s="36" t="s">
        <v>102</v>
      </c>
      <c r="H513" s="36" t="s">
        <v>104</v>
      </c>
      <c r="I513" s="36" t="s">
        <v>96</v>
      </c>
      <c r="J513" s="36">
        <v>346</v>
      </c>
      <c r="K513" s="36">
        <v>494.78</v>
      </c>
    </row>
    <row r="514" spans="1:11" x14ac:dyDescent="0.3">
      <c r="A514" s="36" t="s">
        <v>97</v>
      </c>
      <c r="B514" s="36">
        <v>2020</v>
      </c>
      <c r="C514" s="36" t="s">
        <v>3</v>
      </c>
      <c r="D514" s="36" t="s">
        <v>91</v>
      </c>
      <c r="E514" s="36" t="s">
        <v>105</v>
      </c>
      <c r="F514" s="36" t="s">
        <v>106</v>
      </c>
      <c r="G514" s="36" t="s">
        <v>102</v>
      </c>
      <c r="H514" s="36" t="s">
        <v>104</v>
      </c>
      <c r="I514" s="36" t="s">
        <v>96</v>
      </c>
      <c r="J514" s="36">
        <v>340</v>
      </c>
      <c r="K514" s="36">
        <v>486.2</v>
      </c>
    </row>
    <row r="515" spans="1:11" x14ac:dyDescent="0.3">
      <c r="A515" s="36" t="s">
        <v>99</v>
      </c>
      <c r="B515" s="36">
        <v>2020</v>
      </c>
      <c r="C515" s="36" t="s">
        <v>3</v>
      </c>
      <c r="D515" s="36" t="s">
        <v>91</v>
      </c>
      <c r="E515" s="36" t="s">
        <v>105</v>
      </c>
      <c r="F515" s="36" t="s">
        <v>106</v>
      </c>
      <c r="G515" s="36" t="s">
        <v>102</v>
      </c>
      <c r="H515" s="36" t="s">
        <v>104</v>
      </c>
      <c r="I515" s="36" t="s">
        <v>96</v>
      </c>
      <c r="J515" s="36">
        <v>349</v>
      </c>
      <c r="K515" s="36">
        <v>499.07</v>
      </c>
    </row>
    <row r="516" spans="1:11" x14ac:dyDescent="0.3">
      <c r="A516" s="36" t="s">
        <v>90</v>
      </c>
      <c r="B516" s="36">
        <v>2020</v>
      </c>
      <c r="C516" s="36" t="s">
        <v>3</v>
      </c>
      <c r="D516" s="36" t="s">
        <v>91</v>
      </c>
      <c r="E516" s="36" t="s">
        <v>105</v>
      </c>
      <c r="F516" s="36" t="s">
        <v>106</v>
      </c>
      <c r="G516" s="36" t="s">
        <v>102</v>
      </c>
      <c r="H516" s="36" t="s">
        <v>104</v>
      </c>
      <c r="I516" s="36" t="s">
        <v>96</v>
      </c>
      <c r="J516" s="36">
        <v>343</v>
      </c>
      <c r="K516" s="36">
        <v>490.49</v>
      </c>
    </row>
    <row r="517" spans="1:11" x14ac:dyDescent="0.3">
      <c r="A517" s="36" t="s">
        <v>100</v>
      </c>
      <c r="B517" s="36">
        <v>2020</v>
      </c>
      <c r="C517" s="36" t="s">
        <v>7</v>
      </c>
      <c r="D517" s="36" t="s">
        <v>91</v>
      </c>
      <c r="E517" s="36" t="s">
        <v>105</v>
      </c>
      <c r="F517" s="36" t="s">
        <v>106</v>
      </c>
      <c r="G517" s="36" t="s">
        <v>102</v>
      </c>
      <c r="H517" s="36" t="s">
        <v>104</v>
      </c>
      <c r="I517" s="36" t="s">
        <v>107</v>
      </c>
      <c r="J517" s="36">
        <v>286</v>
      </c>
      <c r="K517" s="36">
        <v>408.98</v>
      </c>
    </row>
    <row r="518" spans="1:11" x14ac:dyDescent="0.3">
      <c r="A518" s="36" t="s">
        <v>97</v>
      </c>
      <c r="B518" s="36">
        <v>2020</v>
      </c>
      <c r="C518" s="36" t="s">
        <v>7</v>
      </c>
      <c r="D518" s="36" t="s">
        <v>91</v>
      </c>
      <c r="E518" s="36" t="s">
        <v>105</v>
      </c>
      <c r="F518" s="36" t="s">
        <v>106</v>
      </c>
      <c r="G518" s="36" t="s">
        <v>102</v>
      </c>
      <c r="H518" s="36" t="s">
        <v>104</v>
      </c>
      <c r="I518" s="36" t="s">
        <v>107</v>
      </c>
      <c r="J518" s="36">
        <v>280</v>
      </c>
      <c r="K518" s="36">
        <v>400.4</v>
      </c>
    </row>
    <row r="519" spans="1:11" x14ac:dyDescent="0.3">
      <c r="A519" s="36" t="s">
        <v>90</v>
      </c>
      <c r="B519" s="36">
        <v>2020</v>
      </c>
      <c r="C519" s="36" t="s">
        <v>7</v>
      </c>
      <c r="D519" s="36" t="s">
        <v>91</v>
      </c>
      <c r="E519" s="36" t="s">
        <v>105</v>
      </c>
      <c r="F519" s="36" t="s">
        <v>106</v>
      </c>
      <c r="G519" s="36" t="s">
        <v>102</v>
      </c>
      <c r="H519" s="36" t="s">
        <v>104</v>
      </c>
      <c r="I519" s="36" t="s">
        <v>107</v>
      </c>
      <c r="J519" s="36">
        <v>289</v>
      </c>
      <c r="K519" s="36">
        <v>413.27</v>
      </c>
    </row>
    <row r="520" spans="1:11" x14ac:dyDescent="0.3">
      <c r="A520" s="36" t="s">
        <v>99</v>
      </c>
      <c r="B520" s="36">
        <v>2020</v>
      </c>
      <c r="C520" s="36" t="s">
        <v>7</v>
      </c>
      <c r="D520" s="36" t="s">
        <v>91</v>
      </c>
      <c r="E520" s="36" t="s">
        <v>105</v>
      </c>
      <c r="F520" s="36" t="s">
        <v>106</v>
      </c>
      <c r="G520" s="36" t="s">
        <v>102</v>
      </c>
      <c r="H520" s="36" t="s">
        <v>104</v>
      </c>
      <c r="I520" s="36" t="s">
        <v>107</v>
      </c>
      <c r="J520" s="36">
        <v>283</v>
      </c>
      <c r="K520" s="36">
        <v>404.69</v>
      </c>
    </row>
    <row r="521" spans="1:11" x14ac:dyDescent="0.3">
      <c r="A521" s="36" t="s">
        <v>90</v>
      </c>
      <c r="B521" s="36">
        <v>2020</v>
      </c>
      <c r="C521" s="36" t="s">
        <v>7</v>
      </c>
      <c r="D521" s="36" t="s">
        <v>91</v>
      </c>
      <c r="E521" s="36" t="s">
        <v>105</v>
      </c>
      <c r="F521" s="36" t="s">
        <v>106</v>
      </c>
      <c r="G521" s="36" t="s">
        <v>102</v>
      </c>
      <c r="H521" s="36" t="s">
        <v>104</v>
      </c>
      <c r="I521" s="36" t="s">
        <v>107</v>
      </c>
      <c r="J521" s="36">
        <v>277</v>
      </c>
      <c r="K521" s="36">
        <v>396.11</v>
      </c>
    </row>
    <row r="522" spans="1:11" x14ac:dyDescent="0.3">
      <c r="A522" s="36" t="s">
        <v>97</v>
      </c>
      <c r="B522" s="36">
        <v>2020</v>
      </c>
      <c r="C522" s="36" t="s">
        <v>11</v>
      </c>
      <c r="D522" s="36" t="s">
        <v>91</v>
      </c>
      <c r="E522" s="36" t="s">
        <v>105</v>
      </c>
      <c r="F522" s="36" t="s">
        <v>106</v>
      </c>
      <c r="G522" s="36" t="s">
        <v>102</v>
      </c>
      <c r="H522" s="36" t="s">
        <v>104</v>
      </c>
      <c r="I522" s="36" t="s">
        <v>96</v>
      </c>
      <c r="J522" s="36">
        <v>226</v>
      </c>
      <c r="K522" s="36">
        <v>323.18</v>
      </c>
    </row>
    <row r="523" spans="1:11" x14ac:dyDescent="0.3">
      <c r="A523" s="36" t="s">
        <v>90</v>
      </c>
      <c r="B523" s="36">
        <v>2020</v>
      </c>
      <c r="C523" s="36" t="s">
        <v>11</v>
      </c>
      <c r="D523" s="36" t="s">
        <v>91</v>
      </c>
      <c r="E523" s="36" t="s">
        <v>105</v>
      </c>
      <c r="F523" s="36" t="s">
        <v>106</v>
      </c>
      <c r="G523" s="36" t="s">
        <v>102</v>
      </c>
      <c r="H523" s="36" t="s">
        <v>95</v>
      </c>
      <c r="I523" s="36" t="s">
        <v>96</v>
      </c>
      <c r="J523" s="36">
        <v>220</v>
      </c>
      <c r="K523" s="36">
        <v>314.60000000000002</v>
      </c>
    </row>
    <row r="524" spans="1:11" x14ac:dyDescent="0.3">
      <c r="A524" s="36" t="s">
        <v>99</v>
      </c>
      <c r="B524" s="36">
        <v>2020</v>
      </c>
      <c r="C524" s="36" t="s">
        <v>11</v>
      </c>
      <c r="D524" s="36" t="s">
        <v>91</v>
      </c>
      <c r="E524" s="36" t="s">
        <v>105</v>
      </c>
      <c r="F524" s="36" t="s">
        <v>106</v>
      </c>
      <c r="G524" s="36" t="s">
        <v>102</v>
      </c>
      <c r="H524" s="36" t="s">
        <v>95</v>
      </c>
      <c r="I524" s="36" t="s">
        <v>96</v>
      </c>
      <c r="J524" s="36">
        <v>214</v>
      </c>
      <c r="K524" s="36">
        <v>306.02</v>
      </c>
    </row>
    <row r="525" spans="1:11" x14ac:dyDescent="0.3">
      <c r="A525" s="36" t="s">
        <v>90</v>
      </c>
      <c r="B525" s="36">
        <v>2020</v>
      </c>
      <c r="C525" s="36" t="s">
        <v>11</v>
      </c>
      <c r="D525" s="36" t="s">
        <v>91</v>
      </c>
      <c r="E525" s="36" t="s">
        <v>105</v>
      </c>
      <c r="F525" s="36" t="s">
        <v>106</v>
      </c>
      <c r="G525" s="36" t="s">
        <v>102</v>
      </c>
      <c r="H525" s="36" t="s">
        <v>95</v>
      </c>
      <c r="I525" s="36" t="s">
        <v>96</v>
      </c>
      <c r="J525" s="36">
        <v>223</v>
      </c>
      <c r="K525" s="36">
        <v>318.89</v>
      </c>
    </row>
    <row r="526" spans="1:11" x14ac:dyDescent="0.3">
      <c r="A526" s="36" t="s">
        <v>99</v>
      </c>
      <c r="B526" s="36">
        <v>2020</v>
      </c>
      <c r="C526" s="36" t="s">
        <v>11</v>
      </c>
      <c r="D526" s="36" t="s">
        <v>91</v>
      </c>
      <c r="E526" s="36" t="s">
        <v>105</v>
      </c>
      <c r="F526" s="36" t="s">
        <v>106</v>
      </c>
      <c r="G526" s="36" t="s">
        <v>102</v>
      </c>
      <c r="H526" s="36" t="s">
        <v>95</v>
      </c>
      <c r="I526" s="36" t="s">
        <v>96</v>
      </c>
      <c r="J526" s="36">
        <v>217</v>
      </c>
      <c r="K526" s="36">
        <v>310.31</v>
      </c>
    </row>
    <row r="527" spans="1:11" x14ac:dyDescent="0.3">
      <c r="A527" s="36" t="s">
        <v>90</v>
      </c>
      <c r="B527" s="36">
        <v>2020</v>
      </c>
      <c r="C527" s="36" t="s">
        <v>11</v>
      </c>
      <c r="D527" s="36" t="s">
        <v>91</v>
      </c>
      <c r="E527" s="36" t="s">
        <v>105</v>
      </c>
      <c r="F527" s="36" t="s">
        <v>106</v>
      </c>
      <c r="G527" s="36" t="s">
        <v>102</v>
      </c>
      <c r="H527" s="36" t="s">
        <v>95</v>
      </c>
      <c r="I527" s="36" t="s">
        <v>96</v>
      </c>
      <c r="J527" s="36">
        <v>211</v>
      </c>
      <c r="K527" s="36">
        <v>301.73</v>
      </c>
    </row>
    <row r="528" spans="1:11" x14ac:dyDescent="0.3">
      <c r="A528" s="36" t="s">
        <v>90</v>
      </c>
      <c r="B528" s="36">
        <v>2020</v>
      </c>
      <c r="C528" s="36" t="s">
        <v>6</v>
      </c>
      <c r="D528" s="36" t="s">
        <v>91</v>
      </c>
      <c r="E528" s="36" t="s">
        <v>105</v>
      </c>
      <c r="F528" s="36" t="s">
        <v>106</v>
      </c>
      <c r="G528" s="36" t="s">
        <v>102</v>
      </c>
      <c r="H528" s="36" t="s">
        <v>95</v>
      </c>
      <c r="I528" s="36" t="s">
        <v>107</v>
      </c>
      <c r="J528" s="36">
        <v>304</v>
      </c>
      <c r="K528" s="36">
        <v>434.72</v>
      </c>
    </row>
    <row r="529" spans="1:11" x14ac:dyDescent="0.3">
      <c r="A529" s="36" t="s">
        <v>97</v>
      </c>
      <c r="B529" s="36">
        <v>2020</v>
      </c>
      <c r="C529" s="36" t="s">
        <v>6</v>
      </c>
      <c r="D529" s="36" t="s">
        <v>91</v>
      </c>
      <c r="E529" s="36" t="s">
        <v>105</v>
      </c>
      <c r="F529" s="36" t="s">
        <v>106</v>
      </c>
      <c r="G529" s="36" t="s">
        <v>102</v>
      </c>
      <c r="H529" s="36" t="s">
        <v>95</v>
      </c>
      <c r="I529" s="36" t="s">
        <v>107</v>
      </c>
      <c r="J529" s="36">
        <v>298</v>
      </c>
      <c r="K529" s="36">
        <v>426.14</v>
      </c>
    </row>
    <row r="530" spans="1:11" x14ac:dyDescent="0.3">
      <c r="A530" s="36" t="s">
        <v>97</v>
      </c>
      <c r="B530" s="36">
        <v>2020</v>
      </c>
      <c r="C530" s="36" t="s">
        <v>6</v>
      </c>
      <c r="D530" s="36" t="s">
        <v>91</v>
      </c>
      <c r="E530" s="36" t="s">
        <v>105</v>
      </c>
      <c r="F530" s="36" t="s">
        <v>106</v>
      </c>
      <c r="G530" s="36" t="s">
        <v>102</v>
      </c>
      <c r="H530" s="36" t="s">
        <v>95</v>
      </c>
      <c r="I530" s="36" t="s">
        <v>107</v>
      </c>
      <c r="J530" s="36">
        <v>292</v>
      </c>
      <c r="K530" s="36">
        <v>417.56</v>
      </c>
    </row>
    <row r="531" spans="1:11" x14ac:dyDescent="0.3">
      <c r="A531" s="36" t="s">
        <v>99</v>
      </c>
      <c r="B531" s="36">
        <v>2020</v>
      </c>
      <c r="C531" s="36" t="s">
        <v>6</v>
      </c>
      <c r="D531" s="36" t="s">
        <v>91</v>
      </c>
      <c r="E531" s="36" t="s">
        <v>105</v>
      </c>
      <c r="F531" s="36" t="s">
        <v>106</v>
      </c>
      <c r="G531" s="36" t="s">
        <v>102</v>
      </c>
      <c r="H531" s="36" t="s">
        <v>95</v>
      </c>
      <c r="I531" s="36" t="s">
        <v>107</v>
      </c>
      <c r="J531" s="36">
        <v>301</v>
      </c>
      <c r="K531" s="36">
        <v>430.43</v>
      </c>
    </row>
    <row r="532" spans="1:11" x14ac:dyDescent="0.3">
      <c r="A532" s="36" t="s">
        <v>97</v>
      </c>
      <c r="B532" s="36">
        <v>2020</v>
      </c>
      <c r="C532" s="36" t="s">
        <v>6</v>
      </c>
      <c r="D532" s="36" t="s">
        <v>91</v>
      </c>
      <c r="E532" s="36" t="s">
        <v>105</v>
      </c>
      <c r="F532" s="36" t="s">
        <v>106</v>
      </c>
      <c r="G532" s="36" t="s">
        <v>102</v>
      </c>
      <c r="H532" s="36" t="s">
        <v>95</v>
      </c>
      <c r="I532" s="36" t="s">
        <v>107</v>
      </c>
      <c r="J532" s="36">
        <v>295</v>
      </c>
      <c r="K532" s="36">
        <v>421.85</v>
      </c>
    </row>
    <row r="533" spans="1:11" x14ac:dyDescent="0.3">
      <c r="A533" s="36" t="s">
        <v>97</v>
      </c>
      <c r="B533" s="36">
        <v>2020</v>
      </c>
      <c r="C533" s="36" t="s">
        <v>5</v>
      </c>
      <c r="D533" s="36" t="s">
        <v>91</v>
      </c>
      <c r="E533" s="36" t="s">
        <v>105</v>
      </c>
      <c r="F533" s="36" t="s">
        <v>106</v>
      </c>
      <c r="G533" s="36" t="s">
        <v>102</v>
      </c>
      <c r="H533" s="36" t="s">
        <v>95</v>
      </c>
      <c r="I533" s="36" t="s">
        <v>96</v>
      </c>
      <c r="J533" s="36">
        <v>322</v>
      </c>
      <c r="K533" s="36">
        <v>460.46000000000004</v>
      </c>
    </row>
    <row r="534" spans="1:11" x14ac:dyDescent="0.3">
      <c r="A534" s="36" t="s">
        <v>90</v>
      </c>
      <c r="B534" s="36">
        <v>2020</v>
      </c>
      <c r="C534" s="36" t="s">
        <v>5</v>
      </c>
      <c r="D534" s="36" t="s">
        <v>91</v>
      </c>
      <c r="E534" s="36" t="s">
        <v>105</v>
      </c>
      <c r="F534" s="36" t="s">
        <v>106</v>
      </c>
      <c r="G534" s="36" t="s">
        <v>102</v>
      </c>
      <c r="H534" s="36" t="s">
        <v>95</v>
      </c>
      <c r="I534" s="36" t="s">
        <v>107</v>
      </c>
      <c r="J534" s="36">
        <v>316</v>
      </c>
      <c r="K534" s="36">
        <v>451.88</v>
      </c>
    </row>
    <row r="535" spans="1:11" x14ac:dyDescent="0.3">
      <c r="A535" s="36" t="s">
        <v>99</v>
      </c>
      <c r="B535" s="36">
        <v>2020</v>
      </c>
      <c r="C535" s="36" t="s">
        <v>5</v>
      </c>
      <c r="D535" s="36" t="s">
        <v>91</v>
      </c>
      <c r="E535" s="36" t="s">
        <v>105</v>
      </c>
      <c r="F535" s="36" t="s">
        <v>106</v>
      </c>
      <c r="G535" s="36" t="s">
        <v>102</v>
      </c>
      <c r="H535" s="36" t="s">
        <v>95</v>
      </c>
      <c r="I535" s="36" t="s">
        <v>107</v>
      </c>
      <c r="J535" s="36">
        <v>310</v>
      </c>
      <c r="K535" s="36">
        <v>443.3</v>
      </c>
    </row>
    <row r="536" spans="1:11" x14ac:dyDescent="0.3">
      <c r="A536" s="36" t="s">
        <v>90</v>
      </c>
      <c r="B536" s="36">
        <v>2020</v>
      </c>
      <c r="C536" s="36" t="s">
        <v>5</v>
      </c>
      <c r="D536" s="36" t="s">
        <v>91</v>
      </c>
      <c r="E536" s="36" t="s">
        <v>105</v>
      </c>
      <c r="F536" s="36" t="s">
        <v>106</v>
      </c>
      <c r="G536" s="36" t="s">
        <v>102</v>
      </c>
      <c r="H536" s="36" t="s">
        <v>95</v>
      </c>
      <c r="I536" s="36" t="s">
        <v>107</v>
      </c>
      <c r="J536" s="36">
        <v>319</v>
      </c>
      <c r="K536" s="36">
        <v>456.16999999999996</v>
      </c>
    </row>
    <row r="537" spans="1:11" x14ac:dyDescent="0.3">
      <c r="A537" s="36" t="s">
        <v>97</v>
      </c>
      <c r="B537" s="36">
        <v>2020</v>
      </c>
      <c r="C537" s="36" t="s">
        <v>5</v>
      </c>
      <c r="D537" s="36" t="s">
        <v>91</v>
      </c>
      <c r="E537" s="36" t="s">
        <v>105</v>
      </c>
      <c r="F537" s="36" t="s">
        <v>106</v>
      </c>
      <c r="G537" s="36" t="s">
        <v>102</v>
      </c>
      <c r="H537" s="36" t="s">
        <v>95</v>
      </c>
      <c r="I537" s="36" t="s">
        <v>107</v>
      </c>
      <c r="J537" s="36">
        <v>313</v>
      </c>
      <c r="K537" s="36">
        <v>447.59000000000003</v>
      </c>
    </row>
    <row r="538" spans="1:11" x14ac:dyDescent="0.3">
      <c r="A538" s="36" t="s">
        <v>97</v>
      </c>
      <c r="B538" s="36">
        <v>2020</v>
      </c>
      <c r="C538" s="36" t="s">
        <v>5</v>
      </c>
      <c r="D538" s="36" t="s">
        <v>91</v>
      </c>
      <c r="E538" s="36" t="s">
        <v>105</v>
      </c>
      <c r="F538" s="36" t="s">
        <v>106</v>
      </c>
      <c r="G538" s="36" t="s">
        <v>102</v>
      </c>
      <c r="H538" s="36" t="s">
        <v>95</v>
      </c>
      <c r="I538" s="36" t="s">
        <v>107</v>
      </c>
      <c r="J538" s="36">
        <v>307</v>
      </c>
      <c r="K538" s="36">
        <v>439.01</v>
      </c>
    </row>
    <row r="539" spans="1:11" x14ac:dyDescent="0.3">
      <c r="A539" s="36" t="s">
        <v>90</v>
      </c>
      <c r="B539" s="36">
        <v>2020</v>
      </c>
      <c r="C539" s="36" t="s">
        <v>4</v>
      </c>
      <c r="D539" s="36" t="s">
        <v>91</v>
      </c>
      <c r="E539" s="36" t="s">
        <v>105</v>
      </c>
      <c r="F539" s="36" t="s">
        <v>106</v>
      </c>
      <c r="G539" s="36" t="s">
        <v>102</v>
      </c>
      <c r="H539" s="36" t="s">
        <v>95</v>
      </c>
      <c r="I539" s="36" t="s">
        <v>96</v>
      </c>
      <c r="J539" s="36">
        <v>334</v>
      </c>
      <c r="K539" s="36">
        <v>477.62</v>
      </c>
    </row>
    <row r="540" spans="1:11" x14ac:dyDescent="0.3">
      <c r="A540" s="36" t="s">
        <v>97</v>
      </c>
      <c r="B540" s="36">
        <v>2020</v>
      </c>
      <c r="C540" s="36" t="s">
        <v>4</v>
      </c>
      <c r="D540" s="36" t="s">
        <v>91</v>
      </c>
      <c r="E540" s="36" t="s">
        <v>105</v>
      </c>
      <c r="F540" s="36" t="s">
        <v>106</v>
      </c>
      <c r="G540" s="36" t="s">
        <v>102</v>
      </c>
      <c r="H540" s="36" t="s">
        <v>95</v>
      </c>
      <c r="I540" s="36" t="s">
        <v>96</v>
      </c>
      <c r="J540" s="36">
        <v>328</v>
      </c>
      <c r="K540" s="36">
        <v>469.03999999999996</v>
      </c>
    </row>
    <row r="541" spans="1:11" x14ac:dyDescent="0.3">
      <c r="A541" s="36" t="s">
        <v>99</v>
      </c>
      <c r="B541" s="36">
        <v>2020</v>
      </c>
      <c r="C541" s="36" t="s">
        <v>4</v>
      </c>
      <c r="D541" s="36" t="s">
        <v>91</v>
      </c>
      <c r="E541" s="36" t="s">
        <v>105</v>
      </c>
      <c r="F541" s="36" t="s">
        <v>106</v>
      </c>
      <c r="G541" s="36" t="s">
        <v>102</v>
      </c>
      <c r="H541" s="36" t="s">
        <v>95</v>
      </c>
      <c r="I541" s="36" t="s">
        <v>96</v>
      </c>
      <c r="J541" s="36">
        <v>337</v>
      </c>
      <c r="K541" s="36">
        <v>481.90999999999997</v>
      </c>
    </row>
    <row r="542" spans="1:11" x14ac:dyDescent="0.3">
      <c r="A542" s="36" t="s">
        <v>97</v>
      </c>
      <c r="B542" s="36">
        <v>2020</v>
      </c>
      <c r="C542" s="36" t="s">
        <v>4</v>
      </c>
      <c r="D542" s="36" t="s">
        <v>91</v>
      </c>
      <c r="E542" s="36" t="s">
        <v>105</v>
      </c>
      <c r="F542" s="36" t="s">
        <v>106</v>
      </c>
      <c r="G542" s="36" t="s">
        <v>102</v>
      </c>
      <c r="H542" s="36" t="s">
        <v>95</v>
      </c>
      <c r="I542" s="36" t="s">
        <v>96</v>
      </c>
      <c r="J542" s="36">
        <v>331</v>
      </c>
      <c r="K542" s="36">
        <v>473.33</v>
      </c>
    </row>
    <row r="543" spans="1:11" x14ac:dyDescent="0.3">
      <c r="A543" s="36" t="s">
        <v>100</v>
      </c>
      <c r="B543" s="36">
        <v>2020</v>
      </c>
      <c r="C543" s="36" t="s">
        <v>4</v>
      </c>
      <c r="D543" s="36" t="s">
        <v>91</v>
      </c>
      <c r="E543" s="36" t="s">
        <v>105</v>
      </c>
      <c r="F543" s="36" t="s">
        <v>106</v>
      </c>
      <c r="G543" s="36" t="s">
        <v>102</v>
      </c>
      <c r="H543" s="36" t="s">
        <v>95</v>
      </c>
      <c r="I543" s="36" t="s">
        <v>96</v>
      </c>
      <c r="J543" s="36">
        <v>325</v>
      </c>
      <c r="K543" s="36">
        <v>464.75</v>
      </c>
    </row>
    <row r="544" spans="1:11" x14ac:dyDescent="0.3">
      <c r="A544" s="36" t="s">
        <v>90</v>
      </c>
      <c r="B544" s="36">
        <v>2020</v>
      </c>
      <c r="C544" s="36" t="s">
        <v>10</v>
      </c>
      <c r="D544" s="36" t="s">
        <v>91</v>
      </c>
      <c r="E544" s="36" t="s">
        <v>105</v>
      </c>
      <c r="F544" s="36" t="s">
        <v>106</v>
      </c>
      <c r="G544" s="36" t="s">
        <v>102</v>
      </c>
      <c r="H544" s="36" t="s">
        <v>95</v>
      </c>
      <c r="I544" s="36" t="s">
        <v>96</v>
      </c>
      <c r="J544" s="36">
        <v>238</v>
      </c>
      <c r="K544" s="36">
        <v>340.34000000000003</v>
      </c>
    </row>
    <row r="545" spans="1:11" x14ac:dyDescent="0.3">
      <c r="A545" s="36" t="s">
        <v>90</v>
      </c>
      <c r="B545" s="36">
        <v>2020</v>
      </c>
      <c r="C545" s="36" t="s">
        <v>10</v>
      </c>
      <c r="D545" s="36" t="s">
        <v>91</v>
      </c>
      <c r="E545" s="36" t="s">
        <v>105</v>
      </c>
      <c r="F545" s="36" t="s">
        <v>106</v>
      </c>
      <c r="G545" s="36" t="s">
        <v>102</v>
      </c>
      <c r="H545" s="36" t="s">
        <v>95</v>
      </c>
      <c r="I545" s="36" t="s">
        <v>96</v>
      </c>
      <c r="J545" s="36">
        <v>232</v>
      </c>
      <c r="K545" s="36">
        <v>331.76</v>
      </c>
    </row>
    <row r="546" spans="1:11" x14ac:dyDescent="0.3">
      <c r="A546" s="36" t="s">
        <v>101</v>
      </c>
      <c r="B546" s="36">
        <v>2020</v>
      </c>
      <c r="C546" s="36" t="s">
        <v>10</v>
      </c>
      <c r="D546" s="36" t="s">
        <v>91</v>
      </c>
      <c r="E546" s="36" t="s">
        <v>105</v>
      </c>
      <c r="F546" s="36" t="s">
        <v>106</v>
      </c>
      <c r="G546" s="36" t="s">
        <v>102</v>
      </c>
      <c r="H546" s="36" t="s">
        <v>95</v>
      </c>
      <c r="I546" s="36" t="s">
        <v>96</v>
      </c>
      <c r="J546" s="36">
        <v>241</v>
      </c>
      <c r="K546" s="36">
        <v>344.63</v>
      </c>
    </row>
    <row r="547" spans="1:11" x14ac:dyDescent="0.3">
      <c r="A547" s="36" t="s">
        <v>90</v>
      </c>
      <c r="B547" s="36">
        <v>2020</v>
      </c>
      <c r="C547" s="36" t="s">
        <v>10</v>
      </c>
      <c r="D547" s="36" t="s">
        <v>91</v>
      </c>
      <c r="E547" s="36" t="s">
        <v>105</v>
      </c>
      <c r="F547" s="36" t="s">
        <v>106</v>
      </c>
      <c r="G547" s="36" t="s">
        <v>102</v>
      </c>
      <c r="H547" s="36" t="s">
        <v>95</v>
      </c>
      <c r="I547" s="36" t="s">
        <v>96</v>
      </c>
      <c r="J547" s="36">
        <v>235</v>
      </c>
      <c r="K547" s="36">
        <v>336.05</v>
      </c>
    </row>
    <row r="548" spans="1:11" x14ac:dyDescent="0.3">
      <c r="A548" s="36" t="s">
        <v>97</v>
      </c>
      <c r="B548" s="36">
        <v>2020</v>
      </c>
      <c r="C548" s="36" t="s">
        <v>10</v>
      </c>
      <c r="D548" s="36" t="s">
        <v>91</v>
      </c>
      <c r="E548" s="36" t="s">
        <v>105</v>
      </c>
      <c r="F548" s="36" t="s">
        <v>106</v>
      </c>
      <c r="G548" s="36" t="s">
        <v>102</v>
      </c>
      <c r="H548" s="36" t="s">
        <v>95</v>
      </c>
      <c r="I548" s="36" t="s">
        <v>96</v>
      </c>
      <c r="J548" s="36">
        <v>229</v>
      </c>
      <c r="K548" s="36">
        <v>327.47000000000003</v>
      </c>
    </row>
    <row r="549" spans="1:11" x14ac:dyDescent="0.3">
      <c r="A549" s="36" t="s">
        <v>97</v>
      </c>
      <c r="B549" s="36">
        <v>2020</v>
      </c>
      <c r="C549" s="36" t="s">
        <v>9</v>
      </c>
      <c r="D549" s="36" t="s">
        <v>91</v>
      </c>
      <c r="E549" s="36" t="s">
        <v>105</v>
      </c>
      <c r="F549" s="36" t="s">
        <v>106</v>
      </c>
      <c r="G549" s="36" t="s">
        <v>102</v>
      </c>
      <c r="H549" s="36" t="s">
        <v>95</v>
      </c>
      <c r="I549" s="36" t="s">
        <v>107</v>
      </c>
      <c r="J549" s="36">
        <v>256</v>
      </c>
      <c r="K549" s="36">
        <v>366.08</v>
      </c>
    </row>
    <row r="550" spans="1:11" x14ac:dyDescent="0.3">
      <c r="A550" s="36" t="s">
        <v>99</v>
      </c>
      <c r="B550" s="36">
        <v>2020</v>
      </c>
      <c r="C550" s="36" t="s">
        <v>9</v>
      </c>
      <c r="D550" s="36" t="s">
        <v>91</v>
      </c>
      <c r="E550" s="36" t="s">
        <v>105</v>
      </c>
      <c r="F550" s="36" t="s">
        <v>106</v>
      </c>
      <c r="G550" s="36" t="s">
        <v>102</v>
      </c>
      <c r="H550" s="36" t="s">
        <v>95</v>
      </c>
      <c r="I550" s="36" t="s">
        <v>107</v>
      </c>
      <c r="J550" s="36">
        <v>250</v>
      </c>
      <c r="K550" s="36">
        <v>357.5</v>
      </c>
    </row>
    <row r="551" spans="1:11" x14ac:dyDescent="0.3">
      <c r="A551" s="36" t="s">
        <v>90</v>
      </c>
      <c r="B551" s="36">
        <v>2020</v>
      </c>
      <c r="C551" s="36" t="s">
        <v>9</v>
      </c>
      <c r="D551" s="36" t="s">
        <v>91</v>
      </c>
      <c r="E551" s="36" t="s">
        <v>105</v>
      </c>
      <c r="F551" s="36" t="s">
        <v>106</v>
      </c>
      <c r="G551" s="36" t="s">
        <v>102</v>
      </c>
      <c r="H551" s="36" t="s">
        <v>95</v>
      </c>
      <c r="I551" s="36" t="s">
        <v>96</v>
      </c>
      <c r="J551" s="36">
        <v>244</v>
      </c>
      <c r="K551" s="36">
        <v>348.92</v>
      </c>
    </row>
    <row r="552" spans="1:11" x14ac:dyDescent="0.3">
      <c r="A552" s="36" t="s">
        <v>97</v>
      </c>
      <c r="B552" s="36">
        <v>2020</v>
      </c>
      <c r="C552" s="36" t="s">
        <v>9</v>
      </c>
      <c r="D552" s="36" t="s">
        <v>91</v>
      </c>
      <c r="E552" s="36" t="s">
        <v>105</v>
      </c>
      <c r="F552" s="36" t="s">
        <v>106</v>
      </c>
      <c r="G552" s="36" t="s">
        <v>102</v>
      </c>
      <c r="H552" s="36" t="s">
        <v>95</v>
      </c>
      <c r="I552" s="36" t="s">
        <v>107</v>
      </c>
      <c r="J552" s="36">
        <v>253</v>
      </c>
      <c r="K552" s="36">
        <v>361.78999999999996</v>
      </c>
    </row>
    <row r="553" spans="1:11" x14ac:dyDescent="0.3">
      <c r="A553" s="36" t="s">
        <v>90</v>
      </c>
      <c r="B553" s="36">
        <v>2020</v>
      </c>
      <c r="C553" s="36" t="s">
        <v>9</v>
      </c>
      <c r="D553" s="36" t="s">
        <v>91</v>
      </c>
      <c r="E553" s="36" t="s">
        <v>105</v>
      </c>
      <c r="F553" s="36" t="s">
        <v>106</v>
      </c>
      <c r="G553" s="36" t="s">
        <v>102</v>
      </c>
      <c r="H553" s="36" t="s">
        <v>95</v>
      </c>
      <c r="I553" s="36" t="s">
        <v>107</v>
      </c>
      <c r="J553" s="36">
        <v>247</v>
      </c>
      <c r="K553" s="36">
        <v>353.21</v>
      </c>
    </row>
    <row r="554" spans="1:11" x14ac:dyDescent="0.3">
      <c r="A554" s="36" t="s">
        <v>97</v>
      </c>
      <c r="B554" s="36">
        <v>2020</v>
      </c>
      <c r="C554" s="36" t="s">
        <v>8</v>
      </c>
      <c r="D554" s="36" t="s">
        <v>91</v>
      </c>
      <c r="E554" s="36" t="s">
        <v>105</v>
      </c>
      <c r="F554" s="36" t="s">
        <v>106</v>
      </c>
      <c r="G554" s="36" t="s">
        <v>102</v>
      </c>
      <c r="H554" s="36" t="s">
        <v>95</v>
      </c>
      <c r="I554" s="36" t="s">
        <v>107</v>
      </c>
      <c r="J554" s="36">
        <v>274</v>
      </c>
      <c r="K554" s="36">
        <v>391.82</v>
      </c>
    </row>
    <row r="555" spans="1:11" x14ac:dyDescent="0.3">
      <c r="A555" s="36" t="s">
        <v>90</v>
      </c>
      <c r="B555" s="36">
        <v>2020</v>
      </c>
      <c r="C555" s="36" t="s">
        <v>8</v>
      </c>
      <c r="D555" s="36" t="s">
        <v>91</v>
      </c>
      <c r="E555" s="36" t="s">
        <v>105</v>
      </c>
      <c r="F555" s="36" t="s">
        <v>106</v>
      </c>
      <c r="G555" s="36" t="s">
        <v>102</v>
      </c>
      <c r="H555" s="36" t="s">
        <v>95</v>
      </c>
      <c r="I555" s="36" t="s">
        <v>107</v>
      </c>
      <c r="J555" s="36">
        <v>268</v>
      </c>
      <c r="K555" s="36">
        <v>383.24</v>
      </c>
    </row>
    <row r="556" spans="1:11" x14ac:dyDescent="0.3">
      <c r="A556" s="36" t="s">
        <v>99</v>
      </c>
      <c r="B556" s="36">
        <v>2020</v>
      </c>
      <c r="C556" s="36" t="s">
        <v>8</v>
      </c>
      <c r="D556" s="36" t="s">
        <v>91</v>
      </c>
      <c r="E556" s="36" t="s">
        <v>105</v>
      </c>
      <c r="F556" s="36" t="s">
        <v>106</v>
      </c>
      <c r="G556" s="36" t="s">
        <v>102</v>
      </c>
      <c r="H556" s="36" t="s">
        <v>95</v>
      </c>
      <c r="I556" s="36" t="s">
        <v>107</v>
      </c>
      <c r="J556" s="36">
        <v>262</v>
      </c>
      <c r="K556" s="36">
        <v>374.65999999999997</v>
      </c>
    </row>
    <row r="557" spans="1:11" x14ac:dyDescent="0.3">
      <c r="A557" s="36" t="s">
        <v>97</v>
      </c>
      <c r="B557" s="36">
        <v>2020</v>
      </c>
      <c r="C557" s="36" t="s">
        <v>8</v>
      </c>
      <c r="D557" s="36" t="s">
        <v>91</v>
      </c>
      <c r="E557" s="36" t="s">
        <v>105</v>
      </c>
      <c r="F557" s="36" t="s">
        <v>106</v>
      </c>
      <c r="G557" s="36" t="s">
        <v>102</v>
      </c>
      <c r="H557" s="36" t="s">
        <v>95</v>
      </c>
      <c r="I557" s="36" t="s">
        <v>107</v>
      </c>
      <c r="J557" s="36">
        <v>271</v>
      </c>
      <c r="K557" s="36">
        <v>387.53</v>
      </c>
    </row>
    <row r="558" spans="1:11" x14ac:dyDescent="0.3">
      <c r="A558" s="36" t="s">
        <v>99</v>
      </c>
      <c r="B558" s="36">
        <v>2020</v>
      </c>
      <c r="C558" s="36" t="s">
        <v>8</v>
      </c>
      <c r="D558" s="36" t="s">
        <v>91</v>
      </c>
      <c r="E558" s="36" t="s">
        <v>105</v>
      </c>
      <c r="F558" s="36" t="s">
        <v>106</v>
      </c>
      <c r="G558" s="36" t="s">
        <v>102</v>
      </c>
      <c r="H558" s="36" t="s">
        <v>95</v>
      </c>
      <c r="I558" s="36" t="s">
        <v>107</v>
      </c>
      <c r="J558" s="36">
        <v>265</v>
      </c>
      <c r="K558" s="36">
        <v>378.95</v>
      </c>
    </row>
    <row r="559" spans="1:11" x14ac:dyDescent="0.3">
      <c r="A559" s="36" t="s">
        <v>90</v>
      </c>
      <c r="B559" s="36">
        <v>2020</v>
      </c>
      <c r="C559" s="36" t="s">
        <v>8</v>
      </c>
      <c r="D559" s="36" t="s">
        <v>91</v>
      </c>
      <c r="E559" s="36" t="s">
        <v>105</v>
      </c>
      <c r="F559" s="36" t="s">
        <v>106</v>
      </c>
      <c r="G559" s="36" t="s">
        <v>102</v>
      </c>
      <c r="H559" s="36" t="s">
        <v>95</v>
      </c>
      <c r="I559" s="36" t="s">
        <v>107</v>
      </c>
      <c r="J559" s="36">
        <v>259</v>
      </c>
      <c r="K559" s="36">
        <v>370.37</v>
      </c>
    </row>
    <row r="560" spans="1:11" x14ac:dyDescent="0.3">
      <c r="A560" s="36" t="s">
        <v>99</v>
      </c>
      <c r="B560" s="36">
        <v>2020</v>
      </c>
      <c r="C560" s="36" t="s">
        <v>3</v>
      </c>
      <c r="D560" s="36" t="s">
        <v>103</v>
      </c>
      <c r="E560" s="36" t="s">
        <v>105</v>
      </c>
      <c r="F560" s="36" t="s">
        <v>106</v>
      </c>
      <c r="G560" s="36" t="s">
        <v>102</v>
      </c>
      <c r="H560" s="36" t="s">
        <v>95</v>
      </c>
      <c r="I560" s="36" t="s">
        <v>107</v>
      </c>
      <c r="J560" s="36">
        <v>158</v>
      </c>
      <c r="K560" s="36">
        <v>225.94</v>
      </c>
    </row>
    <row r="561" spans="1:11" x14ac:dyDescent="0.3">
      <c r="A561" s="36" t="s">
        <v>90</v>
      </c>
      <c r="B561" s="36">
        <v>2020</v>
      </c>
      <c r="C561" s="36" t="s">
        <v>3</v>
      </c>
      <c r="D561" s="36" t="s">
        <v>103</v>
      </c>
      <c r="E561" s="36" t="s">
        <v>105</v>
      </c>
      <c r="F561" s="36" t="s">
        <v>106</v>
      </c>
      <c r="G561" s="36" t="s">
        <v>102</v>
      </c>
      <c r="H561" s="36" t="s">
        <v>95</v>
      </c>
      <c r="I561" s="36" t="s">
        <v>107</v>
      </c>
      <c r="J561" s="36">
        <v>206</v>
      </c>
      <c r="K561" s="36">
        <v>294.58</v>
      </c>
    </row>
    <row r="562" spans="1:11" x14ac:dyDescent="0.3">
      <c r="A562" s="36" t="s">
        <v>97</v>
      </c>
      <c r="B562" s="36">
        <v>2020</v>
      </c>
      <c r="C562" s="36" t="s">
        <v>3</v>
      </c>
      <c r="D562" s="36" t="s">
        <v>103</v>
      </c>
      <c r="E562" s="36" t="s">
        <v>105</v>
      </c>
      <c r="F562" s="36" t="s">
        <v>106</v>
      </c>
      <c r="G562" s="36" t="s">
        <v>102</v>
      </c>
      <c r="H562" s="36" t="s">
        <v>95</v>
      </c>
      <c r="I562" s="36" t="s">
        <v>107</v>
      </c>
      <c r="J562" s="36">
        <v>134</v>
      </c>
      <c r="K562" s="36">
        <v>191.62</v>
      </c>
    </row>
    <row r="563" spans="1:11" x14ac:dyDescent="0.3">
      <c r="A563" s="36" t="s">
        <v>99</v>
      </c>
      <c r="B563" s="36">
        <v>2020</v>
      </c>
      <c r="C563" s="36" t="s">
        <v>3</v>
      </c>
      <c r="D563" s="36" t="s">
        <v>103</v>
      </c>
      <c r="E563" s="36" t="s">
        <v>105</v>
      </c>
      <c r="F563" s="36" t="s">
        <v>106</v>
      </c>
      <c r="G563" s="36" t="s">
        <v>102</v>
      </c>
      <c r="H563" s="36" t="s">
        <v>95</v>
      </c>
      <c r="I563" s="36" t="s">
        <v>107</v>
      </c>
      <c r="J563" s="36">
        <v>160</v>
      </c>
      <c r="K563" s="36">
        <v>228.8</v>
      </c>
    </row>
    <row r="564" spans="1:11" x14ac:dyDescent="0.3">
      <c r="A564" s="36" t="s">
        <v>99</v>
      </c>
      <c r="B564" s="36">
        <v>2020</v>
      </c>
      <c r="C564" s="36" t="s">
        <v>3</v>
      </c>
      <c r="D564" s="36" t="s">
        <v>103</v>
      </c>
      <c r="E564" s="36" t="s">
        <v>105</v>
      </c>
      <c r="F564" s="36" t="s">
        <v>106</v>
      </c>
      <c r="G564" s="36" t="s">
        <v>102</v>
      </c>
      <c r="H564" s="36" t="s">
        <v>95</v>
      </c>
      <c r="I564" s="36" t="s">
        <v>107</v>
      </c>
      <c r="J564" s="36">
        <v>208</v>
      </c>
      <c r="K564" s="36">
        <v>297.44</v>
      </c>
    </row>
    <row r="565" spans="1:11" x14ac:dyDescent="0.3">
      <c r="A565" s="36" t="s">
        <v>99</v>
      </c>
      <c r="B565" s="36">
        <v>2020</v>
      </c>
      <c r="C565" s="36" t="s">
        <v>3</v>
      </c>
      <c r="D565" s="36" t="s">
        <v>103</v>
      </c>
      <c r="E565" s="36" t="s">
        <v>105</v>
      </c>
      <c r="F565" s="36" t="s">
        <v>106</v>
      </c>
      <c r="G565" s="36" t="s">
        <v>102</v>
      </c>
      <c r="H565" s="36" t="s">
        <v>95</v>
      </c>
      <c r="I565" s="36" t="s">
        <v>107</v>
      </c>
      <c r="J565" s="36">
        <v>136</v>
      </c>
      <c r="K565" s="36">
        <v>194.48</v>
      </c>
    </row>
    <row r="566" spans="1:11" x14ac:dyDescent="0.3">
      <c r="A566" s="36" t="s">
        <v>90</v>
      </c>
      <c r="B566" s="36">
        <v>2020</v>
      </c>
      <c r="C566" s="36" t="s">
        <v>3</v>
      </c>
      <c r="D566" s="36" t="s">
        <v>103</v>
      </c>
      <c r="E566" s="36" t="s">
        <v>105</v>
      </c>
      <c r="F566" s="36" t="s">
        <v>106</v>
      </c>
      <c r="G566" s="36" t="s">
        <v>102</v>
      </c>
      <c r="H566" s="36" t="s">
        <v>95</v>
      </c>
      <c r="I566" s="36" t="s">
        <v>107</v>
      </c>
      <c r="J566" s="36">
        <v>812</v>
      </c>
      <c r="K566" s="36">
        <v>1161.1599999999999</v>
      </c>
    </row>
    <row r="567" spans="1:11" x14ac:dyDescent="0.3">
      <c r="A567" s="36" t="s">
        <v>97</v>
      </c>
      <c r="B567" s="36">
        <v>2020</v>
      </c>
      <c r="C567" s="36" t="s">
        <v>3</v>
      </c>
      <c r="D567" s="36" t="s">
        <v>103</v>
      </c>
      <c r="E567" s="36" t="s">
        <v>105</v>
      </c>
      <c r="F567" s="36" t="s">
        <v>106</v>
      </c>
      <c r="G567" s="36" t="s">
        <v>102</v>
      </c>
      <c r="H567" s="36" t="s">
        <v>95</v>
      </c>
      <c r="I567" s="36" t="s">
        <v>107</v>
      </c>
      <c r="J567" s="36">
        <v>899</v>
      </c>
      <c r="K567" s="36">
        <v>1285.57</v>
      </c>
    </row>
    <row r="568" spans="1:11" x14ac:dyDescent="0.3">
      <c r="A568" s="36" t="s">
        <v>97</v>
      </c>
      <c r="B568" s="36">
        <v>2020</v>
      </c>
      <c r="C568" s="36" t="s">
        <v>3</v>
      </c>
      <c r="D568" s="36" t="s">
        <v>103</v>
      </c>
      <c r="E568" s="36" t="s">
        <v>105</v>
      </c>
      <c r="F568" s="36" t="s">
        <v>106</v>
      </c>
      <c r="G568" s="36" t="s">
        <v>102</v>
      </c>
      <c r="H568" s="36" t="s">
        <v>95</v>
      </c>
      <c r="I568" s="36" t="s">
        <v>107</v>
      </c>
      <c r="J568" s="36">
        <v>852</v>
      </c>
      <c r="K568" s="36">
        <v>526.24</v>
      </c>
    </row>
    <row r="569" spans="1:11" x14ac:dyDescent="0.3">
      <c r="A569" s="36" t="s">
        <v>97</v>
      </c>
      <c r="B569" s="36">
        <v>2020</v>
      </c>
      <c r="C569" s="36" t="s">
        <v>3</v>
      </c>
      <c r="D569" s="36" t="s">
        <v>103</v>
      </c>
      <c r="E569" s="36" t="s">
        <v>105</v>
      </c>
      <c r="F569" s="36" t="s">
        <v>106</v>
      </c>
      <c r="G569" s="36" t="s">
        <v>102</v>
      </c>
      <c r="H569" s="36" t="s">
        <v>95</v>
      </c>
      <c r="I569" s="36" t="s">
        <v>107</v>
      </c>
      <c r="J569" s="36">
        <v>885</v>
      </c>
      <c r="K569" s="36">
        <v>526.24</v>
      </c>
    </row>
    <row r="570" spans="1:11" x14ac:dyDescent="0.3">
      <c r="A570" s="36" t="s">
        <v>90</v>
      </c>
      <c r="B570" s="36">
        <v>2020</v>
      </c>
      <c r="C570" s="36" t="s">
        <v>3</v>
      </c>
      <c r="D570" s="36" t="s">
        <v>103</v>
      </c>
      <c r="E570" s="36" t="s">
        <v>105</v>
      </c>
      <c r="F570" s="36" t="s">
        <v>106</v>
      </c>
      <c r="G570" s="36" t="s">
        <v>102</v>
      </c>
      <c r="H570" s="36" t="s">
        <v>95</v>
      </c>
      <c r="I570" s="36" t="s">
        <v>107</v>
      </c>
      <c r="J570" s="36">
        <v>135</v>
      </c>
      <c r="K570" s="36">
        <v>193.05</v>
      </c>
    </row>
    <row r="571" spans="1:11" x14ac:dyDescent="0.3">
      <c r="A571" s="36" t="s">
        <v>99</v>
      </c>
      <c r="B571" s="36">
        <v>2020</v>
      </c>
      <c r="C571" s="36" t="s">
        <v>3</v>
      </c>
      <c r="D571" s="36" t="s">
        <v>103</v>
      </c>
      <c r="E571" s="36" t="s">
        <v>105</v>
      </c>
      <c r="F571" s="36" t="s">
        <v>106</v>
      </c>
      <c r="G571" s="36" t="s">
        <v>102</v>
      </c>
      <c r="H571" s="36" t="s">
        <v>95</v>
      </c>
      <c r="I571" s="36" t="s">
        <v>107</v>
      </c>
      <c r="J571" s="36">
        <v>163</v>
      </c>
      <c r="K571" s="36">
        <v>233.09</v>
      </c>
    </row>
    <row r="572" spans="1:11" x14ac:dyDescent="0.3">
      <c r="A572" s="36" t="s">
        <v>97</v>
      </c>
      <c r="B572" s="36">
        <v>2020</v>
      </c>
      <c r="C572" s="36" t="s">
        <v>3</v>
      </c>
      <c r="D572" s="36" t="s">
        <v>103</v>
      </c>
      <c r="E572" s="36" t="s">
        <v>105</v>
      </c>
      <c r="F572" s="36" t="s">
        <v>106</v>
      </c>
      <c r="G572" s="36" t="s">
        <v>102</v>
      </c>
      <c r="H572" s="36" t="s">
        <v>95</v>
      </c>
      <c r="I572" s="36" t="s">
        <v>107</v>
      </c>
      <c r="J572" s="36">
        <v>205</v>
      </c>
      <c r="K572" s="36">
        <v>293.14999999999998</v>
      </c>
    </row>
    <row r="573" spans="1:11" x14ac:dyDescent="0.3">
      <c r="A573" s="36" t="s">
        <v>99</v>
      </c>
      <c r="B573" s="36">
        <v>2020</v>
      </c>
      <c r="C573" s="36" t="s">
        <v>3</v>
      </c>
      <c r="D573" s="36" t="s">
        <v>103</v>
      </c>
      <c r="E573" s="36" t="s">
        <v>105</v>
      </c>
      <c r="F573" s="36" t="s">
        <v>106</v>
      </c>
      <c r="G573" s="36" t="s">
        <v>102</v>
      </c>
      <c r="H573" s="36" t="s">
        <v>95</v>
      </c>
      <c r="I573" s="36" t="s">
        <v>107</v>
      </c>
      <c r="J573" s="36">
        <v>133</v>
      </c>
      <c r="K573" s="36">
        <v>190.19</v>
      </c>
    </row>
    <row r="574" spans="1:11" x14ac:dyDescent="0.3">
      <c r="A574" s="36" t="s">
        <v>97</v>
      </c>
      <c r="B574" s="36">
        <v>2020</v>
      </c>
      <c r="C574" s="36" t="s">
        <v>3</v>
      </c>
      <c r="D574" s="36" t="s">
        <v>103</v>
      </c>
      <c r="E574" s="36" t="s">
        <v>105</v>
      </c>
      <c r="F574" s="36" t="s">
        <v>106</v>
      </c>
      <c r="G574" s="36" t="s">
        <v>102</v>
      </c>
      <c r="H574" s="36" t="s">
        <v>95</v>
      </c>
      <c r="I574" s="36" t="s">
        <v>107</v>
      </c>
      <c r="J574" s="36">
        <v>821</v>
      </c>
      <c r="K574" s="36">
        <v>1174.03</v>
      </c>
    </row>
    <row r="575" spans="1:11" x14ac:dyDescent="0.3">
      <c r="A575" s="36" t="s">
        <v>97</v>
      </c>
      <c r="B575" s="36">
        <v>2020</v>
      </c>
      <c r="C575" s="36" t="s">
        <v>3</v>
      </c>
      <c r="D575" s="36" t="s">
        <v>103</v>
      </c>
      <c r="E575" s="36" t="s">
        <v>105</v>
      </c>
      <c r="F575" s="36" t="s">
        <v>106</v>
      </c>
      <c r="G575" s="36" t="s">
        <v>102</v>
      </c>
      <c r="H575" s="36" t="s">
        <v>95</v>
      </c>
      <c r="I575" s="36" t="s">
        <v>107</v>
      </c>
      <c r="J575" s="36">
        <v>854</v>
      </c>
      <c r="K575" s="36">
        <v>1221.22</v>
      </c>
    </row>
    <row r="576" spans="1:11" x14ac:dyDescent="0.3">
      <c r="A576" s="36" t="s">
        <v>99</v>
      </c>
      <c r="B576" s="36">
        <v>2020</v>
      </c>
      <c r="C576" s="36" t="s">
        <v>3</v>
      </c>
      <c r="D576" s="36" t="s">
        <v>103</v>
      </c>
      <c r="E576" s="36" t="s">
        <v>105</v>
      </c>
      <c r="F576" s="36" t="s">
        <v>106</v>
      </c>
      <c r="G576" s="36" t="s">
        <v>102</v>
      </c>
      <c r="H576" s="36" t="s">
        <v>95</v>
      </c>
      <c r="I576" s="36" t="s">
        <v>107</v>
      </c>
      <c r="J576" s="36">
        <v>131</v>
      </c>
      <c r="K576" s="36">
        <v>187.32999999999998</v>
      </c>
    </row>
    <row r="577" spans="1:11" x14ac:dyDescent="0.3">
      <c r="A577" s="36" t="s">
        <v>90</v>
      </c>
      <c r="B577" s="36">
        <v>2020</v>
      </c>
      <c r="C577" s="36" t="s">
        <v>7</v>
      </c>
      <c r="D577" s="36" t="s">
        <v>103</v>
      </c>
      <c r="E577" s="36" t="s">
        <v>105</v>
      </c>
      <c r="F577" s="36" t="s">
        <v>106</v>
      </c>
      <c r="G577" s="36" t="s">
        <v>102</v>
      </c>
      <c r="H577" s="36" t="s">
        <v>95</v>
      </c>
      <c r="I577" s="36" t="s">
        <v>107</v>
      </c>
      <c r="J577" s="36">
        <v>140</v>
      </c>
      <c r="K577" s="36">
        <v>200.2</v>
      </c>
    </row>
    <row r="578" spans="1:11" x14ac:dyDescent="0.3">
      <c r="A578" s="36" t="s">
        <v>90</v>
      </c>
      <c r="B578" s="36">
        <v>2020</v>
      </c>
      <c r="C578" s="36" t="s">
        <v>7</v>
      </c>
      <c r="D578" s="36" t="s">
        <v>103</v>
      </c>
      <c r="E578" s="36" t="s">
        <v>105</v>
      </c>
      <c r="F578" s="36" t="s">
        <v>106</v>
      </c>
      <c r="G578" s="36" t="s">
        <v>102</v>
      </c>
      <c r="H578" s="36" t="s">
        <v>95</v>
      </c>
      <c r="I578" s="36" t="s">
        <v>107</v>
      </c>
      <c r="J578" s="36">
        <v>188</v>
      </c>
      <c r="K578" s="36">
        <v>268.84000000000003</v>
      </c>
    </row>
    <row r="579" spans="1:11" x14ac:dyDescent="0.3">
      <c r="A579" s="36" t="s">
        <v>99</v>
      </c>
      <c r="B579" s="36">
        <v>2020</v>
      </c>
      <c r="C579" s="36" t="s">
        <v>7</v>
      </c>
      <c r="D579" s="36" t="s">
        <v>103</v>
      </c>
      <c r="E579" s="36" t="s">
        <v>105</v>
      </c>
      <c r="F579" s="36" t="s">
        <v>106</v>
      </c>
      <c r="G579" s="36" t="s">
        <v>102</v>
      </c>
      <c r="H579" s="36" t="s">
        <v>95</v>
      </c>
      <c r="I579" s="36" t="s">
        <v>107</v>
      </c>
      <c r="J579" s="36">
        <v>356</v>
      </c>
      <c r="K579" s="36">
        <v>509.08</v>
      </c>
    </row>
    <row r="580" spans="1:11" x14ac:dyDescent="0.3">
      <c r="A580" s="36" t="s">
        <v>90</v>
      </c>
      <c r="B580" s="36">
        <v>2020</v>
      </c>
      <c r="C580" s="36" t="s">
        <v>7</v>
      </c>
      <c r="D580" s="36" t="s">
        <v>103</v>
      </c>
      <c r="E580" s="36" t="s">
        <v>105</v>
      </c>
      <c r="F580" s="36" t="s">
        <v>106</v>
      </c>
      <c r="G580" s="36" t="s">
        <v>102</v>
      </c>
      <c r="H580" s="36" t="s">
        <v>95</v>
      </c>
      <c r="I580" s="36" t="s">
        <v>107</v>
      </c>
      <c r="J580" s="36">
        <v>184</v>
      </c>
      <c r="K580" s="36">
        <v>263.12</v>
      </c>
    </row>
    <row r="581" spans="1:11" x14ac:dyDescent="0.3">
      <c r="A581" s="36" t="s">
        <v>97</v>
      </c>
      <c r="B581" s="36">
        <v>2020</v>
      </c>
      <c r="C581" s="36" t="s">
        <v>7</v>
      </c>
      <c r="D581" s="36" t="s">
        <v>103</v>
      </c>
      <c r="E581" s="36" t="s">
        <v>105</v>
      </c>
      <c r="F581" s="36" t="s">
        <v>106</v>
      </c>
      <c r="G581" s="36" t="s">
        <v>102</v>
      </c>
      <c r="H581" s="36" t="s">
        <v>95</v>
      </c>
      <c r="I581" s="36" t="s">
        <v>107</v>
      </c>
      <c r="J581" s="36">
        <v>358</v>
      </c>
      <c r="K581" s="36">
        <v>511.94</v>
      </c>
    </row>
    <row r="582" spans="1:11" x14ac:dyDescent="0.3">
      <c r="A582" s="36" t="s">
        <v>101</v>
      </c>
      <c r="B582" s="36">
        <v>2020</v>
      </c>
      <c r="C582" s="36" t="s">
        <v>7</v>
      </c>
      <c r="D582" s="36" t="s">
        <v>103</v>
      </c>
      <c r="E582" s="36" t="s">
        <v>105</v>
      </c>
      <c r="F582" s="36" t="s">
        <v>106</v>
      </c>
      <c r="G582" s="36" t="s">
        <v>102</v>
      </c>
      <c r="H582" s="36" t="s">
        <v>95</v>
      </c>
      <c r="I582" s="36" t="s">
        <v>107</v>
      </c>
      <c r="J582" s="36">
        <v>816</v>
      </c>
      <c r="K582" s="36">
        <v>1166.8800000000001</v>
      </c>
    </row>
    <row r="583" spans="1:11" x14ac:dyDescent="0.3">
      <c r="A583" s="36" t="s">
        <v>99</v>
      </c>
      <c r="B583" s="36">
        <v>2020</v>
      </c>
      <c r="C583" s="36" t="s">
        <v>7</v>
      </c>
      <c r="D583" s="36" t="s">
        <v>103</v>
      </c>
      <c r="E583" s="36" t="s">
        <v>105</v>
      </c>
      <c r="F583" s="36" t="s">
        <v>106</v>
      </c>
      <c r="G583" s="36" t="s">
        <v>102</v>
      </c>
      <c r="H583" s="36" t="s">
        <v>95</v>
      </c>
      <c r="I583" s="36" t="s">
        <v>107</v>
      </c>
      <c r="J583" s="36">
        <v>849</v>
      </c>
      <c r="K583" s="36">
        <v>1214.07</v>
      </c>
    </row>
    <row r="584" spans="1:11" x14ac:dyDescent="0.3">
      <c r="A584" s="36" t="s">
        <v>90</v>
      </c>
      <c r="B584" s="36">
        <v>2020</v>
      </c>
      <c r="C584" s="36" t="s">
        <v>7</v>
      </c>
      <c r="D584" s="36" t="s">
        <v>103</v>
      </c>
      <c r="E584" s="36" t="s">
        <v>105</v>
      </c>
      <c r="F584" s="36" t="s">
        <v>106</v>
      </c>
      <c r="G584" s="36" t="s">
        <v>102</v>
      </c>
      <c r="H584" s="36" t="s">
        <v>95</v>
      </c>
      <c r="I584" s="36" t="s">
        <v>107</v>
      </c>
      <c r="J584" s="36">
        <v>902</v>
      </c>
      <c r="K584" s="36">
        <v>1289.8600000000001</v>
      </c>
    </row>
    <row r="585" spans="1:11" x14ac:dyDescent="0.3">
      <c r="A585" s="36" t="s">
        <v>90</v>
      </c>
      <c r="B585" s="36">
        <v>2020</v>
      </c>
      <c r="C585" s="36" t="s">
        <v>7</v>
      </c>
      <c r="D585" s="36" t="s">
        <v>103</v>
      </c>
      <c r="E585" s="36" t="s">
        <v>105</v>
      </c>
      <c r="F585" s="36" t="s">
        <v>106</v>
      </c>
      <c r="G585" s="36" t="s">
        <v>102</v>
      </c>
      <c r="H585" s="36" t="s">
        <v>95</v>
      </c>
      <c r="I585" s="36" t="s">
        <v>107</v>
      </c>
      <c r="J585" s="36">
        <v>855</v>
      </c>
      <c r="K585" s="36">
        <v>526.24</v>
      </c>
    </row>
    <row r="586" spans="1:11" x14ac:dyDescent="0.3">
      <c r="A586" s="36" t="s">
        <v>101</v>
      </c>
      <c r="B586" s="36">
        <v>2020</v>
      </c>
      <c r="C586" s="36" t="s">
        <v>7</v>
      </c>
      <c r="D586" s="36" t="s">
        <v>103</v>
      </c>
      <c r="E586" s="36" t="s">
        <v>105</v>
      </c>
      <c r="F586" s="36" t="s">
        <v>106</v>
      </c>
      <c r="G586" s="36" t="s">
        <v>102</v>
      </c>
      <c r="H586" s="36" t="s">
        <v>95</v>
      </c>
      <c r="I586" s="36" t="s">
        <v>107</v>
      </c>
      <c r="J586" s="36">
        <v>357</v>
      </c>
      <c r="K586" s="36">
        <v>510.51</v>
      </c>
    </row>
    <row r="587" spans="1:11" x14ac:dyDescent="0.3">
      <c r="A587" s="36" t="s">
        <v>97</v>
      </c>
      <c r="B587" s="36">
        <v>2020</v>
      </c>
      <c r="C587" s="36" t="s">
        <v>7</v>
      </c>
      <c r="D587" s="36" t="s">
        <v>103</v>
      </c>
      <c r="E587" s="36" t="s">
        <v>105</v>
      </c>
      <c r="F587" s="36" t="s">
        <v>106</v>
      </c>
      <c r="G587" s="36" t="s">
        <v>102</v>
      </c>
      <c r="H587" s="36" t="s">
        <v>95</v>
      </c>
      <c r="I587" s="36" t="s">
        <v>107</v>
      </c>
      <c r="J587" s="36">
        <v>139</v>
      </c>
      <c r="K587" s="36">
        <v>198.76999999999998</v>
      </c>
    </row>
    <row r="588" spans="1:11" x14ac:dyDescent="0.3">
      <c r="A588" s="36" t="s">
        <v>100</v>
      </c>
      <c r="B588" s="36">
        <v>2020</v>
      </c>
      <c r="C588" s="36" t="s">
        <v>7</v>
      </c>
      <c r="D588" s="36" t="s">
        <v>103</v>
      </c>
      <c r="E588" s="36" t="s">
        <v>105</v>
      </c>
      <c r="F588" s="36" t="s">
        <v>106</v>
      </c>
      <c r="G588" s="36" t="s">
        <v>102</v>
      </c>
      <c r="H588" s="36" t="s">
        <v>95</v>
      </c>
      <c r="I588" s="36" t="s">
        <v>107</v>
      </c>
      <c r="J588" s="36">
        <v>187</v>
      </c>
      <c r="K588" s="36">
        <v>267.40999999999997</v>
      </c>
    </row>
    <row r="589" spans="1:11" x14ac:dyDescent="0.3">
      <c r="A589" s="36" t="s">
        <v>99</v>
      </c>
      <c r="B589" s="36">
        <v>2020</v>
      </c>
      <c r="C589" s="36" t="s">
        <v>7</v>
      </c>
      <c r="D589" s="36" t="s">
        <v>103</v>
      </c>
      <c r="E589" s="36" t="s">
        <v>105</v>
      </c>
      <c r="F589" s="36" t="s">
        <v>106</v>
      </c>
      <c r="G589" s="36" t="s">
        <v>102</v>
      </c>
      <c r="H589" s="36" t="s">
        <v>95</v>
      </c>
      <c r="I589" s="36" t="s">
        <v>107</v>
      </c>
      <c r="J589" s="36">
        <v>825</v>
      </c>
      <c r="K589" s="36">
        <v>1179.75</v>
      </c>
    </row>
    <row r="590" spans="1:11" x14ac:dyDescent="0.3">
      <c r="A590" s="36" t="s">
        <v>97</v>
      </c>
      <c r="B590" s="36">
        <v>2020</v>
      </c>
      <c r="C590" s="36" t="s">
        <v>7</v>
      </c>
      <c r="D590" s="36" t="s">
        <v>103</v>
      </c>
      <c r="E590" s="36" t="s">
        <v>105</v>
      </c>
      <c r="F590" s="36" t="s">
        <v>106</v>
      </c>
      <c r="G590" s="36" t="s">
        <v>102</v>
      </c>
      <c r="H590" s="36" t="s">
        <v>95</v>
      </c>
      <c r="I590" s="36" t="s">
        <v>107</v>
      </c>
      <c r="J590" s="36">
        <v>858</v>
      </c>
      <c r="K590" s="36">
        <v>1226.94</v>
      </c>
    </row>
    <row r="591" spans="1:11" x14ac:dyDescent="0.3">
      <c r="A591" s="36" t="s">
        <v>90</v>
      </c>
      <c r="B591" s="36">
        <v>2020</v>
      </c>
      <c r="C591" s="36" t="s">
        <v>7</v>
      </c>
      <c r="D591" s="36" t="s">
        <v>103</v>
      </c>
      <c r="E591" s="36" t="s">
        <v>105</v>
      </c>
      <c r="F591" s="36" t="s">
        <v>106</v>
      </c>
      <c r="G591" s="36" t="s">
        <v>102</v>
      </c>
      <c r="H591" s="36" t="s">
        <v>95</v>
      </c>
      <c r="I591" s="36" t="s">
        <v>107</v>
      </c>
      <c r="J591" s="36">
        <v>359</v>
      </c>
      <c r="K591" s="36">
        <v>513.37</v>
      </c>
    </row>
    <row r="592" spans="1:11" x14ac:dyDescent="0.3">
      <c r="A592" s="36" t="s">
        <v>101</v>
      </c>
      <c r="B592" s="36">
        <v>2020</v>
      </c>
      <c r="C592" s="36" t="s">
        <v>11</v>
      </c>
      <c r="D592" s="36" t="s">
        <v>103</v>
      </c>
      <c r="E592" s="36" t="s">
        <v>105</v>
      </c>
      <c r="F592" s="36" t="s">
        <v>106</v>
      </c>
      <c r="G592" s="36" t="s">
        <v>102</v>
      </c>
      <c r="H592" s="36" t="s">
        <v>95</v>
      </c>
      <c r="I592" s="36" t="s">
        <v>107</v>
      </c>
      <c r="J592" s="36">
        <v>362</v>
      </c>
      <c r="K592" s="36">
        <v>517.66</v>
      </c>
    </row>
    <row r="593" spans="1:11" x14ac:dyDescent="0.3">
      <c r="A593" s="36" t="s">
        <v>99</v>
      </c>
      <c r="B593" s="36">
        <v>2020</v>
      </c>
      <c r="C593" s="36" t="s">
        <v>11</v>
      </c>
      <c r="D593" s="36" t="s">
        <v>103</v>
      </c>
      <c r="E593" s="36" t="s">
        <v>105</v>
      </c>
      <c r="F593" s="36" t="s">
        <v>106</v>
      </c>
      <c r="G593" s="36" t="s">
        <v>102</v>
      </c>
      <c r="H593" s="36" t="s">
        <v>95</v>
      </c>
      <c r="I593" s="36" t="s">
        <v>107</v>
      </c>
      <c r="J593" s="36">
        <v>164</v>
      </c>
      <c r="K593" s="36">
        <v>234.51999999999998</v>
      </c>
    </row>
    <row r="594" spans="1:11" x14ac:dyDescent="0.3">
      <c r="A594" s="36" t="s">
        <v>97</v>
      </c>
      <c r="B594" s="36">
        <v>2020</v>
      </c>
      <c r="C594" s="36" t="s">
        <v>11</v>
      </c>
      <c r="D594" s="36" t="s">
        <v>103</v>
      </c>
      <c r="E594" s="36" t="s">
        <v>105</v>
      </c>
      <c r="F594" s="36" t="s">
        <v>106</v>
      </c>
      <c r="G594" s="36" t="s">
        <v>102</v>
      </c>
      <c r="H594" s="36" t="s">
        <v>95</v>
      </c>
      <c r="I594" s="36" t="s">
        <v>107</v>
      </c>
      <c r="J594" s="36">
        <v>338</v>
      </c>
      <c r="K594" s="36">
        <v>483.34000000000003</v>
      </c>
    </row>
    <row r="595" spans="1:11" x14ac:dyDescent="0.3">
      <c r="A595" s="36" t="s">
        <v>100</v>
      </c>
      <c r="B595" s="36">
        <v>2020</v>
      </c>
      <c r="C595" s="36" t="s">
        <v>11</v>
      </c>
      <c r="D595" s="36" t="s">
        <v>103</v>
      </c>
      <c r="E595" s="36" t="s">
        <v>105</v>
      </c>
      <c r="F595" s="36" t="s">
        <v>106</v>
      </c>
      <c r="G595" s="36" t="s">
        <v>102</v>
      </c>
      <c r="H595" s="36" t="s">
        <v>95</v>
      </c>
      <c r="I595" s="36" t="s">
        <v>107</v>
      </c>
      <c r="J595" s="36">
        <v>364</v>
      </c>
      <c r="K595" s="36">
        <v>520.52</v>
      </c>
    </row>
    <row r="596" spans="1:11" x14ac:dyDescent="0.3">
      <c r="A596" s="36" t="s">
        <v>90</v>
      </c>
      <c r="B596" s="36">
        <v>2020</v>
      </c>
      <c r="C596" s="36" t="s">
        <v>11</v>
      </c>
      <c r="D596" s="36" t="s">
        <v>103</v>
      </c>
      <c r="E596" s="36" t="s">
        <v>105</v>
      </c>
      <c r="F596" s="36" t="s">
        <v>106</v>
      </c>
      <c r="G596" s="36" t="s">
        <v>102</v>
      </c>
      <c r="H596" s="36" t="s">
        <v>95</v>
      </c>
      <c r="I596" s="36" t="s">
        <v>107</v>
      </c>
      <c r="J596" s="36">
        <v>166</v>
      </c>
      <c r="K596" s="36">
        <v>237.38</v>
      </c>
    </row>
    <row r="597" spans="1:11" x14ac:dyDescent="0.3">
      <c r="A597" s="36" t="s">
        <v>90</v>
      </c>
      <c r="B597" s="36">
        <v>2020</v>
      </c>
      <c r="C597" s="36" t="s">
        <v>11</v>
      </c>
      <c r="D597" s="36" t="s">
        <v>103</v>
      </c>
      <c r="E597" s="36" t="s">
        <v>105</v>
      </c>
      <c r="F597" s="36" t="s">
        <v>106</v>
      </c>
      <c r="G597" s="36" t="s">
        <v>102</v>
      </c>
      <c r="H597" s="36" t="s">
        <v>95</v>
      </c>
      <c r="I597" s="36" t="s">
        <v>107</v>
      </c>
      <c r="J597" s="36">
        <v>819</v>
      </c>
      <c r="K597" s="36">
        <v>1171.17</v>
      </c>
    </row>
    <row r="598" spans="1:11" x14ac:dyDescent="0.3">
      <c r="A598" s="36" t="s">
        <v>90</v>
      </c>
      <c r="B598" s="36">
        <v>2020</v>
      </c>
      <c r="C598" s="36" t="s">
        <v>11</v>
      </c>
      <c r="D598" s="36" t="s">
        <v>103</v>
      </c>
      <c r="E598" s="36" t="s">
        <v>105</v>
      </c>
      <c r="F598" s="36" t="s">
        <v>106</v>
      </c>
      <c r="G598" s="36" t="s">
        <v>102</v>
      </c>
      <c r="H598" s="36" t="s">
        <v>95</v>
      </c>
      <c r="I598" s="36" t="s">
        <v>107</v>
      </c>
      <c r="J598" s="36">
        <v>853</v>
      </c>
      <c r="K598" s="36">
        <v>1219.79</v>
      </c>
    </row>
    <row r="599" spans="1:11" x14ac:dyDescent="0.3">
      <c r="A599" s="36" t="s">
        <v>100</v>
      </c>
      <c r="B599" s="36">
        <v>2020</v>
      </c>
      <c r="C599" s="36" t="s">
        <v>11</v>
      </c>
      <c r="D599" s="36" t="s">
        <v>103</v>
      </c>
      <c r="E599" s="36" t="s">
        <v>105</v>
      </c>
      <c r="F599" s="36" t="s">
        <v>106</v>
      </c>
      <c r="G599" s="36" t="s">
        <v>102</v>
      </c>
      <c r="H599" s="36" t="s">
        <v>95</v>
      </c>
      <c r="I599" s="36" t="s">
        <v>107</v>
      </c>
      <c r="J599" s="36">
        <v>906</v>
      </c>
      <c r="K599" s="36">
        <v>1295.58</v>
      </c>
    </row>
    <row r="600" spans="1:11" x14ac:dyDescent="0.3">
      <c r="A600" s="36" t="s">
        <v>100</v>
      </c>
      <c r="B600" s="36">
        <v>2020</v>
      </c>
      <c r="C600" s="36" t="s">
        <v>11</v>
      </c>
      <c r="D600" s="36" t="s">
        <v>103</v>
      </c>
      <c r="E600" s="36" t="s">
        <v>105</v>
      </c>
      <c r="F600" s="36" t="s">
        <v>106</v>
      </c>
      <c r="G600" s="36" t="s">
        <v>102</v>
      </c>
      <c r="H600" s="36" t="s">
        <v>95</v>
      </c>
      <c r="I600" s="36" t="s">
        <v>107</v>
      </c>
      <c r="J600" s="36">
        <v>859</v>
      </c>
      <c r="K600" s="36">
        <v>526.24</v>
      </c>
    </row>
    <row r="601" spans="1:11" x14ac:dyDescent="0.3">
      <c r="A601" s="36" t="s">
        <v>90</v>
      </c>
      <c r="B601" s="36">
        <v>2020</v>
      </c>
      <c r="C601" s="36" t="s">
        <v>11</v>
      </c>
      <c r="D601" s="36" t="s">
        <v>103</v>
      </c>
      <c r="E601" s="36" t="s">
        <v>105</v>
      </c>
      <c r="F601" s="36" t="s">
        <v>106</v>
      </c>
      <c r="G601" s="36" t="s">
        <v>102</v>
      </c>
      <c r="H601" s="36" t="s">
        <v>95</v>
      </c>
      <c r="I601" s="36" t="s">
        <v>107</v>
      </c>
      <c r="J601" s="36">
        <v>165</v>
      </c>
      <c r="K601" s="36">
        <v>526.24</v>
      </c>
    </row>
    <row r="602" spans="1:11" x14ac:dyDescent="0.3">
      <c r="A602" s="36" t="s">
        <v>90</v>
      </c>
      <c r="B602" s="36">
        <v>2020</v>
      </c>
      <c r="C602" s="36" t="s">
        <v>11</v>
      </c>
      <c r="D602" s="36" t="s">
        <v>103</v>
      </c>
      <c r="E602" s="36" t="s">
        <v>105</v>
      </c>
      <c r="F602" s="36" t="s">
        <v>106</v>
      </c>
      <c r="G602" s="36" t="s">
        <v>102</v>
      </c>
      <c r="H602" s="36" t="s">
        <v>95</v>
      </c>
      <c r="I602" s="36" t="s">
        <v>107</v>
      </c>
      <c r="J602" s="36">
        <v>339</v>
      </c>
      <c r="K602" s="36">
        <v>484.77</v>
      </c>
    </row>
    <row r="603" spans="1:11" x14ac:dyDescent="0.3">
      <c r="A603" s="36" t="s">
        <v>99</v>
      </c>
      <c r="B603" s="36">
        <v>2020</v>
      </c>
      <c r="C603" s="36" t="s">
        <v>11</v>
      </c>
      <c r="D603" s="36" t="s">
        <v>103</v>
      </c>
      <c r="E603" s="36" t="s">
        <v>105</v>
      </c>
      <c r="F603" s="36" t="s">
        <v>106</v>
      </c>
      <c r="G603" s="36" t="s">
        <v>102</v>
      </c>
      <c r="H603" s="36" t="s">
        <v>95</v>
      </c>
      <c r="I603" s="36" t="s">
        <v>107</v>
      </c>
      <c r="J603" s="36">
        <v>163</v>
      </c>
      <c r="K603" s="36">
        <v>233.09</v>
      </c>
    </row>
    <row r="604" spans="1:11" x14ac:dyDescent="0.3">
      <c r="A604" s="36" t="s">
        <v>100</v>
      </c>
      <c r="B604" s="36">
        <v>2020</v>
      </c>
      <c r="C604" s="36" t="s">
        <v>11</v>
      </c>
      <c r="D604" s="36" t="s">
        <v>103</v>
      </c>
      <c r="E604" s="36" t="s">
        <v>105</v>
      </c>
      <c r="F604" s="36" t="s">
        <v>106</v>
      </c>
      <c r="G604" s="36" t="s">
        <v>102</v>
      </c>
      <c r="H604" s="36" t="s">
        <v>95</v>
      </c>
      <c r="I604" s="36" t="s">
        <v>107</v>
      </c>
      <c r="J604" s="36">
        <v>337</v>
      </c>
      <c r="K604" s="36">
        <v>481.90999999999997</v>
      </c>
    </row>
    <row r="605" spans="1:11" x14ac:dyDescent="0.3">
      <c r="A605" s="36" t="s">
        <v>97</v>
      </c>
      <c r="B605" s="36">
        <v>2020</v>
      </c>
      <c r="C605" s="36" t="s">
        <v>11</v>
      </c>
      <c r="D605" s="36" t="s">
        <v>103</v>
      </c>
      <c r="E605" s="36" t="s">
        <v>105</v>
      </c>
      <c r="F605" s="36" t="s">
        <v>106</v>
      </c>
      <c r="G605" s="36" t="s">
        <v>102</v>
      </c>
      <c r="H605" s="36" t="s">
        <v>95</v>
      </c>
      <c r="I605" s="36" t="s">
        <v>107</v>
      </c>
      <c r="J605" s="36">
        <v>828</v>
      </c>
      <c r="K605" s="36">
        <v>1184.04</v>
      </c>
    </row>
    <row r="606" spans="1:11" x14ac:dyDescent="0.3">
      <c r="A606" s="36" t="s">
        <v>97</v>
      </c>
      <c r="B606" s="36">
        <v>2020</v>
      </c>
      <c r="C606" s="36" t="s">
        <v>11</v>
      </c>
      <c r="D606" s="36" t="s">
        <v>103</v>
      </c>
      <c r="E606" s="36" t="s">
        <v>105</v>
      </c>
      <c r="F606" s="36" t="s">
        <v>106</v>
      </c>
      <c r="G606" s="36" t="s">
        <v>102</v>
      </c>
      <c r="H606" s="36" t="s">
        <v>95</v>
      </c>
      <c r="I606" s="36" t="s">
        <v>107</v>
      </c>
      <c r="J606" s="36">
        <v>861</v>
      </c>
      <c r="K606" s="36">
        <v>1231.23</v>
      </c>
    </row>
    <row r="607" spans="1:11" x14ac:dyDescent="0.3">
      <c r="A607" s="36" t="s">
        <v>101</v>
      </c>
      <c r="B607" s="36">
        <v>2020</v>
      </c>
      <c r="C607" s="36" t="s">
        <v>11</v>
      </c>
      <c r="D607" s="36" t="s">
        <v>103</v>
      </c>
      <c r="E607" s="36" t="s">
        <v>105</v>
      </c>
      <c r="F607" s="36" t="s">
        <v>106</v>
      </c>
      <c r="G607" s="36" t="s">
        <v>102</v>
      </c>
      <c r="H607" s="36" t="s">
        <v>95</v>
      </c>
      <c r="I607" s="36" t="s">
        <v>107</v>
      </c>
      <c r="J607" s="36">
        <v>335</v>
      </c>
      <c r="K607" s="36">
        <v>479.05</v>
      </c>
    </row>
    <row r="608" spans="1:11" x14ac:dyDescent="0.3">
      <c r="A608" s="36" t="s">
        <v>90</v>
      </c>
      <c r="B608" s="36">
        <v>2020</v>
      </c>
      <c r="C608" s="36" t="s">
        <v>1</v>
      </c>
      <c r="D608" s="36" t="s">
        <v>103</v>
      </c>
      <c r="E608" s="36" t="s">
        <v>105</v>
      </c>
      <c r="F608" s="36" t="s">
        <v>106</v>
      </c>
      <c r="G608" s="36" t="s">
        <v>102</v>
      </c>
      <c r="H608" s="36" t="s">
        <v>95</v>
      </c>
      <c r="I608" s="36" t="s">
        <v>107</v>
      </c>
      <c r="J608" s="36">
        <v>170</v>
      </c>
      <c r="K608" s="36">
        <v>243.1</v>
      </c>
    </row>
    <row r="609" spans="1:11" x14ac:dyDescent="0.3">
      <c r="A609" s="36" t="s">
        <v>99</v>
      </c>
      <c r="B609" s="36">
        <v>2020</v>
      </c>
      <c r="C609" s="36" t="s">
        <v>1</v>
      </c>
      <c r="D609" s="36" t="s">
        <v>103</v>
      </c>
      <c r="E609" s="36" t="s">
        <v>105</v>
      </c>
      <c r="F609" s="36" t="s">
        <v>106</v>
      </c>
      <c r="G609" s="36" t="s">
        <v>102</v>
      </c>
      <c r="H609" s="36" t="s">
        <v>95</v>
      </c>
      <c r="I609" s="36" t="s">
        <v>107</v>
      </c>
      <c r="J609" s="36">
        <v>218</v>
      </c>
      <c r="K609" s="36">
        <v>311.74</v>
      </c>
    </row>
    <row r="610" spans="1:11" x14ac:dyDescent="0.3">
      <c r="A610" s="36" t="s">
        <v>97</v>
      </c>
      <c r="B610" s="36">
        <v>2020</v>
      </c>
      <c r="C610" s="36" t="s">
        <v>1</v>
      </c>
      <c r="D610" s="36" t="s">
        <v>103</v>
      </c>
      <c r="E610" s="36" t="s">
        <v>105</v>
      </c>
      <c r="F610" s="36" t="s">
        <v>106</v>
      </c>
      <c r="G610" s="36" t="s">
        <v>102</v>
      </c>
      <c r="H610" s="36" t="s">
        <v>95</v>
      </c>
      <c r="I610" s="36" t="s">
        <v>107</v>
      </c>
      <c r="J610" s="36">
        <v>146</v>
      </c>
      <c r="K610" s="36">
        <v>208.78</v>
      </c>
    </row>
    <row r="611" spans="1:11" x14ac:dyDescent="0.3">
      <c r="A611" s="36" t="s">
        <v>99</v>
      </c>
      <c r="B611" s="36">
        <v>2020</v>
      </c>
      <c r="C611" s="36" t="s">
        <v>1</v>
      </c>
      <c r="D611" s="36" t="s">
        <v>103</v>
      </c>
      <c r="E611" s="36" t="s">
        <v>105</v>
      </c>
      <c r="F611" s="36" t="s">
        <v>106</v>
      </c>
      <c r="G611" s="36" t="s">
        <v>102</v>
      </c>
      <c r="H611" s="36" t="s">
        <v>95</v>
      </c>
      <c r="I611" s="36" t="s">
        <v>107</v>
      </c>
      <c r="J611" s="36">
        <v>172</v>
      </c>
      <c r="K611" s="36">
        <v>245.95999999999998</v>
      </c>
    </row>
    <row r="612" spans="1:11" x14ac:dyDescent="0.3">
      <c r="A612" s="36" t="s">
        <v>100</v>
      </c>
      <c r="B612" s="36">
        <v>2020</v>
      </c>
      <c r="C612" s="36" t="s">
        <v>1</v>
      </c>
      <c r="D612" s="36" t="s">
        <v>103</v>
      </c>
      <c r="E612" s="36" t="s">
        <v>105</v>
      </c>
      <c r="F612" s="36" t="s">
        <v>106</v>
      </c>
      <c r="G612" s="36" t="s">
        <v>102</v>
      </c>
      <c r="H612" s="36" t="s">
        <v>95</v>
      </c>
      <c r="I612" s="36" t="s">
        <v>107</v>
      </c>
      <c r="J612" s="36">
        <v>220</v>
      </c>
      <c r="K612" s="36">
        <v>314.60000000000002</v>
      </c>
    </row>
    <row r="613" spans="1:11" x14ac:dyDescent="0.3">
      <c r="A613" s="36" t="s">
        <v>90</v>
      </c>
      <c r="B613" s="36">
        <v>2020</v>
      </c>
      <c r="C613" s="36" t="s">
        <v>1</v>
      </c>
      <c r="D613" s="36" t="s">
        <v>103</v>
      </c>
      <c r="E613" s="36" t="s">
        <v>105</v>
      </c>
      <c r="F613" s="36" t="s">
        <v>106</v>
      </c>
      <c r="G613" s="36" t="s">
        <v>102</v>
      </c>
      <c r="H613" s="36" t="s">
        <v>95</v>
      </c>
      <c r="I613" s="36" t="s">
        <v>107</v>
      </c>
      <c r="J613" s="36">
        <v>142</v>
      </c>
      <c r="K613" s="36">
        <v>203.06</v>
      </c>
    </row>
    <row r="614" spans="1:11" x14ac:dyDescent="0.3">
      <c r="A614" s="36" t="s">
        <v>90</v>
      </c>
      <c r="B614" s="36">
        <v>2020</v>
      </c>
      <c r="C614" s="36" t="s">
        <v>1</v>
      </c>
      <c r="D614" s="36" t="s">
        <v>103</v>
      </c>
      <c r="E614" s="36" t="s">
        <v>105</v>
      </c>
      <c r="F614" s="36" t="s">
        <v>106</v>
      </c>
      <c r="G614" s="36" t="s">
        <v>102</v>
      </c>
      <c r="H614" s="36" t="s">
        <v>95</v>
      </c>
      <c r="I614" s="36" t="s">
        <v>107</v>
      </c>
      <c r="J614" s="36">
        <v>844</v>
      </c>
      <c r="K614" s="36">
        <v>1206.92</v>
      </c>
    </row>
    <row r="615" spans="1:11" x14ac:dyDescent="0.3">
      <c r="A615" s="36" t="s">
        <v>90</v>
      </c>
      <c r="B615" s="36">
        <v>2020</v>
      </c>
      <c r="C615" s="36" t="s">
        <v>1</v>
      </c>
      <c r="D615" s="36" t="s">
        <v>103</v>
      </c>
      <c r="E615" s="36" t="s">
        <v>105</v>
      </c>
      <c r="F615" s="36" t="s">
        <v>106</v>
      </c>
      <c r="G615" s="36" t="s">
        <v>102</v>
      </c>
      <c r="H615" s="36" t="s">
        <v>95</v>
      </c>
      <c r="I615" s="36" t="s">
        <v>107</v>
      </c>
      <c r="J615" s="36">
        <v>897</v>
      </c>
      <c r="K615" s="36">
        <v>1282.71</v>
      </c>
    </row>
    <row r="616" spans="1:11" x14ac:dyDescent="0.3">
      <c r="A616" s="36" t="s">
        <v>90</v>
      </c>
      <c r="B616" s="36">
        <v>2020</v>
      </c>
      <c r="C616" s="36" t="s">
        <v>1</v>
      </c>
      <c r="D616" s="36" t="s">
        <v>103</v>
      </c>
      <c r="E616" s="36" t="s">
        <v>105</v>
      </c>
      <c r="F616" s="36" t="s">
        <v>106</v>
      </c>
      <c r="G616" s="36" t="s">
        <v>102</v>
      </c>
      <c r="H616" s="36" t="s">
        <v>95</v>
      </c>
      <c r="I616" s="36" t="s">
        <v>107</v>
      </c>
      <c r="J616" s="36">
        <v>850</v>
      </c>
      <c r="K616" s="36">
        <v>526.24</v>
      </c>
    </row>
    <row r="617" spans="1:11" x14ac:dyDescent="0.3">
      <c r="A617" s="36" t="s">
        <v>97</v>
      </c>
      <c r="B617" s="36">
        <v>2020</v>
      </c>
      <c r="C617" s="36" t="s">
        <v>1</v>
      </c>
      <c r="D617" s="36" t="s">
        <v>103</v>
      </c>
      <c r="E617" s="36" t="s">
        <v>105</v>
      </c>
      <c r="F617" s="36" t="s">
        <v>106</v>
      </c>
      <c r="G617" s="36" t="s">
        <v>102</v>
      </c>
      <c r="H617" s="36" t="s">
        <v>95</v>
      </c>
      <c r="I617" s="36" t="s">
        <v>107</v>
      </c>
      <c r="J617" s="36">
        <v>883</v>
      </c>
      <c r="K617" s="36">
        <v>526.24</v>
      </c>
    </row>
    <row r="618" spans="1:11" x14ac:dyDescent="0.3">
      <c r="A618" s="36" t="s">
        <v>90</v>
      </c>
      <c r="B618" s="36">
        <v>2020</v>
      </c>
      <c r="C618" s="36" t="s">
        <v>1</v>
      </c>
      <c r="D618" s="36" t="s">
        <v>103</v>
      </c>
      <c r="E618" s="36" t="s">
        <v>105</v>
      </c>
      <c r="F618" s="36" t="s">
        <v>106</v>
      </c>
      <c r="G618" s="36" t="s">
        <v>102</v>
      </c>
      <c r="H618" s="36" t="s">
        <v>95</v>
      </c>
      <c r="I618" s="36" t="s">
        <v>107</v>
      </c>
      <c r="J618" s="36">
        <v>169</v>
      </c>
      <c r="K618" s="36">
        <v>241.67000000000002</v>
      </c>
    </row>
    <row r="619" spans="1:11" x14ac:dyDescent="0.3">
      <c r="A619" s="36" t="s">
        <v>97</v>
      </c>
      <c r="B619" s="36">
        <v>2020</v>
      </c>
      <c r="C619" s="36" t="s">
        <v>1</v>
      </c>
      <c r="D619" s="36" t="s">
        <v>103</v>
      </c>
      <c r="E619" s="36" t="s">
        <v>105</v>
      </c>
      <c r="F619" s="36" t="s">
        <v>106</v>
      </c>
      <c r="G619" s="36" t="s">
        <v>102</v>
      </c>
      <c r="H619" s="36" t="s">
        <v>95</v>
      </c>
      <c r="I619" s="36" t="s">
        <v>107</v>
      </c>
      <c r="J619" s="36">
        <v>217</v>
      </c>
      <c r="K619" s="36">
        <v>310.31</v>
      </c>
    </row>
    <row r="620" spans="1:11" x14ac:dyDescent="0.3">
      <c r="A620" s="36" t="s">
        <v>99</v>
      </c>
      <c r="B620" s="36">
        <v>2020</v>
      </c>
      <c r="C620" s="36" t="s">
        <v>1</v>
      </c>
      <c r="D620" s="36" t="s">
        <v>103</v>
      </c>
      <c r="E620" s="36" t="s">
        <v>105</v>
      </c>
      <c r="F620" s="36" t="s">
        <v>106</v>
      </c>
      <c r="G620" s="36" t="s">
        <v>102</v>
      </c>
      <c r="H620" s="36" t="s">
        <v>95</v>
      </c>
      <c r="I620" s="36" t="s">
        <v>107</v>
      </c>
      <c r="J620" s="36">
        <v>145</v>
      </c>
      <c r="K620" s="36">
        <v>207.35</v>
      </c>
    </row>
    <row r="621" spans="1:11" x14ac:dyDescent="0.3">
      <c r="A621" s="36" t="s">
        <v>97</v>
      </c>
      <c r="B621" s="36">
        <v>2020</v>
      </c>
      <c r="C621" s="36" t="s">
        <v>1</v>
      </c>
      <c r="D621" s="36" t="s">
        <v>103</v>
      </c>
      <c r="E621" s="36" t="s">
        <v>105</v>
      </c>
      <c r="F621" s="36" t="s">
        <v>106</v>
      </c>
      <c r="G621" s="36" t="s">
        <v>102</v>
      </c>
      <c r="H621" s="36" t="s">
        <v>95</v>
      </c>
      <c r="I621" s="36" t="s">
        <v>107</v>
      </c>
      <c r="J621" s="36">
        <v>819</v>
      </c>
      <c r="K621" s="36">
        <v>1171.17</v>
      </c>
    </row>
    <row r="622" spans="1:11" x14ac:dyDescent="0.3">
      <c r="A622" s="36" t="s">
        <v>90</v>
      </c>
      <c r="B622" s="36">
        <v>2020</v>
      </c>
      <c r="C622" s="36" t="s">
        <v>1</v>
      </c>
      <c r="D622" s="36" t="s">
        <v>103</v>
      </c>
      <c r="E622" s="36" t="s">
        <v>105</v>
      </c>
      <c r="F622" s="36" t="s">
        <v>106</v>
      </c>
      <c r="G622" s="36" t="s">
        <v>102</v>
      </c>
      <c r="H622" s="36" t="s">
        <v>95</v>
      </c>
      <c r="I622" s="36" t="s">
        <v>107</v>
      </c>
      <c r="J622" s="36">
        <v>143</v>
      </c>
      <c r="K622" s="36">
        <v>204.49</v>
      </c>
    </row>
    <row r="623" spans="1:11" x14ac:dyDescent="0.3">
      <c r="A623" s="36" t="s">
        <v>101</v>
      </c>
      <c r="B623" s="36">
        <v>2020</v>
      </c>
      <c r="C623" s="36" t="s">
        <v>0</v>
      </c>
      <c r="D623" s="36" t="s">
        <v>103</v>
      </c>
      <c r="E623" s="36" t="s">
        <v>105</v>
      </c>
      <c r="F623" s="36" t="s">
        <v>106</v>
      </c>
      <c r="G623" s="36" t="s">
        <v>102</v>
      </c>
      <c r="H623" s="36" t="s">
        <v>95</v>
      </c>
      <c r="I623" s="36" t="s">
        <v>107</v>
      </c>
      <c r="J623" s="36">
        <v>176</v>
      </c>
      <c r="K623" s="36">
        <v>251.68</v>
      </c>
    </row>
    <row r="624" spans="1:11" x14ac:dyDescent="0.3">
      <c r="A624" s="36" t="s">
        <v>99</v>
      </c>
      <c r="B624" s="36">
        <v>2020</v>
      </c>
      <c r="C624" s="36" t="s">
        <v>0</v>
      </c>
      <c r="D624" s="36" t="s">
        <v>103</v>
      </c>
      <c r="E624" s="36" t="s">
        <v>105</v>
      </c>
      <c r="F624" s="36" t="s">
        <v>106</v>
      </c>
      <c r="G624" s="36" t="s">
        <v>102</v>
      </c>
      <c r="H624" s="36" t="s">
        <v>95</v>
      </c>
      <c r="I624" s="36" t="s">
        <v>107</v>
      </c>
      <c r="J624" s="36">
        <v>224</v>
      </c>
      <c r="K624" s="36">
        <v>320.32</v>
      </c>
    </row>
    <row r="625" spans="1:11" x14ac:dyDescent="0.3">
      <c r="A625" s="36" t="s">
        <v>97</v>
      </c>
      <c r="B625" s="36">
        <v>2020</v>
      </c>
      <c r="C625" s="36" t="s">
        <v>0</v>
      </c>
      <c r="D625" s="36" t="s">
        <v>103</v>
      </c>
      <c r="E625" s="36" t="s">
        <v>105</v>
      </c>
      <c r="F625" s="36" t="s">
        <v>106</v>
      </c>
      <c r="G625" s="36" t="s">
        <v>102</v>
      </c>
      <c r="H625" s="36" t="s">
        <v>95</v>
      </c>
      <c r="I625" s="36" t="s">
        <v>107</v>
      </c>
      <c r="J625" s="36">
        <v>178</v>
      </c>
      <c r="K625" s="36">
        <v>254.54</v>
      </c>
    </row>
    <row r="626" spans="1:11" x14ac:dyDescent="0.3">
      <c r="A626" s="36" t="s">
        <v>90</v>
      </c>
      <c r="B626" s="36">
        <v>2020</v>
      </c>
      <c r="C626" s="36" t="s">
        <v>0</v>
      </c>
      <c r="D626" s="36" t="s">
        <v>103</v>
      </c>
      <c r="E626" s="36" t="s">
        <v>105</v>
      </c>
      <c r="F626" s="36" t="s">
        <v>106</v>
      </c>
      <c r="G626" s="36" t="s">
        <v>102</v>
      </c>
      <c r="H626" s="36" t="s">
        <v>95</v>
      </c>
      <c r="I626" s="36" t="s">
        <v>107</v>
      </c>
      <c r="J626" s="36">
        <v>148</v>
      </c>
      <c r="K626" s="36">
        <v>211.64</v>
      </c>
    </row>
    <row r="627" spans="1:11" x14ac:dyDescent="0.3">
      <c r="A627" s="36" t="s">
        <v>97</v>
      </c>
      <c r="B627" s="36">
        <v>2020</v>
      </c>
      <c r="C627" s="36" t="s">
        <v>0</v>
      </c>
      <c r="D627" s="36" t="s">
        <v>103</v>
      </c>
      <c r="E627" s="36" t="s">
        <v>105</v>
      </c>
      <c r="F627" s="36" t="s">
        <v>106</v>
      </c>
      <c r="G627" s="36" t="s">
        <v>102</v>
      </c>
      <c r="H627" s="36" t="s">
        <v>95</v>
      </c>
      <c r="I627" s="36" t="s">
        <v>107</v>
      </c>
      <c r="J627" s="36">
        <v>810</v>
      </c>
      <c r="K627" s="36">
        <v>1158.3</v>
      </c>
    </row>
    <row r="628" spans="1:11" x14ac:dyDescent="0.3">
      <c r="A628" s="36" t="s">
        <v>99</v>
      </c>
      <c r="B628" s="36">
        <v>2020</v>
      </c>
      <c r="C628" s="36" t="s">
        <v>0</v>
      </c>
      <c r="D628" s="36" t="s">
        <v>103</v>
      </c>
      <c r="E628" s="36" t="s">
        <v>105</v>
      </c>
      <c r="F628" s="36" t="s">
        <v>106</v>
      </c>
      <c r="G628" s="36" t="s">
        <v>102</v>
      </c>
      <c r="H628" s="36" t="s">
        <v>95</v>
      </c>
      <c r="I628" s="36" t="s">
        <v>107</v>
      </c>
      <c r="J628" s="36">
        <v>843</v>
      </c>
      <c r="K628" s="36">
        <v>1205.49</v>
      </c>
    </row>
    <row r="629" spans="1:11" x14ac:dyDescent="0.3">
      <c r="A629" s="36" t="s">
        <v>99</v>
      </c>
      <c r="B629" s="36">
        <v>2020</v>
      </c>
      <c r="C629" s="36" t="s">
        <v>0</v>
      </c>
      <c r="D629" s="36" t="s">
        <v>103</v>
      </c>
      <c r="E629" s="36" t="s">
        <v>105</v>
      </c>
      <c r="F629" s="36" t="s">
        <v>106</v>
      </c>
      <c r="G629" s="36" t="s">
        <v>102</v>
      </c>
      <c r="H629" s="36" t="s">
        <v>95</v>
      </c>
      <c r="I629" s="36" t="s">
        <v>107</v>
      </c>
      <c r="J629" s="36">
        <v>896</v>
      </c>
      <c r="K629" s="36">
        <v>1281.28</v>
      </c>
    </row>
    <row r="630" spans="1:11" x14ac:dyDescent="0.3">
      <c r="A630" s="36" t="s">
        <v>90</v>
      </c>
      <c r="B630" s="36">
        <v>2020</v>
      </c>
      <c r="C630" s="36" t="s">
        <v>0</v>
      </c>
      <c r="D630" s="36" t="s">
        <v>103</v>
      </c>
      <c r="E630" s="36" t="s">
        <v>105</v>
      </c>
      <c r="F630" s="36" t="s">
        <v>93</v>
      </c>
      <c r="G630" s="36" t="s">
        <v>102</v>
      </c>
      <c r="H630" s="36" t="s">
        <v>95</v>
      </c>
      <c r="I630" s="36" t="s">
        <v>96</v>
      </c>
      <c r="J630" s="36">
        <v>818</v>
      </c>
      <c r="K630" s="36">
        <v>526.24</v>
      </c>
    </row>
    <row r="631" spans="1:11" x14ac:dyDescent="0.3">
      <c r="A631" s="36" t="s">
        <v>99</v>
      </c>
      <c r="B631" s="36">
        <v>2020</v>
      </c>
      <c r="C631" s="36" t="s">
        <v>0</v>
      </c>
      <c r="D631" s="36" t="s">
        <v>103</v>
      </c>
      <c r="E631" s="36" t="s">
        <v>105</v>
      </c>
      <c r="F631" s="36" t="s">
        <v>106</v>
      </c>
      <c r="G631" s="36" t="s">
        <v>102</v>
      </c>
      <c r="H631" s="36" t="s">
        <v>95</v>
      </c>
      <c r="I631" s="36" t="s">
        <v>107</v>
      </c>
      <c r="J631" s="36">
        <v>849</v>
      </c>
      <c r="K631" s="36">
        <v>526.24</v>
      </c>
    </row>
    <row r="632" spans="1:11" x14ac:dyDescent="0.3">
      <c r="A632" s="36" t="s">
        <v>90</v>
      </c>
      <c r="B632" s="36">
        <v>2020</v>
      </c>
      <c r="C632" s="36" t="s">
        <v>0</v>
      </c>
      <c r="D632" s="36" t="s">
        <v>103</v>
      </c>
      <c r="E632" s="36" t="s">
        <v>105</v>
      </c>
      <c r="F632" s="36" t="s">
        <v>106</v>
      </c>
      <c r="G632" s="36" t="s">
        <v>102</v>
      </c>
      <c r="H632" s="36" t="s">
        <v>95</v>
      </c>
      <c r="I632" s="36" t="s">
        <v>107</v>
      </c>
      <c r="J632" s="36">
        <v>882</v>
      </c>
      <c r="K632" s="36">
        <v>526.24</v>
      </c>
    </row>
    <row r="633" spans="1:11" x14ac:dyDescent="0.3">
      <c r="A633" s="36" t="s">
        <v>97</v>
      </c>
      <c r="B633" s="36">
        <v>2020</v>
      </c>
      <c r="C633" s="36" t="s">
        <v>0</v>
      </c>
      <c r="D633" s="36" t="s">
        <v>103</v>
      </c>
      <c r="E633" s="36" t="s">
        <v>105</v>
      </c>
      <c r="F633" s="36" t="s">
        <v>106</v>
      </c>
      <c r="G633" s="36" t="s">
        <v>102</v>
      </c>
      <c r="H633" s="36" t="s">
        <v>95</v>
      </c>
      <c r="I633" s="36" t="s">
        <v>107</v>
      </c>
      <c r="J633" s="36">
        <v>147</v>
      </c>
      <c r="K633" s="36">
        <v>210.21</v>
      </c>
    </row>
    <row r="634" spans="1:11" x14ac:dyDescent="0.3">
      <c r="A634" s="36" t="s">
        <v>90</v>
      </c>
      <c r="B634" s="36">
        <v>2020</v>
      </c>
      <c r="C634" s="36" t="s">
        <v>0</v>
      </c>
      <c r="D634" s="36" t="s">
        <v>103</v>
      </c>
      <c r="E634" s="36" t="s">
        <v>105</v>
      </c>
      <c r="F634" s="36" t="s">
        <v>106</v>
      </c>
      <c r="G634" s="36" t="s">
        <v>102</v>
      </c>
      <c r="H634" s="36" t="s">
        <v>95</v>
      </c>
      <c r="I634" s="36" t="s">
        <v>107</v>
      </c>
      <c r="J634" s="36">
        <v>175</v>
      </c>
      <c r="K634" s="36">
        <v>250.25</v>
      </c>
    </row>
    <row r="635" spans="1:11" x14ac:dyDescent="0.3">
      <c r="A635" s="36" t="s">
        <v>100</v>
      </c>
      <c r="B635" s="36">
        <v>2020</v>
      </c>
      <c r="C635" s="36" t="s">
        <v>0</v>
      </c>
      <c r="D635" s="36" t="s">
        <v>103</v>
      </c>
      <c r="E635" s="36" t="s">
        <v>105</v>
      </c>
      <c r="F635" s="36" t="s">
        <v>106</v>
      </c>
      <c r="G635" s="36" t="s">
        <v>102</v>
      </c>
      <c r="H635" s="36" t="s">
        <v>95</v>
      </c>
      <c r="I635" s="36" t="s">
        <v>107</v>
      </c>
      <c r="J635" s="36">
        <v>223</v>
      </c>
      <c r="K635" s="36">
        <v>318.89</v>
      </c>
    </row>
    <row r="636" spans="1:11" x14ac:dyDescent="0.3">
      <c r="A636" s="36" t="s">
        <v>97</v>
      </c>
      <c r="B636" s="36">
        <v>2020</v>
      </c>
      <c r="C636" s="36" t="s">
        <v>0</v>
      </c>
      <c r="D636" s="36" t="s">
        <v>103</v>
      </c>
      <c r="E636" s="36" t="s">
        <v>105</v>
      </c>
      <c r="F636" s="36" t="s">
        <v>106</v>
      </c>
      <c r="G636" s="36" t="s">
        <v>102</v>
      </c>
      <c r="H636" s="36" t="s">
        <v>95</v>
      </c>
      <c r="I636" s="36" t="s">
        <v>107</v>
      </c>
      <c r="J636" s="36">
        <v>151</v>
      </c>
      <c r="K636" s="36">
        <v>215.93</v>
      </c>
    </row>
    <row r="637" spans="1:11" x14ac:dyDescent="0.3">
      <c r="A637" s="36" t="s">
        <v>100</v>
      </c>
      <c r="B637" s="36">
        <v>2020</v>
      </c>
      <c r="C637" s="36" t="s">
        <v>0</v>
      </c>
      <c r="D637" s="36" t="s">
        <v>103</v>
      </c>
      <c r="E637" s="36" t="s">
        <v>105</v>
      </c>
      <c r="F637" s="36" t="s">
        <v>106</v>
      </c>
      <c r="G637" s="36" t="s">
        <v>102</v>
      </c>
      <c r="H637" s="36" t="s">
        <v>95</v>
      </c>
      <c r="I637" s="36" t="s">
        <v>107</v>
      </c>
      <c r="J637" s="36">
        <v>852</v>
      </c>
      <c r="K637" s="36">
        <v>1218.3600000000001</v>
      </c>
    </row>
    <row r="638" spans="1:11" x14ac:dyDescent="0.3">
      <c r="A638" s="36" t="s">
        <v>101</v>
      </c>
      <c r="B638" s="36">
        <v>2020</v>
      </c>
      <c r="C638" s="36" t="s">
        <v>0</v>
      </c>
      <c r="D638" s="36" t="s">
        <v>103</v>
      </c>
      <c r="E638" s="36" t="s">
        <v>105</v>
      </c>
      <c r="F638" s="36" t="s">
        <v>106</v>
      </c>
      <c r="G638" s="36" t="s">
        <v>102</v>
      </c>
      <c r="H638" s="36" t="s">
        <v>95</v>
      </c>
      <c r="I638" s="36" t="s">
        <v>107</v>
      </c>
      <c r="J638" s="36">
        <v>149</v>
      </c>
      <c r="K638" s="36">
        <v>213.07</v>
      </c>
    </row>
    <row r="639" spans="1:11" x14ac:dyDescent="0.3">
      <c r="A639" s="36" t="s">
        <v>97</v>
      </c>
      <c r="B639" s="36">
        <v>2020</v>
      </c>
      <c r="C639" s="36" t="s">
        <v>6</v>
      </c>
      <c r="D639" s="36" t="s">
        <v>103</v>
      </c>
      <c r="E639" s="36" t="s">
        <v>105</v>
      </c>
      <c r="F639" s="36" t="s">
        <v>106</v>
      </c>
      <c r="G639" s="36" t="s">
        <v>102</v>
      </c>
      <c r="H639" s="36" t="s">
        <v>95</v>
      </c>
      <c r="I639" s="36" t="s">
        <v>107</v>
      </c>
      <c r="J639" s="36">
        <v>146</v>
      </c>
      <c r="K639" s="36">
        <v>208.78</v>
      </c>
    </row>
    <row r="640" spans="1:11" x14ac:dyDescent="0.3">
      <c r="A640" s="36" t="s">
        <v>90</v>
      </c>
      <c r="B640" s="36">
        <v>2020</v>
      </c>
      <c r="C640" s="36" t="s">
        <v>6</v>
      </c>
      <c r="D640" s="36" t="s">
        <v>103</v>
      </c>
      <c r="E640" s="36" t="s">
        <v>105</v>
      </c>
      <c r="F640" s="36" t="s">
        <v>106</v>
      </c>
      <c r="G640" s="36" t="s">
        <v>102</v>
      </c>
      <c r="H640" s="36" t="s">
        <v>95</v>
      </c>
      <c r="I640" s="36" t="s">
        <v>107</v>
      </c>
      <c r="J640" s="36">
        <v>362</v>
      </c>
      <c r="K640" s="36">
        <v>517.66</v>
      </c>
    </row>
    <row r="641" spans="1:11" x14ac:dyDescent="0.3">
      <c r="A641" s="36" t="s">
        <v>97</v>
      </c>
      <c r="B641" s="36">
        <v>2020</v>
      </c>
      <c r="C641" s="36" t="s">
        <v>6</v>
      </c>
      <c r="D641" s="36" t="s">
        <v>103</v>
      </c>
      <c r="E641" s="36" t="s">
        <v>105</v>
      </c>
      <c r="F641" s="36" t="s">
        <v>106</v>
      </c>
      <c r="G641" s="36" t="s">
        <v>102</v>
      </c>
      <c r="H641" s="36" t="s">
        <v>95</v>
      </c>
      <c r="I641" s="36" t="s">
        <v>107</v>
      </c>
      <c r="J641" s="36">
        <v>142</v>
      </c>
      <c r="K641" s="36">
        <v>203.06</v>
      </c>
    </row>
    <row r="642" spans="1:11" x14ac:dyDescent="0.3">
      <c r="A642" s="36" t="s">
        <v>97</v>
      </c>
      <c r="B642" s="36">
        <v>2020</v>
      </c>
      <c r="C642" s="36" t="s">
        <v>6</v>
      </c>
      <c r="D642" s="36" t="s">
        <v>103</v>
      </c>
      <c r="E642" s="36" t="s">
        <v>105</v>
      </c>
      <c r="F642" s="36" t="s">
        <v>106</v>
      </c>
      <c r="G642" s="36" t="s">
        <v>102</v>
      </c>
      <c r="H642" s="36" t="s">
        <v>95</v>
      </c>
      <c r="I642" s="36" t="s">
        <v>107</v>
      </c>
      <c r="J642" s="36">
        <v>190</v>
      </c>
      <c r="K642" s="36">
        <v>271.7</v>
      </c>
    </row>
    <row r="643" spans="1:11" x14ac:dyDescent="0.3">
      <c r="A643" s="36" t="s">
        <v>90</v>
      </c>
      <c r="B643" s="36">
        <v>2020</v>
      </c>
      <c r="C643" s="36" t="s">
        <v>6</v>
      </c>
      <c r="D643" s="36" t="s">
        <v>103</v>
      </c>
      <c r="E643" s="36" t="s">
        <v>105</v>
      </c>
      <c r="F643" s="36" t="s">
        <v>106</v>
      </c>
      <c r="G643" s="36" t="s">
        <v>102</v>
      </c>
      <c r="H643" s="36" t="s">
        <v>95</v>
      </c>
      <c r="I643" s="36" t="s">
        <v>107</v>
      </c>
      <c r="J643" s="36">
        <v>364</v>
      </c>
      <c r="K643" s="36">
        <v>520.52</v>
      </c>
    </row>
    <row r="644" spans="1:11" x14ac:dyDescent="0.3">
      <c r="A644" s="36" t="s">
        <v>90</v>
      </c>
      <c r="B644" s="36">
        <v>2020</v>
      </c>
      <c r="C644" s="36" t="s">
        <v>6</v>
      </c>
      <c r="D644" s="36" t="s">
        <v>103</v>
      </c>
      <c r="E644" s="36" t="s">
        <v>105</v>
      </c>
      <c r="F644" s="36" t="s">
        <v>106</v>
      </c>
      <c r="G644" s="36" t="s">
        <v>102</v>
      </c>
      <c r="H644" s="36" t="s">
        <v>95</v>
      </c>
      <c r="I644" s="36" t="s">
        <v>107</v>
      </c>
      <c r="J644" s="36">
        <v>815</v>
      </c>
      <c r="K644" s="36">
        <v>1165.45</v>
      </c>
    </row>
    <row r="645" spans="1:11" x14ac:dyDescent="0.3">
      <c r="A645" s="36" t="s">
        <v>99</v>
      </c>
      <c r="B645" s="36">
        <v>2020</v>
      </c>
      <c r="C645" s="36" t="s">
        <v>6</v>
      </c>
      <c r="D645" s="36" t="s">
        <v>103</v>
      </c>
      <c r="E645" s="36" t="s">
        <v>105</v>
      </c>
      <c r="F645" s="36" t="s">
        <v>106</v>
      </c>
      <c r="G645" s="36" t="s">
        <v>102</v>
      </c>
      <c r="H645" s="36" t="s">
        <v>95</v>
      </c>
      <c r="I645" s="36" t="s">
        <v>107</v>
      </c>
      <c r="J645" s="36">
        <v>848</v>
      </c>
      <c r="K645" s="36">
        <v>1212.6399999999999</v>
      </c>
    </row>
    <row r="646" spans="1:11" x14ac:dyDescent="0.3">
      <c r="A646" s="36" t="s">
        <v>90</v>
      </c>
      <c r="B646" s="36">
        <v>2020</v>
      </c>
      <c r="C646" s="36" t="s">
        <v>6</v>
      </c>
      <c r="D646" s="36" t="s">
        <v>103</v>
      </c>
      <c r="E646" s="36" t="s">
        <v>105</v>
      </c>
      <c r="F646" s="36" t="s">
        <v>106</v>
      </c>
      <c r="G646" s="36" t="s">
        <v>102</v>
      </c>
      <c r="H646" s="36" t="s">
        <v>95</v>
      </c>
      <c r="I646" s="36" t="s">
        <v>107</v>
      </c>
      <c r="J646" s="36">
        <v>901</v>
      </c>
      <c r="K646" s="36">
        <v>1288.43</v>
      </c>
    </row>
    <row r="647" spans="1:11" x14ac:dyDescent="0.3">
      <c r="A647" s="36" t="s">
        <v>90</v>
      </c>
      <c r="B647" s="36">
        <v>2020</v>
      </c>
      <c r="C647" s="36" t="s">
        <v>6</v>
      </c>
      <c r="D647" s="36" t="s">
        <v>103</v>
      </c>
      <c r="E647" s="36" t="s">
        <v>105</v>
      </c>
      <c r="F647" s="36" t="s">
        <v>106</v>
      </c>
      <c r="G647" s="36" t="s">
        <v>102</v>
      </c>
      <c r="H647" s="36" t="s">
        <v>95</v>
      </c>
      <c r="I647" s="36" t="s">
        <v>107</v>
      </c>
      <c r="J647" s="36">
        <v>854</v>
      </c>
      <c r="K647" s="36">
        <v>526.24</v>
      </c>
    </row>
    <row r="648" spans="1:11" x14ac:dyDescent="0.3">
      <c r="A648" s="36" t="s">
        <v>97</v>
      </c>
      <c r="B648" s="36">
        <v>2020</v>
      </c>
      <c r="C648" s="36" t="s">
        <v>6</v>
      </c>
      <c r="D648" s="36" t="s">
        <v>103</v>
      </c>
      <c r="E648" s="36" t="s">
        <v>105</v>
      </c>
      <c r="F648" s="36" t="s">
        <v>106</v>
      </c>
      <c r="G648" s="36" t="s">
        <v>102</v>
      </c>
      <c r="H648" s="36" t="s">
        <v>95</v>
      </c>
      <c r="I648" s="36" t="s">
        <v>107</v>
      </c>
      <c r="J648" s="36">
        <v>189</v>
      </c>
      <c r="K648" s="36">
        <v>526.24</v>
      </c>
    </row>
    <row r="649" spans="1:11" x14ac:dyDescent="0.3">
      <c r="A649" s="36" t="s">
        <v>90</v>
      </c>
      <c r="B649" s="36">
        <v>2020</v>
      </c>
      <c r="C649" s="36" t="s">
        <v>6</v>
      </c>
      <c r="D649" s="36" t="s">
        <v>103</v>
      </c>
      <c r="E649" s="36" t="s">
        <v>105</v>
      </c>
      <c r="F649" s="36" t="s">
        <v>106</v>
      </c>
      <c r="G649" s="36" t="s">
        <v>102</v>
      </c>
      <c r="H649" s="36" t="s">
        <v>95</v>
      </c>
      <c r="I649" s="36" t="s">
        <v>107</v>
      </c>
      <c r="J649" s="36">
        <v>363</v>
      </c>
      <c r="K649" s="36">
        <v>519.09</v>
      </c>
    </row>
    <row r="650" spans="1:11" x14ac:dyDescent="0.3">
      <c r="A650" s="36" t="s">
        <v>90</v>
      </c>
      <c r="B650" s="36">
        <v>2020</v>
      </c>
      <c r="C650" s="36" t="s">
        <v>6</v>
      </c>
      <c r="D650" s="36" t="s">
        <v>103</v>
      </c>
      <c r="E650" s="36" t="s">
        <v>105</v>
      </c>
      <c r="F650" s="36" t="s">
        <v>106</v>
      </c>
      <c r="G650" s="36" t="s">
        <v>102</v>
      </c>
      <c r="H650" s="36" t="s">
        <v>95</v>
      </c>
      <c r="I650" s="36" t="s">
        <v>107</v>
      </c>
      <c r="J650" s="36">
        <v>145</v>
      </c>
      <c r="K650" s="36">
        <v>207.35</v>
      </c>
    </row>
    <row r="651" spans="1:11" x14ac:dyDescent="0.3">
      <c r="A651" s="36" t="s">
        <v>90</v>
      </c>
      <c r="B651" s="36">
        <v>2020</v>
      </c>
      <c r="C651" s="36" t="s">
        <v>6</v>
      </c>
      <c r="D651" s="36" t="s">
        <v>103</v>
      </c>
      <c r="E651" s="36" t="s">
        <v>105</v>
      </c>
      <c r="F651" s="36" t="s">
        <v>106</v>
      </c>
      <c r="G651" s="36" t="s">
        <v>102</v>
      </c>
      <c r="H651" s="36" t="s">
        <v>95</v>
      </c>
      <c r="I651" s="36" t="s">
        <v>107</v>
      </c>
      <c r="J651" s="36">
        <v>193</v>
      </c>
      <c r="K651" s="36">
        <v>275.99</v>
      </c>
    </row>
    <row r="652" spans="1:11" x14ac:dyDescent="0.3">
      <c r="A652" s="36" t="s">
        <v>97</v>
      </c>
      <c r="B652" s="36">
        <v>2020</v>
      </c>
      <c r="C652" s="36" t="s">
        <v>6</v>
      </c>
      <c r="D652" s="36" t="s">
        <v>103</v>
      </c>
      <c r="E652" s="36" t="s">
        <v>105</v>
      </c>
      <c r="F652" s="36" t="s">
        <v>106</v>
      </c>
      <c r="G652" s="36" t="s">
        <v>102</v>
      </c>
      <c r="H652" s="36" t="s">
        <v>95</v>
      </c>
      <c r="I652" s="36" t="s">
        <v>107</v>
      </c>
      <c r="J652" s="36">
        <v>361</v>
      </c>
      <c r="K652" s="36">
        <v>516.23</v>
      </c>
    </row>
    <row r="653" spans="1:11" x14ac:dyDescent="0.3">
      <c r="A653" s="36" t="s">
        <v>90</v>
      </c>
      <c r="B653" s="36">
        <v>2020</v>
      </c>
      <c r="C653" s="36" t="s">
        <v>6</v>
      </c>
      <c r="D653" s="36" t="s">
        <v>103</v>
      </c>
      <c r="E653" s="36" t="s">
        <v>105</v>
      </c>
      <c r="F653" s="36" t="s">
        <v>106</v>
      </c>
      <c r="G653" s="36" t="s">
        <v>102</v>
      </c>
      <c r="H653" s="36" t="s">
        <v>95</v>
      </c>
      <c r="I653" s="36" t="s">
        <v>107</v>
      </c>
      <c r="J653" s="36">
        <v>824</v>
      </c>
      <c r="K653" s="36">
        <v>1178.32</v>
      </c>
    </row>
    <row r="654" spans="1:11" x14ac:dyDescent="0.3">
      <c r="A654" s="36" t="s">
        <v>97</v>
      </c>
      <c r="B654" s="36">
        <v>2020</v>
      </c>
      <c r="C654" s="36" t="s">
        <v>6</v>
      </c>
      <c r="D654" s="36" t="s">
        <v>103</v>
      </c>
      <c r="E654" s="36" t="s">
        <v>105</v>
      </c>
      <c r="F654" s="36" t="s">
        <v>106</v>
      </c>
      <c r="G654" s="36" t="s">
        <v>102</v>
      </c>
      <c r="H654" s="36" t="s">
        <v>95</v>
      </c>
      <c r="I654" s="36" t="s">
        <v>107</v>
      </c>
      <c r="J654" s="36">
        <v>857</v>
      </c>
      <c r="K654" s="36">
        <v>1225.51</v>
      </c>
    </row>
    <row r="655" spans="1:11" x14ac:dyDescent="0.3">
      <c r="A655" s="36" t="s">
        <v>97</v>
      </c>
      <c r="B655" s="36">
        <v>2020</v>
      </c>
      <c r="C655" s="36" t="s">
        <v>6</v>
      </c>
      <c r="D655" s="36" t="s">
        <v>103</v>
      </c>
      <c r="E655" s="36" t="s">
        <v>105</v>
      </c>
      <c r="F655" s="36" t="s">
        <v>106</v>
      </c>
      <c r="G655" s="36" t="s">
        <v>102</v>
      </c>
      <c r="H655" s="36" t="s">
        <v>95</v>
      </c>
      <c r="I655" s="36" t="s">
        <v>107</v>
      </c>
      <c r="J655" s="36">
        <v>365</v>
      </c>
      <c r="K655" s="36">
        <v>521.95000000000005</v>
      </c>
    </row>
    <row r="656" spans="1:11" x14ac:dyDescent="0.3">
      <c r="A656" s="36" t="s">
        <v>97</v>
      </c>
      <c r="B656" s="36">
        <v>2020</v>
      </c>
      <c r="C656" s="36" t="s">
        <v>5</v>
      </c>
      <c r="D656" s="36" t="s">
        <v>103</v>
      </c>
      <c r="E656" s="36" t="s">
        <v>105</v>
      </c>
      <c r="F656" s="36" t="s">
        <v>106</v>
      </c>
      <c r="G656" s="36" t="s">
        <v>102</v>
      </c>
      <c r="H656" s="36" t="s">
        <v>95</v>
      </c>
      <c r="I656" s="36" t="s">
        <v>107</v>
      </c>
      <c r="J656" s="36">
        <v>152</v>
      </c>
      <c r="K656" s="36">
        <v>217.36</v>
      </c>
    </row>
    <row r="657" spans="1:11" x14ac:dyDescent="0.3">
      <c r="A657" s="36" t="s">
        <v>97</v>
      </c>
      <c r="B657" s="36">
        <v>2020</v>
      </c>
      <c r="C657" s="36" t="s">
        <v>5</v>
      </c>
      <c r="D657" s="36" t="s">
        <v>103</v>
      </c>
      <c r="E657" s="36" t="s">
        <v>105</v>
      </c>
      <c r="F657" s="36" t="s">
        <v>106</v>
      </c>
      <c r="G657" s="36" t="s">
        <v>102</v>
      </c>
      <c r="H657" s="36" t="s">
        <v>95</v>
      </c>
      <c r="I657" s="36" t="s">
        <v>107</v>
      </c>
      <c r="J657" s="36">
        <v>194</v>
      </c>
      <c r="K657" s="36">
        <v>277.42</v>
      </c>
    </row>
    <row r="658" spans="1:11" x14ac:dyDescent="0.3">
      <c r="A658" s="36" t="s">
        <v>101</v>
      </c>
      <c r="B658" s="36">
        <v>2020</v>
      </c>
      <c r="C658" s="36" t="s">
        <v>5</v>
      </c>
      <c r="D658" s="36" t="s">
        <v>103</v>
      </c>
      <c r="E658" s="36" t="s">
        <v>105</v>
      </c>
      <c r="F658" s="36" t="s">
        <v>106</v>
      </c>
      <c r="G658" s="36" t="s">
        <v>102</v>
      </c>
      <c r="H658" s="36" t="s">
        <v>95</v>
      </c>
      <c r="I658" s="36" t="s">
        <v>107</v>
      </c>
      <c r="J658" s="36">
        <v>368</v>
      </c>
      <c r="K658" s="36">
        <v>526.24</v>
      </c>
    </row>
    <row r="659" spans="1:11" x14ac:dyDescent="0.3">
      <c r="A659" s="36" t="s">
        <v>99</v>
      </c>
      <c r="B659" s="36">
        <v>2020</v>
      </c>
      <c r="C659" s="36" t="s">
        <v>5</v>
      </c>
      <c r="D659" s="36" t="s">
        <v>103</v>
      </c>
      <c r="E659" s="36" t="s">
        <v>105</v>
      </c>
      <c r="F659" s="36" t="s">
        <v>106</v>
      </c>
      <c r="G659" s="36" t="s">
        <v>102</v>
      </c>
      <c r="H659" s="36" t="s">
        <v>95</v>
      </c>
      <c r="I659" s="36" t="s">
        <v>107</v>
      </c>
      <c r="J659" s="36">
        <v>148</v>
      </c>
      <c r="K659" s="36">
        <v>211.64</v>
      </c>
    </row>
    <row r="660" spans="1:11" x14ac:dyDescent="0.3">
      <c r="A660" s="36" t="s">
        <v>97</v>
      </c>
      <c r="B660" s="36">
        <v>2020</v>
      </c>
      <c r="C660" s="36" t="s">
        <v>5</v>
      </c>
      <c r="D660" s="36" t="s">
        <v>103</v>
      </c>
      <c r="E660" s="36" t="s">
        <v>105</v>
      </c>
      <c r="F660" s="36" t="s">
        <v>106</v>
      </c>
      <c r="G660" s="36" t="s">
        <v>102</v>
      </c>
      <c r="H660" s="36" t="s">
        <v>95</v>
      </c>
      <c r="I660" s="36" t="s">
        <v>107</v>
      </c>
      <c r="J660" s="36">
        <v>196</v>
      </c>
      <c r="K660" s="36">
        <v>280.27999999999997</v>
      </c>
    </row>
    <row r="661" spans="1:11" x14ac:dyDescent="0.3">
      <c r="A661" s="36" t="s">
        <v>101</v>
      </c>
      <c r="B661" s="36">
        <v>2020</v>
      </c>
      <c r="C661" s="36" t="s">
        <v>5</v>
      </c>
      <c r="D661" s="36" t="s">
        <v>103</v>
      </c>
      <c r="E661" s="36" t="s">
        <v>105</v>
      </c>
      <c r="F661" s="36" t="s">
        <v>106</v>
      </c>
      <c r="G661" s="36" t="s">
        <v>102</v>
      </c>
      <c r="H661" s="36" t="s">
        <v>95</v>
      </c>
      <c r="I661" s="36" t="s">
        <v>107</v>
      </c>
      <c r="J661" s="36">
        <v>370</v>
      </c>
      <c r="K661" s="36">
        <v>529.1</v>
      </c>
    </row>
    <row r="662" spans="1:11" x14ac:dyDescent="0.3">
      <c r="A662" s="36" t="s">
        <v>97</v>
      </c>
      <c r="B662" s="36">
        <v>2020</v>
      </c>
      <c r="C662" s="36" t="s">
        <v>5</v>
      </c>
      <c r="D662" s="36" t="s">
        <v>103</v>
      </c>
      <c r="E662" s="36" t="s">
        <v>105</v>
      </c>
      <c r="F662" s="36" t="s">
        <v>106</v>
      </c>
      <c r="G662" s="36" t="s">
        <v>102</v>
      </c>
      <c r="H662" s="36" t="s">
        <v>95</v>
      </c>
      <c r="I662" s="36" t="s">
        <v>107</v>
      </c>
      <c r="J662" s="36">
        <v>814</v>
      </c>
      <c r="K662" s="36">
        <v>1164.02</v>
      </c>
    </row>
    <row r="663" spans="1:11" x14ac:dyDescent="0.3">
      <c r="A663" s="36" t="s">
        <v>90</v>
      </c>
      <c r="B663" s="36">
        <v>2020</v>
      </c>
      <c r="C663" s="36" t="s">
        <v>5</v>
      </c>
      <c r="D663" s="36" t="s">
        <v>103</v>
      </c>
      <c r="E663" s="36" t="s">
        <v>105</v>
      </c>
      <c r="F663" s="36" t="s">
        <v>106</v>
      </c>
      <c r="G663" s="36" t="s">
        <v>102</v>
      </c>
      <c r="H663" s="36" t="s">
        <v>95</v>
      </c>
      <c r="I663" s="36" t="s">
        <v>107</v>
      </c>
      <c r="J663" s="36">
        <v>847</v>
      </c>
      <c r="K663" s="36">
        <v>1211.21</v>
      </c>
    </row>
    <row r="664" spans="1:11" x14ac:dyDescent="0.3">
      <c r="A664" s="36" t="s">
        <v>99</v>
      </c>
      <c r="B664" s="36">
        <v>2020</v>
      </c>
      <c r="C664" s="36" t="s">
        <v>5</v>
      </c>
      <c r="D664" s="36" t="s">
        <v>103</v>
      </c>
      <c r="E664" s="36" t="s">
        <v>105</v>
      </c>
      <c r="F664" s="36" t="s">
        <v>106</v>
      </c>
      <c r="G664" s="36" t="s">
        <v>102</v>
      </c>
      <c r="H664" s="36" t="s">
        <v>95</v>
      </c>
      <c r="I664" s="36" t="s">
        <v>107</v>
      </c>
      <c r="J664" s="36">
        <v>195</v>
      </c>
      <c r="K664" s="36">
        <v>526.24</v>
      </c>
    </row>
    <row r="665" spans="1:11" x14ac:dyDescent="0.3">
      <c r="A665" s="36" t="s">
        <v>97</v>
      </c>
      <c r="B665" s="36">
        <v>2020</v>
      </c>
      <c r="C665" s="36" t="s">
        <v>5</v>
      </c>
      <c r="D665" s="36" t="s">
        <v>103</v>
      </c>
      <c r="E665" s="36" t="s">
        <v>105</v>
      </c>
      <c r="F665" s="36" t="s">
        <v>106</v>
      </c>
      <c r="G665" s="36" t="s">
        <v>102</v>
      </c>
      <c r="H665" s="36" t="s">
        <v>95</v>
      </c>
      <c r="I665" s="36" t="s">
        <v>107</v>
      </c>
      <c r="J665" s="36">
        <v>369</v>
      </c>
      <c r="K665" s="36">
        <v>527.66999999999996</v>
      </c>
    </row>
    <row r="666" spans="1:11" x14ac:dyDescent="0.3">
      <c r="A666" s="36" t="s">
        <v>101</v>
      </c>
      <c r="B666" s="36">
        <v>2020</v>
      </c>
      <c r="C666" s="36" t="s">
        <v>5</v>
      </c>
      <c r="D666" s="36" t="s">
        <v>103</v>
      </c>
      <c r="E666" s="36" t="s">
        <v>105</v>
      </c>
      <c r="F666" s="36" t="s">
        <v>106</v>
      </c>
      <c r="G666" s="36" t="s">
        <v>102</v>
      </c>
      <c r="H666" s="36" t="s">
        <v>95</v>
      </c>
      <c r="I666" s="36" t="s">
        <v>107</v>
      </c>
      <c r="J666" s="36">
        <v>151</v>
      </c>
      <c r="K666" s="36">
        <v>215.93</v>
      </c>
    </row>
    <row r="667" spans="1:11" x14ac:dyDescent="0.3">
      <c r="A667" s="36" t="s">
        <v>97</v>
      </c>
      <c r="B667" s="36">
        <v>2020</v>
      </c>
      <c r="C667" s="36" t="s">
        <v>5</v>
      </c>
      <c r="D667" s="36" t="s">
        <v>103</v>
      </c>
      <c r="E667" s="36" t="s">
        <v>105</v>
      </c>
      <c r="F667" s="36" t="s">
        <v>106</v>
      </c>
      <c r="G667" s="36" t="s">
        <v>102</v>
      </c>
      <c r="H667" s="36" t="s">
        <v>95</v>
      </c>
      <c r="I667" s="36" t="s">
        <v>107</v>
      </c>
      <c r="J667" s="36">
        <v>199</v>
      </c>
      <c r="K667" s="36">
        <v>284.57</v>
      </c>
    </row>
    <row r="668" spans="1:11" x14ac:dyDescent="0.3">
      <c r="A668" s="36" t="s">
        <v>99</v>
      </c>
      <c r="B668" s="36">
        <v>2020</v>
      </c>
      <c r="C668" s="36" t="s">
        <v>5</v>
      </c>
      <c r="D668" s="36" t="s">
        <v>103</v>
      </c>
      <c r="E668" s="36" t="s">
        <v>105</v>
      </c>
      <c r="F668" s="36" t="s">
        <v>106</v>
      </c>
      <c r="G668" s="36" t="s">
        <v>102</v>
      </c>
      <c r="H668" s="36" t="s">
        <v>95</v>
      </c>
      <c r="I668" s="36" t="s">
        <v>107</v>
      </c>
      <c r="J668" s="36">
        <v>367</v>
      </c>
      <c r="K668" s="36">
        <v>524.80999999999995</v>
      </c>
    </row>
    <row r="669" spans="1:11" x14ac:dyDescent="0.3">
      <c r="A669" s="36" t="s">
        <v>101</v>
      </c>
      <c r="B669" s="36">
        <v>2020</v>
      </c>
      <c r="C669" s="36" t="s">
        <v>5</v>
      </c>
      <c r="D669" s="36" t="s">
        <v>103</v>
      </c>
      <c r="E669" s="36" t="s">
        <v>105</v>
      </c>
      <c r="F669" s="36" t="s">
        <v>106</v>
      </c>
      <c r="G669" s="36" t="s">
        <v>102</v>
      </c>
      <c r="H669" s="36" t="s">
        <v>95</v>
      </c>
      <c r="I669" s="36" t="s">
        <v>107</v>
      </c>
      <c r="J669" s="36">
        <v>823</v>
      </c>
      <c r="K669" s="36">
        <v>1176.8899999999999</v>
      </c>
    </row>
    <row r="670" spans="1:11" x14ac:dyDescent="0.3">
      <c r="A670" s="36" t="s">
        <v>90</v>
      </c>
      <c r="B670" s="36">
        <v>2020</v>
      </c>
      <c r="C670" s="36" t="s">
        <v>5</v>
      </c>
      <c r="D670" s="36" t="s">
        <v>103</v>
      </c>
      <c r="E670" s="36" t="s">
        <v>105</v>
      </c>
      <c r="F670" s="36" t="s">
        <v>106</v>
      </c>
      <c r="G670" s="36" t="s">
        <v>102</v>
      </c>
      <c r="H670" s="36" t="s">
        <v>95</v>
      </c>
      <c r="I670" s="36" t="s">
        <v>107</v>
      </c>
      <c r="J670" s="36">
        <v>856</v>
      </c>
      <c r="K670" s="36">
        <v>1224.08</v>
      </c>
    </row>
    <row r="671" spans="1:11" x14ac:dyDescent="0.3">
      <c r="A671" s="36" t="s">
        <v>97</v>
      </c>
      <c r="B671" s="36">
        <v>2020</v>
      </c>
      <c r="C671" s="36" t="s">
        <v>5</v>
      </c>
      <c r="D671" s="36" t="s">
        <v>103</v>
      </c>
      <c r="E671" s="36" t="s">
        <v>105</v>
      </c>
      <c r="F671" s="36" t="s">
        <v>106</v>
      </c>
      <c r="G671" s="36" t="s">
        <v>102</v>
      </c>
      <c r="H671" s="36" t="s">
        <v>95</v>
      </c>
      <c r="I671" s="36" t="s">
        <v>107</v>
      </c>
      <c r="J671" s="36">
        <v>371</v>
      </c>
      <c r="K671" s="36">
        <v>530.53</v>
      </c>
    </row>
    <row r="672" spans="1:11" x14ac:dyDescent="0.3">
      <c r="A672" s="36" t="s">
        <v>97</v>
      </c>
      <c r="B672" s="36">
        <v>2020</v>
      </c>
      <c r="C672" s="36" t="s">
        <v>2</v>
      </c>
      <c r="D672" s="36" t="s">
        <v>103</v>
      </c>
      <c r="E672" s="36" t="s">
        <v>105</v>
      </c>
      <c r="F672" s="36" t="s">
        <v>106</v>
      </c>
      <c r="G672" s="36" t="s">
        <v>102</v>
      </c>
      <c r="H672" s="36" t="s">
        <v>95</v>
      </c>
      <c r="I672" s="36" t="s">
        <v>107</v>
      </c>
      <c r="J672" s="36">
        <v>164</v>
      </c>
      <c r="K672" s="36">
        <v>234.51999999999998</v>
      </c>
    </row>
    <row r="673" spans="1:11" x14ac:dyDescent="0.3">
      <c r="A673" s="36" t="s">
        <v>101</v>
      </c>
      <c r="B673" s="36">
        <v>2020</v>
      </c>
      <c r="C673" s="36" t="s">
        <v>2</v>
      </c>
      <c r="D673" s="36" t="s">
        <v>103</v>
      </c>
      <c r="E673" s="36" t="s">
        <v>105</v>
      </c>
      <c r="F673" s="36" t="s">
        <v>106</v>
      </c>
      <c r="G673" s="36" t="s">
        <v>102</v>
      </c>
      <c r="H673" s="36" t="s">
        <v>95</v>
      </c>
      <c r="I673" s="36" t="s">
        <v>107</v>
      </c>
      <c r="J673" s="36">
        <v>212</v>
      </c>
      <c r="K673" s="36">
        <v>303.15999999999997</v>
      </c>
    </row>
    <row r="674" spans="1:11" x14ac:dyDescent="0.3">
      <c r="A674" s="36" t="s">
        <v>97</v>
      </c>
      <c r="B674" s="36">
        <v>2020</v>
      </c>
      <c r="C674" s="36" t="s">
        <v>2</v>
      </c>
      <c r="D674" s="36" t="s">
        <v>103</v>
      </c>
      <c r="E674" s="36" t="s">
        <v>105</v>
      </c>
      <c r="F674" s="36" t="s">
        <v>106</v>
      </c>
      <c r="G674" s="36" t="s">
        <v>102</v>
      </c>
      <c r="H674" s="36" t="s">
        <v>95</v>
      </c>
      <c r="I674" s="36" t="s">
        <v>107</v>
      </c>
      <c r="J674" s="36">
        <v>140</v>
      </c>
      <c r="K674" s="36">
        <v>200.2</v>
      </c>
    </row>
    <row r="675" spans="1:11" x14ac:dyDescent="0.3">
      <c r="A675" s="36" t="s">
        <v>97</v>
      </c>
      <c r="B675" s="36">
        <v>2020</v>
      </c>
      <c r="C675" s="36" t="s">
        <v>2</v>
      </c>
      <c r="D675" s="36" t="s">
        <v>103</v>
      </c>
      <c r="E675" s="36" t="s">
        <v>105</v>
      </c>
      <c r="F675" s="36" t="s">
        <v>106</v>
      </c>
      <c r="G675" s="36" t="s">
        <v>102</v>
      </c>
      <c r="H675" s="36" t="s">
        <v>95</v>
      </c>
      <c r="I675" s="36" t="s">
        <v>107</v>
      </c>
      <c r="J675" s="36">
        <v>166</v>
      </c>
      <c r="K675" s="36">
        <v>237.38</v>
      </c>
    </row>
    <row r="676" spans="1:11" x14ac:dyDescent="0.3">
      <c r="A676" s="36" t="s">
        <v>90</v>
      </c>
      <c r="B676" s="36">
        <v>2020</v>
      </c>
      <c r="C676" s="36" t="s">
        <v>2</v>
      </c>
      <c r="D676" s="36" t="s">
        <v>103</v>
      </c>
      <c r="E676" s="36" t="s">
        <v>105</v>
      </c>
      <c r="F676" s="36" t="s">
        <v>106</v>
      </c>
      <c r="G676" s="36" t="s">
        <v>102</v>
      </c>
      <c r="H676" s="36" t="s">
        <v>95</v>
      </c>
      <c r="I676" s="36" t="s">
        <v>107</v>
      </c>
      <c r="J676" s="36">
        <v>214</v>
      </c>
      <c r="K676" s="36">
        <v>306.02</v>
      </c>
    </row>
    <row r="677" spans="1:11" x14ac:dyDescent="0.3">
      <c r="A677" s="36" t="s">
        <v>90</v>
      </c>
      <c r="B677" s="36">
        <v>2020</v>
      </c>
      <c r="C677" s="36" t="s">
        <v>2</v>
      </c>
      <c r="D677" s="36" t="s">
        <v>103</v>
      </c>
      <c r="E677" s="36" t="s">
        <v>105</v>
      </c>
      <c r="F677" s="36" t="s">
        <v>106</v>
      </c>
      <c r="G677" s="36" t="s">
        <v>102</v>
      </c>
      <c r="H677" s="36" t="s">
        <v>95</v>
      </c>
      <c r="I677" s="36" t="s">
        <v>107</v>
      </c>
      <c r="J677" s="36">
        <v>811</v>
      </c>
      <c r="K677" s="36">
        <v>1159.73</v>
      </c>
    </row>
    <row r="678" spans="1:11" x14ac:dyDescent="0.3">
      <c r="A678" s="36" t="s">
        <v>90</v>
      </c>
      <c r="B678" s="36">
        <v>2020</v>
      </c>
      <c r="C678" s="36" t="s">
        <v>2</v>
      </c>
      <c r="D678" s="36" t="s">
        <v>103</v>
      </c>
      <c r="E678" s="36" t="s">
        <v>105</v>
      </c>
      <c r="F678" s="36" t="s">
        <v>106</v>
      </c>
      <c r="G678" s="36" t="s">
        <v>102</v>
      </c>
      <c r="H678" s="36" t="s">
        <v>95</v>
      </c>
      <c r="I678" s="36" t="s">
        <v>107</v>
      </c>
      <c r="J678" s="36">
        <v>845</v>
      </c>
      <c r="K678" s="36">
        <v>1208.3499999999999</v>
      </c>
    </row>
    <row r="679" spans="1:11" x14ac:dyDescent="0.3">
      <c r="A679" s="36" t="s">
        <v>97</v>
      </c>
      <c r="B679" s="36">
        <v>2020</v>
      </c>
      <c r="C679" s="36" t="s">
        <v>2</v>
      </c>
      <c r="D679" s="36" t="s">
        <v>103</v>
      </c>
      <c r="E679" s="36" t="s">
        <v>105</v>
      </c>
      <c r="F679" s="36" t="s">
        <v>106</v>
      </c>
      <c r="G679" s="36" t="s">
        <v>102</v>
      </c>
      <c r="H679" s="36" t="s">
        <v>95</v>
      </c>
      <c r="I679" s="36" t="s">
        <v>107</v>
      </c>
      <c r="J679" s="36">
        <v>898</v>
      </c>
      <c r="K679" s="36">
        <v>1284.1399999999999</v>
      </c>
    </row>
    <row r="680" spans="1:11" x14ac:dyDescent="0.3">
      <c r="A680" s="36" t="s">
        <v>97</v>
      </c>
      <c r="B680" s="36">
        <v>2020</v>
      </c>
      <c r="C680" s="36" t="s">
        <v>2</v>
      </c>
      <c r="D680" s="36" t="s">
        <v>103</v>
      </c>
      <c r="E680" s="36" t="s">
        <v>105</v>
      </c>
      <c r="F680" s="36" t="s">
        <v>106</v>
      </c>
      <c r="G680" s="36" t="s">
        <v>102</v>
      </c>
      <c r="H680" s="36" t="s">
        <v>95</v>
      </c>
      <c r="I680" s="36" t="s">
        <v>107</v>
      </c>
      <c r="J680" s="36">
        <v>851</v>
      </c>
      <c r="K680" s="36">
        <v>526.24</v>
      </c>
    </row>
    <row r="681" spans="1:11" x14ac:dyDescent="0.3">
      <c r="A681" s="36" t="s">
        <v>90</v>
      </c>
      <c r="B681" s="36">
        <v>2020</v>
      </c>
      <c r="C681" s="36" t="s">
        <v>2</v>
      </c>
      <c r="D681" s="36" t="s">
        <v>103</v>
      </c>
      <c r="E681" s="36" t="s">
        <v>105</v>
      </c>
      <c r="F681" s="36" t="s">
        <v>106</v>
      </c>
      <c r="G681" s="36" t="s">
        <v>102</v>
      </c>
      <c r="H681" s="36" t="s">
        <v>95</v>
      </c>
      <c r="I681" s="36" t="s">
        <v>107</v>
      </c>
      <c r="J681" s="36">
        <v>884</v>
      </c>
      <c r="K681" s="36">
        <v>526.24</v>
      </c>
    </row>
    <row r="682" spans="1:11" x14ac:dyDescent="0.3">
      <c r="A682" s="36" t="s">
        <v>90</v>
      </c>
      <c r="B682" s="36">
        <v>2020</v>
      </c>
      <c r="C682" s="36" t="s">
        <v>2</v>
      </c>
      <c r="D682" s="36" t="s">
        <v>103</v>
      </c>
      <c r="E682" s="36" t="s">
        <v>105</v>
      </c>
      <c r="F682" s="36" t="s">
        <v>106</v>
      </c>
      <c r="G682" s="36" t="s">
        <v>102</v>
      </c>
      <c r="H682" s="36" t="s">
        <v>95</v>
      </c>
      <c r="I682" s="36" t="s">
        <v>107</v>
      </c>
      <c r="J682" s="36">
        <v>141</v>
      </c>
      <c r="K682" s="36">
        <v>201.63</v>
      </c>
    </row>
    <row r="683" spans="1:11" x14ac:dyDescent="0.3">
      <c r="A683" s="36" t="s">
        <v>97</v>
      </c>
      <c r="B683" s="36">
        <v>2020</v>
      </c>
      <c r="C683" s="36" t="s">
        <v>2</v>
      </c>
      <c r="D683" s="36" t="s">
        <v>103</v>
      </c>
      <c r="E683" s="36" t="s">
        <v>105</v>
      </c>
      <c r="F683" s="36" t="s">
        <v>106</v>
      </c>
      <c r="G683" s="36" t="s">
        <v>102</v>
      </c>
      <c r="H683" s="36" t="s">
        <v>95</v>
      </c>
      <c r="I683" s="36" t="s">
        <v>107</v>
      </c>
      <c r="J683" s="36">
        <v>211</v>
      </c>
      <c r="K683" s="36">
        <v>301.73</v>
      </c>
    </row>
    <row r="684" spans="1:11" x14ac:dyDescent="0.3">
      <c r="A684" s="36" t="s">
        <v>97</v>
      </c>
      <c r="B684" s="36">
        <v>2020</v>
      </c>
      <c r="C684" s="36" t="s">
        <v>2</v>
      </c>
      <c r="D684" s="36" t="s">
        <v>103</v>
      </c>
      <c r="E684" s="36" t="s">
        <v>105</v>
      </c>
      <c r="F684" s="36" t="s">
        <v>106</v>
      </c>
      <c r="G684" s="36" t="s">
        <v>102</v>
      </c>
      <c r="H684" s="36" t="s">
        <v>95</v>
      </c>
      <c r="I684" s="36" t="s">
        <v>107</v>
      </c>
      <c r="J684" s="36">
        <v>139</v>
      </c>
      <c r="K684" s="36">
        <v>198.76999999999998</v>
      </c>
    </row>
    <row r="685" spans="1:11" x14ac:dyDescent="0.3">
      <c r="A685" s="36" t="s">
        <v>97</v>
      </c>
      <c r="B685" s="36">
        <v>2020</v>
      </c>
      <c r="C685" s="36" t="s">
        <v>2</v>
      </c>
      <c r="D685" s="36" t="s">
        <v>103</v>
      </c>
      <c r="E685" s="36" t="s">
        <v>105</v>
      </c>
      <c r="F685" s="36" t="s">
        <v>106</v>
      </c>
      <c r="G685" s="36" t="s">
        <v>102</v>
      </c>
      <c r="H685" s="36" t="s">
        <v>95</v>
      </c>
      <c r="I685" s="36" t="s">
        <v>107</v>
      </c>
      <c r="J685" s="36">
        <v>820</v>
      </c>
      <c r="K685" s="36">
        <v>1172.5999999999999</v>
      </c>
    </row>
    <row r="686" spans="1:11" x14ac:dyDescent="0.3">
      <c r="A686" s="36" t="s">
        <v>97</v>
      </c>
      <c r="B686" s="36">
        <v>2020</v>
      </c>
      <c r="C686" s="36" t="s">
        <v>2</v>
      </c>
      <c r="D686" s="36" t="s">
        <v>103</v>
      </c>
      <c r="E686" s="36" t="s">
        <v>105</v>
      </c>
      <c r="F686" s="36" t="s">
        <v>106</v>
      </c>
      <c r="G686" s="36" t="s">
        <v>102</v>
      </c>
      <c r="H686" s="36" t="s">
        <v>95</v>
      </c>
      <c r="I686" s="36" t="s">
        <v>107</v>
      </c>
      <c r="J686" s="36">
        <v>853</v>
      </c>
      <c r="K686" s="36">
        <v>1219.79</v>
      </c>
    </row>
    <row r="687" spans="1:11" x14ac:dyDescent="0.3">
      <c r="A687" s="36" t="s">
        <v>97</v>
      </c>
      <c r="B687" s="36">
        <v>2020</v>
      </c>
      <c r="C687" s="36" t="s">
        <v>2</v>
      </c>
      <c r="D687" s="36" t="s">
        <v>103</v>
      </c>
      <c r="E687" s="36" t="s">
        <v>105</v>
      </c>
      <c r="F687" s="36" t="s">
        <v>106</v>
      </c>
      <c r="G687" s="36" t="s">
        <v>102</v>
      </c>
      <c r="H687" s="36" t="s">
        <v>95</v>
      </c>
      <c r="I687" s="36" t="s">
        <v>107</v>
      </c>
      <c r="J687" s="36">
        <v>137</v>
      </c>
      <c r="K687" s="36">
        <v>195.91</v>
      </c>
    </row>
    <row r="688" spans="1:11" x14ac:dyDescent="0.3">
      <c r="A688" s="36" t="s">
        <v>100</v>
      </c>
      <c r="B688" s="36">
        <v>2020</v>
      </c>
      <c r="C688" s="36" t="s">
        <v>4</v>
      </c>
      <c r="D688" s="36" t="s">
        <v>103</v>
      </c>
      <c r="E688" s="36" t="s">
        <v>105</v>
      </c>
      <c r="F688" s="36" t="s">
        <v>106</v>
      </c>
      <c r="G688" s="36" t="s">
        <v>102</v>
      </c>
      <c r="H688" s="36" t="s">
        <v>95</v>
      </c>
      <c r="I688" s="36" t="s">
        <v>107</v>
      </c>
      <c r="J688" s="36">
        <v>200</v>
      </c>
      <c r="K688" s="36">
        <v>286</v>
      </c>
    </row>
    <row r="689" spans="1:11" x14ac:dyDescent="0.3">
      <c r="A689" s="36" t="s">
        <v>97</v>
      </c>
      <c r="B689" s="36">
        <v>2020</v>
      </c>
      <c r="C689" s="36" t="s">
        <v>4</v>
      </c>
      <c r="D689" s="36" t="s">
        <v>103</v>
      </c>
      <c r="E689" s="36" t="s">
        <v>105</v>
      </c>
      <c r="F689" s="36" t="s">
        <v>106</v>
      </c>
      <c r="G689" s="36" t="s">
        <v>102</v>
      </c>
      <c r="H689" s="36" t="s">
        <v>95</v>
      </c>
      <c r="I689" s="36" t="s">
        <v>107</v>
      </c>
      <c r="J689" s="36">
        <v>128</v>
      </c>
      <c r="K689" s="36">
        <v>183.04</v>
      </c>
    </row>
    <row r="690" spans="1:11" x14ac:dyDescent="0.3">
      <c r="A690" s="36" t="s">
        <v>97</v>
      </c>
      <c r="B690" s="36">
        <v>2020</v>
      </c>
      <c r="C690" s="36" t="s">
        <v>4</v>
      </c>
      <c r="D690" s="36" t="s">
        <v>103</v>
      </c>
      <c r="E690" s="36" t="s">
        <v>105</v>
      </c>
      <c r="F690" s="36" t="s">
        <v>106</v>
      </c>
      <c r="G690" s="36" t="s">
        <v>102</v>
      </c>
      <c r="H690" s="36" t="s">
        <v>95</v>
      </c>
      <c r="I690" s="36" t="s">
        <v>107</v>
      </c>
      <c r="J690" s="36">
        <v>154</v>
      </c>
      <c r="K690" s="36">
        <v>220.22</v>
      </c>
    </row>
    <row r="691" spans="1:11" x14ac:dyDescent="0.3">
      <c r="A691" s="36" t="s">
        <v>97</v>
      </c>
      <c r="B691" s="36">
        <v>2020</v>
      </c>
      <c r="C691" s="36" t="s">
        <v>4</v>
      </c>
      <c r="D691" s="36" t="s">
        <v>103</v>
      </c>
      <c r="E691" s="36" t="s">
        <v>105</v>
      </c>
      <c r="F691" s="36" t="s">
        <v>106</v>
      </c>
      <c r="G691" s="36" t="s">
        <v>102</v>
      </c>
      <c r="H691" s="36" t="s">
        <v>95</v>
      </c>
      <c r="I691" s="36" t="s">
        <v>107</v>
      </c>
      <c r="J691" s="36">
        <v>202</v>
      </c>
      <c r="K691" s="36">
        <v>288.86</v>
      </c>
    </row>
    <row r="692" spans="1:11" x14ac:dyDescent="0.3">
      <c r="A692" s="36" t="s">
        <v>97</v>
      </c>
      <c r="B692" s="36">
        <v>2020</v>
      </c>
      <c r="C692" s="36" t="s">
        <v>4</v>
      </c>
      <c r="D692" s="36" t="s">
        <v>103</v>
      </c>
      <c r="E692" s="36" t="s">
        <v>105</v>
      </c>
      <c r="F692" s="36" t="s">
        <v>106</v>
      </c>
      <c r="G692" s="36" t="s">
        <v>102</v>
      </c>
      <c r="H692" s="36" t="s">
        <v>95</v>
      </c>
      <c r="I692" s="36" t="s">
        <v>107</v>
      </c>
      <c r="J692" s="36">
        <v>130</v>
      </c>
      <c r="K692" s="36">
        <v>185.9</v>
      </c>
    </row>
    <row r="693" spans="1:11" x14ac:dyDescent="0.3">
      <c r="A693" s="36" t="s">
        <v>100</v>
      </c>
      <c r="B693" s="36">
        <v>2020</v>
      </c>
      <c r="C693" s="36" t="s">
        <v>4</v>
      </c>
      <c r="D693" s="36" t="s">
        <v>103</v>
      </c>
      <c r="E693" s="36" t="s">
        <v>105</v>
      </c>
      <c r="F693" s="36" t="s">
        <v>106</v>
      </c>
      <c r="G693" s="36" t="s">
        <v>102</v>
      </c>
      <c r="H693" s="36" t="s">
        <v>95</v>
      </c>
      <c r="I693" s="36" t="s">
        <v>107</v>
      </c>
      <c r="J693" s="36">
        <v>813</v>
      </c>
      <c r="K693" s="36">
        <v>1162.5899999999999</v>
      </c>
    </row>
    <row r="694" spans="1:11" x14ac:dyDescent="0.3">
      <c r="A694" s="36" t="s">
        <v>99</v>
      </c>
      <c r="B694" s="36">
        <v>2020</v>
      </c>
      <c r="C694" s="36" t="s">
        <v>4</v>
      </c>
      <c r="D694" s="36" t="s">
        <v>103</v>
      </c>
      <c r="E694" s="36" t="s">
        <v>105</v>
      </c>
      <c r="F694" s="36" t="s">
        <v>106</v>
      </c>
      <c r="G694" s="36" t="s">
        <v>102</v>
      </c>
      <c r="H694" s="36" t="s">
        <v>95</v>
      </c>
      <c r="I694" s="36" t="s">
        <v>107</v>
      </c>
      <c r="J694" s="36">
        <v>846</v>
      </c>
      <c r="K694" s="36">
        <v>1209.78</v>
      </c>
    </row>
    <row r="695" spans="1:11" x14ac:dyDescent="0.3">
      <c r="A695" s="36" t="s">
        <v>90</v>
      </c>
      <c r="B695" s="36">
        <v>2020</v>
      </c>
      <c r="C695" s="36" t="s">
        <v>4</v>
      </c>
      <c r="D695" s="36" t="s">
        <v>103</v>
      </c>
      <c r="E695" s="36" t="s">
        <v>105</v>
      </c>
      <c r="F695" s="36" t="s">
        <v>106</v>
      </c>
      <c r="G695" s="36" t="s">
        <v>102</v>
      </c>
      <c r="H695" s="36" t="s">
        <v>95</v>
      </c>
      <c r="I695" s="36" t="s">
        <v>107</v>
      </c>
      <c r="J695" s="36">
        <v>900</v>
      </c>
      <c r="K695" s="36">
        <v>1287</v>
      </c>
    </row>
    <row r="696" spans="1:11" x14ac:dyDescent="0.3">
      <c r="A696" s="36" t="s">
        <v>90</v>
      </c>
      <c r="B696" s="36">
        <v>2020</v>
      </c>
      <c r="C696" s="36" t="s">
        <v>4</v>
      </c>
      <c r="D696" s="36" t="s">
        <v>103</v>
      </c>
      <c r="E696" s="36" t="s">
        <v>105</v>
      </c>
      <c r="F696" s="36" t="s">
        <v>106</v>
      </c>
      <c r="G696" s="36" t="s">
        <v>102</v>
      </c>
      <c r="H696" s="36" t="s">
        <v>104</v>
      </c>
      <c r="I696" s="36" t="s">
        <v>107</v>
      </c>
      <c r="J696" s="36">
        <v>853</v>
      </c>
      <c r="K696" s="36">
        <v>526.24</v>
      </c>
    </row>
    <row r="697" spans="1:11" x14ac:dyDescent="0.3">
      <c r="A697" s="36" t="s">
        <v>97</v>
      </c>
      <c r="B697" s="36">
        <v>2020</v>
      </c>
      <c r="C697" s="36" t="s">
        <v>4</v>
      </c>
      <c r="D697" s="36" t="s">
        <v>103</v>
      </c>
      <c r="E697" s="36" t="s">
        <v>105</v>
      </c>
      <c r="F697" s="36" t="s">
        <v>106</v>
      </c>
      <c r="G697" s="36" t="s">
        <v>102</v>
      </c>
      <c r="H697" s="36" t="s">
        <v>104</v>
      </c>
      <c r="I697" s="36" t="s">
        <v>107</v>
      </c>
      <c r="J697" s="36">
        <v>886</v>
      </c>
      <c r="K697" s="36">
        <v>526.24</v>
      </c>
    </row>
    <row r="698" spans="1:11" x14ac:dyDescent="0.3">
      <c r="A698" s="36" t="s">
        <v>100</v>
      </c>
      <c r="B698" s="36">
        <v>2020</v>
      </c>
      <c r="C698" s="36" t="s">
        <v>4</v>
      </c>
      <c r="D698" s="36" t="s">
        <v>103</v>
      </c>
      <c r="E698" s="36" t="s">
        <v>105</v>
      </c>
      <c r="F698" s="36" t="s">
        <v>106</v>
      </c>
      <c r="G698" s="36" t="s">
        <v>102</v>
      </c>
      <c r="H698" s="36" t="s">
        <v>104</v>
      </c>
      <c r="I698" s="36" t="s">
        <v>107</v>
      </c>
      <c r="J698" s="36">
        <v>129</v>
      </c>
      <c r="K698" s="36">
        <v>184.47</v>
      </c>
    </row>
    <row r="699" spans="1:11" x14ac:dyDescent="0.3">
      <c r="A699" s="36" t="s">
        <v>97</v>
      </c>
      <c r="B699" s="36">
        <v>2020</v>
      </c>
      <c r="C699" s="36" t="s">
        <v>4</v>
      </c>
      <c r="D699" s="36" t="s">
        <v>103</v>
      </c>
      <c r="E699" s="36" t="s">
        <v>105</v>
      </c>
      <c r="F699" s="36" t="s">
        <v>106</v>
      </c>
      <c r="G699" s="36" t="s">
        <v>102</v>
      </c>
      <c r="H699" s="36" t="s">
        <v>104</v>
      </c>
      <c r="I699" s="36" t="s">
        <v>107</v>
      </c>
      <c r="J699" s="36">
        <v>157</v>
      </c>
      <c r="K699" s="36">
        <v>224.51</v>
      </c>
    </row>
    <row r="700" spans="1:11" x14ac:dyDescent="0.3">
      <c r="A700" s="36" t="s">
        <v>97</v>
      </c>
      <c r="B700" s="36">
        <v>2020</v>
      </c>
      <c r="C700" s="36" t="s">
        <v>4</v>
      </c>
      <c r="D700" s="36" t="s">
        <v>103</v>
      </c>
      <c r="E700" s="36" t="s">
        <v>105</v>
      </c>
      <c r="F700" s="36" t="s">
        <v>106</v>
      </c>
      <c r="G700" s="36" t="s">
        <v>102</v>
      </c>
      <c r="H700" s="36" t="s">
        <v>104</v>
      </c>
      <c r="I700" s="36" t="s">
        <v>107</v>
      </c>
      <c r="J700" s="36">
        <v>127</v>
      </c>
      <c r="K700" s="36">
        <v>181.61</v>
      </c>
    </row>
    <row r="701" spans="1:11" x14ac:dyDescent="0.3">
      <c r="A701" s="36" t="s">
        <v>97</v>
      </c>
      <c r="B701" s="36">
        <v>2020</v>
      </c>
      <c r="C701" s="36" t="s">
        <v>4</v>
      </c>
      <c r="D701" s="36" t="s">
        <v>103</v>
      </c>
      <c r="E701" s="36" t="s">
        <v>105</v>
      </c>
      <c r="F701" s="36" t="s">
        <v>106</v>
      </c>
      <c r="G701" s="36" t="s">
        <v>102</v>
      </c>
      <c r="H701" s="36" t="s">
        <v>104</v>
      </c>
      <c r="I701" s="36" t="s">
        <v>107</v>
      </c>
      <c r="J701" s="36">
        <v>822</v>
      </c>
      <c r="K701" s="36">
        <v>1175.46</v>
      </c>
    </row>
    <row r="702" spans="1:11" x14ac:dyDescent="0.3">
      <c r="A702" s="36" t="s">
        <v>90</v>
      </c>
      <c r="B702" s="36">
        <v>2020</v>
      </c>
      <c r="C702" s="36" t="s">
        <v>4</v>
      </c>
      <c r="D702" s="36" t="s">
        <v>103</v>
      </c>
      <c r="E702" s="36" t="s">
        <v>105</v>
      </c>
      <c r="F702" s="36" t="s">
        <v>106</v>
      </c>
      <c r="G702" s="36" t="s">
        <v>102</v>
      </c>
      <c r="H702" s="36" t="s">
        <v>104</v>
      </c>
      <c r="I702" s="36" t="s">
        <v>107</v>
      </c>
      <c r="J702" s="36">
        <v>855</v>
      </c>
      <c r="K702" s="36">
        <v>1222.6500000000001</v>
      </c>
    </row>
    <row r="703" spans="1:11" x14ac:dyDescent="0.3">
      <c r="A703" s="36" t="s">
        <v>90</v>
      </c>
      <c r="B703" s="36">
        <v>2020</v>
      </c>
      <c r="C703" s="36" t="s">
        <v>10</v>
      </c>
      <c r="D703" s="36" t="s">
        <v>103</v>
      </c>
      <c r="E703" s="36" t="s">
        <v>105</v>
      </c>
      <c r="F703" s="36" t="s">
        <v>106</v>
      </c>
      <c r="G703" s="36" t="s">
        <v>102</v>
      </c>
      <c r="H703" s="36" t="s">
        <v>104</v>
      </c>
      <c r="I703" s="36" t="s">
        <v>107</v>
      </c>
      <c r="J703" s="36">
        <v>368</v>
      </c>
      <c r="K703" s="36">
        <v>526.24</v>
      </c>
    </row>
    <row r="704" spans="1:11" x14ac:dyDescent="0.3">
      <c r="A704" s="36" t="s">
        <v>90</v>
      </c>
      <c r="B704" s="36">
        <v>2020</v>
      </c>
      <c r="C704" s="36" t="s">
        <v>10</v>
      </c>
      <c r="D704" s="36" t="s">
        <v>103</v>
      </c>
      <c r="E704" s="36" t="s">
        <v>105</v>
      </c>
      <c r="F704" s="36" t="s">
        <v>106</v>
      </c>
      <c r="G704" s="36" t="s">
        <v>102</v>
      </c>
      <c r="H704" s="36" t="s">
        <v>104</v>
      </c>
      <c r="I704" s="36" t="s">
        <v>107</v>
      </c>
      <c r="J704" s="36">
        <v>170</v>
      </c>
      <c r="K704" s="36">
        <v>243.1</v>
      </c>
    </row>
    <row r="705" spans="1:11" x14ac:dyDescent="0.3">
      <c r="A705" s="36" t="s">
        <v>97</v>
      </c>
      <c r="B705" s="36">
        <v>2020</v>
      </c>
      <c r="C705" s="36" t="s">
        <v>10</v>
      </c>
      <c r="D705" s="36" t="s">
        <v>103</v>
      </c>
      <c r="E705" s="36" t="s">
        <v>105</v>
      </c>
      <c r="F705" s="36" t="s">
        <v>106</v>
      </c>
      <c r="G705" s="36" t="s">
        <v>102</v>
      </c>
      <c r="H705" s="36" t="s">
        <v>104</v>
      </c>
      <c r="I705" s="36" t="s">
        <v>107</v>
      </c>
      <c r="J705" s="36">
        <v>344</v>
      </c>
      <c r="K705" s="36">
        <v>491.91999999999996</v>
      </c>
    </row>
    <row r="706" spans="1:11" x14ac:dyDescent="0.3">
      <c r="A706" s="36" t="s">
        <v>97</v>
      </c>
      <c r="B706" s="36">
        <v>2020</v>
      </c>
      <c r="C706" s="36" t="s">
        <v>10</v>
      </c>
      <c r="D706" s="36" t="s">
        <v>103</v>
      </c>
      <c r="E706" s="36" t="s">
        <v>105</v>
      </c>
      <c r="F706" s="36" t="s">
        <v>106</v>
      </c>
      <c r="G706" s="36" t="s">
        <v>102</v>
      </c>
      <c r="H706" s="36" t="s">
        <v>104</v>
      </c>
      <c r="I706" s="36" t="s">
        <v>107</v>
      </c>
      <c r="J706" s="36">
        <v>370</v>
      </c>
      <c r="K706" s="36">
        <v>529.1</v>
      </c>
    </row>
    <row r="707" spans="1:11" x14ac:dyDescent="0.3">
      <c r="A707" s="36" t="s">
        <v>101</v>
      </c>
      <c r="B707" s="36">
        <v>2020</v>
      </c>
      <c r="C707" s="36" t="s">
        <v>10</v>
      </c>
      <c r="D707" s="36" t="s">
        <v>103</v>
      </c>
      <c r="E707" s="36" t="s">
        <v>105</v>
      </c>
      <c r="F707" s="36" t="s">
        <v>106</v>
      </c>
      <c r="G707" s="36" t="s">
        <v>102</v>
      </c>
      <c r="H707" s="36" t="s">
        <v>104</v>
      </c>
      <c r="I707" s="36" t="s">
        <v>107</v>
      </c>
      <c r="J707" s="36">
        <v>172</v>
      </c>
      <c r="K707" s="36">
        <v>245.95999999999998</v>
      </c>
    </row>
    <row r="708" spans="1:11" x14ac:dyDescent="0.3">
      <c r="A708" s="36" t="s">
        <v>99</v>
      </c>
      <c r="B708" s="36">
        <v>2020</v>
      </c>
      <c r="C708" s="36" t="s">
        <v>10</v>
      </c>
      <c r="D708" s="36" t="s">
        <v>103</v>
      </c>
      <c r="E708" s="36" t="s">
        <v>105</v>
      </c>
      <c r="F708" s="36" t="s">
        <v>106</v>
      </c>
      <c r="G708" s="36" t="s">
        <v>102</v>
      </c>
      <c r="H708" s="36" t="s">
        <v>104</v>
      </c>
      <c r="I708" s="36" t="s">
        <v>107</v>
      </c>
      <c r="J708" s="36">
        <v>340</v>
      </c>
      <c r="K708" s="36">
        <v>486.2</v>
      </c>
    </row>
    <row r="709" spans="1:11" x14ac:dyDescent="0.3">
      <c r="A709" s="36" t="s">
        <v>97</v>
      </c>
      <c r="B709" s="36">
        <v>2020</v>
      </c>
      <c r="C709" s="36" t="s">
        <v>10</v>
      </c>
      <c r="D709" s="36" t="s">
        <v>103</v>
      </c>
      <c r="E709" s="36" t="s">
        <v>105</v>
      </c>
      <c r="F709" s="36" t="s">
        <v>106</v>
      </c>
      <c r="G709" s="36" t="s">
        <v>102</v>
      </c>
      <c r="H709" s="36" t="s">
        <v>104</v>
      </c>
      <c r="I709" s="36" t="s">
        <v>107</v>
      </c>
      <c r="J709" s="36">
        <v>852</v>
      </c>
      <c r="K709" s="36">
        <v>1218.3600000000001</v>
      </c>
    </row>
    <row r="710" spans="1:11" x14ac:dyDescent="0.3">
      <c r="A710" s="36" t="s">
        <v>97</v>
      </c>
      <c r="B710" s="36">
        <v>2020</v>
      </c>
      <c r="C710" s="36" t="s">
        <v>10</v>
      </c>
      <c r="D710" s="36" t="s">
        <v>103</v>
      </c>
      <c r="E710" s="36" t="s">
        <v>105</v>
      </c>
      <c r="F710" s="36" t="s">
        <v>106</v>
      </c>
      <c r="G710" s="36" t="s">
        <v>102</v>
      </c>
      <c r="H710" s="36" t="s">
        <v>104</v>
      </c>
      <c r="I710" s="36" t="s">
        <v>107</v>
      </c>
      <c r="J710" s="36">
        <v>905</v>
      </c>
      <c r="K710" s="36">
        <v>1294.1500000000001</v>
      </c>
    </row>
    <row r="711" spans="1:11" x14ac:dyDescent="0.3">
      <c r="A711" s="36" t="s">
        <v>97</v>
      </c>
      <c r="B711" s="36">
        <v>2020</v>
      </c>
      <c r="C711" s="36" t="s">
        <v>10</v>
      </c>
      <c r="D711" s="36" t="s">
        <v>103</v>
      </c>
      <c r="E711" s="36" t="s">
        <v>105</v>
      </c>
      <c r="F711" s="36" t="s">
        <v>106</v>
      </c>
      <c r="G711" s="36" t="s">
        <v>102</v>
      </c>
      <c r="H711" s="36" t="s">
        <v>104</v>
      </c>
      <c r="I711" s="36" t="s">
        <v>107</v>
      </c>
      <c r="J711" s="36">
        <v>858</v>
      </c>
      <c r="K711" s="36">
        <v>526.24</v>
      </c>
    </row>
    <row r="712" spans="1:11" x14ac:dyDescent="0.3">
      <c r="A712" s="36" t="s">
        <v>90</v>
      </c>
      <c r="B712" s="36">
        <v>2020</v>
      </c>
      <c r="C712" s="36" t="s">
        <v>10</v>
      </c>
      <c r="D712" s="36" t="s">
        <v>103</v>
      </c>
      <c r="E712" s="36" t="s">
        <v>105</v>
      </c>
      <c r="F712" s="36" t="s">
        <v>106</v>
      </c>
      <c r="G712" s="36" t="s">
        <v>102</v>
      </c>
      <c r="H712" s="36" t="s">
        <v>104</v>
      </c>
      <c r="I712" s="36" t="s">
        <v>107</v>
      </c>
      <c r="J712" s="36">
        <v>171</v>
      </c>
      <c r="K712" s="36">
        <v>526.24</v>
      </c>
    </row>
    <row r="713" spans="1:11" x14ac:dyDescent="0.3">
      <c r="A713" s="36" t="s">
        <v>99</v>
      </c>
      <c r="B713" s="36">
        <v>2020</v>
      </c>
      <c r="C713" s="36" t="s">
        <v>10</v>
      </c>
      <c r="D713" s="36" t="s">
        <v>103</v>
      </c>
      <c r="E713" s="36" t="s">
        <v>105</v>
      </c>
      <c r="F713" s="36" t="s">
        <v>106</v>
      </c>
      <c r="G713" s="36" t="s">
        <v>102</v>
      </c>
      <c r="H713" s="36" t="s">
        <v>104</v>
      </c>
      <c r="I713" s="36" t="s">
        <v>107</v>
      </c>
      <c r="J713" s="36">
        <v>367</v>
      </c>
      <c r="K713" s="36">
        <v>524.80999999999995</v>
      </c>
    </row>
    <row r="714" spans="1:11" x14ac:dyDescent="0.3">
      <c r="A714" s="36" t="s">
        <v>90</v>
      </c>
      <c r="B714" s="36">
        <v>2020</v>
      </c>
      <c r="C714" s="36" t="s">
        <v>10</v>
      </c>
      <c r="D714" s="36" t="s">
        <v>103</v>
      </c>
      <c r="E714" s="36" t="s">
        <v>105</v>
      </c>
      <c r="F714" s="36" t="s">
        <v>106</v>
      </c>
      <c r="G714" s="36" t="s">
        <v>102</v>
      </c>
      <c r="H714" s="36" t="s">
        <v>104</v>
      </c>
      <c r="I714" s="36" t="s">
        <v>107</v>
      </c>
      <c r="J714" s="36">
        <v>169</v>
      </c>
      <c r="K714" s="36">
        <v>241.67000000000002</v>
      </c>
    </row>
    <row r="715" spans="1:11" x14ac:dyDescent="0.3">
      <c r="A715" s="36" t="s">
        <v>97</v>
      </c>
      <c r="B715" s="36">
        <v>2020</v>
      </c>
      <c r="C715" s="36" t="s">
        <v>10</v>
      </c>
      <c r="D715" s="36" t="s">
        <v>103</v>
      </c>
      <c r="E715" s="36" t="s">
        <v>105</v>
      </c>
      <c r="F715" s="36" t="s">
        <v>106</v>
      </c>
      <c r="G715" s="36" t="s">
        <v>102</v>
      </c>
      <c r="H715" s="36" t="s">
        <v>104</v>
      </c>
      <c r="I715" s="36" t="s">
        <v>107</v>
      </c>
      <c r="J715" s="36">
        <v>343</v>
      </c>
      <c r="K715" s="36">
        <v>490.49</v>
      </c>
    </row>
    <row r="716" spans="1:11" x14ac:dyDescent="0.3">
      <c r="A716" s="36" t="s">
        <v>97</v>
      </c>
      <c r="B716" s="36">
        <v>2020</v>
      </c>
      <c r="C716" s="36" t="s">
        <v>10</v>
      </c>
      <c r="D716" s="36" t="s">
        <v>103</v>
      </c>
      <c r="E716" s="36" t="s">
        <v>105</v>
      </c>
      <c r="F716" s="36" t="s">
        <v>106</v>
      </c>
      <c r="G716" s="36" t="s">
        <v>102</v>
      </c>
      <c r="H716" s="36" t="s">
        <v>104</v>
      </c>
      <c r="I716" s="36" t="s">
        <v>107</v>
      </c>
      <c r="J716" s="36">
        <v>827</v>
      </c>
      <c r="K716" s="36">
        <v>1182.6100000000001</v>
      </c>
    </row>
    <row r="717" spans="1:11" x14ac:dyDescent="0.3">
      <c r="A717" s="36" t="s">
        <v>90</v>
      </c>
      <c r="B717" s="36">
        <v>2020</v>
      </c>
      <c r="C717" s="36" t="s">
        <v>10</v>
      </c>
      <c r="D717" s="36" t="s">
        <v>103</v>
      </c>
      <c r="E717" s="36" t="s">
        <v>105</v>
      </c>
      <c r="F717" s="36" t="s">
        <v>106</v>
      </c>
      <c r="G717" s="36" t="s">
        <v>102</v>
      </c>
      <c r="H717" s="36" t="s">
        <v>104</v>
      </c>
      <c r="I717" s="36" t="s">
        <v>107</v>
      </c>
      <c r="J717" s="36">
        <v>341</v>
      </c>
      <c r="K717" s="36">
        <v>487.63</v>
      </c>
    </row>
    <row r="718" spans="1:11" x14ac:dyDescent="0.3">
      <c r="A718" s="36" t="s">
        <v>97</v>
      </c>
      <c r="B718" s="36">
        <v>2020</v>
      </c>
      <c r="C718" s="36" t="s">
        <v>9</v>
      </c>
      <c r="D718" s="36" t="s">
        <v>103</v>
      </c>
      <c r="E718" s="36" t="s">
        <v>105</v>
      </c>
      <c r="F718" s="36" t="s">
        <v>106</v>
      </c>
      <c r="G718" s="36" t="s">
        <v>102</v>
      </c>
      <c r="H718" s="36" t="s">
        <v>104</v>
      </c>
      <c r="I718" s="36" t="s">
        <v>107</v>
      </c>
      <c r="J718" s="36">
        <v>128</v>
      </c>
      <c r="K718" s="36">
        <v>183.04</v>
      </c>
    </row>
    <row r="719" spans="1:11" x14ac:dyDescent="0.3">
      <c r="A719" s="36" t="s">
        <v>97</v>
      </c>
      <c r="B719" s="36">
        <v>2020</v>
      </c>
      <c r="C719" s="36" t="s">
        <v>9</v>
      </c>
      <c r="D719" s="36" t="s">
        <v>103</v>
      </c>
      <c r="E719" s="36" t="s">
        <v>105</v>
      </c>
      <c r="F719" s="36" t="s">
        <v>106</v>
      </c>
      <c r="G719" s="36" t="s">
        <v>102</v>
      </c>
      <c r="H719" s="36" t="s">
        <v>104</v>
      </c>
      <c r="I719" s="36" t="s">
        <v>107</v>
      </c>
      <c r="J719" s="36">
        <v>176</v>
      </c>
      <c r="K719" s="36">
        <v>251.68</v>
      </c>
    </row>
    <row r="720" spans="1:11" x14ac:dyDescent="0.3">
      <c r="A720" s="36" t="s">
        <v>97</v>
      </c>
      <c r="B720" s="36">
        <v>2020</v>
      </c>
      <c r="C720" s="36" t="s">
        <v>9</v>
      </c>
      <c r="D720" s="36" t="s">
        <v>103</v>
      </c>
      <c r="E720" s="36" t="s">
        <v>105</v>
      </c>
      <c r="F720" s="36" t="s">
        <v>106</v>
      </c>
      <c r="G720" s="36" t="s">
        <v>102</v>
      </c>
      <c r="H720" s="36" t="s">
        <v>104</v>
      </c>
      <c r="I720" s="36" t="s">
        <v>107</v>
      </c>
      <c r="J720" s="36">
        <v>350</v>
      </c>
      <c r="K720" s="36">
        <v>500.5</v>
      </c>
    </row>
    <row r="721" spans="1:11" x14ac:dyDescent="0.3">
      <c r="A721" s="36" t="s">
        <v>97</v>
      </c>
      <c r="B721" s="36">
        <v>2020</v>
      </c>
      <c r="C721" s="36" t="s">
        <v>9</v>
      </c>
      <c r="D721" s="36" t="s">
        <v>103</v>
      </c>
      <c r="E721" s="36" t="s">
        <v>105</v>
      </c>
      <c r="F721" s="36" t="s">
        <v>106</v>
      </c>
      <c r="G721" s="36" t="s">
        <v>102</v>
      </c>
      <c r="H721" s="36" t="s">
        <v>104</v>
      </c>
      <c r="I721" s="36" t="s">
        <v>107</v>
      </c>
      <c r="J721" s="36">
        <v>130</v>
      </c>
      <c r="K721" s="36">
        <v>185.9</v>
      </c>
    </row>
    <row r="722" spans="1:11" x14ac:dyDescent="0.3">
      <c r="A722" s="36" t="s">
        <v>100</v>
      </c>
      <c r="B722" s="36">
        <v>2020</v>
      </c>
      <c r="C722" s="36" t="s">
        <v>9</v>
      </c>
      <c r="D722" s="36" t="s">
        <v>103</v>
      </c>
      <c r="E722" s="36" t="s">
        <v>105</v>
      </c>
      <c r="F722" s="36" t="s">
        <v>106</v>
      </c>
      <c r="G722" s="36" t="s">
        <v>102</v>
      </c>
      <c r="H722" s="36" t="s">
        <v>104</v>
      </c>
      <c r="I722" s="36" t="s">
        <v>107</v>
      </c>
      <c r="J722" s="36">
        <v>346</v>
      </c>
      <c r="K722" s="36">
        <v>494.78</v>
      </c>
    </row>
    <row r="723" spans="1:11" x14ac:dyDescent="0.3">
      <c r="A723" s="36" t="s">
        <v>97</v>
      </c>
      <c r="B723" s="36">
        <v>2020</v>
      </c>
      <c r="C723" s="36" t="s">
        <v>9</v>
      </c>
      <c r="D723" s="36" t="s">
        <v>103</v>
      </c>
      <c r="E723" s="36" t="s">
        <v>105</v>
      </c>
      <c r="F723" s="36" t="s">
        <v>106</v>
      </c>
      <c r="G723" s="36" t="s">
        <v>102</v>
      </c>
      <c r="H723" s="36" t="s">
        <v>104</v>
      </c>
      <c r="I723" s="36" t="s">
        <v>107</v>
      </c>
      <c r="J723" s="36">
        <v>818</v>
      </c>
      <c r="K723" s="36">
        <v>1169.74</v>
      </c>
    </row>
    <row r="724" spans="1:11" x14ac:dyDescent="0.3">
      <c r="A724" s="36" t="s">
        <v>90</v>
      </c>
      <c r="B724" s="36">
        <v>2020</v>
      </c>
      <c r="C724" s="36" t="s">
        <v>9</v>
      </c>
      <c r="D724" s="36" t="s">
        <v>103</v>
      </c>
      <c r="E724" s="36" t="s">
        <v>105</v>
      </c>
      <c r="F724" s="36" t="s">
        <v>106</v>
      </c>
      <c r="G724" s="36" t="s">
        <v>102</v>
      </c>
      <c r="H724" s="36" t="s">
        <v>104</v>
      </c>
      <c r="I724" s="36" t="s">
        <v>107</v>
      </c>
      <c r="J724" s="36">
        <v>851</v>
      </c>
      <c r="K724" s="36">
        <v>1216.93</v>
      </c>
    </row>
    <row r="725" spans="1:11" x14ac:dyDescent="0.3">
      <c r="A725" s="36" t="s">
        <v>99</v>
      </c>
      <c r="B725" s="36">
        <v>2020</v>
      </c>
      <c r="C725" s="36" t="s">
        <v>9</v>
      </c>
      <c r="D725" s="36" t="s">
        <v>103</v>
      </c>
      <c r="E725" s="36" t="s">
        <v>105</v>
      </c>
      <c r="F725" s="36" t="s">
        <v>106</v>
      </c>
      <c r="G725" s="36" t="s">
        <v>102</v>
      </c>
      <c r="H725" s="36" t="s">
        <v>104</v>
      </c>
      <c r="I725" s="36" t="s">
        <v>107</v>
      </c>
      <c r="J725" s="36">
        <v>904</v>
      </c>
      <c r="K725" s="36">
        <v>1292.72</v>
      </c>
    </row>
    <row r="726" spans="1:11" x14ac:dyDescent="0.3">
      <c r="A726" s="36" t="s">
        <v>99</v>
      </c>
      <c r="B726" s="36">
        <v>2020</v>
      </c>
      <c r="C726" s="36" t="s">
        <v>9</v>
      </c>
      <c r="D726" s="36" t="s">
        <v>103</v>
      </c>
      <c r="E726" s="36" t="s">
        <v>105</v>
      </c>
      <c r="F726" s="36" t="s">
        <v>106</v>
      </c>
      <c r="G726" s="36" t="s">
        <v>102</v>
      </c>
      <c r="H726" s="36" t="s">
        <v>104</v>
      </c>
      <c r="I726" s="36" t="s">
        <v>107</v>
      </c>
      <c r="J726" s="36">
        <v>857</v>
      </c>
      <c r="K726" s="36">
        <v>526.24</v>
      </c>
    </row>
    <row r="727" spans="1:11" x14ac:dyDescent="0.3">
      <c r="A727" s="36" t="s">
        <v>97</v>
      </c>
      <c r="B727" s="36">
        <v>2020</v>
      </c>
      <c r="C727" s="36" t="s">
        <v>9</v>
      </c>
      <c r="D727" s="36" t="s">
        <v>103</v>
      </c>
      <c r="E727" s="36" t="s">
        <v>105</v>
      </c>
      <c r="F727" s="36" t="s">
        <v>106</v>
      </c>
      <c r="G727" s="36" t="s">
        <v>102</v>
      </c>
      <c r="H727" s="36" t="s">
        <v>104</v>
      </c>
      <c r="I727" s="36" t="s">
        <v>107</v>
      </c>
      <c r="J727" s="36">
        <v>177</v>
      </c>
      <c r="K727" s="36">
        <v>526.24</v>
      </c>
    </row>
    <row r="728" spans="1:11" x14ac:dyDescent="0.3">
      <c r="A728" s="36" t="s">
        <v>97</v>
      </c>
      <c r="B728" s="36">
        <v>2020</v>
      </c>
      <c r="C728" s="36" t="s">
        <v>9</v>
      </c>
      <c r="D728" s="36" t="s">
        <v>103</v>
      </c>
      <c r="E728" s="36" t="s">
        <v>105</v>
      </c>
      <c r="F728" s="36" t="s">
        <v>106</v>
      </c>
      <c r="G728" s="36" t="s">
        <v>102</v>
      </c>
      <c r="H728" s="36" t="s">
        <v>104</v>
      </c>
      <c r="I728" s="36" t="s">
        <v>107</v>
      </c>
      <c r="J728" s="36">
        <v>345</v>
      </c>
      <c r="K728" s="36">
        <v>493.35</v>
      </c>
    </row>
    <row r="729" spans="1:11" x14ac:dyDescent="0.3">
      <c r="A729" s="36" t="s">
        <v>100</v>
      </c>
      <c r="B729" s="36">
        <v>2020</v>
      </c>
      <c r="C729" s="36" t="s">
        <v>9</v>
      </c>
      <c r="D729" s="36" t="s">
        <v>103</v>
      </c>
      <c r="E729" s="36" t="s">
        <v>105</v>
      </c>
      <c r="F729" s="36" t="s">
        <v>106</v>
      </c>
      <c r="G729" s="36" t="s">
        <v>102</v>
      </c>
      <c r="H729" s="36" t="s">
        <v>104</v>
      </c>
      <c r="I729" s="36" t="s">
        <v>107</v>
      </c>
      <c r="J729" s="36">
        <v>127</v>
      </c>
      <c r="K729" s="36">
        <v>181.61</v>
      </c>
    </row>
    <row r="730" spans="1:11" x14ac:dyDescent="0.3">
      <c r="A730" s="36" t="s">
        <v>99</v>
      </c>
      <c r="B730" s="36">
        <v>2020</v>
      </c>
      <c r="C730" s="36" t="s">
        <v>9</v>
      </c>
      <c r="D730" s="36" t="s">
        <v>103</v>
      </c>
      <c r="E730" s="36" t="s">
        <v>105</v>
      </c>
      <c r="F730" s="36" t="s">
        <v>106</v>
      </c>
      <c r="G730" s="36" t="s">
        <v>102</v>
      </c>
      <c r="H730" s="36" t="s">
        <v>104</v>
      </c>
      <c r="I730" s="36" t="s">
        <v>107</v>
      </c>
      <c r="J730" s="36">
        <v>175</v>
      </c>
      <c r="K730" s="36">
        <v>250.25</v>
      </c>
    </row>
    <row r="731" spans="1:11" x14ac:dyDescent="0.3">
      <c r="A731" s="36" t="s">
        <v>97</v>
      </c>
      <c r="B731" s="36">
        <v>2020</v>
      </c>
      <c r="C731" s="36" t="s">
        <v>9</v>
      </c>
      <c r="D731" s="36" t="s">
        <v>103</v>
      </c>
      <c r="E731" s="36" t="s">
        <v>105</v>
      </c>
      <c r="F731" s="36" t="s">
        <v>106</v>
      </c>
      <c r="G731" s="36" t="s">
        <v>102</v>
      </c>
      <c r="H731" s="36" t="s">
        <v>104</v>
      </c>
      <c r="I731" s="36" t="s">
        <v>107</v>
      </c>
      <c r="J731" s="36">
        <v>349</v>
      </c>
      <c r="K731" s="36">
        <v>499.07</v>
      </c>
    </row>
    <row r="732" spans="1:11" x14ac:dyDescent="0.3">
      <c r="A732" s="36" t="s">
        <v>97</v>
      </c>
      <c r="B732" s="36">
        <v>2020</v>
      </c>
      <c r="C732" s="36" t="s">
        <v>9</v>
      </c>
      <c r="D732" s="36" t="s">
        <v>103</v>
      </c>
      <c r="E732" s="36" t="s">
        <v>105</v>
      </c>
      <c r="F732" s="36" t="s">
        <v>106</v>
      </c>
      <c r="G732" s="36" t="s">
        <v>102</v>
      </c>
      <c r="H732" s="36" t="s">
        <v>104</v>
      </c>
      <c r="I732" s="36" t="s">
        <v>107</v>
      </c>
      <c r="J732" s="36">
        <v>826</v>
      </c>
      <c r="K732" s="36">
        <v>1181.18</v>
      </c>
    </row>
    <row r="733" spans="1:11" x14ac:dyDescent="0.3">
      <c r="A733" s="36" t="s">
        <v>90</v>
      </c>
      <c r="B733" s="36">
        <v>2020</v>
      </c>
      <c r="C733" s="36" t="s">
        <v>9</v>
      </c>
      <c r="D733" s="36" t="s">
        <v>103</v>
      </c>
      <c r="E733" s="36" t="s">
        <v>105</v>
      </c>
      <c r="F733" s="36" t="s">
        <v>106</v>
      </c>
      <c r="G733" s="36" t="s">
        <v>102</v>
      </c>
      <c r="H733" s="36" t="s">
        <v>104</v>
      </c>
      <c r="I733" s="36" t="s">
        <v>107</v>
      </c>
      <c r="J733" s="36">
        <v>860</v>
      </c>
      <c r="K733" s="36">
        <v>1229.8</v>
      </c>
    </row>
    <row r="734" spans="1:11" x14ac:dyDescent="0.3">
      <c r="A734" s="36" t="s">
        <v>97</v>
      </c>
      <c r="B734" s="36">
        <v>2020</v>
      </c>
      <c r="C734" s="36" t="s">
        <v>9</v>
      </c>
      <c r="D734" s="36" t="s">
        <v>103</v>
      </c>
      <c r="E734" s="36" t="s">
        <v>105</v>
      </c>
      <c r="F734" s="36" t="s">
        <v>106</v>
      </c>
      <c r="G734" s="36" t="s">
        <v>102</v>
      </c>
      <c r="H734" s="36" t="s">
        <v>104</v>
      </c>
      <c r="I734" s="36" t="s">
        <v>107</v>
      </c>
      <c r="J734" s="36">
        <v>347</v>
      </c>
      <c r="K734" s="36">
        <v>496.21000000000004</v>
      </c>
    </row>
    <row r="735" spans="1:11" x14ac:dyDescent="0.3">
      <c r="A735" s="36" t="s">
        <v>100</v>
      </c>
      <c r="B735" s="36">
        <v>2020</v>
      </c>
      <c r="C735" s="36" t="s">
        <v>8</v>
      </c>
      <c r="D735" s="36" t="s">
        <v>103</v>
      </c>
      <c r="E735" s="36" t="s">
        <v>105</v>
      </c>
      <c r="F735" s="36" t="s">
        <v>106</v>
      </c>
      <c r="G735" s="36" t="s">
        <v>102</v>
      </c>
      <c r="H735" s="36" t="s">
        <v>104</v>
      </c>
      <c r="I735" s="36" t="s">
        <v>107</v>
      </c>
      <c r="J735" s="36">
        <v>134</v>
      </c>
      <c r="K735" s="36">
        <v>191.62</v>
      </c>
    </row>
    <row r="736" spans="1:11" x14ac:dyDescent="0.3">
      <c r="A736" s="36" t="s">
        <v>97</v>
      </c>
      <c r="B736" s="36">
        <v>2020</v>
      </c>
      <c r="C736" s="36" t="s">
        <v>8</v>
      </c>
      <c r="D736" s="36" t="s">
        <v>103</v>
      </c>
      <c r="E736" s="36" t="s">
        <v>105</v>
      </c>
      <c r="F736" s="36" t="s">
        <v>106</v>
      </c>
      <c r="G736" s="36" t="s">
        <v>102</v>
      </c>
      <c r="H736" s="36" t="s">
        <v>104</v>
      </c>
      <c r="I736" s="36" t="s">
        <v>107</v>
      </c>
      <c r="J736" s="36">
        <v>182</v>
      </c>
      <c r="K736" s="36">
        <v>260.26</v>
      </c>
    </row>
    <row r="737" spans="1:11" x14ac:dyDescent="0.3">
      <c r="A737" s="36" t="s">
        <v>97</v>
      </c>
      <c r="B737" s="36">
        <v>2020</v>
      </c>
      <c r="C737" s="36" t="s">
        <v>8</v>
      </c>
      <c r="D737" s="36" t="s">
        <v>103</v>
      </c>
      <c r="E737" s="36" t="s">
        <v>105</v>
      </c>
      <c r="F737" s="36" t="s">
        <v>106</v>
      </c>
      <c r="G737" s="36" t="s">
        <v>102</v>
      </c>
      <c r="H737" s="36" t="s">
        <v>104</v>
      </c>
      <c r="I737" s="36" t="s">
        <v>107</v>
      </c>
      <c r="J737" s="36">
        <v>136</v>
      </c>
      <c r="K737" s="36">
        <v>194.48</v>
      </c>
    </row>
    <row r="738" spans="1:11" x14ac:dyDescent="0.3">
      <c r="A738" s="36" t="s">
        <v>90</v>
      </c>
      <c r="B738" s="36">
        <v>2020</v>
      </c>
      <c r="C738" s="36" t="s">
        <v>8</v>
      </c>
      <c r="D738" s="36" t="s">
        <v>103</v>
      </c>
      <c r="E738" s="36" t="s">
        <v>105</v>
      </c>
      <c r="F738" s="36" t="s">
        <v>106</v>
      </c>
      <c r="G738" s="36" t="s">
        <v>102</v>
      </c>
      <c r="H738" s="36" t="s">
        <v>104</v>
      </c>
      <c r="I738" s="36" t="s">
        <v>107</v>
      </c>
      <c r="J738" s="36">
        <v>178</v>
      </c>
      <c r="K738" s="36">
        <v>254.54</v>
      </c>
    </row>
    <row r="739" spans="1:11" x14ac:dyDescent="0.3">
      <c r="A739" s="36" t="s">
        <v>99</v>
      </c>
      <c r="B739" s="36">
        <v>2020</v>
      </c>
      <c r="C739" s="36" t="s">
        <v>8</v>
      </c>
      <c r="D739" s="36" t="s">
        <v>103</v>
      </c>
      <c r="E739" s="36" t="s">
        <v>105</v>
      </c>
      <c r="F739" s="36" t="s">
        <v>106</v>
      </c>
      <c r="G739" s="36" t="s">
        <v>102</v>
      </c>
      <c r="H739" s="36" t="s">
        <v>104</v>
      </c>
      <c r="I739" s="36" t="s">
        <v>107</v>
      </c>
      <c r="J739" s="36">
        <v>352</v>
      </c>
      <c r="K739" s="36">
        <v>503.36</v>
      </c>
    </row>
    <row r="740" spans="1:11" x14ac:dyDescent="0.3">
      <c r="A740" s="36" t="s">
        <v>97</v>
      </c>
      <c r="B740" s="36">
        <v>2020</v>
      </c>
      <c r="C740" s="36" t="s">
        <v>8</v>
      </c>
      <c r="D740" s="36" t="s">
        <v>103</v>
      </c>
      <c r="E740" s="36" t="s">
        <v>105</v>
      </c>
      <c r="F740" s="36" t="s">
        <v>106</v>
      </c>
      <c r="G740" s="36" t="s">
        <v>102</v>
      </c>
      <c r="H740" s="36" t="s">
        <v>104</v>
      </c>
      <c r="I740" s="36" t="s">
        <v>107</v>
      </c>
      <c r="J740" s="36">
        <v>817</v>
      </c>
      <c r="K740" s="36">
        <v>1168.31</v>
      </c>
    </row>
    <row r="741" spans="1:11" x14ac:dyDescent="0.3">
      <c r="A741" s="36" t="s">
        <v>99</v>
      </c>
      <c r="B741" s="36">
        <v>2020</v>
      </c>
      <c r="C741" s="36" t="s">
        <v>8</v>
      </c>
      <c r="D741" s="36" t="s">
        <v>103</v>
      </c>
      <c r="E741" s="36" t="s">
        <v>105</v>
      </c>
      <c r="F741" s="36" t="s">
        <v>106</v>
      </c>
      <c r="G741" s="36" t="s">
        <v>102</v>
      </c>
      <c r="H741" s="36" t="s">
        <v>104</v>
      </c>
      <c r="I741" s="36" t="s">
        <v>107</v>
      </c>
      <c r="J741" s="36">
        <v>850</v>
      </c>
      <c r="K741" s="36">
        <v>1215.5</v>
      </c>
    </row>
    <row r="742" spans="1:11" x14ac:dyDescent="0.3">
      <c r="A742" s="36" t="s">
        <v>99</v>
      </c>
      <c r="B742" s="36">
        <v>2020</v>
      </c>
      <c r="C742" s="36" t="s">
        <v>8</v>
      </c>
      <c r="D742" s="36" t="s">
        <v>103</v>
      </c>
      <c r="E742" s="36" t="s">
        <v>105</v>
      </c>
      <c r="F742" s="36" t="s">
        <v>106</v>
      </c>
      <c r="G742" s="36" t="s">
        <v>102</v>
      </c>
      <c r="H742" s="36" t="s">
        <v>104</v>
      </c>
      <c r="I742" s="36" t="s">
        <v>107</v>
      </c>
      <c r="J742" s="36">
        <v>903</v>
      </c>
      <c r="K742" s="36">
        <v>1291.29</v>
      </c>
    </row>
    <row r="743" spans="1:11" x14ac:dyDescent="0.3">
      <c r="A743" s="36" t="s">
        <v>99</v>
      </c>
      <c r="B743" s="36">
        <v>2020</v>
      </c>
      <c r="C743" s="36" t="s">
        <v>8</v>
      </c>
      <c r="D743" s="36" t="s">
        <v>103</v>
      </c>
      <c r="E743" s="36" t="s">
        <v>105</v>
      </c>
      <c r="F743" s="36" t="s">
        <v>106</v>
      </c>
      <c r="G743" s="36" t="s">
        <v>102</v>
      </c>
      <c r="H743" s="36" t="s">
        <v>104</v>
      </c>
      <c r="I743" s="36" t="s">
        <v>107</v>
      </c>
      <c r="J743" s="36">
        <v>856</v>
      </c>
      <c r="K743" s="36">
        <v>526.24</v>
      </c>
    </row>
    <row r="744" spans="1:11" x14ac:dyDescent="0.3">
      <c r="A744" s="36" t="s">
        <v>97</v>
      </c>
      <c r="B744" s="36">
        <v>2020</v>
      </c>
      <c r="C744" s="36" t="s">
        <v>8</v>
      </c>
      <c r="D744" s="36" t="s">
        <v>103</v>
      </c>
      <c r="E744" s="36" t="s">
        <v>105</v>
      </c>
      <c r="F744" s="36" t="s">
        <v>106</v>
      </c>
      <c r="G744" s="36" t="s">
        <v>102</v>
      </c>
      <c r="H744" s="36" t="s">
        <v>104</v>
      </c>
      <c r="I744" s="36" t="s">
        <v>107</v>
      </c>
      <c r="J744" s="36">
        <v>183</v>
      </c>
      <c r="K744" s="36">
        <v>526.24</v>
      </c>
    </row>
    <row r="745" spans="1:11" x14ac:dyDescent="0.3">
      <c r="A745" s="36" t="s">
        <v>97</v>
      </c>
      <c r="B745" s="36">
        <v>2020</v>
      </c>
      <c r="C745" s="36" t="s">
        <v>8</v>
      </c>
      <c r="D745" s="36" t="s">
        <v>103</v>
      </c>
      <c r="E745" s="36" t="s">
        <v>105</v>
      </c>
      <c r="F745" s="36" t="s">
        <v>106</v>
      </c>
      <c r="G745" s="36" t="s">
        <v>102</v>
      </c>
      <c r="H745" s="36" t="s">
        <v>104</v>
      </c>
      <c r="I745" s="36" t="s">
        <v>107</v>
      </c>
      <c r="J745" s="36">
        <v>351</v>
      </c>
      <c r="K745" s="36">
        <v>501.93</v>
      </c>
    </row>
    <row r="746" spans="1:11" x14ac:dyDescent="0.3">
      <c r="A746" s="36" t="s">
        <v>99</v>
      </c>
      <c r="B746" s="36">
        <v>2020</v>
      </c>
      <c r="C746" s="36" t="s">
        <v>8</v>
      </c>
      <c r="D746" s="36" t="s">
        <v>103</v>
      </c>
      <c r="E746" s="36" t="s">
        <v>105</v>
      </c>
      <c r="F746" s="36" t="s">
        <v>106</v>
      </c>
      <c r="G746" s="36" t="s">
        <v>102</v>
      </c>
      <c r="H746" s="36" t="s">
        <v>104</v>
      </c>
      <c r="I746" s="36" t="s">
        <v>107</v>
      </c>
      <c r="J746" s="36">
        <v>133</v>
      </c>
      <c r="K746" s="36">
        <v>190.19</v>
      </c>
    </row>
    <row r="747" spans="1:11" x14ac:dyDescent="0.3">
      <c r="A747" s="36" t="s">
        <v>90</v>
      </c>
      <c r="B747" s="36">
        <v>2020</v>
      </c>
      <c r="C747" s="36" t="s">
        <v>8</v>
      </c>
      <c r="D747" s="36" t="s">
        <v>103</v>
      </c>
      <c r="E747" s="36" t="s">
        <v>105</v>
      </c>
      <c r="F747" s="36" t="s">
        <v>106</v>
      </c>
      <c r="G747" s="36" t="s">
        <v>102</v>
      </c>
      <c r="H747" s="36" t="s">
        <v>104</v>
      </c>
      <c r="I747" s="36" t="s">
        <v>107</v>
      </c>
      <c r="J747" s="36">
        <v>181</v>
      </c>
      <c r="K747" s="36">
        <v>258.83</v>
      </c>
    </row>
    <row r="748" spans="1:11" x14ac:dyDescent="0.3">
      <c r="A748" s="36" t="s">
        <v>97</v>
      </c>
      <c r="B748" s="36">
        <v>2020</v>
      </c>
      <c r="C748" s="36" t="s">
        <v>8</v>
      </c>
      <c r="D748" s="36" t="s">
        <v>103</v>
      </c>
      <c r="E748" s="36" t="s">
        <v>105</v>
      </c>
      <c r="F748" s="36" t="s">
        <v>106</v>
      </c>
      <c r="G748" s="36" t="s">
        <v>102</v>
      </c>
      <c r="H748" s="36" t="s">
        <v>104</v>
      </c>
      <c r="I748" s="36" t="s">
        <v>107</v>
      </c>
      <c r="J748" s="36">
        <v>355</v>
      </c>
      <c r="K748" s="36">
        <v>507.65</v>
      </c>
    </row>
    <row r="749" spans="1:11" x14ac:dyDescent="0.3">
      <c r="A749" s="36" t="s">
        <v>99</v>
      </c>
      <c r="B749" s="36">
        <v>2020</v>
      </c>
      <c r="C749" s="36" t="s">
        <v>8</v>
      </c>
      <c r="D749" s="36" t="s">
        <v>103</v>
      </c>
      <c r="E749" s="36" t="s">
        <v>105</v>
      </c>
      <c r="F749" s="36" t="s">
        <v>106</v>
      </c>
      <c r="G749" s="36" t="s">
        <v>102</v>
      </c>
      <c r="H749" s="36" t="s">
        <v>104</v>
      </c>
      <c r="I749" s="36" t="s">
        <v>107</v>
      </c>
      <c r="J749" s="36">
        <v>859</v>
      </c>
      <c r="K749" s="36">
        <v>1228.3699999999999</v>
      </c>
    </row>
    <row r="750" spans="1:11" x14ac:dyDescent="0.3">
      <c r="A750" s="36" t="s">
        <v>100</v>
      </c>
      <c r="B750" s="36">
        <v>2020</v>
      </c>
      <c r="C750" s="36" t="s">
        <v>8</v>
      </c>
      <c r="D750" s="36" t="s">
        <v>103</v>
      </c>
      <c r="E750" s="36" t="s">
        <v>105</v>
      </c>
      <c r="F750" s="36" t="s">
        <v>106</v>
      </c>
      <c r="G750" s="36" t="s">
        <v>102</v>
      </c>
      <c r="H750" s="36" t="s">
        <v>104</v>
      </c>
      <c r="I750" s="36" t="s">
        <v>107</v>
      </c>
      <c r="J750" s="36">
        <v>353</v>
      </c>
      <c r="K750" s="36">
        <v>504.78999999999996</v>
      </c>
    </row>
    <row r="751" spans="1:11" x14ac:dyDescent="0.3">
      <c r="A751" s="36" t="s">
        <v>90</v>
      </c>
      <c r="B751" s="36">
        <v>2020</v>
      </c>
      <c r="C751" s="36" t="s">
        <v>2</v>
      </c>
      <c r="D751" s="36" t="s">
        <v>91</v>
      </c>
      <c r="E751" s="36" t="s">
        <v>105</v>
      </c>
      <c r="F751" s="36" t="s">
        <v>93</v>
      </c>
      <c r="G751" s="36" t="s">
        <v>102</v>
      </c>
      <c r="H751" s="36" t="s">
        <v>104</v>
      </c>
      <c r="I751" s="36" t="s">
        <v>98</v>
      </c>
      <c r="J751" s="36">
        <v>364</v>
      </c>
      <c r="K751" s="36">
        <v>520.52</v>
      </c>
    </row>
    <row r="752" spans="1:11" x14ac:dyDescent="0.3">
      <c r="A752" s="36" t="s">
        <v>97</v>
      </c>
      <c r="B752" s="36">
        <v>2020</v>
      </c>
      <c r="C752" s="36" t="s">
        <v>2</v>
      </c>
      <c r="D752" s="36" t="s">
        <v>91</v>
      </c>
      <c r="E752" s="36" t="s">
        <v>105</v>
      </c>
      <c r="F752" s="36" t="s">
        <v>93</v>
      </c>
      <c r="G752" s="36" t="s">
        <v>102</v>
      </c>
      <c r="H752" s="36" t="s">
        <v>104</v>
      </c>
      <c r="I752" s="36" t="s">
        <v>96</v>
      </c>
      <c r="J752" s="36">
        <v>358</v>
      </c>
      <c r="K752" s="36">
        <v>511.94</v>
      </c>
    </row>
    <row r="753" spans="1:11" x14ac:dyDescent="0.3">
      <c r="A753" s="36" t="s">
        <v>90</v>
      </c>
      <c r="B753" s="36">
        <v>2020</v>
      </c>
      <c r="C753" s="36" t="s">
        <v>2</v>
      </c>
      <c r="D753" s="36" t="s">
        <v>91</v>
      </c>
      <c r="E753" s="36" t="s">
        <v>105</v>
      </c>
      <c r="F753" s="36" t="s">
        <v>93</v>
      </c>
      <c r="G753" s="36" t="s">
        <v>102</v>
      </c>
      <c r="H753" s="36" t="s">
        <v>104</v>
      </c>
      <c r="I753" s="36" t="s">
        <v>98</v>
      </c>
      <c r="J753" s="36">
        <v>367</v>
      </c>
      <c r="K753" s="36">
        <v>524.80999999999995</v>
      </c>
    </row>
    <row r="754" spans="1:11" x14ac:dyDescent="0.3">
      <c r="A754" s="36" t="s">
        <v>101</v>
      </c>
      <c r="B754" s="36">
        <v>2020</v>
      </c>
      <c r="C754" s="36" t="s">
        <v>2</v>
      </c>
      <c r="D754" s="36" t="s">
        <v>91</v>
      </c>
      <c r="E754" s="36" t="s">
        <v>105</v>
      </c>
      <c r="F754" s="36" t="s">
        <v>93</v>
      </c>
      <c r="G754" s="36" t="s">
        <v>102</v>
      </c>
      <c r="H754" s="36" t="s">
        <v>104</v>
      </c>
      <c r="I754" s="36" t="s">
        <v>96</v>
      </c>
      <c r="J754" s="36">
        <v>361</v>
      </c>
      <c r="K754" s="36">
        <v>516.23</v>
      </c>
    </row>
    <row r="755" spans="1:11" x14ac:dyDescent="0.3">
      <c r="A755" s="36" t="s">
        <v>90</v>
      </c>
      <c r="B755" s="36">
        <v>2020</v>
      </c>
      <c r="C755" s="36" t="s">
        <v>2</v>
      </c>
      <c r="D755" s="36" t="s">
        <v>91</v>
      </c>
      <c r="E755" s="36" t="s">
        <v>105</v>
      </c>
      <c r="F755" s="36" t="s">
        <v>106</v>
      </c>
      <c r="G755" s="36" t="s">
        <v>102</v>
      </c>
      <c r="H755" s="36" t="s">
        <v>104</v>
      </c>
      <c r="I755" s="36" t="s">
        <v>96</v>
      </c>
      <c r="J755" s="36">
        <v>355</v>
      </c>
      <c r="K755" s="36">
        <v>507.65</v>
      </c>
    </row>
    <row r="756" spans="1:11" x14ac:dyDescent="0.3">
      <c r="A756" s="36" t="s">
        <v>100</v>
      </c>
      <c r="B756" s="36">
        <v>2020</v>
      </c>
      <c r="C756" s="36" t="s">
        <v>1</v>
      </c>
      <c r="D756" s="36" t="s">
        <v>103</v>
      </c>
      <c r="E756" s="36" t="s">
        <v>105</v>
      </c>
      <c r="F756" s="36" t="s">
        <v>93</v>
      </c>
      <c r="G756" s="36" t="s">
        <v>94</v>
      </c>
      <c r="H756" s="36" t="s">
        <v>104</v>
      </c>
      <c r="I756" s="36" t="s">
        <v>98</v>
      </c>
      <c r="J756" s="36">
        <v>780</v>
      </c>
      <c r="K756" s="36">
        <v>1115.4000000000001</v>
      </c>
    </row>
    <row r="757" spans="1:11" x14ac:dyDescent="0.3">
      <c r="A757" s="36" t="s">
        <v>99</v>
      </c>
      <c r="B757" s="36">
        <v>2020</v>
      </c>
      <c r="C757" s="36" t="s">
        <v>1</v>
      </c>
      <c r="D757" s="36" t="s">
        <v>103</v>
      </c>
      <c r="E757" s="36" t="s">
        <v>105</v>
      </c>
      <c r="F757" s="36" t="s">
        <v>93</v>
      </c>
      <c r="G757" s="36" t="s">
        <v>94</v>
      </c>
      <c r="H757" s="36" t="s">
        <v>104</v>
      </c>
      <c r="I757" s="36" t="s">
        <v>98</v>
      </c>
      <c r="J757" s="36">
        <v>781</v>
      </c>
      <c r="K757" s="36">
        <v>1116.83</v>
      </c>
    </row>
    <row r="758" spans="1:11" x14ac:dyDescent="0.3">
      <c r="A758" s="36" t="s">
        <v>90</v>
      </c>
      <c r="B758" s="36">
        <v>2020</v>
      </c>
      <c r="C758" s="36" t="s">
        <v>1</v>
      </c>
      <c r="D758" s="36" t="s">
        <v>103</v>
      </c>
      <c r="E758" s="36" t="s">
        <v>105</v>
      </c>
      <c r="F758" s="36" t="s">
        <v>93</v>
      </c>
      <c r="G758" s="36" t="s">
        <v>94</v>
      </c>
      <c r="H758" s="36" t="s">
        <v>104</v>
      </c>
      <c r="I758" s="36" t="s">
        <v>98</v>
      </c>
      <c r="J758" s="36">
        <v>782</v>
      </c>
      <c r="K758" s="36">
        <v>1118.26</v>
      </c>
    </row>
    <row r="759" spans="1:11" x14ac:dyDescent="0.3">
      <c r="A759" s="36" t="s">
        <v>97</v>
      </c>
      <c r="B759" s="36">
        <v>2020</v>
      </c>
      <c r="C759" s="36" t="s">
        <v>1</v>
      </c>
      <c r="D759" s="36" t="s">
        <v>103</v>
      </c>
      <c r="E759" s="36" t="s">
        <v>105</v>
      </c>
      <c r="F759" s="36" t="s">
        <v>93</v>
      </c>
      <c r="G759" s="36" t="s">
        <v>94</v>
      </c>
      <c r="H759" s="36" t="s">
        <v>104</v>
      </c>
      <c r="I759" s="36" t="s">
        <v>98</v>
      </c>
      <c r="J759" s="36">
        <v>820</v>
      </c>
      <c r="K759" s="36">
        <v>526.24</v>
      </c>
    </row>
    <row r="760" spans="1:11" x14ac:dyDescent="0.3">
      <c r="A760" s="36" t="s">
        <v>97</v>
      </c>
      <c r="B760" s="36">
        <v>2020</v>
      </c>
      <c r="C760" s="36" t="s">
        <v>1</v>
      </c>
      <c r="D760" s="36" t="s">
        <v>103</v>
      </c>
      <c r="E760" s="36" t="s">
        <v>105</v>
      </c>
      <c r="F760" s="36" t="s">
        <v>93</v>
      </c>
      <c r="G760" s="36" t="s">
        <v>94</v>
      </c>
      <c r="H760" s="36" t="s">
        <v>104</v>
      </c>
      <c r="I760" s="36" t="s">
        <v>98</v>
      </c>
      <c r="J760" s="36">
        <v>821</v>
      </c>
      <c r="K760" s="36">
        <v>526.24</v>
      </c>
    </row>
    <row r="761" spans="1:11" x14ac:dyDescent="0.3">
      <c r="A761" s="36" t="s">
        <v>99</v>
      </c>
      <c r="B761" s="36">
        <v>2020</v>
      </c>
      <c r="C761" s="36" t="s">
        <v>0</v>
      </c>
      <c r="D761" s="36" t="s">
        <v>103</v>
      </c>
      <c r="E761" s="36" t="s">
        <v>105</v>
      </c>
      <c r="F761" s="36" t="s">
        <v>93</v>
      </c>
      <c r="G761" s="36" t="s">
        <v>94</v>
      </c>
      <c r="H761" s="36" t="s">
        <v>104</v>
      </c>
      <c r="I761" s="36" t="s">
        <v>96</v>
      </c>
      <c r="J761" s="36">
        <v>362</v>
      </c>
      <c r="K761" s="36">
        <v>517.66</v>
      </c>
    </row>
    <row r="762" spans="1:11" x14ac:dyDescent="0.3">
      <c r="A762" s="36" t="s">
        <v>99</v>
      </c>
      <c r="B762" s="36">
        <v>2020</v>
      </c>
      <c r="C762" s="36" t="s">
        <v>0</v>
      </c>
      <c r="D762" s="36" t="s">
        <v>103</v>
      </c>
      <c r="E762" s="36" t="s">
        <v>105</v>
      </c>
      <c r="F762" s="36" t="s">
        <v>93</v>
      </c>
      <c r="G762" s="36" t="s">
        <v>94</v>
      </c>
      <c r="H762" s="36" t="s">
        <v>104</v>
      </c>
      <c r="I762" s="36" t="s">
        <v>96</v>
      </c>
      <c r="J762" s="36">
        <v>779</v>
      </c>
      <c r="K762" s="36">
        <v>1113.97</v>
      </c>
    </row>
    <row r="763" spans="1:11" x14ac:dyDescent="0.3">
      <c r="A763" s="36" t="s">
        <v>100</v>
      </c>
      <c r="B763" s="36">
        <v>2020</v>
      </c>
      <c r="C763" s="36" t="s">
        <v>0</v>
      </c>
      <c r="D763" s="36" t="s">
        <v>103</v>
      </c>
      <c r="E763" s="36" t="s">
        <v>105</v>
      </c>
      <c r="F763" s="36" t="s">
        <v>93</v>
      </c>
      <c r="G763" s="36" t="s">
        <v>94</v>
      </c>
      <c r="H763" s="36" t="s">
        <v>104</v>
      </c>
      <c r="I763" s="36" t="s">
        <v>96</v>
      </c>
      <c r="J763" s="36">
        <v>819</v>
      </c>
      <c r="K763" s="36">
        <v>526.24</v>
      </c>
    </row>
    <row r="764" spans="1:11" x14ac:dyDescent="0.3">
      <c r="A764" s="36" t="s">
        <v>100</v>
      </c>
      <c r="B764" s="36">
        <v>2020</v>
      </c>
      <c r="C764" s="36" t="s">
        <v>0</v>
      </c>
      <c r="D764" s="36" t="s">
        <v>103</v>
      </c>
      <c r="E764" s="36" t="s">
        <v>105</v>
      </c>
      <c r="F764" s="36" t="s">
        <v>93</v>
      </c>
      <c r="G764" s="36" t="s">
        <v>94</v>
      </c>
      <c r="H764" s="36" t="s">
        <v>104</v>
      </c>
      <c r="I764" s="36" t="s">
        <v>96</v>
      </c>
      <c r="J764" s="36">
        <v>361</v>
      </c>
      <c r="K764" s="36">
        <v>516.23</v>
      </c>
    </row>
    <row r="765" spans="1:11" x14ac:dyDescent="0.3">
      <c r="A765" s="36" t="s">
        <v>97</v>
      </c>
      <c r="B765" s="36">
        <v>2020</v>
      </c>
      <c r="C765" s="36" t="s">
        <v>2</v>
      </c>
      <c r="D765" s="36" t="s">
        <v>103</v>
      </c>
      <c r="E765" s="36" t="s">
        <v>105</v>
      </c>
      <c r="F765" s="36" t="s">
        <v>93</v>
      </c>
      <c r="G765" s="36" t="s">
        <v>94</v>
      </c>
      <c r="H765" s="36" t="s">
        <v>104</v>
      </c>
      <c r="I765" s="36" t="s">
        <v>98</v>
      </c>
      <c r="J765" s="36">
        <v>822</v>
      </c>
      <c r="K765" s="36">
        <v>526.24</v>
      </c>
    </row>
    <row r="766" spans="1:11" x14ac:dyDescent="0.3">
      <c r="A766" s="36" t="s">
        <v>97</v>
      </c>
      <c r="B766" s="36">
        <v>2021</v>
      </c>
      <c r="C766" s="36" t="s">
        <v>11</v>
      </c>
      <c r="D766" s="36" t="s">
        <v>91</v>
      </c>
      <c r="E766" s="36" t="s">
        <v>92</v>
      </c>
      <c r="F766" s="36" t="s">
        <v>93</v>
      </c>
      <c r="G766" s="36" t="s">
        <v>102</v>
      </c>
      <c r="H766" s="36" t="s">
        <v>95</v>
      </c>
      <c r="I766" s="36" t="s">
        <v>96</v>
      </c>
      <c r="J766" s="36">
        <v>278</v>
      </c>
      <c r="K766" s="36">
        <v>397.53999999999996</v>
      </c>
    </row>
    <row r="767" spans="1:11" x14ac:dyDescent="0.3">
      <c r="A767" s="36" t="s">
        <v>90</v>
      </c>
      <c r="B767" s="36">
        <v>2021</v>
      </c>
      <c r="C767" s="36" t="s">
        <v>11</v>
      </c>
      <c r="D767" s="36" t="s">
        <v>91</v>
      </c>
      <c r="E767" s="36" t="s">
        <v>92</v>
      </c>
      <c r="F767" s="36" t="s">
        <v>93</v>
      </c>
      <c r="G767" s="36" t="s">
        <v>102</v>
      </c>
      <c r="H767" s="36" t="s">
        <v>95</v>
      </c>
      <c r="I767" s="36" t="s">
        <v>96</v>
      </c>
      <c r="J767" s="36">
        <v>272</v>
      </c>
      <c r="K767" s="36">
        <v>388.96</v>
      </c>
    </row>
    <row r="768" spans="1:11" x14ac:dyDescent="0.3">
      <c r="A768" s="36" t="s">
        <v>90</v>
      </c>
      <c r="B768" s="36">
        <v>2021</v>
      </c>
      <c r="C768" s="36" t="s">
        <v>11</v>
      </c>
      <c r="D768" s="36" t="s">
        <v>91</v>
      </c>
      <c r="E768" s="36" t="s">
        <v>92</v>
      </c>
      <c r="F768" s="36" t="s">
        <v>93</v>
      </c>
      <c r="G768" s="36" t="s">
        <v>102</v>
      </c>
      <c r="H768" s="36" t="s">
        <v>95</v>
      </c>
      <c r="I768" s="36" t="s">
        <v>96</v>
      </c>
      <c r="J768" s="36">
        <v>266</v>
      </c>
      <c r="K768" s="36">
        <v>380.38</v>
      </c>
    </row>
    <row r="769" spans="1:11" x14ac:dyDescent="0.3">
      <c r="A769" s="36" t="s">
        <v>99</v>
      </c>
      <c r="B769" s="36">
        <v>2021</v>
      </c>
      <c r="C769" s="36" t="s">
        <v>11</v>
      </c>
      <c r="D769" s="36" t="s">
        <v>91</v>
      </c>
      <c r="E769" s="36" t="s">
        <v>92</v>
      </c>
      <c r="F769" s="36" t="s">
        <v>93</v>
      </c>
      <c r="G769" s="36" t="s">
        <v>102</v>
      </c>
      <c r="H769" s="36" t="s">
        <v>95</v>
      </c>
      <c r="I769" s="36" t="s">
        <v>96</v>
      </c>
      <c r="J769" s="36">
        <v>276</v>
      </c>
      <c r="K769" s="36">
        <v>526.24</v>
      </c>
    </row>
    <row r="770" spans="1:11" x14ac:dyDescent="0.3">
      <c r="A770" s="36" t="s">
        <v>97</v>
      </c>
      <c r="B770" s="36">
        <v>2021</v>
      </c>
      <c r="C770" s="36" t="s">
        <v>11</v>
      </c>
      <c r="D770" s="36" t="s">
        <v>91</v>
      </c>
      <c r="E770" s="36" t="s">
        <v>92</v>
      </c>
      <c r="F770" s="36" t="s">
        <v>93</v>
      </c>
      <c r="G770" s="36" t="s">
        <v>102</v>
      </c>
      <c r="H770" s="36" t="s">
        <v>95</v>
      </c>
      <c r="I770" s="36" t="s">
        <v>96</v>
      </c>
      <c r="J770" s="36">
        <v>270</v>
      </c>
      <c r="K770" s="36">
        <v>526.24</v>
      </c>
    </row>
    <row r="771" spans="1:11" x14ac:dyDescent="0.3">
      <c r="A771" s="36" t="s">
        <v>97</v>
      </c>
      <c r="B771" s="36">
        <v>2021</v>
      </c>
      <c r="C771" s="36" t="s">
        <v>11</v>
      </c>
      <c r="D771" s="36" t="s">
        <v>91</v>
      </c>
      <c r="E771" s="36" t="s">
        <v>92</v>
      </c>
      <c r="F771" s="36" t="s">
        <v>93</v>
      </c>
      <c r="G771" s="36" t="s">
        <v>102</v>
      </c>
      <c r="H771" s="36" t="s">
        <v>95</v>
      </c>
      <c r="I771" s="36" t="s">
        <v>96</v>
      </c>
      <c r="J771" s="36">
        <v>279</v>
      </c>
      <c r="K771" s="36">
        <v>398.97</v>
      </c>
    </row>
    <row r="772" spans="1:11" x14ac:dyDescent="0.3">
      <c r="A772" s="36" t="s">
        <v>97</v>
      </c>
      <c r="B772" s="36">
        <v>2021</v>
      </c>
      <c r="C772" s="36" t="s">
        <v>11</v>
      </c>
      <c r="D772" s="36" t="s">
        <v>91</v>
      </c>
      <c r="E772" s="36" t="s">
        <v>92</v>
      </c>
      <c r="F772" s="36" t="s">
        <v>93</v>
      </c>
      <c r="G772" s="36" t="s">
        <v>102</v>
      </c>
      <c r="H772" s="36" t="s">
        <v>95</v>
      </c>
      <c r="I772" s="36" t="s">
        <v>96</v>
      </c>
      <c r="J772" s="36">
        <v>273</v>
      </c>
      <c r="K772" s="36">
        <v>390.39</v>
      </c>
    </row>
    <row r="773" spans="1:11" x14ac:dyDescent="0.3">
      <c r="A773" s="36" t="s">
        <v>90</v>
      </c>
      <c r="B773" s="36">
        <v>2021</v>
      </c>
      <c r="C773" s="36" t="s">
        <v>11</v>
      </c>
      <c r="D773" s="36" t="s">
        <v>91</v>
      </c>
      <c r="E773" s="36" t="s">
        <v>92</v>
      </c>
      <c r="F773" s="36" t="s">
        <v>93</v>
      </c>
      <c r="G773" s="36" t="s">
        <v>102</v>
      </c>
      <c r="H773" s="36" t="s">
        <v>95</v>
      </c>
      <c r="I773" s="36" t="s">
        <v>96</v>
      </c>
      <c r="J773" s="36">
        <v>267</v>
      </c>
      <c r="K773" s="36">
        <v>381.81</v>
      </c>
    </row>
    <row r="774" spans="1:11" x14ac:dyDescent="0.3">
      <c r="A774" s="36" t="s">
        <v>97</v>
      </c>
      <c r="B774" s="36">
        <v>2021</v>
      </c>
      <c r="C774" s="36" t="s">
        <v>11</v>
      </c>
      <c r="D774" s="36" t="s">
        <v>91</v>
      </c>
      <c r="E774" s="36" t="s">
        <v>92</v>
      </c>
      <c r="F774" s="36" t="s">
        <v>93</v>
      </c>
      <c r="G774" s="36" t="s">
        <v>102</v>
      </c>
      <c r="H774" s="36" t="s">
        <v>95</v>
      </c>
      <c r="I774" s="36" t="s">
        <v>96</v>
      </c>
      <c r="J774" s="36">
        <v>275</v>
      </c>
      <c r="K774" s="36">
        <v>393.25</v>
      </c>
    </row>
    <row r="775" spans="1:11" x14ac:dyDescent="0.3">
      <c r="A775" s="36" t="s">
        <v>97</v>
      </c>
      <c r="B775" s="36">
        <v>2021</v>
      </c>
      <c r="C775" s="36" t="s">
        <v>11</v>
      </c>
      <c r="D775" s="36" t="s">
        <v>91</v>
      </c>
      <c r="E775" s="36" t="s">
        <v>92</v>
      </c>
      <c r="F775" s="36" t="s">
        <v>93</v>
      </c>
      <c r="G775" s="36" t="s">
        <v>102</v>
      </c>
      <c r="H775" s="36" t="s">
        <v>95</v>
      </c>
      <c r="I775" s="36" t="s">
        <v>96</v>
      </c>
      <c r="J775" s="36">
        <v>269</v>
      </c>
      <c r="K775" s="36">
        <v>384.67</v>
      </c>
    </row>
    <row r="776" spans="1:11" x14ac:dyDescent="0.3">
      <c r="A776" s="36" t="s">
        <v>99</v>
      </c>
      <c r="B776" s="36">
        <v>2021</v>
      </c>
      <c r="C776" s="36" t="s">
        <v>10</v>
      </c>
      <c r="D776" s="36" t="s">
        <v>91</v>
      </c>
      <c r="E776" s="36" t="s">
        <v>92</v>
      </c>
      <c r="F776" s="36" t="s">
        <v>93</v>
      </c>
      <c r="G776" s="36" t="s">
        <v>102</v>
      </c>
      <c r="H776" s="36" t="s">
        <v>95</v>
      </c>
      <c r="I776" s="36" t="s">
        <v>96</v>
      </c>
      <c r="J776" s="36">
        <v>296</v>
      </c>
      <c r="K776" s="36">
        <v>423.28</v>
      </c>
    </row>
    <row r="777" spans="1:11" x14ac:dyDescent="0.3">
      <c r="A777" s="36" t="s">
        <v>97</v>
      </c>
      <c r="B777" s="36">
        <v>2021</v>
      </c>
      <c r="C777" s="36" t="s">
        <v>10</v>
      </c>
      <c r="D777" s="36" t="s">
        <v>91</v>
      </c>
      <c r="E777" s="36" t="s">
        <v>92</v>
      </c>
      <c r="F777" s="36" t="s">
        <v>93</v>
      </c>
      <c r="G777" s="36" t="s">
        <v>102</v>
      </c>
      <c r="H777" s="36" t="s">
        <v>95</v>
      </c>
      <c r="I777" s="36" t="s">
        <v>96</v>
      </c>
      <c r="J777" s="36">
        <v>290</v>
      </c>
      <c r="K777" s="36">
        <v>414.7</v>
      </c>
    </row>
    <row r="778" spans="1:11" x14ac:dyDescent="0.3">
      <c r="A778" s="36" t="s">
        <v>100</v>
      </c>
      <c r="B778" s="36">
        <v>2021</v>
      </c>
      <c r="C778" s="36" t="s">
        <v>10</v>
      </c>
      <c r="D778" s="36" t="s">
        <v>91</v>
      </c>
      <c r="E778" s="36" t="s">
        <v>92</v>
      </c>
      <c r="F778" s="36" t="s">
        <v>93</v>
      </c>
      <c r="G778" s="36" t="s">
        <v>102</v>
      </c>
      <c r="H778" s="36" t="s">
        <v>95</v>
      </c>
      <c r="I778" s="36" t="s">
        <v>96</v>
      </c>
      <c r="J778" s="36">
        <v>284</v>
      </c>
      <c r="K778" s="36">
        <v>406.12</v>
      </c>
    </row>
    <row r="779" spans="1:11" x14ac:dyDescent="0.3">
      <c r="A779" s="36" t="s">
        <v>101</v>
      </c>
      <c r="B779" s="36">
        <v>2021</v>
      </c>
      <c r="C779" s="36" t="s">
        <v>10</v>
      </c>
      <c r="D779" s="36" t="s">
        <v>91</v>
      </c>
      <c r="E779" s="36" t="s">
        <v>92</v>
      </c>
      <c r="F779" s="36" t="s">
        <v>93</v>
      </c>
      <c r="G779" s="36" t="s">
        <v>102</v>
      </c>
      <c r="H779" s="36" t="s">
        <v>95</v>
      </c>
      <c r="I779" s="36" t="s">
        <v>96</v>
      </c>
      <c r="J779" s="36">
        <v>294</v>
      </c>
      <c r="K779" s="36">
        <v>526.24</v>
      </c>
    </row>
    <row r="780" spans="1:11" x14ac:dyDescent="0.3">
      <c r="A780" s="36" t="s">
        <v>90</v>
      </c>
      <c r="B780" s="36">
        <v>2021</v>
      </c>
      <c r="C780" s="36" t="s">
        <v>10</v>
      </c>
      <c r="D780" s="36" t="s">
        <v>91</v>
      </c>
      <c r="E780" s="36" t="s">
        <v>92</v>
      </c>
      <c r="F780" s="36" t="s">
        <v>93</v>
      </c>
      <c r="G780" s="36" t="s">
        <v>102</v>
      </c>
      <c r="H780" s="36" t="s">
        <v>95</v>
      </c>
      <c r="I780" s="36" t="s">
        <v>96</v>
      </c>
      <c r="J780" s="36">
        <v>288</v>
      </c>
      <c r="K780" s="36">
        <v>526.24</v>
      </c>
    </row>
    <row r="781" spans="1:11" x14ac:dyDescent="0.3">
      <c r="A781" s="36" t="s">
        <v>90</v>
      </c>
      <c r="B781" s="36">
        <v>2021</v>
      </c>
      <c r="C781" s="36" t="s">
        <v>10</v>
      </c>
      <c r="D781" s="36" t="s">
        <v>91</v>
      </c>
      <c r="E781" s="36" t="s">
        <v>92</v>
      </c>
      <c r="F781" s="36" t="s">
        <v>93</v>
      </c>
      <c r="G781" s="36" t="s">
        <v>102</v>
      </c>
      <c r="H781" s="36" t="s">
        <v>95</v>
      </c>
      <c r="I781" s="36" t="s">
        <v>96</v>
      </c>
      <c r="J781" s="36">
        <v>282</v>
      </c>
      <c r="K781" s="36">
        <v>526.24</v>
      </c>
    </row>
    <row r="782" spans="1:11" x14ac:dyDescent="0.3">
      <c r="A782" s="36" t="s">
        <v>90</v>
      </c>
      <c r="B782" s="36">
        <v>2021</v>
      </c>
      <c r="C782" s="36" t="s">
        <v>10</v>
      </c>
      <c r="D782" s="36" t="s">
        <v>91</v>
      </c>
      <c r="E782" s="36" t="s">
        <v>92</v>
      </c>
      <c r="F782" s="36" t="s">
        <v>93</v>
      </c>
      <c r="G782" s="36" t="s">
        <v>102</v>
      </c>
      <c r="H782" s="36" t="s">
        <v>95</v>
      </c>
      <c r="I782" s="36" t="s">
        <v>96</v>
      </c>
      <c r="J782" s="36">
        <v>291</v>
      </c>
      <c r="K782" s="36">
        <v>416.13</v>
      </c>
    </row>
    <row r="783" spans="1:11" x14ac:dyDescent="0.3">
      <c r="A783" s="36" t="s">
        <v>101</v>
      </c>
      <c r="B783" s="36">
        <v>2021</v>
      </c>
      <c r="C783" s="36" t="s">
        <v>10</v>
      </c>
      <c r="D783" s="36" t="s">
        <v>91</v>
      </c>
      <c r="E783" s="36" t="s">
        <v>92</v>
      </c>
      <c r="F783" s="36" t="s">
        <v>93</v>
      </c>
      <c r="G783" s="36" t="s">
        <v>102</v>
      </c>
      <c r="H783" s="36" t="s">
        <v>95</v>
      </c>
      <c r="I783" s="36" t="s">
        <v>96</v>
      </c>
      <c r="J783" s="36">
        <v>285</v>
      </c>
      <c r="K783" s="36">
        <v>407.55</v>
      </c>
    </row>
    <row r="784" spans="1:11" x14ac:dyDescent="0.3">
      <c r="A784" s="36" t="s">
        <v>100</v>
      </c>
      <c r="B784" s="36">
        <v>2021</v>
      </c>
      <c r="C784" s="36" t="s">
        <v>10</v>
      </c>
      <c r="D784" s="36" t="s">
        <v>91</v>
      </c>
      <c r="E784" s="36" t="s">
        <v>92</v>
      </c>
      <c r="F784" s="36" t="s">
        <v>93</v>
      </c>
      <c r="G784" s="36" t="s">
        <v>102</v>
      </c>
      <c r="H784" s="36" t="s">
        <v>95</v>
      </c>
      <c r="I784" s="36" t="s">
        <v>96</v>
      </c>
      <c r="J784" s="36">
        <v>293</v>
      </c>
      <c r="K784" s="36">
        <v>418.99</v>
      </c>
    </row>
    <row r="785" spans="1:11" x14ac:dyDescent="0.3">
      <c r="A785" s="36" t="s">
        <v>99</v>
      </c>
      <c r="B785" s="36">
        <v>2021</v>
      </c>
      <c r="C785" s="36" t="s">
        <v>10</v>
      </c>
      <c r="D785" s="36" t="s">
        <v>91</v>
      </c>
      <c r="E785" s="36" t="s">
        <v>92</v>
      </c>
      <c r="F785" s="36" t="s">
        <v>93</v>
      </c>
      <c r="G785" s="36" t="s">
        <v>102</v>
      </c>
      <c r="H785" s="36" t="s">
        <v>95</v>
      </c>
      <c r="I785" s="36" t="s">
        <v>96</v>
      </c>
      <c r="J785" s="36">
        <v>287</v>
      </c>
      <c r="K785" s="36">
        <v>410.40999999999997</v>
      </c>
    </row>
    <row r="786" spans="1:11" x14ac:dyDescent="0.3">
      <c r="A786" s="36" t="s">
        <v>90</v>
      </c>
      <c r="B786" s="36">
        <v>2021</v>
      </c>
      <c r="C786" s="36" t="s">
        <v>10</v>
      </c>
      <c r="D786" s="36" t="s">
        <v>91</v>
      </c>
      <c r="E786" s="36" t="s">
        <v>92</v>
      </c>
      <c r="F786" s="36" t="s">
        <v>93</v>
      </c>
      <c r="G786" s="36" t="s">
        <v>102</v>
      </c>
      <c r="H786" s="36" t="s">
        <v>95</v>
      </c>
      <c r="I786" s="36" t="s">
        <v>96</v>
      </c>
      <c r="J786" s="36">
        <v>281</v>
      </c>
      <c r="K786" s="36">
        <v>401.83</v>
      </c>
    </row>
    <row r="787" spans="1:11" x14ac:dyDescent="0.3">
      <c r="A787" s="36" t="s">
        <v>99</v>
      </c>
      <c r="B787" s="36">
        <v>2021</v>
      </c>
      <c r="C787" s="36" t="s">
        <v>9</v>
      </c>
      <c r="D787" s="36" t="s">
        <v>91</v>
      </c>
      <c r="E787" s="36" t="s">
        <v>92</v>
      </c>
      <c r="F787" s="36" t="s">
        <v>93</v>
      </c>
      <c r="G787" s="36" t="s">
        <v>102</v>
      </c>
      <c r="H787" s="36" t="s">
        <v>95</v>
      </c>
      <c r="I787" s="36" t="s">
        <v>96</v>
      </c>
      <c r="J787" s="36">
        <v>308</v>
      </c>
      <c r="K787" s="36">
        <v>440.44</v>
      </c>
    </row>
    <row r="788" spans="1:11" x14ac:dyDescent="0.3">
      <c r="A788" s="36" t="s">
        <v>97</v>
      </c>
      <c r="B788" s="36">
        <v>2021</v>
      </c>
      <c r="C788" s="36" t="s">
        <v>9</v>
      </c>
      <c r="D788" s="36" t="s">
        <v>91</v>
      </c>
      <c r="E788" s="36" t="s">
        <v>92</v>
      </c>
      <c r="F788" s="36" t="s">
        <v>93</v>
      </c>
      <c r="G788" s="36" t="s">
        <v>102</v>
      </c>
      <c r="H788" s="36" t="s">
        <v>95</v>
      </c>
      <c r="I788" s="36" t="s">
        <v>96</v>
      </c>
      <c r="J788" s="36">
        <v>302</v>
      </c>
      <c r="K788" s="36">
        <v>431.86</v>
      </c>
    </row>
    <row r="789" spans="1:11" x14ac:dyDescent="0.3">
      <c r="A789" s="36" t="s">
        <v>97</v>
      </c>
      <c r="B789" s="36">
        <v>2021</v>
      </c>
      <c r="C789" s="36" t="s">
        <v>9</v>
      </c>
      <c r="D789" s="36" t="s">
        <v>91</v>
      </c>
      <c r="E789" s="36" t="s">
        <v>92</v>
      </c>
      <c r="F789" s="36" t="s">
        <v>93</v>
      </c>
      <c r="G789" s="36" t="s">
        <v>102</v>
      </c>
      <c r="H789" s="36" t="s">
        <v>95</v>
      </c>
      <c r="I789" s="36" t="s">
        <v>96</v>
      </c>
      <c r="J789" s="36">
        <v>306</v>
      </c>
      <c r="K789" s="36">
        <v>526.24</v>
      </c>
    </row>
    <row r="790" spans="1:11" x14ac:dyDescent="0.3">
      <c r="A790" s="36" t="s">
        <v>100</v>
      </c>
      <c r="B790" s="36">
        <v>2021</v>
      </c>
      <c r="C790" s="36" t="s">
        <v>9</v>
      </c>
      <c r="D790" s="36" t="s">
        <v>91</v>
      </c>
      <c r="E790" s="36" t="s">
        <v>92</v>
      </c>
      <c r="F790" s="36" t="s">
        <v>93</v>
      </c>
      <c r="G790" s="36" t="s">
        <v>102</v>
      </c>
      <c r="H790" s="36" t="s">
        <v>95</v>
      </c>
      <c r="I790" s="36" t="s">
        <v>96</v>
      </c>
      <c r="J790" s="36">
        <v>300</v>
      </c>
      <c r="K790" s="36">
        <v>526.24</v>
      </c>
    </row>
    <row r="791" spans="1:11" x14ac:dyDescent="0.3">
      <c r="A791" s="36" t="s">
        <v>99</v>
      </c>
      <c r="B791" s="36">
        <v>2021</v>
      </c>
      <c r="C791" s="36" t="s">
        <v>9</v>
      </c>
      <c r="D791" s="36" t="s">
        <v>91</v>
      </c>
      <c r="E791" s="36" t="s">
        <v>92</v>
      </c>
      <c r="F791" s="36" t="s">
        <v>93</v>
      </c>
      <c r="G791" s="36" t="s">
        <v>102</v>
      </c>
      <c r="H791" s="36" t="s">
        <v>95</v>
      </c>
      <c r="I791" s="36" t="s">
        <v>96</v>
      </c>
      <c r="J791" s="36">
        <v>309</v>
      </c>
      <c r="K791" s="36">
        <v>441.87</v>
      </c>
    </row>
    <row r="792" spans="1:11" x14ac:dyDescent="0.3">
      <c r="A792" s="36" t="s">
        <v>99</v>
      </c>
      <c r="B792" s="36">
        <v>2021</v>
      </c>
      <c r="C792" s="36" t="s">
        <v>9</v>
      </c>
      <c r="D792" s="36" t="s">
        <v>91</v>
      </c>
      <c r="E792" s="36" t="s">
        <v>92</v>
      </c>
      <c r="F792" s="36" t="s">
        <v>93</v>
      </c>
      <c r="G792" s="36" t="s">
        <v>102</v>
      </c>
      <c r="H792" s="36" t="s">
        <v>95</v>
      </c>
      <c r="I792" s="36" t="s">
        <v>96</v>
      </c>
      <c r="J792" s="36">
        <v>303</v>
      </c>
      <c r="K792" s="36">
        <v>433.28999999999996</v>
      </c>
    </row>
    <row r="793" spans="1:11" x14ac:dyDescent="0.3">
      <c r="A793" s="36" t="s">
        <v>99</v>
      </c>
      <c r="B793" s="36">
        <v>2021</v>
      </c>
      <c r="C793" s="36" t="s">
        <v>9</v>
      </c>
      <c r="D793" s="36" t="s">
        <v>91</v>
      </c>
      <c r="E793" s="36" t="s">
        <v>92</v>
      </c>
      <c r="F793" s="36" t="s">
        <v>93</v>
      </c>
      <c r="G793" s="36" t="s">
        <v>102</v>
      </c>
      <c r="H793" s="36" t="s">
        <v>95</v>
      </c>
      <c r="I793" s="36" t="s">
        <v>96</v>
      </c>
      <c r="J793" s="36">
        <v>297</v>
      </c>
      <c r="K793" s="36">
        <v>424.71</v>
      </c>
    </row>
    <row r="794" spans="1:11" x14ac:dyDescent="0.3">
      <c r="A794" s="36" t="s">
        <v>90</v>
      </c>
      <c r="B794" s="36">
        <v>2021</v>
      </c>
      <c r="C794" s="36" t="s">
        <v>9</v>
      </c>
      <c r="D794" s="36" t="s">
        <v>91</v>
      </c>
      <c r="E794" s="36" t="s">
        <v>92</v>
      </c>
      <c r="F794" s="36" t="s">
        <v>93</v>
      </c>
      <c r="G794" s="36" t="s">
        <v>102</v>
      </c>
      <c r="H794" s="36" t="s">
        <v>95</v>
      </c>
      <c r="I794" s="36" t="s">
        <v>96</v>
      </c>
      <c r="J794" s="36">
        <v>305</v>
      </c>
      <c r="K794" s="36">
        <v>436.15</v>
      </c>
    </row>
    <row r="795" spans="1:11" x14ac:dyDescent="0.3">
      <c r="A795" s="36" t="s">
        <v>90</v>
      </c>
      <c r="B795" s="36">
        <v>2021</v>
      </c>
      <c r="C795" s="36" t="s">
        <v>9</v>
      </c>
      <c r="D795" s="36" t="s">
        <v>91</v>
      </c>
      <c r="E795" s="36" t="s">
        <v>92</v>
      </c>
      <c r="F795" s="36" t="s">
        <v>93</v>
      </c>
      <c r="G795" s="36" t="s">
        <v>102</v>
      </c>
      <c r="H795" s="36" t="s">
        <v>95</v>
      </c>
      <c r="I795" s="36" t="s">
        <v>96</v>
      </c>
      <c r="J795" s="36">
        <v>299</v>
      </c>
      <c r="K795" s="36">
        <v>427.57</v>
      </c>
    </row>
    <row r="796" spans="1:11" x14ac:dyDescent="0.3">
      <c r="A796" s="36" t="s">
        <v>90</v>
      </c>
      <c r="B796" s="36">
        <v>2021</v>
      </c>
      <c r="C796" s="36" t="s">
        <v>3</v>
      </c>
      <c r="D796" s="36" t="s">
        <v>91</v>
      </c>
      <c r="E796" s="36" t="s">
        <v>92</v>
      </c>
      <c r="F796" s="36" t="s">
        <v>93</v>
      </c>
      <c r="G796" s="36" t="s">
        <v>94</v>
      </c>
      <c r="H796" s="36" t="s">
        <v>95</v>
      </c>
      <c r="I796" s="36" t="s">
        <v>96</v>
      </c>
      <c r="J796" s="36">
        <v>158</v>
      </c>
      <c r="K796" s="36">
        <v>526.24</v>
      </c>
    </row>
    <row r="797" spans="1:11" x14ac:dyDescent="0.3">
      <c r="A797" s="36" t="s">
        <v>90</v>
      </c>
      <c r="B797" s="36">
        <v>2021</v>
      </c>
      <c r="C797" s="36" t="s">
        <v>3</v>
      </c>
      <c r="D797" s="36" t="s">
        <v>91</v>
      </c>
      <c r="E797" s="36" t="s">
        <v>92</v>
      </c>
      <c r="F797" s="36" t="s">
        <v>93</v>
      </c>
      <c r="G797" s="36" t="s">
        <v>94</v>
      </c>
      <c r="H797" s="36" t="s">
        <v>95</v>
      </c>
      <c r="I797" s="36" t="s">
        <v>96</v>
      </c>
      <c r="J797" s="36">
        <v>152</v>
      </c>
      <c r="K797" s="36">
        <v>526.24</v>
      </c>
    </row>
    <row r="798" spans="1:11" x14ac:dyDescent="0.3">
      <c r="A798" s="36" t="s">
        <v>97</v>
      </c>
      <c r="B798" s="36">
        <v>2021</v>
      </c>
      <c r="C798" s="36" t="s">
        <v>3</v>
      </c>
      <c r="D798" s="36" t="s">
        <v>91</v>
      </c>
      <c r="E798" s="36" t="s">
        <v>92</v>
      </c>
      <c r="F798" s="36" t="s">
        <v>93</v>
      </c>
      <c r="G798" s="36" t="s">
        <v>94</v>
      </c>
      <c r="H798" s="36" t="s">
        <v>95</v>
      </c>
      <c r="I798" s="36" t="s">
        <v>98</v>
      </c>
      <c r="J798" s="36">
        <v>170</v>
      </c>
      <c r="K798" s="36">
        <v>243.1</v>
      </c>
    </row>
    <row r="799" spans="1:11" x14ac:dyDescent="0.3">
      <c r="A799" s="36" t="s">
        <v>97</v>
      </c>
      <c r="B799" s="36">
        <v>2021</v>
      </c>
      <c r="C799" s="36" t="s">
        <v>3</v>
      </c>
      <c r="D799" s="36" t="s">
        <v>91</v>
      </c>
      <c r="E799" s="36" t="s">
        <v>92</v>
      </c>
      <c r="F799" s="36" t="s">
        <v>93</v>
      </c>
      <c r="G799" s="36" t="s">
        <v>94</v>
      </c>
      <c r="H799" s="36" t="s">
        <v>95</v>
      </c>
      <c r="I799" s="36" t="s">
        <v>98</v>
      </c>
      <c r="J799" s="36">
        <v>218</v>
      </c>
      <c r="K799" s="36">
        <v>311.74</v>
      </c>
    </row>
    <row r="800" spans="1:11" x14ac:dyDescent="0.3">
      <c r="A800" s="36" t="s">
        <v>90</v>
      </c>
      <c r="B800" s="36">
        <v>2021</v>
      </c>
      <c r="C800" s="36" t="s">
        <v>3</v>
      </c>
      <c r="D800" s="36" t="s">
        <v>91</v>
      </c>
      <c r="E800" s="36" t="s">
        <v>92</v>
      </c>
      <c r="F800" s="36" t="s">
        <v>93</v>
      </c>
      <c r="G800" s="36" t="s">
        <v>94</v>
      </c>
      <c r="H800" s="36" t="s">
        <v>95</v>
      </c>
      <c r="I800" s="36" t="s">
        <v>98</v>
      </c>
      <c r="J800" s="36">
        <v>146</v>
      </c>
      <c r="K800" s="36">
        <v>208.78</v>
      </c>
    </row>
    <row r="801" spans="1:11" x14ac:dyDescent="0.3">
      <c r="A801" s="36" t="s">
        <v>99</v>
      </c>
      <c r="B801" s="36">
        <v>2021</v>
      </c>
      <c r="C801" s="36" t="s">
        <v>3</v>
      </c>
      <c r="D801" s="36" t="s">
        <v>91</v>
      </c>
      <c r="E801" s="36" t="s">
        <v>92</v>
      </c>
      <c r="F801" s="36" t="s">
        <v>93</v>
      </c>
      <c r="G801" s="36" t="s">
        <v>94</v>
      </c>
      <c r="H801" s="36" t="s">
        <v>95</v>
      </c>
      <c r="I801" s="36" t="s">
        <v>98</v>
      </c>
      <c r="J801" s="36">
        <v>172</v>
      </c>
      <c r="K801" s="36">
        <v>245.95999999999998</v>
      </c>
    </row>
    <row r="802" spans="1:11" x14ac:dyDescent="0.3">
      <c r="A802" s="36" t="s">
        <v>90</v>
      </c>
      <c r="B802" s="36">
        <v>2021</v>
      </c>
      <c r="C802" s="36" t="s">
        <v>3</v>
      </c>
      <c r="D802" s="36" t="s">
        <v>91</v>
      </c>
      <c r="E802" s="36" t="s">
        <v>92</v>
      </c>
      <c r="F802" s="36" t="s">
        <v>93</v>
      </c>
      <c r="G802" s="36" t="s">
        <v>94</v>
      </c>
      <c r="H802" s="36" t="s">
        <v>95</v>
      </c>
      <c r="I802" s="36" t="s">
        <v>98</v>
      </c>
      <c r="J802" s="36">
        <v>220</v>
      </c>
      <c r="K802" s="36">
        <v>314.60000000000002</v>
      </c>
    </row>
    <row r="803" spans="1:11" x14ac:dyDescent="0.3">
      <c r="A803" s="36" t="s">
        <v>90</v>
      </c>
      <c r="B803" s="36">
        <v>2021</v>
      </c>
      <c r="C803" s="36" t="s">
        <v>3</v>
      </c>
      <c r="D803" s="36" t="s">
        <v>91</v>
      </c>
      <c r="E803" s="36" t="s">
        <v>92</v>
      </c>
      <c r="F803" s="36" t="s">
        <v>93</v>
      </c>
      <c r="G803" s="36" t="s">
        <v>94</v>
      </c>
      <c r="H803" s="36" t="s">
        <v>95</v>
      </c>
      <c r="I803" s="36" t="s">
        <v>98</v>
      </c>
      <c r="J803" s="36">
        <v>162</v>
      </c>
      <c r="K803" s="36">
        <v>526.24</v>
      </c>
    </row>
    <row r="804" spans="1:11" x14ac:dyDescent="0.3">
      <c r="A804" s="36" t="s">
        <v>97</v>
      </c>
      <c r="B804" s="36">
        <v>2021</v>
      </c>
      <c r="C804" s="36" t="s">
        <v>3</v>
      </c>
      <c r="D804" s="36" t="s">
        <v>91</v>
      </c>
      <c r="E804" s="36" t="s">
        <v>92</v>
      </c>
      <c r="F804" s="36" t="s">
        <v>93</v>
      </c>
      <c r="G804" s="36" t="s">
        <v>94</v>
      </c>
      <c r="H804" s="36" t="s">
        <v>95</v>
      </c>
      <c r="I804" s="36" t="s">
        <v>98</v>
      </c>
      <c r="J804" s="36">
        <v>156</v>
      </c>
      <c r="K804" s="36">
        <v>526.24</v>
      </c>
    </row>
    <row r="805" spans="1:11" x14ac:dyDescent="0.3">
      <c r="A805" s="36" t="s">
        <v>97</v>
      </c>
      <c r="B805" s="36">
        <v>2021</v>
      </c>
      <c r="C805" s="36" t="s">
        <v>3</v>
      </c>
      <c r="D805" s="36" t="s">
        <v>91</v>
      </c>
      <c r="E805" s="36" t="s">
        <v>92</v>
      </c>
      <c r="F805" s="36" t="s">
        <v>93</v>
      </c>
      <c r="G805" s="36" t="s">
        <v>94</v>
      </c>
      <c r="H805" s="36" t="s">
        <v>95</v>
      </c>
      <c r="I805" s="36" t="s">
        <v>98</v>
      </c>
      <c r="J805" s="36">
        <v>150</v>
      </c>
      <c r="K805" s="36">
        <v>526.24</v>
      </c>
    </row>
    <row r="806" spans="1:11" x14ac:dyDescent="0.3">
      <c r="A806" s="36" t="s">
        <v>97</v>
      </c>
      <c r="B806" s="36">
        <v>2021</v>
      </c>
      <c r="C806" s="36" t="s">
        <v>3</v>
      </c>
      <c r="D806" s="36" t="s">
        <v>91</v>
      </c>
      <c r="E806" s="36" t="s">
        <v>92</v>
      </c>
      <c r="F806" s="36" t="s">
        <v>93</v>
      </c>
      <c r="G806" s="36" t="s">
        <v>94</v>
      </c>
      <c r="H806" s="36" t="s">
        <v>95</v>
      </c>
      <c r="I806" s="36" t="s">
        <v>98</v>
      </c>
      <c r="J806" s="36">
        <v>687</v>
      </c>
      <c r="K806" s="36">
        <v>982.41</v>
      </c>
    </row>
    <row r="807" spans="1:11" x14ac:dyDescent="0.3">
      <c r="A807" s="36" t="s">
        <v>90</v>
      </c>
      <c r="B807" s="36">
        <v>2021</v>
      </c>
      <c r="C807" s="36" t="s">
        <v>3</v>
      </c>
      <c r="D807" s="36" t="s">
        <v>91</v>
      </c>
      <c r="E807" s="36" t="s">
        <v>92</v>
      </c>
      <c r="F807" s="36" t="s">
        <v>93</v>
      </c>
      <c r="G807" s="36" t="s">
        <v>94</v>
      </c>
      <c r="H807" s="36" t="s">
        <v>95</v>
      </c>
      <c r="I807" s="36" t="s">
        <v>98</v>
      </c>
      <c r="J807" s="36">
        <v>721</v>
      </c>
      <c r="K807" s="36">
        <v>1031.03</v>
      </c>
    </row>
    <row r="808" spans="1:11" x14ac:dyDescent="0.3">
      <c r="A808" s="36" t="s">
        <v>97</v>
      </c>
      <c r="B808" s="36">
        <v>2021</v>
      </c>
      <c r="C808" s="36" t="s">
        <v>3</v>
      </c>
      <c r="D808" s="36" t="s">
        <v>91</v>
      </c>
      <c r="E808" s="36" t="s">
        <v>92</v>
      </c>
      <c r="F808" s="36" t="s">
        <v>93</v>
      </c>
      <c r="G808" s="36" t="s">
        <v>94</v>
      </c>
      <c r="H808" s="36" t="s">
        <v>95</v>
      </c>
      <c r="I808" s="36" t="s">
        <v>98</v>
      </c>
      <c r="J808" s="36">
        <v>774</v>
      </c>
      <c r="K808" s="36">
        <v>1106.82</v>
      </c>
    </row>
    <row r="809" spans="1:11" x14ac:dyDescent="0.3">
      <c r="A809" s="36" t="s">
        <v>90</v>
      </c>
      <c r="B809" s="36">
        <v>2021</v>
      </c>
      <c r="C809" s="36" t="s">
        <v>3</v>
      </c>
      <c r="D809" s="36" t="s">
        <v>91</v>
      </c>
      <c r="E809" s="36" t="s">
        <v>92</v>
      </c>
      <c r="F809" s="36" t="s">
        <v>93</v>
      </c>
      <c r="G809" s="36" t="s">
        <v>94</v>
      </c>
      <c r="H809" s="36" t="s">
        <v>95</v>
      </c>
      <c r="I809" s="36" t="s">
        <v>98</v>
      </c>
      <c r="J809" s="36">
        <v>159</v>
      </c>
      <c r="K809" s="36">
        <v>227.37</v>
      </c>
    </row>
    <row r="810" spans="1:11" x14ac:dyDescent="0.3">
      <c r="A810" s="36" t="s">
        <v>97</v>
      </c>
      <c r="B810" s="36">
        <v>2021</v>
      </c>
      <c r="C810" s="36" t="s">
        <v>3</v>
      </c>
      <c r="D810" s="36" t="s">
        <v>91</v>
      </c>
      <c r="E810" s="36" t="s">
        <v>92</v>
      </c>
      <c r="F810" s="36" t="s">
        <v>93</v>
      </c>
      <c r="G810" s="36" t="s">
        <v>94</v>
      </c>
      <c r="H810" s="36" t="s">
        <v>95</v>
      </c>
      <c r="I810" s="36" t="s">
        <v>98</v>
      </c>
      <c r="J810" s="36">
        <v>153</v>
      </c>
      <c r="K810" s="36">
        <v>218.79</v>
      </c>
    </row>
    <row r="811" spans="1:11" x14ac:dyDescent="0.3">
      <c r="A811" s="36" t="s">
        <v>90</v>
      </c>
      <c r="B811" s="36">
        <v>2021</v>
      </c>
      <c r="C811" s="36" t="s">
        <v>3</v>
      </c>
      <c r="D811" s="36" t="s">
        <v>91</v>
      </c>
      <c r="E811" s="36" t="s">
        <v>92</v>
      </c>
      <c r="F811" s="36" t="s">
        <v>93</v>
      </c>
      <c r="G811" s="36" t="s">
        <v>94</v>
      </c>
      <c r="H811" s="36" t="s">
        <v>95</v>
      </c>
      <c r="I811" s="36" t="s">
        <v>98</v>
      </c>
      <c r="J811" s="36">
        <v>147</v>
      </c>
      <c r="K811" s="36">
        <v>210.21</v>
      </c>
    </row>
    <row r="812" spans="1:11" x14ac:dyDescent="0.3">
      <c r="A812" s="36" t="s">
        <v>97</v>
      </c>
      <c r="B812" s="36">
        <v>2021</v>
      </c>
      <c r="C812" s="36" t="s">
        <v>3</v>
      </c>
      <c r="D812" s="36" t="s">
        <v>91</v>
      </c>
      <c r="E812" s="36" t="s">
        <v>92</v>
      </c>
      <c r="F812" s="36" t="s">
        <v>93</v>
      </c>
      <c r="G812" s="36" t="s">
        <v>94</v>
      </c>
      <c r="H812" s="36" t="s">
        <v>95</v>
      </c>
      <c r="I812" s="36" t="s">
        <v>98</v>
      </c>
      <c r="J812" s="36">
        <v>171</v>
      </c>
      <c r="K812" s="36">
        <v>244.53</v>
      </c>
    </row>
    <row r="813" spans="1:11" x14ac:dyDescent="0.3">
      <c r="A813" s="36" t="s">
        <v>97</v>
      </c>
      <c r="B813" s="36">
        <v>2021</v>
      </c>
      <c r="C813" s="36" t="s">
        <v>3</v>
      </c>
      <c r="D813" s="36" t="s">
        <v>91</v>
      </c>
      <c r="E813" s="36" t="s">
        <v>92</v>
      </c>
      <c r="F813" s="36" t="s">
        <v>93</v>
      </c>
      <c r="G813" s="36" t="s">
        <v>94</v>
      </c>
      <c r="H813" s="36" t="s">
        <v>95</v>
      </c>
      <c r="I813" s="36" t="s">
        <v>98</v>
      </c>
      <c r="J813" s="36">
        <v>760</v>
      </c>
      <c r="K813" s="36">
        <v>526.24</v>
      </c>
    </row>
    <row r="814" spans="1:11" x14ac:dyDescent="0.3">
      <c r="A814" s="36" t="s">
        <v>97</v>
      </c>
      <c r="B814" s="36">
        <v>2021</v>
      </c>
      <c r="C814" s="36" t="s">
        <v>3</v>
      </c>
      <c r="D814" s="36" t="s">
        <v>91</v>
      </c>
      <c r="E814" s="36" t="s">
        <v>92</v>
      </c>
      <c r="F814" s="36" t="s">
        <v>93</v>
      </c>
      <c r="G814" s="36" t="s">
        <v>94</v>
      </c>
      <c r="H814" s="36" t="s">
        <v>95</v>
      </c>
      <c r="I814" s="36" t="s">
        <v>98</v>
      </c>
      <c r="J814" s="36">
        <v>813</v>
      </c>
      <c r="K814" s="36">
        <v>526.24</v>
      </c>
    </row>
    <row r="815" spans="1:11" x14ac:dyDescent="0.3">
      <c r="A815" s="36" t="s">
        <v>97</v>
      </c>
      <c r="B815" s="36">
        <v>2021</v>
      </c>
      <c r="C815" s="36" t="s">
        <v>3</v>
      </c>
      <c r="D815" s="36" t="s">
        <v>91</v>
      </c>
      <c r="E815" s="36" t="s">
        <v>92</v>
      </c>
      <c r="F815" s="36" t="s">
        <v>93</v>
      </c>
      <c r="G815" s="36" t="s">
        <v>94</v>
      </c>
      <c r="H815" s="36" t="s">
        <v>95</v>
      </c>
      <c r="I815" s="36" t="s">
        <v>98</v>
      </c>
      <c r="J815" s="36">
        <v>217</v>
      </c>
      <c r="K815" s="36">
        <v>310.31</v>
      </c>
    </row>
    <row r="816" spans="1:11" x14ac:dyDescent="0.3">
      <c r="A816" s="36" t="s">
        <v>99</v>
      </c>
      <c r="B816" s="36">
        <v>2021</v>
      </c>
      <c r="C816" s="36" t="s">
        <v>3</v>
      </c>
      <c r="D816" s="36" t="s">
        <v>91</v>
      </c>
      <c r="E816" s="36" t="s">
        <v>92</v>
      </c>
      <c r="F816" s="36" t="s">
        <v>93</v>
      </c>
      <c r="G816" s="36" t="s">
        <v>94</v>
      </c>
      <c r="H816" s="36" t="s">
        <v>95</v>
      </c>
      <c r="I816" s="36" t="s">
        <v>98</v>
      </c>
      <c r="J816" s="36">
        <v>145</v>
      </c>
      <c r="K816" s="36">
        <v>207.35</v>
      </c>
    </row>
    <row r="817" spans="1:11" x14ac:dyDescent="0.3">
      <c r="A817" s="36" t="s">
        <v>97</v>
      </c>
      <c r="B817" s="36">
        <v>2021</v>
      </c>
      <c r="C817" s="36" t="s">
        <v>3</v>
      </c>
      <c r="D817" s="36" t="s">
        <v>91</v>
      </c>
      <c r="E817" s="36" t="s">
        <v>92</v>
      </c>
      <c r="F817" s="36" t="s">
        <v>93</v>
      </c>
      <c r="G817" s="36" t="s">
        <v>94</v>
      </c>
      <c r="H817" s="36" t="s">
        <v>95</v>
      </c>
      <c r="I817" s="36" t="s">
        <v>96</v>
      </c>
      <c r="J817" s="36">
        <v>161</v>
      </c>
      <c r="K817" s="36">
        <v>230.23000000000002</v>
      </c>
    </row>
    <row r="818" spans="1:11" x14ac:dyDescent="0.3">
      <c r="A818" s="36" t="s">
        <v>100</v>
      </c>
      <c r="B818" s="36">
        <v>2021</v>
      </c>
      <c r="C818" s="36" t="s">
        <v>3</v>
      </c>
      <c r="D818" s="36" t="s">
        <v>91</v>
      </c>
      <c r="E818" s="36" t="s">
        <v>92</v>
      </c>
      <c r="F818" s="36" t="s">
        <v>93</v>
      </c>
      <c r="G818" s="36" t="s">
        <v>94</v>
      </c>
      <c r="H818" s="36" t="s">
        <v>95</v>
      </c>
      <c r="I818" s="36" t="s">
        <v>96</v>
      </c>
      <c r="J818" s="36">
        <v>155</v>
      </c>
      <c r="K818" s="36">
        <v>221.65</v>
      </c>
    </row>
    <row r="819" spans="1:11" x14ac:dyDescent="0.3">
      <c r="A819" s="36" t="s">
        <v>97</v>
      </c>
      <c r="B819" s="36">
        <v>2021</v>
      </c>
      <c r="C819" s="36" t="s">
        <v>3</v>
      </c>
      <c r="D819" s="36" t="s">
        <v>91</v>
      </c>
      <c r="E819" s="36" t="s">
        <v>92</v>
      </c>
      <c r="F819" s="36" t="s">
        <v>93</v>
      </c>
      <c r="G819" s="36" t="s">
        <v>94</v>
      </c>
      <c r="H819" s="36" t="s">
        <v>95</v>
      </c>
      <c r="I819" s="36" t="s">
        <v>96</v>
      </c>
      <c r="J819" s="36">
        <v>149</v>
      </c>
      <c r="K819" s="36">
        <v>213.07</v>
      </c>
    </row>
    <row r="820" spans="1:11" x14ac:dyDescent="0.3">
      <c r="A820" s="36" t="s">
        <v>90</v>
      </c>
      <c r="B820" s="36">
        <v>2021</v>
      </c>
      <c r="C820" s="36" t="s">
        <v>3</v>
      </c>
      <c r="D820" s="36" t="s">
        <v>91</v>
      </c>
      <c r="E820" s="36" t="s">
        <v>92</v>
      </c>
      <c r="F820" s="36" t="s">
        <v>93</v>
      </c>
      <c r="G820" s="36" t="s">
        <v>94</v>
      </c>
      <c r="H820" s="36" t="s">
        <v>95</v>
      </c>
      <c r="I820" s="36" t="s">
        <v>98</v>
      </c>
      <c r="J820" s="36">
        <v>173</v>
      </c>
      <c r="K820" s="36">
        <v>247.39</v>
      </c>
    </row>
    <row r="821" spans="1:11" x14ac:dyDescent="0.3">
      <c r="A821" s="36" t="s">
        <v>90</v>
      </c>
      <c r="B821" s="36">
        <v>2021</v>
      </c>
      <c r="C821" s="36" t="s">
        <v>3</v>
      </c>
      <c r="D821" s="36" t="s">
        <v>91</v>
      </c>
      <c r="E821" s="36" t="s">
        <v>92</v>
      </c>
      <c r="F821" s="36" t="s">
        <v>93</v>
      </c>
      <c r="G821" s="36" t="s">
        <v>94</v>
      </c>
      <c r="H821" s="36" t="s">
        <v>95</v>
      </c>
      <c r="I821" s="36" t="s">
        <v>98</v>
      </c>
      <c r="J821" s="36">
        <v>221</v>
      </c>
      <c r="K821" s="36">
        <v>316.02999999999997</v>
      </c>
    </row>
    <row r="822" spans="1:11" x14ac:dyDescent="0.3">
      <c r="A822" s="36" t="s">
        <v>97</v>
      </c>
      <c r="B822" s="36">
        <v>2021</v>
      </c>
      <c r="C822" s="36" t="s">
        <v>3</v>
      </c>
      <c r="D822" s="36" t="s">
        <v>91</v>
      </c>
      <c r="E822" s="36" t="s">
        <v>92</v>
      </c>
      <c r="F822" s="36" t="s">
        <v>93</v>
      </c>
      <c r="G822" s="36" t="s">
        <v>94</v>
      </c>
      <c r="H822" s="36" t="s">
        <v>95</v>
      </c>
      <c r="I822" s="36" t="s">
        <v>98</v>
      </c>
      <c r="J822" s="36">
        <v>783</v>
      </c>
      <c r="K822" s="36">
        <v>1119.69</v>
      </c>
    </row>
    <row r="823" spans="1:11" x14ac:dyDescent="0.3">
      <c r="A823" s="36" t="s">
        <v>90</v>
      </c>
      <c r="B823" s="36">
        <v>2021</v>
      </c>
      <c r="C823" s="36" t="s">
        <v>7</v>
      </c>
      <c r="D823" s="36" t="s">
        <v>91</v>
      </c>
      <c r="E823" s="36" t="s">
        <v>92</v>
      </c>
      <c r="F823" s="36" t="s">
        <v>93</v>
      </c>
      <c r="G823" s="36" t="s">
        <v>94</v>
      </c>
      <c r="H823" s="36" t="s">
        <v>95</v>
      </c>
      <c r="I823" s="36" t="s">
        <v>96</v>
      </c>
      <c r="J823" s="36">
        <v>344</v>
      </c>
      <c r="K823" s="36">
        <v>491.91999999999996</v>
      </c>
    </row>
    <row r="824" spans="1:11" x14ac:dyDescent="0.3">
      <c r="A824" s="36" t="s">
        <v>90</v>
      </c>
      <c r="B824" s="36">
        <v>2021</v>
      </c>
      <c r="C824" s="36" t="s">
        <v>7</v>
      </c>
      <c r="D824" s="36" t="s">
        <v>91</v>
      </c>
      <c r="E824" s="36" t="s">
        <v>92</v>
      </c>
      <c r="F824" s="36" t="s">
        <v>93</v>
      </c>
      <c r="G824" s="36" t="s">
        <v>94</v>
      </c>
      <c r="H824" s="36" t="s">
        <v>95</v>
      </c>
      <c r="I824" s="36" t="s">
        <v>96</v>
      </c>
      <c r="J824" s="36">
        <v>338</v>
      </c>
      <c r="K824" s="36">
        <v>483.34000000000003</v>
      </c>
    </row>
    <row r="825" spans="1:11" x14ac:dyDescent="0.3">
      <c r="A825" s="36" t="s">
        <v>90</v>
      </c>
      <c r="B825" s="36">
        <v>2021</v>
      </c>
      <c r="C825" s="36" t="s">
        <v>7</v>
      </c>
      <c r="D825" s="36" t="s">
        <v>91</v>
      </c>
      <c r="E825" s="36" t="s">
        <v>92</v>
      </c>
      <c r="F825" s="36" t="s">
        <v>93</v>
      </c>
      <c r="G825" s="36" t="s">
        <v>94</v>
      </c>
      <c r="H825" s="36" t="s">
        <v>95</v>
      </c>
      <c r="I825" s="36" t="s">
        <v>96</v>
      </c>
      <c r="J825" s="36">
        <v>332</v>
      </c>
      <c r="K825" s="36">
        <v>474.76</v>
      </c>
    </row>
    <row r="826" spans="1:11" x14ac:dyDescent="0.3">
      <c r="A826" s="36" t="s">
        <v>99</v>
      </c>
      <c r="B826" s="36">
        <v>2021</v>
      </c>
      <c r="C826" s="36" t="s">
        <v>7</v>
      </c>
      <c r="D826" s="36" t="s">
        <v>91</v>
      </c>
      <c r="E826" s="36" t="s">
        <v>92</v>
      </c>
      <c r="F826" s="36" t="s">
        <v>93</v>
      </c>
      <c r="G826" s="36" t="s">
        <v>94</v>
      </c>
      <c r="H826" s="36" t="s">
        <v>95</v>
      </c>
      <c r="I826" s="36" t="s">
        <v>98</v>
      </c>
      <c r="J826" s="36">
        <v>152</v>
      </c>
      <c r="K826" s="36">
        <v>206.72</v>
      </c>
    </row>
    <row r="827" spans="1:11" x14ac:dyDescent="0.3">
      <c r="A827" s="36" t="s">
        <v>99</v>
      </c>
      <c r="B827" s="36">
        <v>2021</v>
      </c>
      <c r="C827" s="36" t="s">
        <v>7</v>
      </c>
      <c r="D827" s="36" t="s">
        <v>91</v>
      </c>
      <c r="E827" s="36" t="s">
        <v>92</v>
      </c>
      <c r="F827" s="36" t="s">
        <v>93</v>
      </c>
      <c r="G827" s="36" t="s">
        <v>94</v>
      </c>
      <c r="H827" s="36" t="s">
        <v>95</v>
      </c>
      <c r="I827" s="36" t="s">
        <v>98</v>
      </c>
      <c r="J827" s="36">
        <v>368</v>
      </c>
      <c r="K827" s="36">
        <v>526.24</v>
      </c>
    </row>
    <row r="828" spans="1:11" x14ac:dyDescent="0.3">
      <c r="A828" s="36" t="s">
        <v>101</v>
      </c>
      <c r="B828" s="36">
        <v>2021</v>
      </c>
      <c r="C828" s="36" t="s">
        <v>7</v>
      </c>
      <c r="D828" s="36" t="s">
        <v>91</v>
      </c>
      <c r="E828" s="36" t="s">
        <v>92</v>
      </c>
      <c r="F828" s="36" t="s">
        <v>93</v>
      </c>
      <c r="G828" s="36" t="s">
        <v>94</v>
      </c>
      <c r="H828" s="36" t="s">
        <v>95</v>
      </c>
      <c r="I828" s="36" t="s">
        <v>98</v>
      </c>
      <c r="J828" s="36">
        <v>148</v>
      </c>
      <c r="K828" s="36">
        <v>211.64</v>
      </c>
    </row>
    <row r="829" spans="1:11" x14ac:dyDescent="0.3">
      <c r="A829" s="36" t="s">
        <v>90</v>
      </c>
      <c r="B829" s="36">
        <v>2021</v>
      </c>
      <c r="C829" s="36" t="s">
        <v>7</v>
      </c>
      <c r="D829" s="36" t="s">
        <v>91</v>
      </c>
      <c r="E829" s="36" t="s">
        <v>92</v>
      </c>
      <c r="F829" s="36" t="s">
        <v>93</v>
      </c>
      <c r="G829" s="36" t="s">
        <v>94</v>
      </c>
      <c r="H829" s="36" t="s">
        <v>95</v>
      </c>
      <c r="I829" s="36" t="s">
        <v>98</v>
      </c>
      <c r="J829" s="36">
        <v>196</v>
      </c>
      <c r="K829" s="36">
        <v>280.27999999999997</v>
      </c>
    </row>
    <row r="830" spans="1:11" x14ac:dyDescent="0.3">
      <c r="A830" s="36" t="s">
        <v>90</v>
      </c>
      <c r="B830" s="36">
        <v>2021</v>
      </c>
      <c r="C830" s="36" t="s">
        <v>7</v>
      </c>
      <c r="D830" s="36" t="s">
        <v>91</v>
      </c>
      <c r="E830" s="36" t="s">
        <v>92</v>
      </c>
      <c r="F830" s="36" t="s">
        <v>93</v>
      </c>
      <c r="G830" s="36" t="s">
        <v>94</v>
      </c>
      <c r="H830" s="36" t="s">
        <v>95</v>
      </c>
      <c r="I830" s="36" t="s">
        <v>98</v>
      </c>
      <c r="J830" s="36">
        <v>370</v>
      </c>
      <c r="K830" s="36">
        <v>529.1</v>
      </c>
    </row>
    <row r="831" spans="1:11" x14ac:dyDescent="0.3">
      <c r="A831" s="36" t="s">
        <v>99</v>
      </c>
      <c r="B831" s="36">
        <v>2021</v>
      </c>
      <c r="C831" s="36" t="s">
        <v>7</v>
      </c>
      <c r="D831" s="36" t="s">
        <v>91</v>
      </c>
      <c r="E831" s="36" t="s">
        <v>92</v>
      </c>
      <c r="F831" s="36" t="s">
        <v>93</v>
      </c>
      <c r="G831" s="36" t="s">
        <v>94</v>
      </c>
      <c r="H831" s="36" t="s">
        <v>95</v>
      </c>
      <c r="I831" s="36" t="s">
        <v>96</v>
      </c>
      <c r="J831" s="36">
        <v>342</v>
      </c>
      <c r="K831" s="36">
        <v>526.24</v>
      </c>
    </row>
    <row r="832" spans="1:11" x14ac:dyDescent="0.3">
      <c r="A832" s="36" t="s">
        <v>97</v>
      </c>
      <c r="B832" s="36">
        <v>2021</v>
      </c>
      <c r="C832" s="36" t="s">
        <v>7</v>
      </c>
      <c r="D832" s="36" t="s">
        <v>91</v>
      </c>
      <c r="E832" s="36" t="s">
        <v>92</v>
      </c>
      <c r="F832" s="36" t="s">
        <v>93</v>
      </c>
      <c r="G832" s="36" t="s">
        <v>94</v>
      </c>
      <c r="H832" s="36" t="s">
        <v>95</v>
      </c>
      <c r="I832" s="36" t="s">
        <v>96</v>
      </c>
      <c r="J832" s="36">
        <v>336</v>
      </c>
      <c r="K832" s="36">
        <v>526.24</v>
      </c>
    </row>
    <row r="833" spans="1:11" x14ac:dyDescent="0.3">
      <c r="A833" s="36" t="s">
        <v>90</v>
      </c>
      <c r="B833" s="36">
        <v>2021</v>
      </c>
      <c r="C833" s="36" t="s">
        <v>7</v>
      </c>
      <c r="D833" s="36" t="s">
        <v>91</v>
      </c>
      <c r="E833" s="36" t="s">
        <v>92</v>
      </c>
      <c r="F833" s="36" t="s">
        <v>93</v>
      </c>
      <c r="G833" s="36" t="s">
        <v>94</v>
      </c>
      <c r="H833" s="36" t="s">
        <v>95</v>
      </c>
      <c r="I833" s="36" t="s">
        <v>96</v>
      </c>
      <c r="J833" s="36">
        <v>330</v>
      </c>
      <c r="K833" s="36">
        <v>526.24</v>
      </c>
    </row>
    <row r="834" spans="1:11" x14ac:dyDescent="0.3">
      <c r="A834" s="36" t="s">
        <v>90</v>
      </c>
      <c r="B834" s="36">
        <v>2021</v>
      </c>
      <c r="C834" s="36" t="s">
        <v>7</v>
      </c>
      <c r="D834" s="36" t="s">
        <v>91</v>
      </c>
      <c r="E834" s="36" t="s">
        <v>92</v>
      </c>
      <c r="F834" s="36" t="s">
        <v>93</v>
      </c>
      <c r="G834" s="36" t="s">
        <v>94</v>
      </c>
      <c r="H834" s="36" t="s">
        <v>95</v>
      </c>
      <c r="I834" s="36" t="s">
        <v>98</v>
      </c>
      <c r="J834" s="36">
        <v>691</v>
      </c>
      <c r="K834" s="36">
        <v>988.13</v>
      </c>
    </row>
    <row r="835" spans="1:11" x14ac:dyDescent="0.3">
      <c r="A835" s="36" t="s">
        <v>90</v>
      </c>
      <c r="B835" s="36">
        <v>2021</v>
      </c>
      <c r="C835" s="36" t="s">
        <v>7</v>
      </c>
      <c r="D835" s="36" t="s">
        <v>91</v>
      </c>
      <c r="E835" s="36" t="s">
        <v>92</v>
      </c>
      <c r="F835" s="36" t="s">
        <v>93</v>
      </c>
      <c r="G835" s="36" t="s">
        <v>94</v>
      </c>
      <c r="H835" s="36" t="s">
        <v>95</v>
      </c>
      <c r="I835" s="36" t="s">
        <v>98</v>
      </c>
      <c r="J835" s="36">
        <v>724</v>
      </c>
      <c r="K835" s="36">
        <v>1035.32</v>
      </c>
    </row>
    <row r="836" spans="1:11" x14ac:dyDescent="0.3">
      <c r="A836" s="36" t="s">
        <v>97</v>
      </c>
      <c r="B836" s="36">
        <v>2021</v>
      </c>
      <c r="C836" s="36" t="s">
        <v>7</v>
      </c>
      <c r="D836" s="36" t="s">
        <v>91</v>
      </c>
      <c r="E836" s="36" t="s">
        <v>92</v>
      </c>
      <c r="F836" s="36" t="s">
        <v>93</v>
      </c>
      <c r="G836" s="36" t="s">
        <v>94</v>
      </c>
      <c r="H836" s="36" t="s">
        <v>95</v>
      </c>
      <c r="I836" s="36" t="s">
        <v>98</v>
      </c>
      <c r="J836" s="36">
        <v>777</v>
      </c>
      <c r="K836" s="36">
        <v>1111.1100000000001</v>
      </c>
    </row>
    <row r="837" spans="1:11" x14ac:dyDescent="0.3">
      <c r="A837" s="36" t="s">
        <v>90</v>
      </c>
      <c r="B837" s="36">
        <v>2021</v>
      </c>
      <c r="C837" s="36" t="s">
        <v>7</v>
      </c>
      <c r="D837" s="36" t="s">
        <v>91</v>
      </c>
      <c r="E837" s="36" t="s">
        <v>92</v>
      </c>
      <c r="F837" s="36" t="s">
        <v>93</v>
      </c>
      <c r="G837" s="36" t="s">
        <v>94</v>
      </c>
      <c r="H837" s="36" t="s">
        <v>95</v>
      </c>
      <c r="I837" s="36" t="s">
        <v>96</v>
      </c>
      <c r="J837" s="36">
        <v>339</v>
      </c>
      <c r="K837" s="36">
        <v>484.77</v>
      </c>
    </row>
    <row r="838" spans="1:11" x14ac:dyDescent="0.3">
      <c r="A838" s="36" t="s">
        <v>90</v>
      </c>
      <c r="B838" s="36">
        <v>2021</v>
      </c>
      <c r="C838" s="36" t="s">
        <v>7</v>
      </c>
      <c r="D838" s="36" t="s">
        <v>91</v>
      </c>
      <c r="E838" s="36" t="s">
        <v>92</v>
      </c>
      <c r="F838" s="36" t="s">
        <v>93</v>
      </c>
      <c r="G838" s="36" t="s">
        <v>94</v>
      </c>
      <c r="H838" s="36" t="s">
        <v>95</v>
      </c>
      <c r="I838" s="36" t="s">
        <v>96</v>
      </c>
      <c r="J838" s="36">
        <v>333</v>
      </c>
      <c r="K838" s="36">
        <v>476.19</v>
      </c>
    </row>
    <row r="839" spans="1:11" x14ac:dyDescent="0.3">
      <c r="A839" s="36" t="s">
        <v>97</v>
      </c>
      <c r="B839" s="36">
        <v>2021</v>
      </c>
      <c r="C839" s="36" t="s">
        <v>7</v>
      </c>
      <c r="D839" s="36" t="s">
        <v>91</v>
      </c>
      <c r="E839" s="36" t="s">
        <v>92</v>
      </c>
      <c r="F839" s="36" t="s">
        <v>93</v>
      </c>
      <c r="G839" s="36" t="s">
        <v>94</v>
      </c>
      <c r="H839" s="36" t="s">
        <v>95</v>
      </c>
      <c r="I839" s="36" t="s">
        <v>98</v>
      </c>
      <c r="J839" s="36">
        <v>153</v>
      </c>
      <c r="K839" s="36">
        <v>218.79</v>
      </c>
    </row>
    <row r="840" spans="1:11" x14ac:dyDescent="0.3">
      <c r="A840" s="36" t="s">
        <v>90</v>
      </c>
      <c r="B840" s="36">
        <v>2021</v>
      </c>
      <c r="C840" s="36" t="s">
        <v>7</v>
      </c>
      <c r="D840" s="36" t="s">
        <v>91</v>
      </c>
      <c r="E840" s="36" t="s">
        <v>92</v>
      </c>
      <c r="F840" s="36" t="s">
        <v>93</v>
      </c>
      <c r="G840" s="36" t="s">
        <v>94</v>
      </c>
      <c r="H840" s="36" t="s">
        <v>95</v>
      </c>
      <c r="I840" s="36" t="s">
        <v>98</v>
      </c>
      <c r="J840" s="36">
        <v>764</v>
      </c>
      <c r="K840" s="36">
        <v>526.24</v>
      </c>
    </row>
    <row r="841" spans="1:11" x14ac:dyDescent="0.3">
      <c r="A841" s="36" t="s">
        <v>90</v>
      </c>
      <c r="B841" s="36">
        <v>2021</v>
      </c>
      <c r="C841" s="36" t="s">
        <v>7</v>
      </c>
      <c r="D841" s="36" t="s">
        <v>91</v>
      </c>
      <c r="E841" s="36" t="s">
        <v>92</v>
      </c>
      <c r="F841" s="36" t="s">
        <v>93</v>
      </c>
      <c r="G841" s="36" t="s">
        <v>94</v>
      </c>
      <c r="H841" s="36" t="s">
        <v>95</v>
      </c>
      <c r="I841" s="36" t="s">
        <v>98</v>
      </c>
      <c r="J841" s="36">
        <v>817</v>
      </c>
      <c r="K841" s="36">
        <v>526.24</v>
      </c>
    </row>
    <row r="842" spans="1:11" x14ac:dyDescent="0.3">
      <c r="A842" s="36" t="s">
        <v>90</v>
      </c>
      <c r="B842" s="36">
        <v>2021</v>
      </c>
      <c r="C842" s="36" t="s">
        <v>7</v>
      </c>
      <c r="D842" s="36" t="s">
        <v>91</v>
      </c>
      <c r="E842" s="36" t="s">
        <v>92</v>
      </c>
      <c r="F842" s="36" t="s">
        <v>93</v>
      </c>
      <c r="G842" s="36" t="s">
        <v>94</v>
      </c>
      <c r="H842" s="36" t="s">
        <v>95</v>
      </c>
      <c r="I842" s="36" t="s">
        <v>98</v>
      </c>
      <c r="J842" s="36">
        <v>151</v>
      </c>
      <c r="K842" s="36">
        <v>215.93</v>
      </c>
    </row>
    <row r="843" spans="1:11" x14ac:dyDescent="0.3">
      <c r="A843" s="36" t="s">
        <v>99</v>
      </c>
      <c r="B843" s="36">
        <v>2021</v>
      </c>
      <c r="C843" s="36" t="s">
        <v>7</v>
      </c>
      <c r="D843" s="36" t="s">
        <v>91</v>
      </c>
      <c r="E843" s="36" t="s">
        <v>92</v>
      </c>
      <c r="F843" s="36" t="s">
        <v>93</v>
      </c>
      <c r="G843" s="36" t="s">
        <v>94</v>
      </c>
      <c r="H843" s="36" t="s">
        <v>95</v>
      </c>
      <c r="I843" s="36" t="s">
        <v>98</v>
      </c>
      <c r="J843" s="36">
        <v>199</v>
      </c>
      <c r="K843" s="36">
        <v>284.57</v>
      </c>
    </row>
    <row r="844" spans="1:11" x14ac:dyDescent="0.3">
      <c r="A844" s="36" t="s">
        <v>101</v>
      </c>
      <c r="B844" s="36">
        <v>2021</v>
      </c>
      <c r="C844" s="36" t="s">
        <v>7</v>
      </c>
      <c r="D844" s="36" t="s">
        <v>91</v>
      </c>
      <c r="E844" s="36" t="s">
        <v>92</v>
      </c>
      <c r="F844" s="36" t="s">
        <v>93</v>
      </c>
      <c r="G844" s="36" t="s">
        <v>94</v>
      </c>
      <c r="H844" s="36" t="s">
        <v>95</v>
      </c>
      <c r="I844" s="36" t="s">
        <v>98</v>
      </c>
      <c r="J844" s="36">
        <v>367</v>
      </c>
      <c r="K844" s="36">
        <v>524.80999999999995</v>
      </c>
    </row>
    <row r="845" spans="1:11" x14ac:dyDescent="0.3">
      <c r="A845" s="36" t="s">
        <v>90</v>
      </c>
      <c r="B845" s="36">
        <v>2021</v>
      </c>
      <c r="C845" s="36" t="s">
        <v>7</v>
      </c>
      <c r="D845" s="36" t="s">
        <v>91</v>
      </c>
      <c r="E845" s="36" t="s">
        <v>92</v>
      </c>
      <c r="F845" s="36" t="s">
        <v>93</v>
      </c>
      <c r="G845" s="36" t="s">
        <v>94</v>
      </c>
      <c r="H845" s="36" t="s">
        <v>95</v>
      </c>
      <c r="I845" s="36" t="s">
        <v>96</v>
      </c>
      <c r="J845" s="36">
        <v>341</v>
      </c>
      <c r="K845" s="36">
        <v>487.63</v>
      </c>
    </row>
    <row r="846" spans="1:11" x14ac:dyDescent="0.3">
      <c r="A846" s="36" t="s">
        <v>101</v>
      </c>
      <c r="B846" s="36">
        <v>2021</v>
      </c>
      <c r="C846" s="36" t="s">
        <v>7</v>
      </c>
      <c r="D846" s="36" t="s">
        <v>91</v>
      </c>
      <c r="E846" s="36" t="s">
        <v>92</v>
      </c>
      <c r="F846" s="36" t="s">
        <v>93</v>
      </c>
      <c r="G846" s="36" t="s">
        <v>94</v>
      </c>
      <c r="H846" s="36" t="s">
        <v>95</v>
      </c>
      <c r="I846" s="36" t="s">
        <v>96</v>
      </c>
      <c r="J846" s="36">
        <v>335</v>
      </c>
      <c r="K846" s="36">
        <v>479.05</v>
      </c>
    </row>
    <row r="847" spans="1:11" x14ac:dyDescent="0.3">
      <c r="A847" s="36" t="s">
        <v>97</v>
      </c>
      <c r="B847" s="36">
        <v>2021</v>
      </c>
      <c r="C847" s="36" t="s">
        <v>7</v>
      </c>
      <c r="D847" s="36" t="s">
        <v>91</v>
      </c>
      <c r="E847" s="36" t="s">
        <v>92</v>
      </c>
      <c r="F847" s="36" t="s">
        <v>93</v>
      </c>
      <c r="G847" s="36" t="s">
        <v>94</v>
      </c>
      <c r="H847" s="36" t="s">
        <v>95</v>
      </c>
      <c r="I847" s="36" t="s">
        <v>96</v>
      </c>
      <c r="J847" s="36">
        <v>329</v>
      </c>
      <c r="K847" s="36">
        <v>470.47</v>
      </c>
    </row>
    <row r="848" spans="1:11" x14ac:dyDescent="0.3">
      <c r="A848" s="36" t="s">
        <v>99</v>
      </c>
      <c r="B848" s="36">
        <v>2021</v>
      </c>
      <c r="C848" s="36" t="s">
        <v>7</v>
      </c>
      <c r="D848" s="36" t="s">
        <v>91</v>
      </c>
      <c r="E848" s="36" t="s">
        <v>92</v>
      </c>
      <c r="F848" s="36" t="s">
        <v>93</v>
      </c>
      <c r="G848" s="36" t="s">
        <v>94</v>
      </c>
      <c r="H848" s="36" t="s">
        <v>95</v>
      </c>
      <c r="I848" s="36" t="s">
        <v>98</v>
      </c>
      <c r="J848" s="36">
        <v>149</v>
      </c>
      <c r="K848" s="36">
        <v>213.07</v>
      </c>
    </row>
    <row r="849" spans="1:11" x14ac:dyDescent="0.3">
      <c r="A849" s="36" t="s">
        <v>97</v>
      </c>
      <c r="B849" s="36">
        <v>2021</v>
      </c>
      <c r="C849" s="36" t="s">
        <v>7</v>
      </c>
      <c r="D849" s="36" t="s">
        <v>91</v>
      </c>
      <c r="E849" s="36" t="s">
        <v>92</v>
      </c>
      <c r="F849" s="36" t="s">
        <v>93</v>
      </c>
      <c r="G849" s="36" t="s">
        <v>94</v>
      </c>
      <c r="H849" s="36" t="s">
        <v>95</v>
      </c>
      <c r="I849" s="36" t="s">
        <v>98</v>
      </c>
      <c r="J849" s="36">
        <v>197</v>
      </c>
      <c r="K849" s="36">
        <v>281.70999999999998</v>
      </c>
    </row>
    <row r="850" spans="1:11" x14ac:dyDescent="0.3">
      <c r="A850" s="36" t="s">
        <v>99</v>
      </c>
      <c r="B850" s="36">
        <v>2021</v>
      </c>
      <c r="C850" s="36" t="s">
        <v>7</v>
      </c>
      <c r="D850" s="36" t="s">
        <v>91</v>
      </c>
      <c r="E850" s="36" t="s">
        <v>92</v>
      </c>
      <c r="F850" s="36" t="s">
        <v>93</v>
      </c>
      <c r="G850" s="36" t="s">
        <v>94</v>
      </c>
      <c r="H850" s="36" t="s">
        <v>95</v>
      </c>
      <c r="I850" s="36" t="s">
        <v>98</v>
      </c>
      <c r="J850" s="36">
        <v>786</v>
      </c>
      <c r="K850" s="36">
        <v>1123.98</v>
      </c>
    </row>
    <row r="851" spans="1:11" x14ac:dyDescent="0.3">
      <c r="A851" s="36" t="s">
        <v>90</v>
      </c>
      <c r="B851" s="36">
        <v>2021</v>
      </c>
      <c r="C851" s="36" t="s">
        <v>11</v>
      </c>
      <c r="D851" s="36" t="s">
        <v>91</v>
      </c>
      <c r="E851" s="36" t="s">
        <v>92</v>
      </c>
      <c r="F851" s="36" t="s">
        <v>93</v>
      </c>
      <c r="G851" s="36" t="s">
        <v>94</v>
      </c>
      <c r="H851" s="36" t="s">
        <v>95</v>
      </c>
      <c r="I851" s="36" t="s">
        <v>98</v>
      </c>
      <c r="J851" s="36">
        <v>128</v>
      </c>
      <c r="K851" s="36">
        <v>174.07999999999998</v>
      </c>
    </row>
    <row r="852" spans="1:11" x14ac:dyDescent="0.3">
      <c r="A852" s="36" t="s">
        <v>97</v>
      </c>
      <c r="B852" s="36">
        <v>2021</v>
      </c>
      <c r="C852" s="36" t="s">
        <v>11</v>
      </c>
      <c r="D852" s="36" t="s">
        <v>91</v>
      </c>
      <c r="E852" s="36" t="s">
        <v>92</v>
      </c>
      <c r="F852" s="36" t="s">
        <v>93</v>
      </c>
      <c r="G852" s="36" t="s">
        <v>94</v>
      </c>
      <c r="H852" s="36" t="s">
        <v>95</v>
      </c>
      <c r="I852" s="36" t="s">
        <v>98</v>
      </c>
      <c r="J852" s="36">
        <v>176</v>
      </c>
      <c r="K852" s="36">
        <v>251.68</v>
      </c>
    </row>
    <row r="853" spans="1:11" x14ac:dyDescent="0.3">
      <c r="A853" s="36" t="s">
        <v>90</v>
      </c>
      <c r="B853" s="36">
        <v>2021</v>
      </c>
      <c r="C853" s="36" t="s">
        <v>11</v>
      </c>
      <c r="D853" s="36" t="s">
        <v>91</v>
      </c>
      <c r="E853" s="36" t="s">
        <v>92</v>
      </c>
      <c r="F853" s="36" t="s">
        <v>93</v>
      </c>
      <c r="G853" s="36" t="s">
        <v>94</v>
      </c>
      <c r="H853" s="36" t="s">
        <v>95</v>
      </c>
      <c r="I853" s="36" t="s">
        <v>98</v>
      </c>
      <c r="J853" s="36">
        <v>130</v>
      </c>
      <c r="K853" s="36">
        <v>185.9</v>
      </c>
    </row>
    <row r="854" spans="1:11" x14ac:dyDescent="0.3">
      <c r="A854" s="36" t="s">
        <v>97</v>
      </c>
      <c r="B854" s="36">
        <v>2021</v>
      </c>
      <c r="C854" s="36" t="s">
        <v>11</v>
      </c>
      <c r="D854" s="36" t="s">
        <v>91</v>
      </c>
      <c r="E854" s="36" t="s">
        <v>92</v>
      </c>
      <c r="F854" s="36" t="s">
        <v>93</v>
      </c>
      <c r="G854" s="36" t="s">
        <v>94</v>
      </c>
      <c r="H854" s="36" t="s">
        <v>95</v>
      </c>
      <c r="I854" s="36" t="s">
        <v>98</v>
      </c>
      <c r="J854" s="36">
        <v>178</v>
      </c>
      <c r="K854" s="36">
        <v>254.54</v>
      </c>
    </row>
    <row r="855" spans="1:11" x14ac:dyDescent="0.3">
      <c r="A855" s="36" t="s">
        <v>90</v>
      </c>
      <c r="B855" s="36">
        <v>2021</v>
      </c>
      <c r="C855" s="36" t="s">
        <v>11</v>
      </c>
      <c r="D855" s="36" t="s">
        <v>91</v>
      </c>
      <c r="E855" s="36" t="s">
        <v>92</v>
      </c>
      <c r="F855" s="36" t="s">
        <v>93</v>
      </c>
      <c r="G855" s="36" t="s">
        <v>94</v>
      </c>
      <c r="H855" s="36" t="s">
        <v>95</v>
      </c>
      <c r="I855" s="36" t="s">
        <v>98</v>
      </c>
      <c r="J855" s="36">
        <v>728</v>
      </c>
      <c r="K855" s="36">
        <v>1041.04</v>
      </c>
    </row>
    <row r="856" spans="1:11" x14ac:dyDescent="0.3">
      <c r="A856" s="36" t="s">
        <v>100</v>
      </c>
      <c r="B856" s="36">
        <v>2021</v>
      </c>
      <c r="C856" s="36" t="s">
        <v>11</v>
      </c>
      <c r="D856" s="36" t="s">
        <v>91</v>
      </c>
      <c r="E856" s="36" t="s">
        <v>92</v>
      </c>
      <c r="F856" s="36" t="s">
        <v>93</v>
      </c>
      <c r="G856" s="36" t="s">
        <v>94</v>
      </c>
      <c r="H856" s="36" t="s">
        <v>95</v>
      </c>
      <c r="I856" s="36" t="s">
        <v>98</v>
      </c>
      <c r="J856" s="36">
        <v>129</v>
      </c>
      <c r="K856" s="36">
        <v>184.47</v>
      </c>
    </row>
    <row r="857" spans="1:11" x14ac:dyDescent="0.3">
      <c r="A857" s="36" t="s">
        <v>99</v>
      </c>
      <c r="B857" s="36">
        <v>2021</v>
      </c>
      <c r="C857" s="36" t="s">
        <v>11</v>
      </c>
      <c r="D857" s="36" t="s">
        <v>91</v>
      </c>
      <c r="E857" s="36" t="s">
        <v>92</v>
      </c>
      <c r="F857" s="36" t="s">
        <v>93</v>
      </c>
      <c r="G857" s="36" t="s">
        <v>94</v>
      </c>
      <c r="H857" s="36" t="s">
        <v>95</v>
      </c>
      <c r="I857" s="36" t="s">
        <v>98</v>
      </c>
      <c r="J857" s="36">
        <v>767</v>
      </c>
      <c r="K857" s="36">
        <v>526.24</v>
      </c>
    </row>
    <row r="858" spans="1:11" x14ac:dyDescent="0.3">
      <c r="A858" s="36" t="s">
        <v>97</v>
      </c>
      <c r="B858" s="36">
        <v>2021</v>
      </c>
      <c r="C858" s="36" t="s">
        <v>11</v>
      </c>
      <c r="D858" s="36" t="s">
        <v>91</v>
      </c>
      <c r="E858" s="36" t="s">
        <v>92</v>
      </c>
      <c r="F858" s="36" t="s">
        <v>93</v>
      </c>
      <c r="G858" s="36" t="s">
        <v>94</v>
      </c>
      <c r="H858" s="36" t="s">
        <v>95</v>
      </c>
      <c r="I858" s="36" t="s">
        <v>98</v>
      </c>
      <c r="J858" s="36">
        <v>127</v>
      </c>
      <c r="K858" s="36">
        <v>181.61</v>
      </c>
    </row>
    <row r="859" spans="1:11" x14ac:dyDescent="0.3">
      <c r="A859" s="36" t="s">
        <v>97</v>
      </c>
      <c r="B859" s="36">
        <v>2021</v>
      </c>
      <c r="C859" s="36" t="s">
        <v>11</v>
      </c>
      <c r="D859" s="36" t="s">
        <v>91</v>
      </c>
      <c r="E859" s="36" t="s">
        <v>92</v>
      </c>
      <c r="F859" s="36" t="s">
        <v>93</v>
      </c>
      <c r="G859" s="36" t="s">
        <v>94</v>
      </c>
      <c r="H859" s="36" t="s">
        <v>95</v>
      </c>
      <c r="I859" s="36" t="s">
        <v>98</v>
      </c>
      <c r="J859" s="36">
        <v>175</v>
      </c>
      <c r="K859" s="36">
        <v>250.25</v>
      </c>
    </row>
    <row r="860" spans="1:11" x14ac:dyDescent="0.3">
      <c r="A860" s="36" t="s">
        <v>90</v>
      </c>
      <c r="B860" s="36">
        <v>2021</v>
      </c>
      <c r="C860" s="36" t="s">
        <v>11</v>
      </c>
      <c r="D860" s="36" t="s">
        <v>91</v>
      </c>
      <c r="E860" s="36" t="s">
        <v>92</v>
      </c>
      <c r="F860" s="36" t="s">
        <v>93</v>
      </c>
      <c r="G860" s="36" t="s">
        <v>94</v>
      </c>
      <c r="H860" s="36" t="s">
        <v>95</v>
      </c>
      <c r="I860" s="36" t="s">
        <v>98</v>
      </c>
      <c r="J860" s="36">
        <v>131</v>
      </c>
      <c r="K860" s="36">
        <v>187.32999999999998</v>
      </c>
    </row>
    <row r="861" spans="1:11" x14ac:dyDescent="0.3">
      <c r="A861" s="36" t="s">
        <v>90</v>
      </c>
      <c r="B861" s="36">
        <v>2021</v>
      </c>
      <c r="C861" s="36" t="s">
        <v>1</v>
      </c>
      <c r="D861" s="36" t="s">
        <v>91</v>
      </c>
      <c r="E861" s="36" t="s">
        <v>92</v>
      </c>
      <c r="F861" s="36" t="s">
        <v>93</v>
      </c>
      <c r="G861" s="36" t="s">
        <v>94</v>
      </c>
      <c r="H861" s="36" t="s">
        <v>95</v>
      </c>
      <c r="I861" s="36" t="s">
        <v>96</v>
      </c>
      <c r="J861" s="36">
        <v>194</v>
      </c>
      <c r="K861" s="36">
        <v>526.24</v>
      </c>
    </row>
    <row r="862" spans="1:11" x14ac:dyDescent="0.3">
      <c r="A862" s="36" t="s">
        <v>97</v>
      </c>
      <c r="B862" s="36">
        <v>2021</v>
      </c>
      <c r="C862" s="36" t="s">
        <v>1</v>
      </c>
      <c r="D862" s="36" t="s">
        <v>91</v>
      </c>
      <c r="E862" s="36" t="s">
        <v>92</v>
      </c>
      <c r="F862" s="36" t="s">
        <v>93</v>
      </c>
      <c r="G862" s="36" t="s">
        <v>94</v>
      </c>
      <c r="H862" s="36" t="s">
        <v>95</v>
      </c>
      <c r="I862" s="36" t="s">
        <v>96</v>
      </c>
      <c r="J862" s="36">
        <v>188</v>
      </c>
      <c r="K862" s="36">
        <v>526.24</v>
      </c>
    </row>
    <row r="863" spans="1:11" x14ac:dyDescent="0.3">
      <c r="A863" s="36" t="s">
        <v>90</v>
      </c>
      <c r="B863" s="36">
        <v>2021</v>
      </c>
      <c r="C863" s="36" t="s">
        <v>1</v>
      </c>
      <c r="D863" s="36" t="s">
        <v>91</v>
      </c>
      <c r="E863" s="36" t="s">
        <v>92</v>
      </c>
      <c r="F863" s="36" t="s">
        <v>93</v>
      </c>
      <c r="G863" s="36" t="s">
        <v>94</v>
      </c>
      <c r="H863" s="36" t="s">
        <v>95</v>
      </c>
      <c r="I863" s="36" t="s">
        <v>96</v>
      </c>
      <c r="J863" s="36">
        <v>182</v>
      </c>
      <c r="K863" s="36">
        <v>526.24</v>
      </c>
    </row>
    <row r="864" spans="1:11" x14ac:dyDescent="0.3">
      <c r="A864" s="36" t="s">
        <v>90</v>
      </c>
      <c r="B864" s="36">
        <v>2021</v>
      </c>
      <c r="C864" s="36" t="s">
        <v>1</v>
      </c>
      <c r="D864" s="36" t="s">
        <v>91</v>
      </c>
      <c r="E864" s="36" t="s">
        <v>92</v>
      </c>
      <c r="F864" s="36" t="s">
        <v>93</v>
      </c>
      <c r="G864" s="36" t="s">
        <v>94</v>
      </c>
      <c r="H864" s="36" t="s">
        <v>95</v>
      </c>
      <c r="I864" s="36" t="s">
        <v>98</v>
      </c>
      <c r="J864" s="36">
        <v>182</v>
      </c>
      <c r="K864" s="36">
        <v>260.26</v>
      </c>
    </row>
    <row r="865" spans="1:11" x14ac:dyDescent="0.3">
      <c r="A865" s="36" t="s">
        <v>99</v>
      </c>
      <c r="B865" s="36">
        <v>2021</v>
      </c>
      <c r="C865" s="36" t="s">
        <v>1</v>
      </c>
      <c r="D865" s="36" t="s">
        <v>91</v>
      </c>
      <c r="E865" s="36" t="s">
        <v>92</v>
      </c>
      <c r="F865" s="36" t="s">
        <v>93</v>
      </c>
      <c r="G865" s="36" t="s">
        <v>94</v>
      </c>
      <c r="H865" s="36" t="s">
        <v>95</v>
      </c>
      <c r="I865" s="36" t="s">
        <v>98</v>
      </c>
      <c r="J865" s="36">
        <v>230</v>
      </c>
      <c r="K865" s="36">
        <v>328.9</v>
      </c>
    </row>
    <row r="866" spans="1:11" x14ac:dyDescent="0.3">
      <c r="A866" s="36" t="s">
        <v>101</v>
      </c>
      <c r="B866" s="36">
        <v>2021</v>
      </c>
      <c r="C866" s="36" t="s">
        <v>1</v>
      </c>
      <c r="D866" s="36" t="s">
        <v>91</v>
      </c>
      <c r="E866" s="36" t="s">
        <v>92</v>
      </c>
      <c r="F866" s="36" t="s">
        <v>93</v>
      </c>
      <c r="G866" s="36" t="s">
        <v>94</v>
      </c>
      <c r="H866" s="36" t="s">
        <v>95</v>
      </c>
      <c r="I866" s="36" t="s">
        <v>98</v>
      </c>
      <c r="J866" s="36">
        <v>158</v>
      </c>
      <c r="K866" s="36">
        <v>225.94</v>
      </c>
    </row>
    <row r="867" spans="1:11" x14ac:dyDescent="0.3">
      <c r="A867" s="36" t="s">
        <v>97</v>
      </c>
      <c r="B867" s="36">
        <v>2021</v>
      </c>
      <c r="C867" s="36" t="s">
        <v>1</v>
      </c>
      <c r="D867" s="36" t="s">
        <v>91</v>
      </c>
      <c r="E867" s="36" t="s">
        <v>92</v>
      </c>
      <c r="F867" s="36" t="s">
        <v>93</v>
      </c>
      <c r="G867" s="36" t="s">
        <v>94</v>
      </c>
      <c r="H867" s="36" t="s">
        <v>95</v>
      </c>
      <c r="I867" s="36" t="s">
        <v>98</v>
      </c>
      <c r="J867" s="36">
        <v>184</v>
      </c>
      <c r="K867" s="36">
        <v>263.12</v>
      </c>
    </row>
    <row r="868" spans="1:11" x14ac:dyDescent="0.3">
      <c r="A868" s="36" t="s">
        <v>90</v>
      </c>
      <c r="B868" s="36">
        <v>2021</v>
      </c>
      <c r="C868" s="36" t="s">
        <v>1</v>
      </c>
      <c r="D868" s="36" t="s">
        <v>91</v>
      </c>
      <c r="E868" s="36" t="s">
        <v>92</v>
      </c>
      <c r="F868" s="36" t="s">
        <v>93</v>
      </c>
      <c r="G868" s="36" t="s">
        <v>94</v>
      </c>
      <c r="H868" s="36" t="s">
        <v>95</v>
      </c>
      <c r="I868" s="36" t="s">
        <v>98</v>
      </c>
      <c r="J868" s="36">
        <v>154</v>
      </c>
      <c r="K868" s="36">
        <v>220.22</v>
      </c>
    </row>
    <row r="869" spans="1:11" x14ac:dyDescent="0.3">
      <c r="A869" s="36" t="s">
        <v>97</v>
      </c>
      <c r="B869" s="36">
        <v>2021</v>
      </c>
      <c r="C869" s="36" t="s">
        <v>1</v>
      </c>
      <c r="D869" s="36" t="s">
        <v>91</v>
      </c>
      <c r="E869" s="36" t="s">
        <v>92</v>
      </c>
      <c r="F869" s="36" t="s">
        <v>93</v>
      </c>
      <c r="G869" s="36" t="s">
        <v>94</v>
      </c>
      <c r="H869" s="36" t="s">
        <v>95</v>
      </c>
      <c r="I869" s="36" t="s">
        <v>96</v>
      </c>
      <c r="J869" s="36">
        <v>192</v>
      </c>
      <c r="K869" s="36">
        <v>526.24</v>
      </c>
    </row>
    <row r="870" spans="1:11" x14ac:dyDescent="0.3">
      <c r="A870" s="36" t="s">
        <v>101</v>
      </c>
      <c r="B870" s="36">
        <v>2021</v>
      </c>
      <c r="C870" s="36" t="s">
        <v>1</v>
      </c>
      <c r="D870" s="36" t="s">
        <v>91</v>
      </c>
      <c r="E870" s="36" t="s">
        <v>92</v>
      </c>
      <c r="F870" s="36" t="s">
        <v>93</v>
      </c>
      <c r="G870" s="36" t="s">
        <v>94</v>
      </c>
      <c r="H870" s="36" t="s">
        <v>95</v>
      </c>
      <c r="I870" s="36" t="s">
        <v>96</v>
      </c>
      <c r="J870" s="36">
        <v>186</v>
      </c>
      <c r="K870" s="36">
        <v>526.24</v>
      </c>
    </row>
    <row r="871" spans="1:11" x14ac:dyDescent="0.3">
      <c r="A871" s="36" t="s">
        <v>100</v>
      </c>
      <c r="B871" s="36">
        <v>2021</v>
      </c>
      <c r="C871" s="36" t="s">
        <v>1</v>
      </c>
      <c r="D871" s="36" t="s">
        <v>91</v>
      </c>
      <c r="E871" s="36" t="s">
        <v>92</v>
      </c>
      <c r="F871" s="36" t="s">
        <v>93</v>
      </c>
      <c r="G871" s="36" t="s">
        <v>94</v>
      </c>
      <c r="H871" s="36" t="s">
        <v>95</v>
      </c>
      <c r="I871" s="36" t="s">
        <v>96</v>
      </c>
      <c r="J871" s="36">
        <v>180</v>
      </c>
      <c r="K871" s="36">
        <v>526.24</v>
      </c>
    </row>
    <row r="872" spans="1:11" x14ac:dyDescent="0.3">
      <c r="A872" s="36" t="s">
        <v>90</v>
      </c>
      <c r="B872" s="36">
        <v>2021</v>
      </c>
      <c r="C872" s="36" t="s">
        <v>1</v>
      </c>
      <c r="D872" s="36" t="s">
        <v>91</v>
      </c>
      <c r="E872" s="36" t="s">
        <v>92</v>
      </c>
      <c r="F872" s="36" t="s">
        <v>93</v>
      </c>
      <c r="G872" s="36" t="s">
        <v>94</v>
      </c>
      <c r="H872" s="36" t="s">
        <v>95</v>
      </c>
      <c r="I872" s="36" t="s">
        <v>98</v>
      </c>
      <c r="J872" s="36">
        <v>686</v>
      </c>
      <c r="K872" s="36">
        <v>980.98</v>
      </c>
    </row>
    <row r="873" spans="1:11" x14ac:dyDescent="0.3">
      <c r="A873" s="36" t="s">
        <v>100</v>
      </c>
      <c r="B873" s="36">
        <v>2021</v>
      </c>
      <c r="C873" s="36" t="s">
        <v>1</v>
      </c>
      <c r="D873" s="36" t="s">
        <v>91</v>
      </c>
      <c r="E873" s="36" t="s">
        <v>92</v>
      </c>
      <c r="F873" s="36" t="s">
        <v>93</v>
      </c>
      <c r="G873" s="36" t="s">
        <v>94</v>
      </c>
      <c r="H873" s="36" t="s">
        <v>95</v>
      </c>
      <c r="I873" s="36" t="s">
        <v>98</v>
      </c>
      <c r="J873" s="36">
        <v>719</v>
      </c>
      <c r="K873" s="36">
        <v>1028.17</v>
      </c>
    </row>
    <row r="874" spans="1:11" x14ac:dyDescent="0.3">
      <c r="A874" s="36" t="s">
        <v>97</v>
      </c>
      <c r="B874" s="36">
        <v>2021</v>
      </c>
      <c r="C874" s="36" t="s">
        <v>1</v>
      </c>
      <c r="D874" s="36" t="s">
        <v>91</v>
      </c>
      <c r="E874" s="36" t="s">
        <v>92</v>
      </c>
      <c r="F874" s="36" t="s">
        <v>93</v>
      </c>
      <c r="G874" s="36" t="s">
        <v>94</v>
      </c>
      <c r="H874" s="36" t="s">
        <v>95</v>
      </c>
      <c r="I874" s="36" t="s">
        <v>98</v>
      </c>
      <c r="J874" s="36">
        <v>772</v>
      </c>
      <c r="K874" s="36">
        <v>1103.96</v>
      </c>
    </row>
    <row r="875" spans="1:11" x14ac:dyDescent="0.3">
      <c r="A875" s="36" t="s">
        <v>99</v>
      </c>
      <c r="B875" s="36">
        <v>2021</v>
      </c>
      <c r="C875" s="36" t="s">
        <v>1</v>
      </c>
      <c r="D875" s="36" t="s">
        <v>91</v>
      </c>
      <c r="E875" s="36" t="s">
        <v>92</v>
      </c>
      <c r="F875" s="36" t="s">
        <v>93</v>
      </c>
      <c r="G875" s="36" t="s">
        <v>94</v>
      </c>
      <c r="H875" s="36" t="s">
        <v>95</v>
      </c>
      <c r="I875" s="36" t="s">
        <v>96</v>
      </c>
      <c r="J875" s="36">
        <v>189</v>
      </c>
      <c r="K875" s="36">
        <v>270.27</v>
      </c>
    </row>
    <row r="876" spans="1:11" x14ac:dyDescent="0.3">
      <c r="A876" s="36" t="s">
        <v>100</v>
      </c>
      <c r="B876" s="36">
        <v>2021</v>
      </c>
      <c r="C876" s="36" t="s">
        <v>1</v>
      </c>
      <c r="D876" s="36" t="s">
        <v>91</v>
      </c>
      <c r="E876" s="36" t="s">
        <v>92</v>
      </c>
      <c r="F876" s="36" t="s">
        <v>93</v>
      </c>
      <c r="G876" s="36" t="s">
        <v>94</v>
      </c>
      <c r="H876" s="36" t="s">
        <v>95</v>
      </c>
      <c r="I876" s="36" t="s">
        <v>96</v>
      </c>
      <c r="J876" s="36">
        <v>183</v>
      </c>
      <c r="K876" s="36">
        <v>261.69</v>
      </c>
    </row>
    <row r="877" spans="1:11" x14ac:dyDescent="0.3">
      <c r="A877" s="36" t="s">
        <v>97</v>
      </c>
      <c r="B877" s="36">
        <v>2021</v>
      </c>
      <c r="C877" s="36" t="s">
        <v>1</v>
      </c>
      <c r="D877" s="36" t="s">
        <v>91</v>
      </c>
      <c r="E877" s="36" t="s">
        <v>92</v>
      </c>
      <c r="F877" s="36" t="s">
        <v>93</v>
      </c>
      <c r="G877" s="36" t="s">
        <v>94</v>
      </c>
      <c r="H877" s="36" t="s">
        <v>95</v>
      </c>
      <c r="I877" s="36" t="s">
        <v>98</v>
      </c>
      <c r="J877" s="36">
        <v>183</v>
      </c>
      <c r="K877" s="36">
        <v>261.69</v>
      </c>
    </row>
    <row r="878" spans="1:11" x14ac:dyDescent="0.3">
      <c r="A878" s="36" t="s">
        <v>97</v>
      </c>
      <c r="B878" s="36">
        <v>2021</v>
      </c>
      <c r="C878" s="36" t="s">
        <v>1</v>
      </c>
      <c r="D878" s="36" t="s">
        <v>91</v>
      </c>
      <c r="E878" s="36" t="s">
        <v>92</v>
      </c>
      <c r="F878" s="36" t="s">
        <v>93</v>
      </c>
      <c r="G878" s="36" t="s">
        <v>94</v>
      </c>
      <c r="H878" s="36" t="s">
        <v>95</v>
      </c>
      <c r="I878" s="36" t="s">
        <v>98</v>
      </c>
      <c r="J878" s="36">
        <v>758</v>
      </c>
      <c r="K878" s="36">
        <v>526.24</v>
      </c>
    </row>
    <row r="879" spans="1:11" x14ac:dyDescent="0.3">
      <c r="A879" s="36" t="s">
        <v>90</v>
      </c>
      <c r="B879" s="36">
        <v>2021</v>
      </c>
      <c r="C879" s="36" t="s">
        <v>1</v>
      </c>
      <c r="D879" s="36" t="s">
        <v>91</v>
      </c>
      <c r="E879" s="36" t="s">
        <v>92</v>
      </c>
      <c r="F879" s="36" t="s">
        <v>93</v>
      </c>
      <c r="G879" s="36" t="s">
        <v>94</v>
      </c>
      <c r="H879" s="36" t="s">
        <v>95</v>
      </c>
      <c r="I879" s="36" t="s">
        <v>98</v>
      </c>
      <c r="J879" s="36">
        <v>812</v>
      </c>
      <c r="K879" s="36">
        <v>526.24</v>
      </c>
    </row>
    <row r="880" spans="1:11" x14ac:dyDescent="0.3">
      <c r="A880" s="36" t="s">
        <v>90</v>
      </c>
      <c r="B880" s="36">
        <v>2021</v>
      </c>
      <c r="C880" s="36" t="s">
        <v>1</v>
      </c>
      <c r="D880" s="36" t="s">
        <v>91</v>
      </c>
      <c r="E880" s="36" t="s">
        <v>92</v>
      </c>
      <c r="F880" s="36" t="s">
        <v>93</v>
      </c>
      <c r="G880" s="36" t="s">
        <v>94</v>
      </c>
      <c r="H880" s="36" t="s">
        <v>95</v>
      </c>
      <c r="I880" s="36" t="s">
        <v>98</v>
      </c>
      <c r="J880" s="36">
        <v>181</v>
      </c>
      <c r="K880" s="36">
        <v>258.83</v>
      </c>
    </row>
    <row r="881" spans="1:11" x14ac:dyDescent="0.3">
      <c r="A881" s="36" t="s">
        <v>101</v>
      </c>
      <c r="B881" s="36">
        <v>2021</v>
      </c>
      <c r="C881" s="36" t="s">
        <v>1</v>
      </c>
      <c r="D881" s="36" t="s">
        <v>91</v>
      </c>
      <c r="E881" s="36" t="s">
        <v>92</v>
      </c>
      <c r="F881" s="36" t="s">
        <v>93</v>
      </c>
      <c r="G881" s="36" t="s">
        <v>94</v>
      </c>
      <c r="H881" s="36" t="s">
        <v>95</v>
      </c>
      <c r="I881" s="36" t="s">
        <v>98</v>
      </c>
      <c r="J881" s="36">
        <v>229</v>
      </c>
      <c r="K881" s="36">
        <v>327.47000000000003</v>
      </c>
    </row>
    <row r="882" spans="1:11" x14ac:dyDescent="0.3">
      <c r="A882" s="36" t="s">
        <v>97</v>
      </c>
      <c r="B882" s="36">
        <v>2021</v>
      </c>
      <c r="C882" s="36" t="s">
        <v>1</v>
      </c>
      <c r="D882" s="36" t="s">
        <v>91</v>
      </c>
      <c r="E882" s="36" t="s">
        <v>92</v>
      </c>
      <c r="F882" s="36" t="s">
        <v>93</v>
      </c>
      <c r="G882" s="36" t="s">
        <v>94</v>
      </c>
      <c r="H882" s="36" t="s">
        <v>95</v>
      </c>
      <c r="I882" s="36" t="s">
        <v>98</v>
      </c>
      <c r="J882" s="36">
        <v>157</v>
      </c>
      <c r="K882" s="36">
        <v>224.51</v>
      </c>
    </row>
    <row r="883" spans="1:11" x14ac:dyDescent="0.3">
      <c r="A883" s="36" t="s">
        <v>97</v>
      </c>
      <c r="B883" s="36">
        <v>2021</v>
      </c>
      <c r="C883" s="36" t="s">
        <v>1</v>
      </c>
      <c r="D883" s="36" t="s">
        <v>91</v>
      </c>
      <c r="E883" s="36" t="s">
        <v>92</v>
      </c>
      <c r="F883" s="36" t="s">
        <v>93</v>
      </c>
      <c r="G883" s="36" t="s">
        <v>94</v>
      </c>
      <c r="H883" s="36" t="s">
        <v>95</v>
      </c>
      <c r="I883" s="36" t="s">
        <v>96</v>
      </c>
      <c r="J883" s="36">
        <v>191</v>
      </c>
      <c r="K883" s="36">
        <v>273.13</v>
      </c>
    </row>
    <row r="884" spans="1:11" x14ac:dyDescent="0.3">
      <c r="A884" s="36" t="s">
        <v>97</v>
      </c>
      <c r="B884" s="36">
        <v>2021</v>
      </c>
      <c r="C884" s="36" t="s">
        <v>1</v>
      </c>
      <c r="D884" s="36" t="s">
        <v>91</v>
      </c>
      <c r="E884" s="36" t="s">
        <v>92</v>
      </c>
      <c r="F884" s="36" t="s">
        <v>93</v>
      </c>
      <c r="G884" s="36" t="s">
        <v>94</v>
      </c>
      <c r="H884" s="36" t="s">
        <v>95</v>
      </c>
      <c r="I884" s="36" t="s">
        <v>96</v>
      </c>
      <c r="J884" s="36">
        <v>185</v>
      </c>
      <c r="K884" s="36">
        <v>264.55</v>
      </c>
    </row>
    <row r="885" spans="1:11" x14ac:dyDescent="0.3">
      <c r="A885" s="36" t="s">
        <v>97</v>
      </c>
      <c r="B885" s="36">
        <v>2021</v>
      </c>
      <c r="C885" s="36" t="s">
        <v>1</v>
      </c>
      <c r="D885" s="36" t="s">
        <v>91</v>
      </c>
      <c r="E885" s="36" t="s">
        <v>92</v>
      </c>
      <c r="F885" s="36" t="s">
        <v>93</v>
      </c>
      <c r="G885" s="36" t="s">
        <v>94</v>
      </c>
      <c r="H885" s="36" t="s">
        <v>95</v>
      </c>
      <c r="I885" s="36" t="s">
        <v>96</v>
      </c>
      <c r="J885" s="36">
        <v>179</v>
      </c>
      <c r="K885" s="36">
        <v>255.97</v>
      </c>
    </row>
    <row r="886" spans="1:11" x14ac:dyDescent="0.3">
      <c r="A886" s="36" t="s">
        <v>101</v>
      </c>
      <c r="B886" s="36">
        <v>2021</v>
      </c>
      <c r="C886" s="36" t="s">
        <v>1</v>
      </c>
      <c r="D886" s="36" t="s">
        <v>91</v>
      </c>
      <c r="E886" s="36" t="s">
        <v>92</v>
      </c>
      <c r="F886" s="36" t="s">
        <v>93</v>
      </c>
      <c r="G886" s="36" t="s">
        <v>94</v>
      </c>
      <c r="H886" s="36" t="s">
        <v>95</v>
      </c>
      <c r="I886" s="36" t="s">
        <v>98</v>
      </c>
      <c r="J886" s="36">
        <v>185</v>
      </c>
      <c r="K886" s="36">
        <v>264.55</v>
      </c>
    </row>
    <row r="887" spans="1:11" x14ac:dyDescent="0.3">
      <c r="A887" s="36" t="s">
        <v>100</v>
      </c>
      <c r="B887" s="36">
        <v>2021</v>
      </c>
      <c r="C887" s="36" t="s">
        <v>1</v>
      </c>
      <c r="D887" s="36" t="s">
        <v>91</v>
      </c>
      <c r="E887" s="36" t="s">
        <v>92</v>
      </c>
      <c r="F887" s="36" t="s">
        <v>93</v>
      </c>
      <c r="G887" s="36" t="s">
        <v>94</v>
      </c>
      <c r="H887" s="36" t="s">
        <v>95</v>
      </c>
      <c r="I887" s="36" t="s">
        <v>98</v>
      </c>
      <c r="J887" s="36">
        <v>227</v>
      </c>
      <c r="K887" s="36">
        <v>324.61</v>
      </c>
    </row>
    <row r="888" spans="1:11" x14ac:dyDescent="0.3">
      <c r="A888" s="36" t="s">
        <v>90</v>
      </c>
      <c r="B888" s="36">
        <v>2021</v>
      </c>
      <c r="C888" s="36" t="s">
        <v>1</v>
      </c>
      <c r="D888" s="36" t="s">
        <v>91</v>
      </c>
      <c r="E888" s="36" t="s">
        <v>92</v>
      </c>
      <c r="F888" s="36" t="s">
        <v>93</v>
      </c>
      <c r="G888" s="36" t="s">
        <v>94</v>
      </c>
      <c r="H888" s="36" t="s">
        <v>95</v>
      </c>
      <c r="I888" s="36" t="s">
        <v>98</v>
      </c>
      <c r="J888" s="36">
        <v>781</v>
      </c>
      <c r="K888" s="36">
        <v>1116.83</v>
      </c>
    </row>
    <row r="889" spans="1:11" x14ac:dyDescent="0.3">
      <c r="A889" s="36" t="s">
        <v>99</v>
      </c>
      <c r="B889" s="36">
        <v>2021</v>
      </c>
      <c r="C889" s="36" t="s">
        <v>0</v>
      </c>
      <c r="D889" s="36" t="s">
        <v>91</v>
      </c>
      <c r="E889" s="36" t="s">
        <v>92</v>
      </c>
      <c r="F889" s="36" t="s">
        <v>93</v>
      </c>
      <c r="G889" s="36" t="s">
        <v>94</v>
      </c>
      <c r="H889" s="36" t="s">
        <v>95</v>
      </c>
      <c r="I889" s="36" t="s">
        <v>96</v>
      </c>
      <c r="J889" s="36">
        <v>206</v>
      </c>
      <c r="K889" s="36">
        <v>526.24</v>
      </c>
    </row>
    <row r="890" spans="1:11" x14ac:dyDescent="0.3">
      <c r="A890" s="36" t="s">
        <v>97</v>
      </c>
      <c r="B890" s="36">
        <v>2021</v>
      </c>
      <c r="C890" s="36" t="s">
        <v>0</v>
      </c>
      <c r="D890" s="36" t="s">
        <v>91</v>
      </c>
      <c r="E890" s="36" t="s">
        <v>92</v>
      </c>
      <c r="F890" s="36" t="s">
        <v>93</v>
      </c>
      <c r="G890" s="36" t="s">
        <v>94</v>
      </c>
      <c r="H890" s="36" t="s">
        <v>95</v>
      </c>
      <c r="I890" s="36" t="s">
        <v>96</v>
      </c>
      <c r="J890" s="36">
        <v>200</v>
      </c>
      <c r="K890" s="36">
        <v>526.24</v>
      </c>
    </row>
    <row r="891" spans="1:11" x14ac:dyDescent="0.3">
      <c r="A891" s="36" t="s">
        <v>99</v>
      </c>
      <c r="B891" s="36">
        <v>2021</v>
      </c>
      <c r="C891" s="36" t="s">
        <v>0</v>
      </c>
      <c r="D891" s="36" t="s">
        <v>91</v>
      </c>
      <c r="E891" s="36" t="s">
        <v>92</v>
      </c>
      <c r="F891" s="36" t="s">
        <v>93</v>
      </c>
      <c r="G891" s="36" t="s">
        <v>94</v>
      </c>
      <c r="H891" s="36" t="s">
        <v>95</v>
      </c>
      <c r="I891" s="36" t="s">
        <v>98</v>
      </c>
      <c r="J891" s="36">
        <v>188</v>
      </c>
      <c r="K891" s="36">
        <v>268.84000000000003</v>
      </c>
    </row>
    <row r="892" spans="1:11" x14ac:dyDescent="0.3">
      <c r="A892" s="36" t="s">
        <v>97</v>
      </c>
      <c r="B892" s="36">
        <v>2021</v>
      </c>
      <c r="C892" s="36" t="s">
        <v>0</v>
      </c>
      <c r="D892" s="36" t="s">
        <v>91</v>
      </c>
      <c r="E892" s="36" t="s">
        <v>92</v>
      </c>
      <c r="F892" s="36" t="s">
        <v>93</v>
      </c>
      <c r="G892" s="36" t="s">
        <v>94</v>
      </c>
      <c r="H892" s="36" t="s">
        <v>95</v>
      </c>
      <c r="I892" s="36" t="s">
        <v>98</v>
      </c>
      <c r="J892" s="36">
        <v>236</v>
      </c>
      <c r="K892" s="36">
        <v>337.48</v>
      </c>
    </row>
    <row r="893" spans="1:11" x14ac:dyDescent="0.3">
      <c r="A893" s="36" t="s">
        <v>99</v>
      </c>
      <c r="B893" s="36">
        <v>2021</v>
      </c>
      <c r="C893" s="36" t="s">
        <v>0</v>
      </c>
      <c r="D893" s="36" t="s">
        <v>91</v>
      </c>
      <c r="E893" s="36" t="s">
        <v>92</v>
      </c>
      <c r="F893" s="36" t="s">
        <v>93</v>
      </c>
      <c r="G893" s="36" t="s">
        <v>94</v>
      </c>
      <c r="H893" s="36" t="s">
        <v>95</v>
      </c>
      <c r="I893" s="36" t="s">
        <v>98</v>
      </c>
      <c r="J893" s="36">
        <v>190</v>
      </c>
      <c r="K893" s="36">
        <v>271.7</v>
      </c>
    </row>
    <row r="894" spans="1:11" x14ac:dyDescent="0.3">
      <c r="A894" s="36" t="s">
        <v>90</v>
      </c>
      <c r="B894" s="36">
        <v>2021</v>
      </c>
      <c r="C894" s="36" t="s">
        <v>0</v>
      </c>
      <c r="D894" s="36" t="s">
        <v>91</v>
      </c>
      <c r="E894" s="36" t="s">
        <v>92</v>
      </c>
      <c r="F894" s="36" t="s">
        <v>93</v>
      </c>
      <c r="G894" s="36" t="s">
        <v>94</v>
      </c>
      <c r="H894" s="36" t="s">
        <v>95</v>
      </c>
      <c r="I894" s="36" t="s">
        <v>98</v>
      </c>
      <c r="J894" s="36">
        <v>232</v>
      </c>
      <c r="K894" s="36">
        <v>331.76</v>
      </c>
    </row>
    <row r="895" spans="1:11" x14ac:dyDescent="0.3">
      <c r="A895" s="36" t="s">
        <v>97</v>
      </c>
      <c r="B895" s="36">
        <v>2021</v>
      </c>
      <c r="C895" s="36" t="s">
        <v>0</v>
      </c>
      <c r="D895" s="36" t="s">
        <v>91</v>
      </c>
      <c r="E895" s="36" t="s">
        <v>92</v>
      </c>
      <c r="F895" s="36" t="s">
        <v>93</v>
      </c>
      <c r="G895" s="36" t="s">
        <v>94</v>
      </c>
      <c r="H895" s="36" t="s">
        <v>95</v>
      </c>
      <c r="I895" s="36" t="s">
        <v>98</v>
      </c>
      <c r="J895" s="36">
        <v>160</v>
      </c>
      <c r="K895" s="36">
        <v>228.8</v>
      </c>
    </row>
    <row r="896" spans="1:11" x14ac:dyDescent="0.3">
      <c r="A896" s="36" t="s">
        <v>90</v>
      </c>
      <c r="B896" s="36">
        <v>2021</v>
      </c>
      <c r="C896" s="36" t="s">
        <v>0</v>
      </c>
      <c r="D896" s="36" t="s">
        <v>91</v>
      </c>
      <c r="E896" s="36" t="s">
        <v>92</v>
      </c>
      <c r="F896" s="36" t="s">
        <v>93</v>
      </c>
      <c r="G896" s="36" t="s">
        <v>94</v>
      </c>
      <c r="H896" s="36" t="s">
        <v>95</v>
      </c>
      <c r="I896" s="36" t="s">
        <v>96</v>
      </c>
      <c r="J896" s="36">
        <v>210</v>
      </c>
      <c r="K896" s="36">
        <v>526.24</v>
      </c>
    </row>
    <row r="897" spans="1:11" x14ac:dyDescent="0.3">
      <c r="A897" s="36" t="s">
        <v>97</v>
      </c>
      <c r="B897" s="36">
        <v>2021</v>
      </c>
      <c r="C897" s="36" t="s">
        <v>0</v>
      </c>
      <c r="D897" s="36" t="s">
        <v>91</v>
      </c>
      <c r="E897" s="36" t="s">
        <v>92</v>
      </c>
      <c r="F897" s="36" t="s">
        <v>93</v>
      </c>
      <c r="G897" s="36" t="s">
        <v>94</v>
      </c>
      <c r="H897" s="36" t="s">
        <v>95</v>
      </c>
      <c r="I897" s="36" t="s">
        <v>96</v>
      </c>
      <c r="J897" s="36">
        <v>204</v>
      </c>
      <c r="K897" s="36">
        <v>526.24</v>
      </c>
    </row>
    <row r="898" spans="1:11" x14ac:dyDescent="0.3">
      <c r="A898" s="36" t="s">
        <v>99</v>
      </c>
      <c r="B898" s="36">
        <v>2021</v>
      </c>
      <c r="C898" s="36" t="s">
        <v>0</v>
      </c>
      <c r="D898" s="36" t="s">
        <v>91</v>
      </c>
      <c r="E898" s="36" t="s">
        <v>92</v>
      </c>
      <c r="F898" s="36" t="s">
        <v>93</v>
      </c>
      <c r="G898" s="36" t="s">
        <v>94</v>
      </c>
      <c r="H898" s="36" t="s">
        <v>95</v>
      </c>
      <c r="I898" s="36" t="s">
        <v>96</v>
      </c>
      <c r="J898" s="36">
        <v>198</v>
      </c>
      <c r="K898" s="36">
        <v>526.24</v>
      </c>
    </row>
    <row r="899" spans="1:11" x14ac:dyDescent="0.3">
      <c r="A899" s="36" t="s">
        <v>90</v>
      </c>
      <c r="B899" s="36">
        <v>2021</v>
      </c>
      <c r="C899" s="36" t="s">
        <v>0</v>
      </c>
      <c r="D899" s="36" t="s">
        <v>91</v>
      </c>
      <c r="E899" s="36" t="s">
        <v>92</v>
      </c>
      <c r="F899" s="36" t="s">
        <v>93</v>
      </c>
      <c r="G899" s="36" t="s">
        <v>94</v>
      </c>
      <c r="H899" s="36" t="s">
        <v>95</v>
      </c>
      <c r="I899" s="36" t="s">
        <v>98</v>
      </c>
      <c r="J899" s="36">
        <v>685</v>
      </c>
      <c r="K899" s="36">
        <v>979.55</v>
      </c>
    </row>
    <row r="900" spans="1:11" x14ac:dyDescent="0.3">
      <c r="A900" s="36" t="s">
        <v>90</v>
      </c>
      <c r="B900" s="36">
        <v>2021</v>
      </c>
      <c r="C900" s="36" t="s">
        <v>0</v>
      </c>
      <c r="D900" s="36" t="s">
        <v>91</v>
      </c>
      <c r="E900" s="36" t="s">
        <v>92</v>
      </c>
      <c r="F900" s="36" t="s">
        <v>93</v>
      </c>
      <c r="G900" s="36" t="s">
        <v>94</v>
      </c>
      <c r="H900" s="36" t="s">
        <v>95</v>
      </c>
      <c r="I900" s="36" t="s">
        <v>98</v>
      </c>
      <c r="J900" s="36">
        <v>718</v>
      </c>
      <c r="K900" s="36">
        <v>1026.74</v>
      </c>
    </row>
    <row r="901" spans="1:11" x14ac:dyDescent="0.3">
      <c r="A901" s="36" t="s">
        <v>97</v>
      </c>
      <c r="B901" s="36">
        <v>2021</v>
      </c>
      <c r="C901" s="36" t="s">
        <v>0</v>
      </c>
      <c r="D901" s="36" t="s">
        <v>91</v>
      </c>
      <c r="E901" s="36" t="s">
        <v>92</v>
      </c>
      <c r="F901" s="36" t="s">
        <v>93</v>
      </c>
      <c r="G901" s="36" t="s">
        <v>94</v>
      </c>
      <c r="H901" s="36" t="s">
        <v>95</v>
      </c>
      <c r="I901" s="36" t="s">
        <v>98</v>
      </c>
      <c r="J901" s="36">
        <v>771</v>
      </c>
      <c r="K901" s="36">
        <v>1102.53</v>
      </c>
    </row>
    <row r="902" spans="1:11" x14ac:dyDescent="0.3">
      <c r="A902" s="36" t="s">
        <v>97</v>
      </c>
      <c r="B902" s="36">
        <v>2021</v>
      </c>
      <c r="C902" s="36" t="s">
        <v>0</v>
      </c>
      <c r="D902" s="36" t="s">
        <v>91</v>
      </c>
      <c r="E902" s="36" t="s">
        <v>92</v>
      </c>
      <c r="F902" s="36" t="s">
        <v>93</v>
      </c>
      <c r="G902" s="36" t="s">
        <v>94</v>
      </c>
      <c r="H902" s="36" t="s">
        <v>95</v>
      </c>
      <c r="I902" s="36" t="s">
        <v>96</v>
      </c>
      <c r="J902" s="36">
        <v>207</v>
      </c>
      <c r="K902" s="36">
        <v>296.01</v>
      </c>
    </row>
    <row r="903" spans="1:11" x14ac:dyDescent="0.3">
      <c r="A903" s="36" t="s">
        <v>90</v>
      </c>
      <c r="B903" s="36">
        <v>2021</v>
      </c>
      <c r="C903" s="36" t="s">
        <v>0</v>
      </c>
      <c r="D903" s="36" t="s">
        <v>91</v>
      </c>
      <c r="E903" s="36" t="s">
        <v>92</v>
      </c>
      <c r="F903" s="36" t="s">
        <v>93</v>
      </c>
      <c r="G903" s="36" t="s">
        <v>94</v>
      </c>
      <c r="H903" s="36" t="s">
        <v>95</v>
      </c>
      <c r="I903" s="36" t="s">
        <v>96</v>
      </c>
      <c r="J903" s="36">
        <v>201</v>
      </c>
      <c r="K903" s="36">
        <v>287.43</v>
      </c>
    </row>
    <row r="904" spans="1:11" x14ac:dyDescent="0.3">
      <c r="A904" s="36" t="s">
        <v>90</v>
      </c>
      <c r="B904" s="36">
        <v>2021</v>
      </c>
      <c r="C904" s="36" t="s">
        <v>0</v>
      </c>
      <c r="D904" s="36" t="s">
        <v>91</v>
      </c>
      <c r="E904" s="36" t="s">
        <v>92</v>
      </c>
      <c r="F904" s="36" t="s">
        <v>93</v>
      </c>
      <c r="G904" s="36" t="s">
        <v>94</v>
      </c>
      <c r="H904" s="36" t="s">
        <v>95</v>
      </c>
      <c r="I904" s="36" t="s">
        <v>96</v>
      </c>
      <c r="J904" s="36">
        <v>195</v>
      </c>
      <c r="K904" s="36">
        <v>278.85000000000002</v>
      </c>
    </row>
    <row r="905" spans="1:11" x14ac:dyDescent="0.3">
      <c r="A905" s="36" t="s">
        <v>97</v>
      </c>
      <c r="B905" s="36">
        <v>2021</v>
      </c>
      <c r="C905" s="36" t="s">
        <v>0</v>
      </c>
      <c r="D905" s="36" t="s">
        <v>91</v>
      </c>
      <c r="E905" s="36" t="s">
        <v>92</v>
      </c>
      <c r="F905" s="36" t="s">
        <v>93</v>
      </c>
      <c r="G905" s="36" t="s">
        <v>94</v>
      </c>
      <c r="H905" s="36" t="s">
        <v>95</v>
      </c>
      <c r="I905" s="36" t="s">
        <v>98</v>
      </c>
      <c r="J905" s="36">
        <v>189</v>
      </c>
      <c r="K905" s="36">
        <v>270.27</v>
      </c>
    </row>
    <row r="906" spans="1:11" x14ac:dyDescent="0.3">
      <c r="A906" s="36" t="s">
        <v>90</v>
      </c>
      <c r="B906" s="36">
        <v>2021</v>
      </c>
      <c r="C906" s="36" t="s">
        <v>0</v>
      </c>
      <c r="D906" s="36" t="s">
        <v>91</v>
      </c>
      <c r="E906" s="36" t="s">
        <v>92</v>
      </c>
      <c r="F906" s="36" t="s">
        <v>93</v>
      </c>
      <c r="G906" s="36" t="s">
        <v>94</v>
      </c>
      <c r="H906" s="36" t="s">
        <v>95</v>
      </c>
      <c r="I906" s="36" t="s">
        <v>98</v>
      </c>
      <c r="J906" s="36">
        <v>757</v>
      </c>
      <c r="K906" s="36">
        <v>526.24</v>
      </c>
    </row>
    <row r="907" spans="1:11" x14ac:dyDescent="0.3">
      <c r="A907" s="36" t="s">
        <v>90</v>
      </c>
      <c r="B907" s="36">
        <v>2021</v>
      </c>
      <c r="C907" s="36" t="s">
        <v>0</v>
      </c>
      <c r="D907" s="36" t="s">
        <v>91</v>
      </c>
      <c r="E907" s="36" t="s">
        <v>92</v>
      </c>
      <c r="F907" s="36" t="s">
        <v>93</v>
      </c>
      <c r="G907" s="36" t="s">
        <v>94</v>
      </c>
      <c r="H907" s="36" t="s">
        <v>95</v>
      </c>
      <c r="I907" s="36" t="s">
        <v>98</v>
      </c>
      <c r="J907" s="36">
        <v>811</v>
      </c>
      <c r="K907" s="36">
        <v>526.24</v>
      </c>
    </row>
    <row r="908" spans="1:11" x14ac:dyDescent="0.3">
      <c r="A908" s="36" t="s">
        <v>97</v>
      </c>
      <c r="B908" s="36">
        <v>2021</v>
      </c>
      <c r="C908" s="36" t="s">
        <v>0</v>
      </c>
      <c r="D908" s="36" t="s">
        <v>91</v>
      </c>
      <c r="E908" s="36" t="s">
        <v>92</v>
      </c>
      <c r="F908" s="36" t="s">
        <v>93</v>
      </c>
      <c r="G908" s="36" t="s">
        <v>94</v>
      </c>
      <c r="H908" s="36" t="s">
        <v>95</v>
      </c>
      <c r="I908" s="36" t="s">
        <v>98</v>
      </c>
      <c r="J908" s="36">
        <v>187</v>
      </c>
      <c r="K908" s="36">
        <v>267.40999999999997</v>
      </c>
    </row>
    <row r="909" spans="1:11" x14ac:dyDescent="0.3">
      <c r="A909" s="36" t="s">
        <v>97</v>
      </c>
      <c r="B909" s="36">
        <v>2021</v>
      </c>
      <c r="C909" s="36" t="s">
        <v>0</v>
      </c>
      <c r="D909" s="36" t="s">
        <v>91</v>
      </c>
      <c r="E909" s="36" t="s">
        <v>92</v>
      </c>
      <c r="F909" s="36" t="s">
        <v>93</v>
      </c>
      <c r="G909" s="36" t="s">
        <v>94</v>
      </c>
      <c r="H909" s="36" t="s">
        <v>95</v>
      </c>
      <c r="I909" s="36" t="s">
        <v>98</v>
      </c>
      <c r="J909" s="36">
        <v>235</v>
      </c>
      <c r="K909" s="36">
        <v>336.05</v>
      </c>
    </row>
    <row r="910" spans="1:11" x14ac:dyDescent="0.3">
      <c r="A910" s="36" t="s">
        <v>99</v>
      </c>
      <c r="B910" s="36">
        <v>2021</v>
      </c>
      <c r="C910" s="36" t="s">
        <v>0</v>
      </c>
      <c r="D910" s="36" t="s">
        <v>91</v>
      </c>
      <c r="E910" s="36" t="s">
        <v>92</v>
      </c>
      <c r="F910" s="36" t="s">
        <v>93</v>
      </c>
      <c r="G910" s="36" t="s">
        <v>94</v>
      </c>
      <c r="H910" s="36" t="s">
        <v>95</v>
      </c>
      <c r="I910" s="36" t="s">
        <v>98</v>
      </c>
      <c r="J910" s="36">
        <v>163</v>
      </c>
      <c r="K910" s="36">
        <v>233.09</v>
      </c>
    </row>
    <row r="911" spans="1:11" x14ac:dyDescent="0.3">
      <c r="A911" s="36" t="s">
        <v>100</v>
      </c>
      <c r="B911" s="36">
        <v>2021</v>
      </c>
      <c r="C911" s="36" t="s">
        <v>0</v>
      </c>
      <c r="D911" s="36" t="s">
        <v>91</v>
      </c>
      <c r="E911" s="36" t="s">
        <v>92</v>
      </c>
      <c r="F911" s="36" t="s">
        <v>93</v>
      </c>
      <c r="G911" s="36" t="s">
        <v>94</v>
      </c>
      <c r="H911" s="36" t="s">
        <v>95</v>
      </c>
      <c r="I911" s="36" t="s">
        <v>96</v>
      </c>
      <c r="J911" s="36">
        <v>209</v>
      </c>
      <c r="K911" s="36">
        <v>298.87</v>
      </c>
    </row>
    <row r="912" spans="1:11" x14ac:dyDescent="0.3">
      <c r="A912" s="36" t="s">
        <v>97</v>
      </c>
      <c r="B912" s="36">
        <v>2021</v>
      </c>
      <c r="C912" s="36" t="s">
        <v>0</v>
      </c>
      <c r="D912" s="36" t="s">
        <v>91</v>
      </c>
      <c r="E912" s="36" t="s">
        <v>92</v>
      </c>
      <c r="F912" s="36" t="s">
        <v>93</v>
      </c>
      <c r="G912" s="36" t="s">
        <v>94</v>
      </c>
      <c r="H912" s="36" t="s">
        <v>95</v>
      </c>
      <c r="I912" s="36" t="s">
        <v>96</v>
      </c>
      <c r="J912" s="36">
        <v>203</v>
      </c>
      <c r="K912" s="36">
        <v>290.28999999999996</v>
      </c>
    </row>
    <row r="913" spans="1:11" x14ac:dyDescent="0.3">
      <c r="A913" s="36" t="s">
        <v>90</v>
      </c>
      <c r="B913" s="36">
        <v>2021</v>
      </c>
      <c r="C913" s="36" t="s">
        <v>0</v>
      </c>
      <c r="D913" s="36" t="s">
        <v>91</v>
      </c>
      <c r="E913" s="36" t="s">
        <v>92</v>
      </c>
      <c r="F913" s="36" t="s">
        <v>93</v>
      </c>
      <c r="G913" s="36" t="s">
        <v>94</v>
      </c>
      <c r="H913" s="36" t="s">
        <v>95</v>
      </c>
      <c r="I913" s="36" t="s">
        <v>96</v>
      </c>
      <c r="J913" s="36">
        <v>197</v>
      </c>
      <c r="K913" s="36">
        <v>281.70999999999998</v>
      </c>
    </row>
    <row r="914" spans="1:11" x14ac:dyDescent="0.3">
      <c r="A914" s="36" t="s">
        <v>99</v>
      </c>
      <c r="B914" s="36">
        <v>2021</v>
      </c>
      <c r="C914" s="36" t="s">
        <v>0</v>
      </c>
      <c r="D914" s="36" t="s">
        <v>91</v>
      </c>
      <c r="E914" s="36" t="s">
        <v>92</v>
      </c>
      <c r="F914" s="36" t="s">
        <v>93</v>
      </c>
      <c r="G914" s="36" t="s">
        <v>94</v>
      </c>
      <c r="H914" s="36" t="s">
        <v>95</v>
      </c>
      <c r="I914" s="36" t="s">
        <v>98</v>
      </c>
      <c r="J914" s="36">
        <v>233</v>
      </c>
      <c r="K914" s="36">
        <v>333.19</v>
      </c>
    </row>
    <row r="915" spans="1:11" x14ac:dyDescent="0.3">
      <c r="A915" s="36" t="s">
        <v>99</v>
      </c>
      <c r="B915" s="36">
        <v>2021</v>
      </c>
      <c r="C915" s="36" t="s">
        <v>0</v>
      </c>
      <c r="D915" s="36" t="s">
        <v>91</v>
      </c>
      <c r="E915" s="36" t="s">
        <v>92</v>
      </c>
      <c r="F915" s="36" t="s">
        <v>93</v>
      </c>
      <c r="G915" s="36" t="s">
        <v>94</v>
      </c>
      <c r="H915" s="36" t="s">
        <v>95</v>
      </c>
      <c r="I915" s="36" t="s">
        <v>98</v>
      </c>
      <c r="J915" s="36">
        <v>780</v>
      </c>
      <c r="K915" s="36">
        <v>1115.4000000000001</v>
      </c>
    </row>
    <row r="916" spans="1:11" x14ac:dyDescent="0.3">
      <c r="A916" s="36" t="s">
        <v>90</v>
      </c>
      <c r="B916" s="36">
        <v>2021</v>
      </c>
      <c r="C916" s="36" t="s">
        <v>6</v>
      </c>
      <c r="D916" s="36" t="s">
        <v>91</v>
      </c>
      <c r="E916" s="36" t="s">
        <v>92</v>
      </c>
      <c r="F916" s="36" t="s">
        <v>93</v>
      </c>
      <c r="G916" s="36" t="s">
        <v>94</v>
      </c>
      <c r="H916" s="36" t="s">
        <v>95</v>
      </c>
      <c r="I916" s="36" t="s">
        <v>96</v>
      </c>
      <c r="J916" s="36">
        <v>356</v>
      </c>
      <c r="K916" s="36">
        <v>509.08</v>
      </c>
    </row>
    <row r="917" spans="1:11" x14ac:dyDescent="0.3">
      <c r="A917" s="36" t="s">
        <v>90</v>
      </c>
      <c r="B917" s="36">
        <v>2021</v>
      </c>
      <c r="C917" s="36" t="s">
        <v>6</v>
      </c>
      <c r="D917" s="36" t="s">
        <v>91</v>
      </c>
      <c r="E917" s="36" t="s">
        <v>92</v>
      </c>
      <c r="F917" s="36" t="s">
        <v>93</v>
      </c>
      <c r="G917" s="36" t="s">
        <v>94</v>
      </c>
      <c r="H917" s="36" t="s">
        <v>95</v>
      </c>
      <c r="I917" s="36" t="s">
        <v>96</v>
      </c>
      <c r="J917" s="36">
        <v>350</v>
      </c>
      <c r="K917" s="36">
        <v>500.5</v>
      </c>
    </row>
    <row r="918" spans="1:11" x14ac:dyDescent="0.3">
      <c r="A918" s="36" t="s">
        <v>99</v>
      </c>
      <c r="B918" s="36">
        <v>2021</v>
      </c>
      <c r="C918" s="36" t="s">
        <v>6</v>
      </c>
      <c r="D918" s="36" t="s">
        <v>91</v>
      </c>
      <c r="E918" s="36" t="s">
        <v>92</v>
      </c>
      <c r="F918" s="36" t="s">
        <v>93</v>
      </c>
      <c r="G918" s="36" t="s">
        <v>94</v>
      </c>
      <c r="H918" s="36" t="s">
        <v>95</v>
      </c>
      <c r="I918" s="36" t="s">
        <v>98</v>
      </c>
      <c r="J918" s="36">
        <v>158</v>
      </c>
      <c r="K918" s="36">
        <v>214.88</v>
      </c>
    </row>
    <row r="919" spans="1:11" x14ac:dyDescent="0.3">
      <c r="A919" s="36" t="s">
        <v>97</v>
      </c>
      <c r="B919" s="36">
        <v>2021</v>
      </c>
      <c r="C919" s="36" t="s">
        <v>6</v>
      </c>
      <c r="D919" s="36" t="s">
        <v>91</v>
      </c>
      <c r="E919" s="36" t="s">
        <v>92</v>
      </c>
      <c r="F919" s="36" t="s">
        <v>93</v>
      </c>
      <c r="G919" s="36" t="s">
        <v>94</v>
      </c>
      <c r="H919" s="36" t="s">
        <v>95</v>
      </c>
      <c r="I919" s="36" t="s">
        <v>98</v>
      </c>
      <c r="J919" s="36">
        <v>200</v>
      </c>
      <c r="K919" s="36">
        <v>286</v>
      </c>
    </row>
    <row r="920" spans="1:11" x14ac:dyDescent="0.3">
      <c r="A920" s="36" t="s">
        <v>97</v>
      </c>
      <c r="B920" s="36">
        <v>2021</v>
      </c>
      <c r="C920" s="36" t="s">
        <v>6</v>
      </c>
      <c r="D920" s="36" t="s">
        <v>91</v>
      </c>
      <c r="E920" s="36" t="s">
        <v>92</v>
      </c>
      <c r="F920" s="36" t="s">
        <v>93</v>
      </c>
      <c r="G920" s="36" t="s">
        <v>94</v>
      </c>
      <c r="H920" s="36" t="s">
        <v>95</v>
      </c>
      <c r="I920" s="36" t="s">
        <v>98</v>
      </c>
      <c r="J920" s="36">
        <v>128</v>
      </c>
      <c r="K920" s="36">
        <v>183.04</v>
      </c>
    </row>
    <row r="921" spans="1:11" x14ac:dyDescent="0.3">
      <c r="A921" s="36" t="s">
        <v>100</v>
      </c>
      <c r="B921" s="36">
        <v>2021</v>
      </c>
      <c r="C921" s="36" t="s">
        <v>6</v>
      </c>
      <c r="D921" s="36" t="s">
        <v>91</v>
      </c>
      <c r="E921" s="36" t="s">
        <v>92</v>
      </c>
      <c r="F921" s="36" t="s">
        <v>93</v>
      </c>
      <c r="G921" s="36" t="s">
        <v>94</v>
      </c>
      <c r="H921" s="36" t="s">
        <v>95</v>
      </c>
      <c r="I921" s="36" t="s">
        <v>98</v>
      </c>
      <c r="J921" s="36">
        <v>154</v>
      </c>
      <c r="K921" s="36">
        <v>220.22</v>
      </c>
    </row>
    <row r="922" spans="1:11" x14ac:dyDescent="0.3">
      <c r="A922" s="36" t="s">
        <v>97</v>
      </c>
      <c r="B922" s="36">
        <v>2021</v>
      </c>
      <c r="C922" s="36" t="s">
        <v>6</v>
      </c>
      <c r="D922" s="36" t="s">
        <v>91</v>
      </c>
      <c r="E922" s="36" t="s">
        <v>92</v>
      </c>
      <c r="F922" s="36" t="s">
        <v>93</v>
      </c>
      <c r="G922" s="36" t="s">
        <v>94</v>
      </c>
      <c r="H922" s="36" t="s">
        <v>95</v>
      </c>
      <c r="I922" s="36" t="s">
        <v>98</v>
      </c>
      <c r="J922" s="36">
        <v>202</v>
      </c>
      <c r="K922" s="36">
        <v>288.86</v>
      </c>
    </row>
    <row r="923" spans="1:11" x14ac:dyDescent="0.3">
      <c r="A923" s="36" t="s">
        <v>99</v>
      </c>
      <c r="B923" s="36">
        <v>2021</v>
      </c>
      <c r="C923" s="36" t="s">
        <v>6</v>
      </c>
      <c r="D923" s="36" t="s">
        <v>91</v>
      </c>
      <c r="E923" s="36" t="s">
        <v>92</v>
      </c>
      <c r="F923" s="36" t="s">
        <v>93</v>
      </c>
      <c r="G923" s="36" t="s">
        <v>94</v>
      </c>
      <c r="H923" s="36" t="s">
        <v>95</v>
      </c>
      <c r="I923" s="36" t="s">
        <v>98</v>
      </c>
      <c r="J923" s="36">
        <v>130</v>
      </c>
      <c r="K923" s="36">
        <v>185.9</v>
      </c>
    </row>
    <row r="924" spans="1:11" x14ac:dyDescent="0.3">
      <c r="A924" s="36" t="s">
        <v>97</v>
      </c>
      <c r="B924" s="36">
        <v>2021</v>
      </c>
      <c r="C924" s="36" t="s">
        <v>6</v>
      </c>
      <c r="D924" s="36" t="s">
        <v>91</v>
      </c>
      <c r="E924" s="36" t="s">
        <v>92</v>
      </c>
      <c r="F924" s="36" t="s">
        <v>93</v>
      </c>
      <c r="G924" s="36" t="s">
        <v>94</v>
      </c>
      <c r="H924" s="36" t="s">
        <v>95</v>
      </c>
      <c r="I924" s="36" t="s">
        <v>98</v>
      </c>
      <c r="J924" s="36">
        <v>360</v>
      </c>
      <c r="K924" s="36">
        <v>526.24</v>
      </c>
    </row>
    <row r="925" spans="1:11" x14ac:dyDescent="0.3">
      <c r="A925" s="36" t="s">
        <v>90</v>
      </c>
      <c r="B925" s="36">
        <v>2021</v>
      </c>
      <c r="C925" s="36" t="s">
        <v>6</v>
      </c>
      <c r="D925" s="36" t="s">
        <v>91</v>
      </c>
      <c r="E925" s="36" t="s">
        <v>92</v>
      </c>
      <c r="F925" s="36" t="s">
        <v>93</v>
      </c>
      <c r="G925" s="36" t="s">
        <v>94</v>
      </c>
      <c r="H925" s="36" t="s">
        <v>95</v>
      </c>
      <c r="I925" s="36" t="s">
        <v>98</v>
      </c>
      <c r="J925" s="36">
        <v>354</v>
      </c>
      <c r="K925" s="36">
        <v>526.24</v>
      </c>
    </row>
    <row r="926" spans="1:11" x14ac:dyDescent="0.3">
      <c r="A926" s="36" t="s">
        <v>90</v>
      </c>
      <c r="B926" s="36">
        <v>2021</v>
      </c>
      <c r="C926" s="36" t="s">
        <v>6</v>
      </c>
      <c r="D926" s="36" t="s">
        <v>91</v>
      </c>
      <c r="E926" s="36" t="s">
        <v>92</v>
      </c>
      <c r="F926" s="36" t="s">
        <v>93</v>
      </c>
      <c r="G926" s="36" t="s">
        <v>94</v>
      </c>
      <c r="H926" s="36" t="s">
        <v>95</v>
      </c>
      <c r="I926" s="36" t="s">
        <v>98</v>
      </c>
      <c r="J926" s="36">
        <v>348</v>
      </c>
      <c r="K926" s="36">
        <v>526.24</v>
      </c>
    </row>
    <row r="927" spans="1:11" x14ac:dyDescent="0.3">
      <c r="A927" s="36" t="s">
        <v>90</v>
      </c>
      <c r="B927" s="36">
        <v>2021</v>
      </c>
      <c r="C927" s="36" t="s">
        <v>6</v>
      </c>
      <c r="D927" s="36" t="s">
        <v>91</v>
      </c>
      <c r="E927" s="36" t="s">
        <v>92</v>
      </c>
      <c r="F927" s="36" t="s">
        <v>93</v>
      </c>
      <c r="G927" s="36" t="s">
        <v>94</v>
      </c>
      <c r="H927" s="36" t="s">
        <v>95</v>
      </c>
      <c r="I927" s="36" t="s">
        <v>98</v>
      </c>
      <c r="J927" s="36">
        <v>690</v>
      </c>
      <c r="K927" s="36">
        <v>986.7</v>
      </c>
    </row>
    <row r="928" spans="1:11" x14ac:dyDescent="0.3">
      <c r="A928" s="36" t="s">
        <v>97</v>
      </c>
      <c r="B928" s="36">
        <v>2021</v>
      </c>
      <c r="C928" s="36" t="s">
        <v>6</v>
      </c>
      <c r="D928" s="36" t="s">
        <v>91</v>
      </c>
      <c r="E928" s="36" t="s">
        <v>92</v>
      </c>
      <c r="F928" s="36" t="s">
        <v>93</v>
      </c>
      <c r="G928" s="36" t="s">
        <v>94</v>
      </c>
      <c r="H928" s="36" t="s">
        <v>95</v>
      </c>
      <c r="I928" s="36" t="s">
        <v>98</v>
      </c>
      <c r="J928" s="36">
        <v>723</v>
      </c>
      <c r="K928" s="36">
        <v>1033.8899999999999</v>
      </c>
    </row>
    <row r="929" spans="1:11" x14ac:dyDescent="0.3">
      <c r="A929" s="36" t="s">
        <v>97</v>
      </c>
      <c r="B929" s="36">
        <v>2021</v>
      </c>
      <c r="C929" s="36" t="s">
        <v>6</v>
      </c>
      <c r="D929" s="36" t="s">
        <v>91</v>
      </c>
      <c r="E929" s="36" t="s">
        <v>92</v>
      </c>
      <c r="F929" s="36" t="s">
        <v>93</v>
      </c>
      <c r="G929" s="36" t="s">
        <v>94</v>
      </c>
      <c r="H929" s="36" t="s">
        <v>95</v>
      </c>
      <c r="I929" s="36" t="s">
        <v>98</v>
      </c>
      <c r="J929" s="36">
        <v>357</v>
      </c>
      <c r="K929" s="36">
        <v>510.51</v>
      </c>
    </row>
    <row r="930" spans="1:11" x14ac:dyDescent="0.3">
      <c r="A930" s="36" t="s">
        <v>97</v>
      </c>
      <c r="B930" s="36">
        <v>2021</v>
      </c>
      <c r="C930" s="36" t="s">
        <v>6</v>
      </c>
      <c r="D930" s="36" t="s">
        <v>91</v>
      </c>
      <c r="E930" s="36" t="s">
        <v>92</v>
      </c>
      <c r="F930" s="36" t="s">
        <v>93</v>
      </c>
      <c r="G930" s="36" t="s">
        <v>94</v>
      </c>
      <c r="H930" s="36" t="s">
        <v>95</v>
      </c>
      <c r="I930" s="36" t="s">
        <v>98</v>
      </c>
      <c r="J930" s="36">
        <v>351</v>
      </c>
      <c r="K930" s="36">
        <v>501.93</v>
      </c>
    </row>
    <row r="931" spans="1:11" x14ac:dyDescent="0.3">
      <c r="A931" s="36" t="s">
        <v>97</v>
      </c>
      <c r="B931" s="36">
        <v>2021</v>
      </c>
      <c r="C931" s="36" t="s">
        <v>6</v>
      </c>
      <c r="D931" s="36" t="s">
        <v>91</v>
      </c>
      <c r="E931" s="36" t="s">
        <v>92</v>
      </c>
      <c r="F931" s="36" t="s">
        <v>93</v>
      </c>
      <c r="G931" s="36" t="s">
        <v>94</v>
      </c>
      <c r="H931" s="36" t="s">
        <v>95</v>
      </c>
      <c r="I931" s="36" t="s">
        <v>98</v>
      </c>
      <c r="J931" s="36">
        <v>345</v>
      </c>
      <c r="K931" s="36">
        <v>493.35</v>
      </c>
    </row>
    <row r="932" spans="1:11" x14ac:dyDescent="0.3">
      <c r="A932" s="36" t="s">
        <v>90</v>
      </c>
      <c r="B932" s="36">
        <v>2021</v>
      </c>
      <c r="C932" s="36" t="s">
        <v>6</v>
      </c>
      <c r="D932" s="36" t="s">
        <v>91</v>
      </c>
      <c r="E932" s="36" t="s">
        <v>92</v>
      </c>
      <c r="F932" s="36" t="s">
        <v>93</v>
      </c>
      <c r="G932" s="36" t="s">
        <v>94</v>
      </c>
      <c r="H932" s="36" t="s">
        <v>95</v>
      </c>
      <c r="I932" s="36" t="s">
        <v>98</v>
      </c>
      <c r="J932" s="36">
        <v>763</v>
      </c>
      <c r="K932" s="36">
        <v>526.24</v>
      </c>
    </row>
    <row r="933" spans="1:11" x14ac:dyDescent="0.3">
      <c r="A933" s="36" t="s">
        <v>90</v>
      </c>
      <c r="B933" s="36">
        <v>2021</v>
      </c>
      <c r="C933" s="36" t="s">
        <v>6</v>
      </c>
      <c r="D933" s="36" t="s">
        <v>91</v>
      </c>
      <c r="E933" s="36" t="s">
        <v>92</v>
      </c>
      <c r="F933" s="36" t="s">
        <v>93</v>
      </c>
      <c r="G933" s="36" t="s">
        <v>94</v>
      </c>
      <c r="H933" s="36" t="s">
        <v>95</v>
      </c>
      <c r="I933" s="36" t="s">
        <v>98</v>
      </c>
      <c r="J933" s="36">
        <v>816</v>
      </c>
      <c r="K933" s="36">
        <v>526.24</v>
      </c>
    </row>
    <row r="934" spans="1:11" x14ac:dyDescent="0.3">
      <c r="A934" s="36" t="s">
        <v>99</v>
      </c>
      <c r="B934" s="36">
        <v>2021</v>
      </c>
      <c r="C934" s="36" t="s">
        <v>6</v>
      </c>
      <c r="D934" s="36" t="s">
        <v>91</v>
      </c>
      <c r="E934" s="36" t="s">
        <v>92</v>
      </c>
      <c r="F934" s="36" t="s">
        <v>93</v>
      </c>
      <c r="G934" s="36" t="s">
        <v>94</v>
      </c>
      <c r="H934" s="36" t="s">
        <v>95</v>
      </c>
      <c r="I934" s="36" t="s">
        <v>98</v>
      </c>
      <c r="J934" s="36">
        <v>157</v>
      </c>
      <c r="K934" s="36">
        <v>224.51</v>
      </c>
    </row>
    <row r="935" spans="1:11" x14ac:dyDescent="0.3">
      <c r="A935" s="36" t="s">
        <v>97</v>
      </c>
      <c r="B935" s="36">
        <v>2021</v>
      </c>
      <c r="C935" s="36" t="s">
        <v>6</v>
      </c>
      <c r="D935" s="36" t="s">
        <v>91</v>
      </c>
      <c r="E935" s="36" t="s">
        <v>92</v>
      </c>
      <c r="F935" s="36" t="s">
        <v>93</v>
      </c>
      <c r="G935" s="36" t="s">
        <v>94</v>
      </c>
      <c r="H935" s="36" t="s">
        <v>95</v>
      </c>
      <c r="I935" s="36" t="s">
        <v>98</v>
      </c>
      <c r="J935" s="36">
        <v>205</v>
      </c>
      <c r="K935" s="36">
        <v>293.14999999999998</v>
      </c>
    </row>
    <row r="936" spans="1:11" x14ac:dyDescent="0.3">
      <c r="A936" s="36" t="s">
        <v>100</v>
      </c>
      <c r="B936" s="36">
        <v>2021</v>
      </c>
      <c r="C936" s="36" t="s">
        <v>6</v>
      </c>
      <c r="D936" s="36" t="s">
        <v>91</v>
      </c>
      <c r="E936" s="36" t="s">
        <v>92</v>
      </c>
      <c r="F936" s="36" t="s">
        <v>93</v>
      </c>
      <c r="G936" s="36" t="s">
        <v>94</v>
      </c>
      <c r="H936" s="36" t="s">
        <v>95</v>
      </c>
      <c r="I936" s="36" t="s">
        <v>98</v>
      </c>
      <c r="J936" s="36">
        <v>127</v>
      </c>
      <c r="K936" s="36">
        <v>181.61</v>
      </c>
    </row>
    <row r="937" spans="1:11" x14ac:dyDescent="0.3">
      <c r="A937" s="36" t="s">
        <v>90</v>
      </c>
      <c r="B937" s="36">
        <v>2021</v>
      </c>
      <c r="C937" s="36" t="s">
        <v>6</v>
      </c>
      <c r="D937" s="36" t="s">
        <v>91</v>
      </c>
      <c r="E937" s="36" t="s">
        <v>92</v>
      </c>
      <c r="F937" s="36" t="s">
        <v>93</v>
      </c>
      <c r="G937" s="36" t="s">
        <v>94</v>
      </c>
      <c r="H937" s="36" t="s">
        <v>95</v>
      </c>
      <c r="I937" s="36" t="s">
        <v>96</v>
      </c>
      <c r="J937" s="36">
        <v>359</v>
      </c>
      <c r="K937" s="36">
        <v>513.37</v>
      </c>
    </row>
    <row r="938" spans="1:11" x14ac:dyDescent="0.3">
      <c r="A938" s="36" t="s">
        <v>90</v>
      </c>
      <c r="B938" s="36">
        <v>2021</v>
      </c>
      <c r="C938" s="36" t="s">
        <v>6</v>
      </c>
      <c r="D938" s="36" t="s">
        <v>91</v>
      </c>
      <c r="E938" s="36" t="s">
        <v>92</v>
      </c>
      <c r="F938" s="36" t="s">
        <v>93</v>
      </c>
      <c r="G938" s="36" t="s">
        <v>94</v>
      </c>
      <c r="H938" s="36" t="s">
        <v>95</v>
      </c>
      <c r="I938" s="36" t="s">
        <v>96</v>
      </c>
      <c r="J938" s="36">
        <v>353</v>
      </c>
      <c r="K938" s="36">
        <v>504.78999999999996</v>
      </c>
    </row>
    <row r="939" spans="1:11" x14ac:dyDescent="0.3">
      <c r="A939" s="36" t="s">
        <v>101</v>
      </c>
      <c r="B939" s="36">
        <v>2021</v>
      </c>
      <c r="C939" s="36" t="s">
        <v>6</v>
      </c>
      <c r="D939" s="36" t="s">
        <v>91</v>
      </c>
      <c r="E939" s="36" t="s">
        <v>92</v>
      </c>
      <c r="F939" s="36" t="s">
        <v>93</v>
      </c>
      <c r="G939" s="36" t="s">
        <v>94</v>
      </c>
      <c r="H939" s="36" t="s">
        <v>95</v>
      </c>
      <c r="I939" s="36" t="s">
        <v>96</v>
      </c>
      <c r="J939" s="36">
        <v>347</v>
      </c>
      <c r="K939" s="36">
        <v>496.21000000000004</v>
      </c>
    </row>
    <row r="940" spans="1:11" x14ac:dyDescent="0.3">
      <c r="A940" s="36" t="s">
        <v>97</v>
      </c>
      <c r="B940" s="36">
        <v>2021</v>
      </c>
      <c r="C940" s="36" t="s">
        <v>6</v>
      </c>
      <c r="D940" s="36" t="s">
        <v>91</v>
      </c>
      <c r="E940" s="36" t="s">
        <v>92</v>
      </c>
      <c r="F940" s="36" t="s">
        <v>93</v>
      </c>
      <c r="G940" s="36" t="s">
        <v>94</v>
      </c>
      <c r="H940" s="36" t="s">
        <v>95</v>
      </c>
      <c r="I940" s="36" t="s">
        <v>98</v>
      </c>
      <c r="J940" s="36">
        <v>155</v>
      </c>
      <c r="K940" s="36">
        <v>221.65</v>
      </c>
    </row>
    <row r="941" spans="1:11" x14ac:dyDescent="0.3">
      <c r="A941" s="36" t="s">
        <v>90</v>
      </c>
      <c r="B941" s="36">
        <v>2021</v>
      </c>
      <c r="C941" s="36" t="s">
        <v>6</v>
      </c>
      <c r="D941" s="36" t="s">
        <v>91</v>
      </c>
      <c r="E941" s="36" t="s">
        <v>92</v>
      </c>
      <c r="F941" s="36" t="s">
        <v>93</v>
      </c>
      <c r="G941" s="36" t="s">
        <v>94</v>
      </c>
      <c r="H941" s="36" t="s">
        <v>95</v>
      </c>
      <c r="I941" s="36" t="s">
        <v>98</v>
      </c>
      <c r="J941" s="36">
        <v>203</v>
      </c>
      <c r="K941" s="36">
        <v>290.28999999999996</v>
      </c>
    </row>
    <row r="942" spans="1:11" x14ac:dyDescent="0.3">
      <c r="A942" s="36" t="s">
        <v>99</v>
      </c>
      <c r="B942" s="36">
        <v>2021</v>
      </c>
      <c r="C942" s="36" t="s">
        <v>6</v>
      </c>
      <c r="D942" s="36" t="s">
        <v>91</v>
      </c>
      <c r="E942" s="36" t="s">
        <v>92</v>
      </c>
      <c r="F942" s="36" t="s">
        <v>93</v>
      </c>
      <c r="G942" s="36" t="s">
        <v>94</v>
      </c>
      <c r="H942" s="36" t="s">
        <v>95</v>
      </c>
      <c r="I942" s="36" t="s">
        <v>98</v>
      </c>
      <c r="J942" s="36">
        <v>785</v>
      </c>
      <c r="K942" s="36">
        <v>1122.55</v>
      </c>
    </row>
    <row r="943" spans="1:11" x14ac:dyDescent="0.3">
      <c r="A943" s="36" t="s">
        <v>97</v>
      </c>
      <c r="B943" s="36">
        <v>2021</v>
      </c>
      <c r="C943" s="36" t="s">
        <v>5</v>
      </c>
      <c r="D943" s="36" t="s">
        <v>91</v>
      </c>
      <c r="E943" s="36" t="s">
        <v>92</v>
      </c>
      <c r="F943" s="36" t="s">
        <v>93</v>
      </c>
      <c r="G943" s="36" t="s">
        <v>94</v>
      </c>
      <c r="H943" s="36" t="s">
        <v>95</v>
      </c>
      <c r="I943" s="36" t="s">
        <v>96</v>
      </c>
      <c r="J943" s="36">
        <v>128</v>
      </c>
      <c r="K943" s="36">
        <v>526.24</v>
      </c>
    </row>
    <row r="944" spans="1:11" x14ac:dyDescent="0.3">
      <c r="A944" s="36" t="s">
        <v>99</v>
      </c>
      <c r="B944" s="36">
        <v>2021</v>
      </c>
      <c r="C944" s="36" t="s">
        <v>5</v>
      </c>
      <c r="D944" s="36" t="s">
        <v>91</v>
      </c>
      <c r="E944" s="36" t="s">
        <v>92</v>
      </c>
      <c r="F944" s="36" t="s">
        <v>93</v>
      </c>
      <c r="G944" s="36" t="s">
        <v>94</v>
      </c>
      <c r="H944" s="36" t="s">
        <v>95</v>
      </c>
      <c r="I944" s="36" t="s">
        <v>96</v>
      </c>
      <c r="J944" s="36">
        <v>368</v>
      </c>
      <c r="K944" s="36">
        <v>526.24</v>
      </c>
    </row>
    <row r="945" spans="1:11" x14ac:dyDescent="0.3">
      <c r="A945" s="36" t="s">
        <v>97</v>
      </c>
      <c r="B945" s="36">
        <v>2021</v>
      </c>
      <c r="C945" s="36" t="s">
        <v>5</v>
      </c>
      <c r="D945" s="36" t="s">
        <v>91</v>
      </c>
      <c r="E945" s="36" t="s">
        <v>92</v>
      </c>
      <c r="F945" s="36" t="s">
        <v>93</v>
      </c>
      <c r="G945" s="36" t="s">
        <v>94</v>
      </c>
      <c r="H945" s="36" t="s">
        <v>95</v>
      </c>
      <c r="I945" s="36" t="s">
        <v>96</v>
      </c>
      <c r="J945" s="36">
        <v>362</v>
      </c>
      <c r="K945" s="36">
        <v>517.66</v>
      </c>
    </row>
    <row r="946" spans="1:11" x14ac:dyDescent="0.3">
      <c r="A946" s="36" t="s">
        <v>90</v>
      </c>
      <c r="B946" s="36">
        <v>2021</v>
      </c>
      <c r="C946" s="36" t="s">
        <v>5</v>
      </c>
      <c r="D946" s="36" t="s">
        <v>91</v>
      </c>
      <c r="E946" s="36" t="s">
        <v>92</v>
      </c>
      <c r="F946" s="36" t="s">
        <v>93</v>
      </c>
      <c r="G946" s="36" t="s">
        <v>94</v>
      </c>
      <c r="H946" s="36" t="s">
        <v>95</v>
      </c>
      <c r="I946" s="36" t="s">
        <v>98</v>
      </c>
      <c r="J946" s="36">
        <v>206</v>
      </c>
      <c r="K946" s="36">
        <v>294.58</v>
      </c>
    </row>
    <row r="947" spans="1:11" x14ac:dyDescent="0.3">
      <c r="A947" s="36" t="s">
        <v>90</v>
      </c>
      <c r="B947" s="36">
        <v>2021</v>
      </c>
      <c r="C947" s="36" t="s">
        <v>5</v>
      </c>
      <c r="D947" s="36" t="s">
        <v>91</v>
      </c>
      <c r="E947" s="36" t="s">
        <v>92</v>
      </c>
      <c r="F947" s="36" t="s">
        <v>93</v>
      </c>
      <c r="G947" s="36" t="s">
        <v>94</v>
      </c>
      <c r="H947" s="36" t="s">
        <v>95</v>
      </c>
      <c r="I947" s="36" t="s">
        <v>98</v>
      </c>
      <c r="J947" s="36">
        <v>134</v>
      </c>
      <c r="K947" s="36">
        <v>191.62</v>
      </c>
    </row>
    <row r="948" spans="1:11" x14ac:dyDescent="0.3">
      <c r="A948" s="36" t="s">
        <v>90</v>
      </c>
      <c r="B948" s="36">
        <v>2021</v>
      </c>
      <c r="C948" s="36" t="s">
        <v>5</v>
      </c>
      <c r="D948" s="36" t="s">
        <v>91</v>
      </c>
      <c r="E948" s="36" t="s">
        <v>92</v>
      </c>
      <c r="F948" s="36" t="s">
        <v>93</v>
      </c>
      <c r="G948" s="36" t="s">
        <v>94</v>
      </c>
      <c r="H948" s="36" t="s">
        <v>95</v>
      </c>
      <c r="I948" s="36" t="s">
        <v>98</v>
      </c>
      <c r="J948" s="36">
        <v>160</v>
      </c>
      <c r="K948" s="36">
        <v>228.8</v>
      </c>
    </row>
    <row r="949" spans="1:11" x14ac:dyDescent="0.3">
      <c r="A949" s="36" t="s">
        <v>97</v>
      </c>
      <c r="B949" s="36">
        <v>2021</v>
      </c>
      <c r="C949" s="36" t="s">
        <v>5</v>
      </c>
      <c r="D949" s="36" t="s">
        <v>91</v>
      </c>
      <c r="E949" s="36" t="s">
        <v>92</v>
      </c>
      <c r="F949" s="36" t="s">
        <v>93</v>
      </c>
      <c r="G949" s="36" t="s">
        <v>94</v>
      </c>
      <c r="H949" s="36" t="s">
        <v>95</v>
      </c>
      <c r="I949" s="36" t="s">
        <v>98</v>
      </c>
      <c r="J949" s="36">
        <v>208</v>
      </c>
      <c r="K949" s="36">
        <v>297.44</v>
      </c>
    </row>
    <row r="950" spans="1:11" x14ac:dyDescent="0.3">
      <c r="A950" s="36" t="s">
        <v>90</v>
      </c>
      <c r="B950" s="36">
        <v>2021</v>
      </c>
      <c r="C950" s="36" t="s">
        <v>5</v>
      </c>
      <c r="D950" s="36" t="s">
        <v>91</v>
      </c>
      <c r="E950" s="36" t="s">
        <v>92</v>
      </c>
      <c r="F950" s="36" t="s">
        <v>93</v>
      </c>
      <c r="G950" s="36" t="s">
        <v>94</v>
      </c>
      <c r="H950" s="36" t="s">
        <v>95</v>
      </c>
      <c r="I950" s="36" t="s">
        <v>98</v>
      </c>
      <c r="J950" s="36">
        <v>136</v>
      </c>
      <c r="K950" s="36">
        <v>194.48</v>
      </c>
    </row>
    <row r="951" spans="1:11" x14ac:dyDescent="0.3">
      <c r="A951" s="36" t="s">
        <v>97</v>
      </c>
      <c r="B951" s="36">
        <v>2021</v>
      </c>
      <c r="C951" s="36" t="s">
        <v>5</v>
      </c>
      <c r="D951" s="36" t="s">
        <v>91</v>
      </c>
      <c r="E951" s="36" t="s">
        <v>92</v>
      </c>
      <c r="F951" s="36" t="s">
        <v>93</v>
      </c>
      <c r="G951" s="36" t="s">
        <v>94</v>
      </c>
      <c r="H951" s="36" t="s">
        <v>95</v>
      </c>
      <c r="I951" s="36" t="s">
        <v>98</v>
      </c>
      <c r="J951" s="36">
        <v>372</v>
      </c>
      <c r="K951" s="36">
        <v>526.24</v>
      </c>
    </row>
    <row r="952" spans="1:11" x14ac:dyDescent="0.3">
      <c r="A952" s="36" t="s">
        <v>97</v>
      </c>
      <c r="B952" s="36">
        <v>2021</v>
      </c>
      <c r="C952" s="36" t="s">
        <v>5</v>
      </c>
      <c r="D952" s="36" t="s">
        <v>91</v>
      </c>
      <c r="E952" s="36" t="s">
        <v>92</v>
      </c>
      <c r="F952" s="36" t="s">
        <v>93</v>
      </c>
      <c r="G952" s="36" t="s">
        <v>94</v>
      </c>
      <c r="H952" s="36" t="s">
        <v>95</v>
      </c>
      <c r="I952" s="36" t="s">
        <v>98</v>
      </c>
      <c r="J952" s="36">
        <v>366</v>
      </c>
      <c r="K952" s="36">
        <v>526.24</v>
      </c>
    </row>
    <row r="953" spans="1:11" x14ac:dyDescent="0.3">
      <c r="A953" s="36" t="s">
        <v>90</v>
      </c>
      <c r="B953" s="36">
        <v>2021</v>
      </c>
      <c r="C953" s="36" t="s">
        <v>5</v>
      </c>
      <c r="D953" s="36" t="s">
        <v>91</v>
      </c>
      <c r="E953" s="36" t="s">
        <v>92</v>
      </c>
      <c r="F953" s="36" t="s">
        <v>93</v>
      </c>
      <c r="G953" s="36" t="s">
        <v>94</v>
      </c>
      <c r="H953" s="36" t="s">
        <v>95</v>
      </c>
      <c r="I953" s="36" t="s">
        <v>98</v>
      </c>
      <c r="J953" s="36">
        <v>689</v>
      </c>
      <c r="K953" s="36">
        <v>985.27</v>
      </c>
    </row>
    <row r="954" spans="1:11" x14ac:dyDescent="0.3">
      <c r="A954" s="36" t="s">
        <v>99</v>
      </c>
      <c r="B954" s="36">
        <v>2021</v>
      </c>
      <c r="C954" s="36" t="s">
        <v>5</v>
      </c>
      <c r="D954" s="36" t="s">
        <v>91</v>
      </c>
      <c r="E954" s="36" t="s">
        <v>92</v>
      </c>
      <c r="F954" s="36" t="s">
        <v>93</v>
      </c>
      <c r="G954" s="36" t="s">
        <v>94</v>
      </c>
      <c r="H954" s="36" t="s">
        <v>95</v>
      </c>
      <c r="I954" s="36" t="s">
        <v>98</v>
      </c>
      <c r="J954" s="36">
        <v>722</v>
      </c>
      <c r="K954" s="36">
        <v>1032.46</v>
      </c>
    </row>
    <row r="955" spans="1:11" x14ac:dyDescent="0.3">
      <c r="A955" s="36" t="s">
        <v>97</v>
      </c>
      <c r="B955" s="36">
        <v>2021</v>
      </c>
      <c r="C955" s="36" t="s">
        <v>5</v>
      </c>
      <c r="D955" s="36" t="s">
        <v>91</v>
      </c>
      <c r="E955" s="36" t="s">
        <v>92</v>
      </c>
      <c r="F955" s="36" t="s">
        <v>93</v>
      </c>
      <c r="G955" s="36" t="s">
        <v>94</v>
      </c>
      <c r="H955" s="36" t="s">
        <v>95</v>
      </c>
      <c r="I955" s="36" t="s">
        <v>98</v>
      </c>
      <c r="J955" s="36">
        <v>776</v>
      </c>
      <c r="K955" s="36">
        <v>1109.68</v>
      </c>
    </row>
    <row r="956" spans="1:11" x14ac:dyDescent="0.3">
      <c r="A956" s="36" t="s">
        <v>99</v>
      </c>
      <c r="B956" s="36">
        <v>2021</v>
      </c>
      <c r="C956" s="36" t="s">
        <v>5</v>
      </c>
      <c r="D956" s="36" t="s">
        <v>91</v>
      </c>
      <c r="E956" s="36" t="s">
        <v>92</v>
      </c>
      <c r="F956" s="36" t="s">
        <v>93</v>
      </c>
      <c r="G956" s="36" t="s">
        <v>94</v>
      </c>
      <c r="H956" s="36" t="s">
        <v>95</v>
      </c>
      <c r="I956" s="36" t="s">
        <v>98</v>
      </c>
      <c r="J956" s="36">
        <v>129</v>
      </c>
      <c r="K956" s="36">
        <v>184.47</v>
      </c>
    </row>
    <row r="957" spans="1:11" x14ac:dyDescent="0.3">
      <c r="A957" s="36" t="s">
        <v>97</v>
      </c>
      <c r="B957" s="36">
        <v>2021</v>
      </c>
      <c r="C957" s="36" t="s">
        <v>5</v>
      </c>
      <c r="D957" s="36" t="s">
        <v>91</v>
      </c>
      <c r="E957" s="36" t="s">
        <v>92</v>
      </c>
      <c r="F957" s="36" t="s">
        <v>93</v>
      </c>
      <c r="G957" s="36" t="s">
        <v>94</v>
      </c>
      <c r="H957" s="36" t="s">
        <v>95</v>
      </c>
      <c r="I957" s="36" t="s">
        <v>98</v>
      </c>
      <c r="J957" s="36">
        <v>369</v>
      </c>
      <c r="K957" s="36">
        <v>527.66999999999996</v>
      </c>
    </row>
    <row r="958" spans="1:11" x14ac:dyDescent="0.3">
      <c r="A958" s="36" t="s">
        <v>90</v>
      </c>
      <c r="B958" s="36">
        <v>2021</v>
      </c>
      <c r="C958" s="36" t="s">
        <v>5</v>
      </c>
      <c r="D958" s="36" t="s">
        <v>91</v>
      </c>
      <c r="E958" s="36" t="s">
        <v>92</v>
      </c>
      <c r="F958" s="36" t="s">
        <v>93</v>
      </c>
      <c r="G958" s="36" t="s">
        <v>94</v>
      </c>
      <c r="H958" s="36" t="s">
        <v>95</v>
      </c>
      <c r="I958" s="36" t="s">
        <v>98</v>
      </c>
      <c r="J958" s="36">
        <v>363</v>
      </c>
      <c r="K958" s="36">
        <v>519.09</v>
      </c>
    </row>
    <row r="959" spans="1:11" x14ac:dyDescent="0.3">
      <c r="A959" s="36" t="s">
        <v>97</v>
      </c>
      <c r="B959" s="36">
        <v>2021</v>
      </c>
      <c r="C959" s="36" t="s">
        <v>5</v>
      </c>
      <c r="D959" s="36" t="s">
        <v>91</v>
      </c>
      <c r="E959" s="36" t="s">
        <v>92</v>
      </c>
      <c r="F959" s="36" t="s">
        <v>93</v>
      </c>
      <c r="G959" s="36" t="s">
        <v>94</v>
      </c>
      <c r="H959" s="36" t="s">
        <v>95</v>
      </c>
      <c r="I959" s="36" t="s">
        <v>98</v>
      </c>
      <c r="J959" s="36">
        <v>159</v>
      </c>
      <c r="K959" s="36">
        <v>227.37</v>
      </c>
    </row>
    <row r="960" spans="1:11" x14ac:dyDescent="0.3">
      <c r="A960" s="36" t="s">
        <v>97</v>
      </c>
      <c r="B960" s="36">
        <v>2021</v>
      </c>
      <c r="C960" s="36" t="s">
        <v>5</v>
      </c>
      <c r="D960" s="36" t="s">
        <v>91</v>
      </c>
      <c r="E960" s="36" t="s">
        <v>92</v>
      </c>
      <c r="F960" s="36" t="s">
        <v>93</v>
      </c>
      <c r="G960" s="36" t="s">
        <v>94</v>
      </c>
      <c r="H960" s="36" t="s">
        <v>95</v>
      </c>
      <c r="I960" s="36" t="s">
        <v>98</v>
      </c>
      <c r="J960" s="36">
        <v>762</v>
      </c>
      <c r="K960" s="36">
        <v>526.24</v>
      </c>
    </row>
    <row r="961" spans="1:11" x14ac:dyDescent="0.3">
      <c r="A961" s="36" t="s">
        <v>90</v>
      </c>
      <c r="B961" s="36">
        <v>2021</v>
      </c>
      <c r="C961" s="36" t="s">
        <v>5</v>
      </c>
      <c r="D961" s="36" t="s">
        <v>91</v>
      </c>
      <c r="E961" s="36" t="s">
        <v>92</v>
      </c>
      <c r="F961" s="36" t="s">
        <v>93</v>
      </c>
      <c r="G961" s="36" t="s">
        <v>94</v>
      </c>
      <c r="H961" s="36" t="s">
        <v>95</v>
      </c>
      <c r="I961" s="36" t="s">
        <v>98</v>
      </c>
      <c r="J961" s="36">
        <v>815</v>
      </c>
      <c r="K961" s="36">
        <v>526.24</v>
      </c>
    </row>
    <row r="962" spans="1:11" x14ac:dyDescent="0.3">
      <c r="A962" s="36" t="s">
        <v>90</v>
      </c>
      <c r="B962" s="36">
        <v>2021</v>
      </c>
      <c r="C962" s="36" t="s">
        <v>5</v>
      </c>
      <c r="D962" s="36" t="s">
        <v>91</v>
      </c>
      <c r="E962" s="36" t="s">
        <v>92</v>
      </c>
      <c r="F962" s="36" t="s">
        <v>93</v>
      </c>
      <c r="G962" s="36" t="s">
        <v>94</v>
      </c>
      <c r="H962" s="36" t="s">
        <v>95</v>
      </c>
      <c r="I962" s="36" t="s">
        <v>98</v>
      </c>
      <c r="J962" s="36">
        <v>163</v>
      </c>
      <c r="K962" s="36">
        <v>233.09</v>
      </c>
    </row>
    <row r="963" spans="1:11" x14ac:dyDescent="0.3">
      <c r="A963" s="36" t="s">
        <v>90</v>
      </c>
      <c r="B963" s="36">
        <v>2021</v>
      </c>
      <c r="C963" s="36" t="s">
        <v>5</v>
      </c>
      <c r="D963" s="36" t="s">
        <v>91</v>
      </c>
      <c r="E963" s="36" t="s">
        <v>92</v>
      </c>
      <c r="F963" s="36" t="s">
        <v>93</v>
      </c>
      <c r="G963" s="36" t="s">
        <v>94</v>
      </c>
      <c r="H963" s="36" t="s">
        <v>95</v>
      </c>
      <c r="I963" s="36" t="s">
        <v>98</v>
      </c>
      <c r="J963" s="36">
        <v>133</v>
      </c>
      <c r="K963" s="36">
        <v>190.19</v>
      </c>
    </row>
    <row r="964" spans="1:11" x14ac:dyDescent="0.3">
      <c r="A964" s="36" t="s">
        <v>90</v>
      </c>
      <c r="B964" s="36">
        <v>2021</v>
      </c>
      <c r="C964" s="36" t="s">
        <v>5</v>
      </c>
      <c r="D964" s="36" t="s">
        <v>91</v>
      </c>
      <c r="E964" s="36" t="s">
        <v>92</v>
      </c>
      <c r="F964" s="36" t="s">
        <v>93</v>
      </c>
      <c r="G964" s="36" t="s">
        <v>94</v>
      </c>
      <c r="H964" s="36" t="s">
        <v>95</v>
      </c>
      <c r="I964" s="36" t="s">
        <v>96</v>
      </c>
      <c r="J964" s="36">
        <v>371</v>
      </c>
      <c r="K964" s="36">
        <v>530.53</v>
      </c>
    </row>
    <row r="965" spans="1:11" x14ac:dyDescent="0.3">
      <c r="A965" s="36" t="s">
        <v>99</v>
      </c>
      <c r="B965" s="36">
        <v>2021</v>
      </c>
      <c r="C965" s="36" t="s">
        <v>5</v>
      </c>
      <c r="D965" s="36" t="s">
        <v>91</v>
      </c>
      <c r="E965" s="36" t="s">
        <v>92</v>
      </c>
      <c r="F965" s="36" t="s">
        <v>93</v>
      </c>
      <c r="G965" s="36" t="s">
        <v>94</v>
      </c>
      <c r="H965" s="36" t="s">
        <v>95</v>
      </c>
      <c r="I965" s="36" t="s">
        <v>96</v>
      </c>
      <c r="J965" s="36">
        <v>365</v>
      </c>
      <c r="K965" s="36">
        <v>521.95000000000005</v>
      </c>
    </row>
    <row r="966" spans="1:11" x14ac:dyDescent="0.3">
      <c r="A966" s="36" t="s">
        <v>90</v>
      </c>
      <c r="B966" s="36">
        <v>2021</v>
      </c>
      <c r="C966" s="36" t="s">
        <v>5</v>
      </c>
      <c r="D966" s="36" t="s">
        <v>91</v>
      </c>
      <c r="E966" s="36" t="s">
        <v>92</v>
      </c>
      <c r="F966" s="36" t="s">
        <v>93</v>
      </c>
      <c r="G966" s="36" t="s">
        <v>94</v>
      </c>
      <c r="H966" s="36" t="s">
        <v>95</v>
      </c>
      <c r="I966" s="36" t="s">
        <v>98</v>
      </c>
      <c r="J966" s="36">
        <v>161</v>
      </c>
      <c r="K966" s="36">
        <v>230.23000000000002</v>
      </c>
    </row>
    <row r="967" spans="1:11" x14ac:dyDescent="0.3">
      <c r="A967" s="36" t="s">
        <v>97</v>
      </c>
      <c r="B967" s="36">
        <v>2021</v>
      </c>
      <c r="C967" s="36" t="s">
        <v>5</v>
      </c>
      <c r="D967" s="36" t="s">
        <v>91</v>
      </c>
      <c r="E967" s="36" t="s">
        <v>92</v>
      </c>
      <c r="F967" s="36" t="s">
        <v>93</v>
      </c>
      <c r="G967" s="36" t="s">
        <v>94</v>
      </c>
      <c r="H967" s="36" t="s">
        <v>95</v>
      </c>
      <c r="I967" s="36" t="s">
        <v>98</v>
      </c>
      <c r="J967" s="36">
        <v>209</v>
      </c>
      <c r="K967" s="36">
        <v>298.87</v>
      </c>
    </row>
    <row r="968" spans="1:11" x14ac:dyDescent="0.3">
      <c r="A968" s="36" t="s">
        <v>99</v>
      </c>
      <c r="B968" s="36">
        <v>2021</v>
      </c>
      <c r="C968" s="36" t="s">
        <v>2</v>
      </c>
      <c r="D968" s="36" t="s">
        <v>91</v>
      </c>
      <c r="E968" s="36" t="s">
        <v>92</v>
      </c>
      <c r="F968" s="36" t="s">
        <v>93</v>
      </c>
      <c r="G968" s="36" t="s">
        <v>94</v>
      </c>
      <c r="H968" s="36" t="s">
        <v>95</v>
      </c>
      <c r="I968" s="36" t="s">
        <v>96</v>
      </c>
      <c r="J968" s="36">
        <v>176</v>
      </c>
      <c r="K968" s="36">
        <v>526.24</v>
      </c>
    </row>
    <row r="969" spans="1:11" x14ac:dyDescent="0.3">
      <c r="A969" s="36" t="s">
        <v>90</v>
      </c>
      <c r="B969" s="36">
        <v>2021</v>
      </c>
      <c r="C969" s="36" t="s">
        <v>2</v>
      </c>
      <c r="D969" s="36" t="s">
        <v>91</v>
      </c>
      <c r="E969" s="36" t="s">
        <v>92</v>
      </c>
      <c r="F969" s="36" t="s">
        <v>93</v>
      </c>
      <c r="G969" s="36" t="s">
        <v>94</v>
      </c>
      <c r="H969" s="36" t="s">
        <v>95</v>
      </c>
      <c r="I969" s="36" t="s">
        <v>96</v>
      </c>
      <c r="J969" s="36">
        <v>170</v>
      </c>
      <c r="K969" s="36">
        <v>526.24</v>
      </c>
    </row>
    <row r="970" spans="1:11" x14ac:dyDescent="0.3">
      <c r="A970" s="36" t="s">
        <v>99</v>
      </c>
      <c r="B970" s="36">
        <v>2021</v>
      </c>
      <c r="C970" s="36" t="s">
        <v>2</v>
      </c>
      <c r="D970" s="36" t="s">
        <v>91</v>
      </c>
      <c r="E970" s="36" t="s">
        <v>92</v>
      </c>
      <c r="F970" s="36" t="s">
        <v>93</v>
      </c>
      <c r="G970" s="36" t="s">
        <v>94</v>
      </c>
      <c r="H970" s="36" t="s">
        <v>95</v>
      </c>
      <c r="I970" s="36" t="s">
        <v>96</v>
      </c>
      <c r="J970" s="36">
        <v>164</v>
      </c>
      <c r="K970" s="36">
        <v>526.24</v>
      </c>
    </row>
    <row r="971" spans="1:11" x14ac:dyDescent="0.3">
      <c r="A971" s="36" t="s">
        <v>90</v>
      </c>
      <c r="B971" s="36">
        <v>2021</v>
      </c>
      <c r="C971" s="36" t="s">
        <v>2</v>
      </c>
      <c r="D971" s="36" t="s">
        <v>91</v>
      </c>
      <c r="E971" s="36" t="s">
        <v>92</v>
      </c>
      <c r="F971" s="36" t="s">
        <v>93</v>
      </c>
      <c r="G971" s="36" t="s">
        <v>94</v>
      </c>
      <c r="H971" s="36" t="s">
        <v>95</v>
      </c>
      <c r="I971" s="36" t="s">
        <v>98</v>
      </c>
      <c r="J971" s="36">
        <v>176</v>
      </c>
      <c r="K971" s="36">
        <v>251.68</v>
      </c>
    </row>
    <row r="972" spans="1:11" x14ac:dyDescent="0.3">
      <c r="A972" s="36" t="s">
        <v>90</v>
      </c>
      <c r="B972" s="36">
        <v>2021</v>
      </c>
      <c r="C972" s="36" t="s">
        <v>2</v>
      </c>
      <c r="D972" s="36" t="s">
        <v>91</v>
      </c>
      <c r="E972" s="36" t="s">
        <v>92</v>
      </c>
      <c r="F972" s="36" t="s">
        <v>93</v>
      </c>
      <c r="G972" s="36" t="s">
        <v>94</v>
      </c>
      <c r="H972" s="36" t="s">
        <v>95</v>
      </c>
      <c r="I972" s="36" t="s">
        <v>98</v>
      </c>
      <c r="J972" s="36">
        <v>224</v>
      </c>
      <c r="K972" s="36">
        <v>320.32</v>
      </c>
    </row>
    <row r="973" spans="1:11" x14ac:dyDescent="0.3">
      <c r="A973" s="36" t="s">
        <v>90</v>
      </c>
      <c r="B973" s="36">
        <v>2021</v>
      </c>
      <c r="C973" s="36" t="s">
        <v>2</v>
      </c>
      <c r="D973" s="36" t="s">
        <v>91</v>
      </c>
      <c r="E973" s="36" t="s">
        <v>92</v>
      </c>
      <c r="F973" s="36" t="s">
        <v>93</v>
      </c>
      <c r="G973" s="36" t="s">
        <v>94</v>
      </c>
      <c r="H973" s="36" t="s">
        <v>95</v>
      </c>
      <c r="I973" s="36" t="s">
        <v>98</v>
      </c>
      <c r="J973" s="36">
        <v>152</v>
      </c>
      <c r="K973" s="36">
        <v>217.36</v>
      </c>
    </row>
    <row r="974" spans="1:11" x14ac:dyDescent="0.3">
      <c r="A974" s="36" t="s">
        <v>97</v>
      </c>
      <c r="B974" s="36">
        <v>2021</v>
      </c>
      <c r="C974" s="36" t="s">
        <v>2</v>
      </c>
      <c r="D974" s="36" t="s">
        <v>91</v>
      </c>
      <c r="E974" s="36" t="s">
        <v>92</v>
      </c>
      <c r="F974" s="36" t="s">
        <v>93</v>
      </c>
      <c r="G974" s="36" t="s">
        <v>94</v>
      </c>
      <c r="H974" s="36" t="s">
        <v>95</v>
      </c>
      <c r="I974" s="36" t="s">
        <v>98</v>
      </c>
      <c r="J974" s="36">
        <v>178</v>
      </c>
      <c r="K974" s="36">
        <v>254.54</v>
      </c>
    </row>
    <row r="975" spans="1:11" x14ac:dyDescent="0.3">
      <c r="A975" s="36" t="s">
        <v>90</v>
      </c>
      <c r="B975" s="36">
        <v>2021</v>
      </c>
      <c r="C975" s="36" t="s">
        <v>2</v>
      </c>
      <c r="D975" s="36" t="s">
        <v>91</v>
      </c>
      <c r="E975" s="36" t="s">
        <v>92</v>
      </c>
      <c r="F975" s="36" t="s">
        <v>93</v>
      </c>
      <c r="G975" s="36" t="s">
        <v>94</v>
      </c>
      <c r="H975" s="36" t="s">
        <v>95</v>
      </c>
      <c r="I975" s="36" t="s">
        <v>98</v>
      </c>
      <c r="J975" s="36">
        <v>226</v>
      </c>
      <c r="K975" s="36">
        <v>323.18</v>
      </c>
    </row>
    <row r="976" spans="1:11" x14ac:dyDescent="0.3">
      <c r="A976" s="36" t="s">
        <v>99</v>
      </c>
      <c r="B976" s="36">
        <v>2021</v>
      </c>
      <c r="C976" s="36" t="s">
        <v>2</v>
      </c>
      <c r="D976" s="36" t="s">
        <v>91</v>
      </c>
      <c r="E976" s="36" t="s">
        <v>92</v>
      </c>
      <c r="F976" s="36" t="s">
        <v>93</v>
      </c>
      <c r="G976" s="36" t="s">
        <v>94</v>
      </c>
      <c r="H976" s="36" t="s">
        <v>95</v>
      </c>
      <c r="I976" s="36" t="s">
        <v>98</v>
      </c>
      <c r="J976" s="36">
        <v>148</v>
      </c>
      <c r="K976" s="36">
        <v>211.64</v>
      </c>
    </row>
    <row r="977" spans="1:11" x14ac:dyDescent="0.3">
      <c r="A977" s="36" t="s">
        <v>97</v>
      </c>
      <c r="B977" s="36">
        <v>2021</v>
      </c>
      <c r="C977" s="36" t="s">
        <v>2</v>
      </c>
      <c r="D977" s="36" t="s">
        <v>91</v>
      </c>
      <c r="E977" s="36" t="s">
        <v>92</v>
      </c>
      <c r="F977" s="36" t="s">
        <v>93</v>
      </c>
      <c r="G977" s="36" t="s">
        <v>94</v>
      </c>
      <c r="H977" s="36" t="s">
        <v>95</v>
      </c>
      <c r="I977" s="36" t="s">
        <v>96</v>
      </c>
      <c r="J977" s="36">
        <v>174</v>
      </c>
      <c r="K977" s="36">
        <v>526.24</v>
      </c>
    </row>
    <row r="978" spans="1:11" x14ac:dyDescent="0.3">
      <c r="A978" s="36" t="s">
        <v>97</v>
      </c>
      <c r="B978" s="36">
        <v>2021</v>
      </c>
      <c r="C978" s="36" t="s">
        <v>2</v>
      </c>
      <c r="D978" s="36" t="s">
        <v>91</v>
      </c>
      <c r="E978" s="36" t="s">
        <v>92</v>
      </c>
      <c r="F978" s="36" t="s">
        <v>93</v>
      </c>
      <c r="G978" s="36" t="s">
        <v>94</v>
      </c>
      <c r="H978" s="36" t="s">
        <v>95</v>
      </c>
      <c r="I978" s="36" t="s">
        <v>96</v>
      </c>
      <c r="J978" s="36">
        <v>168</v>
      </c>
      <c r="K978" s="36">
        <v>526.24</v>
      </c>
    </row>
    <row r="979" spans="1:11" x14ac:dyDescent="0.3">
      <c r="A979" s="36" t="s">
        <v>97</v>
      </c>
      <c r="B979" s="36">
        <v>2021</v>
      </c>
      <c r="C979" s="36" t="s">
        <v>2</v>
      </c>
      <c r="D979" s="36" t="s">
        <v>91</v>
      </c>
      <c r="E979" s="36" t="s">
        <v>92</v>
      </c>
      <c r="F979" s="36" t="s">
        <v>93</v>
      </c>
      <c r="G979" s="36" t="s">
        <v>94</v>
      </c>
      <c r="H979" s="36" t="s">
        <v>95</v>
      </c>
      <c r="I979" s="36" t="s">
        <v>98</v>
      </c>
      <c r="J979" s="36">
        <v>720</v>
      </c>
      <c r="K979" s="36">
        <v>1029.5999999999999</v>
      </c>
    </row>
    <row r="980" spans="1:11" x14ac:dyDescent="0.3">
      <c r="A980" s="36" t="s">
        <v>97</v>
      </c>
      <c r="B980" s="36">
        <v>2021</v>
      </c>
      <c r="C980" s="36" t="s">
        <v>2</v>
      </c>
      <c r="D980" s="36" t="s">
        <v>91</v>
      </c>
      <c r="E980" s="36" t="s">
        <v>92</v>
      </c>
      <c r="F980" s="36" t="s">
        <v>93</v>
      </c>
      <c r="G980" s="36" t="s">
        <v>94</v>
      </c>
      <c r="H980" s="36" t="s">
        <v>95</v>
      </c>
      <c r="I980" s="36" t="s">
        <v>98</v>
      </c>
      <c r="J980" s="36">
        <v>773</v>
      </c>
      <c r="K980" s="36">
        <v>1105.3899999999999</v>
      </c>
    </row>
    <row r="981" spans="1:11" x14ac:dyDescent="0.3">
      <c r="A981" s="36" t="s">
        <v>90</v>
      </c>
      <c r="B981" s="36">
        <v>2021</v>
      </c>
      <c r="C981" s="36" t="s">
        <v>2</v>
      </c>
      <c r="D981" s="36" t="s">
        <v>91</v>
      </c>
      <c r="E981" s="36" t="s">
        <v>92</v>
      </c>
      <c r="F981" s="36" t="s">
        <v>93</v>
      </c>
      <c r="G981" s="36" t="s">
        <v>94</v>
      </c>
      <c r="H981" s="36" t="s">
        <v>95</v>
      </c>
      <c r="I981" s="36" t="s">
        <v>96</v>
      </c>
      <c r="J981" s="36">
        <v>177</v>
      </c>
      <c r="K981" s="36">
        <v>253.11</v>
      </c>
    </row>
    <row r="982" spans="1:11" x14ac:dyDescent="0.3">
      <c r="A982" s="36" t="s">
        <v>90</v>
      </c>
      <c r="B982" s="36">
        <v>2021</v>
      </c>
      <c r="C982" s="36" t="s">
        <v>2</v>
      </c>
      <c r="D982" s="36" t="s">
        <v>91</v>
      </c>
      <c r="E982" s="36" t="s">
        <v>92</v>
      </c>
      <c r="F982" s="36" t="s">
        <v>93</v>
      </c>
      <c r="G982" s="36" t="s">
        <v>94</v>
      </c>
      <c r="H982" s="36" t="s">
        <v>95</v>
      </c>
      <c r="I982" s="36" t="s">
        <v>96</v>
      </c>
      <c r="J982" s="36">
        <v>171</v>
      </c>
      <c r="K982" s="36">
        <v>244.53</v>
      </c>
    </row>
    <row r="983" spans="1:11" x14ac:dyDescent="0.3">
      <c r="A983" s="36" t="s">
        <v>97</v>
      </c>
      <c r="B983" s="36">
        <v>2021</v>
      </c>
      <c r="C983" s="36" t="s">
        <v>2</v>
      </c>
      <c r="D983" s="36" t="s">
        <v>91</v>
      </c>
      <c r="E983" s="36" t="s">
        <v>92</v>
      </c>
      <c r="F983" s="36" t="s">
        <v>93</v>
      </c>
      <c r="G983" s="36" t="s">
        <v>94</v>
      </c>
      <c r="H983" s="36" t="s">
        <v>95</v>
      </c>
      <c r="I983" s="36" t="s">
        <v>96</v>
      </c>
      <c r="J983" s="36">
        <v>165</v>
      </c>
      <c r="K983" s="36">
        <v>235.95</v>
      </c>
    </row>
    <row r="984" spans="1:11" x14ac:dyDescent="0.3">
      <c r="A984" s="36" t="s">
        <v>97</v>
      </c>
      <c r="B984" s="36">
        <v>2021</v>
      </c>
      <c r="C984" s="36" t="s">
        <v>2</v>
      </c>
      <c r="D984" s="36" t="s">
        <v>91</v>
      </c>
      <c r="E984" s="36" t="s">
        <v>92</v>
      </c>
      <c r="F984" s="36" t="s">
        <v>93</v>
      </c>
      <c r="G984" s="36" t="s">
        <v>94</v>
      </c>
      <c r="H984" s="36" t="s">
        <v>95</v>
      </c>
      <c r="I984" s="36" t="s">
        <v>98</v>
      </c>
      <c r="J984" s="36">
        <v>177</v>
      </c>
      <c r="K984" s="36">
        <v>253.11</v>
      </c>
    </row>
    <row r="985" spans="1:11" x14ac:dyDescent="0.3">
      <c r="A985" s="36" t="s">
        <v>97</v>
      </c>
      <c r="B985" s="36">
        <v>2021</v>
      </c>
      <c r="C985" s="36" t="s">
        <v>2</v>
      </c>
      <c r="D985" s="36" t="s">
        <v>91</v>
      </c>
      <c r="E985" s="36" t="s">
        <v>92</v>
      </c>
      <c r="F985" s="36" t="s">
        <v>93</v>
      </c>
      <c r="G985" s="36" t="s">
        <v>94</v>
      </c>
      <c r="H985" s="36" t="s">
        <v>95</v>
      </c>
      <c r="I985" s="36" t="s">
        <v>98</v>
      </c>
      <c r="J985" s="36">
        <v>759</v>
      </c>
      <c r="K985" s="36">
        <v>526.24</v>
      </c>
    </row>
    <row r="986" spans="1:11" x14ac:dyDescent="0.3">
      <c r="A986" s="36" t="s">
        <v>99</v>
      </c>
      <c r="B986" s="36">
        <v>2021</v>
      </c>
      <c r="C986" s="36" t="s">
        <v>2</v>
      </c>
      <c r="D986" s="36" t="s">
        <v>91</v>
      </c>
      <c r="E986" s="36" t="s">
        <v>92</v>
      </c>
      <c r="F986" s="36" t="s">
        <v>93</v>
      </c>
      <c r="G986" s="36" t="s">
        <v>94</v>
      </c>
      <c r="H986" s="36" t="s">
        <v>95</v>
      </c>
      <c r="I986" s="36" t="s">
        <v>98</v>
      </c>
      <c r="J986" s="36">
        <v>175</v>
      </c>
      <c r="K986" s="36">
        <v>250.25</v>
      </c>
    </row>
    <row r="987" spans="1:11" x14ac:dyDescent="0.3">
      <c r="A987" s="36" t="s">
        <v>97</v>
      </c>
      <c r="B987" s="36">
        <v>2021</v>
      </c>
      <c r="C987" s="36" t="s">
        <v>2</v>
      </c>
      <c r="D987" s="36" t="s">
        <v>91</v>
      </c>
      <c r="E987" s="36" t="s">
        <v>92</v>
      </c>
      <c r="F987" s="36" t="s">
        <v>93</v>
      </c>
      <c r="G987" s="36" t="s">
        <v>94</v>
      </c>
      <c r="H987" s="36" t="s">
        <v>95</v>
      </c>
      <c r="I987" s="36" t="s">
        <v>98</v>
      </c>
      <c r="J987" s="36">
        <v>223</v>
      </c>
      <c r="K987" s="36">
        <v>318.89</v>
      </c>
    </row>
    <row r="988" spans="1:11" x14ac:dyDescent="0.3">
      <c r="A988" s="36" t="s">
        <v>97</v>
      </c>
      <c r="B988" s="36">
        <v>2021</v>
      </c>
      <c r="C988" s="36" t="s">
        <v>2</v>
      </c>
      <c r="D988" s="36" t="s">
        <v>91</v>
      </c>
      <c r="E988" s="36" t="s">
        <v>92</v>
      </c>
      <c r="F988" s="36" t="s">
        <v>93</v>
      </c>
      <c r="G988" s="36" t="s">
        <v>94</v>
      </c>
      <c r="H988" s="36" t="s">
        <v>95</v>
      </c>
      <c r="I988" s="36" t="s">
        <v>98</v>
      </c>
      <c r="J988" s="36">
        <v>151</v>
      </c>
      <c r="K988" s="36">
        <v>215.93</v>
      </c>
    </row>
    <row r="989" spans="1:11" x14ac:dyDescent="0.3">
      <c r="A989" s="36" t="s">
        <v>99</v>
      </c>
      <c r="B989" s="36">
        <v>2021</v>
      </c>
      <c r="C989" s="36" t="s">
        <v>2</v>
      </c>
      <c r="D989" s="36" t="s">
        <v>91</v>
      </c>
      <c r="E989" s="36" t="s">
        <v>92</v>
      </c>
      <c r="F989" s="36" t="s">
        <v>93</v>
      </c>
      <c r="G989" s="36" t="s">
        <v>94</v>
      </c>
      <c r="H989" s="36" t="s">
        <v>95</v>
      </c>
      <c r="I989" s="36" t="s">
        <v>96</v>
      </c>
      <c r="J989" s="36">
        <v>173</v>
      </c>
      <c r="K989" s="36">
        <v>247.39</v>
      </c>
    </row>
    <row r="990" spans="1:11" x14ac:dyDescent="0.3">
      <c r="A990" s="36" t="s">
        <v>97</v>
      </c>
      <c r="B990" s="36">
        <v>2021</v>
      </c>
      <c r="C990" s="36" t="s">
        <v>2</v>
      </c>
      <c r="D990" s="36" t="s">
        <v>91</v>
      </c>
      <c r="E990" s="36" t="s">
        <v>92</v>
      </c>
      <c r="F990" s="36" t="s">
        <v>93</v>
      </c>
      <c r="G990" s="36" t="s">
        <v>94</v>
      </c>
      <c r="H990" s="36" t="s">
        <v>95</v>
      </c>
      <c r="I990" s="36" t="s">
        <v>96</v>
      </c>
      <c r="J990" s="36">
        <v>167</v>
      </c>
      <c r="K990" s="36">
        <v>238.81</v>
      </c>
    </row>
    <row r="991" spans="1:11" x14ac:dyDescent="0.3">
      <c r="A991" s="36" t="s">
        <v>90</v>
      </c>
      <c r="B991" s="36">
        <v>2021</v>
      </c>
      <c r="C991" s="36" t="s">
        <v>2</v>
      </c>
      <c r="D991" s="36" t="s">
        <v>91</v>
      </c>
      <c r="E991" s="36" t="s">
        <v>92</v>
      </c>
      <c r="F991" s="36" t="s">
        <v>93</v>
      </c>
      <c r="G991" s="36" t="s">
        <v>94</v>
      </c>
      <c r="H991" s="36" t="s">
        <v>95</v>
      </c>
      <c r="I991" s="36" t="s">
        <v>98</v>
      </c>
      <c r="J991" s="36">
        <v>179</v>
      </c>
      <c r="K991" s="36">
        <v>255.97</v>
      </c>
    </row>
    <row r="992" spans="1:11" x14ac:dyDescent="0.3">
      <c r="A992" s="36" t="s">
        <v>90</v>
      </c>
      <c r="B992" s="36">
        <v>2021</v>
      </c>
      <c r="C992" s="36" t="s">
        <v>2</v>
      </c>
      <c r="D992" s="36" t="s">
        <v>91</v>
      </c>
      <c r="E992" s="36" t="s">
        <v>92</v>
      </c>
      <c r="F992" s="36" t="s">
        <v>93</v>
      </c>
      <c r="G992" s="36" t="s">
        <v>94</v>
      </c>
      <c r="H992" s="36" t="s">
        <v>95</v>
      </c>
      <c r="I992" s="36" t="s">
        <v>98</v>
      </c>
      <c r="J992" s="36">
        <v>782</v>
      </c>
      <c r="K992" s="36">
        <v>1118.26</v>
      </c>
    </row>
    <row r="993" spans="1:11" x14ac:dyDescent="0.3">
      <c r="A993" s="36" t="s">
        <v>99</v>
      </c>
      <c r="B993" s="36">
        <v>2021</v>
      </c>
      <c r="C993" s="36" t="s">
        <v>4</v>
      </c>
      <c r="D993" s="36" t="s">
        <v>91</v>
      </c>
      <c r="E993" s="36" t="s">
        <v>92</v>
      </c>
      <c r="F993" s="36" t="s">
        <v>93</v>
      </c>
      <c r="G993" s="36" t="s">
        <v>94</v>
      </c>
      <c r="H993" s="36" t="s">
        <v>95</v>
      </c>
      <c r="I993" s="36" t="s">
        <v>96</v>
      </c>
      <c r="J993" s="36">
        <v>146</v>
      </c>
      <c r="K993" s="36">
        <v>526.24</v>
      </c>
    </row>
    <row r="994" spans="1:11" x14ac:dyDescent="0.3">
      <c r="A994" s="36" t="s">
        <v>90</v>
      </c>
      <c r="B994" s="36">
        <v>2021</v>
      </c>
      <c r="C994" s="36" t="s">
        <v>4</v>
      </c>
      <c r="D994" s="36" t="s">
        <v>91</v>
      </c>
      <c r="E994" s="36" t="s">
        <v>92</v>
      </c>
      <c r="F994" s="36" t="s">
        <v>93</v>
      </c>
      <c r="G994" s="36" t="s">
        <v>94</v>
      </c>
      <c r="H994" s="36" t="s">
        <v>95</v>
      </c>
      <c r="I994" s="36" t="s">
        <v>96</v>
      </c>
      <c r="J994" s="36">
        <v>140</v>
      </c>
      <c r="K994" s="36">
        <v>526.24</v>
      </c>
    </row>
    <row r="995" spans="1:11" x14ac:dyDescent="0.3">
      <c r="A995" s="36" t="s">
        <v>90</v>
      </c>
      <c r="B995" s="36">
        <v>2021</v>
      </c>
      <c r="C995" s="36" t="s">
        <v>4</v>
      </c>
      <c r="D995" s="36" t="s">
        <v>91</v>
      </c>
      <c r="E995" s="36" t="s">
        <v>92</v>
      </c>
      <c r="F995" s="36" t="s">
        <v>93</v>
      </c>
      <c r="G995" s="36" t="s">
        <v>94</v>
      </c>
      <c r="H995" s="36" t="s">
        <v>95</v>
      </c>
      <c r="I995" s="36" t="s">
        <v>96</v>
      </c>
      <c r="J995" s="36">
        <v>134</v>
      </c>
      <c r="K995" s="36">
        <v>526.24</v>
      </c>
    </row>
    <row r="996" spans="1:11" x14ac:dyDescent="0.3">
      <c r="A996" s="36" t="s">
        <v>90</v>
      </c>
      <c r="B996" s="36">
        <v>2021</v>
      </c>
      <c r="C996" s="36" t="s">
        <v>4</v>
      </c>
      <c r="D996" s="36" t="s">
        <v>91</v>
      </c>
      <c r="E996" s="36" t="s">
        <v>92</v>
      </c>
      <c r="F996" s="36" t="s">
        <v>93</v>
      </c>
      <c r="G996" s="36" t="s">
        <v>94</v>
      </c>
      <c r="H996" s="36" t="s">
        <v>95</v>
      </c>
      <c r="I996" s="36" t="s">
        <v>98</v>
      </c>
      <c r="J996" s="36">
        <v>164</v>
      </c>
      <c r="K996" s="36">
        <v>234.51999999999998</v>
      </c>
    </row>
    <row r="997" spans="1:11" x14ac:dyDescent="0.3">
      <c r="A997" s="36" t="s">
        <v>100</v>
      </c>
      <c r="B997" s="36">
        <v>2021</v>
      </c>
      <c r="C997" s="36" t="s">
        <v>4</v>
      </c>
      <c r="D997" s="36" t="s">
        <v>91</v>
      </c>
      <c r="E997" s="36" t="s">
        <v>92</v>
      </c>
      <c r="F997" s="36" t="s">
        <v>93</v>
      </c>
      <c r="G997" s="36" t="s">
        <v>94</v>
      </c>
      <c r="H997" s="36" t="s">
        <v>95</v>
      </c>
      <c r="I997" s="36" t="s">
        <v>98</v>
      </c>
      <c r="J997" s="36">
        <v>212</v>
      </c>
      <c r="K997" s="36">
        <v>303.15999999999997</v>
      </c>
    </row>
    <row r="998" spans="1:11" x14ac:dyDescent="0.3">
      <c r="A998" s="36" t="s">
        <v>97</v>
      </c>
      <c r="B998" s="36">
        <v>2021</v>
      </c>
      <c r="C998" s="36" t="s">
        <v>4</v>
      </c>
      <c r="D998" s="36" t="s">
        <v>91</v>
      </c>
      <c r="E998" s="36" t="s">
        <v>92</v>
      </c>
      <c r="F998" s="36" t="s">
        <v>93</v>
      </c>
      <c r="G998" s="36" t="s">
        <v>94</v>
      </c>
      <c r="H998" s="36" t="s">
        <v>95</v>
      </c>
      <c r="I998" s="36" t="s">
        <v>98</v>
      </c>
      <c r="J998" s="36">
        <v>140</v>
      </c>
      <c r="K998" s="36">
        <v>200.2</v>
      </c>
    </row>
    <row r="999" spans="1:11" x14ac:dyDescent="0.3">
      <c r="A999" s="36" t="s">
        <v>97</v>
      </c>
      <c r="B999" s="36">
        <v>2021</v>
      </c>
      <c r="C999" s="36" t="s">
        <v>4</v>
      </c>
      <c r="D999" s="36" t="s">
        <v>91</v>
      </c>
      <c r="E999" s="36" t="s">
        <v>92</v>
      </c>
      <c r="F999" s="36" t="s">
        <v>93</v>
      </c>
      <c r="G999" s="36" t="s">
        <v>94</v>
      </c>
      <c r="H999" s="36" t="s">
        <v>95</v>
      </c>
      <c r="I999" s="36" t="s">
        <v>98</v>
      </c>
      <c r="J999" s="36">
        <v>166</v>
      </c>
      <c r="K999" s="36">
        <v>237.38</v>
      </c>
    </row>
    <row r="1000" spans="1:11" x14ac:dyDescent="0.3">
      <c r="A1000" s="36" t="s">
        <v>97</v>
      </c>
      <c r="B1000" s="36">
        <v>2021</v>
      </c>
      <c r="C1000" s="36" t="s">
        <v>4</v>
      </c>
      <c r="D1000" s="36" t="s">
        <v>91</v>
      </c>
      <c r="E1000" s="36" t="s">
        <v>92</v>
      </c>
      <c r="F1000" s="36" t="s">
        <v>93</v>
      </c>
      <c r="G1000" s="36" t="s">
        <v>94</v>
      </c>
      <c r="H1000" s="36" t="s">
        <v>95</v>
      </c>
      <c r="I1000" s="36" t="s">
        <v>98</v>
      </c>
      <c r="J1000" s="36">
        <v>214</v>
      </c>
      <c r="K1000" s="36">
        <v>306.02</v>
      </c>
    </row>
    <row r="1001" spans="1:11" x14ac:dyDescent="0.3">
      <c r="A1001" s="36" t="s">
        <v>100</v>
      </c>
      <c r="B1001" s="36">
        <v>2021</v>
      </c>
      <c r="C1001" s="36" t="s">
        <v>4</v>
      </c>
      <c r="D1001" s="36" t="s">
        <v>91</v>
      </c>
      <c r="E1001" s="36" t="s">
        <v>92</v>
      </c>
      <c r="F1001" s="36" t="s">
        <v>93</v>
      </c>
      <c r="G1001" s="36" t="s">
        <v>94</v>
      </c>
      <c r="H1001" s="36" t="s">
        <v>95</v>
      </c>
      <c r="I1001" s="36" t="s">
        <v>98</v>
      </c>
      <c r="J1001" s="36">
        <v>142</v>
      </c>
      <c r="K1001" s="36">
        <v>203.06</v>
      </c>
    </row>
    <row r="1002" spans="1:11" x14ac:dyDescent="0.3">
      <c r="A1002" s="36" t="s">
        <v>97</v>
      </c>
      <c r="B1002" s="36">
        <v>2021</v>
      </c>
      <c r="C1002" s="36" t="s">
        <v>4</v>
      </c>
      <c r="D1002" s="36" t="s">
        <v>91</v>
      </c>
      <c r="E1002" s="36" t="s">
        <v>92</v>
      </c>
      <c r="F1002" s="36" t="s">
        <v>93</v>
      </c>
      <c r="G1002" s="36" t="s">
        <v>94</v>
      </c>
      <c r="H1002" s="36" t="s">
        <v>95</v>
      </c>
      <c r="I1002" s="36" t="s">
        <v>98</v>
      </c>
      <c r="J1002" s="36">
        <v>144</v>
      </c>
      <c r="K1002" s="36">
        <v>526.24</v>
      </c>
    </row>
    <row r="1003" spans="1:11" x14ac:dyDescent="0.3">
      <c r="A1003" s="36" t="s">
        <v>97</v>
      </c>
      <c r="B1003" s="36">
        <v>2021</v>
      </c>
      <c r="C1003" s="36" t="s">
        <v>4</v>
      </c>
      <c r="D1003" s="36" t="s">
        <v>91</v>
      </c>
      <c r="E1003" s="36" t="s">
        <v>92</v>
      </c>
      <c r="F1003" s="36" t="s">
        <v>93</v>
      </c>
      <c r="G1003" s="36" t="s">
        <v>94</v>
      </c>
      <c r="H1003" s="36" t="s">
        <v>95</v>
      </c>
      <c r="I1003" s="36" t="s">
        <v>98</v>
      </c>
      <c r="J1003" s="36">
        <v>138</v>
      </c>
      <c r="K1003" s="36">
        <v>526.24</v>
      </c>
    </row>
    <row r="1004" spans="1:11" x14ac:dyDescent="0.3">
      <c r="A1004" s="36" t="s">
        <v>101</v>
      </c>
      <c r="B1004" s="36">
        <v>2021</v>
      </c>
      <c r="C1004" s="36" t="s">
        <v>4</v>
      </c>
      <c r="D1004" s="36" t="s">
        <v>91</v>
      </c>
      <c r="E1004" s="36" t="s">
        <v>92</v>
      </c>
      <c r="F1004" s="36" t="s">
        <v>93</v>
      </c>
      <c r="G1004" s="36" t="s">
        <v>94</v>
      </c>
      <c r="H1004" s="36" t="s">
        <v>95</v>
      </c>
      <c r="I1004" s="36" t="s">
        <v>98</v>
      </c>
      <c r="J1004" s="36">
        <v>132</v>
      </c>
      <c r="K1004" s="36">
        <v>526.24</v>
      </c>
    </row>
    <row r="1005" spans="1:11" x14ac:dyDescent="0.3">
      <c r="A1005" s="36" t="s">
        <v>90</v>
      </c>
      <c r="B1005" s="36">
        <v>2021</v>
      </c>
      <c r="C1005" s="36" t="s">
        <v>4</v>
      </c>
      <c r="D1005" s="36" t="s">
        <v>91</v>
      </c>
      <c r="E1005" s="36" t="s">
        <v>92</v>
      </c>
      <c r="F1005" s="36" t="s">
        <v>93</v>
      </c>
      <c r="G1005" s="36" t="s">
        <v>94</v>
      </c>
      <c r="H1005" s="36" t="s">
        <v>95</v>
      </c>
      <c r="I1005" s="36" t="s">
        <v>98</v>
      </c>
      <c r="J1005" s="36">
        <v>688</v>
      </c>
      <c r="K1005" s="36">
        <v>983.83999999999992</v>
      </c>
    </row>
    <row r="1006" spans="1:11" x14ac:dyDescent="0.3">
      <c r="A1006" s="36" t="s">
        <v>99</v>
      </c>
      <c r="B1006" s="36">
        <v>2021</v>
      </c>
      <c r="C1006" s="36" t="s">
        <v>4</v>
      </c>
      <c r="D1006" s="36" t="s">
        <v>91</v>
      </c>
      <c r="E1006" s="36" t="s">
        <v>92</v>
      </c>
      <c r="F1006" s="36" t="s">
        <v>93</v>
      </c>
      <c r="G1006" s="36" t="s">
        <v>94</v>
      </c>
      <c r="H1006" s="36" t="s">
        <v>95</v>
      </c>
      <c r="I1006" s="36" t="s">
        <v>98</v>
      </c>
      <c r="J1006" s="36">
        <v>775</v>
      </c>
      <c r="K1006" s="36">
        <v>1108.25</v>
      </c>
    </row>
    <row r="1007" spans="1:11" x14ac:dyDescent="0.3">
      <c r="A1007" s="36" t="s">
        <v>97</v>
      </c>
      <c r="B1007" s="36">
        <v>2021</v>
      </c>
      <c r="C1007" s="36" t="s">
        <v>4</v>
      </c>
      <c r="D1007" s="36" t="s">
        <v>91</v>
      </c>
      <c r="E1007" s="36" t="s">
        <v>92</v>
      </c>
      <c r="F1007" s="36" t="s">
        <v>93</v>
      </c>
      <c r="G1007" s="36" t="s">
        <v>94</v>
      </c>
      <c r="H1007" s="36" t="s">
        <v>95</v>
      </c>
      <c r="I1007" s="36" t="s">
        <v>98</v>
      </c>
      <c r="J1007" s="36">
        <v>141</v>
      </c>
      <c r="K1007" s="36">
        <v>201.63</v>
      </c>
    </row>
    <row r="1008" spans="1:11" x14ac:dyDescent="0.3">
      <c r="A1008" s="36" t="s">
        <v>100</v>
      </c>
      <c r="B1008" s="36">
        <v>2021</v>
      </c>
      <c r="C1008" s="36" t="s">
        <v>4</v>
      </c>
      <c r="D1008" s="36" t="s">
        <v>91</v>
      </c>
      <c r="E1008" s="36" t="s">
        <v>92</v>
      </c>
      <c r="F1008" s="36" t="s">
        <v>93</v>
      </c>
      <c r="G1008" s="36" t="s">
        <v>94</v>
      </c>
      <c r="H1008" s="36" t="s">
        <v>95</v>
      </c>
      <c r="I1008" s="36" t="s">
        <v>98</v>
      </c>
      <c r="J1008" s="36">
        <v>135</v>
      </c>
      <c r="K1008" s="36">
        <v>193.05</v>
      </c>
    </row>
    <row r="1009" spans="1:11" x14ac:dyDescent="0.3">
      <c r="A1009" s="36" t="s">
        <v>99</v>
      </c>
      <c r="B1009" s="36">
        <v>2021</v>
      </c>
      <c r="C1009" s="36" t="s">
        <v>4</v>
      </c>
      <c r="D1009" s="36" t="s">
        <v>91</v>
      </c>
      <c r="E1009" s="36" t="s">
        <v>92</v>
      </c>
      <c r="F1009" s="36" t="s">
        <v>93</v>
      </c>
      <c r="G1009" s="36" t="s">
        <v>94</v>
      </c>
      <c r="H1009" s="36" t="s">
        <v>95</v>
      </c>
      <c r="I1009" s="36" t="s">
        <v>98</v>
      </c>
      <c r="J1009" s="36">
        <v>165</v>
      </c>
      <c r="K1009" s="36">
        <v>235.95</v>
      </c>
    </row>
    <row r="1010" spans="1:11" x14ac:dyDescent="0.3">
      <c r="A1010" s="36" t="s">
        <v>97</v>
      </c>
      <c r="B1010" s="36">
        <v>2021</v>
      </c>
      <c r="C1010" s="36" t="s">
        <v>4</v>
      </c>
      <c r="D1010" s="36" t="s">
        <v>91</v>
      </c>
      <c r="E1010" s="36" t="s">
        <v>92</v>
      </c>
      <c r="F1010" s="36" t="s">
        <v>93</v>
      </c>
      <c r="G1010" s="36" t="s">
        <v>94</v>
      </c>
      <c r="H1010" s="36" t="s">
        <v>95</v>
      </c>
      <c r="I1010" s="36" t="s">
        <v>98</v>
      </c>
      <c r="J1010" s="36">
        <v>761</v>
      </c>
      <c r="K1010" s="36">
        <v>526.24</v>
      </c>
    </row>
    <row r="1011" spans="1:11" x14ac:dyDescent="0.3">
      <c r="A1011" s="36" t="s">
        <v>90</v>
      </c>
      <c r="B1011" s="36">
        <v>2021</v>
      </c>
      <c r="C1011" s="36" t="s">
        <v>4</v>
      </c>
      <c r="D1011" s="36" t="s">
        <v>91</v>
      </c>
      <c r="E1011" s="36" t="s">
        <v>92</v>
      </c>
      <c r="F1011" s="36" t="s">
        <v>93</v>
      </c>
      <c r="G1011" s="36" t="s">
        <v>94</v>
      </c>
      <c r="H1011" s="36" t="s">
        <v>95</v>
      </c>
      <c r="I1011" s="36" t="s">
        <v>98</v>
      </c>
      <c r="J1011" s="36">
        <v>814</v>
      </c>
      <c r="K1011" s="36">
        <v>526.24</v>
      </c>
    </row>
    <row r="1012" spans="1:11" x14ac:dyDescent="0.3">
      <c r="A1012" s="36" t="s">
        <v>100</v>
      </c>
      <c r="B1012" s="36">
        <v>2021</v>
      </c>
      <c r="C1012" s="36" t="s">
        <v>4</v>
      </c>
      <c r="D1012" s="36" t="s">
        <v>91</v>
      </c>
      <c r="E1012" s="36" t="s">
        <v>92</v>
      </c>
      <c r="F1012" s="36" t="s">
        <v>93</v>
      </c>
      <c r="G1012" s="36" t="s">
        <v>94</v>
      </c>
      <c r="H1012" s="36" t="s">
        <v>95</v>
      </c>
      <c r="I1012" s="36" t="s">
        <v>98</v>
      </c>
      <c r="J1012" s="36">
        <v>169</v>
      </c>
      <c r="K1012" s="36">
        <v>241.67000000000002</v>
      </c>
    </row>
    <row r="1013" spans="1:11" x14ac:dyDescent="0.3">
      <c r="A1013" s="36" t="s">
        <v>101</v>
      </c>
      <c r="B1013" s="36">
        <v>2021</v>
      </c>
      <c r="C1013" s="36" t="s">
        <v>4</v>
      </c>
      <c r="D1013" s="36" t="s">
        <v>91</v>
      </c>
      <c r="E1013" s="36" t="s">
        <v>92</v>
      </c>
      <c r="F1013" s="36" t="s">
        <v>93</v>
      </c>
      <c r="G1013" s="36" t="s">
        <v>94</v>
      </c>
      <c r="H1013" s="36" t="s">
        <v>95</v>
      </c>
      <c r="I1013" s="36" t="s">
        <v>98</v>
      </c>
      <c r="J1013" s="36">
        <v>211</v>
      </c>
      <c r="K1013" s="36">
        <v>301.73</v>
      </c>
    </row>
    <row r="1014" spans="1:11" x14ac:dyDescent="0.3">
      <c r="A1014" s="36" t="s">
        <v>97</v>
      </c>
      <c r="B1014" s="36">
        <v>2021</v>
      </c>
      <c r="C1014" s="36" t="s">
        <v>4</v>
      </c>
      <c r="D1014" s="36" t="s">
        <v>91</v>
      </c>
      <c r="E1014" s="36" t="s">
        <v>92</v>
      </c>
      <c r="F1014" s="36" t="s">
        <v>93</v>
      </c>
      <c r="G1014" s="36" t="s">
        <v>94</v>
      </c>
      <c r="H1014" s="36" t="s">
        <v>95</v>
      </c>
      <c r="I1014" s="36" t="s">
        <v>98</v>
      </c>
      <c r="J1014" s="36">
        <v>139</v>
      </c>
      <c r="K1014" s="36">
        <v>198.76999999999998</v>
      </c>
    </row>
    <row r="1015" spans="1:11" x14ac:dyDescent="0.3">
      <c r="A1015" s="36" t="s">
        <v>90</v>
      </c>
      <c r="B1015" s="36">
        <v>2021</v>
      </c>
      <c r="C1015" s="36" t="s">
        <v>4</v>
      </c>
      <c r="D1015" s="36" t="s">
        <v>91</v>
      </c>
      <c r="E1015" s="36" t="s">
        <v>92</v>
      </c>
      <c r="F1015" s="36" t="s">
        <v>93</v>
      </c>
      <c r="G1015" s="36" t="s">
        <v>94</v>
      </c>
      <c r="H1015" s="36" t="s">
        <v>95</v>
      </c>
      <c r="I1015" s="36" t="s">
        <v>96</v>
      </c>
      <c r="J1015" s="36">
        <v>143</v>
      </c>
      <c r="K1015" s="36">
        <v>204.49</v>
      </c>
    </row>
    <row r="1016" spans="1:11" x14ac:dyDescent="0.3">
      <c r="A1016" s="36" t="s">
        <v>97</v>
      </c>
      <c r="B1016" s="36">
        <v>2021</v>
      </c>
      <c r="C1016" s="36" t="s">
        <v>4</v>
      </c>
      <c r="D1016" s="36" t="s">
        <v>91</v>
      </c>
      <c r="E1016" s="36" t="s">
        <v>92</v>
      </c>
      <c r="F1016" s="36" t="s">
        <v>93</v>
      </c>
      <c r="G1016" s="36" t="s">
        <v>94</v>
      </c>
      <c r="H1016" s="36" t="s">
        <v>95</v>
      </c>
      <c r="I1016" s="36" t="s">
        <v>96</v>
      </c>
      <c r="J1016" s="36">
        <v>137</v>
      </c>
      <c r="K1016" s="36">
        <v>195.91</v>
      </c>
    </row>
    <row r="1017" spans="1:11" x14ac:dyDescent="0.3">
      <c r="A1017" s="36" t="s">
        <v>100</v>
      </c>
      <c r="B1017" s="36">
        <v>2021</v>
      </c>
      <c r="C1017" s="36" t="s">
        <v>4</v>
      </c>
      <c r="D1017" s="36" t="s">
        <v>91</v>
      </c>
      <c r="E1017" s="36" t="s">
        <v>92</v>
      </c>
      <c r="F1017" s="36" t="s">
        <v>93</v>
      </c>
      <c r="G1017" s="36" t="s">
        <v>94</v>
      </c>
      <c r="H1017" s="36" t="s">
        <v>95</v>
      </c>
      <c r="I1017" s="36" t="s">
        <v>96</v>
      </c>
      <c r="J1017" s="36">
        <v>131</v>
      </c>
      <c r="K1017" s="36">
        <v>187.32999999999998</v>
      </c>
    </row>
    <row r="1018" spans="1:11" x14ac:dyDescent="0.3">
      <c r="A1018" s="36" t="s">
        <v>97</v>
      </c>
      <c r="B1018" s="36">
        <v>2021</v>
      </c>
      <c r="C1018" s="36" t="s">
        <v>4</v>
      </c>
      <c r="D1018" s="36" t="s">
        <v>91</v>
      </c>
      <c r="E1018" s="36" t="s">
        <v>92</v>
      </c>
      <c r="F1018" s="36" t="s">
        <v>93</v>
      </c>
      <c r="G1018" s="36" t="s">
        <v>94</v>
      </c>
      <c r="H1018" s="36" t="s">
        <v>95</v>
      </c>
      <c r="I1018" s="36" t="s">
        <v>98</v>
      </c>
      <c r="J1018" s="36">
        <v>167</v>
      </c>
      <c r="K1018" s="36">
        <v>238.81</v>
      </c>
    </row>
    <row r="1019" spans="1:11" x14ac:dyDescent="0.3">
      <c r="A1019" s="36" t="s">
        <v>97</v>
      </c>
      <c r="B1019" s="36">
        <v>2021</v>
      </c>
      <c r="C1019" s="36" t="s">
        <v>4</v>
      </c>
      <c r="D1019" s="36" t="s">
        <v>91</v>
      </c>
      <c r="E1019" s="36" t="s">
        <v>92</v>
      </c>
      <c r="F1019" s="36" t="s">
        <v>93</v>
      </c>
      <c r="G1019" s="36" t="s">
        <v>94</v>
      </c>
      <c r="H1019" s="36" t="s">
        <v>95</v>
      </c>
      <c r="I1019" s="36" t="s">
        <v>98</v>
      </c>
      <c r="J1019" s="36">
        <v>215</v>
      </c>
      <c r="K1019" s="36">
        <v>307.45</v>
      </c>
    </row>
    <row r="1020" spans="1:11" x14ac:dyDescent="0.3">
      <c r="A1020" s="36" t="s">
        <v>90</v>
      </c>
      <c r="B1020" s="36">
        <v>2021</v>
      </c>
      <c r="C1020" s="36" t="s">
        <v>4</v>
      </c>
      <c r="D1020" s="36" t="s">
        <v>91</v>
      </c>
      <c r="E1020" s="36" t="s">
        <v>92</v>
      </c>
      <c r="F1020" s="36" t="s">
        <v>93</v>
      </c>
      <c r="G1020" s="36" t="s">
        <v>94</v>
      </c>
      <c r="H1020" s="36" t="s">
        <v>95</v>
      </c>
      <c r="I1020" s="36" t="s">
        <v>98</v>
      </c>
      <c r="J1020" s="36">
        <v>784</v>
      </c>
      <c r="K1020" s="36">
        <v>1121.1199999999999</v>
      </c>
    </row>
    <row r="1021" spans="1:11" x14ac:dyDescent="0.3">
      <c r="A1021" s="36" t="s">
        <v>97</v>
      </c>
      <c r="B1021" s="36">
        <v>2021</v>
      </c>
      <c r="C1021" s="36" t="s">
        <v>10</v>
      </c>
      <c r="D1021" s="36" t="s">
        <v>91</v>
      </c>
      <c r="E1021" s="36" t="s">
        <v>92</v>
      </c>
      <c r="F1021" s="36" t="s">
        <v>93</v>
      </c>
      <c r="G1021" s="36" t="s">
        <v>94</v>
      </c>
      <c r="H1021" s="36" t="s">
        <v>95</v>
      </c>
      <c r="I1021" s="36" t="s">
        <v>98</v>
      </c>
      <c r="J1021" s="36">
        <v>134</v>
      </c>
      <c r="K1021" s="36">
        <v>182.24</v>
      </c>
    </row>
    <row r="1022" spans="1:11" x14ac:dyDescent="0.3">
      <c r="A1022" s="36" t="s">
        <v>90</v>
      </c>
      <c r="B1022" s="36">
        <v>2021</v>
      </c>
      <c r="C1022" s="36" t="s">
        <v>10</v>
      </c>
      <c r="D1022" s="36" t="s">
        <v>91</v>
      </c>
      <c r="E1022" s="36" t="s">
        <v>92</v>
      </c>
      <c r="F1022" s="36" t="s">
        <v>93</v>
      </c>
      <c r="G1022" s="36" t="s">
        <v>94</v>
      </c>
      <c r="H1022" s="36" t="s">
        <v>95</v>
      </c>
      <c r="I1022" s="36" t="s">
        <v>98</v>
      </c>
      <c r="J1022" s="36">
        <v>182</v>
      </c>
      <c r="K1022" s="36">
        <v>260.26</v>
      </c>
    </row>
    <row r="1023" spans="1:11" x14ac:dyDescent="0.3">
      <c r="A1023" s="36" t="s">
        <v>90</v>
      </c>
      <c r="B1023" s="36">
        <v>2021</v>
      </c>
      <c r="C1023" s="36" t="s">
        <v>10</v>
      </c>
      <c r="D1023" s="36" t="s">
        <v>91</v>
      </c>
      <c r="E1023" s="36" t="s">
        <v>92</v>
      </c>
      <c r="F1023" s="36" t="s">
        <v>93</v>
      </c>
      <c r="G1023" s="36" t="s">
        <v>94</v>
      </c>
      <c r="H1023" s="36" t="s">
        <v>95</v>
      </c>
      <c r="I1023" s="36" t="s">
        <v>98</v>
      </c>
      <c r="J1023" s="36">
        <v>136</v>
      </c>
      <c r="K1023" s="36">
        <v>194.48</v>
      </c>
    </row>
    <row r="1024" spans="1:11" x14ac:dyDescent="0.3">
      <c r="A1024" s="36" t="s">
        <v>90</v>
      </c>
      <c r="B1024" s="36">
        <v>2021</v>
      </c>
      <c r="C1024" s="36" t="s">
        <v>10</v>
      </c>
      <c r="D1024" s="36" t="s">
        <v>91</v>
      </c>
      <c r="E1024" s="36" t="s">
        <v>92</v>
      </c>
      <c r="F1024" s="36" t="s">
        <v>93</v>
      </c>
      <c r="G1024" s="36" t="s">
        <v>94</v>
      </c>
      <c r="H1024" s="36" t="s">
        <v>95</v>
      </c>
      <c r="I1024" s="36" t="s">
        <v>98</v>
      </c>
      <c r="J1024" s="36">
        <v>694</v>
      </c>
      <c r="K1024" s="36">
        <v>992.42000000000007</v>
      </c>
    </row>
    <row r="1025" spans="1:11" x14ac:dyDescent="0.3">
      <c r="A1025" s="36" t="s">
        <v>101</v>
      </c>
      <c r="B1025" s="36">
        <v>2021</v>
      </c>
      <c r="C1025" s="36" t="s">
        <v>10</v>
      </c>
      <c r="D1025" s="36" t="s">
        <v>91</v>
      </c>
      <c r="E1025" s="36" t="s">
        <v>92</v>
      </c>
      <c r="F1025" s="36" t="s">
        <v>93</v>
      </c>
      <c r="G1025" s="36" t="s">
        <v>94</v>
      </c>
      <c r="H1025" s="36" t="s">
        <v>95</v>
      </c>
      <c r="I1025" s="36" t="s">
        <v>98</v>
      </c>
      <c r="J1025" s="36">
        <v>727</v>
      </c>
      <c r="K1025" s="36">
        <v>1039.6100000000001</v>
      </c>
    </row>
    <row r="1026" spans="1:11" x14ac:dyDescent="0.3">
      <c r="A1026" s="36" t="s">
        <v>97</v>
      </c>
      <c r="B1026" s="36">
        <v>2021</v>
      </c>
      <c r="C1026" s="36" t="s">
        <v>10</v>
      </c>
      <c r="D1026" s="36" t="s">
        <v>91</v>
      </c>
      <c r="E1026" s="36" t="s">
        <v>92</v>
      </c>
      <c r="F1026" s="36" t="s">
        <v>93</v>
      </c>
      <c r="G1026" s="36" t="s">
        <v>94</v>
      </c>
      <c r="H1026" s="36" t="s">
        <v>95</v>
      </c>
      <c r="I1026" s="36" t="s">
        <v>98</v>
      </c>
      <c r="J1026" s="36">
        <v>135</v>
      </c>
      <c r="K1026" s="36">
        <v>193.05</v>
      </c>
    </row>
    <row r="1027" spans="1:11" x14ac:dyDescent="0.3">
      <c r="A1027" s="36" t="s">
        <v>101</v>
      </c>
      <c r="B1027" s="36">
        <v>2021</v>
      </c>
      <c r="C1027" s="36" t="s">
        <v>10</v>
      </c>
      <c r="D1027" s="36" t="s">
        <v>91</v>
      </c>
      <c r="E1027" s="36" t="s">
        <v>92</v>
      </c>
      <c r="F1027" s="36" t="s">
        <v>93</v>
      </c>
      <c r="G1027" s="36" t="s">
        <v>94</v>
      </c>
      <c r="H1027" s="36" t="s">
        <v>95</v>
      </c>
      <c r="I1027" s="36" t="s">
        <v>98</v>
      </c>
      <c r="J1027" s="36">
        <v>766</v>
      </c>
      <c r="K1027" s="36">
        <v>526.24</v>
      </c>
    </row>
    <row r="1028" spans="1:11" x14ac:dyDescent="0.3">
      <c r="A1028" s="36" t="s">
        <v>90</v>
      </c>
      <c r="B1028" s="36">
        <v>2021</v>
      </c>
      <c r="C1028" s="36" t="s">
        <v>10</v>
      </c>
      <c r="D1028" s="36" t="s">
        <v>91</v>
      </c>
      <c r="E1028" s="36" t="s">
        <v>92</v>
      </c>
      <c r="F1028" s="36" t="s">
        <v>93</v>
      </c>
      <c r="G1028" s="36" t="s">
        <v>94</v>
      </c>
      <c r="H1028" s="36" t="s">
        <v>95</v>
      </c>
      <c r="I1028" s="36" t="s">
        <v>98</v>
      </c>
      <c r="J1028" s="36">
        <v>133</v>
      </c>
      <c r="K1028" s="36">
        <v>190.19</v>
      </c>
    </row>
    <row r="1029" spans="1:11" x14ac:dyDescent="0.3">
      <c r="A1029" s="36" t="s">
        <v>90</v>
      </c>
      <c r="B1029" s="36">
        <v>2021</v>
      </c>
      <c r="C1029" s="36" t="s">
        <v>10</v>
      </c>
      <c r="D1029" s="36" t="s">
        <v>91</v>
      </c>
      <c r="E1029" s="36" t="s">
        <v>92</v>
      </c>
      <c r="F1029" s="36" t="s">
        <v>93</v>
      </c>
      <c r="G1029" s="36" t="s">
        <v>94</v>
      </c>
      <c r="H1029" s="36" t="s">
        <v>95</v>
      </c>
      <c r="I1029" s="36" t="s">
        <v>98</v>
      </c>
      <c r="J1029" s="36">
        <v>181</v>
      </c>
      <c r="K1029" s="36">
        <v>258.83</v>
      </c>
    </row>
    <row r="1030" spans="1:11" x14ac:dyDescent="0.3">
      <c r="A1030" s="36" t="s">
        <v>97</v>
      </c>
      <c r="B1030" s="36">
        <v>2021</v>
      </c>
      <c r="C1030" s="36" t="s">
        <v>10</v>
      </c>
      <c r="D1030" s="36" t="s">
        <v>91</v>
      </c>
      <c r="E1030" s="36" t="s">
        <v>92</v>
      </c>
      <c r="F1030" s="36" t="s">
        <v>93</v>
      </c>
      <c r="G1030" s="36" t="s">
        <v>94</v>
      </c>
      <c r="H1030" s="36" t="s">
        <v>95</v>
      </c>
      <c r="I1030" s="36" t="s">
        <v>98</v>
      </c>
      <c r="J1030" s="36">
        <v>137</v>
      </c>
      <c r="K1030" s="36">
        <v>195.91</v>
      </c>
    </row>
    <row r="1031" spans="1:11" x14ac:dyDescent="0.3">
      <c r="A1031" s="36" t="s">
        <v>90</v>
      </c>
      <c r="B1031" s="36">
        <v>2021</v>
      </c>
      <c r="C1031" s="36" t="s">
        <v>10</v>
      </c>
      <c r="D1031" s="36" t="s">
        <v>91</v>
      </c>
      <c r="E1031" s="36" t="s">
        <v>92</v>
      </c>
      <c r="F1031" s="36" t="s">
        <v>93</v>
      </c>
      <c r="G1031" s="36" t="s">
        <v>94</v>
      </c>
      <c r="H1031" s="36" t="s">
        <v>95</v>
      </c>
      <c r="I1031" s="36" t="s">
        <v>98</v>
      </c>
      <c r="J1031" s="36">
        <v>179</v>
      </c>
      <c r="K1031" s="36">
        <v>255.97</v>
      </c>
    </row>
    <row r="1032" spans="1:11" x14ac:dyDescent="0.3">
      <c r="A1032" s="36" t="s">
        <v>97</v>
      </c>
      <c r="B1032" s="36">
        <v>2021</v>
      </c>
      <c r="C1032" s="36" t="s">
        <v>9</v>
      </c>
      <c r="D1032" s="36" t="s">
        <v>91</v>
      </c>
      <c r="E1032" s="36" t="s">
        <v>92</v>
      </c>
      <c r="F1032" s="36" t="s">
        <v>93</v>
      </c>
      <c r="G1032" s="36" t="s">
        <v>94</v>
      </c>
      <c r="H1032" s="36" t="s">
        <v>95</v>
      </c>
      <c r="I1032" s="36" t="s">
        <v>98</v>
      </c>
      <c r="J1032" s="36">
        <v>140</v>
      </c>
      <c r="K1032" s="36">
        <v>190.4</v>
      </c>
    </row>
    <row r="1033" spans="1:11" x14ac:dyDescent="0.3">
      <c r="A1033" s="36" t="s">
        <v>99</v>
      </c>
      <c r="B1033" s="36">
        <v>2021</v>
      </c>
      <c r="C1033" s="36" t="s">
        <v>9</v>
      </c>
      <c r="D1033" s="36" t="s">
        <v>91</v>
      </c>
      <c r="E1033" s="36" t="s">
        <v>92</v>
      </c>
      <c r="F1033" s="36" t="s">
        <v>93</v>
      </c>
      <c r="G1033" s="36" t="s">
        <v>94</v>
      </c>
      <c r="H1033" s="36" t="s">
        <v>95</v>
      </c>
      <c r="I1033" s="36" t="s">
        <v>98</v>
      </c>
      <c r="J1033" s="36">
        <v>188</v>
      </c>
      <c r="K1033" s="36">
        <v>268.84000000000003</v>
      </c>
    </row>
    <row r="1034" spans="1:11" x14ac:dyDescent="0.3">
      <c r="A1034" s="36" t="s">
        <v>97</v>
      </c>
      <c r="B1034" s="36">
        <v>2021</v>
      </c>
      <c r="C1034" s="36" t="s">
        <v>9</v>
      </c>
      <c r="D1034" s="36" t="s">
        <v>91</v>
      </c>
      <c r="E1034" s="36" t="s">
        <v>92</v>
      </c>
      <c r="F1034" s="36" t="s">
        <v>93</v>
      </c>
      <c r="G1034" s="36" t="s">
        <v>94</v>
      </c>
      <c r="H1034" s="36" t="s">
        <v>95</v>
      </c>
      <c r="I1034" s="36" t="s">
        <v>98</v>
      </c>
      <c r="J1034" s="36">
        <v>142</v>
      </c>
      <c r="K1034" s="36">
        <v>203.06</v>
      </c>
    </row>
    <row r="1035" spans="1:11" x14ac:dyDescent="0.3">
      <c r="A1035" s="36" t="s">
        <v>99</v>
      </c>
      <c r="B1035" s="36">
        <v>2021</v>
      </c>
      <c r="C1035" s="36" t="s">
        <v>9</v>
      </c>
      <c r="D1035" s="36" t="s">
        <v>91</v>
      </c>
      <c r="E1035" s="36" t="s">
        <v>92</v>
      </c>
      <c r="F1035" s="36" t="s">
        <v>93</v>
      </c>
      <c r="G1035" s="36" t="s">
        <v>94</v>
      </c>
      <c r="H1035" s="36" t="s">
        <v>95</v>
      </c>
      <c r="I1035" s="36" t="s">
        <v>98</v>
      </c>
      <c r="J1035" s="36">
        <v>184</v>
      </c>
      <c r="K1035" s="36">
        <v>263.12</v>
      </c>
    </row>
    <row r="1036" spans="1:11" x14ac:dyDescent="0.3">
      <c r="A1036" s="36" t="s">
        <v>97</v>
      </c>
      <c r="B1036" s="36">
        <v>2021</v>
      </c>
      <c r="C1036" s="36" t="s">
        <v>9</v>
      </c>
      <c r="D1036" s="36" t="s">
        <v>91</v>
      </c>
      <c r="E1036" s="36" t="s">
        <v>92</v>
      </c>
      <c r="F1036" s="36" t="s">
        <v>93</v>
      </c>
      <c r="G1036" s="36" t="s">
        <v>94</v>
      </c>
      <c r="H1036" s="36" t="s">
        <v>95</v>
      </c>
      <c r="I1036" s="36" t="s">
        <v>96</v>
      </c>
      <c r="J1036" s="36">
        <v>312</v>
      </c>
      <c r="K1036" s="36">
        <v>526.24</v>
      </c>
    </row>
    <row r="1037" spans="1:11" x14ac:dyDescent="0.3">
      <c r="A1037" s="36" t="s">
        <v>101</v>
      </c>
      <c r="B1037" s="36">
        <v>2021</v>
      </c>
      <c r="C1037" s="36" t="s">
        <v>9</v>
      </c>
      <c r="D1037" s="36" t="s">
        <v>91</v>
      </c>
      <c r="E1037" s="36" t="s">
        <v>92</v>
      </c>
      <c r="F1037" s="36" t="s">
        <v>93</v>
      </c>
      <c r="G1037" s="36" t="s">
        <v>94</v>
      </c>
      <c r="H1037" s="36" t="s">
        <v>95</v>
      </c>
      <c r="I1037" s="36" t="s">
        <v>98</v>
      </c>
      <c r="J1037" s="36">
        <v>693</v>
      </c>
      <c r="K1037" s="36">
        <v>990.99</v>
      </c>
    </row>
    <row r="1038" spans="1:11" x14ac:dyDescent="0.3">
      <c r="A1038" s="36" t="s">
        <v>99</v>
      </c>
      <c r="B1038" s="36">
        <v>2021</v>
      </c>
      <c r="C1038" s="36" t="s">
        <v>9</v>
      </c>
      <c r="D1038" s="36" t="s">
        <v>91</v>
      </c>
      <c r="E1038" s="36" t="s">
        <v>92</v>
      </c>
      <c r="F1038" s="36" t="s">
        <v>93</v>
      </c>
      <c r="G1038" s="36" t="s">
        <v>94</v>
      </c>
      <c r="H1038" s="36" t="s">
        <v>95</v>
      </c>
      <c r="I1038" s="36" t="s">
        <v>98</v>
      </c>
      <c r="J1038" s="36">
        <v>726</v>
      </c>
      <c r="K1038" s="36">
        <v>1038.18</v>
      </c>
    </row>
    <row r="1039" spans="1:11" x14ac:dyDescent="0.3">
      <c r="A1039" s="36" t="s">
        <v>99</v>
      </c>
      <c r="B1039" s="36">
        <v>2021</v>
      </c>
      <c r="C1039" s="36" t="s">
        <v>9</v>
      </c>
      <c r="D1039" s="36" t="s">
        <v>91</v>
      </c>
      <c r="E1039" s="36" t="s">
        <v>92</v>
      </c>
      <c r="F1039" s="36" t="s">
        <v>93</v>
      </c>
      <c r="G1039" s="36" t="s">
        <v>94</v>
      </c>
      <c r="H1039" s="36" t="s">
        <v>95</v>
      </c>
      <c r="I1039" s="36" t="s">
        <v>98</v>
      </c>
      <c r="J1039" s="36">
        <v>141</v>
      </c>
      <c r="K1039" s="36">
        <v>201.63</v>
      </c>
    </row>
    <row r="1040" spans="1:11" x14ac:dyDescent="0.3">
      <c r="A1040" s="36" t="s">
        <v>97</v>
      </c>
      <c r="B1040" s="36">
        <v>2021</v>
      </c>
      <c r="C1040" s="36" t="s">
        <v>9</v>
      </c>
      <c r="D1040" s="36" t="s">
        <v>91</v>
      </c>
      <c r="E1040" s="36" t="s">
        <v>92</v>
      </c>
      <c r="F1040" s="36" t="s">
        <v>93</v>
      </c>
      <c r="G1040" s="36" t="s">
        <v>94</v>
      </c>
      <c r="H1040" s="36" t="s">
        <v>95</v>
      </c>
      <c r="I1040" s="36" t="s">
        <v>98</v>
      </c>
      <c r="J1040" s="36">
        <v>765</v>
      </c>
      <c r="K1040" s="36">
        <v>526.24</v>
      </c>
    </row>
    <row r="1041" spans="1:11" x14ac:dyDescent="0.3">
      <c r="A1041" s="36" t="s">
        <v>97</v>
      </c>
      <c r="B1041" s="36">
        <v>2021</v>
      </c>
      <c r="C1041" s="36" t="s">
        <v>9</v>
      </c>
      <c r="D1041" s="36" t="s">
        <v>91</v>
      </c>
      <c r="E1041" s="36" t="s">
        <v>92</v>
      </c>
      <c r="F1041" s="36" t="s">
        <v>93</v>
      </c>
      <c r="G1041" s="36" t="s">
        <v>94</v>
      </c>
      <c r="H1041" s="36" t="s">
        <v>95</v>
      </c>
      <c r="I1041" s="36" t="s">
        <v>98</v>
      </c>
      <c r="J1041" s="36">
        <v>139</v>
      </c>
      <c r="K1041" s="36">
        <v>198.76999999999998</v>
      </c>
    </row>
    <row r="1042" spans="1:11" x14ac:dyDescent="0.3">
      <c r="A1042" s="36" t="s">
        <v>97</v>
      </c>
      <c r="B1042" s="36">
        <v>2021</v>
      </c>
      <c r="C1042" s="36" t="s">
        <v>9</v>
      </c>
      <c r="D1042" s="36" t="s">
        <v>91</v>
      </c>
      <c r="E1042" s="36" t="s">
        <v>92</v>
      </c>
      <c r="F1042" s="36" t="s">
        <v>93</v>
      </c>
      <c r="G1042" s="36" t="s">
        <v>94</v>
      </c>
      <c r="H1042" s="36" t="s">
        <v>95</v>
      </c>
      <c r="I1042" s="36" t="s">
        <v>98</v>
      </c>
      <c r="J1042" s="36">
        <v>187</v>
      </c>
      <c r="K1042" s="36">
        <v>267.40999999999997</v>
      </c>
    </row>
    <row r="1043" spans="1:11" x14ac:dyDescent="0.3">
      <c r="A1043" s="36" t="s">
        <v>97</v>
      </c>
      <c r="B1043" s="36">
        <v>2021</v>
      </c>
      <c r="C1043" s="36" t="s">
        <v>9</v>
      </c>
      <c r="D1043" s="36" t="s">
        <v>91</v>
      </c>
      <c r="E1043" s="36" t="s">
        <v>92</v>
      </c>
      <c r="F1043" s="36" t="s">
        <v>93</v>
      </c>
      <c r="G1043" s="36" t="s">
        <v>94</v>
      </c>
      <c r="H1043" s="36" t="s">
        <v>95</v>
      </c>
      <c r="I1043" s="36" t="s">
        <v>96</v>
      </c>
      <c r="J1043" s="36">
        <v>311</v>
      </c>
      <c r="K1043" s="36">
        <v>444.73</v>
      </c>
    </row>
    <row r="1044" spans="1:11" x14ac:dyDescent="0.3">
      <c r="A1044" s="36" t="s">
        <v>100</v>
      </c>
      <c r="B1044" s="36">
        <v>2021</v>
      </c>
      <c r="C1044" s="36" t="s">
        <v>9</v>
      </c>
      <c r="D1044" s="36" t="s">
        <v>91</v>
      </c>
      <c r="E1044" s="36" t="s">
        <v>92</v>
      </c>
      <c r="F1044" s="36" t="s">
        <v>93</v>
      </c>
      <c r="G1044" s="36" t="s">
        <v>94</v>
      </c>
      <c r="H1044" s="36" t="s">
        <v>95</v>
      </c>
      <c r="I1044" s="36" t="s">
        <v>98</v>
      </c>
      <c r="J1044" s="36">
        <v>185</v>
      </c>
      <c r="K1044" s="36">
        <v>264.55</v>
      </c>
    </row>
    <row r="1045" spans="1:11" x14ac:dyDescent="0.3">
      <c r="A1045" s="36" t="s">
        <v>90</v>
      </c>
      <c r="B1045" s="36">
        <v>2021</v>
      </c>
      <c r="C1045" s="36" t="s">
        <v>8</v>
      </c>
      <c r="D1045" s="36" t="s">
        <v>91</v>
      </c>
      <c r="E1045" s="36" t="s">
        <v>92</v>
      </c>
      <c r="F1045" s="36" t="s">
        <v>93</v>
      </c>
      <c r="G1045" s="36" t="s">
        <v>94</v>
      </c>
      <c r="H1045" s="36" t="s">
        <v>95</v>
      </c>
      <c r="I1045" s="36" t="s">
        <v>96</v>
      </c>
      <c r="J1045" s="36">
        <v>326</v>
      </c>
      <c r="K1045" s="36">
        <v>466.18</v>
      </c>
    </row>
    <row r="1046" spans="1:11" x14ac:dyDescent="0.3">
      <c r="A1046" s="36" t="s">
        <v>99</v>
      </c>
      <c r="B1046" s="36">
        <v>2021</v>
      </c>
      <c r="C1046" s="36" t="s">
        <v>8</v>
      </c>
      <c r="D1046" s="36" t="s">
        <v>91</v>
      </c>
      <c r="E1046" s="36" t="s">
        <v>92</v>
      </c>
      <c r="F1046" s="36" t="s">
        <v>93</v>
      </c>
      <c r="G1046" s="36" t="s">
        <v>94</v>
      </c>
      <c r="H1046" s="36" t="s">
        <v>95</v>
      </c>
      <c r="I1046" s="36" t="s">
        <v>96</v>
      </c>
      <c r="J1046" s="36">
        <v>320</v>
      </c>
      <c r="K1046" s="36">
        <v>457.6</v>
      </c>
    </row>
    <row r="1047" spans="1:11" x14ac:dyDescent="0.3">
      <c r="A1047" s="36" t="s">
        <v>90</v>
      </c>
      <c r="B1047" s="36">
        <v>2021</v>
      </c>
      <c r="C1047" s="36" t="s">
        <v>8</v>
      </c>
      <c r="D1047" s="36" t="s">
        <v>91</v>
      </c>
      <c r="E1047" s="36" t="s">
        <v>92</v>
      </c>
      <c r="F1047" s="36" t="s">
        <v>93</v>
      </c>
      <c r="G1047" s="36" t="s">
        <v>94</v>
      </c>
      <c r="H1047" s="36" t="s">
        <v>95</v>
      </c>
      <c r="I1047" s="36" t="s">
        <v>96</v>
      </c>
      <c r="J1047" s="36">
        <v>314</v>
      </c>
      <c r="K1047" s="36">
        <v>449.02</v>
      </c>
    </row>
    <row r="1048" spans="1:11" x14ac:dyDescent="0.3">
      <c r="A1048" s="36" t="s">
        <v>99</v>
      </c>
      <c r="B1048" s="36">
        <v>2021</v>
      </c>
      <c r="C1048" s="36" t="s">
        <v>8</v>
      </c>
      <c r="D1048" s="36" t="s">
        <v>91</v>
      </c>
      <c r="E1048" s="36" t="s">
        <v>92</v>
      </c>
      <c r="F1048" s="36" t="s">
        <v>93</v>
      </c>
      <c r="G1048" s="36" t="s">
        <v>94</v>
      </c>
      <c r="H1048" s="36" t="s">
        <v>95</v>
      </c>
      <c r="I1048" s="36" t="s">
        <v>98</v>
      </c>
      <c r="J1048" s="36">
        <v>146</v>
      </c>
      <c r="K1048" s="36">
        <v>198.56</v>
      </c>
    </row>
    <row r="1049" spans="1:11" x14ac:dyDescent="0.3">
      <c r="A1049" s="36" t="s">
        <v>90</v>
      </c>
      <c r="B1049" s="36">
        <v>2021</v>
      </c>
      <c r="C1049" s="36" t="s">
        <v>8</v>
      </c>
      <c r="D1049" s="36" t="s">
        <v>91</v>
      </c>
      <c r="E1049" s="36" t="s">
        <v>92</v>
      </c>
      <c r="F1049" s="36" t="s">
        <v>93</v>
      </c>
      <c r="G1049" s="36" t="s">
        <v>94</v>
      </c>
      <c r="H1049" s="36" t="s">
        <v>95</v>
      </c>
      <c r="I1049" s="36" t="s">
        <v>98</v>
      </c>
      <c r="J1049" s="36">
        <v>194</v>
      </c>
      <c r="K1049" s="36">
        <v>277.42</v>
      </c>
    </row>
    <row r="1050" spans="1:11" x14ac:dyDescent="0.3">
      <c r="A1050" s="36" t="s">
        <v>90</v>
      </c>
      <c r="B1050" s="36">
        <v>2021</v>
      </c>
      <c r="C1050" s="36" t="s">
        <v>8</v>
      </c>
      <c r="D1050" s="36" t="s">
        <v>91</v>
      </c>
      <c r="E1050" s="36" t="s">
        <v>92</v>
      </c>
      <c r="F1050" s="36" t="s">
        <v>93</v>
      </c>
      <c r="G1050" s="36" t="s">
        <v>94</v>
      </c>
      <c r="H1050" s="36" t="s">
        <v>95</v>
      </c>
      <c r="I1050" s="36" t="s">
        <v>98</v>
      </c>
      <c r="J1050" s="36">
        <v>190</v>
      </c>
      <c r="K1050" s="36">
        <v>271.7</v>
      </c>
    </row>
    <row r="1051" spans="1:11" x14ac:dyDescent="0.3">
      <c r="A1051" s="36" t="s">
        <v>90</v>
      </c>
      <c r="B1051" s="36">
        <v>2021</v>
      </c>
      <c r="C1051" s="36" t="s">
        <v>8</v>
      </c>
      <c r="D1051" s="36" t="s">
        <v>91</v>
      </c>
      <c r="E1051" s="36" t="s">
        <v>92</v>
      </c>
      <c r="F1051" s="36" t="s">
        <v>93</v>
      </c>
      <c r="G1051" s="36" t="s">
        <v>94</v>
      </c>
      <c r="H1051" s="36" t="s">
        <v>95</v>
      </c>
      <c r="I1051" s="36" t="s">
        <v>98</v>
      </c>
      <c r="J1051" s="36">
        <v>364</v>
      </c>
      <c r="K1051" s="36">
        <v>520.52</v>
      </c>
    </row>
    <row r="1052" spans="1:11" x14ac:dyDescent="0.3">
      <c r="A1052" s="36" t="s">
        <v>90</v>
      </c>
      <c r="B1052" s="36">
        <v>2021</v>
      </c>
      <c r="C1052" s="36" t="s">
        <v>8</v>
      </c>
      <c r="D1052" s="36" t="s">
        <v>91</v>
      </c>
      <c r="E1052" s="36" t="s">
        <v>92</v>
      </c>
      <c r="F1052" s="36" t="s">
        <v>93</v>
      </c>
      <c r="G1052" s="36" t="s">
        <v>94</v>
      </c>
      <c r="H1052" s="36" t="s">
        <v>95</v>
      </c>
      <c r="I1052" s="36" t="s">
        <v>96</v>
      </c>
      <c r="J1052" s="36">
        <v>324</v>
      </c>
      <c r="K1052" s="36">
        <v>526.24</v>
      </c>
    </row>
    <row r="1053" spans="1:11" x14ac:dyDescent="0.3">
      <c r="A1053" s="36" t="s">
        <v>90</v>
      </c>
      <c r="B1053" s="36">
        <v>2021</v>
      </c>
      <c r="C1053" s="36" t="s">
        <v>8</v>
      </c>
      <c r="D1053" s="36" t="s">
        <v>91</v>
      </c>
      <c r="E1053" s="36" t="s">
        <v>92</v>
      </c>
      <c r="F1053" s="36" t="s">
        <v>93</v>
      </c>
      <c r="G1053" s="36" t="s">
        <v>94</v>
      </c>
      <c r="H1053" s="36" t="s">
        <v>95</v>
      </c>
      <c r="I1053" s="36" t="s">
        <v>96</v>
      </c>
      <c r="J1053" s="36">
        <v>318</v>
      </c>
      <c r="K1053" s="36">
        <v>526.24</v>
      </c>
    </row>
    <row r="1054" spans="1:11" x14ac:dyDescent="0.3">
      <c r="A1054" s="36" t="s">
        <v>97</v>
      </c>
      <c r="B1054" s="36">
        <v>2021</v>
      </c>
      <c r="C1054" s="36" t="s">
        <v>8</v>
      </c>
      <c r="D1054" s="36" t="s">
        <v>91</v>
      </c>
      <c r="E1054" s="36" t="s">
        <v>92</v>
      </c>
      <c r="F1054" s="36" t="s">
        <v>93</v>
      </c>
      <c r="G1054" s="36" t="s">
        <v>94</v>
      </c>
      <c r="H1054" s="36" t="s">
        <v>95</v>
      </c>
      <c r="I1054" s="36" t="s">
        <v>98</v>
      </c>
      <c r="J1054" s="36">
        <v>692</v>
      </c>
      <c r="K1054" s="36">
        <v>989.56</v>
      </c>
    </row>
    <row r="1055" spans="1:11" x14ac:dyDescent="0.3">
      <c r="A1055" s="36" t="s">
        <v>99</v>
      </c>
      <c r="B1055" s="36">
        <v>2021</v>
      </c>
      <c r="C1055" s="36" t="s">
        <v>8</v>
      </c>
      <c r="D1055" s="36" t="s">
        <v>91</v>
      </c>
      <c r="E1055" s="36" t="s">
        <v>92</v>
      </c>
      <c r="F1055" s="36" t="s">
        <v>93</v>
      </c>
      <c r="G1055" s="36" t="s">
        <v>94</v>
      </c>
      <c r="H1055" s="36" t="s">
        <v>95</v>
      </c>
      <c r="I1055" s="36" t="s">
        <v>98</v>
      </c>
      <c r="J1055" s="36">
        <v>725</v>
      </c>
      <c r="K1055" s="36">
        <v>1036.75</v>
      </c>
    </row>
    <row r="1056" spans="1:11" x14ac:dyDescent="0.3">
      <c r="A1056" s="36" t="s">
        <v>97</v>
      </c>
      <c r="B1056" s="36">
        <v>2021</v>
      </c>
      <c r="C1056" s="36" t="s">
        <v>8</v>
      </c>
      <c r="D1056" s="36" t="s">
        <v>91</v>
      </c>
      <c r="E1056" s="36" t="s">
        <v>92</v>
      </c>
      <c r="F1056" s="36" t="s">
        <v>93</v>
      </c>
      <c r="G1056" s="36" t="s">
        <v>94</v>
      </c>
      <c r="H1056" s="36" t="s">
        <v>95</v>
      </c>
      <c r="I1056" s="36" t="s">
        <v>98</v>
      </c>
      <c r="J1056" s="36">
        <v>778</v>
      </c>
      <c r="K1056" s="36">
        <v>1112.54</v>
      </c>
    </row>
    <row r="1057" spans="1:11" x14ac:dyDescent="0.3">
      <c r="A1057" s="36" t="s">
        <v>90</v>
      </c>
      <c r="B1057" s="36">
        <v>2021</v>
      </c>
      <c r="C1057" s="36" t="s">
        <v>8</v>
      </c>
      <c r="D1057" s="36" t="s">
        <v>91</v>
      </c>
      <c r="E1057" s="36" t="s">
        <v>92</v>
      </c>
      <c r="F1057" s="36" t="s">
        <v>93</v>
      </c>
      <c r="G1057" s="36" t="s">
        <v>94</v>
      </c>
      <c r="H1057" s="36" t="s">
        <v>95</v>
      </c>
      <c r="I1057" s="36" t="s">
        <v>96</v>
      </c>
      <c r="J1057" s="36">
        <v>327</v>
      </c>
      <c r="K1057" s="36">
        <v>467.61</v>
      </c>
    </row>
    <row r="1058" spans="1:11" x14ac:dyDescent="0.3">
      <c r="A1058" s="36" t="s">
        <v>99</v>
      </c>
      <c r="B1058" s="36">
        <v>2021</v>
      </c>
      <c r="C1058" s="36" t="s">
        <v>8</v>
      </c>
      <c r="D1058" s="36" t="s">
        <v>91</v>
      </c>
      <c r="E1058" s="36" t="s">
        <v>92</v>
      </c>
      <c r="F1058" s="36" t="s">
        <v>93</v>
      </c>
      <c r="G1058" s="36" t="s">
        <v>94</v>
      </c>
      <c r="H1058" s="36" t="s">
        <v>95</v>
      </c>
      <c r="I1058" s="36" t="s">
        <v>96</v>
      </c>
      <c r="J1058" s="36">
        <v>321</v>
      </c>
      <c r="K1058" s="36">
        <v>459.03</v>
      </c>
    </row>
    <row r="1059" spans="1:11" x14ac:dyDescent="0.3">
      <c r="A1059" s="36" t="s">
        <v>90</v>
      </c>
      <c r="B1059" s="36">
        <v>2021</v>
      </c>
      <c r="C1059" s="36" t="s">
        <v>8</v>
      </c>
      <c r="D1059" s="36" t="s">
        <v>91</v>
      </c>
      <c r="E1059" s="36" t="s">
        <v>92</v>
      </c>
      <c r="F1059" s="36" t="s">
        <v>93</v>
      </c>
      <c r="G1059" s="36" t="s">
        <v>94</v>
      </c>
      <c r="H1059" s="36" t="s">
        <v>95</v>
      </c>
      <c r="I1059" s="36" t="s">
        <v>96</v>
      </c>
      <c r="J1059" s="36">
        <v>315</v>
      </c>
      <c r="K1059" s="36">
        <v>450.45</v>
      </c>
    </row>
    <row r="1060" spans="1:11" x14ac:dyDescent="0.3">
      <c r="A1060" s="36" t="s">
        <v>97</v>
      </c>
      <c r="B1060" s="36">
        <v>2021</v>
      </c>
      <c r="C1060" s="36" t="s">
        <v>8</v>
      </c>
      <c r="D1060" s="36" t="s">
        <v>91</v>
      </c>
      <c r="E1060" s="36" t="s">
        <v>92</v>
      </c>
      <c r="F1060" s="36" t="s">
        <v>93</v>
      </c>
      <c r="G1060" s="36" t="s">
        <v>94</v>
      </c>
      <c r="H1060" s="36" t="s">
        <v>95</v>
      </c>
      <c r="I1060" s="36" t="s">
        <v>98</v>
      </c>
      <c r="J1060" s="36">
        <v>147</v>
      </c>
      <c r="K1060" s="36">
        <v>210.21</v>
      </c>
    </row>
    <row r="1061" spans="1:11" x14ac:dyDescent="0.3">
      <c r="A1061" s="36" t="s">
        <v>90</v>
      </c>
      <c r="B1061" s="36">
        <v>2021</v>
      </c>
      <c r="C1061" s="36" t="s">
        <v>8</v>
      </c>
      <c r="D1061" s="36" t="s">
        <v>91</v>
      </c>
      <c r="E1061" s="36" t="s">
        <v>92</v>
      </c>
      <c r="F1061" s="36" t="s">
        <v>93</v>
      </c>
      <c r="G1061" s="36" t="s">
        <v>94</v>
      </c>
      <c r="H1061" s="36" t="s">
        <v>95</v>
      </c>
      <c r="I1061" s="36" t="s">
        <v>98</v>
      </c>
      <c r="J1061" s="36">
        <v>145</v>
      </c>
      <c r="K1061" s="36">
        <v>207.35</v>
      </c>
    </row>
    <row r="1062" spans="1:11" x14ac:dyDescent="0.3">
      <c r="A1062" s="36" t="s">
        <v>90</v>
      </c>
      <c r="B1062" s="36">
        <v>2021</v>
      </c>
      <c r="C1062" s="36" t="s">
        <v>8</v>
      </c>
      <c r="D1062" s="36" t="s">
        <v>91</v>
      </c>
      <c r="E1062" s="36" t="s">
        <v>92</v>
      </c>
      <c r="F1062" s="36" t="s">
        <v>93</v>
      </c>
      <c r="G1062" s="36" t="s">
        <v>94</v>
      </c>
      <c r="H1062" s="36" t="s">
        <v>95</v>
      </c>
      <c r="I1062" s="36" t="s">
        <v>98</v>
      </c>
      <c r="J1062" s="36">
        <v>193</v>
      </c>
      <c r="K1062" s="36">
        <v>275.99</v>
      </c>
    </row>
    <row r="1063" spans="1:11" x14ac:dyDescent="0.3">
      <c r="A1063" s="36" t="s">
        <v>99</v>
      </c>
      <c r="B1063" s="36">
        <v>2021</v>
      </c>
      <c r="C1063" s="36" t="s">
        <v>8</v>
      </c>
      <c r="D1063" s="36" t="s">
        <v>91</v>
      </c>
      <c r="E1063" s="36" t="s">
        <v>92</v>
      </c>
      <c r="F1063" s="36" t="s">
        <v>93</v>
      </c>
      <c r="G1063" s="36" t="s">
        <v>94</v>
      </c>
      <c r="H1063" s="36" t="s">
        <v>95</v>
      </c>
      <c r="I1063" s="36" t="s">
        <v>96</v>
      </c>
      <c r="J1063" s="36">
        <v>323</v>
      </c>
      <c r="K1063" s="36">
        <v>461.89</v>
      </c>
    </row>
    <row r="1064" spans="1:11" x14ac:dyDescent="0.3">
      <c r="A1064" s="36" t="s">
        <v>90</v>
      </c>
      <c r="B1064" s="36">
        <v>2021</v>
      </c>
      <c r="C1064" s="36" t="s">
        <v>8</v>
      </c>
      <c r="D1064" s="36" t="s">
        <v>91</v>
      </c>
      <c r="E1064" s="36" t="s">
        <v>92</v>
      </c>
      <c r="F1064" s="36" t="s">
        <v>93</v>
      </c>
      <c r="G1064" s="36" t="s">
        <v>94</v>
      </c>
      <c r="H1064" s="36" t="s">
        <v>95</v>
      </c>
      <c r="I1064" s="36" t="s">
        <v>96</v>
      </c>
      <c r="J1064" s="36">
        <v>317</v>
      </c>
      <c r="K1064" s="36">
        <v>453.31</v>
      </c>
    </row>
    <row r="1065" spans="1:11" x14ac:dyDescent="0.3">
      <c r="A1065" s="36" t="s">
        <v>99</v>
      </c>
      <c r="B1065" s="36">
        <v>2021</v>
      </c>
      <c r="C1065" s="36" t="s">
        <v>8</v>
      </c>
      <c r="D1065" s="36" t="s">
        <v>91</v>
      </c>
      <c r="E1065" s="36" t="s">
        <v>92</v>
      </c>
      <c r="F1065" s="36" t="s">
        <v>93</v>
      </c>
      <c r="G1065" s="36" t="s">
        <v>94</v>
      </c>
      <c r="H1065" s="36" t="s">
        <v>95</v>
      </c>
      <c r="I1065" s="36" t="s">
        <v>98</v>
      </c>
      <c r="J1065" s="36">
        <v>143</v>
      </c>
      <c r="K1065" s="36">
        <v>204.49</v>
      </c>
    </row>
    <row r="1066" spans="1:11" x14ac:dyDescent="0.3">
      <c r="A1066" s="36" t="s">
        <v>90</v>
      </c>
      <c r="B1066" s="36">
        <v>2021</v>
      </c>
      <c r="C1066" s="36" t="s">
        <v>8</v>
      </c>
      <c r="D1066" s="36" t="s">
        <v>91</v>
      </c>
      <c r="E1066" s="36" t="s">
        <v>92</v>
      </c>
      <c r="F1066" s="36" t="s">
        <v>93</v>
      </c>
      <c r="G1066" s="36" t="s">
        <v>94</v>
      </c>
      <c r="H1066" s="36" t="s">
        <v>95</v>
      </c>
      <c r="I1066" s="36" t="s">
        <v>98</v>
      </c>
      <c r="J1066" s="36">
        <v>191</v>
      </c>
      <c r="K1066" s="36">
        <v>273.13</v>
      </c>
    </row>
    <row r="1067" spans="1:11" x14ac:dyDescent="0.3">
      <c r="A1067" s="36" t="s">
        <v>99</v>
      </c>
      <c r="B1067" s="36">
        <v>2021</v>
      </c>
      <c r="C1067" s="36" t="s">
        <v>8</v>
      </c>
      <c r="D1067" s="36" t="s">
        <v>91</v>
      </c>
      <c r="E1067" s="36" t="s">
        <v>92</v>
      </c>
      <c r="F1067" s="36" t="s">
        <v>93</v>
      </c>
      <c r="G1067" s="36" t="s">
        <v>94</v>
      </c>
      <c r="H1067" s="36" t="s">
        <v>95</v>
      </c>
      <c r="I1067" s="36" t="s">
        <v>98</v>
      </c>
      <c r="J1067" s="36">
        <v>787</v>
      </c>
      <c r="K1067" s="36">
        <v>1125.4099999999999</v>
      </c>
    </row>
    <row r="1068" spans="1:11" x14ac:dyDescent="0.3">
      <c r="A1068" s="36" t="s">
        <v>97</v>
      </c>
      <c r="B1068" s="36">
        <v>2021</v>
      </c>
      <c r="C1068" s="36" t="s">
        <v>3</v>
      </c>
      <c r="D1068" s="36" t="s">
        <v>103</v>
      </c>
      <c r="E1068" s="36" t="s">
        <v>92</v>
      </c>
      <c r="F1068" s="36" t="s">
        <v>93</v>
      </c>
      <c r="G1068" s="36" t="s">
        <v>94</v>
      </c>
      <c r="H1068" s="36" t="s">
        <v>95</v>
      </c>
      <c r="I1068" s="36" t="s">
        <v>96</v>
      </c>
      <c r="J1068" s="36">
        <v>266</v>
      </c>
      <c r="K1068" s="36">
        <v>380.38</v>
      </c>
    </row>
    <row r="1069" spans="1:11" x14ac:dyDescent="0.3">
      <c r="A1069" s="36" t="s">
        <v>97</v>
      </c>
      <c r="B1069" s="36">
        <v>2021</v>
      </c>
      <c r="C1069" s="36" t="s">
        <v>3</v>
      </c>
      <c r="D1069" s="36" t="s">
        <v>103</v>
      </c>
      <c r="E1069" s="36" t="s">
        <v>92</v>
      </c>
      <c r="F1069" s="36" t="s">
        <v>93</v>
      </c>
      <c r="G1069" s="36" t="s">
        <v>94</v>
      </c>
      <c r="H1069" s="36" t="s">
        <v>95</v>
      </c>
      <c r="I1069" s="36" t="s">
        <v>96</v>
      </c>
      <c r="J1069" s="36">
        <v>314</v>
      </c>
      <c r="K1069" s="36">
        <v>449.02</v>
      </c>
    </row>
    <row r="1070" spans="1:11" x14ac:dyDescent="0.3">
      <c r="A1070" s="36" t="s">
        <v>90</v>
      </c>
      <c r="B1070" s="36">
        <v>2021</v>
      </c>
      <c r="C1070" s="36" t="s">
        <v>3</v>
      </c>
      <c r="D1070" s="36" t="s">
        <v>103</v>
      </c>
      <c r="E1070" s="36" t="s">
        <v>92</v>
      </c>
      <c r="F1070" s="36" t="s">
        <v>93</v>
      </c>
      <c r="G1070" s="36" t="s">
        <v>94</v>
      </c>
      <c r="H1070" s="36" t="s">
        <v>95</v>
      </c>
      <c r="I1070" s="36" t="s">
        <v>96</v>
      </c>
      <c r="J1070" s="36">
        <v>236</v>
      </c>
      <c r="K1070" s="36">
        <v>337.48</v>
      </c>
    </row>
    <row r="1071" spans="1:11" x14ac:dyDescent="0.3">
      <c r="A1071" s="36" t="s">
        <v>97</v>
      </c>
      <c r="B1071" s="36">
        <v>2021</v>
      </c>
      <c r="C1071" s="36" t="s">
        <v>3</v>
      </c>
      <c r="D1071" s="36" t="s">
        <v>103</v>
      </c>
      <c r="E1071" s="36" t="s">
        <v>92</v>
      </c>
      <c r="F1071" s="36" t="s">
        <v>93</v>
      </c>
      <c r="G1071" s="36" t="s">
        <v>94</v>
      </c>
      <c r="H1071" s="36" t="s">
        <v>95</v>
      </c>
      <c r="I1071" s="36" t="s">
        <v>96</v>
      </c>
      <c r="J1071" s="36">
        <v>310</v>
      </c>
      <c r="K1071" s="36">
        <v>526.24</v>
      </c>
    </row>
    <row r="1072" spans="1:11" x14ac:dyDescent="0.3">
      <c r="A1072" s="36" t="s">
        <v>99</v>
      </c>
      <c r="B1072" s="36">
        <v>2021</v>
      </c>
      <c r="C1072" s="36" t="s">
        <v>3</v>
      </c>
      <c r="D1072" s="36" t="s">
        <v>103</v>
      </c>
      <c r="E1072" s="36" t="s">
        <v>92</v>
      </c>
      <c r="F1072" s="36" t="s">
        <v>93</v>
      </c>
      <c r="G1072" s="36" t="s">
        <v>94</v>
      </c>
      <c r="H1072" s="36" t="s">
        <v>95</v>
      </c>
      <c r="I1072" s="36" t="s">
        <v>96</v>
      </c>
      <c r="J1072" s="36">
        <v>238</v>
      </c>
      <c r="K1072" s="36">
        <v>526.24</v>
      </c>
    </row>
    <row r="1073" spans="1:11" x14ac:dyDescent="0.3">
      <c r="A1073" s="36" t="s">
        <v>90</v>
      </c>
      <c r="B1073" s="36">
        <v>2021</v>
      </c>
      <c r="C1073" s="36" t="s">
        <v>3</v>
      </c>
      <c r="D1073" s="36" t="s">
        <v>103</v>
      </c>
      <c r="E1073" s="36" t="s">
        <v>92</v>
      </c>
      <c r="F1073" s="36" t="s">
        <v>93</v>
      </c>
      <c r="G1073" s="36" t="s">
        <v>94</v>
      </c>
      <c r="H1073" s="36" t="s">
        <v>95</v>
      </c>
      <c r="I1073" s="36" t="s">
        <v>96</v>
      </c>
      <c r="J1073" s="36">
        <v>1000</v>
      </c>
      <c r="K1073" s="36">
        <v>1430</v>
      </c>
    </row>
    <row r="1074" spans="1:11" x14ac:dyDescent="0.3">
      <c r="A1074" s="36" t="s">
        <v>100</v>
      </c>
      <c r="B1074" s="36">
        <v>2021</v>
      </c>
      <c r="C1074" s="36" t="s">
        <v>3</v>
      </c>
      <c r="D1074" s="36" t="s">
        <v>103</v>
      </c>
      <c r="E1074" s="36" t="s">
        <v>92</v>
      </c>
      <c r="F1074" s="36" t="s">
        <v>93</v>
      </c>
      <c r="G1074" s="36" t="s">
        <v>94</v>
      </c>
      <c r="H1074" s="36" t="s">
        <v>95</v>
      </c>
      <c r="I1074" s="36" t="s">
        <v>96</v>
      </c>
      <c r="J1074" s="36">
        <v>1033</v>
      </c>
      <c r="K1074" s="36">
        <v>1477.19</v>
      </c>
    </row>
    <row r="1075" spans="1:11" x14ac:dyDescent="0.3">
      <c r="A1075" s="36" t="s">
        <v>99</v>
      </c>
      <c r="B1075" s="36">
        <v>2021</v>
      </c>
      <c r="C1075" s="36" t="s">
        <v>3</v>
      </c>
      <c r="D1075" s="36" t="s">
        <v>103</v>
      </c>
      <c r="E1075" s="36" t="s">
        <v>92</v>
      </c>
      <c r="F1075" s="36" t="s">
        <v>93</v>
      </c>
      <c r="G1075" s="36" t="s">
        <v>94</v>
      </c>
      <c r="H1075" s="36" t="s">
        <v>95</v>
      </c>
      <c r="I1075" s="36" t="s">
        <v>96</v>
      </c>
      <c r="J1075" s="36">
        <v>240</v>
      </c>
      <c r="K1075" s="36">
        <v>343.2</v>
      </c>
    </row>
    <row r="1076" spans="1:11" x14ac:dyDescent="0.3">
      <c r="A1076" s="36" t="s">
        <v>99</v>
      </c>
      <c r="B1076" s="36">
        <v>2021</v>
      </c>
      <c r="C1076" s="36" t="s">
        <v>3</v>
      </c>
      <c r="D1076" s="36" t="s">
        <v>103</v>
      </c>
      <c r="E1076" s="36" t="s">
        <v>92</v>
      </c>
      <c r="F1076" s="36" t="s">
        <v>93</v>
      </c>
      <c r="G1076" s="36" t="s">
        <v>94</v>
      </c>
      <c r="H1076" s="36" t="s">
        <v>95</v>
      </c>
      <c r="I1076" s="36" t="s">
        <v>96</v>
      </c>
      <c r="J1076" s="36">
        <v>267</v>
      </c>
      <c r="K1076" s="36">
        <v>381.81</v>
      </c>
    </row>
    <row r="1077" spans="1:11" x14ac:dyDescent="0.3">
      <c r="A1077" s="36" t="s">
        <v>90</v>
      </c>
      <c r="B1077" s="36">
        <v>2021</v>
      </c>
      <c r="C1077" s="36" t="s">
        <v>3</v>
      </c>
      <c r="D1077" s="36" t="s">
        <v>103</v>
      </c>
      <c r="E1077" s="36" t="s">
        <v>92</v>
      </c>
      <c r="F1077" s="36" t="s">
        <v>93</v>
      </c>
      <c r="G1077" s="36" t="s">
        <v>94</v>
      </c>
      <c r="H1077" s="36" t="s">
        <v>95</v>
      </c>
      <c r="I1077" s="36" t="s">
        <v>96</v>
      </c>
      <c r="J1077" s="36">
        <v>237</v>
      </c>
      <c r="K1077" s="36">
        <v>338.90999999999997</v>
      </c>
    </row>
    <row r="1078" spans="1:11" x14ac:dyDescent="0.3">
      <c r="A1078" s="36" t="s">
        <v>99</v>
      </c>
      <c r="B1078" s="36">
        <v>2021</v>
      </c>
      <c r="C1078" s="36" t="s">
        <v>3</v>
      </c>
      <c r="D1078" s="36" t="s">
        <v>103</v>
      </c>
      <c r="E1078" s="36" t="s">
        <v>92</v>
      </c>
      <c r="F1078" s="36" t="s">
        <v>93</v>
      </c>
      <c r="G1078" s="36" t="s">
        <v>94</v>
      </c>
      <c r="H1078" s="36" t="s">
        <v>95</v>
      </c>
      <c r="I1078" s="36" t="s">
        <v>96</v>
      </c>
      <c r="J1078" s="36">
        <v>781</v>
      </c>
      <c r="K1078" s="36">
        <v>1116.83</v>
      </c>
    </row>
    <row r="1079" spans="1:11" x14ac:dyDescent="0.3">
      <c r="A1079" s="36" t="s">
        <v>90</v>
      </c>
      <c r="B1079" s="36">
        <v>2021</v>
      </c>
      <c r="C1079" s="36" t="s">
        <v>3</v>
      </c>
      <c r="D1079" s="36" t="s">
        <v>103</v>
      </c>
      <c r="E1079" s="36" t="s">
        <v>92</v>
      </c>
      <c r="F1079" s="36" t="s">
        <v>93</v>
      </c>
      <c r="G1079" s="36" t="s">
        <v>94</v>
      </c>
      <c r="H1079" s="36" t="s">
        <v>95</v>
      </c>
      <c r="I1079" s="36" t="s">
        <v>96</v>
      </c>
      <c r="J1079" s="36">
        <v>814</v>
      </c>
      <c r="K1079" s="36">
        <v>1164.02</v>
      </c>
    </row>
    <row r="1080" spans="1:11" x14ac:dyDescent="0.3">
      <c r="A1080" s="36" t="s">
        <v>90</v>
      </c>
      <c r="B1080" s="36">
        <v>2021</v>
      </c>
      <c r="C1080" s="36" t="s">
        <v>3</v>
      </c>
      <c r="D1080" s="36" t="s">
        <v>103</v>
      </c>
      <c r="E1080" s="36" t="s">
        <v>92</v>
      </c>
      <c r="F1080" s="36" t="s">
        <v>93</v>
      </c>
      <c r="G1080" s="36" t="s">
        <v>94</v>
      </c>
      <c r="H1080" s="36" t="s">
        <v>95</v>
      </c>
      <c r="I1080" s="36" t="s">
        <v>96</v>
      </c>
      <c r="J1080" s="36">
        <v>263</v>
      </c>
      <c r="K1080" s="36">
        <v>376.09000000000003</v>
      </c>
    </row>
    <row r="1081" spans="1:11" x14ac:dyDescent="0.3">
      <c r="A1081" s="36" t="s">
        <v>90</v>
      </c>
      <c r="B1081" s="36">
        <v>2021</v>
      </c>
      <c r="C1081" s="36" t="s">
        <v>3</v>
      </c>
      <c r="D1081" s="36" t="s">
        <v>103</v>
      </c>
      <c r="E1081" s="36" t="s">
        <v>92</v>
      </c>
      <c r="F1081" s="36" t="s">
        <v>93</v>
      </c>
      <c r="G1081" s="36" t="s">
        <v>94</v>
      </c>
      <c r="H1081" s="36" t="s">
        <v>95</v>
      </c>
      <c r="I1081" s="36" t="s">
        <v>96</v>
      </c>
      <c r="J1081" s="36">
        <v>311</v>
      </c>
      <c r="K1081" s="36">
        <v>444.73</v>
      </c>
    </row>
    <row r="1082" spans="1:11" x14ac:dyDescent="0.3">
      <c r="A1082" s="36" t="s">
        <v>97</v>
      </c>
      <c r="B1082" s="36">
        <v>2021</v>
      </c>
      <c r="C1082" s="36" t="s">
        <v>3</v>
      </c>
      <c r="D1082" s="36" t="s">
        <v>103</v>
      </c>
      <c r="E1082" s="36" t="s">
        <v>92</v>
      </c>
      <c r="F1082" s="36" t="s">
        <v>93</v>
      </c>
      <c r="G1082" s="36" t="s">
        <v>94</v>
      </c>
      <c r="H1082" s="36" t="s">
        <v>95</v>
      </c>
      <c r="I1082" s="36" t="s">
        <v>96</v>
      </c>
      <c r="J1082" s="36">
        <v>239</v>
      </c>
      <c r="K1082" s="36">
        <v>341.77</v>
      </c>
    </row>
    <row r="1083" spans="1:11" x14ac:dyDescent="0.3">
      <c r="A1083" s="36" t="s">
        <v>90</v>
      </c>
      <c r="B1083" s="36">
        <v>2021</v>
      </c>
      <c r="C1083" s="36" t="s">
        <v>7</v>
      </c>
      <c r="D1083" s="36" t="s">
        <v>103</v>
      </c>
      <c r="E1083" s="36" t="s">
        <v>92</v>
      </c>
      <c r="F1083" s="36" t="s">
        <v>93</v>
      </c>
      <c r="G1083" s="36" t="s">
        <v>94</v>
      </c>
      <c r="H1083" s="36" t="s">
        <v>95</v>
      </c>
      <c r="I1083" s="36" t="s">
        <v>96</v>
      </c>
      <c r="J1083" s="36">
        <v>242</v>
      </c>
      <c r="K1083" s="36">
        <v>346.06</v>
      </c>
    </row>
    <row r="1084" spans="1:11" x14ac:dyDescent="0.3">
      <c r="A1084" s="36" t="s">
        <v>101</v>
      </c>
      <c r="B1084" s="36">
        <v>2021</v>
      </c>
      <c r="C1084" s="36" t="s">
        <v>7</v>
      </c>
      <c r="D1084" s="36" t="s">
        <v>103</v>
      </c>
      <c r="E1084" s="36" t="s">
        <v>92</v>
      </c>
      <c r="F1084" s="36" t="s">
        <v>93</v>
      </c>
      <c r="G1084" s="36" t="s">
        <v>94</v>
      </c>
      <c r="H1084" s="36" t="s">
        <v>95</v>
      </c>
      <c r="I1084" s="36" t="s">
        <v>96</v>
      </c>
      <c r="J1084" s="36">
        <v>290</v>
      </c>
      <c r="K1084" s="36">
        <v>414.7</v>
      </c>
    </row>
    <row r="1085" spans="1:11" x14ac:dyDescent="0.3">
      <c r="A1085" s="36" t="s">
        <v>97</v>
      </c>
      <c r="B1085" s="36">
        <v>2021</v>
      </c>
      <c r="C1085" s="36" t="s">
        <v>7</v>
      </c>
      <c r="D1085" s="36" t="s">
        <v>91</v>
      </c>
      <c r="E1085" s="36" t="s">
        <v>92</v>
      </c>
      <c r="F1085" s="36" t="s">
        <v>93</v>
      </c>
      <c r="G1085" s="36" t="s">
        <v>94</v>
      </c>
      <c r="H1085" s="36" t="s">
        <v>95</v>
      </c>
      <c r="I1085" s="36" t="s">
        <v>96</v>
      </c>
      <c r="J1085" s="36">
        <v>218</v>
      </c>
      <c r="K1085" s="36">
        <v>311.74</v>
      </c>
    </row>
    <row r="1086" spans="1:11" x14ac:dyDescent="0.3">
      <c r="A1086" s="36" t="s">
        <v>97</v>
      </c>
      <c r="B1086" s="36">
        <v>2021</v>
      </c>
      <c r="C1086" s="36" t="s">
        <v>7</v>
      </c>
      <c r="D1086" s="36" t="s">
        <v>91</v>
      </c>
      <c r="E1086" s="36" t="s">
        <v>92</v>
      </c>
      <c r="F1086" s="36" t="s">
        <v>93</v>
      </c>
      <c r="G1086" s="36" t="s">
        <v>94</v>
      </c>
      <c r="H1086" s="36" t="s">
        <v>95</v>
      </c>
      <c r="I1086" s="36" t="s">
        <v>96</v>
      </c>
      <c r="J1086" s="36">
        <v>244</v>
      </c>
      <c r="K1086" s="36">
        <v>526.24</v>
      </c>
    </row>
    <row r="1087" spans="1:11" x14ac:dyDescent="0.3">
      <c r="A1087" s="36" t="s">
        <v>90</v>
      </c>
      <c r="B1087" s="36">
        <v>2021</v>
      </c>
      <c r="C1087" s="36" t="s">
        <v>7</v>
      </c>
      <c r="D1087" s="36" t="s">
        <v>91</v>
      </c>
      <c r="E1087" s="36" t="s">
        <v>92</v>
      </c>
      <c r="F1087" s="36" t="s">
        <v>93</v>
      </c>
      <c r="G1087" s="36" t="s">
        <v>94</v>
      </c>
      <c r="H1087" s="36" t="s">
        <v>95</v>
      </c>
      <c r="I1087" s="36" t="s">
        <v>96</v>
      </c>
      <c r="J1087" s="36">
        <v>292</v>
      </c>
      <c r="K1087" s="36">
        <v>526.24</v>
      </c>
    </row>
    <row r="1088" spans="1:11" x14ac:dyDescent="0.3">
      <c r="A1088" s="36" t="s">
        <v>97</v>
      </c>
      <c r="B1088" s="36">
        <v>2021</v>
      </c>
      <c r="C1088" s="36" t="s">
        <v>7</v>
      </c>
      <c r="D1088" s="36" t="s">
        <v>91</v>
      </c>
      <c r="E1088" s="36" t="s">
        <v>92</v>
      </c>
      <c r="F1088" s="36" t="s">
        <v>93</v>
      </c>
      <c r="G1088" s="36" t="s">
        <v>94</v>
      </c>
      <c r="H1088" s="36" t="s">
        <v>95</v>
      </c>
      <c r="I1088" s="36" t="s">
        <v>96</v>
      </c>
      <c r="J1088" s="36">
        <v>1003</v>
      </c>
      <c r="K1088" s="36">
        <v>1434.29</v>
      </c>
    </row>
    <row r="1089" spans="1:11" x14ac:dyDescent="0.3">
      <c r="A1089" s="36" t="s">
        <v>97</v>
      </c>
      <c r="B1089" s="36">
        <v>2021</v>
      </c>
      <c r="C1089" s="36" t="s">
        <v>7</v>
      </c>
      <c r="D1089" s="36" t="s">
        <v>91</v>
      </c>
      <c r="E1089" s="36" t="s">
        <v>92</v>
      </c>
      <c r="F1089" s="36" t="s">
        <v>93</v>
      </c>
      <c r="G1089" s="36" t="s">
        <v>94</v>
      </c>
      <c r="H1089" s="36" t="s">
        <v>95</v>
      </c>
      <c r="I1089" s="36" t="s">
        <v>96</v>
      </c>
      <c r="J1089" s="36">
        <v>1037</v>
      </c>
      <c r="K1089" s="36">
        <v>1482.9099999999999</v>
      </c>
    </row>
    <row r="1090" spans="1:11" x14ac:dyDescent="0.3">
      <c r="A1090" s="36" t="s">
        <v>90</v>
      </c>
      <c r="B1090" s="36">
        <v>2021</v>
      </c>
      <c r="C1090" s="36" t="s">
        <v>7</v>
      </c>
      <c r="D1090" s="36" t="s">
        <v>91</v>
      </c>
      <c r="E1090" s="36" t="s">
        <v>92</v>
      </c>
      <c r="F1090" s="36" t="s">
        <v>93</v>
      </c>
      <c r="G1090" s="36" t="s">
        <v>94</v>
      </c>
      <c r="H1090" s="36" t="s">
        <v>95</v>
      </c>
      <c r="I1090" s="36" t="s">
        <v>96</v>
      </c>
      <c r="J1090" s="36">
        <v>216</v>
      </c>
      <c r="K1090" s="36">
        <v>308.88</v>
      </c>
    </row>
    <row r="1091" spans="1:11" x14ac:dyDescent="0.3">
      <c r="A1091" s="36" t="s">
        <v>90</v>
      </c>
      <c r="B1091" s="36">
        <v>2021</v>
      </c>
      <c r="C1091" s="36" t="s">
        <v>7</v>
      </c>
      <c r="D1091" s="36" t="s">
        <v>91</v>
      </c>
      <c r="E1091" s="36" t="s">
        <v>92</v>
      </c>
      <c r="F1091" s="36" t="s">
        <v>93</v>
      </c>
      <c r="G1091" s="36" t="s">
        <v>94</v>
      </c>
      <c r="H1091" s="36" t="s">
        <v>95</v>
      </c>
      <c r="I1091" s="36" t="s">
        <v>96</v>
      </c>
      <c r="J1091" s="36">
        <v>243</v>
      </c>
      <c r="K1091" s="36">
        <v>347.49</v>
      </c>
    </row>
    <row r="1092" spans="1:11" x14ac:dyDescent="0.3">
      <c r="A1092" s="36" t="s">
        <v>90</v>
      </c>
      <c r="B1092" s="36">
        <v>2021</v>
      </c>
      <c r="C1092" s="36" t="s">
        <v>7</v>
      </c>
      <c r="D1092" s="36" t="s">
        <v>91</v>
      </c>
      <c r="E1092" s="36" t="s">
        <v>92</v>
      </c>
      <c r="F1092" s="36" t="s">
        <v>93</v>
      </c>
      <c r="G1092" s="36" t="s">
        <v>94</v>
      </c>
      <c r="H1092" s="36" t="s">
        <v>95</v>
      </c>
      <c r="I1092" s="36" t="s">
        <v>96</v>
      </c>
      <c r="J1092" s="36">
        <v>291</v>
      </c>
      <c r="K1092" s="36">
        <v>416.13</v>
      </c>
    </row>
    <row r="1093" spans="1:11" x14ac:dyDescent="0.3">
      <c r="A1093" s="36" t="s">
        <v>97</v>
      </c>
      <c r="B1093" s="36">
        <v>2021</v>
      </c>
      <c r="C1093" s="36" t="s">
        <v>7</v>
      </c>
      <c r="D1093" s="36" t="s">
        <v>91</v>
      </c>
      <c r="E1093" s="36" t="s">
        <v>92</v>
      </c>
      <c r="F1093" s="36" t="s">
        <v>93</v>
      </c>
      <c r="G1093" s="36" t="s">
        <v>94</v>
      </c>
      <c r="H1093" s="36" t="s">
        <v>95</v>
      </c>
      <c r="I1093" s="36" t="s">
        <v>96</v>
      </c>
      <c r="J1093" s="36">
        <v>219</v>
      </c>
      <c r="K1093" s="36">
        <v>313.17</v>
      </c>
    </row>
    <row r="1094" spans="1:11" x14ac:dyDescent="0.3">
      <c r="A1094" s="36" t="s">
        <v>90</v>
      </c>
      <c r="B1094" s="36">
        <v>2021</v>
      </c>
      <c r="C1094" s="36" t="s">
        <v>7</v>
      </c>
      <c r="D1094" s="36" t="s">
        <v>91</v>
      </c>
      <c r="E1094" s="36" t="s">
        <v>92</v>
      </c>
      <c r="F1094" s="36" t="s">
        <v>93</v>
      </c>
      <c r="G1094" s="36" t="s">
        <v>94</v>
      </c>
      <c r="H1094" s="36" t="s">
        <v>95</v>
      </c>
      <c r="I1094" s="36" t="s">
        <v>96</v>
      </c>
      <c r="J1094" s="36">
        <v>818</v>
      </c>
      <c r="K1094" s="36">
        <v>1169.74</v>
      </c>
    </row>
    <row r="1095" spans="1:11" x14ac:dyDescent="0.3">
      <c r="A1095" s="36" t="s">
        <v>97</v>
      </c>
      <c r="B1095" s="36">
        <v>2021</v>
      </c>
      <c r="C1095" s="36" t="s">
        <v>7</v>
      </c>
      <c r="D1095" s="36" t="s">
        <v>91</v>
      </c>
      <c r="E1095" s="36" t="s">
        <v>92</v>
      </c>
      <c r="F1095" s="36" t="s">
        <v>93</v>
      </c>
      <c r="G1095" s="36" t="s">
        <v>94</v>
      </c>
      <c r="H1095" s="36" t="s">
        <v>95</v>
      </c>
      <c r="I1095" s="36" t="s">
        <v>96</v>
      </c>
      <c r="J1095" s="36">
        <v>871</v>
      </c>
      <c r="K1095" s="36">
        <v>1245.53</v>
      </c>
    </row>
    <row r="1096" spans="1:11" x14ac:dyDescent="0.3">
      <c r="A1096" s="36" t="s">
        <v>97</v>
      </c>
      <c r="B1096" s="36">
        <v>2021</v>
      </c>
      <c r="C1096" s="36" t="s">
        <v>7</v>
      </c>
      <c r="D1096" s="36" t="s">
        <v>91</v>
      </c>
      <c r="E1096" s="36" t="s">
        <v>92</v>
      </c>
      <c r="F1096" s="36" t="s">
        <v>93</v>
      </c>
      <c r="G1096" s="36" t="s">
        <v>94</v>
      </c>
      <c r="H1096" s="36" t="s">
        <v>95</v>
      </c>
      <c r="I1096" s="36" t="s">
        <v>96</v>
      </c>
      <c r="J1096" s="36">
        <v>245</v>
      </c>
      <c r="K1096" s="36">
        <v>350.35</v>
      </c>
    </row>
    <row r="1097" spans="1:11" x14ac:dyDescent="0.3">
      <c r="A1097" s="36" t="s">
        <v>90</v>
      </c>
      <c r="B1097" s="36">
        <v>2021</v>
      </c>
      <c r="C1097" s="36" t="s">
        <v>7</v>
      </c>
      <c r="D1097" s="36" t="s">
        <v>91</v>
      </c>
      <c r="E1097" s="36" t="s">
        <v>92</v>
      </c>
      <c r="F1097" s="36" t="s">
        <v>93</v>
      </c>
      <c r="G1097" s="36" t="s">
        <v>94</v>
      </c>
      <c r="H1097" s="36" t="s">
        <v>95</v>
      </c>
      <c r="I1097" s="36" t="s">
        <v>96</v>
      </c>
      <c r="J1097" s="36">
        <v>293</v>
      </c>
      <c r="K1097" s="36">
        <v>418.99</v>
      </c>
    </row>
    <row r="1098" spans="1:11" x14ac:dyDescent="0.3">
      <c r="A1098" s="36" t="s">
        <v>90</v>
      </c>
      <c r="B1098" s="36">
        <v>2021</v>
      </c>
      <c r="C1098" s="36" t="s">
        <v>7</v>
      </c>
      <c r="D1098" s="36" t="s">
        <v>91</v>
      </c>
      <c r="E1098" s="36" t="s">
        <v>92</v>
      </c>
      <c r="F1098" s="36" t="s">
        <v>93</v>
      </c>
      <c r="G1098" s="36" t="s">
        <v>94</v>
      </c>
      <c r="H1098" s="36" t="s">
        <v>95</v>
      </c>
      <c r="I1098" s="36" t="s">
        <v>96</v>
      </c>
      <c r="J1098" s="36">
        <v>215</v>
      </c>
      <c r="K1098" s="36">
        <v>307.45</v>
      </c>
    </row>
    <row r="1099" spans="1:11" x14ac:dyDescent="0.3">
      <c r="A1099" s="36" t="s">
        <v>90</v>
      </c>
      <c r="B1099" s="36">
        <v>2021</v>
      </c>
      <c r="C1099" s="36" t="s">
        <v>11</v>
      </c>
      <c r="D1099" s="36" t="s">
        <v>91</v>
      </c>
      <c r="E1099" s="36" t="s">
        <v>92</v>
      </c>
      <c r="F1099" s="36" t="s">
        <v>93</v>
      </c>
      <c r="G1099" s="36" t="s">
        <v>94</v>
      </c>
      <c r="H1099" s="36" t="s">
        <v>95</v>
      </c>
      <c r="I1099" s="36" t="s">
        <v>98</v>
      </c>
      <c r="J1099" s="36">
        <v>248</v>
      </c>
      <c r="K1099" s="36">
        <v>354.64</v>
      </c>
    </row>
    <row r="1100" spans="1:11" x14ac:dyDescent="0.3">
      <c r="A1100" s="36" t="s">
        <v>100</v>
      </c>
      <c r="B1100" s="36">
        <v>2021</v>
      </c>
      <c r="C1100" s="36" t="s">
        <v>11</v>
      </c>
      <c r="D1100" s="36" t="s">
        <v>91</v>
      </c>
      <c r="E1100" s="36" t="s">
        <v>92</v>
      </c>
      <c r="F1100" s="36" t="s">
        <v>93</v>
      </c>
      <c r="G1100" s="36" t="s">
        <v>94</v>
      </c>
      <c r="H1100" s="36" t="s">
        <v>95</v>
      </c>
      <c r="I1100" s="36" t="s">
        <v>98</v>
      </c>
      <c r="J1100" s="36">
        <v>242</v>
      </c>
      <c r="K1100" s="36">
        <v>346.06</v>
      </c>
    </row>
    <row r="1101" spans="1:11" x14ac:dyDescent="0.3">
      <c r="A1101" s="36" t="s">
        <v>97</v>
      </c>
      <c r="B1101" s="36">
        <v>2021</v>
      </c>
      <c r="C1101" s="36" t="s">
        <v>11</v>
      </c>
      <c r="D1101" s="36" t="s">
        <v>91</v>
      </c>
      <c r="E1101" s="36" t="s">
        <v>92</v>
      </c>
      <c r="F1101" s="36" t="s">
        <v>93</v>
      </c>
      <c r="G1101" s="36" t="s">
        <v>94</v>
      </c>
      <c r="H1101" s="36" t="s">
        <v>95</v>
      </c>
      <c r="I1101" s="36" t="s">
        <v>98</v>
      </c>
      <c r="J1101" s="36">
        <v>236</v>
      </c>
      <c r="K1101" s="36">
        <v>337.48</v>
      </c>
    </row>
    <row r="1102" spans="1:11" x14ac:dyDescent="0.3">
      <c r="A1102" s="36" t="s">
        <v>97</v>
      </c>
      <c r="B1102" s="36">
        <v>2021</v>
      </c>
      <c r="C1102" s="36" t="s">
        <v>11</v>
      </c>
      <c r="D1102" s="36" t="s">
        <v>91</v>
      </c>
      <c r="E1102" s="36" t="s">
        <v>92</v>
      </c>
      <c r="F1102" s="36" t="s">
        <v>93</v>
      </c>
      <c r="G1102" s="36" t="s">
        <v>94</v>
      </c>
      <c r="H1102" s="36" t="s">
        <v>95</v>
      </c>
      <c r="I1102" s="36" t="s">
        <v>96</v>
      </c>
      <c r="J1102" s="36">
        <v>224</v>
      </c>
      <c r="K1102" s="36">
        <v>320.32</v>
      </c>
    </row>
    <row r="1103" spans="1:11" x14ac:dyDescent="0.3">
      <c r="A1103" s="36" t="s">
        <v>90</v>
      </c>
      <c r="B1103" s="36">
        <v>2021</v>
      </c>
      <c r="C1103" s="36" t="s">
        <v>11</v>
      </c>
      <c r="D1103" s="36" t="s">
        <v>91</v>
      </c>
      <c r="E1103" s="36" t="s">
        <v>92</v>
      </c>
      <c r="F1103" s="36" t="s">
        <v>93</v>
      </c>
      <c r="G1103" s="36" t="s">
        <v>94</v>
      </c>
      <c r="H1103" s="36" t="s">
        <v>95</v>
      </c>
      <c r="I1103" s="36" t="s">
        <v>96</v>
      </c>
      <c r="J1103" s="36">
        <v>250</v>
      </c>
      <c r="K1103" s="36">
        <v>357.5</v>
      </c>
    </row>
    <row r="1104" spans="1:11" x14ac:dyDescent="0.3">
      <c r="A1104" s="36" t="s">
        <v>99</v>
      </c>
      <c r="B1104" s="36">
        <v>2021</v>
      </c>
      <c r="C1104" s="36" t="s">
        <v>11</v>
      </c>
      <c r="D1104" s="36" t="s">
        <v>91</v>
      </c>
      <c r="E1104" s="36" t="s">
        <v>92</v>
      </c>
      <c r="F1104" s="36" t="s">
        <v>93</v>
      </c>
      <c r="G1104" s="36" t="s">
        <v>94</v>
      </c>
      <c r="H1104" s="36" t="s">
        <v>95</v>
      </c>
      <c r="I1104" s="36" t="s">
        <v>96</v>
      </c>
      <c r="J1104" s="36">
        <v>244</v>
      </c>
      <c r="K1104" s="36">
        <v>348.92</v>
      </c>
    </row>
    <row r="1105" spans="1:11" x14ac:dyDescent="0.3">
      <c r="A1105" s="36" t="s">
        <v>99</v>
      </c>
      <c r="B1105" s="36">
        <v>2021</v>
      </c>
      <c r="C1105" s="36" t="s">
        <v>11</v>
      </c>
      <c r="D1105" s="36" t="s">
        <v>91</v>
      </c>
      <c r="E1105" s="36" t="s">
        <v>92</v>
      </c>
      <c r="F1105" s="36" t="s">
        <v>93</v>
      </c>
      <c r="G1105" s="36" t="s">
        <v>94</v>
      </c>
      <c r="H1105" s="36" t="s">
        <v>95</v>
      </c>
      <c r="I1105" s="36" t="s">
        <v>96</v>
      </c>
      <c r="J1105" s="36">
        <v>238</v>
      </c>
      <c r="K1105" s="36">
        <v>340.34000000000003</v>
      </c>
    </row>
    <row r="1106" spans="1:11" x14ac:dyDescent="0.3">
      <c r="A1106" s="36" t="s">
        <v>97</v>
      </c>
      <c r="B1106" s="36">
        <v>2021</v>
      </c>
      <c r="C1106" s="36" t="s">
        <v>11</v>
      </c>
      <c r="D1106" s="36" t="s">
        <v>91</v>
      </c>
      <c r="E1106" s="36" t="s">
        <v>92</v>
      </c>
      <c r="F1106" s="36" t="s">
        <v>93</v>
      </c>
      <c r="G1106" s="36" t="s">
        <v>94</v>
      </c>
      <c r="H1106" s="36" t="s">
        <v>95</v>
      </c>
      <c r="I1106" s="36" t="s">
        <v>96</v>
      </c>
      <c r="J1106" s="36">
        <v>220</v>
      </c>
      <c r="K1106" s="36">
        <v>526.24</v>
      </c>
    </row>
    <row r="1107" spans="1:11" x14ac:dyDescent="0.3">
      <c r="A1107" s="36" t="s">
        <v>97</v>
      </c>
      <c r="B1107" s="36">
        <v>2021</v>
      </c>
      <c r="C1107" s="36" t="s">
        <v>11</v>
      </c>
      <c r="D1107" s="36" t="s">
        <v>91</v>
      </c>
      <c r="E1107" s="36" t="s">
        <v>92</v>
      </c>
      <c r="F1107" s="36" t="s">
        <v>93</v>
      </c>
      <c r="G1107" s="36" t="s">
        <v>94</v>
      </c>
      <c r="H1107" s="36" t="s">
        <v>95</v>
      </c>
      <c r="I1107" s="36" t="s">
        <v>96</v>
      </c>
      <c r="J1107" s="36">
        <v>268</v>
      </c>
      <c r="K1107" s="36">
        <v>526.24</v>
      </c>
    </row>
    <row r="1108" spans="1:11" x14ac:dyDescent="0.3">
      <c r="A1108" s="36" t="s">
        <v>97</v>
      </c>
      <c r="B1108" s="36">
        <v>2021</v>
      </c>
      <c r="C1108" s="36" t="s">
        <v>11</v>
      </c>
      <c r="D1108" s="36" t="s">
        <v>91</v>
      </c>
      <c r="E1108" s="36" t="s">
        <v>92</v>
      </c>
      <c r="F1108" s="36" t="s">
        <v>93</v>
      </c>
      <c r="G1108" s="36" t="s">
        <v>94</v>
      </c>
      <c r="H1108" s="36" t="s">
        <v>95</v>
      </c>
      <c r="I1108" s="36" t="s">
        <v>96</v>
      </c>
      <c r="J1108" s="36">
        <v>1007</v>
      </c>
      <c r="K1108" s="36">
        <v>1440.01</v>
      </c>
    </row>
    <row r="1109" spans="1:11" x14ac:dyDescent="0.3">
      <c r="A1109" s="36" t="s">
        <v>97</v>
      </c>
      <c r="B1109" s="36">
        <v>2021</v>
      </c>
      <c r="C1109" s="36" t="s">
        <v>11</v>
      </c>
      <c r="D1109" s="36" t="s">
        <v>91</v>
      </c>
      <c r="E1109" s="36" t="s">
        <v>92</v>
      </c>
      <c r="F1109" s="36" t="s">
        <v>93</v>
      </c>
      <c r="G1109" s="36" t="s">
        <v>94</v>
      </c>
      <c r="H1109" s="36" t="s">
        <v>95</v>
      </c>
      <c r="I1109" s="36" t="s">
        <v>96</v>
      </c>
      <c r="J1109" s="36">
        <v>1040</v>
      </c>
      <c r="K1109" s="36">
        <v>1487.2</v>
      </c>
    </row>
    <row r="1110" spans="1:11" x14ac:dyDescent="0.3">
      <c r="A1110" s="36" t="s">
        <v>90</v>
      </c>
      <c r="B1110" s="36">
        <v>2021</v>
      </c>
      <c r="C1110" s="36" t="s">
        <v>11</v>
      </c>
      <c r="D1110" s="36" t="s">
        <v>91</v>
      </c>
      <c r="E1110" s="36" t="s">
        <v>92</v>
      </c>
      <c r="F1110" s="36" t="s">
        <v>93</v>
      </c>
      <c r="G1110" s="36" t="s">
        <v>94</v>
      </c>
      <c r="H1110" s="36" t="s">
        <v>95</v>
      </c>
      <c r="I1110" s="36" t="s">
        <v>96</v>
      </c>
      <c r="J1110" s="36">
        <v>225</v>
      </c>
      <c r="K1110" s="36">
        <v>321.75</v>
      </c>
    </row>
    <row r="1111" spans="1:11" x14ac:dyDescent="0.3">
      <c r="A1111" s="36" t="s">
        <v>90</v>
      </c>
      <c r="B1111" s="36">
        <v>2021</v>
      </c>
      <c r="C1111" s="36" t="s">
        <v>11</v>
      </c>
      <c r="D1111" s="36" t="s">
        <v>91</v>
      </c>
      <c r="E1111" s="36" t="s">
        <v>92</v>
      </c>
      <c r="F1111" s="36" t="s">
        <v>93</v>
      </c>
      <c r="G1111" s="36" t="s">
        <v>94</v>
      </c>
      <c r="H1111" s="36" t="s">
        <v>95</v>
      </c>
      <c r="I1111" s="36" t="s">
        <v>96</v>
      </c>
      <c r="J1111" s="36">
        <v>267</v>
      </c>
      <c r="K1111" s="36">
        <v>381.81</v>
      </c>
    </row>
    <row r="1112" spans="1:11" x14ac:dyDescent="0.3">
      <c r="A1112" s="36" t="s">
        <v>97</v>
      </c>
      <c r="B1112" s="36">
        <v>2021</v>
      </c>
      <c r="C1112" s="36" t="s">
        <v>11</v>
      </c>
      <c r="D1112" s="36" t="s">
        <v>91</v>
      </c>
      <c r="E1112" s="36" t="s">
        <v>92</v>
      </c>
      <c r="F1112" s="36" t="s">
        <v>93</v>
      </c>
      <c r="G1112" s="36" t="s">
        <v>94</v>
      </c>
      <c r="H1112" s="36" t="s">
        <v>95</v>
      </c>
      <c r="I1112" s="36" t="s">
        <v>96</v>
      </c>
      <c r="J1112" s="36">
        <v>247</v>
      </c>
      <c r="K1112" s="36">
        <v>353.21</v>
      </c>
    </row>
    <row r="1113" spans="1:11" x14ac:dyDescent="0.3">
      <c r="A1113" s="36" t="s">
        <v>97</v>
      </c>
      <c r="B1113" s="36">
        <v>2021</v>
      </c>
      <c r="C1113" s="36" t="s">
        <v>11</v>
      </c>
      <c r="D1113" s="36" t="s">
        <v>91</v>
      </c>
      <c r="E1113" s="36" t="s">
        <v>92</v>
      </c>
      <c r="F1113" s="36" t="s">
        <v>93</v>
      </c>
      <c r="G1113" s="36" t="s">
        <v>94</v>
      </c>
      <c r="H1113" s="36" t="s">
        <v>95</v>
      </c>
      <c r="I1113" s="36" t="s">
        <v>96</v>
      </c>
      <c r="J1113" s="36">
        <v>241</v>
      </c>
      <c r="K1113" s="36">
        <v>344.63</v>
      </c>
    </row>
    <row r="1114" spans="1:11" x14ac:dyDescent="0.3">
      <c r="A1114" s="36" t="s">
        <v>97</v>
      </c>
      <c r="B1114" s="36">
        <v>2021</v>
      </c>
      <c r="C1114" s="36" t="s">
        <v>11</v>
      </c>
      <c r="D1114" s="36" t="s">
        <v>91</v>
      </c>
      <c r="E1114" s="36" t="s">
        <v>92</v>
      </c>
      <c r="F1114" s="36" t="s">
        <v>93</v>
      </c>
      <c r="G1114" s="36" t="s">
        <v>94</v>
      </c>
      <c r="H1114" s="36" t="s">
        <v>95</v>
      </c>
      <c r="I1114" s="36" t="s">
        <v>96</v>
      </c>
      <c r="J1114" s="36">
        <v>235</v>
      </c>
      <c r="K1114" s="36">
        <v>336.05</v>
      </c>
    </row>
    <row r="1115" spans="1:11" x14ac:dyDescent="0.3">
      <c r="A1115" s="36" t="s">
        <v>99</v>
      </c>
      <c r="B1115" s="36">
        <v>2021</v>
      </c>
      <c r="C1115" s="36" t="s">
        <v>11</v>
      </c>
      <c r="D1115" s="36" t="s">
        <v>91</v>
      </c>
      <c r="E1115" s="36" t="s">
        <v>92</v>
      </c>
      <c r="F1115" s="36" t="s">
        <v>93</v>
      </c>
      <c r="G1115" s="36" t="s">
        <v>94</v>
      </c>
      <c r="H1115" s="36" t="s">
        <v>95</v>
      </c>
      <c r="I1115" s="36" t="s">
        <v>96</v>
      </c>
      <c r="J1115" s="36">
        <v>788</v>
      </c>
      <c r="K1115" s="36">
        <v>1126.8399999999999</v>
      </c>
    </row>
    <row r="1116" spans="1:11" x14ac:dyDescent="0.3">
      <c r="A1116" s="36" t="s">
        <v>97</v>
      </c>
      <c r="B1116" s="36">
        <v>2021</v>
      </c>
      <c r="C1116" s="36" t="s">
        <v>11</v>
      </c>
      <c r="D1116" s="36" t="s">
        <v>91</v>
      </c>
      <c r="E1116" s="36" t="s">
        <v>92</v>
      </c>
      <c r="F1116" s="36" t="s">
        <v>93</v>
      </c>
      <c r="G1116" s="36" t="s">
        <v>94</v>
      </c>
      <c r="H1116" s="36" t="s">
        <v>95</v>
      </c>
      <c r="I1116" s="36" t="s">
        <v>96</v>
      </c>
      <c r="J1116" s="36">
        <v>821</v>
      </c>
      <c r="K1116" s="36">
        <v>1174.03</v>
      </c>
    </row>
    <row r="1117" spans="1:11" x14ac:dyDescent="0.3">
      <c r="A1117" s="36" t="s">
        <v>90</v>
      </c>
      <c r="B1117" s="36">
        <v>2021</v>
      </c>
      <c r="C1117" s="36" t="s">
        <v>11</v>
      </c>
      <c r="D1117" s="36" t="s">
        <v>91</v>
      </c>
      <c r="E1117" s="36" t="s">
        <v>92</v>
      </c>
      <c r="F1117" s="36" t="s">
        <v>93</v>
      </c>
      <c r="G1117" s="36" t="s">
        <v>94</v>
      </c>
      <c r="H1117" s="36" t="s">
        <v>95</v>
      </c>
      <c r="I1117" s="36" t="s">
        <v>98</v>
      </c>
      <c r="J1117" s="36">
        <v>245</v>
      </c>
      <c r="K1117" s="36">
        <v>350.35</v>
      </c>
    </row>
    <row r="1118" spans="1:11" x14ac:dyDescent="0.3">
      <c r="A1118" s="36" t="s">
        <v>90</v>
      </c>
      <c r="B1118" s="36">
        <v>2021</v>
      </c>
      <c r="C1118" s="36" t="s">
        <v>11</v>
      </c>
      <c r="D1118" s="36" t="s">
        <v>91</v>
      </c>
      <c r="E1118" s="36" t="s">
        <v>92</v>
      </c>
      <c r="F1118" s="36" t="s">
        <v>93</v>
      </c>
      <c r="G1118" s="36" t="s">
        <v>94</v>
      </c>
      <c r="H1118" s="36" t="s">
        <v>95</v>
      </c>
      <c r="I1118" s="36" t="s">
        <v>98</v>
      </c>
      <c r="J1118" s="36">
        <v>239</v>
      </c>
      <c r="K1118" s="36">
        <v>341.77</v>
      </c>
    </row>
    <row r="1119" spans="1:11" x14ac:dyDescent="0.3">
      <c r="A1119" s="36" t="s">
        <v>99</v>
      </c>
      <c r="B1119" s="36">
        <v>2021</v>
      </c>
      <c r="C1119" s="36" t="s">
        <v>11</v>
      </c>
      <c r="D1119" s="36" t="s">
        <v>91</v>
      </c>
      <c r="E1119" s="36" t="s">
        <v>92</v>
      </c>
      <c r="F1119" s="36" t="s">
        <v>93</v>
      </c>
      <c r="G1119" s="36" t="s">
        <v>94</v>
      </c>
      <c r="H1119" s="36" t="s">
        <v>95</v>
      </c>
      <c r="I1119" s="36" t="s">
        <v>96</v>
      </c>
      <c r="J1119" s="36">
        <v>221</v>
      </c>
      <c r="K1119" s="36">
        <v>316.02999999999997</v>
      </c>
    </row>
    <row r="1120" spans="1:11" x14ac:dyDescent="0.3">
      <c r="A1120" s="36" t="s">
        <v>90</v>
      </c>
      <c r="B1120" s="36">
        <v>2021</v>
      </c>
      <c r="C1120" s="36" t="s">
        <v>11</v>
      </c>
      <c r="D1120" s="36" t="s">
        <v>91</v>
      </c>
      <c r="E1120" s="36" t="s">
        <v>92</v>
      </c>
      <c r="F1120" s="36" t="s">
        <v>93</v>
      </c>
      <c r="G1120" s="36" t="s">
        <v>94</v>
      </c>
      <c r="H1120" s="36" t="s">
        <v>95</v>
      </c>
      <c r="I1120" s="36" t="s">
        <v>96</v>
      </c>
      <c r="J1120" s="36">
        <v>269</v>
      </c>
      <c r="K1120" s="36">
        <v>384.67</v>
      </c>
    </row>
    <row r="1121" spans="1:11" x14ac:dyDescent="0.3">
      <c r="A1121" s="36" t="s">
        <v>90</v>
      </c>
      <c r="B1121" s="36">
        <v>2021</v>
      </c>
      <c r="C1121" s="36" t="s">
        <v>1</v>
      </c>
      <c r="D1121" s="36" t="s">
        <v>91</v>
      </c>
      <c r="E1121" s="36" t="s">
        <v>92</v>
      </c>
      <c r="F1121" s="36" t="s">
        <v>93</v>
      </c>
      <c r="G1121" s="36" t="s">
        <v>94</v>
      </c>
      <c r="H1121" s="36" t="s">
        <v>95</v>
      </c>
      <c r="I1121" s="36" t="s">
        <v>96</v>
      </c>
      <c r="J1121" s="36">
        <v>278</v>
      </c>
      <c r="K1121" s="36">
        <v>397.53999999999996</v>
      </c>
    </row>
    <row r="1122" spans="1:11" x14ac:dyDescent="0.3">
      <c r="A1122" s="36" t="s">
        <v>97</v>
      </c>
      <c r="B1122" s="36">
        <v>2021</v>
      </c>
      <c r="C1122" s="36" t="s">
        <v>1</v>
      </c>
      <c r="D1122" s="36" t="s">
        <v>91</v>
      </c>
      <c r="E1122" s="36" t="s">
        <v>92</v>
      </c>
      <c r="F1122" s="36" t="s">
        <v>93</v>
      </c>
      <c r="G1122" s="36" t="s">
        <v>94</v>
      </c>
      <c r="H1122" s="36" t="s">
        <v>95</v>
      </c>
      <c r="I1122" s="36" t="s">
        <v>96</v>
      </c>
      <c r="J1122" s="36">
        <v>320</v>
      </c>
      <c r="K1122" s="36">
        <v>457.6</v>
      </c>
    </row>
    <row r="1123" spans="1:11" x14ac:dyDescent="0.3">
      <c r="A1123" s="36" t="s">
        <v>97</v>
      </c>
      <c r="B1123" s="36">
        <v>2021</v>
      </c>
      <c r="C1123" s="36" t="s">
        <v>1</v>
      </c>
      <c r="D1123" s="36" t="s">
        <v>91</v>
      </c>
      <c r="E1123" s="36" t="s">
        <v>92</v>
      </c>
      <c r="F1123" s="36" t="s">
        <v>93</v>
      </c>
      <c r="G1123" s="36" t="s">
        <v>94</v>
      </c>
      <c r="H1123" s="36" t="s">
        <v>95</v>
      </c>
      <c r="I1123" s="36" t="s">
        <v>96</v>
      </c>
      <c r="J1123" s="36">
        <v>248</v>
      </c>
      <c r="K1123" s="36">
        <v>354.64</v>
      </c>
    </row>
    <row r="1124" spans="1:11" x14ac:dyDescent="0.3">
      <c r="A1124" s="36" t="s">
        <v>90</v>
      </c>
      <c r="B1124" s="36">
        <v>2021</v>
      </c>
      <c r="C1124" s="36" t="s">
        <v>1</v>
      </c>
      <c r="D1124" s="36" t="s">
        <v>91</v>
      </c>
      <c r="E1124" s="36" t="s">
        <v>92</v>
      </c>
      <c r="F1124" s="36" t="s">
        <v>93</v>
      </c>
      <c r="G1124" s="36" t="s">
        <v>94</v>
      </c>
      <c r="H1124" s="36" t="s">
        <v>95</v>
      </c>
      <c r="I1124" s="36" t="s">
        <v>96</v>
      </c>
      <c r="J1124" s="36">
        <v>274</v>
      </c>
      <c r="K1124" s="36">
        <v>526.24</v>
      </c>
    </row>
    <row r="1125" spans="1:11" x14ac:dyDescent="0.3">
      <c r="A1125" s="36" t="s">
        <v>97</v>
      </c>
      <c r="B1125" s="36">
        <v>2021</v>
      </c>
      <c r="C1125" s="36" t="s">
        <v>1</v>
      </c>
      <c r="D1125" s="36" t="s">
        <v>91</v>
      </c>
      <c r="E1125" s="36" t="s">
        <v>92</v>
      </c>
      <c r="F1125" s="36" t="s">
        <v>93</v>
      </c>
      <c r="G1125" s="36" t="s">
        <v>94</v>
      </c>
      <c r="H1125" s="36" t="s">
        <v>95</v>
      </c>
      <c r="I1125" s="36" t="s">
        <v>96</v>
      </c>
      <c r="J1125" s="36">
        <v>322</v>
      </c>
      <c r="K1125" s="36">
        <v>526.24</v>
      </c>
    </row>
    <row r="1126" spans="1:11" x14ac:dyDescent="0.3">
      <c r="A1126" s="36" t="s">
        <v>97</v>
      </c>
      <c r="B1126" s="36">
        <v>2021</v>
      </c>
      <c r="C1126" s="36" t="s">
        <v>1</v>
      </c>
      <c r="D1126" s="36" t="s">
        <v>91</v>
      </c>
      <c r="E1126" s="36" t="s">
        <v>92</v>
      </c>
      <c r="F1126" s="36" t="s">
        <v>93</v>
      </c>
      <c r="G1126" s="36" t="s">
        <v>94</v>
      </c>
      <c r="H1126" s="36" t="s">
        <v>95</v>
      </c>
      <c r="I1126" s="36" t="s">
        <v>96</v>
      </c>
      <c r="J1126" s="36">
        <v>250</v>
      </c>
      <c r="K1126" s="36">
        <v>526.24</v>
      </c>
    </row>
    <row r="1127" spans="1:11" x14ac:dyDescent="0.3">
      <c r="A1127" s="36" t="s">
        <v>101</v>
      </c>
      <c r="B1127" s="36">
        <v>2021</v>
      </c>
      <c r="C1127" s="36" t="s">
        <v>1</v>
      </c>
      <c r="D1127" s="36" t="s">
        <v>91</v>
      </c>
      <c r="E1127" s="36" t="s">
        <v>92</v>
      </c>
      <c r="F1127" s="36" t="s">
        <v>93</v>
      </c>
      <c r="G1127" s="36" t="s">
        <v>94</v>
      </c>
      <c r="H1127" s="36" t="s">
        <v>95</v>
      </c>
      <c r="I1127" s="36" t="s">
        <v>96</v>
      </c>
      <c r="J1127" s="36">
        <v>998</v>
      </c>
      <c r="K1127" s="36">
        <v>1427.1399999999999</v>
      </c>
    </row>
    <row r="1128" spans="1:11" x14ac:dyDescent="0.3">
      <c r="A1128" s="36" t="s">
        <v>97</v>
      </c>
      <c r="B1128" s="36">
        <v>2021</v>
      </c>
      <c r="C1128" s="36" t="s">
        <v>1</v>
      </c>
      <c r="D1128" s="36" t="s">
        <v>91</v>
      </c>
      <c r="E1128" s="36" t="s">
        <v>92</v>
      </c>
      <c r="F1128" s="36" t="s">
        <v>93</v>
      </c>
      <c r="G1128" s="36" t="s">
        <v>94</v>
      </c>
      <c r="H1128" s="36" t="s">
        <v>95</v>
      </c>
      <c r="I1128" s="36" t="s">
        <v>96</v>
      </c>
      <c r="J1128" s="36">
        <v>1031</v>
      </c>
      <c r="K1128" s="36">
        <v>1474.33</v>
      </c>
    </row>
    <row r="1129" spans="1:11" x14ac:dyDescent="0.3">
      <c r="A1129" s="36" t="s">
        <v>90</v>
      </c>
      <c r="B1129" s="36">
        <v>2021</v>
      </c>
      <c r="C1129" s="36" t="s">
        <v>1</v>
      </c>
      <c r="D1129" s="36" t="s">
        <v>91</v>
      </c>
      <c r="E1129" s="36" t="s">
        <v>92</v>
      </c>
      <c r="F1129" s="36" t="s">
        <v>93</v>
      </c>
      <c r="G1129" s="36" t="s">
        <v>94</v>
      </c>
      <c r="H1129" s="36" t="s">
        <v>95</v>
      </c>
      <c r="I1129" s="36" t="s">
        <v>96</v>
      </c>
      <c r="J1129" s="36">
        <v>321</v>
      </c>
      <c r="K1129" s="36">
        <v>459.03</v>
      </c>
    </row>
    <row r="1130" spans="1:11" x14ac:dyDescent="0.3">
      <c r="A1130" s="36" t="s">
        <v>101</v>
      </c>
      <c r="B1130" s="36">
        <v>2021</v>
      </c>
      <c r="C1130" s="36" t="s">
        <v>1</v>
      </c>
      <c r="D1130" s="36" t="s">
        <v>91</v>
      </c>
      <c r="E1130" s="36" t="s">
        <v>92</v>
      </c>
      <c r="F1130" s="36" t="s">
        <v>93</v>
      </c>
      <c r="G1130" s="36" t="s">
        <v>94</v>
      </c>
      <c r="H1130" s="36" t="s">
        <v>95</v>
      </c>
      <c r="I1130" s="36" t="s">
        <v>96</v>
      </c>
      <c r="J1130" s="36">
        <v>249</v>
      </c>
      <c r="K1130" s="36">
        <v>356.07</v>
      </c>
    </row>
    <row r="1131" spans="1:11" x14ac:dyDescent="0.3">
      <c r="A1131" s="36" t="s">
        <v>97</v>
      </c>
      <c r="B1131" s="36">
        <v>2021</v>
      </c>
      <c r="C1131" s="36" t="s">
        <v>1</v>
      </c>
      <c r="D1131" s="36" t="s">
        <v>91</v>
      </c>
      <c r="E1131" s="36" t="s">
        <v>92</v>
      </c>
      <c r="F1131" s="36" t="s">
        <v>93</v>
      </c>
      <c r="G1131" s="36" t="s">
        <v>94</v>
      </c>
      <c r="H1131" s="36" t="s">
        <v>95</v>
      </c>
      <c r="I1131" s="36" t="s">
        <v>96</v>
      </c>
      <c r="J1131" s="36">
        <v>779</v>
      </c>
      <c r="K1131" s="36">
        <v>1113.97</v>
      </c>
    </row>
    <row r="1132" spans="1:11" x14ac:dyDescent="0.3">
      <c r="A1132" s="36" t="s">
        <v>90</v>
      </c>
      <c r="B1132" s="36">
        <v>2021</v>
      </c>
      <c r="C1132" s="36" t="s">
        <v>1</v>
      </c>
      <c r="D1132" s="36" t="s">
        <v>91</v>
      </c>
      <c r="E1132" s="36" t="s">
        <v>92</v>
      </c>
      <c r="F1132" s="36" t="s">
        <v>93</v>
      </c>
      <c r="G1132" s="36" t="s">
        <v>94</v>
      </c>
      <c r="H1132" s="36" t="s">
        <v>95</v>
      </c>
      <c r="I1132" s="36" t="s">
        <v>96</v>
      </c>
      <c r="J1132" s="36">
        <v>812</v>
      </c>
      <c r="K1132" s="36">
        <v>1161.1599999999999</v>
      </c>
    </row>
    <row r="1133" spans="1:11" x14ac:dyDescent="0.3">
      <c r="A1133" s="36" t="s">
        <v>90</v>
      </c>
      <c r="B1133" s="36">
        <v>2021</v>
      </c>
      <c r="C1133" s="36" t="s">
        <v>1</v>
      </c>
      <c r="D1133" s="36" t="s">
        <v>91</v>
      </c>
      <c r="E1133" s="36" t="s">
        <v>92</v>
      </c>
      <c r="F1133" s="36" t="s">
        <v>93</v>
      </c>
      <c r="G1133" s="36" t="s">
        <v>94</v>
      </c>
      <c r="H1133" s="36" t="s">
        <v>95</v>
      </c>
      <c r="I1133" s="36" t="s">
        <v>96</v>
      </c>
      <c r="J1133" s="36">
        <v>866</v>
      </c>
      <c r="K1133" s="36">
        <v>1238.3800000000001</v>
      </c>
    </row>
    <row r="1134" spans="1:11" x14ac:dyDescent="0.3">
      <c r="A1134" s="36" t="s">
        <v>97</v>
      </c>
      <c r="B1134" s="36">
        <v>2021</v>
      </c>
      <c r="C1134" s="36" t="s">
        <v>1</v>
      </c>
      <c r="D1134" s="36" t="s">
        <v>91</v>
      </c>
      <c r="E1134" s="36" t="s">
        <v>92</v>
      </c>
      <c r="F1134" s="36" t="s">
        <v>93</v>
      </c>
      <c r="G1134" s="36" t="s">
        <v>94</v>
      </c>
      <c r="H1134" s="36" t="s">
        <v>95</v>
      </c>
      <c r="I1134" s="36" t="s">
        <v>96</v>
      </c>
      <c r="J1134" s="36">
        <v>275</v>
      </c>
      <c r="K1134" s="36">
        <v>393.25</v>
      </c>
    </row>
    <row r="1135" spans="1:11" x14ac:dyDescent="0.3">
      <c r="A1135" s="36" t="s">
        <v>97</v>
      </c>
      <c r="B1135" s="36">
        <v>2021</v>
      </c>
      <c r="C1135" s="36" t="s">
        <v>1</v>
      </c>
      <c r="D1135" s="36" t="s">
        <v>91</v>
      </c>
      <c r="E1135" s="36" t="s">
        <v>92</v>
      </c>
      <c r="F1135" s="36" t="s">
        <v>93</v>
      </c>
      <c r="G1135" s="36" t="s">
        <v>94</v>
      </c>
      <c r="H1135" s="36" t="s">
        <v>95</v>
      </c>
      <c r="I1135" s="36" t="s">
        <v>96</v>
      </c>
      <c r="J1135" s="36">
        <v>323</v>
      </c>
      <c r="K1135" s="36">
        <v>461.89</v>
      </c>
    </row>
    <row r="1136" spans="1:11" x14ac:dyDescent="0.3">
      <c r="A1136" s="36" t="s">
        <v>90</v>
      </c>
      <c r="B1136" s="36">
        <v>2021</v>
      </c>
      <c r="C1136" s="36" t="s">
        <v>1</v>
      </c>
      <c r="D1136" s="36" t="s">
        <v>91</v>
      </c>
      <c r="E1136" s="36" t="s">
        <v>92</v>
      </c>
      <c r="F1136" s="36" t="s">
        <v>93</v>
      </c>
      <c r="G1136" s="36" t="s">
        <v>94</v>
      </c>
      <c r="H1136" s="36" t="s">
        <v>95</v>
      </c>
      <c r="I1136" s="36" t="s">
        <v>96</v>
      </c>
      <c r="J1136" s="36">
        <v>251</v>
      </c>
      <c r="K1136" s="36">
        <v>358.93</v>
      </c>
    </row>
    <row r="1137" spans="1:11" x14ac:dyDescent="0.3">
      <c r="A1137" s="36" t="s">
        <v>90</v>
      </c>
      <c r="B1137" s="36">
        <v>2021</v>
      </c>
      <c r="C1137" s="36" t="s">
        <v>0</v>
      </c>
      <c r="D1137" s="36" t="s">
        <v>91</v>
      </c>
      <c r="E1137" s="36" t="s">
        <v>92</v>
      </c>
      <c r="F1137" s="36" t="s">
        <v>93</v>
      </c>
      <c r="G1137" s="36" t="s">
        <v>94</v>
      </c>
      <c r="H1137" s="36" t="s">
        <v>95</v>
      </c>
      <c r="I1137" s="36" t="s">
        <v>96</v>
      </c>
      <c r="J1137" s="36">
        <v>326</v>
      </c>
      <c r="K1137" s="36">
        <v>466.18</v>
      </c>
    </row>
    <row r="1138" spans="1:11" x14ac:dyDescent="0.3">
      <c r="A1138" s="36" t="s">
        <v>90</v>
      </c>
      <c r="B1138" s="36">
        <v>2021</v>
      </c>
      <c r="C1138" s="36" t="s">
        <v>0</v>
      </c>
      <c r="D1138" s="36" t="s">
        <v>91</v>
      </c>
      <c r="E1138" s="36" t="s">
        <v>92</v>
      </c>
      <c r="F1138" s="36" t="s">
        <v>93</v>
      </c>
      <c r="G1138" s="36" t="s">
        <v>94</v>
      </c>
      <c r="H1138" s="36" t="s">
        <v>95</v>
      </c>
      <c r="I1138" s="36" t="s">
        <v>96</v>
      </c>
      <c r="J1138" s="36">
        <v>254</v>
      </c>
      <c r="K1138" s="36">
        <v>363.22</v>
      </c>
    </row>
    <row r="1139" spans="1:11" x14ac:dyDescent="0.3">
      <c r="A1139" s="36" t="s">
        <v>99</v>
      </c>
      <c r="B1139" s="36">
        <v>2021</v>
      </c>
      <c r="C1139" s="36" t="s">
        <v>0</v>
      </c>
      <c r="D1139" s="36" t="s">
        <v>91</v>
      </c>
      <c r="E1139" s="36" t="s">
        <v>92</v>
      </c>
      <c r="F1139" s="36" t="s">
        <v>93</v>
      </c>
      <c r="G1139" s="36" t="s">
        <v>94</v>
      </c>
      <c r="H1139" s="36" t="s">
        <v>95</v>
      </c>
      <c r="I1139" s="36" t="s">
        <v>96</v>
      </c>
      <c r="J1139" s="36">
        <v>280</v>
      </c>
      <c r="K1139" s="36">
        <v>526.24</v>
      </c>
    </row>
    <row r="1140" spans="1:11" x14ac:dyDescent="0.3">
      <c r="A1140" s="36" t="s">
        <v>97</v>
      </c>
      <c r="B1140" s="36">
        <v>2021</v>
      </c>
      <c r="C1140" s="36" t="s">
        <v>0</v>
      </c>
      <c r="D1140" s="36" t="s">
        <v>91</v>
      </c>
      <c r="E1140" s="36" t="s">
        <v>92</v>
      </c>
      <c r="F1140" s="36" t="s">
        <v>93</v>
      </c>
      <c r="G1140" s="36" t="s">
        <v>94</v>
      </c>
      <c r="H1140" s="36" t="s">
        <v>95</v>
      </c>
      <c r="I1140" s="36" t="s">
        <v>96</v>
      </c>
      <c r="J1140" s="36">
        <v>328</v>
      </c>
      <c r="K1140" s="36">
        <v>526.24</v>
      </c>
    </row>
    <row r="1141" spans="1:11" x14ac:dyDescent="0.3">
      <c r="A1141" s="36" t="s">
        <v>99</v>
      </c>
      <c r="B1141" s="36">
        <v>2021</v>
      </c>
      <c r="C1141" s="36" t="s">
        <v>0</v>
      </c>
      <c r="D1141" s="36" t="s">
        <v>91</v>
      </c>
      <c r="E1141" s="36" t="s">
        <v>92</v>
      </c>
      <c r="F1141" s="36" t="s">
        <v>93</v>
      </c>
      <c r="G1141" s="36" t="s">
        <v>94</v>
      </c>
      <c r="H1141" s="36" t="s">
        <v>95</v>
      </c>
      <c r="I1141" s="36" t="s">
        <v>96</v>
      </c>
      <c r="J1141" s="36">
        <v>256</v>
      </c>
      <c r="K1141" s="36">
        <v>526.24</v>
      </c>
    </row>
    <row r="1142" spans="1:11" x14ac:dyDescent="0.3">
      <c r="A1142" s="36" t="s">
        <v>99</v>
      </c>
      <c r="B1142" s="36">
        <v>2021</v>
      </c>
      <c r="C1142" s="36" t="s">
        <v>0</v>
      </c>
      <c r="D1142" s="36" t="s">
        <v>91</v>
      </c>
      <c r="E1142" s="36" t="s">
        <v>92</v>
      </c>
      <c r="F1142" s="36" t="s">
        <v>93</v>
      </c>
      <c r="G1142" s="36" t="s">
        <v>94</v>
      </c>
      <c r="H1142" s="36" t="s">
        <v>95</v>
      </c>
      <c r="I1142" s="36" t="s">
        <v>96</v>
      </c>
      <c r="J1142" s="36">
        <v>997</v>
      </c>
      <c r="K1142" s="36">
        <v>1425.71</v>
      </c>
    </row>
    <row r="1143" spans="1:11" x14ac:dyDescent="0.3">
      <c r="A1143" s="36" t="s">
        <v>100</v>
      </c>
      <c r="B1143" s="36">
        <v>2021</v>
      </c>
      <c r="C1143" s="36" t="s">
        <v>0</v>
      </c>
      <c r="D1143" s="36" t="s">
        <v>91</v>
      </c>
      <c r="E1143" s="36" t="s">
        <v>92</v>
      </c>
      <c r="F1143" s="36" t="s">
        <v>93</v>
      </c>
      <c r="G1143" s="36" t="s">
        <v>94</v>
      </c>
      <c r="H1143" s="36" t="s">
        <v>95</v>
      </c>
      <c r="I1143" s="36" t="s">
        <v>96</v>
      </c>
      <c r="J1143" s="36">
        <v>1030</v>
      </c>
      <c r="K1143" s="36">
        <v>1472.9</v>
      </c>
    </row>
    <row r="1144" spans="1:11" x14ac:dyDescent="0.3">
      <c r="A1144" s="36" t="s">
        <v>100</v>
      </c>
      <c r="B1144" s="36">
        <v>2021</v>
      </c>
      <c r="C1144" s="36" t="s">
        <v>0</v>
      </c>
      <c r="D1144" s="36" t="s">
        <v>91</v>
      </c>
      <c r="E1144" s="36" t="s">
        <v>92</v>
      </c>
      <c r="F1144" s="36" t="s">
        <v>93</v>
      </c>
      <c r="G1144" s="36" t="s">
        <v>94</v>
      </c>
      <c r="H1144" s="36" t="s">
        <v>95</v>
      </c>
      <c r="I1144" s="36" t="s">
        <v>96</v>
      </c>
      <c r="J1144" s="36">
        <v>252</v>
      </c>
      <c r="K1144" s="36">
        <v>360.36</v>
      </c>
    </row>
    <row r="1145" spans="1:11" x14ac:dyDescent="0.3">
      <c r="A1145" s="36" t="s">
        <v>100</v>
      </c>
      <c r="B1145" s="36">
        <v>2021</v>
      </c>
      <c r="C1145" s="36" t="s">
        <v>0</v>
      </c>
      <c r="D1145" s="36" t="s">
        <v>91</v>
      </c>
      <c r="E1145" s="36" t="s">
        <v>92</v>
      </c>
      <c r="F1145" s="36" t="s">
        <v>93</v>
      </c>
      <c r="G1145" s="36" t="s">
        <v>94</v>
      </c>
      <c r="H1145" s="36" t="s">
        <v>95</v>
      </c>
      <c r="I1145" s="36" t="s">
        <v>96</v>
      </c>
      <c r="J1145" s="36">
        <v>279</v>
      </c>
      <c r="K1145" s="36">
        <v>398.97</v>
      </c>
    </row>
    <row r="1146" spans="1:11" x14ac:dyDescent="0.3">
      <c r="A1146" s="36" t="s">
        <v>97</v>
      </c>
      <c r="B1146" s="36">
        <v>2021</v>
      </c>
      <c r="C1146" s="36" t="s">
        <v>0</v>
      </c>
      <c r="D1146" s="36" t="s">
        <v>91</v>
      </c>
      <c r="E1146" s="36" t="s">
        <v>92</v>
      </c>
      <c r="F1146" s="36" t="s">
        <v>93</v>
      </c>
      <c r="G1146" s="36" t="s">
        <v>94</v>
      </c>
      <c r="H1146" s="36" t="s">
        <v>95</v>
      </c>
      <c r="I1146" s="36" t="s">
        <v>96</v>
      </c>
      <c r="J1146" s="36">
        <v>327</v>
      </c>
      <c r="K1146" s="36">
        <v>467.61</v>
      </c>
    </row>
    <row r="1147" spans="1:11" x14ac:dyDescent="0.3">
      <c r="A1147" s="36" t="s">
        <v>99</v>
      </c>
      <c r="B1147" s="36">
        <v>2021</v>
      </c>
      <c r="C1147" s="36" t="s">
        <v>0</v>
      </c>
      <c r="D1147" s="36" t="s">
        <v>91</v>
      </c>
      <c r="E1147" s="36" t="s">
        <v>92</v>
      </c>
      <c r="F1147" s="36" t="s">
        <v>93</v>
      </c>
      <c r="G1147" s="36" t="s">
        <v>94</v>
      </c>
      <c r="H1147" s="36" t="s">
        <v>95</v>
      </c>
      <c r="I1147" s="36" t="s">
        <v>96</v>
      </c>
      <c r="J1147" s="36">
        <v>255</v>
      </c>
      <c r="K1147" s="36">
        <v>364.65</v>
      </c>
    </row>
    <row r="1148" spans="1:11" x14ac:dyDescent="0.3">
      <c r="A1148" s="36" t="s">
        <v>99</v>
      </c>
      <c r="B1148" s="36">
        <v>2021</v>
      </c>
      <c r="C1148" s="36" t="s">
        <v>0</v>
      </c>
      <c r="D1148" s="36" t="s">
        <v>91</v>
      </c>
      <c r="E1148" s="36" t="s">
        <v>92</v>
      </c>
      <c r="F1148" s="36" t="s">
        <v>93</v>
      </c>
      <c r="G1148" s="36" t="s">
        <v>94</v>
      </c>
      <c r="H1148" s="36" t="s">
        <v>95</v>
      </c>
      <c r="I1148" s="36" t="s">
        <v>96</v>
      </c>
      <c r="J1148" s="36">
        <v>778</v>
      </c>
      <c r="K1148" s="36">
        <v>1112.54</v>
      </c>
    </row>
    <row r="1149" spans="1:11" x14ac:dyDescent="0.3">
      <c r="A1149" s="36" t="s">
        <v>99</v>
      </c>
      <c r="B1149" s="36">
        <v>2021</v>
      </c>
      <c r="C1149" s="36" t="s">
        <v>0</v>
      </c>
      <c r="D1149" s="36" t="s">
        <v>91</v>
      </c>
      <c r="E1149" s="36" t="s">
        <v>92</v>
      </c>
      <c r="F1149" s="36" t="s">
        <v>93</v>
      </c>
      <c r="G1149" s="36" t="s">
        <v>94</v>
      </c>
      <c r="H1149" s="36" t="s">
        <v>95</v>
      </c>
      <c r="I1149" s="36" t="s">
        <v>96</v>
      </c>
      <c r="J1149" s="36">
        <v>865</v>
      </c>
      <c r="K1149" s="36">
        <v>1236.95</v>
      </c>
    </row>
    <row r="1150" spans="1:11" x14ac:dyDescent="0.3">
      <c r="A1150" s="36" t="s">
        <v>90</v>
      </c>
      <c r="B1150" s="36">
        <v>2021</v>
      </c>
      <c r="C1150" s="36" t="s">
        <v>0</v>
      </c>
      <c r="D1150" s="36" t="s">
        <v>91</v>
      </c>
      <c r="E1150" s="36" t="s">
        <v>92</v>
      </c>
      <c r="F1150" s="36" t="s">
        <v>93</v>
      </c>
      <c r="G1150" s="36" t="s">
        <v>94</v>
      </c>
      <c r="H1150" s="36" t="s">
        <v>95</v>
      </c>
      <c r="I1150" s="36" t="s">
        <v>96</v>
      </c>
      <c r="J1150" s="36">
        <v>281</v>
      </c>
      <c r="K1150" s="36">
        <v>401.83</v>
      </c>
    </row>
    <row r="1151" spans="1:11" x14ac:dyDescent="0.3">
      <c r="A1151" s="36" t="s">
        <v>99</v>
      </c>
      <c r="B1151" s="36">
        <v>2021</v>
      </c>
      <c r="C1151" s="36" t="s">
        <v>0</v>
      </c>
      <c r="D1151" s="36" t="s">
        <v>91</v>
      </c>
      <c r="E1151" s="36" t="s">
        <v>92</v>
      </c>
      <c r="F1151" s="36" t="s">
        <v>93</v>
      </c>
      <c r="G1151" s="36" t="s">
        <v>94</v>
      </c>
      <c r="H1151" s="36" t="s">
        <v>95</v>
      </c>
      <c r="I1151" s="36" t="s">
        <v>96</v>
      </c>
      <c r="J1151" s="36">
        <v>329</v>
      </c>
      <c r="K1151" s="36">
        <v>470.47</v>
      </c>
    </row>
    <row r="1152" spans="1:11" x14ac:dyDescent="0.3">
      <c r="A1152" s="36" t="s">
        <v>90</v>
      </c>
      <c r="B1152" s="36">
        <v>2021</v>
      </c>
      <c r="C1152" s="36" t="s">
        <v>6</v>
      </c>
      <c r="D1152" s="36" t="s">
        <v>91</v>
      </c>
      <c r="E1152" s="36" t="s">
        <v>92</v>
      </c>
      <c r="F1152" s="36" t="s">
        <v>93</v>
      </c>
      <c r="G1152" s="36" t="s">
        <v>94</v>
      </c>
      <c r="H1152" s="36" t="s">
        <v>95</v>
      </c>
      <c r="I1152" s="36" t="s">
        <v>96</v>
      </c>
      <c r="J1152" s="36">
        <v>248</v>
      </c>
      <c r="K1152" s="36">
        <v>354.64</v>
      </c>
    </row>
    <row r="1153" spans="1:11" x14ac:dyDescent="0.3">
      <c r="A1153" s="36" t="s">
        <v>90</v>
      </c>
      <c r="B1153" s="36">
        <v>2021</v>
      </c>
      <c r="C1153" s="36" t="s">
        <v>6</v>
      </c>
      <c r="D1153" s="36" t="s">
        <v>91</v>
      </c>
      <c r="E1153" s="36" t="s">
        <v>92</v>
      </c>
      <c r="F1153" s="36" t="s">
        <v>93</v>
      </c>
      <c r="G1153" s="36" t="s">
        <v>94</v>
      </c>
      <c r="H1153" s="36" t="s">
        <v>95</v>
      </c>
      <c r="I1153" s="36" t="s">
        <v>96</v>
      </c>
      <c r="J1153" s="36">
        <v>296</v>
      </c>
      <c r="K1153" s="36">
        <v>423.28</v>
      </c>
    </row>
    <row r="1154" spans="1:11" x14ac:dyDescent="0.3">
      <c r="A1154" s="36" t="s">
        <v>90</v>
      </c>
      <c r="B1154" s="36">
        <v>2021</v>
      </c>
      <c r="C1154" s="36" t="s">
        <v>6</v>
      </c>
      <c r="D1154" s="36" t="s">
        <v>91</v>
      </c>
      <c r="E1154" s="36" t="s">
        <v>92</v>
      </c>
      <c r="F1154" s="36" t="s">
        <v>93</v>
      </c>
      <c r="G1154" s="36" t="s">
        <v>94</v>
      </c>
      <c r="H1154" s="36" t="s">
        <v>95</v>
      </c>
      <c r="I1154" s="36" t="s">
        <v>96</v>
      </c>
      <c r="J1154" s="36">
        <v>224</v>
      </c>
      <c r="K1154" s="36">
        <v>320.32</v>
      </c>
    </row>
    <row r="1155" spans="1:11" x14ac:dyDescent="0.3">
      <c r="A1155" s="36" t="s">
        <v>90</v>
      </c>
      <c r="B1155" s="36">
        <v>2021</v>
      </c>
      <c r="C1155" s="36" t="s">
        <v>6</v>
      </c>
      <c r="D1155" s="36" t="s">
        <v>91</v>
      </c>
      <c r="E1155" s="36" t="s">
        <v>92</v>
      </c>
      <c r="F1155" s="36" t="s">
        <v>93</v>
      </c>
      <c r="G1155" s="36" t="s">
        <v>94</v>
      </c>
      <c r="H1155" s="36" t="s">
        <v>95</v>
      </c>
      <c r="I1155" s="36" t="s">
        <v>96</v>
      </c>
      <c r="J1155" s="36">
        <v>250</v>
      </c>
      <c r="K1155" s="36">
        <v>526.24</v>
      </c>
    </row>
    <row r="1156" spans="1:11" x14ac:dyDescent="0.3">
      <c r="A1156" s="36" t="s">
        <v>90</v>
      </c>
      <c r="B1156" s="36">
        <v>2021</v>
      </c>
      <c r="C1156" s="36" t="s">
        <v>6</v>
      </c>
      <c r="D1156" s="36" t="s">
        <v>91</v>
      </c>
      <c r="E1156" s="36" t="s">
        <v>92</v>
      </c>
      <c r="F1156" s="36" t="s">
        <v>93</v>
      </c>
      <c r="G1156" s="36" t="s">
        <v>94</v>
      </c>
      <c r="H1156" s="36" t="s">
        <v>95</v>
      </c>
      <c r="I1156" s="36" t="s">
        <v>96</v>
      </c>
      <c r="J1156" s="36">
        <v>298</v>
      </c>
      <c r="K1156" s="36">
        <v>526.24</v>
      </c>
    </row>
    <row r="1157" spans="1:11" x14ac:dyDescent="0.3">
      <c r="A1157" s="36" t="s">
        <v>97</v>
      </c>
      <c r="B1157" s="36">
        <v>2021</v>
      </c>
      <c r="C1157" s="36" t="s">
        <v>6</v>
      </c>
      <c r="D1157" s="36" t="s">
        <v>91</v>
      </c>
      <c r="E1157" s="36" t="s">
        <v>92</v>
      </c>
      <c r="F1157" s="36" t="s">
        <v>93</v>
      </c>
      <c r="G1157" s="36" t="s">
        <v>94</v>
      </c>
      <c r="H1157" s="36" t="s">
        <v>95</v>
      </c>
      <c r="I1157" s="36" t="s">
        <v>96</v>
      </c>
      <c r="J1157" s="36">
        <v>220</v>
      </c>
      <c r="K1157" s="36">
        <v>526.24</v>
      </c>
    </row>
    <row r="1158" spans="1:11" x14ac:dyDescent="0.3">
      <c r="A1158" s="36" t="s">
        <v>101</v>
      </c>
      <c r="B1158" s="36">
        <v>2021</v>
      </c>
      <c r="C1158" s="36" t="s">
        <v>6</v>
      </c>
      <c r="D1158" s="36" t="s">
        <v>91</v>
      </c>
      <c r="E1158" s="36" t="s">
        <v>92</v>
      </c>
      <c r="F1158" s="36" t="s">
        <v>93</v>
      </c>
      <c r="G1158" s="36" t="s">
        <v>94</v>
      </c>
      <c r="H1158" s="36" t="s">
        <v>95</v>
      </c>
      <c r="I1158" s="36" t="s">
        <v>96</v>
      </c>
      <c r="J1158" s="36">
        <v>1036</v>
      </c>
      <c r="K1158" s="36">
        <v>1481.48</v>
      </c>
    </row>
    <row r="1159" spans="1:11" x14ac:dyDescent="0.3">
      <c r="A1159" s="36" t="s">
        <v>100</v>
      </c>
      <c r="B1159" s="36">
        <v>2021</v>
      </c>
      <c r="C1159" s="36" t="s">
        <v>6</v>
      </c>
      <c r="D1159" s="36" t="s">
        <v>91</v>
      </c>
      <c r="E1159" s="36" t="s">
        <v>92</v>
      </c>
      <c r="F1159" s="36" t="s">
        <v>93</v>
      </c>
      <c r="G1159" s="36" t="s">
        <v>94</v>
      </c>
      <c r="H1159" s="36" t="s">
        <v>95</v>
      </c>
      <c r="I1159" s="36" t="s">
        <v>96</v>
      </c>
      <c r="J1159" s="36">
        <v>222</v>
      </c>
      <c r="K1159" s="36">
        <v>317.45999999999998</v>
      </c>
    </row>
    <row r="1160" spans="1:11" x14ac:dyDescent="0.3">
      <c r="A1160" s="36" t="s">
        <v>100</v>
      </c>
      <c r="B1160" s="36">
        <v>2021</v>
      </c>
      <c r="C1160" s="36" t="s">
        <v>6</v>
      </c>
      <c r="D1160" s="36" t="s">
        <v>91</v>
      </c>
      <c r="E1160" s="36" t="s">
        <v>92</v>
      </c>
      <c r="F1160" s="36" t="s">
        <v>93</v>
      </c>
      <c r="G1160" s="36" t="s">
        <v>94</v>
      </c>
      <c r="H1160" s="36" t="s">
        <v>95</v>
      </c>
      <c r="I1160" s="36" t="s">
        <v>96</v>
      </c>
      <c r="J1160" s="36">
        <v>249</v>
      </c>
      <c r="K1160" s="36">
        <v>356.07</v>
      </c>
    </row>
    <row r="1161" spans="1:11" x14ac:dyDescent="0.3">
      <c r="A1161" s="36" t="s">
        <v>90</v>
      </c>
      <c r="B1161" s="36">
        <v>2021</v>
      </c>
      <c r="C1161" s="36" t="s">
        <v>6</v>
      </c>
      <c r="D1161" s="36" t="s">
        <v>91</v>
      </c>
      <c r="E1161" s="36" t="s">
        <v>92</v>
      </c>
      <c r="F1161" s="36" t="s">
        <v>93</v>
      </c>
      <c r="G1161" s="36" t="s">
        <v>94</v>
      </c>
      <c r="H1161" s="36" t="s">
        <v>95</v>
      </c>
      <c r="I1161" s="36" t="s">
        <v>96</v>
      </c>
      <c r="J1161" s="36">
        <v>297</v>
      </c>
      <c r="K1161" s="36">
        <v>424.71</v>
      </c>
    </row>
    <row r="1162" spans="1:11" x14ac:dyDescent="0.3">
      <c r="A1162" s="36" t="s">
        <v>97</v>
      </c>
      <c r="B1162" s="36">
        <v>2021</v>
      </c>
      <c r="C1162" s="36" t="s">
        <v>6</v>
      </c>
      <c r="D1162" s="36" t="s">
        <v>91</v>
      </c>
      <c r="E1162" s="36" t="s">
        <v>92</v>
      </c>
      <c r="F1162" s="36" t="s">
        <v>93</v>
      </c>
      <c r="G1162" s="36" t="s">
        <v>94</v>
      </c>
      <c r="H1162" s="36" t="s">
        <v>95</v>
      </c>
      <c r="I1162" s="36" t="s">
        <v>96</v>
      </c>
      <c r="J1162" s="36">
        <v>784</v>
      </c>
      <c r="K1162" s="36">
        <v>1121.1199999999999</v>
      </c>
    </row>
    <row r="1163" spans="1:11" x14ac:dyDescent="0.3">
      <c r="A1163" s="36" t="s">
        <v>90</v>
      </c>
      <c r="B1163" s="36">
        <v>2021</v>
      </c>
      <c r="C1163" s="36" t="s">
        <v>6</v>
      </c>
      <c r="D1163" s="36" t="s">
        <v>91</v>
      </c>
      <c r="E1163" s="36" t="s">
        <v>92</v>
      </c>
      <c r="F1163" s="36" t="s">
        <v>93</v>
      </c>
      <c r="G1163" s="36" t="s">
        <v>94</v>
      </c>
      <c r="H1163" s="36" t="s">
        <v>95</v>
      </c>
      <c r="I1163" s="36" t="s">
        <v>96</v>
      </c>
      <c r="J1163" s="36">
        <v>817</v>
      </c>
      <c r="K1163" s="36">
        <v>1168.31</v>
      </c>
    </row>
    <row r="1164" spans="1:11" x14ac:dyDescent="0.3">
      <c r="A1164" s="36" t="s">
        <v>90</v>
      </c>
      <c r="B1164" s="36">
        <v>2021</v>
      </c>
      <c r="C1164" s="36" t="s">
        <v>6</v>
      </c>
      <c r="D1164" s="36" t="s">
        <v>91</v>
      </c>
      <c r="E1164" s="36" t="s">
        <v>92</v>
      </c>
      <c r="F1164" s="36" t="s">
        <v>93</v>
      </c>
      <c r="G1164" s="36" t="s">
        <v>94</v>
      </c>
      <c r="H1164" s="36" t="s">
        <v>95</v>
      </c>
      <c r="I1164" s="36" t="s">
        <v>96</v>
      </c>
      <c r="J1164" s="36">
        <v>870</v>
      </c>
      <c r="K1164" s="36">
        <v>1244.0999999999999</v>
      </c>
    </row>
    <row r="1165" spans="1:11" x14ac:dyDescent="0.3">
      <c r="A1165" s="36" t="s">
        <v>90</v>
      </c>
      <c r="B1165" s="36">
        <v>2021</v>
      </c>
      <c r="C1165" s="36" t="s">
        <v>6</v>
      </c>
      <c r="D1165" s="36" t="s">
        <v>91</v>
      </c>
      <c r="E1165" s="36" t="s">
        <v>92</v>
      </c>
      <c r="F1165" s="36" t="s">
        <v>93</v>
      </c>
      <c r="G1165" s="36" t="s">
        <v>94</v>
      </c>
      <c r="H1165" s="36" t="s">
        <v>95</v>
      </c>
      <c r="I1165" s="36" t="s">
        <v>96</v>
      </c>
      <c r="J1165" s="36">
        <v>251</v>
      </c>
      <c r="K1165" s="36">
        <v>358.93</v>
      </c>
    </row>
    <row r="1166" spans="1:11" x14ac:dyDescent="0.3">
      <c r="A1166" s="36" t="s">
        <v>90</v>
      </c>
      <c r="B1166" s="36">
        <v>2021</v>
      </c>
      <c r="C1166" s="36" t="s">
        <v>6</v>
      </c>
      <c r="D1166" s="36" t="s">
        <v>91</v>
      </c>
      <c r="E1166" s="36" t="s">
        <v>92</v>
      </c>
      <c r="F1166" s="36" t="s">
        <v>93</v>
      </c>
      <c r="G1166" s="36" t="s">
        <v>94</v>
      </c>
      <c r="H1166" s="36" t="s">
        <v>95</v>
      </c>
      <c r="I1166" s="36" t="s">
        <v>96</v>
      </c>
      <c r="J1166" s="36">
        <v>221</v>
      </c>
      <c r="K1166" s="36">
        <v>316.02999999999997</v>
      </c>
    </row>
    <row r="1167" spans="1:11" x14ac:dyDescent="0.3">
      <c r="A1167" s="36" t="s">
        <v>97</v>
      </c>
      <c r="B1167" s="36">
        <v>2021</v>
      </c>
      <c r="C1167" s="36" t="s">
        <v>5</v>
      </c>
      <c r="D1167" s="36" t="s">
        <v>91</v>
      </c>
      <c r="E1167" s="36" t="s">
        <v>92</v>
      </c>
      <c r="F1167" s="36" t="s">
        <v>93</v>
      </c>
      <c r="G1167" s="36" t="s">
        <v>94</v>
      </c>
      <c r="H1167" s="36" t="s">
        <v>95</v>
      </c>
      <c r="I1167" s="36" t="s">
        <v>96</v>
      </c>
      <c r="J1167" s="36">
        <v>254</v>
      </c>
      <c r="K1167" s="36">
        <v>363.22</v>
      </c>
    </row>
    <row r="1168" spans="1:11" x14ac:dyDescent="0.3">
      <c r="A1168" s="36" t="s">
        <v>90</v>
      </c>
      <c r="B1168" s="36">
        <v>2021</v>
      </c>
      <c r="C1168" s="36" t="s">
        <v>5</v>
      </c>
      <c r="D1168" s="36" t="s">
        <v>91</v>
      </c>
      <c r="E1168" s="36" t="s">
        <v>92</v>
      </c>
      <c r="F1168" s="36" t="s">
        <v>93</v>
      </c>
      <c r="G1168" s="36" t="s">
        <v>94</v>
      </c>
      <c r="H1168" s="36" t="s">
        <v>95</v>
      </c>
      <c r="I1168" s="36" t="s">
        <v>96</v>
      </c>
      <c r="J1168" s="36">
        <v>302</v>
      </c>
      <c r="K1168" s="36">
        <v>431.86</v>
      </c>
    </row>
    <row r="1169" spans="1:11" x14ac:dyDescent="0.3">
      <c r="A1169" s="36" t="s">
        <v>101</v>
      </c>
      <c r="B1169" s="36">
        <v>2021</v>
      </c>
      <c r="C1169" s="36" t="s">
        <v>5</v>
      </c>
      <c r="D1169" s="36" t="s">
        <v>91</v>
      </c>
      <c r="E1169" s="36" t="s">
        <v>92</v>
      </c>
      <c r="F1169" s="36" t="s">
        <v>93</v>
      </c>
      <c r="G1169" s="36" t="s">
        <v>94</v>
      </c>
      <c r="H1169" s="36" t="s">
        <v>95</v>
      </c>
      <c r="I1169" s="36" t="s">
        <v>96</v>
      </c>
      <c r="J1169" s="36">
        <v>230</v>
      </c>
      <c r="K1169" s="36">
        <v>328.9</v>
      </c>
    </row>
    <row r="1170" spans="1:11" x14ac:dyDescent="0.3">
      <c r="A1170" s="36" t="s">
        <v>97</v>
      </c>
      <c r="B1170" s="36">
        <v>2021</v>
      </c>
      <c r="C1170" s="36" t="s">
        <v>5</v>
      </c>
      <c r="D1170" s="36" t="s">
        <v>91</v>
      </c>
      <c r="E1170" s="36" t="s">
        <v>92</v>
      </c>
      <c r="F1170" s="36" t="s">
        <v>93</v>
      </c>
      <c r="G1170" s="36" t="s">
        <v>94</v>
      </c>
      <c r="H1170" s="36" t="s">
        <v>95</v>
      </c>
      <c r="I1170" s="36" t="s">
        <v>96</v>
      </c>
      <c r="J1170" s="36">
        <v>256</v>
      </c>
      <c r="K1170" s="36">
        <v>526.24</v>
      </c>
    </row>
    <row r="1171" spans="1:11" x14ac:dyDescent="0.3">
      <c r="A1171" s="36" t="s">
        <v>90</v>
      </c>
      <c r="B1171" s="36">
        <v>2021</v>
      </c>
      <c r="C1171" s="36" t="s">
        <v>5</v>
      </c>
      <c r="D1171" s="36" t="s">
        <v>91</v>
      </c>
      <c r="E1171" s="36" t="s">
        <v>92</v>
      </c>
      <c r="F1171" s="36" t="s">
        <v>93</v>
      </c>
      <c r="G1171" s="36" t="s">
        <v>94</v>
      </c>
      <c r="H1171" s="36" t="s">
        <v>95</v>
      </c>
      <c r="I1171" s="36" t="s">
        <v>96</v>
      </c>
      <c r="J1171" s="36">
        <v>226</v>
      </c>
      <c r="K1171" s="36">
        <v>526.24</v>
      </c>
    </row>
    <row r="1172" spans="1:11" x14ac:dyDescent="0.3">
      <c r="A1172" s="36" t="s">
        <v>90</v>
      </c>
      <c r="B1172" s="36">
        <v>2021</v>
      </c>
      <c r="C1172" s="36" t="s">
        <v>5</v>
      </c>
      <c r="D1172" s="36" t="s">
        <v>91</v>
      </c>
      <c r="E1172" s="36" t="s">
        <v>92</v>
      </c>
      <c r="F1172" s="36" t="s">
        <v>93</v>
      </c>
      <c r="G1172" s="36" t="s">
        <v>94</v>
      </c>
      <c r="H1172" s="36" t="s">
        <v>95</v>
      </c>
      <c r="I1172" s="36" t="s">
        <v>96</v>
      </c>
      <c r="J1172" s="36">
        <v>1002</v>
      </c>
      <c r="K1172" s="36">
        <v>1432.8600000000001</v>
      </c>
    </row>
    <row r="1173" spans="1:11" x14ac:dyDescent="0.3">
      <c r="A1173" s="36" t="s">
        <v>99</v>
      </c>
      <c r="B1173" s="36">
        <v>2021</v>
      </c>
      <c r="C1173" s="36" t="s">
        <v>5</v>
      </c>
      <c r="D1173" s="36" t="s">
        <v>91</v>
      </c>
      <c r="E1173" s="36" t="s">
        <v>92</v>
      </c>
      <c r="F1173" s="36" t="s">
        <v>93</v>
      </c>
      <c r="G1173" s="36" t="s">
        <v>94</v>
      </c>
      <c r="H1173" s="36" t="s">
        <v>95</v>
      </c>
      <c r="I1173" s="36" t="s">
        <v>96</v>
      </c>
      <c r="J1173" s="36">
        <v>1035</v>
      </c>
      <c r="K1173" s="36">
        <v>1480.05</v>
      </c>
    </row>
    <row r="1174" spans="1:11" x14ac:dyDescent="0.3">
      <c r="A1174" s="36" t="s">
        <v>90</v>
      </c>
      <c r="B1174" s="36">
        <v>2021</v>
      </c>
      <c r="C1174" s="36" t="s">
        <v>5</v>
      </c>
      <c r="D1174" s="36" t="s">
        <v>91</v>
      </c>
      <c r="E1174" s="36" t="s">
        <v>92</v>
      </c>
      <c r="F1174" s="36" t="s">
        <v>93</v>
      </c>
      <c r="G1174" s="36" t="s">
        <v>94</v>
      </c>
      <c r="H1174" s="36" t="s">
        <v>95</v>
      </c>
      <c r="I1174" s="36" t="s">
        <v>96</v>
      </c>
      <c r="J1174" s="36">
        <v>228</v>
      </c>
      <c r="K1174" s="36">
        <v>326.03999999999996</v>
      </c>
    </row>
    <row r="1175" spans="1:11" x14ac:dyDescent="0.3">
      <c r="A1175" s="36" t="s">
        <v>90</v>
      </c>
      <c r="B1175" s="36">
        <v>2021</v>
      </c>
      <c r="C1175" s="36" t="s">
        <v>5</v>
      </c>
      <c r="D1175" s="36" t="s">
        <v>91</v>
      </c>
      <c r="E1175" s="36" t="s">
        <v>92</v>
      </c>
      <c r="F1175" s="36" t="s">
        <v>93</v>
      </c>
      <c r="G1175" s="36" t="s">
        <v>94</v>
      </c>
      <c r="H1175" s="36" t="s">
        <v>95</v>
      </c>
      <c r="I1175" s="36" t="s">
        <v>96</v>
      </c>
      <c r="J1175" s="36">
        <v>255</v>
      </c>
      <c r="K1175" s="36">
        <v>364.65</v>
      </c>
    </row>
    <row r="1176" spans="1:11" x14ac:dyDescent="0.3">
      <c r="A1176" s="36" t="s">
        <v>97</v>
      </c>
      <c r="B1176" s="36">
        <v>2021</v>
      </c>
      <c r="C1176" s="36" t="s">
        <v>5</v>
      </c>
      <c r="D1176" s="36" t="s">
        <v>91</v>
      </c>
      <c r="E1176" s="36" t="s">
        <v>92</v>
      </c>
      <c r="F1176" s="36" t="s">
        <v>93</v>
      </c>
      <c r="G1176" s="36" t="s">
        <v>94</v>
      </c>
      <c r="H1176" s="36" t="s">
        <v>95</v>
      </c>
      <c r="I1176" s="36" t="s">
        <v>96</v>
      </c>
      <c r="J1176" s="36">
        <v>303</v>
      </c>
      <c r="K1176" s="36">
        <v>433.28999999999996</v>
      </c>
    </row>
    <row r="1177" spans="1:11" x14ac:dyDescent="0.3">
      <c r="A1177" s="36" t="s">
        <v>90</v>
      </c>
      <c r="B1177" s="36">
        <v>2021</v>
      </c>
      <c r="C1177" s="36" t="s">
        <v>5</v>
      </c>
      <c r="D1177" s="36" t="s">
        <v>91</v>
      </c>
      <c r="E1177" s="36" t="s">
        <v>92</v>
      </c>
      <c r="F1177" s="36" t="s">
        <v>93</v>
      </c>
      <c r="G1177" s="36" t="s">
        <v>94</v>
      </c>
      <c r="H1177" s="36" t="s">
        <v>95</v>
      </c>
      <c r="I1177" s="36" t="s">
        <v>96</v>
      </c>
      <c r="J1177" s="36">
        <v>225</v>
      </c>
      <c r="K1177" s="36">
        <v>321.75</v>
      </c>
    </row>
    <row r="1178" spans="1:11" x14ac:dyDescent="0.3">
      <c r="A1178" s="36" t="s">
        <v>90</v>
      </c>
      <c r="B1178" s="36">
        <v>2021</v>
      </c>
      <c r="C1178" s="36" t="s">
        <v>5</v>
      </c>
      <c r="D1178" s="36" t="s">
        <v>91</v>
      </c>
      <c r="E1178" s="36" t="s">
        <v>92</v>
      </c>
      <c r="F1178" s="36" t="s">
        <v>93</v>
      </c>
      <c r="G1178" s="36" t="s">
        <v>94</v>
      </c>
      <c r="H1178" s="36" t="s">
        <v>95</v>
      </c>
      <c r="I1178" s="36" t="s">
        <v>96</v>
      </c>
      <c r="J1178" s="36">
        <v>783</v>
      </c>
      <c r="K1178" s="36">
        <v>1119.69</v>
      </c>
    </row>
    <row r="1179" spans="1:11" x14ac:dyDescent="0.3">
      <c r="A1179" s="36" t="s">
        <v>99</v>
      </c>
      <c r="B1179" s="36">
        <v>2021</v>
      </c>
      <c r="C1179" s="36" t="s">
        <v>5</v>
      </c>
      <c r="D1179" s="36" t="s">
        <v>91</v>
      </c>
      <c r="E1179" s="36" t="s">
        <v>92</v>
      </c>
      <c r="F1179" s="36" t="s">
        <v>93</v>
      </c>
      <c r="G1179" s="36" t="s">
        <v>94</v>
      </c>
      <c r="H1179" s="36" t="s">
        <v>95</v>
      </c>
      <c r="I1179" s="36" t="s">
        <v>96</v>
      </c>
      <c r="J1179" s="36">
        <v>816</v>
      </c>
      <c r="K1179" s="36">
        <v>1166.8800000000001</v>
      </c>
    </row>
    <row r="1180" spans="1:11" x14ac:dyDescent="0.3">
      <c r="A1180" s="36" t="s">
        <v>97</v>
      </c>
      <c r="B1180" s="36">
        <v>2021</v>
      </c>
      <c r="C1180" s="36" t="s">
        <v>5</v>
      </c>
      <c r="D1180" s="36" t="s">
        <v>91</v>
      </c>
      <c r="E1180" s="36" t="s">
        <v>92</v>
      </c>
      <c r="F1180" s="36" t="s">
        <v>93</v>
      </c>
      <c r="G1180" s="36" t="s">
        <v>94</v>
      </c>
      <c r="H1180" s="36" t="s">
        <v>95</v>
      </c>
      <c r="I1180" s="36" t="s">
        <v>96</v>
      </c>
      <c r="J1180" s="36">
        <v>869</v>
      </c>
      <c r="K1180" s="36">
        <v>1242.67</v>
      </c>
    </row>
    <row r="1181" spans="1:11" x14ac:dyDescent="0.3">
      <c r="A1181" s="36" t="s">
        <v>101</v>
      </c>
      <c r="B1181" s="36">
        <v>2021</v>
      </c>
      <c r="C1181" s="36" t="s">
        <v>5</v>
      </c>
      <c r="D1181" s="36" t="s">
        <v>91</v>
      </c>
      <c r="E1181" s="36" t="s">
        <v>92</v>
      </c>
      <c r="F1181" s="36" t="s">
        <v>93</v>
      </c>
      <c r="G1181" s="36" t="s">
        <v>94</v>
      </c>
      <c r="H1181" s="36" t="s">
        <v>95</v>
      </c>
      <c r="I1181" s="36" t="s">
        <v>96</v>
      </c>
      <c r="J1181" s="36">
        <v>257</v>
      </c>
      <c r="K1181" s="36">
        <v>367.51</v>
      </c>
    </row>
    <row r="1182" spans="1:11" x14ac:dyDescent="0.3">
      <c r="A1182" s="36" t="s">
        <v>97</v>
      </c>
      <c r="B1182" s="36">
        <v>2021</v>
      </c>
      <c r="C1182" s="36" t="s">
        <v>5</v>
      </c>
      <c r="D1182" s="36" t="s">
        <v>91</v>
      </c>
      <c r="E1182" s="36" t="s">
        <v>92</v>
      </c>
      <c r="F1182" s="36" t="s">
        <v>93</v>
      </c>
      <c r="G1182" s="36" t="s">
        <v>94</v>
      </c>
      <c r="H1182" s="36" t="s">
        <v>95</v>
      </c>
      <c r="I1182" s="36" t="s">
        <v>96</v>
      </c>
      <c r="J1182" s="36">
        <v>299</v>
      </c>
      <c r="K1182" s="36">
        <v>427.57</v>
      </c>
    </row>
    <row r="1183" spans="1:11" x14ac:dyDescent="0.3">
      <c r="A1183" s="36" t="s">
        <v>97</v>
      </c>
      <c r="B1183" s="36">
        <v>2021</v>
      </c>
      <c r="C1183" s="36" t="s">
        <v>5</v>
      </c>
      <c r="D1183" s="36" t="s">
        <v>91</v>
      </c>
      <c r="E1183" s="36" t="s">
        <v>92</v>
      </c>
      <c r="F1183" s="36" t="s">
        <v>93</v>
      </c>
      <c r="G1183" s="36" t="s">
        <v>94</v>
      </c>
      <c r="H1183" s="36" t="s">
        <v>95</v>
      </c>
      <c r="I1183" s="36" t="s">
        <v>96</v>
      </c>
      <c r="J1183" s="36">
        <v>227</v>
      </c>
      <c r="K1183" s="36">
        <v>324.61</v>
      </c>
    </row>
    <row r="1184" spans="1:11" x14ac:dyDescent="0.3">
      <c r="A1184" s="36" t="s">
        <v>90</v>
      </c>
      <c r="B1184" s="36">
        <v>2021</v>
      </c>
      <c r="C1184" s="36" t="s">
        <v>2</v>
      </c>
      <c r="D1184" s="36" t="s">
        <v>91</v>
      </c>
      <c r="E1184" s="36" t="s">
        <v>92</v>
      </c>
      <c r="F1184" s="36" t="s">
        <v>93</v>
      </c>
      <c r="G1184" s="36" t="s">
        <v>94</v>
      </c>
      <c r="H1184" s="36" t="s">
        <v>95</v>
      </c>
      <c r="I1184" s="36" t="s">
        <v>96</v>
      </c>
      <c r="J1184" s="36">
        <v>272</v>
      </c>
      <c r="K1184" s="36">
        <v>388.96</v>
      </c>
    </row>
    <row r="1185" spans="1:11" x14ac:dyDescent="0.3">
      <c r="A1185" s="36" t="s">
        <v>97</v>
      </c>
      <c r="B1185" s="36">
        <v>2021</v>
      </c>
      <c r="C1185" s="36" t="s">
        <v>2</v>
      </c>
      <c r="D1185" s="36" t="s">
        <v>91</v>
      </c>
      <c r="E1185" s="36" t="s">
        <v>92</v>
      </c>
      <c r="F1185" s="36" t="s">
        <v>93</v>
      </c>
      <c r="G1185" s="36" t="s">
        <v>94</v>
      </c>
      <c r="H1185" s="36" t="s">
        <v>95</v>
      </c>
      <c r="I1185" s="36" t="s">
        <v>96</v>
      </c>
      <c r="J1185" s="36">
        <v>242</v>
      </c>
      <c r="K1185" s="36">
        <v>346.06</v>
      </c>
    </row>
    <row r="1186" spans="1:11" x14ac:dyDescent="0.3">
      <c r="A1186" s="36" t="s">
        <v>97</v>
      </c>
      <c r="B1186" s="36">
        <v>2021</v>
      </c>
      <c r="C1186" s="36" t="s">
        <v>2</v>
      </c>
      <c r="D1186" s="36" t="s">
        <v>91</v>
      </c>
      <c r="E1186" s="36" t="s">
        <v>92</v>
      </c>
      <c r="F1186" s="36" t="s">
        <v>93</v>
      </c>
      <c r="G1186" s="36" t="s">
        <v>94</v>
      </c>
      <c r="H1186" s="36" t="s">
        <v>95</v>
      </c>
      <c r="I1186" s="36" t="s">
        <v>96</v>
      </c>
      <c r="J1186" s="36">
        <v>268</v>
      </c>
      <c r="K1186" s="36">
        <v>526.24</v>
      </c>
    </row>
    <row r="1187" spans="1:11" x14ac:dyDescent="0.3">
      <c r="A1187" s="36" t="s">
        <v>97</v>
      </c>
      <c r="B1187" s="36">
        <v>2021</v>
      </c>
      <c r="C1187" s="36" t="s">
        <v>2</v>
      </c>
      <c r="D1187" s="36" t="s">
        <v>91</v>
      </c>
      <c r="E1187" s="36" t="s">
        <v>92</v>
      </c>
      <c r="F1187" s="36" t="s">
        <v>93</v>
      </c>
      <c r="G1187" s="36" t="s">
        <v>94</v>
      </c>
      <c r="H1187" s="36" t="s">
        <v>95</v>
      </c>
      <c r="I1187" s="36" t="s">
        <v>96</v>
      </c>
      <c r="J1187" s="36">
        <v>316</v>
      </c>
      <c r="K1187" s="36">
        <v>526.24</v>
      </c>
    </row>
    <row r="1188" spans="1:11" x14ac:dyDescent="0.3">
      <c r="A1188" s="36" t="s">
        <v>90</v>
      </c>
      <c r="B1188" s="36">
        <v>2021</v>
      </c>
      <c r="C1188" s="36" t="s">
        <v>2</v>
      </c>
      <c r="D1188" s="36" t="s">
        <v>91</v>
      </c>
      <c r="E1188" s="36" t="s">
        <v>92</v>
      </c>
      <c r="F1188" s="36" t="s">
        <v>93</v>
      </c>
      <c r="G1188" s="36" t="s">
        <v>94</v>
      </c>
      <c r="H1188" s="36" t="s">
        <v>95</v>
      </c>
      <c r="I1188" s="36" t="s">
        <v>96</v>
      </c>
      <c r="J1188" s="36">
        <v>244</v>
      </c>
      <c r="K1188" s="36">
        <v>526.24</v>
      </c>
    </row>
    <row r="1189" spans="1:11" x14ac:dyDescent="0.3">
      <c r="A1189" s="36" t="s">
        <v>97</v>
      </c>
      <c r="B1189" s="36">
        <v>2021</v>
      </c>
      <c r="C1189" s="36" t="s">
        <v>2</v>
      </c>
      <c r="D1189" s="36" t="s">
        <v>91</v>
      </c>
      <c r="E1189" s="36" t="s">
        <v>92</v>
      </c>
      <c r="F1189" s="36" t="s">
        <v>93</v>
      </c>
      <c r="G1189" s="36" t="s">
        <v>94</v>
      </c>
      <c r="H1189" s="36" t="s">
        <v>95</v>
      </c>
      <c r="I1189" s="36" t="s">
        <v>96</v>
      </c>
      <c r="J1189" s="36">
        <v>999</v>
      </c>
      <c r="K1189" s="36">
        <v>1428.57</v>
      </c>
    </row>
    <row r="1190" spans="1:11" x14ac:dyDescent="0.3">
      <c r="A1190" s="36" t="s">
        <v>99</v>
      </c>
      <c r="B1190" s="36">
        <v>2021</v>
      </c>
      <c r="C1190" s="36" t="s">
        <v>2</v>
      </c>
      <c r="D1190" s="36" t="s">
        <v>91</v>
      </c>
      <c r="E1190" s="36" t="s">
        <v>92</v>
      </c>
      <c r="F1190" s="36" t="s">
        <v>93</v>
      </c>
      <c r="G1190" s="36" t="s">
        <v>94</v>
      </c>
      <c r="H1190" s="36" t="s">
        <v>95</v>
      </c>
      <c r="I1190" s="36" t="s">
        <v>96</v>
      </c>
      <c r="J1190" s="36">
        <v>1032</v>
      </c>
      <c r="K1190" s="36">
        <v>1475.76</v>
      </c>
    </row>
    <row r="1191" spans="1:11" x14ac:dyDescent="0.3">
      <c r="A1191" s="36" t="s">
        <v>97</v>
      </c>
      <c r="B1191" s="36">
        <v>2021</v>
      </c>
      <c r="C1191" s="36" t="s">
        <v>2</v>
      </c>
      <c r="D1191" s="36" t="s">
        <v>91</v>
      </c>
      <c r="E1191" s="36" t="s">
        <v>92</v>
      </c>
      <c r="F1191" s="36" t="s">
        <v>93</v>
      </c>
      <c r="G1191" s="36" t="s">
        <v>94</v>
      </c>
      <c r="H1191" s="36" t="s">
        <v>95</v>
      </c>
      <c r="I1191" s="36" t="s">
        <v>96</v>
      </c>
      <c r="J1191" s="36">
        <v>246</v>
      </c>
      <c r="K1191" s="36">
        <v>351.78</v>
      </c>
    </row>
    <row r="1192" spans="1:11" x14ac:dyDescent="0.3">
      <c r="A1192" s="36" t="s">
        <v>97</v>
      </c>
      <c r="B1192" s="36">
        <v>2021</v>
      </c>
      <c r="C1192" s="36" t="s">
        <v>2</v>
      </c>
      <c r="D1192" s="36" t="s">
        <v>91</v>
      </c>
      <c r="E1192" s="36" t="s">
        <v>92</v>
      </c>
      <c r="F1192" s="36" t="s">
        <v>93</v>
      </c>
      <c r="G1192" s="36" t="s">
        <v>94</v>
      </c>
      <c r="H1192" s="36" t="s">
        <v>95</v>
      </c>
      <c r="I1192" s="36" t="s">
        <v>96</v>
      </c>
      <c r="J1192" s="36">
        <v>273</v>
      </c>
      <c r="K1192" s="36">
        <v>390.39</v>
      </c>
    </row>
    <row r="1193" spans="1:11" x14ac:dyDescent="0.3">
      <c r="A1193" s="36" t="s">
        <v>99</v>
      </c>
      <c r="B1193" s="36">
        <v>2021</v>
      </c>
      <c r="C1193" s="36" t="s">
        <v>2</v>
      </c>
      <c r="D1193" s="36" t="s">
        <v>91</v>
      </c>
      <c r="E1193" s="36" t="s">
        <v>92</v>
      </c>
      <c r="F1193" s="36" t="s">
        <v>93</v>
      </c>
      <c r="G1193" s="36" t="s">
        <v>94</v>
      </c>
      <c r="H1193" s="36" t="s">
        <v>95</v>
      </c>
      <c r="I1193" s="36" t="s">
        <v>96</v>
      </c>
      <c r="J1193" s="36">
        <v>315</v>
      </c>
      <c r="K1193" s="36">
        <v>450.45</v>
      </c>
    </row>
    <row r="1194" spans="1:11" x14ac:dyDescent="0.3">
      <c r="A1194" s="36" t="s">
        <v>97</v>
      </c>
      <c r="B1194" s="36">
        <v>2021</v>
      </c>
      <c r="C1194" s="36" t="s">
        <v>2</v>
      </c>
      <c r="D1194" s="36" t="s">
        <v>91</v>
      </c>
      <c r="E1194" s="36" t="s">
        <v>92</v>
      </c>
      <c r="F1194" s="36" t="s">
        <v>93</v>
      </c>
      <c r="G1194" s="36" t="s">
        <v>94</v>
      </c>
      <c r="H1194" s="36" t="s">
        <v>95</v>
      </c>
      <c r="I1194" s="36" t="s">
        <v>96</v>
      </c>
      <c r="J1194" s="36">
        <v>243</v>
      </c>
      <c r="K1194" s="36">
        <v>347.49</v>
      </c>
    </row>
    <row r="1195" spans="1:11" x14ac:dyDescent="0.3">
      <c r="A1195" s="36" t="s">
        <v>90</v>
      </c>
      <c r="B1195" s="36">
        <v>2021</v>
      </c>
      <c r="C1195" s="36" t="s">
        <v>2</v>
      </c>
      <c r="D1195" s="36" t="s">
        <v>91</v>
      </c>
      <c r="E1195" s="36" t="s">
        <v>92</v>
      </c>
      <c r="F1195" s="36" t="s">
        <v>93</v>
      </c>
      <c r="G1195" s="36" t="s">
        <v>94</v>
      </c>
      <c r="H1195" s="36" t="s">
        <v>95</v>
      </c>
      <c r="I1195" s="36" t="s">
        <v>96</v>
      </c>
      <c r="J1195" s="36">
        <v>780</v>
      </c>
      <c r="K1195" s="36">
        <v>1115.4000000000001</v>
      </c>
    </row>
    <row r="1196" spans="1:11" x14ac:dyDescent="0.3">
      <c r="A1196" s="36" t="s">
        <v>99</v>
      </c>
      <c r="B1196" s="36">
        <v>2021</v>
      </c>
      <c r="C1196" s="36" t="s">
        <v>2</v>
      </c>
      <c r="D1196" s="36" t="s">
        <v>91</v>
      </c>
      <c r="E1196" s="36" t="s">
        <v>92</v>
      </c>
      <c r="F1196" s="36" t="s">
        <v>93</v>
      </c>
      <c r="G1196" s="36" t="s">
        <v>94</v>
      </c>
      <c r="H1196" s="36" t="s">
        <v>95</v>
      </c>
      <c r="I1196" s="36" t="s">
        <v>96</v>
      </c>
      <c r="J1196" s="36">
        <v>813</v>
      </c>
      <c r="K1196" s="36">
        <v>1162.5899999999999</v>
      </c>
    </row>
    <row r="1197" spans="1:11" x14ac:dyDescent="0.3">
      <c r="A1197" s="36" t="s">
        <v>97</v>
      </c>
      <c r="B1197" s="36">
        <v>2021</v>
      </c>
      <c r="C1197" s="36" t="s">
        <v>2</v>
      </c>
      <c r="D1197" s="36" t="s">
        <v>91</v>
      </c>
      <c r="E1197" s="36" t="s">
        <v>92</v>
      </c>
      <c r="F1197" s="36" t="s">
        <v>93</v>
      </c>
      <c r="G1197" s="36" t="s">
        <v>94</v>
      </c>
      <c r="H1197" s="36" t="s">
        <v>95</v>
      </c>
      <c r="I1197" s="36" t="s">
        <v>96</v>
      </c>
      <c r="J1197" s="36">
        <v>867</v>
      </c>
      <c r="K1197" s="36">
        <v>1239.81</v>
      </c>
    </row>
    <row r="1198" spans="1:11" x14ac:dyDescent="0.3">
      <c r="A1198" s="36" t="s">
        <v>97</v>
      </c>
      <c r="B1198" s="36">
        <v>2021</v>
      </c>
      <c r="C1198" s="36" t="s">
        <v>2</v>
      </c>
      <c r="D1198" s="36" t="s">
        <v>91</v>
      </c>
      <c r="E1198" s="36" t="s">
        <v>92</v>
      </c>
      <c r="F1198" s="36" t="s">
        <v>93</v>
      </c>
      <c r="G1198" s="36" t="s">
        <v>94</v>
      </c>
      <c r="H1198" s="36" t="s">
        <v>95</v>
      </c>
      <c r="I1198" s="36" t="s">
        <v>96</v>
      </c>
      <c r="J1198" s="36">
        <v>269</v>
      </c>
      <c r="K1198" s="36">
        <v>384.67</v>
      </c>
    </row>
    <row r="1199" spans="1:11" x14ac:dyDescent="0.3">
      <c r="A1199" s="36" t="s">
        <v>90</v>
      </c>
      <c r="B1199" s="36">
        <v>2021</v>
      </c>
      <c r="C1199" s="36" t="s">
        <v>2</v>
      </c>
      <c r="D1199" s="36" t="s">
        <v>91</v>
      </c>
      <c r="E1199" s="36" t="s">
        <v>92</v>
      </c>
      <c r="F1199" s="36" t="s">
        <v>93</v>
      </c>
      <c r="G1199" s="36" t="s">
        <v>94</v>
      </c>
      <c r="H1199" s="36" t="s">
        <v>95</v>
      </c>
      <c r="I1199" s="36" t="s">
        <v>96</v>
      </c>
      <c r="J1199" s="36">
        <v>317</v>
      </c>
      <c r="K1199" s="36">
        <v>453.31</v>
      </c>
    </row>
    <row r="1200" spans="1:11" x14ac:dyDescent="0.3">
      <c r="A1200" s="36" t="s">
        <v>90</v>
      </c>
      <c r="B1200" s="36">
        <v>2021</v>
      </c>
      <c r="C1200" s="36" t="s">
        <v>2</v>
      </c>
      <c r="D1200" s="36" t="s">
        <v>91</v>
      </c>
      <c r="E1200" s="36" t="s">
        <v>92</v>
      </c>
      <c r="F1200" s="36" t="s">
        <v>93</v>
      </c>
      <c r="G1200" s="36" t="s">
        <v>94</v>
      </c>
      <c r="H1200" s="36" t="s">
        <v>95</v>
      </c>
      <c r="I1200" s="36" t="s">
        <v>96</v>
      </c>
      <c r="J1200" s="36">
        <v>245</v>
      </c>
      <c r="K1200" s="36">
        <v>350.35</v>
      </c>
    </row>
    <row r="1201" spans="1:11" x14ac:dyDescent="0.3">
      <c r="A1201" s="36" t="s">
        <v>90</v>
      </c>
      <c r="B1201" s="36">
        <v>2021</v>
      </c>
      <c r="C1201" s="36" t="s">
        <v>4</v>
      </c>
      <c r="D1201" s="36" t="s">
        <v>91</v>
      </c>
      <c r="E1201" s="36" t="s">
        <v>92</v>
      </c>
      <c r="F1201" s="36" t="s">
        <v>93</v>
      </c>
      <c r="G1201" s="36" t="s">
        <v>94</v>
      </c>
      <c r="H1201" s="36" t="s">
        <v>95</v>
      </c>
      <c r="I1201" s="36" t="s">
        <v>96</v>
      </c>
      <c r="J1201" s="36">
        <v>260</v>
      </c>
      <c r="K1201" s="36">
        <v>371.8</v>
      </c>
    </row>
    <row r="1202" spans="1:11" x14ac:dyDescent="0.3">
      <c r="A1202" s="36" t="s">
        <v>90</v>
      </c>
      <c r="B1202" s="36">
        <v>2021</v>
      </c>
      <c r="C1202" s="36" t="s">
        <v>4</v>
      </c>
      <c r="D1202" s="36" t="s">
        <v>91</v>
      </c>
      <c r="E1202" s="36" t="s">
        <v>92</v>
      </c>
      <c r="F1202" s="36" t="s">
        <v>93</v>
      </c>
      <c r="G1202" s="36" t="s">
        <v>94</v>
      </c>
      <c r="H1202" s="36" t="s">
        <v>95</v>
      </c>
      <c r="I1202" s="36" t="s">
        <v>96</v>
      </c>
      <c r="J1202" s="36">
        <v>308</v>
      </c>
      <c r="K1202" s="36">
        <v>440.44</v>
      </c>
    </row>
    <row r="1203" spans="1:11" x14ac:dyDescent="0.3">
      <c r="A1203" s="36" t="s">
        <v>99</v>
      </c>
      <c r="B1203" s="36">
        <v>2021</v>
      </c>
      <c r="C1203" s="36" t="s">
        <v>4</v>
      </c>
      <c r="D1203" s="36" t="s">
        <v>91</v>
      </c>
      <c r="E1203" s="36" t="s">
        <v>92</v>
      </c>
      <c r="F1203" s="36" t="s">
        <v>93</v>
      </c>
      <c r="G1203" s="36" t="s">
        <v>94</v>
      </c>
      <c r="H1203" s="36" t="s">
        <v>95</v>
      </c>
      <c r="I1203" s="36" t="s">
        <v>96</v>
      </c>
      <c r="J1203" s="36">
        <v>262</v>
      </c>
      <c r="K1203" s="36">
        <v>526.24</v>
      </c>
    </row>
    <row r="1204" spans="1:11" x14ac:dyDescent="0.3">
      <c r="A1204" s="36" t="s">
        <v>100</v>
      </c>
      <c r="B1204" s="36">
        <v>2021</v>
      </c>
      <c r="C1204" s="36" t="s">
        <v>4</v>
      </c>
      <c r="D1204" s="36" t="s">
        <v>91</v>
      </c>
      <c r="E1204" s="36" t="s">
        <v>92</v>
      </c>
      <c r="F1204" s="36" t="s">
        <v>93</v>
      </c>
      <c r="G1204" s="36" t="s">
        <v>94</v>
      </c>
      <c r="H1204" s="36" t="s">
        <v>95</v>
      </c>
      <c r="I1204" s="36" t="s">
        <v>96</v>
      </c>
      <c r="J1204" s="36">
        <v>304</v>
      </c>
      <c r="K1204" s="36">
        <v>526.24</v>
      </c>
    </row>
    <row r="1205" spans="1:11" x14ac:dyDescent="0.3">
      <c r="A1205" s="36" t="s">
        <v>97</v>
      </c>
      <c r="B1205" s="36">
        <v>2021</v>
      </c>
      <c r="C1205" s="36" t="s">
        <v>4</v>
      </c>
      <c r="D1205" s="36" t="s">
        <v>91</v>
      </c>
      <c r="E1205" s="36" t="s">
        <v>92</v>
      </c>
      <c r="F1205" s="36" t="s">
        <v>93</v>
      </c>
      <c r="G1205" s="36" t="s">
        <v>94</v>
      </c>
      <c r="H1205" s="36" t="s">
        <v>95</v>
      </c>
      <c r="I1205" s="36" t="s">
        <v>96</v>
      </c>
      <c r="J1205" s="36">
        <v>232</v>
      </c>
      <c r="K1205" s="36">
        <v>526.24</v>
      </c>
    </row>
    <row r="1206" spans="1:11" x14ac:dyDescent="0.3">
      <c r="A1206" s="36" t="s">
        <v>97</v>
      </c>
      <c r="B1206" s="36">
        <v>2021</v>
      </c>
      <c r="C1206" s="36" t="s">
        <v>4</v>
      </c>
      <c r="D1206" s="36" t="s">
        <v>91</v>
      </c>
      <c r="E1206" s="36" t="s">
        <v>92</v>
      </c>
      <c r="F1206" s="36" t="s">
        <v>93</v>
      </c>
      <c r="G1206" s="36" t="s">
        <v>94</v>
      </c>
      <c r="H1206" s="36" t="s">
        <v>95</v>
      </c>
      <c r="I1206" s="36" t="s">
        <v>96</v>
      </c>
      <c r="J1206" s="36">
        <v>1001</v>
      </c>
      <c r="K1206" s="36">
        <v>1431.43</v>
      </c>
    </row>
    <row r="1207" spans="1:11" x14ac:dyDescent="0.3">
      <c r="A1207" s="36" t="s">
        <v>97</v>
      </c>
      <c r="B1207" s="36">
        <v>2021</v>
      </c>
      <c r="C1207" s="36" t="s">
        <v>4</v>
      </c>
      <c r="D1207" s="36" t="s">
        <v>91</v>
      </c>
      <c r="E1207" s="36" t="s">
        <v>92</v>
      </c>
      <c r="F1207" s="36" t="s">
        <v>93</v>
      </c>
      <c r="G1207" s="36" t="s">
        <v>94</v>
      </c>
      <c r="H1207" s="36" t="s">
        <v>95</v>
      </c>
      <c r="I1207" s="36" t="s">
        <v>96</v>
      </c>
      <c r="J1207" s="36">
        <v>1034</v>
      </c>
      <c r="K1207" s="36">
        <v>1478.62</v>
      </c>
    </row>
    <row r="1208" spans="1:11" x14ac:dyDescent="0.3">
      <c r="A1208" s="36" t="s">
        <v>90</v>
      </c>
      <c r="B1208" s="36">
        <v>2021</v>
      </c>
      <c r="C1208" s="36" t="s">
        <v>4</v>
      </c>
      <c r="D1208" s="36" t="s">
        <v>91</v>
      </c>
      <c r="E1208" s="36" t="s">
        <v>92</v>
      </c>
      <c r="F1208" s="36" t="s">
        <v>93</v>
      </c>
      <c r="G1208" s="36" t="s">
        <v>94</v>
      </c>
      <c r="H1208" s="36" t="s">
        <v>95</v>
      </c>
      <c r="I1208" s="36" t="s">
        <v>96</v>
      </c>
      <c r="J1208" s="36">
        <v>234</v>
      </c>
      <c r="K1208" s="36">
        <v>334.62</v>
      </c>
    </row>
    <row r="1209" spans="1:11" x14ac:dyDescent="0.3">
      <c r="A1209" s="36" t="s">
        <v>90</v>
      </c>
      <c r="B1209" s="36">
        <v>2021</v>
      </c>
      <c r="C1209" s="36" t="s">
        <v>4</v>
      </c>
      <c r="D1209" s="36" t="s">
        <v>91</v>
      </c>
      <c r="E1209" s="36" t="s">
        <v>92</v>
      </c>
      <c r="F1209" s="36" t="s">
        <v>93</v>
      </c>
      <c r="G1209" s="36" t="s">
        <v>94</v>
      </c>
      <c r="H1209" s="36" t="s">
        <v>95</v>
      </c>
      <c r="I1209" s="36" t="s">
        <v>96</v>
      </c>
      <c r="J1209" s="36">
        <v>261</v>
      </c>
      <c r="K1209" s="36">
        <v>373.23</v>
      </c>
    </row>
    <row r="1210" spans="1:11" x14ac:dyDescent="0.3">
      <c r="A1210" s="36" t="s">
        <v>99</v>
      </c>
      <c r="B1210" s="36">
        <v>2021</v>
      </c>
      <c r="C1210" s="36" t="s">
        <v>4</v>
      </c>
      <c r="D1210" s="36" t="s">
        <v>91</v>
      </c>
      <c r="E1210" s="36" t="s">
        <v>92</v>
      </c>
      <c r="F1210" s="36" t="s">
        <v>93</v>
      </c>
      <c r="G1210" s="36" t="s">
        <v>94</v>
      </c>
      <c r="H1210" s="36" t="s">
        <v>95</v>
      </c>
      <c r="I1210" s="36" t="s">
        <v>96</v>
      </c>
      <c r="J1210" s="36">
        <v>309</v>
      </c>
      <c r="K1210" s="36">
        <v>441.87</v>
      </c>
    </row>
    <row r="1211" spans="1:11" x14ac:dyDescent="0.3">
      <c r="A1211" s="36" t="s">
        <v>97</v>
      </c>
      <c r="B1211" s="36">
        <v>2021</v>
      </c>
      <c r="C1211" s="36" t="s">
        <v>4</v>
      </c>
      <c r="D1211" s="36" t="s">
        <v>91</v>
      </c>
      <c r="E1211" s="36" t="s">
        <v>92</v>
      </c>
      <c r="F1211" s="36" t="s">
        <v>93</v>
      </c>
      <c r="G1211" s="36" t="s">
        <v>94</v>
      </c>
      <c r="H1211" s="36" t="s">
        <v>95</v>
      </c>
      <c r="I1211" s="36" t="s">
        <v>96</v>
      </c>
      <c r="J1211" s="36">
        <v>231</v>
      </c>
      <c r="K1211" s="36">
        <v>330.33</v>
      </c>
    </row>
    <row r="1212" spans="1:11" x14ac:dyDescent="0.3">
      <c r="A1212" s="36" t="s">
        <v>97</v>
      </c>
      <c r="B1212" s="36">
        <v>2021</v>
      </c>
      <c r="C1212" s="36" t="s">
        <v>4</v>
      </c>
      <c r="D1212" s="36" t="s">
        <v>91</v>
      </c>
      <c r="E1212" s="36" t="s">
        <v>92</v>
      </c>
      <c r="F1212" s="36" t="s">
        <v>93</v>
      </c>
      <c r="G1212" s="36" t="s">
        <v>94</v>
      </c>
      <c r="H1212" s="36" t="s">
        <v>95</v>
      </c>
      <c r="I1212" s="36" t="s">
        <v>96</v>
      </c>
      <c r="J1212" s="36">
        <v>782</v>
      </c>
      <c r="K1212" s="36">
        <v>1118.26</v>
      </c>
    </row>
    <row r="1213" spans="1:11" x14ac:dyDescent="0.3">
      <c r="A1213" s="36" t="s">
        <v>90</v>
      </c>
      <c r="B1213" s="36">
        <v>2021</v>
      </c>
      <c r="C1213" s="36" t="s">
        <v>4</v>
      </c>
      <c r="D1213" s="36" t="s">
        <v>91</v>
      </c>
      <c r="E1213" s="36" t="s">
        <v>92</v>
      </c>
      <c r="F1213" s="36" t="s">
        <v>93</v>
      </c>
      <c r="G1213" s="36" t="s">
        <v>94</v>
      </c>
      <c r="H1213" s="36" t="s">
        <v>95</v>
      </c>
      <c r="I1213" s="36" t="s">
        <v>96</v>
      </c>
      <c r="J1213" s="36">
        <v>815</v>
      </c>
      <c r="K1213" s="36">
        <v>1165.45</v>
      </c>
    </row>
    <row r="1214" spans="1:11" x14ac:dyDescent="0.3">
      <c r="A1214" s="36" t="s">
        <v>99</v>
      </c>
      <c r="B1214" s="36">
        <v>2021</v>
      </c>
      <c r="C1214" s="36" t="s">
        <v>4</v>
      </c>
      <c r="D1214" s="36" t="s">
        <v>91</v>
      </c>
      <c r="E1214" s="36" t="s">
        <v>92</v>
      </c>
      <c r="F1214" s="36" t="s">
        <v>93</v>
      </c>
      <c r="G1214" s="36" t="s">
        <v>94</v>
      </c>
      <c r="H1214" s="36" t="s">
        <v>95</v>
      </c>
      <c r="I1214" s="36" t="s">
        <v>96</v>
      </c>
      <c r="J1214" s="36">
        <v>868</v>
      </c>
      <c r="K1214" s="36">
        <v>1241.24</v>
      </c>
    </row>
    <row r="1215" spans="1:11" x14ac:dyDescent="0.3">
      <c r="A1215" s="36" t="s">
        <v>90</v>
      </c>
      <c r="B1215" s="36">
        <v>2021</v>
      </c>
      <c r="C1215" s="36" t="s">
        <v>4</v>
      </c>
      <c r="D1215" s="36" t="s">
        <v>91</v>
      </c>
      <c r="E1215" s="36" t="s">
        <v>92</v>
      </c>
      <c r="F1215" s="36" t="s">
        <v>93</v>
      </c>
      <c r="G1215" s="36" t="s">
        <v>94</v>
      </c>
      <c r="H1215" s="36" t="s">
        <v>95</v>
      </c>
      <c r="I1215" s="36" t="s">
        <v>96</v>
      </c>
      <c r="J1215" s="36">
        <v>305</v>
      </c>
      <c r="K1215" s="36">
        <v>436.15</v>
      </c>
    </row>
    <row r="1216" spans="1:11" x14ac:dyDescent="0.3">
      <c r="A1216" s="36" t="s">
        <v>90</v>
      </c>
      <c r="B1216" s="36">
        <v>2021</v>
      </c>
      <c r="C1216" s="36" t="s">
        <v>4</v>
      </c>
      <c r="D1216" s="36" t="s">
        <v>91</v>
      </c>
      <c r="E1216" s="36" t="s">
        <v>92</v>
      </c>
      <c r="F1216" s="36" t="s">
        <v>93</v>
      </c>
      <c r="G1216" s="36" t="s">
        <v>94</v>
      </c>
      <c r="H1216" s="36" t="s">
        <v>95</v>
      </c>
      <c r="I1216" s="36" t="s">
        <v>96</v>
      </c>
      <c r="J1216" s="36">
        <v>233</v>
      </c>
      <c r="K1216" s="36">
        <v>333.19</v>
      </c>
    </row>
    <row r="1217" spans="1:11" x14ac:dyDescent="0.3">
      <c r="A1217" s="36" t="s">
        <v>97</v>
      </c>
      <c r="B1217" s="36">
        <v>2021</v>
      </c>
      <c r="C1217" s="36" t="s">
        <v>10</v>
      </c>
      <c r="D1217" s="36" t="s">
        <v>103</v>
      </c>
      <c r="E1217" s="36" t="s">
        <v>92</v>
      </c>
      <c r="F1217" s="36" t="s">
        <v>93</v>
      </c>
      <c r="G1217" s="36" t="s">
        <v>94</v>
      </c>
      <c r="H1217" s="36" t="s">
        <v>95</v>
      </c>
      <c r="I1217" s="36" t="s">
        <v>98</v>
      </c>
      <c r="J1217" s="36">
        <v>266</v>
      </c>
      <c r="K1217" s="36">
        <v>380.38</v>
      </c>
    </row>
    <row r="1218" spans="1:11" x14ac:dyDescent="0.3">
      <c r="A1218" s="36" t="s">
        <v>97</v>
      </c>
      <c r="B1218" s="36">
        <v>2021</v>
      </c>
      <c r="C1218" s="36" t="s">
        <v>10</v>
      </c>
      <c r="D1218" s="36" t="s">
        <v>103</v>
      </c>
      <c r="E1218" s="36" t="s">
        <v>92</v>
      </c>
      <c r="F1218" s="36" t="s">
        <v>93</v>
      </c>
      <c r="G1218" s="36" t="s">
        <v>94</v>
      </c>
      <c r="H1218" s="36" t="s">
        <v>95</v>
      </c>
      <c r="I1218" s="36" t="s">
        <v>98</v>
      </c>
      <c r="J1218" s="36">
        <v>260</v>
      </c>
      <c r="K1218" s="36">
        <v>371.8</v>
      </c>
    </row>
    <row r="1219" spans="1:11" x14ac:dyDescent="0.3">
      <c r="A1219" s="36" t="s">
        <v>90</v>
      </c>
      <c r="B1219" s="36">
        <v>2021</v>
      </c>
      <c r="C1219" s="36" t="s">
        <v>10</v>
      </c>
      <c r="D1219" s="36" t="s">
        <v>103</v>
      </c>
      <c r="E1219" s="36" t="s">
        <v>92</v>
      </c>
      <c r="F1219" s="36" t="s">
        <v>93</v>
      </c>
      <c r="G1219" s="36" t="s">
        <v>94</v>
      </c>
      <c r="H1219" s="36" t="s">
        <v>95</v>
      </c>
      <c r="I1219" s="36" t="s">
        <v>98</v>
      </c>
      <c r="J1219" s="36">
        <v>254</v>
      </c>
      <c r="K1219" s="36">
        <v>363.22</v>
      </c>
    </row>
    <row r="1220" spans="1:11" x14ac:dyDescent="0.3">
      <c r="A1220" s="36" t="s">
        <v>90</v>
      </c>
      <c r="B1220" s="36">
        <v>2021</v>
      </c>
      <c r="C1220" s="36" t="s">
        <v>10</v>
      </c>
      <c r="D1220" s="36" t="s">
        <v>103</v>
      </c>
      <c r="E1220" s="36" t="s">
        <v>92</v>
      </c>
      <c r="F1220" s="36" t="s">
        <v>93</v>
      </c>
      <c r="G1220" s="36" t="s">
        <v>94</v>
      </c>
      <c r="H1220" s="36" t="s">
        <v>95</v>
      </c>
      <c r="I1220" s="36" t="s">
        <v>96</v>
      </c>
      <c r="J1220" s="36">
        <v>230</v>
      </c>
      <c r="K1220" s="36">
        <v>328.9</v>
      </c>
    </row>
    <row r="1221" spans="1:11" x14ac:dyDescent="0.3">
      <c r="A1221" s="36" t="s">
        <v>90</v>
      </c>
      <c r="B1221" s="36">
        <v>2021</v>
      </c>
      <c r="C1221" s="36" t="s">
        <v>10</v>
      </c>
      <c r="D1221" s="36" t="s">
        <v>103</v>
      </c>
      <c r="E1221" s="36" t="s">
        <v>92</v>
      </c>
      <c r="F1221" s="36" t="s">
        <v>93</v>
      </c>
      <c r="G1221" s="36" t="s">
        <v>94</v>
      </c>
      <c r="H1221" s="36" t="s">
        <v>95</v>
      </c>
      <c r="I1221" s="36" t="s">
        <v>96</v>
      </c>
      <c r="J1221" s="36">
        <v>272</v>
      </c>
      <c r="K1221" s="36">
        <v>388.96</v>
      </c>
    </row>
    <row r="1222" spans="1:11" x14ac:dyDescent="0.3">
      <c r="A1222" s="36" t="s">
        <v>99</v>
      </c>
      <c r="B1222" s="36">
        <v>2021</v>
      </c>
      <c r="C1222" s="36" t="s">
        <v>10</v>
      </c>
      <c r="D1222" s="36" t="s">
        <v>103</v>
      </c>
      <c r="E1222" s="36" t="s">
        <v>92</v>
      </c>
      <c r="F1222" s="36" t="s">
        <v>93</v>
      </c>
      <c r="G1222" s="36" t="s">
        <v>94</v>
      </c>
      <c r="H1222" s="36" t="s">
        <v>95</v>
      </c>
      <c r="I1222" s="36" t="s">
        <v>96</v>
      </c>
      <c r="J1222" s="36">
        <v>262</v>
      </c>
      <c r="K1222" s="36">
        <v>374.65999999999997</v>
      </c>
    </row>
    <row r="1223" spans="1:11" x14ac:dyDescent="0.3">
      <c r="A1223" s="36" t="s">
        <v>97</v>
      </c>
      <c r="B1223" s="36">
        <v>2021</v>
      </c>
      <c r="C1223" s="36" t="s">
        <v>10</v>
      </c>
      <c r="D1223" s="36" t="s">
        <v>103</v>
      </c>
      <c r="E1223" s="36" t="s">
        <v>92</v>
      </c>
      <c r="F1223" s="36" t="s">
        <v>93</v>
      </c>
      <c r="G1223" s="36" t="s">
        <v>94</v>
      </c>
      <c r="H1223" s="36" t="s">
        <v>95</v>
      </c>
      <c r="I1223" s="36" t="s">
        <v>96</v>
      </c>
      <c r="J1223" s="36">
        <v>256</v>
      </c>
      <c r="K1223" s="36">
        <v>366.08</v>
      </c>
    </row>
    <row r="1224" spans="1:11" x14ac:dyDescent="0.3">
      <c r="A1224" s="36" t="s">
        <v>99</v>
      </c>
      <c r="B1224" s="36">
        <v>2021</v>
      </c>
      <c r="C1224" s="36" t="s">
        <v>10</v>
      </c>
      <c r="D1224" s="36" t="s">
        <v>103</v>
      </c>
      <c r="E1224" s="36" t="s">
        <v>92</v>
      </c>
      <c r="F1224" s="36" t="s">
        <v>93</v>
      </c>
      <c r="G1224" s="36" t="s">
        <v>94</v>
      </c>
      <c r="H1224" s="36" t="s">
        <v>95</v>
      </c>
      <c r="I1224" s="36" t="s">
        <v>96</v>
      </c>
      <c r="J1224" s="36">
        <v>226</v>
      </c>
      <c r="K1224" s="36">
        <v>526.24</v>
      </c>
    </row>
    <row r="1225" spans="1:11" x14ac:dyDescent="0.3">
      <c r="A1225" s="36" t="s">
        <v>99</v>
      </c>
      <c r="B1225" s="36">
        <v>2021</v>
      </c>
      <c r="C1225" s="36" t="s">
        <v>10</v>
      </c>
      <c r="D1225" s="36" t="s">
        <v>103</v>
      </c>
      <c r="E1225" s="36" t="s">
        <v>92</v>
      </c>
      <c r="F1225" s="36" t="s">
        <v>93</v>
      </c>
      <c r="G1225" s="36" t="s">
        <v>94</v>
      </c>
      <c r="H1225" s="36" t="s">
        <v>95</v>
      </c>
      <c r="I1225" s="36" t="s">
        <v>96</v>
      </c>
      <c r="J1225" s="36">
        <v>274</v>
      </c>
      <c r="K1225" s="36">
        <v>526.24</v>
      </c>
    </row>
    <row r="1226" spans="1:11" x14ac:dyDescent="0.3">
      <c r="A1226" s="36" t="s">
        <v>101</v>
      </c>
      <c r="B1226" s="36">
        <v>2021</v>
      </c>
      <c r="C1226" s="36" t="s">
        <v>10</v>
      </c>
      <c r="D1226" s="36" t="s">
        <v>103</v>
      </c>
      <c r="E1226" s="36" t="s">
        <v>92</v>
      </c>
      <c r="F1226" s="36" t="s">
        <v>93</v>
      </c>
      <c r="G1226" s="36" t="s">
        <v>94</v>
      </c>
      <c r="H1226" s="36" t="s">
        <v>95</v>
      </c>
      <c r="I1226" s="36" t="s">
        <v>96</v>
      </c>
      <c r="J1226" s="36">
        <v>1006</v>
      </c>
      <c r="K1226" s="36">
        <v>1438.58</v>
      </c>
    </row>
    <row r="1227" spans="1:11" x14ac:dyDescent="0.3">
      <c r="A1227" s="36" t="s">
        <v>100</v>
      </c>
      <c r="B1227" s="36">
        <v>2021</v>
      </c>
      <c r="C1227" s="36" t="s">
        <v>10</v>
      </c>
      <c r="D1227" s="36" t="s">
        <v>103</v>
      </c>
      <c r="E1227" s="36" t="s">
        <v>92</v>
      </c>
      <c r="F1227" s="36" t="s">
        <v>93</v>
      </c>
      <c r="G1227" s="36" t="s">
        <v>94</v>
      </c>
      <c r="H1227" s="36" t="s">
        <v>95</v>
      </c>
      <c r="I1227" s="36" t="s">
        <v>96</v>
      </c>
      <c r="J1227" s="36">
        <v>1039</v>
      </c>
      <c r="K1227" s="36">
        <v>1485.77</v>
      </c>
    </row>
    <row r="1228" spans="1:11" x14ac:dyDescent="0.3">
      <c r="A1228" s="36" t="s">
        <v>100</v>
      </c>
      <c r="B1228" s="36">
        <v>2021</v>
      </c>
      <c r="C1228" s="36" t="s">
        <v>10</v>
      </c>
      <c r="D1228" s="36" t="s">
        <v>103</v>
      </c>
      <c r="E1228" s="36" t="s">
        <v>92</v>
      </c>
      <c r="F1228" s="36" t="s">
        <v>93</v>
      </c>
      <c r="G1228" s="36" t="s">
        <v>94</v>
      </c>
      <c r="H1228" s="36" t="s">
        <v>95</v>
      </c>
      <c r="I1228" s="36" t="s">
        <v>96</v>
      </c>
      <c r="J1228" s="36">
        <v>273</v>
      </c>
      <c r="K1228" s="36">
        <v>390.39</v>
      </c>
    </row>
    <row r="1229" spans="1:11" x14ac:dyDescent="0.3">
      <c r="A1229" s="36" t="s">
        <v>90</v>
      </c>
      <c r="B1229" s="36">
        <v>2021</v>
      </c>
      <c r="C1229" s="36" t="s">
        <v>10</v>
      </c>
      <c r="D1229" s="36" t="s">
        <v>103</v>
      </c>
      <c r="E1229" s="36" t="s">
        <v>92</v>
      </c>
      <c r="F1229" s="36" t="s">
        <v>93</v>
      </c>
      <c r="G1229" s="36" t="s">
        <v>94</v>
      </c>
      <c r="H1229" s="36" t="s">
        <v>95</v>
      </c>
      <c r="I1229" s="36" t="s">
        <v>96</v>
      </c>
      <c r="J1229" s="36">
        <v>265</v>
      </c>
      <c r="K1229" s="36">
        <v>378.95</v>
      </c>
    </row>
    <row r="1230" spans="1:11" x14ac:dyDescent="0.3">
      <c r="A1230" s="36" t="s">
        <v>101</v>
      </c>
      <c r="B1230" s="36">
        <v>2021</v>
      </c>
      <c r="C1230" s="36" t="s">
        <v>10</v>
      </c>
      <c r="D1230" s="36" t="s">
        <v>103</v>
      </c>
      <c r="E1230" s="36" t="s">
        <v>92</v>
      </c>
      <c r="F1230" s="36" t="s">
        <v>93</v>
      </c>
      <c r="G1230" s="36" t="s">
        <v>94</v>
      </c>
      <c r="H1230" s="36" t="s">
        <v>95</v>
      </c>
      <c r="I1230" s="36" t="s">
        <v>96</v>
      </c>
      <c r="J1230" s="36">
        <v>259</v>
      </c>
      <c r="K1230" s="36">
        <v>370.37</v>
      </c>
    </row>
    <row r="1231" spans="1:11" x14ac:dyDescent="0.3">
      <c r="A1231" s="36" t="s">
        <v>99</v>
      </c>
      <c r="B1231" s="36">
        <v>2021</v>
      </c>
      <c r="C1231" s="36" t="s">
        <v>10</v>
      </c>
      <c r="D1231" s="36" t="s">
        <v>103</v>
      </c>
      <c r="E1231" s="36" t="s">
        <v>92</v>
      </c>
      <c r="F1231" s="36" t="s">
        <v>93</v>
      </c>
      <c r="G1231" s="36" t="s">
        <v>94</v>
      </c>
      <c r="H1231" s="36" t="s">
        <v>95</v>
      </c>
      <c r="I1231" s="36" t="s">
        <v>96</v>
      </c>
      <c r="J1231" s="36">
        <v>253</v>
      </c>
      <c r="K1231" s="36">
        <v>361.78999999999996</v>
      </c>
    </row>
    <row r="1232" spans="1:11" x14ac:dyDescent="0.3">
      <c r="A1232" s="36" t="s">
        <v>99</v>
      </c>
      <c r="B1232" s="36">
        <v>2021</v>
      </c>
      <c r="C1232" s="36" t="s">
        <v>10</v>
      </c>
      <c r="D1232" s="36" t="s">
        <v>103</v>
      </c>
      <c r="E1232" s="36" t="s">
        <v>92</v>
      </c>
      <c r="F1232" s="36" t="s">
        <v>93</v>
      </c>
      <c r="G1232" s="36" t="s">
        <v>94</v>
      </c>
      <c r="H1232" s="36" t="s">
        <v>95</v>
      </c>
      <c r="I1232" s="36" t="s">
        <v>96</v>
      </c>
      <c r="J1232" s="36">
        <v>787</v>
      </c>
      <c r="K1232" s="36">
        <v>1125.4099999999999</v>
      </c>
    </row>
    <row r="1233" spans="1:11" x14ac:dyDescent="0.3">
      <c r="A1233" s="36" t="s">
        <v>99</v>
      </c>
      <c r="B1233" s="36">
        <v>2021</v>
      </c>
      <c r="C1233" s="36" t="s">
        <v>10</v>
      </c>
      <c r="D1233" s="36" t="s">
        <v>103</v>
      </c>
      <c r="E1233" s="36" t="s">
        <v>92</v>
      </c>
      <c r="F1233" s="36" t="s">
        <v>93</v>
      </c>
      <c r="G1233" s="36" t="s">
        <v>94</v>
      </c>
      <c r="H1233" s="36" t="s">
        <v>95</v>
      </c>
      <c r="I1233" s="36" t="s">
        <v>96</v>
      </c>
      <c r="J1233" s="36">
        <v>820</v>
      </c>
      <c r="K1233" s="36">
        <v>1172.5999999999999</v>
      </c>
    </row>
    <row r="1234" spans="1:11" x14ac:dyDescent="0.3">
      <c r="A1234" s="36" t="s">
        <v>90</v>
      </c>
      <c r="B1234" s="36">
        <v>2021</v>
      </c>
      <c r="C1234" s="36" t="s">
        <v>10</v>
      </c>
      <c r="D1234" s="36" t="s">
        <v>103</v>
      </c>
      <c r="E1234" s="36" t="s">
        <v>92</v>
      </c>
      <c r="F1234" s="36" t="s">
        <v>93</v>
      </c>
      <c r="G1234" s="36" t="s">
        <v>94</v>
      </c>
      <c r="H1234" s="36" t="s">
        <v>95</v>
      </c>
      <c r="I1234" s="36" t="s">
        <v>98</v>
      </c>
      <c r="J1234" s="36">
        <v>263</v>
      </c>
      <c r="K1234" s="36">
        <v>376.09000000000003</v>
      </c>
    </row>
    <row r="1235" spans="1:11" x14ac:dyDescent="0.3">
      <c r="A1235" s="36" t="s">
        <v>97</v>
      </c>
      <c r="B1235" s="36">
        <v>2021</v>
      </c>
      <c r="C1235" s="36" t="s">
        <v>10</v>
      </c>
      <c r="D1235" s="36" t="s">
        <v>103</v>
      </c>
      <c r="E1235" s="36" t="s">
        <v>92</v>
      </c>
      <c r="F1235" s="36" t="s">
        <v>93</v>
      </c>
      <c r="G1235" s="36" t="s">
        <v>94</v>
      </c>
      <c r="H1235" s="36" t="s">
        <v>95</v>
      </c>
      <c r="I1235" s="36" t="s">
        <v>98</v>
      </c>
      <c r="J1235" s="36">
        <v>257</v>
      </c>
      <c r="K1235" s="36">
        <v>367.51</v>
      </c>
    </row>
    <row r="1236" spans="1:11" x14ac:dyDescent="0.3">
      <c r="A1236" s="36" t="s">
        <v>90</v>
      </c>
      <c r="B1236" s="36">
        <v>2021</v>
      </c>
      <c r="C1236" s="36" t="s">
        <v>10</v>
      </c>
      <c r="D1236" s="36" t="s">
        <v>103</v>
      </c>
      <c r="E1236" s="36" t="s">
        <v>92</v>
      </c>
      <c r="F1236" s="36" t="s">
        <v>93</v>
      </c>
      <c r="G1236" s="36" t="s">
        <v>94</v>
      </c>
      <c r="H1236" s="36" t="s">
        <v>95</v>
      </c>
      <c r="I1236" s="36" t="s">
        <v>98</v>
      </c>
      <c r="J1236" s="36">
        <v>251</v>
      </c>
      <c r="K1236" s="36">
        <v>358.93</v>
      </c>
    </row>
    <row r="1237" spans="1:11" x14ac:dyDescent="0.3">
      <c r="A1237" s="36" t="s">
        <v>97</v>
      </c>
      <c r="B1237" s="36">
        <v>2021</v>
      </c>
      <c r="C1237" s="36" t="s">
        <v>10</v>
      </c>
      <c r="D1237" s="36" t="s">
        <v>103</v>
      </c>
      <c r="E1237" s="36" t="s">
        <v>92</v>
      </c>
      <c r="F1237" s="36" t="s">
        <v>93</v>
      </c>
      <c r="G1237" s="36" t="s">
        <v>94</v>
      </c>
      <c r="H1237" s="36" t="s">
        <v>95</v>
      </c>
      <c r="I1237" s="36" t="s">
        <v>96</v>
      </c>
      <c r="J1237" s="36">
        <v>227</v>
      </c>
      <c r="K1237" s="36">
        <v>324.61</v>
      </c>
    </row>
    <row r="1238" spans="1:11" x14ac:dyDescent="0.3">
      <c r="A1238" s="36" t="s">
        <v>97</v>
      </c>
      <c r="B1238" s="36">
        <v>2021</v>
      </c>
      <c r="C1238" s="36" t="s">
        <v>10</v>
      </c>
      <c r="D1238" s="36" t="s">
        <v>103</v>
      </c>
      <c r="E1238" s="36" t="s">
        <v>92</v>
      </c>
      <c r="F1238" s="36" t="s">
        <v>93</v>
      </c>
      <c r="G1238" s="36" t="s">
        <v>94</v>
      </c>
      <c r="H1238" s="36" t="s">
        <v>95</v>
      </c>
      <c r="I1238" s="36" t="s">
        <v>96</v>
      </c>
      <c r="J1238" s="36">
        <v>275</v>
      </c>
      <c r="K1238" s="36">
        <v>393.25</v>
      </c>
    </row>
    <row r="1239" spans="1:11" x14ac:dyDescent="0.3">
      <c r="A1239" s="36" t="s">
        <v>99</v>
      </c>
      <c r="B1239" s="36">
        <v>2021</v>
      </c>
      <c r="C1239" s="36" t="s">
        <v>9</v>
      </c>
      <c r="D1239" s="36" t="s">
        <v>103</v>
      </c>
      <c r="E1239" s="36" t="s">
        <v>92</v>
      </c>
      <c r="F1239" s="36" t="s">
        <v>93</v>
      </c>
      <c r="G1239" s="36" t="s">
        <v>94</v>
      </c>
      <c r="H1239" s="36" t="s">
        <v>95</v>
      </c>
      <c r="I1239" s="36" t="s">
        <v>98</v>
      </c>
      <c r="J1239" s="36">
        <v>278</v>
      </c>
      <c r="K1239" s="36">
        <v>397.53999999999996</v>
      </c>
    </row>
    <row r="1240" spans="1:11" x14ac:dyDescent="0.3">
      <c r="A1240" s="36" t="s">
        <v>97</v>
      </c>
      <c r="B1240" s="36">
        <v>2021</v>
      </c>
      <c r="C1240" s="36" t="s">
        <v>9</v>
      </c>
      <c r="D1240" s="36" t="s">
        <v>103</v>
      </c>
      <c r="E1240" s="36" t="s">
        <v>92</v>
      </c>
      <c r="F1240" s="36" t="s">
        <v>93</v>
      </c>
      <c r="G1240" s="36" t="s">
        <v>94</v>
      </c>
      <c r="H1240" s="36" t="s">
        <v>95</v>
      </c>
      <c r="I1240" s="36" t="s">
        <v>98</v>
      </c>
      <c r="J1240" s="36">
        <v>272</v>
      </c>
      <c r="K1240" s="36">
        <v>388.96</v>
      </c>
    </row>
    <row r="1241" spans="1:11" x14ac:dyDescent="0.3">
      <c r="A1241" s="36" t="s">
        <v>90</v>
      </c>
      <c r="B1241" s="36">
        <v>2021</v>
      </c>
      <c r="C1241" s="36" t="s">
        <v>9</v>
      </c>
      <c r="D1241" s="36" t="s">
        <v>103</v>
      </c>
      <c r="E1241" s="36" t="s">
        <v>92</v>
      </c>
      <c r="F1241" s="36" t="s">
        <v>93</v>
      </c>
      <c r="G1241" s="36" t="s">
        <v>94</v>
      </c>
      <c r="H1241" s="36" t="s">
        <v>95</v>
      </c>
      <c r="I1241" s="36" t="s">
        <v>96</v>
      </c>
      <c r="J1241" s="36">
        <v>278</v>
      </c>
      <c r="K1241" s="36">
        <v>397.53999999999996</v>
      </c>
    </row>
    <row r="1242" spans="1:11" x14ac:dyDescent="0.3">
      <c r="A1242" s="36" t="s">
        <v>97</v>
      </c>
      <c r="B1242" s="36">
        <v>2021</v>
      </c>
      <c r="C1242" s="36" t="s">
        <v>9</v>
      </c>
      <c r="D1242" s="36" t="s">
        <v>103</v>
      </c>
      <c r="E1242" s="36" t="s">
        <v>92</v>
      </c>
      <c r="F1242" s="36" t="s">
        <v>93</v>
      </c>
      <c r="G1242" s="36" t="s">
        <v>94</v>
      </c>
      <c r="H1242" s="36" t="s">
        <v>95</v>
      </c>
      <c r="I1242" s="36" t="s">
        <v>96</v>
      </c>
      <c r="J1242" s="36">
        <v>280</v>
      </c>
      <c r="K1242" s="36">
        <v>400.4</v>
      </c>
    </row>
    <row r="1243" spans="1:11" x14ac:dyDescent="0.3">
      <c r="A1243" s="36" t="s">
        <v>97</v>
      </c>
      <c r="B1243" s="36">
        <v>2021</v>
      </c>
      <c r="C1243" s="36" t="s">
        <v>9</v>
      </c>
      <c r="D1243" s="36" t="s">
        <v>103</v>
      </c>
      <c r="E1243" s="36" t="s">
        <v>92</v>
      </c>
      <c r="F1243" s="36" t="s">
        <v>93</v>
      </c>
      <c r="G1243" s="36" t="s">
        <v>94</v>
      </c>
      <c r="H1243" s="36" t="s">
        <v>95</v>
      </c>
      <c r="I1243" s="36" t="s">
        <v>96</v>
      </c>
      <c r="J1243" s="36">
        <v>274</v>
      </c>
      <c r="K1243" s="36">
        <v>391.82</v>
      </c>
    </row>
    <row r="1244" spans="1:11" x14ac:dyDescent="0.3">
      <c r="A1244" s="36" t="s">
        <v>90</v>
      </c>
      <c r="B1244" s="36">
        <v>2021</v>
      </c>
      <c r="C1244" s="36" t="s">
        <v>9</v>
      </c>
      <c r="D1244" s="36" t="s">
        <v>103</v>
      </c>
      <c r="E1244" s="36" t="s">
        <v>92</v>
      </c>
      <c r="F1244" s="36" t="s">
        <v>93</v>
      </c>
      <c r="G1244" s="36" t="s">
        <v>94</v>
      </c>
      <c r="H1244" s="36" t="s">
        <v>95</v>
      </c>
      <c r="I1244" s="36" t="s">
        <v>96</v>
      </c>
      <c r="J1244" s="36">
        <v>268</v>
      </c>
      <c r="K1244" s="36">
        <v>383.24</v>
      </c>
    </row>
    <row r="1245" spans="1:11" x14ac:dyDescent="0.3">
      <c r="A1245" s="36" t="s">
        <v>99</v>
      </c>
      <c r="B1245" s="36">
        <v>2021</v>
      </c>
      <c r="C1245" s="36" t="s">
        <v>9</v>
      </c>
      <c r="D1245" s="36" t="s">
        <v>103</v>
      </c>
      <c r="E1245" s="36" t="s">
        <v>92</v>
      </c>
      <c r="F1245" s="36" t="s">
        <v>93</v>
      </c>
      <c r="G1245" s="36" t="s">
        <v>94</v>
      </c>
      <c r="H1245" s="36" t="s">
        <v>95</v>
      </c>
      <c r="I1245" s="36" t="s">
        <v>96</v>
      </c>
      <c r="J1245" s="36">
        <v>232</v>
      </c>
      <c r="K1245" s="36">
        <v>526.24</v>
      </c>
    </row>
    <row r="1246" spans="1:11" x14ac:dyDescent="0.3">
      <c r="A1246" s="36" t="s">
        <v>90</v>
      </c>
      <c r="B1246" s="36">
        <v>2021</v>
      </c>
      <c r="C1246" s="36" t="s">
        <v>9</v>
      </c>
      <c r="D1246" s="36" t="s">
        <v>103</v>
      </c>
      <c r="E1246" s="36" t="s">
        <v>92</v>
      </c>
      <c r="F1246" s="36" t="s">
        <v>93</v>
      </c>
      <c r="G1246" s="36" t="s">
        <v>94</v>
      </c>
      <c r="H1246" s="36" t="s">
        <v>95</v>
      </c>
      <c r="I1246" s="36" t="s">
        <v>96</v>
      </c>
      <c r="J1246" s="36">
        <v>280</v>
      </c>
      <c r="K1246" s="36">
        <v>526.24</v>
      </c>
    </row>
    <row r="1247" spans="1:11" x14ac:dyDescent="0.3">
      <c r="A1247" s="36" t="s">
        <v>100</v>
      </c>
      <c r="B1247" s="36">
        <v>2021</v>
      </c>
      <c r="C1247" s="36" t="s">
        <v>9</v>
      </c>
      <c r="D1247" s="36" t="s">
        <v>103</v>
      </c>
      <c r="E1247" s="36" t="s">
        <v>92</v>
      </c>
      <c r="F1247" s="36" t="s">
        <v>93</v>
      </c>
      <c r="G1247" s="36" t="s">
        <v>94</v>
      </c>
      <c r="H1247" s="36" t="s">
        <v>95</v>
      </c>
      <c r="I1247" s="36" t="s">
        <v>96</v>
      </c>
      <c r="J1247" s="36">
        <v>1005</v>
      </c>
      <c r="K1247" s="36">
        <v>1437.15</v>
      </c>
    </row>
    <row r="1248" spans="1:11" x14ac:dyDescent="0.3">
      <c r="A1248" s="36" t="s">
        <v>97</v>
      </c>
      <c r="B1248" s="36">
        <v>2021</v>
      </c>
      <c r="C1248" s="36" t="s">
        <v>9</v>
      </c>
      <c r="D1248" s="36" t="s">
        <v>103</v>
      </c>
      <c r="E1248" s="36" t="s">
        <v>92</v>
      </c>
      <c r="F1248" s="36" t="s">
        <v>93</v>
      </c>
      <c r="G1248" s="36" t="s">
        <v>94</v>
      </c>
      <c r="H1248" s="36" t="s">
        <v>95</v>
      </c>
      <c r="I1248" s="36" t="s">
        <v>96</v>
      </c>
      <c r="J1248" s="36">
        <v>1038</v>
      </c>
      <c r="K1248" s="36">
        <v>1484.34</v>
      </c>
    </row>
    <row r="1249" spans="1:11" x14ac:dyDescent="0.3">
      <c r="A1249" s="36" t="s">
        <v>90</v>
      </c>
      <c r="B1249" s="36">
        <v>2021</v>
      </c>
      <c r="C1249" s="36" t="s">
        <v>9</v>
      </c>
      <c r="D1249" s="36" t="s">
        <v>103</v>
      </c>
      <c r="E1249" s="36" t="s">
        <v>92</v>
      </c>
      <c r="F1249" s="36" t="s">
        <v>93</v>
      </c>
      <c r="G1249" s="36" t="s">
        <v>94</v>
      </c>
      <c r="H1249" s="36" t="s">
        <v>95</v>
      </c>
      <c r="I1249" s="36" t="s">
        <v>96</v>
      </c>
      <c r="J1249" s="36">
        <v>231</v>
      </c>
      <c r="K1249" s="36">
        <v>330.33</v>
      </c>
    </row>
    <row r="1250" spans="1:11" x14ac:dyDescent="0.3">
      <c r="A1250" s="36" t="s">
        <v>97</v>
      </c>
      <c r="B1250" s="36">
        <v>2021</v>
      </c>
      <c r="C1250" s="36" t="s">
        <v>9</v>
      </c>
      <c r="D1250" s="36" t="s">
        <v>103</v>
      </c>
      <c r="E1250" s="36" t="s">
        <v>92</v>
      </c>
      <c r="F1250" s="36" t="s">
        <v>93</v>
      </c>
      <c r="G1250" s="36" t="s">
        <v>94</v>
      </c>
      <c r="H1250" s="36" t="s">
        <v>95</v>
      </c>
      <c r="I1250" s="36" t="s">
        <v>96</v>
      </c>
      <c r="J1250" s="36">
        <v>279</v>
      </c>
      <c r="K1250" s="36">
        <v>398.97</v>
      </c>
    </row>
    <row r="1251" spans="1:11" x14ac:dyDescent="0.3">
      <c r="A1251" s="36" t="s">
        <v>100</v>
      </c>
      <c r="B1251" s="36">
        <v>2021</v>
      </c>
      <c r="C1251" s="36" t="s">
        <v>9</v>
      </c>
      <c r="D1251" s="36" t="s">
        <v>103</v>
      </c>
      <c r="E1251" s="36" t="s">
        <v>92</v>
      </c>
      <c r="F1251" s="36" t="s">
        <v>93</v>
      </c>
      <c r="G1251" s="36" t="s">
        <v>94</v>
      </c>
      <c r="H1251" s="36" t="s">
        <v>95</v>
      </c>
      <c r="I1251" s="36" t="s">
        <v>96</v>
      </c>
      <c r="J1251" s="36">
        <v>277</v>
      </c>
      <c r="K1251" s="36">
        <v>396.11</v>
      </c>
    </row>
    <row r="1252" spans="1:11" x14ac:dyDescent="0.3">
      <c r="A1252" s="36" t="s">
        <v>99</v>
      </c>
      <c r="B1252" s="36">
        <v>2021</v>
      </c>
      <c r="C1252" s="36" t="s">
        <v>9</v>
      </c>
      <c r="D1252" s="36" t="s">
        <v>103</v>
      </c>
      <c r="E1252" s="36" t="s">
        <v>92</v>
      </c>
      <c r="F1252" s="36" t="s">
        <v>93</v>
      </c>
      <c r="G1252" s="36" t="s">
        <v>94</v>
      </c>
      <c r="H1252" s="36" t="s">
        <v>95</v>
      </c>
      <c r="I1252" s="36" t="s">
        <v>96</v>
      </c>
      <c r="J1252" s="36">
        <v>271</v>
      </c>
      <c r="K1252" s="36">
        <v>387.53</v>
      </c>
    </row>
    <row r="1253" spans="1:11" x14ac:dyDescent="0.3">
      <c r="A1253" s="36" t="s">
        <v>97</v>
      </c>
      <c r="B1253" s="36">
        <v>2021</v>
      </c>
      <c r="C1253" s="36" t="s">
        <v>9</v>
      </c>
      <c r="D1253" s="36" t="s">
        <v>103</v>
      </c>
      <c r="E1253" s="36" t="s">
        <v>92</v>
      </c>
      <c r="F1253" s="36" t="s">
        <v>93</v>
      </c>
      <c r="G1253" s="36" t="s">
        <v>94</v>
      </c>
      <c r="H1253" s="36" t="s">
        <v>95</v>
      </c>
      <c r="I1253" s="36" t="s">
        <v>96</v>
      </c>
      <c r="J1253" s="36">
        <v>786</v>
      </c>
      <c r="K1253" s="36">
        <v>1123.98</v>
      </c>
    </row>
    <row r="1254" spans="1:11" x14ac:dyDescent="0.3">
      <c r="A1254" s="36" t="s">
        <v>97</v>
      </c>
      <c r="B1254" s="36">
        <v>2021</v>
      </c>
      <c r="C1254" s="36" t="s">
        <v>9</v>
      </c>
      <c r="D1254" s="36" t="s">
        <v>103</v>
      </c>
      <c r="E1254" s="36" t="s">
        <v>92</v>
      </c>
      <c r="F1254" s="36" t="s">
        <v>93</v>
      </c>
      <c r="G1254" s="36" t="s">
        <v>94</v>
      </c>
      <c r="H1254" s="36" t="s">
        <v>95</v>
      </c>
      <c r="I1254" s="36" t="s">
        <v>98</v>
      </c>
      <c r="J1254" s="36">
        <v>281</v>
      </c>
      <c r="K1254" s="36">
        <v>401.83</v>
      </c>
    </row>
    <row r="1255" spans="1:11" x14ac:dyDescent="0.3">
      <c r="A1255" s="36" t="s">
        <v>97</v>
      </c>
      <c r="B1255" s="36">
        <v>2021</v>
      </c>
      <c r="C1255" s="36" t="s">
        <v>9</v>
      </c>
      <c r="D1255" s="36" t="s">
        <v>103</v>
      </c>
      <c r="E1255" s="36" t="s">
        <v>92</v>
      </c>
      <c r="F1255" s="36" t="s">
        <v>93</v>
      </c>
      <c r="G1255" s="36" t="s">
        <v>94</v>
      </c>
      <c r="H1255" s="36" t="s">
        <v>95</v>
      </c>
      <c r="I1255" s="36" t="s">
        <v>98</v>
      </c>
      <c r="J1255" s="36">
        <v>275</v>
      </c>
      <c r="K1255" s="36">
        <v>393.25</v>
      </c>
    </row>
    <row r="1256" spans="1:11" x14ac:dyDescent="0.3">
      <c r="A1256" s="36" t="s">
        <v>101</v>
      </c>
      <c r="B1256" s="36">
        <v>2021</v>
      </c>
      <c r="C1256" s="36" t="s">
        <v>9</v>
      </c>
      <c r="D1256" s="36" t="s">
        <v>103</v>
      </c>
      <c r="E1256" s="36" t="s">
        <v>92</v>
      </c>
      <c r="F1256" s="36" t="s">
        <v>93</v>
      </c>
      <c r="G1256" s="36" t="s">
        <v>94</v>
      </c>
      <c r="H1256" s="36" t="s">
        <v>95</v>
      </c>
      <c r="I1256" s="36" t="s">
        <v>98</v>
      </c>
      <c r="J1256" s="36">
        <v>269</v>
      </c>
      <c r="K1256" s="36">
        <v>384.67</v>
      </c>
    </row>
    <row r="1257" spans="1:11" x14ac:dyDescent="0.3">
      <c r="A1257" s="36" t="s">
        <v>97</v>
      </c>
      <c r="B1257" s="36">
        <v>2021</v>
      </c>
      <c r="C1257" s="36" t="s">
        <v>9</v>
      </c>
      <c r="D1257" s="36" t="s">
        <v>103</v>
      </c>
      <c r="E1257" s="36" t="s">
        <v>92</v>
      </c>
      <c r="F1257" s="36" t="s">
        <v>93</v>
      </c>
      <c r="G1257" s="36" t="s">
        <v>94</v>
      </c>
      <c r="H1257" s="36" t="s">
        <v>95</v>
      </c>
      <c r="I1257" s="36" t="s">
        <v>96</v>
      </c>
      <c r="J1257" s="36">
        <v>233</v>
      </c>
      <c r="K1257" s="36">
        <v>333.19</v>
      </c>
    </row>
    <row r="1258" spans="1:11" x14ac:dyDescent="0.3">
      <c r="A1258" s="36" t="s">
        <v>99</v>
      </c>
      <c r="B1258" s="36">
        <v>2021</v>
      </c>
      <c r="C1258" s="36" t="s">
        <v>9</v>
      </c>
      <c r="D1258" s="36" t="s">
        <v>103</v>
      </c>
      <c r="E1258" s="36" t="s">
        <v>92</v>
      </c>
      <c r="F1258" s="36" t="s">
        <v>93</v>
      </c>
      <c r="G1258" s="36" t="s">
        <v>94</v>
      </c>
      <c r="H1258" s="36" t="s">
        <v>95</v>
      </c>
      <c r="I1258" s="36" t="s">
        <v>96</v>
      </c>
      <c r="J1258" s="36">
        <v>281</v>
      </c>
      <c r="K1258" s="36">
        <v>401.83</v>
      </c>
    </row>
    <row r="1259" spans="1:11" x14ac:dyDescent="0.3">
      <c r="A1259" s="36" t="s">
        <v>99</v>
      </c>
      <c r="B1259" s="36">
        <v>2021</v>
      </c>
      <c r="C1259" s="36" t="s">
        <v>8</v>
      </c>
      <c r="D1259" s="36" t="s">
        <v>103</v>
      </c>
      <c r="E1259" s="36" t="s">
        <v>92</v>
      </c>
      <c r="F1259" s="36" t="s">
        <v>93</v>
      </c>
      <c r="G1259" s="36" t="s">
        <v>94</v>
      </c>
      <c r="H1259" s="36" t="s">
        <v>95</v>
      </c>
      <c r="I1259" s="36" t="s">
        <v>98</v>
      </c>
      <c r="J1259" s="36">
        <v>284</v>
      </c>
      <c r="K1259" s="36">
        <v>406.12</v>
      </c>
    </row>
    <row r="1260" spans="1:11" x14ac:dyDescent="0.3">
      <c r="A1260" s="36" t="s">
        <v>90</v>
      </c>
      <c r="B1260" s="36">
        <v>2021</v>
      </c>
      <c r="C1260" s="36" t="s">
        <v>8</v>
      </c>
      <c r="D1260" s="36" t="s">
        <v>103</v>
      </c>
      <c r="E1260" s="36" t="s">
        <v>92</v>
      </c>
      <c r="F1260" s="36" t="s">
        <v>93</v>
      </c>
      <c r="G1260" s="36" t="s">
        <v>94</v>
      </c>
      <c r="H1260" s="36" t="s">
        <v>95</v>
      </c>
      <c r="I1260" s="36" t="s">
        <v>96</v>
      </c>
      <c r="J1260" s="36">
        <v>236</v>
      </c>
      <c r="K1260" s="36">
        <v>337.48</v>
      </c>
    </row>
    <row r="1261" spans="1:11" x14ac:dyDescent="0.3">
      <c r="A1261" s="36" t="s">
        <v>90</v>
      </c>
      <c r="B1261" s="36">
        <v>2021</v>
      </c>
      <c r="C1261" s="36" t="s">
        <v>8</v>
      </c>
      <c r="D1261" s="36" t="s">
        <v>103</v>
      </c>
      <c r="E1261" s="36" t="s">
        <v>92</v>
      </c>
      <c r="F1261" s="36" t="s">
        <v>93</v>
      </c>
      <c r="G1261" s="36" t="s">
        <v>94</v>
      </c>
      <c r="H1261" s="36" t="s">
        <v>95</v>
      </c>
      <c r="I1261" s="36" t="s">
        <v>96</v>
      </c>
      <c r="J1261" s="36">
        <v>284</v>
      </c>
      <c r="K1261" s="36">
        <v>406.12</v>
      </c>
    </row>
    <row r="1262" spans="1:11" x14ac:dyDescent="0.3">
      <c r="A1262" s="36" t="s">
        <v>97</v>
      </c>
      <c r="B1262" s="36">
        <v>2021</v>
      </c>
      <c r="C1262" s="36" t="s">
        <v>8</v>
      </c>
      <c r="D1262" s="36" t="s">
        <v>103</v>
      </c>
      <c r="E1262" s="36" t="s">
        <v>92</v>
      </c>
      <c r="F1262" s="36" t="s">
        <v>93</v>
      </c>
      <c r="G1262" s="36" t="s">
        <v>94</v>
      </c>
      <c r="H1262" s="36" t="s">
        <v>95</v>
      </c>
      <c r="I1262" s="36" t="s">
        <v>96</v>
      </c>
      <c r="J1262" s="36">
        <v>212</v>
      </c>
      <c r="K1262" s="36">
        <v>303.15999999999997</v>
      </c>
    </row>
    <row r="1263" spans="1:11" x14ac:dyDescent="0.3">
      <c r="A1263" s="36" t="s">
        <v>99</v>
      </c>
      <c r="B1263" s="36">
        <v>2021</v>
      </c>
      <c r="C1263" s="36" t="s">
        <v>8</v>
      </c>
      <c r="D1263" s="36" t="s">
        <v>103</v>
      </c>
      <c r="E1263" s="36" t="s">
        <v>92</v>
      </c>
      <c r="F1263" s="36" t="s">
        <v>93</v>
      </c>
      <c r="G1263" s="36" t="s">
        <v>94</v>
      </c>
      <c r="H1263" s="36" t="s">
        <v>95</v>
      </c>
      <c r="I1263" s="36" t="s">
        <v>96</v>
      </c>
      <c r="J1263" s="36">
        <v>286</v>
      </c>
      <c r="K1263" s="36">
        <v>408.98</v>
      </c>
    </row>
    <row r="1264" spans="1:11" x14ac:dyDescent="0.3">
      <c r="A1264" s="36" t="s">
        <v>99</v>
      </c>
      <c r="B1264" s="36">
        <v>2021</v>
      </c>
      <c r="C1264" s="36" t="s">
        <v>8</v>
      </c>
      <c r="D1264" s="36" t="s">
        <v>103</v>
      </c>
      <c r="E1264" s="36" t="s">
        <v>92</v>
      </c>
      <c r="F1264" s="36" t="s">
        <v>93</v>
      </c>
      <c r="G1264" s="36" t="s">
        <v>94</v>
      </c>
      <c r="H1264" s="36" t="s">
        <v>95</v>
      </c>
      <c r="I1264" s="36" t="s">
        <v>96</v>
      </c>
      <c r="J1264" s="36">
        <v>238</v>
      </c>
      <c r="K1264" s="36">
        <v>526.24</v>
      </c>
    </row>
    <row r="1265" spans="1:11" x14ac:dyDescent="0.3">
      <c r="A1265" s="36" t="s">
        <v>99</v>
      </c>
      <c r="B1265" s="36">
        <v>2021</v>
      </c>
      <c r="C1265" s="36" t="s">
        <v>8</v>
      </c>
      <c r="D1265" s="36" t="s">
        <v>103</v>
      </c>
      <c r="E1265" s="36" t="s">
        <v>92</v>
      </c>
      <c r="F1265" s="36" t="s">
        <v>93</v>
      </c>
      <c r="G1265" s="36" t="s">
        <v>94</v>
      </c>
      <c r="H1265" s="36" t="s">
        <v>95</v>
      </c>
      <c r="I1265" s="36" t="s">
        <v>96</v>
      </c>
      <c r="J1265" s="36">
        <v>286</v>
      </c>
      <c r="K1265" s="36">
        <v>526.24</v>
      </c>
    </row>
    <row r="1266" spans="1:11" x14ac:dyDescent="0.3">
      <c r="A1266" s="36" t="s">
        <v>90</v>
      </c>
      <c r="B1266" s="36">
        <v>2021</v>
      </c>
      <c r="C1266" s="36" t="s">
        <v>8</v>
      </c>
      <c r="D1266" s="36" t="s">
        <v>103</v>
      </c>
      <c r="E1266" s="36" t="s">
        <v>92</v>
      </c>
      <c r="F1266" s="36" t="s">
        <v>93</v>
      </c>
      <c r="G1266" s="36" t="s">
        <v>94</v>
      </c>
      <c r="H1266" s="36" t="s">
        <v>95</v>
      </c>
      <c r="I1266" s="36" t="s">
        <v>96</v>
      </c>
      <c r="J1266" s="36">
        <v>214</v>
      </c>
      <c r="K1266" s="36">
        <v>526.24</v>
      </c>
    </row>
    <row r="1267" spans="1:11" x14ac:dyDescent="0.3">
      <c r="A1267" s="36" t="s">
        <v>90</v>
      </c>
      <c r="B1267" s="36">
        <v>2021</v>
      </c>
      <c r="C1267" s="36" t="s">
        <v>8</v>
      </c>
      <c r="D1267" s="36" t="s">
        <v>103</v>
      </c>
      <c r="E1267" s="36" t="s">
        <v>92</v>
      </c>
      <c r="F1267" s="36" t="s">
        <v>93</v>
      </c>
      <c r="G1267" s="36" t="s">
        <v>94</v>
      </c>
      <c r="H1267" s="36" t="s">
        <v>95</v>
      </c>
      <c r="I1267" s="36" t="s">
        <v>96</v>
      </c>
      <c r="J1267" s="36">
        <v>1004</v>
      </c>
      <c r="K1267" s="36">
        <v>1435.72</v>
      </c>
    </row>
    <row r="1268" spans="1:11" x14ac:dyDescent="0.3">
      <c r="A1268" s="36" t="s">
        <v>99</v>
      </c>
      <c r="B1268" s="36">
        <v>2021</v>
      </c>
      <c r="C1268" s="36" t="s">
        <v>8</v>
      </c>
      <c r="D1268" s="36" t="s">
        <v>103</v>
      </c>
      <c r="E1268" s="36" t="s">
        <v>92</v>
      </c>
      <c r="F1268" s="36" t="s">
        <v>93</v>
      </c>
      <c r="G1268" s="36" t="s">
        <v>94</v>
      </c>
      <c r="H1268" s="36" t="s">
        <v>95</v>
      </c>
      <c r="I1268" s="36" t="s">
        <v>96</v>
      </c>
      <c r="J1268" s="36">
        <v>237</v>
      </c>
      <c r="K1268" s="36">
        <v>338.90999999999997</v>
      </c>
    </row>
    <row r="1269" spans="1:11" x14ac:dyDescent="0.3">
      <c r="A1269" s="36" t="s">
        <v>99</v>
      </c>
      <c r="B1269" s="36">
        <v>2021</v>
      </c>
      <c r="C1269" s="36" t="s">
        <v>8</v>
      </c>
      <c r="D1269" s="36" t="s">
        <v>103</v>
      </c>
      <c r="E1269" s="36" t="s">
        <v>92</v>
      </c>
      <c r="F1269" s="36" t="s">
        <v>93</v>
      </c>
      <c r="G1269" s="36" t="s">
        <v>94</v>
      </c>
      <c r="H1269" s="36" t="s">
        <v>104</v>
      </c>
      <c r="I1269" s="36" t="s">
        <v>96</v>
      </c>
      <c r="J1269" s="36">
        <v>285</v>
      </c>
      <c r="K1269" s="36">
        <v>407.55</v>
      </c>
    </row>
    <row r="1270" spans="1:11" x14ac:dyDescent="0.3">
      <c r="A1270" s="36" t="s">
        <v>90</v>
      </c>
      <c r="B1270" s="36">
        <v>2021</v>
      </c>
      <c r="C1270" s="36" t="s">
        <v>8</v>
      </c>
      <c r="D1270" s="36" t="s">
        <v>103</v>
      </c>
      <c r="E1270" s="36" t="s">
        <v>92</v>
      </c>
      <c r="F1270" s="36" t="s">
        <v>93</v>
      </c>
      <c r="G1270" s="36" t="s">
        <v>94</v>
      </c>
      <c r="H1270" s="36" t="s">
        <v>104</v>
      </c>
      <c r="I1270" s="36" t="s">
        <v>96</v>
      </c>
      <c r="J1270" s="36">
        <v>213</v>
      </c>
      <c r="K1270" s="36">
        <v>304.59000000000003</v>
      </c>
    </row>
    <row r="1271" spans="1:11" x14ac:dyDescent="0.3">
      <c r="A1271" s="36" t="s">
        <v>90</v>
      </c>
      <c r="B1271" s="36">
        <v>2021</v>
      </c>
      <c r="C1271" s="36" t="s">
        <v>8</v>
      </c>
      <c r="D1271" s="36" t="s">
        <v>103</v>
      </c>
      <c r="E1271" s="36" t="s">
        <v>92</v>
      </c>
      <c r="F1271" s="36" t="s">
        <v>93</v>
      </c>
      <c r="G1271" s="36" t="s">
        <v>94</v>
      </c>
      <c r="H1271" s="36" t="s">
        <v>104</v>
      </c>
      <c r="I1271" s="36" t="s">
        <v>96</v>
      </c>
      <c r="J1271" s="36">
        <v>283</v>
      </c>
      <c r="K1271" s="36">
        <v>404.69</v>
      </c>
    </row>
    <row r="1272" spans="1:11" x14ac:dyDescent="0.3">
      <c r="A1272" s="36" t="s">
        <v>90</v>
      </c>
      <c r="B1272" s="36">
        <v>2021</v>
      </c>
      <c r="C1272" s="36" t="s">
        <v>8</v>
      </c>
      <c r="D1272" s="36" t="s">
        <v>103</v>
      </c>
      <c r="E1272" s="36" t="s">
        <v>92</v>
      </c>
      <c r="F1272" s="36" t="s">
        <v>93</v>
      </c>
      <c r="G1272" s="36" t="s">
        <v>94</v>
      </c>
      <c r="H1272" s="36" t="s">
        <v>104</v>
      </c>
      <c r="I1272" s="36" t="s">
        <v>96</v>
      </c>
      <c r="J1272" s="36">
        <v>785</v>
      </c>
      <c r="K1272" s="36">
        <v>1122.55</v>
      </c>
    </row>
    <row r="1273" spans="1:11" x14ac:dyDescent="0.3">
      <c r="A1273" s="36" t="s">
        <v>90</v>
      </c>
      <c r="B1273" s="36">
        <v>2021</v>
      </c>
      <c r="C1273" s="36" t="s">
        <v>8</v>
      </c>
      <c r="D1273" s="36" t="s">
        <v>103</v>
      </c>
      <c r="E1273" s="36" t="s">
        <v>92</v>
      </c>
      <c r="F1273" s="36" t="s">
        <v>93</v>
      </c>
      <c r="G1273" s="36" t="s">
        <v>94</v>
      </c>
      <c r="H1273" s="36" t="s">
        <v>104</v>
      </c>
      <c r="I1273" s="36" t="s">
        <v>96</v>
      </c>
      <c r="J1273" s="36">
        <v>819</v>
      </c>
      <c r="K1273" s="36">
        <v>1171.17</v>
      </c>
    </row>
    <row r="1274" spans="1:11" x14ac:dyDescent="0.3">
      <c r="A1274" s="36" t="s">
        <v>99</v>
      </c>
      <c r="B1274" s="36">
        <v>2021</v>
      </c>
      <c r="C1274" s="36" t="s">
        <v>8</v>
      </c>
      <c r="D1274" s="36" t="s">
        <v>103</v>
      </c>
      <c r="E1274" s="36" t="s">
        <v>92</v>
      </c>
      <c r="F1274" s="36" t="s">
        <v>93</v>
      </c>
      <c r="G1274" s="36" t="s">
        <v>94</v>
      </c>
      <c r="H1274" s="36" t="s">
        <v>104</v>
      </c>
      <c r="I1274" s="36" t="s">
        <v>96</v>
      </c>
      <c r="J1274" s="36">
        <v>872</v>
      </c>
      <c r="K1274" s="36">
        <v>1246.96</v>
      </c>
    </row>
    <row r="1275" spans="1:11" x14ac:dyDescent="0.3">
      <c r="A1275" s="36" t="s">
        <v>97</v>
      </c>
      <c r="B1275" s="36">
        <v>2021</v>
      </c>
      <c r="C1275" s="36" t="s">
        <v>8</v>
      </c>
      <c r="D1275" s="36" t="s">
        <v>103</v>
      </c>
      <c r="E1275" s="36" t="s">
        <v>92</v>
      </c>
      <c r="F1275" s="36" t="s">
        <v>93</v>
      </c>
      <c r="G1275" s="36" t="s">
        <v>94</v>
      </c>
      <c r="H1275" s="36" t="s">
        <v>104</v>
      </c>
      <c r="I1275" s="36" t="s">
        <v>98</v>
      </c>
      <c r="J1275" s="36">
        <v>287</v>
      </c>
      <c r="K1275" s="36">
        <v>410.40999999999997</v>
      </c>
    </row>
    <row r="1276" spans="1:11" x14ac:dyDescent="0.3">
      <c r="A1276" s="36" t="s">
        <v>97</v>
      </c>
      <c r="B1276" s="36">
        <v>2021</v>
      </c>
      <c r="C1276" s="36" t="s">
        <v>8</v>
      </c>
      <c r="D1276" s="36" t="s">
        <v>103</v>
      </c>
      <c r="E1276" s="36" t="s">
        <v>92</v>
      </c>
      <c r="F1276" s="36" t="s">
        <v>93</v>
      </c>
      <c r="G1276" s="36" t="s">
        <v>94</v>
      </c>
      <c r="H1276" s="36" t="s">
        <v>104</v>
      </c>
      <c r="I1276" s="36" t="s">
        <v>96</v>
      </c>
      <c r="J1276" s="36">
        <v>239</v>
      </c>
      <c r="K1276" s="36">
        <v>341.77</v>
      </c>
    </row>
    <row r="1277" spans="1:11" x14ac:dyDescent="0.3">
      <c r="A1277" s="36" t="s">
        <v>90</v>
      </c>
      <c r="B1277" s="36">
        <v>2021</v>
      </c>
      <c r="C1277" s="36" t="s">
        <v>8</v>
      </c>
      <c r="D1277" s="36" t="s">
        <v>103</v>
      </c>
      <c r="E1277" s="36" t="s">
        <v>92</v>
      </c>
      <c r="F1277" s="36" t="s">
        <v>93</v>
      </c>
      <c r="G1277" s="36" t="s">
        <v>94</v>
      </c>
      <c r="H1277" s="36" t="s">
        <v>104</v>
      </c>
      <c r="I1277" s="36" t="s">
        <v>96</v>
      </c>
      <c r="J1277" s="36">
        <v>287</v>
      </c>
      <c r="K1277" s="36">
        <v>410.40999999999997</v>
      </c>
    </row>
    <row r="1278" spans="1:11" x14ac:dyDescent="0.3">
      <c r="A1278" s="36" t="s">
        <v>97</v>
      </c>
      <c r="B1278" s="36">
        <v>2021</v>
      </c>
      <c r="C1278" s="36" t="s">
        <v>3</v>
      </c>
      <c r="D1278" s="36" t="s">
        <v>91</v>
      </c>
      <c r="E1278" s="36" t="s">
        <v>105</v>
      </c>
      <c r="F1278" s="36" t="s">
        <v>106</v>
      </c>
      <c r="G1278" s="36" t="s">
        <v>102</v>
      </c>
      <c r="H1278" s="36" t="s">
        <v>104</v>
      </c>
      <c r="I1278" s="36" t="s">
        <v>107</v>
      </c>
      <c r="J1278" s="36">
        <v>160</v>
      </c>
      <c r="K1278" s="36">
        <v>228.8</v>
      </c>
    </row>
    <row r="1279" spans="1:11" x14ac:dyDescent="0.3">
      <c r="A1279" s="36" t="s">
        <v>90</v>
      </c>
      <c r="B1279" s="36">
        <v>2021</v>
      </c>
      <c r="C1279" s="36" t="s">
        <v>3</v>
      </c>
      <c r="D1279" s="36" t="s">
        <v>91</v>
      </c>
      <c r="E1279" s="36" t="s">
        <v>105</v>
      </c>
      <c r="F1279" s="36" t="s">
        <v>106</v>
      </c>
      <c r="G1279" s="36" t="s">
        <v>102</v>
      </c>
      <c r="H1279" s="36" t="s">
        <v>104</v>
      </c>
      <c r="I1279" s="36" t="s">
        <v>107</v>
      </c>
      <c r="J1279" s="36">
        <v>154</v>
      </c>
      <c r="K1279" s="36">
        <v>220.22</v>
      </c>
    </row>
    <row r="1280" spans="1:11" x14ac:dyDescent="0.3">
      <c r="A1280" s="36" t="s">
        <v>97</v>
      </c>
      <c r="B1280" s="36">
        <v>2021</v>
      </c>
      <c r="C1280" s="36" t="s">
        <v>3</v>
      </c>
      <c r="D1280" s="36" t="s">
        <v>91</v>
      </c>
      <c r="E1280" s="36" t="s">
        <v>105</v>
      </c>
      <c r="F1280" s="36" t="s">
        <v>106</v>
      </c>
      <c r="G1280" s="36" t="s">
        <v>102</v>
      </c>
      <c r="H1280" s="36" t="s">
        <v>104</v>
      </c>
      <c r="I1280" s="36" t="s">
        <v>107</v>
      </c>
      <c r="J1280" s="36">
        <v>148</v>
      </c>
      <c r="K1280" s="36">
        <v>211.64</v>
      </c>
    </row>
    <row r="1281" spans="1:11" x14ac:dyDescent="0.3">
      <c r="A1281" s="36" t="s">
        <v>97</v>
      </c>
      <c r="B1281" s="36">
        <v>2021</v>
      </c>
      <c r="C1281" s="36" t="s">
        <v>3</v>
      </c>
      <c r="D1281" s="36" t="s">
        <v>91</v>
      </c>
      <c r="E1281" s="36" t="s">
        <v>105</v>
      </c>
      <c r="F1281" s="36" t="s">
        <v>106</v>
      </c>
      <c r="G1281" s="36" t="s">
        <v>102</v>
      </c>
      <c r="H1281" s="36" t="s">
        <v>104</v>
      </c>
      <c r="I1281" s="36" t="s">
        <v>107</v>
      </c>
      <c r="J1281" s="36">
        <v>157</v>
      </c>
      <c r="K1281" s="36">
        <v>224.51</v>
      </c>
    </row>
    <row r="1282" spans="1:11" x14ac:dyDescent="0.3">
      <c r="A1282" s="36" t="s">
        <v>97</v>
      </c>
      <c r="B1282" s="36">
        <v>2021</v>
      </c>
      <c r="C1282" s="36" t="s">
        <v>3</v>
      </c>
      <c r="D1282" s="36" t="s">
        <v>91</v>
      </c>
      <c r="E1282" s="36" t="s">
        <v>105</v>
      </c>
      <c r="F1282" s="36" t="s">
        <v>106</v>
      </c>
      <c r="G1282" s="36" t="s">
        <v>102</v>
      </c>
      <c r="H1282" s="36" t="s">
        <v>104</v>
      </c>
      <c r="I1282" s="36" t="s">
        <v>107</v>
      </c>
      <c r="J1282" s="36">
        <v>151</v>
      </c>
      <c r="K1282" s="36">
        <v>215.93</v>
      </c>
    </row>
    <row r="1283" spans="1:11" x14ac:dyDescent="0.3">
      <c r="A1283" s="36" t="s">
        <v>97</v>
      </c>
      <c r="B1283" s="36">
        <v>2021</v>
      </c>
      <c r="C1283" s="36" t="s">
        <v>7</v>
      </c>
      <c r="D1283" s="36" t="s">
        <v>91</v>
      </c>
      <c r="E1283" s="36" t="s">
        <v>105</v>
      </c>
      <c r="F1283" s="36" t="s">
        <v>106</v>
      </c>
      <c r="G1283" s="36" t="s">
        <v>102</v>
      </c>
      <c r="H1283" s="36" t="s">
        <v>104</v>
      </c>
      <c r="I1283" s="36" t="s">
        <v>107</v>
      </c>
      <c r="J1283" s="36">
        <v>343</v>
      </c>
      <c r="K1283" s="36">
        <v>490.49</v>
      </c>
    </row>
    <row r="1284" spans="1:11" x14ac:dyDescent="0.3">
      <c r="A1284" s="36" t="s">
        <v>99</v>
      </c>
      <c r="B1284" s="36">
        <v>2021</v>
      </c>
      <c r="C1284" s="36" t="s">
        <v>11</v>
      </c>
      <c r="D1284" s="36" t="s">
        <v>91</v>
      </c>
      <c r="E1284" s="36" t="s">
        <v>105</v>
      </c>
      <c r="F1284" s="36" t="s">
        <v>106</v>
      </c>
      <c r="G1284" s="36" t="s">
        <v>102</v>
      </c>
      <c r="H1284" s="36" t="s">
        <v>104</v>
      </c>
      <c r="I1284" s="36" t="s">
        <v>96</v>
      </c>
      <c r="J1284" s="36">
        <v>280</v>
      </c>
      <c r="K1284" s="36">
        <v>400.4</v>
      </c>
    </row>
    <row r="1285" spans="1:11" x14ac:dyDescent="0.3">
      <c r="A1285" s="36" t="s">
        <v>97</v>
      </c>
      <c r="B1285" s="36">
        <v>2021</v>
      </c>
      <c r="C1285" s="36" t="s">
        <v>11</v>
      </c>
      <c r="D1285" s="36" t="s">
        <v>91</v>
      </c>
      <c r="E1285" s="36" t="s">
        <v>105</v>
      </c>
      <c r="F1285" s="36" t="s">
        <v>106</v>
      </c>
      <c r="G1285" s="36" t="s">
        <v>102</v>
      </c>
      <c r="H1285" s="36" t="s">
        <v>104</v>
      </c>
      <c r="I1285" s="36" t="s">
        <v>96</v>
      </c>
      <c r="J1285" s="36">
        <v>274</v>
      </c>
      <c r="K1285" s="36">
        <v>391.82</v>
      </c>
    </row>
    <row r="1286" spans="1:11" x14ac:dyDescent="0.3">
      <c r="A1286" s="36" t="s">
        <v>97</v>
      </c>
      <c r="B1286" s="36">
        <v>2021</v>
      </c>
      <c r="C1286" s="36" t="s">
        <v>11</v>
      </c>
      <c r="D1286" s="36" t="s">
        <v>91</v>
      </c>
      <c r="E1286" s="36" t="s">
        <v>105</v>
      </c>
      <c r="F1286" s="36" t="s">
        <v>106</v>
      </c>
      <c r="G1286" s="36" t="s">
        <v>102</v>
      </c>
      <c r="H1286" s="36" t="s">
        <v>104</v>
      </c>
      <c r="I1286" s="36" t="s">
        <v>96</v>
      </c>
      <c r="J1286" s="36">
        <v>268</v>
      </c>
      <c r="K1286" s="36">
        <v>383.24</v>
      </c>
    </row>
    <row r="1287" spans="1:11" x14ac:dyDescent="0.3">
      <c r="A1287" s="36" t="s">
        <v>97</v>
      </c>
      <c r="B1287" s="36">
        <v>2021</v>
      </c>
      <c r="C1287" s="36" t="s">
        <v>11</v>
      </c>
      <c r="D1287" s="36" t="s">
        <v>91</v>
      </c>
      <c r="E1287" s="36" t="s">
        <v>105</v>
      </c>
      <c r="F1287" s="36" t="s">
        <v>106</v>
      </c>
      <c r="G1287" s="36" t="s">
        <v>102</v>
      </c>
      <c r="H1287" s="36" t="s">
        <v>104</v>
      </c>
      <c r="I1287" s="36" t="s">
        <v>96</v>
      </c>
      <c r="J1287" s="36">
        <v>277</v>
      </c>
      <c r="K1287" s="36">
        <v>396.11</v>
      </c>
    </row>
    <row r="1288" spans="1:11" x14ac:dyDescent="0.3">
      <c r="A1288" s="36" t="s">
        <v>97</v>
      </c>
      <c r="B1288" s="36">
        <v>2021</v>
      </c>
      <c r="C1288" s="36" t="s">
        <v>11</v>
      </c>
      <c r="D1288" s="36" t="s">
        <v>91</v>
      </c>
      <c r="E1288" s="36" t="s">
        <v>105</v>
      </c>
      <c r="F1288" s="36" t="s">
        <v>106</v>
      </c>
      <c r="G1288" s="36" t="s">
        <v>102</v>
      </c>
      <c r="H1288" s="36" t="s">
        <v>104</v>
      </c>
      <c r="I1288" s="36" t="s">
        <v>96</v>
      </c>
      <c r="J1288" s="36">
        <v>271</v>
      </c>
      <c r="K1288" s="36">
        <v>387.53</v>
      </c>
    </row>
    <row r="1289" spans="1:11" x14ac:dyDescent="0.3">
      <c r="A1289" s="36" t="s">
        <v>90</v>
      </c>
      <c r="B1289" s="36">
        <v>2021</v>
      </c>
      <c r="C1289" s="36" t="s">
        <v>11</v>
      </c>
      <c r="D1289" s="36" t="s">
        <v>91</v>
      </c>
      <c r="E1289" s="36" t="s">
        <v>105</v>
      </c>
      <c r="F1289" s="36" t="s">
        <v>106</v>
      </c>
      <c r="G1289" s="36" t="s">
        <v>102</v>
      </c>
      <c r="H1289" s="36" t="s">
        <v>95</v>
      </c>
      <c r="I1289" s="36" t="s">
        <v>96</v>
      </c>
      <c r="J1289" s="36">
        <v>265</v>
      </c>
      <c r="K1289" s="36">
        <v>378.95</v>
      </c>
    </row>
    <row r="1290" spans="1:11" x14ac:dyDescent="0.3">
      <c r="A1290" s="36" t="s">
        <v>99</v>
      </c>
      <c r="B1290" s="36">
        <v>2021</v>
      </c>
      <c r="C1290" s="36" t="s">
        <v>1</v>
      </c>
      <c r="D1290" s="36" t="s">
        <v>91</v>
      </c>
      <c r="E1290" s="36" t="s">
        <v>105</v>
      </c>
      <c r="F1290" s="36" t="s">
        <v>106</v>
      </c>
      <c r="G1290" s="36" t="s">
        <v>102</v>
      </c>
      <c r="H1290" s="36" t="s">
        <v>95</v>
      </c>
      <c r="I1290" s="36" t="s">
        <v>96</v>
      </c>
      <c r="J1290" s="36">
        <v>190</v>
      </c>
      <c r="K1290" s="36">
        <v>271.7</v>
      </c>
    </row>
    <row r="1291" spans="1:11" x14ac:dyDescent="0.3">
      <c r="A1291" s="36" t="s">
        <v>90</v>
      </c>
      <c r="B1291" s="36">
        <v>2021</v>
      </c>
      <c r="C1291" s="36" t="s">
        <v>1</v>
      </c>
      <c r="D1291" s="36" t="s">
        <v>91</v>
      </c>
      <c r="E1291" s="36" t="s">
        <v>105</v>
      </c>
      <c r="F1291" s="36" t="s">
        <v>106</v>
      </c>
      <c r="G1291" s="36" t="s">
        <v>102</v>
      </c>
      <c r="H1291" s="36" t="s">
        <v>95</v>
      </c>
      <c r="I1291" s="36" t="s">
        <v>96</v>
      </c>
      <c r="J1291" s="36">
        <v>184</v>
      </c>
      <c r="K1291" s="36">
        <v>263.12</v>
      </c>
    </row>
    <row r="1292" spans="1:11" x14ac:dyDescent="0.3">
      <c r="A1292" s="36" t="s">
        <v>99</v>
      </c>
      <c r="B1292" s="36">
        <v>2021</v>
      </c>
      <c r="C1292" s="36" t="s">
        <v>1</v>
      </c>
      <c r="D1292" s="36" t="s">
        <v>91</v>
      </c>
      <c r="E1292" s="36" t="s">
        <v>105</v>
      </c>
      <c r="F1292" s="36" t="s">
        <v>106</v>
      </c>
      <c r="G1292" s="36" t="s">
        <v>102</v>
      </c>
      <c r="H1292" s="36" t="s">
        <v>95</v>
      </c>
      <c r="I1292" s="36" t="s">
        <v>96</v>
      </c>
      <c r="J1292" s="36">
        <v>193</v>
      </c>
      <c r="K1292" s="36">
        <v>275.99</v>
      </c>
    </row>
    <row r="1293" spans="1:11" x14ac:dyDescent="0.3">
      <c r="A1293" s="36" t="s">
        <v>99</v>
      </c>
      <c r="B1293" s="36">
        <v>2021</v>
      </c>
      <c r="C1293" s="36" t="s">
        <v>1</v>
      </c>
      <c r="D1293" s="36" t="s">
        <v>91</v>
      </c>
      <c r="E1293" s="36" t="s">
        <v>105</v>
      </c>
      <c r="F1293" s="36" t="s">
        <v>106</v>
      </c>
      <c r="G1293" s="36" t="s">
        <v>102</v>
      </c>
      <c r="H1293" s="36" t="s">
        <v>95</v>
      </c>
      <c r="I1293" s="36" t="s">
        <v>96</v>
      </c>
      <c r="J1293" s="36">
        <v>187</v>
      </c>
      <c r="K1293" s="36">
        <v>267.40999999999997</v>
      </c>
    </row>
    <row r="1294" spans="1:11" x14ac:dyDescent="0.3">
      <c r="A1294" s="36" t="s">
        <v>90</v>
      </c>
      <c r="B1294" s="36">
        <v>2021</v>
      </c>
      <c r="C1294" s="36" t="s">
        <v>1</v>
      </c>
      <c r="D1294" s="36" t="s">
        <v>91</v>
      </c>
      <c r="E1294" s="36" t="s">
        <v>105</v>
      </c>
      <c r="F1294" s="36" t="s">
        <v>106</v>
      </c>
      <c r="G1294" s="36" t="s">
        <v>102</v>
      </c>
      <c r="H1294" s="36" t="s">
        <v>95</v>
      </c>
      <c r="I1294" s="36" t="s">
        <v>96</v>
      </c>
      <c r="J1294" s="36">
        <v>181</v>
      </c>
      <c r="K1294" s="36">
        <v>258.83</v>
      </c>
    </row>
    <row r="1295" spans="1:11" x14ac:dyDescent="0.3">
      <c r="A1295" s="36" t="s">
        <v>97</v>
      </c>
      <c r="B1295" s="36">
        <v>2021</v>
      </c>
      <c r="C1295" s="36" t="s">
        <v>0</v>
      </c>
      <c r="D1295" s="36" t="s">
        <v>91</v>
      </c>
      <c r="E1295" s="36" t="s">
        <v>105</v>
      </c>
      <c r="F1295" s="36" t="s">
        <v>106</v>
      </c>
      <c r="G1295" s="36" t="s">
        <v>102</v>
      </c>
      <c r="H1295" s="36" t="s">
        <v>95</v>
      </c>
      <c r="I1295" s="36" t="s">
        <v>96</v>
      </c>
      <c r="J1295" s="36">
        <v>208</v>
      </c>
      <c r="K1295" s="36">
        <v>297.44</v>
      </c>
    </row>
    <row r="1296" spans="1:11" x14ac:dyDescent="0.3">
      <c r="A1296" s="36" t="s">
        <v>90</v>
      </c>
      <c r="B1296" s="36">
        <v>2021</v>
      </c>
      <c r="C1296" s="36" t="s">
        <v>0</v>
      </c>
      <c r="D1296" s="36" t="s">
        <v>91</v>
      </c>
      <c r="E1296" s="36" t="s">
        <v>105</v>
      </c>
      <c r="F1296" s="36" t="s">
        <v>106</v>
      </c>
      <c r="G1296" s="36" t="s">
        <v>102</v>
      </c>
      <c r="H1296" s="36" t="s">
        <v>95</v>
      </c>
      <c r="I1296" s="36" t="s">
        <v>96</v>
      </c>
      <c r="J1296" s="36">
        <v>202</v>
      </c>
      <c r="K1296" s="36">
        <v>288.86</v>
      </c>
    </row>
    <row r="1297" spans="1:11" x14ac:dyDescent="0.3">
      <c r="A1297" s="36" t="s">
        <v>99</v>
      </c>
      <c r="B1297" s="36">
        <v>2021</v>
      </c>
      <c r="C1297" s="36" t="s">
        <v>0</v>
      </c>
      <c r="D1297" s="36" t="s">
        <v>91</v>
      </c>
      <c r="E1297" s="36" t="s">
        <v>105</v>
      </c>
      <c r="F1297" s="36" t="s">
        <v>106</v>
      </c>
      <c r="G1297" s="36" t="s">
        <v>102</v>
      </c>
      <c r="H1297" s="36" t="s">
        <v>95</v>
      </c>
      <c r="I1297" s="36" t="s">
        <v>96</v>
      </c>
      <c r="J1297" s="36">
        <v>196</v>
      </c>
      <c r="K1297" s="36">
        <v>280.27999999999997</v>
      </c>
    </row>
    <row r="1298" spans="1:11" x14ac:dyDescent="0.3">
      <c r="A1298" s="36" t="s">
        <v>97</v>
      </c>
      <c r="B1298" s="36">
        <v>2021</v>
      </c>
      <c r="C1298" s="36" t="s">
        <v>0</v>
      </c>
      <c r="D1298" s="36" t="s">
        <v>91</v>
      </c>
      <c r="E1298" s="36" t="s">
        <v>105</v>
      </c>
      <c r="F1298" s="36" t="s">
        <v>106</v>
      </c>
      <c r="G1298" s="36" t="s">
        <v>102</v>
      </c>
      <c r="H1298" s="36" t="s">
        <v>95</v>
      </c>
      <c r="I1298" s="36" t="s">
        <v>96</v>
      </c>
      <c r="J1298" s="36">
        <v>205</v>
      </c>
      <c r="K1298" s="36">
        <v>293.14999999999998</v>
      </c>
    </row>
    <row r="1299" spans="1:11" x14ac:dyDescent="0.3">
      <c r="A1299" s="36" t="s">
        <v>90</v>
      </c>
      <c r="B1299" s="36">
        <v>2021</v>
      </c>
      <c r="C1299" s="36" t="s">
        <v>0</v>
      </c>
      <c r="D1299" s="36" t="s">
        <v>91</v>
      </c>
      <c r="E1299" s="36" t="s">
        <v>105</v>
      </c>
      <c r="F1299" s="36" t="s">
        <v>106</v>
      </c>
      <c r="G1299" s="36" t="s">
        <v>102</v>
      </c>
      <c r="H1299" s="36" t="s">
        <v>95</v>
      </c>
      <c r="I1299" s="36" t="s">
        <v>96</v>
      </c>
      <c r="J1299" s="36">
        <v>199</v>
      </c>
      <c r="K1299" s="36">
        <v>284.57</v>
      </c>
    </row>
    <row r="1300" spans="1:11" x14ac:dyDescent="0.3">
      <c r="A1300" s="36" t="s">
        <v>100</v>
      </c>
      <c r="B1300" s="36">
        <v>2021</v>
      </c>
      <c r="C1300" s="36" t="s">
        <v>6</v>
      </c>
      <c r="D1300" s="36" t="s">
        <v>91</v>
      </c>
      <c r="E1300" s="36" t="s">
        <v>105</v>
      </c>
      <c r="F1300" s="36" t="s">
        <v>106</v>
      </c>
      <c r="G1300" s="36" t="s">
        <v>102</v>
      </c>
      <c r="H1300" s="36" t="s">
        <v>95</v>
      </c>
      <c r="I1300" s="36" t="s">
        <v>107</v>
      </c>
      <c r="J1300" s="36">
        <v>358</v>
      </c>
      <c r="K1300" s="36">
        <v>511.94</v>
      </c>
    </row>
    <row r="1301" spans="1:11" x14ac:dyDescent="0.3">
      <c r="A1301" s="36" t="s">
        <v>90</v>
      </c>
      <c r="B1301" s="36">
        <v>2021</v>
      </c>
      <c r="C1301" s="36" t="s">
        <v>6</v>
      </c>
      <c r="D1301" s="36" t="s">
        <v>91</v>
      </c>
      <c r="E1301" s="36" t="s">
        <v>105</v>
      </c>
      <c r="F1301" s="36" t="s">
        <v>106</v>
      </c>
      <c r="G1301" s="36" t="s">
        <v>102</v>
      </c>
      <c r="H1301" s="36" t="s">
        <v>95</v>
      </c>
      <c r="I1301" s="36" t="s">
        <v>107</v>
      </c>
      <c r="J1301" s="36">
        <v>352</v>
      </c>
      <c r="K1301" s="36">
        <v>503.36</v>
      </c>
    </row>
    <row r="1302" spans="1:11" x14ac:dyDescent="0.3">
      <c r="A1302" s="36" t="s">
        <v>97</v>
      </c>
      <c r="B1302" s="36">
        <v>2021</v>
      </c>
      <c r="C1302" s="36" t="s">
        <v>6</v>
      </c>
      <c r="D1302" s="36" t="s">
        <v>91</v>
      </c>
      <c r="E1302" s="36" t="s">
        <v>105</v>
      </c>
      <c r="F1302" s="36" t="s">
        <v>106</v>
      </c>
      <c r="G1302" s="36" t="s">
        <v>102</v>
      </c>
      <c r="H1302" s="36" t="s">
        <v>95</v>
      </c>
      <c r="I1302" s="36" t="s">
        <v>107</v>
      </c>
      <c r="J1302" s="36">
        <v>346</v>
      </c>
      <c r="K1302" s="36">
        <v>494.78</v>
      </c>
    </row>
    <row r="1303" spans="1:11" x14ac:dyDescent="0.3">
      <c r="A1303" s="36" t="s">
        <v>97</v>
      </c>
      <c r="B1303" s="36">
        <v>2021</v>
      </c>
      <c r="C1303" s="36" t="s">
        <v>6</v>
      </c>
      <c r="D1303" s="36" t="s">
        <v>91</v>
      </c>
      <c r="E1303" s="36" t="s">
        <v>105</v>
      </c>
      <c r="F1303" s="36" t="s">
        <v>106</v>
      </c>
      <c r="G1303" s="36" t="s">
        <v>102</v>
      </c>
      <c r="H1303" s="36" t="s">
        <v>95</v>
      </c>
      <c r="I1303" s="36" t="s">
        <v>107</v>
      </c>
      <c r="J1303" s="36">
        <v>355</v>
      </c>
      <c r="K1303" s="36">
        <v>507.65</v>
      </c>
    </row>
    <row r="1304" spans="1:11" x14ac:dyDescent="0.3">
      <c r="A1304" s="36" t="s">
        <v>99</v>
      </c>
      <c r="B1304" s="36">
        <v>2021</v>
      </c>
      <c r="C1304" s="36" t="s">
        <v>6</v>
      </c>
      <c r="D1304" s="36" t="s">
        <v>91</v>
      </c>
      <c r="E1304" s="36" t="s">
        <v>105</v>
      </c>
      <c r="F1304" s="36" t="s">
        <v>106</v>
      </c>
      <c r="G1304" s="36" t="s">
        <v>102</v>
      </c>
      <c r="H1304" s="36" t="s">
        <v>95</v>
      </c>
      <c r="I1304" s="36" t="s">
        <v>107</v>
      </c>
      <c r="J1304" s="36">
        <v>349</v>
      </c>
      <c r="K1304" s="36">
        <v>499.07</v>
      </c>
    </row>
    <row r="1305" spans="1:11" x14ac:dyDescent="0.3">
      <c r="A1305" s="36" t="s">
        <v>97</v>
      </c>
      <c r="B1305" s="36">
        <v>2021</v>
      </c>
      <c r="C1305" s="36" t="s">
        <v>5</v>
      </c>
      <c r="D1305" s="36" t="s">
        <v>91</v>
      </c>
      <c r="E1305" s="36" t="s">
        <v>105</v>
      </c>
      <c r="F1305" s="36" t="s">
        <v>106</v>
      </c>
      <c r="G1305" s="36" t="s">
        <v>102</v>
      </c>
      <c r="H1305" s="36" t="s">
        <v>95</v>
      </c>
      <c r="I1305" s="36" t="s">
        <v>107</v>
      </c>
      <c r="J1305" s="36">
        <v>130</v>
      </c>
      <c r="K1305" s="36">
        <v>185.9</v>
      </c>
    </row>
    <row r="1306" spans="1:11" x14ac:dyDescent="0.3">
      <c r="A1306" s="36" t="s">
        <v>97</v>
      </c>
      <c r="B1306" s="36">
        <v>2021</v>
      </c>
      <c r="C1306" s="36" t="s">
        <v>5</v>
      </c>
      <c r="D1306" s="36" t="s">
        <v>91</v>
      </c>
      <c r="E1306" s="36" t="s">
        <v>105</v>
      </c>
      <c r="F1306" s="36" t="s">
        <v>106</v>
      </c>
      <c r="G1306" s="36" t="s">
        <v>102</v>
      </c>
      <c r="H1306" s="36" t="s">
        <v>95</v>
      </c>
      <c r="I1306" s="36" t="s">
        <v>107</v>
      </c>
      <c r="J1306" s="36">
        <v>370</v>
      </c>
      <c r="K1306" s="36">
        <v>529.1</v>
      </c>
    </row>
    <row r="1307" spans="1:11" x14ac:dyDescent="0.3">
      <c r="A1307" s="36" t="s">
        <v>90</v>
      </c>
      <c r="B1307" s="36">
        <v>2021</v>
      </c>
      <c r="C1307" s="36" t="s">
        <v>5</v>
      </c>
      <c r="D1307" s="36" t="s">
        <v>91</v>
      </c>
      <c r="E1307" s="36" t="s">
        <v>105</v>
      </c>
      <c r="F1307" s="36" t="s">
        <v>106</v>
      </c>
      <c r="G1307" s="36" t="s">
        <v>102</v>
      </c>
      <c r="H1307" s="36" t="s">
        <v>95</v>
      </c>
      <c r="I1307" s="36" t="s">
        <v>107</v>
      </c>
      <c r="J1307" s="36">
        <v>364</v>
      </c>
      <c r="K1307" s="36">
        <v>520.52</v>
      </c>
    </row>
    <row r="1308" spans="1:11" x14ac:dyDescent="0.3">
      <c r="A1308" s="36" t="s">
        <v>90</v>
      </c>
      <c r="B1308" s="36">
        <v>2021</v>
      </c>
      <c r="C1308" s="36" t="s">
        <v>5</v>
      </c>
      <c r="D1308" s="36" t="s">
        <v>91</v>
      </c>
      <c r="E1308" s="36" t="s">
        <v>105</v>
      </c>
      <c r="F1308" s="36" t="s">
        <v>106</v>
      </c>
      <c r="G1308" s="36" t="s">
        <v>102</v>
      </c>
      <c r="H1308" s="36" t="s">
        <v>95</v>
      </c>
      <c r="I1308" s="36" t="s">
        <v>107</v>
      </c>
      <c r="J1308" s="36">
        <v>127</v>
      </c>
      <c r="K1308" s="36">
        <v>181.61</v>
      </c>
    </row>
    <row r="1309" spans="1:11" x14ac:dyDescent="0.3">
      <c r="A1309" s="36" t="s">
        <v>97</v>
      </c>
      <c r="B1309" s="36">
        <v>2021</v>
      </c>
      <c r="C1309" s="36" t="s">
        <v>5</v>
      </c>
      <c r="D1309" s="36" t="s">
        <v>91</v>
      </c>
      <c r="E1309" s="36" t="s">
        <v>105</v>
      </c>
      <c r="F1309" s="36" t="s">
        <v>106</v>
      </c>
      <c r="G1309" s="36" t="s">
        <v>102</v>
      </c>
      <c r="H1309" s="36" t="s">
        <v>95</v>
      </c>
      <c r="I1309" s="36" t="s">
        <v>107</v>
      </c>
      <c r="J1309" s="36">
        <v>367</v>
      </c>
      <c r="K1309" s="36">
        <v>524.80999999999995</v>
      </c>
    </row>
    <row r="1310" spans="1:11" x14ac:dyDescent="0.3">
      <c r="A1310" s="36" t="s">
        <v>90</v>
      </c>
      <c r="B1310" s="36">
        <v>2021</v>
      </c>
      <c r="C1310" s="36" t="s">
        <v>5</v>
      </c>
      <c r="D1310" s="36" t="s">
        <v>91</v>
      </c>
      <c r="E1310" s="36" t="s">
        <v>105</v>
      </c>
      <c r="F1310" s="36" t="s">
        <v>106</v>
      </c>
      <c r="G1310" s="36" t="s">
        <v>102</v>
      </c>
      <c r="H1310" s="36" t="s">
        <v>95</v>
      </c>
      <c r="I1310" s="36" t="s">
        <v>107</v>
      </c>
      <c r="J1310" s="36">
        <v>361</v>
      </c>
      <c r="K1310" s="36">
        <v>516.23</v>
      </c>
    </row>
    <row r="1311" spans="1:11" x14ac:dyDescent="0.3">
      <c r="A1311" s="36" t="s">
        <v>97</v>
      </c>
      <c r="B1311" s="36">
        <v>2021</v>
      </c>
      <c r="C1311" s="36" t="s">
        <v>2</v>
      </c>
      <c r="D1311" s="36" t="s">
        <v>91</v>
      </c>
      <c r="E1311" s="36" t="s">
        <v>105</v>
      </c>
      <c r="F1311" s="36" t="s">
        <v>106</v>
      </c>
      <c r="G1311" s="36" t="s">
        <v>102</v>
      </c>
      <c r="H1311" s="36" t="s">
        <v>95</v>
      </c>
      <c r="I1311" s="36" t="s">
        <v>96</v>
      </c>
      <c r="J1311" s="36">
        <v>178</v>
      </c>
      <c r="K1311" s="36">
        <v>254.54</v>
      </c>
    </row>
    <row r="1312" spans="1:11" x14ac:dyDescent="0.3">
      <c r="A1312" s="36" t="s">
        <v>97</v>
      </c>
      <c r="B1312" s="36">
        <v>2021</v>
      </c>
      <c r="C1312" s="36" t="s">
        <v>2</v>
      </c>
      <c r="D1312" s="36" t="s">
        <v>91</v>
      </c>
      <c r="E1312" s="36" t="s">
        <v>105</v>
      </c>
      <c r="F1312" s="36" t="s">
        <v>106</v>
      </c>
      <c r="G1312" s="36" t="s">
        <v>102</v>
      </c>
      <c r="H1312" s="36" t="s">
        <v>95</v>
      </c>
      <c r="I1312" s="36" t="s">
        <v>96</v>
      </c>
      <c r="J1312" s="36">
        <v>172</v>
      </c>
      <c r="K1312" s="36">
        <v>245.95999999999998</v>
      </c>
    </row>
    <row r="1313" spans="1:11" x14ac:dyDescent="0.3">
      <c r="A1313" s="36" t="s">
        <v>100</v>
      </c>
      <c r="B1313" s="36">
        <v>2021</v>
      </c>
      <c r="C1313" s="36" t="s">
        <v>2</v>
      </c>
      <c r="D1313" s="36" t="s">
        <v>91</v>
      </c>
      <c r="E1313" s="36" t="s">
        <v>105</v>
      </c>
      <c r="F1313" s="36" t="s">
        <v>106</v>
      </c>
      <c r="G1313" s="36" t="s">
        <v>102</v>
      </c>
      <c r="H1313" s="36" t="s">
        <v>95</v>
      </c>
      <c r="I1313" s="36" t="s">
        <v>96</v>
      </c>
      <c r="J1313" s="36">
        <v>166</v>
      </c>
      <c r="K1313" s="36">
        <v>237.38</v>
      </c>
    </row>
    <row r="1314" spans="1:11" x14ac:dyDescent="0.3">
      <c r="A1314" s="36" t="s">
        <v>97</v>
      </c>
      <c r="B1314" s="36">
        <v>2021</v>
      </c>
      <c r="C1314" s="36" t="s">
        <v>2</v>
      </c>
      <c r="D1314" s="36" t="s">
        <v>91</v>
      </c>
      <c r="E1314" s="36" t="s">
        <v>105</v>
      </c>
      <c r="F1314" s="36" t="s">
        <v>106</v>
      </c>
      <c r="G1314" s="36" t="s">
        <v>102</v>
      </c>
      <c r="H1314" s="36" t="s">
        <v>95</v>
      </c>
      <c r="I1314" s="36" t="s">
        <v>96</v>
      </c>
      <c r="J1314" s="36">
        <v>175</v>
      </c>
      <c r="K1314" s="36">
        <v>250.25</v>
      </c>
    </row>
    <row r="1315" spans="1:11" x14ac:dyDescent="0.3">
      <c r="A1315" s="36" t="s">
        <v>90</v>
      </c>
      <c r="B1315" s="36">
        <v>2021</v>
      </c>
      <c r="C1315" s="36" t="s">
        <v>2</v>
      </c>
      <c r="D1315" s="36" t="s">
        <v>91</v>
      </c>
      <c r="E1315" s="36" t="s">
        <v>105</v>
      </c>
      <c r="F1315" s="36" t="s">
        <v>106</v>
      </c>
      <c r="G1315" s="36" t="s">
        <v>102</v>
      </c>
      <c r="H1315" s="36" t="s">
        <v>95</v>
      </c>
      <c r="I1315" s="36" t="s">
        <v>96</v>
      </c>
      <c r="J1315" s="36">
        <v>169</v>
      </c>
      <c r="K1315" s="36">
        <v>241.67000000000002</v>
      </c>
    </row>
    <row r="1316" spans="1:11" x14ac:dyDescent="0.3">
      <c r="A1316" s="36" t="s">
        <v>97</v>
      </c>
      <c r="B1316" s="36">
        <v>2021</v>
      </c>
      <c r="C1316" s="36" t="s">
        <v>2</v>
      </c>
      <c r="D1316" s="36" t="s">
        <v>91</v>
      </c>
      <c r="E1316" s="36" t="s">
        <v>105</v>
      </c>
      <c r="F1316" s="36" t="s">
        <v>106</v>
      </c>
      <c r="G1316" s="36" t="s">
        <v>102</v>
      </c>
      <c r="H1316" s="36" t="s">
        <v>95</v>
      </c>
      <c r="I1316" s="36" t="s">
        <v>107</v>
      </c>
      <c r="J1316" s="36">
        <v>163</v>
      </c>
      <c r="K1316" s="36">
        <v>233.09</v>
      </c>
    </row>
    <row r="1317" spans="1:11" x14ac:dyDescent="0.3">
      <c r="A1317" s="36" t="s">
        <v>100</v>
      </c>
      <c r="B1317" s="36">
        <v>2021</v>
      </c>
      <c r="C1317" s="36" t="s">
        <v>4</v>
      </c>
      <c r="D1317" s="36" t="s">
        <v>91</v>
      </c>
      <c r="E1317" s="36" t="s">
        <v>105</v>
      </c>
      <c r="F1317" s="36" t="s">
        <v>106</v>
      </c>
      <c r="G1317" s="36" t="s">
        <v>102</v>
      </c>
      <c r="H1317" s="36" t="s">
        <v>95</v>
      </c>
      <c r="I1317" s="36" t="s">
        <v>107</v>
      </c>
      <c r="J1317" s="36">
        <v>142</v>
      </c>
      <c r="K1317" s="36">
        <v>203.06</v>
      </c>
    </row>
    <row r="1318" spans="1:11" x14ac:dyDescent="0.3">
      <c r="A1318" s="36" t="s">
        <v>97</v>
      </c>
      <c r="B1318" s="36">
        <v>2021</v>
      </c>
      <c r="C1318" s="36" t="s">
        <v>4</v>
      </c>
      <c r="D1318" s="36" t="s">
        <v>91</v>
      </c>
      <c r="E1318" s="36" t="s">
        <v>105</v>
      </c>
      <c r="F1318" s="36" t="s">
        <v>106</v>
      </c>
      <c r="G1318" s="36" t="s">
        <v>102</v>
      </c>
      <c r="H1318" s="36" t="s">
        <v>95</v>
      </c>
      <c r="I1318" s="36" t="s">
        <v>107</v>
      </c>
      <c r="J1318" s="36">
        <v>136</v>
      </c>
      <c r="K1318" s="36">
        <v>194.48</v>
      </c>
    </row>
    <row r="1319" spans="1:11" x14ac:dyDescent="0.3">
      <c r="A1319" s="36" t="s">
        <v>90</v>
      </c>
      <c r="B1319" s="36">
        <v>2021</v>
      </c>
      <c r="C1319" s="36" t="s">
        <v>4</v>
      </c>
      <c r="D1319" s="36" t="s">
        <v>91</v>
      </c>
      <c r="E1319" s="36" t="s">
        <v>105</v>
      </c>
      <c r="F1319" s="36" t="s">
        <v>106</v>
      </c>
      <c r="G1319" s="36" t="s">
        <v>102</v>
      </c>
      <c r="H1319" s="36" t="s">
        <v>95</v>
      </c>
      <c r="I1319" s="36" t="s">
        <v>107</v>
      </c>
      <c r="J1319" s="36">
        <v>145</v>
      </c>
      <c r="K1319" s="36">
        <v>207.35</v>
      </c>
    </row>
    <row r="1320" spans="1:11" x14ac:dyDescent="0.3">
      <c r="A1320" s="36" t="s">
        <v>90</v>
      </c>
      <c r="B1320" s="36">
        <v>2021</v>
      </c>
      <c r="C1320" s="36" t="s">
        <v>4</v>
      </c>
      <c r="D1320" s="36" t="s">
        <v>91</v>
      </c>
      <c r="E1320" s="36" t="s">
        <v>105</v>
      </c>
      <c r="F1320" s="36" t="s">
        <v>106</v>
      </c>
      <c r="G1320" s="36" t="s">
        <v>102</v>
      </c>
      <c r="H1320" s="36" t="s">
        <v>95</v>
      </c>
      <c r="I1320" s="36" t="s">
        <v>107</v>
      </c>
      <c r="J1320" s="36">
        <v>139</v>
      </c>
      <c r="K1320" s="36">
        <v>198.76999999999998</v>
      </c>
    </row>
    <row r="1321" spans="1:11" x14ac:dyDescent="0.3">
      <c r="A1321" s="36" t="s">
        <v>90</v>
      </c>
      <c r="B1321" s="36">
        <v>2021</v>
      </c>
      <c r="C1321" s="36" t="s">
        <v>4</v>
      </c>
      <c r="D1321" s="36" t="s">
        <v>91</v>
      </c>
      <c r="E1321" s="36" t="s">
        <v>105</v>
      </c>
      <c r="F1321" s="36" t="s">
        <v>106</v>
      </c>
      <c r="G1321" s="36" t="s">
        <v>102</v>
      </c>
      <c r="H1321" s="36" t="s">
        <v>95</v>
      </c>
      <c r="I1321" s="36" t="s">
        <v>107</v>
      </c>
      <c r="J1321" s="36">
        <v>133</v>
      </c>
      <c r="K1321" s="36">
        <v>190.19</v>
      </c>
    </row>
    <row r="1322" spans="1:11" x14ac:dyDescent="0.3">
      <c r="A1322" s="36" t="s">
        <v>97</v>
      </c>
      <c r="B1322" s="36">
        <v>2021</v>
      </c>
      <c r="C1322" s="36" t="s">
        <v>10</v>
      </c>
      <c r="D1322" s="36" t="s">
        <v>91</v>
      </c>
      <c r="E1322" s="36" t="s">
        <v>105</v>
      </c>
      <c r="F1322" s="36" t="s">
        <v>106</v>
      </c>
      <c r="G1322" s="36" t="s">
        <v>102</v>
      </c>
      <c r="H1322" s="36" t="s">
        <v>95</v>
      </c>
      <c r="I1322" s="36" t="s">
        <v>96</v>
      </c>
      <c r="J1322" s="36">
        <v>292</v>
      </c>
      <c r="K1322" s="36">
        <v>417.56</v>
      </c>
    </row>
    <row r="1323" spans="1:11" x14ac:dyDescent="0.3">
      <c r="A1323" s="36" t="s">
        <v>97</v>
      </c>
      <c r="B1323" s="36">
        <v>2021</v>
      </c>
      <c r="C1323" s="36" t="s">
        <v>10</v>
      </c>
      <c r="D1323" s="36" t="s">
        <v>91</v>
      </c>
      <c r="E1323" s="36" t="s">
        <v>105</v>
      </c>
      <c r="F1323" s="36" t="s">
        <v>106</v>
      </c>
      <c r="G1323" s="36" t="s">
        <v>102</v>
      </c>
      <c r="H1323" s="36" t="s">
        <v>95</v>
      </c>
      <c r="I1323" s="36" t="s">
        <v>96</v>
      </c>
      <c r="J1323" s="36">
        <v>286</v>
      </c>
      <c r="K1323" s="36">
        <v>408.98</v>
      </c>
    </row>
    <row r="1324" spans="1:11" x14ac:dyDescent="0.3">
      <c r="A1324" s="36" t="s">
        <v>97</v>
      </c>
      <c r="B1324" s="36">
        <v>2021</v>
      </c>
      <c r="C1324" s="36" t="s">
        <v>10</v>
      </c>
      <c r="D1324" s="36" t="s">
        <v>91</v>
      </c>
      <c r="E1324" s="36" t="s">
        <v>105</v>
      </c>
      <c r="F1324" s="36" t="s">
        <v>106</v>
      </c>
      <c r="G1324" s="36" t="s">
        <v>102</v>
      </c>
      <c r="H1324" s="36" t="s">
        <v>95</v>
      </c>
      <c r="I1324" s="36" t="s">
        <v>96</v>
      </c>
      <c r="J1324" s="36">
        <v>295</v>
      </c>
      <c r="K1324" s="36">
        <v>421.85</v>
      </c>
    </row>
    <row r="1325" spans="1:11" x14ac:dyDescent="0.3">
      <c r="A1325" s="36" t="s">
        <v>90</v>
      </c>
      <c r="B1325" s="36">
        <v>2021</v>
      </c>
      <c r="C1325" s="36" t="s">
        <v>10</v>
      </c>
      <c r="D1325" s="36" t="s">
        <v>91</v>
      </c>
      <c r="E1325" s="36" t="s">
        <v>105</v>
      </c>
      <c r="F1325" s="36" t="s">
        <v>106</v>
      </c>
      <c r="G1325" s="36" t="s">
        <v>102</v>
      </c>
      <c r="H1325" s="36" t="s">
        <v>95</v>
      </c>
      <c r="I1325" s="36" t="s">
        <v>96</v>
      </c>
      <c r="J1325" s="36">
        <v>289</v>
      </c>
      <c r="K1325" s="36">
        <v>413.27</v>
      </c>
    </row>
    <row r="1326" spans="1:11" x14ac:dyDescent="0.3">
      <c r="A1326" s="36" t="s">
        <v>97</v>
      </c>
      <c r="B1326" s="36">
        <v>2021</v>
      </c>
      <c r="C1326" s="36" t="s">
        <v>10</v>
      </c>
      <c r="D1326" s="36" t="s">
        <v>91</v>
      </c>
      <c r="E1326" s="36" t="s">
        <v>105</v>
      </c>
      <c r="F1326" s="36" t="s">
        <v>106</v>
      </c>
      <c r="G1326" s="36" t="s">
        <v>102</v>
      </c>
      <c r="H1326" s="36" t="s">
        <v>95</v>
      </c>
      <c r="I1326" s="36" t="s">
        <v>96</v>
      </c>
      <c r="J1326" s="36">
        <v>283</v>
      </c>
      <c r="K1326" s="36">
        <v>404.69</v>
      </c>
    </row>
    <row r="1327" spans="1:11" x14ac:dyDescent="0.3">
      <c r="A1327" s="36" t="s">
        <v>97</v>
      </c>
      <c r="B1327" s="36">
        <v>2021</v>
      </c>
      <c r="C1327" s="36" t="s">
        <v>9</v>
      </c>
      <c r="D1327" s="36" t="s">
        <v>91</v>
      </c>
      <c r="E1327" s="36" t="s">
        <v>105</v>
      </c>
      <c r="F1327" s="36" t="s">
        <v>106</v>
      </c>
      <c r="G1327" s="36" t="s">
        <v>102</v>
      </c>
      <c r="H1327" s="36" t="s">
        <v>95</v>
      </c>
      <c r="I1327" s="36" t="s">
        <v>96</v>
      </c>
      <c r="J1327" s="36">
        <v>310</v>
      </c>
      <c r="K1327" s="36">
        <v>443.3</v>
      </c>
    </row>
    <row r="1328" spans="1:11" x14ac:dyDescent="0.3">
      <c r="A1328" s="36" t="s">
        <v>99</v>
      </c>
      <c r="B1328" s="36">
        <v>2021</v>
      </c>
      <c r="C1328" s="36" t="s">
        <v>9</v>
      </c>
      <c r="D1328" s="36" t="s">
        <v>91</v>
      </c>
      <c r="E1328" s="36" t="s">
        <v>105</v>
      </c>
      <c r="F1328" s="36" t="s">
        <v>106</v>
      </c>
      <c r="G1328" s="36" t="s">
        <v>102</v>
      </c>
      <c r="H1328" s="36" t="s">
        <v>95</v>
      </c>
      <c r="I1328" s="36" t="s">
        <v>96</v>
      </c>
      <c r="J1328" s="36">
        <v>304</v>
      </c>
      <c r="K1328" s="36">
        <v>434.72</v>
      </c>
    </row>
    <row r="1329" spans="1:11" x14ac:dyDescent="0.3">
      <c r="A1329" s="36" t="s">
        <v>90</v>
      </c>
      <c r="B1329" s="36">
        <v>2021</v>
      </c>
      <c r="C1329" s="36" t="s">
        <v>9</v>
      </c>
      <c r="D1329" s="36" t="s">
        <v>91</v>
      </c>
      <c r="E1329" s="36" t="s">
        <v>105</v>
      </c>
      <c r="F1329" s="36" t="s">
        <v>106</v>
      </c>
      <c r="G1329" s="36" t="s">
        <v>102</v>
      </c>
      <c r="H1329" s="36" t="s">
        <v>95</v>
      </c>
      <c r="I1329" s="36" t="s">
        <v>96</v>
      </c>
      <c r="J1329" s="36">
        <v>298</v>
      </c>
      <c r="K1329" s="36">
        <v>426.14</v>
      </c>
    </row>
    <row r="1330" spans="1:11" x14ac:dyDescent="0.3">
      <c r="A1330" s="36" t="s">
        <v>90</v>
      </c>
      <c r="B1330" s="36">
        <v>2021</v>
      </c>
      <c r="C1330" s="36" t="s">
        <v>9</v>
      </c>
      <c r="D1330" s="36" t="s">
        <v>91</v>
      </c>
      <c r="E1330" s="36" t="s">
        <v>105</v>
      </c>
      <c r="F1330" s="36" t="s">
        <v>106</v>
      </c>
      <c r="G1330" s="36" t="s">
        <v>102</v>
      </c>
      <c r="H1330" s="36" t="s">
        <v>95</v>
      </c>
      <c r="I1330" s="36" t="s">
        <v>96</v>
      </c>
      <c r="J1330" s="36">
        <v>307</v>
      </c>
      <c r="K1330" s="36">
        <v>439.01</v>
      </c>
    </row>
    <row r="1331" spans="1:11" x14ac:dyDescent="0.3">
      <c r="A1331" s="36" t="s">
        <v>101</v>
      </c>
      <c r="B1331" s="36">
        <v>2021</v>
      </c>
      <c r="C1331" s="36" t="s">
        <v>9</v>
      </c>
      <c r="D1331" s="36" t="s">
        <v>91</v>
      </c>
      <c r="E1331" s="36" t="s">
        <v>105</v>
      </c>
      <c r="F1331" s="36" t="s">
        <v>106</v>
      </c>
      <c r="G1331" s="36" t="s">
        <v>102</v>
      </c>
      <c r="H1331" s="36" t="s">
        <v>95</v>
      </c>
      <c r="I1331" s="36" t="s">
        <v>96</v>
      </c>
      <c r="J1331" s="36">
        <v>301</v>
      </c>
      <c r="K1331" s="36">
        <v>430.43</v>
      </c>
    </row>
    <row r="1332" spans="1:11" x14ac:dyDescent="0.3">
      <c r="A1332" s="36" t="s">
        <v>90</v>
      </c>
      <c r="B1332" s="36">
        <v>2021</v>
      </c>
      <c r="C1332" s="36" t="s">
        <v>3</v>
      </c>
      <c r="D1332" s="36" t="s">
        <v>103</v>
      </c>
      <c r="E1332" s="36" t="s">
        <v>105</v>
      </c>
      <c r="F1332" s="36" t="s">
        <v>106</v>
      </c>
      <c r="G1332" s="36" t="s">
        <v>102</v>
      </c>
      <c r="H1332" s="36" t="s">
        <v>95</v>
      </c>
      <c r="I1332" s="36" t="s">
        <v>107</v>
      </c>
      <c r="J1332" s="36">
        <v>344</v>
      </c>
      <c r="K1332" s="36">
        <v>491.91999999999996</v>
      </c>
    </row>
    <row r="1333" spans="1:11" x14ac:dyDescent="0.3">
      <c r="A1333" s="36" t="s">
        <v>97</v>
      </c>
      <c r="B1333" s="36">
        <v>2021</v>
      </c>
      <c r="C1333" s="36" t="s">
        <v>3</v>
      </c>
      <c r="D1333" s="36" t="s">
        <v>103</v>
      </c>
      <c r="E1333" s="36" t="s">
        <v>105</v>
      </c>
      <c r="F1333" s="36" t="s">
        <v>106</v>
      </c>
      <c r="G1333" s="36" t="s">
        <v>102</v>
      </c>
      <c r="H1333" s="36" t="s">
        <v>95</v>
      </c>
      <c r="I1333" s="36" t="s">
        <v>107</v>
      </c>
      <c r="J1333" s="36">
        <v>314</v>
      </c>
      <c r="K1333" s="36">
        <v>449.02</v>
      </c>
    </row>
    <row r="1334" spans="1:11" x14ac:dyDescent="0.3">
      <c r="A1334" s="36" t="s">
        <v>90</v>
      </c>
      <c r="B1334" s="36">
        <v>2021</v>
      </c>
      <c r="C1334" s="36" t="s">
        <v>3</v>
      </c>
      <c r="D1334" s="36" t="s">
        <v>103</v>
      </c>
      <c r="E1334" s="36" t="s">
        <v>105</v>
      </c>
      <c r="F1334" s="36" t="s">
        <v>106</v>
      </c>
      <c r="G1334" s="36" t="s">
        <v>102</v>
      </c>
      <c r="H1334" s="36" t="s">
        <v>95</v>
      </c>
      <c r="I1334" s="36" t="s">
        <v>107</v>
      </c>
      <c r="J1334" s="36">
        <v>340</v>
      </c>
      <c r="K1334" s="36">
        <v>486.2</v>
      </c>
    </row>
    <row r="1335" spans="1:11" x14ac:dyDescent="0.3">
      <c r="A1335" s="36" t="s">
        <v>97</v>
      </c>
      <c r="B1335" s="36">
        <v>2021</v>
      </c>
      <c r="C1335" s="36" t="s">
        <v>3</v>
      </c>
      <c r="D1335" s="36" t="s">
        <v>103</v>
      </c>
      <c r="E1335" s="36" t="s">
        <v>105</v>
      </c>
      <c r="F1335" s="36" t="s">
        <v>106</v>
      </c>
      <c r="G1335" s="36" t="s">
        <v>102</v>
      </c>
      <c r="H1335" s="36" t="s">
        <v>95</v>
      </c>
      <c r="I1335" s="36" t="s">
        <v>107</v>
      </c>
      <c r="J1335" s="36">
        <v>142</v>
      </c>
      <c r="K1335" s="36">
        <v>203.06</v>
      </c>
    </row>
    <row r="1336" spans="1:11" x14ac:dyDescent="0.3">
      <c r="A1336" s="36" t="s">
        <v>97</v>
      </c>
      <c r="B1336" s="36">
        <v>2021</v>
      </c>
      <c r="C1336" s="36" t="s">
        <v>3</v>
      </c>
      <c r="D1336" s="36" t="s">
        <v>103</v>
      </c>
      <c r="E1336" s="36" t="s">
        <v>105</v>
      </c>
      <c r="F1336" s="36" t="s">
        <v>106</v>
      </c>
      <c r="G1336" s="36" t="s">
        <v>102</v>
      </c>
      <c r="H1336" s="36" t="s">
        <v>95</v>
      </c>
      <c r="I1336" s="36" t="s">
        <v>107</v>
      </c>
      <c r="J1336" s="36">
        <v>316</v>
      </c>
      <c r="K1336" s="36">
        <v>451.88</v>
      </c>
    </row>
    <row r="1337" spans="1:11" x14ac:dyDescent="0.3">
      <c r="A1337" s="36" t="s">
        <v>99</v>
      </c>
      <c r="B1337" s="36">
        <v>2021</v>
      </c>
      <c r="C1337" s="36" t="s">
        <v>3</v>
      </c>
      <c r="D1337" s="36" t="s">
        <v>103</v>
      </c>
      <c r="E1337" s="36" t="s">
        <v>105</v>
      </c>
      <c r="F1337" s="36" t="s">
        <v>106</v>
      </c>
      <c r="G1337" s="36" t="s">
        <v>102</v>
      </c>
      <c r="H1337" s="36" t="s">
        <v>95</v>
      </c>
      <c r="I1337" s="36" t="s">
        <v>107</v>
      </c>
      <c r="J1337" s="36">
        <v>823</v>
      </c>
      <c r="K1337" s="36">
        <v>1176.8899999999999</v>
      </c>
    </row>
    <row r="1338" spans="1:11" x14ac:dyDescent="0.3">
      <c r="A1338" s="36" t="s">
        <v>97</v>
      </c>
      <c r="B1338" s="36">
        <v>2021</v>
      </c>
      <c r="C1338" s="36" t="s">
        <v>3</v>
      </c>
      <c r="D1338" s="36" t="s">
        <v>103</v>
      </c>
      <c r="E1338" s="36" t="s">
        <v>105</v>
      </c>
      <c r="F1338" s="36" t="s">
        <v>106</v>
      </c>
      <c r="G1338" s="36" t="s">
        <v>102</v>
      </c>
      <c r="H1338" s="36" t="s">
        <v>95</v>
      </c>
      <c r="I1338" s="36" t="s">
        <v>107</v>
      </c>
      <c r="J1338" s="36">
        <v>856</v>
      </c>
      <c r="K1338" s="36">
        <v>1224.08</v>
      </c>
    </row>
    <row r="1339" spans="1:11" x14ac:dyDescent="0.3">
      <c r="A1339" s="36" t="s">
        <v>97</v>
      </c>
      <c r="B1339" s="36">
        <v>2021</v>
      </c>
      <c r="C1339" s="36" t="s">
        <v>3</v>
      </c>
      <c r="D1339" s="36" t="s">
        <v>103</v>
      </c>
      <c r="E1339" s="36" t="s">
        <v>105</v>
      </c>
      <c r="F1339" s="36" t="s">
        <v>106</v>
      </c>
      <c r="G1339" s="36" t="s">
        <v>102</v>
      </c>
      <c r="H1339" s="36" t="s">
        <v>95</v>
      </c>
      <c r="I1339" s="36" t="s">
        <v>107</v>
      </c>
      <c r="J1339" s="36">
        <v>909</v>
      </c>
      <c r="K1339" s="36">
        <v>1299.8699999999999</v>
      </c>
    </row>
    <row r="1340" spans="1:11" x14ac:dyDescent="0.3">
      <c r="A1340" s="36" t="s">
        <v>97</v>
      </c>
      <c r="B1340" s="36">
        <v>2021</v>
      </c>
      <c r="C1340" s="36" t="s">
        <v>3</v>
      </c>
      <c r="D1340" s="36" t="s">
        <v>103</v>
      </c>
      <c r="E1340" s="36" t="s">
        <v>105</v>
      </c>
      <c r="F1340" s="36" t="s">
        <v>106</v>
      </c>
      <c r="G1340" s="36" t="s">
        <v>102</v>
      </c>
      <c r="H1340" s="36" t="s">
        <v>95</v>
      </c>
      <c r="I1340" s="36" t="s">
        <v>107</v>
      </c>
      <c r="J1340" s="36">
        <v>862</v>
      </c>
      <c r="K1340" s="36">
        <v>526.24</v>
      </c>
    </row>
    <row r="1341" spans="1:11" x14ac:dyDescent="0.3">
      <c r="A1341" s="36" t="s">
        <v>97</v>
      </c>
      <c r="B1341" s="36">
        <v>2021</v>
      </c>
      <c r="C1341" s="36" t="s">
        <v>3</v>
      </c>
      <c r="D1341" s="36" t="s">
        <v>103</v>
      </c>
      <c r="E1341" s="36" t="s">
        <v>105</v>
      </c>
      <c r="F1341" s="36" t="s">
        <v>106</v>
      </c>
      <c r="G1341" s="36" t="s">
        <v>102</v>
      </c>
      <c r="H1341" s="36" t="s">
        <v>95</v>
      </c>
      <c r="I1341" s="36" t="s">
        <v>107</v>
      </c>
      <c r="J1341" s="36">
        <v>141</v>
      </c>
      <c r="K1341" s="36">
        <v>526.24</v>
      </c>
    </row>
    <row r="1342" spans="1:11" x14ac:dyDescent="0.3">
      <c r="A1342" s="36" t="s">
        <v>99</v>
      </c>
      <c r="B1342" s="36">
        <v>2021</v>
      </c>
      <c r="C1342" s="36" t="s">
        <v>3</v>
      </c>
      <c r="D1342" s="36" t="s">
        <v>103</v>
      </c>
      <c r="E1342" s="36" t="s">
        <v>105</v>
      </c>
      <c r="F1342" s="36" t="s">
        <v>106</v>
      </c>
      <c r="G1342" s="36" t="s">
        <v>102</v>
      </c>
      <c r="H1342" s="36" t="s">
        <v>95</v>
      </c>
      <c r="I1342" s="36" t="s">
        <v>107</v>
      </c>
      <c r="J1342" s="36">
        <v>315</v>
      </c>
      <c r="K1342" s="36">
        <v>450.45</v>
      </c>
    </row>
    <row r="1343" spans="1:11" x14ac:dyDescent="0.3">
      <c r="A1343" s="36" t="s">
        <v>97</v>
      </c>
      <c r="B1343" s="36">
        <v>2021</v>
      </c>
      <c r="C1343" s="36" t="s">
        <v>3</v>
      </c>
      <c r="D1343" s="36" t="s">
        <v>103</v>
      </c>
      <c r="E1343" s="36" t="s">
        <v>105</v>
      </c>
      <c r="F1343" s="36" t="s">
        <v>106</v>
      </c>
      <c r="G1343" s="36" t="s">
        <v>102</v>
      </c>
      <c r="H1343" s="36" t="s">
        <v>95</v>
      </c>
      <c r="I1343" s="36" t="s">
        <v>107</v>
      </c>
      <c r="J1343" s="36">
        <v>343</v>
      </c>
      <c r="K1343" s="36">
        <v>490.49</v>
      </c>
    </row>
    <row r="1344" spans="1:11" x14ac:dyDescent="0.3">
      <c r="A1344" s="36" t="s">
        <v>97</v>
      </c>
      <c r="B1344" s="36">
        <v>2021</v>
      </c>
      <c r="C1344" s="36" t="s">
        <v>3</v>
      </c>
      <c r="D1344" s="36" t="s">
        <v>103</v>
      </c>
      <c r="E1344" s="36" t="s">
        <v>105</v>
      </c>
      <c r="F1344" s="36" t="s">
        <v>106</v>
      </c>
      <c r="G1344" s="36" t="s">
        <v>102</v>
      </c>
      <c r="H1344" s="36" t="s">
        <v>95</v>
      </c>
      <c r="I1344" s="36" t="s">
        <v>107</v>
      </c>
      <c r="J1344" s="36">
        <v>145</v>
      </c>
      <c r="K1344" s="36">
        <v>207.35</v>
      </c>
    </row>
    <row r="1345" spans="1:11" x14ac:dyDescent="0.3">
      <c r="A1345" s="36" t="s">
        <v>90</v>
      </c>
      <c r="B1345" s="36">
        <v>2021</v>
      </c>
      <c r="C1345" s="36" t="s">
        <v>3</v>
      </c>
      <c r="D1345" s="36" t="s">
        <v>103</v>
      </c>
      <c r="E1345" s="36" t="s">
        <v>105</v>
      </c>
      <c r="F1345" s="36" t="s">
        <v>106</v>
      </c>
      <c r="G1345" s="36" t="s">
        <v>102</v>
      </c>
      <c r="H1345" s="36" t="s">
        <v>95</v>
      </c>
      <c r="I1345" s="36" t="s">
        <v>107</v>
      </c>
      <c r="J1345" s="36">
        <v>313</v>
      </c>
      <c r="K1345" s="36">
        <v>447.59000000000003</v>
      </c>
    </row>
    <row r="1346" spans="1:11" x14ac:dyDescent="0.3">
      <c r="A1346" s="36" t="s">
        <v>97</v>
      </c>
      <c r="B1346" s="36">
        <v>2021</v>
      </c>
      <c r="C1346" s="36" t="s">
        <v>3</v>
      </c>
      <c r="D1346" s="36" t="s">
        <v>103</v>
      </c>
      <c r="E1346" s="36" t="s">
        <v>105</v>
      </c>
      <c r="F1346" s="36" t="s">
        <v>106</v>
      </c>
      <c r="G1346" s="36" t="s">
        <v>102</v>
      </c>
      <c r="H1346" s="36" t="s">
        <v>95</v>
      </c>
      <c r="I1346" s="36" t="s">
        <v>107</v>
      </c>
      <c r="J1346" s="36">
        <v>832</v>
      </c>
      <c r="K1346" s="36">
        <v>1189.76</v>
      </c>
    </row>
    <row r="1347" spans="1:11" x14ac:dyDescent="0.3">
      <c r="A1347" s="36" t="s">
        <v>90</v>
      </c>
      <c r="B1347" s="36">
        <v>2021</v>
      </c>
      <c r="C1347" s="36" t="s">
        <v>3</v>
      </c>
      <c r="D1347" s="36" t="s">
        <v>103</v>
      </c>
      <c r="E1347" s="36" t="s">
        <v>105</v>
      </c>
      <c r="F1347" s="36" t="s">
        <v>106</v>
      </c>
      <c r="G1347" s="36" t="s">
        <v>102</v>
      </c>
      <c r="H1347" s="36" t="s">
        <v>95</v>
      </c>
      <c r="I1347" s="36" t="s">
        <v>107</v>
      </c>
      <c r="J1347" s="36">
        <v>865</v>
      </c>
      <c r="K1347" s="36">
        <v>1236.95</v>
      </c>
    </row>
    <row r="1348" spans="1:11" x14ac:dyDescent="0.3">
      <c r="A1348" s="36" t="s">
        <v>90</v>
      </c>
      <c r="B1348" s="36">
        <v>2021</v>
      </c>
      <c r="C1348" s="36" t="s">
        <v>3</v>
      </c>
      <c r="D1348" s="36" t="s">
        <v>103</v>
      </c>
      <c r="E1348" s="36" t="s">
        <v>105</v>
      </c>
      <c r="F1348" s="36" t="s">
        <v>106</v>
      </c>
      <c r="G1348" s="36" t="s">
        <v>102</v>
      </c>
      <c r="H1348" s="36" t="s">
        <v>95</v>
      </c>
      <c r="I1348" s="36" t="s">
        <v>107</v>
      </c>
      <c r="J1348" s="36">
        <v>317</v>
      </c>
      <c r="K1348" s="36">
        <v>453.31</v>
      </c>
    </row>
    <row r="1349" spans="1:11" x14ac:dyDescent="0.3">
      <c r="A1349" s="36" t="s">
        <v>90</v>
      </c>
      <c r="B1349" s="36">
        <v>2021</v>
      </c>
      <c r="C1349" s="36" t="s">
        <v>7</v>
      </c>
      <c r="D1349" s="36" t="s">
        <v>103</v>
      </c>
      <c r="E1349" s="36" t="s">
        <v>105</v>
      </c>
      <c r="F1349" s="36" t="s">
        <v>106</v>
      </c>
      <c r="G1349" s="36" t="s">
        <v>102</v>
      </c>
      <c r="H1349" s="36" t="s">
        <v>95</v>
      </c>
      <c r="I1349" s="36" t="s">
        <v>107</v>
      </c>
      <c r="J1349" s="36">
        <v>320</v>
      </c>
      <c r="K1349" s="36">
        <v>457.6</v>
      </c>
    </row>
    <row r="1350" spans="1:11" x14ac:dyDescent="0.3">
      <c r="A1350" s="36" t="s">
        <v>97</v>
      </c>
      <c r="B1350" s="36">
        <v>2021</v>
      </c>
      <c r="C1350" s="36" t="s">
        <v>7</v>
      </c>
      <c r="D1350" s="36" t="s">
        <v>103</v>
      </c>
      <c r="E1350" s="36" t="s">
        <v>105</v>
      </c>
      <c r="F1350" s="36" t="s">
        <v>106</v>
      </c>
      <c r="G1350" s="36" t="s">
        <v>102</v>
      </c>
      <c r="H1350" s="36" t="s">
        <v>95</v>
      </c>
      <c r="I1350" s="36" t="s">
        <v>107</v>
      </c>
      <c r="J1350" s="36">
        <v>368</v>
      </c>
      <c r="K1350" s="36">
        <v>526.24</v>
      </c>
    </row>
    <row r="1351" spans="1:11" x14ac:dyDescent="0.3">
      <c r="A1351" s="36" t="s">
        <v>97</v>
      </c>
      <c r="B1351" s="36">
        <v>2021</v>
      </c>
      <c r="C1351" s="36" t="s">
        <v>7</v>
      </c>
      <c r="D1351" s="36" t="s">
        <v>103</v>
      </c>
      <c r="E1351" s="36" t="s">
        <v>105</v>
      </c>
      <c r="F1351" s="36" t="s">
        <v>106</v>
      </c>
      <c r="G1351" s="36" t="s">
        <v>102</v>
      </c>
      <c r="H1351" s="36" t="s">
        <v>95</v>
      </c>
      <c r="I1351" s="36" t="s">
        <v>107</v>
      </c>
      <c r="J1351" s="36">
        <v>296</v>
      </c>
      <c r="K1351" s="36">
        <v>423.28</v>
      </c>
    </row>
    <row r="1352" spans="1:11" x14ac:dyDescent="0.3">
      <c r="A1352" s="36" t="s">
        <v>101</v>
      </c>
      <c r="B1352" s="36">
        <v>2021</v>
      </c>
      <c r="C1352" s="36" t="s">
        <v>7</v>
      </c>
      <c r="D1352" s="36" t="s">
        <v>91</v>
      </c>
      <c r="E1352" s="36" t="s">
        <v>105</v>
      </c>
      <c r="F1352" s="36" t="s">
        <v>106</v>
      </c>
      <c r="G1352" s="36" t="s">
        <v>102</v>
      </c>
      <c r="H1352" s="36" t="s">
        <v>95</v>
      </c>
      <c r="I1352" s="36" t="s">
        <v>107</v>
      </c>
      <c r="J1352" s="36">
        <v>322</v>
      </c>
      <c r="K1352" s="36">
        <v>460.46000000000004</v>
      </c>
    </row>
    <row r="1353" spans="1:11" x14ac:dyDescent="0.3">
      <c r="A1353" s="36" t="s">
        <v>97</v>
      </c>
      <c r="B1353" s="36">
        <v>2021</v>
      </c>
      <c r="C1353" s="36" t="s">
        <v>7</v>
      </c>
      <c r="D1353" s="36" t="s">
        <v>91</v>
      </c>
      <c r="E1353" s="36" t="s">
        <v>105</v>
      </c>
      <c r="F1353" s="36" t="s">
        <v>106</v>
      </c>
      <c r="G1353" s="36" t="s">
        <v>102</v>
      </c>
      <c r="H1353" s="36" t="s">
        <v>95</v>
      </c>
      <c r="I1353" s="36" t="s">
        <v>107</v>
      </c>
      <c r="J1353" s="36">
        <v>370</v>
      </c>
      <c r="K1353" s="36">
        <v>529.1</v>
      </c>
    </row>
    <row r="1354" spans="1:11" x14ac:dyDescent="0.3">
      <c r="A1354" s="36" t="s">
        <v>97</v>
      </c>
      <c r="B1354" s="36">
        <v>2021</v>
      </c>
      <c r="C1354" s="36" t="s">
        <v>7</v>
      </c>
      <c r="D1354" s="36" t="s">
        <v>91</v>
      </c>
      <c r="E1354" s="36" t="s">
        <v>105</v>
      </c>
      <c r="F1354" s="36" t="s">
        <v>106</v>
      </c>
      <c r="G1354" s="36" t="s">
        <v>102</v>
      </c>
      <c r="H1354" s="36" t="s">
        <v>95</v>
      </c>
      <c r="I1354" s="36" t="s">
        <v>107</v>
      </c>
      <c r="J1354" s="36">
        <v>292</v>
      </c>
      <c r="K1354" s="36">
        <v>417.56</v>
      </c>
    </row>
    <row r="1355" spans="1:11" x14ac:dyDescent="0.3">
      <c r="A1355" s="36" t="s">
        <v>99</v>
      </c>
      <c r="B1355" s="36">
        <v>2021</v>
      </c>
      <c r="C1355" s="36" t="s">
        <v>7</v>
      </c>
      <c r="D1355" s="36" t="s">
        <v>91</v>
      </c>
      <c r="E1355" s="36" t="s">
        <v>105</v>
      </c>
      <c r="F1355" s="36" t="s">
        <v>106</v>
      </c>
      <c r="G1355" s="36" t="s">
        <v>102</v>
      </c>
      <c r="H1355" s="36" t="s">
        <v>104</v>
      </c>
      <c r="I1355" s="36" t="s">
        <v>107</v>
      </c>
      <c r="J1355" s="36">
        <v>860</v>
      </c>
      <c r="K1355" s="36">
        <v>1229.8</v>
      </c>
    </row>
    <row r="1356" spans="1:11" x14ac:dyDescent="0.3">
      <c r="A1356" s="36" t="s">
        <v>97</v>
      </c>
      <c r="B1356" s="36">
        <v>2021</v>
      </c>
      <c r="C1356" s="36" t="s">
        <v>7</v>
      </c>
      <c r="D1356" s="36" t="s">
        <v>91</v>
      </c>
      <c r="E1356" s="36" t="s">
        <v>105</v>
      </c>
      <c r="F1356" s="36" t="s">
        <v>106</v>
      </c>
      <c r="G1356" s="36" t="s">
        <v>102</v>
      </c>
      <c r="H1356" s="36" t="s">
        <v>104</v>
      </c>
      <c r="I1356" s="36" t="s">
        <v>107</v>
      </c>
      <c r="J1356" s="36">
        <v>913</v>
      </c>
      <c r="K1356" s="36">
        <v>1305.5899999999999</v>
      </c>
    </row>
    <row r="1357" spans="1:11" x14ac:dyDescent="0.3">
      <c r="A1357" s="36" t="s">
        <v>97</v>
      </c>
      <c r="B1357" s="36">
        <v>2021</v>
      </c>
      <c r="C1357" s="36" t="s">
        <v>7</v>
      </c>
      <c r="D1357" s="36" t="s">
        <v>91</v>
      </c>
      <c r="E1357" s="36" t="s">
        <v>105</v>
      </c>
      <c r="F1357" s="36" t="s">
        <v>106</v>
      </c>
      <c r="G1357" s="36" t="s">
        <v>102</v>
      </c>
      <c r="H1357" s="36" t="s">
        <v>104</v>
      </c>
      <c r="I1357" s="36" t="s">
        <v>107</v>
      </c>
      <c r="J1357" s="36">
        <v>866</v>
      </c>
      <c r="K1357" s="36">
        <v>526.24</v>
      </c>
    </row>
    <row r="1358" spans="1:11" x14ac:dyDescent="0.3">
      <c r="A1358" s="36" t="s">
        <v>99</v>
      </c>
      <c r="B1358" s="36">
        <v>2021</v>
      </c>
      <c r="C1358" s="36" t="s">
        <v>7</v>
      </c>
      <c r="D1358" s="36" t="s">
        <v>91</v>
      </c>
      <c r="E1358" s="36" t="s">
        <v>105</v>
      </c>
      <c r="F1358" s="36" t="s">
        <v>106</v>
      </c>
      <c r="G1358" s="36" t="s">
        <v>102</v>
      </c>
      <c r="H1358" s="36" t="s">
        <v>104</v>
      </c>
      <c r="I1358" s="36" t="s">
        <v>107</v>
      </c>
      <c r="J1358" s="36">
        <v>369</v>
      </c>
      <c r="K1358" s="36">
        <v>526.24</v>
      </c>
    </row>
    <row r="1359" spans="1:11" x14ac:dyDescent="0.3">
      <c r="A1359" s="36" t="s">
        <v>97</v>
      </c>
      <c r="B1359" s="36">
        <v>2021</v>
      </c>
      <c r="C1359" s="36" t="s">
        <v>7</v>
      </c>
      <c r="D1359" s="36" t="s">
        <v>91</v>
      </c>
      <c r="E1359" s="36" t="s">
        <v>105</v>
      </c>
      <c r="F1359" s="36" t="s">
        <v>106</v>
      </c>
      <c r="G1359" s="36" t="s">
        <v>102</v>
      </c>
      <c r="H1359" s="36" t="s">
        <v>104</v>
      </c>
      <c r="I1359" s="36" t="s">
        <v>107</v>
      </c>
      <c r="J1359" s="36">
        <v>319</v>
      </c>
      <c r="K1359" s="36">
        <v>456.16999999999996</v>
      </c>
    </row>
    <row r="1360" spans="1:11" x14ac:dyDescent="0.3">
      <c r="A1360" s="36" t="s">
        <v>97</v>
      </c>
      <c r="B1360" s="36">
        <v>2021</v>
      </c>
      <c r="C1360" s="36" t="s">
        <v>7</v>
      </c>
      <c r="D1360" s="36" t="s">
        <v>91</v>
      </c>
      <c r="E1360" s="36" t="s">
        <v>105</v>
      </c>
      <c r="F1360" s="36" t="s">
        <v>106</v>
      </c>
      <c r="G1360" s="36" t="s">
        <v>102</v>
      </c>
      <c r="H1360" s="36" t="s">
        <v>104</v>
      </c>
      <c r="I1360" s="36" t="s">
        <v>107</v>
      </c>
      <c r="J1360" s="36">
        <v>367</v>
      </c>
      <c r="K1360" s="36">
        <v>524.80999999999995</v>
      </c>
    </row>
    <row r="1361" spans="1:11" x14ac:dyDescent="0.3">
      <c r="A1361" s="36" t="s">
        <v>101</v>
      </c>
      <c r="B1361" s="36">
        <v>2021</v>
      </c>
      <c r="C1361" s="36" t="s">
        <v>7</v>
      </c>
      <c r="D1361" s="36" t="s">
        <v>91</v>
      </c>
      <c r="E1361" s="36" t="s">
        <v>105</v>
      </c>
      <c r="F1361" s="36" t="s">
        <v>106</v>
      </c>
      <c r="G1361" s="36" t="s">
        <v>102</v>
      </c>
      <c r="H1361" s="36" t="s">
        <v>104</v>
      </c>
      <c r="I1361" s="36" t="s">
        <v>107</v>
      </c>
      <c r="J1361" s="36">
        <v>295</v>
      </c>
      <c r="K1361" s="36">
        <v>421.85</v>
      </c>
    </row>
    <row r="1362" spans="1:11" x14ac:dyDescent="0.3">
      <c r="A1362" s="36" t="s">
        <v>97</v>
      </c>
      <c r="B1362" s="36">
        <v>2021</v>
      </c>
      <c r="C1362" s="36" t="s">
        <v>7</v>
      </c>
      <c r="D1362" s="36" t="s">
        <v>91</v>
      </c>
      <c r="E1362" s="36" t="s">
        <v>105</v>
      </c>
      <c r="F1362" s="36" t="s">
        <v>106</v>
      </c>
      <c r="G1362" s="36" t="s">
        <v>102</v>
      </c>
      <c r="H1362" s="36" t="s">
        <v>104</v>
      </c>
      <c r="I1362" s="36" t="s">
        <v>107</v>
      </c>
      <c r="J1362" s="36">
        <v>835</v>
      </c>
      <c r="K1362" s="36">
        <v>1194.05</v>
      </c>
    </row>
    <row r="1363" spans="1:11" x14ac:dyDescent="0.3">
      <c r="A1363" s="36" t="s">
        <v>90</v>
      </c>
      <c r="B1363" s="36">
        <v>2021</v>
      </c>
      <c r="C1363" s="36" t="s">
        <v>7</v>
      </c>
      <c r="D1363" s="36" t="s">
        <v>91</v>
      </c>
      <c r="E1363" s="36" t="s">
        <v>105</v>
      </c>
      <c r="F1363" s="36" t="s">
        <v>106</v>
      </c>
      <c r="G1363" s="36" t="s">
        <v>102</v>
      </c>
      <c r="H1363" s="36" t="s">
        <v>104</v>
      </c>
      <c r="I1363" s="36" t="s">
        <v>107</v>
      </c>
      <c r="J1363" s="36">
        <v>293</v>
      </c>
      <c r="K1363" s="36">
        <v>418.99</v>
      </c>
    </row>
    <row r="1364" spans="1:11" x14ac:dyDescent="0.3">
      <c r="A1364" s="36" t="s">
        <v>99</v>
      </c>
      <c r="B1364" s="36">
        <v>2021</v>
      </c>
      <c r="C1364" s="36" t="s">
        <v>11</v>
      </c>
      <c r="D1364" s="36" t="s">
        <v>91</v>
      </c>
      <c r="E1364" s="36" t="s">
        <v>105</v>
      </c>
      <c r="F1364" s="36" t="s">
        <v>106</v>
      </c>
      <c r="G1364" s="36" t="s">
        <v>102</v>
      </c>
      <c r="H1364" s="36" t="s">
        <v>104</v>
      </c>
      <c r="I1364" s="36" t="s">
        <v>107</v>
      </c>
      <c r="J1364" s="36">
        <v>302</v>
      </c>
      <c r="K1364" s="36">
        <v>431.86</v>
      </c>
    </row>
    <row r="1365" spans="1:11" x14ac:dyDescent="0.3">
      <c r="A1365" s="36" t="s">
        <v>90</v>
      </c>
      <c r="B1365" s="36">
        <v>2021</v>
      </c>
      <c r="C1365" s="36" t="s">
        <v>11</v>
      </c>
      <c r="D1365" s="36" t="s">
        <v>91</v>
      </c>
      <c r="E1365" s="36" t="s">
        <v>105</v>
      </c>
      <c r="F1365" s="36" t="s">
        <v>106</v>
      </c>
      <c r="G1365" s="36" t="s">
        <v>102</v>
      </c>
      <c r="H1365" s="36" t="s">
        <v>104</v>
      </c>
      <c r="I1365" s="36" t="s">
        <v>107</v>
      </c>
      <c r="J1365" s="36">
        <v>344</v>
      </c>
      <c r="K1365" s="36">
        <v>491.91999999999996</v>
      </c>
    </row>
    <row r="1366" spans="1:11" x14ac:dyDescent="0.3">
      <c r="A1366" s="36" t="s">
        <v>100</v>
      </c>
      <c r="B1366" s="36">
        <v>2021</v>
      </c>
      <c r="C1366" s="36" t="s">
        <v>11</v>
      </c>
      <c r="D1366" s="36" t="s">
        <v>91</v>
      </c>
      <c r="E1366" s="36" t="s">
        <v>105</v>
      </c>
      <c r="F1366" s="36" t="s">
        <v>106</v>
      </c>
      <c r="G1366" s="36" t="s">
        <v>102</v>
      </c>
      <c r="H1366" s="36" t="s">
        <v>104</v>
      </c>
      <c r="I1366" s="36" t="s">
        <v>107</v>
      </c>
      <c r="J1366" s="36">
        <v>298</v>
      </c>
      <c r="K1366" s="36">
        <v>426.14</v>
      </c>
    </row>
    <row r="1367" spans="1:11" x14ac:dyDescent="0.3">
      <c r="A1367" s="36" t="s">
        <v>97</v>
      </c>
      <c r="B1367" s="36">
        <v>2021</v>
      </c>
      <c r="C1367" s="36" t="s">
        <v>11</v>
      </c>
      <c r="D1367" s="36" t="s">
        <v>91</v>
      </c>
      <c r="E1367" s="36" t="s">
        <v>105</v>
      </c>
      <c r="F1367" s="36" t="s">
        <v>106</v>
      </c>
      <c r="G1367" s="36" t="s">
        <v>102</v>
      </c>
      <c r="H1367" s="36" t="s">
        <v>104</v>
      </c>
      <c r="I1367" s="36" t="s">
        <v>107</v>
      </c>
      <c r="J1367" s="36">
        <v>346</v>
      </c>
      <c r="K1367" s="36">
        <v>494.78</v>
      </c>
    </row>
    <row r="1368" spans="1:11" x14ac:dyDescent="0.3">
      <c r="A1368" s="36" t="s">
        <v>90</v>
      </c>
      <c r="B1368" s="36">
        <v>2021</v>
      </c>
      <c r="C1368" s="36" t="s">
        <v>11</v>
      </c>
      <c r="D1368" s="36" t="s">
        <v>91</v>
      </c>
      <c r="E1368" s="36" t="s">
        <v>105</v>
      </c>
      <c r="F1368" s="36" t="s">
        <v>106</v>
      </c>
      <c r="G1368" s="36" t="s">
        <v>102</v>
      </c>
      <c r="H1368" s="36" t="s">
        <v>104</v>
      </c>
      <c r="I1368" s="36" t="s">
        <v>107</v>
      </c>
      <c r="J1368" s="36">
        <v>830</v>
      </c>
      <c r="K1368" s="36">
        <v>1186.9000000000001</v>
      </c>
    </row>
    <row r="1369" spans="1:11" x14ac:dyDescent="0.3">
      <c r="A1369" s="36" t="s">
        <v>97</v>
      </c>
      <c r="B1369" s="36">
        <v>2021</v>
      </c>
      <c r="C1369" s="36" t="s">
        <v>11</v>
      </c>
      <c r="D1369" s="36" t="s">
        <v>91</v>
      </c>
      <c r="E1369" s="36" t="s">
        <v>105</v>
      </c>
      <c r="F1369" s="36" t="s">
        <v>106</v>
      </c>
      <c r="G1369" s="36" t="s">
        <v>102</v>
      </c>
      <c r="H1369" s="36" t="s">
        <v>104</v>
      </c>
      <c r="I1369" s="36" t="s">
        <v>107</v>
      </c>
      <c r="J1369" s="36">
        <v>863</v>
      </c>
      <c r="K1369" s="36">
        <v>1234.0899999999999</v>
      </c>
    </row>
    <row r="1370" spans="1:11" x14ac:dyDescent="0.3">
      <c r="A1370" s="36" t="s">
        <v>99</v>
      </c>
      <c r="B1370" s="36">
        <v>2021</v>
      </c>
      <c r="C1370" s="36" t="s">
        <v>11</v>
      </c>
      <c r="D1370" s="36" t="s">
        <v>91</v>
      </c>
      <c r="E1370" s="36" t="s">
        <v>105</v>
      </c>
      <c r="F1370" s="36" t="s">
        <v>106</v>
      </c>
      <c r="G1370" s="36" t="s">
        <v>102</v>
      </c>
      <c r="H1370" s="36" t="s">
        <v>104</v>
      </c>
      <c r="I1370" s="36" t="s">
        <v>107</v>
      </c>
      <c r="J1370" s="36">
        <v>921</v>
      </c>
      <c r="K1370" s="36">
        <v>1317.03</v>
      </c>
    </row>
    <row r="1371" spans="1:11" x14ac:dyDescent="0.3">
      <c r="A1371" s="36" t="s">
        <v>97</v>
      </c>
      <c r="B1371" s="36">
        <v>2021</v>
      </c>
      <c r="C1371" s="36" t="s">
        <v>11</v>
      </c>
      <c r="D1371" s="36" t="s">
        <v>91</v>
      </c>
      <c r="E1371" s="36" t="s">
        <v>105</v>
      </c>
      <c r="F1371" s="36" t="s">
        <v>106</v>
      </c>
      <c r="G1371" s="36" t="s">
        <v>102</v>
      </c>
      <c r="H1371" s="36" t="s">
        <v>104</v>
      </c>
      <c r="I1371" s="36" t="s">
        <v>107</v>
      </c>
      <c r="J1371" s="36">
        <v>922</v>
      </c>
      <c r="K1371" s="36">
        <v>1318.46</v>
      </c>
    </row>
    <row r="1372" spans="1:11" x14ac:dyDescent="0.3">
      <c r="A1372" s="36" t="s">
        <v>97</v>
      </c>
      <c r="B1372" s="36">
        <v>2021</v>
      </c>
      <c r="C1372" s="36" t="s">
        <v>11</v>
      </c>
      <c r="D1372" s="36" t="s">
        <v>91</v>
      </c>
      <c r="E1372" s="36" t="s">
        <v>105</v>
      </c>
      <c r="F1372" s="36" t="s">
        <v>106</v>
      </c>
      <c r="G1372" s="36" t="s">
        <v>102</v>
      </c>
      <c r="H1372" s="36" t="s">
        <v>104</v>
      </c>
      <c r="I1372" s="36" t="s">
        <v>107</v>
      </c>
      <c r="J1372" s="36">
        <v>345</v>
      </c>
      <c r="K1372" s="36">
        <v>493.35</v>
      </c>
    </row>
    <row r="1373" spans="1:11" x14ac:dyDescent="0.3">
      <c r="A1373" s="36" t="s">
        <v>99</v>
      </c>
      <c r="B1373" s="36">
        <v>2021</v>
      </c>
      <c r="C1373" s="36" t="s">
        <v>11</v>
      </c>
      <c r="D1373" s="36" t="s">
        <v>91</v>
      </c>
      <c r="E1373" s="36" t="s">
        <v>105</v>
      </c>
      <c r="F1373" s="36" t="s">
        <v>106</v>
      </c>
      <c r="G1373" s="36" t="s">
        <v>102</v>
      </c>
      <c r="H1373" s="36" t="s">
        <v>104</v>
      </c>
      <c r="I1373" s="36" t="s">
        <v>107</v>
      </c>
      <c r="J1373" s="36">
        <v>249</v>
      </c>
      <c r="K1373" s="36">
        <v>356.07</v>
      </c>
    </row>
    <row r="1374" spans="1:11" x14ac:dyDescent="0.3">
      <c r="A1374" s="36" t="s">
        <v>90</v>
      </c>
      <c r="B1374" s="36">
        <v>2021</v>
      </c>
      <c r="C1374" s="36" t="s">
        <v>11</v>
      </c>
      <c r="D1374" s="36" t="s">
        <v>91</v>
      </c>
      <c r="E1374" s="36" t="s">
        <v>105</v>
      </c>
      <c r="F1374" s="36" t="s">
        <v>106</v>
      </c>
      <c r="G1374" s="36" t="s">
        <v>102</v>
      </c>
      <c r="H1374" s="36" t="s">
        <v>104</v>
      </c>
      <c r="I1374" s="36" t="s">
        <v>107</v>
      </c>
      <c r="J1374" s="36">
        <v>243</v>
      </c>
      <c r="K1374" s="36">
        <v>347.49</v>
      </c>
    </row>
    <row r="1375" spans="1:11" x14ac:dyDescent="0.3">
      <c r="A1375" s="36" t="s">
        <v>100</v>
      </c>
      <c r="B1375" s="36">
        <v>2021</v>
      </c>
      <c r="C1375" s="36" t="s">
        <v>11</v>
      </c>
      <c r="D1375" s="36" t="s">
        <v>91</v>
      </c>
      <c r="E1375" s="36" t="s">
        <v>105</v>
      </c>
      <c r="F1375" s="36" t="s">
        <v>106</v>
      </c>
      <c r="G1375" s="36" t="s">
        <v>102</v>
      </c>
      <c r="H1375" s="36" t="s">
        <v>104</v>
      </c>
      <c r="I1375" s="36" t="s">
        <v>107</v>
      </c>
      <c r="J1375" s="36">
        <v>237</v>
      </c>
      <c r="K1375" s="36">
        <v>338.90999999999997</v>
      </c>
    </row>
    <row r="1376" spans="1:11" x14ac:dyDescent="0.3">
      <c r="A1376" s="36" t="s">
        <v>99</v>
      </c>
      <c r="B1376" s="36">
        <v>2021</v>
      </c>
      <c r="C1376" s="36" t="s">
        <v>11</v>
      </c>
      <c r="D1376" s="36" t="s">
        <v>91</v>
      </c>
      <c r="E1376" s="36" t="s">
        <v>105</v>
      </c>
      <c r="F1376" s="36" t="s">
        <v>106</v>
      </c>
      <c r="G1376" s="36" t="s">
        <v>102</v>
      </c>
      <c r="H1376" s="36" t="s">
        <v>104</v>
      </c>
      <c r="I1376" s="36" t="s">
        <v>107</v>
      </c>
      <c r="J1376" s="36">
        <v>301</v>
      </c>
      <c r="K1376" s="36">
        <v>430.43</v>
      </c>
    </row>
    <row r="1377" spans="1:11" x14ac:dyDescent="0.3">
      <c r="A1377" s="36" t="s">
        <v>99</v>
      </c>
      <c r="B1377" s="36">
        <v>2021</v>
      </c>
      <c r="C1377" s="36" t="s">
        <v>11</v>
      </c>
      <c r="D1377" s="36" t="s">
        <v>91</v>
      </c>
      <c r="E1377" s="36" t="s">
        <v>105</v>
      </c>
      <c r="F1377" s="36" t="s">
        <v>106</v>
      </c>
      <c r="G1377" s="36" t="s">
        <v>102</v>
      </c>
      <c r="H1377" s="36" t="s">
        <v>104</v>
      </c>
      <c r="I1377" s="36" t="s">
        <v>107</v>
      </c>
      <c r="J1377" s="36">
        <v>349</v>
      </c>
      <c r="K1377" s="36">
        <v>499.07</v>
      </c>
    </row>
    <row r="1378" spans="1:11" x14ac:dyDescent="0.3">
      <c r="A1378" s="36" t="s">
        <v>97</v>
      </c>
      <c r="B1378" s="36">
        <v>2021</v>
      </c>
      <c r="C1378" s="36" t="s">
        <v>11</v>
      </c>
      <c r="D1378" s="36" t="s">
        <v>91</v>
      </c>
      <c r="E1378" s="36" t="s">
        <v>105</v>
      </c>
      <c r="F1378" s="36" t="s">
        <v>106</v>
      </c>
      <c r="G1378" s="36" t="s">
        <v>102</v>
      </c>
      <c r="H1378" s="36" t="s">
        <v>104</v>
      </c>
      <c r="I1378" s="36" t="s">
        <v>107</v>
      </c>
      <c r="J1378" s="36">
        <v>839</v>
      </c>
      <c r="K1378" s="36">
        <v>1199.77</v>
      </c>
    </row>
    <row r="1379" spans="1:11" x14ac:dyDescent="0.3">
      <c r="A1379" s="36" t="s">
        <v>97</v>
      </c>
      <c r="B1379" s="36">
        <v>2021</v>
      </c>
      <c r="C1379" s="36" t="s">
        <v>11</v>
      </c>
      <c r="D1379" s="36" t="s">
        <v>91</v>
      </c>
      <c r="E1379" s="36" t="s">
        <v>105</v>
      </c>
      <c r="F1379" s="36" t="s">
        <v>106</v>
      </c>
      <c r="G1379" s="36" t="s">
        <v>102</v>
      </c>
      <c r="H1379" s="36" t="s">
        <v>104</v>
      </c>
      <c r="I1379" s="36" t="s">
        <v>107</v>
      </c>
      <c r="J1379" s="36">
        <v>872</v>
      </c>
      <c r="K1379" s="36">
        <v>1246.96</v>
      </c>
    </row>
    <row r="1380" spans="1:11" x14ac:dyDescent="0.3">
      <c r="A1380" s="36" t="s">
        <v>90</v>
      </c>
      <c r="B1380" s="36">
        <v>2021</v>
      </c>
      <c r="C1380" s="36" t="s">
        <v>1</v>
      </c>
      <c r="D1380" s="36" t="s">
        <v>91</v>
      </c>
      <c r="E1380" s="36" t="s">
        <v>105</v>
      </c>
      <c r="F1380" s="36" t="s">
        <v>106</v>
      </c>
      <c r="G1380" s="36" t="s">
        <v>102</v>
      </c>
      <c r="H1380" s="36" t="s">
        <v>104</v>
      </c>
      <c r="I1380" s="36" t="s">
        <v>107</v>
      </c>
      <c r="J1380" s="36">
        <v>152</v>
      </c>
      <c r="K1380" s="36">
        <v>217.36</v>
      </c>
    </row>
    <row r="1381" spans="1:11" x14ac:dyDescent="0.3">
      <c r="A1381" s="36" t="s">
        <v>90</v>
      </c>
      <c r="B1381" s="36">
        <v>2021</v>
      </c>
      <c r="C1381" s="36" t="s">
        <v>1</v>
      </c>
      <c r="D1381" s="36" t="s">
        <v>91</v>
      </c>
      <c r="E1381" s="36" t="s">
        <v>105</v>
      </c>
      <c r="F1381" s="36" t="s">
        <v>106</v>
      </c>
      <c r="G1381" s="36" t="s">
        <v>102</v>
      </c>
      <c r="H1381" s="36" t="s">
        <v>104</v>
      </c>
      <c r="I1381" s="36" t="s">
        <v>107</v>
      </c>
      <c r="J1381" s="36">
        <v>326</v>
      </c>
      <c r="K1381" s="36">
        <v>466.18</v>
      </c>
    </row>
    <row r="1382" spans="1:11" x14ac:dyDescent="0.3">
      <c r="A1382" s="36" t="s">
        <v>97</v>
      </c>
      <c r="B1382" s="36">
        <v>2021</v>
      </c>
      <c r="C1382" s="36" t="s">
        <v>1</v>
      </c>
      <c r="D1382" s="36" t="s">
        <v>91</v>
      </c>
      <c r="E1382" s="36" t="s">
        <v>105</v>
      </c>
      <c r="F1382" s="36" t="s">
        <v>106</v>
      </c>
      <c r="G1382" s="36" t="s">
        <v>102</v>
      </c>
      <c r="H1382" s="36" t="s">
        <v>104</v>
      </c>
      <c r="I1382" s="36" t="s">
        <v>107</v>
      </c>
      <c r="J1382" s="36">
        <v>352</v>
      </c>
      <c r="K1382" s="36">
        <v>503.36</v>
      </c>
    </row>
    <row r="1383" spans="1:11" x14ac:dyDescent="0.3">
      <c r="A1383" s="36" t="s">
        <v>99</v>
      </c>
      <c r="B1383" s="36">
        <v>2021</v>
      </c>
      <c r="C1383" s="36" t="s">
        <v>1</v>
      </c>
      <c r="D1383" s="36" t="s">
        <v>91</v>
      </c>
      <c r="E1383" s="36" t="s">
        <v>105</v>
      </c>
      <c r="F1383" s="36" t="s">
        <v>106</v>
      </c>
      <c r="G1383" s="36" t="s">
        <v>102</v>
      </c>
      <c r="H1383" s="36" t="s">
        <v>104</v>
      </c>
      <c r="I1383" s="36" t="s">
        <v>107</v>
      </c>
      <c r="J1383" s="36">
        <v>154</v>
      </c>
      <c r="K1383" s="36">
        <v>220.22</v>
      </c>
    </row>
    <row r="1384" spans="1:11" x14ac:dyDescent="0.3">
      <c r="A1384" s="36" t="s">
        <v>90</v>
      </c>
      <c r="B1384" s="36">
        <v>2021</v>
      </c>
      <c r="C1384" s="36" t="s">
        <v>1</v>
      </c>
      <c r="D1384" s="36" t="s">
        <v>91</v>
      </c>
      <c r="E1384" s="36" t="s">
        <v>105</v>
      </c>
      <c r="F1384" s="36" t="s">
        <v>106</v>
      </c>
      <c r="G1384" s="36" t="s">
        <v>102</v>
      </c>
      <c r="H1384" s="36" t="s">
        <v>104</v>
      </c>
      <c r="I1384" s="36" t="s">
        <v>107</v>
      </c>
      <c r="J1384" s="36">
        <v>328</v>
      </c>
      <c r="K1384" s="36">
        <v>469.03999999999996</v>
      </c>
    </row>
    <row r="1385" spans="1:11" x14ac:dyDescent="0.3">
      <c r="A1385" s="36" t="s">
        <v>97</v>
      </c>
      <c r="B1385" s="36">
        <v>2021</v>
      </c>
      <c r="C1385" s="36" t="s">
        <v>1</v>
      </c>
      <c r="D1385" s="36" t="s">
        <v>91</v>
      </c>
      <c r="E1385" s="36" t="s">
        <v>105</v>
      </c>
      <c r="F1385" s="36" t="s">
        <v>106</v>
      </c>
      <c r="G1385" s="36" t="s">
        <v>102</v>
      </c>
      <c r="H1385" s="36" t="s">
        <v>104</v>
      </c>
      <c r="I1385" s="36" t="s">
        <v>107</v>
      </c>
      <c r="J1385" s="36">
        <v>821</v>
      </c>
      <c r="K1385" s="36">
        <v>1174.03</v>
      </c>
    </row>
    <row r="1386" spans="1:11" x14ac:dyDescent="0.3">
      <c r="A1386" s="36" t="s">
        <v>99</v>
      </c>
      <c r="B1386" s="36">
        <v>2021</v>
      </c>
      <c r="C1386" s="36" t="s">
        <v>1</v>
      </c>
      <c r="D1386" s="36" t="s">
        <v>91</v>
      </c>
      <c r="E1386" s="36" t="s">
        <v>105</v>
      </c>
      <c r="F1386" s="36" t="s">
        <v>106</v>
      </c>
      <c r="G1386" s="36" t="s">
        <v>102</v>
      </c>
      <c r="H1386" s="36" t="s">
        <v>104</v>
      </c>
      <c r="I1386" s="36" t="s">
        <v>107</v>
      </c>
      <c r="J1386" s="36">
        <v>854</v>
      </c>
      <c r="K1386" s="36">
        <v>1221.22</v>
      </c>
    </row>
    <row r="1387" spans="1:11" x14ac:dyDescent="0.3">
      <c r="A1387" s="36" t="s">
        <v>100</v>
      </c>
      <c r="B1387" s="36">
        <v>2021</v>
      </c>
      <c r="C1387" s="36" t="s">
        <v>1</v>
      </c>
      <c r="D1387" s="36" t="s">
        <v>91</v>
      </c>
      <c r="E1387" s="36" t="s">
        <v>105</v>
      </c>
      <c r="F1387" s="36" t="s">
        <v>106</v>
      </c>
      <c r="G1387" s="36" t="s">
        <v>102</v>
      </c>
      <c r="H1387" s="36" t="s">
        <v>104</v>
      </c>
      <c r="I1387" s="36" t="s">
        <v>107</v>
      </c>
      <c r="J1387" s="36">
        <v>908</v>
      </c>
      <c r="K1387" s="36">
        <v>1298.44</v>
      </c>
    </row>
    <row r="1388" spans="1:11" x14ac:dyDescent="0.3">
      <c r="A1388" s="36" t="s">
        <v>100</v>
      </c>
      <c r="B1388" s="36">
        <v>2021</v>
      </c>
      <c r="C1388" s="36" t="s">
        <v>1</v>
      </c>
      <c r="D1388" s="36" t="s">
        <v>91</v>
      </c>
      <c r="E1388" s="36" t="s">
        <v>105</v>
      </c>
      <c r="F1388" s="36" t="s">
        <v>106</v>
      </c>
      <c r="G1388" s="36" t="s">
        <v>102</v>
      </c>
      <c r="H1388" s="36" t="s">
        <v>104</v>
      </c>
      <c r="I1388" s="36" t="s">
        <v>107</v>
      </c>
      <c r="J1388" s="36">
        <v>861</v>
      </c>
      <c r="K1388" s="36">
        <v>526.24</v>
      </c>
    </row>
    <row r="1389" spans="1:11" x14ac:dyDescent="0.3">
      <c r="A1389" s="36" t="s">
        <v>90</v>
      </c>
      <c r="B1389" s="36">
        <v>2021</v>
      </c>
      <c r="C1389" s="36" t="s">
        <v>1</v>
      </c>
      <c r="D1389" s="36" t="s">
        <v>91</v>
      </c>
      <c r="E1389" s="36" t="s">
        <v>105</v>
      </c>
      <c r="F1389" s="36" t="s">
        <v>106</v>
      </c>
      <c r="G1389" s="36" t="s">
        <v>102</v>
      </c>
      <c r="H1389" s="36" t="s">
        <v>104</v>
      </c>
      <c r="I1389" s="36" t="s">
        <v>107</v>
      </c>
      <c r="J1389" s="36">
        <v>153</v>
      </c>
      <c r="K1389" s="36">
        <v>526.24</v>
      </c>
    </row>
    <row r="1390" spans="1:11" x14ac:dyDescent="0.3">
      <c r="A1390" s="36" t="s">
        <v>97</v>
      </c>
      <c r="B1390" s="36">
        <v>2021</v>
      </c>
      <c r="C1390" s="36" t="s">
        <v>1</v>
      </c>
      <c r="D1390" s="36" t="s">
        <v>91</v>
      </c>
      <c r="E1390" s="36" t="s">
        <v>105</v>
      </c>
      <c r="F1390" s="36" t="s">
        <v>106</v>
      </c>
      <c r="G1390" s="36" t="s">
        <v>102</v>
      </c>
      <c r="H1390" s="36" t="s">
        <v>104</v>
      </c>
      <c r="I1390" s="36" t="s">
        <v>107</v>
      </c>
      <c r="J1390" s="36">
        <v>327</v>
      </c>
      <c r="K1390" s="36">
        <v>467.61</v>
      </c>
    </row>
    <row r="1391" spans="1:11" x14ac:dyDescent="0.3">
      <c r="A1391" s="36" t="s">
        <v>90</v>
      </c>
      <c r="B1391" s="36">
        <v>2021</v>
      </c>
      <c r="C1391" s="36" t="s">
        <v>1</v>
      </c>
      <c r="D1391" s="36" t="s">
        <v>91</v>
      </c>
      <c r="E1391" s="36" t="s">
        <v>105</v>
      </c>
      <c r="F1391" s="36" t="s">
        <v>106</v>
      </c>
      <c r="G1391" s="36" t="s">
        <v>102</v>
      </c>
      <c r="H1391" s="36" t="s">
        <v>104</v>
      </c>
      <c r="I1391" s="36" t="s">
        <v>107</v>
      </c>
      <c r="J1391" s="36">
        <v>355</v>
      </c>
      <c r="K1391" s="36">
        <v>507.65</v>
      </c>
    </row>
    <row r="1392" spans="1:11" x14ac:dyDescent="0.3">
      <c r="A1392" s="36" t="s">
        <v>97</v>
      </c>
      <c r="B1392" s="36">
        <v>2021</v>
      </c>
      <c r="C1392" s="36" t="s">
        <v>1</v>
      </c>
      <c r="D1392" s="36" t="s">
        <v>91</v>
      </c>
      <c r="E1392" s="36" t="s">
        <v>105</v>
      </c>
      <c r="F1392" s="36" t="s">
        <v>106</v>
      </c>
      <c r="G1392" s="36" t="s">
        <v>102</v>
      </c>
      <c r="H1392" s="36" t="s">
        <v>95</v>
      </c>
      <c r="I1392" s="36" t="s">
        <v>107</v>
      </c>
      <c r="J1392" s="36">
        <v>325</v>
      </c>
      <c r="K1392" s="36">
        <v>464.75</v>
      </c>
    </row>
    <row r="1393" spans="1:11" x14ac:dyDescent="0.3">
      <c r="A1393" s="36" t="s">
        <v>90</v>
      </c>
      <c r="B1393" s="36">
        <v>2021</v>
      </c>
      <c r="C1393" s="36" t="s">
        <v>1</v>
      </c>
      <c r="D1393" s="36" t="s">
        <v>91</v>
      </c>
      <c r="E1393" s="36" t="s">
        <v>105</v>
      </c>
      <c r="F1393" s="36" t="s">
        <v>106</v>
      </c>
      <c r="G1393" s="36" t="s">
        <v>102</v>
      </c>
      <c r="H1393" s="36" t="s">
        <v>95</v>
      </c>
      <c r="I1393" s="36" t="s">
        <v>107</v>
      </c>
      <c r="J1393" s="36">
        <v>830</v>
      </c>
      <c r="K1393" s="36">
        <v>1186.9000000000001</v>
      </c>
    </row>
    <row r="1394" spans="1:11" x14ac:dyDescent="0.3">
      <c r="A1394" s="36" t="s">
        <v>99</v>
      </c>
      <c r="B1394" s="36">
        <v>2021</v>
      </c>
      <c r="C1394" s="36" t="s">
        <v>1</v>
      </c>
      <c r="D1394" s="36" t="s">
        <v>91</v>
      </c>
      <c r="E1394" s="36" t="s">
        <v>105</v>
      </c>
      <c r="F1394" s="36" t="s">
        <v>106</v>
      </c>
      <c r="G1394" s="36" t="s">
        <v>102</v>
      </c>
      <c r="H1394" s="36" t="s">
        <v>95</v>
      </c>
      <c r="I1394" s="36" t="s">
        <v>107</v>
      </c>
      <c r="J1394" s="36">
        <v>863</v>
      </c>
      <c r="K1394" s="36">
        <v>1234.0899999999999</v>
      </c>
    </row>
    <row r="1395" spans="1:11" x14ac:dyDescent="0.3">
      <c r="A1395" s="36" t="s">
        <v>97</v>
      </c>
      <c r="B1395" s="36">
        <v>2021</v>
      </c>
      <c r="C1395" s="36" t="s">
        <v>0</v>
      </c>
      <c r="D1395" s="36" t="s">
        <v>91</v>
      </c>
      <c r="E1395" s="36" t="s">
        <v>105</v>
      </c>
      <c r="F1395" s="36" t="s">
        <v>106</v>
      </c>
      <c r="G1395" s="36" t="s">
        <v>102</v>
      </c>
      <c r="H1395" s="36" t="s">
        <v>95</v>
      </c>
      <c r="I1395" s="36" t="s">
        <v>107</v>
      </c>
      <c r="J1395" s="36">
        <v>356</v>
      </c>
      <c r="K1395" s="36">
        <v>509.08</v>
      </c>
    </row>
    <row r="1396" spans="1:11" x14ac:dyDescent="0.3">
      <c r="A1396" s="36" t="s">
        <v>90</v>
      </c>
      <c r="B1396" s="36">
        <v>2021</v>
      </c>
      <c r="C1396" s="36" t="s">
        <v>0</v>
      </c>
      <c r="D1396" s="36" t="s">
        <v>91</v>
      </c>
      <c r="E1396" s="36" t="s">
        <v>105</v>
      </c>
      <c r="F1396" s="36" t="s">
        <v>106</v>
      </c>
      <c r="G1396" s="36" t="s">
        <v>102</v>
      </c>
      <c r="H1396" s="36" t="s">
        <v>95</v>
      </c>
      <c r="I1396" s="36" t="s">
        <v>107</v>
      </c>
      <c r="J1396" s="36">
        <v>158</v>
      </c>
      <c r="K1396" s="36">
        <v>225.94</v>
      </c>
    </row>
    <row r="1397" spans="1:11" x14ac:dyDescent="0.3">
      <c r="A1397" s="36" t="s">
        <v>97</v>
      </c>
      <c r="B1397" s="36">
        <v>2021</v>
      </c>
      <c r="C1397" s="36" t="s">
        <v>0</v>
      </c>
      <c r="D1397" s="36" t="s">
        <v>91</v>
      </c>
      <c r="E1397" s="36" t="s">
        <v>105</v>
      </c>
      <c r="F1397" s="36" t="s">
        <v>106</v>
      </c>
      <c r="G1397" s="36" t="s">
        <v>102</v>
      </c>
      <c r="H1397" s="36" t="s">
        <v>95</v>
      </c>
      <c r="I1397" s="36" t="s">
        <v>107</v>
      </c>
      <c r="J1397" s="36">
        <v>332</v>
      </c>
      <c r="K1397" s="36">
        <v>474.76</v>
      </c>
    </row>
    <row r="1398" spans="1:11" x14ac:dyDescent="0.3">
      <c r="A1398" s="36" t="s">
        <v>97</v>
      </c>
      <c r="B1398" s="36">
        <v>2021</v>
      </c>
      <c r="C1398" s="36" t="s">
        <v>0</v>
      </c>
      <c r="D1398" s="36" t="s">
        <v>91</v>
      </c>
      <c r="E1398" s="36" t="s">
        <v>105</v>
      </c>
      <c r="F1398" s="36" t="s">
        <v>106</v>
      </c>
      <c r="G1398" s="36" t="s">
        <v>102</v>
      </c>
      <c r="H1398" s="36" t="s">
        <v>95</v>
      </c>
      <c r="I1398" s="36" t="s">
        <v>107</v>
      </c>
      <c r="J1398" s="36">
        <v>358</v>
      </c>
      <c r="K1398" s="36">
        <v>511.94</v>
      </c>
    </row>
    <row r="1399" spans="1:11" x14ac:dyDescent="0.3">
      <c r="A1399" s="36" t="s">
        <v>97</v>
      </c>
      <c r="B1399" s="36">
        <v>2021</v>
      </c>
      <c r="C1399" s="36" t="s">
        <v>0</v>
      </c>
      <c r="D1399" s="36" t="s">
        <v>91</v>
      </c>
      <c r="E1399" s="36" t="s">
        <v>105</v>
      </c>
      <c r="F1399" s="36" t="s">
        <v>106</v>
      </c>
      <c r="G1399" s="36" t="s">
        <v>102</v>
      </c>
      <c r="H1399" s="36" t="s">
        <v>95</v>
      </c>
      <c r="I1399" s="36" t="s">
        <v>107</v>
      </c>
      <c r="J1399" s="36">
        <v>160</v>
      </c>
      <c r="K1399" s="36">
        <v>228.8</v>
      </c>
    </row>
    <row r="1400" spans="1:11" x14ac:dyDescent="0.3">
      <c r="A1400" s="36" t="s">
        <v>100</v>
      </c>
      <c r="B1400" s="36">
        <v>2021</v>
      </c>
      <c r="C1400" s="36" t="s">
        <v>0</v>
      </c>
      <c r="D1400" s="36" t="s">
        <v>91</v>
      </c>
      <c r="E1400" s="36" t="s">
        <v>105</v>
      </c>
      <c r="F1400" s="36" t="s">
        <v>106</v>
      </c>
      <c r="G1400" s="36" t="s">
        <v>102</v>
      </c>
      <c r="H1400" s="36" t="s">
        <v>95</v>
      </c>
      <c r="I1400" s="36" t="s">
        <v>107</v>
      </c>
      <c r="J1400" s="36">
        <v>334</v>
      </c>
      <c r="K1400" s="36">
        <v>477.62</v>
      </c>
    </row>
    <row r="1401" spans="1:11" x14ac:dyDescent="0.3">
      <c r="A1401" s="36" t="s">
        <v>97</v>
      </c>
      <c r="B1401" s="36">
        <v>2021</v>
      </c>
      <c r="C1401" s="36" t="s">
        <v>0</v>
      </c>
      <c r="D1401" s="36" t="s">
        <v>91</v>
      </c>
      <c r="E1401" s="36" t="s">
        <v>105</v>
      </c>
      <c r="F1401" s="36" t="s">
        <v>106</v>
      </c>
      <c r="G1401" s="36" t="s">
        <v>102</v>
      </c>
      <c r="H1401" s="36" t="s">
        <v>95</v>
      </c>
      <c r="I1401" s="36" t="s">
        <v>107</v>
      </c>
      <c r="J1401" s="36">
        <v>820</v>
      </c>
      <c r="K1401" s="36">
        <v>1172.5999999999999</v>
      </c>
    </row>
    <row r="1402" spans="1:11" x14ac:dyDescent="0.3">
      <c r="A1402" s="36" t="s">
        <v>97</v>
      </c>
      <c r="B1402" s="36">
        <v>2021</v>
      </c>
      <c r="C1402" s="36" t="s">
        <v>0</v>
      </c>
      <c r="D1402" s="36" t="s">
        <v>91</v>
      </c>
      <c r="E1402" s="36" t="s">
        <v>105</v>
      </c>
      <c r="F1402" s="36" t="s">
        <v>106</v>
      </c>
      <c r="G1402" s="36" t="s">
        <v>102</v>
      </c>
      <c r="H1402" s="36" t="s">
        <v>95</v>
      </c>
      <c r="I1402" s="36" t="s">
        <v>107</v>
      </c>
      <c r="J1402" s="36">
        <v>907</v>
      </c>
      <c r="K1402" s="36">
        <v>1297.01</v>
      </c>
    </row>
    <row r="1403" spans="1:11" x14ac:dyDescent="0.3">
      <c r="A1403" s="36" t="s">
        <v>97</v>
      </c>
      <c r="B1403" s="36">
        <v>2021</v>
      </c>
      <c r="C1403" s="36" t="s">
        <v>0</v>
      </c>
      <c r="D1403" s="36" t="s">
        <v>91</v>
      </c>
      <c r="E1403" s="36" t="s">
        <v>105</v>
      </c>
      <c r="F1403" s="36" t="s">
        <v>106</v>
      </c>
      <c r="G1403" s="36" t="s">
        <v>102</v>
      </c>
      <c r="H1403" s="36" t="s">
        <v>95</v>
      </c>
      <c r="I1403" s="36" t="s">
        <v>107</v>
      </c>
      <c r="J1403" s="36">
        <v>860</v>
      </c>
      <c r="K1403" s="36">
        <v>526.24</v>
      </c>
    </row>
    <row r="1404" spans="1:11" x14ac:dyDescent="0.3">
      <c r="A1404" s="36" t="s">
        <v>90</v>
      </c>
      <c r="B1404" s="36">
        <v>2021</v>
      </c>
      <c r="C1404" s="36" t="s">
        <v>0</v>
      </c>
      <c r="D1404" s="36" t="s">
        <v>91</v>
      </c>
      <c r="E1404" s="36" t="s">
        <v>105</v>
      </c>
      <c r="F1404" s="36" t="s">
        <v>106</v>
      </c>
      <c r="G1404" s="36" t="s">
        <v>102</v>
      </c>
      <c r="H1404" s="36" t="s">
        <v>95</v>
      </c>
      <c r="I1404" s="36" t="s">
        <v>107</v>
      </c>
      <c r="J1404" s="36">
        <v>159</v>
      </c>
      <c r="K1404" s="36">
        <v>526.24</v>
      </c>
    </row>
    <row r="1405" spans="1:11" x14ac:dyDescent="0.3">
      <c r="A1405" s="36" t="s">
        <v>97</v>
      </c>
      <c r="B1405" s="36">
        <v>2021</v>
      </c>
      <c r="C1405" s="36" t="s">
        <v>0</v>
      </c>
      <c r="D1405" s="36" t="s">
        <v>91</v>
      </c>
      <c r="E1405" s="36" t="s">
        <v>105</v>
      </c>
      <c r="F1405" s="36" t="s">
        <v>106</v>
      </c>
      <c r="G1405" s="36" t="s">
        <v>102</v>
      </c>
      <c r="H1405" s="36" t="s">
        <v>95</v>
      </c>
      <c r="I1405" s="36" t="s">
        <v>107</v>
      </c>
      <c r="J1405" s="36">
        <v>333</v>
      </c>
      <c r="K1405" s="36">
        <v>476.19</v>
      </c>
    </row>
    <row r="1406" spans="1:11" x14ac:dyDescent="0.3">
      <c r="A1406" s="36" t="s">
        <v>100</v>
      </c>
      <c r="B1406" s="36">
        <v>2021</v>
      </c>
      <c r="C1406" s="36" t="s">
        <v>0</v>
      </c>
      <c r="D1406" s="36" t="s">
        <v>91</v>
      </c>
      <c r="E1406" s="36" t="s">
        <v>105</v>
      </c>
      <c r="F1406" s="36" t="s">
        <v>106</v>
      </c>
      <c r="G1406" s="36" t="s">
        <v>102</v>
      </c>
      <c r="H1406" s="36" t="s">
        <v>95</v>
      </c>
      <c r="I1406" s="36" t="s">
        <v>107</v>
      </c>
      <c r="J1406" s="36">
        <v>361</v>
      </c>
      <c r="K1406" s="36">
        <v>516.23</v>
      </c>
    </row>
    <row r="1407" spans="1:11" x14ac:dyDescent="0.3">
      <c r="A1407" s="36" t="s">
        <v>99</v>
      </c>
      <c r="B1407" s="36">
        <v>2021</v>
      </c>
      <c r="C1407" s="36" t="s">
        <v>0</v>
      </c>
      <c r="D1407" s="36" t="s">
        <v>91</v>
      </c>
      <c r="E1407" s="36" t="s">
        <v>105</v>
      </c>
      <c r="F1407" s="36" t="s">
        <v>106</v>
      </c>
      <c r="G1407" s="36" t="s">
        <v>102</v>
      </c>
      <c r="H1407" s="36" t="s">
        <v>95</v>
      </c>
      <c r="I1407" s="36" t="s">
        <v>107</v>
      </c>
      <c r="J1407" s="36">
        <v>157</v>
      </c>
      <c r="K1407" s="36">
        <v>224.51</v>
      </c>
    </row>
    <row r="1408" spans="1:11" x14ac:dyDescent="0.3">
      <c r="A1408" s="36" t="s">
        <v>97</v>
      </c>
      <c r="B1408" s="36">
        <v>2021</v>
      </c>
      <c r="C1408" s="36" t="s">
        <v>0</v>
      </c>
      <c r="D1408" s="36" t="s">
        <v>91</v>
      </c>
      <c r="E1408" s="36" t="s">
        <v>105</v>
      </c>
      <c r="F1408" s="36" t="s">
        <v>106</v>
      </c>
      <c r="G1408" s="36" t="s">
        <v>102</v>
      </c>
      <c r="H1408" s="36" t="s">
        <v>95</v>
      </c>
      <c r="I1408" s="36" t="s">
        <v>107</v>
      </c>
      <c r="J1408" s="36">
        <v>331</v>
      </c>
      <c r="K1408" s="36">
        <v>473.33</v>
      </c>
    </row>
    <row r="1409" spans="1:11" x14ac:dyDescent="0.3">
      <c r="A1409" s="36" t="s">
        <v>97</v>
      </c>
      <c r="B1409" s="36">
        <v>2021</v>
      </c>
      <c r="C1409" s="36" t="s">
        <v>0</v>
      </c>
      <c r="D1409" s="36" t="s">
        <v>91</v>
      </c>
      <c r="E1409" s="36" t="s">
        <v>105</v>
      </c>
      <c r="F1409" s="36" t="s">
        <v>106</v>
      </c>
      <c r="G1409" s="36" t="s">
        <v>102</v>
      </c>
      <c r="H1409" s="36" t="s">
        <v>95</v>
      </c>
      <c r="I1409" s="36" t="s">
        <v>107</v>
      </c>
      <c r="J1409" s="36">
        <v>829</v>
      </c>
      <c r="K1409" s="36">
        <v>1185.47</v>
      </c>
    </row>
    <row r="1410" spans="1:11" x14ac:dyDescent="0.3">
      <c r="A1410" s="36" t="s">
        <v>97</v>
      </c>
      <c r="B1410" s="36">
        <v>2021</v>
      </c>
      <c r="C1410" s="36" t="s">
        <v>0</v>
      </c>
      <c r="D1410" s="36" t="s">
        <v>91</v>
      </c>
      <c r="E1410" s="36" t="s">
        <v>105</v>
      </c>
      <c r="F1410" s="36" t="s">
        <v>106</v>
      </c>
      <c r="G1410" s="36" t="s">
        <v>102</v>
      </c>
      <c r="H1410" s="36" t="s">
        <v>95</v>
      </c>
      <c r="I1410" s="36" t="s">
        <v>107</v>
      </c>
      <c r="J1410" s="36">
        <v>862</v>
      </c>
      <c r="K1410" s="36">
        <v>1232.6599999999999</v>
      </c>
    </row>
    <row r="1411" spans="1:11" x14ac:dyDescent="0.3">
      <c r="A1411" s="36" t="s">
        <v>97</v>
      </c>
      <c r="B1411" s="36">
        <v>2021</v>
      </c>
      <c r="C1411" s="36" t="s">
        <v>0</v>
      </c>
      <c r="D1411" s="36" t="s">
        <v>91</v>
      </c>
      <c r="E1411" s="36" t="s">
        <v>105</v>
      </c>
      <c r="F1411" s="36" t="s">
        <v>106</v>
      </c>
      <c r="G1411" s="36" t="s">
        <v>102</v>
      </c>
      <c r="H1411" s="36" t="s">
        <v>95</v>
      </c>
      <c r="I1411" s="36" t="s">
        <v>107</v>
      </c>
      <c r="J1411" s="36">
        <v>329</v>
      </c>
      <c r="K1411" s="36">
        <v>470.47</v>
      </c>
    </row>
    <row r="1412" spans="1:11" x14ac:dyDescent="0.3">
      <c r="A1412" s="36" t="s">
        <v>97</v>
      </c>
      <c r="B1412" s="36">
        <v>2021</v>
      </c>
      <c r="C1412" s="36" t="s">
        <v>6</v>
      </c>
      <c r="D1412" s="36" t="s">
        <v>91</v>
      </c>
      <c r="E1412" s="36" t="s">
        <v>105</v>
      </c>
      <c r="F1412" s="36" t="s">
        <v>106</v>
      </c>
      <c r="G1412" s="36" t="s">
        <v>102</v>
      </c>
      <c r="H1412" s="36" t="s">
        <v>95</v>
      </c>
      <c r="I1412" s="36" t="s">
        <v>107</v>
      </c>
      <c r="J1412" s="36">
        <v>326</v>
      </c>
      <c r="K1412" s="36">
        <v>466.18</v>
      </c>
    </row>
    <row r="1413" spans="1:11" x14ac:dyDescent="0.3">
      <c r="A1413" s="36" t="s">
        <v>97</v>
      </c>
      <c r="B1413" s="36">
        <v>2021</v>
      </c>
      <c r="C1413" s="36" t="s">
        <v>6</v>
      </c>
      <c r="D1413" s="36" t="s">
        <v>91</v>
      </c>
      <c r="E1413" s="36" t="s">
        <v>105</v>
      </c>
      <c r="F1413" s="36" t="s">
        <v>106</v>
      </c>
      <c r="G1413" s="36" t="s">
        <v>102</v>
      </c>
      <c r="H1413" s="36" t="s">
        <v>95</v>
      </c>
      <c r="I1413" s="36" t="s">
        <v>107</v>
      </c>
      <c r="J1413" s="36">
        <v>128</v>
      </c>
      <c r="K1413" s="36">
        <v>183.04</v>
      </c>
    </row>
    <row r="1414" spans="1:11" x14ac:dyDescent="0.3">
      <c r="A1414" s="36" t="s">
        <v>90</v>
      </c>
      <c r="B1414" s="36">
        <v>2021</v>
      </c>
      <c r="C1414" s="36" t="s">
        <v>6</v>
      </c>
      <c r="D1414" s="36" t="s">
        <v>91</v>
      </c>
      <c r="E1414" s="36" t="s">
        <v>105</v>
      </c>
      <c r="F1414" s="36" t="s">
        <v>106</v>
      </c>
      <c r="G1414" s="36" t="s">
        <v>102</v>
      </c>
      <c r="H1414" s="36" t="s">
        <v>95</v>
      </c>
      <c r="I1414" s="36" t="s">
        <v>107</v>
      </c>
      <c r="J1414" s="36">
        <v>302</v>
      </c>
      <c r="K1414" s="36">
        <v>431.86</v>
      </c>
    </row>
    <row r="1415" spans="1:11" x14ac:dyDescent="0.3">
      <c r="A1415" s="36" t="s">
        <v>97</v>
      </c>
      <c r="B1415" s="36">
        <v>2021</v>
      </c>
      <c r="C1415" s="36" t="s">
        <v>6</v>
      </c>
      <c r="D1415" s="36" t="s">
        <v>91</v>
      </c>
      <c r="E1415" s="36" t="s">
        <v>105</v>
      </c>
      <c r="F1415" s="36" t="s">
        <v>106</v>
      </c>
      <c r="G1415" s="36" t="s">
        <v>102</v>
      </c>
      <c r="H1415" s="36" t="s">
        <v>95</v>
      </c>
      <c r="I1415" s="36" t="s">
        <v>107</v>
      </c>
      <c r="J1415" s="36">
        <v>328</v>
      </c>
      <c r="K1415" s="36">
        <v>469.03999999999996</v>
      </c>
    </row>
    <row r="1416" spans="1:11" x14ac:dyDescent="0.3">
      <c r="A1416" s="36" t="s">
        <v>99</v>
      </c>
      <c r="B1416" s="36">
        <v>2021</v>
      </c>
      <c r="C1416" s="36" t="s">
        <v>6</v>
      </c>
      <c r="D1416" s="36" t="s">
        <v>91</v>
      </c>
      <c r="E1416" s="36" t="s">
        <v>105</v>
      </c>
      <c r="F1416" s="36" t="s">
        <v>106</v>
      </c>
      <c r="G1416" s="36" t="s">
        <v>102</v>
      </c>
      <c r="H1416" s="36" t="s">
        <v>95</v>
      </c>
      <c r="I1416" s="36" t="s">
        <v>107</v>
      </c>
      <c r="J1416" s="36">
        <v>298</v>
      </c>
      <c r="K1416" s="36">
        <v>426.14</v>
      </c>
    </row>
    <row r="1417" spans="1:11" x14ac:dyDescent="0.3">
      <c r="A1417" s="36" t="s">
        <v>97</v>
      </c>
      <c r="B1417" s="36">
        <v>2021</v>
      </c>
      <c r="C1417" s="36" t="s">
        <v>6</v>
      </c>
      <c r="D1417" s="36" t="s">
        <v>91</v>
      </c>
      <c r="E1417" s="36" t="s">
        <v>105</v>
      </c>
      <c r="F1417" s="36" t="s">
        <v>106</v>
      </c>
      <c r="G1417" s="36" t="s">
        <v>102</v>
      </c>
      <c r="H1417" s="36" t="s">
        <v>95</v>
      </c>
      <c r="I1417" s="36" t="s">
        <v>107</v>
      </c>
      <c r="J1417" s="36">
        <v>826</v>
      </c>
      <c r="K1417" s="36">
        <v>1181.18</v>
      </c>
    </row>
    <row r="1418" spans="1:11" x14ac:dyDescent="0.3">
      <c r="A1418" s="36" t="s">
        <v>99</v>
      </c>
      <c r="B1418" s="36">
        <v>2021</v>
      </c>
      <c r="C1418" s="36" t="s">
        <v>6</v>
      </c>
      <c r="D1418" s="36" t="s">
        <v>91</v>
      </c>
      <c r="E1418" s="36" t="s">
        <v>105</v>
      </c>
      <c r="F1418" s="36" t="s">
        <v>106</v>
      </c>
      <c r="G1418" s="36" t="s">
        <v>102</v>
      </c>
      <c r="H1418" s="36" t="s">
        <v>95</v>
      </c>
      <c r="I1418" s="36" t="s">
        <v>107</v>
      </c>
      <c r="J1418" s="36">
        <v>859</v>
      </c>
      <c r="K1418" s="36">
        <v>1228.3699999999999</v>
      </c>
    </row>
    <row r="1419" spans="1:11" x14ac:dyDescent="0.3">
      <c r="A1419" s="36" t="s">
        <v>99</v>
      </c>
      <c r="B1419" s="36">
        <v>2021</v>
      </c>
      <c r="C1419" s="36" t="s">
        <v>6</v>
      </c>
      <c r="D1419" s="36" t="s">
        <v>91</v>
      </c>
      <c r="E1419" s="36" t="s">
        <v>105</v>
      </c>
      <c r="F1419" s="36" t="s">
        <v>106</v>
      </c>
      <c r="G1419" s="36" t="s">
        <v>102</v>
      </c>
      <c r="H1419" s="36" t="s">
        <v>95</v>
      </c>
      <c r="I1419" s="36" t="s">
        <v>107</v>
      </c>
      <c r="J1419" s="36">
        <v>912</v>
      </c>
      <c r="K1419" s="36">
        <v>1304.1599999999999</v>
      </c>
    </row>
    <row r="1420" spans="1:11" x14ac:dyDescent="0.3">
      <c r="A1420" s="36" t="s">
        <v>99</v>
      </c>
      <c r="B1420" s="36">
        <v>2021</v>
      </c>
      <c r="C1420" s="36" t="s">
        <v>6</v>
      </c>
      <c r="D1420" s="36" t="s">
        <v>91</v>
      </c>
      <c r="E1420" s="36" t="s">
        <v>105</v>
      </c>
      <c r="F1420" s="36" t="s">
        <v>106</v>
      </c>
      <c r="G1420" s="36" t="s">
        <v>102</v>
      </c>
      <c r="H1420" s="36" t="s">
        <v>95</v>
      </c>
      <c r="I1420" s="36" t="s">
        <v>107</v>
      </c>
      <c r="J1420" s="36">
        <v>865</v>
      </c>
      <c r="K1420" s="36">
        <v>526.24</v>
      </c>
    </row>
    <row r="1421" spans="1:11" x14ac:dyDescent="0.3">
      <c r="A1421" s="36" t="s">
        <v>100</v>
      </c>
      <c r="B1421" s="36">
        <v>2021</v>
      </c>
      <c r="C1421" s="36" t="s">
        <v>6</v>
      </c>
      <c r="D1421" s="36" t="s">
        <v>91</v>
      </c>
      <c r="E1421" s="36" t="s">
        <v>105</v>
      </c>
      <c r="F1421" s="36" t="s">
        <v>106</v>
      </c>
      <c r="G1421" s="36" t="s">
        <v>102</v>
      </c>
      <c r="H1421" s="36" t="s">
        <v>95</v>
      </c>
      <c r="I1421" s="36" t="s">
        <v>107</v>
      </c>
      <c r="J1421" s="36">
        <v>129</v>
      </c>
      <c r="K1421" s="36">
        <v>526.24</v>
      </c>
    </row>
    <row r="1422" spans="1:11" x14ac:dyDescent="0.3">
      <c r="A1422" s="36" t="s">
        <v>97</v>
      </c>
      <c r="B1422" s="36">
        <v>2021</v>
      </c>
      <c r="C1422" s="36" t="s">
        <v>6</v>
      </c>
      <c r="D1422" s="36" t="s">
        <v>91</v>
      </c>
      <c r="E1422" s="36" t="s">
        <v>105</v>
      </c>
      <c r="F1422" s="36" t="s">
        <v>106</v>
      </c>
      <c r="G1422" s="36" t="s">
        <v>102</v>
      </c>
      <c r="H1422" s="36" t="s">
        <v>95</v>
      </c>
      <c r="I1422" s="36" t="s">
        <v>107</v>
      </c>
      <c r="J1422" s="36">
        <v>297</v>
      </c>
      <c r="K1422" s="36">
        <v>424.71</v>
      </c>
    </row>
    <row r="1423" spans="1:11" x14ac:dyDescent="0.3">
      <c r="A1423" s="36" t="s">
        <v>99</v>
      </c>
      <c r="B1423" s="36">
        <v>2021</v>
      </c>
      <c r="C1423" s="36" t="s">
        <v>6</v>
      </c>
      <c r="D1423" s="36" t="s">
        <v>91</v>
      </c>
      <c r="E1423" s="36" t="s">
        <v>105</v>
      </c>
      <c r="F1423" s="36" t="s">
        <v>106</v>
      </c>
      <c r="G1423" s="36" t="s">
        <v>102</v>
      </c>
      <c r="H1423" s="36" t="s">
        <v>95</v>
      </c>
      <c r="I1423" s="36" t="s">
        <v>107</v>
      </c>
      <c r="J1423" s="36">
        <v>325</v>
      </c>
      <c r="K1423" s="36">
        <v>464.75</v>
      </c>
    </row>
    <row r="1424" spans="1:11" x14ac:dyDescent="0.3">
      <c r="A1424" s="36" t="s">
        <v>90</v>
      </c>
      <c r="B1424" s="36">
        <v>2021</v>
      </c>
      <c r="C1424" s="36" t="s">
        <v>6</v>
      </c>
      <c r="D1424" s="36" t="s">
        <v>91</v>
      </c>
      <c r="E1424" s="36" t="s">
        <v>105</v>
      </c>
      <c r="F1424" s="36" t="s">
        <v>106</v>
      </c>
      <c r="G1424" s="36" t="s">
        <v>102</v>
      </c>
      <c r="H1424" s="36" t="s">
        <v>95</v>
      </c>
      <c r="I1424" s="36" t="s">
        <v>107</v>
      </c>
      <c r="J1424" s="36">
        <v>127</v>
      </c>
      <c r="K1424" s="36">
        <v>181.61</v>
      </c>
    </row>
    <row r="1425" spans="1:11" x14ac:dyDescent="0.3">
      <c r="A1425" s="36" t="s">
        <v>97</v>
      </c>
      <c r="B1425" s="36">
        <v>2021</v>
      </c>
      <c r="C1425" s="36" t="s">
        <v>6</v>
      </c>
      <c r="D1425" s="36" t="s">
        <v>91</v>
      </c>
      <c r="E1425" s="36" t="s">
        <v>105</v>
      </c>
      <c r="F1425" s="36" t="s">
        <v>106</v>
      </c>
      <c r="G1425" s="36" t="s">
        <v>102</v>
      </c>
      <c r="H1425" s="36" t="s">
        <v>95</v>
      </c>
      <c r="I1425" s="36" t="s">
        <v>107</v>
      </c>
      <c r="J1425" s="36">
        <v>301</v>
      </c>
      <c r="K1425" s="36">
        <v>430.43</v>
      </c>
    </row>
    <row r="1426" spans="1:11" x14ac:dyDescent="0.3">
      <c r="A1426" s="36" t="s">
        <v>90</v>
      </c>
      <c r="B1426" s="36">
        <v>2021</v>
      </c>
      <c r="C1426" s="36" t="s">
        <v>6</v>
      </c>
      <c r="D1426" s="36" t="s">
        <v>91</v>
      </c>
      <c r="E1426" s="36" t="s">
        <v>105</v>
      </c>
      <c r="F1426" s="36" t="s">
        <v>106</v>
      </c>
      <c r="G1426" s="36" t="s">
        <v>102</v>
      </c>
      <c r="H1426" s="36" t="s">
        <v>95</v>
      </c>
      <c r="I1426" s="36" t="s">
        <v>107</v>
      </c>
      <c r="J1426" s="36">
        <v>834</v>
      </c>
      <c r="K1426" s="36">
        <v>1192.6199999999999</v>
      </c>
    </row>
    <row r="1427" spans="1:11" x14ac:dyDescent="0.3">
      <c r="A1427" s="36" t="s">
        <v>97</v>
      </c>
      <c r="B1427" s="36">
        <v>2021</v>
      </c>
      <c r="C1427" s="36" t="s">
        <v>6</v>
      </c>
      <c r="D1427" s="36" t="s">
        <v>91</v>
      </c>
      <c r="E1427" s="36" t="s">
        <v>105</v>
      </c>
      <c r="F1427" s="36" t="s">
        <v>106</v>
      </c>
      <c r="G1427" s="36" t="s">
        <v>102</v>
      </c>
      <c r="H1427" s="36" t="s">
        <v>95</v>
      </c>
      <c r="I1427" s="36" t="s">
        <v>107</v>
      </c>
      <c r="J1427" s="36">
        <v>868</v>
      </c>
      <c r="K1427" s="36">
        <v>1241.24</v>
      </c>
    </row>
    <row r="1428" spans="1:11" x14ac:dyDescent="0.3">
      <c r="A1428" s="36" t="s">
        <v>97</v>
      </c>
      <c r="B1428" s="36">
        <v>2021</v>
      </c>
      <c r="C1428" s="36" t="s">
        <v>6</v>
      </c>
      <c r="D1428" s="36" t="s">
        <v>91</v>
      </c>
      <c r="E1428" s="36" t="s">
        <v>105</v>
      </c>
      <c r="F1428" s="36" t="s">
        <v>106</v>
      </c>
      <c r="G1428" s="36" t="s">
        <v>102</v>
      </c>
      <c r="H1428" s="36" t="s">
        <v>95</v>
      </c>
      <c r="I1428" s="36" t="s">
        <v>107</v>
      </c>
      <c r="J1428" s="36">
        <v>299</v>
      </c>
      <c r="K1428" s="36">
        <v>427.57</v>
      </c>
    </row>
    <row r="1429" spans="1:11" x14ac:dyDescent="0.3">
      <c r="A1429" s="36" t="s">
        <v>101</v>
      </c>
      <c r="B1429" s="36">
        <v>2021</v>
      </c>
      <c r="C1429" s="36" t="s">
        <v>5</v>
      </c>
      <c r="D1429" s="36" t="s">
        <v>91</v>
      </c>
      <c r="E1429" s="36" t="s">
        <v>105</v>
      </c>
      <c r="F1429" s="36" t="s">
        <v>106</v>
      </c>
      <c r="G1429" s="36" t="s">
        <v>102</v>
      </c>
      <c r="H1429" s="36" t="s">
        <v>95</v>
      </c>
      <c r="I1429" s="36" t="s">
        <v>107</v>
      </c>
      <c r="J1429" s="36">
        <v>332</v>
      </c>
      <c r="K1429" s="36">
        <v>474.76</v>
      </c>
    </row>
    <row r="1430" spans="1:11" x14ac:dyDescent="0.3">
      <c r="A1430" s="36" t="s">
        <v>90</v>
      </c>
      <c r="B1430" s="36">
        <v>2021</v>
      </c>
      <c r="C1430" s="36" t="s">
        <v>5</v>
      </c>
      <c r="D1430" s="36" t="s">
        <v>91</v>
      </c>
      <c r="E1430" s="36" t="s">
        <v>105</v>
      </c>
      <c r="F1430" s="36" t="s">
        <v>106</v>
      </c>
      <c r="G1430" s="36" t="s">
        <v>102</v>
      </c>
      <c r="H1430" s="36" t="s">
        <v>95</v>
      </c>
      <c r="I1430" s="36" t="s">
        <v>107</v>
      </c>
      <c r="J1430" s="36">
        <v>134</v>
      </c>
      <c r="K1430" s="36">
        <v>191.62</v>
      </c>
    </row>
    <row r="1431" spans="1:11" x14ac:dyDescent="0.3">
      <c r="A1431" s="36" t="s">
        <v>100</v>
      </c>
      <c r="B1431" s="36">
        <v>2021</v>
      </c>
      <c r="C1431" s="36" t="s">
        <v>5</v>
      </c>
      <c r="D1431" s="36" t="s">
        <v>91</v>
      </c>
      <c r="E1431" s="36" t="s">
        <v>105</v>
      </c>
      <c r="F1431" s="36" t="s">
        <v>106</v>
      </c>
      <c r="G1431" s="36" t="s">
        <v>102</v>
      </c>
      <c r="H1431" s="36" t="s">
        <v>95</v>
      </c>
      <c r="I1431" s="36" t="s">
        <v>107</v>
      </c>
      <c r="J1431" s="36">
        <v>334</v>
      </c>
      <c r="K1431" s="36">
        <v>477.62</v>
      </c>
    </row>
    <row r="1432" spans="1:11" x14ac:dyDescent="0.3">
      <c r="A1432" s="36" t="s">
        <v>90</v>
      </c>
      <c r="B1432" s="36">
        <v>2021</v>
      </c>
      <c r="C1432" s="36" t="s">
        <v>5</v>
      </c>
      <c r="D1432" s="36" t="s">
        <v>91</v>
      </c>
      <c r="E1432" s="36" t="s">
        <v>105</v>
      </c>
      <c r="F1432" s="36" t="s">
        <v>106</v>
      </c>
      <c r="G1432" s="36" t="s">
        <v>102</v>
      </c>
      <c r="H1432" s="36" t="s">
        <v>95</v>
      </c>
      <c r="I1432" s="36" t="s">
        <v>107</v>
      </c>
      <c r="J1432" s="36">
        <v>130</v>
      </c>
      <c r="K1432" s="36">
        <v>185.9</v>
      </c>
    </row>
    <row r="1433" spans="1:11" x14ac:dyDescent="0.3">
      <c r="A1433" s="36" t="s">
        <v>97</v>
      </c>
      <c r="B1433" s="36">
        <v>2021</v>
      </c>
      <c r="C1433" s="36" t="s">
        <v>5</v>
      </c>
      <c r="D1433" s="36" t="s">
        <v>91</v>
      </c>
      <c r="E1433" s="36" t="s">
        <v>105</v>
      </c>
      <c r="F1433" s="36" t="s">
        <v>106</v>
      </c>
      <c r="G1433" s="36" t="s">
        <v>102</v>
      </c>
      <c r="H1433" s="36" t="s">
        <v>95</v>
      </c>
      <c r="I1433" s="36" t="s">
        <v>107</v>
      </c>
      <c r="J1433" s="36">
        <v>304</v>
      </c>
      <c r="K1433" s="36">
        <v>434.72</v>
      </c>
    </row>
    <row r="1434" spans="1:11" x14ac:dyDescent="0.3">
      <c r="A1434" s="36" t="s">
        <v>99</v>
      </c>
      <c r="B1434" s="36">
        <v>2021</v>
      </c>
      <c r="C1434" s="36" t="s">
        <v>5</v>
      </c>
      <c r="D1434" s="36" t="s">
        <v>91</v>
      </c>
      <c r="E1434" s="36" t="s">
        <v>105</v>
      </c>
      <c r="F1434" s="36" t="s">
        <v>106</v>
      </c>
      <c r="G1434" s="36" t="s">
        <v>102</v>
      </c>
      <c r="H1434" s="36" t="s">
        <v>95</v>
      </c>
      <c r="I1434" s="36" t="s">
        <v>107</v>
      </c>
      <c r="J1434" s="36">
        <v>825</v>
      </c>
      <c r="K1434" s="36">
        <v>1179.75</v>
      </c>
    </row>
    <row r="1435" spans="1:11" x14ac:dyDescent="0.3">
      <c r="A1435" s="36" t="s">
        <v>97</v>
      </c>
      <c r="B1435" s="36">
        <v>2021</v>
      </c>
      <c r="C1435" s="36" t="s">
        <v>5</v>
      </c>
      <c r="D1435" s="36" t="s">
        <v>91</v>
      </c>
      <c r="E1435" s="36" t="s">
        <v>105</v>
      </c>
      <c r="F1435" s="36" t="s">
        <v>106</v>
      </c>
      <c r="G1435" s="36" t="s">
        <v>102</v>
      </c>
      <c r="H1435" s="36" t="s">
        <v>95</v>
      </c>
      <c r="I1435" s="36" t="s">
        <v>107</v>
      </c>
      <c r="J1435" s="36">
        <v>858</v>
      </c>
      <c r="K1435" s="36">
        <v>1226.94</v>
      </c>
    </row>
    <row r="1436" spans="1:11" x14ac:dyDescent="0.3">
      <c r="A1436" s="36" t="s">
        <v>90</v>
      </c>
      <c r="B1436" s="36">
        <v>2021</v>
      </c>
      <c r="C1436" s="36" t="s">
        <v>5</v>
      </c>
      <c r="D1436" s="36" t="s">
        <v>91</v>
      </c>
      <c r="E1436" s="36" t="s">
        <v>105</v>
      </c>
      <c r="F1436" s="36" t="s">
        <v>106</v>
      </c>
      <c r="G1436" s="36" t="s">
        <v>102</v>
      </c>
      <c r="H1436" s="36" t="s">
        <v>95</v>
      </c>
      <c r="I1436" s="36" t="s">
        <v>107</v>
      </c>
      <c r="J1436" s="36">
        <v>911</v>
      </c>
      <c r="K1436" s="36">
        <v>1302.73</v>
      </c>
    </row>
    <row r="1437" spans="1:11" x14ac:dyDescent="0.3">
      <c r="A1437" s="36" t="s">
        <v>90</v>
      </c>
      <c r="B1437" s="36">
        <v>2021</v>
      </c>
      <c r="C1437" s="36" t="s">
        <v>5</v>
      </c>
      <c r="D1437" s="36" t="s">
        <v>91</v>
      </c>
      <c r="E1437" s="36" t="s">
        <v>105</v>
      </c>
      <c r="F1437" s="36" t="s">
        <v>106</v>
      </c>
      <c r="G1437" s="36" t="s">
        <v>102</v>
      </c>
      <c r="H1437" s="36" t="s">
        <v>95</v>
      </c>
      <c r="I1437" s="36" t="s">
        <v>107</v>
      </c>
      <c r="J1437" s="36">
        <v>864</v>
      </c>
      <c r="K1437" s="36">
        <v>526.24</v>
      </c>
    </row>
    <row r="1438" spans="1:11" x14ac:dyDescent="0.3">
      <c r="A1438" s="36" t="s">
        <v>97</v>
      </c>
      <c r="B1438" s="36">
        <v>2021</v>
      </c>
      <c r="C1438" s="36" t="s">
        <v>5</v>
      </c>
      <c r="D1438" s="36" t="s">
        <v>91</v>
      </c>
      <c r="E1438" s="36" t="s">
        <v>105</v>
      </c>
      <c r="F1438" s="36" t="s">
        <v>106</v>
      </c>
      <c r="G1438" s="36" t="s">
        <v>102</v>
      </c>
      <c r="H1438" s="36" t="s">
        <v>95</v>
      </c>
      <c r="I1438" s="36" t="s">
        <v>107</v>
      </c>
      <c r="J1438" s="36">
        <v>135</v>
      </c>
      <c r="K1438" s="36">
        <v>526.24</v>
      </c>
    </row>
    <row r="1439" spans="1:11" x14ac:dyDescent="0.3">
      <c r="A1439" s="36" t="s">
        <v>99</v>
      </c>
      <c r="B1439" s="36">
        <v>2021</v>
      </c>
      <c r="C1439" s="36" t="s">
        <v>5</v>
      </c>
      <c r="D1439" s="36" t="s">
        <v>91</v>
      </c>
      <c r="E1439" s="36" t="s">
        <v>105</v>
      </c>
      <c r="F1439" s="36" t="s">
        <v>106</v>
      </c>
      <c r="G1439" s="36" t="s">
        <v>102</v>
      </c>
      <c r="H1439" s="36" t="s">
        <v>95</v>
      </c>
      <c r="I1439" s="36" t="s">
        <v>107</v>
      </c>
      <c r="J1439" s="36">
        <v>303</v>
      </c>
      <c r="K1439" s="36">
        <v>433.28999999999996</v>
      </c>
    </row>
    <row r="1440" spans="1:11" x14ac:dyDescent="0.3">
      <c r="A1440" s="36" t="s">
        <v>97</v>
      </c>
      <c r="B1440" s="36">
        <v>2021</v>
      </c>
      <c r="C1440" s="36" t="s">
        <v>5</v>
      </c>
      <c r="D1440" s="36" t="s">
        <v>91</v>
      </c>
      <c r="E1440" s="36" t="s">
        <v>105</v>
      </c>
      <c r="F1440" s="36" t="s">
        <v>106</v>
      </c>
      <c r="G1440" s="36" t="s">
        <v>102</v>
      </c>
      <c r="H1440" s="36" t="s">
        <v>95</v>
      </c>
      <c r="I1440" s="36" t="s">
        <v>107</v>
      </c>
      <c r="J1440" s="36">
        <v>331</v>
      </c>
      <c r="K1440" s="36">
        <v>473.33</v>
      </c>
    </row>
    <row r="1441" spans="1:11" x14ac:dyDescent="0.3">
      <c r="A1441" s="36" t="s">
        <v>97</v>
      </c>
      <c r="B1441" s="36">
        <v>2021</v>
      </c>
      <c r="C1441" s="36" t="s">
        <v>5</v>
      </c>
      <c r="D1441" s="36" t="s">
        <v>91</v>
      </c>
      <c r="E1441" s="36" t="s">
        <v>105</v>
      </c>
      <c r="F1441" s="36" t="s">
        <v>106</v>
      </c>
      <c r="G1441" s="36" t="s">
        <v>102</v>
      </c>
      <c r="H1441" s="36" t="s">
        <v>95</v>
      </c>
      <c r="I1441" s="36" t="s">
        <v>107</v>
      </c>
      <c r="J1441" s="36">
        <v>133</v>
      </c>
      <c r="K1441" s="36">
        <v>190.19</v>
      </c>
    </row>
    <row r="1442" spans="1:11" x14ac:dyDescent="0.3">
      <c r="A1442" s="36" t="s">
        <v>100</v>
      </c>
      <c r="B1442" s="36">
        <v>2021</v>
      </c>
      <c r="C1442" s="36" t="s">
        <v>5</v>
      </c>
      <c r="D1442" s="36" t="s">
        <v>91</v>
      </c>
      <c r="E1442" s="36" t="s">
        <v>105</v>
      </c>
      <c r="F1442" s="36" t="s">
        <v>106</v>
      </c>
      <c r="G1442" s="36" t="s">
        <v>102</v>
      </c>
      <c r="H1442" s="36" t="s">
        <v>95</v>
      </c>
      <c r="I1442" s="36" t="s">
        <v>107</v>
      </c>
      <c r="J1442" s="36">
        <v>307</v>
      </c>
      <c r="K1442" s="36">
        <v>439.01</v>
      </c>
    </row>
    <row r="1443" spans="1:11" x14ac:dyDescent="0.3">
      <c r="A1443" s="36" t="s">
        <v>90</v>
      </c>
      <c r="B1443" s="36">
        <v>2021</v>
      </c>
      <c r="C1443" s="36" t="s">
        <v>5</v>
      </c>
      <c r="D1443" s="36" t="s">
        <v>91</v>
      </c>
      <c r="E1443" s="36" t="s">
        <v>105</v>
      </c>
      <c r="F1443" s="36" t="s">
        <v>106</v>
      </c>
      <c r="G1443" s="36" t="s">
        <v>102</v>
      </c>
      <c r="H1443" s="36" t="s">
        <v>95</v>
      </c>
      <c r="I1443" s="36" t="s">
        <v>107</v>
      </c>
      <c r="J1443" s="36">
        <v>867</v>
      </c>
      <c r="K1443" s="36">
        <v>1239.81</v>
      </c>
    </row>
    <row r="1444" spans="1:11" x14ac:dyDescent="0.3">
      <c r="A1444" s="36" t="s">
        <v>101</v>
      </c>
      <c r="B1444" s="36">
        <v>2021</v>
      </c>
      <c r="C1444" s="36" t="s">
        <v>5</v>
      </c>
      <c r="D1444" s="36" t="s">
        <v>91</v>
      </c>
      <c r="E1444" s="36" t="s">
        <v>105</v>
      </c>
      <c r="F1444" s="36" t="s">
        <v>106</v>
      </c>
      <c r="G1444" s="36" t="s">
        <v>102</v>
      </c>
      <c r="H1444" s="36" t="s">
        <v>95</v>
      </c>
      <c r="I1444" s="36" t="s">
        <v>107</v>
      </c>
      <c r="J1444" s="36">
        <v>305</v>
      </c>
      <c r="K1444" s="36">
        <v>436.15</v>
      </c>
    </row>
    <row r="1445" spans="1:11" x14ac:dyDescent="0.3">
      <c r="A1445" s="36" t="s">
        <v>101</v>
      </c>
      <c r="B1445" s="36">
        <v>2021</v>
      </c>
      <c r="C1445" s="36" t="s">
        <v>2</v>
      </c>
      <c r="D1445" s="36" t="s">
        <v>91</v>
      </c>
      <c r="E1445" s="36" t="s">
        <v>105</v>
      </c>
      <c r="F1445" s="36" t="s">
        <v>106</v>
      </c>
      <c r="G1445" s="36" t="s">
        <v>102</v>
      </c>
      <c r="H1445" s="36" t="s">
        <v>95</v>
      </c>
      <c r="I1445" s="36" t="s">
        <v>107</v>
      </c>
      <c r="J1445" s="36">
        <v>350</v>
      </c>
      <c r="K1445" s="36">
        <v>500.5</v>
      </c>
    </row>
    <row r="1446" spans="1:11" x14ac:dyDescent="0.3">
      <c r="A1446" s="36" t="s">
        <v>97</v>
      </c>
      <c r="B1446" s="36">
        <v>2021</v>
      </c>
      <c r="C1446" s="36" t="s">
        <v>2</v>
      </c>
      <c r="D1446" s="36" t="s">
        <v>91</v>
      </c>
      <c r="E1446" s="36" t="s">
        <v>105</v>
      </c>
      <c r="F1446" s="36" t="s">
        <v>106</v>
      </c>
      <c r="G1446" s="36" t="s">
        <v>102</v>
      </c>
      <c r="H1446" s="36" t="s">
        <v>95</v>
      </c>
      <c r="I1446" s="36" t="s">
        <v>107</v>
      </c>
      <c r="J1446" s="36">
        <v>146</v>
      </c>
      <c r="K1446" s="36">
        <v>208.78</v>
      </c>
    </row>
    <row r="1447" spans="1:11" x14ac:dyDescent="0.3">
      <c r="A1447" s="36" t="s">
        <v>99</v>
      </c>
      <c r="B1447" s="36">
        <v>2021</v>
      </c>
      <c r="C1447" s="36" t="s">
        <v>2</v>
      </c>
      <c r="D1447" s="36" t="s">
        <v>91</v>
      </c>
      <c r="E1447" s="36" t="s">
        <v>105</v>
      </c>
      <c r="F1447" s="36" t="s">
        <v>106</v>
      </c>
      <c r="G1447" s="36" t="s">
        <v>102</v>
      </c>
      <c r="H1447" s="36" t="s">
        <v>95</v>
      </c>
      <c r="I1447" s="36" t="s">
        <v>107</v>
      </c>
      <c r="J1447" s="36">
        <v>320</v>
      </c>
      <c r="K1447" s="36">
        <v>457.6</v>
      </c>
    </row>
    <row r="1448" spans="1:11" x14ac:dyDescent="0.3">
      <c r="A1448" s="36" t="s">
        <v>90</v>
      </c>
      <c r="B1448" s="36">
        <v>2021</v>
      </c>
      <c r="C1448" s="36" t="s">
        <v>2</v>
      </c>
      <c r="D1448" s="36" t="s">
        <v>91</v>
      </c>
      <c r="E1448" s="36" t="s">
        <v>105</v>
      </c>
      <c r="F1448" s="36" t="s">
        <v>106</v>
      </c>
      <c r="G1448" s="36" t="s">
        <v>102</v>
      </c>
      <c r="H1448" s="36" t="s">
        <v>95</v>
      </c>
      <c r="I1448" s="36" t="s">
        <v>107</v>
      </c>
      <c r="J1448" s="36">
        <v>346</v>
      </c>
      <c r="K1448" s="36">
        <v>494.78</v>
      </c>
    </row>
    <row r="1449" spans="1:11" x14ac:dyDescent="0.3">
      <c r="A1449" s="36" t="s">
        <v>90</v>
      </c>
      <c r="B1449" s="36">
        <v>2021</v>
      </c>
      <c r="C1449" s="36" t="s">
        <v>2</v>
      </c>
      <c r="D1449" s="36" t="s">
        <v>91</v>
      </c>
      <c r="E1449" s="36" t="s">
        <v>105</v>
      </c>
      <c r="F1449" s="36" t="s">
        <v>106</v>
      </c>
      <c r="G1449" s="36" t="s">
        <v>102</v>
      </c>
      <c r="H1449" s="36" t="s">
        <v>95</v>
      </c>
      <c r="I1449" s="36" t="s">
        <v>107</v>
      </c>
      <c r="J1449" s="36">
        <v>148</v>
      </c>
      <c r="K1449" s="36">
        <v>211.64</v>
      </c>
    </row>
    <row r="1450" spans="1:11" x14ac:dyDescent="0.3">
      <c r="A1450" s="36" t="s">
        <v>97</v>
      </c>
      <c r="B1450" s="36">
        <v>2021</v>
      </c>
      <c r="C1450" s="36" t="s">
        <v>2</v>
      </c>
      <c r="D1450" s="36" t="s">
        <v>91</v>
      </c>
      <c r="E1450" s="36" t="s">
        <v>105</v>
      </c>
      <c r="F1450" s="36" t="s">
        <v>106</v>
      </c>
      <c r="G1450" s="36" t="s">
        <v>102</v>
      </c>
      <c r="H1450" s="36" t="s">
        <v>95</v>
      </c>
      <c r="I1450" s="36" t="s">
        <v>107</v>
      </c>
      <c r="J1450" s="36">
        <v>322</v>
      </c>
      <c r="K1450" s="36">
        <v>460.46000000000004</v>
      </c>
    </row>
    <row r="1451" spans="1:11" x14ac:dyDescent="0.3">
      <c r="A1451" s="36" t="s">
        <v>97</v>
      </c>
      <c r="B1451" s="36">
        <v>2021</v>
      </c>
      <c r="C1451" s="36" t="s">
        <v>2</v>
      </c>
      <c r="D1451" s="36" t="s">
        <v>91</v>
      </c>
      <c r="E1451" s="36" t="s">
        <v>105</v>
      </c>
      <c r="F1451" s="36" t="s">
        <v>106</v>
      </c>
      <c r="G1451" s="36" t="s">
        <v>102</v>
      </c>
      <c r="H1451" s="36" t="s">
        <v>104</v>
      </c>
      <c r="I1451" s="36" t="s">
        <v>107</v>
      </c>
      <c r="J1451" s="36">
        <v>822</v>
      </c>
      <c r="K1451" s="36">
        <v>1175.46</v>
      </c>
    </row>
    <row r="1452" spans="1:11" x14ac:dyDescent="0.3">
      <c r="A1452" s="36" t="s">
        <v>97</v>
      </c>
      <c r="B1452" s="36">
        <v>2021</v>
      </c>
      <c r="C1452" s="36" t="s">
        <v>2</v>
      </c>
      <c r="D1452" s="36" t="s">
        <v>91</v>
      </c>
      <c r="E1452" s="36" t="s">
        <v>105</v>
      </c>
      <c r="F1452" s="36" t="s">
        <v>106</v>
      </c>
      <c r="G1452" s="36" t="s">
        <v>102</v>
      </c>
      <c r="H1452" s="36" t="s">
        <v>104</v>
      </c>
      <c r="I1452" s="36" t="s">
        <v>107</v>
      </c>
      <c r="J1452" s="36">
        <v>855</v>
      </c>
      <c r="K1452" s="36">
        <v>1222.6500000000001</v>
      </c>
    </row>
    <row r="1453" spans="1:11" x14ac:dyDescent="0.3">
      <c r="A1453" s="36" t="s">
        <v>100</v>
      </c>
      <c r="B1453" s="36">
        <v>2021</v>
      </c>
      <c r="C1453" s="36" t="s">
        <v>2</v>
      </c>
      <c r="D1453" s="36" t="s">
        <v>91</v>
      </c>
      <c r="E1453" s="36" t="s">
        <v>105</v>
      </c>
      <c r="F1453" s="36" t="s">
        <v>106</v>
      </c>
      <c r="G1453" s="36" t="s">
        <v>102</v>
      </c>
      <c r="H1453" s="36" t="s">
        <v>104</v>
      </c>
      <c r="I1453" s="36" t="s">
        <v>107</v>
      </c>
      <c r="J1453" s="36">
        <v>147</v>
      </c>
      <c r="K1453" s="36">
        <v>526.24</v>
      </c>
    </row>
    <row r="1454" spans="1:11" x14ac:dyDescent="0.3">
      <c r="A1454" s="36" t="s">
        <v>97</v>
      </c>
      <c r="B1454" s="36">
        <v>2021</v>
      </c>
      <c r="C1454" s="36" t="s">
        <v>2</v>
      </c>
      <c r="D1454" s="36" t="s">
        <v>91</v>
      </c>
      <c r="E1454" s="36" t="s">
        <v>105</v>
      </c>
      <c r="F1454" s="36" t="s">
        <v>106</v>
      </c>
      <c r="G1454" s="36" t="s">
        <v>102</v>
      </c>
      <c r="H1454" s="36" t="s">
        <v>104</v>
      </c>
      <c r="I1454" s="36" t="s">
        <v>107</v>
      </c>
      <c r="J1454" s="36">
        <v>321</v>
      </c>
      <c r="K1454" s="36">
        <v>459.03</v>
      </c>
    </row>
    <row r="1455" spans="1:11" x14ac:dyDescent="0.3">
      <c r="A1455" s="36" t="s">
        <v>97</v>
      </c>
      <c r="B1455" s="36">
        <v>2021</v>
      </c>
      <c r="C1455" s="36" t="s">
        <v>2</v>
      </c>
      <c r="D1455" s="36" t="s">
        <v>91</v>
      </c>
      <c r="E1455" s="36" t="s">
        <v>105</v>
      </c>
      <c r="F1455" s="36" t="s">
        <v>106</v>
      </c>
      <c r="G1455" s="36" t="s">
        <v>102</v>
      </c>
      <c r="H1455" s="36" t="s">
        <v>104</v>
      </c>
      <c r="I1455" s="36" t="s">
        <v>107</v>
      </c>
      <c r="J1455" s="36">
        <v>349</v>
      </c>
      <c r="K1455" s="36">
        <v>499.07</v>
      </c>
    </row>
    <row r="1456" spans="1:11" x14ac:dyDescent="0.3">
      <c r="A1456" s="36" t="s">
        <v>97</v>
      </c>
      <c r="B1456" s="36">
        <v>2021</v>
      </c>
      <c r="C1456" s="36" t="s">
        <v>2</v>
      </c>
      <c r="D1456" s="36" t="s">
        <v>91</v>
      </c>
      <c r="E1456" s="36" t="s">
        <v>105</v>
      </c>
      <c r="F1456" s="36" t="s">
        <v>106</v>
      </c>
      <c r="G1456" s="36" t="s">
        <v>102</v>
      </c>
      <c r="H1456" s="36" t="s">
        <v>104</v>
      </c>
      <c r="I1456" s="36" t="s">
        <v>107</v>
      </c>
      <c r="J1456" s="36">
        <v>151</v>
      </c>
      <c r="K1456" s="36">
        <v>215.93</v>
      </c>
    </row>
    <row r="1457" spans="1:11" x14ac:dyDescent="0.3">
      <c r="A1457" s="36" t="s">
        <v>90</v>
      </c>
      <c r="B1457" s="36">
        <v>2021</v>
      </c>
      <c r="C1457" s="36" t="s">
        <v>2</v>
      </c>
      <c r="D1457" s="36" t="s">
        <v>91</v>
      </c>
      <c r="E1457" s="36" t="s">
        <v>105</v>
      </c>
      <c r="F1457" s="36" t="s">
        <v>106</v>
      </c>
      <c r="G1457" s="36" t="s">
        <v>102</v>
      </c>
      <c r="H1457" s="36" t="s">
        <v>104</v>
      </c>
      <c r="I1457" s="36" t="s">
        <v>107</v>
      </c>
      <c r="J1457" s="36">
        <v>319</v>
      </c>
      <c r="K1457" s="36">
        <v>456.16999999999996</v>
      </c>
    </row>
    <row r="1458" spans="1:11" x14ac:dyDescent="0.3">
      <c r="A1458" s="36" t="s">
        <v>99</v>
      </c>
      <c r="B1458" s="36">
        <v>2021</v>
      </c>
      <c r="C1458" s="36" t="s">
        <v>2</v>
      </c>
      <c r="D1458" s="36" t="s">
        <v>91</v>
      </c>
      <c r="E1458" s="36" t="s">
        <v>105</v>
      </c>
      <c r="F1458" s="36" t="s">
        <v>106</v>
      </c>
      <c r="G1458" s="36" t="s">
        <v>102</v>
      </c>
      <c r="H1458" s="36" t="s">
        <v>104</v>
      </c>
      <c r="I1458" s="36" t="s">
        <v>107</v>
      </c>
      <c r="J1458" s="36">
        <v>831</v>
      </c>
      <c r="K1458" s="36">
        <v>1188.33</v>
      </c>
    </row>
    <row r="1459" spans="1:11" x14ac:dyDescent="0.3">
      <c r="A1459" s="36" t="s">
        <v>97</v>
      </c>
      <c r="B1459" s="36">
        <v>2021</v>
      </c>
      <c r="C1459" s="36" t="s">
        <v>2</v>
      </c>
      <c r="D1459" s="36" t="s">
        <v>91</v>
      </c>
      <c r="E1459" s="36" t="s">
        <v>105</v>
      </c>
      <c r="F1459" s="36" t="s">
        <v>106</v>
      </c>
      <c r="G1459" s="36" t="s">
        <v>102</v>
      </c>
      <c r="H1459" s="36" t="s">
        <v>104</v>
      </c>
      <c r="I1459" s="36" t="s">
        <v>107</v>
      </c>
      <c r="J1459" s="36">
        <v>864</v>
      </c>
      <c r="K1459" s="36">
        <v>1235.52</v>
      </c>
    </row>
    <row r="1460" spans="1:11" x14ac:dyDescent="0.3">
      <c r="A1460" s="36" t="s">
        <v>101</v>
      </c>
      <c r="B1460" s="36">
        <v>2021</v>
      </c>
      <c r="C1460" s="36" t="s">
        <v>2</v>
      </c>
      <c r="D1460" s="36" t="s">
        <v>91</v>
      </c>
      <c r="E1460" s="36" t="s">
        <v>105</v>
      </c>
      <c r="F1460" s="36" t="s">
        <v>106</v>
      </c>
      <c r="G1460" s="36" t="s">
        <v>102</v>
      </c>
      <c r="H1460" s="36" t="s">
        <v>104</v>
      </c>
      <c r="I1460" s="36" t="s">
        <v>107</v>
      </c>
      <c r="J1460" s="36">
        <v>323</v>
      </c>
      <c r="K1460" s="36">
        <v>461.89</v>
      </c>
    </row>
    <row r="1461" spans="1:11" x14ac:dyDescent="0.3">
      <c r="A1461" s="36" t="s">
        <v>97</v>
      </c>
      <c r="B1461" s="36">
        <v>2021</v>
      </c>
      <c r="C1461" s="36" t="s">
        <v>4</v>
      </c>
      <c r="D1461" s="36" t="s">
        <v>91</v>
      </c>
      <c r="E1461" s="36" t="s">
        <v>105</v>
      </c>
      <c r="F1461" s="36" t="s">
        <v>106</v>
      </c>
      <c r="G1461" s="36" t="s">
        <v>102</v>
      </c>
      <c r="H1461" s="36" t="s">
        <v>104</v>
      </c>
      <c r="I1461" s="36" t="s">
        <v>107</v>
      </c>
      <c r="J1461" s="36">
        <v>338</v>
      </c>
      <c r="K1461" s="36">
        <v>483.34000000000003</v>
      </c>
    </row>
    <row r="1462" spans="1:11" x14ac:dyDescent="0.3">
      <c r="A1462" s="36" t="s">
        <v>90</v>
      </c>
      <c r="B1462" s="36">
        <v>2021</v>
      </c>
      <c r="C1462" s="36" t="s">
        <v>4</v>
      </c>
      <c r="D1462" s="36" t="s">
        <v>91</v>
      </c>
      <c r="E1462" s="36" t="s">
        <v>105</v>
      </c>
      <c r="F1462" s="36" t="s">
        <v>106</v>
      </c>
      <c r="G1462" s="36" t="s">
        <v>102</v>
      </c>
      <c r="H1462" s="36" t="s">
        <v>104</v>
      </c>
      <c r="I1462" s="36" t="s">
        <v>107</v>
      </c>
      <c r="J1462" s="36">
        <v>140</v>
      </c>
      <c r="K1462" s="36">
        <v>200.2</v>
      </c>
    </row>
    <row r="1463" spans="1:11" x14ac:dyDescent="0.3">
      <c r="A1463" s="36" t="s">
        <v>90</v>
      </c>
      <c r="B1463" s="36">
        <v>2021</v>
      </c>
      <c r="C1463" s="36" t="s">
        <v>4</v>
      </c>
      <c r="D1463" s="36" t="s">
        <v>91</v>
      </c>
      <c r="E1463" s="36" t="s">
        <v>105</v>
      </c>
      <c r="F1463" s="36" t="s">
        <v>106</v>
      </c>
      <c r="G1463" s="36" t="s">
        <v>102</v>
      </c>
      <c r="H1463" s="36" t="s">
        <v>104</v>
      </c>
      <c r="I1463" s="36" t="s">
        <v>107</v>
      </c>
      <c r="J1463" s="36">
        <v>308</v>
      </c>
      <c r="K1463" s="36">
        <v>440.44</v>
      </c>
    </row>
    <row r="1464" spans="1:11" x14ac:dyDescent="0.3">
      <c r="A1464" s="36" t="s">
        <v>90</v>
      </c>
      <c r="B1464" s="36">
        <v>2021</v>
      </c>
      <c r="C1464" s="36" t="s">
        <v>4</v>
      </c>
      <c r="D1464" s="36" t="s">
        <v>91</v>
      </c>
      <c r="E1464" s="36" t="s">
        <v>105</v>
      </c>
      <c r="F1464" s="36" t="s">
        <v>106</v>
      </c>
      <c r="G1464" s="36" t="s">
        <v>102</v>
      </c>
      <c r="H1464" s="36" t="s">
        <v>104</v>
      </c>
      <c r="I1464" s="36" t="s">
        <v>107</v>
      </c>
      <c r="J1464" s="36">
        <v>136</v>
      </c>
      <c r="K1464" s="36">
        <v>194.48</v>
      </c>
    </row>
    <row r="1465" spans="1:11" x14ac:dyDescent="0.3">
      <c r="A1465" s="36" t="s">
        <v>99</v>
      </c>
      <c r="B1465" s="36">
        <v>2021</v>
      </c>
      <c r="C1465" s="36" t="s">
        <v>4</v>
      </c>
      <c r="D1465" s="36" t="s">
        <v>91</v>
      </c>
      <c r="E1465" s="36" t="s">
        <v>105</v>
      </c>
      <c r="F1465" s="36" t="s">
        <v>106</v>
      </c>
      <c r="G1465" s="36" t="s">
        <v>102</v>
      </c>
      <c r="H1465" s="36" t="s">
        <v>104</v>
      </c>
      <c r="I1465" s="36" t="s">
        <v>107</v>
      </c>
      <c r="J1465" s="36">
        <v>310</v>
      </c>
      <c r="K1465" s="36">
        <v>443.3</v>
      </c>
    </row>
    <row r="1466" spans="1:11" x14ac:dyDescent="0.3">
      <c r="A1466" s="36" t="s">
        <v>99</v>
      </c>
      <c r="B1466" s="36">
        <v>2021</v>
      </c>
      <c r="C1466" s="36" t="s">
        <v>4</v>
      </c>
      <c r="D1466" s="36" t="s">
        <v>91</v>
      </c>
      <c r="E1466" s="36" t="s">
        <v>105</v>
      </c>
      <c r="F1466" s="36" t="s">
        <v>106</v>
      </c>
      <c r="G1466" s="36" t="s">
        <v>102</v>
      </c>
      <c r="H1466" s="36" t="s">
        <v>104</v>
      </c>
      <c r="I1466" s="36" t="s">
        <v>107</v>
      </c>
      <c r="J1466" s="36">
        <v>824</v>
      </c>
      <c r="K1466" s="36">
        <v>1178.32</v>
      </c>
    </row>
    <row r="1467" spans="1:11" x14ac:dyDescent="0.3">
      <c r="A1467" s="36" t="s">
        <v>90</v>
      </c>
      <c r="B1467" s="36">
        <v>2021</v>
      </c>
      <c r="C1467" s="36" t="s">
        <v>4</v>
      </c>
      <c r="D1467" s="36" t="s">
        <v>91</v>
      </c>
      <c r="E1467" s="36" t="s">
        <v>105</v>
      </c>
      <c r="F1467" s="36" t="s">
        <v>106</v>
      </c>
      <c r="G1467" s="36" t="s">
        <v>102</v>
      </c>
      <c r="H1467" s="36" t="s">
        <v>104</v>
      </c>
      <c r="I1467" s="36" t="s">
        <v>107</v>
      </c>
      <c r="J1467" s="36">
        <v>857</v>
      </c>
      <c r="K1467" s="36">
        <v>1225.51</v>
      </c>
    </row>
    <row r="1468" spans="1:11" x14ac:dyDescent="0.3">
      <c r="A1468" s="36" t="s">
        <v>97</v>
      </c>
      <c r="B1468" s="36">
        <v>2021</v>
      </c>
      <c r="C1468" s="36" t="s">
        <v>4</v>
      </c>
      <c r="D1468" s="36" t="s">
        <v>91</v>
      </c>
      <c r="E1468" s="36" t="s">
        <v>105</v>
      </c>
      <c r="F1468" s="36" t="s">
        <v>106</v>
      </c>
      <c r="G1468" s="36" t="s">
        <v>102</v>
      </c>
      <c r="H1468" s="36" t="s">
        <v>104</v>
      </c>
      <c r="I1468" s="36" t="s">
        <v>107</v>
      </c>
      <c r="J1468" s="36">
        <v>910</v>
      </c>
      <c r="K1468" s="36">
        <v>1301.3</v>
      </c>
    </row>
    <row r="1469" spans="1:11" x14ac:dyDescent="0.3">
      <c r="A1469" s="36" t="s">
        <v>97</v>
      </c>
      <c r="B1469" s="36">
        <v>2021</v>
      </c>
      <c r="C1469" s="36" t="s">
        <v>4</v>
      </c>
      <c r="D1469" s="36" t="s">
        <v>91</v>
      </c>
      <c r="E1469" s="36" t="s">
        <v>105</v>
      </c>
      <c r="F1469" s="36" t="s">
        <v>106</v>
      </c>
      <c r="G1469" s="36" t="s">
        <v>102</v>
      </c>
      <c r="H1469" s="36" t="s">
        <v>104</v>
      </c>
      <c r="I1469" s="36" t="s">
        <v>107</v>
      </c>
      <c r="J1469" s="36">
        <v>863</v>
      </c>
      <c r="K1469" s="36">
        <v>526.24</v>
      </c>
    </row>
    <row r="1470" spans="1:11" x14ac:dyDescent="0.3">
      <c r="A1470" s="36" t="s">
        <v>99</v>
      </c>
      <c r="B1470" s="36">
        <v>2021</v>
      </c>
      <c r="C1470" s="36" t="s">
        <v>4</v>
      </c>
      <c r="D1470" s="36" t="s">
        <v>91</v>
      </c>
      <c r="E1470" s="36" t="s">
        <v>105</v>
      </c>
      <c r="F1470" s="36" t="s">
        <v>106</v>
      </c>
      <c r="G1470" s="36" t="s">
        <v>102</v>
      </c>
      <c r="H1470" s="36" t="s">
        <v>104</v>
      </c>
      <c r="I1470" s="36" t="s">
        <v>107</v>
      </c>
      <c r="J1470" s="36">
        <v>309</v>
      </c>
      <c r="K1470" s="36">
        <v>441.87</v>
      </c>
    </row>
    <row r="1471" spans="1:11" x14ac:dyDescent="0.3">
      <c r="A1471" s="36" t="s">
        <v>99</v>
      </c>
      <c r="B1471" s="36">
        <v>2021</v>
      </c>
      <c r="C1471" s="36" t="s">
        <v>4</v>
      </c>
      <c r="D1471" s="36" t="s">
        <v>91</v>
      </c>
      <c r="E1471" s="36" t="s">
        <v>105</v>
      </c>
      <c r="F1471" s="36" t="s">
        <v>106</v>
      </c>
      <c r="G1471" s="36" t="s">
        <v>102</v>
      </c>
      <c r="H1471" s="36" t="s">
        <v>104</v>
      </c>
      <c r="I1471" s="36" t="s">
        <v>107</v>
      </c>
      <c r="J1471" s="36">
        <v>337</v>
      </c>
      <c r="K1471" s="36">
        <v>481.90999999999997</v>
      </c>
    </row>
    <row r="1472" spans="1:11" x14ac:dyDescent="0.3">
      <c r="A1472" s="36" t="s">
        <v>100</v>
      </c>
      <c r="B1472" s="36">
        <v>2021</v>
      </c>
      <c r="C1472" s="36" t="s">
        <v>4</v>
      </c>
      <c r="D1472" s="36" t="s">
        <v>91</v>
      </c>
      <c r="E1472" s="36" t="s">
        <v>105</v>
      </c>
      <c r="F1472" s="36" t="s">
        <v>106</v>
      </c>
      <c r="G1472" s="36" t="s">
        <v>102</v>
      </c>
      <c r="H1472" s="36" t="s">
        <v>104</v>
      </c>
      <c r="I1472" s="36" t="s">
        <v>107</v>
      </c>
      <c r="J1472" s="36">
        <v>139</v>
      </c>
      <c r="K1472" s="36">
        <v>198.76999999999998</v>
      </c>
    </row>
    <row r="1473" spans="1:11" x14ac:dyDescent="0.3">
      <c r="A1473" s="36" t="s">
        <v>90</v>
      </c>
      <c r="B1473" s="36">
        <v>2021</v>
      </c>
      <c r="C1473" s="36" t="s">
        <v>4</v>
      </c>
      <c r="D1473" s="36" t="s">
        <v>91</v>
      </c>
      <c r="E1473" s="36" t="s">
        <v>105</v>
      </c>
      <c r="F1473" s="36" t="s">
        <v>106</v>
      </c>
      <c r="G1473" s="36" t="s">
        <v>102</v>
      </c>
      <c r="H1473" s="36" t="s">
        <v>104</v>
      </c>
      <c r="I1473" s="36" t="s">
        <v>107</v>
      </c>
      <c r="J1473" s="36">
        <v>833</v>
      </c>
      <c r="K1473" s="36">
        <v>1191.19</v>
      </c>
    </row>
    <row r="1474" spans="1:11" x14ac:dyDescent="0.3">
      <c r="A1474" s="36" t="s">
        <v>97</v>
      </c>
      <c r="B1474" s="36">
        <v>2021</v>
      </c>
      <c r="C1474" s="36" t="s">
        <v>4</v>
      </c>
      <c r="D1474" s="36" t="s">
        <v>91</v>
      </c>
      <c r="E1474" s="36" t="s">
        <v>105</v>
      </c>
      <c r="F1474" s="36" t="s">
        <v>106</v>
      </c>
      <c r="G1474" s="36" t="s">
        <v>102</v>
      </c>
      <c r="H1474" s="36" t="s">
        <v>104</v>
      </c>
      <c r="I1474" s="36" t="s">
        <v>107</v>
      </c>
      <c r="J1474" s="36">
        <v>866</v>
      </c>
      <c r="K1474" s="36">
        <v>1238.3800000000001</v>
      </c>
    </row>
    <row r="1475" spans="1:11" x14ac:dyDescent="0.3">
      <c r="A1475" s="36" t="s">
        <v>97</v>
      </c>
      <c r="B1475" s="36">
        <v>2021</v>
      </c>
      <c r="C1475" s="36" t="s">
        <v>4</v>
      </c>
      <c r="D1475" s="36" t="s">
        <v>91</v>
      </c>
      <c r="E1475" s="36" t="s">
        <v>105</v>
      </c>
      <c r="F1475" s="36" t="s">
        <v>106</v>
      </c>
      <c r="G1475" s="36" t="s">
        <v>102</v>
      </c>
      <c r="H1475" s="36" t="s">
        <v>104</v>
      </c>
      <c r="I1475" s="36" t="s">
        <v>107</v>
      </c>
      <c r="J1475" s="36">
        <v>311</v>
      </c>
      <c r="K1475" s="36">
        <v>444.73</v>
      </c>
    </row>
    <row r="1476" spans="1:11" x14ac:dyDescent="0.3">
      <c r="A1476" s="36" t="s">
        <v>97</v>
      </c>
      <c r="B1476" s="36">
        <v>2021</v>
      </c>
      <c r="C1476" s="36" t="s">
        <v>10</v>
      </c>
      <c r="D1476" s="36" t="s">
        <v>103</v>
      </c>
      <c r="E1476" s="36" t="s">
        <v>105</v>
      </c>
      <c r="F1476" s="36" t="s">
        <v>106</v>
      </c>
      <c r="G1476" s="36" t="s">
        <v>102</v>
      </c>
      <c r="H1476" s="36" t="s">
        <v>104</v>
      </c>
      <c r="I1476" s="36" t="s">
        <v>107</v>
      </c>
      <c r="J1476" s="36">
        <v>350</v>
      </c>
      <c r="K1476" s="36">
        <v>500.5</v>
      </c>
    </row>
    <row r="1477" spans="1:11" x14ac:dyDescent="0.3">
      <c r="A1477" s="36" t="s">
        <v>90</v>
      </c>
      <c r="B1477" s="36">
        <v>2021</v>
      </c>
      <c r="C1477" s="36" t="s">
        <v>10</v>
      </c>
      <c r="D1477" s="36" t="s">
        <v>103</v>
      </c>
      <c r="E1477" s="36" t="s">
        <v>105</v>
      </c>
      <c r="F1477" s="36" t="s">
        <v>106</v>
      </c>
      <c r="G1477" s="36" t="s">
        <v>102</v>
      </c>
      <c r="H1477" s="36" t="s">
        <v>104</v>
      </c>
      <c r="I1477" s="36" t="s">
        <v>107</v>
      </c>
      <c r="J1477" s="36">
        <v>304</v>
      </c>
      <c r="K1477" s="36">
        <v>434.72</v>
      </c>
    </row>
    <row r="1478" spans="1:11" x14ac:dyDescent="0.3">
      <c r="A1478" s="36" t="s">
        <v>90</v>
      </c>
      <c r="B1478" s="36">
        <v>2021</v>
      </c>
      <c r="C1478" s="36" t="s">
        <v>10</v>
      </c>
      <c r="D1478" s="36" t="s">
        <v>103</v>
      </c>
      <c r="E1478" s="36" t="s">
        <v>105</v>
      </c>
      <c r="F1478" s="36" t="s">
        <v>106</v>
      </c>
      <c r="G1478" s="36" t="s">
        <v>102</v>
      </c>
      <c r="H1478" s="36" t="s">
        <v>104</v>
      </c>
      <c r="I1478" s="36" t="s">
        <v>107</v>
      </c>
      <c r="J1478" s="36">
        <v>352</v>
      </c>
      <c r="K1478" s="36">
        <v>503.36</v>
      </c>
    </row>
    <row r="1479" spans="1:11" x14ac:dyDescent="0.3">
      <c r="A1479" s="36" t="s">
        <v>90</v>
      </c>
      <c r="B1479" s="36">
        <v>2021</v>
      </c>
      <c r="C1479" s="36" t="s">
        <v>10</v>
      </c>
      <c r="D1479" s="36" t="s">
        <v>103</v>
      </c>
      <c r="E1479" s="36" t="s">
        <v>105</v>
      </c>
      <c r="F1479" s="36" t="s">
        <v>106</v>
      </c>
      <c r="G1479" s="36" t="s">
        <v>102</v>
      </c>
      <c r="H1479" s="36" t="s">
        <v>104</v>
      </c>
      <c r="I1479" s="36" t="s">
        <v>107</v>
      </c>
      <c r="J1479" s="36">
        <v>829</v>
      </c>
      <c r="K1479" s="36">
        <v>1185.47</v>
      </c>
    </row>
    <row r="1480" spans="1:11" x14ac:dyDescent="0.3">
      <c r="A1480" s="36" t="s">
        <v>97</v>
      </c>
      <c r="B1480" s="36">
        <v>2021</v>
      </c>
      <c r="C1480" s="36" t="s">
        <v>10</v>
      </c>
      <c r="D1480" s="36" t="s">
        <v>103</v>
      </c>
      <c r="E1480" s="36" t="s">
        <v>105</v>
      </c>
      <c r="F1480" s="36" t="s">
        <v>106</v>
      </c>
      <c r="G1480" s="36" t="s">
        <v>102</v>
      </c>
      <c r="H1480" s="36" t="s">
        <v>104</v>
      </c>
      <c r="I1480" s="36" t="s">
        <v>107</v>
      </c>
      <c r="J1480" s="36">
        <v>862</v>
      </c>
      <c r="K1480" s="36">
        <v>1232.6599999999999</v>
      </c>
    </row>
    <row r="1481" spans="1:11" x14ac:dyDescent="0.3">
      <c r="A1481" s="36" t="s">
        <v>90</v>
      </c>
      <c r="B1481" s="36">
        <v>2021</v>
      </c>
      <c r="C1481" s="36" t="s">
        <v>10</v>
      </c>
      <c r="D1481" s="36" t="s">
        <v>103</v>
      </c>
      <c r="E1481" s="36" t="s">
        <v>105</v>
      </c>
      <c r="F1481" s="36" t="s">
        <v>106</v>
      </c>
      <c r="G1481" s="36" t="s">
        <v>102</v>
      </c>
      <c r="H1481" s="36" t="s">
        <v>104</v>
      </c>
      <c r="I1481" s="36" t="s">
        <v>107</v>
      </c>
      <c r="J1481" s="36">
        <v>918</v>
      </c>
      <c r="K1481" s="36">
        <v>1312.74</v>
      </c>
    </row>
    <row r="1482" spans="1:11" x14ac:dyDescent="0.3">
      <c r="A1482" s="36" t="s">
        <v>90</v>
      </c>
      <c r="B1482" s="36">
        <v>2021</v>
      </c>
      <c r="C1482" s="36" t="s">
        <v>10</v>
      </c>
      <c r="D1482" s="36" t="s">
        <v>103</v>
      </c>
      <c r="E1482" s="36" t="s">
        <v>105</v>
      </c>
      <c r="F1482" s="36" t="s">
        <v>106</v>
      </c>
      <c r="G1482" s="36" t="s">
        <v>102</v>
      </c>
      <c r="H1482" s="36" t="s">
        <v>104</v>
      </c>
      <c r="I1482" s="36" t="s">
        <v>107</v>
      </c>
      <c r="J1482" s="36">
        <v>919</v>
      </c>
      <c r="K1482" s="36">
        <v>1314.17</v>
      </c>
    </row>
    <row r="1483" spans="1:11" x14ac:dyDescent="0.3">
      <c r="A1483" s="36" t="s">
        <v>97</v>
      </c>
      <c r="B1483" s="36">
        <v>2021</v>
      </c>
      <c r="C1483" s="36" t="s">
        <v>10</v>
      </c>
      <c r="D1483" s="36" t="s">
        <v>103</v>
      </c>
      <c r="E1483" s="36" t="s">
        <v>105</v>
      </c>
      <c r="F1483" s="36" t="s">
        <v>106</v>
      </c>
      <c r="G1483" s="36" t="s">
        <v>102</v>
      </c>
      <c r="H1483" s="36" t="s">
        <v>104</v>
      </c>
      <c r="I1483" s="36" t="s">
        <v>107</v>
      </c>
      <c r="J1483" s="36">
        <v>920</v>
      </c>
      <c r="K1483" s="36">
        <v>1315.6</v>
      </c>
    </row>
    <row r="1484" spans="1:11" x14ac:dyDescent="0.3">
      <c r="A1484" s="36" t="s">
        <v>97</v>
      </c>
      <c r="B1484" s="36">
        <v>2021</v>
      </c>
      <c r="C1484" s="36" t="s">
        <v>10</v>
      </c>
      <c r="D1484" s="36" t="s">
        <v>103</v>
      </c>
      <c r="E1484" s="36" t="s">
        <v>105</v>
      </c>
      <c r="F1484" s="36" t="s">
        <v>106</v>
      </c>
      <c r="G1484" s="36" t="s">
        <v>102</v>
      </c>
      <c r="H1484" s="36" t="s">
        <v>104</v>
      </c>
      <c r="I1484" s="36" t="s">
        <v>107</v>
      </c>
      <c r="J1484" s="36">
        <v>869</v>
      </c>
      <c r="K1484" s="36">
        <v>526.24</v>
      </c>
    </row>
    <row r="1485" spans="1:11" x14ac:dyDescent="0.3">
      <c r="A1485" s="36" t="s">
        <v>97</v>
      </c>
      <c r="B1485" s="36">
        <v>2021</v>
      </c>
      <c r="C1485" s="36" t="s">
        <v>10</v>
      </c>
      <c r="D1485" s="36" t="s">
        <v>103</v>
      </c>
      <c r="E1485" s="36" t="s">
        <v>105</v>
      </c>
      <c r="F1485" s="36" t="s">
        <v>106</v>
      </c>
      <c r="G1485" s="36" t="s">
        <v>102</v>
      </c>
      <c r="H1485" s="36" t="s">
        <v>104</v>
      </c>
      <c r="I1485" s="36" t="s">
        <v>107</v>
      </c>
      <c r="J1485" s="36">
        <v>351</v>
      </c>
      <c r="K1485" s="36">
        <v>501.93</v>
      </c>
    </row>
    <row r="1486" spans="1:11" x14ac:dyDescent="0.3">
      <c r="A1486" s="36" t="s">
        <v>90</v>
      </c>
      <c r="B1486" s="36">
        <v>2021</v>
      </c>
      <c r="C1486" s="36" t="s">
        <v>10</v>
      </c>
      <c r="D1486" s="36" t="s">
        <v>103</v>
      </c>
      <c r="E1486" s="36" t="s">
        <v>105</v>
      </c>
      <c r="F1486" s="36" t="s">
        <v>106</v>
      </c>
      <c r="G1486" s="36" t="s">
        <v>102</v>
      </c>
      <c r="H1486" s="36" t="s">
        <v>104</v>
      </c>
      <c r="I1486" s="36" t="s">
        <v>107</v>
      </c>
      <c r="J1486" s="36">
        <v>261</v>
      </c>
      <c r="K1486" s="36">
        <v>373.23</v>
      </c>
    </row>
    <row r="1487" spans="1:11" x14ac:dyDescent="0.3">
      <c r="A1487" s="36" t="s">
        <v>90</v>
      </c>
      <c r="B1487" s="36">
        <v>2021</v>
      </c>
      <c r="C1487" s="36" t="s">
        <v>10</v>
      </c>
      <c r="D1487" s="36" t="s">
        <v>103</v>
      </c>
      <c r="E1487" s="36" t="s">
        <v>105</v>
      </c>
      <c r="F1487" s="36" t="s">
        <v>106</v>
      </c>
      <c r="G1487" s="36" t="s">
        <v>102</v>
      </c>
      <c r="H1487" s="36" t="s">
        <v>104</v>
      </c>
      <c r="I1487" s="36" t="s">
        <v>107</v>
      </c>
      <c r="J1487" s="36">
        <v>255</v>
      </c>
      <c r="K1487" s="36">
        <v>364.65</v>
      </c>
    </row>
    <row r="1488" spans="1:11" x14ac:dyDescent="0.3">
      <c r="A1488" s="36" t="s">
        <v>90</v>
      </c>
      <c r="B1488" s="36">
        <v>2021</v>
      </c>
      <c r="C1488" s="36" t="s">
        <v>10</v>
      </c>
      <c r="D1488" s="36" t="s">
        <v>103</v>
      </c>
      <c r="E1488" s="36" t="s">
        <v>105</v>
      </c>
      <c r="F1488" s="36" t="s">
        <v>106</v>
      </c>
      <c r="G1488" s="36" t="s">
        <v>102</v>
      </c>
      <c r="H1488" s="36" t="s">
        <v>104</v>
      </c>
      <c r="I1488" s="36" t="s">
        <v>107</v>
      </c>
      <c r="J1488" s="36">
        <v>307</v>
      </c>
      <c r="K1488" s="36">
        <v>439.01</v>
      </c>
    </row>
    <row r="1489" spans="1:11" x14ac:dyDescent="0.3">
      <c r="A1489" s="36" t="s">
        <v>90</v>
      </c>
      <c r="B1489" s="36">
        <v>2021</v>
      </c>
      <c r="C1489" s="36" t="s">
        <v>10</v>
      </c>
      <c r="D1489" s="36" t="s">
        <v>103</v>
      </c>
      <c r="E1489" s="36" t="s">
        <v>105</v>
      </c>
      <c r="F1489" s="36" t="s">
        <v>106</v>
      </c>
      <c r="G1489" s="36" t="s">
        <v>102</v>
      </c>
      <c r="H1489" s="36" t="s">
        <v>104</v>
      </c>
      <c r="I1489" s="36" t="s">
        <v>107</v>
      </c>
      <c r="J1489" s="36">
        <v>838</v>
      </c>
      <c r="K1489" s="36">
        <v>1198.3399999999999</v>
      </c>
    </row>
    <row r="1490" spans="1:11" x14ac:dyDescent="0.3">
      <c r="A1490" s="36" t="s">
        <v>97</v>
      </c>
      <c r="B1490" s="36">
        <v>2021</v>
      </c>
      <c r="C1490" s="36" t="s">
        <v>10</v>
      </c>
      <c r="D1490" s="36" t="s">
        <v>103</v>
      </c>
      <c r="E1490" s="36" t="s">
        <v>105</v>
      </c>
      <c r="F1490" s="36" t="s">
        <v>106</v>
      </c>
      <c r="G1490" s="36" t="s">
        <v>102</v>
      </c>
      <c r="H1490" s="36" t="s">
        <v>104</v>
      </c>
      <c r="I1490" s="36" t="s">
        <v>107</v>
      </c>
      <c r="J1490" s="36">
        <v>871</v>
      </c>
      <c r="K1490" s="36">
        <v>1245.53</v>
      </c>
    </row>
    <row r="1491" spans="1:11" x14ac:dyDescent="0.3">
      <c r="A1491" s="36" t="s">
        <v>97</v>
      </c>
      <c r="B1491" s="36">
        <v>2021</v>
      </c>
      <c r="C1491" s="36" t="s">
        <v>9</v>
      </c>
      <c r="D1491" s="36" t="s">
        <v>103</v>
      </c>
      <c r="E1491" s="36" t="s">
        <v>105</v>
      </c>
      <c r="F1491" s="36" t="s">
        <v>106</v>
      </c>
      <c r="G1491" s="36" t="s">
        <v>102</v>
      </c>
      <c r="H1491" s="36" t="s">
        <v>104</v>
      </c>
      <c r="I1491" s="36" t="s">
        <v>107</v>
      </c>
      <c r="J1491" s="36">
        <v>308</v>
      </c>
      <c r="K1491" s="36">
        <v>440.44</v>
      </c>
    </row>
    <row r="1492" spans="1:11" x14ac:dyDescent="0.3">
      <c r="A1492" s="36" t="s">
        <v>101</v>
      </c>
      <c r="B1492" s="36">
        <v>2021</v>
      </c>
      <c r="C1492" s="36" t="s">
        <v>9</v>
      </c>
      <c r="D1492" s="36" t="s">
        <v>103</v>
      </c>
      <c r="E1492" s="36" t="s">
        <v>105</v>
      </c>
      <c r="F1492" s="36" t="s">
        <v>106</v>
      </c>
      <c r="G1492" s="36" t="s">
        <v>102</v>
      </c>
      <c r="H1492" s="36" t="s">
        <v>104</v>
      </c>
      <c r="I1492" s="36" t="s">
        <v>107</v>
      </c>
      <c r="J1492" s="36">
        <v>356</v>
      </c>
      <c r="K1492" s="36">
        <v>509.08</v>
      </c>
    </row>
    <row r="1493" spans="1:11" x14ac:dyDescent="0.3">
      <c r="A1493" s="36" t="s">
        <v>97</v>
      </c>
      <c r="B1493" s="36">
        <v>2021</v>
      </c>
      <c r="C1493" s="36" t="s">
        <v>9</v>
      </c>
      <c r="D1493" s="36" t="s">
        <v>103</v>
      </c>
      <c r="E1493" s="36" t="s">
        <v>105</v>
      </c>
      <c r="F1493" s="36" t="s">
        <v>106</v>
      </c>
      <c r="G1493" s="36" t="s">
        <v>102</v>
      </c>
      <c r="H1493" s="36" t="s">
        <v>104</v>
      </c>
      <c r="I1493" s="36" t="s">
        <v>107</v>
      </c>
      <c r="J1493" s="36">
        <v>310</v>
      </c>
      <c r="K1493" s="36">
        <v>443.3</v>
      </c>
    </row>
    <row r="1494" spans="1:11" x14ac:dyDescent="0.3">
      <c r="A1494" s="36" t="s">
        <v>90</v>
      </c>
      <c r="B1494" s="36">
        <v>2021</v>
      </c>
      <c r="C1494" s="36" t="s">
        <v>9</v>
      </c>
      <c r="D1494" s="36" t="s">
        <v>103</v>
      </c>
      <c r="E1494" s="36" t="s">
        <v>105</v>
      </c>
      <c r="F1494" s="36" t="s">
        <v>106</v>
      </c>
      <c r="G1494" s="36" t="s">
        <v>102</v>
      </c>
      <c r="H1494" s="36" t="s">
        <v>104</v>
      </c>
      <c r="I1494" s="36" t="s">
        <v>107</v>
      </c>
      <c r="J1494" s="36">
        <v>358</v>
      </c>
      <c r="K1494" s="36">
        <v>511.94</v>
      </c>
    </row>
    <row r="1495" spans="1:11" x14ac:dyDescent="0.3">
      <c r="A1495" s="36" t="s">
        <v>90</v>
      </c>
      <c r="B1495" s="36">
        <v>2021</v>
      </c>
      <c r="C1495" s="36" t="s">
        <v>9</v>
      </c>
      <c r="D1495" s="36" t="s">
        <v>103</v>
      </c>
      <c r="E1495" s="36" t="s">
        <v>105</v>
      </c>
      <c r="F1495" s="36" t="s">
        <v>106</v>
      </c>
      <c r="G1495" s="36" t="s">
        <v>102</v>
      </c>
      <c r="H1495" s="36" t="s">
        <v>104</v>
      </c>
      <c r="I1495" s="36" t="s">
        <v>107</v>
      </c>
      <c r="J1495" s="36">
        <v>828</v>
      </c>
      <c r="K1495" s="36">
        <v>1184.04</v>
      </c>
    </row>
    <row r="1496" spans="1:11" x14ac:dyDescent="0.3">
      <c r="A1496" s="36" t="s">
        <v>100</v>
      </c>
      <c r="B1496" s="36">
        <v>2021</v>
      </c>
      <c r="C1496" s="36" t="s">
        <v>9</v>
      </c>
      <c r="D1496" s="36" t="s">
        <v>103</v>
      </c>
      <c r="E1496" s="36" t="s">
        <v>105</v>
      </c>
      <c r="F1496" s="36" t="s">
        <v>106</v>
      </c>
      <c r="G1496" s="36" t="s">
        <v>102</v>
      </c>
      <c r="H1496" s="36" t="s">
        <v>104</v>
      </c>
      <c r="I1496" s="36" t="s">
        <v>107</v>
      </c>
      <c r="J1496" s="36">
        <v>915</v>
      </c>
      <c r="K1496" s="36">
        <v>1308.45</v>
      </c>
    </row>
    <row r="1497" spans="1:11" x14ac:dyDescent="0.3">
      <c r="A1497" s="36" t="s">
        <v>97</v>
      </c>
      <c r="B1497" s="36">
        <v>2021</v>
      </c>
      <c r="C1497" s="36" t="s">
        <v>9</v>
      </c>
      <c r="D1497" s="36" t="s">
        <v>103</v>
      </c>
      <c r="E1497" s="36" t="s">
        <v>105</v>
      </c>
      <c r="F1497" s="36" t="s">
        <v>106</v>
      </c>
      <c r="G1497" s="36" t="s">
        <v>102</v>
      </c>
      <c r="H1497" s="36" t="s">
        <v>104</v>
      </c>
      <c r="I1497" s="36" t="s">
        <v>107</v>
      </c>
      <c r="J1497" s="36">
        <v>916</v>
      </c>
      <c r="K1497" s="36">
        <v>1309.8800000000001</v>
      </c>
    </row>
    <row r="1498" spans="1:11" x14ac:dyDescent="0.3">
      <c r="A1498" s="36" t="s">
        <v>97</v>
      </c>
      <c r="B1498" s="36">
        <v>2021</v>
      </c>
      <c r="C1498" s="36" t="s">
        <v>9</v>
      </c>
      <c r="D1498" s="36" t="s">
        <v>103</v>
      </c>
      <c r="E1498" s="36" t="s">
        <v>105</v>
      </c>
      <c r="F1498" s="36" t="s">
        <v>106</v>
      </c>
      <c r="G1498" s="36" t="s">
        <v>102</v>
      </c>
      <c r="H1498" s="36" t="s">
        <v>104</v>
      </c>
      <c r="I1498" s="36" t="s">
        <v>107</v>
      </c>
      <c r="J1498" s="36">
        <v>917</v>
      </c>
      <c r="K1498" s="36">
        <v>1311.31</v>
      </c>
    </row>
    <row r="1499" spans="1:11" x14ac:dyDescent="0.3">
      <c r="A1499" s="36" t="s">
        <v>97</v>
      </c>
      <c r="B1499" s="36">
        <v>2021</v>
      </c>
      <c r="C1499" s="36" t="s">
        <v>9</v>
      </c>
      <c r="D1499" s="36" t="s">
        <v>103</v>
      </c>
      <c r="E1499" s="36" t="s">
        <v>105</v>
      </c>
      <c r="F1499" s="36" t="s">
        <v>106</v>
      </c>
      <c r="G1499" s="36" t="s">
        <v>102</v>
      </c>
      <c r="H1499" s="36" t="s">
        <v>104</v>
      </c>
      <c r="I1499" s="36" t="s">
        <v>107</v>
      </c>
      <c r="J1499" s="36">
        <v>868</v>
      </c>
      <c r="K1499" s="36">
        <v>526.24</v>
      </c>
    </row>
    <row r="1500" spans="1:11" x14ac:dyDescent="0.3">
      <c r="A1500" s="36" t="s">
        <v>99</v>
      </c>
      <c r="B1500" s="36">
        <v>2021</v>
      </c>
      <c r="C1500" s="36" t="s">
        <v>9</v>
      </c>
      <c r="D1500" s="36" t="s">
        <v>103</v>
      </c>
      <c r="E1500" s="36" t="s">
        <v>105</v>
      </c>
      <c r="F1500" s="36" t="s">
        <v>106</v>
      </c>
      <c r="G1500" s="36" t="s">
        <v>102</v>
      </c>
      <c r="H1500" s="36" t="s">
        <v>104</v>
      </c>
      <c r="I1500" s="36" t="s">
        <v>107</v>
      </c>
      <c r="J1500" s="36">
        <v>357</v>
      </c>
      <c r="K1500" s="36">
        <v>526.24</v>
      </c>
    </row>
    <row r="1501" spans="1:11" x14ac:dyDescent="0.3">
      <c r="A1501" s="36" t="s">
        <v>90</v>
      </c>
      <c r="B1501" s="36">
        <v>2021</v>
      </c>
      <c r="C1501" s="36" t="s">
        <v>9</v>
      </c>
      <c r="D1501" s="36" t="s">
        <v>103</v>
      </c>
      <c r="E1501" s="36" t="s">
        <v>105</v>
      </c>
      <c r="F1501" s="36" t="s">
        <v>106</v>
      </c>
      <c r="G1501" s="36" t="s">
        <v>102</v>
      </c>
      <c r="H1501" s="36" t="s">
        <v>104</v>
      </c>
      <c r="I1501" s="36" t="s">
        <v>107</v>
      </c>
      <c r="J1501" s="36">
        <v>279</v>
      </c>
      <c r="K1501" s="36">
        <v>398.97</v>
      </c>
    </row>
    <row r="1502" spans="1:11" x14ac:dyDescent="0.3">
      <c r="A1502" s="36" t="s">
        <v>97</v>
      </c>
      <c r="B1502" s="36">
        <v>2021</v>
      </c>
      <c r="C1502" s="36" t="s">
        <v>9</v>
      </c>
      <c r="D1502" s="36" t="s">
        <v>103</v>
      </c>
      <c r="E1502" s="36" t="s">
        <v>105</v>
      </c>
      <c r="F1502" s="36" t="s">
        <v>106</v>
      </c>
      <c r="G1502" s="36" t="s">
        <v>102</v>
      </c>
      <c r="H1502" s="36" t="s">
        <v>104</v>
      </c>
      <c r="I1502" s="36" t="s">
        <v>107</v>
      </c>
      <c r="J1502" s="36">
        <v>273</v>
      </c>
      <c r="K1502" s="36">
        <v>390.39</v>
      </c>
    </row>
    <row r="1503" spans="1:11" x14ac:dyDescent="0.3">
      <c r="A1503" s="36" t="s">
        <v>97</v>
      </c>
      <c r="B1503" s="36">
        <v>2021</v>
      </c>
      <c r="C1503" s="36" t="s">
        <v>9</v>
      </c>
      <c r="D1503" s="36" t="s">
        <v>103</v>
      </c>
      <c r="E1503" s="36" t="s">
        <v>105</v>
      </c>
      <c r="F1503" s="36" t="s">
        <v>106</v>
      </c>
      <c r="G1503" s="36" t="s">
        <v>102</v>
      </c>
      <c r="H1503" s="36" t="s">
        <v>104</v>
      </c>
      <c r="I1503" s="36" t="s">
        <v>107</v>
      </c>
      <c r="J1503" s="36">
        <v>267</v>
      </c>
      <c r="K1503" s="36">
        <v>381.81</v>
      </c>
    </row>
    <row r="1504" spans="1:11" x14ac:dyDescent="0.3">
      <c r="A1504" s="36" t="s">
        <v>100</v>
      </c>
      <c r="B1504" s="36">
        <v>2021</v>
      </c>
      <c r="C1504" s="36" t="s">
        <v>9</v>
      </c>
      <c r="D1504" s="36" t="s">
        <v>103</v>
      </c>
      <c r="E1504" s="36" t="s">
        <v>105</v>
      </c>
      <c r="F1504" s="36" t="s">
        <v>106</v>
      </c>
      <c r="G1504" s="36" t="s">
        <v>102</v>
      </c>
      <c r="H1504" s="36" t="s">
        <v>104</v>
      </c>
      <c r="I1504" s="36" t="s">
        <v>107</v>
      </c>
      <c r="J1504" s="36">
        <v>313</v>
      </c>
      <c r="K1504" s="36">
        <v>447.59000000000003</v>
      </c>
    </row>
    <row r="1505" spans="1:11" x14ac:dyDescent="0.3">
      <c r="A1505" s="36" t="s">
        <v>90</v>
      </c>
      <c r="B1505" s="36">
        <v>2021</v>
      </c>
      <c r="C1505" s="36" t="s">
        <v>9</v>
      </c>
      <c r="D1505" s="36" t="s">
        <v>103</v>
      </c>
      <c r="E1505" s="36" t="s">
        <v>105</v>
      </c>
      <c r="F1505" s="36" t="s">
        <v>106</v>
      </c>
      <c r="G1505" s="36" t="s">
        <v>102</v>
      </c>
      <c r="H1505" s="36" t="s">
        <v>104</v>
      </c>
      <c r="I1505" s="36" t="s">
        <v>107</v>
      </c>
      <c r="J1505" s="36">
        <v>355</v>
      </c>
      <c r="K1505" s="36">
        <v>507.65</v>
      </c>
    </row>
    <row r="1506" spans="1:11" x14ac:dyDescent="0.3">
      <c r="A1506" s="36" t="s">
        <v>97</v>
      </c>
      <c r="B1506" s="36">
        <v>2021</v>
      </c>
      <c r="C1506" s="36" t="s">
        <v>9</v>
      </c>
      <c r="D1506" s="36" t="s">
        <v>103</v>
      </c>
      <c r="E1506" s="36" t="s">
        <v>105</v>
      </c>
      <c r="F1506" s="36" t="s">
        <v>106</v>
      </c>
      <c r="G1506" s="36" t="s">
        <v>102</v>
      </c>
      <c r="H1506" s="36" t="s">
        <v>104</v>
      </c>
      <c r="I1506" s="36" t="s">
        <v>107</v>
      </c>
      <c r="J1506" s="36">
        <v>837</v>
      </c>
      <c r="K1506" s="36">
        <v>1196.9099999999999</v>
      </c>
    </row>
    <row r="1507" spans="1:11" x14ac:dyDescent="0.3">
      <c r="A1507" s="36" t="s">
        <v>97</v>
      </c>
      <c r="B1507" s="36">
        <v>2021</v>
      </c>
      <c r="C1507" s="36" t="s">
        <v>9</v>
      </c>
      <c r="D1507" s="36" t="s">
        <v>103</v>
      </c>
      <c r="E1507" s="36" t="s">
        <v>105</v>
      </c>
      <c r="F1507" s="36" t="s">
        <v>106</v>
      </c>
      <c r="G1507" s="36" t="s">
        <v>102</v>
      </c>
      <c r="H1507" s="36" t="s">
        <v>104</v>
      </c>
      <c r="I1507" s="36" t="s">
        <v>107</v>
      </c>
      <c r="J1507" s="36">
        <v>870</v>
      </c>
      <c r="K1507" s="36">
        <v>1244.0999999999999</v>
      </c>
    </row>
    <row r="1508" spans="1:11" x14ac:dyDescent="0.3">
      <c r="A1508" s="36" t="s">
        <v>90</v>
      </c>
      <c r="B1508" s="36">
        <v>2021</v>
      </c>
      <c r="C1508" s="36" t="s">
        <v>8</v>
      </c>
      <c r="D1508" s="36" t="s">
        <v>103</v>
      </c>
      <c r="E1508" s="36" t="s">
        <v>105</v>
      </c>
      <c r="F1508" s="36" t="s">
        <v>106</v>
      </c>
      <c r="G1508" s="36" t="s">
        <v>102</v>
      </c>
      <c r="H1508" s="36" t="s">
        <v>104</v>
      </c>
      <c r="I1508" s="36" t="s">
        <v>107</v>
      </c>
      <c r="J1508" s="36">
        <v>314</v>
      </c>
      <c r="K1508" s="36">
        <v>449.02</v>
      </c>
    </row>
    <row r="1509" spans="1:11" x14ac:dyDescent="0.3">
      <c r="A1509" s="36" t="s">
        <v>99</v>
      </c>
      <c r="B1509" s="36">
        <v>2021</v>
      </c>
      <c r="C1509" s="36" t="s">
        <v>8</v>
      </c>
      <c r="D1509" s="36" t="s">
        <v>103</v>
      </c>
      <c r="E1509" s="36" t="s">
        <v>105</v>
      </c>
      <c r="F1509" s="36" t="s">
        <v>106</v>
      </c>
      <c r="G1509" s="36" t="s">
        <v>102</v>
      </c>
      <c r="H1509" s="36" t="s">
        <v>104</v>
      </c>
      <c r="I1509" s="36" t="s">
        <v>107</v>
      </c>
      <c r="J1509" s="36">
        <v>362</v>
      </c>
      <c r="K1509" s="36">
        <v>517.66</v>
      </c>
    </row>
    <row r="1510" spans="1:11" x14ac:dyDescent="0.3">
      <c r="A1510" s="36" t="s">
        <v>90</v>
      </c>
      <c r="B1510" s="36">
        <v>2021</v>
      </c>
      <c r="C1510" s="36" t="s">
        <v>8</v>
      </c>
      <c r="D1510" s="36" t="s">
        <v>103</v>
      </c>
      <c r="E1510" s="36" t="s">
        <v>105</v>
      </c>
      <c r="F1510" s="36" t="s">
        <v>106</v>
      </c>
      <c r="G1510" s="36" t="s">
        <v>102</v>
      </c>
      <c r="H1510" s="36" t="s">
        <v>104</v>
      </c>
      <c r="I1510" s="36" t="s">
        <v>107</v>
      </c>
      <c r="J1510" s="36">
        <v>290</v>
      </c>
      <c r="K1510" s="36">
        <v>414.7</v>
      </c>
    </row>
    <row r="1511" spans="1:11" x14ac:dyDescent="0.3">
      <c r="A1511" s="36" t="s">
        <v>90</v>
      </c>
      <c r="B1511" s="36">
        <v>2021</v>
      </c>
      <c r="C1511" s="36" t="s">
        <v>8</v>
      </c>
      <c r="D1511" s="36" t="s">
        <v>103</v>
      </c>
      <c r="E1511" s="36" t="s">
        <v>105</v>
      </c>
      <c r="F1511" s="36" t="s">
        <v>106</v>
      </c>
      <c r="G1511" s="36" t="s">
        <v>102</v>
      </c>
      <c r="H1511" s="36" t="s">
        <v>104</v>
      </c>
      <c r="I1511" s="36" t="s">
        <v>107</v>
      </c>
      <c r="J1511" s="36">
        <v>316</v>
      </c>
      <c r="K1511" s="36">
        <v>451.88</v>
      </c>
    </row>
    <row r="1512" spans="1:11" x14ac:dyDescent="0.3">
      <c r="A1512" s="36" t="s">
        <v>97</v>
      </c>
      <c r="B1512" s="36">
        <v>2021</v>
      </c>
      <c r="C1512" s="36" t="s">
        <v>8</v>
      </c>
      <c r="D1512" s="36" t="s">
        <v>103</v>
      </c>
      <c r="E1512" s="36" t="s">
        <v>105</v>
      </c>
      <c r="F1512" s="36" t="s">
        <v>106</v>
      </c>
      <c r="G1512" s="36" t="s">
        <v>102</v>
      </c>
      <c r="H1512" s="36" t="s">
        <v>104</v>
      </c>
      <c r="I1512" s="36" t="s">
        <v>107</v>
      </c>
      <c r="J1512" s="36">
        <v>364</v>
      </c>
      <c r="K1512" s="36">
        <v>520.52</v>
      </c>
    </row>
    <row r="1513" spans="1:11" x14ac:dyDescent="0.3">
      <c r="A1513" s="36" t="s">
        <v>97</v>
      </c>
      <c r="B1513" s="36">
        <v>2021</v>
      </c>
      <c r="C1513" s="36" t="s">
        <v>8</v>
      </c>
      <c r="D1513" s="36" t="s">
        <v>103</v>
      </c>
      <c r="E1513" s="36" t="s">
        <v>105</v>
      </c>
      <c r="F1513" s="36" t="s">
        <v>106</v>
      </c>
      <c r="G1513" s="36" t="s">
        <v>102</v>
      </c>
      <c r="H1513" s="36" t="s">
        <v>104</v>
      </c>
      <c r="I1513" s="36" t="s">
        <v>107</v>
      </c>
      <c r="J1513" s="36">
        <v>827</v>
      </c>
      <c r="K1513" s="36">
        <v>1182.6100000000001</v>
      </c>
    </row>
    <row r="1514" spans="1:11" x14ac:dyDescent="0.3">
      <c r="A1514" s="36" t="s">
        <v>90</v>
      </c>
      <c r="B1514" s="36">
        <v>2021</v>
      </c>
      <c r="C1514" s="36" t="s">
        <v>8</v>
      </c>
      <c r="D1514" s="36" t="s">
        <v>103</v>
      </c>
      <c r="E1514" s="36" t="s">
        <v>105</v>
      </c>
      <c r="F1514" s="36" t="s">
        <v>106</v>
      </c>
      <c r="G1514" s="36" t="s">
        <v>102</v>
      </c>
      <c r="H1514" s="36" t="s">
        <v>104</v>
      </c>
      <c r="I1514" s="36" t="s">
        <v>107</v>
      </c>
      <c r="J1514" s="36">
        <v>861</v>
      </c>
      <c r="K1514" s="36">
        <v>1231.23</v>
      </c>
    </row>
    <row r="1515" spans="1:11" x14ac:dyDescent="0.3">
      <c r="A1515" s="36" t="s">
        <v>90</v>
      </c>
      <c r="B1515" s="36">
        <v>2021</v>
      </c>
      <c r="C1515" s="36" t="s">
        <v>8</v>
      </c>
      <c r="D1515" s="36" t="s">
        <v>103</v>
      </c>
      <c r="E1515" s="36" t="s">
        <v>105</v>
      </c>
      <c r="F1515" s="36" t="s">
        <v>106</v>
      </c>
      <c r="G1515" s="36" t="s">
        <v>102</v>
      </c>
      <c r="H1515" s="36" t="s">
        <v>104</v>
      </c>
      <c r="I1515" s="36" t="s">
        <v>107</v>
      </c>
      <c r="J1515" s="36">
        <v>914</v>
      </c>
      <c r="K1515" s="36">
        <v>1307.02</v>
      </c>
    </row>
    <row r="1516" spans="1:11" x14ac:dyDescent="0.3">
      <c r="A1516" s="36" t="s">
        <v>90</v>
      </c>
      <c r="B1516" s="36">
        <v>2021</v>
      </c>
      <c r="C1516" s="36" t="s">
        <v>8</v>
      </c>
      <c r="D1516" s="36" t="s">
        <v>103</v>
      </c>
      <c r="E1516" s="36" t="s">
        <v>105</v>
      </c>
      <c r="F1516" s="36" t="s">
        <v>106</v>
      </c>
      <c r="G1516" s="36" t="s">
        <v>102</v>
      </c>
      <c r="H1516" s="36" t="s">
        <v>104</v>
      </c>
      <c r="I1516" s="36" t="s">
        <v>107</v>
      </c>
      <c r="J1516" s="36">
        <v>867</v>
      </c>
      <c r="K1516" s="36">
        <v>526.24</v>
      </c>
    </row>
    <row r="1517" spans="1:11" x14ac:dyDescent="0.3">
      <c r="A1517" s="36" t="s">
        <v>97</v>
      </c>
      <c r="B1517" s="36">
        <v>2021</v>
      </c>
      <c r="C1517" s="36" t="s">
        <v>8</v>
      </c>
      <c r="D1517" s="36" t="s">
        <v>103</v>
      </c>
      <c r="E1517" s="36" t="s">
        <v>105</v>
      </c>
      <c r="F1517" s="36" t="s">
        <v>106</v>
      </c>
      <c r="G1517" s="36" t="s">
        <v>102</v>
      </c>
      <c r="H1517" s="36" t="s">
        <v>104</v>
      </c>
      <c r="I1517" s="36" t="s">
        <v>107</v>
      </c>
      <c r="J1517" s="36">
        <v>363</v>
      </c>
      <c r="K1517" s="36">
        <v>526.24</v>
      </c>
    </row>
    <row r="1518" spans="1:11" x14ac:dyDescent="0.3">
      <c r="A1518" s="36" t="s">
        <v>97</v>
      </c>
      <c r="B1518" s="36">
        <v>2021</v>
      </c>
      <c r="C1518" s="36" t="s">
        <v>8</v>
      </c>
      <c r="D1518" s="36" t="s">
        <v>103</v>
      </c>
      <c r="E1518" s="36" t="s">
        <v>105</v>
      </c>
      <c r="F1518" s="36" t="s">
        <v>106</v>
      </c>
      <c r="G1518" s="36" t="s">
        <v>102</v>
      </c>
      <c r="H1518" s="36" t="s">
        <v>104</v>
      </c>
      <c r="I1518" s="36" t="s">
        <v>107</v>
      </c>
      <c r="J1518" s="36">
        <v>291</v>
      </c>
      <c r="K1518" s="36">
        <v>416.13</v>
      </c>
    </row>
    <row r="1519" spans="1:11" x14ac:dyDescent="0.3">
      <c r="A1519" s="36" t="s">
        <v>90</v>
      </c>
      <c r="B1519" s="36">
        <v>2021</v>
      </c>
      <c r="C1519" s="36" t="s">
        <v>8</v>
      </c>
      <c r="D1519" s="36" t="s">
        <v>103</v>
      </c>
      <c r="E1519" s="36" t="s">
        <v>105</v>
      </c>
      <c r="F1519" s="36" t="s">
        <v>106</v>
      </c>
      <c r="G1519" s="36" t="s">
        <v>102</v>
      </c>
      <c r="H1519" s="36" t="s">
        <v>104</v>
      </c>
      <c r="I1519" s="36" t="s">
        <v>107</v>
      </c>
      <c r="J1519" s="36">
        <v>285</v>
      </c>
      <c r="K1519" s="36">
        <v>407.55</v>
      </c>
    </row>
    <row r="1520" spans="1:11" x14ac:dyDescent="0.3">
      <c r="A1520" s="36" t="s">
        <v>90</v>
      </c>
      <c r="B1520" s="36">
        <v>2021</v>
      </c>
      <c r="C1520" s="36" t="s">
        <v>8</v>
      </c>
      <c r="D1520" s="36" t="s">
        <v>103</v>
      </c>
      <c r="E1520" s="36" t="s">
        <v>105</v>
      </c>
      <c r="F1520" s="36" t="s">
        <v>106</v>
      </c>
      <c r="G1520" s="36" t="s">
        <v>102</v>
      </c>
      <c r="H1520" s="36" t="s">
        <v>104</v>
      </c>
      <c r="I1520" s="36" t="s">
        <v>107</v>
      </c>
      <c r="J1520" s="36">
        <v>361</v>
      </c>
      <c r="K1520" s="36">
        <v>516.23</v>
      </c>
    </row>
    <row r="1521" spans="1:11" x14ac:dyDescent="0.3">
      <c r="A1521" s="36" t="s">
        <v>90</v>
      </c>
      <c r="B1521" s="36">
        <v>2021</v>
      </c>
      <c r="C1521" s="36" t="s">
        <v>8</v>
      </c>
      <c r="D1521" s="36" t="s">
        <v>103</v>
      </c>
      <c r="E1521" s="36" t="s">
        <v>105</v>
      </c>
      <c r="F1521" s="36" t="s">
        <v>106</v>
      </c>
      <c r="G1521" s="36" t="s">
        <v>102</v>
      </c>
      <c r="H1521" s="36" t="s">
        <v>104</v>
      </c>
      <c r="I1521" s="36" t="s">
        <v>107</v>
      </c>
      <c r="J1521" s="36">
        <v>289</v>
      </c>
      <c r="K1521" s="36">
        <v>413.27</v>
      </c>
    </row>
    <row r="1522" spans="1:11" x14ac:dyDescent="0.3">
      <c r="A1522" s="36" t="s">
        <v>90</v>
      </c>
      <c r="B1522" s="36">
        <v>2021</v>
      </c>
      <c r="C1522" s="36" t="s">
        <v>8</v>
      </c>
      <c r="D1522" s="36" t="s">
        <v>103</v>
      </c>
      <c r="E1522" s="36" t="s">
        <v>105</v>
      </c>
      <c r="F1522" s="36" t="s">
        <v>106</v>
      </c>
      <c r="G1522" s="36" t="s">
        <v>102</v>
      </c>
      <c r="H1522" s="36" t="s">
        <v>104</v>
      </c>
      <c r="I1522" s="36" t="s">
        <v>107</v>
      </c>
      <c r="J1522" s="36">
        <v>836</v>
      </c>
      <c r="K1522" s="36">
        <v>1195.48</v>
      </c>
    </row>
    <row r="1523" spans="1:11" x14ac:dyDescent="0.3">
      <c r="A1523" s="36" t="s">
        <v>90</v>
      </c>
      <c r="B1523" s="36">
        <v>2021</v>
      </c>
      <c r="C1523" s="36" t="s">
        <v>8</v>
      </c>
      <c r="D1523" s="36" t="s">
        <v>103</v>
      </c>
      <c r="E1523" s="36" t="s">
        <v>105</v>
      </c>
      <c r="F1523" s="36" t="s">
        <v>106</v>
      </c>
      <c r="G1523" s="36" t="s">
        <v>102</v>
      </c>
      <c r="H1523" s="36" t="s">
        <v>104</v>
      </c>
      <c r="I1523" s="36" t="s">
        <v>107</v>
      </c>
      <c r="J1523" s="36">
        <v>869</v>
      </c>
      <c r="K1523" s="36">
        <v>1242.67</v>
      </c>
    </row>
    <row r="1524" spans="1:11" x14ac:dyDescent="0.3">
      <c r="A1524" s="36" t="s">
        <v>99</v>
      </c>
      <c r="B1524" s="36">
        <v>2021</v>
      </c>
      <c r="C1524" s="36" t="s">
        <v>7</v>
      </c>
      <c r="D1524" s="36" t="s">
        <v>91</v>
      </c>
      <c r="E1524" s="36" t="s">
        <v>105</v>
      </c>
      <c r="F1524" s="36" t="s">
        <v>106</v>
      </c>
      <c r="G1524" s="36" t="s">
        <v>94</v>
      </c>
      <c r="H1524" s="36" t="s">
        <v>104</v>
      </c>
      <c r="I1524" s="36" t="s">
        <v>96</v>
      </c>
      <c r="J1524" s="36">
        <v>340</v>
      </c>
      <c r="K1524" s="36">
        <v>486.2</v>
      </c>
    </row>
    <row r="1525" spans="1:11" x14ac:dyDescent="0.3">
      <c r="A1525" s="36" t="s">
        <v>97</v>
      </c>
      <c r="B1525" s="36">
        <v>2021</v>
      </c>
      <c r="C1525" s="36" t="s">
        <v>7</v>
      </c>
      <c r="D1525" s="36" t="s">
        <v>91</v>
      </c>
      <c r="E1525" s="36" t="s">
        <v>105</v>
      </c>
      <c r="F1525" s="36" t="s">
        <v>106</v>
      </c>
      <c r="G1525" s="36" t="s">
        <v>94</v>
      </c>
      <c r="H1525" s="36" t="s">
        <v>104</v>
      </c>
      <c r="I1525" s="36" t="s">
        <v>96</v>
      </c>
      <c r="J1525" s="36">
        <v>334</v>
      </c>
      <c r="K1525" s="36">
        <v>477.62</v>
      </c>
    </row>
    <row r="1526" spans="1:11" x14ac:dyDescent="0.3">
      <c r="A1526" s="36" t="s">
        <v>97</v>
      </c>
      <c r="B1526" s="36">
        <v>2021</v>
      </c>
      <c r="C1526" s="36" t="s">
        <v>7</v>
      </c>
      <c r="D1526" s="36" t="s">
        <v>91</v>
      </c>
      <c r="E1526" s="36" t="s">
        <v>105</v>
      </c>
      <c r="F1526" s="36" t="s">
        <v>106</v>
      </c>
      <c r="G1526" s="36" t="s">
        <v>94</v>
      </c>
      <c r="H1526" s="36" t="s">
        <v>104</v>
      </c>
      <c r="I1526" s="36" t="s">
        <v>96</v>
      </c>
      <c r="J1526" s="36">
        <v>337</v>
      </c>
      <c r="K1526" s="36">
        <v>481.90999999999997</v>
      </c>
    </row>
    <row r="1527" spans="1:11" x14ac:dyDescent="0.3">
      <c r="A1527" s="36" t="s">
        <v>99</v>
      </c>
      <c r="B1527" s="36">
        <v>2021</v>
      </c>
      <c r="C1527" s="36" t="s">
        <v>7</v>
      </c>
      <c r="D1527" s="36" t="s">
        <v>91</v>
      </c>
      <c r="E1527" s="36" t="s">
        <v>105</v>
      </c>
      <c r="F1527" s="36" t="s">
        <v>106</v>
      </c>
      <c r="G1527" s="36" t="s">
        <v>94</v>
      </c>
      <c r="H1527" s="36" t="s">
        <v>104</v>
      </c>
      <c r="I1527" s="36" t="s">
        <v>96</v>
      </c>
      <c r="J1527" s="36">
        <v>331</v>
      </c>
      <c r="K1527" s="36">
        <v>473.33</v>
      </c>
    </row>
    <row r="1528" spans="1:11" x14ac:dyDescent="0.3">
      <c r="A1528" s="36" t="s">
        <v>90</v>
      </c>
      <c r="B1528" s="36">
        <v>2021</v>
      </c>
      <c r="C1528" s="36" t="s">
        <v>8</v>
      </c>
      <c r="D1528" s="36" t="s">
        <v>91</v>
      </c>
      <c r="E1528" s="36" t="s">
        <v>105</v>
      </c>
      <c r="F1528" s="36" t="s">
        <v>106</v>
      </c>
      <c r="G1528" s="36" t="s">
        <v>94</v>
      </c>
      <c r="H1528" s="36" t="s">
        <v>104</v>
      </c>
      <c r="I1528" s="36" t="s">
        <v>96</v>
      </c>
      <c r="J1528" s="36">
        <v>328</v>
      </c>
      <c r="K1528" s="36">
        <v>469.03999999999996</v>
      </c>
    </row>
    <row r="1529" spans="1:11" x14ac:dyDescent="0.3">
      <c r="A1529" s="36" t="s">
        <v>97</v>
      </c>
      <c r="B1529" s="36">
        <v>2021</v>
      </c>
      <c r="C1529" s="36" t="s">
        <v>8</v>
      </c>
      <c r="D1529" s="36" t="s">
        <v>91</v>
      </c>
      <c r="E1529" s="36" t="s">
        <v>105</v>
      </c>
      <c r="F1529" s="36" t="s">
        <v>106</v>
      </c>
      <c r="G1529" s="36" t="s">
        <v>94</v>
      </c>
      <c r="H1529" s="36" t="s">
        <v>104</v>
      </c>
      <c r="I1529" s="36" t="s">
        <v>96</v>
      </c>
      <c r="J1529" s="36">
        <v>322</v>
      </c>
      <c r="K1529" s="36">
        <v>460.46000000000004</v>
      </c>
    </row>
    <row r="1530" spans="1:11" x14ac:dyDescent="0.3">
      <c r="A1530" s="36" t="s">
        <v>90</v>
      </c>
      <c r="B1530" s="36">
        <v>2021</v>
      </c>
      <c r="C1530" s="36" t="s">
        <v>8</v>
      </c>
      <c r="D1530" s="36" t="s">
        <v>91</v>
      </c>
      <c r="E1530" s="36" t="s">
        <v>105</v>
      </c>
      <c r="F1530" s="36" t="s">
        <v>106</v>
      </c>
      <c r="G1530" s="36" t="s">
        <v>94</v>
      </c>
      <c r="H1530" s="36" t="s">
        <v>104</v>
      </c>
      <c r="I1530" s="36" t="s">
        <v>96</v>
      </c>
      <c r="J1530" s="36">
        <v>316</v>
      </c>
      <c r="K1530" s="36">
        <v>451.88</v>
      </c>
    </row>
    <row r="1531" spans="1:11" x14ac:dyDescent="0.3">
      <c r="A1531" s="36" t="s">
        <v>97</v>
      </c>
      <c r="B1531" s="36">
        <v>2021</v>
      </c>
      <c r="C1531" s="36" t="s">
        <v>8</v>
      </c>
      <c r="D1531" s="36" t="s">
        <v>91</v>
      </c>
      <c r="E1531" s="36" t="s">
        <v>105</v>
      </c>
      <c r="F1531" s="36" t="s">
        <v>106</v>
      </c>
      <c r="G1531" s="36" t="s">
        <v>94</v>
      </c>
      <c r="H1531" s="36" t="s">
        <v>104</v>
      </c>
      <c r="I1531" s="36" t="s">
        <v>96</v>
      </c>
      <c r="J1531" s="36">
        <v>325</v>
      </c>
      <c r="K1531" s="36">
        <v>464.75</v>
      </c>
    </row>
    <row r="1532" spans="1:11" x14ac:dyDescent="0.3">
      <c r="A1532" s="36" t="s">
        <v>99</v>
      </c>
      <c r="B1532" s="36">
        <v>2021</v>
      </c>
      <c r="C1532" s="36" t="s">
        <v>8</v>
      </c>
      <c r="D1532" s="36" t="s">
        <v>91</v>
      </c>
      <c r="E1532" s="36" t="s">
        <v>105</v>
      </c>
      <c r="F1532" s="36" t="s">
        <v>106</v>
      </c>
      <c r="G1532" s="36" t="s">
        <v>94</v>
      </c>
      <c r="H1532" s="36" t="s">
        <v>104</v>
      </c>
      <c r="I1532" s="36" t="s">
        <v>96</v>
      </c>
      <c r="J1532" s="36">
        <v>319</v>
      </c>
      <c r="K1532" s="36">
        <v>456.16999999999996</v>
      </c>
    </row>
    <row r="1533" spans="1:11" x14ac:dyDescent="0.3">
      <c r="A1533" s="36" t="s">
        <v>90</v>
      </c>
      <c r="B1533" s="36">
        <v>2021</v>
      </c>
      <c r="C1533" s="36" t="s">
        <v>8</v>
      </c>
      <c r="D1533" s="36" t="s">
        <v>91</v>
      </c>
      <c r="E1533" s="36" t="s">
        <v>105</v>
      </c>
      <c r="F1533" s="36" t="s">
        <v>106</v>
      </c>
      <c r="G1533" s="36" t="s">
        <v>94</v>
      </c>
      <c r="H1533" s="36" t="s">
        <v>104</v>
      </c>
      <c r="I1533" s="36" t="s">
        <v>96</v>
      </c>
      <c r="J1533" s="36">
        <v>313</v>
      </c>
      <c r="K1533" s="36">
        <v>447.59000000000003</v>
      </c>
    </row>
    <row r="1534" spans="1:11" x14ac:dyDescent="0.3">
      <c r="A1534" s="36" t="s">
        <v>99</v>
      </c>
      <c r="B1534" s="36">
        <v>2022</v>
      </c>
      <c r="C1534" s="36" t="s">
        <v>3</v>
      </c>
      <c r="D1534" s="36" t="s">
        <v>91</v>
      </c>
      <c r="E1534" s="36" t="s">
        <v>92</v>
      </c>
      <c r="F1534" s="36" t="s">
        <v>93</v>
      </c>
      <c r="G1534" s="36" t="s">
        <v>102</v>
      </c>
      <c r="H1534" s="36" t="s">
        <v>95</v>
      </c>
      <c r="I1534" s="36" t="s">
        <v>96</v>
      </c>
      <c r="J1534" s="36">
        <v>212</v>
      </c>
      <c r="K1534" s="36">
        <v>303.15999999999997</v>
      </c>
    </row>
    <row r="1535" spans="1:11" x14ac:dyDescent="0.3">
      <c r="A1535" s="36" t="s">
        <v>97</v>
      </c>
      <c r="B1535" s="36">
        <v>2022</v>
      </c>
      <c r="C1535" s="36" t="s">
        <v>3</v>
      </c>
      <c r="D1535" s="36" t="s">
        <v>91</v>
      </c>
      <c r="E1535" s="36" t="s">
        <v>92</v>
      </c>
      <c r="F1535" s="36" t="s">
        <v>93</v>
      </c>
      <c r="G1535" s="36" t="s">
        <v>102</v>
      </c>
      <c r="H1535" s="36" t="s">
        <v>95</v>
      </c>
      <c r="I1535" s="36" t="s">
        <v>96</v>
      </c>
      <c r="J1535" s="36">
        <v>206</v>
      </c>
      <c r="K1535" s="36">
        <v>294.58</v>
      </c>
    </row>
    <row r="1536" spans="1:11" x14ac:dyDescent="0.3">
      <c r="A1536" s="36" t="s">
        <v>99</v>
      </c>
      <c r="B1536" s="36">
        <v>2022</v>
      </c>
      <c r="C1536" s="36" t="s">
        <v>3</v>
      </c>
      <c r="D1536" s="36" t="s">
        <v>91</v>
      </c>
      <c r="E1536" s="36" t="s">
        <v>92</v>
      </c>
      <c r="F1536" s="36" t="s">
        <v>93</v>
      </c>
      <c r="G1536" s="36" t="s">
        <v>102</v>
      </c>
      <c r="H1536" s="36" t="s">
        <v>95</v>
      </c>
      <c r="I1536" s="36" t="s">
        <v>98</v>
      </c>
      <c r="J1536" s="36">
        <v>216</v>
      </c>
      <c r="K1536" s="36">
        <v>308.88</v>
      </c>
    </row>
    <row r="1537" spans="1:11" x14ac:dyDescent="0.3">
      <c r="A1537" s="36" t="s">
        <v>97</v>
      </c>
      <c r="B1537" s="36">
        <v>2022</v>
      </c>
      <c r="C1537" s="36" t="s">
        <v>3</v>
      </c>
      <c r="D1537" s="36" t="s">
        <v>91</v>
      </c>
      <c r="E1537" s="36" t="s">
        <v>92</v>
      </c>
      <c r="F1537" s="36" t="s">
        <v>93</v>
      </c>
      <c r="G1537" s="36" t="s">
        <v>102</v>
      </c>
      <c r="H1537" s="36" t="s">
        <v>95</v>
      </c>
      <c r="I1537" s="36" t="s">
        <v>98</v>
      </c>
      <c r="J1537" s="36">
        <v>210</v>
      </c>
      <c r="K1537" s="36">
        <v>300.3</v>
      </c>
    </row>
    <row r="1538" spans="1:11" x14ac:dyDescent="0.3">
      <c r="A1538" s="36" t="s">
        <v>99</v>
      </c>
      <c r="B1538" s="36">
        <v>2022</v>
      </c>
      <c r="C1538" s="36" t="s">
        <v>3</v>
      </c>
      <c r="D1538" s="36" t="s">
        <v>91</v>
      </c>
      <c r="E1538" s="36" t="s">
        <v>92</v>
      </c>
      <c r="F1538" s="36" t="s">
        <v>93</v>
      </c>
      <c r="G1538" s="36" t="s">
        <v>102</v>
      </c>
      <c r="H1538" s="36" t="s">
        <v>95</v>
      </c>
      <c r="I1538" s="36" t="s">
        <v>98</v>
      </c>
      <c r="J1538" s="36">
        <v>204</v>
      </c>
      <c r="K1538" s="36">
        <v>291.72000000000003</v>
      </c>
    </row>
    <row r="1539" spans="1:11" x14ac:dyDescent="0.3">
      <c r="A1539" s="36" t="s">
        <v>99</v>
      </c>
      <c r="B1539" s="36">
        <v>2022</v>
      </c>
      <c r="C1539" s="36" t="s">
        <v>3</v>
      </c>
      <c r="D1539" s="36" t="s">
        <v>91</v>
      </c>
      <c r="E1539" s="36" t="s">
        <v>92</v>
      </c>
      <c r="F1539" s="36" t="s">
        <v>93</v>
      </c>
      <c r="G1539" s="36" t="s">
        <v>102</v>
      </c>
      <c r="H1539" s="36" t="s">
        <v>95</v>
      </c>
      <c r="I1539" s="36" t="s">
        <v>98</v>
      </c>
      <c r="J1539" s="36">
        <v>213</v>
      </c>
      <c r="K1539" s="36">
        <v>304.59000000000003</v>
      </c>
    </row>
    <row r="1540" spans="1:11" x14ac:dyDescent="0.3">
      <c r="A1540" s="36" t="s">
        <v>90</v>
      </c>
      <c r="B1540" s="36">
        <v>2022</v>
      </c>
      <c r="C1540" s="36" t="s">
        <v>3</v>
      </c>
      <c r="D1540" s="36" t="s">
        <v>91</v>
      </c>
      <c r="E1540" s="36" t="s">
        <v>92</v>
      </c>
      <c r="F1540" s="36" t="s">
        <v>93</v>
      </c>
      <c r="G1540" s="36" t="s">
        <v>102</v>
      </c>
      <c r="H1540" s="36" t="s">
        <v>95</v>
      </c>
      <c r="I1540" s="36" t="s">
        <v>98</v>
      </c>
      <c r="J1540" s="36">
        <v>207</v>
      </c>
      <c r="K1540" s="36">
        <v>296.01</v>
      </c>
    </row>
    <row r="1541" spans="1:11" x14ac:dyDescent="0.3">
      <c r="A1541" s="36" t="s">
        <v>97</v>
      </c>
      <c r="B1541" s="36">
        <v>2022</v>
      </c>
      <c r="C1541" s="36" t="s">
        <v>3</v>
      </c>
      <c r="D1541" s="36" t="s">
        <v>91</v>
      </c>
      <c r="E1541" s="36" t="s">
        <v>92</v>
      </c>
      <c r="F1541" s="36" t="s">
        <v>93</v>
      </c>
      <c r="G1541" s="36" t="s">
        <v>102</v>
      </c>
      <c r="H1541" s="36" t="s">
        <v>95</v>
      </c>
      <c r="I1541" s="36" t="s">
        <v>98</v>
      </c>
      <c r="J1541" s="36">
        <v>201</v>
      </c>
      <c r="K1541" s="36">
        <v>287.43</v>
      </c>
    </row>
    <row r="1542" spans="1:11" x14ac:dyDescent="0.3">
      <c r="A1542" s="36" t="s">
        <v>97</v>
      </c>
      <c r="B1542" s="36">
        <v>2022</v>
      </c>
      <c r="C1542" s="36" t="s">
        <v>3</v>
      </c>
      <c r="D1542" s="36" t="s">
        <v>91</v>
      </c>
      <c r="E1542" s="36" t="s">
        <v>92</v>
      </c>
      <c r="F1542" s="36" t="s">
        <v>93</v>
      </c>
      <c r="G1542" s="36" t="s">
        <v>102</v>
      </c>
      <c r="H1542" s="36" t="s">
        <v>95</v>
      </c>
      <c r="I1542" s="36" t="s">
        <v>96</v>
      </c>
      <c r="J1542" s="36">
        <v>215</v>
      </c>
      <c r="K1542" s="36">
        <v>307.45</v>
      </c>
    </row>
    <row r="1543" spans="1:11" x14ac:dyDescent="0.3">
      <c r="A1543" s="36" t="s">
        <v>97</v>
      </c>
      <c r="B1543" s="36">
        <v>2022</v>
      </c>
      <c r="C1543" s="36" t="s">
        <v>3</v>
      </c>
      <c r="D1543" s="36" t="s">
        <v>91</v>
      </c>
      <c r="E1543" s="36" t="s">
        <v>92</v>
      </c>
      <c r="F1543" s="36" t="s">
        <v>93</v>
      </c>
      <c r="G1543" s="36" t="s">
        <v>102</v>
      </c>
      <c r="H1543" s="36" t="s">
        <v>95</v>
      </c>
      <c r="I1543" s="36" t="s">
        <v>96</v>
      </c>
      <c r="J1543" s="36">
        <v>209</v>
      </c>
      <c r="K1543" s="36">
        <v>298.87</v>
      </c>
    </row>
    <row r="1544" spans="1:11" x14ac:dyDescent="0.3">
      <c r="A1544" s="36" t="s">
        <v>100</v>
      </c>
      <c r="B1544" s="36">
        <v>2022</v>
      </c>
      <c r="C1544" s="36" t="s">
        <v>3</v>
      </c>
      <c r="D1544" s="36" t="s">
        <v>91</v>
      </c>
      <c r="E1544" s="36" t="s">
        <v>92</v>
      </c>
      <c r="F1544" s="36" t="s">
        <v>93</v>
      </c>
      <c r="G1544" s="36" t="s">
        <v>102</v>
      </c>
      <c r="H1544" s="36" t="s">
        <v>95</v>
      </c>
      <c r="I1544" s="36" t="s">
        <v>96</v>
      </c>
      <c r="J1544" s="36">
        <v>203</v>
      </c>
      <c r="K1544" s="36">
        <v>290.28999999999996</v>
      </c>
    </row>
    <row r="1545" spans="1:11" x14ac:dyDescent="0.3">
      <c r="A1545" s="36" t="s">
        <v>97</v>
      </c>
      <c r="B1545" s="36">
        <v>2022</v>
      </c>
      <c r="C1545" s="36" t="s">
        <v>7</v>
      </c>
      <c r="D1545" s="36" t="s">
        <v>91</v>
      </c>
      <c r="E1545" s="36" t="s">
        <v>92</v>
      </c>
      <c r="F1545" s="36" t="s">
        <v>93</v>
      </c>
      <c r="G1545" s="36" t="s">
        <v>102</v>
      </c>
      <c r="H1545" s="36" t="s">
        <v>95</v>
      </c>
      <c r="I1545" s="36" t="s">
        <v>98</v>
      </c>
      <c r="J1545" s="36">
        <v>158</v>
      </c>
      <c r="K1545" s="36">
        <v>225.94</v>
      </c>
    </row>
    <row r="1546" spans="1:11" x14ac:dyDescent="0.3">
      <c r="A1546" s="36" t="s">
        <v>97</v>
      </c>
      <c r="B1546" s="36">
        <v>2022</v>
      </c>
      <c r="C1546" s="36" t="s">
        <v>7</v>
      </c>
      <c r="D1546" s="36" t="s">
        <v>91</v>
      </c>
      <c r="E1546" s="36" t="s">
        <v>92</v>
      </c>
      <c r="F1546" s="36" t="s">
        <v>93</v>
      </c>
      <c r="G1546" s="36" t="s">
        <v>102</v>
      </c>
      <c r="H1546" s="36" t="s">
        <v>95</v>
      </c>
      <c r="I1546" s="36" t="s">
        <v>98</v>
      </c>
      <c r="J1546" s="36">
        <v>160</v>
      </c>
      <c r="K1546" s="36">
        <v>228.8</v>
      </c>
    </row>
    <row r="1547" spans="1:11" x14ac:dyDescent="0.3">
      <c r="A1547" s="36" t="s">
        <v>101</v>
      </c>
      <c r="B1547" s="36">
        <v>2022</v>
      </c>
      <c r="C1547" s="36" t="s">
        <v>7</v>
      </c>
      <c r="D1547" s="36" t="s">
        <v>91</v>
      </c>
      <c r="E1547" s="36" t="s">
        <v>92</v>
      </c>
      <c r="F1547" s="36" t="s">
        <v>93</v>
      </c>
      <c r="G1547" s="36" t="s">
        <v>102</v>
      </c>
      <c r="H1547" s="36" t="s">
        <v>95</v>
      </c>
      <c r="I1547" s="36" t="s">
        <v>98</v>
      </c>
      <c r="J1547" s="36">
        <v>162</v>
      </c>
      <c r="K1547" s="36">
        <v>231.66</v>
      </c>
    </row>
    <row r="1548" spans="1:11" x14ac:dyDescent="0.3">
      <c r="A1548" s="36" t="s">
        <v>90</v>
      </c>
      <c r="B1548" s="36">
        <v>2022</v>
      </c>
      <c r="C1548" s="36" t="s">
        <v>7</v>
      </c>
      <c r="D1548" s="36" t="s">
        <v>91</v>
      </c>
      <c r="E1548" s="36" t="s">
        <v>92</v>
      </c>
      <c r="F1548" s="36" t="s">
        <v>93</v>
      </c>
      <c r="G1548" s="36" t="s">
        <v>102</v>
      </c>
      <c r="H1548" s="36" t="s">
        <v>95</v>
      </c>
      <c r="I1548" s="36" t="s">
        <v>98</v>
      </c>
      <c r="J1548" s="36">
        <v>159</v>
      </c>
      <c r="K1548" s="36">
        <v>227.37</v>
      </c>
    </row>
    <row r="1549" spans="1:11" x14ac:dyDescent="0.3">
      <c r="A1549" s="36" t="s">
        <v>97</v>
      </c>
      <c r="B1549" s="36">
        <v>2022</v>
      </c>
      <c r="C1549" s="36" t="s">
        <v>7</v>
      </c>
      <c r="D1549" s="36" t="s">
        <v>91</v>
      </c>
      <c r="E1549" s="36" t="s">
        <v>92</v>
      </c>
      <c r="F1549" s="36" t="s">
        <v>93</v>
      </c>
      <c r="G1549" s="36" t="s">
        <v>102</v>
      </c>
      <c r="H1549" s="36" t="s">
        <v>95</v>
      </c>
      <c r="I1549" s="36" t="s">
        <v>98</v>
      </c>
      <c r="J1549" s="36">
        <v>161</v>
      </c>
      <c r="K1549" s="36">
        <v>230.23000000000002</v>
      </c>
    </row>
    <row r="1550" spans="1:11" x14ac:dyDescent="0.3">
      <c r="A1550" s="36" t="s">
        <v>100</v>
      </c>
      <c r="B1550" s="36">
        <v>2022</v>
      </c>
      <c r="C1550" s="36" t="s">
        <v>1</v>
      </c>
      <c r="D1550" s="36" t="s">
        <v>91</v>
      </c>
      <c r="E1550" s="36" t="s">
        <v>92</v>
      </c>
      <c r="F1550" s="36" t="s">
        <v>93</v>
      </c>
      <c r="G1550" s="36" t="s">
        <v>102</v>
      </c>
      <c r="H1550" s="36" t="s">
        <v>95</v>
      </c>
      <c r="I1550" s="36" t="s">
        <v>96</v>
      </c>
      <c r="J1550" s="36">
        <v>248</v>
      </c>
      <c r="K1550" s="36">
        <v>354.64</v>
      </c>
    </row>
    <row r="1551" spans="1:11" x14ac:dyDescent="0.3">
      <c r="A1551" s="36" t="s">
        <v>97</v>
      </c>
      <c r="B1551" s="36">
        <v>2022</v>
      </c>
      <c r="C1551" s="36" t="s">
        <v>1</v>
      </c>
      <c r="D1551" s="36" t="s">
        <v>91</v>
      </c>
      <c r="E1551" s="36" t="s">
        <v>92</v>
      </c>
      <c r="F1551" s="36" t="s">
        <v>93</v>
      </c>
      <c r="G1551" s="36" t="s">
        <v>102</v>
      </c>
      <c r="H1551" s="36" t="s">
        <v>95</v>
      </c>
      <c r="I1551" s="36" t="s">
        <v>96</v>
      </c>
      <c r="J1551" s="36">
        <v>242</v>
      </c>
      <c r="K1551" s="36">
        <v>346.06</v>
      </c>
    </row>
    <row r="1552" spans="1:11" x14ac:dyDescent="0.3">
      <c r="A1552" s="36" t="s">
        <v>99</v>
      </c>
      <c r="B1552" s="36">
        <v>2022</v>
      </c>
      <c r="C1552" s="36" t="s">
        <v>1</v>
      </c>
      <c r="D1552" s="36" t="s">
        <v>91</v>
      </c>
      <c r="E1552" s="36" t="s">
        <v>92</v>
      </c>
      <c r="F1552" s="36" t="s">
        <v>93</v>
      </c>
      <c r="G1552" s="36" t="s">
        <v>102</v>
      </c>
      <c r="H1552" s="36" t="s">
        <v>95</v>
      </c>
      <c r="I1552" s="36" t="s">
        <v>96</v>
      </c>
      <c r="J1552" s="36">
        <v>236</v>
      </c>
      <c r="K1552" s="36">
        <v>337.48</v>
      </c>
    </row>
    <row r="1553" spans="1:11" x14ac:dyDescent="0.3">
      <c r="A1553" s="36" t="s">
        <v>99</v>
      </c>
      <c r="B1553" s="36">
        <v>2022</v>
      </c>
      <c r="C1553" s="36" t="s">
        <v>1</v>
      </c>
      <c r="D1553" s="36" t="s">
        <v>91</v>
      </c>
      <c r="E1553" s="36" t="s">
        <v>92</v>
      </c>
      <c r="F1553" s="36" t="s">
        <v>93</v>
      </c>
      <c r="G1553" s="36" t="s">
        <v>102</v>
      </c>
      <c r="H1553" s="36" t="s">
        <v>95</v>
      </c>
      <c r="I1553" s="36" t="s">
        <v>98</v>
      </c>
      <c r="J1553" s="36">
        <v>246</v>
      </c>
      <c r="K1553" s="36">
        <v>351.78</v>
      </c>
    </row>
    <row r="1554" spans="1:11" x14ac:dyDescent="0.3">
      <c r="A1554" s="36" t="s">
        <v>90</v>
      </c>
      <c r="B1554" s="36">
        <v>2022</v>
      </c>
      <c r="C1554" s="36" t="s">
        <v>1</v>
      </c>
      <c r="D1554" s="36" t="s">
        <v>91</v>
      </c>
      <c r="E1554" s="36" t="s">
        <v>92</v>
      </c>
      <c r="F1554" s="36" t="s">
        <v>93</v>
      </c>
      <c r="G1554" s="36" t="s">
        <v>102</v>
      </c>
      <c r="H1554" s="36" t="s">
        <v>95</v>
      </c>
      <c r="I1554" s="36" t="s">
        <v>98</v>
      </c>
      <c r="J1554" s="36">
        <v>240</v>
      </c>
      <c r="K1554" s="36">
        <v>343.2</v>
      </c>
    </row>
    <row r="1555" spans="1:11" x14ac:dyDescent="0.3">
      <c r="A1555" s="36" t="s">
        <v>99</v>
      </c>
      <c r="B1555" s="36">
        <v>2022</v>
      </c>
      <c r="C1555" s="36" t="s">
        <v>1</v>
      </c>
      <c r="D1555" s="36" t="s">
        <v>91</v>
      </c>
      <c r="E1555" s="36" t="s">
        <v>92</v>
      </c>
      <c r="F1555" s="36" t="s">
        <v>93</v>
      </c>
      <c r="G1555" s="36" t="s">
        <v>102</v>
      </c>
      <c r="H1555" s="36" t="s">
        <v>95</v>
      </c>
      <c r="I1555" s="36" t="s">
        <v>98</v>
      </c>
      <c r="J1555" s="36">
        <v>234</v>
      </c>
      <c r="K1555" s="36">
        <v>334.62</v>
      </c>
    </row>
    <row r="1556" spans="1:11" x14ac:dyDescent="0.3">
      <c r="A1556" s="36" t="s">
        <v>90</v>
      </c>
      <c r="B1556" s="36">
        <v>2022</v>
      </c>
      <c r="C1556" s="36" t="s">
        <v>1</v>
      </c>
      <c r="D1556" s="36" t="s">
        <v>91</v>
      </c>
      <c r="E1556" s="36" t="s">
        <v>92</v>
      </c>
      <c r="F1556" s="36" t="s">
        <v>93</v>
      </c>
      <c r="G1556" s="36" t="s">
        <v>102</v>
      </c>
      <c r="H1556" s="36" t="s">
        <v>95</v>
      </c>
      <c r="I1556" s="36" t="s">
        <v>98</v>
      </c>
      <c r="J1556" s="36">
        <v>243</v>
      </c>
      <c r="K1556" s="36">
        <v>347.49</v>
      </c>
    </row>
    <row r="1557" spans="1:11" x14ac:dyDescent="0.3">
      <c r="A1557" s="36" t="s">
        <v>97</v>
      </c>
      <c r="B1557" s="36">
        <v>2022</v>
      </c>
      <c r="C1557" s="36" t="s">
        <v>1</v>
      </c>
      <c r="D1557" s="36" t="s">
        <v>91</v>
      </c>
      <c r="E1557" s="36" t="s">
        <v>92</v>
      </c>
      <c r="F1557" s="36" t="s">
        <v>93</v>
      </c>
      <c r="G1557" s="36" t="s">
        <v>102</v>
      </c>
      <c r="H1557" s="36" t="s">
        <v>95</v>
      </c>
      <c r="I1557" s="36" t="s">
        <v>98</v>
      </c>
      <c r="J1557" s="36">
        <v>237</v>
      </c>
      <c r="K1557" s="36">
        <v>338.90999999999997</v>
      </c>
    </row>
    <row r="1558" spans="1:11" x14ac:dyDescent="0.3">
      <c r="A1558" s="36" t="s">
        <v>99</v>
      </c>
      <c r="B1558" s="36">
        <v>2022</v>
      </c>
      <c r="C1558" s="36" t="s">
        <v>1</v>
      </c>
      <c r="D1558" s="36" t="s">
        <v>91</v>
      </c>
      <c r="E1558" s="36" t="s">
        <v>92</v>
      </c>
      <c r="F1558" s="36" t="s">
        <v>93</v>
      </c>
      <c r="G1558" s="36" t="s">
        <v>102</v>
      </c>
      <c r="H1558" s="36" t="s">
        <v>95</v>
      </c>
      <c r="I1558" s="36" t="s">
        <v>96</v>
      </c>
      <c r="J1558" s="36">
        <v>245</v>
      </c>
      <c r="K1558" s="36">
        <v>350.35</v>
      </c>
    </row>
    <row r="1559" spans="1:11" x14ac:dyDescent="0.3">
      <c r="A1559" s="36" t="s">
        <v>97</v>
      </c>
      <c r="B1559" s="36">
        <v>2022</v>
      </c>
      <c r="C1559" s="36" t="s">
        <v>1</v>
      </c>
      <c r="D1559" s="36" t="s">
        <v>91</v>
      </c>
      <c r="E1559" s="36" t="s">
        <v>92</v>
      </c>
      <c r="F1559" s="36" t="s">
        <v>93</v>
      </c>
      <c r="G1559" s="36" t="s">
        <v>102</v>
      </c>
      <c r="H1559" s="36" t="s">
        <v>95</v>
      </c>
      <c r="I1559" s="36" t="s">
        <v>96</v>
      </c>
      <c r="J1559" s="36">
        <v>239</v>
      </c>
      <c r="K1559" s="36">
        <v>341.77</v>
      </c>
    </row>
    <row r="1560" spans="1:11" x14ac:dyDescent="0.3">
      <c r="A1560" s="36" t="s">
        <v>97</v>
      </c>
      <c r="B1560" s="36">
        <v>2022</v>
      </c>
      <c r="C1560" s="36" t="s">
        <v>1</v>
      </c>
      <c r="D1560" s="36" t="s">
        <v>91</v>
      </c>
      <c r="E1560" s="36" t="s">
        <v>92</v>
      </c>
      <c r="F1560" s="36" t="s">
        <v>93</v>
      </c>
      <c r="G1560" s="36" t="s">
        <v>102</v>
      </c>
      <c r="H1560" s="36" t="s">
        <v>95</v>
      </c>
      <c r="I1560" s="36" t="s">
        <v>96</v>
      </c>
      <c r="J1560" s="36">
        <v>233</v>
      </c>
      <c r="K1560" s="36">
        <v>333.19</v>
      </c>
    </row>
    <row r="1561" spans="1:11" x14ac:dyDescent="0.3">
      <c r="A1561" s="36" t="s">
        <v>97</v>
      </c>
      <c r="B1561" s="36">
        <v>2022</v>
      </c>
      <c r="C1561" s="36" t="s">
        <v>0</v>
      </c>
      <c r="D1561" s="36" t="s">
        <v>91</v>
      </c>
      <c r="E1561" s="36" t="s">
        <v>92</v>
      </c>
      <c r="F1561" s="36" t="s">
        <v>93</v>
      </c>
      <c r="G1561" s="36" t="s">
        <v>102</v>
      </c>
      <c r="H1561" s="36" t="s">
        <v>95</v>
      </c>
      <c r="I1561" s="36" t="s">
        <v>96</v>
      </c>
      <c r="J1561" s="36">
        <v>260</v>
      </c>
      <c r="K1561" s="36">
        <v>371.8</v>
      </c>
    </row>
    <row r="1562" spans="1:11" x14ac:dyDescent="0.3">
      <c r="A1562" s="36" t="s">
        <v>99</v>
      </c>
      <c r="B1562" s="36">
        <v>2022</v>
      </c>
      <c r="C1562" s="36" t="s">
        <v>0</v>
      </c>
      <c r="D1562" s="36" t="s">
        <v>91</v>
      </c>
      <c r="E1562" s="36" t="s">
        <v>92</v>
      </c>
      <c r="F1562" s="36" t="s">
        <v>93</v>
      </c>
      <c r="G1562" s="36" t="s">
        <v>102</v>
      </c>
      <c r="H1562" s="36" t="s">
        <v>95</v>
      </c>
      <c r="I1562" s="36" t="s">
        <v>96</v>
      </c>
      <c r="J1562" s="36">
        <v>254</v>
      </c>
      <c r="K1562" s="36">
        <v>363.22</v>
      </c>
    </row>
    <row r="1563" spans="1:11" x14ac:dyDescent="0.3">
      <c r="A1563" s="36" t="s">
        <v>90</v>
      </c>
      <c r="B1563" s="36">
        <v>2022</v>
      </c>
      <c r="C1563" s="36" t="s">
        <v>0</v>
      </c>
      <c r="D1563" s="36" t="s">
        <v>91</v>
      </c>
      <c r="E1563" s="36" t="s">
        <v>92</v>
      </c>
      <c r="F1563" s="36" t="s">
        <v>93</v>
      </c>
      <c r="G1563" s="36" t="s">
        <v>102</v>
      </c>
      <c r="H1563" s="36" t="s">
        <v>95</v>
      </c>
      <c r="I1563" s="36" t="s">
        <v>96</v>
      </c>
      <c r="J1563" s="36">
        <v>264</v>
      </c>
      <c r="K1563" s="36">
        <v>526.24</v>
      </c>
    </row>
    <row r="1564" spans="1:11" x14ac:dyDescent="0.3">
      <c r="A1564" s="36" t="s">
        <v>99</v>
      </c>
      <c r="B1564" s="36">
        <v>2022</v>
      </c>
      <c r="C1564" s="36" t="s">
        <v>0</v>
      </c>
      <c r="D1564" s="36" t="s">
        <v>91</v>
      </c>
      <c r="E1564" s="36" t="s">
        <v>92</v>
      </c>
      <c r="F1564" s="36" t="s">
        <v>93</v>
      </c>
      <c r="G1564" s="36" t="s">
        <v>102</v>
      </c>
      <c r="H1564" s="36" t="s">
        <v>95</v>
      </c>
      <c r="I1564" s="36" t="s">
        <v>98</v>
      </c>
      <c r="J1564" s="36">
        <v>258</v>
      </c>
      <c r="K1564" s="36">
        <v>526.24</v>
      </c>
    </row>
    <row r="1565" spans="1:11" x14ac:dyDescent="0.3">
      <c r="A1565" s="36" t="s">
        <v>97</v>
      </c>
      <c r="B1565" s="36">
        <v>2022</v>
      </c>
      <c r="C1565" s="36" t="s">
        <v>0</v>
      </c>
      <c r="D1565" s="36" t="s">
        <v>91</v>
      </c>
      <c r="E1565" s="36" t="s">
        <v>92</v>
      </c>
      <c r="F1565" s="36" t="s">
        <v>93</v>
      </c>
      <c r="G1565" s="36" t="s">
        <v>102</v>
      </c>
      <c r="H1565" s="36" t="s">
        <v>95</v>
      </c>
      <c r="I1565" s="36" t="s">
        <v>98</v>
      </c>
      <c r="J1565" s="36">
        <v>252</v>
      </c>
      <c r="K1565" s="36">
        <v>360.36</v>
      </c>
    </row>
    <row r="1566" spans="1:11" x14ac:dyDescent="0.3">
      <c r="A1566" s="36" t="s">
        <v>90</v>
      </c>
      <c r="B1566" s="36">
        <v>2022</v>
      </c>
      <c r="C1566" s="36" t="s">
        <v>0</v>
      </c>
      <c r="D1566" s="36" t="s">
        <v>91</v>
      </c>
      <c r="E1566" s="36" t="s">
        <v>92</v>
      </c>
      <c r="F1566" s="36" t="s">
        <v>93</v>
      </c>
      <c r="G1566" s="36" t="s">
        <v>102</v>
      </c>
      <c r="H1566" s="36" t="s">
        <v>95</v>
      </c>
      <c r="I1566" s="36" t="s">
        <v>96</v>
      </c>
      <c r="J1566" s="36">
        <v>261</v>
      </c>
      <c r="K1566" s="36">
        <v>373.23</v>
      </c>
    </row>
    <row r="1567" spans="1:11" x14ac:dyDescent="0.3">
      <c r="A1567" s="36" t="s">
        <v>97</v>
      </c>
      <c r="B1567" s="36">
        <v>2022</v>
      </c>
      <c r="C1567" s="36" t="s">
        <v>0</v>
      </c>
      <c r="D1567" s="36" t="s">
        <v>91</v>
      </c>
      <c r="E1567" s="36" t="s">
        <v>92</v>
      </c>
      <c r="F1567" s="36" t="s">
        <v>93</v>
      </c>
      <c r="G1567" s="36" t="s">
        <v>102</v>
      </c>
      <c r="H1567" s="36" t="s">
        <v>95</v>
      </c>
      <c r="I1567" s="36" t="s">
        <v>98</v>
      </c>
      <c r="J1567" s="36">
        <v>255</v>
      </c>
      <c r="K1567" s="36">
        <v>364.65</v>
      </c>
    </row>
    <row r="1568" spans="1:11" x14ac:dyDescent="0.3">
      <c r="A1568" s="36" t="s">
        <v>90</v>
      </c>
      <c r="B1568" s="36">
        <v>2022</v>
      </c>
      <c r="C1568" s="36" t="s">
        <v>0</v>
      </c>
      <c r="D1568" s="36" t="s">
        <v>91</v>
      </c>
      <c r="E1568" s="36" t="s">
        <v>92</v>
      </c>
      <c r="F1568" s="36" t="s">
        <v>93</v>
      </c>
      <c r="G1568" s="36" t="s">
        <v>102</v>
      </c>
      <c r="H1568" s="36" t="s">
        <v>95</v>
      </c>
      <c r="I1568" s="36" t="s">
        <v>98</v>
      </c>
      <c r="J1568" s="36">
        <v>249</v>
      </c>
      <c r="K1568" s="36">
        <v>356.07</v>
      </c>
    </row>
    <row r="1569" spans="1:11" x14ac:dyDescent="0.3">
      <c r="A1569" s="36" t="s">
        <v>100</v>
      </c>
      <c r="B1569" s="36">
        <v>2022</v>
      </c>
      <c r="C1569" s="36" t="s">
        <v>0</v>
      </c>
      <c r="D1569" s="36" t="s">
        <v>91</v>
      </c>
      <c r="E1569" s="36" t="s">
        <v>92</v>
      </c>
      <c r="F1569" s="36" t="s">
        <v>93</v>
      </c>
      <c r="G1569" s="36" t="s">
        <v>102</v>
      </c>
      <c r="H1569" s="36" t="s">
        <v>95</v>
      </c>
      <c r="I1569" s="36" t="s">
        <v>96</v>
      </c>
      <c r="J1569" s="36">
        <v>263</v>
      </c>
      <c r="K1569" s="36">
        <v>376.09000000000003</v>
      </c>
    </row>
    <row r="1570" spans="1:11" x14ac:dyDescent="0.3">
      <c r="A1570" s="36" t="s">
        <v>97</v>
      </c>
      <c r="B1570" s="36">
        <v>2022</v>
      </c>
      <c r="C1570" s="36" t="s">
        <v>0</v>
      </c>
      <c r="D1570" s="36" t="s">
        <v>91</v>
      </c>
      <c r="E1570" s="36" t="s">
        <v>92</v>
      </c>
      <c r="F1570" s="36" t="s">
        <v>93</v>
      </c>
      <c r="G1570" s="36" t="s">
        <v>102</v>
      </c>
      <c r="H1570" s="36" t="s">
        <v>95</v>
      </c>
      <c r="I1570" s="36" t="s">
        <v>96</v>
      </c>
      <c r="J1570" s="36">
        <v>257</v>
      </c>
      <c r="K1570" s="36">
        <v>367.51</v>
      </c>
    </row>
    <row r="1571" spans="1:11" x14ac:dyDescent="0.3">
      <c r="A1571" s="36" t="s">
        <v>90</v>
      </c>
      <c r="B1571" s="36">
        <v>2022</v>
      </c>
      <c r="C1571" s="36" t="s">
        <v>0</v>
      </c>
      <c r="D1571" s="36" t="s">
        <v>91</v>
      </c>
      <c r="E1571" s="36" t="s">
        <v>92</v>
      </c>
      <c r="F1571" s="36" t="s">
        <v>93</v>
      </c>
      <c r="G1571" s="36" t="s">
        <v>102</v>
      </c>
      <c r="H1571" s="36" t="s">
        <v>95</v>
      </c>
      <c r="I1571" s="36" t="s">
        <v>96</v>
      </c>
      <c r="J1571" s="36">
        <v>251</v>
      </c>
      <c r="K1571" s="36">
        <v>358.93</v>
      </c>
    </row>
    <row r="1572" spans="1:11" x14ac:dyDescent="0.3">
      <c r="A1572" s="36" t="s">
        <v>101</v>
      </c>
      <c r="B1572" s="36">
        <v>2022</v>
      </c>
      <c r="C1572" s="36" t="s">
        <v>6</v>
      </c>
      <c r="D1572" s="36" t="s">
        <v>91</v>
      </c>
      <c r="E1572" s="36" t="s">
        <v>92</v>
      </c>
      <c r="F1572" s="36" t="s">
        <v>93</v>
      </c>
      <c r="G1572" s="36" t="s">
        <v>102</v>
      </c>
      <c r="H1572" s="36" t="s">
        <v>95</v>
      </c>
      <c r="I1572" s="36" t="s">
        <v>98</v>
      </c>
      <c r="J1572" s="36">
        <v>164</v>
      </c>
      <c r="K1572" s="36">
        <v>234.51999999999998</v>
      </c>
    </row>
    <row r="1573" spans="1:11" x14ac:dyDescent="0.3">
      <c r="A1573" s="36" t="s">
        <v>97</v>
      </c>
      <c r="B1573" s="36">
        <v>2022</v>
      </c>
      <c r="C1573" s="36" t="s">
        <v>6</v>
      </c>
      <c r="D1573" s="36" t="s">
        <v>91</v>
      </c>
      <c r="E1573" s="36" t="s">
        <v>92</v>
      </c>
      <c r="F1573" s="36" t="s">
        <v>93</v>
      </c>
      <c r="G1573" s="36" t="s">
        <v>102</v>
      </c>
      <c r="H1573" s="36" t="s">
        <v>95</v>
      </c>
      <c r="I1573" s="36" t="s">
        <v>98</v>
      </c>
      <c r="J1573" s="36">
        <v>166</v>
      </c>
      <c r="K1573" s="36">
        <v>237.38</v>
      </c>
    </row>
    <row r="1574" spans="1:11" x14ac:dyDescent="0.3">
      <c r="A1574" s="36" t="s">
        <v>97</v>
      </c>
      <c r="B1574" s="36">
        <v>2022</v>
      </c>
      <c r="C1574" s="36" t="s">
        <v>6</v>
      </c>
      <c r="D1574" s="36" t="s">
        <v>91</v>
      </c>
      <c r="E1574" s="36" t="s">
        <v>92</v>
      </c>
      <c r="F1574" s="36" t="s">
        <v>93</v>
      </c>
      <c r="G1574" s="36" t="s">
        <v>102</v>
      </c>
      <c r="H1574" s="36" t="s">
        <v>95</v>
      </c>
      <c r="I1574" s="36" t="s">
        <v>98</v>
      </c>
      <c r="J1574" s="36">
        <v>168</v>
      </c>
      <c r="K1574" s="36">
        <v>240.24</v>
      </c>
    </row>
    <row r="1575" spans="1:11" x14ac:dyDescent="0.3">
      <c r="A1575" s="36" t="s">
        <v>99</v>
      </c>
      <c r="B1575" s="36">
        <v>2022</v>
      </c>
      <c r="C1575" s="36" t="s">
        <v>6</v>
      </c>
      <c r="D1575" s="36" t="s">
        <v>91</v>
      </c>
      <c r="E1575" s="36" t="s">
        <v>92</v>
      </c>
      <c r="F1575" s="36" t="s">
        <v>93</v>
      </c>
      <c r="G1575" s="36" t="s">
        <v>102</v>
      </c>
      <c r="H1575" s="36" t="s">
        <v>95</v>
      </c>
      <c r="I1575" s="36" t="s">
        <v>98</v>
      </c>
      <c r="J1575" s="36">
        <v>165</v>
      </c>
      <c r="K1575" s="36">
        <v>235.95</v>
      </c>
    </row>
    <row r="1576" spans="1:11" x14ac:dyDescent="0.3">
      <c r="A1576" s="36" t="s">
        <v>97</v>
      </c>
      <c r="B1576" s="36">
        <v>2022</v>
      </c>
      <c r="C1576" s="36" t="s">
        <v>6</v>
      </c>
      <c r="D1576" s="36" t="s">
        <v>91</v>
      </c>
      <c r="E1576" s="36" t="s">
        <v>92</v>
      </c>
      <c r="F1576" s="36" t="s">
        <v>93</v>
      </c>
      <c r="G1576" s="36" t="s">
        <v>102</v>
      </c>
      <c r="H1576" s="36" t="s">
        <v>95</v>
      </c>
      <c r="I1576" s="36" t="s">
        <v>98</v>
      </c>
      <c r="J1576" s="36">
        <v>163</v>
      </c>
      <c r="K1576" s="36">
        <v>233.09</v>
      </c>
    </row>
    <row r="1577" spans="1:11" x14ac:dyDescent="0.3">
      <c r="A1577" s="36" t="s">
        <v>101</v>
      </c>
      <c r="B1577" s="36">
        <v>2022</v>
      </c>
      <c r="C1577" s="36" t="s">
        <v>6</v>
      </c>
      <c r="D1577" s="36" t="s">
        <v>91</v>
      </c>
      <c r="E1577" s="36" t="s">
        <v>92</v>
      </c>
      <c r="F1577" s="36" t="s">
        <v>93</v>
      </c>
      <c r="G1577" s="36" t="s">
        <v>102</v>
      </c>
      <c r="H1577" s="36" t="s">
        <v>95</v>
      </c>
      <c r="I1577" s="36" t="s">
        <v>98</v>
      </c>
      <c r="J1577" s="36">
        <v>167</v>
      </c>
      <c r="K1577" s="36">
        <v>238.81</v>
      </c>
    </row>
    <row r="1578" spans="1:11" x14ac:dyDescent="0.3">
      <c r="A1578" s="36" t="s">
        <v>97</v>
      </c>
      <c r="B1578" s="36">
        <v>2022</v>
      </c>
      <c r="C1578" s="36" t="s">
        <v>5</v>
      </c>
      <c r="D1578" s="36" t="s">
        <v>91</v>
      </c>
      <c r="E1578" s="36" t="s">
        <v>92</v>
      </c>
      <c r="F1578" s="36" t="s">
        <v>93</v>
      </c>
      <c r="G1578" s="36" t="s">
        <v>102</v>
      </c>
      <c r="H1578" s="36" t="s">
        <v>95</v>
      </c>
      <c r="I1578" s="36" t="s">
        <v>96</v>
      </c>
      <c r="J1578" s="36">
        <v>182</v>
      </c>
      <c r="K1578" s="36">
        <v>260.26</v>
      </c>
    </row>
    <row r="1579" spans="1:11" x14ac:dyDescent="0.3">
      <c r="A1579" s="36" t="s">
        <v>97</v>
      </c>
      <c r="B1579" s="36">
        <v>2022</v>
      </c>
      <c r="C1579" s="36" t="s">
        <v>5</v>
      </c>
      <c r="D1579" s="36" t="s">
        <v>91</v>
      </c>
      <c r="E1579" s="36" t="s">
        <v>92</v>
      </c>
      <c r="F1579" s="36" t="s">
        <v>93</v>
      </c>
      <c r="G1579" s="36" t="s">
        <v>102</v>
      </c>
      <c r="H1579" s="36" t="s">
        <v>95</v>
      </c>
      <c r="I1579" s="36" t="s">
        <v>96</v>
      </c>
      <c r="J1579" s="36">
        <v>176</v>
      </c>
      <c r="K1579" s="36">
        <v>251.68</v>
      </c>
    </row>
    <row r="1580" spans="1:11" x14ac:dyDescent="0.3">
      <c r="A1580" s="36" t="s">
        <v>97</v>
      </c>
      <c r="B1580" s="36">
        <v>2022</v>
      </c>
      <c r="C1580" s="36" t="s">
        <v>5</v>
      </c>
      <c r="D1580" s="36" t="s">
        <v>91</v>
      </c>
      <c r="E1580" s="36" t="s">
        <v>92</v>
      </c>
      <c r="F1580" s="36" t="s">
        <v>93</v>
      </c>
      <c r="G1580" s="36" t="s">
        <v>102</v>
      </c>
      <c r="H1580" s="36" t="s">
        <v>95</v>
      </c>
      <c r="I1580" s="36" t="s">
        <v>96</v>
      </c>
      <c r="J1580" s="36">
        <v>170</v>
      </c>
      <c r="K1580" s="36">
        <v>243.1</v>
      </c>
    </row>
    <row r="1581" spans="1:11" x14ac:dyDescent="0.3">
      <c r="A1581" s="36" t="s">
        <v>97</v>
      </c>
      <c r="B1581" s="36">
        <v>2022</v>
      </c>
      <c r="C1581" s="36" t="s">
        <v>5</v>
      </c>
      <c r="D1581" s="36" t="s">
        <v>91</v>
      </c>
      <c r="E1581" s="36" t="s">
        <v>92</v>
      </c>
      <c r="F1581" s="36" t="s">
        <v>93</v>
      </c>
      <c r="G1581" s="36" t="s">
        <v>102</v>
      </c>
      <c r="H1581" s="36" t="s">
        <v>95</v>
      </c>
      <c r="I1581" s="36" t="s">
        <v>98</v>
      </c>
      <c r="J1581" s="36">
        <v>180</v>
      </c>
      <c r="K1581" s="36">
        <v>257.39999999999998</v>
      </c>
    </row>
    <row r="1582" spans="1:11" x14ac:dyDescent="0.3">
      <c r="A1582" s="36" t="s">
        <v>90</v>
      </c>
      <c r="B1582" s="36">
        <v>2022</v>
      </c>
      <c r="C1582" s="36" t="s">
        <v>5</v>
      </c>
      <c r="D1582" s="36" t="s">
        <v>91</v>
      </c>
      <c r="E1582" s="36" t="s">
        <v>92</v>
      </c>
      <c r="F1582" s="36" t="s">
        <v>93</v>
      </c>
      <c r="G1582" s="36" t="s">
        <v>102</v>
      </c>
      <c r="H1582" s="36" t="s">
        <v>95</v>
      </c>
      <c r="I1582" s="36" t="s">
        <v>98</v>
      </c>
      <c r="J1582" s="36">
        <v>174</v>
      </c>
      <c r="K1582" s="36">
        <v>248.82</v>
      </c>
    </row>
    <row r="1583" spans="1:11" x14ac:dyDescent="0.3">
      <c r="A1583" s="36" t="s">
        <v>90</v>
      </c>
      <c r="B1583" s="36">
        <v>2022</v>
      </c>
      <c r="C1583" s="36" t="s">
        <v>5</v>
      </c>
      <c r="D1583" s="36" t="s">
        <v>91</v>
      </c>
      <c r="E1583" s="36" t="s">
        <v>92</v>
      </c>
      <c r="F1583" s="36" t="s">
        <v>93</v>
      </c>
      <c r="G1583" s="36" t="s">
        <v>102</v>
      </c>
      <c r="H1583" s="36" t="s">
        <v>95</v>
      </c>
      <c r="I1583" s="36" t="s">
        <v>98</v>
      </c>
      <c r="J1583" s="36">
        <v>183</v>
      </c>
      <c r="K1583" s="36">
        <v>261.69</v>
      </c>
    </row>
    <row r="1584" spans="1:11" x14ac:dyDescent="0.3">
      <c r="A1584" s="36" t="s">
        <v>97</v>
      </c>
      <c r="B1584" s="36">
        <v>2022</v>
      </c>
      <c r="C1584" s="36" t="s">
        <v>5</v>
      </c>
      <c r="D1584" s="36" t="s">
        <v>91</v>
      </c>
      <c r="E1584" s="36" t="s">
        <v>92</v>
      </c>
      <c r="F1584" s="36" t="s">
        <v>93</v>
      </c>
      <c r="G1584" s="36" t="s">
        <v>102</v>
      </c>
      <c r="H1584" s="36" t="s">
        <v>95</v>
      </c>
      <c r="I1584" s="36" t="s">
        <v>98</v>
      </c>
      <c r="J1584" s="36">
        <v>177</v>
      </c>
      <c r="K1584" s="36">
        <v>253.11</v>
      </c>
    </row>
    <row r="1585" spans="1:11" x14ac:dyDescent="0.3">
      <c r="A1585" s="36" t="s">
        <v>97</v>
      </c>
      <c r="B1585" s="36">
        <v>2022</v>
      </c>
      <c r="C1585" s="36" t="s">
        <v>5</v>
      </c>
      <c r="D1585" s="36" t="s">
        <v>91</v>
      </c>
      <c r="E1585" s="36" t="s">
        <v>92</v>
      </c>
      <c r="F1585" s="36" t="s">
        <v>93</v>
      </c>
      <c r="G1585" s="36" t="s">
        <v>102</v>
      </c>
      <c r="H1585" s="36" t="s">
        <v>95</v>
      </c>
      <c r="I1585" s="36" t="s">
        <v>98</v>
      </c>
      <c r="J1585" s="36">
        <v>171</v>
      </c>
      <c r="K1585" s="36">
        <v>244.53</v>
      </c>
    </row>
    <row r="1586" spans="1:11" x14ac:dyDescent="0.3">
      <c r="A1586" s="36" t="s">
        <v>100</v>
      </c>
      <c r="B1586" s="36">
        <v>2022</v>
      </c>
      <c r="C1586" s="36" t="s">
        <v>5</v>
      </c>
      <c r="D1586" s="36" t="s">
        <v>91</v>
      </c>
      <c r="E1586" s="36" t="s">
        <v>92</v>
      </c>
      <c r="F1586" s="36" t="s">
        <v>93</v>
      </c>
      <c r="G1586" s="36" t="s">
        <v>102</v>
      </c>
      <c r="H1586" s="36" t="s">
        <v>95</v>
      </c>
      <c r="I1586" s="36" t="s">
        <v>96</v>
      </c>
      <c r="J1586" s="36">
        <v>179</v>
      </c>
      <c r="K1586" s="36">
        <v>255.97</v>
      </c>
    </row>
    <row r="1587" spans="1:11" x14ac:dyDescent="0.3">
      <c r="A1587" s="36" t="s">
        <v>90</v>
      </c>
      <c r="B1587" s="36">
        <v>2022</v>
      </c>
      <c r="C1587" s="36" t="s">
        <v>5</v>
      </c>
      <c r="D1587" s="36" t="s">
        <v>91</v>
      </c>
      <c r="E1587" s="36" t="s">
        <v>92</v>
      </c>
      <c r="F1587" s="36" t="s">
        <v>93</v>
      </c>
      <c r="G1587" s="36" t="s">
        <v>102</v>
      </c>
      <c r="H1587" s="36" t="s">
        <v>95</v>
      </c>
      <c r="I1587" s="36" t="s">
        <v>96</v>
      </c>
      <c r="J1587" s="36">
        <v>173</v>
      </c>
      <c r="K1587" s="36">
        <v>247.39</v>
      </c>
    </row>
    <row r="1588" spans="1:11" x14ac:dyDescent="0.3">
      <c r="A1588" s="36" t="s">
        <v>90</v>
      </c>
      <c r="B1588" s="36">
        <v>2022</v>
      </c>
      <c r="C1588" s="36" t="s">
        <v>2</v>
      </c>
      <c r="D1588" s="36" t="s">
        <v>91</v>
      </c>
      <c r="E1588" s="36" t="s">
        <v>92</v>
      </c>
      <c r="F1588" s="36" t="s">
        <v>93</v>
      </c>
      <c r="G1588" s="36" t="s">
        <v>102</v>
      </c>
      <c r="H1588" s="36" t="s">
        <v>95</v>
      </c>
      <c r="I1588" s="36" t="s">
        <v>96</v>
      </c>
      <c r="J1588" s="36">
        <v>230</v>
      </c>
      <c r="K1588" s="36">
        <v>328.9</v>
      </c>
    </row>
    <row r="1589" spans="1:11" x14ac:dyDescent="0.3">
      <c r="A1589" s="36" t="s">
        <v>97</v>
      </c>
      <c r="B1589" s="36">
        <v>2022</v>
      </c>
      <c r="C1589" s="36" t="s">
        <v>2</v>
      </c>
      <c r="D1589" s="36" t="s">
        <v>91</v>
      </c>
      <c r="E1589" s="36" t="s">
        <v>92</v>
      </c>
      <c r="F1589" s="36" t="s">
        <v>93</v>
      </c>
      <c r="G1589" s="36" t="s">
        <v>102</v>
      </c>
      <c r="H1589" s="36" t="s">
        <v>95</v>
      </c>
      <c r="I1589" s="36" t="s">
        <v>96</v>
      </c>
      <c r="J1589" s="36">
        <v>224</v>
      </c>
      <c r="K1589" s="36">
        <v>320.32</v>
      </c>
    </row>
    <row r="1590" spans="1:11" x14ac:dyDescent="0.3">
      <c r="A1590" s="36" t="s">
        <v>100</v>
      </c>
      <c r="B1590" s="36">
        <v>2022</v>
      </c>
      <c r="C1590" s="36" t="s">
        <v>2</v>
      </c>
      <c r="D1590" s="36" t="s">
        <v>91</v>
      </c>
      <c r="E1590" s="36" t="s">
        <v>92</v>
      </c>
      <c r="F1590" s="36" t="s">
        <v>93</v>
      </c>
      <c r="G1590" s="36" t="s">
        <v>102</v>
      </c>
      <c r="H1590" s="36" t="s">
        <v>95</v>
      </c>
      <c r="I1590" s="36" t="s">
        <v>96</v>
      </c>
      <c r="J1590" s="36">
        <v>218</v>
      </c>
      <c r="K1590" s="36">
        <v>311.74</v>
      </c>
    </row>
    <row r="1591" spans="1:11" x14ac:dyDescent="0.3">
      <c r="A1591" s="36" t="s">
        <v>97</v>
      </c>
      <c r="B1591" s="36">
        <v>2022</v>
      </c>
      <c r="C1591" s="36" t="s">
        <v>2</v>
      </c>
      <c r="D1591" s="36" t="s">
        <v>91</v>
      </c>
      <c r="E1591" s="36" t="s">
        <v>92</v>
      </c>
      <c r="F1591" s="36" t="s">
        <v>93</v>
      </c>
      <c r="G1591" s="36" t="s">
        <v>102</v>
      </c>
      <c r="H1591" s="36" t="s">
        <v>95</v>
      </c>
      <c r="I1591" s="36" t="s">
        <v>98</v>
      </c>
      <c r="J1591" s="36">
        <v>228</v>
      </c>
      <c r="K1591" s="36">
        <v>326.03999999999996</v>
      </c>
    </row>
    <row r="1592" spans="1:11" x14ac:dyDescent="0.3">
      <c r="A1592" s="36" t="s">
        <v>97</v>
      </c>
      <c r="B1592" s="36">
        <v>2022</v>
      </c>
      <c r="C1592" s="36" t="s">
        <v>2</v>
      </c>
      <c r="D1592" s="36" t="s">
        <v>91</v>
      </c>
      <c r="E1592" s="36" t="s">
        <v>92</v>
      </c>
      <c r="F1592" s="36" t="s">
        <v>93</v>
      </c>
      <c r="G1592" s="36" t="s">
        <v>102</v>
      </c>
      <c r="H1592" s="36" t="s">
        <v>95</v>
      </c>
      <c r="I1592" s="36" t="s">
        <v>98</v>
      </c>
      <c r="J1592" s="36">
        <v>222</v>
      </c>
      <c r="K1592" s="36">
        <v>317.45999999999998</v>
      </c>
    </row>
    <row r="1593" spans="1:11" x14ac:dyDescent="0.3">
      <c r="A1593" s="36" t="s">
        <v>100</v>
      </c>
      <c r="B1593" s="36">
        <v>2022</v>
      </c>
      <c r="C1593" s="36" t="s">
        <v>2</v>
      </c>
      <c r="D1593" s="36" t="s">
        <v>91</v>
      </c>
      <c r="E1593" s="36" t="s">
        <v>92</v>
      </c>
      <c r="F1593" s="36" t="s">
        <v>93</v>
      </c>
      <c r="G1593" s="36" t="s">
        <v>102</v>
      </c>
      <c r="H1593" s="36" t="s">
        <v>95</v>
      </c>
      <c r="I1593" s="36" t="s">
        <v>98</v>
      </c>
      <c r="J1593" s="36">
        <v>231</v>
      </c>
      <c r="K1593" s="36">
        <v>330.33</v>
      </c>
    </row>
    <row r="1594" spans="1:11" x14ac:dyDescent="0.3">
      <c r="A1594" s="36" t="s">
        <v>99</v>
      </c>
      <c r="B1594" s="36">
        <v>2022</v>
      </c>
      <c r="C1594" s="36" t="s">
        <v>2</v>
      </c>
      <c r="D1594" s="36" t="s">
        <v>91</v>
      </c>
      <c r="E1594" s="36" t="s">
        <v>92</v>
      </c>
      <c r="F1594" s="36" t="s">
        <v>93</v>
      </c>
      <c r="G1594" s="36" t="s">
        <v>102</v>
      </c>
      <c r="H1594" s="36" t="s">
        <v>95</v>
      </c>
      <c r="I1594" s="36" t="s">
        <v>98</v>
      </c>
      <c r="J1594" s="36">
        <v>225</v>
      </c>
      <c r="K1594" s="36">
        <v>321.75</v>
      </c>
    </row>
    <row r="1595" spans="1:11" x14ac:dyDescent="0.3">
      <c r="A1595" s="36" t="s">
        <v>101</v>
      </c>
      <c r="B1595" s="36">
        <v>2022</v>
      </c>
      <c r="C1595" s="36" t="s">
        <v>2</v>
      </c>
      <c r="D1595" s="36" t="s">
        <v>91</v>
      </c>
      <c r="E1595" s="36" t="s">
        <v>92</v>
      </c>
      <c r="F1595" s="36" t="s">
        <v>93</v>
      </c>
      <c r="G1595" s="36" t="s">
        <v>102</v>
      </c>
      <c r="H1595" s="36" t="s">
        <v>95</v>
      </c>
      <c r="I1595" s="36" t="s">
        <v>98</v>
      </c>
      <c r="J1595" s="36">
        <v>219</v>
      </c>
      <c r="K1595" s="36">
        <v>526.24</v>
      </c>
    </row>
    <row r="1596" spans="1:11" x14ac:dyDescent="0.3">
      <c r="A1596" s="36" t="s">
        <v>90</v>
      </c>
      <c r="B1596" s="36">
        <v>2022</v>
      </c>
      <c r="C1596" s="36" t="s">
        <v>2</v>
      </c>
      <c r="D1596" s="36" t="s">
        <v>91</v>
      </c>
      <c r="E1596" s="36" t="s">
        <v>92</v>
      </c>
      <c r="F1596" s="36" t="s">
        <v>93</v>
      </c>
      <c r="G1596" s="36" t="s">
        <v>102</v>
      </c>
      <c r="H1596" s="36" t="s">
        <v>95</v>
      </c>
      <c r="I1596" s="36" t="s">
        <v>96</v>
      </c>
      <c r="J1596" s="36">
        <v>227</v>
      </c>
      <c r="K1596" s="36">
        <v>324.61</v>
      </c>
    </row>
    <row r="1597" spans="1:11" x14ac:dyDescent="0.3">
      <c r="A1597" s="36" t="s">
        <v>90</v>
      </c>
      <c r="B1597" s="36">
        <v>2022</v>
      </c>
      <c r="C1597" s="36" t="s">
        <v>2</v>
      </c>
      <c r="D1597" s="36" t="s">
        <v>91</v>
      </c>
      <c r="E1597" s="36" t="s">
        <v>92</v>
      </c>
      <c r="F1597" s="36" t="s">
        <v>93</v>
      </c>
      <c r="G1597" s="36" t="s">
        <v>102</v>
      </c>
      <c r="H1597" s="36" t="s">
        <v>95</v>
      </c>
      <c r="I1597" s="36" t="s">
        <v>96</v>
      </c>
      <c r="J1597" s="36">
        <v>221</v>
      </c>
      <c r="K1597" s="36">
        <v>316.02999999999997</v>
      </c>
    </row>
    <row r="1598" spans="1:11" x14ac:dyDescent="0.3">
      <c r="A1598" s="36" t="s">
        <v>90</v>
      </c>
      <c r="B1598" s="36">
        <v>2022</v>
      </c>
      <c r="C1598" s="36" t="s">
        <v>4</v>
      </c>
      <c r="D1598" s="36" t="s">
        <v>91</v>
      </c>
      <c r="E1598" s="36" t="s">
        <v>92</v>
      </c>
      <c r="F1598" s="36" t="s">
        <v>93</v>
      </c>
      <c r="G1598" s="36" t="s">
        <v>102</v>
      </c>
      <c r="H1598" s="36" t="s">
        <v>95</v>
      </c>
      <c r="I1598" s="36" t="s">
        <v>96</v>
      </c>
      <c r="J1598" s="36">
        <v>200</v>
      </c>
      <c r="K1598" s="36">
        <v>286</v>
      </c>
    </row>
    <row r="1599" spans="1:11" x14ac:dyDescent="0.3">
      <c r="A1599" s="36" t="s">
        <v>97</v>
      </c>
      <c r="B1599" s="36">
        <v>2022</v>
      </c>
      <c r="C1599" s="36" t="s">
        <v>4</v>
      </c>
      <c r="D1599" s="36" t="s">
        <v>91</v>
      </c>
      <c r="E1599" s="36" t="s">
        <v>92</v>
      </c>
      <c r="F1599" s="36" t="s">
        <v>93</v>
      </c>
      <c r="G1599" s="36" t="s">
        <v>102</v>
      </c>
      <c r="H1599" s="36" t="s">
        <v>95</v>
      </c>
      <c r="I1599" s="36" t="s">
        <v>96</v>
      </c>
      <c r="J1599" s="36">
        <v>194</v>
      </c>
      <c r="K1599" s="36">
        <v>277.42</v>
      </c>
    </row>
    <row r="1600" spans="1:11" x14ac:dyDescent="0.3">
      <c r="A1600" s="36" t="s">
        <v>97</v>
      </c>
      <c r="B1600" s="36">
        <v>2022</v>
      </c>
      <c r="C1600" s="36" t="s">
        <v>4</v>
      </c>
      <c r="D1600" s="36" t="s">
        <v>91</v>
      </c>
      <c r="E1600" s="36" t="s">
        <v>92</v>
      </c>
      <c r="F1600" s="36" t="s">
        <v>93</v>
      </c>
      <c r="G1600" s="36" t="s">
        <v>102</v>
      </c>
      <c r="H1600" s="36" t="s">
        <v>95</v>
      </c>
      <c r="I1600" s="36" t="s">
        <v>96</v>
      </c>
      <c r="J1600" s="36">
        <v>188</v>
      </c>
      <c r="K1600" s="36">
        <v>268.84000000000003</v>
      </c>
    </row>
    <row r="1601" spans="1:11" x14ac:dyDescent="0.3">
      <c r="A1601" s="36" t="s">
        <v>97</v>
      </c>
      <c r="B1601" s="36">
        <v>2022</v>
      </c>
      <c r="C1601" s="36" t="s">
        <v>4</v>
      </c>
      <c r="D1601" s="36" t="s">
        <v>91</v>
      </c>
      <c r="E1601" s="36" t="s">
        <v>92</v>
      </c>
      <c r="F1601" s="36" t="s">
        <v>93</v>
      </c>
      <c r="G1601" s="36" t="s">
        <v>102</v>
      </c>
      <c r="H1601" s="36" t="s">
        <v>95</v>
      </c>
      <c r="I1601" s="36" t="s">
        <v>98</v>
      </c>
      <c r="J1601" s="36">
        <v>198</v>
      </c>
      <c r="K1601" s="36">
        <v>283.14</v>
      </c>
    </row>
    <row r="1602" spans="1:11" x14ac:dyDescent="0.3">
      <c r="A1602" s="36" t="s">
        <v>97</v>
      </c>
      <c r="B1602" s="36">
        <v>2022</v>
      </c>
      <c r="C1602" s="36" t="s">
        <v>4</v>
      </c>
      <c r="D1602" s="36" t="s">
        <v>91</v>
      </c>
      <c r="E1602" s="36" t="s">
        <v>92</v>
      </c>
      <c r="F1602" s="36" t="s">
        <v>93</v>
      </c>
      <c r="G1602" s="36" t="s">
        <v>102</v>
      </c>
      <c r="H1602" s="36" t="s">
        <v>95</v>
      </c>
      <c r="I1602" s="36" t="s">
        <v>98</v>
      </c>
      <c r="J1602" s="36">
        <v>192</v>
      </c>
      <c r="K1602" s="36">
        <v>274.56</v>
      </c>
    </row>
    <row r="1603" spans="1:11" x14ac:dyDescent="0.3">
      <c r="A1603" s="36" t="s">
        <v>97</v>
      </c>
      <c r="B1603" s="36">
        <v>2022</v>
      </c>
      <c r="C1603" s="36" t="s">
        <v>4</v>
      </c>
      <c r="D1603" s="36" t="s">
        <v>91</v>
      </c>
      <c r="E1603" s="36" t="s">
        <v>92</v>
      </c>
      <c r="F1603" s="36" t="s">
        <v>93</v>
      </c>
      <c r="G1603" s="36" t="s">
        <v>102</v>
      </c>
      <c r="H1603" s="36" t="s">
        <v>95</v>
      </c>
      <c r="I1603" s="36" t="s">
        <v>98</v>
      </c>
      <c r="J1603" s="36">
        <v>186</v>
      </c>
      <c r="K1603" s="36">
        <v>265.98</v>
      </c>
    </row>
    <row r="1604" spans="1:11" x14ac:dyDescent="0.3">
      <c r="A1604" s="36" t="s">
        <v>90</v>
      </c>
      <c r="B1604" s="36">
        <v>2022</v>
      </c>
      <c r="C1604" s="36" t="s">
        <v>4</v>
      </c>
      <c r="D1604" s="36" t="s">
        <v>91</v>
      </c>
      <c r="E1604" s="36" t="s">
        <v>92</v>
      </c>
      <c r="F1604" s="36" t="s">
        <v>93</v>
      </c>
      <c r="G1604" s="36" t="s">
        <v>102</v>
      </c>
      <c r="H1604" s="36" t="s">
        <v>95</v>
      </c>
      <c r="I1604" s="36" t="s">
        <v>98</v>
      </c>
      <c r="J1604" s="36">
        <v>195</v>
      </c>
      <c r="K1604" s="36">
        <v>278.85000000000002</v>
      </c>
    </row>
    <row r="1605" spans="1:11" x14ac:dyDescent="0.3">
      <c r="A1605" s="36" t="s">
        <v>99</v>
      </c>
      <c r="B1605" s="36">
        <v>2022</v>
      </c>
      <c r="C1605" s="36" t="s">
        <v>4</v>
      </c>
      <c r="D1605" s="36" t="s">
        <v>91</v>
      </c>
      <c r="E1605" s="36" t="s">
        <v>92</v>
      </c>
      <c r="F1605" s="36" t="s">
        <v>93</v>
      </c>
      <c r="G1605" s="36" t="s">
        <v>102</v>
      </c>
      <c r="H1605" s="36" t="s">
        <v>95</v>
      </c>
      <c r="I1605" s="36" t="s">
        <v>98</v>
      </c>
      <c r="J1605" s="36">
        <v>189</v>
      </c>
      <c r="K1605" s="36">
        <v>270.27</v>
      </c>
    </row>
    <row r="1606" spans="1:11" x14ac:dyDescent="0.3">
      <c r="A1606" s="36" t="s">
        <v>99</v>
      </c>
      <c r="B1606" s="36">
        <v>2022</v>
      </c>
      <c r="C1606" s="36" t="s">
        <v>4</v>
      </c>
      <c r="D1606" s="36" t="s">
        <v>91</v>
      </c>
      <c r="E1606" s="36" t="s">
        <v>92</v>
      </c>
      <c r="F1606" s="36" t="s">
        <v>93</v>
      </c>
      <c r="G1606" s="36" t="s">
        <v>102</v>
      </c>
      <c r="H1606" s="36" t="s">
        <v>95</v>
      </c>
      <c r="I1606" s="36" t="s">
        <v>96</v>
      </c>
      <c r="J1606" s="36">
        <v>197</v>
      </c>
      <c r="K1606" s="36">
        <v>281.70999999999998</v>
      </c>
    </row>
    <row r="1607" spans="1:11" x14ac:dyDescent="0.3">
      <c r="A1607" s="36" t="s">
        <v>99</v>
      </c>
      <c r="B1607" s="36">
        <v>2022</v>
      </c>
      <c r="C1607" s="36" t="s">
        <v>4</v>
      </c>
      <c r="D1607" s="36" t="s">
        <v>91</v>
      </c>
      <c r="E1607" s="36" t="s">
        <v>92</v>
      </c>
      <c r="F1607" s="36" t="s">
        <v>93</v>
      </c>
      <c r="G1607" s="36" t="s">
        <v>102</v>
      </c>
      <c r="H1607" s="36" t="s">
        <v>95</v>
      </c>
      <c r="I1607" s="36" t="s">
        <v>96</v>
      </c>
      <c r="J1607" s="36">
        <v>191</v>
      </c>
      <c r="K1607" s="36">
        <v>273.13</v>
      </c>
    </row>
    <row r="1608" spans="1:11" x14ac:dyDescent="0.3">
      <c r="A1608" s="36" t="s">
        <v>99</v>
      </c>
      <c r="B1608" s="36">
        <v>2022</v>
      </c>
      <c r="C1608" s="36" t="s">
        <v>4</v>
      </c>
      <c r="D1608" s="36" t="s">
        <v>91</v>
      </c>
      <c r="E1608" s="36" t="s">
        <v>92</v>
      </c>
      <c r="F1608" s="36" t="s">
        <v>93</v>
      </c>
      <c r="G1608" s="36" t="s">
        <v>102</v>
      </c>
      <c r="H1608" s="36" t="s">
        <v>95</v>
      </c>
      <c r="I1608" s="36" t="s">
        <v>96</v>
      </c>
      <c r="J1608" s="36">
        <v>185</v>
      </c>
      <c r="K1608" s="36">
        <v>264.55</v>
      </c>
    </row>
    <row r="1609" spans="1:11" x14ac:dyDescent="0.3">
      <c r="A1609" s="36" t="s">
        <v>90</v>
      </c>
      <c r="B1609" s="36">
        <v>2022</v>
      </c>
      <c r="C1609" s="36" t="s">
        <v>8</v>
      </c>
      <c r="D1609" s="36" t="s">
        <v>91</v>
      </c>
      <c r="E1609" s="36" t="s">
        <v>92</v>
      </c>
      <c r="F1609" s="36" t="s">
        <v>93</v>
      </c>
      <c r="G1609" s="36" t="s">
        <v>102</v>
      </c>
      <c r="H1609" s="36" t="s">
        <v>95</v>
      </c>
      <c r="I1609" s="36" t="s">
        <v>98</v>
      </c>
      <c r="J1609" s="36">
        <v>154</v>
      </c>
      <c r="K1609" s="36">
        <v>220.22</v>
      </c>
    </row>
    <row r="1610" spans="1:11" x14ac:dyDescent="0.3">
      <c r="A1610" s="36" t="s">
        <v>97</v>
      </c>
      <c r="B1610" s="36">
        <v>2022</v>
      </c>
      <c r="C1610" s="36" t="s">
        <v>8</v>
      </c>
      <c r="D1610" s="36" t="s">
        <v>91</v>
      </c>
      <c r="E1610" s="36" t="s">
        <v>92</v>
      </c>
      <c r="F1610" s="36" t="s">
        <v>93</v>
      </c>
      <c r="G1610" s="36" t="s">
        <v>102</v>
      </c>
      <c r="H1610" s="36" t="s">
        <v>95</v>
      </c>
      <c r="I1610" s="36" t="s">
        <v>98</v>
      </c>
      <c r="J1610" s="36">
        <v>156</v>
      </c>
      <c r="K1610" s="36">
        <v>223.07999999999998</v>
      </c>
    </row>
    <row r="1611" spans="1:11" x14ac:dyDescent="0.3">
      <c r="A1611" s="36" t="s">
        <v>97</v>
      </c>
      <c r="B1611" s="36">
        <v>2022</v>
      </c>
      <c r="C1611" s="36" t="s">
        <v>8</v>
      </c>
      <c r="D1611" s="36" t="s">
        <v>91</v>
      </c>
      <c r="E1611" s="36" t="s">
        <v>92</v>
      </c>
      <c r="F1611" s="36" t="s">
        <v>93</v>
      </c>
      <c r="G1611" s="36" t="s">
        <v>102</v>
      </c>
      <c r="H1611" s="36" t="s">
        <v>95</v>
      </c>
      <c r="I1611" s="36" t="s">
        <v>98</v>
      </c>
      <c r="J1611" s="36">
        <v>153</v>
      </c>
      <c r="K1611" s="36">
        <v>218.79</v>
      </c>
    </row>
    <row r="1612" spans="1:11" x14ac:dyDescent="0.3">
      <c r="A1612" s="36" t="s">
        <v>90</v>
      </c>
      <c r="B1612" s="36">
        <v>2022</v>
      </c>
      <c r="C1612" s="36" t="s">
        <v>8</v>
      </c>
      <c r="D1612" s="36" t="s">
        <v>91</v>
      </c>
      <c r="E1612" s="36" t="s">
        <v>92</v>
      </c>
      <c r="F1612" s="36" t="s">
        <v>93</v>
      </c>
      <c r="G1612" s="36" t="s">
        <v>102</v>
      </c>
      <c r="H1612" s="36" t="s">
        <v>95</v>
      </c>
      <c r="I1612" s="36" t="s">
        <v>98</v>
      </c>
      <c r="J1612" s="36">
        <v>157</v>
      </c>
      <c r="K1612" s="36">
        <v>224.51</v>
      </c>
    </row>
    <row r="1613" spans="1:11" x14ac:dyDescent="0.3">
      <c r="A1613" s="36" t="s">
        <v>100</v>
      </c>
      <c r="B1613" s="36">
        <v>2022</v>
      </c>
      <c r="C1613" s="36" t="s">
        <v>8</v>
      </c>
      <c r="D1613" s="36" t="s">
        <v>91</v>
      </c>
      <c r="E1613" s="36" t="s">
        <v>92</v>
      </c>
      <c r="F1613" s="36" t="s">
        <v>93</v>
      </c>
      <c r="G1613" s="36" t="s">
        <v>102</v>
      </c>
      <c r="H1613" s="36" t="s">
        <v>95</v>
      </c>
      <c r="I1613" s="36" t="s">
        <v>98</v>
      </c>
      <c r="J1613" s="36">
        <v>155</v>
      </c>
      <c r="K1613" s="36">
        <v>221.65</v>
      </c>
    </row>
    <row r="1614" spans="1:11" x14ac:dyDescent="0.3">
      <c r="A1614" s="36" t="s">
        <v>90</v>
      </c>
      <c r="B1614" s="36">
        <v>2022</v>
      </c>
      <c r="C1614" s="36" t="s">
        <v>8</v>
      </c>
      <c r="D1614" s="36" t="s">
        <v>91</v>
      </c>
      <c r="E1614" s="36" t="s">
        <v>92</v>
      </c>
      <c r="F1614" s="36" t="s">
        <v>93</v>
      </c>
      <c r="G1614" s="36" t="s">
        <v>102</v>
      </c>
      <c r="H1614" s="36" t="s">
        <v>95</v>
      </c>
      <c r="I1614" s="36" t="s">
        <v>96</v>
      </c>
      <c r="J1614" s="36">
        <v>341</v>
      </c>
      <c r="K1614" s="36">
        <v>487.63</v>
      </c>
    </row>
    <row r="1615" spans="1:11" x14ac:dyDescent="0.3">
      <c r="A1615" s="36" t="s">
        <v>90</v>
      </c>
      <c r="B1615" s="36">
        <v>2022</v>
      </c>
      <c r="C1615" s="36" t="s">
        <v>7</v>
      </c>
      <c r="D1615" s="36" t="s">
        <v>103</v>
      </c>
      <c r="E1615" s="36" t="s">
        <v>92</v>
      </c>
      <c r="F1615" s="36" t="s">
        <v>93</v>
      </c>
      <c r="G1615" s="36" t="s">
        <v>102</v>
      </c>
      <c r="H1615" s="36" t="s">
        <v>95</v>
      </c>
      <c r="I1615" s="36" t="s">
        <v>96</v>
      </c>
      <c r="J1615" s="36">
        <v>254</v>
      </c>
      <c r="K1615" s="36">
        <v>363.22</v>
      </c>
    </row>
    <row r="1616" spans="1:11" x14ac:dyDescent="0.3">
      <c r="A1616" s="36" t="s">
        <v>97</v>
      </c>
      <c r="B1616" s="36">
        <v>2022</v>
      </c>
      <c r="C1616" s="36" t="s">
        <v>7</v>
      </c>
      <c r="D1616" s="36" t="s">
        <v>103</v>
      </c>
      <c r="E1616" s="36" t="s">
        <v>92</v>
      </c>
      <c r="F1616" s="36" t="s">
        <v>93</v>
      </c>
      <c r="G1616" s="36" t="s">
        <v>102</v>
      </c>
      <c r="H1616" s="36" t="s">
        <v>95</v>
      </c>
      <c r="I1616" s="36" t="s">
        <v>96</v>
      </c>
      <c r="J1616" s="36">
        <v>256</v>
      </c>
      <c r="K1616" s="36">
        <v>366.08</v>
      </c>
    </row>
    <row r="1617" spans="1:11" x14ac:dyDescent="0.3">
      <c r="A1617" s="36" t="s">
        <v>97</v>
      </c>
      <c r="B1617" s="36">
        <v>2022</v>
      </c>
      <c r="C1617" s="36" t="s">
        <v>7</v>
      </c>
      <c r="D1617" s="36" t="s">
        <v>103</v>
      </c>
      <c r="E1617" s="36" t="s">
        <v>92</v>
      </c>
      <c r="F1617" s="36" t="s">
        <v>93</v>
      </c>
      <c r="G1617" s="36" t="s">
        <v>102</v>
      </c>
      <c r="H1617" s="36" t="s">
        <v>95</v>
      </c>
      <c r="I1617" s="36" t="s">
        <v>96</v>
      </c>
      <c r="J1617" s="36">
        <v>961</v>
      </c>
      <c r="K1617" s="36">
        <v>1374.23</v>
      </c>
    </row>
    <row r="1618" spans="1:11" x14ac:dyDescent="0.3">
      <c r="A1618" s="36" t="s">
        <v>97</v>
      </c>
      <c r="B1618" s="36">
        <v>2022</v>
      </c>
      <c r="C1618" s="36" t="s">
        <v>7</v>
      </c>
      <c r="D1618" s="36" t="s">
        <v>103</v>
      </c>
      <c r="E1618" s="36" t="s">
        <v>92</v>
      </c>
      <c r="F1618" s="36" t="s">
        <v>93</v>
      </c>
      <c r="G1618" s="36" t="s">
        <v>102</v>
      </c>
      <c r="H1618" s="36" t="s">
        <v>95</v>
      </c>
      <c r="I1618" s="36" t="s">
        <v>96</v>
      </c>
      <c r="J1618" s="36">
        <v>255</v>
      </c>
      <c r="K1618" s="36">
        <v>364.65</v>
      </c>
    </row>
    <row r="1619" spans="1:11" x14ac:dyDescent="0.3">
      <c r="A1619" s="36" t="s">
        <v>99</v>
      </c>
      <c r="B1619" s="36">
        <v>2022</v>
      </c>
      <c r="C1619" s="36" t="s">
        <v>7</v>
      </c>
      <c r="D1619" s="36" t="s">
        <v>103</v>
      </c>
      <c r="E1619" s="36" t="s">
        <v>92</v>
      </c>
      <c r="F1619" s="36" t="s">
        <v>93</v>
      </c>
      <c r="G1619" s="36" t="s">
        <v>102</v>
      </c>
      <c r="H1619" s="36" t="s">
        <v>95</v>
      </c>
      <c r="I1619" s="36" t="s">
        <v>96</v>
      </c>
      <c r="J1619" s="36">
        <v>253</v>
      </c>
      <c r="K1619" s="36">
        <v>361.78999999999996</v>
      </c>
    </row>
    <row r="1620" spans="1:11" x14ac:dyDescent="0.3">
      <c r="A1620" s="36" t="s">
        <v>99</v>
      </c>
      <c r="B1620" s="36">
        <v>2022</v>
      </c>
      <c r="C1620" s="36" t="s">
        <v>7</v>
      </c>
      <c r="D1620" s="36" t="s">
        <v>103</v>
      </c>
      <c r="E1620" s="36" t="s">
        <v>92</v>
      </c>
      <c r="F1620" s="36" t="s">
        <v>93</v>
      </c>
      <c r="G1620" s="36" t="s">
        <v>102</v>
      </c>
      <c r="H1620" s="36" t="s">
        <v>95</v>
      </c>
      <c r="I1620" s="36" t="s">
        <v>96</v>
      </c>
      <c r="J1620" s="36">
        <v>251</v>
      </c>
      <c r="K1620" s="36">
        <v>358.93</v>
      </c>
    </row>
    <row r="1621" spans="1:11" x14ac:dyDescent="0.3">
      <c r="A1621" s="36" t="s">
        <v>97</v>
      </c>
      <c r="B1621" s="36">
        <v>2022</v>
      </c>
      <c r="C1621" s="36" t="s">
        <v>6</v>
      </c>
      <c r="D1621" s="36" t="s">
        <v>103</v>
      </c>
      <c r="E1621" s="36" t="s">
        <v>92</v>
      </c>
      <c r="F1621" s="36" t="s">
        <v>93</v>
      </c>
      <c r="G1621" s="36" t="s">
        <v>102</v>
      </c>
      <c r="H1621" s="36" t="s">
        <v>95</v>
      </c>
      <c r="I1621" s="36" t="s">
        <v>96</v>
      </c>
      <c r="J1621" s="36">
        <v>260</v>
      </c>
      <c r="K1621" s="36">
        <v>371.8</v>
      </c>
    </row>
    <row r="1622" spans="1:11" x14ac:dyDescent="0.3">
      <c r="A1622" s="36" t="s">
        <v>97</v>
      </c>
      <c r="B1622" s="36">
        <v>2022</v>
      </c>
      <c r="C1622" s="36" t="s">
        <v>6</v>
      </c>
      <c r="D1622" s="36" t="s">
        <v>103</v>
      </c>
      <c r="E1622" s="36" t="s">
        <v>92</v>
      </c>
      <c r="F1622" s="36" t="s">
        <v>93</v>
      </c>
      <c r="G1622" s="36" t="s">
        <v>102</v>
      </c>
      <c r="H1622" s="36" t="s">
        <v>95</v>
      </c>
      <c r="I1622" s="36" t="s">
        <v>96</v>
      </c>
      <c r="J1622" s="36">
        <v>960</v>
      </c>
      <c r="K1622" s="36">
        <v>1372.8</v>
      </c>
    </row>
    <row r="1623" spans="1:11" x14ac:dyDescent="0.3">
      <c r="A1623" s="36" t="s">
        <v>100</v>
      </c>
      <c r="B1623" s="36">
        <v>2022</v>
      </c>
      <c r="C1623" s="36" t="s">
        <v>6</v>
      </c>
      <c r="D1623" s="36" t="s">
        <v>103</v>
      </c>
      <c r="E1623" s="36" t="s">
        <v>92</v>
      </c>
      <c r="F1623" s="36" t="s">
        <v>93</v>
      </c>
      <c r="G1623" s="36" t="s">
        <v>102</v>
      </c>
      <c r="H1623" s="36" t="s">
        <v>95</v>
      </c>
      <c r="I1623" s="36" t="s">
        <v>96</v>
      </c>
      <c r="J1623" s="36">
        <v>261</v>
      </c>
      <c r="K1623" s="36">
        <v>373.23</v>
      </c>
    </row>
    <row r="1624" spans="1:11" x14ac:dyDescent="0.3">
      <c r="A1624" s="36" t="s">
        <v>97</v>
      </c>
      <c r="B1624" s="36">
        <v>2022</v>
      </c>
      <c r="C1624" s="36" t="s">
        <v>6</v>
      </c>
      <c r="D1624" s="36" t="s">
        <v>103</v>
      </c>
      <c r="E1624" s="36" t="s">
        <v>92</v>
      </c>
      <c r="F1624" s="36" t="s">
        <v>93</v>
      </c>
      <c r="G1624" s="36" t="s">
        <v>102</v>
      </c>
      <c r="H1624" s="36" t="s">
        <v>95</v>
      </c>
      <c r="I1624" s="36" t="s">
        <v>96</v>
      </c>
      <c r="J1624" s="36">
        <v>259</v>
      </c>
      <c r="K1624" s="36">
        <v>370.37</v>
      </c>
    </row>
    <row r="1625" spans="1:11" x14ac:dyDescent="0.3">
      <c r="A1625" s="36" t="s">
        <v>97</v>
      </c>
      <c r="B1625" s="36">
        <v>2022</v>
      </c>
      <c r="C1625" s="36" t="s">
        <v>6</v>
      </c>
      <c r="D1625" s="36" t="s">
        <v>103</v>
      </c>
      <c r="E1625" s="36" t="s">
        <v>92</v>
      </c>
      <c r="F1625" s="36" t="s">
        <v>93</v>
      </c>
      <c r="G1625" s="36" t="s">
        <v>102</v>
      </c>
      <c r="H1625" s="36" t="s">
        <v>95</v>
      </c>
      <c r="I1625" s="36" t="s">
        <v>96</v>
      </c>
      <c r="J1625" s="36">
        <v>257</v>
      </c>
      <c r="K1625" s="36">
        <v>367.51</v>
      </c>
    </row>
    <row r="1626" spans="1:11" x14ac:dyDescent="0.3">
      <c r="A1626" s="36" t="s">
        <v>90</v>
      </c>
      <c r="B1626" s="36">
        <v>2022</v>
      </c>
      <c r="C1626" s="36" t="s">
        <v>8</v>
      </c>
      <c r="D1626" s="36" t="s">
        <v>103</v>
      </c>
      <c r="E1626" s="36" t="s">
        <v>92</v>
      </c>
      <c r="F1626" s="36" t="s">
        <v>93</v>
      </c>
      <c r="G1626" s="36" t="s">
        <v>102</v>
      </c>
      <c r="H1626" s="36" t="s">
        <v>95</v>
      </c>
      <c r="I1626" s="36" t="s">
        <v>96</v>
      </c>
      <c r="J1626" s="36">
        <v>248</v>
      </c>
      <c r="K1626" s="36">
        <v>354.64</v>
      </c>
    </row>
    <row r="1627" spans="1:11" x14ac:dyDescent="0.3">
      <c r="A1627" s="36" t="s">
        <v>99</v>
      </c>
      <c r="B1627" s="36">
        <v>2022</v>
      </c>
      <c r="C1627" s="36" t="s">
        <v>8</v>
      </c>
      <c r="D1627" s="36" t="s">
        <v>103</v>
      </c>
      <c r="E1627" s="36" t="s">
        <v>92</v>
      </c>
      <c r="F1627" s="36" t="s">
        <v>93</v>
      </c>
      <c r="G1627" s="36" t="s">
        <v>102</v>
      </c>
      <c r="H1627" s="36" t="s">
        <v>95</v>
      </c>
      <c r="I1627" s="36" t="s">
        <v>96</v>
      </c>
      <c r="J1627" s="36">
        <v>250</v>
      </c>
      <c r="K1627" s="36">
        <v>526.24</v>
      </c>
    </row>
    <row r="1628" spans="1:11" x14ac:dyDescent="0.3">
      <c r="A1628" s="36" t="s">
        <v>97</v>
      </c>
      <c r="B1628" s="36">
        <v>2022</v>
      </c>
      <c r="C1628" s="36" t="s">
        <v>8</v>
      </c>
      <c r="D1628" s="36" t="s">
        <v>103</v>
      </c>
      <c r="E1628" s="36" t="s">
        <v>92</v>
      </c>
      <c r="F1628" s="36" t="s">
        <v>93</v>
      </c>
      <c r="G1628" s="36" t="s">
        <v>102</v>
      </c>
      <c r="H1628" s="36" t="s">
        <v>95</v>
      </c>
      <c r="I1628" s="36" t="s">
        <v>96</v>
      </c>
      <c r="J1628" s="36">
        <v>249</v>
      </c>
      <c r="K1628" s="36">
        <v>356.07</v>
      </c>
    </row>
    <row r="1629" spans="1:11" x14ac:dyDescent="0.3">
      <c r="A1629" s="36" t="s">
        <v>90</v>
      </c>
      <c r="B1629" s="36">
        <v>2022</v>
      </c>
      <c r="C1629" s="36" t="s">
        <v>8</v>
      </c>
      <c r="D1629" s="36" t="s">
        <v>103</v>
      </c>
      <c r="E1629" s="36" t="s">
        <v>92</v>
      </c>
      <c r="F1629" s="36" t="s">
        <v>93</v>
      </c>
      <c r="G1629" s="36" t="s">
        <v>102</v>
      </c>
      <c r="H1629" s="36" t="s">
        <v>95</v>
      </c>
      <c r="I1629" s="36" t="s">
        <v>96</v>
      </c>
      <c r="J1629" s="36">
        <v>247</v>
      </c>
      <c r="K1629" s="36">
        <v>353.21</v>
      </c>
    </row>
    <row r="1630" spans="1:11" x14ac:dyDescent="0.3">
      <c r="A1630" s="36" t="s">
        <v>90</v>
      </c>
      <c r="B1630" s="36">
        <v>2022</v>
      </c>
      <c r="C1630" s="36" t="s">
        <v>3</v>
      </c>
      <c r="D1630" s="36" t="s">
        <v>91</v>
      </c>
      <c r="E1630" s="36" t="s">
        <v>92</v>
      </c>
      <c r="F1630" s="36" t="s">
        <v>93</v>
      </c>
      <c r="G1630" s="36" t="s">
        <v>94</v>
      </c>
      <c r="H1630" s="36" t="s">
        <v>95</v>
      </c>
      <c r="I1630" s="36" t="s">
        <v>98</v>
      </c>
      <c r="J1630" s="36">
        <v>356</v>
      </c>
      <c r="K1630" s="36">
        <v>484.15999999999997</v>
      </c>
    </row>
    <row r="1631" spans="1:11" x14ac:dyDescent="0.3">
      <c r="A1631" s="36" t="s">
        <v>97</v>
      </c>
      <c r="B1631" s="36">
        <v>2022</v>
      </c>
      <c r="C1631" s="36" t="s">
        <v>3</v>
      </c>
      <c r="D1631" s="36" t="s">
        <v>91</v>
      </c>
      <c r="E1631" s="36" t="s">
        <v>92</v>
      </c>
      <c r="F1631" s="36" t="s">
        <v>93</v>
      </c>
      <c r="G1631" s="36" t="s">
        <v>94</v>
      </c>
      <c r="H1631" s="36" t="s">
        <v>95</v>
      </c>
      <c r="I1631" s="36" t="s">
        <v>98</v>
      </c>
      <c r="J1631" s="36">
        <v>152</v>
      </c>
      <c r="K1631" s="36">
        <v>217.36</v>
      </c>
    </row>
    <row r="1632" spans="1:11" x14ac:dyDescent="0.3">
      <c r="A1632" s="36" t="s">
        <v>99</v>
      </c>
      <c r="B1632" s="36">
        <v>2022</v>
      </c>
      <c r="C1632" s="36" t="s">
        <v>3</v>
      </c>
      <c r="D1632" s="36" t="s">
        <v>91</v>
      </c>
      <c r="E1632" s="36" t="s">
        <v>105</v>
      </c>
      <c r="F1632" s="36" t="s">
        <v>93</v>
      </c>
      <c r="G1632" s="36" t="s">
        <v>94</v>
      </c>
      <c r="H1632" s="36" t="s">
        <v>95</v>
      </c>
      <c r="I1632" s="36" t="s">
        <v>98</v>
      </c>
      <c r="J1632" s="36">
        <v>352</v>
      </c>
      <c r="K1632" s="36">
        <v>503.36</v>
      </c>
    </row>
    <row r="1633" spans="1:11" x14ac:dyDescent="0.3">
      <c r="A1633" s="36" t="s">
        <v>90</v>
      </c>
      <c r="B1633" s="36">
        <v>2022</v>
      </c>
      <c r="C1633" s="36" t="s">
        <v>3</v>
      </c>
      <c r="D1633" s="36" t="s">
        <v>91</v>
      </c>
      <c r="E1633" s="36" t="s">
        <v>105</v>
      </c>
      <c r="F1633" s="36" t="s">
        <v>93</v>
      </c>
      <c r="G1633" s="36" t="s">
        <v>94</v>
      </c>
      <c r="H1633" s="36" t="s">
        <v>95</v>
      </c>
      <c r="I1633" s="36" t="s">
        <v>98</v>
      </c>
      <c r="J1633" s="36">
        <v>154</v>
      </c>
      <c r="K1633" s="36">
        <v>220.22</v>
      </c>
    </row>
    <row r="1634" spans="1:11" x14ac:dyDescent="0.3">
      <c r="A1634" s="36" t="s">
        <v>101</v>
      </c>
      <c r="B1634" s="36">
        <v>2022</v>
      </c>
      <c r="C1634" s="36" t="s">
        <v>3</v>
      </c>
      <c r="D1634" s="36" t="s">
        <v>91</v>
      </c>
      <c r="E1634" s="36" t="s">
        <v>105</v>
      </c>
      <c r="F1634" s="36" t="s">
        <v>93</v>
      </c>
      <c r="G1634" s="36" t="s">
        <v>94</v>
      </c>
      <c r="H1634" s="36" t="s">
        <v>95</v>
      </c>
      <c r="I1634" s="36" t="s">
        <v>98</v>
      </c>
      <c r="J1634" s="36">
        <v>698</v>
      </c>
      <c r="K1634" s="36">
        <v>998.14</v>
      </c>
    </row>
    <row r="1635" spans="1:11" x14ac:dyDescent="0.3">
      <c r="A1635" s="36" t="s">
        <v>99</v>
      </c>
      <c r="B1635" s="36">
        <v>2022</v>
      </c>
      <c r="C1635" s="36" t="s">
        <v>3</v>
      </c>
      <c r="D1635" s="36" t="s">
        <v>91</v>
      </c>
      <c r="E1635" s="36" t="s">
        <v>105</v>
      </c>
      <c r="F1635" s="36" t="s">
        <v>93</v>
      </c>
      <c r="G1635" s="36" t="s">
        <v>94</v>
      </c>
      <c r="H1635" s="36" t="s">
        <v>95</v>
      </c>
      <c r="I1635" s="36" t="s">
        <v>98</v>
      </c>
      <c r="J1635" s="36">
        <v>731</v>
      </c>
      <c r="K1635" s="36">
        <v>1045.33</v>
      </c>
    </row>
    <row r="1636" spans="1:11" x14ac:dyDescent="0.3">
      <c r="A1636" s="36" t="s">
        <v>99</v>
      </c>
      <c r="B1636" s="36">
        <v>2022</v>
      </c>
      <c r="C1636" s="36" t="s">
        <v>3</v>
      </c>
      <c r="D1636" s="36" t="s">
        <v>91</v>
      </c>
      <c r="E1636" s="36" t="s">
        <v>105</v>
      </c>
      <c r="F1636" s="36" t="s">
        <v>93</v>
      </c>
      <c r="G1636" s="36" t="s">
        <v>94</v>
      </c>
      <c r="H1636" s="36" t="s">
        <v>95</v>
      </c>
      <c r="I1636" s="36" t="s">
        <v>98</v>
      </c>
      <c r="J1636" s="36">
        <v>771</v>
      </c>
      <c r="K1636" s="36">
        <v>526.24</v>
      </c>
    </row>
    <row r="1637" spans="1:11" x14ac:dyDescent="0.3">
      <c r="A1637" s="36" t="s">
        <v>99</v>
      </c>
      <c r="B1637" s="36">
        <v>2022</v>
      </c>
      <c r="C1637" s="36" t="s">
        <v>3</v>
      </c>
      <c r="D1637" s="36" t="s">
        <v>91</v>
      </c>
      <c r="E1637" s="36" t="s">
        <v>105</v>
      </c>
      <c r="F1637" s="36" t="s">
        <v>93</v>
      </c>
      <c r="G1637" s="36" t="s">
        <v>94</v>
      </c>
      <c r="H1637" s="36" t="s">
        <v>95</v>
      </c>
      <c r="I1637" s="36" t="s">
        <v>98</v>
      </c>
      <c r="J1637" s="36">
        <v>355</v>
      </c>
      <c r="K1637" s="36">
        <v>507.65</v>
      </c>
    </row>
    <row r="1638" spans="1:11" x14ac:dyDescent="0.3">
      <c r="A1638" s="36" t="s">
        <v>99</v>
      </c>
      <c r="B1638" s="36">
        <v>2022</v>
      </c>
      <c r="C1638" s="36" t="s">
        <v>3</v>
      </c>
      <c r="D1638" s="36" t="s">
        <v>91</v>
      </c>
      <c r="E1638" s="36" t="s">
        <v>105</v>
      </c>
      <c r="F1638" s="36" t="s">
        <v>93</v>
      </c>
      <c r="G1638" s="36" t="s">
        <v>94</v>
      </c>
      <c r="H1638" s="36" t="s">
        <v>95</v>
      </c>
      <c r="I1638" s="36" t="s">
        <v>98</v>
      </c>
      <c r="J1638" s="36">
        <v>157</v>
      </c>
      <c r="K1638" s="36">
        <v>224.51</v>
      </c>
    </row>
    <row r="1639" spans="1:11" x14ac:dyDescent="0.3">
      <c r="A1639" s="36" t="s">
        <v>97</v>
      </c>
      <c r="B1639" s="36">
        <v>2022</v>
      </c>
      <c r="C1639" s="36" t="s">
        <v>3</v>
      </c>
      <c r="D1639" s="36" t="s">
        <v>91</v>
      </c>
      <c r="E1639" s="36" t="s">
        <v>105</v>
      </c>
      <c r="F1639" s="36" t="s">
        <v>93</v>
      </c>
      <c r="G1639" s="36" t="s">
        <v>94</v>
      </c>
      <c r="H1639" s="36" t="s">
        <v>95</v>
      </c>
      <c r="I1639" s="36" t="s">
        <v>98</v>
      </c>
      <c r="J1639" s="36">
        <v>353</v>
      </c>
      <c r="K1639" s="36">
        <v>504.78999999999996</v>
      </c>
    </row>
    <row r="1640" spans="1:11" x14ac:dyDescent="0.3">
      <c r="A1640" s="36" t="s">
        <v>97</v>
      </c>
      <c r="B1640" s="36">
        <v>2022</v>
      </c>
      <c r="C1640" s="36" t="s">
        <v>3</v>
      </c>
      <c r="D1640" s="36" t="s">
        <v>91</v>
      </c>
      <c r="E1640" s="36" t="s">
        <v>105</v>
      </c>
      <c r="F1640" s="36" t="s">
        <v>93</v>
      </c>
      <c r="G1640" s="36" t="s">
        <v>94</v>
      </c>
      <c r="H1640" s="36" t="s">
        <v>95</v>
      </c>
      <c r="I1640" s="36" t="s">
        <v>98</v>
      </c>
      <c r="J1640" s="36">
        <v>155</v>
      </c>
      <c r="K1640" s="36">
        <v>221.65</v>
      </c>
    </row>
    <row r="1641" spans="1:11" x14ac:dyDescent="0.3">
      <c r="A1641" s="36" t="s">
        <v>97</v>
      </c>
      <c r="B1641" s="36">
        <v>2022</v>
      </c>
      <c r="C1641" s="36" t="s">
        <v>7</v>
      </c>
      <c r="D1641" s="36" t="s">
        <v>91</v>
      </c>
      <c r="E1641" s="36" t="s">
        <v>105</v>
      </c>
      <c r="F1641" s="36" t="s">
        <v>93</v>
      </c>
      <c r="G1641" s="36" t="s">
        <v>94</v>
      </c>
      <c r="H1641" s="36" t="s">
        <v>95</v>
      </c>
      <c r="I1641" s="36" t="s">
        <v>98</v>
      </c>
      <c r="J1641" s="36">
        <v>332</v>
      </c>
      <c r="K1641" s="36">
        <v>451.52</v>
      </c>
    </row>
    <row r="1642" spans="1:11" x14ac:dyDescent="0.3">
      <c r="A1642" s="36" t="s">
        <v>97</v>
      </c>
      <c r="B1642" s="36">
        <v>2022</v>
      </c>
      <c r="C1642" s="36" t="s">
        <v>7</v>
      </c>
      <c r="D1642" s="36" t="s">
        <v>91</v>
      </c>
      <c r="E1642" s="36" t="s">
        <v>105</v>
      </c>
      <c r="F1642" s="36" t="s">
        <v>93</v>
      </c>
      <c r="G1642" s="36" t="s">
        <v>94</v>
      </c>
      <c r="H1642" s="36" t="s">
        <v>95</v>
      </c>
      <c r="I1642" s="36" t="s">
        <v>98</v>
      </c>
      <c r="J1642" s="36">
        <v>134</v>
      </c>
      <c r="K1642" s="36">
        <v>191.62</v>
      </c>
    </row>
    <row r="1643" spans="1:11" x14ac:dyDescent="0.3">
      <c r="A1643" s="36" t="s">
        <v>90</v>
      </c>
      <c r="B1643" s="36">
        <v>2022</v>
      </c>
      <c r="C1643" s="36" t="s">
        <v>7</v>
      </c>
      <c r="D1643" s="36" t="s">
        <v>91</v>
      </c>
      <c r="E1643" s="36" t="s">
        <v>105</v>
      </c>
      <c r="F1643" s="36" t="s">
        <v>93</v>
      </c>
      <c r="G1643" s="36" t="s">
        <v>94</v>
      </c>
      <c r="H1643" s="36" t="s">
        <v>95</v>
      </c>
      <c r="I1643" s="36" t="s">
        <v>98</v>
      </c>
      <c r="J1643" s="36">
        <v>334</v>
      </c>
      <c r="K1643" s="36">
        <v>477.62</v>
      </c>
    </row>
    <row r="1644" spans="1:11" x14ac:dyDescent="0.3">
      <c r="A1644" s="36" t="s">
        <v>97</v>
      </c>
      <c r="B1644" s="36">
        <v>2022</v>
      </c>
      <c r="C1644" s="36" t="s">
        <v>7</v>
      </c>
      <c r="D1644" s="36" t="s">
        <v>91</v>
      </c>
      <c r="E1644" s="36" t="s">
        <v>105</v>
      </c>
      <c r="F1644" s="36" t="s">
        <v>93</v>
      </c>
      <c r="G1644" s="36" t="s">
        <v>94</v>
      </c>
      <c r="H1644" s="36" t="s">
        <v>95</v>
      </c>
      <c r="I1644" s="36" t="s">
        <v>98</v>
      </c>
      <c r="J1644" s="36">
        <v>702</v>
      </c>
      <c r="K1644" s="36">
        <v>1003.86</v>
      </c>
    </row>
    <row r="1645" spans="1:11" x14ac:dyDescent="0.3">
      <c r="A1645" s="36" t="s">
        <v>90</v>
      </c>
      <c r="B1645" s="36">
        <v>2022</v>
      </c>
      <c r="C1645" s="36" t="s">
        <v>7</v>
      </c>
      <c r="D1645" s="36" t="s">
        <v>91</v>
      </c>
      <c r="E1645" s="36" t="s">
        <v>105</v>
      </c>
      <c r="F1645" s="36" t="s">
        <v>93</v>
      </c>
      <c r="G1645" s="36" t="s">
        <v>94</v>
      </c>
      <c r="H1645" s="36" t="s">
        <v>95</v>
      </c>
      <c r="I1645" s="36" t="s">
        <v>98</v>
      </c>
      <c r="J1645" s="36">
        <v>735</v>
      </c>
      <c r="K1645" s="36">
        <v>1051.05</v>
      </c>
    </row>
    <row r="1646" spans="1:11" x14ac:dyDescent="0.3">
      <c r="A1646" s="36" t="s">
        <v>97</v>
      </c>
      <c r="B1646" s="36">
        <v>2022</v>
      </c>
      <c r="C1646" s="36" t="s">
        <v>7</v>
      </c>
      <c r="D1646" s="36" t="s">
        <v>91</v>
      </c>
      <c r="E1646" s="36" t="s">
        <v>105</v>
      </c>
      <c r="F1646" s="36" t="s">
        <v>93</v>
      </c>
      <c r="G1646" s="36" t="s">
        <v>94</v>
      </c>
      <c r="H1646" s="36" t="s">
        <v>95</v>
      </c>
      <c r="I1646" s="36" t="s">
        <v>98</v>
      </c>
      <c r="J1646" s="36">
        <v>333</v>
      </c>
      <c r="K1646" s="36">
        <v>526.24</v>
      </c>
    </row>
    <row r="1647" spans="1:11" x14ac:dyDescent="0.3">
      <c r="A1647" s="36" t="s">
        <v>101</v>
      </c>
      <c r="B1647" s="36">
        <v>2022</v>
      </c>
      <c r="C1647" s="36" t="s">
        <v>7</v>
      </c>
      <c r="D1647" s="36" t="s">
        <v>91</v>
      </c>
      <c r="E1647" s="36" t="s">
        <v>105</v>
      </c>
      <c r="F1647" s="36" t="s">
        <v>93</v>
      </c>
      <c r="G1647" s="36" t="s">
        <v>94</v>
      </c>
      <c r="H1647" s="36" t="s">
        <v>95</v>
      </c>
      <c r="I1647" s="36" t="s">
        <v>98</v>
      </c>
      <c r="J1647" s="36">
        <v>774</v>
      </c>
      <c r="K1647" s="36">
        <v>526.24</v>
      </c>
    </row>
    <row r="1648" spans="1:11" x14ac:dyDescent="0.3">
      <c r="A1648" s="36" t="s">
        <v>97</v>
      </c>
      <c r="B1648" s="36">
        <v>2022</v>
      </c>
      <c r="C1648" s="36" t="s">
        <v>7</v>
      </c>
      <c r="D1648" s="36" t="s">
        <v>91</v>
      </c>
      <c r="E1648" s="36" t="s">
        <v>105</v>
      </c>
      <c r="F1648" s="36" t="s">
        <v>93</v>
      </c>
      <c r="G1648" s="36" t="s">
        <v>94</v>
      </c>
      <c r="H1648" s="36" t="s">
        <v>95</v>
      </c>
      <c r="I1648" s="36" t="s">
        <v>98</v>
      </c>
      <c r="J1648" s="36">
        <v>331</v>
      </c>
      <c r="K1648" s="36">
        <v>473.33</v>
      </c>
    </row>
    <row r="1649" spans="1:11" x14ac:dyDescent="0.3">
      <c r="A1649" s="36" t="s">
        <v>97</v>
      </c>
      <c r="B1649" s="36">
        <v>2022</v>
      </c>
      <c r="C1649" s="36" t="s">
        <v>7</v>
      </c>
      <c r="D1649" s="36" t="s">
        <v>91</v>
      </c>
      <c r="E1649" s="36" t="s">
        <v>105</v>
      </c>
      <c r="F1649" s="36" t="s">
        <v>93</v>
      </c>
      <c r="G1649" s="36" t="s">
        <v>94</v>
      </c>
      <c r="H1649" s="36" t="s">
        <v>95</v>
      </c>
      <c r="I1649" s="36" t="s">
        <v>98</v>
      </c>
      <c r="J1649" s="36">
        <v>133</v>
      </c>
      <c r="K1649" s="36">
        <v>190.19</v>
      </c>
    </row>
    <row r="1650" spans="1:11" x14ac:dyDescent="0.3">
      <c r="A1650" s="36" t="s">
        <v>100</v>
      </c>
      <c r="B1650" s="36">
        <v>2022</v>
      </c>
      <c r="C1650" s="36" t="s">
        <v>7</v>
      </c>
      <c r="D1650" s="36" t="s">
        <v>91</v>
      </c>
      <c r="E1650" s="36" t="s">
        <v>105</v>
      </c>
      <c r="F1650" s="36" t="s">
        <v>93</v>
      </c>
      <c r="G1650" s="36" t="s">
        <v>94</v>
      </c>
      <c r="H1650" s="36" t="s">
        <v>95</v>
      </c>
      <c r="I1650" s="36" t="s">
        <v>98</v>
      </c>
      <c r="J1650" s="36">
        <v>335</v>
      </c>
      <c r="K1650" s="36">
        <v>479.05</v>
      </c>
    </row>
    <row r="1651" spans="1:11" x14ac:dyDescent="0.3">
      <c r="A1651" s="36" t="s">
        <v>97</v>
      </c>
      <c r="B1651" s="36">
        <v>2022</v>
      </c>
      <c r="C1651" s="36" t="s">
        <v>7</v>
      </c>
      <c r="D1651" s="36" t="s">
        <v>91</v>
      </c>
      <c r="E1651" s="36" t="s">
        <v>105</v>
      </c>
      <c r="F1651" s="36" t="s">
        <v>93</v>
      </c>
      <c r="G1651" s="36" t="s">
        <v>94</v>
      </c>
      <c r="H1651" s="36" t="s">
        <v>95</v>
      </c>
      <c r="I1651" s="36" t="s">
        <v>98</v>
      </c>
      <c r="J1651" s="36">
        <v>131</v>
      </c>
      <c r="K1651" s="36">
        <v>187.32999999999998</v>
      </c>
    </row>
    <row r="1652" spans="1:11" x14ac:dyDescent="0.3">
      <c r="A1652" s="36" t="s">
        <v>100</v>
      </c>
      <c r="B1652" s="36">
        <v>2022</v>
      </c>
      <c r="C1652" s="36" t="s">
        <v>11</v>
      </c>
      <c r="D1652" s="36" t="s">
        <v>91</v>
      </c>
      <c r="E1652" s="36" t="s">
        <v>105</v>
      </c>
      <c r="F1652" s="36" t="s">
        <v>93</v>
      </c>
      <c r="G1652" s="36" t="s">
        <v>94</v>
      </c>
      <c r="H1652" s="36" t="s">
        <v>95</v>
      </c>
      <c r="I1652" s="36" t="s">
        <v>98</v>
      </c>
      <c r="J1652" s="36">
        <v>140</v>
      </c>
      <c r="K1652" s="36">
        <v>200.2</v>
      </c>
    </row>
    <row r="1653" spans="1:11" x14ac:dyDescent="0.3">
      <c r="A1653" s="36" t="s">
        <v>97</v>
      </c>
      <c r="B1653" s="36">
        <v>2022</v>
      </c>
      <c r="C1653" s="36" t="s">
        <v>11</v>
      </c>
      <c r="D1653" s="36" t="s">
        <v>91</v>
      </c>
      <c r="E1653" s="36" t="s">
        <v>105</v>
      </c>
      <c r="F1653" s="36" t="s">
        <v>93</v>
      </c>
      <c r="G1653" s="36" t="s">
        <v>94</v>
      </c>
      <c r="H1653" s="36" t="s">
        <v>95</v>
      </c>
      <c r="I1653" s="36" t="s">
        <v>98</v>
      </c>
      <c r="J1653" s="36">
        <v>356</v>
      </c>
      <c r="K1653" s="36">
        <v>509.08</v>
      </c>
    </row>
    <row r="1654" spans="1:11" x14ac:dyDescent="0.3">
      <c r="A1654" s="36" t="s">
        <v>97</v>
      </c>
      <c r="B1654" s="36">
        <v>2022</v>
      </c>
      <c r="C1654" s="36" t="s">
        <v>11</v>
      </c>
      <c r="D1654" s="36" t="s">
        <v>91</v>
      </c>
      <c r="E1654" s="36" t="s">
        <v>105</v>
      </c>
      <c r="F1654" s="36" t="s">
        <v>93</v>
      </c>
      <c r="G1654" s="36" t="s">
        <v>94</v>
      </c>
      <c r="H1654" s="36" t="s">
        <v>95</v>
      </c>
      <c r="I1654" s="36" t="s">
        <v>98</v>
      </c>
      <c r="J1654" s="36">
        <v>310</v>
      </c>
      <c r="K1654" s="36">
        <v>443.3</v>
      </c>
    </row>
    <row r="1655" spans="1:11" x14ac:dyDescent="0.3">
      <c r="A1655" s="36" t="s">
        <v>90</v>
      </c>
      <c r="B1655" s="36">
        <v>2022</v>
      </c>
      <c r="C1655" s="36" t="s">
        <v>11</v>
      </c>
      <c r="D1655" s="36" t="s">
        <v>91</v>
      </c>
      <c r="E1655" s="36" t="s">
        <v>105</v>
      </c>
      <c r="F1655" s="36" t="s">
        <v>93</v>
      </c>
      <c r="G1655" s="36" t="s">
        <v>94</v>
      </c>
      <c r="H1655" s="36" t="s">
        <v>95</v>
      </c>
      <c r="I1655" s="36" t="s">
        <v>98</v>
      </c>
      <c r="J1655" s="36">
        <v>358</v>
      </c>
      <c r="K1655" s="36">
        <v>511.94</v>
      </c>
    </row>
    <row r="1656" spans="1:11" x14ac:dyDescent="0.3">
      <c r="A1656" s="36" t="s">
        <v>101</v>
      </c>
      <c r="B1656" s="36">
        <v>2022</v>
      </c>
      <c r="C1656" s="36" t="s">
        <v>11</v>
      </c>
      <c r="D1656" s="36" t="s">
        <v>91</v>
      </c>
      <c r="E1656" s="36" t="s">
        <v>105</v>
      </c>
      <c r="F1656" s="36" t="s">
        <v>93</v>
      </c>
      <c r="G1656" s="36" t="s">
        <v>94</v>
      </c>
      <c r="H1656" s="36" t="s">
        <v>95</v>
      </c>
      <c r="I1656" s="36" t="s">
        <v>98</v>
      </c>
      <c r="J1656" s="36">
        <v>138</v>
      </c>
      <c r="K1656" s="36">
        <v>197.34</v>
      </c>
    </row>
    <row r="1657" spans="1:11" x14ac:dyDescent="0.3">
      <c r="A1657" s="36" t="s">
        <v>99</v>
      </c>
      <c r="B1657" s="36">
        <v>2022</v>
      </c>
      <c r="C1657" s="36" t="s">
        <v>11</v>
      </c>
      <c r="D1657" s="36" t="s">
        <v>91</v>
      </c>
      <c r="E1657" s="36" t="s">
        <v>105</v>
      </c>
      <c r="F1657" s="36" t="s">
        <v>93</v>
      </c>
      <c r="G1657" s="36" t="s">
        <v>94</v>
      </c>
      <c r="H1657" s="36" t="s">
        <v>95</v>
      </c>
      <c r="I1657" s="36" t="s">
        <v>98</v>
      </c>
      <c r="J1657" s="36">
        <v>705</v>
      </c>
      <c r="K1657" s="36">
        <v>1008.15</v>
      </c>
    </row>
    <row r="1658" spans="1:11" x14ac:dyDescent="0.3">
      <c r="A1658" s="36" t="s">
        <v>90</v>
      </c>
      <c r="B1658" s="36">
        <v>2022</v>
      </c>
      <c r="C1658" s="36" t="s">
        <v>11</v>
      </c>
      <c r="D1658" s="36" t="s">
        <v>91</v>
      </c>
      <c r="E1658" s="36" t="s">
        <v>105</v>
      </c>
      <c r="F1658" s="36" t="s">
        <v>93</v>
      </c>
      <c r="G1658" s="36" t="s">
        <v>94</v>
      </c>
      <c r="H1658" s="36" t="s">
        <v>95</v>
      </c>
      <c r="I1658" s="36" t="s">
        <v>98</v>
      </c>
      <c r="J1658" s="36">
        <v>738</v>
      </c>
      <c r="K1658" s="36">
        <v>1055.3399999999999</v>
      </c>
    </row>
    <row r="1659" spans="1:11" x14ac:dyDescent="0.3">
      <c r="A1659" s="36" t="s">
        <v>90</v>
      </c>
      <c r="B1659" s="36">
        <v>2022</v>
      </c>
      <c r="C1659" s="36" t="s">
        <v>11</v>
      </c>
      <c r="D1659" s="36" t="s">
        <v>91</v>
      </c>
      <c r="E1659" s="36" t="s">
        <v>105</v>
      </c>
      <c r="F1659" s="36" t="s">
        <v>93</v>
      </c>
      <c r="G1659" s="36" t="s">
        <v>94</v>
      </c>
      <c r="H1659" s="36" t="s">
        <v>95</v>
      </c>
      <c r="I1659" s="36" t="s">
        <v>98</v>
      </c>
      <c r="J1659" s="36">
        <v>141</v>
      </c>
      <c r="K1659" s="36">
        <v>201.63</v>
      </c>
    </row>
    <row r="1660" spans="1:11" x14ac:dyDescent="0.3">
      <c r="A1660" s="36" t="s">
        <v>99</v>
      </c>
      <c r="B1660" s="36">
        <v>2022</v>
      </c>
      <c r="C1660" s="36" t="s">
        <v>11</v>
      </c>
      <c r="D1660" s="36" t="s">
        <v>91</v>
      </c>
      <c r="E1660" s="36" t="s">
        <v>105</v>
      </c>
      <c r="F1660" s="36" t="s">
        <v>93</v>
      </c>
      <c r="G1660" s="36" t="s">
        <v>94</v>
      </c>
      <c r="H1660" s="36" t="s">
        <v>95</v>
      </c>
      <c r="I1660" s="36" t="s">
        <v>98</v>
      </c>
      <c r="J1660" s="36">
        <v>309</v>
      </c>
      <c r="K1660" s="36">
        <v>526.24</v>
      </c>
    </row>
    <row r="1661" spans="1:11" x14ac:dyDescent="0.3">
      <c r="A1661" s="36" t="s">
        <v>101</v>
      </c>
      <c r="B1661" s="36">
        <v>2022</v>
      </c>
      <c r="C1661" s="36" t="s">
        <v>11</v>
      </c>
      <c r="D1661" s="36" t="s">
        <v>91</v>
      </c>
      <c r="E1661" s="36" t="s">
        <v>105</v>
      </c>
      <c r="F1661" s="36" t="s">
        <v>93</v>
      </c>
      <c r="G1661" s="36" t="s">
        <v>94</v>
      </c>
      <c r="H1661" s="36" t="s">
        <v>95</v>
      </c>
      <c r="I1661" s="36" t="s">
        <v>98</v>
      </c>
      <c r="J1661" s="36">
        <v>778</v>
      </c>
      <c r="K1661" s="36">
        <v>526.24</v>
      </c>
    </row>
    <row r="1662" spans="1:11" x14ac:dyDescent="0.3">
      <c r="A1662" s="36" t="s">
        <v>90</v>
      </c>
      <c r="B1662" s="36">
        <v>2022</v>
      </c>
      <c r="C1662" s="36" t="s">
        <v>11</v>
      </c>
      <c r="D1662" s="36" t="s">
        <v>91</v>
      </c>
      <c r="E1662" s="36" t="s">
        <v>105</v>
      </c>
      <c r="F1662" s="36" t="s">
        <v>93</v>
      </c>
      <c r="G1662" s="36" t="s">
        <v>94</v>
      </c>
      <c r="H1662" s="36" t="s">
        <v>95</v>
      </c>
      <c r="I1662" s="36" t="s">
        <v>98</v>
      </c>
      <c r="J1662" s="36">
        <v>139</v>
      </c>
      <c r="K1662" s="36">
        <v>198.76999999999998</v>
      </c>
    </row>
    <row r="1663" spans="1:11" x14ac:dyDescent="0.3">
      <c r="A1663" s="36" t="s">
        <v>97</v>
      </c>
      <c r="B1663" s="36">
        <v>2022</v>
      </c>
      <c r="C1663" s="36" t="s">
        <v>11</v>
      </c>
      <c r="D1663" s="36" t="s">
        <v>91</v>
      </c>
      <c r="E1663" s="36" t="s">
        <v>105</v>
      </c>
      <c r="F1663" s="36" t="s">
        <v>93</v>
      </c>
      <c r="G1663" s="36" t="s">
        <v>94</v>
      </c>
      <c r="H1663" s="36" t="s">
        <v>95</v>
      </c>
      <c r="I1663" s="36" t="s">
        <v>98</v>
      </c>
      <c r="J1663" s="36">
        <v>313</v>
      </c>
      <c r="K1663" s="36">
        <v>447.59000000000003</v>
      </c>
    </row>
    <row r="1664" spans="1:11" x14ac:dyDescent="0.3">
      <c r="A1664" s="36" t="s">
        <v>97</v>
      </c>
      <c r="B1664" s="36">
        <v>2022</v>
      </c>
      <c r="C1664" s="36" t="s">
        <v>11</v>
      </c>
      <c r="D1664" s="36" t="s">
        <v>91</v>
      </c>
      <c r="E1664" s="36" t="s">
        <v>105</v>
      </c>
      <c r="F1664" s="36" t="s">
        <v>93</v>
      </c>
      <c r="G1664" s="36" t="s">
        <v>94</v>
      </c>
      <c r="H1664" s="36" t="s">
        <v>95</v>
      </c>
      <c r="I1664" s="36" t="s">
        <v>98</v>
      </c>
      <c r="J1664" s="36">
        <v>137</v>
      </c>
      <c r="K1664" s="36">
        <v>195.91</v>
      </c>
    </row>
    <row r="1665" spans="1:11" x14ac:dyDescent="0.3">
      <c r="A1665" s="36" t="s">
        <v>90</v>
      </c>
      <c r="B1665" s="36">
        <v>2022</v>
      </c>
      <c r="C1665" s="36" t="s">
        <v>11</v>
      </c>
      <c r="D1665" s="36" t="s">
        <v>91</v>
      </c>
      <c r="E1665" s="36" t="s">
        <v>105</v>
      </c>
      <c r="F1665" s="36" t="s">
        <v>93</v>
      </c>
      <c r="G1665" s="36" t="s">
        <v>94</v>
      </c>
      <c r="H1665" s="36" t="s">
        <v>95</v>
      </c>
      <c r="I1665" s="36" t="s">
        <v>98</v>
      </c>
      <c r="J1665" s="36">
        <v>311</v>
      </c>
      <c r="K1665" s="36">
        <v>444.73</v>
      </c>
    </row>
    <row r="1666" spans="1:11" x14ac:dyDescent="0.3">
      <c r="A1666" s="36" t="s">
        <v>100</v>
      </c>
      <c r="B1666" s="36">
        <v>2022</v>
      </c>
      <c r="C1666" s="36" t="s">
        <v>11</v>
      </c>
      <c r="D1666" s="36" t="s">
        <v>91</v>
      </c>
      <c r="E1666" s="36" t="s">
        <v>105</v>
      </c>
      <c r="F1666" s="36" t="s">
        <v>93</v>
      </c>
      <c r="G1666" s="36" t="s">
        <v>94</v>
      </c>
      <c r="H1666" s="36" t="s">
        <v>95</v>
      </c>
      <c r="I1666" s="36" t="s">
        <v>98</v>
      </c>
      <c r="J1666" s="36">
        <v>747</v>
      </c>
      <c r="K1666" s="36">
        <v>1068.21</v>
      </c>
    </row>
    <row r="1667" spans="1:11" x14ac:dyDescent="0.3">
      <c r="A1667" s="36" t="s">
        <v>90</v>
      </c>
      <c r="B1667" s="36">
        <v>2022</v>
      </c>
      <c r="C1667" s="36" t="s">
        <v>1</v>
      </c>
      <c r="D1667" s="36" t="s">
        <v>91</v>
      </c>
      <c r="E1667" s="36" t="s">
        <v>105</v>
      </c>
      <c r="F1667" s="36" t="s">
        <v>93</v>
      </c>
      <c r="G1667" s="36" t="s">
        <v>94</v>
      </c>
      <c r="H1667" s="36" t="s">
        <v>95</v>
      </c>
      <c r="I1667" s="36" t="s">
        <v>98</v>
      </c>
      <c r="J1667" s="36">
        <v>362</v>
      </c>
      <c r="K1667" s="36">
        <v>492.32</v>
      </c>
    </row>
    <row r="1668" spans="1:11" x14ac:dyDescent="0.3">
      <c r="A1668" s="36" t="s">
        <v>97</v>
      </c>
      <c r="B1668" s="36">
        <v>2022</v>
      </c>
      <c r="C1668" s="36" t="s">
        <v>1</v>
      </c>
      <c r="D1668" s="36" t="s">
        <v>91</v>
      </c>
      <c r="E1668" s="36" t="s">
        <v>105</v>
      </c>
      <c r="F1668" s="36" t="s">
        <v>93</v>
      </c>
      <c r="G1668" s="36" t="s">
        <v>94</v>
      </c>
      <c r="H1668" s="36" t="s">
        <v>95</v>
      </c>
      <c r="I1668" s="36" t="s">
        <v>98</v>
      </c>
      <c r="J1668" s="36">
        <v>164</v>
      </c>
      <c r="K1668" s="36">
        <v>234.51999999999998</v>
      </c>
    </row>
    <row r="1669" spans="1:11" x14ac:dyDescent="0.3">
      <c r="A1669" s="36" t="s">
        <v>99</v>
      </c>
      <c r="B1669" s="36">
        <v>2022</v>
      </c>
      <c r="C1669" s="36" t="s">
        <v>1</v>
      </c>
      <c r="D1669" s="36" t="s">
        <v>91</v>
      </c>
      <c r="E1669" s="36" t="s">
        <v>105</v>
      </c>
      <c r="F1669" s="36" t="s">
        <v>93</v>
      </c>
      <c r="G1669" s="36" t="s">
        <v>94</v>
      </c>
      <c r="H1669" s="36" t="s">
        <v>95</v>
      </c>
      <c r="I1669" s="36" t="s">
        <v>98</v>
      </c>
      <c r="J1669" s="36">
        <v>364</v>
      </c>
      <c r="K1669" s="36">
        <v>520.52</v>
      </c>
    </row>
    <row r="1670" spans="1:11" x14ac:dyDescent="0.3">
      <c r="A1670" s="36" t="s">
        <v>90</v>
      </c>
      <c r="B1670" s="36">
        <v>2022</v>
      </c>
      <c r="C1670" s="36" t="s">
        <v>1</v>
      </c>
      <c r="D1670" s="36" t="s">
        <v>91</v>
      </c>
      <c r="E1670" s="36" t="s">
        <v>105</v>
      </c>
      <c r="F1670" s="36" t="s">
        <v>93</v>
      </c>
      <c r="G1670" s="36" t="s">
        <v>94</v>
      </c>
      <c r="H1670" s="36" t="s">
        <v>95</v>
      </c>
      <c r="I1670" s="36" t="s">
        <v>98</v>
      </c>
      <c r="J1670" s="36">
        <v>166</v>
      </c>
      <c r="K1670" s="36">
        <v>237.38</v>
      </c>
    </row>
    <row r="1671" spans="1:11" x14ac:dyDescent="0.3">
      <c r="A1671" s="36" t="s">
        <v>90</v>
      </c>
      <c r="B1671" s="36">
        <v>2022</v>
      </c>
      <c r="C1671" s="36" t="s">
        <v>1</v>
      </c>
      <c r="D1671" s="36" t="s">
        <v>91</v>
      </c>
      <c r="E1671" s="36" t="s">
        <v>105</v>
      </c>
      <c r="F1671" s="36" t="s">
        <v>93</v>
      </c>
      <c r="G1671" s="36" t="s">
        <v>94</v>
      </c>
      <c r="H1671" s="36" t="s">
        <v>95</v>
      </c>
      <c r="I1671" s="36" t="s">
        <v>98</v>
      </c>
      <c r="J1671" s="36">
        <v>696</v>
      </c>
      <c r="K1671" s="36">
        <v>995.28</v>
      </c>
    </row>
    <row r="1672" spans="1:11" x14ac:dyDescent="0.3">
      <c r="A1672" s="36" t="s">
        <v>99</v>
      </c>
      <c r="B1672" s="36">
        <v>2022</v>
      </c>
      <c r="C1672" s="36" t="s">
        <v>1</v>
      </c>
      <c r="D1672" s="36" t="s">
        <v>91</v>
      </c>
      <c r="E1672" s="36" t="s">
        <v>105</v>
      </c>
      <c r="F1672" s="36" t="s">
        <v>93</v>
      </c>
      <c r="G1672" s="36" t="s">
        <v>94</v>
      </c>
      <c r="H1672" s="36" t="s">
        <v>95</v>
      </c>
      <c r="I1672" s="36" t="s">
        <v>98</v>
      </c>
      <c r="J1672" s="36">
        <v>363</v>
      </c>
      <c r="K1672" s="36">
        <v>519.09</v>
      </c>
    </row>
    <row r="1673" spans="1:11" x14ac:dyDescent="0.3">
      <c r="A1673" s="36" t="s">
        <v>90</v>
      </c>
      <c r="B1673" s="36">
        <v>2022</v>
      </c>
      <c r="C1673" s="36" t="s">
        <v>1</v>
      </c>
      <c r="D1673" s="36" t="s">
        <v>91</v>
      </c>
      <c r="E1673" s="36" t="s">
        <v>105</v>
      </c>
      <c r="F1673" s="36" t="s">
        <v>93</v>
      </c>
      <c r="G1673" s="36" t="s">
        <v>94</v>
      </c>
      <c r="H1673" s="36" t="s">
        <v>95</v>
      </c>
      <c r="I1673" s="36" t="s">
        <v>98</v>
      </c>
      <c r="J1673" s="36">
        <v>769</v>
      </c>
      <c r="K1673" s="36">
        <v>526.24</v>
      </c>
    </row>
    <row r="1674" spans="1:11" x14ac:dyDescent="0.3">
      <c r="A1674" s="36" t="s">
        <v>90</v>
      </c>
      <c r="B1674" s="36">
        <v>2022</v>
      </c>
      <c r="C1674" s="36" t="s">
        <v>1</v>
      </c>
      <c r="D1674" s="36" t="s">
        <v>91</v>
      </c>
      <c r="E1674" s="36" t="s">
        <v>105</v>
      </c>
      <c r="F1674" s="36" t="s">
        <v>93</v>
      </c>
      <c r="G1674" s="36" t="s">
        <v>94</v>
      </c>
      <c r="H1674" s="36" t="s">
        <v>95</v>
      </c>
      <c r="I1674" s="36" t="s">
        <v>98</v>
      </c>
      <c r="J1674" s="36">
        <v>367</v>
      </c>
      <c r="K1674" s="36">
        <v>524.80999999999995</v>
      </c>
    </row>
    <row r="1675" spans="1:11" x14ac:dyDescent="0.3">
      <c r="A1675" s="36" t="s">
        <v>99</v>
      </c>
      <c r="B1675" s="36">
        <v>2022</v>
      </c>
      <c r="C1675" s="36" t="s">
        <v>1</v>
      </c>
      <c r="D1675" s="36" t="s">
        <v>91</v>
      </c>
      <c r="E1675" s="36" t="s">
        <v>105</v>
      </c>
      <c r="F1675" s="36" t="s">
        <v>93</v>
      </c>
      <c r="G1675" s="36" t="s">
        <v>94</v>
      </c>
      <c r="H1675" s="36" t="s">
        <v>95</v>
      </c>
      <c r="I1675" s="36" t="s">
        <v>98</v>
      </c>
      <c r="J1675" s="36">
        <v>163</v>
      </c>
      <c r="K1675" s="36">
        <v>233.09</v>
      </c>
    </row>
    <row r="1676" spans="1:11" x14ac:dyDescent="0.3">
      <c r="A1676" s="36" t="s">
        <v>97</v>
      </c>
      <c r="B1676" s="36">
        <v>2022</v>
      </c>
      <c r="C1676" s="36" t="s">
        <v>1</v>
      </c>
      <c r="D1676" s="36" t="s">
        <v>91</v>
      </c>
      <c r="E1676" s="36" t="s">
        <v>105</v>
      </c>
      <c r="F1676" s="36" t="s">
        <v>93</v>
      </c>
      <c r="G1676" s="36" t="s">
        <v>94</v>
      </c>
      <c r="H1676" s="36" t="s">
        <v>95</v>
      </c>
      <c r="I1676" s="36" t="s">
        <v>98</v>
      </c>
      <c r="J1676" s="36">
        <v>365</v>
      </c>
      <c r="K1676" s="36">
        <v>521.95000000000005</v>
      </c>
    </row>
    <row r="1677" spans="1:11" x14ac:dyDescent="0.3">
      <c r="A1677" s="36" t="s">
        <v>99</v>
      </c>
      <c r="B1677" s="36">
        <v>2022</v>
      </c>
      <c r="C1677" s="36" t="s">
        <v>1</v>
      </c>
      <c r="D1677" s="36" t="s">
        <v>91</v>
      </c>
      <c r="E1677" s="36" t="s">
        <v>105</v>
      </c>
      <c r="F1677" s="36" t="s">
        <v>93</v>
      </c>
      <c r="G1677" s="36" t="s">
        <v>94</v>
      </c>
      <c r="H1677" s="36" t="s">
        <v>95</v>
      </c>
      <c r="I1677" s="36" t="s">
        <v>98</v>
      </c>
      <c r="J1677" s="36">
        <v>167</v>
      </c>
      <c r="K1677" s="36">
        <v>238.81</v>
      </c>
    </row>
    <row r="1678" spans="1:11" x14ac:dyDescent="0.3">
      <c r="A1678" s="36" t="s">
        <v>90</v>
      </c>
      <c r="B1678" s="36">
        <v>2022</v>
      </c>
      <c r="C1678" s="36" t="s">
        <v>0</v>
      </c>
      <c r="D1678" s="36" t="s">
        <v>91</v>
      </c>
      <c r="E1678" s="36" t="s">
        <v>105</v>
      </c>
      <c r="F1678" s="36" t="s">
        <v>93</v>
      </c>
      <c r="G1678" s="36" t="s">
        <v>94</v>
      </c>
      <c r="H1678" s="36" t="s">
        <v>95</v>
      </c>
      <c r="I1678" s="36" t="s">
        <v>98</v>
      </c>
      <c r="J1678" s="36">
        <v>368</v>
      </c>
      <c r="K1678" s="36">
        <v>500.48</v>
      </c>
    </row>
    <row r="1679" spans="1:11" x14ac:dyDescent="0.3">
      <c r="A1679" s="36" t="s">
        <v>97</v>
      </c>
      <c r="B1679" s="36">
        <v>2022</v>
      </c>
      <c r="C1679" s="36" t="s">
        <v>0</v>
      </c>
      <c r="D1679" s="36" t="s">
        <v>91</v>
      </c>
      <c r="E1679" s="36" t="s">
        <v>105</v>
      </c>
      <c r="F1679" s="36" t="s">
        <v>93</v>
      </c>
      <c r="G1679" s="36" t="s">
        <v>94</v>
      </c>
      <c r="H1679" s="36" t="s">
        <v>95</v>
      </c>
      <c r="I1679" s="36" t="s">
        <v>98</v>
      </c>
      <c r="J1679" s="36">
        <v>170</v>
      </c>
      <c r="K1679" s="36">
        <v>243.1</v>
      </c>
    </row>
    <row r="1680" spans="1:11" x14ac:dyDescent="0.3">
      <c r="A1680" s="36" t="s">
        <v>97</v>
      </c>
      <c r="B1680" s="36">
        <v>2022</v>
      </c>
      <c r="C1680" s="36" t="s">
        <v>0</v>
      </c>
      <c r="D1680" s="36" t="s">
        <v>91</v>
      </c>
      <c r="E1680" s="36" t="s">
        <v>105</v>
      </c>
      <c r="F1680" s="36" t="s">
        <v>93</v>
      </c>
      <c r="G1680" s="36" t="s">
        <v>94</v>
      </c>
      <c r="H1680" s="36" t="s">
        <v>95</v>
      </c>
      <c r="I1680" s="36" t="s">
        <v>98</v>
      </c>
      <c r="J1680" s="36">
        <v>370</v>
      </c>
      <c r="K1680" s="36">
        <v>529.1</v>
      </c>
    </row>
    <row r="1681" spans="1:11" x14ac:dyDescent="0.3">
      <c r="A1681" s="36" t="s">
        <v>90</v>
      </c>
      <c r="B1681" s="36">
        <v>2022</v>
      </c>
      <c r="C1681" s="36" t="s">
        <v>0</v>
      </c>
      <c r="D1681" s="36" t="s">
        <v>91</v>
      </c>
      <c r="E1681" s="36" t="s">
        <v>105</v>
      </c>
      <c r="F1681" s="36" t="s">
        <v>93</v>
      </c>
      <c r="G1681" s="36" t="s">
        <v>94</v>
      </c>
      <c r="H1681" s="36" t="s">
        <v>95</v>
      </c>
      <c r="I1681" s="36" t="s">
        <v>98</v>
      </c>
      <c r="J1681" s="36">
        <v>172</v>
      </c>
      <c r="K1681" s="36">
        <v>245.95999999999998</v>
      </c>
    </row>
    <row r="1682" spans="1:11" x14ac:dyDescent="0.3">
      <c r="A1682" s="36" t="s">
        <v>97</v>
      </c>
      <c r="B1682" s="36">
        <v>2022</v>
      </c>
      <c r="C1682" s="36" t="s">
        <v>0</v>
      </c>
      <c r="D1682" s="36" t="s">
        <v>91</v>
      </c>
      <c r="E1682" s="36" t="s">
        <v>105</v>
      </c>
      <c r="F1682" s="36" t="s">
        <v>93</v>
      </c>
      <c r="G1682" s="36" t="s">
        <v>94</v>
      </c>
      <c r="H1682" s="36" t="s">
        <v>95</v>
      </c>
      <c r="I1682" s="36" t="s">
        <v>98</v>
      </c>
      <c r="J1682" s="36">
        <v>695</v>
      </c>
      <c r="K1682" s="36">
        <v>993.85</v>
      </c>
    </row>
    <row r="1683" spans="1:11" x14ac:dyDescent="0.3">
      <c r="A1683" s="36" t="s">
        <v>90</v>
      </c>
      <c r="B1683" s="36">
        <v>2022</v>
      </c>
      <c r="C1683" s="36" t="s">
        <v>0</v>
      </c>
      <c r="D1683" s="36" t="s">
        <v>91</v>
      </c>
      <c r="E1683" s="36" t="s">
        <v>105</v>
      </c>
      <c r="F1683" s="36" t="s">
        <v>93</v>
      </c>
      <c r="G1683" s="36" t="s">
        <v>94</v>
      </c>
      <c r="H1683" s="36" t="s">
        <v>95</v>
      </c>
      <c r="I1683" s="36" t="s">
        <v>98</v>
      </c>
      <c r="J1683" s="36">
        <v>729</v>
      </c>
      <c r="K1683" s="36">
        <v>1042.47</v>
      </c>
    </row>
    <row r="1684" spans="1:11" x14ac:dyDescent="0.3">
      <c r="A1684" s="36" t="s">
        <v>90</v>
      </c>
      <c r="B1684" s="36">
        <v>2022</v>
      </c>
      <c r="C1684" s="36" t="s">
        <v>0</v>
      </c>
      <c r="D1684" s="36" t="s">
        <v>91</v>
      </c>
      <c r="E1684" s="36" t="s">
        <v>105</v>
      </c>
      <c r="F1684" s="36" t="s">
        <v>93</v>
      </c>
      <c r="G1684" s="36" t="s">
        <v>94</v>
      </c>
      <c r="H1684" s="36" t="s">
        <v>95</v>
      </c>
      <c r="I1684" s="36" t="s">
        <v>98</v>
      </c>
      <c r="J1684" s="36">
        <v>369</v>
      </c>
      <c r="K1684" s="36">
        <v>527.66999999999996</v>
      </c>
    </row>
    <row r="1685" spans="1:11" x14ac:dyDescent="0.3">
      <c r="A1685" s="36" t="s">
        <v>99</v>
      </c>
      <c r="B1685" s="36">
        <v>2022</v>
      </c>
      <c r="C1685" s="36" t="s">
        <v>0</v>
      </c>
      <c r="D1685" s="36" t="s">
        <v>91</v>
      </c>
      <c r="E1685" s="36" t="s">
        <v>105</v>
      </c>
      <c r="F1685" s="36" t="s">
        <v>93</v>
      </c>
      <c r="G1685" s="36" t="s">
        <v>94</v>
      </c>
      <c r="H1685" s="36" t="s">
        <v>95</v>
      </c>
      <c r="I1685" s="36" t="s">
        <v>98</v>
      </c>
      <c r="J1685" s="36">
        <v>768</v>
      </c>
      <c r="K1685" s="36">
        <v>526.24</v>
      </c>
    </row>
    <row r="1686" spans="1:11" x14ac:dyDescent="0.3">
      <c r="A1686" s="36" t="s">
        <v>97</v>
      </c>
      <c r="B1686" s="36">
        <v>2022</v>
      </c>
      <c r="C1686" s="36" t="s">
        <v>0</v>
      </c>
      <c r="D1686" s="36" t="s">
        <v>91</v>
      </c>
      <c r="E1686" s="36" t="s">
        <v>105</v>
      </c>
      <c r="F1686" s="36" t="s">
        <v>93</v>
      </c>
      <c r="G1686" s="36" t="s">
        <v>94</v>
      </c>
      <c r="H1686" s="36" t="s">
        <v>95</v>
      </c>
      <c r="I1686" s="36" t="s">
        <v>98</v>
      </c>
      <c r="J1686" s="36">
        <v>169</v>
      </c>
      <c r="K1686" s="36">
        <v>241.67000000000002</v>
      </c>
    </row>
    <row r="1687" spans="1:11" x14ac:dyDescent="0.3">
      <c r="A1687" s="36" t="s">
        <v>97</v>
      </c>
      <c r="B1687" s="36">
        <v>2022</v>
      </c>
      <c r="C1687" s="36" t="s">
        <v>0</v>
      </c>
      <c r="D1687" s="36" t="s">
        <v>91</v>
      </c>
      <c r="E1687" s="36" t="s">
        <v>105</v>
      </c>
      <c r="F1687" s="36" t="s">
        <v>93</v>
      </c>
      <c r="G1687" s="36" t="s">
        <v>94</v>
      </c>
      <c r="H1687" s="36" t="s">
        <v>95</v>
      </c>
      <c r="I1687" s="36" t="s">
        <v>98</v>
      </c>
      <c r="J1687" s="36">
        <v>371</v>
      </c>
      <c r="K1687" s="36">
        <v>530.53</v>
      </c>
    </row>
    <row r="1688" spans="1:11" x14ac:dyDescent="0.3">
      <c r="A1688" s="36" t="s">
        <v>90</v>
      </c>
      <c r="B1688" s="36">
        <v>2022</v>
      </c>
      <c r="C1688" s="36" t="s">
        <v>0</v>
      </c>
      <c r="D1688" s="36" t="s">
        <v>91</v>
      </c>
      <c r="E1688" s="36" t="s">
        <v>105</v>
      </c>
      <c r="F1688" s="36" t="s">
        <v>93</v>
      </c>
      <c r="G1688" s="36" t="s">
        <v>94</v>
      </c>
      <c r="H1688" s="36" t="s">
        <v>95</v>
      </c>
      <c r="I1688" s="36" t="s">
        <v>98</v>
      </c>
      <c r="J1688" s="36">
        <v>173</v>
      </c>
      <c r="K1688" s="36">
        <v>247.39</v>
      </c>
    </row>
    <row r="1689" spans="1:11" x14ac:dyDescent="0.3">
      <c r="A1689" s="36" t="s">
        <v>90</v>
      </c>
      <c r="B1689" s="36">
        <v>2022</v>
      </c>
      <c r="C1689" s="36" t="s">
        <v>6</v>
      </c>
      <c r="D1689" s="36" t="s">
        <v>91</v>
      </c>
      <c r="E1689" s="36" t="s">
        <v>105</v>
      </c>
      <c r="F1689" s="36" t="s">
        <v>93</v>
      </c>
      <c r="G1689" s="36" t="s">
        <v>94</v>
      </c>
      <c r="H1689" s="36" t="s">
        <v>95</v>
      </c>
      <c r="I1689" s="36" t="s">
        <v>98</v>
      </c>
      <c r="J1689" s="36">
        <v>338</v>
      </c>
      <c r="K1689" s="36">
        <v>459.68</v>
      </c>
    </row>
    <row r="1690" spans="1:11" x14ac:dyDescent="0.3">
      <c r="A1690" s="36" t="s">
        <v>101</v>
      </c>
      <c r="B1690" s="36">
        <v>2022</v>
      </c>
      <c r="C1690" s="36" t="s">
        <v>6</v>
      </c>
      <c r="D1690" s="36" t="s">
        <v>91</v>
      </c>
      <c r="E1690" s="36" t="s">
        <v>105</v>
      </c>
      <c r="F1690" s="36" t="s">
        <v>93</v>
      </c>
      <c r="G1690" s="36" t="s">
        <v>94</v>
      </c>
      <c r="H1690" s="36" t="s">
        <v>95</v>
      </c>
      <c r="I1690" s="36" t="s">
        <v>98</v>
      </c>
      <c r="J1690" s="36">
        <v>140</v>
      </c>
      <c r="K1690" s="36">
        <v>200.2</v>
      </c>
    </row>
    <row r="1691" spans="1:11" x14ac:dyDescent="0.3">
      <c r="A1691" s="36" t="s">
        <v>97</v>
      </c>
      <c r="B1691" s="36">
        <v>2022</v>
      </c>
      <c r="C1691" s="36" t="s">
        <v>6</v>
      </c>
      <c r="D1691" s="36" t="s">
        <v>91</v>
      </c>
      <c r="E1691" s="36" t="s">
        <v>105</v>
      </c>
      <c r="F1691" s="36" t="s">
        <v>93</v>
      </c>
      <c r="G1691" s="36" t="s">
        <v>94</v>
      </c>
      <c r="H1691" s="36" t="s">
        <v>95</v>
      </c>
      <c r="I1691" s="36" t="s">
        <v>98</v>
      </c>
      <c r="J1691" s="36">
        <v>340</v>
      </c>
      <c r="K1691" s="36">
        <v>486.2</v>
      </c>
    </row>
    <row r="1692" spans="1:11" x14ac:dyDescent="0.3">
      <c r="A1692" s="36" t="s">
        <v>97</v>
      </c>
      <c r="B1692" s="36">
        <v>2022</v>
      </c>
      <c r="C1692" s="36" t="s">
        <v>6</v>
      </c>
      <c r="D1692" s="36" t="s">
        <v>91</v>
      </c>
      <c r="E1692" s="36" t="s">
        <v>105</v>
      </c>
      <c r="F1692" s="36" t="s">
        <v>93</v>
      </c>
      <c r="G1692" s="36" t="s">
        <v>94</v>
      </c>
      <c r="H1692" s="36" t="s">
        <v>95</v>
      </c>
      <c r="I1692" s="36" t="s">
        <v>98</v>
      </c>
      <c r="J1692" s="36">
        <v>136</v>
      </c>
      <c r="K1692" s="36">
        <v>194.48</v>
      </c>
    </row>
    <row r="1693" spans="1:11" x14ac:dyDescent="0.3">
      <c r="A1693" s="36" t="s">
        <v>90</v>
      </c>
      <c r="B1693" s="36">
        <v>2022</v>
      </c>
      <c r="C1693" s="36" t="s">
        <v>6</v>
      </c>
      <c r="D1693" s="36" t="s">
        <v>91</v>
      </c>
      <c r="E1693" s="36" t="s">
        <v>105</v>
      </c>
      <c r="F1693" s="36" t="s">
        <v>93</v>
      </c>
      <c r="G1693" s="36" t="s">
        <v>94</v>
      </c>
      <c r="H1693" s="36" t="s">
        <v>95</v>
      </c>
      <c r="I1693" s="36" t="s">
        <v>98</v>
      </c>
      <c r="J1693" s="36">
        <v>701</v>
      </c>
      <c r="K1693" s="36">
        <v>1002.4300000000001</v>
      </c>
    </row>
    <row r="1694" spans="1:11" x14ac:dyDescent="0.3">
      <c r="A1694" s="36" t="s">
        <v>99</v>
      </c>
      <c r="B1694" s="36">
        <v>2022</v>
      </c>
      <c r="C1694" s="36" t="s">
        <v>6</v>
      </c>
      <c r="D1694" s="36" t="s">
        <v>91</v>
      </c>
      <c r="E1694" s="36" t="s">
        <v>105</v>
      </c>
      <c r="F1694" s="36" t="s">
        <v>93</v>
      </c>
      <c r="G1694" s="36" t="s">
        <v>94</v>
      </c>
      <c r="H1694" s="36" t="s">
        <v>95</v>
      </c>
      <c r="I1694" s="36" t="s">
        <v>98</v>
      </c>
      <c r="J1694" s="36">
        <v>734</v>
      </c>
      <c r="K1694" s="36">
        <v>1049.6199999999999</v>
      </c>
    </row>
    <row r="1695" spans="1:11" x14ac:dyDescent="0.3">
      <c r="A1695" s="36" t="s">
        <v>90</v>
      </c>
      <c r="B1695" s="36">
        <v>2022</v>
      </c>
      <c r="C1695" s="36" t="s">
        <v>6</v>
      </c>
      <c r="D1695" s="36" t="s">
        <v>91</v>
      </c>
      <c r="E1695" s="36" t="s">
        <v>105</v>
      </c>
      <c r="F1695" s="36" t="s">
        <v>93</v>
      </c>
      <c r="G1695" s="36" t="s">
        <v>94</v>
      </c>
      <c r="H1695" s="36" t="s">
        <v>95</v>
      </c>
      <c r="I1695" s="36" t="s">
        <v>98</v>
      </c>
      <c r="J1695" s="36">
        <v>339</v>
      </c>
      <c r="K1695" s="36">
        <v>526.24</v>
      </c>
    </row>
    <row r="1696" spans="1:11" x14ac:dyDescent="0.3">
      <c r="A1696" s="36" t="s">
        <v>97</v>
      </c>
      <c r="B1696" s="36">
        <v>2022</v>
      </c>
      <c r="C1696" s="36" t="s">
        <v>6</v>
      </c>
      <c r="D1696" s="36" t="s">
        <v>91</v>
      </c>
      <c r="E1696" s="36" t="s">
        <v>105</v>
      </c>
      <c r="F1696" s="36" t="s">
        <v>93</v>
      </c>
      <c r="G1696" s="36" t="s">
        <v>94</v>
      </c>
      <c r="H1696" s="36" t="s">
        <v>95</v>
      </c>
      <c r="I1696" s="36" t="s">
        <v>98</v>
      </c>
      <c r="J1696" s="36">
        <v>773</v>
      </c>
      <c r="K1696" s="36">
        <v>526.24</v>
      </c>
    </row>
    <row r="1697" spans="1:11" x14ac:dyDescent="0.3">
      <c r="A1697" s="36" t="s">
        <v>90</v>
      </c>
      <c r="B1697" s="36">
        <v>2022</v>
      </c>
      <c r="C1697" s="36" t="s">
        <v>6</v>
      </c>
      <c r="D1697" s="36" t="s">
        <v>91</v>
      </c>
      <c r="E1697" s="36" t="s">
        <v>105</v>
      </c>
      <c r="F1697" s="36" t="s">
        <v>93</v>
      </c>
      <c r="G1697" s="36" t="s">
        <v>94</v>
      </c>
      <c r="H1697" s="36" t="s">
        <v>95</v>
      </c>
      <c r="I1697" s="36" t="s">
        <v>98</v>
      </c>
      <c r="J1697" s="36">
        <v>337</v>
      </c>
      <c r="K1697" s="36">
        <v>481.90999999999997</v>
      </c>
    </row>
    <row r="1698" spans="1:11" x14ac:dyDescent="0.3">
      <c r="A1698" s="36" t="s">
        <v>97</v>
      </c>
      <c r="B1698" s="36">
        <v>2022</v>
      </c>
      <c r="C1698" s="36" t="s">
        <v>6</v>
      </c>
      <c r="D1698" s="36" t="s">
        <v>91</v>
      </c>
      <c r="E1698" s="36" t="s">
        <v>105</v>
      </c>
      <c r="F1698" s="36" t="s">
        <v>93</v>
      </c>
      <c r="G1698" s="36" t="s">
        <v>94</v>
      </c>
      <c r="H1698" s="36" t="s">
        <v>95</v>
      </c>
      <c r="I1698" s="36" t="s">
        <v>98</v>
      </c>
      <c r="J1698" s="36">
        <v>139</v>
      </c>
      <c r="K1698" s="36">
        <v>198.76999999999998</v>
      </c>
    </row>
    <row r="1699" spans="1:11" x14ac:dyDescent="0.3">
      <c r="A1699" s="36" t="s">
        <v>101</v>
      </c>
      <c r="B1699" s="36">
        <v>2022</v>
      </c>
      <c r="C1699" s="36" t="s">
        <v>6</v>
      </c>
      <c r="D1699" s="36" t="s">
        <v>91</v>
      </c>
      <c r="E1699" s="36" t="s">
        <v>105</v>
      </c>
      <c r="F1699" s="36" t="s">
        <v>93</v>
      </c>
      <c r="G1699" s="36" t="s">
        <v>94</v>
      </c>
      <c r="H1699" s="36" t="s">
        <v>95</v>
      </c>
      <c r="I1699" s="36" t="s">
        <v>98</v>
      </c>
      <c r="J1699" s="36">
        <v>137</v>
      </c>
      <c r="K1699" s="36">
        <v>195.91</v>
      </c>
    </row>
    <row r="1700" spans="1:11" x14ac:dyDescent="0.3">
      <c r="A1700" s="36" t="s">
        <v>101</v>
      </c>
      <c r="B1700" s="36">
        <v>2022</v>
      </c>
      <c r="C1700" s="36" t="s">
        <v>5</v>
      </c>
      <c r="D1700" s="36" t="s">
        <v>91</v>
      </c>
      <c r="E1700" s="36" t="s">
        <v>105</v>
      </c>
      <c r="F1700" s="36" t="s">
        <v>93</v>
      </c>
      <c r="G1700" s="36" t="s">
        <v>94</v>
      </c>
      <c r="H1700" s="36" t="s">
        <v>95</v>
      </c>
      <c r="I1700" s="36" t="s">
        <v>98</v>
      </c>
      <c r="J1700" s="36">
        <v>344</v>
      </c>
      <c r="K1700" s="36">
        <v>467.84</v>
      </c>
    </row>
    <row r="1701" spans="1:11" x14ac:dyDescent="0.3">
      <c r="A1701" s="36" t="s">
        <v>90</v>
      </c>
      <c r="B1701" s="36">
        <v>2022</v>
      </c>
      <c r="C1701" s="36" t="s">
        <v>5</v>
      </c>
      <c r="D1701" s="36" t="s">
        <v>91</v>
      </c>
      <c r="E1701" s="36" t="s">
        <v>105</v>
      </c>
      <c r="F1701" s="36" t="s">
        <v>93</v>
      </c>
      <c r="G1701" s="36" t="s">
        <v>94</v>
      </c>
      <c r="H1701" s="36" t="s">
        <v>95</v>
      </c>
      <c r="I1701" s="36" t="s">
        <v>98</v>
      </c>
      <c r="J1701" s="36">
        <v>146</v>
      </c>
      <c r="K1701" s="36">
        <v>208.78</v>
      </c>
    </row>
    <row r="1702" spans="1:11" x14ac:dyDescent="0.3">
      <c r="A1702" s="36" t="s">
        <v>97</v>
      </c>
      <c r="B1702" s="36">
        <v>2022</v>
      </c>
      <c r="C1702" s="36" t="s">
        <v>5</v>
      </c>
      <c r="D1702" s="36" t="s">
        <v>91</v>
      </c>
      <c r="E1702" s="36" t="s">
        <v>105</v>
      </c>
      <c r="F1702" s="36" t="s">
        <v>93</v>
      </c>
      <c r="G1702" s="36" t="s">
        <v>94</v>
      </c>
      <c r="H1702" s="36" t="s">
        <v>95</v>
      </c>
      <c r="I1702" s="36" t="s">
        <v>98</v>
      </c>
      <c r="J1702" s="36">
        <v>142</v>
      </c>
      <c r="K1702" s="36">
        <v>203.06</v>
      </c>
    </row>
    <row r="1703" spans="1:11" x14ac:dyDescent="0.3">
      <c r="A1703" s="36" t="s">
        <v>90</v>
      </c>
      <c r="B1703" s="36">
        <v>2022</v>
      </c>
      <c r="C1703" s="36" t="s">
        <v>5</v>
      </c>
      <c r="D1703" s="36" t="s">
        <v>91</v>
      </c>
      <c r="E1703" s="36" t="s">
        <v>105</v>
      </c>
      <c r="F1703" s="36" t="s">
        <v>93</v>
      </c>
      <c r="G1703" s="36" t="s">
        <v>94</v>
      </c>
      <c r="H1703" s="36" t="s">
        <v>95</v>
      </c>
      <c r="I1703" s="36" t="s">
        <v>98</v>
      </c>
      <c r="J1703" s="36">
        <v>700</v>
      </c>
      <c r="K1703" s="36">
        <v>1001</v>
      </c>
    </row>
    <row r="1704" spans="1:11" x14ac:dyDescent="0.3">
      <c r="A1704" s="36" t="s">
        <v>97</v>
      </c>
      <c r="B1704" s="36">
        <v>2022</v>
      </c>
      <c r="C1704" s="36" t="s">
        <v>5</v>
      </c>
      <c r="D1704" s="36" t="s">
        <v>91</v>
      </c>
      <c r="E1704" s="36" t="s">
        <v>105</v>
      </c>
      <c r="F1704" s="36" t="s">
        <v>93</v>
      </c>
      <c r="G1704" s="36" t="s">
        <v>94</v>
      </c>
      <c r="H1704" s="36" t="s">
        <v>95</v>
      </c>
      <c r="I1704" s="36" t="s">
        <v>98</v>
      </c>
      <c r="J1704" s="36">
        <v>733</v>
      </c>
      <c r="K1704" s="36">
        <v>1048.19</v>
      </c>
    </row>
    <row r="1705" spans="1:11" x14ac:dyDescent="0.3">
      <c r="A1705" s="36" t="s">
        <v>97</v>
      </c>
      <c r="B1705" s="36">
        <v>2022</v>
      </c>
      <c r="C1705" s="36" t="s">
        <v>5</v>
      </c>
      <c r="D1705" s="36" t="s">
        <v>91</v>
      </c>
      <c r="E1705" s="36" t="s">
        <v>105</v>
      </c>
      <c r="F1705" s="36" t="s">
        <v>93</v>
      </c>
      <c r="G1705" s="36" t="s">
        <v>94</v>
      </c>
      <c r="H1705" s="36" t="s">
        <v>95</v>
      </c>
      <c r="I1705" s="36" t="s">
        <v>98</v>
      </c>
      <c r="J1705" s="36">
        <v>345</v>
      </c>
      <c r="K1705" s="36">
        <v>526.24</v>
      </c>
    </row>
    <row r="1706" spans="1:11" x14ac:dyDescent="0.3">
      <c r="A1706" s="36" t="s">
        <v>97</v>
      </c>
      <c r="B1706" s="36">
        <v>2022</v>
      </c>
      <c r="C1706" s="36" t="s">
        <v>5</v>
      </c>
      <c r="D1706" s="36" t="s">
        <v>91</v>
      </c>
      <c r="E1706" s="36" t="s">
        <v>105</v>
      </c>
      <c r="F1706" s="36" t="s">
        <v>93</v>
      </c>
      <c r="G1706" s="36" t="s">
        <v>94</v>
      </c>
      <c r="H1706" s="36" t="s">
        <v>95</v>
      </c>
      <c r="I1706" s="36" t="s">
        <v>98</v>
      </c>
      <c r="J1706" s="36">
        <v>343</v>
      </c>
      <c r="K1706" s="36">
        <v>490.49</v>
      </c>
    </row>
    <row r="1707" spans="1:11" x14ac:dyDescent="0.3">
      <c r="A1707" s="36" t="s">
        <v>97</v>
      </c>
      <c r="B1707" s="36">
        <v>2022</v>
      </c>
      <c r="C1707" s="36" t="s">
        <v>5</v>
      </c>
      <c r="D1707" s="36" t="s">
        <v>91</v>
      </c>
      <c r="E1707" s="36" t="s">
        <v>105</v>
      </c>
      <c r="F1707" s="36" t="s">
        <v>93</v>
      </c>
      <c r="G1707" s="36" t="s">
        <v>94</v>
      </c>
      <c r="H1707" s="36" t="s">
        <v>95</v>
      </c>
      <c r="I1707" s="36" t="s">
        <v>98</v>
      </c>
      <c r="J1707" s="36">
        <v>145</v>
      </c>
      <c r="K1707" s="36">
        <v>207.35</v>
      </c>
    </row>
    <row r="1708" spans="1:11" x14ac:dyDescent="0.3">
      <c r="A1708" s="36" t="s">
        <v>97</v>
      </c>
      <c r="B1708" s="36">
        <v>2022</v>
      </c>
      <c r="C1708" s="36" t="s">
        <v>5</v>
      </c>
      <c r="D1708" s="36" t="s">
        <v>91</v>
      </c>
      <c r="E1708" s="36" t="s">
        <v>105</v>
      </c>
      <c r="F1708" s="36" t="s">
        <v>93</v>
      </c>
      <c r="G1708" s="36" t="s">
        <v>94</v>
      </c>
      <c r="H1708" s="36" t="s">
        <v>95</v>
      </c>
      <c r="I1708" s="36" t="s">
        <v>98</v>
      </c>
      <c r="J1708" s="36">
        <v>341</v>
      </c>
      <c r="K1708" s="36">
        <v>487.63</v>
      </c>
    </row>
    <row r="1709" spans="1:11" x14ac:dyDescent="0.3">
      <c r="A1709" s="36" t="s">
        <v>90</v>
      </c>
      <c r="B1709" s="36">
        <v>2022</v>
      </c>
      <c r="C1709" s="36" t="s">
        <v>5</v>
      </c>
      <c r="D1709" s="36" t="s">
        <v>91</v>
      </c>
      <c r="E1709" s="36" t="s">
        <v>105</v>
      </c>
      <c r="F1709" s="36" t="s">
        <v>93</v>
      </c>
      <c r="G1709" s="36" t="s">
        <v>94</v>
      </c>
      <c r="H1709" s="36" t="s">
        <v>95</v>
      </c>
      <c r="I1709" s="36" t="s">
        <v>98</v>
      </c>
      <c r="J1709" s="36">
        <v>143</v>
      </c>
      <c r="K1709" s="36">
        <v>204.49</v>
      </c>
    </row>
    <row r="1710" spans="1:11" x14ac:dyDescent="0.3">
      <c r="A1710" s="36" t="s">
        <v>101</v>
      </c>
      <c r="B1710" s="36">
        <v>2022</v>
      </c>
      <c r="C1710" s="36" t="s">
        <v>2</v>
      </c>
      <c r="D1710" s="36" t="s">
        <v>91</v>
      </c>
      <c r="E1710" s="36" t="s">
        <v>105</v>
      </c>
      <c r="F1710" s="36" t="s">
        <v>93</v>
      </c>
      <c r="G1710" s="36" t="s">
        <v>94</v>
      </c>
      <c r="H1710" s="36" t="s">
        <v>95</v>
      </c>
      <c r="I1710" s="36" t="s">
        <v>98</v>
      </c>
      <c r="J1710" s="36">
        <v>158</v>
      </c>
      <c r="K1710" s="36">
        <v>225.94</v>
      </c>
    </row>
    <row r="1711" spans="1:11" x14ac:dyDescent="0.3">
      <c r="A1711" s="36" t="s">
        <v>99</v>
      </c>
      <c r="B1711" s="36">
        <v>2022</v>
      </c>
      <c r="C1711" s="36" t="s">
        <v>2</v>
      </c>
      <c r="D1711" s="36" t="s">
        <v>91</v>
      </c>
      <c r="E1711" s="36" t="s">
        <v>105</v>
      </c>
      <c r="F1711" s="36" t="s">
        <v>93</v>
      </c>
      <c r="G1711" s="36" t="s">
        <v>94</v>
      </c>
      <c r="H1711" s="36" t="s">
        <v>95</v>
      </c>
      <c r="I1711" s="36" t="s">
        <v>98</v>
      </c>
      <c r="J1711" s="36">
        <v>358</v>
      </c>
      <c r="K1711" s="36">
        <v>511.94</v>
      </c>
    </row>
    <row r="1712" spans="1:11" x14ac:dyDescent="0.3">
      <c r="A1712" s="36" t="s">
        <v>99</v>
      </c>
      <c r="B1712" s="36">
        <v>2022</v>
      </c>
      <c r="C1712" s="36" t="s">
        <v>2</v>
      </c>
      <c r="D1712" s="36" t="s">
        <v>91</v>
      </c>
      <c r="E1712" s="36" t="s">
        <v>105</v>
      </c>
      <c r="F1712" s="36" t="s">
        <v>93</v>
      </c>
      <c r="G1712" s="36" t="s">
        <v>94</v>
      </c>
      <c r="H1712" s="36" t="s">
        <v>95</v>
      </c>
      <c r="I1712" s="36" t="s">
        <v>98</v>
      </c>
      <c r="J1712" s="36">
        <v>160</v>
      </c>
      <c r="K1712" s="36">
        <v>228.8</v>
      </c>
    </row>
    <row r="1713" spans="1:11" x14ac:dyDescent="0.3">
      <c r="A1713" s="36" t="s">
        <v>100</v>
      </c>
      <c r="B1713" s="36">
        <v>2022</v>
      </c>
      <c r="C1713" s="36" t="s">
        <v>2</v>
      </c>
      <c r="D1713" s="36" t="s">
        <v>91</v>
      </c>
      <c r="E1713" s="36" t="s">
        <v>105</v>
      </c>
      <c r="F1713" s="36" t="s">
        <v>93</v>
      </c>
      <c r="G1713" s="36" t="s">
        <v>94</v>
      </c>
      <c r="H1713" s="36" t="s">
        <v>95</v>
      </c>
      <c r="I1713" s="36" t="s">
        <v>98</v>
      </c>
      <c r="J1713" s="36">
        <v>697</v>
      </c>
      <c r="K1713" s="36">
        <v>996.71</v>
      </c>
    </row>
    <row r="1714" spans="1:11" x14ac:dyDescent="0.3">
      <c r="A1714" s="36" t="s">
        <v>100</v>
      </c>
      <c r="B1714" s="36">
        <v>2022</v>
      </c>
      <c r="C1714" s="36" t="s">
        <v>2</v>
      </c>
      <c r="D1714" s="36" t="s">
        <v>91</v>
      </c>
      <c r="E1714" s="36" t="s">
        <v>105</v>
      </c>
      <c r="F1714" s="36" t="s">
        <v>93</v>
      </c>
      <c r="G1714" s="36" t="s">
        <v>94</v>
      </c>
      <c r="H1714" s="36" t="s">
        <v>95</v>
      </c>
      <c r="I1714" s="36" t="s">
        <v>98</v>
      </c>
      <c r="J1714" s="36">
        <v>730</v>
      </c>
      <c r="K1714" s="36">
        <v>1043.9000000000001</v>
      </c>
    </row>
    <row r="1715" spans="1:11" x14ac:dyDescent="0.3">
      <c r="A1715" s="36" t="s">
        <v>90</v>
      </c>
      <c r="B1715" s="36">
        <v>2022</v>
      </c>
      <c r="C1715" s="36" t="s">
        <v>2</v>
      </c>
      <c r="D1715" s="36" t="s">
        <v>91</v>
      </c>
      <c r="E1715" s="36" t="s">
        <v>105</v>
      </c>
      <c r="F1715" s="36" t="s">
        <v>93</v>
      </c>
      <c r="G1715" s="36" t="s">
        <v>94</v>
      </c>
      <c r="H1715" s="36" t="s">
        <v>95</v>
      </c>
      <c r="I1715" s="36" t="s">
        <v>98</v>
      </c>
      <c r="J1715" s="36">
        <v>357</v>
      </c>
      <c r="K1715" s="36">
        <v>510.51</v>
      </c>
    </row>
    <row r="1716" spans="1:11" x14ac:dyDescent="0.3">
      <c r="A1716" s="36" t="s">
        <v>97</v>
      </c>
      <c r="B1716" s="36">
        <v>2022</v>
      </c>
      <c r="C1716" s="36" t="s">
        <v>2</v>
      </c>
      <c r="D1716" s="36" t="s">
        <v>91</v>
      </c>
      <c r="E1716" s="36" t="s">
        <v>105</v>
      </c>
      <c r="F1716" s="36" t="s">
        <v>93</v>
      </c>
      <c r="G1716" s="36" t="s">
        <v>94</v>
      </c>
      <c r="H1716" s="36" t="s">
        <v>95</v>
      </c>
      <c r="I1716" s="36" t="s">
        <v>98</v>
      </c>
      <c r="J1716" s="36">
        <v>770</v>
      </c>
      <c r="K1716" s="36">
        <v>526.24</v>
      </c>
    </row>
    <row r="1717" spans="1:11" x14ac:dyDescent="0.3">
      <c r="A1717" s="36" t="s">
        <v>97</v>
      </c>
      <c r="B1717" s="36">
        <v>2022</v>
      </c>
      <c r="C1717" s="36" t="s">
        <v>2</v>
      </c>
      <c r="D1717" s="36" t="s">
        <v>91</v>
      </c>
      <c r="E1717" s="36" t="s">
        <v>105</v>
      </c>
      <c r="F1717" s="36" t="s">
        <v>93</v>
      </c>
      <c r="G1717" s="36" t="s">
        <v>94</v>
      </c>
      <c r="H1717" s="36" t="s">
        <v>95</v>
      </c>
      <c r="I1717" s="36" t="s">
        <v>98</v>
      </c>
      <c r="J1717" s="36">
        <v>361</v>
      </c>
      <c r="K1717" s="36">
        <v>516.23</v>
      </c>
    </row>
    <row r="1718" spans="1:11" x14ac:dyDescent="0.3">
      <c r="A1718" s="36" t="s">
        <v>97</v>
      </c>
      <c r="B1718" s="36">
        <v>2022</v>
      </c>
      <c r="C1718" s="36" t="s">
        <v>2</v>
      </c>
      <c r="D1718" s="36" t="s">
        <v>91</v>
      </c>
      <c r="E1718" s="36" t="s">
        <v>105</v>
      </c>
      <c r="F1718" s="36" t="s">
        <v>93</v>
      </c>
      <c r="G1718" s="36" t="s">
        <v>94</v>
      </c>
      <c r="H1718" s="36" t="s">
        <v>95</v>
      </c>
      <c r="I1718" s="36" t="s">
        <v>98</v>
      </c>
      <c r="J1718" s="36">
        <v>359</v>
      </c>
      <c r="K1718" s="36">
        <v>513.37</v>
      </c>
    </row>
    <row r="1719" spans="1:11" x14ac:dyDescent="0.3">
      <c r="A1719" s="36" t="s">
        <v>97</v>
      </c>
      <c r="B1719" s="36">
        <v>2022</v>
      </c>
      <c r="C1719" s="36" t="s">
        <v>2</v>
      </c>
      <c r="D1719" s="36" t="s">
        <v>91</v>
      </c>
      <c r="E1719" s="36" t="s">
        <v>105</v>
      </c>
      <c r="F1719" s="36" t="s">
        <v>93</v>
      </c>
      <c r="G1719" s="36" t="s">
        <v>94</v>
      </c>
      <c r="H1719" s="36" t="s">
        <v>95</v>
      </c>
      <c r="I1719" s="36" t="s">
        <v>98</v>
      </c>
      <c r="J1719" s="36">
        <v>161</v>
      </c>
      <c r="K1719" s="36">
        <v>230.23000000000002</v>
      </c>
    </row>
    <row r="1720" spans="1:11" x14ac:dyDescent="0.3">
      <c r="A1720" s="36" t="s">
        <v>97</v>
      </c>
      <c r="B1720" s="36">
        <v>2022</v>
      </c>
      <c r="C1720" s="36" t="s">
        <v>4</v>
      </c>
      <c r="D1720" s="36" t="s">
        <v>91</v>
      </c>
      <c r="E1720" s="36" t="s">
        <v>105</v>
      </c>
      <c r="F1720" s="36" t="s">
        <v>93</v>
      </c>
      <c r="G1720" s="36" t="s">
        <v>94</v>
      </c>
      <c r="H1720" s="36" t="s">
        <v>95</v>
      </c>
      <c r="I1720" s="36" t="s">
        <v>98</v>
      </c>
      <c r="J1720" s="36">
        <v>350</v>
      </c>
      <c r="K1720" s="36">
        <v>476</v>
      </c>
    </row>
    <row r="1721" spans="1:11" x14ac:dyDescent="0.3">
      <c r="A1721" s="36" t="s">
        <v>97</v>
      </c>
      <c r="B1721" s="36">
        <v>2022</v>
      </c>
      <c r="C1721" s="36" t="s">
        <v>4</v>
      </c>
      <c r="D1721" s="36" t="s">
        <v>91</v>
      </c>
      <c r="E1721" s="36" t="s">
        <v>105</v>
      </c>
      <c r="F1721" s="36" t="s">
        <v>93</v>
      </c>
      <c r="G1721" s="36" t="s">
        <v>94</v>
      </c>
      <c r="H1721" s="36" t="s">
        <v>95</v>
      </c>
      <c r="I1721" s="36" t="s">
        <v>98</v>
      </c>
      <c r="J1721" s="36">
        <v>346</v>
      </c>
      <c r="K1721" s="36">
        <v>494.78</v>
      </c>
    </row>
    <row r="1722" spans="1:11" x14ac:dyDescent="0.3">
      <c r="A1722" s="36" t="s">
        <v>99</v>
      </c>
      <c r="B1722" s="36">
        <v>2022</v>
      </c>
      <c r="C1722" s="36" t="s">
        <v>4</v>
      </c>
      <c r="D1722" s="36" t="s">
        <v>91</v>
      </c>
      <c r="E1722" s="36" t="s">
        <v>105</v>
      </c>
      <c r="F1722" s="36" t="s">
        <v>93</v>
      </c>
      <c r="G1722" s="36" t="s">
        <v>94</v>
      </c>
      <c r="H1722" s="36" t="s">
        <v>95</v>
      </c>
      <c r="I1722" s="36" t="s">
        <v>98</v>
      </c>
      <c r="J1722" s="36">
        <v>148</v>
      </c>
      <c r="K1722" s="36">
        <v>211.64</v>
      </c>
    </row>
    <row r="1723" spans="1:11" x14ac:dyDescent="0.3">
      <c r="A1723" s="36" t="s">
        <v>97</v>
      </c>
      <c r="B1723" s="36">
        <v>2022</v>
      </c>
      <c r="C1723" s="36" t="s">
        <v>4</v>
      </c>
      <c r="D1723" s="36" t="s">
        <v>91</v>
      </c>
      <c r="E1723" s="36" t="s">
        <v>105</v>
      </c>
      <c r="F1723" s="36" t="s">
        <v>93</v>
      </c>
      <c r="G1723" s="36" t="s">
        <v>94</v>
      </c>
      <c r="H1723" s="36" t="s">
        <v>95</v>
      </c>
      <c r="I1723" s="36" t="s">
        <v>98</v>
      </c>
      <c r="J1723" s="36">
        <v>699</v>
      </c>
      <c r="K1723" s="36">
        <v>999.56999999999994</v>
      </c>
    </row>
    <row r="1724" spans="1:11" x14ac:dyDescent="0.3">
      <c r="A1724" s="36" t="s">
        <v>90</v>
      </c>
      <c r="B1724" s="36">
        <v>2022</v>
      </c>
      <c r="C1724" s="36" t="s">
        <v>4</v>
      </c>
      <c r="D1724" s="36" t="s">
        <v>91</v>
      </c>
      <c r="E1724" s="36" t="s">
        <v>105</v>
      </c>
      <c r="F1724" s="36" t="s">
        <v>93</v>
      </c>
      <c r="G1724" s="36" t="s">
        <v>94</v>
      </c>
      <c r="H1724" s="36" t="s">
        <v>95</v>
      </c>
      <c r="I1724" s="36" t="s">
        <v>98</v>
      </c>
      <c r="J1724" s="36">
        <v>732</v>
      </c>
      <c r="K1724" s="36">
        <v>1046.76</v>
      </c>
    </row>
    <row r="1725" spans="1:11" x14ac:dyDescent="0.3">
      <c r="A1725" s="36" t="s">
        <v>90</v>
      </c>
      <c r="B1725" s="36">
        <v>2022</v>
      </c>
      <c r="C1725" s="36" t="s">
        <v>4</v>
      </c>
      <c r="D1725" s="36" t="s">
        <v>91</v>
      </c>
      <c r="E1725" s="36" t="s">
        <v>105</v>
      </c>
      <c r="F1725" s="36" t="s">
        <v>93</v>
      </c>
      <c r="G1725" s="36" t="s">
        <v>94</v>
      </c>
      <c r="H1725" s="36" t="s">
        <v>95</v>
      </c>
      <c r="I1725" s="36" t="s">
        <v>98</v>
      </c>
      <c r="J1725" s="36">
        <v>351</v>
      </c>
      <c r="K1725" s="36">
        <v>526.24</v>
      </c>
    </row>
    <row r="1726" spans="1:11" x14ac:dyDescent="0.3">
      <c r="A1726" s="36" t="s">
        <v>97</v>
      </c>
      <c r="B1726" s="36">
        <v>2022</v>
      </c>
      <c r="C1726" s="36" t="s">
        <v>4</v>
      </c>
      <c r="D1726" s="36" t="s">
        <v>91</v>
      </c>
      <c r="E1726" s="36" t="s">
        <v>105</v>
      </c>
      <c r="F1726" s="36" t="s">
        <v>93</v>
      </c>
      <c r="G1726" s="36" t="s">
        <v>94</v>
      </c>
      <c r="H1726" s="36" t="s">
        <v>95</v>
      </c>
      <c r="I1726" s="36" t="s">
        <v>98</v>
      </c>
      <c r="J1726" s="36">
        <v>772</v>
      </c>
      <c r="K1726" s="36">
        <v>526.24</v>
      </c>
    </row>
    <row r="1727" spans="1:11" x14ac:dyDescent="0.3">
      <c r="A1727" s="36" t="s">
        <v>99</v>
      </c>
      <c r="B1727" s="36">
        <v>2022</v>
      </c>
      <c r="C1727" s="36" t="s">
        <v>4</v>
      </c>
      <c r="D1727" s="36" t="s">
        <v>91</v>
      </c>
      <c r="E1727" s="36" t="s">
        <v>105</v>
      </c>
      <c r="F1727" s="36" t="s">
        <v>93</v>
      </c>
      <c r="G1727" s="36" t="s">
        <v>94</v>
      </c>
      <c r="H1727" s="36" t="s">
        <v>95</v>
      </c>
      <c r="I1727" s="36" t="s">
        <v>98</v>
      </c>
      <c r="J1727" s="36">
        <v>349</v>
      </c>
      <c r="K1727" s="36">
        <v>499.07</v>
      </c>
    </row>
    <row r="1728" spans="1:11" x14ac:dyDescent="0.3">
      <c r="A1728" s="36" t="s">
        <v>97</v>
      </c>
      <c r="B1728" s="36">
        <v>2022</v>
      </c>
      <c r="C1728" s="36" t="s">
        <v>4</v>
      </c>
      <c r="D1728" s="36" t="s">
        <v>91</v>
      </c>
      <c r="E1728" s="36" t="s">
        <v>105</v>
      </c>
      <c r="F1728" s="36" t="s">
        <v>93</v>
      </c>
      <c r="G1728" s="36" t="s">
        <v>94</v>
      </c>
      <c r="H1728" s="36" t="s">
        <v>95</v>
      </c>
      <c r="I1728" s="36" t="s">
        <v>98</v>
      </c>
      <c r="J1728" s="36">
        <v>151</v>
      </c>
      <c r="K1728" s="36">
        <v>215.93</v>
      </c>
    </row>
    <row r="1729" spans="1:11" x14ac:dyDescent="0.3">
      <c r="A1729" s="36" t="s">
        <v>99</v>
      </c>
      <c r="B1729" s="36">
        <v>2022</v>
      </c>
      <c r="C1729" s="36" t="s">
        <v>4</v>
      </c>
      <c r="D1729" s="36" t="s">
        <v>91</v>
      </c>
      <c r="E1729" s="36" t="s">
        <v>105</v>
      </c>
      <c r="F1729" s="36" t="s">
        <v>93</v>
      </c>
      <c r="G1729" s="36" t="s">
        <v>94</v>
      </c>
      <c r="H1729" s="36" t="s">
        <v>95</v>
      </c>
      <c r="I1729" s="36" t="s">
        <v>98</v>
      </c>
      <c r="J1729" s="36">
        <v>347</v>
      </c>
      <c r="K1729" s="36">
        <v>496.21000000000004</v>
      </c>
    </row>
    <row r="1730" spans="1:11" x14ac:dyDescent="0.3">
      <c r="A1730" s="36" t="s">
        <v>97</v>
      </c>
      <c r="B1730" s="36">
        <v>2022</v>
      </c>
      <c r="C1730" s="36" t="s">
        <v>4</v>
      </c>
      <c r="D1730" s="36" t="s">
        <v>91</v>
      </c>
      <c r="E1730" s="36" t="s">
        <v>105</v>
      </c>
      <c r="F1730" s="36" t="s">
        <v>93</v>
      </c>
      <c r="G1730" s="36" t="s">
        <v>94</v>
      </c>
      <c r="H1730" s="36" t="s">
        <v>95</v>
      </c>
      <c r="I1730" s="36" t="s">
        <v>98</v>
      </c>
      <c r="J1730" s="36">
        <v>149</v>
      </c>
      <c r="K1730" s="36">
        <v>213.07</v>
      </c>
    </row>
    <row r="1731" spans="1:11" x14ac:dyDescent="0.3">
      <c r="A1731" s="36" t="s">
        <v>99</v>
      </c>
      <c r="B1731" s="36">
        <v>2022</v>
      </c>
      <c r="C1731" s="36" t="s">
        <v>10</v>
      </c>
      <c r="D1731" s="36" t="s">
        <v>91</v>
      </c>
      <c r="E1731" s="36" t="s">
        <v>105</v>
      </c>
      <c r="F1731" s="36" t="s">
        <v>93</v>
      </c>
      <c r="G1731" s="36" t="s">
        <v>94</v>
      </c>
      <c r="H1731" s="36" t="s">
        <v>95</v>
      </c>
      <c r="I1731" s="36" t="s">
        <v>98</v>
      </c>
      <c r="J1731" s="36">
        <v>146</v>
      </c>
      <c r="K1731" s="36">
        <v>208.78</v>
      </c>
    </row>
    <row r="1732" spans="1:11" x14ac:dyDescent="0.3">
      <c r="A1732" s="36" t="s">
        <v>101</v>
      </c>
      <c r="B1732" s="36">
        <v>2022</v>
      </c>
      <c r="C1732" s="36" t="s">
        <v>10</v>
      </c>
      <c r="D1732" s="36" t="s">
        <v>91</v>
      </c>
      <c r="E1732" s="36" t="s">
        <v>105</v>
      </c>
      <c r="F1732" s="36" t="s">
        <v>93</v>
      </c>
      <c r="G1732" s="36" t="s">
        <v>94</v>
      </c>
      <c r="H1732" s="36" t="s">
        <v>95</v>
      </c>
      <c r="I1732" s="36" t="s">
        <v>98</v>
      </c>
      <c r="J1732" s="36">
        <v>314</v>
      </c>
      <c r="K1732" s="36">
        <v>449.02</v>
      </c>
    </row>
    <row r="1733" spans="1:11" x14ac:dyDescent="0.3">
      <c r="A1733" s="36" t="s">
        <v>90</v>
      </c>
      <c r="B1733" s="36">
        <v>2022</v>
      </c>
      <c r="C1733" s="36" t="s">
        <v>10</v>
      </c>
      <c r="D1733" s="36" t="s">
        <v>91</v>
      </c>
      <c r="E1733" s="36" t="s">
        <v>105</v>
      </c>
      <c r="F1733" s="36" t="s">
        <v>93</v>
      </c>
      <c r="G1733" s="36" t="s">
        <v>94</v>
      </c>
      <c r="H1733" s="36" t="s">
        <v>95</v>
      </c>
      <c r="I1733" s="36" t="s">
        <v>98</v>
      </c>
      <c r="J1733" s="36">
        <v>362</v>
      </c>
      <c r="K1733" s="36">
        <v>517.66</v>
      </c>
    </row>
    <row r="1734" spans="1:11" x14ac:dyDescent="0.3">
      <c r="A1734" s="36" t="s">
        <v>99</v>
      </c>
      <c r="B1734" s="36">
        <v>2022</v>
      </c>
      <c r="C1734" s="36" t="s">
        <v>10</v>
      </c>
      <c r="D1734" s="36" t="s">
        <v>91</v>
      </c>
      <c r="E1734" s="36" t="s">
        <v>105</v>
      </c>
      <c r="F1734" s="36" t="s">
        <v>93</v>
      </c>
      <c r="G1734" s="36" t="s">
        <v>94</v>
      </c>
      <c r="H1734" s="36" t="s">
        <v>95</v>
      </c>
      <c r="I1734" s="36" t="s">
        <v>98</v>
      </c>
      <c r="J1734" s="36">
        <v>142</v>
      </c>
      <c r="K1734" s="36">
        <v>203.06</v>
      </c>
    </row>
    <row r="1735" spans="1:11" x14ac:dyDescent="0.3">
      <c r="A1735" s="36" t="s">
        <v>90</v>
      </c>
      <c r="B1735" s="36">
        <v>2022</v>
      </c>
      <c r="C1735" s="36" t="s">
        <v>10</v>
      </c>
      <c r="D1735" s="36" t="s">
        <v>91</v>
      </c>
      <c r="E1735" s="36" t="s">
        <v>105</v>
      </c>
      <c r="F1735" s="36" t="s">
        <v>93</v>
      </c>
      <c r="G1735" s="36" t="s">
        <v>94</v>
      </c>
      <c r="H1735" s="36" t="s">
        <v>95</v>
      </c>
      <c r="I1735" s="36" t="s">
        <v>98</v>
      </c>
      <c r="J1735" s="36">
        <v>316</v>
      </c>
      <c r="K1735" s="36">
        <v>451.88</v>
      </c>
    </row>
    <row r="1736" spans="1:11" x14ac:dyDescent="0.3">
      <c r="A1736" s="36" t="s">
        <v>97</v>
      </c>
      <c r="B1736" s="36">
        <v>2022</v>
      </c>
      <c r="C1736" s="36" t="s">
        <v>10</v>
      </c>
      <c r="D1736" s="36" t="s">
        <v>91</v>
      </c>
      <c r="E1736" s="36" t="s">
        <v>105</v>
      </c>
      <c r="F1736" s="36" t="s">
        <v>93</v>
      </c>
      <c r="G1736" s="36" t="s">
        <v>94</v>
      </c>
      <c r="H1736" s="36" t="s">
        <v>95</v>
      </c>
      <c r="I1736" s="36" t="s">
        <v>98</v>
      </c>
      <c r="J1736" s="36">
        <v>364</v>
      </c>
      <c r="K1736" s="36">
        <v>520.52</v>
      </c>
    </row>
    <row r="1737" spans="1:11" x14ac:dyDescent="0.3">
      <c r="A1737" s="36" t="s">
        <v>90</v>
      </c>
      <c r="B1737" s="36">
        <v>2022</v>
      </c>
      <c r="C1737" s="36" t="s">
        <v>10</v>
      </c>
      <c r="D1737" s="36" t="s">
        <v>91</v>
      </c>
      <c r="E1737" s="36" t="s">
        <v>105</v>
      </c>
      <c r="F1737" s="36" t="s">
        <v>93</v>
      </c>
      <c r="G1737" s="36" t="s">
        <v>94</v>
      </c>
      <c r="H1737" s="36" t="s">
        <v>95</v>
      </c>
      <c r="I1737" s="36" t="s">
        <v>98</v>
      </c>
      <c r="J1737" s="36">
        <v>144</v>
      </c>
      <c r="K1737" s="36">
        <v>205.92000000000002</v>
      </c>
    </row>
    <row r="1738" spans="1:11" x14ac:dyDescent="0.3">
      <c r="A1738" s="36" t="s">
        <v>99</v>
      </c>
      <c r="B1738" s="36">
        <v>2022</v>
      </c>
      <c r="C1738" s="36" t="s">
        <v>10</v>
      </c>
      <c r="D1738" s="36" t="s">
        <v>91</v>
      </c>
      <c r="E1738" s="36" t="s">
        <v>105</v>
      </c>
      <c r="F1738" s="36" t="s">
        <v>93</v>
      </c>
      <c r="G1738" s="36" t="s">
        <v>94</v>
      </c>
      <c r="H1738" s="36" t="s">
        <v>95</v>
      </c>
      <c r="I1738" s="36" t="s">
        <v>98</v>
      </c>
      <c r="J1738" s="36">
        <v>704</v>
      </c>
      <c r="K1738" s="36">
        <v>1006.72</v>
      </c>
    </row>
    <row r="1739" spans="1:11" x14ac:dyDescent="0.3">
      <c r="A1739" s="36" t="s">
        <v>99</v>
      </c>
      <c r="B1739" s="36">
        <v>2022</v>
      </c>
      <c r="C1739" s="36" t="s">
        <v>10</v>
      </c>
      <c r="D1739" s="36" t="s">
        <v>91</v>
      </c>
      <c r="E1739" s="36" t="s">
        <v>105</v>
      </c>
      <c r="F1739" s="36" t="s">
        <v>93</v>
      </c>
      <c r="G1739" s="36" t="s">
        <v>94</v>
      </c>
      <c r="H1739" s="36" t="s">
        <v>95</v>
      </c>
      <c r="I1739" s="36" t="s">
        <v>98</v>
      </c>
      <c r="J1739" s="36">
        <v>315</v>
      </c>
      <c r="K1739" s="36">
        <v>526.24</v>
      </c>
    </row>
    <row r="1740" spans="1:11" x14ac:dyDescent="0.3">
      <c r="A1740" s="36" t="s">
        <v>90</v>
      </c>
      <c r="B1740" s="36">
        <v>2022</v>
      </c>
      <c r="C1740" s="36" t="s">
        <v>10</v>
      </c>
      <c r="D1740" s="36" t="s">
        <v>91</v>
      </c>
      <c r="E1740" s="36" t="s">
        <v>105</v>
      </c>
      <c r="F1740" s="36" t="s">
        <v>93</v>
      </c>
      <c r="G1740" s="36" t="s">
        <v>94</v>
      </c>
      <c r="H1740" s="36" t="s">
        <v>95</v>
      </c>
      <c r="I1740" s="36" t="s">
        <v>98</v>
      </c>
      <c r="J1740" s="36">
        <v>777</v>
      </c>
      <c r="K1740" s="36">
        <v>526.24</v>
      </c>
    </row>
    <row r="1741" spans="1:11" x14ac:dyDescent="0.3">
      <c r="A1741" s="36" t="s">
        <v>97</v>
      </c>
      <c r="B1741" s="36">
        <v>2022</v>
      </c>
      <c r="C1741" s="36" t="s">
        <v>10</v>
      </c>
      <c r="D1741" s="36" t="s">
        <v>91</v>
      </c>
      <c r="E1741" s="36" t="s">
        <v>105</v>
      </c>
      <c r="F1741" s="36" t="s">
        <v>93</v>
      </c>
      <c r="G1741" s="36" t="s">
        <v>94</v>
      </c>
      <c r="H1741" s="36" t="s">
        <v>95</v>
      </c>
      <c r="I1741" s="36" t="s">
        <v>98</v>
      </c>
      <c r="J1741" s="36">
        <v>145</v>
      </c>
      <c r="K1741" s="36">
        <v>207.35</v>
      </c>
    </row>
    <row r="1742" spans="1:11" x14ac:dyDescent="0.3">
      <c r="A1742" s="36" t="s">
        <v>97</v>
      </c>
      <c r="B1742" s="36">
        <v>2022</v>
      </c>
      <c r="C1742" s="36" t="s">
        <v>10</v>
      </c>
      <c r="D1742" s="36" t="s">
        <v>91</v>
      </c>
      <c r="E1742" s="36" t="s">
        <v>105</v>
      </c>
      <c r="F1742" s="36" t="s">
        <v>93</v>
      </c>
      <c r="G1742" s="36" t="s">
        <v>94</v>
      </c>
      <c r="H1742" s="36" t="s">
        <v>95</v>
      </c>
      <c r="I1742" s="36" t="s">
        <v>98</v>
      </c>
      <c r="J1742" s="36">
        <v>319</v>
      </c>
      <c r="K1742" s="36">
        <v>456.16999999999996</v>
      </c>
    </row>
    <row r="1743" spans="1:11" x14ac:dyDescent="0.3">
      <c r="A1743" s="36" t="s">
        <v>99</v>
      </c>
      <c r="B1743" s="36">
        <v>2022</v>
      </c>
      <c r="C1743" s="36" t="s">
        <v>10</v>
      </c>
      <c r="D1743" s="36" t="s">
        <v>91</v>
      </c>
      <c r="E1743" s="36" t="s">
        <v>105</v>
      </c>
      <c r="F1743" s="36" t="s">
        <v>93</v>
      </c>
      <c r="G1743" s="36" t="s">
        <v>94</v>
      </c>
      <c r="H1743" s="36" t="s">
        <v>95</v>
      </c>
      <c r="I1743" s="36" t="s">
        <v>98</v>
      </c>
      <c r="J1743" s="36">
        <v>361</v>
      </c>
      <c r="K1743" s="36">
        <v>516.23</v>
      </c>
    </row>
    <row r="1744" spans="1:11" x14ac:dyDescent="0.3">
      <c r="A1744" s="36" t="s">
        <v>90</v>
      </c>
      <c r="B1744" s="36">
        <v>2022</v>
      </c>
      <c r="C1744" s="36" t="s">
        <v>10</v>
      </c>
      <c r="D1744" s="36" t="s">
        <v>91</v>
      </c>
      <c r="E1744" s="36" t="s">
        <v>105</v>
      </c>
      <c r="F1744" s="36" t="s">
        <v>93</v>
      </c>
      <c r="G1744" s="36" t="s">
        <v>94</v>
      </c>
      <c r="H1744" s="36" t="s">
        <v>95</v>
      </c>
      <c r="I1744" s="36" t="s">
        <v>98</v>
      </c>
      <c r="J1744" s="36">
        <v>143</v>
      </c>
      <c r="K1744" s="36">
        <v>204.49</v>
      </c>
    </row>
    <row r="1745" spans="1:11" x14ac:dyDescent="0.3">
      <c r="A1745" s="36" t="s">
        <v>90</v>
      </c>
      <c r="B1745" s="36">
        <v>2022</v>
      </c>
      <c r="C1745" s="36" t="s">
        <v>10</v>
      </c>
      <c r="D1745" s="36" t="s">
        <v>91</v>
      </c>
      <c r="E1745" s="36" t="s">
        <v>105</v>
      </c>
      <c r="F1745" s="36" t="s">
        <v>93</v>
      </c>
      <c r="G1745" s="36" t="s">
        <v>94</v>
      </c>
      <c r="H1745" s="36" t="s">
        <v>95</v>
      </c>
      <c r="I1745" s="36" t="s">
        <v>98</v>
      </c>
      <c r="J1745" s="36">
        <v>317</v>
      </c>
      <c r="K1745" s="36">
        <v>453.31</v>
      </c>
    </row>
    <row r="1746" spans="1:11" x14ac:dyDescent="0.3">
      <c r="A1746" s="36" t="s">
        <v>99</v>
      </c>
      <c r="B1746" s="36">
        <v>2022</v>
      </c>
      <c r="C1746" s="36" t="s">
        <v>10</v>
      </c>
      <c r="D1746" s="36" t="s">
        <v>91</v>
      </c>
      <c r="E1746" s="36" t="s">
        <v>105</v>
      </c>
      <c r="F1746" s="36" t="s">
        <v>93</v>
      </c>
      <c r="G1746" s="36" t="s">
        <v>94</v>
      </c>
      <c r="H1746" s="36" t="s">
        <v>95</v>
      </c>
      <c r="I1746" s="36" t="s">
        <v>98</v>
      </c>
      <c r="J1746" s="36">
        <v>746</v>
      </c>
      <c r="K1746" s="36">
        <v>1066.78</v>
      </c>
    </row>
    <row r="1747" spans="1:11" x14ac:dyDescent="0.3">
      <c r="A1747" s="36" t="s">
        <v>97</v>
      </c>
      <c r="B1747" s="36">
        <v>2022</v>
      </c>
      <c r="C1747" s="36" t="s">
        <v>9</v>
      </c>
      <c r="D1747" s="36" t="s">
        <v>91</v>
      </c>
      <c r="E1747" s="36" t="s">
        <v>105</v>
      </c>
      <c r="F1747" s="36" t="s">
        <v>93</v>
      </c>
      <c r="G1747" s="36" t="s">
        <v>94</v>
      </c>
      <c r="H1747" s="36" t="s">
        <v>95</v>
      </c>
      <c r="I1747" s="36" t="s">
        <v>98</v>
      </c>
      <c r="J1747" s="36">
        <v>152</v>
      </c>
      <c r="K1747" s="36">
        <v>217.36</v>
      </c>
    </row>
    <row r="1748" spans="1:11" x14ac:dyDescent="0.3">
      <c r="A1748" s="36" t="s">
        <v>100</v>
      </c>
      <c r="B1748" s="36">
        <v>2022</v>
      </c>
      <c r="C1748" s="36" t="s">
        <v>9</v>
      </c>
      <c r="D1748" s="36" t="s">
        <v>91</v>
      </c>
      <c r="E1748" s="36" t="s">
        <v>105</v>
      </c>
      <c r="F1748" s="36" t="s">
        <v>93</v>
      </c>
      <c r="G1748" s="36" t="s">
        <v>94</v>
      </c>
      <c r="H1748" s="36" t="s">
        <v>95</v>
      </c>
      <c r="I1748" s="36" t="s">
        <v>98</v>
      </c>
      <c r="J1748" s="36">
        <v>320</v>
      </c>
      <c r="K1748" s="36">
        <v>457.6</v>
      </c>
    </row>
    <row r="1749" spans="1:11" x14ac:dyDescent="0.3">
      <c r="A1749" s="36" t="s">
        <v>99</v>
      </c>
      <c r="B1749" s="36">
        <v>2022</v>
      </c>
      <c r="C1749" s="36" t="s">
        <v>9</v>
      </c>
      <c r="D1749" s="36" t="s">
        <v>91</v>
      </c>
      <c r="E1749" s="36" t="s">
        <v>105</v>
      </c>
      <c r="F1749" s="36" t="s">
        <v>93</v>
      </c>
      <c r="G1749" s="36" t="s">
        <v>94</v>
      </c>
      <c r="H1749" s="36" t="s">
        <v>95</v>
      </c>
      <c r="I1749" s="36" t="s">
        <v>98</v>
      </c>
      <c r="J1749" s="36">
        <v>368</v>
      </c>
      <c r="K1749" s="36">
        <v>526.24</v>
      </c>
    </row>
    <row r="1750" spans="1:11" x14ac:dyDescent="0.3">
      <c r="A1750" s="36" t="s">
        <v>90</v>
      </c>
      <c r="B1750" s="36">
        <v>2022</v>
      </c>
      <c r="C1750" s="36" t="s">
        <v>9</v>
      </c>
      <c r="D1750" s="36" t="s">
        <v>91</v>
      </c>
      <c r="E1750" s="36" t="s">
        <v>105</v>
      </c>
      <c r="F1750" s="36" t="s">
        <v>93</v>
      </c>
      <c r="G1750" s="36" t="s">
        <v>94</v>
      </c>
      <c r="H1750" s="36" t="s">
        <v>95</v>
      </c>
      <c r="I1750" s="36" t="s">
        <v>98</v>
      </c>
      <c r="J1750" s="36">
        <v>148</v>
      </c>
      <c r="K1750" s="36">
        <v>211.64</v>
      </c>
    </row>
    <row r="1751" spans="1:11" x14ac:dyDescent="0.3">
      <c r="A1751" s="36" t="s">
        <v>90</v>
      </c>
      <c r="B1751" s="36">
        <v>2022</v>
      </c>
      <c r="C1751" s="36" t="s">
        <v>9</v>
      </c>
      <c r="D1751" s="36" t="s">
        <v>91</v>
      </c>
      <c r="E1751" s="36" t="s">
        <v>105</v>
      </c>
      <c r="F1751" s="36" t="s">
        <v>93</v>
      </c>
      <c r="G1751" s="36" t="s">
        <v>94</v>
      </c>
      <c r="H1751" s="36" t="s">
        <v>95</v>
      </c>
      <c r="I1751" s="36" t="s">
        <v>98</v>
      </c>
      <c r="J1751" s="36">
        <v>322</v>
      </c>
      <c r="K1751" s="36">
        <v>460.46000000000004</v>
      </c>
    </row>
    <row r="1752" spans="1:11" x14ac:dyDescent="0.3">
      <c r="A1752" s="36" t="s">
        <v>97</v>
      </c>
      <c r="B1752" s="36">
        <v>2022</v>
      </c>
      <c r="C1752" s="36" t="s">
        <v>9</v>
      </c>
      <c r="D1752" s="36" t="s">
        <v>91</v>
      </c>
      <c r="E1752" s="36" t="s">
        <v>105</v>
      </c>
      <c r="F1752" s="36" t="s">
        <v>93</v>
      </c>
      <c r="G1752" s="36" t="s">
        <v>94</v>
      </c>
      <c r="H1752" s="36" t="s">
        <v>95</v>
      </c>
      <c r="I1752" s="36" t="s">
        <v>98</v>
      </c>
      <c r="J1752" s="36">
        <v>370</v>
      </c>
      <c r="K1752" s="36">
        <v>529.1</v>
      </c>
    </row>
    <row r="1753" spans="1:11" x14ac:dyDescent="0.3">
      <c r="A1753" s="36" t="s">
        <v>90</v>
      </c>
      <c r="B1753" s="36">
        <v>2022</v>
      </c>
      <c r="C1753" s="36" t="s">
        <v>9</v>
      </c>
      <c r="D1753" s="36" t="s">
        <v>91</v>
      </c>
      <c r="E1753" s="36" t="s">
        <v>105</v>
      </c>
      <c r="F1753" s="36" t="s">
        <v>93</v>
      </c>
      <c r="G1753" s="36" t="s">
        <v>94</v>
      </c>
      <c r="H1753" s="36" t="s">
        <v>95</v>
      </c>
      <c r="I1753" s="36" t="s">
        <v>98</v>
      </c>
      <c r="J1753" s="36">
        <v>150</v>
      </c>
      <c r="K1753" s="36">
        <v>214.5</v>
      </c>
    </row>
    <row r="1754" spans="1:11" x14ac:dyDescent="0.3">
      <c r="A1754" s="36" t="s">
        <v>99</v>
      </c>
      <c r="B1754" s="36">
        <v>2022</v>
      </c>
      <c r="C1754" s="36" t="s">
        <v>9</v>
      </c>
      <c r="D1754" s="36" t="s">
        <v>91</v>
      </c>
      <c r="E1754" s="36" t="s">
        <v>105</v>
      </c>
      <c r="F1754" s="36" t="s">
        <v>93</v>
      </c>
      <c r="G1754" s="36" t="s">
        <v>94</v>
      </c>
      <c r="H1754" s="36" t="s">
        <v>95</v>
      </c>
      <c r="I1754" s="36" t="s">
        <v>98</v>
      </c>
      <c r="J1754" s="36">
        <v>703</v>
      </c>
      <c r="K1754" s="36">
        <v>1005.29</v>
      </c>
    </row>
    <row r="1755" spans="1:11" x14ac:dyDescent="0.3">
      <c r="A1755" s="36" t="s">
        <v>101</v>
      </c>
      <c r="B1755" s="36">
        <v>2022</v>
      </c>
      <c r="C1755" s="36" t="s">
        <v>9</v>
      </c>
      <c r="D1755" s="36" t="s">
        <v>91</v>
      </c>
      <c r="E1755" s="36" t="s">
        <v>105</v>
      </c>
      <c r="F1755" s="36" t="s">
        <v>93</v>
      </c>
      <c r="G1755" s="36" t="s">
        <v>94</v>
      </c>
      <c r="H1755" s="36" t="s">
        <v>95</v>
      </c>
      <c r="I1755" s="36" t="s">
        <v>98</v>
      </c>
      <c r="J1755" s="36">
        <v>737</v>
      </c>
      <c r="K1755" s="36">
        <v>1053.9099999999999</v>
      </c>
    </row>
    <row r="1756" spans="1:11" x14ac:dyDescent="0.3">
      <c r="A1756" s="36" t="s">
        <v>101</v>
      </c>
      <c r="B1756" s="36">
        <v>2022</v>
      </c>
      <c r="C1756" s="36" t="s">
        <v>9</v>
      </c>
      <c r="D1756" s="36" t="s">
        <v>91</v>
      </c>
      <c r="E1756" s="36" t="s">
        <v>105</v>
      </c>
      <c r="F1756" s="36" t="s">
        <v>93</v>
      </c>
      <c r="G1756" s="36" t="s">
        <v>94</v>
      </c>
      <c r="H1756" s="36" t="s">
        <v>95</v>
      </c>
      <c r="I1756" s="36" t="s">
        <v>98</v>
      </c>
      <c r="J1756" s="36">
        <v>147</v>
      </c>
      <c r="K1756" s="36">
        <v>210.21</v>
      </c>
    </row>
    <row r="1757" spans="1:11" x14ac:dyDescent="0.3">
      <c r="A1757" s="36" t="s">
        <v>97</v>
      </c>
      <c r="B1757" s="36">
        <v>2022</v>
      </c>
      <c r="C1757" s="36" t="s">
        <v>9</v>
      </c>
      <c r="D1757" s="36" t="s">
        <v>91</v>
      </c>
      <c r="E1757" s="36" t="s">
        <v>105</v>
      </c>
      <c r="F1757" s="36" t="s">
        <v>93</v>
      </c>
      <c r="G1757" s="36" t="s">
        <v>94</v>
      </c>
      <c r="H1757" s="36" t="s">
        <v>95</v>
      </c>
      <c r="I1757" s="36" t="s">
        <v>98</v>
      </c>
      <c r="J1757" s="36">
        <v>321</v>
      </c>
      <c r="K1757" s="36">
        <v>526.24</v>
      </c>
    </row>
    <row r="1758" spans="1:11" x14ac:dyDescent="0.3">
      <c r="A1758" s="36" t="s">
        <v>90</v>
      </c>
      <c r="B1758" s="36">
        <v>2022</v>
      </c>
      <c r="C1758" s="36" t="s">
        <v>9</v>
      </c>
      <c r="D1758" s="36" t="s">
        <v>91</v>
      </c>
      <c r="E1758" s="36" t="s">
        <v>105</v>
      </c>
      <c r="F1758" s="36" t="s">
        <v>93</v>
      </c>
      <c r="G1758" s="36" t="s">
        <v>94</v>
      </c>
      <c r="H1758" s="36" t="s">
        <v>95</v>
      </c>
      <c r="I1758" s="36" t="s">
        <v>98</v>
      </c>
      <c r="J1758" s="36">
        <v>776</v>
      </c>
      <c r="K1758" s="36">
        <v>526.24</v>
      </c>
    </row>
    <row r="1759" spans="1:11" x14ac:dyDescent="0.3">
      <c r="A1759" s="36" t="s">
        <v>97</v>
      </c>
      <c r="B1759" s="36">
        <v>2022</v>
      </c>
      <c r="C1759" s="36" t="s">
        <v>9</v>
      </c>
      <c r="D1759" s="36" t="s">
        <v>91</v>
      </c>
      <c r="E1759" s="36" t="s">
        <v>105</v>
      </c>
      <c r="F1759" s="36" t="s">
        <v>93</v>
      </c>
      <c r="G1759" s="36" t="s">
        <v>94</v>
      </c>
      <c r="H1759" s="36" t="s">
        <v>95</v>
      </c>
      <c r="I1759" s="36" t="s">
        <v>98</v>
      </c>
      <c r="J1759" s="36">
        <v>151</v>
      </c>
      <c r="K1759" s="36">
        <v>215.93</v>
      </c>
    </row>
    <row r="1760" spans="1:11" x14ac:dyDescent="0.3">
      <c r="A1760" s="36" t="s">
        <v>90</v>
      </c>
      <c r="B1760" s="36">
        <v>2022</v>
      </c>
      <c r="C1760" s="36" t="s">
        <v>9</v>
      </c>
      <c r="D1760" s="36" t="s">
        <v>91</v>
      </c>
      <c r="E1760" s="36" t="s">
        <v>105</v>
      </c>
      <c r="F1760" s="36" t="s">
        <v>93</v>
      </c>
      <c r="G1760" s="36" t="s">
        <v>94</v>
      </c>
      <c r="H1760" s="36" t="s">
        <v>95</v>
      </c>
      <c r="I1760" s="36" t="s">
        <v>98</v>
      </c>
      <c r="J1760" s="36">
        <v>367</v>
      </c>
      <c r="K1760" s="36">
        <v>524.80999999999995</v>
      </c>
    </row>
    <row r="1761" spans="1:11" x14ac:dyDescent="0.3">
      <c r="A1761" s="36" t="s">
        <v>99</v>
      </c>
      <c r="B1761" s="36">
        <v>2022</v>
      </c>
      <c r="C1761" s="36" t="s">
        <v>9</v>
      </c>
      <c r="D1761" s="36" t="s">
        <v>91</v>
      </c>
      <c r="E1761" s="36" t="s">
        <v>105</v>
      </c>
      <c r="F1761" s="36" t="s">
        <v>93</v>
      </c>
      <c r="G1761" s="36" t="s">
        <v>94</v>
      </c>
      <c r="H1761" s="36" t="s">
        <v>95</v>
      </c>
      <c r="I1761" s="36" t="s">
        <v>98</v>
      </c>
      <c r="J1761" s="36">
        <v>149</v>
      </c>
      <c r="K1761" s="36">
        <v>213.07</v>
      </c>
    </row>
    <row r="1762" spans="1:11" x14ac:dyDescent="0.3">
      <c r="A1762" s="36" t="s">
        <v>99</v>
      </c>
      <c r="B1762" s="36">
        <v>2022</v>
      </c>
      <c r="C1762" s="36" t="s">
        <v>9</v>
      </c>
      <c r="D1762" s="36" t="s">
        <v>91</v>
      </c>
      <c r="E1762" s="36" t="s">
        <v>105</v>
      </c>
      <c r="F1762" s="36" t="s">
        <v>93</v>
      </c>
      <c r="G1762" s="36" t="s">
        <v>94</v>
      </c>
      <c r="H1762" s="36" t="s">
        <v>95</v>
      </c>
      <c r="I1762" s="36" t="s">
        <v>98</v>
      </c>
      <c r="J1762" s="36">
        <v>323</v>
      </c>
      <c r="K1762" s="36">
        <v>461.89</v>
      </c>
    </row>
    <row r="1763" spans="1:11" x14ac:dyDescent="0.3">
      <c r="A1763" s="36" t="s">
        <v>97</v>
      </c>
      <c r="B1763" s="36">
        <v>2022</v>
      </c>
      <c r="C1763" s="36" t="s">
        <v>9</v>
      </c>
      <c r="D1763" s="36" t="s">
        <v>91</v>
      </c>
      <c r="E1763" s="36" t="s">
        <v>105</v>
      </c>
      <c r="F1763" s="36" t="s">
        <v>93</v>
      </c>
      <c r="G1763" s="36" t="s">
        <v>94</v>
      </c>
      <c r="H1763" s="36" t="s">
        <v>95</v>
      </c>
      <c r="I1763" s="36" t="s">
        <v>98</v>
      </c>
      <c r="J1763" s="36">
        <v>371</v>
      </c>
      <c r="K1763" s="36">
        <v>530.53</v>
      </c>
    </row>
    <row r="1764" spans="1:11" x14ac:dyDescent="0.3">
      <c r="A1764" s="36" t="s">
        <v>90</v>
      </c>
      <c r="B1764" s="36">
        <v>2022</v>
      </c>
      <c r="C1764" s="36" t="s">
        <v>8</v>
      </c>
      <c r="D1764" s="36" t="s">
        <v>91</v>
      </c>
      <c r="E1764" s="36" t="s">
        <v>105</v>
      </c>
      <c r="F1764" s="36" t="s">
        <v>93</v>
      </c>
      <c r="G1764" s="36" t="s">
        <v>94</v>
      </c>
      <c r="H1764" s="36" t="s">
        <v>95</v>
      </c>
      <c r="I1764" s="36" t="s">
        <v>98</v>
      </c>
      <c r="J1764" s="36">
        <v>326</v>
      </c>
      <c r="K1764" s="36">
        <v>443.36</v>
      </c>
    </row>
    <row r="1765" spans="1:11" x14ac:dyDescent="0.3">
      <c r="A1765" s="36" t="s">
        <v>100</v>
      </c>
      <c r="B1765" s="36">
        <v>2022</v>
      </c>
      <c r="C1765" s="36" t="s">
        <v>8</v>
      </c>
      <c r="D1765" s="36" t="s">
        <v>91</v>
      </c>
      <c r="E1765" s="36" t="s">
        <v>105</v>
      </c>
      <c r="F1765" s="36" t="s">
        <v>93</v>
      </c>
      <c r="G1765" s="36" t="s">
        <v>94</v>
      </c>
      <c r="H1765" s="36" t="s">
        <v>95</v>
      </c>
      <c r="I1765" s="36" t="s">
        <v>98</v>
      </c>
      <c r="J1765" s="36">
        <v>128</v>
      </c>
      <c r="K1765" s="36">
        <v>183.04</v>
      </c>
    </row>
    <row r="1766" spans="1:11" x14ac:dyDescent="0.3">
      <c r="A1766" s="36" t="s">
        <v>90</v>
      </c>
      <c r="B1766" s="36">
        <v>2022</v>
      </c>
      <c r="C1766" s="36" t="s">
        <v>8</v>
      </c>
      <c r="D1766" s="36" t="s">
        <v>91</v>
      </c>
      <c r="E1766" s="36" t="s">
        <v>105</v>
      </c>
      <c r="F1766" s="36" t="s">
        <v>93</v>
      </c>
      <c r="G1766" s="36" t="s">
        <v>94</v>
      </c>
      <c r="H1766" s="36" t="s">
        <v>95</v>
      </c>
      <c r="I1766" s="36" t="s">
        <v>98</v>
      </c>
      <c r="J1766" s="36">
        <v>328</v>
      </c>
      <c r="K1766" s="36">
        <v>469.03999999999996</v>
      </c>
    </row>
    <row r="1767" spans="1:11" x14ac:dyDescent="0.3">
      <c r="A1767" s="36" t="s">
        <v>90</v>
      </c>
      <c r="B1767" s="36">
        <v>2022</v>
      </c>
      <c r="C1767" s="36" t="s">
        <v>8</v>
      </c>
      <c r="D1767" s="36" t="s">
        <v>91</v>
      </c>
      <c r="E1767" s="36" t="s">
        <v>105</v>
      </c>
      <c r="F1767" s="36" t="s">
        <v>93</v>
      </c>
      <c r="G1767" s="36" t="s">
        <v>94</v>
      </c>
      <c r="H1767" s="36" t="s">
        <v>95</v>
      </c>
      <c r="I1767" s="36" t="s">
        <v>98</v>
      </c>
      <c r="J1767" s="36">
        <v>130</v>
      </c>
      <c r="K1767" s="36">
        <v>185.9</v>
      </c>
    </row>
    <row r="1768" spans="1:11" x14ac:dyDescent="0.3">
      <c r="A1768" s="36" t="s">
        <v>97</v>
      </c>
      <c r="B1768" s="36">
        <v>2022</v>
      </c>
      <c r="C1768" s="36" t="s">
        <v>8</v>
      </c>
      <c r="D1768" s="36" t="s">
        <v>91</v>
      </c>
      <c r="E1768" s="36" t="s">
        <v>105</v>
      </c>
      <c r="F1768" s="36" t="s">
        <v>93</v>
      </c>
      <c r="G1768" s="36" t="s">
        <v>94</v>
      </c>
      <c r="H1768" s="36" t="s">
        <v>95</v>
      </c>
      <c r="I1768" s="36" t="s">
        <v>98</v>
      </c>
      <c r="J1768" s="36">
        <v>736</v>
      </c>
      <c r="K1768" s="36">
        <v>1052.48</v>
      </c>
    </row>
    <row r="1769" spans="1:11" x14ac:dyDescent="0.3">
      <c r="A1769" s="36" t="s">
        <v>90</v>
      </c>
      <c r="B1769" s="36">
        <v>2022</v>
      </c>
      <c r="C1769" s="36" t="s">
        <v>8</v>
      </c>
      <c r="D1769" s="36" t="s">
        <v>91</v>
      </c>
      <c r="E1769" s="36" t="s">
        <v>105</v>
      </c>
      <c r="F1769" s="36" t="s">
        <v>93</v>
      </c>
      <c r="G1769" s="36" t="s">
        <v>94</v>
      </c>
      <c r="H1769" s="36" t="s">
        <v>95</v>
      </c>
      <c r="I1769" s="36" t="s">
        <v>98</v>
      </c>
      <c r="J1769" s="36">
        <v>327</v>
      </c>
      <c r="K1769" s="36">
        <v>526.24</v>
      </c>
    </row>
    <row r="1770" spans="1:11" x14ac:dyDescent="0.3">
      <c r="A1770" s="36" t="s">
        <v>97</v>
      </c>
      <c r="B1770" s="36">
        <v>2022</v>
      </c>
      <c r="C1770" s="36" t="s">
        <v>8</v>
      </c>
      <c r="D1770" s="36" t="s">
        <v>91</v>
      </c>
      <c r="E1770" s="36" t="s">
        <v>105</v>
      </c>
      <c r="F1770" s="36" t="s">
        <v>93</v>
      </c>
      <c r="G1770" s="36" t="s">
        <v>94</v>
      </c>
      <c r="H1770" s="36" t="s">
        <v>95</v>
      </c>
      <c r="I1770" s="36" t="s">
        <v>98</v>
      </c>
      <c r="J1770" s="36">
        <v>775</v>
      </c>
      <c r="K1770" s="36">
        <v>526.24</v>
      </c>
    </row>
    <row r="1771" spans="1:11" x14ac:dyDescent="0.3">
      <c r="A1771" s="36" t="s">
        <v>97</v>
      </c>
      <c r="B1771" s="36">
        <v>2022</v>
      </c>
      <c r="C1771" s="36" t="s">
        <v>8</v>
      </c>
      <c r="D1771" s="36" t="s">
        <v>91</v>
      </c>
      <c r="E1771" s="36" t="s">
        <v>105</v>
      </c>
      <c r="F1771" s="36" t="s">
        <v>93</v>
      </c>
      <c r="G1771" s="36" t="s">
        <v>94</v>
      </c>
      <c r="H1771" s="36" t="s">
        <v>95</v>
      </c>
      <c r="I1771" s="36" t="s">
        <v>98</v>
      </c>
      <c r="J1771" s="36">
        <v>325</v>
      </c>
      <c r="K1771" s="36">
        <v>464.75</v>
      </c>
    </row>
    <row r="1772" spans="1:11" x14ac:dyDescent="0.3">
      <c r="A1772" s="36" t="s">
        <v>90</v>
      </c>
      <c r="B1772" s="36">
        <v>2022</v>
      </c>
      <c r="C1772" s="36" t="s">
        <v>8</v>
      </c>
      <c r="D1772" s="36" t="s">
        <v>91</v>
      </c>
      <c r="E1772" s="36" t="s">
        <v>105</v>
      </c>
      <c r="F1772" s="36" t="s">
        <v>93</v>
      </c>
      <c r="G1772" s="36" t="s">
        <v>94</v>
      </c>
      <c r="H1772" s="36" t="s">
        <v>95</v>
      </c>
      <c r="I1772" s="36" t="s">
        <v>98</v>
      </c>
      <c r="J1772" s="36">
        <v>127</v>
      </c>
      <c r="K1772" s="36">
        <v>181.61</v>
      </c>
    </row>
    <row r="1773" spans="1:11" x14ac:dyDescent="0.3">
      <c r="A1773" s="36" t="s">
        <v>90</v>
      </c>
      <c r="B1773" s="36">
        <v>2022</v>
      </c>
      <c r="C1773" s="36" t="s">
        <v>8</v>
      </c>
      <c r="D1773" s="36" t="s">
        <v>91</v>
      </c>
      <c r="E1773" s="36" t="s">
        <v>105</v>
      </c>
      <c r="F1773" s="36" t="s">
        <v>93</v>
      </c>
      <c r="G1773" s="36" t="s">
        <v>94</v>
      </c>
      <c r="H1773" s="36" t="s">
        <v>95</v>
      </c>
      <c r="I1773" s="36" t="s">
        <v>98</v>
      </c>
      <c r="J1773" s="36">
        <v>329</v>
      </c>
      <c r="K1773" s="36">
        <v>470.47</v>
      </c>
    </row>
    <row r="1774" spans="1:11" x14ac:dyDescent="0.3">
      <c r="A1774" s="36" t="s">
        <v>99</v>
      </c>
      <c r="B1774" s="36">
        <v>2022</v>
      </c>
      <c r="C1774" s="36" t="s">
        <v>3</v>
      </c>
      <c r="D1774" s="36" t="s">
        <v>103</v>
      </c>
      <c r="E1774" s="36" t="s">
        <v>92</v>
      </c>
      <c r="F1774" s="36" t="s">
        <v>93</v>
      </c>
      <c r="G1774" s="36" t="s">
        <v>94</v>
      </c>
      <c r="H1774" s="36" t="s">
        <v>95</v>
      </c>
      <c r="I1774" s="36" t="s">
        <v>98</v>
      </c>
      <c r="J1774" s="36">
        <v>182</v>
      </c>
      <c r="K1774" s="36">
        <v>260.26</v>
      </c>
    </row>
    <row r="1775" spans="1:11" x14ac:dyDescent="0.3">
      <c r="A1775" s="36" t="s">
        <v>97</v>
      </c>
      <c r="B1775" s="36">
        <v>2022</v>
      </c>
      <c r="C1775" s="36" t="s">
        <v>3</v>
      </c>
      <c r="D1775" s="36" t="s">
        <v>103</v>
      </c>
      <c r="E1775" s="36" t="s">
        <v>92</v>
      </c>
      <c r="F1775" s="36" t="s">
        <v>93</v>
      </c>
      <c r="G1775" s="36" t="s">
        <v>94</v>
      </c>
      <c r="H1775" s="36" t="s">
        <v>95</v>
      </c>
      <c r="I1775" s="36" t="s">
        <v>98</v>
      </c>
      <c r="J1775" s="36">
        <v>176</v>
      </c>
      <c r="K1775" s="36">
        <v>251.68</v>
      </c>
    </row>
    <row r="1776" spans="1:11" x14ac:dyDescent="0.3">
      <c r="A1776" s="36" t="s">
        <v>90</v>
      </c>
      <c r="B1776" s="36">
        <v>2022</v>
      </c>
      <c r="C1776" s="36" t="s">
        <v>3</v>
      </c>
      <c r="D1776" s="36" t="s">
        <v>103</v>
      </c>
      <c r="E1776" s="36" t="s">
        <v>92</v>
      </c>
      <c r="F1776" s="36" t="s">
        <v>93</v>
      </c>
      <c r="G1776" s="36" t="s">
        <v>94</v>
      </c>
      <c r="H1776" s="36" t="s">
        <v>95</v>
      </c>
      <c r="I1776" s="36" t="s">
        <v>96</v>
      </c>
      <c r="J1776" s="36">
        <v>200</v>
      </c>
      <c r="K1776" s="36">
        <v>286</v>
      </c>
    </row>
    <row r="1777" spans="1:11" x14ac:dyDescent="0.3">
      <c r="A1777" s="36" t="s">
        <v>97</v>
      </c>
      <c r="B1777" s="36">
        <v>2022</v>
      </c>
      <c r="C1777" s="36" t="s">
        <v>3</v>
      </c>
      <c r="D1777" s="36" t="s">
        <v>103</v>
      </c>
      <c r="E1777" s="36" t="s">
        <v>92</v>
      </c>
      <c r="F1777" s="36" t="s">
        <v>93</v>
      </c>
      <c r="G1777" s="36" t="s">
        <v>94</v>
      </c>
      <c r="H1777" s="36" t="s">
        <v>95</v>
      </c>
      <c r="I1777" s="36" t="s">
        <v>96</v>
      </c>
      <c r="J1777" s="36">
        <v>248</v>
      </c>
      <c r="K1777" s="36">
        <v>354.64</v>
      </c>
    </row>
    <row r="1778" spans="1:11" x14ac:dyDescent="0.3">
      <c r="A1778" s="36" t="s">
        <v>90</v>
      </c>
      <c r="B1778" s="36">
        <v>2022</v>
      </c>
      <c r="C1778" s="36" t="s">
        <v>3</v>
      </c>
      <c r="D1778" s="36" t="s">
        <v>103</v>
      </c>
      <c r="E1778" s="36" t="s">
        <v>92</v>
      </c>
      <c r="F1778" s="36" t="s">
        <v>93</v>
      </c>
      <c r="G1778" s="36" t="s">
        <v>94</v>
      </c>
      <c r="H1778" s="36" t="s">
        <v>95</v>
      </c>
      <c r="I1778" s="36" t="s">
        <v>96</v>
      </c>
      <c r="J1778" s="36">
        <v>184</v>
      </c>
      <c r="K1778" s="36">
        <v>263.12</v>
      </c>
    </row>
    <row r="1779" spans="1:11" x14ac:dyDescent="0.3">
      <c r="A1779" s="36" t="s">
        <v>90</v>
      </c>
      <c r="B1779" s="36">
        <v>2022</v>
      </c>
      <c r="C1779" s="36" t="s">
        <v>3</v>
      </c>
      <c r="D1779" s="36" t="s">
        <v>103</v>
      </c>
      <c r="E1779" s="36" t="s">
        <v>92</v>
      </c>
      <c r="F1779" s="36" t="s">
        <v>93</v>
      </c>
      <c r="G1779" s="36" t="s">
        <v>94</v>
      </c>
      <c r="H1779" s="36" t="s">
        <v>95</v>
      </c>
      <c r="I1779" s="36" t="s">
        <v>96</v>
      </c>
      <c r="J1779" s="36">
        <v>178</v>
      </c>
      <c r="K1779" s="36">
        <v>254.54</v>
      </c>
    </row>
    <row r="1780" spans="1:11" x14ac:dyDescent="0.3">
      <c r="A1780" s="36" t="s">
        <v>97</v>
      </c>
      <c r="B1780" s="36">
        <v>2022</v>
      </c>
      <c r="C1780" s="36" t="s">
        <v>3</v>
      </c>
      <c r="D1780" s="36" t="s">
        <v>103</v>
      </c>
      <c r="E1780" s="36" t="s">
        <v>92</v>
      </c>
      <c r="F1780" s="36" t="s">
        <v>93</v>
      </c>
      <c r="G1780" s="36" t="s">
        <v>94</v>
      </c>
      <c r="H1780" s="36" t="s">
        <v>95</v>
      </c>
      <c r="I1780" s="36" t="s">
        <v>96</v>
      </c>
      <c r="J1780" s="36">
        <v>172</v>
      </c>
      <c r="K1780" s="36">
        <v>245.95999999999998</v>
      </c>
    </row>
    <row r="1781" spans="1:11" x14ac:dyDescent="0.3">
      <c r="A1781" s="36" t="s">
        <v>90</v>
      </c>
      <c r="B1781" s="36">
        <v>2022</v>
      </c>
      <c r="C1781" s="36" t="s">
        <v>3</v>
      </c>
      <c r="D1781" s="36" t="s">
        <v>103</v>
      </c>
      <c r="E1781" s="36" t="s">
        <v>92</v>
      </c>
      <c r="F1781" s="36" t="s">
        <v>93</v>
      </c>
      <c r="G1781" s="36" t="s">
        <v>94</v>
      </c>
      <c r="H1781" s="36" t="s">
        <v>95</v>
      </c>
      <c r="I1781" s="36" t="s">
        <v>96</v>
      </c>
      <c r="J1781" s="36">
        <v>202</v>
      </c>
      <c r="K1781" s="36">
        <v>526.24</v>
      </c>
    </row>
    <row r="1782" spans="1:11" x14ac:dyDescent="0.3">
      <c r="A1782" s="36" t="s">
        <v>97</v>
      </c>
      <c r="B1782" s="36">
        <v>2022</v>
      </c>
      <c r="C1782" s="36" t="s">
        <v>3</v>
      </c>
      <c r="D1782" s="36" t="s">
        <v>103</v>
      </c>
      <c r="E1782" s="36" t="s">
        <v>92</v>
      </c>
      <c r="F1782" s="36" t="s">
        <v>93</v>
      </c>
      <c r="G1782" s="36" t="s">
        <v>94</v>
      </c>
      <c r="H1782" s="36" t="s">
        <v>95</v>
      </c>
      <c r="I1782" s="36" t="s">
        <v>96</v>
      </c>
      <c r="J1782" s="36">
        <v>250</v>
      </c>
      <c r="K1782" s="36">
        <v>526.24</v>
      </c>
    </row>
    <row r="1783" spans="1:11" x14ac:dyDescent="0.3">
      <c r="A1783" s="36" t="s">
        <v>100</v>
      </c>
      <c r="B1783" s="36">
        <v>2022</v>
      </c>
      <c r="C1783" s="36" t="s">
        <v>3</v>
      </c>
      <c r="D1783" s="36" t="s">
        <v>103</v>
      </c>
      <c r="E1783" s="36" t="s">
        <v>92</v>
      </c>
      <c r="F1783" s="36" t="s">
        <v>93</v>
      </c>
      <c r="G1783" s="36" t="s">
        <v>94</v>
      </c>
      <c r="H1783" s="36" t="s">
        <v>95</v>
      </c>
      <c r="I1783" s="36" t="s">
        <v>96</v>
      </c>
      <c r="J1783" s="36">
        <v>246</v>
      </c>
      <c r="K1783" s="36">
        <v>351.78</v>
      </c>
    </row>
    <row r="1784" spans="1:11" x14ac:dyDescent="0.3">
      <c r="A1784" s="36" t="s">
        <v>90</v>
      </c>
      <c r="B1784" s="36">
        <v>2022</v>
      </c>
      <c r="C1784" s="36" t="s">
        <v>3</v>
      </c>
      <c r="D1784" s="36" t="s">
        <v>103</v>
      </c>
      <c r="E1784" s="36" t="s">
        <v>92</v>
      </c>
      <c r="F1784" s="36" t="s">
        <v>93</v>
      </c>
      <c r="G1784" s="36" t="s">
        <v>94</v>
      </c>
      <c r="H1784" s="36" t="s">
        <v>95</v>
      </c>
      <c r="I1784" s="36" t="s">
        <v>96</v>
      </c>
      <c r="J1784" s="36">
        <v>201</v>
      </c>
      <c r="K1784" s="36">
        <v>287.43</v>
      </c>
    </row>
    <row r="1785" spans="1:11" x14ac:dyDescent="0.3">
      <c r="A1785" s="36" t="s">
        <v>99</v>
      </c>
      <c r="B1785" s="36">
        <v>2022</v>
      </c>
      <c r="C1785" s="36" t="s">
        <v>3</v>
      </c>
      <c r="D1785" s="36" t="s">
        <v>103</v>
      </c>
      <c r="E1785" s="36" t="s">
        <v>92</v>
      </c>
      <c r="F1785" s="36" t="s">
        <v>93</v>
      </c>
      <c r="G1785" s="36" t="s">
        <v>94</v>
      </c>
      <c r="H1785" s="36" t="s">
        <v>95</v>
      </c>
      <c r="I1785" s="36" t="s">
        <v>96</v>
      </c>
      <c r="J1785" s="36">
        <v>249</v>
      </c>
      <c r="K1785" s="36">
        <v>356.07</v>
      </c>
    </row>
    <row r="1786" spans="1:11" x14ac:dyDescent="0.3">
      <c r="A1786" s="36" t="s">
        <v>90</v>
      </c>
      <c r="B1786" s="36">
        <v>2022</v>
      </c>
      <c r="C1786" s="36" t="s">
        <v>3</v>
      </c>
      <c r="D1786" s="36" t="s">
        <v>103</v>
      </c>
      <c r="E1786" s="36" t="s">
        <v>92</v>
      </c>
      <c r="F1786" s="36" t="s">
        <v>93</v>
      </c>
      <c r="G1786" s="36" t="s">
        <v>94</v>
      </c>
      <c r="H1786" s="36" t="s">
        <v>95</v>
      </c>
      <c r="I1786" s="36" t="s">
        <v>96</v>
      </c>
      <c r="J1786" s="36">
        <v>181</v>
      </c>
      <c r="K1786" s="36">
        <v>258.83</v>
      </c>
    </row>
    <row r="1787" spans="1:11" x14ac:dyDescent="0.3">
      <c r="A1787" s="36" t="s">
        <v>90</v>
      </c>
      <c r="B1787" s="36">
        <v>2022</v>
      </c>
      <c r="C1787" s="36" t="s">
        <v>3</v>
      </c>
      <c r="D1787" s="36" t="s">
        <v>103</v>
      </c>
      <c r="E1787" s="36" t="s">
        <v>92</v>
      </c>
      <c r="F1787" s="36" t="s">
        <v>93</v>
      </c>
      <c r="G1787" s="36" t="s">
        <v>94</v>
      </c>
      <c r="H1787" s="36" t="s">
        <v>95</v>
      </c>
      <c r="I1787" s="36" t="s">
        <v>96</v>
      </c>
      <c r="J1787" s="36">
        <v>175</v>
      </c>
      <c r="K1787" s="36">
        <v>250.25</v>
      </c>
    </row>
    <row r="1788" spans="1:11" x14ac:dyDescent="0.3">
      <c r="A1788" s="36" t="s">
        <v>97</v>
      </c>
      <c r="B1788" s="36">
        <v>2022</v>
      </c>
      <c r="C1788" s="36" t="s">
        <v>3</v>
      </c>
      <c r="D1788" s="36" t="s">
        <v>103</v>
      </c>
      <c r="E1788" s="36" t="s">
        <v>92</v>
      </c>
      <c r="F1788" s="36" t="s">
        <v>93</v>
      </c>
      <c r="G1788" s="36" t="s">
        <v>94</v>
      </c>
      <c r="H1788" s="36" t="s">
        <v>95</v>
      </c>
      <c r="I1788" s="36" t="s">
        <v>96</v>
      </c>
      <c r="J1788" s="36">
        <v>792</v>
      </c>
      <c r="K1788" s="36">
        <v>1132.56</v>
      </c>
    </row>
    <row r="1789" spans="1:11" x14ac:dyDescent="0.3">
      <c r="A1789" s="36" t="s">
        <v>97</v>
      </c>
      <c r="B1789" s="36">
        <v>2022</v>
      </c>
      <c r="C1789" s="36" t="s">
        <v>3</v>
      </c>
      <c r="D1789" s="36" t="s">
        <v>103</v>
      </c>
      <c r="E1789" s="36" t="s">
        <v>92</v>
      </c>
      <c r="F1789" s="36" t="s">
        <v>93</v>
      </c>
      <c r="G1789" s="36" t="s">
        <v>94</v>
      </c>
      <c r="H1789" s="36" t="s">
        <v>95</v>
      </c>
      <c r="I1789" s="36" t="s">
        <v>96</v>
      </c>
      <c r="J1789" s="36">
        <v>825</v>
      </c>
      <c r="K1789" s="36">
        <v>1179.75</v>
      </c>
    </row>
    <row r="1790" spans="1:11" x14ac:dyDescent="0.3">
      <c r="A1790" s="36" t="s">
        <v>90</v>
      </c>
      <c r="B1790" s="36">
        <v>2022</v>
      </c>
      <c r="C1790" s="36" t="s">
        <v>3</v>
      </c>
      <c r="D1790" s="36" t="s">
        <v>103</v>
      </c>
      <c r="E1790" s="36" t="s">
        <v>92</v>
      </c>
      <c r="F1790" s="36" t="s">
        <v>93</v>
      </c>
      <c r="G1790" s="36" t="s">
        <v>94</v>
      </c>
      <c r="H1790" s="36" t="s">
        <v>95</v>
      </c>
      <c r="I1790" s="36" t="s">
        <v>98</v>
      </c>
      <c r="J1790" s="36">
        <v>185</v>
      </c>
      <c r="K1790" s="36">
        <v>264.55</v>
      </c>
    </row>
    <row r="1791" spans="1:11" x14ac:dyDescent="0.3">
      <c r="A1791" s="36" t="s">
        <v>101</v>
      </c>
      <c r="B1791" s="36">
        <v>2022</v>
      </c>
      <c r="C1791" s="36" t="s">
        <v>3</v>
      </c>
      <c r="D1791" s="36" t="s">
        <v>103</v>
      </c>
      <c r="E1791" s="36" t="s">
        <v>92</v>
      </c>
      <c r="F1791" s="36" t="s">
        <v>93</v>
      </c>
      <c r="G1791" s="36" t="s">
        <v>94</v>
      </c>
      <c r="H1791" s="36" t="s">
        <v>95</v>
      </c>
      <c r="I1791" s="36" t="s">
        <v>98</v>
      </c>
      <c r="J1791" s="36">
        <v>179</v>
      </c>
      <c r="K1791" s="36">
        <v>255.97</v>
      </c>
    </row>
    <row r="1792" spans="1:11" x14ac:dyDescent="0.3">
      <c r="A1792" s="36" t="s">
        <v>99</v>
      </c>
      <c r="B1792" s="36">
        <v>2022</v>
      </c>
      <c r="C1792" s="36" t="s">
        <v>3</v>
      </c>
      <c r="D1792" s="36" t="s">
        <v>103</v>
      </c>
      <c r="E1792" s="36" t="s">
        <v>92</v>
      </c>
      <c r="F1792" s="36" t="s">
        <v>93</v>
      </c>
      <c r="G1792" s="36" t="s">
        <v>94</v>
      </c>
      <c r="H1792" s="36" t="s">
        <v>95</v>
      </c>
      <c r="I1792" s="36" t="s">
        <v>98</v>
      </c>
      <c r="J1792" s="36">
        <v>173</v>
      </c>
      <c r="K1792" s="36">
        <v>247.39</v>
      </c>
    </row>
    <row r="1793" spans="1:11" x14ac:dyDescent="0.3">
      <c r="A1793" s="36" t="s">
        <v>90</v>
      </c>
      <c r="B1793" s="36">
        <v>2022</v>
      </c>
      <c r="C1793" s="36" t="s">
        <v>3</v>
      </c>
      <c r="D1793" s="36" t="s">
        <v>103</v>
      </c>
      <c r="E1793" s="36" t="s">
        <v>92</v>
      </c>
      <c r="F1793" s="36" t="s">
        <v>93</v>
      </c>
      <c r="G1793" s="36" t="s">
        <v>94</v>
      </c>
      <c r="H1793" s="36" t="s">
        <v>95</v>
      </c>
      <c r="I1793" s="36" t="s">
        <v>96</v>
      </c>
      <c r="J1793" s="36">
        <v>203</v>
      </c>
      <c r="K1793" s="36">
        <v>290.28999999999996</v>
      </c>
    </row>
    <row r="1794" spans="1:11" x14ac:dyDescent="0.3">
      <c r="A1794" s="36" t="s">
        <v>100</v>
      </c>
      <c r="B1794" s="36">
        <v>2022</v>
      </c>
      <c r="C1794" s="36" t="s">
        <v>7</v>
      </c>
      <c r="D1794" s="36" t="s">
        <v>103</v>
      </c>
      <c r="E1794" s="36" t="s">
        <v>92</v>
      </c>
      <c r="F1794" s="36" t="s">
        <v>93</v>
      </c>
      <c r="G1794" s="36" t="s">
        <v>94</v>
      </c>
      <c r="H1794" s="36" t="s">
        <v>95</v>
      </c>
      <c r="I1794" s="36" t="s">
        <v>98</v>
      </c>
      <c r="J1794" s="36">
        <v>368</v>
      </c>
      <c r="K1794" s="36">
        <v>526.24</v>
      </c>
    </row>
    <row r="1795" spans="1:11" x14ac:dyDescent="0.3">
      <c r="A1795" s="36" t="s">
        <v>97</v>
      </c>
      <c r="B1795" s="36">
        <v>2022</v>
      </c>
      <c r="C1795" s="36" t="s">
        <v>7</v>
      </c>
      <c r="D1795" s="36" t="s">
        <v>103</v>
      </c>
      <c r="E1795" s="36" t="s">
        <v>92</v>
      </c>
      <c r="F1795" s="36" t="s">
        <v>93</v>
      </c>
      <c r="G1795" s="36" t="s">
        <v>94</v>
      </c>
      <c r="H1795" s="36" t="s">
        <v>95</v>
      </c>
      <c r="I1795" s="36" t="s">
        <v>98</v>
      </c>
      <c r="J1795" s="36">
        <v>362</v>
      </c>
      <c r="K1795" s="36">
        <v>517.66</v>
      </c>
    </row>
    <row r="1796" spans="1:11" x14ac:dyDescent="0.3">
      <c r="A1796" s="36" t="s">
        <v>97</v>
      </c>
      <c r="B1796" s="36">
        <v>2022</v>
      </c>
      <c r="C1796" s="36" t="s">
        <v>7</v>
      </c>
      <c r="D1796" s="36" t="s">
        <v>103</v>
      </c>
      <c r="E1796" s="36" t="s">
        <v>92</v>
      </c>
      <c r="F1796" s="36" t="s">
        <v>93</v>
      </c>
      <c r="G1796" s="36" t="s">
        <v>94</v>
      </c>
      <c r="H1796" s="36" t="s">
        <v>95</v>
      </c>
      <c r="I1796" s="36" t="s">
        <v>98</v>
      </c>
      <c r="J1796" s="36">
        <v>356</v>
      </c>
      <c r="K1796" s="36">
        <v>509.08</v>
      </c>
    </row>
    <row r="1797" spans="1:11" x14ac:dyDescent="0.3">
      <c r="A1797" s="36" t="s">
        <v>97</v>
      </c>
      <c r="B1797" s="36">
        <v>2022</v>
      </c>
      <c r="C1797" s="36" t="s">
        <v>7</v>
      </c>
      <c r="D1797" s="36" t="s">
        <v>103</v>
      </c>
      <c r="E1797" s="36" t="s">
        <v>92</v>
      </c>
      <c r="F1797" s="36" t="s">
        <v>93</v>
      </c>
      <c r="G1797" s="36" t="s">
        <v>94</v>
      </c>
      <c r="H1797" s="36" t="s">
        <v>95</v>
      </c>
      <c r="I1797" s="36" t="s">
        <v>96</v>
      </c>
      <c r="J1797" s="36">
        <v>182</v>
      </c>
      <c r="K1797" s="36">
        <v>260.26</v>
      </c>
    </row>
    <row r="1798" spans="1:11" x14ac:dyDescent="0.3">
      <c r="A1798" s="36" t="s">
        <v>99</v>
      </c>
      <c r="B1798" s="36">
        <v>2022</v>
      </c>
      <c r="C1798" s="36" t="s">
        <v>7</v>
      </c>
      <c r="D1798" s="36" t="s">
        <v>103</v>
      </c>
      <c r="E1798" s="36" t="s">
        <v>92</v>
      </c>
      <c r="F1798" s="36" t="s">
        <v>93</v>
      </c>
      <c r="G1798" s="36" t="s">
        <v>94</v>
      </c>
      <c r="H1798" s="36" t="s">
        <v>95</v>
      </c>
      <c r="I1798" s="36" t="s">
        <v>96</v>
      </c>
      <c r="J1798" s="36">
        <v>224</v>
      </c>
      <c r="K1798" s="36">
        <v>320.32</v>
      </c>
    </row>
    <row r="1799" spans="1:11" x14ac:dyDescent="0.3">
      <c r="A1799" s="36" t="s">
        <v>99</v>
      </c>
      <c r="B1799" s="36">
        <v>2022</v>
      </c>
      <c r="C1799" s="36" t="s">
        <v>7</v>
      </c>
      <c r="D1799" s="36" t="s">
        <v>103</v>
      </c>
      <c r="E1799" s="36" t="s">
        <v>92</v>
      </c>
      <c r="F1799" s="36" t="s">
        <v>93</v>
      </c>
      <c r="G1799" s="36" t="s">
        <v>94</v>
      </c>
      <c r="H1799" s="36" t="s">
        <v>95</v>
      </c>
      <c r="I1799" s="36" t="s">
        <v>96</v>
      </c>
      <c r="J1799" s="36">
        <v>364</v>
      </c>
      <c r="K1799" s="36">
        <v>520.52</v>
      </c>
    </row>
    <row r="1800" spans="1:11" x14ac:dyDescent="0.3">
      <c r="A1800" s="36" t="s">
        <v>97</v>
      </c>
      <c r="B1800" s="36">
        <v>2022</v>
      </c>
      <c r="C1800" s="36" t="s">
        <v>7</v>
      </c>
      <c r="D1800" s="36" t="s">
        <v>103</v>
      </c>
      <c r="E1800" s="36" t="s">
        <v>92</v>
      </c>
      <c r="F1800" s="36" t="s">
        <v>93</v>
      </c>
      <c r="G1800" s="36" t="s">
        <v>94</v>
      </c>
      <c r="H1800" s="36" t="s">
        <v>95</v>
      </c>
      <c r="I1800" s="36" t="s">
        <v>96</v>
      </c>
      <c r="J1800" s="36">
        <v>358</v>
      </c>
      <c r="K1800" s="36">
        <v>511.94</v>
      </c>
    </row>
    <row r="1801" spans="1:11" x14ac:dyDescent="0.3">
      <c r="A1801" s="36" t="s">
        <v>101</v>
      </c>
      <c r="B1801" s="36">
        <v>2022</v>
      </c>
      <c r="C1801" s="36" t="s">
        <v>7</v>
      </c>
      <c r="D1801" s="36" t="s">
        <v>103</v>
      </c>
      <c r="E1801" s="36" t="s">
        <v>92</v>
      </c>
      <c r="F1801" s="36" t="s">
        <v>93</v>
      </c>
      <c r="G1801" s="36" t="s">
        <v>94</v>
      </c>
      <c r="H1801" s="36" t="s">
        <v>95</v>
      </c>
      <c r="I1801" s="36" t="s">
        <v>96</v>
      </c>
      <c r="J1801" s="36">
        <v>178</v>
      </c>
      <c r="K1801" s="36">
        <v>526.24</v>
      </c>
    </row>
    <row r="1802" spans="1:11" x14ac:dyDescent="0.3">
      <c r="A1802" s="36" t="s">
        <v>99</v>
      </c>
      <c r="B1802" s="36">
        <v>2022</v>
      </c>
      <c r="C1802" s="36" t="s">
        <v>7</v>
      </c>
      <c r="D1802" s="36" t="s">
        <v>103</v>
      </c>
      <c r="E1802" s="36" t="s">
        <v>92</v>
      </c>
      <c r="F1802" s="36" t="s">
        <v>93</v>
      </c>
      <c r="G1802" s="36" t="s">
        <v>94</v>
      </c>
      <c r="H1802" s="36" t="s">
        <v>95</v>
      </c>
      <c r="I1802" s="36" t="s">
        <v>96</v>
      </c>
      <c r="J1802" s="36">
        <v>226</v>
      </c>
      <c r="K1802" s="36">
        <v>526.24</v>
      </c>
    </row>
    <row r="1803" spans="1:11" x14ac:dyDescent="0.3">
      <c r="A1803" s="36" t="s">
        <v>97</v>
      </c>
      <c r="B1803" s="36">
        <v>2022</v>
      </c>
      <c r="C1803" s="36" t="s">
        <v>7</v>
      </c>
      <c r="D1803" s="36" t="s">
        <v>103</v>
      </c>
      <c r="E1803" s="36" t="s">
        <v>92</v>
      </c>
      <c r="F1803" s="36" t="s">
        <v>93</v>
      </c>
      <c r="G1803" s="36" t="s">
        <v>94</v>
      </c>
      <c r="H1803" s="36" t="s">
        <v>95</v>
      </c>
      <c r="I1803" s="36" t="s">
        <v>96</v>
      </c>
      <c r="J1803" s="36">
        <v>1014</v>
      </c>
      <c r="K1803" s="36">
        <v>1450.02</v>
      </c>
    </row>
    <row r="1804" spans="1:11" x14ac:dyDescent="0.3">
      <c r="A1804" s="36" t="s">
        <v>97</v>
      </c>
      <c r="B1804" s="36">
        <v>2022</v>
      </c>
      <c r="C1804" s="36" t="s">
        <v>7</v>
      </c>
      <c r="D1804" s="36" t="s">
        <v>103</v>
      </c>
      <c r="E1804" s="36" t="s">
        <v>92</v>
      </c>
      <c r="F1804" s="36" t="s">
        <v>93</v>
      </c>
      <c r="G1804" s="36" t="s">
        <v>94</v>
      </c>
      <c r="H1804" s="36" t="s">
        <v>95</v>
      </c>
      <c r="I1804" s="36" t="s">
        <v>96</v>
      </c>
      <c r="J1804" s="36">
        <v>228</v>
      </c>
      <c r="K1804" s="36">
        <v>326.03999999999996</v>
      </c>
    </row>
    <row r="1805" spans="1:11" x14ac:dyDescent="0.3">
      <c r="A1805" s="36" t="s">
        <v>97</v>
      </c>
      <c r="B1805" s="36">
        <v>2022</v>
      </c>
      <c r="C1805" s="36" t="s">
        <v>7</v>
      </c>
      <c r="D1805" s="36" t="s">
        <v>103</v>
      </c>
      <c r="E1805" s="36" t="s">
        <v>92</v>
      </c>
      <c r="F1805" s="36" t="s">
        <v>93</v>
      </c>
      <c r="G1805" s="36" t="s">
        <v>94</v>
      </c>
      <c r="H1805" s="36" t="s">
        <v>95</v>
      </c>
      <c r="I1805" s="36" t="s">
        <v>96</v>
      </c>
      <c r="J1805" s="36">
        <v>225</v>
      </c>
      <c r="K1805" s="36">
        <v>321.75</v>
      </c>
    </row>
    <row r="1806" spans="1:11" x14ac:dyDescent="0.3">
      <c r="A1806" s="36" t="s">
        <v>97</v>
      </c>
      <c r="B1806" s="36">
        <v>2022</v>
      </c>
      <c r="C1806" s="36" t="s">
        <v>7</v>
      </c>
      <c r="D1806" s="36" t="s">
        <v>103</v>
      </c>
      <c r="E1806" s="36" t="s">
        <v>92</v>
      </c>
      <c r="F1806" s="36" t="s">
        <v>93</v>
      </c>
      <c r="G1806" s="36" t="s">
        <v>94</v>
      </c>
      <c r="H1806" s="36" t="s">
        <v>95</v>
      </c>
      <c r="I1806" s="36" t="s">
        <v>96</v>
      </c>
      <c r="J1806" s="36">
        <v>367</v>
      </c>
      <c r="K1806" s="36">
        <v>524.80999999999995</v>
      </c>
    </row>
    <row r="1807" spans="1:11" x14ac:dyDescent="0.3">
      <c r="A1807" s="36" t="s">
        <v>97</v>
      </c>
      <c r="B1807" s="36">
        <v>2022</v>
      </c>
      <c r="C1807" s="36" t="s">
        <v>7</v>
      </c>
      <c r="D1807" s="36" t="s">
        <v>103</v>
      </c>
      <c r="E1807" s="36" t="s">
        <v>92</v>
      </c>
      <c r="F1807" s="36" t="s">
        <v>93</v>
      </c>
      <c r="G1807" s="36" t="s">
        <v>94</v>
      </c>
      <c r="H1807" s="36" t="s">
        <v>95</v>
      </c>
      <c r="I1807" s="36" t="s">
        <v>96</v>
      </c>
      <c r="J1807" s="36">
        <v>361</v>
      </c>
      <c r="K1807" s="36">
        <v>516.23</v>
      </c>
    </row>
    <row r="1808" spans="1:11" x14ac:dyDescent="0.3">
      <c r="A1808" s="36" t="s">
        <v>101</v>
      </c>
      <c r="B1808" s="36">
        <v>2022</v>
      </c>
      <c r="C1808" s="36" t="s">
        <v>7</v>
      </c>
      <c r="D1808" s="36" t="s">
        <v>103</v>
      </c>
      <c r="E1808" s="36" t="s">
        <v>92</v>
      </c>
      <c r="F1808" s="36" t="s">
        <v>93</v>
      </c>
      <c r="G1808" s="36" t="s">
        <v>94</v>
      </c>
      <c r="H1808" s="36" t="s">
        <v>95</v>
      </c>
      <c r="I1808" s="36" t="s">
        <v>96</v>
      </c>
      <c r="J1808" s="36">
        <v>355</v>
      </c>
      <c r="K1808" s="36">
        <v>507.65</v>
      </c>
    </row>
    <row r="1809" spans="1:11" x14ac:dyDescent="0.3">
      <c r="A1809" s="36" t="s">
        <v>99</v>
      </c>
      <c r="B1809" s="36">
        <v>2022</v>
      </c>
      <c r="C1809" s="36" t="s">
        <v>7</v>
      </c>
      <c r="D1809" s="36" t="s">
        <v>103</v>
      </c>
      <c r="E1809" s="36" t="s">
        <v>92</v>
      </c>
      <c r="F1809" s="36" t="s">
        <v>93</v>
      </c>
      <c r="G1809" s="36" t="s">
        <v>94</v>
      </c>
      <c r="H1809" s="36" t="s">
        <v>95</v>
      </c>
      <c r="I1809" s="36" t="s">
        <v>96</v>
      </c>
      <c r="J1809" s="36">
        <v>795</v>
      </c>
      <c r="K1809" s="36">
        <v>1136.8499999999999</v>
      </c>
    </row>
    <row r="1810" spans="1:11" x14ac:dyDescent="0.3">
      <c r="A1810" s="36" t="s">
        <v>97</v>
      </c>
      <c r="B1810" s="36">
        <v>2022</v>
      </c>
      <c r="C1810" s="36" t="s">
        <v>7</v>
      </c>
      <c r="D1810" s="36" t="s">
        <v>103</v>
      </c>
      <c r="E1810" s="36" t="s">
        <v>92</v>
      </c>
      <c r="F1810" s="36" t="s">
        <v>93</v>
      </c>
      <c r="G1810" s="36" t="s">
        <v>94</v>
      </c>
      <c r="H1810" s="36" t="s">
        <v>95</v>
      </c>
      <c r="I1810" s="36" t="s">
        <v>96</v>
      </c>
      <c r="J1810" s="36">
        <v>828</v>
      </c>
      <c r="K1810" s="36">
        <v>1184.04</v>
      </c>
    </row>
    <row r="1811" spans="1:11" x14ac:dyDescent="0.3">
      <c r="A1811" s="36" t="s">
        <v>90</v>
      </c>
      <c r="B1811" s="36">
        <v>2022</v>
      </c>
      <c r="C1811" s="36" t="s">
        <v>7</v>
      </c>
      <c r="D1811" s="36" t="s">
        <v>103</v>
      </c>
      <c r="E1811" s="36" t="s">
        <v>92</v>
      </c>
      <c r="F1811" s="36" t="s">
        <v>93</v>
      </c>
      <c r="G1811" s="36" t="s">
        <v>94</v>
      </c>
      <c r="H1811" s="36" t="s">
        <v>95</v>
      </c>
      <c r="I1811" s="36" t="s">
        <v>98</v>
      </c>
      <c r="J1811" s="36">
        <v>365</v>
      </c>
      <c r="K1811" s="36">
        <v>521.95000000000005</v>
      </c>
    </row>
    <row r="1812" spans="1:11" x14ac:dyDescent="0.3">
      <c r="A1812" s="36" t="s">
        <v>97</v>
      </c>
      <c r="B1812" s="36">
        <v>2022</v>
      </c>
      <c r="C1812" s="36" t="s">
        <v>7</v>
      </c>
      <c r="D1812" s="36" t="s">
        <v>103</v>
      </c>
      <c r="E1812" s="36" t="s">
        <v>92</v>
      </c>
      <c r="F1812" s="36" t="s">
        <v>93</v>
      </c>
      <c r="G1812" s="36" t="s">
        <v>94</v>
      </c>
      <c r="H1812" s="36" t="s">
        <v>95</v>
      </c>
      <c r="I1812" s="36" t="s">
        <v>98</v>
      </c>
      <c r="J1812" s="36">
        <v>359</v>
      </c>
      <c r="K1812" s="36">
        <v>513.37</v>
      </c>
    </row>
    <row r="1813" spans="1:11" x14ac:dyDescent="0.3">
      <c r="A1813" s="36" t="s">
        <v>97</v>
      </c>
      <c r="B1813" s="36">
        <v>2022</v>
      </c>
      <c r="C1813" s="36" t="s">
        <v>7</v>
      </c>
      <c r="D1813" s="36" t="s">
        <v>103</v>
      </c>
      <c r="E1813" s="36" t="s">
        <v>92</v>
      </c>
      <c r="F1813" s="36" t="s">
        <v>93</v>
      </c>
      <c r="G1813" s="36" t="s">
        <v>94</v>
      </c>
      <c r="H1813" s="36" t="s">
        <v>95</v>
      </c>
      <c r="I1813" s="36" t="s">
        <v>98</v>
      </c>
      <c r="J1813" s="36">
        <v>353</v>
      </c>
      <c r="K1813" s="36">
        <v>504.78999999999996</v>
      </c>
    </row>
    <row r="1814" spans="1:11" x14ac:dyDescent="0.3">
      <c r="A1814" s="36" t="s">
        <v>97</v>
      </c>
      <c r="B1814" s="36">
        <v>2022</v>
      </c>
      <c r="C1814" s="36" t="s">
        <v>7</v>
      </c>
      <c r="D1814" s="36" t="s">
        <v>103</v>
      </c>
      <c r="E1814" s="36" t="s">
        <v>92</v>
      </c>
      <c r="F1814" s="36" t="s">
        <v>93</v>
      </c>
      <c r="G1814" s="36" t="s">
        <v>94</v>
      </c>
      <c r="H1814" s="36" t="s">
        <v>95</v>
      </c>
      <c r="I1814" s="36" t="s">
        <v>96</v>
      </c>
      <c r="J1814" s="36">
        <v>179</v>
      </c>
      <c r="K1814" s="36">
        <v>255.97</v>
      </c>
    </row>
    <row r="1815" spans="1:11" x14ac:dyDescent="0.3">
      <c r="A1815" s="36" t="s">
        <v>90</v>
      </c>
      <c r="B1815" s="36">
        <v>2022</v>
      </c>
      <c r="C1815" s="36" t="s">
        <v>7</v>
      </c>
      <c r="D1815" s="36" t="s">
        <v>103</v>
      </c>
      <c r="E1815" s="36" t="s">
        <v>92</v>
      </c>
      <c r="F1815" s="36" t="s">
        <v>93</v>
      </c>
      <c r="G1815" s="36" t="s">
        <v>94</v>
      </c>
      <c r="H1815" s="36" t="s">
        <v>95</v>
      </c>
      <c r="I1815" s="36" t="s">
        <v>96</v>
      </c>
      <c r="J1815" s="36">
        <v>227</v>
      </c>
      <c r="K1815" s="36">
        <v>324.61</v>
      </c>
    </row>
    <row r="1816" spans="1:11" x14ac:dyDescent="0.3">
      <c r="A1816" s="36" t="s">
        <v>97</v>
      </c>
      <c r="B1816" s="36">
        <v>2022</v>
      </c>
      <c r="C1816" s="36" t="s">
        <v>11</v>
      </c>
      <c r="D1816" s="36" t="s">
        <v>103</v>
      </c>
      <c r="E1816" s="36" t="s">
        <v>92</v>
      </c>
      <c r="F1816" s="36" t="s">
        <v>93</v>
      </c>
      <c r="G1816" s="36" t="s">
        <v>94</v>
      </c>
      <c r="H1816" s="36" t="s">
        <v>95</v>
      </c>
      <c r="I1816" s="36" t="s">
        <v>98</v>
      </c>
      <c r="J1816" s="36">
        <v>302</v>
      </c>
      <c r="K1816" s="36">
        <v>431.86</v>
      </c>
    </row>
    <row r="1817" spans="1:11" x14ac:dyDescent="0.3">
      <c r="A1817" s="36" t="s">
        <v>90</v>
      </c>
      <c r="B1817" s="36">
        <v>2022</v>
      </c>
      <c r="C1817" s="36" t="s">
        <v>11</v>
      </c>
      <c r="D1817" s="36" t="s">
        <v>103</v>
      </c>
      <c r="E1817" s="36" t="s">
        <v>92</v>
      </c>
      <c r="F1817" s="36" t="s">
        <v>93</v>
      </c>
      <c r="G1817" s="36" t="s">
        <v>94</v>
      </c>
      <c r="H1817" s="36" t="s">
        <v>95</v>
      </c>
      <c r="I1817" s="36" t="s">
        <v>98</v>
      </c>
      <c r="J1817" s="36">
        <v>296</v>
      </c>
      <c r="K1817" s="36">
        <v>423.28</v>
      </c>
    </row>
    <row r="1818" spans="1:11" x14ac:dyDescent="0.3">
      <c r="A1818" s="36" t="s">
        <v>99</v>
      </c>
      <c r="B1818" s="36">
        <v>2022</v>
      </c>
      <c r="C1818" s="36" t="s">
        <v>11</v>
      </c>
      <c r="D1818" s="36" t="s">
        <v>103</v>
      </c>
      <c r="E1818" s="36" t="s">
        <v>92</v>
      </c>
      <c r="F1818" s="36" t="s">
        <v>93</v>
      </c>
      <c r="G1818" s="36" t="s">
        <v>94</v>
      </c>
      <c r="H1818" s="36" t="s">
        <v>95</v>
      </c>
      <c r="I1818" s="36" t="s">
        <v>98</v>
      </c>
      <c r="J1818" s="36">
        <v>290</v>
      </c>
      <c r="K1818" s="36">
        <v>414.7</v>
      </c>
    </row>
    <row r="1819" spans="1:11" x14ac:dyDescent="0.3">
      <c r="A1819" s="36" t="s">
        <v>97</v>
      </c>
      <c r="B1819" s="36">
        <v>2022</v>
      </c>
      <c r="C1819" s="36" t="s">
        <v>11</v>
      </c>
      <c r="D1819" s="36" t="s">
        <v>103</v>
      </c>
      <c r="E1819" s="36" t="s">
        <v>92</v>
      </c>
      <c r="F1819" s="36" t="s">
        <v>93</v>
      </c>
      <c r="G1819" s="36" t="s">
        <v>94</v>
      </c>
      <c r="H1819" s="36" t="s">
        <v>95</v>
      </c>
      <c r="I1819" s="36" t="s">
        <v>96</v>
      </c>
      <c r="J1819" s="36">
        <v>230</v>
      </c>
      <c r="K1819" s="36">
        <v>328.9</v>
      </c>
    </row>
    <row r="1820" spans="1:11" x14ac:dyDescent="0.3">
      <c r="A1820" s="36" t="s">
        <v>99</v>
      </c>
      <c r="B1820" s="36">
        <v>2022</v>
      </c>
      <c r="C1820" s="36" t="s">
        <v>11</v>
      </c>
      <c r="D1820" s="36" t="s">
        <v>103</v>
      </c>
      <c r="E1820" s="36" t="s">
        <v>92</v>
      </c>
      <c r="F1820" s="36" t="s">
        <v>93</v>
      </c>
      <c r="G1820" s="36" t="s">
        <v>94</v>
      </c>
      <c r="H1820" s="36" t="s">
        <v>95</v>
      </c>
      <c r="I1820" s="36" t="s">
        <v>96</v>
      </c>
      <c r="J1820" s="36">
        <v>158</v>
      </c>
      <c r="K1820" s="36">
        <v>225.94</v>
      </c>
    </row>
    <row r="1821" spans="1:11" x14ac:dyDescent="0.3">
      <c r="A1821" s="36" t="s">
        <v>90</v>
      </c>
      <c r="B1821" s="36">
        <v>2022</v>
      </c>
      <c r="C1821" s="36" t="s">
        <v>11</v>
      </c>
      <c r="D1821" s="36" t="s">
        <v>103</v>
      </c>
      <c r="E1821" s="36" t="s">
        <v>92</v>
      </c>
      <c r="F1821" s="36" t="s">
        <v>93</v>
      </c>
      <c r="G1821" s="36" t="s">
        <v>94</v>
      </c>
      <c r="H1821" s="36" t="s">
        <v>95</v>
      </c>
      <c r="I1821" s="36" t="s">
        <v>96</v>
      </c>
      <c r="J1821" s="36">
        <v>206</v>
      </c>
      <c r="K1821" s="36">
        <v>294.58</v>
      </c>
    </row>
    <row r="1822" spans="1:11" x14ac:dyDescent="0.3">
      <c r="A1822" s="36" t="s">
        <v>90</v>
      </c>
      <c r="B1822" s="36">
        <v>2022</v>
      </c>
      <c r="C1822" s="36" t="s">
        <v>11</v>
      </c>
      <c r="D1822" s="36" t="s">
        <v>103</v>
      </c>
      <c r="E1822" s="36" t="s">
        <v>92</v>
      </c>
      <c r="F1822" s="36" t="s">
        <v>93</v>
      </c>
      <c r="G1822" s="36" t="s">
        <v>94</v>
      </c>
      <c r="H1822" s="36" t="s">
        <v>95</v>
      </c>
      <c r="I1822" s="36" t="s">
        <v>96</v>
      </c>
      <c r="J1822" s="36">
        <v>304</v>
      </c>
      <c r="K1822" s="36">
        <v>434.72</v>
      </c>
    </row>
    <row r="1823" spans="1:11" x14ac:dyDescent="0.3">
      <c r="A1823" s="36" t="s">
        <v>97</v>
      </c>
      <c r="B1823" s="36">
        <v>2022</v>
      </c>
      <c r="C1823" s="36" t="s">
        <v>11</v>
      </c>
      <c r="D1823" s="36" t="s">
        <v>103</v>
      </c>
      <c r="E1823" s="36" t="s">
        <v>92</v>
      </c>
      <c r="F1823" s="36" t="s">
        <v>93</v>
      </c>
      <c r="G1823" s="36" t="s">
        <v>94</v>
      </c>
      <c r="H1823" s="36" t="s">
        <v>95</v>
      </c>
      <c r="I1823" s="36" t="s">
        <v>96</v>
      </c>
      <c r="J1823" s="36">
        <v>298</v>
      </c>
      <c r="K1823" s="36">
        <v>426.14</v>
      </c>
    </row>
    <row r="1824" spans="1:11" x14ac:dyDescent="0.3">
      <c r="A1824" s="36" t="s">
        <v>99</v>
      </c>
      <c r="B1824" s="36">
        <v>2022</v>
      </c>
      <c r="C1824" s="36" t="s">
        <v>11</v>
      </c>
      <c r="D1824" s="36" t="s">
        <v>103</v>
      </c>
      <c r="E1824" s="36" t="s">
        <v>92</v>
      </c>
      <c r="F1824" s="36" t="s">
        <v>93</v>
      </c>
      <c r="G1824" s="36" t="s">
        <v>94</v>
      </c>
      <c r="H1824" s="36" t="s">
        <v>95</v>
      </c>
      <c r="I1824" s="36" t="s">
        <v>96</v>
      </c>
      <c r="J1824" s="36">
        <v>292</v>
      </c>
      <c r="K1824" s="36">
        <v>417.56</v>
      </c>
    </row>
    <row r="1825" spans="1:11" x14ac:dyDescent="0.3">
      <c r="A1825" s="36" t="s">
        <v>97</v>
      </c>
      <c r="B1825" s="36">
        <v>2022</v>
      </c>
      <c r="C1825" s="36" t="s">
        <v>11</v>
      </c>
      <c r="D1825" s="36" t="s">
        <v>103</v>
      </c>
      <c r="E1825" s="36" t="s">
        <v>92</v>
      </c>
      <c r="F1825" s="36" t="s">
        <v>93</v>
      </c>
      <c r="G1825" s="36" t="s">
        <v>94</v>
      </c>
      <c r="H1825" s="36" t="s">
        <v>95</v>
      </c>
      <c r="I1825" s="36" t="s">
        <v>96</v>
      </c>
      <c r="J1825" s="36">
        <v>232</v>
      </c>
      <c r="K1825" s="36">
        <v>526.24</v>
      </c>
    </row>
    <row r="1826" spans="1:11" x14ac:dyDescent="0.3">
      <c r="A1826" s="36" t="s">
        <v>90</v>
      </c>
      <c r="B1826" s="36">
        <v>2022</v>
      </c>
      <c r="C1826" s="36" t="s">
        <v>11</v>
      </c>
      <c r="D1826" s="36" t="s">
        <v>103</v>
      </c>
      <c r="E1826" s="36" t="s">
        <v>92</v>
      </c>
      <c r="F1826" s="36" t="s">
        <v>93</v>
      </c>
      <c r="G1826" s="36" t="s">
        <v>94</v>
      </c>
      <c r="H1826" s="36" t="s">
        <v>95</v>
      </c>
      <c r="I1826" s="36" t="s">
        <v>96</v>
      </c>
      <c r="J1826" s="36">
        <v>160</v>
      </c>
      <c r="K1826" s="36">
        <v>526.24</v>
      </c>
    </row>
    <row r="1827" spans="1:11" x14ac:dyDescent="0.3">
      <c r="A1827" s="36" t="s">
        <v>97</v>
      </c>
      <c r="B1827" s="36">
        <v>2022</v>
      </c>
      <c r="C1827" s="36" t="s">
        <v>11</v>
      </c>
      <c r="D1827" s="36" t="s">
        <v>103</v>
      </c>
      <c r="E1827" s="36" t="s">
        <v>92</v>
      </c>
      <c r="F1827" s="36" t="s">
        <v>93</v>
      </c>
      <c r="G1827" s="36" t="s">
        <v>94</v>
      </c>
      <c r="H1827" s="36" t="s">
        <v>95</v>
      </c>
      <c r="I1827" s="36" t="s">
        <v>96</v>
      </c>
      <c r="J1827" s="36">
        <v>964</v>
      </c>
      <c r="K1827" s="36">
        <v>1378.52</v>
      </c>
    </row>
    <row r="1828" spans="1:11" x14ac:dyDescent="0.3">
      <c r="A1828" s="36" t="s">
        <v>90</v>
      </c>
      <c r="B1828" s="36">
        <v>2022</v>
      </c>
      <c r="C1828" s="36" t="s">
        <v>11</v>
      </c>
      <c r="D1828" s="36" t="s">
        <v>103</v>
      </c>
      <c r="E1828" s="36" t="s">
        <v>92</v>
      </c>
      <c r="F1828" s="36" t="s">
        <v>93</v>
      </c>
      <c r="G1828" s="36" t="s">
        <v>94</v>
      </c>
      <c r="H1828" s="36" t="s">
        <v>95</v>
      </c>
      <c r="I1828" s="36" t="s">
        <v>96</v>
      </c>
      <c r="J1828" s="36">
        <v>1018</v>
      </c>
      <c r="K1828" s="36">
        <v>1455.74</v>
      </c>
    </row>
    <row r="1829" spans="1:11" x14ac:dyDescent="0.3">
      <c r="A1829" s="36" t="s">
        <v>99</v>
      </c>
      <c r="B1829" s="36">
        <v>2022</v>
      </c>
      <c r="C1829" s="36" t="s">
        <v>11</v>
      </c>
      <c r="D1829" s="36" t="s">
        <v>103</v>
      </c>
      <c r="E1829" s="36" t="s">
        <v>92</v>
      </c>
      <c r="F1829" s="36" t="s">
        <v>93</v>
      </c>
      <c r="G1829" s="36" t="s">
        <v>94</v>
      </c>
      <c r="H1829" s="36" t="s">
        <v>95</v>
      </c>
      <c r="I1829" s="36" t="s">
        <v>96</v>
      </c>
      <c r="J1829" s="36">
        <v>204</v>
      </c>
      <c r="K1829" s="36">
        <v>291.72000000000003</v>
      </c>
    </row>
    <row r="1830" spans="1:11" x14ac:dyDescent="0.3">
      <c r="A1830" s="36" t="s">
        <v>99</v>
      </c>
      <c r="B1830" s="36">
        <v>2022</v>
      </c>
      <c r="C1830" s="36" t="s">
        <v>11</v>
      </c>
      <c r="D1830" s="36" t="s">
        <v>103</v>
      </c>
      <c r="E1830" s="36" t="s">
        <v>92</v>
      </c>
      <c r="F1830" s="36" t="s">
        <v>93</v>
      </c>
      <c r="G1830" s="36" t="s">
        <v>94</v>
      </c>
      <c r="H1830" s="36" t="s">
        <v>95</v>
      </c>
      <c r="I1830" s="36" t="s">
        <v>96</v>
      </c>
      <c r="J1830" s="36">
        <v>231</v>
      </c>
      <c r="K1830" s="36">
        <v>330.33</v>
      </c>
    </row>
    <row r="1831" spans="1:11" x14ac:dyDescent="0.3">
      <c r="A1831" s="36" t="s">
        <v>97</v>
      </c>
      <c r="B1831" s="36">
        <v>2022</v>
      </c>
      <c r="C1831" s="36" t="s">
        <v>11</v>
      </c>
      <c r="D1831" s="36" t="s">
        <v>103</v>
      </c>
      <c r="E1831" s="36" t="s">
        <v>92</v>
      </c>
      <c r="F1831" s="36" t="s">
        <v>93</v>
      </c>
      <c r="G1831" s="36" t="s">
        <v>94</v>
      </c>
      <c r="H1831" s="36" t="s">
        <v>95</v>
      </c>
      <c r="I1831" s="36" t="s">
        <v>96</v>
      </c>
      <c r="J1831" s="36">
        <v>159</v>
      </c>
      <c r="K1831" s="36">
        <v>227.37</v>
      </c>
    </row>
    <row r="1832" spans="1:11" x14ac:dyDescent="0.3">
      <c r="A1832" s="36" t="s">
        <v>97</v>
      </c>
      <c r="B1832" s="36">
        <v>2022</v>
      </c>
      <c r="C1832" s="36" t="s">
        <v>11</v>
      </c>
      <c r="D1832" s="36" t="s">
        <v>103</v>
      </c>
      <c r="E1832" s="36" t="s">
        <v>92</v>
      </c>
      <c r="F1832" s="36" t="s">
        <v>93</v>
      </c>
      <c r="G1832" s="36" t="s">
        <v>94</v>
      </c>
      <c r="H1832" s="36" t="s">
        <v>95</v>
      </c>
      <c r="I1832" s="36" t="s">
        <v>96</v>
      </c>
      <c r="J1832" s="36">
        <v>207</v>
      </c>
      <c r="K1832" s="36">
        <v>296.01</v>
      </c>
    </row>
    <row r="1833" spans="1:11" x14ac:dyDescent="0.3">
      <c r="A1833" s="36" t="s">
        <v>90</v>
      </c>
      <c r="B1833" s="36">
        <v>2022</v>
      </c>
      <c r="C1833" s="36" t="s">
        <v>11</v>
      </c>
      <c r="D1833" s="36" t="s">
        <v>103</v>
      </c>
      <c r="E1833" s="36" t="s">
        <v>92</v>
      </c>
      <c r="F1833" s="36" t="s">
        <v>93</v>
      </c>
      <c r="G1833" s="36" t="s">
        <v>94</v>
      </c>
      <c r="H1833" s="36" t="s">
        <v>95</v>
      </c>
      <c r="I1833" s="36" t="s">
        <v>96</v>
      </c>
      <c r="J1833" s="36">
        <v>301</v>
      </c>
      <c r="K1833" s="36">
        <v>430.43</v>
      </c>
    </row>
    <row r="1834" spans="1:11" x14ac:dyDescent="0.3">
      <c r="A1834" s="36" t="s">
        <v>99</v>
      </c>
      <c r="B1834" s="36">
        <v>2022</v>
      </c>
      <c r="C1834" s="36" t="s">
        <v>11</v>
      </c>
      <c r="D1834" s="36" t="s">
        <v>103</v>
      </c>
      <c r="E1834" s="36" t="s">
        <v>92</v>
      </c>
      <c r="F1834" s="36" t="s">
        <v>93</v>
      </c>
      <c r="G1834" s="36" t="s">
        <v>94</v>
      </c>
      <c r="H1834" s="36" t="s">
        <v>95</v>
      </c>
      <c r="I1834" s="36" t="s">
        <v>96</v>
      </c>
      <c r="J1834" s="36">
        <v>295</v>
      </c>
      <c r="K1834" s="36">
        <v>421.85</v>
      </c>
    </row>
    <row r="1835" spans="1:11" x14ac:dyDescent="0.3">
      <c r="A1835" s="36" t="s">
        <v>90</v>
      </c>
      <c r="B1835" s="36">
        <v>2022</v>
      </c>
      <c r="C1835" s="36" t="s">
        <v>11</v>
      </c>
      <c r="D1835" s="36" t="s">
        <v>103</v>
      </c>
      <c r="E1835" s="36" t="s">
        <v>92</v>
      </c>
      <c r="F1835" s="36" t="s">
        <v>93</v>
      </c>
      <c r="G1835" s="36" t="s">
        <v>94</v>
      </c>
      <c r="H1835" s="36" t="s">
        <v>95</v>
      </c>
      <c r="I1835" s="36" t="s">
        <v>96</v>
      </c>
      <c r="J1835" s="36">
        <v>289</v>
      </c>
      <c r="K1835" s="36">
        <v>413.27</v>
      </c>
    </row>
    <row r="1836" spans="1:11" x14ac:dyDescent="0.3">
      <c r="A1836" s="36" t="s">
        <v>99</v>
      </c>
      <c r="B1836" s="36">
        <v>2022</v>
      </c>
      <c r="C1836" s="36" t="s">
        <v>11</v>
      </c>
      <c r="D1836" s="36" t="s">
        <v>103</v>
      </c>
      <c r="E1836" s="36" t="s">
        <v>92</v>
      </c>
      <c r="F1836" s="36" t="s">
        <v>93</v>
      </c>
      <c r="G1836" s="36" t="s">
        <v>94</v>
      </c>
      <c r="H1836" s="36" t="s">
        <v>95</v>
      </c>
      <c r="I1836" s="36" t="s">
        <v>96</v>
      </c>
      <c r="J1836" s="36">
        <v>799</v>
      </c>
      <c r="K1836" s="36">
        <v>1142.57</v>
      </c>
    </row>
    <row r="1837" spans="1:11" x14ac:dyDescent="0.3">
      <c r="A1837" s="36" t="s">
        <v>97</v>
      </c>
      <c r="B1837" s="36">
        <v>2022</v>
      </c>
      <c r="C1837" s="36" t="s">
        <v>11</v>
      </c>
      <c r="D1837" s="36" t="s">
        <v>103</v>
      </c>
      <c r="E1837" s="36" t="s">
        <v>92</v>
      </c>
      <c r="F1837" s="36" t="s">
        <v>93</v>
      </c>
      <c r="G1837" s="36" t="s">
        <v>94</v>
      </c>
      <c r="H1837" s="36" t="s">
        <v>95</v>
      </c>
      <c r="I1837" s="36" t="s">
        <v>96</v>
      </c>
      <c r="J1837" s="36">
        <v>832</v>
      </c>
      <c r="K1837" s="36">
        <v>1189.76</v>
      </c>
    </row>
    <row r="1838" spans="1:11" x14ac:dyDescent="0.3">
      <c r="A1838" s="36" t="s">
        <v>99</v>
      </c>
      <c r="B1838" s="36">
        <v>2022</v>
      </c>
      <c r="C1838" s="36" t="s">
        <v>11</v>
      </c>
      <c r="D1838" s="36" t="s">
        <v>103</v>
      </c>
      <c r="E1838" s="36" t="s">
        <v>92</v>
      </c>
      <c r="F1838" s="36" t="s">
        <v>93</v>
      </c>
      <c r="G1838" s="36" t="s">
        <v>94</v>
      </c>
      <c r="H1838" s="36" t="s">
        <v>95</v>
      </c>
      <c r="I1838" s="36" t="s">
        <v>98</v>
      </c>
      <c r="J1838" s="36">
        <v>299</v>
      </c>
      <c r="K1838" s="36">
        <v>427.57</v>
      </c>
    </row>
    <row r="1839" spans="1:11" x14ac:dyDescent="0.3">
      <c r="A1839" s="36" t="s">
        <v>97</v>
      </c>
      <c r="B1839" s="36">
        <v>2022</v>
      </c>
      <c r="C1839" s="36" t="s">
        <v>11</v>
      </c>
      <c r="D1839" s="36" t="s">
        <v>103</v>
      </c>
      <c r="E1839" s="36" t="s">
        <v>92</v>
      </c>
      <c r="F1839" s="36" t="s">
        <v>93</v>
      </c>
      <c r="G1839" s="36" t="s">
        <v>94</v>
      </c>
      <c r="H1839" s="36" t="s">
        <v>95</v>
      </c>
      <c r="I1839" s="36" t="s">
        <v>98</v>
      </c>
      <c r="J1839" s="36">
        <v>293</v>
      </c>
      <c r="K1839" s="36">
        <v>418.99</v>
      </c>
    </row>
    <row r="1840" spans="1:11" x14ac:dyDescent="0.3">
      <c r="A1840" s="36" t="s">
        <v>90</v>
      </c>
      <c r="B1840" s="36">
        <v>2022</v>
      </c>
      <c r="C1840" s="36" t="s">
        <v>11</v>
      </c>
      <c r="D1840" s="36" t="s">
        <v>103</v>
      </c>
      <c r="E1840" s="36" t="s">
        <v>92</v>
      </c>
      <c r="F1840" s="36" t="s">
        <v>93</v>
      </c>
      <c r="G1840" s="36" t="s">
        <v>94</v>
      </c>
      <c r="H1840" s="36" t="s">
        <v>95</v>
      </c>
      <c r="I1840" s="36" t="s">
        <v>96</v>
      </c>
      <c r="J1840" s="36">
        <v>233</v>
      </c>
      <c r="K1840" s="36">
        <v>333.19</v>
      </c>
    </row>
    <row r="1841" spans="1:11" x14ac:dyDescent="0.3">
      <c r="A1841" s="36" t="s">
        <v>90</v>
      </c>
      <c r="B1841" s="36">
        <v>2022</v>
      </c>
      <c r="C1841" s="36" t="s">
        <v>11</v>
      </c>
      <c r="D1841" s="36" t="s">
        <v>103</v>
      </c>
      <c r="E1841" s="36" t="s">
        <v>92</v>
      </c>
      <c r="F1841" s="36" t="s">
        <v>93</v>
      </c>
      <c r="G1841" s="36" t="s">
        <v>94</v>
      </c>
      <c r="H1841" s="36" t="s">
        <v>95</v>
      </c>
      <c r="I1841" s="36" t="s">
        <v>96</v>
      </c>
      <c r="J1841" s="36">
        <v>161</v>
      </c>
      <c r="K1841" s="36">
        <v>230.23000000000002</v>
      </c>
    </row>
    <row r="1842" spans="1:11" x14ac:dyDescent="0.3">
      <c r="A1842" s="36" t="s">
        <v>97</v>
      </c>
      <c r="B1842" s="36">
        <v>2022</v>
      </c>
      <c r="C1842" s="36" t="s">
        <v>11</v>
      </c>
      <c r="D1842" s="36" t="s">
        <v>103</v>
      </c>
      <c r="E1842" s="36" t="s">
        <v>92</v>
      </c>
      <c r="F1842" s="36" t="s">
        <v>93</v>
      </c>
      <c r="G1842" s="36" t="s">
        <v>94</v>
      </c>
      <c r="H1842" s="36" t="s">
        <v>95</v>
      </c>
      <c r="I1842" s="36" t="s">
        <v>96</v>
      </c>
      <c r="J1842" s="36">
        <v>203</v>
      </c>
      <c r="K1842" s="36">
        <v>290.28999999999996</v>
      </c>
    </row>
    <row r="1843" spans="1:11" x14ac:dyDescent="0.3">
      <c r="A1843" s="36" t="s">
        <v>90</v>
      </c>
      <c r="B1843" s="36">
        <v>2022</v>
      </c>
      <c r="C1843" s="36" t="s">
        <v>1</v>
      </c>
      <c r="D1843" s="36" t="s">
        <v>103</v>
      </c>
      <c r="E1843" s="36" t="s">
        <v>92</v>
      </c>
      <c r="F1843" s="36" t="s">
        <v>93</v>
      </c>
      <c r="G1843" s="36" t="s">
        <v>94</v>
      </c>
      <c r="H1843" s="36" t="s">
        <v>95</v>
      </c>
      <c r="I1843" s="36" t="s">
        <v>98</v>
      </c>
      <c r="J1843" s="36">
        <v>218</v>
      </c>
      <c r="K1843" s="36">
        <v>311.74</v>
      </c>
    </row>
    <row r="1844" spans="1:11" x14ac:dyDescent="0.3">
      <c r="A1844" s="36" t="s">
        <v>97</v>
      </c>
      <c r="B1844" s="36">
        <v>2022</v>
      </c>
      <c r="C1844" s="36" t="s">
        <v>1</v>
      </c>
      <c r="D1844" s="36" t="s">
        <v>103</v>
      </c>
      <c r="E1844" s="36" t="s">
        <v>92</v>
      </c>
      <c r="F1844" s="36" t="s">
        <v>93</v>
      </c>
      <c r="G1844" s="36" t="s">
        <v>94</v>
      </c>
      <c r="H1844" s="36" t="s">
        <v>95</v>
      </c>
      <c r="I1844" s="36" t="s">
        <v>98</v>
      </c>
      <c r="J1844" s="36">
        <v>212</v>
      </c>
      <c r="K1844" s="36">
        <v>303.15999999999997</v>
      </c>
    </row>
    <row r="1845" spans="1:11" x14ac:dyDescent="0.3">
      <c r="A1845" s="36" t="s">
        <v>99</v>
      </c>
      <c r="B1845" s="36">
        <v>2022</v>
      </c>
      <c r="C1845" s="36" t="s">
        <v>1</v>
      </c>
      <c r="D1845" s="36" t="s">
        <v>103</v>
      </c>
      <c r="E1845" s="36" t="s">
        <v>92</v>
      </c>
      <c r="F1845" s="36" t="s">
        <v>93</v>
      </c>
      <c r="G1845" s="36" t="s">
        <v>94</v>
      </c>
      <c r="H1845" s="36" t="s">
        <v>95</v>
      </c>
      <c r="I1845" s="36" t="s">
        <v>98</v>
      </c>
      <c r="J1845" s="36">
        <v>206</v>
      </c>
      <c r="K1845" s="36">
        <v>294.58</v>
      </c>
    </row>
    <row r="1846" spans="1:11" x14ac:dyDescent="0.3">
      <c r="A1846" s="36" t="s">
        <v>90</v>
      </c>
      <c r="B1846" s="36">
        <v>2022</v>
      </c>
      <c r="C1846" s="36" t="s">
        <v>1</v>
      </c>
      <c r="D1846" s="36" t="s">
        <v>103</v>
      </c>
      <c r="E1846" s="36" t="s">
        <v>92</v>
      </c>
      <c r="F1846" s="36" t="s">
        <v>93</v>
      </c>
      <c r="G1846" s="36" t="s">
        <v>94</v>
      </c>
      <c r="H1846" s="36" t="s">
        <v>95</v>
      </c>
      <c r="I1846" s="36" t="s">
        <v>96</v>
      </c>
      <c r="J1846" s="36">
        <v>212</v>
      </c>
      <c r="K1846" s="36">
        <v>303.15999999999997</v>
      </c>
    </row>
    <row r="1847" spans="1:11" x14ac:dyDescent="0.3">
      <c r="A1847" s="36" t="s">
        <v>99</v>
      </c>
      <c r="B1847" s="36">
        <v>2022</v>
      </c>
      <c r="C1847" s="36" t="s">
        <v>1</v>
      </c>
      <c r="D1847" s="36" t="s">
        <v>103</v>
      </c>
      <c r="E1847" s="36" t="s">
        <v>92</v>
      </c>
      <c r="F1847" s="36" t="s">
        <v>93</v>
      </c>
      <c r="G1847" s="36" t="s">
        <v>94</v>
      </c>
      <c r="H1847" s="36" t="s">
        <v>95</v>
      </c>
      <c r="I1847" s="36" t="s">
        <v>96</v>
      </c>
      <c r="J1847" s="36">
        <v>260</v>
      </c>
      <c r="K1847" s="36">
        <v>371.8</v>
      </c>
    </row>
    <row r="1848" spans="1:11" x14ac:dyDescent="0.3">
      <c r="A1848" s="36" t="s">
        <v>90</v>
      </c>
      <c r="B1848" s="36">
        <v>2022</v>
      </c>
      <c r="C1848" s="36" t="s">
        <v>1</v>
      </c>
      <c r="D1848" s="36" t="s">
        <v>103</v>
      </c>
      <c r="E1848" s="36" t="s">
        <v>92</v>
      </c>
      <c r="F1848" s="36" t="s">
        <v>93</v>
      </c>
      <c r="G1848" s="36" t="s">
        <v>94</v>
      </c>
      <c r="H1848" s="36" t="s">
        <v>95</v>
      </c>
      <c r="I1848" s="36" t="s">
        <v>96</v>
      </c>
      <c r="J1848" s="36">
        <v>214</v>
      </c>
      <c r="K1848" s="36">
        <v>306.02</v>
      </c>
    </row>
    <row r="1849" spans="1:11" x14ac:dyDescent="0.3">
      <c r="A1849" s="36" t="s">
        <v>90</v>
      </c>
      <c r="B1849" s="36">
        <v>2022</v>
      </c>
      <c r="C1849" s="36" t="s">
        <v>1</v>
      </c>
      <c r="D1849" s="36" t="s">
        <v>103</v>
      </c>
      <c r="E1849" s="36" t="s">
        <v>92</v>
      </c>
      <c r="F1849" s="36" t="s">
        <v>93</v>
      </c>
      <c r="G1849" s="36" t="s">
        <v>94</v>
      </c>
      <c r="H1849" s="36" t="s">
        <v>95</v>
      </c>
      <c r="I1849" s="36" t="s">
        <v>96</v>
      </c>
      <c r="J1849" s="36">
        <v>208</v>
      </c>
      <c r="K1849" s="36">
        <v>297.44</v>
      </c>
    </row>
    <row r="1850" spans="1:11" x14ac:dyDescent="0.3">
      <c r="A1850" s="36" t="s">
        <v>97</v>
      </c>
      <c r="B1850" s="36">
        <v>2022</v>
      </c>
      <c r="C1850" s="36" t="s">
        <v>1</v>
      </c>
      <c r="D1850" s="36" t="s">
        <v>103</v>
      </c>
      <c r="E1850" s="36" t="s">
        <v>92</v>
      </c>
      <c r="F1850" s="36" t="s">
        <v>93</v>
      </c>
      <c r="G1850" s="36" t="s">
        <v>94</v>
      </c>
      <c r="H1850" s="36" t="s">
        <v>95</v>
      </c>
      <c r="I1850" s="36" t="s">
        <v>96</v>
      </c>
      <c r="J1850" s="36">
        <v>214</v>
      </c>
      <c r="K1850" s="36">
        <v>526.24</v>
      </c>
    </row>
    <row r="1851" spans="1:11" x14ac:dyDescent="0.3">
      <c r="A1851" s="36" t="s">
        <v>97</v>
      </c>
      <c r="B1851" s="36">
        <v>2022</v>
      </c>
      <c r="C1851" s="36" t="s">
        <v>1</v>
      </c>
      <c r="D1851" s="36" t="s">
        <v>103</v>
      </c>
      <c r="E1851" s="36" t="s">
        <v>92</v>
      </c>
      <c r="F1851" s="36" t="s">
        <v>93</v>
      </c>
      <c r="G1851" s="36" t="s">
        <v>94</v>
      </c>
      <c r="H1851" s="36" t="s">
        <v>95</v>
      </c>
      <c r="I1851" s="36" t="s">
        <v>96</v>
      </c>
      <c r="J1851" s="36">
        <v>256</v>
      </c>
      <c r="K1851" s="36">
        <v>526.24</v>
      </c>
    </row>
    <row r="1852" spans="1:11" x14ac:dyDescent="0.3">
      <c r="A1852" s="36" t="s">
        <v>90</v>
      </c>
      <c r="B1852" s="36">
        <v>2022</v>
      </c>
      <c r="C1852" s="36" t="s">
        <v>1</v>
      </c>
      <c r="D1852" s="36" t="s">
        <v>103</v>
      </c>
      <c r="E1852" s="36" t="s">
        <v>92</v>
      </c>
      <c r="F1852" s="36" t="s">
        <v>93</v>
      </c>
      <c r="G1852" s="36" t="s">
        <v>94</v>
      </c>
      <c r="H1852" s="36" t="s">
        <v>95</v>
      </c>
      <c r="I1852" s="36" t="s">
        <v>96</v>
      </c>
      <c r="J1852" s="36">
        <v>1009</v>
      </c>
      <c r="K1852" s="36">
        <v>1442.87</v>
      </c>
    </row>
    <row r="1853" spans="1:11" x14ac:dyDescent="0.3">
      <c r="A1853" s="36" t="s">
        <v>97</v>
      </c>
      <c r="B1853" s="36">
        <v>2022</v>
      </c>
      <c r="C1853" s="36" t="s">
        <v>1</v>
      </c>
      <c r="D1853" s="36" t="s">
        <v>103</v>
      </c>
      <c r="E1853" s="36" t="s">
        <v>92</v>
      </c>
      <c r="F1853" s="36" t="s">
        <v>93</v>
      </c>
      <c r="G1853" s="36" t="s">
        <v>94</v>
      </c>
      <c r="H1853" s="36" t="s">
        <v>95</v>
      </c>
      <c r="I1853" s="36" t="s">
        <v>96</v>
      </c>
      <c r="J1853" s="36">
        <v>258</v>
      </c>
      <c r="K1853" s="36">
        <v>368.94</v>
      </c>
    </row>
    <row r="1854" spans="1:11" x14ac:dyDescent="0.3">
      <c r="A1854" s="36" t="s">
        <v>90</v>
      </c>
      <c r="B1854" s="36">
        <v>2022</v>
      </c>
      <c r="C1854" s="36" t="s">
        <v>1</v>
      </c>
      <c r="D1854" s="36" t="s">
        <v>103</v>
      </c>
      <c r="E1854" s="36" t="s">
        <v>92</v>
      </c>
      <c r="F1854" s="36" t="s">
        <v>93</v>
      </c>
      <c r="G1854" s="36" t="s">
        <v>94</v>
      </c>
      <c r="H1854" s="36" t="s">
        <v>95</v>
      </c>
      <c r="I1854" s="36" t="s">
        <v>96</v>
      </c>
      <c r="J1854" s="36">
        <v>213</v>
      </c>
      <c r="K1854" s="36">
        <v>304.59000000000003</v>
      </c>
    </row>
    <row r="1855" spans="1:11" x14ac:dyDescent="0.3">
      <c r="A1855" s="36" t="s">
        <v>100</v>
      </c>
      <c r="B1855" s="36">
        <v>2022</v>
      </c>
      <c r="C1855" s="36" t="s">
        <v>1</v>
      </c>
      <c r="D1855" s="36" t="s">
        <v>103</v>
      </c>
      <c r="E1855" s="36" t="s">
        <v>92</v>
      </c>
      <c r="F1855" s="36" t="s">
        <v>93</v>
      </c>
      <c r="G1855" s="36" t="s">
        <v>94</v>
      </c>
      <c r="H1855" s="36" t="s">
        <v>95</v>
      </c>
      <c r="I1855" s="36" t="s">
        <v>96</v>
      </c>
      <c r="J1855" s="36">
        <v>261</v>
      </c>
      <c r="K1855" s="36">
        <v>373.23</v>
      </c>
    </row>
    <row r="1856" spans="1:11" x14ac:dyDescent="0.3">
      <c r="A1856" s="36" t="s">
        <v>97</v>
      </c>
      <c r="B1856" s="36">
        <v>2022</v>
      </c>
      <c r="C1856" s="36" t="s">
        <v>1</v>
      </c>
      <c r="D1856" s="36" t="s">
        <v>103</v>
      </c>
      <c r="E1856" s="36" t="s">
        <v>92</v>
      </c>
      <c r="F1856" s="36" t="s">
        <v>93</v>
      </c>
      <c r="G1856" s="36" t="s">
        <v>94</v>
      </c>
      <c r="H1856" s="36" t="s">
        <v>95</v>
      </c>
      <c r="I1856" s="36" t="s">
        <v>96</v>
      </c>
      <c r="J1856" s="36">
        <v>217</v>
      </c>
      <c r="K1856" s="36">
        <v>310.31</v>
      </c>
    </row>
    <row r="1857" spans="1:11" x14ac:dyDescent="0.3">
      <c r="A1857" s="36" t="s">
        <v>90</v>
      </c>
      <c r="B1857" s="36">
        <v>2022</v>
      </c>
      <c r="C1857" s="36" t="s">
        <v>1</v>
      </c>
      <c r="D1857" s="36" t="s">
        <v>103</v>
      </c>
      <c r="E1857" s="36" t="s">
        <v>92</v>
      </c>
      <c r="F1857" s="36" t="s">
        <v>93</v>
      </c>
      <c r="G1857" s="36" t="s">
        <v>94</v>
      </c>
      <c r="H1857" s="36" t="s">
        <v>95</v>
      </c>
      <c r="I1857" s="36" t="s">
        <v>96</v>
      </c>
      <c r="J1857" s="36">
        <v>211</v>
      </c>
      <c r="K1857" s="36">
        <v>301.73</v>
      </c>
    </row>
    <row r="1858" spans="1:11" x14ac:dyDescent="0.3">
      <c r="A1858" s="36" t="s">
        <v>90</v>
      </c>
      <c r="B1858" s="36">
        <v>2022</v>
      </c>
      <c r="C1858" s="36" t="s">
        <v>1</v>
      </c>
      <c r="D1858" s="36" t="s">
        <v>103</v>
      </c>
      <c r="E1858" s="36" t="s">
        <v>92</v>
      </c>
      <c r="F1858" s="36" t="s">
        <v>93</v>
      </c>
      <c r="G1858" s="36" t="s">
        <v>94</v>
      </c>
      <c r="H1858" s="36" t="s">
        <v>95</v>
      </c>
      <c r="I1858" s="36" t="s">
        <v>96</v>
      </c>
      <c r="J1858" s="36">
        <v>205</v>
      </c>
      <c r="K1858" s="36">
        <v>293.14999999999998</v>
      </c>
    </row>
    <row r="1859" spans="1:11" x14ac:dyDescent="0.3">
      <c r="A1859" s="36" t="s">
        <v>90</v>
      </c>
      <c r="B1859" s="36">
        <v>2022</v>
      </c>
      <c r="C1859" s="36" t="s">
        <v>1</v>
      </c>
      <c r="D1859" s="36" t="s">
        <v>103</v>
      </c>
      <c r="E1859" s="36" t="s">
        <v>92</v>
      </c>
      <c r="F1859" s="36" t="s">
        <v>93</v>
      </c>
      <c r="G1859" s="36" t="s">
        <v>94</v>
      </c>
      <c r="H1859" s="36" t="s">
        <v>95</v>
      </c>
      <c r="I1859" s="36" t="s">
        <v>96</v>
      </c>
      <c r="J1859" s="36">
        <v>790</v>
      </c>
      <c r="K1859" s="36">
        <v>1129.7</v>
      </c>
    </row>
    <row r="1860" spans="1:11" x14ac:dyDescent="0.3">
      <c r="A1860" s="36" t="s">
        <v>97</v>
      </c>
      <c r="B1860" s="36">
        <v>2022</v>
      </c>
      <c r="C1860" s="36" t="s">
        <v>1</v>
      </c>
      <c r="D1860" s="36" t="s">
        <v>103</v>
      </c>
      <c r="E1860" s="36" t="s">
        <v>92</v>
      </c>
      <c r="F1860" s="36" t="s">
        <v>93</v>
      </c>
      <c r="G1860" s="36" t="s">
        <v>94</v>
      </c>
      <c r="H1860" s="36" t="s">
        <v>95</v>
      </c>
      <c r="I1860" s="36" t="s">
        <v>96</v>
      </c>
      <c r="J1860" s="36">
        <v>823</v>
      </c>
      <c r="K1860" s="36">
        <v>1176.8899999999999</v>
      </c>
    </row>
    <row r="1861" spans="1:11" x14ac:dyDescent="0.3">
      <c r="A1861" s="36" t="s">
        <v>90</v>
      </c>
      <c r="B1861" s="36">
        <v>2022</v>
      </c>
      <c r="C1861" s="36" t="s">
        <v>1</v>
      </c>
      <c r="D1861" s="36" t="s">
        <v>103</v>
      </c>
      <c r="E1861" s="36" t="s">
        <v>92</v>
      </c>
      <c r="F1861" s="36" t="s">
        <v>93</v>
      </c>
      <c r="G1861" s="36" t="s">
        <v>94</v>
      </c>
      <c r="H1861" s="36" t="s">
        <v>95</v>
      </c>
      <c r="I1861" s="36" t="s">
        <v>98</v>
      </c>
      <c r="J1861" s="36">
        <v>215</v>
      </c>
      <c r="K1861" s="36">
        <v>307.45</v>
      </c>
    </row>
    <row r="1862" spans="1:11" x14ac:dyDescent="0.3">
      <c r="A1862" s="36" t="s">
        <v>99</v>
      </c>
      <c r="B1862" s="36">
        <v>2022</v>
      </c>
      <c r="C1862" s="36" t="s">
        <v>1</v>
      </c>
      <c r="D1862" s="36" t="s">
        <v>103</v>
      </c>
      <c r="E1862" s="36" t="s">
        <v>92</v>
      </c>
      <c r="F1862" s="36" t="s">
        <v>93</v>
      </c>
      <c r="G1862" s="36" t="s">
        <v>94</v>
      </c>
      <c r="H1862" s="36" t="s">
        <v>95</v>
      </c>
      <c r="I1862" s="36" t="s">
        <v>98</v>
      </c>
      <c r="J1862" s="36">
        <v>209</v>
      </c>
      <c r="K1862" s="36">
        <v>298.87</v>
      </c>
    </row>
    <row r="1863" spans="1:11" x14ac:dyDescent="0.3">
      <c r="A1863" s="36" t="s">
        <v>90</v>
      </c>
      <c r="B1863" s="36">
        <v>2022</v>
      </c>
      <c r="C1863" s="36" t="s">
        <v>1</v>
      </c>
      <c r="D1863" s="36" t="s">
        <v>103</v>
      </c>
      <c r="E1863" s="36" t="s">
        <v>92</v>
      </c>
      <c r="F1863" s="36" t="s">
        <v>93</v>
      </c>
      <c r="G1863" s="36" t="s">
        <v>94</v>
      </c>
      <c r="H1863" s="36" t="s">
        <v>95</v>
      </c>
      <c r="I1863" s="36" t="s">
        <v>98</v>
      </c>
      <c r="J1863" s="36">
        <v>203</v>
      </c>
      <c r="K1863" s="36">
        <v>290.28999999999996</v>
      </c>
    </row>
    <row r="1864" spans="1:11" x14ac:dyDescent="0.3">
      <c r="A1864" s="36" t="s">
        <v>99</v>
      </c>
      <c r="B1864" s="36">
        <v>2022</v>
      </c>
      <c r="C1864" s="36" t="s">
        <v>1</v>
      </c>
      <c r="D1864" s="36" t="s">
        <v>103</v>
      </c>
      <c r="E1864" s="36" t="s">
        <v>92</v>
      </c>
      <c r="F1864" s="36" t="s">
        <v>93</v>
      </c>
      <c r="G1864" s="36" t="s">
        <v>94</v>
      </c>
      <c r="H1864" s="36" t="s">
        <v>95</v>
      </c>
      <c r="I1864" s="36" t="s">
        <v>96</v>
      </c>
      <c r="J1864" s="36">
        <v>257</v>
      </c>
      <c r="K1864" s="36">
        <v>367.51</v>
      </c>
    </row>
    <row r="1865" spans="1:11" x14ac:dyDescent="0.3">
      <c r="A1865" s="36" t="s">
        <v>97</v>
      </c>
      <c r="B1865" s="36">
        <v>2022</v>
      </c>
      <c r="C1865" s="36" t="s">
        <v>0</v>
      </c>
      <c r="D1865" s="36" t="s">
        <v>103</v>
      </c>
      <c r="E1865" s="36" t="s">
        <v>92</v>
      </c>
      <c r="F1865" s="36" t="s">
        <v>93</v>
      </c>
      <c r="G1865" s="36" t="s">
        <v>94</v>
      </c>
      <c r="H1865" s="36" t="s">
        <v>95</v>
      </c>
      <c r="I1865" s="36" t="s">
        <v>98</v>
      </c>
      <c r="J1865" s="36">
        <v>230</v>
      </c>
      <c r="K1865" s="36">
        <v>328.9</v>
      </c>
    </row>
    <row r="1866" spans="1:11" x14ac:dyDescent="0.3">
      <c r="A1866" s="36" t="s">
        <v>90</v>
      </c>
      <c r="B1866" s="36">
        <v>2022</v>
      </c>
      <c r="C1866" s="36" t="s">
        <v>0</v>
      </c>
      <c r="D1866" s="36" t="s">
        <v>103</v>
      </c>
      <c r="E1866" s="36" t="s">
        <v>92</v>
      </c>
      <c r="F1866" s="36" t="s">
        <v>93</v>
      </c>
      <c r="G1866" s="36" t="s">
        <v>94</v>
      </c>
      <c r="H1866" s="36" t="s">
        <v>95</v>
      </c>
      <c r="I1866" s="36" t="s">
        <v>98</v>
      </c>
      <c r="J1866" s="36">
        <v>224</v>
      </c>
      <c r="K1866" s="36">
        <v>320.32</v>
      </c>
    </row>
    <row r="1867" spans="1:11" x14ac:dyDescent="0.3">
      <c r="A1867" s="36" t="s">
        <v>101</v>
      </c>
      <c r="B1867" s="36">
        <v>2022</v>
      </c>
      <c r="C1867" s="36" t="s">
        <v>0</v>
      </c>
      <c r="D1867" s="36" t="s">
        <v>103</v>
      </c>
      <c r="E1867" s="36" t="s">
        <v>92</v>
      </c>
      <c r="F1867" s="36" t="s">
        <v>93</v>
      </c>
      <c r="G1867" s="36" t="s">
        <v>94</v>
      </c>
      <c r="H1867" s="36" t="s">
        <v>95</v>
      </c>
      <c r="I1867" s="36" t="s">
        <v>96</v>
      </c>
      <c r="J1867" s="36">
        <v>218</v>
      </c>
      <c r="K1867" s="36">
        <v>311.74</v>
      </c>
    </row>
    <row r="1868" spans="1:11" x14ac:dyDescent="0.3">
      <c r="A1868" s="36" t="s">
        <v>100</v>
      </c>
      <c r="B1868" s="36">
        <v>2022</v>
      </c>
      <c r="C1868" s="36" t="s">
        <v>0</v>
      </c>
      <c r="D1868" s="36" t="s">
        <v>103</v>
      </c>
      <c r="E1868" s="36" t="s">
        <v>92</v>
      </c>
      <c r="F1868" s="36" t="s">
        <v>93</v>
      </c>
      <c r="G1868" s="36" t="s">
        <v>94</v>
      </c>
      <c r="H1868" s="36" t="s">
        <v>95</v>
      </c>
      <c r="I1868" s="36" t="s">
        <v>96</v>
      </c>
      <c r="J1868" s="36">
        <v>266</v>
      </c>
      <c r="K1868" s="36">
        <v>380.38</v>
      </c>
    </row>
    <row r="1869" spans="1:11" x14ac:dyDescent="0.3">
      <c r="A1869" s="36" t="s">
        <v>97</v>
      </c>
      <c r="B1869" s="36">
        <v>2022</v>
      </c>
      <c r="C1869" s="36" t="s">
        <v>0</v>
      </c>
      <c r="D1869" s="36" t="s">
        <v>103</v>
      </c>
      <c r="E1869" s="36" t="s">
        <v>92</v>
      </c>
      <c r="F1869" s="36" t="s">
        <v>93</v>
      </c>
      <c r="G1869" s="36" t="s">
        <v>94</v>
      </c>
      <c r="H1869" s="36" t="s">
        <v>95</v>
      </c>
      <c r="I1869" s="36" t="s">
        <v>96</v>
      </c>
      <c r="J1869" s="36">
        <v>232</v>
      </c>
      <c r="K1869" s="36">
        <v>331.76</v>
      </c>
    </row>
    <row r="1870" spans="1:11" x14ac:dyDescent="0.3">
      <c r="A1870" s="36" t="s">
        <v>97</v>
      </c>
      <c r="B1870" s="36">
        <v>2022</v>
      </c>
      <c r="C1870" s="36" t="s">
        <v>0</v>
      </c>
      <c r="D1870" s="36" t="s">
        <v>103</v>
      </c>
      <c r="E1870" s="36" t="s">
        <v>92</v>
      </c>
      <c r="F1870" s="36" t="s">
        <v>93</v>
      </c>
      <c r="G1870" s="36" t="s">
        <v>94</v>
      </c>
      <c r="H1870" s="36" t="s">
        <v>95</v>
      </c>
      <c r="I1870" s="36" t="s">
        <v>96</v>
      </c>
      <c r="J1870" s="36">
        <v>226</v>
      </c>
      <c r="K1870" s="36">
        <v>323.18</v>
      </c>
    </row>
    <row r="1871" spans="1:11" x14ac:dyDescent="0.3">
      <c r="A1871" s="36" t="s">
        <v>97</v>
      </c>
      <c r="B1871" s="36">
        <v>2022</v>
      </c>
      <c r="C1871" s="36" t="s">
        <v>0</v>
      </c>
      <c r="D1871" s="36" t="s">
        <v>103</v>
      </c>
      <c r="E1871" s="36" t="s">
        <v>92</v>
      </c>
      <c r="F1871" s="36" t="s">
        <v>93</v>
      </c>
      <c r="G1871" s="36" t="s">
        <v>94</v>
      </c>
      <c r="H1871" s="36" t="s">
        <v>95</v>
      </c>
      <c r="I1871" s="36" t="s">
        <v>96</v>
      </c>
      <c r="J1871" s="36">
        <v>220</v>
      </c>
      <c r="K1871" s="36">
        <v>314.60000000000002</v>
      </c>
    </row>
    <row r="1872" spans="1:11" x14ac:dyDescent="0.3">
      <c r="A1872" s="36" t="s">
        <v>90</v>
      </c>
      <c r="B1872" s="36">
        <v>2022</v>
      </c>
      <c r="C1872" s="36" t="s">
        <v>0</v>
      </c>
      <c r="D1872" s="36" t="s">
        <v>103</v>
      </c>
      <c r="E1872" s="36" t="s">
        <v>92</v>
      </c>
      <c r="F1872" s="36" t="s">
        <v>93</v>
      </c>
      <c r="G1872" s="36" t="s">
        <v>94</v>
      </c>
      <c r="H1872" s="36" t="s">
        <v>95</v>
      </c>
      <c r="I1872" s="36" t="s">
        <v>96</v>
      </c>
      <c r="J1872" s="36">
        <v>262</v>
      </c>
      <c r="K1872" s="36">
        <v>526.24</v>
      </c>
    </row>
    <row r="1873" spans="1:11" x14ac:dyDescent="0.3">
      <c r="A1873" s="36" t="s">
        <v>90</v>
      </c>
      <c r="B1873" s="36">
        <v>2022</v>
      </c>
      <c r="C1873" s="36" t="s">
        <v>0</v>
      </c>
      <c r="D1873" s="36" t="s">
        <v>103</v>
      </c>
      <c r="E1873" s="36" t="s">
        <v>92</v>
      </c>
      <c r="F1873" s="36" t="s">
        <v>93</v>
      </c>
      <c r="G1873" s="36" t="s">
        <v>94</v>
      </c>
      <c r="H1873" s="36" t="s">
        <v>95</v>
      </c>
      <c r="I1873" s="36" t="s">
        <v>96</v>
      </c>
      <c r="J1873" s="36">
        <v>1008</v>
      </c>
      <c r="K1873" s="36">
        <v>1441.44</v>
      </c>
    </row>
    <row r="1874" spans="1:11" x14ac:dyDescent="0.3">
      <c r="A1874" s="36" t="s">
        <v>97</v>
      </c>
      <c r="B1874" s="36">
        <v>2022</v>
      </c>
      <c r="C1874" s="36" t="s">
        <v>0</v>
      </c>
      <c r="D1874" s="36" t="s">
        <v>103</v>
      </c>
      <c r="E1874" s="36" t="s">
        <v>92</v>
      </c>
      <c r="F1874" s="36" t="s">
        <v>93</v>
      </c>
      <c r="G1874" s="36" t="s">
        <v>94</v>
      </c>
      <c r="H1874" s="36" t="s">
        <v>95</v>
      </c>
      <c r="I1874" s="36" t="s">
        <v>96</v>
      </c>
      <c r="J1874" s="36">
        <v>1041</v>
      </c>
      <c r="K1874" s="36">
        <v>1488.63</v>
      </c>
    </row>
    <row r="1875" spans="1:11" x14ac:dyDescent="0.3">
      <c r="A1875" s="36" t="s">
        <v>97</v>
      </c>
      <c r="B1875" s="36">
        <v>2022</v>
      </c>
      <c r="C1875" s="36" t="s">
        <v>0</v>
      </c>
      <c r="D1875" s="36" t="s">
        <v>103</v>
      </c>
      <c r="E1875" s="36" t="s">
        <v>92</v>
      </c>
      <c r="F1875" s="36" t="s">
        <v>93</v>
      </c>
      <c r="G1875" s="36" t="s">
        <v>94</v>
      </c>
      <c r="H1875" s="36" t="s">
        <v>95</v>
      </c>
      <c r="I1875" s="36" t="s">
        <v>96</v>
      </c>
      <c r="J1875" s="36">
        <v>219</v>
      </c>
      <c r="K1875" s="36">
        <v>313.17</v>
      </c>
    </row>
    <row r="1876" spans="1:11" x14ac:dyDescent="0.3">
      <c r="A1876" s="36" t="s">
        <v>101</v>
      </c>
      <c r="B1876" s="36">
        <v>2022</v>
      </c>
      <c r="C1876" s="36" t="s">
        <v>0</v>
      </c>
      <c r="D1876" s="36" t="s">
        <v>103</v>
      </c>
      <c r="E1876" s="36" t="s">
        <v>92</v>
      </c>
      <c r="F1876" s="36" t="s">
        <v>93</v>
      </c>
      <c r="G1876" s="36" t="s">
        <v>94</v>
      </c>
      <c r="H1876" s="36" t="s">
        <v>95</v>
      </c>
      <c r="I1876" s="36" t="s">
        <v>96</v>
      </c>
      <c r="J1876" s="36">
        <v>229</v>
      </c>
      <c r="K1876" s="36">
        <v>327.47000000000003</v>
      </c>
    </row>
    <row r="1877" spans="1:11" x14ac:dyDescent="0.3">
      <c r="A1877" s="36" t="s">
        <v>90</v>
      </c>
      <c r="B1877" s="36">
        <v>2022</v>
      </c>
      <c r="C1877" s="36" t="s">
        <v>0</v>
      </c>
      <c r="D1877" s="36" t="s">
        <v>103</v>
      </c>
      <c r="E1877" s="36" t="s">
        <v>92</v>
      </c>
      <c r="F1877" s="36" t="s">
        <v>93</v>
      </c>
      <c r="G1877" s="36" t="s">
        <v>94</v>
      </c>
      <c r="H1877" s="36" t="s">
        <v>95</v>
      </c>
      <c r="I1877" s="36" t="s">
        <v>96</v>
      </c>
      <c r="J1877" s="36">
        <v>223</v>
      </c>
      <c r="K1877" s="36">
        <v>318.89</v>
      </c>
    </row>
    <row r="1878" spans="1:11" x14ac:dyDescent="0.3">
      <c r="A1878" s="36" t="s">
        <v>97</v>
      </c>
      <c r="B1878" s="36">
        <v>2022</v>
      </c>
      <c r="C1878" s="36" t="s">
        <v>0</v>
      </c>
      <c r="D1878" s="36" t="s">
        <v>103</v>
      </c>
      <c r="E1878" s="36" t="s">
        <v>92</v>
      </c>
      <c r="F1878" s="36" t="s">
        <v>93</v>
      </c>
      <c r="G1878" s="36" t="s">
        <v>94</v>
      </c>
      <c r="H1878" s="36" t="s">
        <v>95</v>
      </c>
      <c r="I1878" s="36" t="s">
        <v>96</v>
      </c>
      <c r="J1878" s="36">
        <v>789</v>
      </c>
      <c r="K1878" s="36">
        <v>1128.27</v>
      </c>
    </row>
    <row r="1879" spans="1:11" x14ac:dyDescent="0.3">
      <c r="A1879" s="36" t="s">
        <v>97</v>
      </c>
      <c r="B1879" s="36">
        <v>2022</v>
      </c>
      <c r="C1879" s="36" t="s">
        <v>0</v>
      </c>
      <c r="D1879" s="36" t="s">
        <v>103</v>
      </c>
      <c r="E1879" s="36" t="s">
        <v>92</v>
      </c>
      <c r="F1879" s="36" t="s">
        <v>93</v>
      </c>
      <c r="G1879" s="36" t="s">
        <v>94</v>
      </c>
      <c r="H1879" s="36" t="s">
        <v>95</v>
      </c>
      <c r="I1879" s="36" t="s">
        <v>96</v>
      </c>
      <c r="J1879" s="36">
        <v>822</v>
      </c>
      <c r="K1879" s="36">
        <v>1175.46</v>
      </c>
    </row>
    <row r="1880" spans="1:11" x14ac:dyDescent="0.3">
      <c r="A1880" s="36" t="s">
        <v>97</v>
      </c>
      <c r="B1880" s="36">
        <v>2022</v>
      </c>
      <c r="C1880" s="36" t="s">
        <v>0</v>
      </c>
      <c r="D1880" s="36" t="s">
        <v>103</v>
      </c>
      <c r="E1880" s="36" t="s">
        <v>92</v>
      </c>
      <c r="F1880" s="36" t="s">
        <v>93</v>
      </c>
      <c r="G1880" s="36" t="s">
        <v>94</v>
      </c>
      <c r="H1880" s="36" t="s">
        <v>95</v>
      </c>
      <c r="I1880" s="36" t="s">
        <v>98</v>
      </c>
      <c r="J1880" s="36">
        <v>233</v>
      </c>
      <c r="K1880" s="36">
        <v>333.19</v>
      </c>
    </row>
    <row r="1881" spans="1:11" x14ac:dyDescent="0.3">
      <c r="A1881" s="36" t="s">
        <v>97</v>
      </c>
      <c r="B1881" s="36">
        <v>2022</v>
      </c>
      <c r="C1881" s="36" t="s">
        <v>0</v>
      </c>
      <c r="D1881" s="36" t="s">
        <v>103</v>
      </c>
      <c r="E1881" s="36" t="s">
        <v>92</v>
      </c>
      <c r="F1881" s="36" t="s">
        <v>93</v>
      </c>
      <c r="G1881" s="36" t="s">
        <v>94</v>
      </c>
      <c r="H1881" s="36" t="s">
        <v>95</v>
      </c>
      <c r="I1881" s="36" t="s">
        <v>98</v>
      </c>
      <c r="J1881" s="36">
        <v>227</v>
      </c>
      <c r="K1881" s="36">
        <v>324.61</v>
      </c>
    </row>
    <row r="1882" spans="1:11" x14ac:dyDescent="0.3">
      <c r="A1882" s="36" t="s">
        <v>90</v>
      </c>
      <c r="B1882" s="36">
        <v>2022</v>
      </c>
      <c r="C1882" s="36" t="s">
        <v>0</v>
      </c>
      <c r="D1882" s="36" t="s">
        <v>103</v>
      </c>
      <c r="E1882" s="36" t="s">
        <v>92</v>
      </c>
      <c r="F1882" s="36" t="s">
        <v>93</v>
      </c>
      <c r="G1882" s="36" t="s">
        <v>94</v>
      </c>
      <c r="H1882" s="36" t="s">
        <v>95</v>
      </c>
      <c r="I1882" s="36" t="s">
        <v>98</v>
      </c>
      <c r="J1882" s="36">
        <v>221</v>
      </c>
      <c r="K1882" s="36">
        <v>316.02999999999997</v>
      </c>
    </row>
    <row r="1883" spans="1:11" x14ac:dyDescent="0.3">
      <c r="A1883" s="36" t="s">
        <v>97</v>
      </c>
      <c r="B1883" s="36">
        <v>2022</v>
      </c>
      <c r="C1883" s="36" t="s">
        <v>0</v>
      </c>
      <c r="D1883" s="36" t="s">
        <v>103</v>
      </c>
      <c r="E1883" s="36" t="s">
        <v>92</v>
      </c>
      <c r="F1883" s="36" t="s">
        <v>93</v>
      </c>
      <c r="G1883" s="36" t="s">
        <v>94</v>
      </c>
      <c r="H1883" s="36" t="s">
        <v>95</v>
      </c>
      <c r="I1883" s="36" t="s">
        <v>96</v>
      </c>
      <c r="J1883" s="36">
        <v>215</v>
      </c>
      <c r="K1883" s="36">
        <v>307.45</v>
      </c>
    </row>
    <row r="1884" spans="1:11" x14ac:dyDescent="0.3">
      <c r="A1884" s="36" t="s">
        <v>99</v>
      </c>
      <c r="B1884" s="36">
        <v>2022</v>
      </c>
      <c r="C1884" s="36" t="s">
        <v>0</v>
      </c>
      <c r="D1884" s="36" t="s">
        <v>103</v>
      </c>
      <c r="E1884" s="36" t="s">
        <v>92</v>
      </c>
      <c r="F1884" s="36" t="s">
        <v>93</v>
      </c>
      <c r="G1884" s="36" t="s">
        <v>94</v>
      </c>
      <c r="H1884" s="36" t="s">
        <v>95</v>
      </c>
      <c r="I1884" s="36" t="s">
        <v>96</v>
      </c>
      <c r="J1884" s="36">
        <v>263</v>
      </c>
      <c r="K1884" s="36">
        <v>376.09000000000003</v>
      </c>
    </row>
    <row r="1885" spans="1:11" x14ac:dyDescent="0.3">
      <c r="A1885" s="36" t="s">
        <v>90</v>
      </c>
      <c r="B1885" s="36">
        <v>2022</v>
      </c>
      <c r="C1885" s="36" t="s">
        <v>6</v>
      </c>
      <c r="D1885" s="36" t="s">
        <v>103</v>
      </c>
      <c r="E1885" s="36" t="s">
        <v>92</v>
      </c>
      <c r="F1885" s="36" t="s">
        <v>93</v>
      </c>
      <c r="G1885" s="36" t="s">
        <v>94</v>
      </c>
      <c r="H1885" s="36" t="s">
        <v>95</v>
      </c>
      <c r="I1885" s="36" t="s">
        <v>98</v>
      </c>
      <c r="J1885" s="36">
        <v>134</v>
      </c>
      <c r="K1885" s="36">
        <v>191.62</v>
      </c>
    </row>
    <row r="1886" spans="1:11" x14ac:dyDescent="0.3">
      <c r="A1886" s="36" t="s">
        <v>90</v>
      </c>
      <c r="B1886" s="36">
        <v>2022</v>
      </c>
      <c r="C1886" s="36" t="s">
        <v>6</v>
      </c>
      <c r="D1886" s="36" t="s">
        <v>103</v>
      </c>
      <c r="E1886" s="36" t="s">
        <v>92</v>
      </c>
      <c r="F1886" s="36" t="s">
        <v>93</v>
      </c>
      <c r="G1886" s="36" t="s">
        <v>94</v>
      </c>
      <c r="H1886" s="36" t="s">
        <v>95</v>
      </c>
      <c r="I1886" s="36" t="s">
        <v>98</v>
      </c>
      <c r="J1886" s="36">
        <v>128</v>
      </c>
      <c r="K1886" s="36">
        <v>183.04</v>
      </c>
    </row>
    <row r="1887" spans="1:11" x14ac:dyDescent="0.3">
      <c r="A1887" s="36" t="s">
        <v>97</v>
      </c>
      <c r="B1887" s="36">
        <v>2022</v>
      </c>
      <c r="C1887" s="36" t="s">
        <v>6</v>
      </c>
      <c r="D1887" s="36" t="s">
        <v>103</v>
      </c>
      <c r="E1887" s="36" t="s">
        <v>92</v>
      </c>
      <c r="F1887" s="36" t="s">
        <v>93</v>
      </c>
      <c r="G1887" s="36" t="s">
        <v>94</v>
      </c>
      <c r="H1887" s="36" t="s">
        <v>95</v>
      </c>
      <c r="I1887" s="36" t="s">
        <v>96</v>
      </c>
      <c r="J1887" s="36">
        <v>230</v>
      </c>
      <c r="K1887" s="36">
        <v>328.9</v>
      </c>
    </row>
    <row r="1888" spans="1:11" x14ac:dyDescent="0.3">
      <c r="A1888" s="36" t="s">
        <v>97</v>
      </c>
      <c r="B1888" s="36">
        <v>2022</v>
      </c>
      <c r="C1888" s="36" t="s">
        <v>6</v>
      </c>
      <c r="D1888" s="36" t="s">
        <v>103</v>
      </c>
      <c r="E1888" s="36" t="s">
        <v>92</v>
      </c>
      <c r="F1888" s="36" t="s">
        <v>93</v>
      </c>
      <c r="G1888" s="36" t="s">
        <v>94</v>
      </c>
      <c r="H1888" s="36" t="s">
        <v>95</v>
      </c>
      <c r="I1888" s="36" t="s">
        <v>96</v>
      </c>
      <c r="J1888" s="36">
        <v>136</v>
      </c>
      <c r="K1888" s="36">
        <v>194.48</v>
      </c>
    </row>
    <row r="1889" spans="1:11" x14ac:dyDescent="0.3">
      <c r="A1889" s="36" t="s">
        <v>90</v>
      </c>
      <c r="B1889" s="36">
        <v>2022</v>
      </c>
      <c r="C1889" s="36" t="s">
        <v>6</v>
      </c>
      <c r="D1889" s="36" t="s">
        <v>103</v>
      </c>
      <c r="E1889" s="36" t="s">
        <v>92</v>
      </c>
      <c r="F1889" s="36" t="s">
        <v>93</v>
      </c>
      <c r="G1889" s="36" t="s">
        <v>94</v>
      </c>
      <c r="H1889" s="36" t="s">
        <v>95</v>
      </c>
      <c r="I1889" s="36" t="s">
        <v>96</v>
      </c>
      <c r="J1889" s="36">
        <v>130</v>
      </c>
      <c r="K1889" s="36">
        <v>185.9</v>
      </c>
    </row>
    <row r="1890" spans="1:11" x14ac:dyDescent="0.3">
      <c r="A1890" s="36" t="s">
        <v>99</v>
      </c>
      <c r="B1890" s="36">
        <v>2022</v>
      </c>
      <c r="C1890" s="36" t="s">
        <v>6</v>
      </c>
      <c r="D1890" s="36" t="s">
        <v>103</v>
      </c>
      <c r="E1890" s="36" t="s">
        <v>92</v>
      </c>
      <c r="F1890" s="36" t="s">
        <v>93</v>
      </c>
      <c r="G1890" s="36" t="s">
        <v>94</v>
      </c>
      <c r="H1890" s="36" t="s">
        <v>95</v>
      </c>
      <c r="I1890" s="36" t="s">
        <v>96</v>
      </c>
      <c r="J1890" s="36">
        <v>370</v>
      </c>
      <c r="K1890" s="36">
        <v>529.1</v>
      </c>
    </row>
    <row r="1891" spans="1:11" x14ac:dyDescent="0.3">
      <c r="A1891" s="36" t="s">
        <v>97</v>
      </c>
      <c r="B1891" s="36">
        <v>2022</v>
      </c>
      <c r="C1891" s="36" t="s">
        <v>6</v>
      </c>
      <c r="D1891" s="36" t="s">
        <v>103</v>
      </c>
      <c r="E1891" s="36" t="s">
        <v>92</v>
      </c>
      <c r="F1891" s="36" t="s">
        <v>93</v>
      </c>
      <c r="G1891" s="36" t="s">
        <v>94</v>
      </c>
      <c r="H1891" s="36" t="s">
        <v>95</v>
      </c>
      <c r="I1891" s="36" t="s">
        <v>96</v>
      </c>
      <c r="J1891" s="36">
        <v>184</v>
      </c>
      <c r="K1891" s="36">
        <v>526.24</v>
      </c>
    </row>
    <row r="1892" spans="1:11" x14ac:dyDescent="0.3">
      <c r="A1892" s="36" t="s">
        <v>97</v>
      </c>
      <c r="B1892" s="36">
        <v>2022</v>
      </c>
      <c r="C1892" s="36" t="s">
        <v>6</v>
      </c>
      <c r="D1892" s="36" t="s">
        <v>103</v>
      </c>
      <c r="E1892" s="36" t="s">
        <v>92</v>
      </c>
      <c r="F1892" s="36" t="s">
        <v>93</v>
      </c>
      <c r="G1892" s="36" t="s">
        <v>94</v>
      </c>
      <c r="H1892" s="36" t="s">
        <v>95</v>
      </c>
      <c r="I1892" s="36" t="s">
        <v>96</v>
      </c>
      <c r="J1892" s="36">
        <v>232</v>
      </c>
      <c r="K1892" s="36">
        <v>526.24</v>
      </c>
    </row>
    <row r="1893" spans="1:11" x14ac:dyDescent="0.3">
      <c r="A1893" s="36" t="s">
        <v>99</v>
      </c>
      <c r="B1893" s="36">
        <v>2022</v>
      </c>
      <c r="C1893" s="36" t="s">
        <v>6</v>
      </c>
      <c r="D1893" s="36" t="s">
        <v>103</v>
      </c>
      <c r="E1893" s="36" t="s">
        <v>92</v>
      </c>
      <c r="F1893" s="36" t="s">
        <v>93</v>
      </c>
      <c r="G1893" s="36" t="s">
        <v>94</v>
      </c>
      <c r="H1893" s="36" t="s">
        <v>95</v>
      </c>
      <c r="I1893" s="36" t="s">
        <v>96</v>
      </c>
      <c r="J1893" s="36">
        <v>1013</v>
      </c>
      <c r="K1893" s="36">
        <v>1448.59</v>
      </c>
    </row>
    <row r="1894" spans="1:11" x14ac:dyDescent="0.3">
      <c r="A1894" s="36" t="s">
        <v>100</v>
      </c>
      <c r="B1894" s="36">
        <v>2022</v>
      </c>
      <c r="C1894" s="36" t="s">
        <v>6</v>
      </c>
      <c r="D1894" s="36" t="s">
        <v>103</v>
      </c>
      <c r="E1894" s="36" t="s">
        <v>92</v>
      </c>
      <c r="F1894" s="36" t="s">
        <v>93</v>
      </c>
      <c r="G1894" s="36" t="s">
        <v>94</v>
      </c>
      <c r="H1894" s="36" t="s">
        <v>95</v>
      </c>
      <c r="I1894" s="36" t="s">
        <v>96</v>
      </c>
      <c r="J1894" s="36">
        <v>234</v>
      </c>
      <c r="K1894" s="36">
        <v>334.62</v>
      </c>
    </row>
    <row r="1895" spans="1:11" x14ac:dyDescent="0.3">
      <c r="A1895" s="36" t="s">
        <v>99</v>
      </c>
      <c r="B1895" s="36">
        <v>2022</v>
      </c>
      <c r="C1895" s="36" t="s">
        <v>6</v>
      </c>
      <c r="D1895" s="36" t="s">
        <v>103</v>
      </c>
      <c r="E1895" s="36" t="s">
        <v>92</v>
      </c>
      <c r="F1895" s="36" t="s">
        <v>93</v>
      </c>
      <c r="G1895" s="36" t="s">
        <v>94</v>
      </c>
      <c r="H1895" s="36" t="s">
        <v>95</v>
      </c>
      <c r="I1895" s="36" t="s">
        <v>96</v>
      </c>
      <c r="J1895" s="36">
        <v>183</v>
      </c>
      <c r="K1895" s="36">
        <v>261.69</v>
      </c>
    </row>
    <row r="1896" spans="1:11" x14ac:dyDescent="0.3">
      <c r="A1896" s="36" t="s">
        <v>97</v>
      </c>
      <c r="B1896" s="36">
        <v>2022</v>
      </c>
      <c r="C1896" s="36" t="s">
        <v>6</v>
      </c>
      <c r="D1896" s="36" t="s">
        <v>103</v>
      </c>
      <c r="E1896" s="36" t="s">
        <v>92</v>
      </c>
      <c r="F1896" s="36" t="s">
        <v>93</v>
      </c>
      <c r="G1896" s="36" t="s">
        <v>94</v>
      </c>
      <c r="H1896" s="36" t="s">
        <v>95</v>
      </c>
      <c r="I1896" s="36" t="s">
        <v>96</v>
      </c>
      <c r="J1896" s="36">
        <v>231</v>
      </c>
      <c r="K1896" s="36">
        <v>330.33</v>
      </c>
    </row>
    <row r="1897" spans="1:11" x14ac:dyDescent="0.3">
      <c r="A1897" s="36" t="s">
        <v>99</v>
      </c>
      <c r="B1897" s="36">
        <v>2022</v>
      </c>
      <c r="C1897" s="36" t="s">
        <v>6</v>
      </c>
      <c r="D1897" s="36" t="s">
        <v>103</v>
      </c>
      <c r="E1897" s="36" t="s">
        <v>92</v>
      </c>
      <c r="F1897" s="36" t="s">
        <v>93</v>
      </c>
      <c r="G1897" s="36" t="s">
        <v>94</v>
      </c>
      <c r="H1897" s="36" t="s">
        <v>95</v>
      </c>
      <c r="I1897" s="36" t="s">
        <v>96</v>
      </c>
      <c r="J1897" s="36">
        <v>133</v>
      </c>
      <c r="K1897" s="36">
        <v>190.19</v>
      </c>
    </row>
    <row r="1898" spans="1:11" x14ac:dyDescent="0.3">
      <c r="A1898" s="36" t="s">
        <v>97</v>
      </c>
      <c r="B1898" s="36">
        <v>2022</v>
      </c>
      <c r="C1898" s="36" t="s">
        <v>6</v>
      </c>
      <c r="D1898" s="36" t="s">
        <v>103</v>
      </c>
      <c r="E1898" s="36" t="s">
        <v>92</v>
      </c>
      <c r="F1898" s="36" t="s">
        <v>93</v>
      </c>
      <c r="G1898" s="36" t="s">
        <v>94</v>
      </c>
      <c r="H1898" s="36" t="s">
        <v>95</v>
      </c>
      <c r="I1898" s="36" t="s">
        <v>96</v>
      </c>
      <c r="J1898" s="36">
        <v>127</v>
      </c>
      <c r="K1898" s="36">
        <v>181.61</v>
      </c>
    </row>
    <row r="1899" spans="1:11" x14ac:dyDescent="0.3">
      <c r="A1899" s="36" t="s">
        <v>97</v>
      </c>
      <c r="B1899" s="36">
        <v>2022</v>
      </c>
      <c r="C1899" s="36" t="s">
        <v>6</v>
      </c>
      <c r="D1899" s="36" t="s">
        <v>103</v>
      </c>
      <c r="E1899" s="36" t="s">
        <v>92</v>
      </c>
      <c r="F1899" s="36" t="s">
        <v>93</v>
      </c>
      <c r="G1899" s="36" t="s">
        <v>94</v>
      </c>
      <c r="H1899" s="36" t="s">
        <v>95</v>
      </c>
      <c r="I1899" s="36" t="s">
        <v>96</v>
      </c>
      <c r="J1899" s="36">
        <v>794</v>
      </c>
      <c r="K1899" s="36">
        <v>1135.42</v>
      </c>
    </row>
    <row r="1900" spans="1:11" x14ac:dyDescent="0.3">
      <c r="A1900" s="36" t="s">
        <v>97</v>
      </c>
      <c r="B1900" s="36">
        <v>2022</v>
      </c>
      <c r="C1900" s="36" t="s">
        <v>6</v>
      </c>
      <c r="D1900" s="36" t="s">
        <v>103</v>
      </c>
      <c r="E1900" s="36" t="s">
        <v>92</v>
      </c>
      <c r="F1900" s="36" t="s">
        <v>93</v>
      </c>
      <c r="G1900" s="36" t="s">
        <v>94</v>
      </c>
      <c r="H1900" s="36" t="s">
        <v>95</v>
      </c>
      <c r="I1900" s="36" t="s">
        <v>98</v>
      </c>
      <c r="J1900" s="36">
        <v>137</v>
      </c>
      <c r="K1900" s="36">
        <v>195.91</v>
      </c>
    </row>
    <row r="1901" spans="1:11" x14ac:dyDescent="0.3">
      <c r="A1901" s="36" t="s">
        <v>90</v>
      </c>
      <c r="B1901" s="36">
        <v>2022</v>
      </c>
      <c r="C1901" s="36" t="s">
        <v>6</v>
      </c>
      <c r="D1901" s="36" t="s">
        <v>103</v>
      </c>
      <c r="E1901" s="36" t="s">
        <v>92</v>
      </c>
      <c r="F1901" s="36" t="s">
        <v>93</v>
      </c>
      <c r="G1901" s="36" t="s">
        <v>94</v>
      </c>
      <c r="H1901" s="36" t="s">
        <v>95</v>
      </c>
      <c r="I1901" s="36" t="s">
        <v>98</v>
      </c>
      <c r="J1901" s="36">
        <v>131</v>
      </c>
      <c r="K1901" s="36">
        <v>187.32999999999998</v>
      </c>
    </row>
    <row r="1902" spans="1:11" x14ac:dyDescent="0.3">
      <c r="A1902" s="36" t="s">
        <v>90</v>
      </c>
      <c r="B1902" s="36">
        <v>2022</v>
      </c>
      <c r="C1902" s="36" t="s">
        <v>6</v>
      </c>
      <c r="D1902" s="36" t="s">
        <v>103</v>
      </c>
      <c r="E1902" s="36" t="s">
        <v>92</v>
      </c>
      <c r="F1902" s="36" t="s">
        <v>93</v>
      </c>
      <c r="G1902" s="36" t="s">
        <v>94</v>
      </c>
      <c r="H1902" s="36" t="s">
        <v>95</v>
      </c>
      <c r="I1902" s="36" t="s">
        <v>98</v>
      </c>
      <c r="J1902" s="36">
        <v>371</v>
      </c>
      <c r="K1902" s="36">
        <v>530.53</v>
      </c>
    </row>
    <row r="1903" spans="1:11" x14ac:dyDescent="0.3">
      <c r="A1903" s="36" t="s">
        <v>90</v>
      </c>
      <c r="B1903" s="36">
        <v>2022</v>
      </c>
      <c r="C1903" s="36" t="s">
        <v>6</v>
      </c>
      <c r="D1903" s="36" t="s">
        <v>103</v>
      </c>
      <c r="E1903" s="36" t="s">
        <v>92</v>
      </c>
      <c r="F1903" s="36" t="s">
        <v>93</v>
      </c>
      <c r="G1903" s="36" t="s">
        <v>94</v>
      </c>
      <c r="H1903" s="36" t="s">
        <v>95</v>
      </c>
      <c r="I1903" s="36" t="s">
        <v>96</v>
      </c>
      <c r="J1903" s="36">
        <v>185</v>
      </c>
      <c r="K1903" s="36">
        <v>264.55</v>
      </c>
    </row>
    <row r="1904" spans="1:11" x14ac:dyDescent="0.3">
      <c r="A1904" s="36" t="s">
        <v>97</v>
      </c>
      <c r="B1904" s="36">
        <v>2022</v>
      </c>
      <c r="C1904" s="36" t="s">
        <v>6</v>
      </c>
      <c r="D1904" s="36" t="s">
        <v>103</v>
      </c>
      <c r="E1904" s="36" t="s">
        <v>92</v>
      </c>
      <c r="F1904" s="36" t="s">
        <v>93</v>
      </c>
      <c r="G1904" s="36" t="s">
        <v>94</v>
      </c>
      <c r="H1904" s="36" t="s">
        <v>95</v>
      </c>
      <c r="I1904" s="36" t="s">
        <v>96</v>
      </c>
      <c r="J1904" s="36">
        <v>233</v>
      </c>
      <c r="K1904" s="36">
        <v>333.19</v>
      </c>
    </row>
    <row r="1905" spans="1:11" x14ac:dyDescent="0.3">
      <c r="A1905" s="36" t="s">
        <v>97</v>
      </c>
      <c r="B1905" s="36">
        <v>2022</v>
      </c>
      <c r="C1905" s="36" t="s">
        <v>5</v>
      </c>
      <c r="D1905" s="36" t="s">
        <v>103</v>
      </c>
      <c r="E1905" s="36" t="s">
        <v>92</v>
      </c>
      <c r="F1905" s="36" t="s">
        <v>93</v>
      </c>
      <c r="G1905" s="36" t="s">
        <v>94</v>
      </c>
      <c r="H1905" s="36" t="s">
        <v>95</v>
      </c>
      <c r="I1905" s="36" t="s">
        <v>98</v>
      </c>
      <c r="J1905" s="36">
        <v>152</v>
      </c>
      <c r="K1905" s="36">
        <v>217.36</v>
      </c>
    </row>
    <row r="1906" spans="1:11" x14ac:dyDescent="0.3">
      <c r="A1906" s="36" t="s">
        <v>97</v>
      </c>
      <c r="B1906" s="36">
        <v>2022</v>
      </c>
      <c r="C1906" s="36" t="s">
        <v>5</v>
      </c>
      <c r="D1906" s="36" t="s">
        <v>103</v>
      </c>
      <c r="E1906" s="36" t="s">
        <v>92</v>
      </c>
      <c r="F1906" s="36" t="s">
        <v>93</v>
      </c>
      <c r="G1906" s="36" t="s">
        <v>94</v>
      </c>
      <c r="H1906" s="36" t="s">
        <v>95</v>
      </c>
      <c r="I1906" s="36" t="s">
        <v>98</v>
      </c>
      <c r="J1906" s="36">
        <v>146</v>
      </c>
      <c r="K1906" s="36">
        <v>208.78</v>
      </c>
    </row>
    <row r="1907" spans="1:11" x14ac:dyDescent="0.3">
      <c r="A1907" s="36" t="s">
        <v>97</v>
      </c>
      <c r="B1907" s="36">
        <v>2022</v>
      </c>
      <c r="C1907" s="36" t="s">
        <v>5</v>
      </c>
      <c r="D1907" s="36" t="s">
        <v>103</v>
      </c>
      <c r="E1907" s="36" t="s">
        <v>92</v>
      </c>
      <c r="F1907" s="36" t="s">
        <v>93</v>
      </c>
      <c r="G1907" s="36" t="s">
        <v>94</v>
      </c>
      <c r="H1907" s="36" t="s">
        <v>95</v>
      </c>
      <c r="I1907" s="36" t="s">
        <v>98</v>
      </c>
      <c r="J1907" s="36">
        <v>140</v>
      </c>
      <c r="K1907" s="36">
        <v>200.2</v>
      </c>
    </row>
    <row r="1908" spans="1:11" x14ac:dyDescent="0.3">
      <c r="A1908" s="36" t="s">
        <v>101</v>
      </c>
      <c r="B1908" s="36">
        <v>2022</v>
      </c>
      <c r="C1908" s="36" t="s">
        <v>5</v>
      </c>
      <c r="D1908" s="36" t="s">
        <v>103</v>
      </c>
      <c r="E1908" s="36" t="s">
        <v>92</v>
      </c>
      <c r="F1908" s="36" t="s">
        <v>93</v>
      </c>
      <c r="G1908" s="36" t="s">
        <v>94</v>
      </c>
      <c r="H1908" s="36" t="s">
        <v>95</v>
      </c>
      <c r="I1908" s="36" t="s">
        <v>96</v>
      </c>
      <c r="J1908" s="36">
        <v>188</v>
      </c>
      <c r="K1908" s="36">
        <v>268.84000000000003</v>
      </c>
    </row>
    <row r="1909" spans="1:11" x14ac:dyDescent="0.3">
      <c r="A1909" s="36" t="s">
        <v>90</v>
      </c>
      <c r="B1909" s="36">
        <v>2022</v>
      </c>
      <c r="C1909" s="36" t="s">
        <v>5</v>
      </c>
      <c r="D1909" s="36" t="s">
        <v>103</v>
      </c>
      <c r="E1909" s="36" t="s">
        <v>92</v>
      </c>
      <c r="F1909" s="36" t="s">
        <v>93</v>
      </c>
      <c r="G1909" s="36" t="s">
        <v>94</v>
      </c>
      <c r="H1909" s="36" t="s">
        <v>95</v>
      </c>
      <c r="I1909" s="36" t="s">
        <v>96</v>
      </c>
      <c r="J1909" s="36">
        <v>236</v>
      </c>
      <c r="K1909" s="36">
        <v>337.48</v>
      </c>
    </row>
    <row r="1910" spans="1:11" x14ac:dyDescent="0.3">
      <c r="A1910" s="36" t="s">
        <v>97</v>
      </c>
      <c r="B1910" s="36">
        <v>2022</v>
      </c>
      <c r="C1910" s="36" t="s">
        <v>5</v>
      </c>
      <c r="D1910" s="36" t="s">
        <v>103</v>
      </c>
      <c r="E1910" s="36" t="s">
        <v>92</v>
      </c>
      <c r="F1910" s="36" t="s">
        <v>93</v>
      </c>
      <c r="G1910" s="36" t="s">
        <v>94</v>
      </c>
      <c r="H1910" s="36" t="s">
        <v>95</v>
      </c>
      <c r="I1910" s="36" t="s">
        <v>96</v>
      </c>
      <c r="J1910" s="36">
        <v>154</v>
      </c>
      <c r="K1910" s="36">
        <v>220.22</v>
      </c>
    </row>
    <row r="1911" spans="1:11" x14ac:dyDescent="0.3">
      <c r="A1911" s="36" t="s">
        <v>90</v>
      </c>
      <c r="B1911" s="36">
        <v>2022</v>
      </c>
      <c r="C1911" s="36" t="s">
        <v>5</v>
      </c>
      <c r="D1911" s="36" t="s">
        <v>103</v>
      </c>
      <c r="E1911" s="36" t="s">
        <v>92</v>
      </c>
      <c r="F1911" s="36" t="s">
        <v>93</v>
      </c>
      <c r="G1911" s="36" t="s">
        <v>94</v>
      </c>
      <c r="H1911" s="36" t="s">
        <v>95</v>
      </c>
      <c r="I1911" s="36" t="s">
        <v>96</v>
      </c>
      <c r="J1911" s="36">
        <v>148</v>
      </c>
      <c r="K1911" s="36">
        <v>211.64</v>
      </c>
    </row>
    <row r="1912" spans="1:11" x14ac:dyDescent="0.3">
      <c r="A1912" s="36" t="s">
        <v>99</v>
      </c>
      <c r="B1912" s="36">
        <v>2022</v>
      </c>
      <c r="C1912" s="36" t="s">
        <v>5</v>
      </c>
      <c r="D1912" s="36" t="s">
        <v>103</v>
      </c>
      <c r="E1912" s="36" t="s">
        <v>92</v>
      </c>
      <c r="F1912" s="36" t="s">
        <v>93</v>
      </c>
      <c r="G1912" s="36" t="s">
        <v>94</v>
      </c>
      <c r="H1912" s="36" t="s">
        <v>95</v>
      </c>
      <c r="I1912" s="36" t="s">
        <v>96</v>
      </c>
      <c r="J1912" s="36">
        <v>142</v>
      </c>
      <c r="K1912" s="36">
        <v>203.06</v>
      </c>
    </row>
    <row r="1913" spans="1:11" x14ac:dyDescent="0.3">
      <c r="A1913" s="36" t="s">
        <v>90</v>
      </c>
      <c r="B1913" s="36">
        <v>2022</v>
      </c>
      <c r="C1913" s="36" t="s">
        <v>5</v>
      </c>
      <c r="D1913" s="36" t="s">
        <v>103</v>
      </c>
      <c r="E1913" s="36" t="s">
        <v>92</v>
      </c>
      <c r="F1913" s="36" t="s">
        <v>93</v>
      </c>
      <c r="G1913" s="36" t="s">
        <v>94</v>
      </c>
      <c r="H1913" s="36" t="s">
        <v>95</v>
      </c>
      <c r="I1913" s="36" t="s">
        <v>96</v>
      </c>
      <c r="J1913" s="36">
        <v>190</v>
      </c>
      <c r="K1913" s="36">
        <v>526.24</v>
      </c>
    </row>
    <row r="1914" spans="1:11" x14ac:dyDescent="0.3">
      <c r="A1914" s="36" t="s">
        <v>100</v>
      </c>
      <c r="B1914" s="36">
        <v>2022</v>
      </c>
      <c r="C1914" s="36" t="s">
        <v>5</v>
      </c>
      <c r="D1914" s="36" t="s">
        <v>103</v>
      </c>
      <c r="E1914" s="36" t="s">
        <v>92</v>
      </c>
      <c r="F1914" s="36" t="s">
        <v>93</v>
      </c>
      <c r="G1914" s="36" t="s">
        <v>94</v>
      </c>
      <c r="H1914" s="36" t="s">
        <v>95</v>
      </c>
      <c r="I1914" s="36" t="s">
        <v>96</v>
      </c>
      <c r="J1914" s="36">
        <v>238</v>
      </c>
      <c r="K1914" s="36">
        <v>526.24</v>
      </c>
    </row>
    <row r="1915" spans="1:11" x14ac:dyDescent="0.3">
      <c r="A1915" s="36" t="s">
        <v>99</v>
      </c>
      <c r="B1915" s="36">
        <v>2022</v>
      </c>
      <c r="C1915" s="36" t="s">
        <v>5</v>
      </c>
      <c r="D1915" s="36" t="s">
        <v>103</v>
      </c>
      <c r="E1915" s="36" t="s">
        <v>92</v>
      </c>
      <c r="F1915" s="36" t="s">
        <v>93</v>
      </c>
      <c r="G1915" s="36" t="s">
        <v>94</v>
      </c>
      <c r="H1915" s="36" t="s">
        <v>95</v>
      </c>
      <c r="I1915" s="36" t="s">
        <v>96</v>
      </c>
      <c r="J1915" s="36">
        <v>1012</v>
      </c>
      <c r="K1915" s="36">
        <v>1447.1599999999999</v>
      </c>
    </row>
    <row r="1916" spans="1:11" x14ac:dyDescent="0.3">
      <c r="A1916" s="36" t="s">
        <v>99</v>
      </c>
      <c r="B1916" s="36">
        <v>2022</v>
      </c>
      <c r="C1916" s="36" t="s">
        <v>5</v>
      </c>
      <c r="D1916" s="36" t="s">
        <v>103</v>
      </c>
      <c r="E1916" s="36" t="s">
        <v>92</v>
      </c>
      <c r="F1916" s="36" t="s">
        <v>93</v>
      </c>
      <c r="G1916" s="36" t="s">
        <v>94</v>
      </c>
      <c r="H1916" s="36" t="s">
        <v>95</v>
      </c>
      <c r="I1916" s="36" t="s">
        <v>96</v>
      </c>
      <c r="J1916" s="36">
        <v>189</v>
      </c>
      <c r="K1916" s="36">
        <v>270.27</v>
      </c>
    </row>
    <row r="1917" spans="1:11" x14ac:dyDescent="0.3">
      <c r="A1917" s="36" t="s">
        <v>97</v>
      </c>
      <c r="B1917" s="36">
        <v>2022</v>
      </c>
      <c r="C1917" s="36" t="s">
        <v>5</v>
      </c>
      <c r="D1917" s="36" t="s">
        <v>103</v>
      </c>
      <c r="E1917" s="36" t="s">
        <v>92</v>
      </c>
      <c r="F1917" s="36" t="s">
        <v>93</v>
      </c>
      <c r="G1917" s="36" t="s">
        <v>94</v>
      </c>
      <c r="H1917" s="36" t="s">
        <v>95</v>
      </c>
      <c r="I1917" s="36" t="s">
        <v>96</v>
      </c>
      <c r="J1917" s="36">
        <v>237</v>
      </c>
      <c r="K1917" s="36">
        <v>338.90999999999997</v>
      </c>
    </row>
    <row r="1918" spans="1:11" x14ac:dyDescent="0.3">
      <c r="A1918" s="36" t="s">
        <v>99</v>
      </c>
      <c r="B1918" s="36">
        <v>2022</v>
      </c>
      <c r="C1918" s="36" t="s">
        <v>5</v>
      </c>
      <c r="D1918" s="36" t="s">
        <v>103</v>
      </c>
      <c r="E1918" s="36" t="s">
        <v>92</v>
      </c>
      <c r="F1918" s="36" t="s">
        <v>93</v>
      </c>
      <c r="G1918" s="36" t="s">
        <v>94</v>
      </c>
      <c r="H1918" s="36" t="s">
        <v>95</v>
      </c>
      <c r="I1918" s="36" t="s">
        <v>96</v>
      </c>
      <c r="J1918" s="36">
        <v>151</v>
      </c>
      <c r="K1918" s="36">
        <v>215.93</v>
      </c>
    </row>
    <row r="1919" spans="1:11" x14ac:dyDescent="0.3">
      <c r="A1919" s="36" t="s">
        <v>90</v>
      </c>
      <c r="B1919" s="36">
        <v>2022</v>
      </c>
      <c r="C1919" s="36" t="s">
        <v>5</v>
      </c>
      <c r="D1919" s="36" t="s">
        <v>103</v>
      </c>
      <c r="E1919" s="36" t="s">
        <v>92</v>
      </c>
      <c r="F1919" s="36" t="s">
        <v>93</v>
      </c>
      <c r="G1919" s="36" t="s">
        <v>94</v>
      </c>
      <c r="H1919" s="36" t="s">
        <v>95</v>
      </c>
      <c r="I1919" s="36" t="s">
        <v>96</v>
      </c>
      <c r="J1919" s="36">
        <v>145</v>
      </c>
      <c r="K1919" s="36">
        <v>207.35</v>
      </c>
    </row>
    <row r="1920" spans="1:11" x14ac:dyDescent="0.3">
      <c r="A1920" s="36" t="s">
        <v>101</v>
      </c>
      <c r="B1920" s="36">
        <v>2022</v>
      </c>
      <c r="C1920" s="36" t="s">
        <v>5</v>
      </c>
      <c r="D1920" s="36" t="s">
        <v>103</v>
      </c>
      <c r="E1920" s="36" t="s">
        <v>92</v>
      </c>
      <c r="F1920" s="36" t="s">
        <v>93</v>
      </c>
      <c r="G1920" s="36" t="s">
        <v>94</v>
      </c>
      <c r="H1920" s="36" t="s">
        <v>95</v>
      </c>
      <c r="I1920" s="36" t="s">
        <v>96</v>
      </c>
      <c r="J1920" s="36">
        <v>139</v>
      </c>
      <c r="K1920" s="36">
        <v>198.76999999999998</v>
      </c>
    </row>
    <row r="1921" spans="1:11" x14ac:dyDescent="0.3">
      <c r="A1921" s="36" t="s">
        <v>97</v>
      </c>
      <c r="B1921" s="36">
        <v>2022</v>
      </c>
      <c r="C1921" s="36" t="s">
        <v>5</v>
      </c>
      <c r="D1921" s="36" t="s">
        <v>103</v>
      </c>
      <c r="E1921" s="36" t="s">
        <v>92</v>
      </c>
      <c r="F1921" s="36" t="s">
        <v>93</v>
      </c>
      <c r="G1921" s="36" t="s">
        <v>94</v>
      </c>
      <c r="H1921" s="36" t="s">
        <v>95</v>
      </c>
      <c r="I1921" s="36" t="s">
        <v>96</v>
      </c>
      <c r="J1921" s="36">
        <v>793</v>
      </c>
      <c r="K1921" s="36">
        <v>1133.99</v>
      </c>
    </row>
    <row r="1922" spans="1:11" x14ac:dyDescent="0.3">
      <c r="A1922" s="36" t="s">
        <v>97</v>
      </c>
      <c r="B1922" s="36">
        <v>2022</v>
      </c>
      <c r="C1922" s="36" t="s">
        <v>5</v>
      </c>
      <c r="D1922" s="36" t="s">
        <v>103</v>
      </c>
      <c r="E1922" s="36" t="s">
        <v>92</v>
      </c>
      <c r="F1922" s="36" t="s">
        <v>93</v>
      </c>
      <c r="G1922" s="36" t="s">
        <v>94</v>
      </c>
      <c r="H1922" s="36" t="s">
        <v>95</v>
      </c>
      <c r="I1922" s="36" t="s">
        <v>96</v>
      </c>
      <c r="J1922" s="36">
        <v>827</v>
      </c>
      <c r="K1922" s="36">
        <v>1182.6100000000001</v>
      </c>
    </row>
    <row r="1923" spans="1:11" x14ac:dyDescent="0.3">
      <c r="A1923" s="36" t="s">
        <v>101</v>
      </c>
      <c r="B1923" s="36">
        <v>2022</v>
      </c>
      <c r="C1923" s="36" t="s">
        <v>5</v>
      </c>
      <c r="D1923" s="36" t="s">
        <v>103</v>
      </c>
      <c r="E1923" s="36" t="s">
        <v>92</v>
      </c>
      <c r="F1923" s="36" t="s">
        <v>93</v>
      </c>
      <c r="G1923" s="36" t="s">
        <v>94</v>
      </c>
      <c r="H1923" s="36" t="s">
        <v>95</v>
      </c>
      <c r="I1923" s="36" t="s">
        <v>98</v>
      </c>
      <c r="J1923" s="36">
        <v>149</v>
      </c>
      <c r="K1923" s="36">
        <v>213.07</v>
      </c>
    </row>
    <row r="1924" spans="1:11" x14ac:dyDescent="0.3">
      <c r="A1924" s="36" t="s">
        <v>90</v>
      </c>
      <c r="B1924" s="36">
        <v>2022</v>
      </c>
      <c r="C1924" s="36" t="s">
        <v>5</v>
      </c>
      <c r="D1924" s="36" t="s">
        <v>103</v>
      </c>
      <c r="E1924" s="36" t="s">
        <v>92</v>
      </c>
      <c r="F1924" s="36" t="s">
        <v>93</v>
      </c>
      <c r="G1924" s="36" t="s">
        <v>94</v>
      </c>
      <c r="H1924" s="36" t="s">
        <v>95</v>
      </c>
      <c r="I1924" s="36" t="s">
        <v>98</v>
      </c>
      <c r="J1924" s="36">
        <v>143</v>
      </c>
      <c r="K1924" s="36">
        <v>204.49</v>
      </c>
    </row>
    <row r="1925" spans="1:11" x14ac:dyDescent="0.3">
      <c r="A1925" s="36" t="s">
        <v>90</v>
      </c>
      <c r="B1925" s="36">
        <v>2022</v>
      </c>
      <c r="C1925" s="36" t="s">
        <v>5</v>
      </c>
      <c r="D1925" s="36" t="s">
        <v>103</v>
      </c>
      <c r="E1925" s="36" t="s">
        <v>92</v>
      </c>
      <c r="F1925" s="36" t="s">
        <v>93</v>
      </c>
      <c r="G1925" s="36" t="s">
        <v>94</v>
      </c>
      <c r="H1925" s="36" t="s">
        <v>95</v>
      </c>
      <c r="I1925" s="36" t="s">
        <v>96</v>
      </c>
      <c r="J1925" s="36">
        <v>191</v>
      </c>
      <c r="K1925" s="36">
        <v>273.13</v>
      </c>
    </row>
    <row r="1926" spans="1:11" x14ac:dyDescent="0.3">
      <c r="A1926" s="36" t="s">
        <v>97</v>
      </c>
      <c r="B1926" s="36">
        <v>2022</v>
      </c>
      <c r="C1926" s="36" t="s">
        <v>5</v>
      </c>
      <c r="D1926" s="36" t="s">
        <v>103</v>
      </c>
      <c r="E1926" s="36" t="s">
        <v>92</v>
      </c>
      <c r="F1926" s="36" t="s">
        <v>93</v>
      </c>
      <c r="G1926" s="36" t="s">
        <v>94</v>
      </c>
      <c r="H1926" s="36" t="s">
        <v>95</v>
      </c>
      <c r="I1926" s="36" t="s">
        <v>96</v>
      </c>
      <c r="J1926" s="36">
        <v>239</v>
      </c>
      <c r="K1926" s="36">
        <v>341.77</v>
      </c>
    </row>
    <row r="1927" spans="1:11" x14ac:dyDescent="0.3">
      <c r="A1927" s="36" t="s">
        <v>97</v>
      </c>
      <c r="B1927" s="36">
        <v>2022</v>
      </c>
      <c r="C1927" s="36" t="s">
        <v>2</v>
      </c>
      <c r="D1927" s="36" t="s">
        <v>103</v>
      </c>
      <c r="E1927" s="36" t="s">
        <v>92</v>
      </c>
      <c r="F1927" s="36" t="s">
        <v>93</v>
      </c>
      <c r="G1927" s="36" t="s">
        <v>94</v>
      </c>
      <c r="H1927" s="36" t="s">
        <v>95</v>
      </c>
      <c r="I1927" s="36" t="s">
        <v>98</v>
      </c>
      <c r="J1927" s="36">
        <v>200</v>
      </c>
      <c r="K1927" s="36">
        <v>286</v>
      </c>
    </row>
    <row r="1928" spans="1:11" x14ac:dyDescent="0.3">
      <c r="A1928" s="36" t="s">
        <v>97</v>
      </c>
      <c r="B1928" s="36">
        <v>2022</v>
      </c>
      <c r="C1928" s="36" t="s">
        <v>2</v>
      </c>
      <c r="D1928" s="36" t="s">
        <v>103</v>
      </c>
      <c r="E1928" s="36" t="s">
        <v>92</v>
      </c>
      <c r="F1928" s="36" t="s">
        <v>93</v>
      </c>
      <c r="G1928" s="36" t="s">
        <v>94</v>
      </c>
      <c r="H1928" s="36" t="s">
        <v>95</v>
      </c>
      <c r="I1928" s="36" t="s">
        <v>98</v>
      </c>
      <c r="J1928" s="36">
        <v>194</v>
      </c>
      <c r="K1928" s="36">
        <v>277.42</v>
      </c>
    </row>
    <row r="1929" spans="1:11" x14ac:dyDescent="0.3">
      <c r="A1929" s="36" t="s">
        <v>90</v>
      </c>
      <c r="B1929" s="36">
        <v>2022</v>
      </c>
      <c r="C1929" s="36" t="s">
        <v>2</v>
      </c>
      <c r="D1929" s="36" t="s">
        <v>103</v>
      </c>
      <c r="E1929" s="36" t="s">
        <v>92</v>
      </c>
      <c r="F1929" s="36" t="s">
        <v>93</v>
      </c>
      <c r="G1929" s="36" t="s">
        <v>94</v>
      </c>
      <c r="H1929" s="36" t="s">
        <v>95</v>
      </c>
      <c r="I1929" s="36" t="s">
        <v>98</v>
      </c>
      <c r="J1929" s="36">
        <v>188</v>
      </c>
      <c r="K1929" s="36">
        <v>268.84000000000003</v>
      </c>
    </row>
    <row r="1930" spans="1:11" x14ac:dyDescent="0.3">
      <c r="A1930" s="36" t="s">
        <v>97</v>
      </c>
      <c r="B1930" s="36">
        <v>2022</v>
      </c>
      <c r="C1930" s="36" t="s">
        <v>2</v>
      </c>
      <c r="D1930" s="36" t="s">
        <v>103</v>
      </c>
      <c r="E1930" s="36" t="s">
        <v>92</v>
      </c>
      <c r="F1930" s="36" t="s">
        <v>93</v>
      </c>
      <c r="G1930" s="36" t="s">
        <v>94</v>
      </c>
      <c r="H1930" s="36" t="s">
        <v>95</v>
      </c>
      <c r="I1930" s="36" t="s">
        <v>96</v>
      </c>
      <c r="J1930" s="36">
        <v>206</v>
      </c>
      <c r="K1930" s="36">
        <v>294.58</v>
      </c>
    </row>
    <row r="1931" spans="1:11" x14ac:dyDescent="0.3">
      <c r="A1931" s="36" t="s">
        <v>90</v>
      </c>
      <c r="B1931" s="36">
        <v>2022</v>
      </c>
      <c r="C1931" s="36" t="s">
        <v>2</v>
      </c>
      <c r="D1931" s="36" t="s">
        <v>103</v>
      </c>
      <c r="E1931" s="36" t="s">
        <v>92</v>
      </c>
      <c r="F1931" s="36" t="s">
        <v>93</v>
      </c>
      <c r="G1931" s="36" t="s">
        <v>94</v>
      </c>
      <c r="H1931" s="36" t="s">
        <v>95</v>
      </c>
      <c r="I1931" s="36" t="s">
        <v>96</v>
      </c>
      <c r="J1931" s="36">
        <v>254</v>
      </c>
      <c r="K1931" s="36">
        <v>363.22</v>
      </c>
    </row>
    <row r="1932" spans="1:11" x14ac:dyDescent="0.3">
      <c r="A1932" s="36" t="s">
        <v>100</v>
      </c>
      <c r="B1932" s="36">
        <v>2022</v>
      </c>
      <c r="C1932" s="36" t="s">
        <v>2</v>
      </c>
      <c r="D1932" s="36" t="s">
        <v>103</v>
      </c>
      <c r="E1932" s="36" t="s">
        <v>92</v>
      </c>
      <c r="F1932" s="36" t="s">
        <v>93</v>
      </c>
      <c r="G1932" s="36" t="s">
        <v>94</v>
      </c>
      <c r="H1932" s="36" t="s">
        <v>95</v>
      </c>
      <c r="I1932" s="36" t="s">
        <v>96</v>
      </c>
      <c r="J1932" s="36">
        <v>202</v>
      </c>
      <c r="K1932" s="36">
        <v>288.86</v>
      </c>
    </row>
    <row r="1933" spans="1:11" x14ac:dyDescent="0.3">
      <c r="A1933" s="36" t="s">
        <v>97</v>
      </c>
      <c r="B1933" s="36">
        <v>2022</v>
      </c>
      <c r="C1933" s="36" t="s">
        <v>2</v>
      </c>
      <c r="D1933" s="36" t="s">
        <v>103</v>
      </c>
      <c r="E1933" s="36" t="s">
        <v>92</v>
      </c>
      <c r="F1933" s="36" t="s">
        <v>93</v>
      </c>
      <c r="G1933" s="36" t="s">
        <v>94</v>
      </c>
      <c r="H1933" s="36" t="s">
        <v>95</v>
      </c>
      <c r="I1933" s="36" t="s">
        <v>96</v>
      </c>
      <c r="J1933" s="36">
        <v>196</v>
      </c>
      <c r="K1933" s="36">
        <v>280.27999999999997</v>
      </c>
    </row>
    <row r="1934" spans="1:11" x14ac:dyDescent="0.3">
      <c r="A1934" s="36" t="s">
        <v>97</v>
      </c>
      <c r="B1934" s="36">
        <v>2022</v>
      </c>
      <c r="C1934" s="36" t="s">
        <v>2</v>
      </c>
      <c r="D1934" s="36" t="s">
        <v>103</v>
      </c>
      <c r="E1934" s="36" t="s">
        <v>92</v>
      </c>
      <c r="F1934" s="36" t="s">
        <v>93</v>
      </c>
      <c r="G1934" s="36" t="s">
        <v>94</v>
      </c>
      <c r="H1934" s="36" t="s">
        <v>95</v>
      </c>
      <c r="I1934" s="36" t="s">
        <v>96</v>
      </c>
      <c r="J1934" s="36">
        <v>190</v>
      </c>
      <c r="K1934" s="36">
        <v>271.7</v>
      </c>
    </row>
    <row r="1935" spans="1:11" x14ac:dyDescent="0.3">
      <c r="A1935" s="36" t="s">
        <v>90</v>
      </c>
      <c r="B1935" s="36">
        <v>2022</v>
      </c>
      <c r="C1935" s="36" t="s">
        <v>2</v>
      </c>
      <c r="D1935" s="36" t="s">
        <v>103</v>
      </c>
      <c r="E1935" s="36" t="s">
        <v>92</v>
      </c>
      <c r="F1935" s="36" t="s">
        <v>93</v>
      </c>
      <c r="G1935" s="36" t="s">
        <v>94</v>
      </c>
      <c r="H1935" s="36" t="s">
        <v>95</v>
      </c>
      <c r="I1935" s="36" t="s">
        <v>96</v>
      </c>
      <c r="J1935" s="36">
        <v>208</v>
      </c>
      <c r="K1935" s="36">
        <v>526.24</v>
      </c>
    </row>
    <row r="1936" spans="1:11" x14ac:dyDescent="0.3">
      <c r="A1936" s="36" t="s">
        <v>97</v>
      </c>
      <c r="B1936" s="36">
        <v>2022</v>
      </c>
      <c r="C1936" s="36" t="s">
        <v>2</v>
      </c>
      <c r="D1936" s="36" t="s">
        <v>103</v>
      </c>
      <c r="E1936" s="36" t="s">
        <v>92</v>
      </c>
      <c r="F1936" s="36" t="s">
        <v>93</v>
      </c>
      <c r="G1936" s="36" t="s">
        <v>94</v>
      </c>
      <c r="H1936" s="36" t="s">
        <v>95</v>
      </c>
      <c r="I1936" s="36" t="s">
        <v>96</v>
      </c>
      <c r="J1936" s="36">
        <v>1010</v>
      </c>
      <c r="K1936" s="36">
        <v>1444.3</v>
      </c>
    </row>
    <row r="1937" spans="1:11" x14ac:dyDescent="0.3">
      <c r="A1937" s="36" t="s">
        <v>90</v>
      </c>
      <c r="B1937" s="36">
        <v>2022</v>
      </c>
      <c r="C1937" s="36" t="s">
        <v>2</v>
      </c>
      <c r="D1937" s="36" t="s">
        <v>103</v>
      </c>
      <c r="E1937" s="36" t="s">
        <v>92</v>
      </c>
      <c r="F1937" s="36" t="s">
        <v>93</v>
      </c>
      <c r="G1937" s="36" t="s">
        <v>94</v>
      </c>
      <c r="H1937" s="36" t="s">
        <v>95</v>
      </c>
      <c r="I1937" s="36" t="s">
        <v>96</v>
      </c>
      <c r="J1937" s="36">
        <v>252</v>
      </c>
      <c r="K1937" s="36">
        <v>360.36</v>
      </c>
    </row>
    <row r="1938" spans="1:11" x14ac:dyDescent="0.3">
      <c r="A1938" s="36" t="s">
        <v>97</v>
      </c>
      <c r="B1938" s="36">
        <v>2022</v>
      </c>
      <c r="C1938" s="36" t="s">
        <v>2</v>
      </c>
      <c r="D1938" s="36" t="s">
        <v>103</v>
      </c>
      <c r="E1938" s="36" t="s">
        <v>92</v>
      </c>
      <c r="F1938" s="36" t="s">
        <v>93</v>
      </c>
      <c r="G1938" s="36" t="s">
        <v>94</v>
      </c>
      <c r="H1938" s="36" t="s">
        <v>95</v>
      </c>
      <c r="I1938" s="36" t="s">
        <v>96</v>
      </c>
      <c r="J1938" s="36">
        <v>207</v>
      </c>
      <c r="K1938" s="36">
        <v>296.01</v>
      </c>
    </row>
    <row r="1939" spans="1:11" x14ac:dyDescent="0.3">
      <c r="A1939" s="36" t="s">
        <v>90</v>
      </c>
      <c r="B1939" s="36">
        <v>2022</v>
      </c>
      <c r="C1939" s="36" t="s">
        <v>2</v>
      </c>
      <c r="D1939" s="36" t="s">
        <v>103</v>
      </c>
      <c r="E1939" s="36" t="s">
        <v>92</v>
      </c>
      <c r="F1939" s="36" t="s">
        <v>93</v>
      </c>
      <c r="G1939" s="36" t="s">
        <v>94</v>
      </c>
      <c r="H1939" s="36" t="s">
        <v>95</v>
      </c>
      <c r="I1939" s="36" t="s">
        <v>96</v>
      </c>
      <c r="J1939" s="36">
        <v>255</v>
      </c>
      <c r="K1939" s="36">
        <v>364.65</v>
      </c>
    </row>
    <row r="1940" spans="1:11" x14ac:dyDescent="0.3">
      <c r="A1940" s="36" t="s">
        <v>90</v>
      </c>
      <c r="B1940" s="36">
        <v>2022</v>
      </c>
      <c r="C1940" s="36" t="s">
        <v>2</v>
      </c>
      <c r="D1940" s="36" t="s">
        <v>103</v>
      </c>
      <c r="E1940" s="36" t="s">
        <v>92</v>
      </c>
      <c r="F1940" s="36" t="s">
        <v>93</v>
      </c>
      <c r="G1940" s="36" t="s">
        <v>94</v>
      </c>
      <c r="H1940" s="36" t="s">
        <v>95</v>
      </c>
      <c r="I1940" s="36" t="s">
        <v>96</v>
      </c>
      <c r="J1940" s="36">
        <v>199</v>
      </c>
      <c r="K1940" s="36">
        <v>284.57</v>
      </c>
    </row>
    <row r="1941" spans="1:11" x14ac:dyDescent="0.3">
      <c r="A1941" s="36" t="s">
        <v>97</v>
      </c>
      <c r="B1941" s="36">
        <v>2022</v>
      </c>
      <c r="C1941" s="36" t="s">
        <v>2</v>
      </c>
      <c r="D1941" s="36" t="s">
        <v>103</v>
      </c>
      <c r="E1941" s="36" t="s">
        <v>92</v>
      </c>
      <c r="F1941" s="36" t="s">
        <v>93</v>
      </c>
      <c r="G1941" s="36" t="s">
        <v>94</v>
      </c>
      <c r="H1941" s="36" t="s">
        <v>95</v>
      </c>
      <c r="I1941" s="36" t="s">
        <v>96</v>
      </c>
      <c r="J1941" s="36">
        <v>193</v>
      </c>
      <c r="K1941" s="36">
        <v>275.99</v>
      </c>
    </row>
    <row r="1942" spans="1:11" x14ac:dyDescent="0.3">
      <c r="A1942" s="36" t="s">
        <v>97</v>
      </c>
      <c r="B1942" s="36">
        <v>2022</v>
      </c>
      <c r="C1942" s="36" t="s">
        <v>2</v>
      </c>
      <c r="D1942" s="36" t="s">
        <v>103</v>
      </c>
      <c r="E1942" s="36" t="s">
        <v>92</v>
      </c>
      <c r="F1942" s="36" t="s">
        <v>93</v>
      </c>
      <c r="G1942" s="36" t="s">
        <v>94</v>
      </c>
      <c r="H1942" s="36" t="s">
        <v>95</v>
      </c>
      <c r="I1942" s="36" t="s">
        <v>96</v>
      </c>
      <c r="J1942" s="36">
        <v>187</v>
      </c>
      <c r="K1942" s="36">
        <v>267.40999999999997</v>
      </c>
    </row>
    <row r="1943" spans="1:11" x14ac:dyDescent="0.3">
      <c r="A1943" s="36" t="s">
        <v>97</v>
      </c>
      <c r="B1943" s="36">
        <v>2022</v>
      </c>
      <c r="C1943" s="36" t="s">
        <v>2</v>
      </c>
      <c r="D1943" s="36" t="s">
        <v>103</v>
      </c>
      <c r="E1943" s="36" t="s">
        <v>92</v>
      </c>
      <c r="F1943" s="36" t="s">
        <v>93</v>
      </c>
      <c r="G1943" s="36" t="s">
        <v>94</v>
      </c>
      <c r="H1943" s="36" t="s">
        <v>95</v>
      </c>
      <c r="I1943" s="36" t="s">
        <v>96</v>
      </c>
      <c r="J1943" s="36">
        <v>791</v>
      </c>
      <c r="K1943" s="36">
        <v>1131.1300000000001</v>
      </c>
    </row>
    <row r="1944" spans="1:11" x14ac:dyDescent="0.3">
      <c r="A1944" s="36" t="s">
        <v>97</v>
      </c>
      <c r="B1944" s="36">
        <v>2022</v>
      </c>
      <c r="C1944" s="36" t="s">
        <v>2</v>
      </c>
      <c r="D1944" s="36" t="s">
        <v>103</v>
      </c>
      <c r="E1944" s="36" t="s">
        <v>92</v>
      </c>
      <c r="F1944" s="36" t="s">
        <v>93</v>
      </c>
      <c r="G1944" s="36" t="s">
        <v>94</v>
      </c>
      <c r="H1944" s="36" t="s">
        <v>95</v>
      </c>
      <c r="I1944" s="36" t="s">
        <v>96</v>
      </c>
      <c r="J1944" s="36">
        <v>824</v>
      </c>
      <c r="K1944" s="36">
        <v>1178.32</v>
      </c>
    </row>
    <row r="1945" spans="1:11" x14ac:dyDescent="0.3">
      <c r="A1945" s="36" t="s">
        <v>100</v>
      </c>
      <c r="B1945" s="36">
        <v>2022</v>
      </c>
      <c r="C1945" s="36" t="s">
        <v>2</v>
      </c>
      <c r="D1945" s="36" t="s">
        <v>103</v>
      </c>
      <c r="E1945" s="36" t="s">
        <v>92</v>
      </c>
      <c r="F1945" s="36" t="s">
        <v>93</v>
      </c>
      <c r="G1945" s="36" t="s">
        <v>94</v>
      </c>
      <c r="H1945" s="36" t="s">
        <v>95</v>
      </c>
      <c r="I1945" s="36" t="s">
        <v>98</v>
      </c>
      <c r="J1945" s="36">
        <v>197</v>
      </c>
      <c r="K1945" s="36">
        <v>281.70999999999998</v>
      </c>
    </row>
    <row r="1946" spans="1:11" x14ac:dyDescent="0.3">
      <c r="A1946" s="36" t="s">
        <v>99</v>
      </c>
      <c r="B1946" s="36">
        <v>2022</v>
      </c>
      <c r="C1946" s="36" t="s">
        <v>2</v>
      </c>
      <c r="D1946" s="36" t="s">
        <v>103</v>
      </c>
      <c r="E1946" s="36" t="s">
        <v>92</v>
      </c>
      <c r="F1946" s="36" t="s">
        <v>93</v>
      </c>
      <c r="G1946" s="36" t="s">
        <v>94</v>
      </c>
      <c r="H1946" s="36" t="s">
        <v>95</v>
      </c>
      <c r="I1946" s="36" t="s">
        <v>98</v>
      </c>
      <c r="J1946" s="36">
        <v>191</v>
      </c>
      <c r="K1946" s="36">
        <v>273.13</v>
      </c>
    </row>
    <row r="1947" spans="1:11" x14ac:dyDescent="0.3">
      <c r="A1947" s="36" t="s">
        <v>100</v>
      </c>
      <c r="B1947" s="36">
        <v>2022</v>
      </c>
      <c r="C1947" s="36" t="s">
        <v>2</v>
      </c>
      <c r="D1947" s="36" t="s">
        <v>103</v>
      </c>
      <c r="E1947" s="36" t="s">
        <v>92</v>
      </c>
      <c r="F1947" s="36" t="s">
        <v>93</v>
      </c>
      <c r="G1947" s="36" t="s">
        <v>94</v>
      </c>
      <c r="H1947" s="36" t="s">
        <v>95</v>
      </c>
      <c r="I1947" s="36" t="s">
        <v>96</v>
      </c>
      <c r="J1947" s="36">
        <v>209</v>
      </c>
      <c r="K1947" s="36">
        <v>298.87</v>
      </c>
    </row>
    <row r="1948" spans="1:11" x14ac:dyDescent="0.3">
      <c r="A1948" s="36" t="s">
        <v>100</v>
      </c>
      <c r="B1948" s="36">
        <v>2022</v>
      </c>
      <c r="C1948" s="36" t="s">
        <v>2</v>
      </c>
      <c r="D1948" s="36" t="s">
        <v>103</v>
      </c>
      <c r="E1948" s="36" t="s">
        <v>92</v>
      </c>
      <c r="F1948" s="36" t="s">
        <v>93</v>
      </c>
      <c r="G1948" s="36" t="s">
        <v>94</v>
      </c>
      <c r="H1948" s="36" t="s">
        <v>95</v>
      </c>
      <c r="I1948" s="36" t="s">
        <v>96</v>
      </c>
      <c r="J1948" s="36">
        <v>251</v>
      </c>
      <c r="K1948" s="36">
        <v>358.93</v>
      </c>
    </row>
    <row r="1949" spans="1:11" x14ac:dyDescent="0.3">
      <c r="A1949" s="36" t="s">
        <v>90</v>
      </c>
      <c r="B1949" s="36">
        <v>2022</v>
      </c>
      <c r="C1949" s="36" t="s">
        <v>4</v>
      </c>
      <c r="D1949" s="36" t="s">
        <v>103</v>
      </c>
      <c r="E1949" s="36" t="s">
        <v>92</v>
      </c>
      <c r="F1949" s="36" t="s">
        <v>93</v>
      </c>
      <c r="G1949" s="36" t="s">
        <v>94</v>
      </c>
      <c r="H1949" s="36" t="s">
        <v>95</v>
      </c>
      <c r="I1949" s="36" t="s">
        <v>98</v>
      </c>
      <c r="J1949" s="36">
        <v>170</v>
      </c>
      <c r="K1949" s="36">
        <v>243.1</v>
      </c>
    </row>
    <row r="1950" spans="1:11" x14ac:dyDescent="0.3">
      <c r="A1950" s="36" t="s">
        <v>99</v>
      </c>
      <c r="B1950" s="36">
        <v>2022</v>
      </c>
      <c r="C1950" s="36" t="s">
        <v>4</v>
      </c>
      <c r="D1950" s="36" t="s">
        <v>103</v>
      </c>
      <c r="E1950" s="36" t="s">
        <v>92</v>
      </c>
      <c r="F1950" s="36" t="s">
        <v>93</v>
      </c>
      <c r="G1950" s="36" t="s">
        <v>94</v>
      </c>
      <c r="H1950" s="36" t="s">
        <v>95</v>
      </c>
      <c r="I1950" s="36" t="s">
        <v>98</v>
      </c>
      <c r="J1950" s="36">
        <v>164</v>
      </c>
      <c r="K1950" s="36">
        <v>234.51999999999998</v>
      </c>
    </row>
    <row r="1951" spans="1:11" x14ac:dyDescent="0.3">
      <c r="A1951" s="36" t="s">
        <v>99</v>
      </c>
      <c r="B1951" s="36">
        <v>2022</v>
      </c>
      <c r="C1951" s="36" t="s">
        <v>4</v>
      </c>
      <c r="D1951" s="36" t="s">
        <v>103</v>
      </c>
      <c r="E1951" s="36" t="s">
        <v>92</v>
      </c>
      <c r="F1951" s="36" t="s">
        <v>93</v>
      </c>
      <c r="G1951" s="36" t="s">
        <v>94</v>
      </c>
      <c r="H1951" s="36" t="s">
        <v>95</v>
      </c>
      <c r="I1951" s="36" t="s">
        <v>98</v>
      </c>
      <c r="J1951" s="36">
        <v>158</v>
      </c>
      <c r="K1951" s="36">
        <v>225.94</v>
      </c>
    </row>
    <row r="1952" spans="1:11" x14ac:dyDescent="0.3">
      <c r="A1952" s="36" t="s">
        <v>100</v>
      </c>
      <c r="B1952" s="36">
        <v>2022</v>
      </c>
      <c r="C1952" s="36" t="s">
        <v>4</v>
      </c>
      <c r="D1952" s="36" t="s">
        <v>103</v>
      </c>
      <c r="E1952" s="36" t="s">
        <v>92</v>
      </c>
      <c r="F1952" s="36" t="s">
        <v>93</v>
      </c>
      <c r="G1952" s="36" t="s">
        <v>94</v>
      </c>
      <c r="H1952" s="36" t="s">
        <v>95</v>
      </c>
      <c r="I1952" s="36" t="s">
        <v>96</v>
      </c>
      <c r="J1952" s="36">
        <v>194</v>
      </c>
      <c r="K1952" s="36">
        <v>277.42</v>
      </c>
    </row>
    <row r="1953" spans="1:11" x14ac:dyDescent="0.3">
      <c r="A1953" s="36" t="s">
        <v>99</v>
      </c>
      <c r="B1953" s="36">
        <v>2022</v>
      </c>
      <c r="C1953" s="36" t="s">
        <v>4</v>
      </c>
      <c r="D1953" s="36" t="s">
        <v>103</v>
      </c>
      <c r="E1953" s="36" t="s">
        <v>92</v>
      </c>
      <c r="F1953" s="36" t="s">
        <v>93</v>
      </c>
      <c r="G1953" s="36" t="s">
        <v>94</v>
      </c>
      <c r="H1953" s="36" t="s">
        <v>95</v>
      </c>
      <c r="I1953" s="36" t="s">
        <v>96</v>
      </c>
      <c r="J1953" s="36">
        <v>242</v>
      </c>
      <c r="K1953" s="36">
        <v>346.06</v>
      </c>
    </row>
    <row r="1954" spans="1:11" x14ac:dyDescent="0.3">
      <c r="A1954" s="36" t="s">
        <v>99</v>
      </c>
      <c r="B1954" s="36">
        <v>2022</v>
      </c>
      <c r="C1954" s="36" t="s">
        <v>4</v>
      </c>
      <c r="D1954" s="36" t="s">
        <v>103</v>
      </c>
      <c r="E1954" s="36" t="s">
        <v>92</v>
      </c>
      <c r="F1954" s="36" t="s">
        <v>93</v>
      </c>
      <c r="G1954" s="36" t="s">
        <v>94</v>
      </c>
      <c r="H1954" s="36" t="s">
        <v>95</v>
      </c>
      <c r="I1954" s="36" t="s">
        <v>96</v>
      </c>
      <c r="J1954" s="36">
        <v>166</v>
      </c>
      <c r="K1954" s="36">
        <v>237.38</v>
      </c>
    </row>
    <row r="1955" spans="1:11" x14ac:dyDescent="0.3">
      <c r="A1955" s="36" t="s">
        <v>97</v>
      </c>
      <c r="B1955" s="36">
        <v>2022</v>
      </c>
      <c r="C1955" s="36" t="s">
        <v>4</v>
      </c>
      <c r="D1955" s="36" t="s">
        <v>103</v>
      </c>
      <c r="E1955" s="36" t="s">
        <v>92</v>
      </c>
      <c r="F1955" s="36" t="s">
        <v>93</v>
      </c>
      <c r="G1955" s="36" t="s">
        <v>94</v>
      </c>
      <c r="H1955" s="36" t="s">
        <v>95</v>
      </c>
      <c r="I1955" s="36" t="s">
        <v>96</v>
      </c>
      <c r="J1955" s="36">
        <v>160</v>
      </c>
      <c r="K1955" s="36">
        <v>228.8</v>
      </c>
    </row>
    <row r="1956" spans="1:11" x14ac:dyDescent="0.3">
      <c r="A1956" s="36" t="s">
        <v>90</v>
      </c>
      <c r="B1956" s="36">
        <v>2022</v>
      </c>
      <c r="C1956" s="36" t="s">
        <v>4</v>
      </c>
      <c r="D1956" s="36" t="s">
        <v>103</v>
      </c>
      <c r="E1956" s="36" t="s">
        <v>92</v>
      </c>
      <c r="F1956" s="36" t="s">
        <v>93</v>
      </c>
      <c r="G1956" s="36" t="s">
        <v>94</v>
      </c>
      <c r="H1956" s="36" t="s">
        <v>95</v>
      </c>
      <c r="I1956" s="36" t="s">
        <v>96</v>
      </c>
      <c r="J1956" s="36">
        <v>196</v>
      </c>
      <c r="K1956" s="36">
        <v>526.24</v>
      </c>
    </row>
    <row r="1957" spans="1:11" x14ac:dyDescent="0.3">
      <c r="A1957" s="36" t="s">
        <v>99</v>
      </c>
      <c r="B1957" s="36">
        <v>2022</v>
      </c>
      <c r="C1957" s="36" t="s">
        <v>4</v>
      </c>
      <c r="D1957" s="36" t="s">
        <v>103</v>
      </c>
      <c r="E1957" s="36" t="s">
        <v>92</v>
      </c>
      <c r="F1957" s="36" t="s">
        <v>93</v>
      </c>
      <c r="G1957" s="36" t="s">
        <v>94</v>
      </c>
      <c r="H1957" s="36" t="s">
        <v>95</v>
      </c>
      <c r="I1957" s="36" t="s">
        <v>96</v>
      </c>
      <c r="J1957" s="36">
        <v>244</v>
      </c>
      <c r="K1957" s="36">
        <v>526.24</v>
      </c>
    </row>
    <row r="1958" spans="1:11" x14ac:dyDescent="0.3">
      <c r="A1958" s="36" t="s">
        <v>99</v>
      </c>
      <c r="B1958" s="36">
        <v>2022</v>
      </c>
      <c r="C1958" s="36" t="s">
        <v>4</v>
      </c>
      <c r="D1958" s="36" t="s">
        <v>103</v>
      </c>
      <c r="E1958" s="36" t="s">
        <v>92</v>
      </c>
      <c r="F1958" s="36" t="s">
        <v>93</v>
      </c>
      <c r="G1958" s="36" t="s">
        <v>94</v>
      </c>
      <c r="H1958" s="36" t="s">
        <v>95</v>
      </c>
      <c r="I1958" s="36" t="s">
        <v>96</v>
      </c>
      <c r="J1958" s="36">
        <v>1011</v>
      </c>
      <c r="K1958" s="36">
        <v>1445.73</v>
      </c>
    </row>
    <row r="1959" spans="1:11" x14ac:dyDescent="0.3">
      <c r="A1959" s="36" t="s">
        <v>99</v>
      </c>
      <c r="B1959" s="36">
        <v>2022</v>
      </c>
      <c r="C1959" s="36" t="s">
        <v>4</v>
      </c>
      <c r="D1959" s="36" t="s">
        <v>103</v>
      </c>
      <c r="E1959" s="36" t="s">
        <v>92</v>
      </c>
      <c r="F1959" s="36" t="s">
        <v>93</v>
      </c>
      <c r="G1959" s="36" t="s">
        <v>94</v>
      </c>
      <c r="H1959" s="36" t="s">
        <v>95</v>
      </c>
      <c r="I1959" s="36" t="s">
        <v>96</v>
      </c>
      <c r="J1959" s="36">
        <v>240</v>
      </c>
      <c r="K1959" s="36">
        <v>343.2</v>
      </c>
    </row>
    <row r="1960" spans="1:11" x14ac:dyDescent="0.3">
      <c r="A1960" s="36" t="s">
        <v>97</v>
      </c>
      <c r="B1960" s="36">
        <v>2022</v>
      </c>
      <c r="C1960" s="36" t="s">
        <v>4</v>
      </c>
      <c r="D1960" s="36" t="s">
        <v>103</v>
      </c>
      <c r="E1960" s="36" t="s">
        <v>92</v>
      </c>
      <c r="F1960" s="36" t="s">
        <v>93</v>
      </c>
      <c r="G1960" s="36" t="s">
        <v>94</v>
      </c>
      <c r="H1960" s="36" t="s">
        <v>95</v>
      </c>
      <c r="I1960" s="36" t="s">
        <v>96</v>
      </c>
      <c r="J1960" s="36">
        <v>195</v>
      </c>
      <c r="K1960" s="36">
        <v>278.85000000000002</v>
      </c>
    </row>
    <row r="1961" spans="1:11" x14ac:dyDescent="0.3">
      <c r="A1961" s="36" t="s">
        <v>97</v>
      </c>
      <c r="B1961" s="36">
        <v>2022</v>
      </c>
      <c r="C1961" s="36" t="s">
        <v>4</v>
      </c>
      <c r="D1961" s="36" t="s">
        <v>103</v>
      </c>
      <c r="E1961" s="36" t="s">
        <v>92</v>
      </c>
      <c r="F1961" s="36" t="s">
        <v>93</v>
      </c>
      <c r="G1961" s="36" t="s">
        <v>94</v>
      </c>
      <c r="H1961" s="36" t="s">
        <v>95</v>
      </c>
      <c r="I1961" s="36" t="s">
        <v>96</v>
      </c>
      <c r="J1961" s="36">
        <v>243</v>
      </c>
      <c r="K1961" s="36">
        <v>347.49</v>
      </c>
    </row>
    <row r="1962" spans="1:11" x14ac:dyDescent="0.3">
      <c r="A1962" s="36" t="s">
        <v>99</v>
      </c>
      <c r="B1962" s="36">
        <v>2022</v>
      </c>
      <c r="C1962" s="36" t="s">
        <v>4</v>
      </c>
      <c r="D1962" s="36" t="s">
        <v>103</v>
      </c>
      <c r="E1962" s="36" t="s">
        <v>92</v>
      </c>
      <c r="F1962" s="36" t="s">
        <v>93</v>
      </c>
      <c r="G1962" s="36" t="s">
        <v>94</v>
      </c>
      <c r="H1962" s="36" t="s">
        <v>95</v>
      </c>
      <c r="I1962" s="36" t="s">
        <v>96</v>
      </c>
      <c r="J1962" s="36">
        <v>169</v>
      </c>
      <c r="K1962" s="36">
        <v>241.67000000000002</v>
      </c>
    </row>
    <row r="1963" spans="1:11" x14ac:dyDescent="0.3">
      <c r="A1963" s="36" t="s">
        <v>90</v>
      </c>
      <c r="B1963" s="36">
        <v>2022</v>
      </c>
      <c r="C1963" s="36" t="s">
        <v>4</v>
      </c>
      <c r="D1963" s="36" t="s">
        <v>103</v>
      </c>
      <c r="E1963" s="36" t="s">
        <v>92</v>
      </c>
      <c r="F1963" s="36" t="s">
        <v>93</v>
      </c>
      <c r="G1963" s="36" t="s">
        <v>94</v>
      </c>
      <c r="H1963" s="36" t="s">
        <v>95</v>
      </c>
      <c r="I1963" s="36" t="s">
        <v>96</v>
      </c>
      <c r="J1963" s="36">
        <v>163</v>
      </c>
      <c r="K1963" s="36">
        <v>233.09</v>
      </c>
    </row>
    <row r="1964" spans="1:11" x14ac:dyDescent="0.3">
      <c r="A1964" s="36" t="s">
        <v>100</v>
      </c>
      <c r="B1964" s="36">
        <v>2022</v>
      </c>
      <c r="C1964" s="36" t="s">
        <v>4</v>
      </c>
      <c r="D1964" s="36" t="s">
        <v>103</v>
      </c>
      <c r="E1964" s="36" t="s">
        <v>92</v>
      </c>
      <c r="F1964" s="36" t="s">
        <v>93</v>
      </c>
      <c r="G1964" s="36" t="s">
        <v>94</v>
      </c>
      <c r="H1964" s="36" t="s">
        <v>95</v>
      </c>
      <c r="I1964" s="36" t="s">
        <v>96</v>
      </c>
      <c r="J1964" s="36">
        <v>157</v>
      </c>
      <c r="K1964" s="36">
        <v>224.51</v>
      </c>
    </row>
    <row r="1965" spans="1:11" x14ac:dyDescent="0.3">
      <c r="A1965" s="36" t="s">
        <v>97</v>
      </c>
      <c r="B1965" s="36">
        <v>2022</v>
      </c>
      <c r="C1965" s="36" t="s">
        <v>4</v>
      </c>
      <c r="D1965" s="36" t="s">
        <v>103</v>
      </c>
      <c r="E1965" s="36" t="s">
        <v>92</v>
      </c>
      <c r="F1965" s="36" t="s">
        <v>93</v>
      </c>
      <c r="G1965" s="36" t="s">
        <v>94</v>
      </c>
      <c r="H1965" s="36" t="s">
        <v>95</v>
      </c>
      <c r="I1965" s="36" t="s">
        <v>96</v>
      </c>
      <c r="J1965" s="36">
        <v>826</v>
      </c>
      <c r="K1965" s="36">
        <v>1181.18</v>
      </c>
    </row>
    <row r="1966" spans="1:11" x14ac:dyDescent="0.3">
      <c r="A1966" s="36" t="s">
        <v>97</v>
      </c>
      <c r="B1966" s="36">
        <v>2022</v>
      </c>
      <c r="C1966" s="36" t="s">
        <v>4</v>
      </c>
      <c r="D1966" s="36" t="s">
        <v>103</v>
      </c>
      <c r="E1966" s="36" t="s">
        <v>92</v>
      </c>
      <c r="F1966" s="36" t="s">
        <v>93</v>
      </c>
      <c r="G1966" s="36" t="s">
        <v>94</v>
      </c>
      <c r="H1966" s="36" t="s">
        <v>95</v>
      </c>
      <c r="I1966" s="36" t="s">
        <v>98</v>
      </c>
      <c r="J1966" s="36">
        <v>167</v>
      </c>
      <c r="K1966" s="36">
        <v>238.81</v>
      </c>
    </row>
    <row r="1967" spans="1:11" x14ac:dyDescent="0.3">
      <c r="A1967" s="36" t="s">
        <v>97</v>
      </c>
      <c r="B1967" s="36">
        <v>2022</v>
      </c>
      <c r="C1967" s="36" t="s">
        <v>4</v>
      </c>
      <c r="D1967" s="36" t="s">
        <v>103</v>
      </c>
      <c r="E1967" s="36" t="s">
        <v>92</v>
      </c>
      <c r="F1967" s="36" t="s">
        <v>93</v>
      </c>
      <c r="G1967" s="36" t="s">
        <v>94</v>
      </c>
      <c r="H1967" s="36" t="s">
        <v>95</v>
      </c>
      <c r="I1967" s="36" t="s">
        <v>98</v>
      </c>
      <c r="J1967" s="36">
        <v>161</v>
      </c>
      <c r="K1967" s="36">
        <v>230.23000000000002</v>
      </c>
    </row>
    <row r="1968" spans="1:11" x14ac:dyDescent="0.3">
      <c r="A1968" s="36" t="s">
        <v>97</v>
      </c>
      <c r="B1968" s="36">
        <v>2022</v>
      </c>
      <c r="C1968" s="36" t="s">
        <v>4</v>
      </c>
      <c r="D1968" s="36" t="s">
        <v>103</v>
      </c>
      <c r="E1968" s="36" t="s">
        <v>92</v>
      </c>
      <c r="F1968" s="36" t="s">
        <v>93</v>
      </c>
      <c r="G1968" s="36" t="s">
        <v>94</v>
      </c>
      <c r="H1968" s="36" t="s">
        <v>95</v>
      </c>
      <c r="I1968" s="36" t="s">
        <v>98</v>
      </c>
      <c r="J1968" s="36">
        <v>155</v>
      </c>
      <c r="K1968" s="36">
        <v>221.65</v>
      </c>
    </row>
    <row r="1969" spans="1:11" x14ac:dyDescent="0.3">
      <c r="A1969" s="36" t="s">
        <v>99</v>
      </c>
      <c r="B1969" s="36">
        <v>2022</v>
      </c>
      <c r="C1969" s="36" t="s">
        <v>4</v>
      </c>
      <c r="D1969" s="36" t="s">
        <v>103</v>
      </c>
      <c r="E1969" s="36" t="s">
        <v>92</v>
      </c>
      <c r="F1969" s="36" t="s">
        <v>93</v>
      </c>
      <c r="G1969" s="36" t="s">
        <v>94</v>
      </c>
      <c r="H1969" s="36" t="s">
        <v>95</v>
      </c>
      <c r="I1969" s="36" t="s">
        <v>96</v>
      </c>
      <c r="J1969" s="36">
        <v>197</v>
      </c>
      <c r="K1969" s="36">
        <v>281.70999999999998</v>
      </c>
    </row>
    <row r="1970" spans="1:11" x14ac:dyDescent="0.3">
      <c r="A1970" s="36" t="s">
        <v>90</v>
      </c>
      <c r="B1970" s="36">
        <v>2022</v>
      </c>
      <c r="C1970" s="36" t="s">
        <v>4</v>
      </c>
      <c r="D1970" s="36" t="s">
        <v>103</v>
      </c>
      <c r="E1970" s="36" t="s">
        <v>92</v>
      </c>
      <c r="F1970" s="36" t="s">
        <v>93</v>
      </c>
      <c r="G1970" s="36" t="s">
        <v>94</v>
      </c>
      <c r="H1970" s="36" t="s">
        <v>95</v>
      </c>
      <c r="I1970" s="36" t="s">
        <v>96</v>
      </c>
      <c r="J1970" s="36">
        <v>245</v>
      </c>
      <c r="K1970" s="36">
        <v>350.35</v>
      </c>
    </row>
    <row r="1971" spans="1:11" x14ac:dyDescent="0.3">
      <c r="A1971" s="36" t="s">
        <v>97</v>
      </c>
      <c r="B1971" s="36">
        <v>2022</v>
      </c>
      <c r="C1971" s="36" t="s">
        <v>10</v>
      </c>
      <c r="D1971" s="36" t="s">
        <v>103</v>
      </c>
      <c r="E1971" s="36" t="s">
        <v>92</v>
      </c>
      <c r="F1971" s="36" t="s">
        <v>93</v>
      </c>
      <c r="G1971" s="36" t="s">
        <v>94</v>
      </c>
      <c r="H1971" s="36" t="s">
        <v>95</v>
      </c>
      <c r="I1971" s="36" t="s">
        <v>98</v>
      </c>
      <c r="J1971" s="36">
        <v>320</v>
      </c>
      <c r="K1971" s="36">
        <v>457.6</v>
      </c>
    </row>
    <row r="1972" spans="1:11" x14ac:dyDescent="0.3">
      <c r="A1972" s="36" t="s">
        <v>90</v>
      </c>
      <c r="B1972" s="36">
        <v>2022</v>
      </c>
      <c r="C1972" s="36" t="s">
        <v>10</v>
      </c>
      <c r="D1972" s="36" t="s">
        <v>103</v>
      </c>
      <c r="E1972" s="36" t="s">
        <v>92</v>
      </c>
      <c r="F1972" s="36" t="s">
        <v>93</v>
      </c>
      <c r="G1972" s="36" t="s">
        <v>94</v>
      </c>
      <c r="H1972" s="36" t="s">
        <v>95</v>
      </c>
      <c r="I1972" s="36" t="s">
        <v>98</v>
      </c>
      <c r="J1972" s="36">
        <v>314</v>
      </c>
      <c r="K1972" s="36">
        <v>449.02</v>
      </c>
    </row>
    <row r="1973" spans="1:11" x14ac:dyDescent="0.3">
      <c r="A1973" s="36" t="s">
        <v>99</v>
      </c>
      <c r="B1973" s="36">
        <v>2022</v>
      </c>
      <c r="C1973" s="36" t="s">
        <v>10</v>
      </c>
      <c r="D1973" s="36" t="s">
        <v>103</v>
      </c>
      <c r="E1973" s="36" t="s">
        <v>92</v>
      </c>
      <c r="F1973" s="36" t="s">
        <v>93</v>
      </c>
      <c r="G1973" s="36" t="s">
        <v>94</v>
      </c>
      <c r="H1973" s="36" t="s">
        <v>95</v>
      </c>
      <c r="I1973" s="36" t="s">
        <v>98</v>
      </c>
      <c r="J1973" s="36">
        <v>308</v>
      </c>
      <c r="K1973" s="36">
        <v>440.44</v>
      </c>
    </row>
    <row r="1974" spans="1:11" x14ac:dyDescent="0.3">
      <c r="A1974" s="36" t="s">
        <v>90</v>
      </c>
      <c r="B1974" s="36">
        <v>2022</v>
      </c>
      <c r="C1974" s="36" t="s">
        <v>10</v>
      </c>
      <c r="D1974" s="36" t="s">
        <v>103</v>
      </c>
      <c r="E1974" s="36" t="s">
        <v>92</v>
      </c>
      <c r="F1974" s="36" t="s">
        <v>93</v>
      </c>
      <c r="G1974" s="36" t="s">
        <v>94</v>
      </c>
      <c r="H1974" s="36" t="s">
        <v>95</v>
      </c>
      <c r="I1974" s="36" t="s">
        <v>96</v>
      </c>
      <c r="J1974" s="36">
        <v>236</v>
      </c>
      <c r="K1974" s="36">
        <v>337.48</v>
      </c>
    </row>
    <row r="1975" spans="1:11" x14ac:dyDescent="0.3">
      <c r="A1975" s="36" t="s">
        <v>97</v>
      </c>
      <c r="B1975" s="36">
        <v>2022</v>
      </c>
      <c r="C1975" s="36" t="s">
        <v>10</v>
      </c>
      <c r="D1975" s="36" t="s">
        <v>103</v>
      </c>
      <c r="E1975" s="36" t="s">
        <v>92</v>
      </c>
      <c r="F1975" s="36" t="s">
        <v>93</v>
      </c>
      <c r="G1975" s="36" t="s">
        <v>94</v>
      </c>
      <c r="H1975" s="36" t="s">
        <v>95</v>
      </c>
      <c r="I1975" s="36" t="s">
        <v>96</v>
      </c>
      <c r="J1975" s="36">
        <v>164</v>
      </c>
      <c r="K1975" s="36">
        <v>234.51999999999998</v>
      </c>
    </row>
    <row r="1976" spans="1:11" x14ac:dyDescent="0.3">
      <c r="A1976" s="36" t="s">
        <v>90</v>
      </c>
      <c r="B1976" s="36">
        <v>2022</v>
      </c>
      <c r="C1976" s="36" t="s">
        <v>10</v>
      </c>
      <c r="D1976" s="36" t="s">
        <v>103</v>
      </c>
      <c r="E1976" s="36" t="s">
        <v>92</v>
      </c>
      <c r="F1976" s="36" t="s">
        <v>93</v>
      </c>
      <c r="G1976" s="36" t="s">
        <v>94</v>
      </c>
      <c r="H1976" s="36" t="s">
        <v>95</v>
      </c>
      <c r="I1976" s="36" t="s">
        <v>96</v>
      </c>
      <c r="J1976" s="36">
        <v>212</v>
      </c>
      <c r="K1976" s="36">
        <v>303.15999999999997</v>
      </c>
    </row>
    <row r="1977" spans="1:11" x14ac:dyDescent="0.3">
      <c r="A1977" s="36" t="s">
        <v>97</v>
      </c>
      <c r="B1977" s="36">
        <v>2022</v>
      </c>
      <c r="C1977" s="36" t="s">
        <v>10</v>
      </c>
      <c r="D1977" s="36" t="s">
        <v>103</v>
      </c>
      <c r="E1977" s="36" t="s">
        <v>92</v>
      </c>
      <c r="F1977" s="36" t="s">
        <v>93</v>
      </c>
      <c r="G1977" s="36" t="s">
        <v>94</v>
      </c>
      <c r="H1977" s="36" t="s">
        <v>95</v>
      </c>
      <c r="I1977" s="36" t="s">
        <v>96</v>
      </c>
      <c r="J1977" s="36">
        <v>316</v>
      </c>
      <c r="K1977" s="36">
        <v>451.88</v>
      </c>
    </row>
    <row r="1978" spans="1:11" x14ac:dyDescent="0.3">
      <c r="A1978" s="36" t="s">
        <v>90</v>
      </c>
      <c r="B1978" s="36">
        <v>2022</v>
      </c>
      <c r="C1978" s="36" t="s">
        <v>10</v>
      </c>
      <c r="D1978" s="36" t="s">
        <v>103</v>
      </c>
      <c r="E1978" s="36" t="s">
        <v>92</v>
      </c>
      <c r="F1978" s="36" t="s">
        <v>93</v>
      </c>
      <c r="G1978" s="36" t="s">
        <v>94</v>
      </c>
      <c r="H1978" s="36" t="s">
        <v>95</v>
      </c>
      <c r="I1978" s="36" t="s">
        <v>96</v>
      </c>
      <c r="J1978" s="36">
        <v>310</v>
      </c>
      <c r="K1978" s="36">
        <v>443.3</v>
      </c>
    </row>
    <row r="1979" spans="1:11" x14ac:dyDescent="0.3">
      <c r="A1979" s="36" t="s">
        <v>97</v>
      </c>
      <c r="B1979" s="36">
        <v>2022</v>
      </c>
      <c r="C1979" s="36" t="s">
        <v>10</v>
      </c>
      <c r="D1979" s="36" t="s">
        <v>103</v>
      </c>
      <c r="E1979" s="36" t="s">
        <v>92</v>
      </c>
      <c r="F1979" s="36" t="s">
        <v>93</v>
      </c>
      <c r="G1979" s="36" t="s">
        <v>94</v>
      </c>
      <c r="H1979" s="36" t="s">
        <v>95</v>
      </c>
      <c r="I1979" s="36" t="s">
        <v>96</v>
      </c>
      <c r="J1979" s="36">
        <v>238</v>
      </c>
      <c r="K1979" s="36">
        <v>526.24</v>
      </c>
    </row>
    <row r="1980" spans="1:11" x14ac:dyDescent="0.3">
      <c r="A1980" s="36" t="s">
        <v>97</v>
      </c>
      <c r="B1980" s="36">
        <v>2022</v>
      </c>
      <c r="C1980" s="36" t="s">
        <v>10</v>
      </c>
      <c r="D1980" s="36" t="s">
        <v>103</v>
      </c>
      <c r="E1980" s="36" t="s">
        <v>92</v>
      </c>
      <c r="F1980" s="36" t="s">
        <v>93</v>
      </c>
      <c r="G1980" s="36" t="s">
        <v>94</v>
      </c>
      <c r="H1980" s="36" t="s">
        <v>95</v>
      </c>
      <c r="I1980" s="36" t="s">
        <v>96</v>
      </c>
      <c r="J1980" s="36">
        <v>166</v>
      </c>
      <c r="K1980" s="36">
        <v>526.24</v>
      </c>
    </row>
    <row r="1981" spans="1:11" x14ac:dyDescent="0.3">
      <c r="A1981" s="36" t="s">
        <v>90</v>
      </c>
      <c r="B1981" s="36">
        <v>2022</v>
      </c>
      <c r="C1981" s="36" t="s">
        <v>10</v>
      </c>
      <c r="D1981" s="36" t="s">
        <v>103</v>
      </c>
      <c r="E1981" s="36" t="s">
        <v>92</v>
      </c>
      <c r="F1981" s="36" t="s">
        <v>93</v>
      </c>
      <c r="G1981" s="36" t="s">
        <v>94</v>
      </c>
      <c r="H1981" s="36" t="s">
        <v>95</v>
      </c>
      <c r="I1981" s="36" t="s">
        <v>96</v>
      </c>
      <c r="J1981" s="36">
        <v>208</v>
      </c>
      <c r="K1981" s="36">
        <v>526.24</v>
      </c>
    </row>
    <row r="1982" spans="1:11" x14ac:dyDescent="0.3">
      <c r="A1982" s="36" t="s">
        <v>99</v>
      </c>
      <c r="B1982" s="36">
        <v>2022</v>
      </c>
      <c r="C1982" s="36" t="s">
        <v>10</v>
      </c>
      <c r="D1982" s="36" t="s">
        <v>103</v>
      </c>
      <c r="E1982" s="36" t="s">
        <v>92</v>
      </c>
      <c r="F1982" s="36" t="s">
        <v>93</v>
      </c>
      <c r="G1982" s="36" t="s">
        <v>94</v>
      </c>
      <c r="H1982" s="36" t="s">
        <v>95</v>
      </c>
      <c r="I1982" s="36" t="s">
        <v>96</v>
      </c>
      <c r="J1982" s="36">
        <v>963</v>
      </c>
      <c r="K1982" s="36">
        <v>1377.09</v>
      </c>
    </row>
    <row r="1983" spans="1:11" x14ac:dyDescent="0.3">
      <c r="A1983" s="36" t="s">
        <v>90</v>
      </c>
      <c r="B1983" s="36">
        <v>2022</v>
      </c>
      <c r="C1983" s="36" t="s">
        <v>10</v>
      </c>
      <c r="D1983" s="36" t="s">
        <v>103</v>
      </c>
      <c r="E1983" s="36" t="s">
        <v>92</v>
      </c>
      <c r="F1983" s="36" t="s">
        <v>93</v>
      </c>
      <c r="G1983" s="36" t="s">
        <v>94</v>
      </c>
      <c r="H1983" s="36" t="s">
        <v>95</v>
      </c>
      <c r="I1983" s="36" t="s">
        <v>96</v>
      </c>
      <c r="J1983" s="36">
        <v>1017</v>
      </c>
      <c r="K1983" s="36">
        <v>1454.31</v>
      </c>
    </row>
    <row r="1984" spans="1:11" x14ac:dyDescent="0.3">
      <c r="A1984" s="36" t="s">
        <v>90</v>
      </c>
      <c r="B1984" s="36">
        <v>2022</v>
      </c>
      <c r="C1984" s="36" t="s">
        <v>10</v>
      </c>
      <c r="D1984" s="36" t="s">
        <v>103</v>
      </c>
      <c r="E1984" s="36" t="s">
        <v>92</v>
      </c>
      <c r="F1984" s="36" t="s">
        <v>93</v>
      </c>
      <c r="G1984" s="36" t="s">
        <v>94</v>
      </c>
      <c r="H1984" s="36" t="s">
        <v>95</v>
      </c>
      <c r="I1984" s="36" t="s">
        <v>96</v>
      </c>
      <c r="J1984" s="36">
        <v>210</v>
      </c>
      <c r="K1984" s="36">
        <v>300.3</v>
      </c>
    </row>
    <row r="1985" spans="1:11" x14ac:dyDescent="0.3">
      <c r="A1985" s="36" t="s">
        <v>90</v>
      </c>
      <c r="B1985" s="36">
        <v>2022</v>
      </c>
      <c r="C1985" s="36" t="s">
        <v>10</v>
      </c>
      <c r="D1985" s="36" t="s">
        <v>103</v>
      </c>
      <c r="E1985" s="36" t="s">
        <v>92</v>
      </c>
      <c r="F1985" s="36" t="s">
        <v>93</v>
      </c>
      <c r="G1985" s="36" t="s">
        <v>94</v>
      </c>
      <c r="H1985" s="36" t="s">
        <v>95</v>
      </c>
      <c r="I1985" s="36" t="s">
        <v>96</v>
      </c>
      <c r="J1985" s="36">
        <v>237</v>
      </c>
      <c r="K1985" s="36">
        <v>338.90999999999997</v>
      </c>
    </row>
    <row r="1986" spans="1:11" x14ac:dyDescent="0.3">
      <c r="A1986" s="36" t="s">
        <v>97</v>
      </c>
      <c r="B1986" s="36">
        <v>2022</v>
      </c>
      <c r="C1986" s="36" t="s">
        <v>10</v>
      </c>
      <c r="D1986" s="36" t="s">
        <v>103</v>
      </c>
      <c r="E1986" s="36" t="s">
        <v>92</v>
      </c>
      <c r="F1986" s="36" t="s">
        <v>93</v>
      </c>
      <c r="G1986" s="36" t="s">
        <v>94</v>
      </c>
      <c r="H1986" s="36" t="s">
        <v>95</v>
      </c>
      <c r="I1986" s="36" t="s">
        <v>96</v>
      </c>
      <c r="J1986" s="36">
        <v>165</v>
      </c>
      <c r="K1986" s="36">
        <v>235.95</v>
      </c>
    </row>
    <row r="1987" spans="1:11" x14ac:dyDescent="0.3">
      <c r="A1987" s="36" t="s">
        <v>99</v>
      </c>
      <c r="B1987" s="36">
        <v>2022</v>
      </c>
      <c r="C1987" s="36" t="s">
        <v>10</v>
      </c>
      <c r="D1987" s="36" t="s">
        <v>103</v>
      </c>
      <c r="E1987" s="36" t="s">
        <v>92</v>
      </c>
      <c r="F1987" s="36" t="s">
        <v>93</v>
      </c>
      <c r="G1987" s="36" t="s">
        <v>94</v>
      </c>
      <c r="H1987" s="36" t="s">
        <v>95</v>
      </c>
      <c r="I1987" s="36" t="s">
        <v>96</v>
      </c>
      <c r="J1987" s="36">
        <v>213</v>
      </c>
      <c r="K1987" s="36">
        <v>304.59000000000003</v>
      </c>
    </row>
    <row r="1988" spans="1:11" x14ac:dyDescent="0.3">
      <c r="A1988" s="36" t="s">
        <v>97</v>
      </c>
      <c r="B1988" s="36">
        <v>2022</v>
      </c>
      <c r="C1988" s="36" t="s">
        <v>10</v>
      </c>
      <c r="D1988" s="36" t="s">
        <v>103</v>
      </c>
      <c r="E1988" s="36" t="s">
        <v>92</v>
      </c>
      <c r="F1988" s="36" t="s">
        <v>93</v>
      </c>
      <c r="G1988" s="36" t="s">
        <v>94</v>
      </c>
      <c r="H1988" s="36" t="s">
        <v>95</v>
      </c>
      <c r="I1988" s="36" t="s">
        <v>96</v>
      </c>
      <c r="J1988" s="36">
        <v>319</v>
      </c>
      <c r="K1988" s="36">
        <v>456.16999999999996</v>
      </c>
    </row>
    <row r="1989" spans="1:11" x14ac:dyDescent="0.3">
      <c r="A1989" s="36" t="s">
        <v>97</v>
      </c>
      <c r="B1989" s="36">
        <v>2022</v>
      </c>
      <c r="C1989" s="36" t="s">
        <v>10</v>
      </c>
      <c r="D1989" s="36" t="s">
        <v>103</v>
      </c>
      <c r="E1989" s="36" t="s">
        <v>92</v>
      </c>
      <c r="F1989" s="36" t="s">
        <v>93</v>
      </c>
      <c r="G1989" s="36" t="s">
        <v>94</v>
      </c>
      <c r="H1989" s="36" t="s">
        <v>95</v>
      </c>
      <c r="I1989" s="36" t="s">
        <v>96</v>
      </c>
      <c r="J1989" s="36">
        <v>313</v>
      </c>
      <c r="K1989" s="36">
        <v>447.59000000000003</v>
      </c>
    </row>
    <row r="1990" spans="1:11" x14ac:dyDescent="0.3">
      <c r="A1990" s="36" t="s">
        <v>90</v>
      </c>
      <c r="B1990" s="36">
        <v>2022</v>
      </c>
      <c r="C1990" s="36" t="s">
        <v>10</v>
      </c>
      <c r="D1990" s="36" t="s">
        <v>103</v>
      </c>
      <c r="E1990" s="36" t="s">
        <v>92</v>
      </c>
      <c r="F1990" s="36" t="s">
        <v>93</v>
      </c>
      <c r="G1990" s="36" t="s">
        <v>94</v>
      </c>
      <c r="H1990" s="36" t="s">
        <v>95</v>
      </c>
      <c r="I1990" s="36" t="s">
        <v>96</v>
      </c>
      <c r="J1990" s="36">
        <v>307</v>
      </c>
      <c r="K1990" s="36">
        <v>439.01</v>
      </c>
    </row>
    <row r="1991" spans="1:11" x14ac:dyDescent="0.3">
      <c r="A1991" s="36" t="s">
        <v>90</v>
      </c>
      <c r="B1991" s="36">
        <v>2022</v>
      </c>
      <c r="C1991" s="36" t="s">
        <v>10</v>
      </c>
      <c r="D1991" s="36" t="s">
        <v>103</v>
      </c>
      <c r="E1991" s="36" t="s">
        <v>92</v>
      </c>
      <c r="F1991" s="36" t="s">
        <v>93</v>
      </c>
      <c r="G1991" s="36" t="s">
        <v>94</v>
      </c>
      <c r="H1991" s="36" t="s">
        <v>95</v>
      </c>
      <c r="I1991" s="36" t="s">
        <v>96</v>
      </c>
      <c r="J1991" s="36">
        <v>235</v>
      </c>
      <c r="K1991" s="36">
        <v>336.05</v>
      </c>
    </row>
    <row r="1992" spans="1:11" x14ac:dyDescent="0.3">
      <c r="A1992" s="36" t="s">
        <v>90</v>
      </c>
      <c r="B1992" s="36">
        <v>2022</v>
      </c>
      <c r="C1992" s="36" t="s">
        <v>10</v>
      </c>
      <c r="D1992" s="36" t="s">
        <v>103</v>
      </c>
      <c r="E1992" s="36" t="s">
        <v>92</v>
      </c>
      <c r="F1992" s="36" t="s">
        <v>93</v>
      </c>
      <c r="G1992" s="36" t="s">
        <v>94</v>
      </c>
      <c r="H1992" s="36" t="s">
        <v>95</v>
      </c>
      <c r="I1992" s="36" t="s">
        <v>96</v>
      </c>
      <c r="J1992" s="36">
        <v>798</v>
      </c>
      <c r="K1992" s="36">
        <v>1141.1399999999999</v>
      </c>
    </row>
    <row r="1993" spans="1:11" x14ac:dyDescent="0.3">
      <c r="A1993" s="36" t="s">
        <v>97</v>
      </c>
      <c r="B1993" s="36">
        <v>2022</v>
      </c>
      <c r="C1993" s="36" t="s">
        <v>10</v>
      </c>
      <c r="D1993" s="36" t="s">
        <v>103</v>
      </c>
      <c r="E1993" s="36" t="s">
        <v>92</v>
      </c>
      <c r="F1993" s="36" t="s">
        <v>93</v>
      </c>
      <c r="G1993" s="36" t="s">
        <v>94</v>
      </c>
      <c r="H1993" s="36" t="s">
        <v>95</v>
      </c>
      <c r="I1993" s="36" t="s">
        <v>96</v>
      </c>
      <c r="J1993" s="36">
        <v>831</v>
      </c>
      <c r="K1993" s="36">
        <v>1188.33</v>
      </c>
    </row>
    <row r="1994" spans="1:11" x14ac:dyDescent="0.3">
      <c r="A1994" s="36" t="s">
        <v>99</v>
      </c>
      <c r="B1994" s="36">
        <v>2022</v>
      </c>
      <c r="C1994" s="36" t="s">
        <v>10</v>
      </c>
      <c r="D1994" s="36" t="s">
        <v>103</v>
      </c>
      <c r="E1994" s="36" t="s">
        <v>92</v>
      </c>
      <c r="F1994" s="36" t="s">
        <v>93</v>
      </c>
      <c r="G1994" s="36" t="s">
        <v>94</v>
      </c>
      <c r="H1994" s="36" t="s">
        <v>95</v>
      </c>
      <c r="I1994" s="36" t="s">
        <v>98</v>
      </c>
      <c r="J1994" s="36">
        <v>317</v>
      </c>
      <c r="K1994" s="36">
        <v>453.31</v>
      </c>
    </row>
    <row r="1995" spans="1:11" x14ac:dyDescent="0.3">
      <c r="A1995" s="36" t="s">
        <v>90</v>
      </c>
      <c r="B1995" s="36">
        <v>2022</v>
      </c>
      <c r="C1995" s="36" t="s">
        <v>10</v>
      </c>
      <c r="D1995" s="36" t="s">
        <v>103</v>
      </c>
      <c r="E1995" s="36" t="s">
        <v>92</v>
      </c>
      <c r="F1995" s="36" t="s">
        <v>93</v>
      </c>
      <c r="G1995" s="36" t="s">
        <v>94</v>
      </c>
      <c r="H1995" s="36" t="s">
        <v>95</v>
      </c>
      <c r="I1995" s="36" t="s">
        <v>98</v>
      </c>
      <c r="J1995" s="36">
        <v>311</v>
      </c>
      <c r="K1995" s="36">
        <v>444.73</v>
      </c>
    </row>
    <row r="1996" spans="1:11" x14ac:dyDescent="0.3">
      <c r="A1996" s="36" t="s">
        <v>101</v>
      </c>
      <c r="B1996" s="36">
        <v>2022</v>
      </c>
      <c r="C1996" s="36" t="s">
        <v>10</v>
      </c>
      <c r="D1996" s="36" t="s">
        <v>103</v>
      </c>
      <c r="E1996" s="36" t="s">
        <v>92</v>
      </c>
      <c r="F1996" s="36" t="s">
        <v>93</v>
      </c>
      <c r="G1996" s="36" t="s">
        <v>94</v>
      </c>
      <c r="H1996" s="36" t="s">
        <v>95</v>
      </c>
      <c r="I1996" s="36" t="s">
        <v>98</v>
      </c>
      <c r="J1996" s="36">
        <v>305</v>
      </c>
      <c r="K1996" s="36">
        <v>436.15</v>
      </c>
    </row>
    <row r="1997" spans="1:11" x14ac:dyDescent="0.3">
      <c r="A1997" s="36" t="s">
        <v>90</v>
      </c>
      <c r="B1997" s="36">
        <v>2022</v>
      </c>
      <c r="C1997" s="36" t="s">
        <v>10</v>
      </c>
      <c r="D1997" s="36" t="s">
        <v>103</v>
      </c>
      <c r="E1997" s="36" t="s">
        <v>92</v>
      </c>
      <c r="F1997" s="36" t="s">
        <v>93</v>
      </c>
      <c r="G1997" s="36" t="s">
        <v>94</v>
      </c>
      <c r="H1997" s="36" t="s">
        <v>95</v>
      </c>
      <c r="I1997" s="36" t="s">
        <v>96</v>
      </c>
      <c r="J1997" s="36">
        <v>239</v>
      </c>
      <c r="K1997" s="36">
        <v>341.77</v>
      </c>
    </row>
    <row r="1998" spans="1:11" x14ac:dyDescent="0.3">
      <c r="A1998" s="36" t="s">
        <v>90</v>
      </c>
      <c r="B1998" s="36">
        <v>2022</v>
      </c>
      <c r="C1998" s="36" t="s">
        <v>10</v>
      </c>
      <c r="D1998" s="36" t="s">
        <v>103</v>
      </c>
      <c r="E1998" s="36" t="s">
        <v>92</v>
      </c>
      <c r="F1998" s="36" t="s">
        <v>93</v>
      </c>
      <c r="G1998" s="36" t="s">
        <v>94</v>
      </c>
      <c r="H1998" s="36" t="s">
        <v>95</v>
      </c>
      <c r="I1998" s="36" t="s">
        <v>96</v>
      </c>
      <c r="J1998" s="36">
        <v>209</v>
      </c>
      <c r="K1998" s="36">
        <v>298.87</v>
      </c>
    </row>
    <row r="1999" spans="1:11" x14ac:dyDescent="0.3">
      <c r="A1999" s="36" t="s">
        <v>99</v>
      </c>
      <c r="B1999" s="36">
        <v>2022</v>
      </c>
      <c r="C1999" s="36" t="s">
        <v>9</v>
      </c>
      <c r="D1999" s="36" t="s">
        <v>103</v>
      </c>
      <c r="E1999" s="36" t="s">
        <v>92</v>
      </c>
      <c r="F1999" s="36" t="s">
        <v>93</v>
      </c>
      <c r="G1999" s="36" t="s">
        <v>94</v>
      </c>
      <c r="H1999" s="36" t="s">
        <v>95</v>
      </c>
      <c r="I1999" s="36" t="s">
        <v>98</v>
      </c>
      <c r="J1999" s="36">
        <v>332</v>
      </c>
      <c r="K1999" s="36">
        <v>474.76</v>
      </c>
    </row>
    <row r="2000" spans="1:11" x14ac:dyDescent="0.3">
      <c r="A2000" s="36" t="s">
        <v>97</v>
      </c>
      <c r="B2000" s="36">
        <v>2022</v>
      </c>
      <c r="C2000" s="36" t="s">
        <v>9</v>
      </c>
      <c r="D2000" s="36" t="s">
        <v>103</v>
      </c>
      <c r="E2000" s="36" t="s">
        <v>92</v>
      </c>
      <c r="F2000" s="36" t="s">
        <v>93</v>
      </c>
      <c r="G2000" s="36" t="s">
        <v>94</v>
      </c>
      <c r="H2000" s="36" t="s">
        <v>95</v>
      </c>
      <c r="I2000" s="36" t="s">
        <v>98</v>
      </c>
      <c r="J2000" s="36">
        <v>326</v>
      </c>
      <c r="K2000" s="36">
        <v>466.18</v>
      </c>
    </row>
    <row r="2001" spans="1:11" x14ac:dyDescent="0.3">
      <c r="A2001" s="36" t="s">
        <v>90</v>
      </c>
      <c r="B2001" s="36">
        <v>2022</v>
      </c>
      <c r="C2001" s="36" t="s">
        <v>9</v>
      </c>
      <c r="D2001" s="36" t="s">
        <v>103</v>
      </c>
      <c r="E2001" s="36" t="s">
        <v>92</v>
      </c>
      <c r="F2001" s="36" t="s">
        <v>93</v>
      </c>
      <c r="G2001" s="36" t="s">
        <v>94</v>
      </c>
      <c r="H2001" s="36" t="s">
        <v>95</v>
      </c>
      <c r="I2001" s="36" t="s">
        <v>96</v>
      </c>
      <c r="J2001" s="36">
        <v>242</v>
      </c>
      <c r="K2001" s="36">
        <v>346.06</v>
      </c>
    </row>
    <row r="2002" spans="1:11" x14ac:dyDescent="0.3">
      <c r="A2002" s="36" t="s">
        <v>90</v>
      </c>
      <c r="B2002" s="36">
        <v>2022</v>
      </c>
      <c r="C2002" s="36" t="s">
        <v>9</v>
      </c>
      <c r="D2002" s="36" t="s">
        <v>103</v>
      </c>
      <c r="E2002" s="36" t="s">
        <v>92</v>
      </c>
      <c r="F2002" s="36" t="s">
        <v>93</v>
      </c>
      <c r="G2002" s="36" t="s">
        <v>94</v>
      </c>
      <c r="H2002" s="36" t="s">
        <v>95</v>
      </c>
      <c r="I2002" s="36" t="s">
        <v>96</v>
      </c>
      <c r="J2002" s="36">
        <v>170</v>
      </c>
      <c r="K2002" s="36">
        <v>243.1</v>
      </c>
    </row>
    <row r="2003" spans="1:11" x14ac:dyDescent="0.3">
      <c r="A2003" s="36" t="s">
        <v>90</v>
      </c>
      <c r="B2003" s="36">
        <v>2022</v>
      </c>
      <c r="C2003" s="36" t="s">
        <v>9</v>
      </c>
      <c r="D2003" s="36" t="s">
        <v>103</v>
      </c>
      <c r="E2003" s="36" t="s">
        <v>92</v>
      </c>
      <c r="F2003" s="36" t="s">
        <v>93</v>
      </c>
      <c r="G2003" s="36" t="s">
        <v>94</v>
      </c>
      <c r="H2003" s="36" t="s">
        <v>95</v>
      </c>
      <c r="I2003" s="36" t="s">
        <v>96</v>
      </c>
      <c r="J2003" s="36">
        <v>218</v>
      </c>
      <c r="K2003" s="36">
        <v>311.74</v>
      </c>
    </row>
    <row r="2004" spans="1:11" x14ac:dyDescent="0.3">
      <c r="A2004" s="36" t="s">
        <v>90</v>
      </c>
      <c r="B2004" s="36">
        <v>2022</v>
      </c>
      <c r="C2004" s="36" t="s">
        <v>9</v>
      </c>
      <c r="D2004" s="36" t="s">
        <v>103</v>
      </c>
      <c r="E2004" s="36" t="s">
        <v>92</v>
      </c>
      <c r="F2004" s="36" t="s">
        <v>93</v>
      </c>
      <c r="G2004" s="36" t="s">
        <v>94</v>
      </c>
      <c r="H2004" s="36" t="s">
        <v>95</v>
      </c>
      <c r="I2004" s="36" t="s">
        <v>96</v>
      </c>
      <c r="J2004" s="36">
        <v>334</v>
      </c>
      <c r="K2004" s="36">
        <v>477.62</v>
      </c>
    </row>
    <row r="2005" spans="1:11" x14ac:dyDescent="0.3">
      <c r="A2005" s="36" t="s">
        <v>100</v>
      </c>
      <c r="B2005" s="36">
        <v>2022</v>
      </c>
      <c r="C2005" s="36" t="s">
        <v>9</v>
      </c>
      <c r="D2005" s="36" t="s">
        <v>103</v>
      </c>
      <c r="E2005" s="36" t="s">
        <v>92</v>
      </c>
      <c r="F2005" s="36" t="s">
        <v>93</v>
      </c>
      <c r="G2005" s="36" t="s">
        <v>94</v>
      </c>
      <c r="H2005" s="36" t="s">
        <v>95</v>
      </c>
      <c r="I2005" s="36" t="s">
        <v>96</v>
      </c>
      <c r="J2005" s="36">
        <v>328</v>
      </c>
      <c r="K2005" s="36">
        <v>469.03999999999996</v>
      </c>
    </row>
    <row r="2006" spans="1:11" x14ac:dyDescent="0.3">
      <c r="A2006" s="36" t="s">
        <v>97</v>
      </c>
      <c r="B2006" s="36">
        <v>2022</v>
      </c>
      <c r="C2006" s="36" t="s">
        <v>9</v>
      </c>
      <c r="D2006" s="36" t="s">
        <v>103</v>
      </c>
      <c r="E2006" s="36" t="s">
        <v>92</v>
      </c>
      <c r="F2006" s="36" t="s">
        <v>93</v>
      </c>
      <c r="G2006" s="36" t="s">
        <v>94</v>
      </c>
      <c r="H2006" s="36" t="s">
        <v>95</v>
      </c>
      <c r="I2006" s="36" t="s">
        <v>96</v>
      </c>
      <c r="J2006" s="36">
        <v>322</v>
      </c>
      <c r="K2006" s="36">
        <v>460.46000000000004</v>
      </c>
    </row>
    <row r="2007" spans="1:11" x14ac:dyDescent="0.3">
      <c r="A2007" s="36" t="s">
        <v>97</v>
      </c>
      <c r="B2007" s="36">
        <v>2022</v>
      </c>
      <c r="C2007" s="36" t="s">
        <v>9</v>
      </c>
      <c r="D2007" s="36" t="s">
        <v>103</v>
      </c>
      <c r="E2007" s="36" t="s">
        <v>92</v>
      </c>
      <c r="F2007" s="36" t="s">
        <v>93</v>
      </c>
      <c r="G2007" s="36" t="s">
        <v>94</v>
      </c>
      <c r="H2007" s="36" t="s">
        <v>95</v>
      </c>
      <c r="I2007" s="36" t="s">
        <v>96</v>
      </c>
      <c r="J2007" s="36">
        <v>244</v>
      </c>
      <c r="K2007" s="36">
        <v>526.24</v>
      </c>
    </row>
    <row r="2008" spans="1:11" x14ac:dyDescent="0.3">
      <c r="A2008" s="36" t="s">
        <v>97</v>
      </c>
      <c r="B2008" s="36">
        <v>2022</v>
      </c>
      <c r="C2008" s="36" t="s">
        <v>9</v>
      </c>
      <c r="D2008" s="36" t="s">
        <v>103</v>
      </c>
      <c r="E2008" s="36" t="s">
        <v>92</v>
      </c>
      <c r="F2008" s="36" t="s">
        <v>93</v>
      </c>
      <c r="G2008" s="36" t="s">
        <v>94</v>
      </c>
      <c r="H2008" s="36" t="s">
        <v>95</v>
      </c>
      <c r="I2008" s="36" t="s">
        <v>96</v>
      </c>
      <c r="J2008" s="36">
        <v>214</v>
      </c>
      <c r="K2008" s="36">
        <v>526.24</v>
      </c>
    </row>
    <row r="2009" spans="1:11" x14ac:dyDescent="0.3">
      <c r="A2009" s="36" t="s">
        <v>90</v>
      </c>
      <c r="B2009" s="36">
        <v>2022</v>
      </c>
      <c r="C2009" s="36" t="s">
        <v>9</v>
      </c>
      <c r="D2009" s="36" t="s">
        <v>103</v>
      </c>
      <c r="E2009" s="36" t="s">
        <v>92</v>
      </c>
      <c r="F2009" s="36" t="s">
        <v>93</v>
      </c>
      <c r="G2009" s="36" t="s">
        <v>94</v>
      </c>
      <c r="H2009" s="36" t="s">
        <v>95</v>
      </c>
      <c r="I2009" s="36" t="s">
        <v>96</v>
      </c>
      <c r="J2009" s="36">
        <v>1016</v>
      </c>
      <c r="K2009" s="36">
        <v>1452.88</v>
      </c>
    </row>
    <row r="2010" spans="1:11" x14ac:dyDescent="0.3">
      <c r="A2010" s="36" t="s">
        <v>97</v>
      </c>
      <c r="B2010" s="36">
        <v>2022</v>
      </c>
      <c r="C2010" s="36" t="s">
        <v>9</v>
      </c>
      <c r="D2010" s="36" t="s">
        <v>103</v>
      </c>
      <c r="E2010" s="36" t="s">
        <v>92</v>
      </c>
      <c r="F2010" s="36" t="s">
        <v>93</v>
      </c>
      <c r="G2010" s="36" t="s">
        <v>94</v>
      </c>
      <c r="H2010" s="36" t="s">
        <v>95</v>
      </c>
      <c r="I2010" s="36" t="s">
        <v>96</v>
      </c>
      <c r="J2010" s="36">
        <v>216</v>
      </c>
      <c r="K2010" s="36">
        <v>308.88</v>
      </c>
    </row>
    <row r="2011" spans="1:11" x14ac:dyDescent="0.3">
      <c r="A2011" s="36" t="s">
        <v>97</v>
      </c>
      <c r="B2011" s="36">
        <v>2022</v>
      </c>
      <c r="C2011" s="36" t="s">
        <v>9</v>
      </c>
      <c r="D2011" s="36" t="s">
        <v>103</v>
      </c>
      <c r="E2011" s="36" t="s">
        <v>92</v>
      </c>
      <c r="F2011" s="36" t="s">
        <v>93</v>
      </c>
      <c r="G2011" s="36" t="s">
        <v>94</v>
      </c>
      <c r="H2011" s="36" t="s">
        <v>95</v>
      </c>
      <c r="I2011" s="36" t="s">
        <v>96</v>
      </c>
      <c r="J2011" s="36">
        <v>243</v>
      </c>
      <c r="K2011" s="36">
        <v>347.49</v>
      </c>
    </row>
    <row r="2012" spans="1:11" x14ac:dyDescent="0.3">
      <c r="A2012" s="36" t="s">
        <v>90</v>
      </c>
      <c r="B2012" s="36">
        <v>2022</v>
      </c>
      <c r="C2012" s="36" t="s">
        <v>9</v>
      </c>
      <c r="D2012" s="36" t="s">
        <v>103</v>
      </c>
      <c r="E2012" s="36" t="s">
        <v>92</v>
      </c>
      <c r="F2012" s="36" t="s">
        <v>93</v>
      </c>
      <c r="G2012" s="36" t="s">
        <v>94</v>
      </c>
      <c r="H2012" s="36" t="s">
        <v>95</v>
      </c>
      <c r="I2012" s="36" t="s">
        <v>96</v>
      </c>
      <c r="J2012" s="36">
        <v>171</v>
      </c>
      <c r="K2012" s="36">
        <v>244.53</v>
      </c>
    </row>
    <row r="2013" spans="1:11" x14ac:dyDescent="0.3">
      <c r="A2013" s="36" t="s">
        <v>90</v>
      </c>
      <c r="B2013" s="36">
        <v>2022</v>
      </c>
      <c r="C2013" s="36" t="s">
        <v>9</v>
      </c>
      <c r="D2013" s="36" t="s">
        <v>103</v>
      </c>
      <c r="E2013" s="36" t="s">
        <v>92</v>
      </c>
      <c r="F2013" s="36" t="s">
        <v>93</v>
      </c>
      <c r="G2013" s="36" t="s">
        <v>94</v>
      </c>
      <c r="H2013" s="36" t="s">
        <v>95</v>
      </c>
      <c r="I2013" s="36" t="s">
        <v>96</v>
      </c>
      <c r="J2013" s="36">
        <v>331</v>
      </c>
      <c r="K2013" s="36">
        <v>473.33</v>
      </c>
    </row>
    <row r="2014" spans="1:11" x14ac:dyDescent="0.3">
      <c r="A2014" s="36" t="s">
        <v>90</v>
      </c>
      <c r="B2014" s="36">
        <v>2022</v>
      </c>
      <c r="C2014" s="36" t="s">
        <v>9</v>
      </c>
      <c r="D2014" s="36" t="s">
        <v>103</v>
      </c>
      <c r="E2014" s="36" t="s">
        <v>92</v>
      </c>
      <c r="F2014" s="36" t="s">
        <v>93</v>
      </c>
      <c r="G2014" s="36" t="s">
        <v>94</v>
      </c>
      <c r="H2014" s="36" t="s">
        <v>95</v>
      </c>
      <c r="I2014" s="36" t="s">
        <v>96</v>
      </c>
      <c r="J2014" s="36">
        <v>325</v>
      </c>
      <c r="K2014" s="36">
        <v>464.75</v>
      </c>
    </row>
    <row r="2015" spans="1:11" x14ac:dyDescent="0.3">
      <c r="A2015" s="36" t="s">
        <v>97</v>
      </c>
      <c r="B2015" s="36">
        <v>2022</v>
      </c>
      <c r="C2015" s="36" t="s">
        <v>9</v>
      </c>
      <c r="D2015" s="36" t="s">
        <v>103</v>
      </c>
      <c r="E2015" s="36" t="s">
        <v>92</v>
      </c>
      <c r="F2015" s="36" t="s">
        <v>93</v>
      </c>
      <c r="G2015" s="36" t="s">
        <v>94</v>
      </c>
      <c r="H2015" s="36" t="s">
        <v>95</v>
      </c>
      <c r="I2015" s="36" t="s">
        <v>96</v>
      </c>
      <c r="J2015" s="36">
        <v>241</v>
      </c>
      <c r="K2015" s="36">
        <v>344.63</v>
      </c>
    </row>
    <row r="2016" spans="1:11" x14ac:dyDescent="0.3">
      <c r="A2016" s="36" t="s">
        <v>100</v>
      </c>
      <c r="B2016" s="36">
        <v>2022</v>
      </c>
      <c r="C2016" s="36" t="s">
        <v>9</v>
      </c>
      <c r="D2016" s="36" t="s">
        <v>103</v>
      </c>
      <c r="E2016" s="36" t="s">
        <v>92</v>
      </c>
      <c r="F2016" s="36" t="s">
        <v>93</v>
      </c>
      <c r="G2016" s="36" t="s">
        <v>94</v>
      </c>
      <c r="H2016" s="36" t="s">
        <v>95</v>
      </c>
      <c r="I2016" s="36" t="s">
        <v>96</v>
      </c>
      <c r="J2016" s="36">
        <v>797</v>
      </c>
      <c r="K2016" s="36">
        <v>1139.71</v>
      </c>
    </row>
    <row r="2017" spans="1:11" x14ac:dyDescent="0.3">
      <c r="A2017" s="36" t="s">
        <v>97</v>
      </c>
      <c r="B2017" s="36">
        <v>2022</v>
      </c>
      <c r="C2017" s="36" t="s">
        <v>9</v>
      </c>
      <c r="D2017" s="36" t="s">
        <v>103</v>
      </c>
      <c r="E2017" s="36" t="s">
        <v>92</v>
      </c>
      <c r="F2017" s="36" t="s">
        <v>93</v>
      </c>
      <c r="G2017" s="36" t="s">
        <v>94</v>
      </c>
      <c r="H2017" s="36" t="s">
        <v>95</v>
      </c>
      <c r="I2017" s="36" t="s">
        <v>96</v>
      </c>
      <c r="J2017" s="36">
        <v>830</v>
      </c>
      <c r="K2017" s="36">
        <v>1186.9000000000001</v>
      </c>
    </row>
    <row r="2018" spans="1:11" x14ac:dyDescent="0.3">
      <c r="A2018" s="36" t="s">
        <v>99</v>
      </c>
      <c r="B2018" s="36">
        <v>2022</v>
      </c>
      <c r="C2018" s="36" t="s">
        <v>9</v>
      </c>
      <c r="D2018" s="36" t="s">
        <v>103</v>
      </c>
      <c r="E2018" s="36" t="s">
        <v>92</v>
      </c>
      <c r="F2018" s="36" t="s">
        <v>93</v>
      </c>
      <c r="G2018" s="36" t="s">
        <v>94</v>
      </c>
      <c r="H2018" s="36" t="s">
        <v>95</v>
      </c>
      <c r="I2018" s="36" t="s">
        <v>98</v>
      </c>
      <c r="J2018" s="36">
        <v>335</v>
      </c>
      <c r="K2018" s="36">
        <v>479.05</v>
      </c>
    </row>
    <row r="2019" spans="1:11" x14ac:dyDescent="0.3">
      <c r="A2019" s="36" t="s">
        <v>90</v>
      </c>
      <c r="B2019" s="36">
        <v>2022</v>
      </c>
      <c r="C2019" s="36" t="s">
        <v>9</v>
      </c>
      <c r="D2019" s="36" t="s">
        <v>103</v>
      </c>
      <c r="E2019" s="36" t="s">
        <v>92</v>
      </c>
      <c r="F2019" s="36" t="s">
        <v>93</v>
      </c>
      <c r="G2019" s="36" t="s">
        <v>94</v>
      </c>
      <c r="H2019" s="36" t="s">
        <v>95</v>
      </c>
      <c r="I2019" s="36" t="s">
        <v>98</v>
      </c>
      <c r="J2019" s="36">
        <v>329</v>
      </c>
      <c r="K2019" s="36">
        <v>470.47</v>
      </c>
    </row>
    <row r="2020" spans="1:11" x14ac:dyDescent="0.3">
      <c r="A2020" s="36" t="s">
        <v>100</v>
      </c>
      <c r="B2020" s="36">
        <v>2022</v>
      </c>
      <c r="C2020" s="36" t="s">
        <v>9</v>
      </c>
      <c r="D2020" s="36" t="s">
        <v>103</v>
      </c>
      <c r="E2020" s="36" t="s">
        <v>92</v>
      </c>
      <c r="F2020" s="36" t="s">
        <v>93</v>
      </c>
      <c r="G2020" s="36" t="s">
        <v>94</v>
      </c>
      <c r="H2020" s="36" t="s">
        <v>95</v>
      </c>
      <c r="I2020" s="36" t="s">
        <v>98</v>
      </c>
      <c r="J2020" s="36">
        <v>323</v>
      </c>
      <c r="K2020" s="36">
        <v>461.89</v>
      </c>
    </row>
    <row r="2021" spans="1:11" x14ac:dyDescent="0.3">
      <c r="A2021" s="36" t="s">
        <v>90</v>
      </c>
      <c r="B2021" s="36">
        <v>2022</v>
      </c>
      <c r="C2021" s="36" t="s">
        <v>9</v>
      </c>
      <c r="D2021" s="36" t="s">
        <v>103</v>
      </c>
      <c r="E2021" s="36" t="s">
        <v>92</v>
      </c>
      <c r="F2021" s="36" t="s">
        <v>93</v>
      </c>
      <c r="G2021" s="36" t="s">
        <v>94</v>
      </c>
      <c r="H2021" s="36" t="s">
        <v>95</v>
      </c>
      <c r="I2021" s="36" t="s">
        <v>96</v>
      </c>
      <c r="J2021" s="36">
        <v>245</v>
      </c>
      <c r="K2021" s="36">
        <v>350.35</v>
      </c>
    </row>
    <row r="2022" spans="1:11" x14ac:dyDescent="0.3">
      <c r="A2022" s="36" t="s">
        <v>97</v>
      </c>
      <c r="B2022" s="36">
        <v>2022</v>
      </c>
      <c r="C2022" s="36" t="s">
        <v>9</v>
      </c>
      <c r="D2022" s="36" t="s">
        <v>103</v>
      </c>
      <c r="E2022" s="36" t="s">
        <v>92</v>
      </c>
      <c r="F2022" s="36" t="s">
        <v>93</v>
      </c>
      <c r="G2022" s="36" t="s">
        <v>94</v>
      </c>
      <c r="H2022" s="36" t="s">
        <v>95</v>
      </c>
      <c r="I2022" s="36" t="s">
        <v>96</v>
      </c>
      <c r="J2022" s="36">
        <v>167</v>
      </c>
      <c r="K2022" s="36">
        <v>238.81</v>
      </c>
    </row>
    <row r="2023" spans="1:11" x14ac:dyDescent="0.3">
      <c r="A2023" s="36" t="s">
        <v>90</v>
      </c>
      <c r="B2023" s="36">
        <v>2022</v>
      </c>
      <c r="C2023" s="36" t="s">
        <v>9</v>
      </c>
      <c r="D2023" s="36" t="s">
        <v>103</v>
      </c>
      <c r="E2023" s="36" t="s">
        <v>92</v>
      </c>
      <c r="F2023" s="36" t="s">
        <v>93</v>
      </c>
      <c r="G2023" s="36" t="s">
        <v>94</v>
      </c>
      <c r="H2023" s="36" t="s">
        <v>95</v>
      </c>
      <c r="I2023" s="36" t="s">
        <v>96</v>
      </c>
      <c r="J2023" s="36">
        <v>215</v>
      </c>
      <c r="K2023" s="36">
        <v>307.45</v>
      </c>
    </row>
    <row r="2024" spans="1:11" x14ac:dyDescent="0.3">
      <c r="A2024" s="36" t="s">
        <v>90</v>
      </c>
      <c r="B2024" s="36">
        <v>2022</v>
      </c>
      <c r="C2024" s="36" t="s">
        <v>8</v>
      </c>
      <c r="D2024" s="36" t="s">
        <v>103</v>
      </c>
      <c r="E2024" s="36" t="s">
        <v>92</v>
      </c>
      <c r="F2024" s="36" t="s">
        <v>93</v>
      </c>
      <c r="G2024" s="36" t="s">
        <v>94</v>
      </c>
      <c r="H2024" s="36" t="s">
        <v>95</v>
      </c>
      <c r="I2024" s="36" t="s">
        <v>98</v>
      </c>
      <c r="J2024" s="36">
        <v>350</v>
      </c>
      <c r="K2024" s="36">
        <v>500.5</v>
      </c>
    </row>
    <row r="2025" spans="1:11" x14ac:dyDescent="0.3">
      <c r="A2025" s="36" t="s">
        <v>90</v>
      </c>
      <c r="B2025" s="36">
        <v>2022</v>
      </c>
      <c r="C2025" s="36" t="s">
        <v>8</v>
      </c>
      <c r="D2025" s="36" t="s">
        <v>103</v>
      </c>
      <c r="E2025" s="36" t="s">
        <v>92</v>
      </c>
      <c r="F2025" s="36" t="s">
        <v>93</v>
      </c>
      <c r="G2025" s="36" t="s">
        <v>94</v>
      </c>
      <c r="H2025" s="36" t="s">
        <v>95</v>
      </c>
      <c r="I2025" s="36" t="s">
        <v>98</v>
      </c>
      <c r="J2025" s="36">
        <v>344</v>
      </c>
      <c r="K2025" s="36">
        <v>491.91999999999996</v>
      </c>
    </row>
    <row r="2026" spans="1:11" x14ac:dyDescent="0.3">
      <c r="A2026" s="36" t="s">
        <v>97</v>
      </c>
      <c r="B2026" s="36">
        <v>2022</v>
      </c>
      <c r="C2026" s="36" t="s">
        <v>8</v>
      </c>
      <c r="D2026" s="36" t="s">
        <v>103</v>
      </c>
      <c r="E2026" s="36" t="s">
        <v>92</v>
      </c>
      <c r="F2026" s="36" t="s">
        <v>93</v>
      </c>
      <c r="G2026" s="36" t="s">
        <v>94</v>
      </c>
      <c r="H2026" s="36" t="s">
        <v>95</v>
      </c>
      <c r="I2026" s="36" t="s">
        <v>98</v>
      </c>
      <c r="J2026" s="36">
        <v>338</v>
      </c>
      <c r="K2026" s="36">
        <v>483.34000000000003</v>
      </c>
    </row>
    <row r="2027" spans="1:11" x14ac:dyDescent="0.3">
      <c r="A2027" s="36" t="s">
        <v>90</v>
      </c>
      <c r="B2027" s="36">
        <v>2022</v>
      </c>
      <c r="C2027" s="36" t="s">
        <v>8</v>
      </c>
      <c r="D2027" s="36" t="s">
        <v>103</v>
      </c>
      <c r="E2027" s="36" t="s">
        <v>92</v>
      </c>
      <c r="F2027" s="36" t="s">
        <v>93</v>
      </c>
      <c r="G2027" s="36" t="s">
        <v>94</v>
      </c>
      <c r="H2027" s="36" t="s">
        <v>95</v>
      </c>
      <c r="I2027" s="36" t="s">
        <v>96</v>
      </c>
      <c r="J2027" s="36">
        <v>176</v>
      </c>
      <c r="K2027" s="36">
        <v>251.68</v>
      </c>
    </row>
    <row r="2028" spans="1:11" x14ac:dyDescent="0.3">
      <c r="A2028" s="36" t="s">
        <v>97</v>
      </c>
      <c r="B2028" s="36">
        <v>2022</v>
      </c>
      <c r="C2028" s="36" t="s">
        <v>8</v>
      </c>
      <c r="D2028" s="36" t="s">
        <v>103</v>
      </c>
      <c r="E2028" s="36" t="s">
        <v>92</v>
      </c>
      <c r="F2028" s="36" t="s">
        <v>93</v>
      </c>
      <c r="G2028" s="36" t="s">
        <v>94</v>
      </c>
      <c r="H2028" s="36" t="s">
        <v>95</v>
      </c>
      <c r="I2028" s="36" t="s">
        <v>96</v>
      </c>
      <c r="J2028" s="36">
        <v>352</v>
      </c>
      <c r="K2028" s="36">
        <v>503.36</v>
      </c>
    </row>
    <row r="2029" spans="1:11" x14ac:dyDescent="0.3">
      <c r="A2029" s="36" t="s">
        <v>97</v>
      </c>
      <c r="B2029" s="36">
        <v>2022</v>
      </c>
      <c r="C2029" s="36" t="s">
        <v>8</v>
      </c>
      <c r="D2029" s="36" t="s">
        <v>103</v>
      </c>
      <c r="E2029" s="36" t="s">
        <v>92</v>
      </c>
      <c r="F2029" s="36" t="s">
        <v>93</v>
      </c>
      <c r="G2029" s="36" t="s">
        <v>94</v>
      </c>
      <c r="H2029" s="36" t="s">
        <v>95</v>
      </c>
      <c r="I2029" s="36" t="s">
        <v>96</v>
      </c>
      <c r="J2029" s="36">
        <v>346</v>
      </c>
      <c r="K2029" s="36">
        <v>494.78</v>
      </c>
    </row>
    <row r="2030" spans="1:11" x14ac:dyDescent="0.3">
      <c r="A2030" s="36" t="s">
        <v>90</v>
      </c>
      <c r="B2030" s="36">
        <v>2022</v>
      </c>
      <c r="C2030" s="36" t="s">
        <v>8</v>
      </c>
      <c r="D2030" s="36" t="s">
        <v>103</v>
      </c>
      <c r="E2030" s="36" t="s">
        <v>92</v>
      </c>
      <c r="F2030" s="36" t="s">
        <v>93</v>
      </c>
      <c r="G2030" s="36" t="s">
        <v>94</v>
      </c>
      <c r="H2030" s="36" t="s">
        <v>95</v>
      </c>
      <c r="I2030" s="36" t="s">
        <v>96</v>
      </c>
      <c r="J2030" s="36">
        <v>340</v>
      </c>
      <c r="K2030" s="36">
        <v>486.2</v>
      </c>
    </row>
    <row r="2031" spans="1:11" x14ac:dyDescent="0.3">
      <c r="A2031" s="36" t="s">
        <v>90</v>
      </c>
      <c r="B2031" s="36">
        <v>2022</v>
      </c>
      <c r="C2031" s="36" t="s">
        <v>8</v>
      </c>
      <c r="D2031" s="36" t="s">
        <v>103</v>
      </c>
      <c r="E2031" s="36" t="s">
        <v>92</v>
      </c>
      <c r="F2031" s="36" t="s">
        <v>93</v>
      </c>
      <c r="G2031" s="36" t="s">
        <v>94</v>
      </c>
      <c r="H2031" s="36" t="s">
        <v>95</v>
      </c>
      <c r="I2031" s="36" t="s">
        <v>96</v>
      </c>
      <c r="J2031" s="36">
        <v>172</v>
      </c>
      <c r="K2031" s="36">
        <v>526.24</v>
      </c>
    </row>
    <row r="2032" spans="1:11" x14ac:dyDescent="0.3">
      <c r="A2032" s="36" t="s">
        <v>90</v>
      </c>
      <c r="B2032" s="36">
        <v>2022</v>
      </c>
      <c r="C2032" s="36" t="s">
        <v>8</v>
      </c>
      <c r="D2032" s="36" t="s">
        <v>103</v>
      </c>
      <c r="E2032" s="36" t="s">
        <v>92</v>
      </c>
      <c r="F2032" s="36" t="s">
        <v>93</v>
      </c>
      <c r="G2032" s="36" t="s">
        <v>94</v>
      </c>
      <c r="H2032" s="36" t="s">
        <v>95</v>
      </c>
      <c r="I2032" s="36" t="s">
        <v>96</v>
      </c>
      <c r="J2032" s="36">
        <v>220</v>
      </c>
      <c r="K2032" s="36">
        <v>526.24</v>
      </c>
    </row>
    <row r="2033" spans="1:11" x14ac:dyDescent="0.3">
      <c r="A2033" s="36" t="s">
        <v>97</v>
      </c>
      <c r="B2033" s="36">
        <v>2022</v>
      </c>
      <c r="C2033" s="36" t="s">
        <v>8</v>
      </c>
      <c r="D2033" s="36" t="s">
        <v>103</v>
      </c>
      <c r="E2033" s="36" t="s">
        <v>92</v>
      </c>
      <c r="F2033" s="36" t="s">
        <v>93</v>
      </c>
      <c r="G2033" s="36" t="s">
        <v>94</v>
      </c>
      <c r="H2033" s="36" t="s">
        <v>95</v>
      </c>
      <c r="I2033" s="36" t="s">
        <v>96</v>
      </c>
      <c r="J2033" s="36">
        <v>962</v>
      </c>
      <c r="K2033" s="36">
        <v>1375.6599999999999</v>
      </c>
    </row>
    <row r="2034" spans="1:11" x14ac:dyDescent="0.3">
      <c r="A2034" s="36" t="s">
        <v>97</v>
      </c>
      <c r="B2034" s="36">
        <v>2022</v>
      </c>
      <c r="C2034" s="36" t="s">
        <v>8</v>
      </c>
      <c r="D2034" s="36" t="s">
        <v>103</v>
      </c>
      <c r="E2034" s="36" t="s">
        <v>92</v>
      </c>
      <c r="F2034" s="36" t="s">
        <v>93</v>
      </c>
      <c r="G2034" s="36" t="s">
        <v>94</v>
      </c>
      <c r="H2034" s="36" t="s">
        <v>95</v>
      </c>
      <c r="I2034" s="36" t="s">
        <v>96</v>
      </c>
      <c r="J2034" s="36">
        <v>1015</v>
      </c>
      <c r="K2034" s="36">
        <v>1451.45</v>
      </c>
    </row>
    <row r="2035" spans="1:11" x14ac:dyDescent="0.3">
      <c r="A2035" s="36" t="s">
        <v>97</v>
      </c>
      <c r="B2035" s="36">
        <v>2022</v>
      </c>
      <c r="C2035" s="36" t="s">
        <v>8</v>
      </c>
      <c r="D2035" s="36" t="s">
        <v>103</v>
      </c>
      <c r="E2035" s="36" t="s">
        <v>92</v>
      </c>
      <c r="F2035" s="36" t="s">
        <v>93</v>
      </c>
      <c r="G2035" s="36" t="s">
        <v>94</v>
      </c>
      <c r="H2035" s="36" t="s">
        <v>95</v>
      </c>
      <c r="I2035" s="36" t="s">
        <v>96</v>
      </c>
      <c r="J2035" s="36">
        <v>222</v>
      </c>
      <c r="K2035" s="36">
        <v>317.45999999999998</v>
      </c>
    </row>
    <row r="2036" spans="1:11" x14ac:dyDescent="0.3">
      <c r="A2036" s="36" t="s">
        <v>97</v>
      </c>
      <c r="B2036" s="36">
        <v>2022</v>
      </c>
      <c r="C2036" s="36" t="s">
        <v>8</v>
      </c>
      <c r="D2036" s="36" t="s">
        <v>103</v>
      </c>
      <c r="E2036" s="36" t="s">
        <v>92</v>
      </c>
      <c r="F2036" s="36" t="s">
        <v>93</v>
      </c>
      <c r="G2036" s="36" t="s">
        <v>94</v>
      </c>
      <c r="H2036" s="36" t="s">
        <v>95</v>
      </c>
      <c r="I2036" s="36" t="s">
        <v>96</v>
      </c>
      <c r="J2036" s="36">
        <v>177</v>
      </c>
      <c r="K2036" s="36">
        <v>253.11</v>
      </c>
    </row>
    <row r="2037" spans="1:11" x14ac:dyDescent="0.3">
      <c r="A2037" s="36" t="s">
        <v>97</v>
      </c>
      <c r="B2037" s="36">
        <v>2022</v>
      </c>
      <c r="C2037" s="36" t="s">
        <v>8</v>
      </c>
      <c r="D2037" s="36" t="s">
        <v>103</v>
      </c>
      <c r="E2037" s="36" t="s">
        <v>92</v>
      </c>
      <c r="F2037" s="36" t="s">
        <v>93</v>
      </c>
      <c r="G2037" s="36" t="s">
        <v>94</v>
      </c>
      <c r="H2037" s="36" t="s">
        <v>95</v>
      </c>
      <c r="I2037" s="36" t="s">
        <v>96</v>
      </c>
      <c r="J2037" s="36">
        <v>219</v>
      </c>
      <c r="K2037" s="36">
        <v>313.17</v>
      </c>
    </row>
    <row r="2038" spans="1:11" x14ac:dyDescent="0.3">
      <c r="A2038" s="36" t="s">
        <v>90</v>
      </c>
      <c r="B2038" s="36">
        <v>2022</v>
      </c>
      <c r="C2038" s="36" t="s">
        <v>8</v>
      </c>
      <c r="D2038" s="36" t="s">
        <v>103</v>
      </c>
      <c r="E2038" s="36" t="s">
        <v>92</v>
      </c>
      <c r="F2038" s="36" t="s">
        <v>93</v>
      </c>
      <c r="G2038" s="36" t="s">
        <v>94</v>
      </c>
      <c r="H2038" s="36" t="s">
        <v>95</v>
      </c>
      <c r="I2038" s="36" t="s">
        <v>96</v>
      </c>
      <c r="J2038" s="36">
        <v>349</v>
      </c>
      <c r="K2038" s="36">
        <v>499.07</v>
      </c>
    </row>
    <row r="2039" spans="1:11" x14ac:dyDescent="0.3">
      <c r="A2039" s="36" t="s">
        <v>97</v>
      </c>
      <c r="B2039" s="36">
        <v>2022</v>
      </c>
      <c r="C2039" s="36" t="s">
        <v>8</v>
      </c>
      <c r="D2039" s="36" t="s">
        <v>103</v>
      </c>
      <c r="E2039" s="36" t="s">
        <v>92</v>
      </c>
      <c r="F2039" s="36" t="s">
        <v>93</v>
      </c>
      <c r="G2039" s="36" t="s">
        <v>94</v>
      </c>
      <c r="H2039" s="36" t="s">
        <v>95</v>
      </c>
      <c r="I2039" s="36" t="s">
        <v>96</v>
      </c>
      <c r="J2039" s="36">
        <v>343</v>
      </c>
      <c r="K2039" s="36">
        <v>490.49</v>
      </c>
    </row>
    <row r="2040" spans="1:11" x14ac:dyDescent="0.3">
      <c r="A2040" s="36" t="s">
        <v>90</v>
      </c>
      <c r="B2040" s="36">
        <v>2022</v>
      </c>
      <c r="C2040" s="36" t="s">
        <v>8</v>
      </c>
      <c r="D2040" s="36" t="s">
        <v>103</v>
      </c>
      <c r="E2040" s="36" t="s">
        <v>92</v>
      </c>
      <c r="F2040" s="36" t="s">
        <v>93</v>
      </c>
      <c r="G2040" s="36" t="s">
        <v>94</v>
      </c>
      <c r="H2040" s="36" t="s">
        <v>95</v>
      </c>
      <c r="I2040" s="36" t="s">
        <v>96</v>
      </c>
      <c r="J2040" s="36">
        <v>337</v>
      </c>
      <c r="K2040" s="36">
        <v>481.90999999999997</v>
      </c>
    </row>
    <row r="2041" spans="1:11" x14ac:dyDescent="0.3">
      <c r="A2041" s="36" t="s">
        <v>97</v>
      </c>
      <c r="B2041" s="36">
        <v>2022</v>
      </c>
      <c r="C2041" s="36" t="s">
        <v>8</v>
      </c>
      <c r="D2041" s="36" t="s">
        <v>103</v>
      </c>
      <c r="E2041" s="36" t="s">
        <v>92</v>
      </c>
      <c r="F2041" s="36" t="s">
        <v>93</v>
      </c>
      <c r="G2041" s="36" t="s">
        <v>94</v>
      </c>
      <c r="H2041" s="36" t="s">
        <v>95</v>
      </c>
      <c r="I2041" s="36" t="s">
        <v>96</v>
      </c>
      <c r="J2041" s="36">
        <v>796</v>
      </c>
      <c r="K2041" s="36">
        <v>1138.28</v>
      </c>
    </row>
    <row r="2042" spans="1:11" x14ac:dyDescent="0.3">
      <c r="A2042" s="36" t="s">
        <v>99</v>
      </c>
      <c r="B2042" s="36">
        <v>2022</v>
      </c>
      <c r="C2042" s="36" t="s">
        <v>8</v>
      </c>
      <c r="D2042" s="36" t="s">
        <v>103</v>
      </c>
      <c r="E2042" s="36" t="s">
        <v>92</v>
      </c>
      <c r="F2042" s="36" t="s">
        <v>93</v>
      </c>
      <c r="G2042" s="36" t="s">
        <v>94</v>
      </c>
      <c r="H2042" s="36" t="s">
        <v>95</v>
      </c>
      <c r="I2042" s="36" t="s">
        <v>96</v>
      </c>
      <c r="J2042" s="36">
        <v>829</v>
      </c>
      <c r="K2042" s="36">
        <v>1185.47</v>
      </c>
    </row>
    <row r="2043" spans="1:11" x14ac:dyDescent="0.3">
      <c r="A2043" s="36" t="s">
        <v>90</v>
      </c>
      <c r="B2043" s="36">
        <v>2022</v>
      </c>
      <c r="C2043" s="36" t="s">
        <v>8</v>
      </c>
      <c r="D2043" s="36" t="s">
        <v>103</v>
      </c>
      <c r="E2043" s="36" t="s">
        <v>92</v>
      </c>
      <c r="F2043" s="36" t="s">
        <v>93</v>
      </c>
      <c r="G2043" s="36" t="s">
        <v>94</v>
      </c>
      <c r="H2043" s="36" t="s">
        <v>95</v>
      </c>
      <c r="I2043" s="36" t="s">
        <v>98</v>
      </c>
      <c r="J2043" s="36">
        <v>347</v>
      </c>
      <c r="K2043" s="36">
        <v>496.21000000000004</v>
      </c>
    </row>
    <row r="2044" spans="1:11" x14ac:dyDescent="0.3">
      <c r="A2044" s="36" t="s">
        <v>90</v>
      </c>
      <c r="B2044" s="36">
        <v>2022</v>
      </c>
      <c r="C2044" s="36" t="s">
        <v>8</v>
      </c>
      <c r="D2044" s="36" t="s">
        <v>103</v>
      </c>
      <c r="E2044" s="36" t="s">
        <v>92</v>
      </c>
      <c r="F2044" s="36" t="s">
        <v>93</v>
      </c>
      <c r="G2044" s="36" t="s">
        <v>94</v>
      </c>
      <c r="H2044" s="36" t="s">
        <v>95</v>
      </c>
      <c r="I2044" s="36" t="s">
        <v>98</v>
      </c>
      <c r="J2044" s="36">
        <v>341</v>
      </c>
      <c r="K2044" s="36">
        <v>487.63</v>
      </c>
    </row>
    <row r="2045" spans="1:11" x14ac:dyDescent="0.3">
      <c r="A2045" s="36" t="s">
        <v>90</v>
      </c>
      <c r="B2045" s="36">
        <v>2022</v>
      </c>
      <c r="C2045" s="36" t="s">
        <v>8</v>
      </c>
      <c r="D2045" s="36" t="s">
        <v>103</v>
      </c>
      <c r="E2045" s="36" t="s">
        <v>92</v>
      </c>
      <c r="F2045" s="36" t="s">
        <v>93</v>
      </c>
      <c r="G2045" s="36" t="s">
        <v>94</v>
      </c>
      <c r="H2045" s="36" t="s">
        <v>95</v>
      </c>
      <c r="I2045" s="36" t="s">
        <v>96</v>
      </c>
      <c r="J2045" s="36">
        <v>173</v>
      </c>
      <c r="K2045" s="36">
        <v>247.39</v>
      </c>
    </row>
    <row r="2046" spans="1:11" x14ac:dyDescent="0.3">
      <c r="A2046" s="36" t="s">
        <v>90</v>
      </c>
      <c r="B2046" s="36">
        <v>2022</v>
      </c>
      <c r="C2046" s="36" t="s">
        <v>8</v>
      </c>
      <c r="D2046" s="36" t="s">
        <v>103</v>
      </c>
      <c r="E2046" s="36" t="s">
        <v>92</v>
      </c>
      <c r="F2046" s="36" t="s">
        <v>93</v>
      </c>
      <c r="G2046" s="36" t="s">
        <v>94</v>
      </c>
      <c r="H2046" s="36" t="s">
        <v>95</v>
      </c>
      <c r="I2046" s="36" t="s">
        <v>96</v>
      </c>
      <c r="J2046" s="36">
        <v>221</v>
      </c>
      <c r="K2046" s="36">
        <v>316.02999999999997</v>
      </c>
    </row>
    <row r="2047" spans="1:11" x14ac:dyDescent="0.3">
      <c r="A2047" s="36" t="s">
        <v>90</v>
      </c>
      <c r="B2047" s="36">
        <v>2022</v>
      </c>
      <c r="C2047" s="36" t="s">
        <v>3</v>
      </c>
      <c r="D2047" s="36" t="s">
        <v>91</v>
      </c>
      <c r="E2047" s="36" t="s">
        <v>105</v>
      </c>
      <c r="F2047" s="36" t="s">
        <v>106</v>
      </c>
      <c r="G2047" s="36" t="s">
        <v>102</v>
      </c>
      <c r="H2047" s="36" t="s">
        <v>95</v>
      </c>
      <c r="I2047" s="36" t="s">
        <v>107</v>
      </c>
      <c r="J2047" s="36">
        <v>214</v>
      </c>
      <c r="K2047" s="36">
        <v>306.02</v>
      </c>
    </row>
    <row r="2048" spans="1:11" x14ac:dyDescent="0.3">
      <c r="A2048" s="36" t="s">
        <v>99</v>
      </c>
      <c r="B2048" s="36">
        <v>2022</v>
      </c>
      <c r="C2048" s="36" t="s">
        <v>3</v>
      </c>
      <c r="D2048" s="36" t="s">
        <v>91</v>
      </c>
      <c r="E2048" s="36" t="s">
        <v>105</v>
      </c>
      <c r="F2048" s="36" t="s">
        <v>106</v>
      </c>
      <c r="G2048" s="36" t="s">
        <v>102</v>
      </c>
      <c r="H2048" s="36" t="s">
        <v>95</v>
      </c>
      <c r="I2048" s="36" t="s">
        <v>107</v>
      </c>
      <c r="J2048" s="36">
        <v>208</v>
      </c>
      <c r="K2048" s="36">
        <v>297.44</v>
      </c>
    </row>
    <row r="2049" spans="1:11" x14ac:dyDescent="0.3">
      <c r="A2049" s="36" t="s">
        <v>97</v>
      </c>
      <c r="B2049" s="36">
        <v>2022</v>
      </c>
      <c r="C2049" s="36" t="s">
        <v>3</v>
      </c>
      <c r="D2049" s="36" t="s">
        <v>91</v>
      </c>
      <c r="E2049" s="36" t="s">
        <v>105</v>
      </c>
      <c r="F2049" s="36" t="s">
        <v>106</v>
      </c>
      <c r="G2049" s="36" t="s">
        <v>102</v>
      </c>
      <c r="H2049" s="36" t="s">
        <v>95</v>
      </c>
      <c r="I2049" s="36" t="s">
        <v>107</v>
      </c>
      <c r="J2049" s="36">
        <v>202</v>
      </c>
      <c r="K2049" s="36">
        <v>288.86</v>
      </c>
    </row>
    <row r="2050" spans="1:11" x14ac:dyDescent="0.3">
      <c r="A2050" s="36" t="s">
        <v>101</v>
      </c>
      <c r="B2050" s="36">
        <v>2022</v>
      </c>
      <c r="C2050" s="36" t="s">
        <v>3</v>
      </c>
      <c r="D2050" s="36" t="s">
        <v>91</v>
      </c>
      <c r="E2050" s="36" t="s">
        <v>105</v>
      </c>
      <c r="F2050" s="36" t="s">
        <v>106</v>
      </c>
      <c r="G2050" s="36" t="s">
        <v>102</v>
      </c>
      <c r="H2050" s="36" t="s">
        <v>95</v>
      </c>
      <c r="I2050" s="36" t="s">
        <v>107</v>
      </c>
      <c r="J2050" s="36">
        <v>211</v>
      </c>
      <c r="K2050" s="36">
        <v>301.73</v>
      </c>
    </row>
    <row r="2051" spans="1:11" x14ac:dyDescent="0.3">
      <c r="A2051" s="36" t="s">
        <v>90</v>
      </c>
      <c r="B2051" s="36">
        <v>2022</v>
      </c>
      <c r="C2051" s="36" t="s">
        <v>3</v>
      </c>
      <c r="D2051" s="36" t="s">
        <v>91</v>
      </c>
      <c r="E2051" s="36" t="s">
        <v>105</v>
      </c>
      <c r="F2051" s="36" t="s">
        <v>106</v>
      </c>
      <c r="G2051" s="36" t="s">
        <v>102</v>
      </c>
      <c r="H2051" s="36" t="s">
        <v>95</v>
      </c>
      <c r="I2051" s="36" t="s">
        <v>107</v>
      </c>
      <c r="J2051" s="36">
        <v>205</v>
      </c>
      <c r="K2051" s="36">
        <v>293.14999999999998</v>
      </c>
    </row>
    <row r="2052" spans="1:11" x14ac:dyDescent="0.3">
      <c r="A2052" s="36" t="s">
        <v>97</v>
      </c>
      <c r="B2052" s="36">
        <v>2022</v>
      </c>
      <c r="C2052" s="36" t="s">
        <v>1</v>
      </c>
      <c r="D2052" s="36" t="s">
        <v>91</v>
      </c>
      <c r="E2052" s="36" t="s">
        <v>105</v>
      </c>
      <c r="F2052" s="36" t="s">
        <v>106</v>
      </c>
      <c r="G2052" s="36" t="s">
        <v>102</v>
      </c>
      <c r="H2052" s="36" t="s">
        <v>95</v>
      </c>
      <c r="I2052" s="36" t="s">
        <v>107</v>
      </c>
      <c r="J2052" s="36">
        <v>244</v>
      </c>
      <c r="K2052" s="36">
        <v>348.92</v>
      </c>
    </row>
    <row r="2053" spans="1:11" x14ac:dyDescent="0.3">
      <c r="A2053" s="36" t="s">
        <v>90</v>
      </c>
      <c r="B2053" s="36">
        <v>2022</v>
      </c>
      <c r="C2053" s="36" t="s">
        <v>1</v>
      </c>
      <c r="D2053" s="36" t="s">
        <v>91</v>
      </c>
      <c r="E2053" s="36" t="s">
        <v>105</v>
      </c>
      <c r="F2053" s="36" t="s">
        <v>106</v>
      </c>
      <c r="G2053" s="36" t="s">
        <v>102</v>
      </c>
      <c r="H2053" s="36" t="s">
        <v>95</v>
      </c>
      <c r="I2053" s="36" t="s">
        <v>107</v>
      </c>
      <c r="J2053" s="36">
        <v>238</v>
      </c>
      <c r="K2053" s="36">
        <v>340.34000000000003</v>
      </c>
    </row>
    <row r="2054" spans="1:11" x14ac:dyDescent="0.3">
      <c r="A2054" s="36" t="s">
        <v>90</v>
      </c>
      <c r="B2054" s="36">
        <v>2022</v>
      </c>
      <c r="C2054" s="36" t="s">
        <v>1</v>
      </c>
      <c r="D2054" s="36" t="s">
        <v>91</v>
      </c>
      <c r="E2054" s="36" t="s">
        <v>105</v>
      </c>
      <c r="F2054" s="36" t="s">
        <v>106</v>
      </c>
      <c r="G2054" s="36" t="s">
        <v>102</v>
      </c>
      <c r="H2054" s="36" t="s">
        <v>95</v>
      </c>
      <c r="I2054" s="36" t="s">
        <v>107</v>
      </c>
      <c r="J2054" s="36">
        <v>247</v>
      </c>
      <c r="K2054" s="36">
        <v>353.21</v>
      </c>
    </row>
    <row r="2055" spans="1:11" x14ac:dyDescent="0.3">
      <c r="A2055" s="36" t="s">
        <v>97</v>
      </c>
      <c r="B2055" s="36">
        <v>2022</v>
      </c>
      <c r="C2055" s="36" t="s">
        <v>1</v>
      </c>
      <c r="D2055" s="36" t="s">
        <v>91</v>
      </c>
      <c r="E2055" s="36" t="s">
        <v>105</v>
      </c>
      <c r="F2055" s="36" t="s">
        <v>106</v>
      </c>
      <c r="G2055" s="36" t="s">
        <v>102</v>
      </c>
      <c r="H2055" s="36" t="s">
        <v>95</v>
      </c>
      <c r="I2055" s="36" t="s">
        <v>107</v>
      </c>
      <c r="J2055" s="36">
        <v>241</v>
      </c>
      <c r="K2055" s="36">
        <v>344.63</v>
      </c>
    </row>
    <row r="2056" spans="1:11" x14ac:dyDescent="0.3">
      <c r="A2056" s="36" t="s">
        <v>99</v>
      </c>
      <c r="B2056" s="36">
        <v>2022</v>
      </c>
      <c r="C2056" s="36" t="s">
        <v>1</v>
      </c>
      <c r="D2056" s="36" t="s">
        <v>91</v>
      </c>
      <c r="E2056" s="36" t="s">
        <v>105</v>
      </c>
      <c r="F2056" s="36" t="s">
        <v>106</v>
      </c>
      <c r="G2056" s="36" t="s">
        <v>102</v>
      </c>
      <c r="H2056" s="36" t="s">
        <v>95</v>
      </c>
      <c r="I2056" s="36" t="s">
        <v>107</v>
      </c>
      <c r="J2056" s="36">
        <v>235</v>
      </c>
      <c r="K2056" s="36">
        <v>336.05</v>
      </c>
    </row>
    <row r="2057" spans="1:11" x14ac:dyDescent="0.3">
      <c r="A2057" s="36" t="s">
        <v>97</v>
      </c>
      <c r="B2057" s="36">
        <v>2022</v>
      </c>
      <c r="C2057" s="36" t="s">
        <v>0</v>
      </c>
      <c r="D2057" s="36" t="s">
        <v>91</v>
      </c>
      <c r="E2057" s="36" t="s">
        <v>105</v>
      </c>
      <c r="F2057" s="36" t="s">
        <v>106</v>
      </c>
      <c r="G2057" s="36" t="s">
        <v>102</v>
      </c>
      <c r="H2057" s="36" t="s">
        <v>95</v>
      </c>
      <c r="I2057" s="36" t="s">
        <v>96</v>
      </c>
      <c r="J2057" s="36">
        <v>262</v>
      </c>
      <c r="K2057" s="36">
        <v>374.65999999999997</v>
      </c>
    </row>
    <row r="2058" spans="1:11" x14ac:dyDescent="0.3">
      <c r="A2058" s="36" t="s">
        <v>97</v>
      </c>
      <c r="B2058" s="36">
        <v>2022</v>
      </c>
      <c r="C2058" s="36" t="s">
        <v>0</v>
      </c>
      <c r="D2058" s="36" t="s">
        <v>91</v>
      </c>
      <c r="E2058" s="36" t="s">
        <v>105</v>
      </c>
      <c r="F2058" s="36" t="s">
        <v>106</v>
      </c>
      <c r="G2058" s="36" t="s">
        <v>102</v>
      </c>
      <c r="H2058" s="36" t="s">
        <v>95</v>
      </c>
      <c r="I2058" s="36" t="s">
        <v>107</v>
      </c>
      <c r="J2058" s="36">
        <v>256</v>
      </c>
      <c r="K2058" s="36">
        <v>366.08</v>
      </c>
    </row>
    <row r="2059" spans="1:11" x14ac:dyDescent="0.3">
      <c r="A2059" s="36" t="s">
        <v>97</v>
      </c>
      <c r="B2059" s="36">
        <v>2022</v>
      </c>
      <c r="C2059" s="36" t="s">
        <v>0</v>
      </c>
      <c r="D2059" s="36" t="s">
        <v>91</v>
      </c>
      <c r="E2059" s="36" t="s">
        <v>105</v>
      </c>
      <c r="F2059" s="36" t="s">
        <v>106</v>
      </c>
      <c r="G2059" s="36" t="s">
        <v>102</v>
      </c>
      <c r="H2059" s="36" t="s">
        <v>95</v>
      </c>
      <c r="I2059" s="36" t="s">
        <v>107</v>
      </c>
      <c r="J2059" s="36">
        <v>250</v>
      </c>
      <c r="K2059" s="36">
        <v>357.5</v>
      </c>
    </row>
    <row r="2060" spans="1:11" x14ac:dyDescent="0.3">
      <c r="A2060" s="36" t="s">
        <v>97</v>
      </c>
      <c r="B2060" s="36">
        <v>2022</v>
      </c>
      <c r="C2060" s="36" t="s">
        <v>0</v>
      </c>
      <c r="D2060" s="36" t="s">
        <v>91</v>
      </c>
      <c r="E2060" s="36" t="s">
        <v>105</v>
      </c>
      <c r="F2060" s="36" t="s">
        <v>106</v>
      </c>
      <c r="G2060" s="36" t="s">
        <v>102</v>
      </c>
      <c r="H2060" s="36" t="s">
        <v>95</v>
      </c>
      <c r="I2060" s="36" t="s">
        <v>107</v>
      </c>
      <c r="J2060" s="36">
        <v>259</v>
      </c>
      <c r="K2060" s="36">
        <v>370.37</v>
      </c>
    </row>
    <row r="2061" spans="1:11" x14ac:dyDescent="0.3">
      <c r="A2061" s="36" t="s">
        <v>99</v>
      </c>
      <c r="B2061" s="36">
        <v>2022</v>
      </c>
      <c r="C2061" s="36" t="s">
        <v>0</v>
      </c>
      <c r="D2061" s="36" t="s">
        <v>91</v>
      </c>
      <c r="E2061" s="36" t="s">
        <v>105</v>
      </c>
      <c r="F2061" s="36" t="s">
        <v>106</v>
      </c>
      <c r="G2061" s="36" t="s">
        <v>102</v>
      </c>
      <c r="H2061" s="36" t="s">
        <v>95</v>
      </c>
      <c r="I2061" s="36" t="s">
        <v>107</v>
      </c>
      <c r="J2061" s="36">
        <v>253</v>
      </c>
      <c r="K2061" s="36">
        <v>361.78999999999996</v>
      </c>
    </row>
    <row r="2062" spans="1:11" x14ac:dyDescent="0.3">
      <c r="A2062" s="36" t="s">
        <v>97</v>
      </c>
      <c r="B2062" s="36">
        <v>2022</v>
      </c>
      <c r="C2062" s="36" t="s">
        <v>5</v>
      </c>
      <c r="D2062" s="36" t="s">
        <v>91</v>
      </c>
      <c r="E2062" s="36" t="s">
        <v>105</v>
      </c>
      <c r="F2062" s="36" t="s">
        <v>106</v>
      </c>
      <c r="G2062" s="36" t="s">
        <v>102</v>
      </c>
      <c r="H2062" s="36" t="s">
        <v>95</v>
      </c>
      <c r="I2062" s="36" t="s">
        <v>107</v>
      </c>
      <c r="J2062" s="36">
        <v>184</v>
      </c>
      <c r="K2062" s="36">
        <v>263.12</v>
      </c>
    </row>
    <row r="2063" spans="1:11" x14ac:dyDescent="0.3">
      <c r="A2063" s="36" t="s">
        <v>100</v>
      </c>
      <c r="B2063" s="36">
        <v>2022</v>
      </c>
      <c r="C2063" s="36" t="s">
        <v>5</v>
      </c>
      <c r="D2063" s="36" t="s">
        <v>91</v>
      </c>
      <c r="E2063" s="36" t="s">
        <v>105</v>
      </c>
      <c r="F2063" s="36" t="s">
        <v>106</v>
      </c>
      <c r="G2063" s="36" t="s">
        <v>102</v>
      </c>
      <c r="H2063" s="36" t="s">
        <v>95</v>
      </c>
      <c r="I2063" s="36" t="s">
        <v>107</v>
      </c>
      <c r="J2063" s="36">
        <v>178</v>
      </c>
      <c r="K2063" s="36">
        <v>254.54</v>
      </c>
    </row>
    <row r="2064" spans="1:11" x14ac:dyDescent="0.3">
      <c r="A2064" s="36" t="s">
        <v>99</v>
      </c>
      <c r="B2064" s="36">
        <v>2022</v>
      </c>
      <c r="C2064" s="36" t="s">
        <v>5</v>
      </c>
      <c r="D2064" s="36" t="s">
        <v>91</v>
      </c>
      <c r="E2064" s="36" t="s">
        <v>105</v>
      </c>
      <c r="F2064" s="36" t="s">
        <v>106</v>
      </c>
      <c r="G2064" s="36" t="s">
        <v>102</v>
      </c>
      <c r="H2064" s="36" t="s">
        <v>95</v>
      </c>
      <c r="I2064" s="36" t="s">
        <v>107</v>
      </c>
      <c r="J2064" s="36">
        <v>172</v>
      </c>
      <c r="K2064" s="36">
        <v>245.95999999999998</v>
      </c>
    </row>
    <row r="2065" spans="1:11" x14ac:dyDescent="0.3">
      <c r="A2065" s="36" t="s">
        <v>90</v>
      </c>
      <c r="B2065" s="36">
        <v>2022</v>
      </c>
      <c r="C2065" s="36" t="s">
        <v>5</v>
      </c>
      <c r="D2065" s="36" t="s">
        <v>91</v>
      </c>
      <c r="E2065" s="36" t="s">
        <v>105</v>
      </c>
      <c r="F2065" s="36" t="s">
        <v>106</v>
      </c>
      <c r="G2065" s="36" t="s">
        <v>102</v>
      </c>
      <c r="H2065" s="36" t="s">
        <v>95</v>
      </c>
      <c r="I2065" s="36" t="s">
        <v>107</v>
      </c>
      <c r="J2065" s="36">
        <v>181</v>
      </c>
      <c r="K2065" s="36">
        <v>258.83</v>
      </c>
    </row>
    <row r="2066" spans="1:11" x14ac:dyDescent="0.3">
      <c r="A2066" s="36" t="s">
        <v>100</v>
      </c>
      <c r="B2066" s="36">
        <v>2022</v>
      </c>
      <c r="C2066" s="36" t="s">
        <v>5</v>
      </c>
      <c r="D2066" s="36" t="s">
        <v>91</v>
      </c>
      <c r="E2066" s="36" t="s">
        <v>105</v>
      </c>
      <c r="F2066" s="36" t="s">
        <v>106</v>
      </c>
      <c r="G2066" s="36" t="s">
        <v>102</v>
      </c>
      <c r="H2066" s="36" t="s">
        <v>95</v>
      </c>
      <c r="I2066" s="36" t="s">
        <v>107</v>
      </c>
      <c r="J2066" s="36">
        <v>175</v>
      </c>
      <c r="K2066" s="36">
        <v>250.25</v>
      </c>
    </row>
    <row r="2067" spans="1:11" x14ac:dyDescent="0.3">
      <c r="A2067" s="36" t="s">
        <v>97</v>
      </c>
      <c r="B2067" s="36">
        <v>2022</v>
      </c>
      <c r="C2067" s="36" t="s">
        <v>5</v>
      </c>
      <c r="D2067" s="36" t="s">
        <v>91</v>
      </c>
      <c r="E2067" s="36" t="s">
        <v>105</v>
      </c>
      <c r="F2067" s="36" t="s">
        <v>106</v>
      </c>
      <c r="G2067" s="36" t="s">
        <v>102</v>
      </c>
      <c r="H2067" s="36" t="s">
        <v>95</v>
      </c>
      <c r="I2067" s="36" t="s">
        <v>107</v>
      </c>
      <c r="J2067" s="36">
        <v>169</v>
      </c>
      <c r="K2067" s="36">
        <v>241.67000000000002</v>
      </c>
    </row>
    <row r="2068" spans="1:11" x14ac:dyDescent="0.3">
      <c r="A2068" s="36" t="s">
        <v>90</v>
      </c>
      <c r="B2068" s="36">
        <v>2022</v>
      </c>
      <c r="C2068" s="36" t="s">
        <v>2</v>
      </c>
      <c r="D2068" s="36" t="s">
        <v>91</v>
      </c>
      <c r="E2068" s="36" t="s">
        <v>105</v>
      </c>
      <c r="F2068" s="36" t="s">
        <v>106</v>
      </c>
      <c r="G2068" s="36" t="s">
        <v>102</v>
      </c>
      <c r="H2068" s="36" t="s">
        <v>95</v>
      </c>
      <c r="I2068" s="36" t="s">
        <v>107</v>
      </c>
      <c r="J2068" s="36">
        <v>232</v>
      </c>
      <c r="K2068" s="36">
        <v>331.76</v>
      </c>
    </row>
    <row r="2069" spans="1:11" x14ac:dyDescent="0.3">
      <c r="A2069" s="36" t="s">
        <v>97</v>
      </c>
      <c r="B2069" s="36">
        <v>2022</v>
      </c>
      <c r="C2069" s="36" t="s">
        <v>2</v>
      </c>
      <c r="D2069" s="36" t="s">
        <v>91</v>
      </c>
      <c r="E2069" s="36" t="s">
        <v>105</v>
      </c>
      <c r="F2069" s="36" t="s">
        <v>106</v>
      </c>
      <c r="G2069" s="36" t="s">
        <v>102</v>
      </c>
      <c r="H2069" s="36" t="s">
        <v>95</v>
      </c>
      <c r="I2069" s="36" t="s">
        <v>107</v>
      </c>
      <c r="J2069" s="36">
        <v>226</v>
      </c>
      <c r="K2069" s="36">
        <v>323.18</v>
      </c>
    </row>
    <row r="2070" spans="1:11" x14ac:dyDescent="0.3">
      <c r="A2070" s="36" t="s">
        <v>97</v>
      </c>
      <c r="B2070" s="36">
        <v>2022</v>
      </c>
      <c r="C2070" s="36" t="s">
        <v>2</v>
      </c>
      <c r="D2070" s="36" t="s">
        <v>91</v>
      </c>
      <c r="E2070" s="36" t="s">
        <v>105</v>
      </c>
      <c r="F2070" s="36" t="s">
        <v>106</v>
      </c>
      <c r="G2070" s="36" t="s">
        <v>102</v>
      </c>
      <c r="H2070" s="36" t="s">
        <v>95</v>
      </c>
      <c r="I2070" s="36" t="s">
        <v>107</v>
      </c>
      <c r="J2070" s="36">
        <v>220</v>
      </c>
      <c r="K2070" s="36">
        <v>314.60000000000002</v>
      </c>
    </row>
    <row r="2071" spans="1:11" x14ac:dyDescent="0.3">
      <c r="A2071" s="36" t="s">
        <v>99</v>
      </c>
      <c r="B2071" s="36">
        <v>2022</v>
      </c>
      <c r="C2071" s="36" t="s">
        <v>2</v>
      </c>
      <c r="D2071" s="36" t="s">
        <v>91</v>
      </c>
      <c r="E2071" s="36" t="s">
        <v>105</v>
      </c>
      <c r="F2071" s="36" t="s">
        <v>106</v>
      </c>
      <c r="G2071" s="36" t="s">
        <v>102</v>
      </c>
      <c r="H2071" s="36" t="s">
        <v>95</v>
      </c>
      <c r="I2071" s="36" t="s">
        <v>107</v>
      </c>
      <c r="J2071" s="36">
        <v>229</v>
      </c>
      <c r="K2071" s="36">
        <v>327.47000000000003</v>
      </c>
    </row>
    <row r="2072" spans="1:11" x14ac:dyDescent="0.3">
      <c r="A2072" s="36" t="s">
        <v>90</v>
      </c>
      <c r="B2072" s="36">
        <v>2022</v>
      </c>
      <c r="C2072" s="36" t="s">
        <v>2</v>
      </c>
      <c r="D2072" s="36" t="s">
        <v>91</v>
      </c>
      <c r="E2072" s="36" t="s">
        <v>105</v>
      </c>
      <c r="F2072" s="36" t="s">
        <v>106</v>
      </c>
      <c r="G2072" s="36" t="s">
        <v>102</v>
      </c>
      <c r="H2072" s="36" t="s">
        <v>95</v>
      </c>
      <c r="I2072" s="36" t="s">
        <v>107</v>
      </c>
      <c r="J2072" s="36">
        <v>223</v>
      </c>
      <c r="K2072" s="36">
        <v>318.89</v>
      </c>
    </row>
    <row r="2073" spans="1:11" x14ac:dyDescent="0.3">
      <c r="A2073" s="36" t="s">
        <v>90</v>
      </c>
      <c r="B2073" s="36">
        <v>2022</v>
      </c>
      <c r="C2073" s="36" t="s">
        <v>2</v>
      </c>
      <c r="D2073" s="36" t="s">
        <v>91</v>
      </c>
      <c r="E2073" s="36" t="s">
        <v>105</v>
      </c>
      <c r="F2073" s="36" t="s">
        <v>106</v>
      </c>
      <c r="G2073" s="36" t="s">
        <v>102</v>
      </c>
      <c r="H2073" s="36" t="s">
        <v>95</v>
      </c>
      <c r="I2073" s="36" t="s">
        <v>107</v>
      </c>
      <c r="J2073" s="36">
        <v>217</v>
      </c>
      <c r="K2073" s="36">
        <v>310.31</v>
      </c>
    </row>
    <row r="2074" spans="1:11" x14ac:dyDescent="0.3">
      <c r="A2074" s="36" t="s">
        <v>97</v>
      </c>
      <c r="B2074" s="36">
        <v>2022</v>
      </c>
      <c r="C2074" s="36" t="s">
        <v>4</v>
      </c>
      <c r="D2074" s="36" t="s">
        <v>91</v>
      </c>
      <c r="E2074" s="36" t="s">
        <v>105</v>
      </c>
      <c r="F2074" s="36" t="s">
        <v>106</v>
      </c>
      <c r="G2074" s="36" t="s">
        <v>102</v>
      </c>
      <c r="H2074" s="36" t="s">
        <v>95</v>
      </c>
      <c r="I2074" s="36" t="s">
        <v>107</v>
      </c>
      <c r="J2074" s="36">
        <v>196</v>
      </c>
      <c r="K2074" s="36">
        <v>280.27999999999997</v>
      </c>
    </row>
    <row r="2075" spans="1:11" x14ac:dyDescent="0.3">
      <c r="A2075" s="36" t="s">
        <v>90</v>
      </c>
      <c r="B2075" s="36">
        <v>2022</v>
      </c>
      <c r="C2075" s="36" t="s">
        <v>4</v>
      </c>
      <c r="D2075" s="36" t="s">
        <v>91</v>
      </c>
      <c r="E2075" s="36" t="s">
        <v>105</v>
      </c>
      <c r="F2075" s="36" t="s">
        <v>106</v>
      </c>
      <c r="G2075" s="36" t="s">
        <v>102</v>
      </c>
      <c r="H2075" s="36" t="s">
        <v>95</v>
      </c>
      <c r="I2075" s="36" t="s">
        <v>107</v>
      </c>
      <c r="J2075" s="36">
        <v>190</v>
      </c>
      <c r="K2075" s="36">
        <v>271.7</v>
      </c>
    </row>
    <row r="2076" spans="1:11" x14ac:dyDescent="0.3">
      <c r="A2076" s="36" t="s">
        <v>90</v>
      </c>
      <c r="B2076" s="36">
        <v>2022</v>
      </c>
      <c r="C2076" s="36" t="s">
        <v>4</v>
      </c>
      <c r="D2076" s="36" t="s">
        <v>91</v>
      </c>
      <c r="E2076" s="36" t="s">
        <v>105</v>
      </c>
      <c r="F2076" s="36" t="s">
        <v>106</v>
      </c>
      <c r="G2076" s="36" t="s">
        <v>102</v>
      </c>
      <c r="H2076" s="36" t="s">
        <v>95</v>
      </c>
      <c r="I2076" s="36" t="s">
        <v>107</v>
      </c>
      <c r="J2076" s="36">
        <v>199</v>
      </c>
      <c r="K2076" s="36">
        <v>284.57</v>
      </c>
    </row>
    <row r="2077" spans="1:11" x14ac:dyDescent="0.3">
      <c r="A2077" s="36" t="s">
        <v>90</v>
      </c>
      <c r="B2077" s="36">
        <v>2022</v>
      </c>
      <c r="C2077" s="36" t="s">
        <v>4</v>
      </c>
      <c r="D2077" s="36" t="s">
        <v>91</v>
      </c>
      <c r="E2077" s="36" t="s">
        <v>105</v>
      </c>
      <c r="F2077" s="36" t="s">
        <v>106</v>
      </c>
      <c r="G2077" s="36" t="s">
        <v>102</v>
      </c>
      <c r="H2077" s="36" t="s">
        <v>95</v>
      </c>
      <c r="I2077" s="36" t="s">
        <v>107</v>
      </c>
      <c r="J2077" s="36">
        <v>193</v>
      </c>
      <c r="K2077" s="36">
        <v>275.99</v>
      </c>
    </row>
    <row r="2078" spans="1:11" x14ac:dyDescent="0.3">
      <c r="A2078" s="36" t="s">
        <v>90</v>
      </c>
      <c r="B2078" s="36">
        <v>2022</v>
      </c>
      <c r="C2078" s="36" t="s">
        <v>4</v>
      </c>
      <c r="D2078" s="36" t="s">
        <v>91</v>
      </c>
      <c r="E2078" s="36" t="s">
        <v>105</v>
      </c>
      <c r="F2078" s="36" t="s">
        <v>106</v>
      </c>
      <c r="G2078" s="36" t="s">
        <v>102</v>
      </c>
      <c r="H2078" s="36" t="s">
        <v>95</v>
      </c>
      <c r="I2078" s="36" t="s">
        <v>107</v>
      </c>
      <c r="J2078" s="36">
        <v>187</v>
      </c>
      <c r="K2078" s="36">
        <v>267.40999999999997</v>
      </c>
    </row>
    <row r="2079" spans="1:11" x14ac:dyDescent="0.3">
      <c r="A2079" s="36" t="s">
        <v>97</v>
      </c>
      <c r="B2079" s="36">
        <v>2022</v>
      </c>
      <c r="C2079" s="36" t="s">
        <v>3</v>
      </c>
      <c r="D2079" s="36" t="s">
        <v>103</v>
      </c>
      <c r="E2079" s="36" t="s">
        <v>105</v>
      </c>
      <c r="F2079" s="36" t="s">
        <v>106</v>
      </c>
      <c r="G2079" s="36" t="s">
        <v>102</v>
      </c>
      <c r="H2079" s="36" t="s">
        <v>95</v>
      </c>
      <c r="I2079" s="36" t="s">
        <v>107</v>
      </c>
      <c r="J2079" s="36">
        <v>278</v>
      </c>
      <c r="K2079" s="36">
        <v>397.53999999999996</v>
      </c>
    </row>
    <row r="2080" spans="1:11" x14ac:dyDescent="0.3">
      <c r="A2080" s="36" t="s">
        <v>101</v>
      </c>
      <c r="B2080" s="36">
        <v>2022</v>
      </c>
      <c r="C2080" s="36" t="s">
        <v>3</v>
      </c>
      <c r="D2080" s="36" t="s">
        <v>103</v>
      </c>
      <c r="E2080" s="36" t="s">
        <v>105</v>
      </c>
      <c r="F2080" s="36" t="s">
        <v>106</v>
      </c>
      <c r="G2080" s="36" t="s">
        <v>102</v>
      </c>
      <c r="H2080" s="36" t="s">
        <v>95</v>
      </c>
      <c r="I2080" s="36" t="s">
        <v>107</v>
      </c>
      <c r="J2080" s="36">
        <v>326</v>
      </c>
      <c r="K2080" s="36">
        <v>466.18</v>
      </c>
    </row>
    <row r="2081" spans="1:11" x14ac:dyDescent="0.3">
      <c r="A2081" s="36" t="s">
        <v>90</v>
      </c>
      <c r="B2081" s="36">
        <v>2022</v>
      </c>
      <c r="C2081" s="36" t="s">
        <v>3</v>
      </c>
      <c r="D2081" s="36" t="s">
        <v>103</v>
      </c>
      <c r="E2081" s="36" t="s">
        <v>105</v>
      </c>
      <c r="F2081" s="36" t="s">
        <v>106</v>
      </c>
      <c r="G2081" s="36" t="s">
        <v>102</v>
      </c>
      <c r="H2081" s="36" t="s">
        <v>95</v>
      </c>
      <c r="I2081" s="36" t="s">
        <v>107</v>
      </c>
      <c r="J2081" s="36">
        <v>280</v>
      </c>
      <c r="K2081" s="36">
        <v>400.4</v>
      </c>
    </row>
    <row r="2082" spans="1:11" x14ac:dyDescent="0.3">
      <c r="A2082" s="36" t="s">
        <v>90</v>
      </c>
      <c r="B2082" s="36">
        <v>2022</v>
      </c>
      <c r="C2082" s="36" t="s">
        <v>3</v>
      </c>
      <c r="D2082" s="36" t="s">
        <v>103</v>
      </c>
      <c r="E2082" s="36" t="s">
        <v>105</v>
      </c>
      <c r="F2082" s="36" t="s">
        <v>106</v>
      </c>
      <c r="G2082" s="36" t="s">
        <v>102</v>
      </c>
      <c r="H2082" s="36" t="s">
        <v>95</v>
      </c>
      <c r="I2082" s="36" t="s">
        <v>107</v>
      </c>
      <c r="J2082" s="36">
        <v>834</v>
      </c>
      <c r="K2082" s="36">
        <v>1192.6199999999999</v>
      </c>
    </row>
    <row r="2083" spans="1:11" x14ac:dyDescent="0.3">
      <c r="A2083" s="36" t="s">
        <v>90</v>
      </c>
      <c r="B2083" s="36">
        <v>2022</v>
      </c>
      <c r="C2083" s="36" t="s">
        <v>3</v>
      </c>
      <c r="D2083" s="36" t="s">
        <v>103</v>
      </c>
      <c r="E2083" s="36" t="s">
        <v>105</v>
      </c>
      <c r="F2083" s="36" t="s">
        <v>106</v>
      </c>
      <c r="G2083" s="36" t="s">
        <v>102</v>
      </c>
      <c r="H2083" s="36" t="s">
        <v>95</v>
      </c>
      <c r="I2083" s="36" t="s">
        <v>107</v>
      </c>
      <c r="J2083" s="36">
        <v>867</v>
      </c>
      <c r="K2083" s="36">
        <v>1239.81</v>
      </c>
    </row>
    <row r="2084" spans="1:11" x14ac:dyDescent="0.3">
      <c r="A2084" s="36" t="s">
        <v>97</v>
      </c>
      <c r="B2084" s="36">
        <v>2022</v>
      </c>
      <c r="C2084" s="36" t="s">
        <v>3</v>
      </c>
      <c r="D2084" s="36" t="s">
        <v>103</v>
      </c>
      <c r="E2084" s="36" t="s">
        <v>105</v>
      </c>
      <c r="F2084" s="36" t="s">
        <v>106</v>
      </c>
      <c r="G2084" s="36" t="s">
        <v>102</v>
      </c>
      <c r="H2084" s="36" t="s">
        <v>95</v>
      </c>
      <c r="I2084" s="36" t="s">
        <v>107</v>
      </c>
      <c r="J2084" s="36">
        <v>931</v>
      </c>
      <c r="K2084" s="36">
        <v>1331.33</v>
      </c>
    </row>
    <row r="2085" spans="1:11" x14ac:dyDescent="0.3">
      <c r="A2085" s="36" t="s">
        <v>97</v>
      </c>
      <c r="B2085" s="36">
        <v>2022</v>
      </c>
      <c r="C2085" s="36" t="s">
        <v>3</v>
      </c>
      <c r="D2085" s="36" t="s">
        <v>103</v>
      </c>
      <c r="E2085" s="36" t="s">
        <v>105</v>
      </c>
      <c r="F2085" s="36" t="s">
        <v>106</v>
      </c>
      <c r="G2085" s="36" t="s">
        <v>102</v>
      </c>
      <c r="H2085" s="36" t="s">
        <v>95</v>
      </c>
      <c r="I2085" s="36" t="s">
        <v>107</v>
      </c>
      <c r="J2085" s="36">
        <v>932</v>
      </c>
      <c r="K2085" s="36">
        <v>1332.76</v>
      </c>
    </row>
    <row r="2086" spans="1:11" x14ac:dyDescent="0.3">
      <c r="A2086" s="36" t="s">
        <v>90</v>
      </c>
      <c r="B2086" s="36">
        <v>2022</v>
      </c>
      <c r="C2086" s="36" t="s">
        <v>3</v>
      </c>
      <c r="D2086" s="36" t="s">
        <v>103</v>
      </c>
      <c r="E2086" s="36" t="s">
        <v>105</v>
      </c>
      <c r="F2086" s="36" t="s">
        <v>106</v>
      </c>
      <c r="G2086" s="36" t="s">
        <v>102</v>
      </c>
      <c r="H2086" s="36" t="s">
        <v>95</v>
      </c>
      <c r="I2086" s="36" t="s">
        <v>107</v>
      </c>
      <c r="J2086" s="36">
        <v>933</v>
      </c>
      <c r="K2086" s="36">
        <v>1334.19</v>
      </c>
    </row>
    <row r="2087" spans="1:11" x14ac:dyDescent="0.3">
      <c r="A2087" s="36" t="s">
        <v>97</v>
      </c>
      <c r="B2087" s="36">
        <v>2022</v>
      </c>
      <c r="C2087" s="36" t="s">
        <v>3</v>
      </c>
      <c r="D2087" s="36" t="s">
        <v>103</v>
      </c>
      <c r="E2087" s="36" t="s">
        <v>105</v>
      </c>
      <c r="F2087" s="36" t="s">
        <v>106</v>
      </c>
      <c r="G2087" s="36" t="s">
        <v>102</v>
      </c>
      <c r="H2087" s="36" t="s">
        <v>95</v>
      </c>
      <c r="I2087" s="36" t="s">
        <v>107</v>
      </c>
      <c r="J2087" s="36">
        <v>873</v>
      </c>
      <c r="K2087" s="36">
        <v>526.24</v>
      </c>
    </row>
    <row r="2088" spans="1:11" x14ac:dyDescent="0.3">
      <c r="A2088" s="36" t="s">
        <v>90</v>
      </c>
      <c r="B2088" s="36">
        <v>2022</v>
      </c>
      <c r="C2088" s="36" t="s">
        <v>3</v>
      </c>
      <c r="D2088" s="36" t="s">
        <v>103</v>
      </c>
      <c r="E2088" s="36" t="s">
        <v>105</v>
      </c>
      <c r="F2088" s="36" t="s">
        <v>106</v>
      </c>
      <c r="G2088" s="36" t="s">
        <v>102</v>
      </c>
      <c r="H2088" s="36" t="s">
        <v>95</v>
      </c>
      <c r="I2088" s="36" t="s">
        <v>107</v>
      </c>
      <c r="J2088" s="36">
        <v>327</v>
      </c>
      <c r="K2088" s="36">
        <v>467.61</v>
      </c>
    </row>
    <row r="2089" spans="1:11" x14ac:dyDescent="0.3">
      <c r="A2089" s="36" t="s">
        <v>90</v>
      </c>
      <c r="B2089" s="36">
        <v>2022</v>
      </c>
      <c r="C2089" s="36" t="s">
        <v>3</v>
      </c>
      <c r="D2089" s="36" t="s">
        <v>103</v>
      </c>
      <c r="E2089" s="36" t="s">
        <v>105</v>
      </c>
      <c r="F2089" s="36" t="s">
        <v>106</v>
      </c>
      <c r="G2089" s="36" t="s">
        <v>102</v>
      </c>
      <c r="H2089" s="36" t="s">
        <v>95</v>
      </c>
      <c r="I2089" s="36" t="s">
        <v>107</v>
      </c>
      <c r="J2089" s="36">
        <v>183</v>
      </c>
      <c r="K2089" s="36">
        <v>261.69</v>
      </c>
    </row>
    <row r="2090" spans="1:11" x14ac:dyDescent="0.3">
      <c r="A2090" s="36" t="s">
        <v>97</v>
      </c>
      <c r="B2090" s="36">
        <v>2022</v>
      </c>
      <c r="C2090" s="36" t="s">
        <v>3</v>
      </c>
      <c r="D2090" s="36" t="s">
        <v>103</v>
      </c>
      <c r="E2090" s="36" t="s">
        <v>105</v>
      </c>
      <c r="F2090" s="36" t="s">
        <v>106</v>
      </c>
      <c r="G2090" s="36" t="s">
        <v>102</v>
      </c>
      <c r="H2090" s="36" t="s">
        <v>95</v>
      </c>
      <c r="I2090" s="36" t="s">
        <v>107</v>
      </c>
      <c r="J2090" s="36">
        <v>177</v>
      </c>
      <c r="K2090" s="36">
        <v>253.11</v>
      </c>
    </row>
    <row r="2091" spans="1:11" x14ac:dyDescent="0.3">
      <c r="A2091" s="36" t="s">
        <v>90</v>
      </c>
      <c r="B2091" s="36">
        <v>2022</v>
      </c>
      <c r="C2091" s="36" t="s">
        <v>3</v>
      </c>
      <c r="D2091" s="36" t="s">
        <v>103</v>
      </c>
      <c r="E2091" s="36" t="s">
        <v>105</v>
      </c>
      <c r="F2091" s="36" t="s">
        <v>106</v>
      </c>
      <c r="G2091" s="36" t="s">
        <v>102</v>
      </c>
      <c r="H2091" s="36" t="s">
        <v>95</v>
      </c>
      <c r="I2091" s="36" t="s">
        <v>107</v>
      </c>
      <c r="J2091" s="36">
        <v>171</v>
      </c>
      <c r="K2091" s="36">
        <v>244.53</v>
      </c>
    </row>
    <row r="2092" spans="1:11" x14ac:dyDescent="0.3">
      <c r="A2092" s="36" t="s">
        <v>90</v>
      </c>
      <c r="B2092" s="36">
        <v>2022</v>
      </c>
      <c r="C2092" s="36" t="s">
        <v>3</v>
      </c>
      <c r="D2092" s="36" t="s">
        <v>103</v>
      </c>
      <c r="E2092" s="36" t="s">
        <v>105</v>
      </c>
      <c r="F2092" s="36" t="s">
        <v>106</v>
      </c>
      <c r="G2092" s="36" t="s">
        <v>102</v>
      </c>
      <c r="H2092" s="36" t="s">
        <v>95</v>
      </c>
      <c r="I2092" s="36" t="s">
        <v>107</v>
      </c>
      <c r="J2092" s="36">
        <v>277</v>
      </c>
      <c r="K2092" s="36">
        <v>396.11</v>
      </c>
    </row>
    <row r="2093" spans="1:11" x14ac:dyDescent="0.3">
      <c r="A2093" s="36" t="s">
        <v>99</v>
      </c>
      <c r="B2093" s="36">
        <v>2022</v>
      </c>
      <c r="C2093" s="36" t="s">
        <v>3</v>
      </c>
      <c r="D2093" s="36" t="s">
        <v>103</v>
      </c>
      <c r="E2093" s="36" t="s">
        <v>105</v>
      </c>
      <c r="F2093" s="36" t="s">
        <v>106</v>
      </c>
      <c r="G2093" s="36" t="s">
        <v>102</v>
      </c>
      <c r="H2093" s="36" t="s">
        <v>95</v>
      </c>
      <c r="I2093" s="36" t="s">
        <v>107</v>
      </c>
      <c r="J2093" s="36">
        <v>325</v>
      </c>
      <c r="K2093" s="36">
        <v>464.75</v>
      </c>
    </row>
    <row r="2094" spans="1:11" x14ac:dyDescent="0.3">
      <c r="A2094" s="36" t="s">
        <v>97</v>
      </c>
      <c r="B2094" s="36">
        <v>2022</v>
      </c>
      <c r="C2094" s="36" t="s">
        <v>3</v>
      </c>
      <c r="D2094" s="36" t="s">
        <v>103</v>
      </c>
      <c r="E2094" s="36" t="s">
        <v>105</v>
      </c>
      <c r="F2094" s="36" t="s">
        <v>106</v>
      </c>
      <c r="G2094" s="36" t="s">
        <v>102</v>
      </c>
      <c r="H2094" s="36" t="s">
        <v>95</v>
      </c>
      <c r="I2094" s="36" t="s">
        <v>107</v>
      </c>
      <c r="J2094" s="36">
        <v>842</v>
      </c>
      <c r="K2094" s="36">
        <v>1204.06</v>
      </c>
    </row>
    <row r="2095" spans="1:11" x14ac:dyDescent="0.3">
      <c r="A2095" s="36" t="s">
        <v>97</v>
      </c>
      <c r="B2095" s="36">
        <v>2022</v>
      </c>
      <c r="C2095" s="36" t="s">
        <v>3</v>
      </c>
      <c r="D2095" s="36" t="s">
        <v>103</v>
      </c>
      <c r="E2095" s="36" t="s">
        <v>105</v>
      </c>
      <c r="F2095" s="36" t="s">
        <v>106</v>
      </c>
      <c r="G2095" s="36" t="s">
        <v>102</v>
      </c>
      <c r="H2095" s="36" t="s">
        <v>95</v>
      </c>
      <c r="I2095" s="36" t="s">
        <v>107</v>
      </c>
      <c r="J2095" s="36">
        <v>876</v>
      </c>
      <c r="K2095" s="36">
        <v>1252.68</v>
      </c>
    </row>
    <row r="2096" spans="1:11" x14ac:dyDescent="0.3">
      <c r="A2096" s="36" t="s">
        <v>97</v>
      </c>
      <c r="B2096" s="36">
        <v>2022</v>
      </c>
      <c r="C2096" s="36" t="s">
        <v>7</v>
      </c>
      <c r="D2096" s="36" t="s">
        <v>103</v>
      </c>
      <c r="E2096" s="36" t="s">
        <v>105</v>
      </c>
      <c r="F2096" s="36" t="s">
        <v>106</v>
      </c>
      <c r="G2096" s="36" t="s">
        <v>102</v>
      </c>
      <c r="H2096" s="36" t="s">
        <v>95</v>
      </c>
      <c r="I2096" s="36" t="s">
        <v>107</v>
      </c>
      <c r="J2096" s="36">
        <v>332</v>
      </c>
      <c r="K2096" s="36">
        <v>474.76</v>
      </c>
    </row>
    <row r="2097" spans="1:11" x14ac:dyDescent="0.3">
      <c r="A2097" s="36" t="s">
        <v>97</v>
      </c>
      <c r="B2097" s="36">
        <v>2022</v>
      </c>
      <c r="C2097" s="36" t="s">
        <v>7</v>
      </c>
      <c r="D2097" s="36" t="s">
        <v>103</v>
      </c>
      <c r="E2097" s="36" t="s">
        <v>105</v>
      </c>
      <c r="F2097" s="36" t="s">
        <v>106</v>
      </c>
      <c r="G2097" s="36" t="s">
        <v>102</v>
      </c>
      <c r="H2097" s="36" t="s">
        <v>95</v>
      </c>
      <c r="I2097" s="36" t="s">
        <v>107</v>
      </c>
      <c r="J2097" s="36">
        <v>302</v>
      </c>
      <c r="K2097" s="36">
        <v>431.86</v>
      </c>
    </row>
    <row r="2098" spans="1:11" x14ac:dyDescent="0.3">
      <c r="A2098" s="36" t="s">
        <v>99</v>
      </c>
      <c r="B2098" s="36">
        <v>2022</v>
      </c>
      <c r="C2098" s="36" t="s">
        <v>7</v>
      </c>
      <c r="D2098" s="36" t="s">
        <v>103</v>
      </c>
      <c r="E2098" s="36" t="s">
        <v>105</v>
      </c>
      <c r="F2098" s="36" t="s">
        <v>106</v>
      </c>
      <c r="G2098" s="36" t="s">
        <v>102</v>
      </c>
      <c r="H2098" s="36" t="s">
        <v>95</v>
      </c>
      <c r="I2098" s="36" t="s">
        <v>107</v>
      </c>
      <c r="J2098" s="36">
        <v>256</v>
      </c>
      <c r="K2098" s="36">
        <v>366.08</v>
      </c>
    </row>
    <row r="2099" spans="1:11" x14ac:dyDescent="0.3">
      <c r="A2099" s="36" t="s">
        <v>100</v>
      </c>
      <c r="B2099" s="36">
        <v>2022</v>
      </c>
      <c r="C2099" s="36" t="s">
        <v>7</v>
      </c>
      <c r="D2099" s="36" t="s">
        <v>103</v>
      </c>
      <c r="E2099" s="36" t="s">
        <v>105</v>
      </c>
      <c r="F2099" s="36" t="s">
        <v>106</v>
      </c>
      <c r="G2099" s="36" t="s">
        <v>102</v>
      </c>
      <c r="H2099" s="36" t="s">
        <v>95</v>
      </c>
      <c r="I2099" s="36" t="s">
        <v>107</v>
      </c>
      <c r="J2099" s="36">
        <v>304</v>
      </c>
      <c r="K2099" s="36">
        <v>434.72</v>
      </c>
    </row>
    <row r="2100" spans="1:11" x14ac:dyDescent="0.3">
      <c r="A2100" s="36" t="s">
        <v>90</v>
      </c>
      <c r="B2100" s="36">
        <v>2022</v>
      </c>
      <c r="C2100" s="36" t="s">
        <v>7</v>
      </c>
      <c r="D2100" s="36" t="s">
        <v>103</v>
      </c>
      <c r="E2100" s="36" t="s">
        <v>105</v>
      </c>
      <c r="F2100" s="36" t="s">
        <v>106</v>
      </c>
      <c r="G2100" s="36" t="s">
        <v>102</v>
      </c>
      <c r="H2100" s="36" t="s">
        <v>95</v>
      </c>
      <c r="I2100" s="36" t="s">
        <v>107</v>
      </c>
      <c r="J2100" s="36">
        <v>784</v>
      </c>
      <c r="K2100" s="36">
        <v>1121.1199999999999</v>
      </c>
    </row>
    <row r="2101" spans="1:11" x14ac:dyDescent="0.3">
      <c r="A2101" s="36" t="s">
        <v>100</v>
      </c>
      <c r="B2101" s="36">
        <v>2022</v>
      </c>
      <c r="C2101" s="36" t="s">
        <v>7</v>
      </c>
      <c r="D2101" s="36" t="s">
        <v>103</v>
      </c>
      <c r="E2101" s="36" t="s">
        <v>105</v>
      </c>
      <c r="F2101" s="36" t="s">
        <v>106</v>
      </c>
      <c r="G2101" s="36" t="s">
        <v>102</v>
      </c>
      <c r="H2101" s="36" t="s">
        <v>95</v>
      </c>
      <c r="I2101" s="36" t="s">
        <v>107</v>
      </c>
      <c r="J2101" s="36">
        <v>837</v>
      </c>
      <c r="K2101" s="36">
        <v>1196.9099999999999</v>
      </c>
    </row>
    <row r="2102" spans="1:11" x14ac:dyDescent="0.3">
      <c r="A2102" s="36" t="s">
        <v>97</v>
      </c>
      <c r="B2102" s="36">
        <v>2022</v>
      </c>
      <c r="C2102" s="36" t="s">
        <v>7</v>
      </c>
      <c r="D2102" s="36" t="s">
        <v>103</v>
      </c>
      <c r="E2102" s="36" t="s">
        <v>105</v>
      </c>
      <c r="F2102" s="36" t="s">
        <v>106</v>
      </c>
      <c r="G2102" s="36" t="s">
        <v>102</v>
      </c>
      <c r="H2102" s="36" t="s">
        <v>95</v>
      </c>
      <c r="I2102" s="36" t="s">
        <v>107</v>
      </c>
      <c r="J2102" s="36">
        <v>870</v>
      </c>
      <c r="K2102" s="36">
        <v>1244.0999999999999</v>
      </c>
    </row>
    <row r="2103" spans="1:11" x14ac:dyDescent="0.3">
      <c r="A2103" s="36" t="s">
        <v>97</v>
      </c>
      <c r="B2103" s="36">
        <v>2022</v>
      </c>
      <c r="C2103" s="36" t="s">
        <v>7</v>
      </c>
      <c r="D2103" s="36" t="s">
        <v>103</v>
      </c>
      <c r="E2103" s="36" t="s">
        <v>105</v>
      </c>
      <c r="F2103" s="36" t="s">
        <v>106</v>
      </c>
      <c r="G2103" s="36" t="s">
        <v>102</v>
      </c>
      <c r="H2103" s="36" t="s">
        <v>95</v>
      </c>
      <c r="I2103" s="36" t="s">
        <v>107</v>
      </c>
      <c r="J2103" s="36">
        <v>942</v>
      </c>
      <c r="K2103" s="36">
        <v>1347.06</v>
      </c>
    </row>
    <row r="2104" spans="1:11" x14ac:dyDescent="0.3">
      <c r="A2104" s="36" t="s">
        <v>97</v>
      </c>
      <c r="B2104" s="36">
        <v>2022</v>
      </c>
      <c r="C2104" s="36" t="s">
        <v>7</v>
      </c>
      <c r="D2104" s="36" t="s">
        <v>103</v>
      </c>
      <c r="E2104" s="36" t="s">
        <v>105</v>
      </c>
      <c r="F2104" s="36" t="s">
        <v>106</v>
      </c>
      <c r="G2104" s="36" t="s">
        <v>102</v>
      </c>
      <c r="H2104" s="36" t="s">
        <v>95</v>
      </c>
      <c r="I2104" s="36" t="s">
        <v>107</v>
      </c>
      <c r="J2104" s="36">
        <v>943</v>
      </c>
      <c r="K2104" s="36">
        <v>1348.49</v>
      </c>
    </row>
    <row r="2105" spans="1:11" x14ac:dyDescent="0.3">
      <c r="A2105" s="36" t="s">
        <v>90</v>
      </c>
      <c r="B2105" s="36">
        <v>2022</v>
      </c>
      <c r="C2105" s="36" t="s">
        <v>7</v>
      </c>
      <c r="D2105" s="36" t="s">
        <v>103</v>
      </c>
      <c r="E2105" s="36" t="s">
        <v>105</v>
      </c>
      <c r="F2105" s="36" t="s">
        <v>106</v>
      </c>
      <c r="G2105" s="36" t="s">
        <v>102</v>
      </c>
      <c r="H2105" s="36" t="s">
        <v>95</v>
      </c>
      <c r="I2105" s="36" t="s">
        <v>107</v>
      </c>
      <c r="J2105" s="36">
        <v>944</v>
      </c>
      <c r="K2105" s="36">
        <v>1349.92</v>
      </c>
    </row>
    <row r="2106" spans="1:11" x14ac:dyDescent="0.3">
      <c r="A2106" s="36" t="s">
        <v>97</v>
      </c>
      <c r="B2106" s="36">
        <v>2022</v>
      </c>
      <c r="C2106" s="36" t="s">
        <v>7</v>
      </c>
      <c r="D2106" s="36" t="s">
        <v>103</v>
      </c>
      <c r="E2106" s="36" t="s">
        <v>105</v>
      </c>
      <c r="F2106" s="36" t="s">
        <v>106</v>
      </c>
      <c r="G2106" s="36" t="s">
        <v>102</v>
      </c>
      <c r="H2106" s="36" t="s">
        <v>95</v>
      </c>
      <c r="I2106" s="36" t="s">
        <v>107</v>
      </c>
      <c r="J2106" s="36">
        <v>823</v>
      </c>
      <c r="K2106" s="36">
        <v>526.24</v>
      </c>
    </row>
    <row r="2107" spans="1:11" x14ac:dyDescent="0.3">
      <c r="A2107" s="36" t="s">
        <v>90</v>
      </c>
      <c r="B2107" s="36">
        <v>2022</v>
      </c>
      <c r="C2107" s="36" t="s">
        <v>7</v>
      </c>
      <c r="D2107" s="36" t="s">
        <v>103</v>
      </c>
      <c r="E2107" s="36" t="s">
        <v>105</v>
      </c>
      <c r="F2107" s="36" t="s">
        <v>106</v>
      </c>
      <c r="G2107" s="36" t="s">
        <v>102</v>
      </c>
      <c r="H2107" s="36" t="s">
        <v>95</v>
      </c>
      <c r="I2107" s="36" t="s">
        <v>107</v>
      </c>
      <c r="J2107" s="36">
        <v>877</v>
      </c>
      <c r="K2107" s="36">
        <v>526.24</v>
      </c>
    </row>
    <row r="2108" spans="1:11" x14ac:dyDescent="0.3">
      <c r="A2108" s="36" t="s">
        <v>90</v>
      </c>
      <c r="B2108" s="36">
        <v>2022</v>
      </c>
      <c r="C2108" s="36" t="s">
        <v>7</v>
      </c>
      <c r="D2108" s="36" t="s">
        <v>103</v>
      </c>
      <c r="E2108" s="36" t="s">
        <v>105</v>
      </c>
      <c r="F2108" s="36" t="s">
        <v>106</v>
      </c>
      <c r="G2108" s="36" t="s">
        <v>102</v>
      </c>
      <c r="H2108" s="36" t="s">
        <v>95</v>
      </c>
      <c r="I2108" s="36" t="s">
        <v>107</v>
      </c>
      <c r="J2108" s="36">
        <v>303</v>
      </c>
      <c r="K2108" s="36">
        <v>433.28999999999996</v>
      </c>
    </row>
    <row r="2109" spans="1:11" x14ac:dyDescent="0.3">
      <c r="A2109" s="36" t="s">
        <v>100</v>
      </c>
      <c r="B2109" s="36">
        <v>2022</v>
      </c>
      <c r="C2109" s="36" t="s">
        <v>7</v>
      </c>
      <c r="D2109" s="36" t="s">
        <v>103</v>
      </c>
      <c r="E2109" s="36" t="s">
        <v>105</v>
      </c>
      <c r="F2109" s="36" t="s">
        <v>106</v>
      </c>
      <c r="G2109" s="36" t="s">
        <v>102</v>
      </c>
      <c r="H2109" s="36" t="s">
        <v>95</v>
      </c>
      <c r="I2109" s="36" t="s">
        <v>107</v>
      </c>
      <c r="J2109" s="36">
        <v>363</v>
      </c>
      <c r="K2109" s="36">
        <v>519.09</v>
      </c>
    </row>
    <row r="2110" spans="1:11" x14ac:dyDescent="0.3">
      <c r="A2110" s="36" t="s">
        <v>99</v>
      </c>
      <c r="B2110" s="36">
        <v>2022</v>
      </c>
      <c r="C2110" s="36" t="s">
        <v>7</v>
      </c>
      <c r="D2110" s="36" t="s">
        <v>103</v>
      </c>
      <c r="E2110" s="36" t="s">
        <v>105</v>
      </c>
      <c r="F2110" s="36" t="s">
        <v>106</v>
      </c>
      <c r="G2110" s="36" t="s">
        <v>102</v>
      </c>
      <c r="H2110" s="36" t="s">
        <v>95</v>
      </c>
      <c r="I2110" s="36" t="s">
        <v>107</v>
      </c>
      <c r="J2110" s="36">
        <v>357</v>
      </c>
      <c r="K2110" s="36">
        <v>510.51</v>
      </c>
    </row>
    <row r="2111" spans="1:11" x14ac:dyDescent="0.3">
      <c r="A2111" s="36" t="s">
        <v>100</v>
      </c>
      <c r="B2111" s="36">
        <v>2022</v>
      </c>
      <c r="C2111" s="36" t="s">
        <v>7</v>
      </c>
      <c r="D2111" s="36" t="s">
        <v>103</v>
      </c>
      <c r="E2111" s="36" t="s">
        <v>105</v>
      </c>
      <c r="F2111" s="36" t="s">
        <v>106</v>
      </c>
      <c r="G2111" s="36" t="s">
        <v>102</v>
      </c>
      <c r="H2111" s="36" t="s">
        <v>95</v>
      </c>
      <c r="I2111" s="36" t="s">
        <v>107</v>
      </c>
      <c r="J2111" s="36">
        <v>331</v>
      </c>
      <c r="K2111" s="36">
        <v>473.33</v>
      </c>
    </row>
    <row r="2112" spans="1:11" x14ac:dyDescent="0.3">
      <c r="A2112" s="36" t="s">
        <v>97</v>
      </c>
      <c r="B2112" s="36">
        <v>2022</v>
      </c>
      <c r="C2112" s="36" t="s">
        <v>7</v>
      </c>
      <c r="D2112" s="36" t="s">
        <v>103</v>
      </c>
      <c r="E2112" s="36" t="s">
        <v>105</v>
      </c>
      <c r="F2112" s="36" t="s">
        <v>106</v>
      </c>
      <c r="G2112" s="36" t="s">
        <v>102</v>
      </c>
      <c r="H2112" s="36" t="s">
        <v>95</v>
      </c>
      <c r="I2112" s="36" t="s">
        <v>107</v>
      </c>
      <c r="J2112" s="36">
        <v>259</v>
      </c>
      <c r="K2112" s="36">
        <v>370.37</v>
      </c>
    </row>
    <row r="2113" spans="1:11" x14ac:dyDescent="0.3">
      <c r="A2113" s="36" t="s">
        <v>97</v>
      </c>
      <c r="B2113" s="36">
        <v>2022</v>
      </c>
      <c r="C2113" s="36" t="s">
        <v>7</v>
      </c>
      <c r="D2113" s="36" t="s">
        <v>103</v>
      </c>
      <c r="E2113" s="36" t="s">
        <v>105</v>
      </c>
      <c r="F2113" s="36" t="s">
        <v>106</v>
      </c>
      <c r="G2113" s="36" t="s">
        <v>102</v>
      </c>
      <c r="H2113" s="36" t="s">
        <v>95</v>
      </c>
      <c r="I2113" s="36" t="s">
        <v>107</v>
      </c>
      <c r="J2113" s="36">
        <v>793</v>
      </c>
      <c r="K2113" s="36">
        <v>1133.99</v>
      </c>
    </row>
    <row r="2114" spans="1:11" x14ac:dyDescent="0.3">
      <c r="A2114" s="36" t="s">
        <v>97</v>
      </c>
      <c r="B2114" s="36">
        <v>2022</v>
      </c>
      <c r="C2114" s="36" t="s">
        <v>7</v>
      </c>
      <c r="D2114" s="36" t="s">
        <v>103</v>
      </c>
      <c r="E2114" s="36" t="s">
        <v>105</v>
      </c>
      <c r="F2114" s="36" t="s">
        <v>106</v>
      </c>
      <c r="G2114" s="36" t="s">
        <v>102</v>
      </c>
      <c r="H2114" s="36" t="s">
        <v>95</v>
      </c>
      <c r="I2114" s="36" t="s">
        <v>107</v>
      </c>
      <c r="J2114" s="36">
        <v>846</v>
      </c>
      <c r="K2114" s="36">
        <v>1209.78</v>
      </c>
    </row>
    <row r="2115" spans="1:11" x14ac:dyDescent="0.3">
      <c r="A2115" s="36" t="s">
        <v>97</v>
      </c>
      <c r="B2115" s="36">
        <v>2022</v>
      </c>
      <c r="C2115" s="36" t="s">
        <v>7</v>
      </c>
      <c r="D2115" s="36" t="s">
        <v>103</v>
      </c>
      <c r="E2115" s="36" t="s">
        <v>105</v>
      </c>
      <c r="F2115" s="36" t="s">
        <v>106</v>
      </c>
      <c r="G2115" s="36" t="s">
        <v>102</v>
      </c>
      <c r="H2115" s="36" t="s">
        <v>95</v>
      </c>
      <c r="I2115" s="36" t="s">
        <v>107</v>
      </c>
      <c r="J2115" s="36">
        <v>879</v>
      </c>
      <c r="K2115" s="36">
        <v>1256.97</v>
      </c>
    </row>
    <row r="2116" spans="1:11" x14ac:dyDescent="0.3">
      <c r="A2116" s="36" t="s">
        <v>97</v>
      </c>
      <c r="B2116" s="36">
        <v>2022</v>
      </c>
      <c r="C2116" s="36" t="s">
        <v>11</v>
      </c>
      <c r="D2116" s="36" t="s">
        <v>103</v>
      </c>
      <c r="E2116" s="36" t="s">
        <v>105</v>
      </c>
      <c r="F2116" s="36" t="s">
        <v>106</v>
      </c>
      <c r="G2116" s="36" t="s">
        <v>102</v>
      </c>
      <c r="H2116" s="36" t="s">
        <v>95</v>
      </c>
      <c r="I2116" s="36" t="s">
        <v>107</v>
      </c>
      <c r="J2116" s="36">
        <v>308</v>
      </c>
      <c r="K2116" s="36">
        <v>440.44</v>
      </c>
    </row>
    <row r="2117" spans="1:11" x14ac:dyDescent="0.3">
      <c r="A2117" s="36" t="s">
        <v>90</v>
      </c>
      <c r="B2117" s="36">
        <v>2022</v>
      </c>
      <c r="C2117" s="36" t="s">
        <v>11</v>
      </c>
      <c r="D2117" s="36" t="s">
        <v>103</v>
      </c>
      <c r="E2117" s="36" t="s">
        <v>105</v>
      </c>
      <c r="F2117" s="36" t="s">
        <v>106</v>
      </c>
      <c r="G2117" s="36" t="s">
        <v>102</v>
      </c>
      <c r="H2117" s="36" t="s">
        <v>95</v>
      </c>
      <c r="I2117" s="36" t="s">
        <v>107</v>
      </c>
      <c r="J2117" s="36">
        <v>236</v>
      </c>
      <c r="K2117" s="36">
        <v>337.48</v>
      </c>
    </row>
    <row r="2118" spans="1:11" x14ac:dyDescent="0.3">
      <c r="A2118" s="36" t="s">
        <v>97</v>
      </c>
      <c r="B2118" s="36">
        <v>2022</v>
      </c>
      <c r="C2118" s="36" t="s">
        <v>11</v>
      </c>
      <c r="D2118" s="36" t="s">
        <v>103</v>
      </c>
      <c r="E2118" s="36" t="s">
        <v>105</v>
      </c>
      <c r="F2118" s="36" t="s">
        <v>106</v>
      </c>
      <c r="G2118" s="36" t="s">
        <v>102</v>
      </c>
      <c r="H2118" s="36" t="s">
        <v>95</v>
      </c>
      <c r="I2118" s="36" t="s">
        <v>107</v>
      </c>
      <c r="J2118" s="36">
        <v>284</v>
      </c>
      <c r="K2118" s="36">
        <v>406.12</v>
      </c>
    </row>
    <row r="2119" spans="1:11" x14ac:dyDescent="0.3">
      <c r="A2119" s="36" t="s">
        <v>97</v>
      </c>
      <c r="B2119" s="36">
        <v>2022</v>
      </c>
      <c r="C2119" s="36" t="s">
        <v>11</v>
      </c>
      <c r="D2119" s="36" t="s">
        <v>103</v>
      </c>
      <c r="E2119" s="36" t="s">
        <v>105</v>
      </c>
      <c r="F2119" s="36" t="s">
        <v>106</v>
      </c>
      <c r="G2119" s="36" t="s">
        <v>102</v>
      </c>
      <c r="H2119" s="36" t="s">
        <v>95</v>
      </c>
      <c r="I2119" s="36" t="s">
        <v>107</v>
      </c>
      <c r="J2119" s="36">
        <v>310</v>
      </c>
      <c r="K2119" s="36">
        <v>443.3</v>
      </c>
    </row>
    <row r="2120" spans="1:11" x14ac:dyDescent="0.3">
      <c r="A2120" s="36" t="s">
        <v>97</v>
      </c>
      <c r="B2120" s="36">
        <v>2022</v>
      </c>
      <c r="C2120" s="36" t="s">
        <v>11</v>
      </c>
      <c r="D2120" s="36" t="s">
        <v>103</v>
      </c>
      <c r="E2120" s="36" t="s">
        <v>105</v>
      </c>
      <c r="F2120" s="36" t="s">
        <v>106</v>
      </c>
      <c r="G2120" s="36" t="s">
        <v>102</v>
      </c>
      <c r="H2120" s="36" t="s">
        <v>95</v>
      </c>
      <c r="I2120" s="36" t="s">
        <v>107</v>
      </c>
      <c r="J2120" s="36">
        <v>238</v>
      </c>
      <c r="K2120" s="36">
        <v>340.34000000000003</v>
      </c>
    </row>
    <row r="2121" spans="1:11" x14ac:dyDescent="0.3">
      <c r="A2121" s="36" t="s">
        <v>97</v>
      </c>
      <c r="B2121" s="36">
        <v>2022</v>
      </c>
      <c r="C2121" s="36" t="s">
        <v>11</v>
      </c>
      <c r="D2121" s="36" t="s">
        <v>103</v>
      </c>
      <c r="E2121" s="36" t="s">
        <v>105</v>
      </c>
      <c r="F2121" s="36" t="s">
        <v>106</v>
      </c>
      <c r="G2121" s="36" t="s">
        <v>102</v>
      </c>
      <c r="H2121" s="36" t="s">
        <v>95</v>
      </c>
      <c r="I2121" s="36" t="s">
        <v>107</v>
      </c>
      <c r="J2121" s="36">
        <v>280</v>
      </c>
      <c r="K2121" s="36">
        <v>400.4</v>
      </c>
    </row>
    <row r="2122" spans="1:11" x14ac:dyDescent="0.3">
      <c r="A2122" s="36" t="s">
        <v>90</v>
      </c>
      <c r="B2122" s="36">
        <v>2022</v>
      </c>
      <c r="C2122" s="36" t="s">
        <v>11</v>
      </c>
      <c r="D2122" s="36" t="s">
        <v>103</v>
      </c>
      <c r="E2122" s="36" t="s">
        <v>105</v>
      </c>
      <c r="F2122" s="36" t="s">
        <v>106</v>
      </c>
      <c r="G2122" s="36" t="s">
        <v>102</v>
      </c>
      <c r="H2122" s="36" t="s">
        <v>95</v>
      </c>
      <c r="I2122" s="36" t="s">
        <v>107</v>
      </c>
      <c r="J2122" s="36">
        <v>787</v>
      </c>
      <c r="K2122" s="36">
        <v>1125.4099999999999</v>
      </c>
    </row>
    <row r="2123" spans="1:11" x14ac:dyDescent="0.3">
      <c r="A2123" s="36" t="s">
        <v>90</v>
      </c>
      <c r="B2123" s="36">
        <v>2022</v>
      </c>
      <c r="C2123" s="36" t="s">
        <v>11</v>
      </c>
      <c r="D2123" s="36" t="s">
        <v>103</v>
      </c>
      <c r="E2123" s="36" t="s">
        <v>105</v>
      </c>
      <c r="F2123" s="36" t="s">
        <v>106</v>
      </c>
      <c r="G2123" s="36" t="s">
        <v>102</v>
      </c>
      <c r="H2123" s="36" t="s">
        <v>95</v>
      </c>
      <c r="I2123" s="36" t="s">
        <v>107</v>
      </c>
      <c r="J2123" s="36">
        <v>841</v>
      </c>
      <c r="K2123" s="36">
        <v>1202.6300000000001</v>
      </c>
    </row>
    <row r="2124" spans="1:11" x14ac:dyDescent="0.3">
      <c r="A2124" s="36" t="s">
        <v>99</v>
      </c>
      <c r="B2124" s="36">
        <v>2022</v>
      </c>
      <c r="C2124" s="36" t="s">
        <v>11</v>
      </c>
      <c r="D2124" s="36" t="s">
        <v>103</v>
      </c>
      <c r="E2124" s="36" t="s">
        <v>105</v>
      </c>
      <c r="F2124" s="36" t="s">
        <v>106</v>
      </c>
      <c r="G2124" s="36" t="s">
        <v>102</v>
      </c>
      <c r="H2124" s="36" t="s">
        <v>95</v>
      </c>
      <c r="I2124" s="36" t="s">
        <v>107</v>
      </c>
      <c r="J2124" s="36">
        <v>874</v>
      </c>
      <c r="K2124" s="36">
        <v>1249.82</v>
      </c>
    </row>
    <row r="2125" spans="1:11" x14ac:dyDescent="0.3">
      <c r="A2125" s="36" t="s">
        <v>90</v>
      </c>
      <c r="B2125" s="36">
        <v>2022</v>
      </c>
      <c r="C2125" s="36" t="s">
        <v>11</v>
      </c>
      <c r="D2125" s="36" t="s">
        <v>103</v>
      </c>
      <c r="E2125" s="36" t="s">
        <v>105</v>
      </c>
      <c r="F2125" s="36" t="s">
        <v>106</v>
      </c>
      <c r="G2125" s="36" t="s">
        <v>102</v>
      </c>
      <c r="H2125" s="36" t="s">
        <v>95</v>
      </c>
      <c r="I2125" s="36" t="s">
        <v>107</v>
      </c>
      <c r="J2125" s="36">
        <v>953</v>
      </c>
      <c r="K2125" s="36">
        <v>1362.79</v>
      </c>
    </row>
    <row r="2126" spans="1:11" x14ac:dyDescent="0.3">
      <c r="A2126" s="36" t="s">
        <v>90</v>
      </c>
      <c r="B2126" s="36">
        <v>2022</v>
      </c>
      <c r="C2126" s="36" t="s">
        <v>11</v>
      </c>
      <c r="D2126" s="36" t="s">
        <v>103</v>
      </c>
      <c r="E2126" s="36" t="s">
        <v>105</v>
      </c>
      <c r="F2126" s="36" t="s">
        <v>106</v>
      </c>
      <c r="G2126" s="36" t="s">
        <v>102</v>
      </c>
      <c r="H2126" s="36" t="s">
        <v>95</v>
      </c>
      <c r="I2126" s="36" t="s">
        <v>107</v>
      </c>
      <c r="J2126" s="36">
        <v>954</v>
      </c>
      <c r="K2126" s="36">
        <v>1364.22</v>
      </c>
    </row>
    <row r="2127" spans="1:11" x14ac:dyDescent="0.3">
      <c r="A2127" s="36" t="s">
        <v>99</v>
      </c>
      <c r="B2127" s="36">
        <v>2022</v>
      </c>
      <c r="C2127" s="36" t="s">
        <v>11</v>
      </c>
      <c r="D2127" s="36" t="s">
        <v>103</v>
      </c>
      <c r="E2127" s="36" t="s">
        <v>105</v>
      </c>
      <c r="F2127" s="36" t="s">
        <v>106</v>
      </c>
      <c r="G2127" s="36" t="s">
        <v>102</v>
      </c>
      <c r="H2127" s="36" t="s">
        <v>95</v>
      </c>
      <c r="I2127" s="36" t="s">
        <v>107</v>
      </c>
      <c r="J2127" s="36">
        <v>827</v>
      </c>
      <c r="K2127" s="36">
        <v>526.24</v>
      </c>
    </row>
    <row r="2128" spans="1:11" x14ac:dyDescent="0.3">
      <c r="A2128" s="36" t="s">
        <v>90</v>
      </c>
      <c r="B2128" s="36">
        <v>2022</v>
      </c>
      <c r="C2128" s="36" t="s">
        <v>11</v>
      </c>
      <c r="D2128" s="36" t="s">
        <v>103</v>
      </c>
      <c r="E2128" s="36" t="s">
        <v>105</v>
      </c>
      <c r="F2128" s="36" t="s">
        <v>106</v>
      </c>
      <c r="G2128" s="36" t="s">
        <v>102</v>
      </c>
      <c r="H2128" s="36" t="s">
        <v>95</v>
      </c>
      <c r="I2128" s="36" t="s">
        <v>107</v>
      </c>
      <c r="J2128" s="36">
        <v>880</v>
      </c>
      <c r="K2128" s="36">
        <v>526.24</v>
      </c>
    </row>
    <row r="2129" spans="1:11" x14ac:dyDescent="0.3">
      <c r="A2129" s="36" t="s">
        <v>90</v>
      </c>
      <c r="B2129" s="36">
        <v>2022</v>
      </c>
      <c r="C2129" s="36" t="s">
        <v>11</v>
      </c>
      <c r="D2129" s="36" t="s">
        <v>103</v>
      </c>
      <c r="E2129" s="36" t="s">
        <v>105</v>
      </c>
      <c r="F2129" s="36" t="s">
        <v>106</v>
      </c>
      <c r="G2129" s="36" t="s">
        <v>102</v>
      </c>
      <c r="H2129" s="36" t="s">
        <v>95</v>
      </c>
      <c r="I2129" s="36" t="s">
        <v>107</v>
      </c>
      <c r="J2129" s="36">
        <v>285</v>
      </c>
      <c r="K2129" s="36">
        <v>407.55</v>
      </c>
    </row>
    <row r="2130" spans="1:11" x14ac:dyDescent="0.3">
      <c r="A2130" s="36" t="s">
        <v>97</v>
      </c>
      <c r="B2130" s="36">
        <v>2022</v>
      </c>
      <c r="C2130" s="36" t="s">
        <v>11</v>
      </c>
      <c r="D2130" s="36" t="s">
        <v>103</v>
      </c>
      <c r="E2130" s="36" t="s">
        <v>105</v>
      </c>
      <c r="F2130" s="36" t="s">
        <v>106</v>
      </c>
      <c r="G2130" s="36" t="s">
        <v>102</v>
      </c>
      <c r="H2130" s="36" t="s">
        <v>95</v>
      </c>
      <c r="I2130" s="36" t="s">
        <v>107</v>
      </c>
      <c r="J2130" s="36">
        <v>303</v>
      </c>
      <c r="K2130" s="36">
        <v>433.28999999999996</v>
      </c>
    </row>
    <row r="2131" spans="1:11" x14ac:dyDescent="0.3">
      <c r="A2131" s="36" t="s">
        <v>90</v>
      </c>
      <c r="B2131" s="36">
        <v>2022</v>
      </c>
      <c r="C2131" s="36" t="s">
        <v>11</v>
      </c>
      <c r="D2131" s="36" t="s">
        <v>103</v>
      </c>
      <c r="E2131" s="36" t="s">
        <v>105</v>
      </c>
      <c r="F2131" s="36" t="s">
        <v>106</v>
      </c>
      <c r="G2131" s="36" t="s">
        <v>102</v>
      </c>
      <c r="H2131" s="36" t="s">
        <v>95</v>
      </c>
      <c r="I2131" s="36" t="s">
        <v>107</v>
      </c>
      <c r="J2131" s="36">
        <v>297</v>
      </c>
      <c r="K2131" s="36">
        <v>424.71</v>
      </c>
    </row>
    <row r="2132" spans="1:11" x14ac:dyDescent="0.3">
      <c r="A2132" s="36" t="s">
        <v>90</v>
      </c>
      <c r="B2132" s="36">
        <v>2022</v>
      </c>
      <c r="C2132" s="36" t="s">
        <v>11</v>
      </c>
      <c r="D2132" s="36" t="s">
        <v>103</v>
      </c>
      <c r="E2132" s="36" t="s">
        <v>105</v>
      </c>
      <c r="F2132" s="36" t="s">
        <v>106</v>
      </c>
      <c r="G2132" s="36" t="s">
        <v>102</v>
      </c>
      <c r="H2132" s="36" t="s">
        <v>95</v>
      </c>
      <c r="I2132" s="36" t="s">
        <v>107</v>
      </c>
      <c r="J2132" s="36">
        <v>291</v>
      </c>
      <c r="K2132" s="36">
        <v>416.13</v>
      </c>
    </row>
    <row r="2133" spans="1:11" x14ac:dyDescent="0.3">
      <c r="A2133" s="36" t="s">
        <v>97</v>
      </c>
      <c r="B2133" s="36">
        <v>2022</v>
      </c>
      <c r="C2133" s="36" t="s">
        <v>11</v>
      </c>
      <c r="D2133" s="36" t="s">
        <v>103</v>
      </c>
      <c r="E2133" s="36" t="s">
        <v>105</v>
      </c>
      <c r="F2133" s="36" t="s">
        <v>106</v>
      </c>
      <c r="G2133" s="36" t="s">
        <v>102</v>
      </c>
      <c r="H2133" s="36" t="s">
        <v>95</v>
      </c>
      <c r="I2133" s="36" t="s">
        <v>107</v>
      </c>
      <c r="J2133" s="36">
        <v>307</v>
      </c>
      <c r="K2133" s="36">
        <v>439.01</v>
      </c>
    </row>
    <row r="2134" spans="1:11" x14ac:dyDescent="0.3">
      <c r="A2134" s="36" t="s">
        <v>90</v>
      </c>
      <c r="B2134" s="36">
        <v>2022</v>
      </c>
      <c r="C2134" s="36" t="s">
        <v>11</v>
      </c>
      <c r="D2134" s="36" t="s">
        <v>103</v>
      </c>
      <c r="E2134" s="36" t="s">
        <v>105</v>
      </c>
      <c r="F2134" s="36" t="s">
        <v>106</v>
      </c>
      <c r="G2134" s="36" t="s">
        <v>102</v>
      </c>
      <c r="H2134" s="36" t="s">
        <v>95</v>
      </c>
      <c r="I2134" s="36" t="s">
        <v>107</v>
      </c>
      <c r="J2134" s="36">
        <v>235</v>
      </c>
      <c r="K2134" s="36">
        <v>336.05</v>
      </c>
    </row>
    <row r="2135" spans="1:11" x14ac:dyDescent="0.3">
      <c r="A2135" s="36" t="s">
        <v>97</v>
      </c>
      <c r="B2135" s="36">
        <v>2022</v>
      </c>
      <c r="C2135" s="36" t="s">
        <v>11</v>
      </c>
      <c r="D2135" s="36" t="s">
        <v>103</v>
      </c>
      <c r="E2135" s="36" t="s">
        <v>105</v>
      </c>
      <c r="F2135" s="36" t="s">
        <v>106</v>
      </c>
      <c r="G2135" s="36" t="s">
        <v>102</v>
      </c>
      <c r="H2135" s="36" t="s">
        <v>95</v>
      </c>
      <c r="I2135" s="36" t="s">
        <v>107</v>
      </c>
      <c r="J2135" s="36">
        <v>283</v>
      </c>
      <c r="K2135" s="36">
        <v>404.69</v>
      </c>
    </row>
    <row r="2136" spans="1:11" x14ac:dyDescent="0.3">
      <c r="A2136" s="36" t="s">
        <v>97</v>
      </c>
      <c r="B2136" s="36">
        <v>2022</v>
      </c>
      <c r="C2136" s="36" t="s">
        <v>11</v>
      </c>
      <c r="D2136" s="36" t="s">
        <v>103</v>
      </c>
      <c r="E2136" s="36" t="s">
        <v>105</v>
      </c>
      <c r="F2136" s="36" t="s">
        <v>106</v>
      </c>
      <c r="G2136" s="36" t="s">
        <v>102</v>
      </c>
      <c r="H2136" s="36" t="s">
        <v>95</v>
      </c>
      <c r="I2136" s="36" t="s">
        <v>107</v>
      </c>
      <c r="J2136" s="36">
        <v>796</v>
      </c>
      <c r="K2136" s="36">
        <v>1138.28</v>
      </c>
    </row>
    <row r="2137" spans="1:11" x14ac:dyDescent="0.3">
      <c r="A2137" s="36" t="s">
        <v>97</v>
      </c>
      <c r="B2137" s="36">
        <v>2022</v>
      </c>
      <c r="C2137" s="36" t="s">
        <v>11</v>
      </c>
      <c r="D2137" s="36" t="s">
        <v>103</v>
      </c>
      <c r="E2137" s="36" t="s">
        <v>105</v>
      </c>
      <c r="F2137" s="36" t="s">
        <v>106</v>
      </c>
      <c r="G2137" s="36" t="s">
        <v>102</v>
      </c>
      <c r="H2137" s="36" t="s">
        <v>95</v>
      </c>
      <c r="I2137" s="36" t="s">
        <v>107</v>
      </c>
      <c r="J2137" s="36">
        <v>883</v>
      </c>
      <c r="K2137" s="36">
        <v>1262.69</v>
      </c>
    </row>
    <row r="2138" spans="1:11" x14ac:dyDescent="0.3">
      <c r="A2138" s="36" t="s">
        <v>99</v>
      </c>
      <c r="B2138" s="36">
        <v>2022</v>
      </c>
      <c r="C2138" s="36" t="s">
        <v>1</v>
      </c>
      <c r="D2138" s="36" t="s">
        <v>103</v>
      </c>
      <c r="E2138" s="36" t="s">
        <v>105</v>
      </c>
      <c r="F2138" s="36" t="s">
        <v>106</v>
      </c>
      <c r="G2138" s="36" t="s">
        <v>102</v>
      </c>
      <c r="H2138" s="36" t="s">
        <v>95</v>
      </c>
      <c r="I2138" s="36" t="s">
        <v>107</v>
      </c>
      <c r="J2138" s="36">
        <v>290</v>
      </c>
      <c r="K2138" s="36">
        <v>414.7</v>
      </c>
    </row>
    <row r="2139" spans="1:11" x14ac:dyDescent="0.3">
      <c r="A2139" s="36" t="s">
        <v>90</v>
      </c>
      <c r="B2139" s="36">
        <v>2022</v>
      </c>
      <c r="C2139" s="36" t="s">
        <v>1</v>
      </c>
      <c r="D2139" s="36" t="s">
        <v>103</v>
      </c>
      <c r="E2139" s="36" t="s">
        <v>105</v>
      </c>
      <c r="F2139" s="36" t="s">
        <v>106</v>
      </c>
      <c r="G2139" s="36" t="s">
        <v>102</v>
      </c>
      <c r="H2139" s="36" t="s">
        <v>95</v>
      </c>
      <c r="I2139" s="36" t="s">
        <v>107</v>
      </c>
      <c r="J2139" s="36">
        <v>338</v>
      </c>
      <c r="K2139" s="36">
        <v>483.34000000000003</v>
      </c>
    </row>
    <row r="2140" spans="1:11" x14ac:dyDescent="0.3">
      <c r="A2140" s="36" t="s">
        <v>99</v>
      </c>
      <c r="B2140" s="36">
        <v>2022</v>
      </c>
      <c r="C2140" s="36" t="s">
        <v>1</v>
      </c>
      <c r="D2140" s="36" t="s">
        <v>103</v>
      </c>
      <c r="E2140" s="36" t="s">
        <v>105</v>
      </c>
      <c r="F2140" s="36" t="s">
        <v>106</v>
      </c>
      <c r="G2140" s="36" t="s">
        <v>102</v>
      </c>
      <c r="H2140" s="36" t="s">
        <v>95</v>
      </c>
      <c r="I2140" s="36" t="s">
        <v>107</v>
      </c>
      <c r="J2140" s="36">
        <v>334</v>
      </c>
      <c r="K2140" s="36">
        <v>477.62</v>
      </c>
    </row>
    <row r="2141" spans="1:11" x14ac:dyDescent="0.3">
      <c r="A2141" s="36" t="s">
        <v>97</v>
      </c>
      <c r="B2141" s="36">
        <v>2022</v>
      </c>
      <c r="C2141" s="36" t="s">
        <v>1</v>
      </c>
      <c r="D2141" s="36" t="s">
        <v>103</v>
      </c>
      <c r="E2141" s="36" t="s">
        <v>105</v>
      </c>
      <c r="F2141" s="36" t="s">
        <v>106</v>
      </c>
      <c r="G2141" s="36" t="s">
        <v>102</v>
      </c>
      <c r="H2141" s="36" t="s">
        <v>95</v>
      </c>
      <c r="I2141" s="36" t="s">
        <v>107</v>
      </c>
      <c r="J2141" s="36">
        <v>832</v>
      </c>
      <c r="K2141" s="36">
        <v>1189.76</v>
      </c>
    </row>
    <row r="2142" spans="1:11" x14ac:dyDescent="0.3">
      <c r="A2142" s="36" t="s">
        <v>97</v>
      </c>
      <c r="B2142" s="36">
        <v>2022</v>
      </c>
      <c r="C2142" s="36" t="s">
        <v>1</v>
      </c>
      <c r="D2142" s="36" t="s">
        <v>103</v>
      </c>
      <c r="E2142" s="36" t="s">
        <v>105</v>
      </c>
      <c r="F2142" s="36" t="s">
        <v>106</v>
      </c>
      <c r="G2142" s="36" t="s">
        <v>102</v>
      </c>
      <c r="H2142" s="36" t="s">
        <v>95</v>
      </c>
      <c r="I2142" s="36" t="s">
        <v>107</v>
      </c>
      <c r="J2142" s="36">
        <v>865</v>
      </c>
      <c r="K2142" s="36">
        <v>1236.95</v>
      </c>
    </row>
    <row r="2143" spans="1:11" x14ac:dyDescent="0.3">
      <c r="A2143" s="36" t="s">
        <v>97</v>
      </c>
      <c r="B2143" s="36">
        <v>2022</v>
      </c>
      <c r="C2143" s="36" t="s">
        <v>1</v>
      </c>
      <c r="D2143" s="36" t="s">
        <v>103</v>
      </c>
      <c r="E2143" s="36" t="s">
        <v>105</v>
      </c>
      <c r="F2143" s="36" t="s">
        <v>106</v>
      </c>
      <c r="G2143" s="36" t="s">
        <v>102</v>
      </c>
      <c r="H2143" s="36" t="s">
        <v>95</v>
      </c>
      <c r="I2143" s="36" t="s">
        <v>107</v>
      </c>
      <c r="J2143" s="36">
        <v>926</v>
      </c>
      <c r="K2143" s="36">
        <v>1324.18</v>
      </c>
    </row>
    <row r="2144" spans="1:11" x14ac:dyDescent="0.3">
      <c r="A2144" s="36" t="s">
        <v>90</v>
      </c>
      <c r="B2144" s="36">
        <v>2022</v>
      </c>
      <c r="C2144" s="36" t="s">
        <v>1</v>
      </c>
      <c r="D2144" s="36" t="s">
        <v>103</v>
      </c>
      <c r="E2144" s="36" t="s">
        <v>105</v>
      </c>
      <c r="F2144" s="36" t="s">
        <v>106</v>
      </c>
      <c r="G2144" s="36" t="s">
        <v>102</v>
      </c>
      <c r="H2144" s="36" t="s">
        <v>95</v>
      </c>
      <c r="I2144" s="36" t="s">
        <v>107</v>
      </c>
      <c r="J2144" s="36">
        <v>927</v>
      </c>
      <c r="K2144" s="36">
        <v>1325.6100000000001</v>
      </c>
    </row>
    <row r="2145" spans="1:11" x14ac:dyDescent="0.3">
      <c r="A2145" s="36" t="s">
        <v>99</v>
      </c>
      <c r="B2145" s="36">
        <v>2022</v>
      </c>
      <c r="C2145" s="36" t="s">
        <v>1</v>
      </c>
      <c r="D2145" s="36" t="s">
        <v>103</v>
      </c>
      <c r="E2145" s="36" t="s">
        <v>105</v>
      </c>
      <c r="F2145" s="36" t="s">
        <v>106</v>
      </c>
      <c r="G2145" s="36" t="s">
        <v>102</v>
      </c>
      <c r="H2145" s="36" t="s">
        <v>95</v>
      </c>
      <c r="I2145" s="36" t="s">
        <v>107</v>
      </c>
      <c r="J2145" s="36">
        <v>928</v>
      </c>
      <c r="K2145" s="36">
        <v>1327.04</v>
      </c>
    </row>
    <row r="2146" spans="1:11" x14ac:dyDescent="0.3">
      <c r="A2146" s="36" t="s">
        <v>97</v>
      </c>
      <c r="B2146" s="36">
        <v>2022</v>
      </c>
      <c r="C2146" s="36" t="s">
        <v>1</v>
      </c>
      <c r="D2146" s="36" t="s">
        <v>103</v>
      </c>
      <c r="E2146" s="36" t="s">
        <v>105</v>
      </c>
      <c r="F2146" s="36" t="s">
        <v>106</v>
      </c>
      <c r="G2146" s="36" t="s">
        <v>102</v>
      </c>
      <c r="H2146" s="36" t="s">
        <v>95</v>
      </c>
      <c r="I2146" s="36" t="s">
        <v>107</v>
      </c>
      <c r="J2146" s="36">
        <v>871</v>
      </c>
      <c r="K2146" s="36">
        <v>526.24</v>
      </c>
    </row>
    <row r="2147" spans="1:11" x14ac:dyDescent="0.3">
      <c r="A2147" s="36" t="s">
        <v>99</v>
      </c>
      <c r="B2147" s="36">
        <v>2022</v>
      </c>
      <c r="C2147" s="36" t="s">
        <v>1</v>
      </c>
      <c r="D2147" s="36" t="s">
        <v>103</v>
      </c>
      <c r="E2147" s="36" t="s">
        <v>105</v>
      </c>
      <c r="F2147" s="36" t="s">
        <v>106</v>
      </c>
      <c r="G2147" s="36" t="s">
        <v>102</v>
      </c>
      <c r="H2147" s="36" t="s">
        <v>95</v>
      </c>
      <c r="I2147" s="36" t="s">
        <v>107</v>
      </c>
      <c r="J2147" s="36">
        <v>213</v>
      </c>
      <c r="K2147" s="36">
        <v>304.59000000000003</v>
      </c>
    </row>
    <row r="2148" spans="1:11" x14ac:dyDescent="0.3">
      <c r="A2148" s="36" t="s">
        <v>97</v>
      </c>
      <c r="B2148" s="36">
        <v>2022</v>
      </c>
      <c r="C2148" s="36" t="s">
        <v>1</v>
      </c>
      <c r="D2148" s="36" t="s">
        <v>103</v>
      </c>
      <c r="E2148" s="36" t="s">
        <v>105</v>
      </c>
      <c r="F2148" s="36" t="s">
        <v>106</v>
      </c>
      <c r="G2148" s="36" t="s">
        <v>102</v>
      </c>
      <c r="H2148" s="36" t="s">
        <v>95</v>
      </c>
      <c r="I2148" s="36" t="s">
        <v>107</v>
      </c>
      <c r="J2148" s="36">
        <v>207</v>
      </c>
      <c r="K2148" s="36">
        <v>296.01</v>
      </c>
    </row>
    <row r="2149" spans="1:11" x14ac:dyDescent="0.3">
      <c r="A2149" s="36" t="s">
        <v>90</v>
      </c>
      <c r="B2149" s="36">
        <v>2022</v>
      </c>
      <c r="C2149" s="36" t="s">
        <v>1</v>
      </c>
      <c r="D2149" s="36" t="s">
        <v>103</v>
      </c>
      <c r="E2149" s="36" t="s">
        <v>105</v>
      </c>
      <c r="F2149" s="36" t="s">
        <v>106</v>
      </c>
      <c r="G2149" s="36" t="s">
        <v>102</v>
      </c>
      <c r="H2149" s="36" t="s">
        <v>95</v>
      </c>
      <c r="I2149" s="36" t="s">
        <v>107</v>
      </c>
      <c r="J2149" s="36">
        <v>289</v>
      </c>
      <c r="K2149" s="36">
        <v>413.27</v>
      </c>
    </row>
    <row r="2150" spans="1:11" x14ac:dyDescent="0.3">
      <c r="A2150" s="36" t="s">
        <v>97</v>
      </c>
      <c r="B2150" s="36">
        <v>2022</v>
      </c>
      <c r="C2150" s="36" t="s">
        <v>1</v>
      </c>
      <c r="D2150" s="36" t="s">
        <v>103</v>
      </c>
      <c r="E2150" s="36" t="s">
        <v>105</v>
      </c>
      <c r="F2150" s="36" t="s">
        <v>106</v>
      </c>
      <c r="G2150" s="36" t="s">
        <v>102</v>
      </c>
      <c r="H2150" s="36" t="s">
        <v>95</v>
      </c>
      <c r="I2150" s="36" t="s">
        <v>107</v>
      </c>
      <c r="J2150" s="36">
        <v>337</v>
      </c>
      <c r="K2150" s="36">
        <v>481.90999999999997</v>
      </c>
    </row>
    <row r="2151" spans="1:11" x14ac:dyDescent="0.3">
      <c r="A2151" s="36" t="s">
        <v>99</v>
      </c>
      <c r="B2151" s="36">
        <v>2022</v>
      </c>
      <c r="C2151" s="36" t="s">
        <v>1</v>
      </c>
      <c r="D2151" s="36" t="s">
        <v>103</v>
      </c>
      <c r="E2151" s="36" t="s">
        <v>105</v>
      </c>
      <c r="F2151" s="36" t="s">
        <v>106</v>
      </c>
      <c r="G2151" s="36" t="s">
        <v>102</v>
      </c>
      <c r="H2151" s="36" t="s">
        <v>95</v>
      </c>
      <c r="I2151" s="36" t="s">
        <v>107</v>
      </c>
      <c r="J2151" s="36">
        <v>841</v>
      </c>
      <c r="K2151" s="36">
        <v>1202.6300000000001</v>
      </c>
    </row>
    <row r="2152" spans="1:11" x14ac:dyDescent="0.3">
      <c r="A2152" s="36" t="s">
        <v>90</v>
      </c>
      <c r="B2152" s="36">
        <v>2022</v>
      </c>
      <c r="C2152" s="36" t="s">
        <v>1</v>
      </c>
      <c r="D2152" s="36" t="s">
        <v>103</v>
      </c>
      <c r="E2152" s="36" t="s">
        <v>105</v>
      </c>
      <c r="F2152" s="36" t="s">
        <v>106</v>
      </c>
      <c r="G2152" s="36" t="s">
        <v>102</v>
      </c>
      <c r="H2152" s="36" t="s">
        <v>95</v>
      </c>
      <c r="I2152" s="36" t="s">
        <v>107</v>
      </c>
      <c r="J2152" s="36">
        <v>874</v>
      </c>
      <c r="K2152" s="36">
        <v>1249.82</v>
      </c>
    </row>
    <row r="2153" spans="1:11" x14ac:dyDescent="0.3">
      <c r="A2153" s="36" t="s">
        <v>99</v>
      </c>
      <c r="B2153" s="36">
        <v>2022</v>
      </c>
      <c r="C2153" s="36" t="s">
        <v>0</v>
      </c>
      <c r="D2153" s="36" t="s">
        <v>103</v>
      </c>
      <c r="E2153" s="36" t="s">
        <v>105</v>
      </c>
      <c r="F2153" s="36" t="s">
        <v>106</v>
      </c>
      <c r="G2153" s="36" t="s">
        <v>102</v>
      </c>
      <c r="H2153" s="36" t="s">
        <v>95</v>
      </c>
      <c r="I2153" s="36" t="s">
        <v>107</v>
      </c>
      <c r="J2153" s="36">
        <v>296</v>
      </c>
      <c r="K2153" s="36">
        <v>423.28</v>
      </c>
    </row>
    <row r="2154" spans="1:11" x14ac:dyDescent="0.3">
      <c r="A2154" s="36" t="s">
        <v>101</v>
      </c>
      <c r="B2154" s="36">
        <v>2022</v>
      </c>
      <c r="C2154" s="36" t="s">
        <v>0</v>
      </c>
      <c r="D2154" s="36" t="s">
        <v>103</v>
      </c>
      <c r="E2154" s="36" t="s">
        <v>105</v>
      </c>
      <c r="F2154" s="36" t="s">
        <v>106</v>
      </c>
      <c r="G2154" s="36" t="s">
        <v>102</v>
      </c>
      <c r="H2154" s="36" t="s">
        <v>95</v>
      </c>
      <c r="I2154" s="36" t="s">
        <v>107</v>
      </c>
      <c r="J2154" s="36">
        <v>292</v>
      </c>
      <c r="K2154" s="36">
        <v>417.56</v>
      </c>
    </row>
    <row r="2155" spans="1:11" x14ac:dyDescent="0.3">
      <c r="A2155" s="36" t="s">
        <v>99</v>
      </c>
      <c r="B2155" s="36">
        <v>2022</v>
      </c>
      <c r="C2155" s="36" t="s">
        <v>0</v>
      </c>
      <c r="D2155" s="36" t="s">
        <v>103</v>
      </c>
      <c r="E2155" s="36" t="s">
        <v>105</v>
      </c>
      <c r="F2155" s="36" t="s">
        <v>106</v>
      </c>
      <c r="G2155" s="36" t="s">
        <v>102</v>
      </c>
      <c r="H2155" s="36" t="s">
        <v>95</v>
      </c>
      <c r="I2155" s="36" t="s">
        <v>107</v>
      </c>
      <c r="J2155" s="36">
        <v>340</v>
      </c>
      <c r="K2155" s="36">
        <v>486.2</v>
      </c>
    </row>
    <row r="2156" spans="1:11" x14ac:dyDescent="0.3">
      <c r="A2156" s="36" t="s">
        <v>90</v>
      </c>
      <c r="B2156" s="36">
        <v>2022</v>
      </c>
      <c r="C2156" s="36" t="s">
        <v>0</v>
      </c>
      <c r="D2156" s="36" t="s">
        <v>103</v>
      </c>
      <c r="E2156" s="36" t="s">
        <v>105</v>
      </c>
      <c r="F2156" s="36" t="s">
        <v>106</v>
      </c>
      <c r="G2156" s="36" t="s">
        <v>102</v>
      </c>
      <c r="H2156" s="36" t="s">
        <v>95</v>
      </c>
      <c r="I2156" s="36" t="s">
        <v>107</v>
      </c>
      <c r="J2156" s="36">
        <v>831</v>
      </c>
      <c r="K2156" s="36">
        <v>1188.33</v>
      </c>
    </row>
    <row r="2157" spans="1:11" x14ac:dyDescent="0.3">
      <c r="A2157" s="36" t="s">
        <v>97</v>
      </c>
      <c r="B2157" s="36">
        <v>2022</v>
      </c>
      <c r="C2157" s="36" t="s">
        <v>0</v>
      </c>
      <c r="D2157" s="36" t="s">
        <v>103</v>
      </c>
      <c r="E2157" s="36" t="s">
        <v>105</v>
      </c>
      <c r="F2157" s="36" t="s">
        <v>106</v>
      </c>
      <c r="G2157" s="36" t="s">
        <v>102</v>
      </c>
      <c r="H2157" s="36" t="s">
        <v>95</v>
      </c>
      <c r="I2157" s="36" t="s">
        <v>107</v>
      </c>
      <c r="J2157" s="36">
        <v>864</v>
      </c>
      <c r="K2157" s="36">
        <v>1235.52</v>
      </c>
    </row>
    <row r="2158" spans="1:11" x14ac:dyDescent="0.3">
      <c r="A2158" s="36" t="s">
        <v>97</v>
      </c>
      <c r="B2158" s="36">
        <v>2022</v>
      </c>
      <c r="C2158" s="36" t="s">
        <v>0</v>
      </c>
      <c r="D2158" s="36" t="s">
        <v>103</v>
      </c>
      <c r="E2158" s="36" t="s">
        <v>105</v>
      </c>
      <c r="F2158" s="36" t="s">
        <v>106</v>
      </c>
      <c r="G2158" s="36" t="s">
        <v>102</v>
      </c>
      <c r="H2158" s="36" t="s">
        <v>95</v>
      </c>
      <c r="I2158" s="36" t="s">
        <v>107</v>
      </c>
      <c r="J2158" s="36">
        <v>923</v>
      </c>
      <c r="K2158" s="36">
        <v>1319.8899999999999</v>
      </c>
    </row>
    <row r="2159" spans="1:11" x14ac:dyDescent="0.3">
      <c r="A2159" s="36" t="s">
        <v>90</v>
      </c>
      <c r="B2159" s="36">
        <v>2022</v>
      </c>
      <c r="C2159" s="36" t="s">
        <v>0</v>
      </c>
      <c r="D2159" s="36" t="s">
        <v>103</v>
      </c>
      <c r="E2159" s="36" t="s">
        <v>105</v>
      </c>
      <c r="F2159" s="36" t="s">
        <v>106</v>
      </c>
      <c r="G2159" s="36" t="s">
        <v>102</v>
      </c>
      <c r="H2159" s="36" t="s">
        <v>95</v>
      </c>
      <c r="I2159" s="36" t="s">
        <v>107</v>
      </c>
      <c r="J2159" s="36">
        <v>924</v>
      </c>
      <c r="K2159" s="36">
        <v>1321.32</v>
      </c>
    </row>
    <row r="2160" spans="1:11" x14ac:dyDescent="0.3">
      <c r="A2160" s="36" t="s">
        <v>99</v>
      </c>
      <c r="B2160" s="36">
        <v>2022</v>
      </c>
      <c r="C2160" s="36" t="s">
        <v>0</v>
      </c>
      <c r="D2160" s="36" t="s">
        <v>103</v>
      </c>
      <c r="E2160" s="36" t="s">
        <v>105</v>
      </c>
      <c r="F2160" s="36" t="s">
        <v>106</v>
      </c>
      <c r="G2160" s="36" t="s">
        <v>102</v>
      </c>
      <c r="H2160" s="36" t="s">
        <v>95</v>
      </c>
      <c r="I2160" s="36" t="s">
        <v>107</v>
      </c>
      <c r="J2160" s="36">
        <v>925</v>
      </c>
      <c r="K2160" s="36">
        <v>1322.75</v>
      </c>
    </row>
    <row r="2161" spans="1:11" x14ac:dyDescent="0.3">
      <c r="A2161" s="36" t="s">
        <v>97</v>
      </c>
      <c r="B2161" s="36">
        <v>2022</v>
      </c>
      <c r="C2161" s="36" t="s">
        <v>0</v>
      </c>
      <c r="D2161" s="36" t="s">
        <v>103</v>
      </c>
      <c r="E2161" s="36" t="s">
        <v>105</v>
      </c>
      <c r="F2161" s="36" t="s">
        <v>106</v>
      </c>
      <c r="G2161" s="36" t="s">
        <v>102</v>
      </c>
      <c r="H2161" s="36" t="s">
        <v>95</v>
      </c>
      <c r="I2161" s="36" t="s">
        <v>107</v>
      </c>
      <c r="J2161" s="36">
        <v>870</v>
      </c>
      <c r="K2161" s="36">
        <v>526.24</v>
      </c>
    </row>
    <row r="2162" spans="1:11" x14ac:dyDescent="0.3">
      <c r="A2162" s="36" t="s">
        <v>97</v>
      </c>
      <c r="B2162" s="36">
        <v>2022</v>
      </c>
      <c r="C2162" s="36" t="s">
        <v>0</v>
      </c>
      <c r="D2162" s="36" t="s">
        <v>103</v>
      </c>
      <c r="E2162" s="36" t="s">
        <v>105</v>
      </c>
      <c r="F2162" s="36" t="s">
        <v>106</v>
      </c>
      <c r="G2162" s="36" t="s">
        <v>102</v>
      </c>
      <c r="H2162" s="36" t="s">
        <v>95</v>
      </c>
      <c r="I2162" s="36" t="s">
        <v>107</v>
      </c>
      <c r="J2162" s="36">
        <v>339</v>
      </c>
      <c r="K2162" s="36">
        <v>484.77</v>
      </c>
    </row>
    <row r="2163" spans="1:11" x14ac:dyDescent="0.3">
      <c r="A2163" s="36" t="s">
        <v>99</v>
      </c>
      <c r="B2163" s="36">
        <v>2022</v>
      </c>
      <c r="C2163" s="36" t="s">
        <v>0</v>
      </c>
      <c r="D2163" s="36" t="s">
        <v>103</v>
      </c>
      <c r="E2163" s="36" t="s">
        <v>105</v>
      </c>
      <c r="F2163" s="36" t="s">
        <v>106</v>
      </c>
      <c r="G2163" s="36" t="s">
        <v>102</v>
      </c>
      <c r="H2163" s="36" t="s">
        <v>95</v>
      </c>
      <c r="I2163" s="36" t="s">
        <v>107</v>
      </c>
      <c r="J2163" s="36">
        <v>231</v>
      </c>
      <c r="K2163" s="36">
        <v>330.33</v>
      </c>
    </row>
    <row r="2164" spans="1:11" x14ac:dyDescent="0.3">
      <c r="A2164" s="36" t="s">
        <v>90</v>
      </c>
      <c r="B2164" s="36">
        <v>2022</v>
      </c>
      <c r="C2164" s="36" t="s">
        <v>0</v>
      </c>
      <c r="D2164" s="36" t="s">
        <v>103</v>
      </c>
      <c r="E2164" s="36" t="s">
        <v>105</v>
      </c>
      <c r="F2164" s="36" t="s">
        <v>106</v>
      </c>
      <c r="G2164" s="36" t="s">
        <v>102</v>
      </c>
      <c r="H2164" s="36" t="s">
        <v>95</v>
      </c>
      <c r="I2164" s="36" t="s">
        <v>107</v>
      </c>
      <c r="J2164" s="36">
        <v>225</v>
      </c>
      <c r="K2164" s="36">
        <v>321.75</v>
      </c>
    </row>
    <row r="2165" spans="1:11" x14ac:dyDescent="0.3">
      <c r="A2165" s="36" t="s">
        <v>101</v>
      </c>
      <c r="B2165" s="36">
        <v>2022</v>
      </c>
      <c r="C2165" s="36" t="s">
        <v>0</v>
      </c>
      <c r="D2165" s="36" t="s">
        <v>103</v>
      </c>
      <c r="E2165" s="36" t="s">
        <v>105</v>
      </c>
      <c r="F2165" s="36" t="s">
        <v>106</v>
      </c>
      <c r="G2165" s="36" t="s">
        <v>102</v>
      </c>
      <c r="H2165" s="36" t="s">
        <v>95</v>
      </c>
      <c r="I2165" s="36" t="s">
        <v>107</v>
      </c>
      <c r="J2165" s="36">
        <v>219</v>
      </c>
      <c r="K2165" s="36">
        <v>313.17</v>
      </c>
    </row>
    <row r="2166" spans="1:11" x14ac:dyDescent="0.3">
      <c r="A2166" s="36" t="s">
        <v>90</v>
      </c>
      <c r="B2166" s="36">
        <v>2022</v>
      </c>
      <c r="C2166" s="36" t="s">
        <v>0</v>
      </c>
      <c r="D2166" s="36" t="s">
        <v>103</v>
      </c>
      <c r="E2166" s="36" t="s">
        <v>105</v>
      </c>
      <c r="F2166" s="36" t="s">
        <v>106</v>
      </c>
      <c r="G2166" s="36" t="s">
        <v>102</v>
      </c>
      <c r="H2166" s="36" t="s">
        <v>95</v>
      </c>
      <c r="I2166" s="36" t="s">
        <v>107</v>
      </c>
      <c r="J2166" s="36">
        <v>295</v>
      </c>
      <c r="K2166" s="36">
        <v>421.85</v>
      </c>
    </row>
    <row r="2167" spans="1:11" x14ac:dyDescent="0.3">
      <c r="A2167" s="36" t="s">
        <v>97</v>
      </c>
      <c r="B2167" s="36">
        <v>2022</v>
      </c>
      <c r="C2167" s="36" t="s">
        <v>0</v>
      </c>
      <c r="D2167" s="36" t="s">
        <v>103</v>
      </c>
      <c r="E2167" s="36" t="s">
        <v>105</v>
      </c>
      <c r="F2167" s="36" t="s">
        <v>106</v>
      </c>
      <c r="G2167" s="36" t="s">
        <v>102</v>
      </c>
      <c r="H2167" s="36" t="s">
        <v>95</v>
      </c>
      <c r="I2167" s="36" t="s">
        <v>107</v>
      </c>
      <c r="J2167" s="36">
        <v>343</v>
      </c>
      <c r="K2167" s="36">
        <v>490.49</v>
      </c>
    </row>
    <row r="2168" spans="1:11" x14ac:dyDescent="0.3">
      <c r="A2168" s="36" t="s">
        <v>99</v>
      </c>
      <c r="B2168" s="36">
        <v>2022</v>
      </c>
      <c r="C2168" s="36" t="s">
        <v>0</v>
      </c>
      <c r="D2168" s="36" t="s">
        <v>103</v>
      </c>
      <c r="E2168" s="36" t="s">
        <v>105</v>
      </c>
      <c r="F2168" s="36" t="s">
        <v>106</v>
      </c>
      <c r="G2168" s="36" t="s">
        <v>102</v>
      </c>
      <c r="H2168" s="36" t="s">
        <v>95</v>
      </c>
      <c r="I2168" s="36" t="s">
        <v>107</v>
      </c>
      <c r="J2168" s="36">
        <v>840</v>
      </c>
      <c r="K2168" s="36">
        <v>1201.2</v>
      </c>
    </row>
    <row r="2169" spans="1:11" x14ac:dyDescent="0.3">
      <c r="A2169" s="36" t="s">
        <v>97</v>
      </c>
      <c r="B2169" s="36">
        <v>2022</v>
      </c>
      <c r="C2169" s="36" t="s">
        <v>0</v>
      </c>
      <c r="D2169" s="36" t="s">
        <v>103</v>
      </c>
      <c r="E2169" s="36" t="s">
        <v>105</v>
      </c>
      <c r="F2169" s="36" t="s">
        <v>106</v>
      </c>
      <c r="G2169" s="36" t="s">
        <v>102</v>
      </c>
      <c r="H2169" s="36" t="s">
        <v>104</v>
      </c>
      <c r="I2169" s="36" t="s">
        <v>107</v>
      </c>
      <c r="J2169" s="36">
        <v>873</v>
      </c>
      <c r="K2169" s="36">
        <v>1248.3899999999999</v>
      </c>
    </row>
    <row r="2170" spans="1:11" x14ac:dyDescent="0.3">
      <c r="A2170" s="36" t="s">
        <v>100</v>
      </c>
      <c r="B2170" s="36">
        <v>2022</v>
      </c>
      <c r="C2170" s="36" t="s">
        <v>6</v>
      </c>
      <c r="D2170" s="36" t="s">
        <v>103</v>
      </c>
      <c r="E2170" s="36" t="s">
        <v>105</v>
      </c>
      <c r="F2170" s="36" t="s">
        <v>106</v>
      </c>
      <c r="G2170" s="36" t="s">
        <v>102</v>
      </c>
      <c r="H2170" s="36" t="s">
        <v>104</v>
      </c>
      <c r="I2170" s="36" t="s">
        <v>107</v>
      </c>
      <c r="J2170" s="36">
        <v>338</v>
      </c>
      <c r="K2170" s="36">
        <v>483.34000000000003</v>
      </c>
    </row>
    <row r="2171" spans="1:11" x14ac:dyDescent="0.3">
      <c r="A2171" s="36" t="s">
        <v>90</v>
      </c>
      <c r="B2171" s="36">
        <v>2022</v>
      </c>
      <c r="C2171" s="36" t="s">
        <v>6</v>
      </c>
      <c r="D2171" s="36" t="s">
        <v>103</v>
      </c>
      <c r="E2171" s="36" t="s">
        <v>105</v>
      </c>
      <c r="F2171" s="36" t="s">
        <v>106</v>
      </c>
      <c r="G2171" s="36" t="s">
        <v>102</v>
      </c>
      <c r="H2171" s="36" t="s">
        <v>104</v>
      </c>
      <c r="I2171" s="36" t="s">
        <v>107</v>
      </c>
      <c r="J2171" s="36">
        <v>260</v>
      </c>
      <c r="K2171" s="36">
        <v>371.8</v>
      </c>
    </row>
    <row r="2172" spans="1:11" x14ac:dyDescent="0.3">
      <c r="A2172" s="36" t="s">
        <v>99</v>
      </c>
      <c r="B2172" s="36">
        <v>2022</v>
      </c>
      <c r="C2172" s="36" t="s">
        <v>6</v>
      </c>
      <c r="D2172" s="36" t="s">
        <v>103</v>
      </c>
      <c r="E2172" s="36" t="s">
        <v>105</v>
      </c>
      <c r="F2172" s="36" t="s">
        <v>106</v>
      </c>
      <c r="G2172" s="36" t="s">
        <v>102</v>
      </c>
      <c r="H2172" s="36" t="s">
        <v>104</v>
      </c>
      <c r="I2172" s="36" t="s">
        <v>107</v>
      </c>
      <c r="J2172" s="36">
        <v>308</v>
      </c>
      <c r="K2172" s="36">
        <v>440.44</v>
      </c>
    </row>
    <row r="2173" spans="1:11" x14ac:dyDescent="0.3">
      <c r="A2173" s="36" t="s">
        <v>101</v>
      </c>
      <c r="B2173" s="36">
        <v>2022</v>
      </c>
      <c r="C2173" s="36" t="s">
        <v>6</v>
      </c>
      <c r="D2173" s="36" t="s">
        <v>103</v>
      </c>
      <c r="E2173" s="36" t="s">
        <v>105</v>
      </c>
      <c r="F2173" s="36" t="s">
        <v>106</v>
      </c>
      <c r="G2173" s="36" t="s">
        <v>102</v>
      </c>
      <c r="H2173" s="36" t="s">
        <v>104</v>
      </c>
      <c r="I2173" s="36" t="s">
        <v>107</v>
      </c>
      <c r="J2173" s="36">
        <v>334</v>
      </c>
      <c r="K2173" s="36">
        <v>477.62</v>
      </c>
    </row>
    <row r="2174" spans="1:11" x14ac:dyDescent="0.3">
      <c r="A2174" s="36" t="s">
        <v>99</v>
      </c>
      <c r="B2174" s="36">
        <v>2022</v>
      </c>
      <c r="C2174" s="36" t="s">
        <v>6</v>
      </c>
      <c r="D2174" s="36" t="s">
        <v>103</v>
      </c>
      <c r="E2174" s="36" t="s">
        <v>105</v>
      </c>
      <c r="F2174" s="36" t="s">
        <v>106</v>
      </c>
      <c r="G2174" s="36" t="s">
        <v>102</v>
      </c>
      <c r="H2174" s="36" t="s">
        <v>104</v>
      </c>
      <c r="I2174" s="36" t="s">
        <v>107</v>
      </c>
      <c r="J2174" s="36">
        <v>262</v>
      </c>
      <c r="K2174" s="36">
        <v>374.65999999999997</v>
      </c>
    </row>
    <row r="2175" spans="1:11" x14ac:dyDescent="0.3">
      <c r="A2175" s="36" t="s">
        <v>97</v>
      </c>
      <c r="B2175" s="36">
        <v>2022</v>
      </c>
      <c r="C2175" s="36" t="s">
        <v>6</v>
      </c>
      <c r="D2175" s="36" t="s">
        <v>103</v>
      </c>
      <c r="E2175" s="36" t="s">
        <v>105</v>
      </c>
      <c r="F2175" s="36" t="s">
        <v>106</v>
      </c>
      <c r="G2175" s="36" t="s">
        <v>102</v>
      </c>
      <c r="H2175" s="36" t="s">
        <v>104</v>
      </c>
      <c r="I2175" s="36" t="s">
        <v>107</v>
      </c>
      <c r="J2175" s="36">
        <v>310</v>
      </c>
      <c r="K2175" s="36">
        <v>443.3</v>
      </c>
    </row>
    <row r="2176" spans="1:11" x14ac:dyDescent="0.3">
      <c r="A2176" s="36" t="s">
        <v>97</v>
      </c>
      <c r="B2176" s="36">
        <v>2022</v>
      </c>
      <c r="C2176" s="36" t="s">
        <v>6</v>
      </c>
      <c r="D2176" s="36" t="s">
        <v>103</v>
      </c>
      <c r="E2176" s="36" t="s">
        <v>105</v>
      </c>
      <c r="F2176" s="36" t="s">
        <v>106</v>
      </c>
      <c r="G2176" s="36" t="s">
        <v>102</v>
      </c>
      <c r="H2176" s="36" t="s">
        <v>104</v>
      </c>
      <c r="I2176" s="36" t="s">
        <v>107</v>
      </c>
      <c r="J2176" s="36">
        <v>783</v>
      </c>
      <c r="K2176" s="36">
        <v>1119.69</v>
      </c>
    </row>
    <row r="2177" spans="1:11" x14ac:dyDescent="0.3">
      <c r="A2177" s="36" t="s">
        <v>90</v>
      </c>
      <c r="B2177" s="36">
        <v>2022</v>
      </c>
      <c r="C2177" s="36" t="s">
        <v>6</v>
      </c>
      <c r="D2177" s="36" t="s">
        <v>103</v>
      </c>
      <c r="E2177" s="36" t="s">
        <v>105</v>
      </c>
      <c r="F2177" s="36" t="s">
        <v>106</v>
      </c>
      <c r="G2177" s="36" t="s">
        <v>102</v>
      </c>
      <c r="H2177" s="36" t="s">
        <v>104</v>
      </c>
      <c r="I2177" s="36" t="s">
        <v>107</v>
      </c>
      <c r="J2177" s="36">
        <v>836</v>
      </c>
      <c r="K2177" s="36">
        <v>1195.48</v>
      </c>
    </row>
    <row r="2178" spans="1:11" x14ac:dyDescent="0.3">
      <c r="A2178" s="36" t="s">
        <v>90</v>
      </c>
      <c r="B2178" s="36">
        <v>2022</v>
      </c>
      <c r="C2178" s="36" t="s">
        <v>6</v>
      </c>
      <c r="D2178" s="36" t="s">
        <v>103</v>
      </c>
      <c r="E2178" s="36" t="s">
        <v>105</v>
      </c>
      <c r="F2178" s="36" t="s">
        <v>106</v>
      </c>
      <c r="G2178" s="36" t="s">
        <v>102</v>
      </c>
      <c r="H2178" s="36" t="s">
        <v>104</v>
      </c>
      <c r="I2178" s="36" t="s">
        <v>107</v>
      </c>
      <c r="J2178" s="36">
        <v>939</v>
      </c>
      <c r="K2178" s="36">
        <v>1342.77</v>
      </c>
    </row>
    <row r="2179" spans="1:11" x14ac:dyDescent="0.3">
      <c r="A2179" s="36" t="s">
        <v>97</v>
      </c>
      <c r="B2179" s="36">
        <v>2022</v>
      </c>
      <c r="C2179" s="36" t="s">
        <v>6</v>
      </c>
      <c r="D2179" s="36" t="s">
        <v>103</v>
      </c>
      <c r="E2179" s="36" t="s">
        <v>105</v>
      </c>
      <c r="F2179" s="36" t="s">
        <v>106</v>
      </c>
      <c r="G2179" s="36" t="s">
        <v>102</v>
      </c>
      <c r="H2179" s="36" t="s">
        <v>104</v>
      </c>
      <c r="I2179" s="36" t="s">
        <v>107</v>
      </c>
      <c r="J2179" s="36">
        <v>940</v>
      </c>
      <c r="K2179" s="36">
        <v>1344.2</v>
      </c>
    </row>
    <row r="2180" spans="1:11" x14ac:dyDescent="0.3">
      <c r="A2180" s="36" t="s">
        <v>99</v>
      </c>
      <c r="B2180" s="36">
        <v>2022</v>
      </c>
      <c r="C2180" s="36" t="s">
        <v>6</v>
      </c>
      <c r="D2180" s="36" t="s">
        <v>103</v>
      </c>
      <c r="E2180" s="36" t="s">
        <v>105</v>
      </c>
      <c r="F2180" s="36" t="s">
        <v>106</v>
      </c>
      <c r="G2180" s="36" t="s">
        <v>102</v>
      </c>
      <c r="H2180" s="36" t="s">
        <v>104</v>
      </c>
      <c r="I2180" s="36" t="s">
        <v>107</v>
      </c>
      <c r="J2180" s="36">
        <v>941</v>
      </c>
      <c r="K2180" s="36">
        <v>1345.63</v>
      </c>
    </row>
    <row r="2181" spans="1:11" x14ac:dyDescent="0.3">
      <c r="A2181" s="36" t="s">
        <v>99</v>
      </c>
      <c r="B2181" s="36">
        <v>2022</v>
      </c>
      <c r="C2181" s="36" t="s">
        <v>6</v>
      </c>
      <c r="D2181" s="36" t="s">
        <v>103</v>
      </c>
      <c r="E2181" s="36" t="s">
        <v>105</v>
      </c>
      <c r="F2181" s="36" t="s">
        <v>106</v>
      </c>
      <c r="G2181" s="36" t="s">
        <v>102</v>
      </c>
      <c r="H2181" s="36" t="s">
        <v>104</v>
      </c>
      <c r="I2181" s="36" t="s">
        <v>107</v>
      </c>
      <c r="J2181" s="36">
        <v>876</v>
      </c>
      <c r="K2181" s="36">
        <v>526.24</v>
      </c>
    </row>
    <row r="2182" spans="1:11" x14ac:dyDescent="0.3">
      <c r="A2182" s="36" t="s">
        <v>97</v>
      </c>
      <c r="B2182" s="36">
        <v>2022</v>
      </c>
      <c r="C2182" s="36" t="s">
        <v>6</v>
      </c>
      <c r="D2182" s="36" t="s">
        <v>103</v>
      </c>
      <c r="E2182" s="36" t="s">
        <v>105</v>
      </c>
      <c r="F2182" s="36" t="s">
        <v>106</v>
      </c>
      <c r="G2182" s="36" t="s">
        <v>102</v>
      </c>
      <c r="H2182" s="36" t="s">
        <v>104</v>
      </c>
      <c r="I2182" s="36" t="s">
        <v>107</v>
      </c>
      <c r="J2182" s="36">
        <v>309</v>
      </c>
      <c r="K2182" s="36">
        <v>441.87</v>
      </c>
    </row>
    <row r="2183" spans="1:11" x14ac:dyDescent="0.3">
      <c r="A2183" s="36" t="s">
        <v>90</v>
      </c>
      <c r="B2183" s="36">
        <v>2022</v>
      </c>
      <c r="C2183" s="36" t="s">
        <v>6</v>
      </c>
      <c r="D2183" s="36" t="s">
        <v>103</v>
      </c>
      <c r="E2183" s="36" t="s">
        <v>105</v>
      </c>
      <c r="F2183" s="36" t="s">
        <v>106</v>
      </c>
      <c r="G2183" s="36" t="s">
        <v>102</v>
      </c>
      <c r="H2183" s="36" t="s">
        <v>104</v>
      </c>
      <c r="I2183" s="36" t="s">
        <v>107</v>
      </c>
      <c r="J2183" s="36">
        <v>135</v>
      </c>
      <c r="K2183" s="36">
        <v>193.05</v>
      </c>
    </row>
    <row r="2184" spans="1:11" x14ac:dyDescent="0.3">
      <c r="A2184" s="36" t="s">
        <v>99</v>
      </c>
      <c r="B2184" s="36">
        <v>2022</v>
      </c>
      <c r="C2184" s="36" t="s">
        <v>6</v>
      </c>
      <c r="D2184" s="36" t="s">
        <v>103</v>
      </c>
      <c r="E2184" s="36" t="s">
        <v>105</v>
      </c>
      <c r="F2184" s="36" t="s">
        <v>106</v>
      </c>
      <c r="G2184" s="36" t="s">
        <v>102</v>
      </c>
      <c r="H2184" s="36" t="s">
        <v>104</v>
      </c>
      <c r="I2184" s="36" t="s">
        <v>107</v>
      </c>
      <c r="J2184" s="36">
        <v>129</v>
      </c>
      <c r="K2184" s="36">
        <v>184.47</v>
      </c>
    </row>
    <row r="2185" spans="1:11" x14ac:dyDescent="0.3">
      <c r="A2185" s="36" t="s">
        <v>90</v>
      </c>
      <c r="B2185" s="36">
        <v>2022</v>
      </c>
      <c r="C2185" s="36" t="s">
        <v>6</v>
      </c>
      <c r="D2185" s="36" t="s">
        <v>103</v>
      </c>
      <c r="E2185" s="36" t="s">
        <v>105</v>
      </c>
      <c r="F2185" s="36" t="s">
        <v>106</v>
      </c>
      <c r="G2185" s="36" t="s">
        <v>102</v>
      </c>
      <c r="H2185" s="36" t="s">
        <v>104</v>
      </c>
      <c r="I2185" s="36" t="s">
        <v>107</v>
      </c>
      <c r="J2185" s="36">
        <v>369</v>
      </c>
      <c r="K2185" s="36">
        <v>527.66999999999996</v>
      </c>
    </row>
    <row r="2186" spans="1:11" x14ac:dyDescent="0.3">
      <c r="A2186" s="36" t="s">
        <v>97</v>
      </c>
      <c r="B2186" s="36">
        <v>2022</v>
      </c>
      <c r="C2186" s="36" t="s">
        <v>6</v>
      </c>
      <c r="D2186" s="36" t="s">
        <v>103</v>
      </c>
      <c r="E2186" s="36" t="s">
        <v>105</v>
      </c>
      <c r="F2186" s="36" t="s">
        <v>106</v>
      </c>
      <c r="G2186" s="36" t="s">
        <v>102</v>
      </c>
      <c r="H2186" s="36" t="s">
        <v>104</v>
      </c>
      <c r="I2186" s="36" t="s">
        <v>107</v>
      </c>
      <c r="J2186" s="36">
        <v>337</v>
      </c>
      <c r="K2186" s="36">
        <v>481.90999999999997</v>
      </c>
    </row>
    <row r="2187" spans="1:11" x14ac:dyDescent="0.3">
      <c r="A2187" s="36" t="s">
        <v>90</v>
      </c>
      <c r="B2187" s="36">
        <v>2022</v>
      </c>
      <c r="C2187" s="36" t="s">
        <v>6</v>
      </c>
      <c r="D2187" s="36" t="s">
        <v>103</v>
      </c>
      <c r="E2187" s="36" t="s">
        <v>105</v>
      </c>
      <c r="F2187" s="36" t="s">
        <v>106</v>
      </c>
      <c r="G2187" s="36" t="s">
        <v>102</v>
      </c>
      <c r="H2187" s="36" t="s">
        <v>104</v>
      </c>
      <c r="I2187" s="36" t="s">
        <v>107</v>
      </c>
      <c r="J2187" s="36">
        <v>265</v>
      </c>
      <c r="K2187" s="36">
        <v>378.95</v>
      </c>
    </row>
    <row r="2188" spans="1:11" x14ac:dyDescent="0.3">
      <c r="A2188" s="36" t="s">
        <v>101</v>
      </c>
      <c r="B2188" s="36">
        <v>2022</v>
      </c>
      <c r="C2188" s="36" t="s">
        <v>6</v>
      </c>
      <c r="D2188" s="36" t="s">
        <v>103</v>
      </c>
      <c r="E2188" s="36" t="s">
        <v>105</v>
      </c>
      <c r="F2188" s="36" t="s">
        <v>106</v>
      </c>
      <c r="G2188" s="36" t="s">
        <v>102</v>
      </c>
      <c r="H2188" s="36" t="s">
        <v>104</v>
      </c>
      <c r="I2188" s="36" t="s">
        <v>107</v>
      </c>
      <c r="J2188" s="36">
        <v>307</v>
      </c>
      <c r="K2188" s="36">
        <v>439.01</v>
      </c>
    </row>
    <row r="2189" spans="1:11" x14ac:dyDescent="0.3">
      <c r="A2189" s="36" t="s">
        <v>99</v>
      </c>
      <c r="B2189" s="36">
        <v>2022</v>
      </c>
      <c r="C2189" s="36" t="s">
        <v>6</v>
      </c>
      <c r="D2189" s="36" t="s">
        <v>103</v>
      </c>
      <c r="E2189" s="36" t="s">
        <v>105</v>
      </c>
      <c r="F2189" s="36" t="s">
        <v>106</v>
      </c>
      <c r="G2189" s="36" t="s">
        <v>102</v>
      </c>
      <c r="H2189" s="36" t="s">
        <v>104</v>
      </c>
      <c r="I2189" s="36" t="s">
        <v>107</v>
      </c>
      <c r="J2189" s="36">
        <v>792</v>
      </c>
      <c r="K2189" s="36">
        <v>1132.56</v>
      </c>
    </row>
    <row r="2190" spans="1:11" x14ac:dyDescent="0.3">
      <c r="A2190" s="36" t="s">
        <v>97</v>
      </c>
      <c r="B2190" s="36">
        <v>2022</v>
      </c>
      <c r="C2190" s="36" t="s">
        <v>6</v>
      </c>
      <c r="D2190" s="36" t="s">
        <v>103</v>
      </c>
      <c r="E2190" s="36" t="s">
        <v>105</v>
      </c>
      <c r="F2190" s="36" t="s">
        <v>106</v>
      </c>
      <c r="G2190" s="36" t="s">
        <v>102</v>
      </c>
      <c r="H2190" s="36" t="s">
        <v>104</v>
      </c>
      <c r="I2190" s="36" t="s">
        <v>107</v>
      </c>
      <c r="J2190" s="36">
        <v>845</v>
      </c>
      <c r="K2190" s="36">
        <v>1208.3499999999999</v>
      </c>
    </row>
    <row r="2191" spans="1:11" x14ac:dyDescent="0.3">
      <c r="A2191" s="36" t="s">
        <v>100</v>
      </c>
      <c r="B2191" s="36">
        <v>2022</v>
      </c>
      <c r="C2191" s="36" t="s">
        <v>6</v>
      </c>
      <c r="D2191" s="36" t="s">
        <v>103</v>
      </c>
      <c r="E2191" s="36" t="s">
        <v>105</v>
      </c>
      <c r="F2191" s="36" t="s">
        <v>106</v>
      </c>
      <c r="G2191" s="36" t="s">
        <v>102</v>
      </c>
      <c r="H2191" s="36" t="s">
        <v>104</v>
      </c>
      <c r="I2191" s="36" t="s">
        <v>107</v>
      </c>
      <c r="J2191" s="36">
        <v>878</v>
      </c>
      <c r="K2191" s="36">
        <v>1255.54</v>
      </c>
    </row>
    <row r="2192" spans="1:11" x14ac:dyDescent="0.3">
      <c r="A2192" s="36" t="s">
        <v>90</v>
      </c>
      <c r="B2192" s="36">
        <v>2022</v>
      </c>
      <c r="C2192" s="36" t="s">
        <v>5</v>
      </c>
      <c r="D2192" s="36" t="s">
        <v>103</v>
      </c>
      <c r="E2192" s="36" t="s">
        <v>105</v>
      </c>
      <c r="F2192" s="36" t="s">
        <v>106</v>
      </c>
      <c r="G2192" s="36" t="s">
        <v>102</v>
      </c>
      <c r="H2192" s="36" t="s">
        <v>104</v>
      </c>
      <c r="I2192" s="36" t="s">
        <v>107</v>
      </c>
      <c r="J2192" s="36">
        <v>266</v>
      </c>
      <c r="K2192" s="36">
        <v>380.38</v>
      </c>
    </row>
    <row r="2193" spans="1:11" x14ac:dyDescent="0.3">
      <c r="A2193" s="36" t="s">
        <v>100</v>
      </c>
      <c r="B2193" s="36">
        <v>2022</v>
      </c>
      <c r="C2193" s="36" t="s">
        <v>5</v>
      </c>
      <c r="D2193" s="36" t="s">
        <v>103</v>
      </c>
      <c r="E2193" s="36" t="s">
        <v>105</v>
      </c>
      <c r="F2193" s="36" t="s">
        <v>106</v>
      </c>
      <c r="G2193" s="36" t="s">
        <v>102</v>
      </c>
      <c r="H2193" s="36" t="s">
        <v>104</v>
      </c>
      <c r="I2193" s="36" t="s">
        <v>107</v>
      </c>
      <c r="J2193" s="36">
        <v>314</v>
      </c>
      <c r="K2193" s="36">
        <v>449.02</v>
      </c>
    </row>
    <row r="2194" spans="1:11" x14ac:dyDescent="0.3">
      <c r="A2194" s="36" t="s">
        <v>97</v>
      </c>
      <c r="B2194" s="36">
        <v>2022</v>
      </c>
      <c r="C2194" s="36" t="s">
        <v>5</v>
      </c>
      <c r="D2194" s="36" t="s">
        <v>103</v>
      </c>
      <c r="E2194" s="36" t="s">
        <v>105</v>
      </c>
      <c r="F2194" s="36" t="s">
        <v>106</v>
      </c>
      <c r="G2194" s="36" t="s">
        <v>102</v>
      </c>
      <c r="H2194" s="36" t="s">
        <v>104</v>
      </c>
      <c r="I2194" s="36" t="s">
        <v>107</v>
      </c>
      <c r="J2194" s="36">
        <v>268</v>
      </c>
      <c r="K2194" s="36">
        <v>383.24</v>
      </c>
    </row>
    <row r="2195" spans="1:11" x14ac:dyDescent="0.3">
      <c r="A2195" s="36" t="s">
        <v>90</v>
      </c>
      <c r="B2195" s="36">
        <v>2022</v>
      </c>
      <c r="C2195" s="36" t="s">
        <v>5</v>
      </c>
      <c r="D2195" s="36" t="s">
        <v>103</v>
      </c>
      <c r="E2195" s="36" t="s">
        <v>105</v>
      </c>
      <c r="F2195" s="36" t="s">
        <v>106</v>
      </c>
      <c r="G2195" s="36" t="s">
        <v>102</v>
      </c>
      <c r="H2195" s="36" t="s">
        <v>104</v>
      </c>
      <c r="I2195" s="36" t="s">
        <v>107</v>
      </c>
      <c r="J2195" s="36">
        <v>316</v>
      </c>
      <c r="K2195" s="36">
        <v>451.88</v>
      </c>
    </row>
    <row r="2196" spans="1:11" x14ac:dyDescent="0.3">
      <c r="A2196" s="36" t="s">
        <v>97</v>
      </c>
      <c r="B2196" s="36">
        <v>2022</v>
      </c>
      <c r="C2196" s="36" t="s">
        <v>5</v>
      </c>
      <c r="D2196" s="36" t="s">
        <v>103</v>
      </c>
      <c r="E2196" s="36" t="s">
        <v>105</v>
      </c>
      <c r="F2196" s="36" t="s">
        <v>106</v>
      </c>
      <c r="G2196" s="36" t="s">
        <v>102</v>
      </c>
      <c r="H2196" s="36" t="s">
        <v>104</v>
      </c>
      <c r="I2196" s="36" t="s">
        <v>107</v>
      </c>
      <c r="J2196" s="36">
        <v>835</v>
      </c>
      <c r="K2196" s="36">
        <v>1194.05</v>
      </c>
    </row>
    <row r="2197" spans="1:11" x14ac:dyDescent="0.3">
      <c r="A2197" s="36" t="s">
        <v>97</v>
      </c>
      <c r="B2197" s="36">
        <v>2022</v>
      </c>
      <c r="C2197" s="36" t="s">
        <v>5</v>
      </c>
      <c r="D2197" s="36" t="s">
        <v>103</v>
      </c>
      <c r="E2197" s="36" t="s">
        <v>105</v>
      </c>
      <c r="F2197" s="36" t="s">
        <v>106</v>
      </c>
      <c r="G2197" s="36" t="s">
        <v>102</v>
      </c>
      <c r="H2197" s="36" t="s">
        <v>104</v>
      </c>
      <c r="I2197" s="36" t="s">
        <v>107</v>
      </c>
      <c r="J2197" s="36">
        <v>869</v>
      </c>
      <c r="K2197" s="36">
        <v>1242.67</v>
      </c>
    </row>
    <row r="2198" spans="1:11" x14ac:dyDescent="0.3">
      <c r="A2198" s="36" t="s">
        <v>97</v>
      </c>
      <c r="B2198" s="36">
        <v>2022</v>
      </c>
      <c r="C2198" s="36" t="s">
        <v>5</v>
      </c>
      <c r="D2198" s="36" t="s">
        <v>103</v>
      </c>
      <c r="E2198" s="36" t="s">
        <v>105</v>
      </c>
      <c r="F2198" s="36" t="s">
        <v>106</v>
      </c>
      <c r="G2198" s="36" t="s">
        <v>102</v>
      </c>
      <c r="H2198" s="36" t="s">
        <v>104</v>
      </c>
      <c r="I2198" s="36" t="s">
        <v>107</v>
      </c>
      <c r="J2198" s="36">
        <v>937</v>
      </c>
      <c r="K2198" s="36">
        <v>1339.9099999999999</v>
      </c>
    </row>
    <row r="2199" spans="1:11" x14ac:dyDescent="0.3">
      <c r="A2199" s="36" t="s">
        <v>90</v>
      </c>
      <c r="B2199" s="36">
        <v>2022</v>
      </c>
      <c r="C2199" s="36" t="s">
        <v>5</v>
      </c>
      <c r="D2199" s="36" t="s">
        <v>103</v>
      </c>
      <c r="E2199" s="36" t="s">
        <v>105</v>
      </c>
      <c r="F2199" s="36" t="s">
        <v>106</v>
      </c>
      <c r="G2199" s="36" t="s">
        <v>102</v>
      </c>
      <c r="H2199" s="36" t="s">
        <v>104</v>
      </c>
      <c r="I2199" s="36" t="s">
        <v>107</v>
      </c>
      <c r="J2199" s="36">
        <v>938</v>
      </c>
      <c r="K2199" s="36">
        <v>1341.34</v>
      </c>
    </row>
    <row r="2200" spans="1:11" x14ac:dyDescent="0.3">
      <c r="A2200" s="36" t="s">
        <v>90</v>
      </c>
      <c r="B2200" s="36">
        <v>2022</v>
      </c>
      <c r="C2200" s="36" t="s">
        <v>5</v>
      </c>
      <c r="D2200" s="36" t="s">
        <v>103</v>
      </c>
      <c r="E2200" s="36" t="s">
        <v>105</v>
      </c>
      <c r="F2200" s="36" t="s">
        <v>106</v>
      </c>
      <c r="G2200" s="36" t="s">
        <v>102</v>
      </c>
      <c r="H2200" s="36" t="s">
        <v>104</v>
      </c>
      <c r="I2200" s="36" t="s">
        <v>107</v>
      </c>
      <c r="J2200" s="36">
        <v>875</v>
      </c>
      <c r="K2200" s="36">
        <v>526.24</v>
      </c>
    </row>
    <row r="2201" spans="1:11" x14ac:dyDescent="0.3">
      <c r="A2201" s="36" t="s">
        <v>100</v>
      </c>
      <c r="B2201" s="36">
        <v>2022</v>
      </c>
      <c r="C2201" s="36" t="s">
        <v>5</v>
      </c>
      <c r="D2201" s="36" t="s">
        <v>103</v>
      </c>
      <c r="E2201" s="36" t="s">
        <v>105</v>
      </c>
      <c r="F2201" s="36" t="s">
        <v>106</v>
      </c>
      <c r="G2201" s="36" t="s">
        <v>102</v>
      </c>
      <c r="H2201" s="36" t="s">
        <v>104</v>
      </c>
      <c r="I2201" s="36" t="s">
        <v>107</v>
      </c>
      <c r="J2201" s="36">
        <v>315</v>
      </c>
      <c r="K2201" s="36">
        <v>450.45</v>
      </c>
    </row>
    <row r="2202" spans="1:11" x14ac:dyDescent="0.3">
      <c r="A2202" s="36" t="s">
        <v>97</v>
      </c>
      <c r="B2202" s="36">
        <v>2022</v>
      </c>
      <c r="C2202" s="36" t="s">
        <v>5</v>
      </c>
      <c r="D2202" s="36" t="s">
        <v>103</v>
      </c>
      <c r="E2202" s="36" t="s">
        <v>105</v>
      </c>
      <c r="F2202" s="36" t="s">
        <v>106</v>
      </c>
      <c r="G2202" s="36" t="s">
        <v>102</v>
      </c>
      <c r="H2202" s="36" t="s">
        <v>104</v>
      </c>
      <c r="I2202" s="36" t="s">
        <v>107</v>
      </c>
      <c r="J2202" s="36">
        <v>153</v>
      </c>
      <c r="K2202" s="36">
        <v>218.79</v>
      </c>
    </row>
    <row r="2203" spans="1:11" x14ac:dyDescent="0.3">
      <c r="A2203" s="36" t="s">
        <v>97</v>
      </c>
      <c r="B2203" s="36">
        <v>2022</v>
      </c>
      <c r="C2203" s="36" t="s">
        <v>5</v>
      </c>
      <c r="D2203" s="36" t="s">
        <v>103</v>
      </c>
      <c r="E2203" s="36" t="s">
        <v>105</v>
      </c>
      <c r="F2203" s="36" t="s">
        <v>106</v>
      </c>
      <c r="G2203" s="36" t="s">
        <v>102</v>
      </c>
      <c r="H2203" s="36" t="s">
        <v>104</v>
      </c>
      <c r="I2203" s="36" t="s">
        <v>107</v>
      </c>
      <c r="J2203" s="36">
        <v>147</v>
      </c>
      <c r="K2203" s="36">
        <v>210.21</v>
      </c>
    </row>
    <row r="2204" spans="1:11" x14ac:dyDescent="0.3">
      <c r="A2204" s="36" t="s">
        <v>90</v>
      </c>
      <c r="B2204" s="36">
        <v>2022</v>
      </c>
      <c r="C2204" s="36" t="s">
        <v>5</v>
      </c>
      <c r="D2204" s="36" t="s">
        <v>103</v>
      </c>
      <c r="E2204" s="36" t="s">
        <v>105</v>
      </c>
      <c r="F2204" s="36" t="s">
        <v>106</v>
      </c>
      <c r="G2204" s="36" t="s">
        <v>102</v>
      </c>
      <c r="H2204" s="36" t="s">
        <v>104</v>
      </c>
      <c r="I2204" s="36" t="s">
        <v>107</v>
      </c>
      <c r="J2204" s="36">
        <v>141</v>
      </c>
      <c r="K2204" s="36">
        <v>201.63</v>
      </c>
    </row>
    <row r="2205" spans="1:11" x14ac:dyDescent="0.3">
      <c r="A2205" s="36" t="s">
        <v>99</v>
      </c>
      <c r="B2205" s="36">
        <v>2022</v>
      </c>
      <c r="C2205" s="36" t="s">
        <v>5</v>
      </c>
      <c r="D2205" s="36" t="s">
        <v>103</v>
      </c>
      <c r="E2205" s="36" t="s">
        <v>105</v>
      </c>
      <c r="F2205" s="36" t="s">
        <v>106</v>
      </c>
      <c r="G2205" s="36" t="s">
        <v>102</v>
      </c>
      <c r="H2205" s="36" t="s">
        <v>104</v>
      </c>
      <c r="I2205" s="36" t="s">
        <v>107</v>
      </c>
      <c r="J2205" s="36">
        <v>313</v>
      </c>
      <c r="K2205" s="36">
        <v>447.59000000000003</v>
      </c>
    </row>
    <row r="2206" spans="1:11" x14ac:dyDescent="0.3">
      <c r="A2206" s="36" t="s">
        <v>97</v>
      </c>
      <c r="B2206" s="36">
        <v>2022</v>
      </c>
      <c r="C2206" s="36" t="s">
        <v>5</v>
      </c>
      <c r="D2206" s="36" t="s">
        <v>103</v>
      </c>
      <c r="E2206" s="36" t="s">
        <v>105</v>
      </c>
      <c r="F2206" s="36" t="s">
        <v>106</v>
      </c>
      <c r="G2206" s="36" t="s">
        <v>102</v>
      </c>
      <c r="H2206" s="36" t="s">
        <v>104</v>
      </c>
      <c r="I2206" s="36" t="s">
        <v>107</v>
      </c>
      <c r="J2206" s="36">
        <v>844</v>
      </c>
      <c r="K2206" s="36">
        <v>1206.92</v>
      </c>
    </row>
    <row r="2207" spans="1:11" x14ac:dyDescent="0.3">
      <c r="A2207" s="36" t="s">
        <v>97</v>
      </c>
      <c r="B2207" s="36">
        <v>2022</v>
      </c>
      <c r="C2207" s="36" t="s">
        <v>5</v>
      </c>
      <c r="D2207" s="36" t="s">
        <v>103</v>
      </c>
      <c r="E2207" s="36" t="s">
        <v>105</v>
      </c>
      <c r="F2207" s="36" t="s">
        <v>106</v>
      </c>
      <c r="G2207" s="36" t="s">
        <v>102</v>
      </c>
      <c r="H2207" s="36" t="s">
        <v>104</v>
      </c>
      <c r="I2207" s="36" t="s">
        <v>107</v>
      </c>
      <c r="J2207" s="36">
        <v>877</v>
      </c>
      <c r="K2207" s="36">
        <v>1254.1100000000001</v>
      </c>
    </row>
    <row r="2208" spans="1:11" x14ac:dyDescent="0.3">
      <c r="A2208" s="36" t="s">
        <v>97</v>
      </c>
      <c r="B2208" s="36">
        <v>2022</v>
      </c>
      <c r="C2208" s="36" t="s">
        <v>2</v>
      </c>
      <c r="D2208" s="36" t="s">
        <v>103</v>
      </c>
      <c r="E2208" s="36" t="s">
        <v>105</v>
      </c>
      <c r="F2208" s="36" t="s">
        <v>106</v>
      </c>
      <c r="G2208" s="36" t="s">
        <v>102</v>
      </c>
      <c r="H2208" s="36" t="s">
        <v>104</v>
      </c>
      <c r="I2208" s="36" t="s">
        <v>107</v>
      </c>
      <c r="J2208" s="36">
        <v>284</v>
      </c>
      <c r="K2208" s="36">
        <v>406.12</v>
      </c>
    </row>
    <row r="2209" spans="1:11" x14ac:dyDescent="0.3">
      <c r="A2209" s="36" t="s">
        <v>99</v>
      </c>
      <c r="B2209" s="36">
        <v>2022</v>
      </c>
      <c r="C2209" s="36" t="s">
        <v>2</v>
      </c>
      <c r="D2209" s="36" t="s">
        <v>103</v>
      </c>
      <c r="E2209" s="36" t="s">
        <v>105</v>
      </c>
      <c r="F2209" s="36" t="s">
        <v>106</v>
      </c>
      <c r="G2209" s="36" t="s">
        <v>102</v>
      </c>
      <c r="H2209" s="36" t="s">
        <v>104</v>
      </c>
      <c r="I2209" s="36" t="s">
        <v>107</v>
      </c>
      <c r="J2209" s="36">
        <v>332</v>
      </c>
      <c r="K2209" s="36">
        <v>474.76</v>
      </c>
    </row>
    <row r="2210" spans="1:11" x14ac:dyDescent="0.3">
      <c r="A2210" s="36" t="s">
        <v>97</v>
      </c>
      <c r="B2210" s="36">
        <v>2022</v>
      </c>
      <c r="C2210" s="36" t="s">
        <v>2</v>
      </c>
      <c r="D2210" s="36" t="s">
        <v>103</v>
      </c>
      <c r="E2210" s="36" t="s">
        <v>105</v>
      </c>
      <c r="F2210" s="36" t="s">
        <v>106</v>
      </c>
      <c r="G2210" s="36" t="s">
        <v>102</v>
      </c>
      <c r="H2210" s="36" t="s">
        <v>104</v>
      </c>
      <c r="I2210" s="36" t="s">
        <v>107</v>
      </c>
      <c r="J2210" s="36">
        <v>286</v>
      </c>
      <c r="K2210" s="36">
        <v>408.98</v>
      </c>
    </row>
    <row r="2211" spans="1:11" x14ac:dyDescent="0.3">
      <c r="A2211" s="36" t="s">
        <v>90</v>
      </c>
      <c r="B2211" s="36">
        <v>2022</v>
      </c>
      <c r="C2211" s="36" t="s">
        <v>2</v>
      </c>
      <c r="D2211" s="36" t="s">
        <v>103</v>
      </c>
      <c r="E2211" s="36" t="s">
        <v>105</v>
      </c>
      <c r="F2211" s="36" t="s">
        <v>106</v>
      </c>
      <c r="G2211" s="36" t="s">
        <v>102</v>
      </c>
      <c r="H2211" s="36" t="s">
        <v>104</v>
      </c>
      <c r="I2211" s="36" t="s">
        <v>107</v>
      </c>
      <c r="J2211" s="36">
        <v>328</v>
      </c>
      <c r="K2211" s="36">
        <v>469.03999999999996</v>
      </c>
    </row>
    <row r="2212" spans="1:11" x14ac:dyDescent="0.3">
      <c r="A2212" s="36" t="s">
        <v>101</v>
      </c>
      <c r="B2212" s="36">
        <v>2022</v>
      </c>
      <c r="C2212" s="36" t="s">
        <v>2</v>
      </c>
      <c r="D2212" s="36" t="s">
        <v>103</v>
      </c>
      <c r="E2212" s="36" t="s">
        <v>105</v>
      </c>
      <c r="F2212" s="36" t="s">
        <v>106</v>
      </c>
      <c r="G2212" s="36" t="s">
        <v>102</v>
      </c>
      <c r="H2212" s="36" t="s">
        <v>104</v>
      </c>
      <c r="I2212" s="36" t="s">
        <v>107</v>
      </c>
      <c r="J2212" s="36">
        <v>833</v>
      </c>
      <c r="K2212" s="36">
        <v>1191.19</v>
      </c>
    </row>
    <row r="2213" spans="1:11" x14ac:dyDescent="0.3">
      <c r="A2213" s="36" t="s">
        <v>90</v>
      </c>
      <c r="B2213" s="36">
        <v>2022</v>
      </c>
      <c r="C2213" s="36" t="s">
        <v>2</v>
      </c>
      <c r="D2213" s="36" t="s">
        <v>103</v>
      </c>
      <c r="E2213" s="36" t="s">
        <v>105</v>
      </c>
      <c r="F2213" s="36" t="s">
        <v>106</v>
      </c>
      <c r="G2213" s="36" t="s">
        <v>102</v>
      </c>
      <c r="H2213" s="36" t="s">
        <v>104</v>
      </c>
      <c r="I2213" s="36" t="s">
        <v>107</v>
      </c>
      <c r="J2213" s="36">
        <v>866</v>
      </c>
      <c r="K2213" s="36">
        <v>1238.3800000000001</v>
      </c>
    </row>
    <row r="2214" spans="1:11" x14ac:dyDescent="0.3">
      <c r="A2214" s="36" t="s">
        <v>99</v>
      </c>
      <c r="B2214" s="36">
        <v>2022</v>
      </c>
      <c r="C2214" s="36" t="s">
        <v>2</v>
      </c>
      <c r="D2214" s="36" t="s">
        <v>103</v>
      </c>
      <c r="E2214" s="36" t="s">
        <v>105</v>
      </c>
      <c r="F2214" s="36" t="s">
        <v>106</v>
      </c>
      <c r="G2214" s="36" t="s">
        <v>102</v>
      </c>
      <c r="H2214" s="36" t="s">
        <v>104</v>
      </c>
      <c r="I2214" s="36" t="s">
        <v>107</v>
      </c>
      <c r="J2214" s="36">
        <v>929</v>
      </c>
      <c r="K2214" s="36">
        <v>1328.47</v>
      </c>
    </row>
    <row r="2215" spans="1:11" x14ac:dyDescent="0.3">
      <c r="A2215" s="36" t="s">
        <v>97</v>
      </c>
      <c r="B2215" s="36">
        <v>2022</v>
      </c>
      <c r="C2215" s="36" t="s">
        <v>2</v>
      </c>
      <c r="D2215" s="36" t="s">
        <v>103</v>
      </c>
      <c r="E2215" s="36" t="s">
        <v>105</v>
      </c>
      <c r="F2215" s="36" t="s">
        <v>106</v>
      </c>
      <c r="G2215" s="36" t="s">
        <v>102</v>
      </c>
      <c r="H2215" s="36" t="s">
        <v>104</v>
      </c>
      <c r="I2215" s="36" t="s">
        <v>107</v>
      </c>
      <c r="J2215" s="36">
        <v>930</v>
      </c>
      <c r="K2215" s="36">
        <v>1329.9</v>
      </c>
    </row>
    <row r="2216" spans="1:11" x14ac:dyDescent="0.3">
      <c r="A2216" s="36" t="s">
        <v>99</v>
      </c>
      <c r="B2216" s="36">
        <v>2022</v>
      </c>
      <c r="C2216" s="36" t="s">
        <v>2</v>
      </c>
      <c r="D2216" s="36" t="s">
        <v>103</v>
      </c>
      <c r="E2216" s="36" t="s">
        <v>105</v>
      </c>
      <c r="F2216" s="36" t="s">
        <v>106</v>
      </c>
      <c r="G2216" s="36" t="s">
        <v>102</v>
      </c>
      <c r="H2216" s="36" t="s">
        <v>104</v>
      </c>
      <c r="I2216" s="36" t="s">
        <v>107</v>
      </c>
      <c r="J2216" s="36">
        <v>872</v>
      </c>
      <c r="K2216" s="36">
        <v>526.24</v>
      </c>
    </row>
    <row r="2217" spans="1:11" x14ac:dyDescent="0.3">
      <c r="A2217" s="36" t="s">
        <v>90</v>
      </c>
      <c r="B2217" s="36">
        <v>2022</v>
      </c>
      <c r="C2217" s="36" t="s">
        <v>2</v>
      </c>
      <c r="D2217" s="36" t="s">
        <v>103</v>
      </c>
      <c r="E2217" s="36" t="s">
        <v>105</v>
      </c>
      <c r="F2217" s="36" t="s">
        <v>106</v>
      </c>
      <c r="G2217" s="36" t="s">
        <v>102</v>
      </c>
      <c r="H2217" s="36" t="s">
        <v>104</v>
      </c>
      <c r="I2217" s="36" t="s">
        <v>107</v>
      </c>
      <c r="J2217" s="36">
        <v>333</v>
      </c>
      <c r="K2217" s="36">
        <v>476.19</v>
      </c>
    </row>
    <row r="2218" spans="1:11" x14ac:dyDescent="0.3">
      <c r="A2218" s="36" t="s">
        <v>97</v>
      </c>
      <c r="B2218" s="36">
        <v>2022</v>
      </c>
      <c r="C2218" s="36" t="s">
        <v>2</v>
      </c>
      <c r="D2218" s="36" t="s">
        <v>103</v>
      </c>
      <c r="E2218" s="36" t="s">
        <v>105</v>
      </c>
      <c r="F2218" s="36" t="s">
        <v>106</v>
      </c>
      <c r="G2218" s="36" t="s">
        <v>102</v>
      </c>
      <c r="H2218" s="36" t="s">
        <v>104</v>
      </c>
      <c r="I2218" s="36" t="s">
        <v>107</v>
      </c>
      <c r="J2218" s="36">
        <v>201</v>
      </c>
      <c r="K2218" s="36">
        <v>287.43</v>
      </c>
    </row>
    <row r="2219" spans="1:11" x14ac:dyDescent="0.3">
      <c r="A2219" s="36" t="s">
        <v>97</v>
      </c>
      <c r="B2219" s="36">
        <v>2022</v>
      </c>
      <c r="C2219" s="36" t="s">
        <v>2</v>
      </c>
      <c r="D2219" s="36" t="s">
        <v>103</v>
      </c>
      <c r="E2219" s="36" t="s">
        <v>105</v>
      </c>
      <c r="F2219" s="36" t="s">
        <v>106</v>
      </c>
      <c r="G2219" s="36" t="s">
        <v>102</v>
      </c>
      <c r="H2219" s="36" t="s">
        <v>104</v>
      </c>
      <c r="I2219" s="36" t="s">
        <v>107</v>
      </c>
      <c r="J2219" s="36">
        <v>195</v>
      </c>
      <c r="K2219" s="36">
        <v>278.85000000000002</v>
      </c>
    </row>
    <row r="2220" spans="1:11" x14ac:dyDescent="0.3">
      <c r="A2220" s="36" t="s">
        <v>101</v>
      </c>
      <c r="B2220" s="36">
        <v>2022</v>
      </c>
      <c r="C2220" s="36" t="s">
        <v>2</v>
      </c>
      <c r="D2220" s="36" t="s">
        <v>103</v>
      </c>
      <c r="E2220" s="36" t="s">
        <v>105</v>
      </c>
      <c r="F2220" s="36" t="s">
        <v>106</v>
      </c>
      <c r="G2220" s="36" t="s">
        <v>102</v>
      </c>
      <c r="H2220" s="36" t="s">
        <v>104</v>
      </c>
      <c r="I2220" s="36" t="s">
        <v>107</v>
      </c>
      <c r="J2220" s="36">
        <v>189</v>
      </c>
      <c r="K2220" s="36">
        <v>270.27</v>
      </c>
    </row>
    <row r="2221" spans="1:11" x14ac:dyDescent="0.3">
      <c r="A2221" s="36" t="s">
        <v>97</v>
      </c>
      <c r="B2221" s="36">
        <v>2022</v>
      </c>
      <c r="C2221" s="36" t="s">
        <v>2</v>
      </c>
      <c r="D2221" s="36" t="s">
        <v>103</v>
      </c>
      <c r="E2221" s="36" t="s">
        <v>105</v>
      </c>
      <c r="F2221" s="36" t="s">
        <v>106</v>
      </c>
      <c r="G2221" s="36" t="s">
        <v>102</v>
      </c>
      <c r="H2221" s="36" t="s">
        <v>104</v>
      </c>
      <c r="I2221" s="36" t="s">
        <v>107</v>
      </c>
      <c r="J2221" s="36">
        <v>283</v>
      </c>
      <c r="K2221" s="36">
        <v>404.69</v>
      </c>
    </row>
    <row r="2222" spans="1:11" x14ac:dyDescent="0.3">
      <c r="A2222" s="36" t="s">
        <v>97</v>
      </c>
      <c r="B2222" s="36">
        <v>2022</v>
      </c>
      <c r="C2222" s="36" t="s">
        <v>2</v>
      </c>
      <c r="D2222" s="36" t="s">
        <v>103</v>
      </c>
      <c r="E2222" s="36" t="s">
        <v>105</v>
      </c>
      <c r="F2222" s="36" t="s">
        <v>106</v>
      </c>
      <c r="G2222" s="36" t="s">
        <v>102</v>
      </c>
      <c r="H2222" s="36" t="s">
        <v>104</v>
      </c>
      <c r="I2222" s="36" t="s">
        <v>107</v>
      </c>
      <c r="J2222" s="36">
        <v>331</v>
      </c>
      <c r="K2222" s="36">
        <v>473.33</v>
      </c>
    </row>
    <row r="2223" spans="1:11" x14ac:dyDescent="0.3">
      <c r="A2223" s="36" t="s">
        <v>97</v>
      </c>
      <c r="B2223" s="36">
        <v>2022</v>
      </c>
      <c r="C2223" s="36" t="s">
        <v>2</v>
      </c>
      <c r="D2223" s="36" t="s">
        <v>103</v>
      </c>
      <c r="E2223" s="36" t="s">
        <v>105</v>
      </c>
      <c r="F2223" s="36" t="s">
        <v>106</v>
      </c>
      <c r="G2223" s="36" t="s">
        <v>102</v>
      </c>
      <c r="H2223" s="36" t="s">
        <v>104</v>
      </c>
      <c r="I2223" s="36" t="s">
        <v>107</v>
      </c>
      <c r="J2223" s="36">
        <v>875</v>
      </c>
      <c r="K2223" s="36">
        <v>1251.25</v>
      </c>
    </row>
    <row r="2224" spans="1:11" x14ac:dyDescent="0.3">
      <c r="A2224" s="36" t="s">
        <v>90</v>
      </c>
      <c r="B2224" s="36">
        <v>2022</v>
      </c>
      <c r="C2224" s="36" t="s">
        <v>4</v>
      </c>
      <c r="D2224" s="36" t="s">
        <v>103</v>
      </c>
      <c r="E2224" s="36" t="s">
        <v>105</v>
      </c>
      <c r="F2224" s="36" t="s">
        <v>106</v>
      </c>
      <c r="G2224" s="36" t="s">
        <v>102</v>
      </c>
      <c r="H2224" s="36" t="s">
        <v>104</v>
      </c>
      <c r="I2224" s="36" t="s">
        <v>107</v>
      </c>
      <c r="J2224" s="36">
        <v>272</v>
      </c>
      <c r="K2224" s="36">
        <v>388.96</v>
      </c>
    </row>
    <row r="2225" spans="1:11" x14ac:dyDescent="0.3">
      <c r="A2225" s="36" t="s">
        <v>90</v>
      </c>
      <c r="B2225" s="36">
        <v>2022</v>
      </c>
      <c r="C2225" s="36" t="s">
        <v>4</v>
      </c>
      <c r="D2225" s="36" t="s">
        <v>103</v>
      </c>
      <c r="E2225" s="36" t="s">
        <v>105</v>
      </c>
      <c r="F2225" s="36" t="s">
        <v>106</v>
      </c>
      <c r="G2225" s="36" t="s">
        <v>102</v>
      </c>
      <c r="H2225" s="36" t="s">
        <v>104</v>
      </c>
      <c r="I2225" s="36" t="s">
        <v>107</v>
      </c>
      <c r="J2225" s="36">
        <v>320</v>
      </c>
      <c r="K2225" s="36">
        <v>457.6</v>
      </c>
    </row>
    <row r="2226" spans="1:11" x14ac:dyDescent="0.3">
      <c r="A2226" s="36" t="s">
        <v>90</v>
      </c>
      <c r="B2226" s="36">
        <v>2022</v>
      </c>
      <c r="C2226" s="36" t="s">
        <v>4</v>
      </c>
      <c r="D2226" s="36" t="s">
        <v>103</v>
      </c>
      <c r="E2226" s="36" t="s">
        <v>105</v>
      </c>
      <c r="F2226" s="36" t="s">
        <v>106</v>
      </c>
      <c r="G2226" s="36" t="s">
        <v>102</v>
      </c>
      <c r="H2226" s="36" t="s">
        <v>104</v>
      </c>
      <c r="I2226" s="36" t="s">
        <v>107</v>
      </c>
      <c r="J2226" s="36">
        <v>274</v>
      </c>
      <c r="K2226" s="36">
        <v>391.82</v>
      </c>
    </row>
    <row r="2227" spans="1:11" x14ac:dyDescent="0.3">
      <c r="A2227" s="36" t="s">
        <v>90</v>
      </c>
      <c r="B2227" s="36">
        <v>2022</v>
      </c>
      <c r="C2227" s="36" t="s">
        <v>4</v>
      </c>
      <c r="D2227" s="36" t="s">
        <v>103</v>
      </c>
      <c r="E2227" s="36" t="s">
        <v>105</v>
      </c>
      <c r="F2227" s="36" t="s">
        <v>106</v>
      </c>
      <c r="G2227" s="36" t="s">
        <v>102</v>
      </c>
      <c r="H2227" s="36" t="s">
        <v>104</v>
      </c>
      <c r="I2227" s="36" t="s">
        <v>107</v>
      </c>
      <c r="J2227" s="36">
        <v>322</v>
      </c>
      <c r="K2227" s="36">
        <v>460.46000000000004</v>
      </c>
    </row>
    <row r="2228" spans="1:11" x14ac:dyDescent="0.3">
      <c r="A2228" s="36" t="s">
        <v>90</v>
      </c>
      <c r="B2228" s="36">
        <v>2022</v>
      </c>
      <c r="C2228" s="36" t="s">
        <v>4</v>
      </c>
      <c r="D2228" s="36" t="s">
        <v>103</v>
      </c>
      <c r="E2228" s="36" t="s">
        <v>105</v>
      </c>
      <c r="F2228" s="36" t="s">
        <v>106</v>
      </c>
      <c r="G2228" s="36" t="s">
        <v>102</v>
      </c>
      <c r="H2228" s="36" t="s">
        <v>104</v>
      </c>
      <c r="I2228" s="36" t="s">
        <v>107</v>
      </c>
      <c r="J2228" s="36">
        <v>868</v>
      </c>
      <c r="K2228" s="36">
        <v>1241.24</v>
      </c>
    </row>
    <row r="2229" spans="1:11" x14ac:dyDescent="0.3">
      <c r="A2229" s="36" t="s">
        <v>90</v>
      </c>
      <c r="B2229" s="36">
        <v>2022</v>
      </c>
      <c r="C2229" s="36" t="s">
        <v>4</v>
      </c>
      <c r="D2229" s="36" t="s">
        <v>103</v>
      </c>
      <c r="E2229" s="36" t="s">
        <v>105</v>
      </c>
      <c r="F2229" s="36" t="s">
        <v>106</v>
      </c>
      <c r="G2229" s="36" t="s">
        <v>102</v>
      </c>
      <c r="H2229" s="36" t="s">
        <v>104</v>
      </c>
      <c r="I2229" s="36" t="s">
        <v>107</v>
      </c>
      <c r="J2229" s="36">
        <v>934</v>
      </c>
      <c r="K2229" s="36">
        <v>1335.62</v>
      </c>
    </row>
    <row r="2230" spans="1:11" x14ac:dyDescent="0.3">
      <c r="A2230" s="36" t="s">
        <v>100</v>
      </c>
      <c r="B2230" s="36">
        <v>2022</v>
      </c>
      <c r="C2230" s="36" t="s">
        <v>4</v>
      </c>
      <c r="D2230" s="36" t="s">
        <v>103</v>
      </c>
      <c r="E2230" s="36" t="s">
        <v>105</v>
      </c>
      <c r="F2230" s="36" t="s">
        <v>106</v>
      </c>
      <c r="G2230" s="36" t="s">
        <v>102</v>
      </c>
      <c r="H2230" s="36" t="s">
        <v>104</v>
      </c>
      <c r="I2230" s="36" t="s">
        <v>107</v>
      </c>
      <c r="J2230" s="36">
        <v>935</v>
      </c>
      <c r="K2230" s="36">
        <v>1337.05</v>
      </c>
    </row>
    <row r="2231" spans="1:11" x14ac:dyDescent="0.3">
      <c r="A2231" s="36" t="s">
        <v>97</v>
      </c>
      <c r="B2231" s="36">
        <v>2022</v>
      </c>
      <c r="C2231" s="36" t="s">
        <v>4</v>
      </c>
      <c r="D2231" s="36" t="s">
        <v>103</v>
      </c>
      <c r="E2231" s="36" t="s">
        <v>105</v>
      </c>
      <c r="F2231" s="36" t="s">
        <v>106</v>
      </c>
      <c r="G2231" s="36" t="s">
        <v>102</v>
      </c>
      <c r="H2231" s="36" t="s">
        <v>104</v>
      </c>
      <c r="I2231" s="36" t="s">
        <v>107</v>
      </c>
      <c r="J2231" s="36">
        <v>936</v>
      </c>
      <c r="K2231" s="36">
        <v>1338.48</v>
      </c>
    </row>
    <row r="2232" spans="1:11" x14ac:dyDescent="0.3">
      <c r="A2232" s="36" t="s">
        <v>100</v>
      </c>
      <c r="B2232" s="36">
        <v>2022</v>
      </c>
      <c r="C2232" s="36" t="s">
        <v>4</v>
      </c>
      <c r="D2232" s="36" t="s">
        <v>103</v>
      </c>
      <c r="E2232" s="36" t="s">
        <v>105</v>
      </c>
      <c r="F2232" s="36" t="s">
        <v>106</v>
      </c>
      <c r="G2232" s="36" t="s">
        <v>102</v>
      </c>
      <c r="H2232" s="36" t="s">
        <v>104</v>
      </c>
      <c r="I2232" s="36" t="s">
        <v>107</v>
      </c>
      <c r="J2232" s="36">
        <v>874</v>
      </c>
      <c r="K2232" s="36">
        <v>526.24</v>
      </c>
    </row>
    <row r="2233" spans="1:11" x14ac:dyDescent="0.3">
      <c r="A2233" s="36" t="s">
        <v>97</v>
      </c>
      <c r="B2233" s="36">
        <v>2022</v>
      </c>
      <c r="C2233" s="36" t="s">
        <v>4</v>
      </c>
      <c r="D2233" s="36" t="s">
        <v>103</v>
      </c>
      <c r="E2233" s="36" t="s">
        <v>105</v>
      </c>
      <c r="F2233" s="36" t="s">
        <v>106</v>
      </c>
      <c r="G2233" s="36" t="s">
        <v>102</v>
      </c>
      <c r="H2233" s="36" t="s">
        <v>104</v>
      </c>
      <c r="I2233" s="36" t="s">
        <v>107</v>
      </c>
      <c r="J2233" s="36">
        <v>321</v>
      </c>
      <c r="K2233" s="36">
        <v>459.03</v>
      </c>
    </row>
    <row r="2234" spans="1:11" x14ac:dyDescent="0.3">
      <c r="A2234" s="36" t="s">
        <v>90</v>
      </c>
      <c r="B2234" s="36">
        <v>2022</v>
      </c>
      <c r="C2234" s="36" t="s">
        <v>4</v>
      </c>
      <c r="D2234" s="36" t="s">
        <v>103</v>
      </c>
      <c r="E2234" s="36" t="s">
        <v>105</v>
      </c>
      <c r="F2234" s="36" t="s">
        <v>106</v>
      </c>
      <c r="G2234" s="36" t="s">
        <v>102</v>
      </c>
      <c r="H2234" s="36" t="s">
        <v>104</v>
      </c>
      <c r="I2234" s="36" t="s">
        <v>107</v>
      </c>
      <c r="J2234" s="36">
        <v>165</v>
      </c>
      <c r="K2234" s="36">
        <v>235.95</v>
      </c>
    </row>
    <row r="2235" spans="1:11" x14ac:dyDescent="0.3">
      <c r="A2235" s="36" t="s">
        <v>90</v>
      </c>
      <c r="B2235" s="36">
        <v>2022</v>
      </c>
      <c r="C2235" s="36" t="s">
        <v>4</v>
      </c>
      <c r="D2235" s="36" t="s">
        <v>103</v>
      </c>
      <c r="E2235" s="36" t="s">
        <v>105</v>
      </c>
      <c r="F2235" s="36" t="s">
        <v>106</v>
      </c>
      <c r="G2235" s="36" t="s">
        <v>102</v>
      </c>
      <c r="H2235" s="36" t="s">
        <v>104</v>
      </c>
      <c r="I2235" s="36" t="s">
        <v>107</v>
      </c>
      <c r="J2235" s="36">
        <v>159</v>
      </c>
      <c r="K2235" s="36">
        <v>227.37</v>
      </c>
    </row>
    <row r="2236" spans="1:11" x14ac:dyDescent="0.3">
      <c r="A2236" s="36" t="s">
        <v>97</v>
      </c>
      <c r="B2236" s="36">
        <v>2022</v>
      </c>
      <c r="C2236" s="36" t="s">
        <v>4</v>
      </c>
      <c r="D2236" s="36" t="s">
        <v>103</v>
      </c>
      <c r="E2236" s="36" t="s">
        <v>105</v>
      </c>
      <c r="F2236" s="36" t="s">
        <v>106</v>
      </c>
      <c r="G2236" s="36" t="s">
        <v>102</v>
      </c>
      <c r="H2236" s="36" t="s">
        <v>104</v>
      </c>
      <c r="I2236" s="36" t="s">
        <v>107</v>
      </c>
      <c r="J2236" s="36">
        <v>271</v>
      </c>
      <c r="K2236" s="36">
        <v>387.53</v>
      </c>
    </row>
    <row r="2237" spans="1:11" x14ac:dyDescent="0.3">
      <c r="A2237" s="36" t="s">
        <v>90</v>
      </c>
      <c r="B2237" s="36">
        <v>2022</v>
      </c>
      <c r="C2237" s="36" t="s">
        <v>4</v>
      </c>
      <c r="D2237" s="36" t="s">
        <v>103</v>
      </c>
      <c r="E2237" s="36" t="s">
        <v>105</v>
      </c>
      <c r="F2237" s="36" t="s">
        <v>106</v>
      </c>
      <c r="G2237" s="36" t="s">
        <v>102</v>
      </c>
      <c r="H2237" s="36" t="s">
        <v>104</v>
      </c>
      <c r="I2237" s="36" t="s">
        <v>107</v>
      </c>
      <c r="J2237" s="36">
        <v>319</v>
      </c>
      <c r="K2237" s="36">
        <v>456.16999999999996</v>
      </c>
    </row>
    <row r="2238" spans="1:11" x14ac:dyDescent="0.3">
      <c r="A2238" s="36" t="s">
        <v>90</v>
      </c>
      <c r="B2238" s="36">
        <v>2022</v>
      </c>
      <c r="C2238" s="36" t="s">
        <v>4</v>
      </c>
      <c r="D2238" s="36" t="s">
        <v>103</v>
      </c>
      <c r="E2238" s="36" t="s">
        <v>105</v>
      </c>
      <c r="F2238" s="36" t="s">
        <v>106</v>
      </c>
      <c r="G2238" s="36" t="s">
        <v>102</v>
      </c>
      <c r="H2238" s="36" t="s">
        <v>104</v>
      </c>
      <c r="I2238" s="36" t="s">
        <v>107</v>
      </c>
      <c r="J2238" s="36">
        <v>843</v>
      </c>
      <c r="K2238" s="36">
        <v>1205.49</v>
      </c>
    </row>
    <row r="2239" spans="1:11" x14ac:dyDescent="0.3">
      <c r="A2239" s="36" t="s">
        <v>97</v>
      </c>
      <c r="B2239" s="36">
        <v>2022</v>
      </c>
      <c r="C2239" s="36" t="s">
        <v>10</v>
      </c>
      <c r="D2239" s="36" t="s">
        <v>103</v>
      </c>
      <c r="E2239" s="36" t="s">
        <v>105</v>
      </c>
      <c r="F2239" s="36" t="s">
        <v>106</v>
      </c>
      <c r="G2239" s="36" t="s">
        <v>102</v>
      </c>
      <c r="H2239" s="36" t="s">
        <v>104</v>
      </c>
      <c r="I2239" s="36" t="s">
        <v>107</v>
      </c>
      <c r="J2239" s="36">
        <v>314</v>
      </c>
      <c r="K2239" s="36">
        <v>449.02</v>
      </c>
    </row>
    <row r="2240" spans="1:11" x14ac:dyDescent="0.3">
      <c r="A2240" s="36" t="s">
        <v>101</v>
      </c>
      <c r="B2240" s="36">
        <v>2022</v>
      </c>
      <c r="C2240" s="36" t="s">
        <v>10</v>
      </c>
      <c r="D2240" s="36" t="s">
        <v>103</v>
      </c>
      <c r="E2240" s="36" t="s">
        <v>105</v>
      </c>
      <c r="F2240" s="36" t="s">
        <v>106</v>
      </c>
      <c r="G2240" s="36" t="s">
        <v>102</v>
      </c>
      <c r="H2240" s="36" t="s">
        <v>104</v>
      </c>
      <c r="I2240" s="36" t="s">
        <v>107</v>
      </c>
      <c r="J2240" s="36">
        <v>242</v>
      </c>
      <c r="K2240" s="36">
        <v>346.06</v>
      </c>
    </row>
    <row r="2241" spans="1:11" x14ac:dyDescent="0.3">
      <c r="A2241" s="36" t="s">
        <v>97</v>
      </c>
      <c r="B2241" s="36">
        <v>2022</v>
      </c>
      <c r="C2241" s="36" t="s">
        <v>10</v>
      </c>
      <c r="D2241" s="36" t="s">
        <v>103</v>
      </c>
      <c r="E2241" s="36" t="s">
        <v>105</v>
      </c>
      <c r="F2241" s="36" t="s">
        <v>106</v>
      </c>
      <c r="G2241" s="36" t="s">
        <v>102</v>
      </c>
      <c r="H2241" s="36" t="s">
        <v>104</v>
      </c>
      <c r="I2241" s="36" t="s">
        <v>107</v>
      </c>
      <c r="J2241" s="36">
        <v>290</v>
      </c>
      <c r="K2241" s="36">
        <v>414.7</v>
      </c>
    </row>
    <row r="2242" spans="1:11" x14ac:dyDescent="0.3">
      <c r="A2242" s="36" t="s">
        <v>97</v>
      </c>
      <c r="B2242" s="36">
        <v>2022</v>
      </c>
      <c r="C2242" s="36" t="s">
        <v>10</v>
      </c>
      <c r="D2242" s="36" t="s">
        <v>103</v>
      </c>
      <c r="E2242" s="36" t="s">
        <v>105</v>
      </c>
      <c r="F2242" s="36" t="s">
        <v>106</v>
      </c>
      <c r="G2242" s="36" t="s">
        <v>102</v>
      </c>
      <c r="H2242" s="36" t="s">
        <v>104</v>
      </c>
      <c r="I2242" s="36" t="s">
        <v>107</v>
      </c>
      <c r="J2242" s="36">
        <v>316</v>
      </c>
      <c r="K2242" s="36">
        <v>451.88</v>
      </c>
    </row>
    <row r="2243" spans="1:11" x14ac:dyDescent="0.3">
      <c r="A2243" s="36" t="s">
        <v>97</v>
      </c>
      <c r="B2243" s="36">
        <v>2022</v>
      </c>
      <c r="C2243" s="36" t="s">
        <v>10</v>
      </c>
      <c r="D2243" s="36" t="s">
        <v>103</v>
      </c>
      <c r="E2243" s="36" t="s">
        <v>105</v>
      </c>
      <c r="F2243" s="36" t="s">
        <v>106</v>
      </c>
      <c r="G2243" s="36" t="s">
        <v>102</v>
      </c>
      <c r="H2243" s="36" t="s">
        <v>104</v>
      </c>
      <c r="I2243" s="36" t="s">
        <v>107</v>
      </c>
      <c r="J2243" s="36">
        <v>286</v>
      </c>
      <c r="K2243" s="36">
        <v>408.98</v>
      </c>
    </row>
    <row r="2244" spans="1:11" x14ac:dyDescent="0.3">
      <c r="A2244" s="36" t="s">
        <v>90</v>
      </c>
      <c r="B2244" s="36">
        <v>2022</v>
      </c>
      <c r="C2244" s="36" t="s">
        <v>10</v>
      </c>
      <c r="D2244" s="36" t="s">
        <v>103</v>
      </c>
      <c r="E2244" s="36" t="s">
        <v>105</v>
      </c>
      <c r="F2244" s="36" t="s">
        <v>106</v>
      </c>
      <c r="G2244" s="36" t="s">
        <v>102</v>
      </c>
      <c r="H2244" s="36" t="s">
        <v>104</v>
      </c>
      <c r="I2244" s="36" t="s">
        <v>107</v>
      </c>
      <c r="J2244" s="36">
        <v>840</v>
      </c>
      <c r="K2244" s="36">
        <v>1201.2</v>
      </c>
    </row>
    <row r="2245" spans="1:11" x14ac:dyDescent="0.3">
      <c r="A2245" s="36" t="s">
        <v>90</v>
      </c>
      <c r="B2245" s="36">
        <v>2022</v>
      </c>
      <c r="C2245" s="36" t="s">
        <v>10</v>
      </c>
      <c r="D2245" s="36" t="s">
        <v>103</v>
      </c>
      <c r="E2245" s="36" t="s">
        <v>105</v>
      </c>
      <c r="F2245" s="36" t="s">
        <v>106</v>
      </c>
      <c r="G2245" s="36" t="s">
        <v>102</v>
      </c>
      <c r="H2245" s="36" t="s">
        <v>104</v>
      </c>
      <c r="I2245" s="36" t="s">
        <v>107</v>
      </c>
      <c r="J2245" s="36">
        <v>873</v>
      </c>
      <c r="K2245" s="36">
        <v>1248.3899999999999</v>
      </c>
    </row>
    <row r="2246" spans="1:11" x14ac:dyDescent="0.3">
      <c r="A2246" s="36" t="s">
        <v>97</v>
      </c>
      <c r="B2246" s="36">
        <v>2022</v>
      </c>
      <c r="C2246" s="36" t="s">
        <v>10</v>
      </c>
      <c r="D2246" s="36" t="s">
        <v>103</v>
      </c>
      <c r="E2246" s="36" t="s">
        <v>105</v>
      </c>
      <c r="F2246" s="36" t="s">
        <v>106</v>
      </c>
      <c r="G2246" s="36" t="s">
        <v>102</v>
      </c>
      <c r="H2246" s="36" t="s">
        <v>104</v>
      </c>
      <c r="I2246" s="36" t="s">
        <v>107</v>
      </c>
      <c r="J2246" s="36">
        <v>950</v>
      </c>
      <c r="K2246" s="36">
        <v>1358.5</v>
      </c>
    </row>
    <row r="2247" spans="1:11" x14ac:dyDescent="0.3">
      <c r="A2247" s="36" t="s">
        <v>97</v>
      </c>
      <c r="B2247" s="36">
        <v>2022</v>
      </c>
      <c r="C2247" s="36" t="s">
        <v>10</v>
      </c>
      <c r="D2247" s="36" t="s">
        <v>103</v>
      </c>
      <c r="E2247" s="36" t="s">
        <v>105</v>
      </c>
      <c r="F2247" s="36" t="s">
        <v>106</v>
      </c>
      <c r="G2247" s="36" t="s">
        <v>102</v>
      </c>
      <c r="H2247" s="36" t="s">
        <v>104</v>
      </c>
      <c r="I2247" s="36" t="s">
        <v>107</v>
      </c>
      <c r="J2247" s="36">
        <v>951</v>
      </c>
      <c r="K2247" s="36">
        <v>1359.93</v>
      </c>
    </row>
    <row r="2248" spans="1:11" x14ac:dyDescent="0.3">
      <c r="A2248" s="36" t="s">
        <v>97</v>
      </c>
      <c r="B2248" s="36">
        <v>2022</v>
      </c>
      <c r="C2248" s="36" t="s">
        <v>10</v>
      </c>
      <c r="D2248" s="36" t="s">
        <v>103</v>
      </c>
      <c r="E2248" s="36" t="s">
        <v>105</v>
      </c>
      <c r="F2248" s="36" t="s">
        <v>106</v>
      </c>
      <c r="G2248" s="36" t="s">
        <v>102</v>
      </c>
      <c r="H2248" s="36" t="s">
        <v>104</v>
      </c>
      <c r="I2248" s="36" t="s">
        <v>107</v>
      </c>
      <c r="J2248" s="36">
        <v>952</v>
      </c>
      <c r="K2248" s="36">
        <v>1361.3600000000001</v>
      </c>
    </row>
    <row r="2249" spans="1:11" x14ac:dyDescent="0.3">
      <c r="A2249" s="36" t="s">
        <v>90</v>
      </c>
      <c r="B2249" s="36">
        <v>2022</v>
      </c>
      <c r="C2249" s="36" t="s">
        <v>10</v>
      </c>
      <c r="D2249" s="36" t="s">
        <v>103</v>
      </c>
      <c r="E2249" s="36" t="s">
        <v>105</v>
      </c>
      <c r="F2249" s="36" t="s">
        <v>106</v>
      </c>
      <c r="G2249" s="36" t="s">
        <v>102</v>
      </c>
      <c r="H2249" s="36" t="s">
        <v>104</v>
      </c>
      <c r="I2249" s="36" t="s">
        <v>107</v>
      </c>
      <c r="J2249" s="36">
        <v>826</v>
      </c>
      <c r="K2249" s="36">
        <v>526.24</v>
      </c>
    </row>
    <row r="2250" spans="1:11" x14ac:dyDescent="0.3">
      <c r="A2250" s="36" t="s">
        <v>97</v>
      </c>
      <c r="B2250" s="36">
        <v>2022</v>
      </c>
      <c r="C2250" s="36" t="s">
        <v>10</v>
      </c>
      <c r="D2250" s="36" t="s">
        <v>103</v>
      </c>
      <c r="E2250" s="36" t="s">
        <v>105</v>
      </c>
      <c r="F2250" s="36" t="s">
        <v>106</v>
      </c>
      <c r="G2250" s="36" t="s">
        <v>102</v>
      </c>
      <c r="H2250" s="36" t="s">
        <v>104</v>
      </c>
      <c r="I2250" s="36" t="s">
        <v>107</v>
      </c>
      <c r="J2250" s="36">
        <v>879</v>
      </c>
      <c r="K2250" s="36">
        <v>526.24</v>
      </c>
    </row>
    <row r="2251" spans="1:11" x14ac:dyDescent="0.3">
      <c r="A2251" s="36" t="s">
        <v>101</v>
      </c>
      <c r="B2251" s="36">
        <v>2022</v>
      </c>
      <c r="C2251" s="36" t="s">
        <v>10</v>
      </c>
      <c r="D2251" s="36" t="s">
        <v>103</v>
      </c>
      <c r="E2251" s="36" t="s">
        <v>105</v>
      </c>
      <c r="F2251" s="36" t="s">
        <v>106</v>
      </c>
      <c r="G2251" s="36" t="s">
        <v>102</v>
      </c>
      <c r="H2251" s="36" t="s">
        <v>104</v>
      </c>
      <c r="I2251" s="36" t="s">
        <v>107</v>
      </c>
      <c r="J2251" s="36">
        <v>315</v>
      </c>
      <c r="K2251" s="36">
        <v>450.45</v>
      </c>
    </row>
    <row r="2252" spans="1:11" x14ac:dyDescent="0.3">
      <c r="A2252" s="36" t="s">
        <v>90</v>
      </c>
      <c r="B2252" s="36">
        <v>2022</v>
      </c>
      <c r="C2252" s="36" t="s">
        <v>10</v>
      </c>
      <c r="D2252" s="36" t="s">
        <v>103</v>
      </c>
      <c r="E2252" s="36" t="s">
        <v>105</v>
      </c>
      <c r="F2252" s="36" t="s">
        <v>106</v>
      </c>
      <c r="G2252" s="36" t="s">
        <v>102</v>
      </c>
      <c r="H2252" s="36" t="s">
        <v>104</v>
      </c>
      <c r="I2252" s="36" t="s">
        <v>107</v>
      </c>
      <c r="J2252" s="36">
        <v>309</v>
      </c>
      <c r="K2252" s="36">
        <v>441.87</v>
      </c>
    </row>
    <row r="2253" spans="1:11" x14ac:dyDescent="0.3">
      <c r="A2253" s="36" t="s">
        <v>97</v>
      </c>
      <c r="B2253" s="36">
        <v>2022</v>
      </c>
      <c r="C2253" s="36" t="s">
        <v>10</v>
      </c>
      <c r="D2253" s="36" t="s">
        <v>103</v>
      </c>
      <c r="E2253" s="36" t="s">
        <v>105</v>
      </c>
      <c r="F2253" s="36" t="s">
        <v>106</v>
      </c>
      <c r="G2253" s="36" t="s">
        <v>102</v>
      </c>
      <c r="H2253" s="36" t="s">
        <v>104</v>
      </c>
      <c r="I2253" s="36" t="s">
        <v>107</v>
      </c>
      <c r="J2253" s="36">
        <v>313</v>
      </c>
      <c r="K2253" s="36">
        <v>447.59000000000003</v>
      </c>
    </row>
    <row r="2254" spans="1:11" x14ac:dyDescent="0.3">
      <c r="A2254" s="36" t="s">
        <v>97</v>
      </c>
      <c r="B2254" s="36">
        <v>2022</v>
      </c>
      <c r="C2254" s="36" t="s">
        <v>10</v>
      </c>
      <c r="D2254" s="36" t="s">
        <v>103</v>
      </c>
      <c r="E2254" s="36" t="s">
        <v>105</v>
      </c>
      <c r="F2254" s="36" t="s">
        <v>106</v>
      </c>
      <c r="G2254" s="36" t="s">
        <v>102</v>
      </c>
      <c r="H2254" s="36" t="s">
        <v>104</v>
      </c>
      <c r="I2254" s="36" t="s">
        <v>107</v>
      </c>
      <c r="J2254" s="36">
        <v>241</v>
      </c>
      <c r="K2254" s="36">
        <v>344.63</v>
      </c>
    </row>
    <row r="2255" spans="1:11" x14ac:dyDescent="0.3">
      <c r="A2255" s="36" t="s">
        <v>97</v>
      </c>
      <c r="B2255" s="36">
        <v>2022</v>
      </c>
      <c r="C2255" s="36" t="s">
        <v>10</v>
      </c>
      <c r="D2255" s="36" t="s">
        <v>103</v>
      </c>
      <c r="E2255" s="36" t="s">
        <v>105</v>
      </c>
      <c r="F2255" s="36" t="s">
        <v>106</v>
      </c>
      <c r="G2255" s="36" t="s">
        <v>102</v>
      </c>
      <c r="H2255" s="36" t="s">
        <v>104</v>
      </c>
      <c r="I2255" s="36" t="s">
        <v>107</v>
      </c>
      <c r="J2255" s="36">
        <v>289</v>
      </c>
      <c r="K2255" s="36">
        <v>413.27</v>
      </c>
    </row>
    <row r="2256" spans="1:11" x14ac:dyDescent="0.3">
      <c r="A2256" s="36" t="s">
        <v>97</v>
      </c>
      <c r="B2256" s="36">
        <v>2022</v>
      </c>
      <c r="C2256" s="36" t="s">
        <v>10</v>
      </c>
      <c r="D2256" s="36" t="s">
        <v>103</v>
      </c>
      <c r="E2256" s="36" t="s">
        <v>105</v>
      </c>
      <c r="F2256" s="36" t="s">
        <v>106</v>
      </c>
      <c r="G2256" s="36" t="s">
        <v>102</v>
      </c>
      <c r="H2256" s="36" t="s">
        <v>104</v>
      </c>
      <c r="I2256" s="36" t="s">
        <v>107</v>
      </c>
      <c r="J2256" s="36">
        <v>795</v>
      </c>
      <c r="K2256" s="36">
        <v>1136.8499999999999</v>
      </c>
    </row>
    <row r="2257" spans="1:11" x14ac:dyDescent="0.3">
      <c r="A2257" s="36" t="s">
        <v>97</v>
      </c>
      <c r="B2257" s="36">
        <v>2022</v>
      </c>
      <c r="C2257" s="36" t="s">
        <v>10</v>
      </c>
      <c r="D2257" s="36" t="s">
        <v>103</v>
      </c>
      <c r="E2257" s="36" t="s">
        <v>105</v>
      </c>
      <c r="F2257" s="36" t="s">
        <v>106</v>
      </c>
      <c r="G2257" s="36" t="s">
        <v>102</v>
      </c>
      <c r="H2257" s="36" t="s">
        <v>104</v>
      </c>
      <c r="I2257" s="36" t="s">
        <v>107</v>
      </c>
      <c r="J2257" s="36">
        <v>849</v>
      </c>
      <c r="K2257" s="36">
        <v>1214.07</v>
      </c>
    </row>
    <row r="2258" spans="1:11" x14ac:dyDescent="0.3">
      <c r="A2258" s="36" t="s">
        <v>97</v>
      </c>
      <c r="B2258" s="36">
        <v>2022</v>
      </c>
      <c r="C2258" s="36" t="s">
        <v>10</v>
      </c>
      <c r="D2258" s="36" t="s">
        <v>103</v>
      </c>
      <c r="E2258" s="36" t="s">
        <v>105</v>
      </c>
      <c r="F2258" s="36" t="s">
        <v>106</v>
      </c>
      <c r="G2258" s="36" t="s">
        <v>102</v>
      </c>
      <c r="H2258" s="36" t="s">
        <v>104</v>
      </c>
      <c r="I2258" s="36" t="s">
        <v>107</v>
      </c>
      <c r="J2258" s="36">
        <v>882</v>
      </c>
      <c r="K2258" s="36">
        <v>1261.26</v>
      </c>
    </row>
    <row r="2259" spans="1:11" x14ac:dyDescent="0.3">
      <c r="A2259" s="36" t="s">
        <v>97</v>
      </c>
      <c r="B2259" s="36">
        <v>2022</v>
      </c>
      <c r="C2259" s="36" t="s">
        <v>9</v>
      </c>
      <c r="D2259" s="36" t="s">
        <v>103</v>
      </c>
      <c r="E2259" s="36" t="s">
        <v>105</v>
      </c>
      <c r="F2259" s="36" t="s">
        <v>106</v>
      </c>
      <c r="G2259" s="36" t="s">
        <v>102</v>
      </c>
      <c r="H2259" s="36" t="s">
        <v>104</v>
      </c>
      <c r="I2259" s="36" t="s">
        <v>107</v>
      </c>
      <c r="J2259" s="36">
        <v>320</v>
      </c>
      <c r="K2259" s="36">
        <v>457.6</v>
      </c>
    </row>
    <row r="2260" spans="1:11" x14ac:dyDescent="0.3">
      <c r="A2260" s="36" t="s">
        <v>97</v>
      </c>
      <c r="B2260" s="36">
        <v>2022</v>
      </c>
      <c r="C2260" s="36" t="s">
        <v>9</v>
      </c>
      <c r="D2260" s="36" t="s">
        <v>103</v>
      </c>
      <c r="E2260" s="36" t="s">
        <v>105</v>
      </c>
      <c r="F2260" s="36" t="s">
        <v>106</v>
      </c>
      <c r="G2260" s="36" t="s">
        <v>102</v>
      </c>
      <c r="H2260" s="36" t="s">
        <v>104</v>
      </c>
      <c r="I2260" s="36" t="s">
        <v>107</v>
      </c>
      <c r="J2260" s="36">
        <v>248</v>
      </c>
      <c r="K2260" s="36">
        <v>354.64</v>
      </c>
    </row>
    <row r="2261" spans="1:11" x14ac:dyDescent="0.3">
      <c r="A2261" s="36" t="s">
        <v>97</v>
      </c>
      <c r="B2261" s="36">
        <v>2022</v>
      </c>
      <c r="C2261" s="36" t="s">
        <v>9</v>
      </c>
      <c r="D2261" s="36" t="s">
        <v>103</v>
      </c>
      <c r="E2261" s="36" t="s">
        <v>105</v>
      </c>
      <c r="F2261" s="36" t="s">
        <v>106</v>
      </c>
      <c r="G2261" s="36" t="s">
        <v>102</v>
      </c>
      <c r="H2261" s="36" t="s">
        <v>104</v>
      </c>
      <c r="I2261" s="36" t="s">
        <v>107</v>
      </c>
      <c r="J2261" s="36">
        <v>322</v>
      </c>
      <c r="K2261" s="36">
        <v>460.46000000000004</v>
      </c>
    </row>
    <row r="2262" spans="1:11" x14ac:dyDescent="0.3">
      <c r="A2262" s="36" t="s">
        <v>97</v>
      </c>
      <c r="B2262" s="36">
        <v>2022</v>
      </c>
      <c r="C2262" s="36" t="s">
        <v>9</v>
      </c>
      <c r="D2262" s="36" t="s">
        <v>103</v>
      </c>
      <c r="E2262" s="36" t="s">
        <v>105</v>
      </c>
      <c r="F2262" s="36" t="s">
        <v>106</v>
      </c>
      <c r="G2262" s="36" t="s">
        <v>102</v>
      </c>
      <c r="H2262" s="36" t="s">
        <v>104</v>
      </c>
      <c r="I2262" s="36" t="s">
        <v>107</v>
      </c>
      <c r="J2262" s="36">
        <v>244</v>
      </c>
      <c r="K2262" s="36">
        <v>348.92</v>
      </c>
    </row>
    <row r="2263" spans="1:11" x14ac:dyDescent="0.3">
      <c r="A2263" s="36" t="s">
        <v>99</v>
      </c>
      <c r="B2263" s="36">
        <v>2022</v>
      </c>
      <c r="C2263" s="36" t="s">
        <v>9</v>
      </c>
      <c r="D2263" s="36" t="s">
        <v>103</v>
      </c>
      <c r="E2263" s="36" t="s">
        <v>105</v>
      </c>
      <c r="F2263" s="36" t="s">
        <v>106</v>
      </c>
      <c r="G2263" s="36" t="s">
        <v>102</v>
      </c>
      <c r="H2263" s="36" t="s">
        <v>104</v>
      </c>
      <c r="I2263" s="36" t="s">
        <v>107</v>
      </c>
      <c r="J2263" s="36">
        <v>292</v>
      </c>
      <c r="K2263" s="36">
        <v>417.56</v>
      </c>
    </row>
    <row r="2264" spans="1:11" x14ac:dyDescent="0.3">
      <c r="A2264" s="36" t="s">
        <v>97</v>
      </c>
      <c r="B2264" s="36">
        <v>2022</v>
      </c>
      <c r="C2264" s="36" t="s">
        <v>9</v>
      </c>
      <c r="D2264" s="36" t="s">
        <v>103</v>
      </c>
      <c r="E2264" s="36" t="s">
        <v>105</v>
      </c>
      <c r="F2264" s="36" t="s">
        <v>106</v>
      </c>
      <c r="G2264" s="36" t="s">
        <v>102</v>
      </c>
      <c r="H2264" s="36" t="s">
        <v>104</v>
      </c>
      <c r="I2264" s="36" t="s">
        <v>107</v>
      </c>
      <c r="J2264" s="36">
        <v>786</v>
      </c>
      <c r="K2264" s="36">
        <v>1123.98</v>
      </c>
    </row>
    <row r="2265" spans="1:11" x14ac:dyDescent="0.3">
      <c r="A2265" s="36" t="s">
        <v>97</v>
      </c>
      <c r="B2265" s="36">
        <v>2022</v>
      </c>
      <c r="C2265" s="36" t="s">
        <v>9</v>
      </c>
      <c r="D2265" s="36" t="s">
        <v>103</v>
      </c>
      <c r="E2265" s="36" t="s">
        <v>105</v>
      </c>
      <c r="F2265" s="36" t="s">
        <v>106</v>
      </c>
      <c r="G2265" s="36" t="s">
        <v>102</v>
      </c>
      <c r="H2265" s="36" t="s">
        <v>104</v>
      </c>
      <c r="I2265" s="36" t="s">
        <v>107</v>
      </c>
      <c r="J2265" s="36">
        <v>839</v>
      </c>
      <c r="K2265" s="36">
        <v>1199.77</v>
      </c>
    </row>
    <row r="2266" spans="1:11" x14ac:dyDescent="0.3">
      <c r="A2266" s="36" t="s">
        <v>90</v>
      </c>
      <c r="B2266" s="36">
        <v>2022</v>
      </c>
      <c r="C2266" s="36" t="s">
        <v>9</v>
      </c>
      <c r="D2266" s="36" t="s">
        <v>103</v>
      </c>
      <c r="E2266" s="36" t="s">
        <v>105</v>
      </c>
      <c r="F2266" s="36" t="s">
        <v>106</v>
      </c>
      <c r="G2266" s="36" t="s">
        <v>102</v>
      </c>
      <c r="H2266" s="36" t="s">
        <v>104</v>
      </c>
      <c r="I2266" s="36" t="s">
        <v>107</v>
      </c>
      <c r="J2266" s="36">
        <v>872</v>
      </c>
      <c r="K2266" s="36">
        <v>1246.96</v>
      </c>
    </row>
    <row r="2267" spans="1:11" x14ac:dyDescent="0.3">
      <c r="A2267" s="36" t="s">
        <v>90</v>
      </c>
      <c r="B2267" s="36">
        <v>2022</v>
      </c>
      <c r="C2267" s="36" t="s">
        <v>9</v>
      </c>
      <c r="D2267" s="36" t="s">
        <v>103</v>
      </c>
      <c r="E2267" s="36" t="s">
        <v>105</v>
      </c>
      <c r="F2267" s="36" t="s">
        <v>106</v>
      </c>
      <c r="G2267" s="36" t="s">
        <v>102</v>
      </c>
      <c r="H2267" s="36" t="s">
        <v>104</v>
      </c>
      <c r="I2267" s="36" t="s">
        <v>107</v>
      </c>
      <c r="J2267" s="36">
        <v>947</v>
      </c>
      <c r="K2267" s="36">
        <v>1354.21</v>
      </c>
    </row>
    <row r="2268" spans="1:11" x14ac:dyDescent="0.3">
      <c r="A2268" s="36" t="s">
        <v>99</v>
      </c>
      <c r="B2268" s="36">
        <v>2022</v>
      </c>
      <c r="C2268" s="36" t="s">
        <v>9</v>
      </c>
      <c r="D2268" s="36" t="s">
        <v>103</v>
      </c>
      <c r="E2268" s="36" t="s">
        <v>105</v>
      </c>
      <c r="F2268" s="36" t="s">
        <v>106</v>
      </c>
      <c r="G2268" s="36" t="s">
        <v>102</v>
      </c>
      <c r="H2268" s="36" t="s">
        <v>104</v>
      </c>
      <c r="I2268" s="36" t="s">
        <v>107</v>
      </c>
      <c r="J2268" s="36">
        <v>948</v>
      </c>
      <c r="K2268" s="36">
        <v>1355.6399999999999</v>
      </c>
    </row>
    <row r="2269" spans="1:11" x14ac:dyDescent="0.3">
      <c r="A2269" s="36" t="s">
        <v>99</v>
      </c>
      <c r="B2269" s="36">
        <v>2022</v>
      </c>
      <c r="C2269" s="36" t="s">
        <v>9</v>
      </c>
      <c r="D2269" s="36" t="s">
        <v>103</v>
      </c>
      <c r="E2269" s="36" t="s">
        <v>105</v>
      </c>
      <c r="F2269" s="36" t="s">
        <v>106</v>
      </c>
      <c r="G2269" s="36" t="s">
        <v>102</v>
      </c>
      <c r="H2269" s="36" t="s">
        <v>104</v>
      </c>
      <c r="I2269" s="36" t="s">
        <v>107</v>
      </c>
      <c r="J2269" s="36">
        <v>949</v>
      </c>
      <c r="K2269" s="36">
        <v>1357.07</v>
      </c>
    </row>
    <row r="2270" spans="1:11" x14ac:dyDescent="0.3">
      <c r="A2270" s="36" t="s">
        <v>90</v>
      </c>
      <c r="B2270" s="36">
        <v>2022</v>
      </c>
      <c r="C2270" s="36" t="s">
        <v>9</v>
      </c>
      <c r="D2270" s="36" t="s">
        <v>103</v>
      </c>
      <c r="E2270" s="36" t="s">
        <v>105</v>
      </c>
      <c r="F2270" s="36" t="s">
        <v>106</v>
      </c>
      <c r="G2270" s="36" t="s">
        <v>102</v>
      </c>
      <c r="H2270" s="36" t="s">
        <v>104</v>
      </c>
      <c r="I2270" s="36" t="s">
        <v>107</v>
      </c>
      <c r="J2270" s="36">
        <v>825</v>
      </c>
      <c r="K2270" s="36">
        <v>526.24</v>
      </c>
    </row>
    <row r="2271" spans="1:11" x14ac:dyDescent="0.3">
      <c r="A2271" s="36" t="s">
        <v>90</v>
      </c>
      <c r="B2271" s="36">
        <v>2022</v>
      </c>
      <c r="C2271" s="36" t="s">
        <v>9</v>
      </c>
      <c r="D2271" s="36" t="s">
        <v>103</v>
      </c>
      <c r="E2271" s="36" t="s">
        <v>105</v>
      </c>
      <c r="F2271" s="36" t="s">
        <v>106</v>
      </c>
      <c r="G2271" s="36" t="s">
        <v>102</v>
      </c>
      <c r="H2271" s="36" t="s">
        <v>104</v>
      </c>
      <c r="I2271" s="36" t="s">
        <v>107</v>
      </c>
      <c r="J2271" s="36">
        <v>878</v>
      </c>
      <c r="K2271" s="36">
        <v>526.24</v>
      </c>
    </row>
    <row r="2272" spans="1:11" x14ac:dyDescent="0.3">
      <c r="A2272" s="36" t="s">
        <v>97</v>
      </c>
      <c r="B2272" s="36">
        <v>2022</v>
      </c>
      <c r="C2272" s="36" t="s">
        <v>9</v>
      </c>
      <c r="D2272" s="36" t="s">
        <v>103</v>
      </c>
      <c r="E2272" s="36" t="s">
        <v>105</v>
      </c>
      <c r="F2272" s="36" t="s">
        <v>106</v>
      </c>
      <c r="G2272" s="36" t="s">
        <v>102</v>
      </c>
      <c r="H2272" s="36" t="s">
        <v>104</v>
      </c>
      <c r="I2272" s="36" t="s">
        <v>107</v>
      </c>
      <c r="J2272" s="36">
        <v>291</v>
      </c>
      <c r="K2272" s="36">
        <v>416.13</v>
      </c>
    </row>
    <row r="2273" spans="1:11" x14ac:dyDescent="0.3">
      <c r="A2273" s="36" t="s">
        <v>97</v>
      </c>
      <c r="B2273" s="36">
        <v>2022</v>
      </c>
      <c r="C2273" s="36" t="s">
        <v>9</v>
      </c>
      <c r="D2273" s="36" t="s">
        <v>103</v>
      </c>
      <c r="E2273" s="36" t="s">
        <v>105</v>
      </c>
      <c r="F2273" s="36" t="s">
        <v>106</v>
      </c>
      <c r="G2273" s="36" t="s">
        <v>102</v>
      </c>
      <c r="H2273" s="36" t="s">
        <v>104</v>
      </c>
      <c r="I2273" s="36" t="s">
        <v>107</v>
      </c>
      <c r="J2273" s="36">
        <v>333</v>
      </c>
      <c r="K2273" s="36">
        <v>476.19</v>
      </c>
    </row>
    <row r="2274" spans="1:11" x14ac:dyDescent="0.3">
      <c r="A2274" s="36" t="s">
        <v>97</v>
      </c>
      <c r="B2274" s="36">
        <v>2022</v>
      </c>
      <c r="C2274" s="36" t="s">
        <v>9</v>
      </c>
      <c r="D2274" s="36" t="s">
        <v>103</v>
      </c>
      <c r="E2274" s="36" t="s">
        <v>105</v>
      </c>
      <c r="F2274" s="36" t="s">
        <v>106</v>
      </c>
      <c r="G2274" s="36" t="s">
        <v>102</v>
      </c>
      <c r="H2274" s="36" t="s">
        <v>104</v>
      </c>
      <c r="I2274" s="36" t="s">
        <v>107</v>
      </c>
      <c r="J2274" s="36">
        <v>327</v>
      </c>
      <c r="K2274" s="36">
        <v>467.61</v>
      </c>
    </row>
    <row r="2275" spans="1:11" x14ac:dyDescent="0.3">
      <c r="A2275" s="36" t="s">
        <v>97</v>
      </c>
      <c r="B2275" s="36">
        <v>2022</v>
      </c>
      <c r="C2275" s="36" t="s">
        <v>9</v>
      </c>
      <c r="D2275" s="36" t="s">
        <v>103</v>
      </c>
      <c r="E2275" s="36" t="s">
        <v>105</v>
      </c>
      <c r="F2275" s="36" t="s">
        <v>106</v>
      </c>
      <c r="G2275" s="36" t="s">
        <v>102</v>
      </c>
      <c r="H2275" s="36" t="s">
        <v>104</v>
      </c>
      <c r="I2275" s="36" t="s">
        <v>107</v>
      </c>
      <c r="J2275" s="36">
        <v>321</v>
      </c>
      <c r="K2275" s="36">
        <v>459.03</v>
      </c>
    </row>
    <row r="2276" spans="1:11" x14ac:dyDescent="0.3">
      <c r="A2276" s="36" t="s">
        <v>99</v>
      </c>
      <c r="B2276" s="36">
        <v>2022</v>
      </c>
      <c r="C2276" s="36" t="s">
        <v>9</v>
      </c>
      <c r="D2276" s="36" t="s">
        <v>103</v>
      </c>
      <c r="E2276" s="36" t="s">
        <v>105</v>
      </c>
      <c r="F2276" s="36" t="s">
        <v>106</v>
      </c>
      <c r="G2276" s="36" t="s">
        <v>102</v>
      </c>
      <c r="H2276" s="36" t="s">
        <v>104</v>
      </c>
      <c r="I2276" s="36" t="s">
        <v>107</v>
      </c>
      <c r="J2276" s="36">
        <v>319</v>
      </c>
      <c r="K2276" s="36">
        <v>456.16999999999996</v>
      </c>
    </row>
    <row r="2277" spans="1:11" x14ac:dyDescent="0.3">
      <c r="A2277" s="36" t="s">
        <v>99</v>
      </c>
      <c r="B2277" s="36">
        <v>2022</v>
      </c>
      <c r="C2277" s="36" t="s">
        <v>9</v>
      </c>
      <c r="D2277" s="36" t="s">
        <v>103</v>
      </c>
      <c r="E2277" s="36" t="s">
        <v>105</v>
      </c>
      <c r="F2277" s="36" t="s">
        <v>106</v>
      </c>
      <c r="G2277" s="36" t="s">
        <v>102</v>
      </c>
      <c r="H2277" s="36" t="s">
        <v>104</v>
      </c>
      <c r="I2277" s="36" t="s">
        <v>107</v>
      </c>
      <c r="J2277" s="36">
        <v>247</v>
      </c>
      <c r="K2277" s="36">
        <v>353.21</v>
      </c>
    </row>
    <row r="2278" spans="1:11" x14ac:dyDescent="0.3">
      <c r="A2278" s="36" t="s">
        <v>97</v>
      </c>
      <c r="B2278" s="36">
        <v>2022</v>
      </c>
      <c r="C2278" s="36" t="s">
        <v>9</v>
      </c>
      <c r="D2278" s="36" t="s">
        <v>103</v>
      </c>
      <c r="E2278" s="36" t="s">
        <v>105</v>
      </c>
      <c r="F2278" s="36" t="s">
        <v>106</v>
      </c>
      <c r="G2278" s="36" t="s">
        <v>102</v>
      </c>
      <c r="H2278" s="36" t="s">
        <v>104</v>
      </c>
      <c r="I2278" s="36" t="s">
        <v>107</v>
      </c>
      <c r="J2278" s="36">
        <v>295</v>
      </c>
      <c r="K2278" s="36">
        <v>421.85</v>
      </c>
    </row>
    <row r="2279" spans="1:11" x14ac:dyDescent="0.3">
      <c r="A2279" s="36" t="s">
        <v>99</v>
      </c>
      <c r="B2279" s="36">
        <v>2022</v>
      </c>
      <c r="C2279" s="36" t="s">
        <v>9</v>
      </c>
      <c r="D2279" s="36" t="s">
        <v>103</v>
      </c>
      <c r="E2279" s="36" t="s">
        <v>105</v>
      </c>
      <c r="F2279" s="36" t="s">
        <v>106</v>
      </c>
      <c r="G2279" s="36" t="s">
        <v>102</v>
      </c>
      <c r="H2279" s="36" t="s">
        <v>104</v>
      </c>
      <c r="I2279" s="36" t="s">
        <v>107</v>
      </c>
      <c r="J2279" s="36">
        <v>848</v>
      </c>
      <c r="K2279" s="36">
        <v>1212.6399999999999</v>
      </c>
    </row>
    <row r="2280" spans="1:11" x14ac:dyDescent="0.3">
      <c r="A2280" s="36" t="s">
        <v>97</v>
      </c>
      <c r="B2280" s="36">
        <v>2022</v>
      </c>
      <c r="C2280" s="36" t="s">
        <v>9</v>
      </c>
      <c r="D2280" s="36" t="s">
        <v>103</v>
      </c>
      <c r="E2280" s="36" t="s">
        <v>105</v>
      </c>
      <c r="F2280" s="36" t="s">
        <v>106</v>
      </c>
      <c r="G2280" s="36" t="s">
        <v>102</v>
      </c>
      <c r="H2280" s="36" t="s">
        <v>104</v>
      </c>
      <c r="I2280" s="36" t="s">
        <v>107</v>
      </c>
      <c r="J2280" s="36">
        <v>881</v>
      </c>
      <c r="K2280" s="36">
        <v>1259.83</v>
      </c>
    </row>
    <row r="2281" spans="1:11" x14ac:dyDescent="0.3">
      <c r="A2281" s="36" t="s">
        <v>90</v>
      </c>
      <c r="B2281" s="36">
        <v>2022</v>
      </c>
      <c r="C2281" s="36" t="s">
        <v>8</v>
      </c>
      <c r="D2281" s="36" t="s">
        <v>103</v>
      </c>
      <c r="E2281" s="36" t="s">
        <v>105</v>
      </c>
      <c r="F2281" s="36" t="s">
        <v>106</v>
      </c>
      <c r="G2281" s="36" t="s">
        <v>102</v>
      </c>
      <c r="H2281" s="36" t="s">
        <v>104</v>
      </c>
      <c r="I2281" s="36" t="s">
        <v>107</v>
      </c>
      <c r="J2281" s="36">
        <v>326</v>
      </c>
      <c r="K2281" s="36">
        <v>466.18</v>
      </c>
    </row>
    <row r="2282" spans="1:11" x14ac:dyDescent="0.3">
      <c r="A2282" s="36" t="s">
        <v>90</v>
      </c>
      <c r="B2282" s="36">
        <v>2022</v>
      </c>
      <c r="C2282" s="36" t="s">
        <v>8</v>
      </c>
      <c r="D2282" s="36" t="s">
        <v>103</v>
      </c>
      <c r="E2282" s="36" t="s">
        <v>105</v>
      </c>
      <c r="F2282" s="36" t="s">
        <v>106</v>
      </c>
      <c r="G2282" s="36" t="s">
        <v>102</v>
      </c>
      <c r="H2282" s="36" t="s">
        <v>104</v>
      </c>
      <c r="I2282" s="36" t="s">
        <v>107</v>
      </c>
      <c r="J2282" s="36">
        <v>254</v>
      </c>
      <c r="K2282" s="36">
        <v>363.22</v>
      </c>
    </row>
    <row r="2283" spans="1:11" x14ac:dyDescent="0.3">
      <c r="A2283" s="36" t="s">
        <v>97</v>
      </c>
      <c r="B2283" s="36">
        <v>2022</v>
      </c>
      <c r="C2283" s="36" t="s">
        <v>8</v>
      </c>
      <c r="D2283" s="36" t="s">
        <v>103</v>
      </c>
      <c r="E2283" s="36" t="s">
        <v>105</v>
      </c>
      <c r="F2283" s="36" t="s">
        <v>106</v>
      </c>
      <c r="G2283" s="36" t="s">
        <v>102</v>
      </c>
      <c r="H2283" s="36" t="s">
        <v>104</v>
      </c>
      <c r="I2283" s="36" t="s">
        <v>107</v>
      </c>
      <c r="J2283" s="36">
        <v>296</v>
      </c>
      <c r="K2283" s="36">
        <v>423.28</v>
      </c>
    </row>
    <row r="2284" spans="1:11" x14ac:dyDescent="0.3">
      <c r="A2284" s="36" t="s">
        <v>90</v>
      </c>
      <c r="B2284" s="36">
        <v>2022</v>
      </c>
      <c r="C2284" s="36" t="s">
        <v>8</v>
      </c>
      <c r="D2284" s="36" t="s">
        <v>103</v>
      </c>
      <c r="E2284" s="36" t="s">
        <v>105</v>
      </c>
      <c r="F2284" s="36" t="s">
        <v>106</v>
      </c>
      <c r="G2284" s="36" t="s">
        <v>102</v>
      </c>
      <c r="H2284" s="36" t="s">
        <v>104</v>
      </c>
      <c r="I2284" s="36" t="s">
        <v>107</v>
      </c>
      <c r="J2284" s="36">
        <v>328</v>
      </c>
      <c r="K2284" s="36">
        <v>469.03999999999996</v>
      </c>
    </row>
    <row r="2285" spans="1:11" x14ac:dyDescent="0.3">
      <c r="A2285" s="36" t="s">
        <v>99</v>
      </c>
      <c r="B2285" s="36">
        <v>2022</v>
      </c>
      <c r="C2285" s="36" t="s">
        <v>8</v>
      </c>
      <c r="D2285" s="36" t="s">
        <v>103</v>
      </c>
      <c r="E2285" s="36" t="s">
        <v>105</v>
      </c>
      <c r="F2285" s="36" t="s">
        <v>106</v>
      </c>
      <c r="G2285" s="36" t="s">
        <v>102</v>
      </c>
      <c r="H2285" s="36" t="s">
        <v>104</v>
      </c>
      <c r="I2285" s="36" t="s">
        <v>107</v>
      </c>
      <c r="J2285" s="36">
        <v>250</v>
      </c>
      <c r="K2285" s="36">
        <v>357.5</v>
      </c>
    </row>
    <row r="2286" spans="1:11" x14ac:dyDescent="0.3">
      <c r="A2286" s="36" t="s">
        <v>97</v>
      </c>
      <c r="B2286" s="36">
        <v>2022</v>
      </c>
      <c r="C2286" s="36" t="s">
        <v>8</v>
      </c>
      <c r="D2286" s="36" t="s">
        <v>103</v>
      </c>
      <c r="E2286" s="36" t="s">
        <v>105</v>
      </c>
      <c r="F2286" s="36" t="s">
        <v>106</v>
      </c>
      <c r="G2286" s="36" t="s">
        <v>102</v>
      </c>
      <c r="H2286" s="36" t="s">
        <v>104</v>
      </c>
      <c r="I2286" s="36" t="s">
        <v>107</v>
      </c>
      <c r="J2286" s="36">
        <v>298</v>
      </c>
      <c r="K2286" s="36">
        <v>426.14</v>
      </c>
    </row>
    <row r="2287" spans="1:11" x14ac:dyDescent="0.3">
      <c r="A2287" s="36" t="s">
        <v>90</v>
      </c>
      <c r="B2287" s="36">
        <v>2022</v>
      </c>
      <c r="C2287" s="36" t="s">
        <v>8</v>
      </c>
      <c r="D2287" s="36" t="s">
        <v>103</v>
      </c>
      <c r="E2287" s="36" t="s">
        <v>105</v>
      </c>
      <c r="F2287" s="36" t="s">
        <v>106</v>
      </c>
      <c r="G2287" s="36" t="s">
        <v>102</v>
      </c>
      <c r="H2287" s="36" t="s">
        <v>104</v>
      </c>
      <c r="I2287" s="36" t="s">
        <v>107</v>
      </c>
      <c r="J2287" s="36">
        <v>785</v>
      </c>
      <c r="K2287" s="36">
        <v>1122.55</v>
      </c>
    </row>
    <row r="2288" spans="1:11" x14ac:dyDescent="0.3">
      <c r="A2288" s="36" t="s">
        <v>101</v>
      </c>
      <c r="B2288" s="36">
        <v>2022</v>
      </c>
      <c r="C2288" s="36" t="s">
        <v>8</v>
      </c>
      <c r="D2288" s="36" t="s">
        <v>103</v>
      </c>
      <c r="E2288" s="36" t="s">
        <v>105</v>
      </c>
      <c r="F2288" s="36" t="s">
        <v>106</v>
      </c>
      <c r="G2288" s="36" t="s">
        <v>102</v>
      </c>
      <c r="H2288" s="36" t="s">
        <v>104</v>
      </c>
      <c r="I2288" s="36" t="s">
        <v>107</v>
      </c>
      <c r="J2288" s="36">
        <v>838</v>
      </c>
      <c r="K2288" s="36">
        <v>1198.3399999999999</v>
      </c>
    </row>
    <row r="2289" spans="1:11" x14ac:dyDescent="0.3">
      <c r="A2289" s="36" t="s">
        <v>101</v>
      </c>
      <c r="B2289" s="36">
        <v>2022</v>
      </c>
      <c r="C2289" s="36" t="s">
        <v>8</v>
      </c>
      <c r="D2289" s="36" t="s">
        <v>103</v>
      </c>
      <c r="E2289" s="36" t="s">
        <v>105</v>
      </c>
      <c r="F2289" s="36" t="s">
        <v>106</v>
      </c>
      <c r="G2289" s="36" t="s">
        <v>102</v>
      </c>
      <c r="H2289" s="36" t="s">
        <v>104</v>
      </c>
      <c r="I2289" s="36" t="s">
        <v>107</v>
      </c>
      <c r="J2289" s="36">
        <v>871</v>
      </c>
      <c r="K2289" s="36">
        <v>1245.53</v>
      </c>
    </row>
    <row r="2290" spans="1:11" x14ac:dyDescent="0.3">
      <c r="A2290" s="36" t="s">
        <v>99</v>
      </c>
      <c r="B2290" s="36">
        <v>2022</v>
      </c>
      <c r="C2290" s="36" t="s">
        <v>8</v>
      </c>
      <c r="D2290" s="36" t="s">
        <v>103</v>
      </c>
      <c r="E2290" s="36" t="s">
        <v>105</v>
      </c>
      <c r="F2290" s="36" t="s">
        <v>106</v>
      </c>
      <c r="G2290" s="36" t="s">
        <v>102</v>
      </c>
      <c r="H2290" s="36" t="s">
        <v>104</v>
      </c>
      <c r="I2290" s="36" t="s">
        <v>107</v>
      </c>
      <c r="J2290" s="36">
        <v>945</v>
      </c>
      <c r="K2290" s="36">
        <v>1351.35</v>
      </c>
    </row>
    <row r="2291" spans="1:11" x14ac:dyDescent="0.3">
      <c r="A2291" s="36" t="s">
        <v>97</v>
      </c>
      <c r="B2291" s="36">
        <v>2022</v>
      </c>
      <c r="C2291" s="36" t="s">
        <v>8</v>
      </c>
      <c r="D2291" s="36" t="s">
        <v>103</v>
      </c>
      <c r="E2291" s="36" t="s">
        <v>105</v>
      </c>
      <c r="F2291" s="36" t="s">
        <v>106</v>
      </c>
      <c r="G2291" s="36" t="s">
        <v>102</v>
      </c>
      <c r="H2291" s="36" t="s">
        <v>104</v>
      </c>
      <c r="I2291" s="36" t="s">
        <v>107</v>
      </c>
      <c r="J2291" s="36">
        <v>946</v>
      </c>
      <c r="K2291" s="36">
        <v>1352.78</v>
      </c>
    </row>
    <row r="2292" spans="1:11" x14ac:dyDescent="0.3">
      <c r="A2292" s="36" t="s">
        <v>101</v>
      </c>
      <c r="B2292" s="36">
        <v>2022</v>
      </c>
      <c r="C2292" s="36" t="s">
        <v>8</v>
      </c>
      <c r="D2292" s="36" t="s">
        <v>103</v>
      </c>
      <c r="E2292" s="36" t="s">
        <v>105</v>
      </c>
      <c r="F2292" s="36" t="s">
        <v>106</v>
      </c>
      <c r="G2292" s="36" t="s">
        <v>102</v>
      </c>
      <c r="H2292" s="36" t="s">
        <v>104</v>
      </c>
      <c r="I2292" s="36" t="s">
        <v>107</v>
      </c>
      <c r="J2292" s="36">
        <v>824</v>
      </c>
      <c r="K2292" s="36">
        <v>526.24</v>
      </c>
    </row>
    <row r="2293" spans="1:11" x14ac:dyDescent="0.3">
      <c r="A2293" s="36" t="s">
        <v>90</v>
      </c>
      <c r="B2293" s="36">
        <v>2022</v>
      </c>
      <c r="C2293" s="36" t="s">
        <v>8</v>
      </c>
      <c r="D2293" s="36" t="s">
        <v>103</v>
      </c>
      <c r="E2293" s="36" t="s">
        <v>105</v>
      </c>
      <c r="F2293" s="36" t="s">
        <v>106</v>
      </c>
      <c r="G2293" s="36" t="s">
        <v>102</v>
      </c>
      <c r="H2293" s="36" t="s">
        <v>104</v>
      </c>
      <c r="I2293" s="36" t="s">
        <v>107</v>
      </c>
      <c r="J2293" s="36">
        <v>297</v>
      </c>
      <c r="K2293" s="36">
        <v>424.71</v>
      </c>
    </row>
    <row r="2294" spans="1:11" x14ac:dyDescent="0.3">
      <c r="A2294" s="36" t="s">
        <v>90</v>
      </c>
      <c r="B2294" s="36">
        <v>2022</v>
      </c>
      <c r="C2294" s="36" t="s">
        <v>8</v>
      </c>
      <c r="D2294" s="36" t="s">
        <v>103</v>
      </c>
      <c r="E2294" s="36" t="s">
        <v>105</v>
      </c>
      <c r="F2294" s="36" t="s">
        <v>106</v>
      </c>
      <c r="G2294" s="36" t="s">
        <v>102</v>
      </c>
      <c r="H2294" s="36" t="s">
        <v>104</v>
      </c>
      <c r="I2294" s="36" t="s">
        <v>107</v>
      </c>
      <c r="J2294" s="36">
        <v>351</v>
      </c>
      <c r="K2294" s="36">
        <v>501.93</v>
      </c>
    </row>
    <row r="2295" spans="1:11" x14ac:dyDescent="0.3">
      <c r="A2295" s="36" t="s">
        <v>101</v>
      </c>
      <c r="B2295" s="36">
        <v>2022</v>
      </c>
      <c r="C2295" s="36" t="s">
        <v>8</v>
      </c>
      <c r="D2295" s="36" t="s">
        <v>103</v>
      </c>
      <c r="E2295" s="36" t="s">
        <v>105</v>
      </c>
      <c r="F2295" s="36" t="s">
        <v>106</v>
      </c>
      <c r="G2295" s="36" t="s">
        <v>102</v>
      </c>
      <c r="H2295" s="36" t="s">
        <v>104</v>
      </c>
      <c r="I2295" s="36" t="s">
        <v>107</v>
      </c>
      <c r="J2295" s="36">
        <v>345</v>
      </c>
      <c r="K2295" s="36">
        <v>493.35</v>
      </c>
    </row>
    <row r="2296" spans="1:11" x14ac:dyDescent="0.3">
      <c r="A2296" s="36" t="s">
        <v>99</v>
      </c>
      <c r="B2296" s="36">
        <v>2022</v>
      </c>
      <c r="C2296" s="36" t="s">
        <v>8</v>
      </c>
      <c r="D2296" s="36" t="s">
        <v>103</v>
      </c>
      <c r="E2296" s="36" t="s">
        <v>105</v>
      </c>
      <c r="F2296" s="36" t="s">
        <v>106</v>
      </c>
      <c r="G2296" s="36" t="s">
        <v>102</v>
      </c>
      <c r="H2296" s="36" t="s">
        <v>104</v>
      </c>
      <c r="I2296" s="36" t="s">
        <v>107</v>
      </c>
      <c r="J2296" s="36">
        <v>339</v>
      </c>
      <c r="K2296" s="36">
        <v>484.77</v>
      </c>
    </row>
    <row r="2297" spans="1:11" x14ac:dyDescent="0.3">
      <c r="A2297" s="36" t="s">
        <v>97</v>
      </c>
      <c r="B2297" s="36">
        <v>2022</v>
      </c>
      <c r="C2297" s="36" t="s">
        <v>8</v>
      </c>
      <c r="D2297" s="36" t="s">
        <v>103</v>
      </c>
      <c r="E2297" s="36" t="s">
        <v>105</v>
      </c>
      <c r="F2297" s="36" t="s">
        <v>106</v>
      </c>
      <c r="G2297" s="36" t="s">
        <v>102</v>
      </c>
      <c r="H2297" s="36" t="s">
        <v>104</v>
      </c>
      <c r="I2297" s="36" t="s">
        <v>107</v>
      </c>
      <c r="J2297" s="36">
        <v>325</v>
      </c>
      <c r="K2297" s="36">
        <v>464.75</v>
      </c>
    </row>
    <row r="2298" spans="1:11" x14ac:dyDescent="0.3">
      <c r="A2298" s="36" t="s">
        <v>99</v>
      </c>
      <c r="B2298" s="36">
        <v>2022</v>
      </c>
      <c r="C2298" s="36" t="s">
        <v>8</v>
      </c>
      <c r="D2298" s="36" t="s">
        <v>103</v>
      </c>
      <c r="E2298" s="36" t="s">
        <v>105</v>
      </c>
      <c r="F2298" s="36" t="s">
        <v>106</v>
      </c>
      <c r="G2298" s="36" t="s">
        <v>102</v>
      </c>
      <c r="H2298" s="36" t="s">
        <v>104</v>
      </c>
      <c r="I2298" s="36" t="s">
        <v>107</v>
      </c>
      <c r="J2298" s="36">
        <v>253</v>
      </c>
      <c r="K2298" s="36">
        <v>361.78999999999996</v>
      </c>
    </row>
    <row r="2299" spans="1:11" x14ac:dyDescent="0.3">
      <c r="A2299" s="36" t="s">
        <v>90</v>
      </c>
      <c r="B2299" s="36">
        <v>2022</v>
      </c>
      <c r="C2299" s="36" t="s">
        <v>8</v>
      </c>
      <c r="D2299" s="36" t="s">
        <v>103</v>
      </c>
      <c r="E2299" s="36" t="s">
        <v>105</v>
      </c>
      <c r="F2299" s="36" t="s">
        <v>106</v>
      </c>
      <c r="G2299" s="36" t="s">
        <v>102</v>
      </c>
      <c r="H2299" s="36" t="s">
        <v>104</v>
      </c>
      <c r="I2299" s="36" t="s">
        <v>107</v>
      </c>
      <c r="J2299" s="36">
        <v>301</v>
      </c>
      <c r="K2299" s="36">
        <v>430.43</v>
      </c>
    </row>
    <row r="2300" spans="1:11" x14ac:dyDescent="0.3">
      <c r="A2300" s="36" t="s">
        <v>97</v>
      </c>
      <c r="B2300" s="36">
        <v>2022</v>
      </c>
      <c r="C2300" s="36" t="s">
        <v>8</v>
      </c>
      <c r="D2300" s="36" t="s">
        <v>103</v>
      </c>
      <c r="E2300" s="36" t="s">
        <v>105</v>
      </c>
      <c r="F2300" s="36" t="s">
        <v>106</v>
      </c>
      <c r="G2300" s="36" t="s">
        <v>102</v>
      </c>
      <c r="H2300" s="36" t="s">
        <v>104</v>
      </c>
      <c r="I2300" s="36" t="s">
        <v>107</v>
      </c>
      <c r="J2300" s="36">
        <v>794</v>
      </c>
      <c r="K2300" s="36">
        <v>1135.42</v>
      </c>
    </row>
    <row r="2301" spans="1:11" x14ac:dyDescent="0.3">
      <c r="A2301" s="36" t="s">
        <v>97</v>
      </c>
      <c r="B2301" s="36">
        <v>2022</v>
      </c>
      <c r="C2301" s="36" t="s">
        <v>8</v>
      </c>
      <c r="D2301" s="36" t="s">
        <v>103</v>
      </c>
      <c r="E2301" s="36" t="s">
        <v>105</v>
      </c>
      <c r="F2301" s="36" t="s">
        <v>106</v>
      </c>
      <c r="G2301" s="36" t="s">
        <v>102</v>
      </c>
      <c r="H2301" s="36" t="s">
        <v>104</v>
      </c>
      <c r="I2301" s="36" t="s">
        <v>107</v>
      </c>
      <c r="J2301" s="36">
        <v>847</v>
      </c>
      <c r="K2301" s="36">
        <v>1211.21</v>
      </c>
    </row>
    <row r="2302" spans="1:11" x14ac:dyDescent="0.3">
      <c r="A2302" s="36" t="s">
        <v>90</v>
      </c>
      <c r="B2302" s="36">
        <v>2022</v>
      </c>
      <c r="C2302" s="36" t="s">
        <v>8</v>
      </c>
      <c r="D2302" s="36" t="s">
        <v>103</v>
      </c>
      <c r="E2302" s="36" t="s">
        <v>105</v>
      </c>
      <c r="F2302" s="36" t="s">
        <v>106</v>
      </c>
      <c r="G2302" s="36" t="s">
        <v>102</v>
      </c>
      <c r="H2302" s="36" t="s">
        <v>104</v>
      </c>
      <c r="I2302" s="36" t="s">
        <v>107</v>
      </c>
      <c r="J2302" s="36">
        <v>880</v>
      </c>
      <c r="K2302" s="36">
        <v>1258.4000000000001</v>
      </c>
    </row>
    <row r="2303" spans="1:11" x14ac:dyDescent="0.3">
      <c r="A2303" s="36" t="s">
        <v>90</v>
      </c>
      <c r="B2303" s="36">
        <v>2023</v>
      </c>
      <c r="C2303" s="36" t="s">
        <v>3</v>
      </c>
      <c r="D2303" s="36" t="s">
        <v>91</v>
      </c>
      <c r="E2303" s="36" t="s">
        <v>105</v>
      </c>
      <c r="F2303" s="36" t="s">
        <v>93</v>
      </c>
      <c r="G2303" s="36" t="s">
        <v>94</v>
      </c>
      <c r="H2303" s="36" t="s">
        <v>95</v>
      </c>
      <c r="I2303" s="36" t="s">
        <v>98</v>
      </c>
      <c r="J2303" s="36">
        <v>362</v>
      </c>
      <c r="K2303" s="36">
        <v>553.86</v>
      </c>
    </row>
    <row r="2304" spans="1:11" x14ac:dyDescent="0.3">
      <c r="A2304" s="36" t="s">
        <v>97</v>
      </c>
      <c r="B2304" s="36">
        <v>2023</v>
      </c>
      <c r="C2304" s="36" t="s">
        <v>3</v>
      </c>
      <c r="D2304" s="36" t="s">
        <v>91</v>
      </c>
      <c r="E2304" s="36" t="s">
        <v>105</v>
      </c>
      <c r="F2304" s="36" t="s">
        <v>93</v>
      </c>
      <c r="G2304" s="36" t="s">
        <v>94</v>
      </c>
      <c r="H2304" s="36" t="s">
        <v>95</v>
      </c>
      <c r="I2304" s="36" t="s">
        <v>98</v>
      </c>
      <c r="J2304" s="36">
        <v>338</v>
      </c>
      <c r="K2304" s="36">
        <v>483.34000000000003</v>
      </c>
    </row>
    <row r="2305" spans="1:11" x14ac:dyDescent="0.3">
      <c r="A2305" s="36" t="s">
        <v>100</v>
      </c>
      <c r="B2305" s="36">
        <v>2023</v>
      </c>
      <c r="C2305" s="36" t="s">
        <v>3</v>
      </c>
      <c r="D2305" s="36" t="s">
        <v>91</v>
      </c>
      <c r="E2305" s="36" t="s">
        <v>105</v>
      </c>
      <c r="F2305" s="36" t="s">
        <v>93</v>
      </c>
      <c r="G2305" s="36" t="s">
        <v>94</v>
      </c>
      <c r="H2305" s="36" t="s">
        <v>95</v>
      </c>
      <c r="I2305" s="36" t="s">
        <v>98</v>
      </c>
      <c r="J2305" s="36">
        <v>364</v>
      </c>
      <c r="K2305" s="36">
        <v>520.52</v>
      </c>
    </row>
    <row r="2306" spans="1:11" x14ac:dyDescent="0.3">
      <c r="A2306" s="36" t="s">
        <v>97</v>
      </c>
      <c r="B2306" s="36">
        <v>2023</v>
      </c>
      <c r="C2306" s="36" t="s">
        <v>3</v>
      </c>
      <c r="D2306" s="36" t="s">
        <v>91</v>
      </c>
      <c r="E2306" s="36" t="s">
        <v>105</v>
      </c>
      <c r="F2306" s="36" t="s">
        <v>93</v>
      </c>
      <c r="G2306" s="36" t="s">
        <v>94</v>
      </c>
      <c r="H2306" s="36" t="s">
        <v>95</v>
      </c>
      <c r="I2306" s="36" t="s">
        <v>98</v>
      </c>
      <c r="J2306" s="36">
        <v>334</v>
      </c>
      <c r="K2306" s="36">
        <v>477.62</v>
      </c>
    </row>
    <row r="2307" spans="1:11" x14ac:dyDescent="0.3">
      <c r="A2307" s="36" t="s">
        <v>97</v>
      </c>
      <c r="B2307" s="36">
        <v>2023</v>
      </c>
      <c r="C2307" s="36" t="s">
        <v>3</v>
      </c>
      <c r="D2307" s="36" t="s">
        <v>91</v>
      </c>
      <c r="E2307" s="36" t="s">
        <v>105</v>
      </c>
      <c r="F2307" s="36" t="s">
        <v>93</v>
      </c>
      <c r="G2307" s="36" t="s">
        <v>94</v>
      </c>
      <c r="H2307" s="36" t="s">
        <v>95</v>
      </c>
      <c r="I2307" s="36" t="s">
        <v>98</v>
      </c>
      <c r="J2307" s="36">
        <v>655</v>
      </c>
      <c r="K2307" s="36">
        <v>936.65</v>
      </c>
    </row>
    <row r="2308" spans="1:11" x14ac:dyDescent="0.3">
      <c r="A2308" s="36" t="s">
        <v>90</v>
      </c>
      <c r="B2308" s="36">
        <v>2023</v>
      </c>
      <c r="C2308" s="36" t="s">
        <v>3</v>
      </c>
      <c r="D2308" s="36" t="s">
        <v>91</v>
      </c>
      <c r="E2308" s="36" t="s">
        <v>105</v>
      </c>
      <c r="F2308" s="36" t="s">
        <v>93</v>
      </c>
      <c r="G2308" s="36" t="s">
        <v>94</v>
      </c>
      <c r="H2308" s="36" t="s">
        <v>95</v>
      </c>
      <c r="I2308" s="36" t="s">
        <v>98</v>
      </c>
      <c r="J2308" s="36">
        <v>742</v>
      </c>
      <c r="K2308" s="36">
        <v>1061.06</v>
      </c>
    </row>
    <row r="2309" spans="1:11" x14ac:dyDescent="0.3">
      <c r="A2309" s="36" t="s">
        <v>90</v>
      </c>
      <c r="B2309" s="36">
        <v>2023</v>
      </c>
      <c r="C2309" s="36" t="s">
        <v>3</v>
      </c>
      <c r="D2309" s="36" t="s">
        <v>91</v>
      </c>
      <c r="E2309" s="36" t="s">
        <v>105</v>
      </c>
      <c r="F2309" s="36" t="s">
        <v>93</v>
      </c>
      <c r="G2309" s="36" t="s">
        <v>94</v>
      </c>
      <c r="H2309" s="36" t="s">
        <v>95</v>
      </c>
      <c r="I2309" s="36" t="s">
        <v>98</v>
      </c>
      <c r="J2309" s="36">
        <v>363</v>
      </c>
      <c r="K2309" s="36">
        <v>519.09</v>
      </c>
    </row>
    <row r="2310" spans="1:11" x14ac:dyDescent="0.3">
      <c r="A2310" s="36" t="s">
        <v>97</v>
      </c>
      <c r="B2310" s="36">
        <v>2023</v>
      </c>
      <c r="C2310" s="36" t="s">
        <v>3</v>
      </c>
      <c r="D2310" s="36" t="s">
        <v>91</v>
      </c>
      <c r="E2310" s="36" t="s">
        <v>105</v>
      </c>
      <c r="F2310" s="36" t="s">
        <v>93</v>
      </c>
      <c r="G2310" s="36" t="s">
        <v>94</v>
      </c>
      <c r="H2310" s="36" t="s">
        <v>95</v>
      </c>
      <c r="I2310" s="36" t="s">
        <v>98</v>
      </c>
      <c r="J2310" s="36">
        <v>781</v>
      </c>
      <c r="K2310" s="36">
        <v>526.24</v>
      </c>
    </row>
    <row r="2311" spans="1:11" x14ac:dyDescent="0.3">
      <c r="A2311" s="36" t="s">
        <v>97</v>
      </c>
      <c r="B2311" s="36">
        <v>2023</v>
      </c>
      <c r="C2311" s="36" t="s">
        <v>3</v>
      </c>
      <c r="D2311" s="36" t="s">
        <v>91</v>
      </c>
      <c r="E2311" s="36" t="s">
        <v>105</v>
      </c>
      <c r="F2311" s="36" t="s">
        <v>93</v>
      </c>
      <c r="G2311" s="36" t="s">
        <v>94</v>
      </c>
      <c r="H2311" s="36" t="s">
        <v>95</v>
      </c>
      <c r="I2311" s="36" t="s">
        <v>98</v>
      </c>
      <c r="J2311" s="36">
        <v>361</v>
      </c>
      <c r="K2311" s="36">
        <v>516.23</v>
      </c>
    </row>
    <row r="2312" spans="1:11" x14ac:dyDescent="0.3">
      <c r="A2312" s="36" t="s">
        <v>100</v>
      </c>
      <c r="B2312" s="36">
        <v>2023</v>
      </c>
      <c r="C2312" s="36" t="s">
        <v>3</v>
      </c>
      <c r="D2312" s="36" t="s">
        <v>91</v>
      </c>
      <c r="E2312" s="36" t="s">
        <v>105</v>
      </c>
      <c r="F2312" s="36" t="s">
        <v>93</v>
      </c>
      <c r="G2312" s="36" t="s">
        <v>94</v>
      </c>
      <c r="H2312" s="36" t="s">
        <v>95</v>
      </c>
      <c r="I2312" s="36" t="s">
        <v>98</v>
      </c>
      <c r="J2312" s="36">
        <v>337</v>
      </c>
      <c r="K2312" s="36">
        <v>481.90999999999997</v>
      </c>
    </row>
    <row r="2313" spans="1:11" x14ac:dyDescent="0.3">
      <c r="A2313" s="36" t="s">
        <v>97</v>
      </c>
      <c r="B2313" s="36">
        <v>2023</v>
      </c>
      <c r="C2313" s="36" t="s">
        <v>3</v>
      </c>
      <c r="D2313" s="36" t="s">
        <v>91</v>
      </c>
      <c r="E2313" s="36" t="s">
        <v>105</v>
      </c>
      <c r="F2313" s="36" t="s">
        <v>93</v>
      </c>
      <c r="G2313" s="36" t="s">
        <v>94</v>
      </c>
      <c r="H2313" s="36" t="s">
        <v>95</v>
      </c>
      <c r="I2313" s="36" t="s">
        <v>98</v>
      </c>
      <c r="J2313" s="36">
        <v>365</v>
      </c>
      <c r="K2313" s="36">
        <v>521.95000000000005</v>
      </c>
    </row>
    <row r="2314" spans="1:11" x14ac:dyDescent="0.3">
      <c r="A2314" s="36" t="s">
        <v>90</v>
      </c>
      <c r="B2314" s="36">
        <v>2023</v>
      </c>
      <c r="C2314" s="36" t="s">
        <v>3</v>
      </c>
      <c r="D2314" s="36" t="s">
        <v>91</v>
      </c>
      <c r="E2314" s="36" t="s">
        <v>105</v>
      </c>
      <c r="F2314" s="36" t="s">
        <v>93</v>
      </c>
      <c r="G2314" s="36" t="s">
        <v>94</v>
      </c>
      <c r="H2314" s="36" t="s">
        <v>95</v>
      </c>
      <c r="I2314" s="36" t="s">
        <v>98</v>
      </c>
      <c r="J2314" s="36">
        <v>751</v>
      </c>
      <c r="K2314" s="36">
        <v>1073.93</v>
      </c>
    </row>
    <row r="2315" spans="1:11" x14ac:dyDescent="0.3">
      <c r="A2315" s="36" t="s">
        <v>100</v>
      </c>
      <c r="B2315" s="36">
        <v>2023</v>
      </c>
      <c r="C2315" s="36" t="s">
        <v>7</v>
      </c>
      <c r="D2315" s="36" t="s">
        <v>91</v>
      </c>
      <c r="E2315" s="36" t="s">
        <v>105</v>
      </c>
      <c r="F2315" s="36" t="s">
        <v>93</v>
      </c>
      <c r="G2315" s="36" t="s">
        <v>94</v>
      </c>
      <c r="H2315" s="36" t="s">
        <v>95</v>
      </c>
      <c r="I2315" s="36" t="s">
        <v>98</v>
      </c>
      <c r="J2315" s="36">
        <v>344</v>
      </c>
      <c r="K2315" s="36">
        <v>526.32000000000005</v>
      </c>
    </row>
    <row r="2316" spans="1:11" x14ac:dyDescent="0.3">
      <c r="A2316" s="36" t="s">
        <v>90</v>
      </c>
      <c r="B2316" s="36">
        <v>2023</v>
      </c>
      <c r="C2316" s="36" t="s">
        <v>7</v>
      </c>
      <c r="D2316" s="36" t="s">
        <v>91</v>
      </c>
      <c r="E2316" s="36" t="s">
        <v>105</v>
      </c>
      <c r="F2316" s="36" t="s">
        <v>93</v>
      </c>
      <c r="G2316" s="36" t="s">
        <v>94</v>
      </c>
      <c r="H2316" s="36" t="s">
        <v>95</v>
      </c>
      <c r="I2316" s="36" t="s">
        <v>98</v>
      </c>
      <c r="J2316" s="36">
        <v>314</v>
      </c>
      <c r="K2316" s="36">
        <v>449.02</v>
      </c>
    </row>
    <row r="2317" spans="1:11" x14ac:dyDescent="0.3">
      <c r="A2317" s="36" t="s">
        <v>97</v>
      </c>
      <c r="B2317" s="36">
        <v>2023</v>
      </c>
      <c r="C2317" s="36" t="s">
        <v>7</v>
      </c>
      <c r="D2317" s="36" t="s">
        <v>91</v>
      </c>
      <c r="E2317" s="36" t="s">
        <v>92</v>
      </c>
      <c r="F2317" s="36" t="s">
        <v>93</v>
      </c>
      <c r="G2317" s="36" t="s">
        <v>94</v>
      </c>
      <c r="H2317" s="36" t="s">
        <v>95</v>
      </c>
      <c r="I2317" s="36" t="s">
        <v>98</v>
      </c>
      <c r="J2317" s="36">
        <v>340</v>
      </c>
      <c r="K2317" s="36">
        <v>486.2</v>
      </c>
    </row>
    <row r="2318" spans="1:11" x14ac:dyDescent="0.3">
      <c r="A2318" s="36" t="s">
        <v>90</v>
      </c>
      <c r="B2318" s="36">
        <v>2023</v>
      </c>
      <c r="C2318" s="36" t="s">
        <v>7</v>
      </c>
      <c r="D2318" s="36" t="s">
        <v>91</v>
      </c>
      <c r="E2318" s="36" t="s">
        <v>92</v>
      </c>
      <c r="F2318" s="36" t="s">
        <v>93</v>
      </c>
      <c r="G2318" s="36" t="s">
        <v>94</v>
      </c>
      <c r="H2318" s="36" t="s">
        <v>95</v>
      </c>
      <c r="I2318" s="36" t="s">
        <v>98</v>
      </c>
      <c r="J2318" s="36">
        <v>316</v>
      </c>
      <c r="K2318" s="36">
        <v>451.88</v>
      </c>
    </row>
    <row r="2319" spans="1:11" x14ac:dyDescent="0.3">
      <c r="A2319" s="36" t="s">
        <v>97</v>
      </c>
      <c r="B2319" s="36">
        <v>2023</v>
      </c>
      <c r="C2319" s="36" t="s">
        <v>7</v>
      </c>
      <c r="D2319" s="36" t="s">
        <v>91</v>
      </c>
      <c r="E2319" s="36" t="s">
        <v>92</v>
      </c>
      <c r="F2319" s="36" t="s">
        <v>93</v>
      </c>
      <c r="G2319" s="36" t="s">
        <v>94</v>
      </c>
      <c r="H2319" s="36" t="s">
        <v>95</v>
      </c>
      <c r="I2319" s="36" t="s">
        <v>98</v>
      </c>
      <c r="J2319" s="36">
        <v>659</v>
      </c>
      <c r="K2319" s="36">
        <v>942.37</v>
      </c>
    </row>
    <row r="2320" spans="1:11" x14ac:dyDescent="0.3">
      <c r="A2320" s="36" t="s">
        <v>97</v>
      </c>
      <c r="B2320" s="36">
        <v>2023</v>
      </c>
      <c r="C2320" s="36" t="s">
        <v>7</v>
      </c>
      <c r="D2320" s="36" t="s">
        <v>91</v>
      </c>
      <c r="E2320" s="36" t="s">
        <v>92</v>
      </c>
      <c r="F2320" s="36" t="s">
        <v>93</v>
      </c>
      <c r="G2320" s="36" t="s">
        <v>94</v>
      </c>
      <c r="H2320" s="36" t="s">
        <v>95</v>
      </c>
      <c r="I2320" s="36" t="s">
        <v>98</v>
      </c>
      <c r="J2320" s="36">
        <v>785</v>
      </c>
      <c r="K2320" s="36">
        <v>526.24</v>
      </c>
    </row>
    <row r="2321" spans="1:11" x14ac:dyDescent="0.3">
      <c r="A2321" s="36" t="s">
        <v>90</v>
      </c>
      <c r="B2321" s="36">
        <v>2023</v>
      </c>
      <c r="C2321" s="36" t="s">
        <v>7</v>
      </c>
      <c r="D2321" s="36" t="s">
        <v>91</v>
      </c>
      <c r="E2321" s="36" t="s">
        <v>92</v>
      </c>
      <c r="F2321" s="36" t="s">
        <v>93</v>
      </c>
      <c r="G2321" s="36" t="s">
        <v>94</v>
      </c>
      <c r="H2321" s="36" t="s">
        <v>95</v>
      </c>
      <c r="I2321" s="36" t="s">
        <v>98</v>
      </c>
      <c r="J2321" s="36">
        <v>343</v>
      </c>
      <c r="K2321" s="36">
        <v>490.49</v>
      </c>
    </row>
    <row r="2322" spans="1:11" x14ac:dyDescent="0.3">
      <c r="A2322" s="36" t="s">
        <v>97</v>
      </c>
      <c r="B2322" s="36">
        <v>2023</v>
      </c>
      <c r="C2322" s="36" t="s">
        <v>7</v>
      </c>
      <c r="D2322" s="36" t="s">
        <v>91</v>
      </c>
      <c r="E2322" s="36" t="s">
        <v>92</v>
      </c>
      <c r="F2322" s="36" t="s">
        <v>93</v>
      </c>
      <c r="G2322" s="36" t="s">
        <v>94</v>
      </c>
      <c r="H2322" s="36" t="s">
        <v>95</v>
      </c>
      <c r="I2322" s="36" t="s">
        <v>98</v>
      </c>
      <c r="J2322" s="36">
        <v>313</v>
      </c>
      <c r="K2322" s="36">
        <v>447.59000000000003</v>
      </c>
    </row>
    <row r="2323" spans="1:11" x14ac:dyDescent="0.3">
      <c r="A2323" s="36" t="s">
        <v>90</v>
      </c>
      <c r="B2323" s="36">
        <v>2023</v>
      </c>
      <c r="C2323" s="36" t="s">
        <v>7</v>
      </c>
      <c r="D2323" s="36" t="s">
        <v>91</v>
      </c>
      <c r="E2323" s="36" t="s">
        <v>92</v>
      </c>
      <c r="F2323" s="36" t="s">
        <v>93</v>
      </c>
      <c r="G2323" s="36" t="s">
        <v>94</v>
      </c>
      <c r="H2323" s="36" t="s">
        <v>95</v>
      </c>
      <c r="I2323" s="36" t="s">
        <v>98</v>
      </c>
      <c r="J2323" s="36">
        <v>341</v>
      </c>
      <c r="K2323" s="36">
        <v>487.63</v>
      </c>
    </row>
    <row r="2324" spans="1:11" x14ac:dyDescent="0.3">
      <c r="A2324" s="36" t="s">
        <v>100</v>
      </c>
      <c r="B2324" s="36">
        <v>2023</v>
      </c>
      <c r="C2324" s="36" t="s">
        <v>7</v>
      </c>
      <c r="D2324" s="36" t="s">
        <v>91</v>
      </c>
      <c r="E2324" s="36" t="s">
        <v>92</v>
      </c>
      <c r="F2324" s="36" t="s">
        <v>93</v>
      </c>
      <c r="G2324" s="36" t="s">
        <v>94</v>
      </c>
      <c r="H2324" s="36" t="s">
        <v>95</v>
      </c>
      <c r="I2324" s="36" t="s">
        <v>98</v>
      </c>
      <c r="J2324" s="36">
        <v>754</v>
      </c>
      <c r="K2324" s="36">
        <v>1078.22</v>
      </c>
    </row>
    <row r="2325" spans="1:11" x14ac:dyDescent="0.3">
      <c r="A2325" s="36" t="s">
        <v>100</v>
      </c>
      <c r="B2325" s="36">
        <v>2023</v>
      </c>
      <c r="C2325" s="36" t="s">
        <v>11</v>
      </c>
      <c r="D2325" s="36" t="s">
        <v>91</v>
      </c>
      <c r="E2325" s="36" t="s">
        <v>92</v>
      </c>
      <c r="F2325" s="36" t="s">
        <v>93</v>
      </c>
      <c r="G2325" s="36" t="s">
        <v>94</v>
      </c>
      <c r="H2325" s="36" t="s">
        <v>95</v>
      </c>
      <c r="I2325" s="36" t="s">
        <v>98</v>
      </c>
      <c r="J2325" s="36">
        <v>320</v>
      </c>
      <c r="K2325" s="36">
        <v>489.6</v>
      </c>
    </row>
    <row r="2326" spans="1:11" x14ac:dyDescent="0.3">
      <c r="A2326" s="36" t="s">
        <v>90</v>
      </c>
      <c r="B2326" s="36">
        <v>2023</v>
      </c>
      <c r="C2326" s="36" t="s">
        <v>11</v>
      </c>
      <c r="D2326" s="36" t="s">
        <v>91</v>
      </c>
      <c r="E2326" s="36" t="s">
        <v>92</v>
      </c>
      <c r="F2326" s="36" t="s">
        <v>93</v>
      </c>
      <c r="G2326" s="36" t="s">
        <v>94</v>
      </c>
      <c r="H2326" s="36" t="s">
        <v>95</v>
      </c>
      <c r="I2326" s="36" t="s">
        <v>98</v>
      </c>
      <c r="J2326" s="36">
        <v>296</v>
      </c>
      <c r="K2326" s="36">
        <v>423.28</v>
      </c>
    </row>
    <row r="2327" spans="1:11" x14ac:dyDescent="0.3">
      <c r="A2327" s="36" t="s">
        <v>97</v>
      </c>
      <c r="B2327" s="36">
        <v>2023</v>
      </c>
      <c r="C2327" s="36" t="s">
        <v>11</v>
      </c>
      <c r="D2327" s="36" t="s">
        <v>91</v>
      </c>
      <c r="E2327" s="36" t="s">
        <v>92</v>
      </c>
      <c r="F2327" s="36" t="s">
        <v>93</v>
      </c>
      <c r="G2327" s="36" t="s">
        <v>94</v>
      </c>
      <c r="H2327" s="36" t="s">
        <v>95</v>
      </c>
      <c r="I2327" s="36" t="s">
        <v>98</v>
      </c>
      <c r="J2327" s="36">
        <v>322</v>
      </c>
      <c r="K2327" s="36">
        <v>460.46000000000004</v>
      </c>
    </row>
    <row r="2328" spans="1:11" x14ac:dyDescent="0.3">
      <c r="A2328" s="36" t="s">
        <v>97</v>
      </c>
      <c r="B2328" s="36">
        <v>2023</v>
      </c>
      <c r="C2328" s="36" t="s">
        <v>11</v>
      </c>
      <c r="D2328" s="36" t="s">
        <v>91</v>
      </c>
      <c r="E2328" s="36" t="s">
        <v>92</v>
      </c>
      <c r="F2328" s="36" t="s">
        <v>93</v>
      </c>
      <c r="G2328" s="36" t="s">
        <v>94</v>
      </c>
      <c r="H2328" s="36" t="s">
        <v>95</v>
      </c>
      <c r="I2328" s="36" t="s">
        <v>98</v>
      </c>
      <c r="J2328" s="36">
        <v>292</v>
      </c>
      <c r="K2328" s="36">
        <v>417.56</v>
      </c>
    </row>
    <row r="2329" spans="1:11" x14ac:dyDescent="0.3">
      <c r="A2329" s="36" t="s">
        <v>97</v>
      </c>
      <c r="B2329" s="36">
        <v>2023</v>
      </c>
      <c r="C2329" s="36" t="s">
        <v>11</v>
      </c>
      <c r="D2329" s="36" t="s">
        <v>91</v>
      </c>
      <c r="E2329" s="36" t="s">
        <v>92</v>
      </c>
      <c r="F2329" s="36" t="s">
        <v>93</v>
      </c>
      <c r="G2329" s="36" t="s">
        <v>94</v>
      </c>
      <c r="H2329" s="36" t="s">
        <v>95</v>
      </c>
      <c r="I2329" s="36" t="s">
        <v>98</v>
      </c>
      <c r="J2329" s="36">
        <v>749</v>
      </c>
      <c r="K2329" s="36">
        <v>1071.07</v>
      </c>
    </row>
    <row r="2330" spans="1:11" x14ac:dyDescent="0.3">
      <c r="A2330" s="36" t="s">
        <v>97</v>
      </c>
      <c r="B2330" s="36">
        <v>2023</v>
      </c>
      <c r="C2330" s="36" t="s">
        <v>11</v>
      </c>
      <c r="D2330" s="36" t="s">
        <v>91</v>
      </c>
      <c r="E2330" s="36" t="s">
        <v>92</v>
      </c>
      <c r="F2330" s="36" t="s">
        <v>93</v>
      </c>
      <c r="G2330" s="36" t="s">
        <v>94</v>
      </c>
      <c r="H2330" s="36" t="s">
        <v>95</v>
      </c>
      <c r="I2330" s="36" t="s">
        <v>98</v>
      </c>
      <c r="J2330" s="36">
        <v>321</v>
      </c>
      <c r="K2330" s="36">
        <v>459.03</v>
      </c>
    </row>
    <row r="2331" spans="1:11" x14ac:dyDescent="0.3">
      <c r="A2331" s="36" t="s">
        <v>97</v>
      </c>
      <c r="B2331" s="36">
        <v>2023</v>
      </c>
      <c r="C2331" s="36" t="s">
        <v>11</v>
      </c>
      <c r="D2331" s="36" t="s">
        <v>91</v>
      </c>
      <c r="E2331" s="36" t="s">
        <v>92</v>
      </c>
      <c r="F2331" s="36" t="s">
        <v>93</v>
      </c>
      <c r="G2331" s="36" t="s">
        <v>94</v>
      </c>
      <c r="H2331" s="36" t="s">
        <v>95</v>
      </c>
      <c r="I2331" s="36" t="s">
        <v>98</v>
      </c>
      <c r="J2331" s="36">
        <v>319</v>
      </c>
      <c r="K2331" s="36">
        <v>456.16999999999996</v>
      </c>
    </row>
    <row r="2332" spans="1:11" x14ac:dyDescent="0.3">
      <c r="A2332" s="36" t="s">
        <v>97</v>
      </c>
      <c r="B2332" s="36">
        <v>2023</v>
      </c>
      <c r="C2332" s="36" t="s">
        <v>11</v>
      </c>
      <c r="D2332" s="36" t="s">
        <v>91</v>
      </c>
      <c r="E2332" s="36" t="s">
        <v>92</v>
      </c>
      <c r="F2332" s="36" t="s">
        <v>93</v>
      </c>
      <c r="G2332" s="36" t="s">
        <v>94</v>
      </c>
      <c r="H2332" s="36" t="s">
        <v>95</v>
      </c>
      <c r="I2332" s="36" t="s">
        <v>98</v>
      </c>
      <c r="J2332" s="36">
        <v>295</v>
      </c>
      <c r="K2332" s="36">
        <v>421.85</v>
      </c>
    </row>
    <row r="2333" spans="1:11" x14ac:dyDescent="0.3">
      <c r="A2333" s="36" t="s">
        <v>90</v>
      </c>
      <c r="B2333" s="36">
        <v>2023</v>
      </c>
      <c r="C2333" s="36" t="s">
        <v>11</v>
      </c>
      <c r="D2333" s="36" t="s">
        <v>91</v>
      </c>
      <c r="E2333" s="36" t="s">
        <v>92</v>
      </c>
      <c r="F2333" s="36" t="s">
        <v>93</v>
      </c>
      <c r="G2333" s="36" t="s">
        <v>94</v>
      </c>
      <c r="H2333" s="36" t="s">
        <v>95</v>
      </c>
      <c r="I2333" s="36" t="s">
        <v>98</v>
      </c>
      <c r="J2333" s="36">
        <v>323</v>
      </c>
      <c r="K2333" s="36">
        <v>461.89</v>
      </c>
    </row>
    <row r="2334" spans="1:11" x14ac:dyDescent="0.3">
      <c r="A2334" s="36" t="s">
        <v>100</v>
      </c>
      <c r="B2334" s="36">
        <v>2023</v>
      </c>
      <c r="C2334" s="36" t="s">
        <v>11</v>
      </c>
      <c r="D2334" s="36" t="s">
        <v>91</v>
      </c>
      <c r="E2334" s="36" t="s">
        <v>92</v>
      </c>
      <c r="F2334" s="36" t="s">
        <v>93</v>
      </c>
      <c r="G2334" s="36" t="s">
        <v>94</v>
      </c>
      <c r="H2334" s="36" t="s">
        <v>95</v>
      </c>
      <c r="I2334" s="36" t="s">
        <v>98</v>
      </c>
      <c r="J2334" s="36">
        <v>758</v>
      </c>
      <c r="K2334" s="36">
        <v>1083.94</v>
      </c>
    </row>
    <row r="2335" spans="1:11" x14ac:dyDescent="0.3">
      <c r="A2335" s="36" t="s">
        <v>101</v>
      </c>
      <c r="B2335" s="36">
        <v>2023</v>
      </c>
      <c r="C2335" s="36" t="s">
        <v>1</v>
      </c>
      <c r="D2335" s="36" t="s">
        <v>91</v>
      </c>
      <c r="E2335" s="36" t="s">
        <v>92</v>
      </c>
      <c r="F2335" s="36" t="s">
        <v>93</v>
      </c>
      <c r="G2335" s="36" t="s">
        <v>94</v>
      </c>
      <c r="H2335" s="36" t="s">
        <v>95</v>
      </c>
      <c r="I2335" s="36" t="s">
        <v>98</v>
      </c>
      <c r="J2335" s="36">
        <v>128</v>
      </c>
      <c r="K2335" s="36">
        <v>195.84</v>
      </c>
    </row>
    <row r="2336" spans="1:11" x14ac:dyDescent="0.3">
      <c r="A2336" s="36" t="s">
        <v>90</v>
      </c>
      <c r="B2336" s="36">
        <v>2023</v>
      </c>
      <c r="C2336" s="36" t="s">
        <v>1</v>
      </c>
      <c r="D2336" s="36" t="s">
        <v>91</v>
      </c>
      <c r="E2336" s="36" t="s">
        <v>92</v>
      </c>
      <c r="F2336" s="36" t="s">
        <v>93</v>
      </c>
      <c r="G2336" s="36" t="s">
        <v>94</v>
      </c>
      <c r="H2336" s="36" t="s">
        <v>95</v>
      </c>
      <c r="I2336" s="36" t="s">
        <v>98</v>
      </c>
      <c r="J2336" s="36">
        <v>302</v>
      </c>
      <c r="K2336" s="36">
        <v>431.86</v>
      </c>
    </row>
    <row r="2337" spans="1:11" x14ac:dyDescent="0.3">
      <c r="A2337" s="36" t="s">
        <v>90</v>
      </c>
      <c r="B2337" s="36">
        <v>2023</v>
      </c>
      <c r="C2337" s="36" t="s">
        <v>1</v>
      </c>
      <c r="D2337" s="36" t="s">
        <v>91</v>
      </c>
      <c r="E2337" s="36" t="s">
        <v>92</v>
      </c>
      <c r="F2337" s="36" t="s">
        <v>93</v>
      </c>
      <c r="G2337" s="36" t="s">
        <v>94</v>
      </c>
      <c r="H2337" s="36" t="s">
        <v>95</v>
      </c>
      <c r="I2337" s="36" t="s">
        <v>98</v>
      </c>
      <c r="J2337" s="36">
        <v>130</v>
      </c>
      <c r="K2337" s="36">
        <v>185.9</v>
      </c>
    </row>
    <row r="2338" spans="1:11" x14ac:dyDescent="0.3">
      <c r="A2338" s="36" t="s">
        <v>90</v>
      </c>
      <c r="B2338" s="36">
        <v>2023</v>
      </c>
      <c r="C2338" s="36" t="s">
        <v>1</v>
      </c>
      <c r="D2338" s="36" t="s">
        <v>91</v>
      </c>
      <c r="E2338" s="36" t="s">
        <v>92</v>
      </c>
      <c r="F2338" s="36" t="s">
        <v>93</v>
      </c>
      <c r="G2338" s="36" t="s">
        <v>94</v>
      </c>
      <c r="H2338" s="36" t="s">
        <v>95</v>
      </c>
      <c r="I2338" s="36" t="s">
        <v>98</v>
      </c>
      <c r="J2338" s="36">
        <v>346</v>
      </c>
      <c r="K2338" s="36">
        <v>494.78</v>
      </c>
    </row>
    <row r="2339" spans="1:11" x14ac:dyDescent="0.3">
      <c r="A2339" s="36" t="s">
        <v>97</v>
      </c>
      <c r="B2339" s="36">
        <v>2023</v>
      </c>
      <c r="C2339" s="36" t="s">
        <v>1</v>
      </c>
      <c r="D2339" s="36" t="s">
        <v>91</v>
      </c>
      <c r="E2339" s="36" t="s">
        <v>92</v>
      </c>
      <c r="F2339" s="36" t="s">
        <v>93</v>
      </c>
      <c r="G2339" s="36" t="s">
        <v>94</v>
      </c>
      <c r="H2339" s="36" t="s">
        <v>95</v>
      </c>
      <c r="I2339" s="36" t="s">
        <v>98</v>
      </c>
      <c r="J2339" s="36">
        <v>372</v>
      </c>
      <c r="K2339" s="36">
        <v>531.96</v>
      </c>
    </row>
    <row r="2340" spans="1:11" x14ac:dyDescent="0.3">
      <c r="A2340" s="36" t="s">
        <v>99</v>
      </c>
      <c r="B2340" s="36">
        <v>2023</v>
      </c>
      <c r="C2340" s="36" t="s">
        <v>1</v>
      </c>
      <c r="D2340" s="36" t="s">
        <v>91</v>
      </c>
      <c r="E2340" s="36" t="s">
        <v>92</v>
      </c>
      <c r="F2340" s="36" t="s">
        <v>93</v>
      </c>
      <c r="G2340" s="36" t="s">
        <v>94</v>
      </c>
      <c r="H2340" s="36" t="s">
        <v>95</v>
      </c>
      <c r="I2340" s="36" t="s">
        <v>98</v>
      </c>
      <c r="J2340" s="36">
        <v>740</v>
      </c>
      <c r="K2340" s="36">
        <v>1058.2</v>
      </c>
    </row>
    <row r="2341" spans="1:11" x14ac:dyDescent="0.3">
      <c r="A2341" s="36" t="s">
        <v>99</v>
      </c>
      <c r="B2341" s="36">
        <v>2023</v>
      </c>
      <c r="C2341" s="36" t="s">
        <v>1</v>
      </c>
      <c r="D2341" s="36" t="s">
        <v>91</v>
      </c>
      <c r="E2341" s="36" t="s">
        <v>92</v>
      </c>
      <c r="F2341" s="36" t="s">
        <v>93</v>
      </c>
      <c r="G2341" s="36" t="s">
        <v>94</v>
      </c>
      <c r="H2341" s="36" t="s">
        <v>95</v>
      </c>
      <c r="I2341" s="36" t="s">
        <v>98</v>
      </c>
      <c r="J2341" s="36">
        <v>129</v>
      </c>
      <c r="K2341" s="36">
        <v>184.47</v>
      </c>
    </row>
    <row r="2342" spans="1:11" x14ac:dyDescent="0.3">
      <c r="A2342" s="36" t="s">
        <v>97</v>
      </c>
      <c r="B2342" s="36">
        <v>2023</v>
      </c>
      <c r="C2342" s="36" t="s">
        <v>1</v>
      </c>
      <c r="D2342" s="36" t="s">
        <v>91</v>
      </c>
      <c r="E2342" s="36" t="s">
        <v>92</v>
      </c>
      <c r="F2342" s="36" t="s">
        <v>93</v>
      </c>
      <c r="G2342" s="36" t="s">
        <v>94</v>
      </c>
      <c r="H2342" s="36" t="s">
        <v>95</v>
      </c>
      <c r="I2342" s="36" t="s">
        <v>98</v>
      </c>
      <c r="J2342" s="36">
        <v>746</v>
      </c>
      <c r="K2342" s="36">
        <v>526.24</v>
      </c>
    </row>
    <row r="2343" spans="1:11" x14ac:dyDescent="0.3">
      <c r="A2343" s="36" t="s">
        <v>97</v>
      </c>
      <c r="B2343" s="36">
        <v>2023</v>
      </c>
      <c r="C2343" s="36" t="s">
        <v>1</v>
      </c>
      <c r="D2343" s="36" t="s">
        <v>91</v>
      </c>
      <c r="E2343" s="36" t="s">
        <v>92</v>
      </c>
      <c r="F2343" s="36" t="s">
        <v>93</v>
      </c>
      <c r="G2343" s="36" t="s">
        <v>94</v>
      </c>
      <c r="H2343" s="36" t="s">
        <v>95</v>
      </c>
      <c r="I2343" s="36" t="s">
        <v>98</v>
      </c>
      <c r="J2343" s="36">
        <v>780</v>
      </c>
      <c r="K2343" s="36">
        <v>526.24</v>
      </c>
    </row>
    <row r="2344" spans="1:11" x14ac:dyDescent="0.3">
      <c r="A2344" s="36" t="s">
        <v>90</v>
      </c>
      <c r="B2344" s="36">
        <v>2023</v>
      </c>
      <c r="C2344" s="36" t="s">
        <v>1</v>
      </c>
      <c r="D2344" s="36" t="s">
        <v>91</v>
      </c>
      <c r="E2344" s="36" t="s">
        <v>92</v>
      </c>
      <c r="F2344" s="36" t="s">
        <v>93</v>
      </c>
      <c r="G2344" s="36" t="s">
        <v>94</v>
      </c>
      <c r="H2344" s="36" t="s">
        <v>95</v>
      </c>
      <c r="I2344" s="36" t="s">
        <v>98</v>
      </c>
      <c r="J2344" s="36">
        <v>127</v>
      </c>
      <c r="K2344" s="36">
        <v>181.61</v>
      </c>
    </row>
    <row r="2345" spans="1:11" x14ac:dyDescent="0.3">
      <c r="A2345" s="36" t="s">
        <v>97</v>
      </c>
      <c r="B2345" s="36">
        <v>2023</v>
      </c>
      <c r="C2345" s="36" t="s">
        <v>1</v>
      </c>
      <c r="D2345" s="36" t="s">
        <v>91</v>
      </c>
      <c r="E2345" s="36" t="s">
        <v>92</v>
      </c>
      <c r="F2345" s="36" t="s">
        <v>93</v>
      </c>
      <c r="G2345" s="36" t="s">
        <v>94</v>
      </c>
      <c r="H2345" s="36" t="s">
        <v>95</v>
      </c>
      <c r="I2345" s="36" t="s">
        <v>98</v>
      </c>
      <c r="J2345" s="36">
        <v>301</v>
      </c>
      <c r="K2345" s="36">
        <v>430.43</v>
      </c>
    </row>
    <row r="2346" spans="1:11" x14ac:dyDescent="0.3">
      <c r="A2346" s="36" t="s">
        <v>90</v>
      </c>
      <c r="B2346" s="36">
        <v>2023</v>
      </c>
      <c r="C2346" s="36" t="s">
        <v>1</v>
      </c>
      <c r="D2346" s="36" t="s">
        <v>91</v>
      </c>
      <c r="E2346" s="36" t="s">
        <v>92</v>
      </c>
      <c r="F2346" s="36" t="s">
        <v>93</v>
      </c>
      <c r="G2346" s="36" t="s">
        <v>94</v>
      </c>
      <c r="H2346" s="36" t="s">
        <v>95</v>
      </c>
      <c r="I2346" s="36" t="s">
        <v>98</v>
      </c>
      <c r="J2346" s="36">
        <v>349</v>
      </c>
      <c r="K2346" s="36">
        <v>499.07</v>
      </c>
    </row>
    <row r="2347" spans="1:11" x14ac:dyDescent="0.3">
      <c r="A2347" s="36" t="s">
        <v>101</v>
      </c>
      <c r="B2347" s="36">
        <v>2023</v>
      </c>
      <c r="C2347" s="36" t="s">
        <v>1</v>
      </c>
      <c r="D2347" s="36" t="s">
        <v>91</v>
      </c>
      <c r="E2347" s="36" t="s">
        <v>92</v>
      </c>
      <c r="F2347" s="36" t="s">
        <v>93</v>
      </c>
      <c r="G2347" s="36" t="s">
        <v>94</v>
      </c>
      <c r="H2347" s="36" t="s">
        <v>95</v>
      </c>
      <c r="I2347" s="36" t="s">
        <v>98</v>
      </c>
      <c r="J2347" s="36">
        <v>749</v>
      </c>
      <c r="K2347" s="36">
        <v>1071.07</v>
      </c>
    </row>
    <row r="2348" spans="1:11" x14ac:dyDescent="0.3">
      <c r="A2348" s="36" t="s">
        <v>99</v>
      </c>
      <c r="B2348" s="36">
        <v>2023</v>
      </c>
      <c r="C2348" s="36" t="s">
        <v>0</v>
      </c>
      <c r="D2348" s="36" t="s">
        <v>91</v>
      </c>
      <c r="E2348" s="36" t="s">
        <v>92</v>
      </c>
      <c r="F2348" s="36" t="s">
        <v>93</v>
      </c>
      <c r="G2348" s="36" t="s">
        <v>94</v>
      </c>
      <c r="H2348" s="36" t="s">
        <v>95</v>
      </c>
      <c r="I2348" s="36" t="s">
        <v>98</v>
      </c>
      <c r="J2348" s="36">
        <v>134</v>
      </c>
      <c r="K2348" s="36">
        <v>191.62</v>
      </c>
    </row>
    <row r="2349" spans="1:11" x14ac:dyDescent="0.3">
      <c r="A2349" s="36" t="s">
        <v>97</v>
      </c>
      <c r="B2349" s="36">
        <v>2023</v>
      </c>
      <c r="C2349" s="36" t="s">
        <v>0</v>
      </c>
      <c r="D2349" s="36" t="s">
        <v>91</v>
      </c>
      <c r="E2349" s="36" t="s">
        <v>92</v>
      </c>
      <c r="F2349" s="36" t="s">
        <v>93</v>
      </c>
      <c r="G2349" s="36" t="s">
        <v>94</v>
      </c>
      <c r="H2349" s="36" t="s">
        <v>95</v>
      </c>
      <c r="I2349" s="36" t="s">
        <v>98</v>
      </c>
      <c r="J2349" s="36">
        <v>308</v>
      </c>
      <c r="K2349" s="36">
        <v>440.44</v>
      </c>
    </row>
    <row r="2350" spans="1:11" x14ac:dyDescent="0.3">
      <c r="A2350" s="36" t="s">
        <v>90</v>
      </c>
      <c r="B2350" s="36">
        <v>2023</v>
      </c>
      <c r="C2350" s="36" t="s">
        <v>0</v>
      </c>
      <c r="D2350" s="36" t="s">
        <v>91</v>
      </c>
      <c r="E2350" s="36" t="s">
        <v>92</v>
      </c>
      <c r="F2350" s="36" t="s">
        <v>93</v>
      </c>
      <c r="G2350" s="36" t="s">
        <v>94</v>
      </c>
      <c r="H2350" s="36" t="s">
        <v>95</v>
      </c>
      <c r="I2350" s="36" t="s">
        <v>98</v>
      </c>
      <c r="J2350" s="36">
        <v>350</v>
      </c>
      <c r="K2350" s="36">
        <v>500.5</v>
      </c>
    </row>
    <row r="2351" spans="1:11" x14ac:dyDescent="0.3">
      <c r="A2351" s="36" t="s">
        <v>90</v>
      </c>
      <c r="B2351" s="36">
        <v>2023</v>
      </c>
      <c r="C2351" s="36" t="s">
        <v>0</v>
      </c>
      <c r="D2351" s="36" t="s">
        <v>91</v>
      </c>
      <c r="E2351" s="36" t="s">
        <v>92</v>
      </c>
      <c r="F2351" s="36" t="s">
        <v>93</v>
      </c>
      <c r="G2351" s="36" t="s">
        <v>94</v>
      </c>
      <c r="H2351" s="36" t="s">
        <v>95</v>
      </c>
      <c r="I2351" s="36" t="s">
        <v>98</v>
      </c>
      <c r="J2351" s="36">
        <v>136</v>
      </c>
      <c r="K2351" s="36">
        <v>194.48</v>
      </c>
    </row>
    <row r="2352" spans="1:11" x14ac:dyDescent="0.3">
      <c r="A2352" s="36" t="s">
        <v>101</v>
      </c>
      <c r="B2352" s="36">
        <v>2023</v>
      </c>
      <c r="C2352" s="36" t="s">
        <v>0</v>
      </c>
      <c r="D2352" s="36" t="s">
        <v>91</v>
      </c>
      <c r="E2352" s="36" t="s">
        <v>92</v>
      </c>
      <c r="F2352" s="36" t="s">
        <v>93</v>
      </c>
      <c r="G2352" s="36" t="s">
        <v>94</v>
      </c>
      <c r="H2352" s="36" t="s">
        <v>95</v>
      </c>
      <c r="I2352" s="36" t="s">
        <v>98</v>
      </c>
      <c r="J2352" s="36">
        <v>304</v>
      </c>
      <c r="K2352" s="36">
        <v>434.72</v>
      </c>
    </row>
    <row r="2353" spans="1:11" x14ac:dyDescent="0.3">
      <c r="A2353" s="36" t="s">
        <v>90</v>
      </c>
      <c r="B2353" s="36">
        <v>2023</v>
      </c>
      <c r="C2353" s="36" t="s">
        <v>0</v>
      </c>
      <c r="D2353" s="36" t="s">
        <v>91</v>
      </c>
      <c r="E2353" s="36" t="s">
        <v>92</v>
      </c>
      <c r="F2353" s="36" t="s">
        <v>93</v>
      </c>
      <c r="G2353" s="36" t="s">
        <v>94</v>
      </c>
      <c r="H2353" s="36" t="s">
        <v>95</v>
      </c>
      <c r="I2353" s="36" t="s">
        <v>98</v>
      </c>
      <c r="J2353" s="36">
        <v>352</v>
      </c>
      <c r="K2353" s="36">
        <v>503.36</v>
      </c>
    </row>
    <row r="2354" spans="1:11" x14ac:dyDescent="0.3">
      <c r="A2354" s="36" t="s">
        <v>90</v>
      </c>
      <c r="B2354" s="36">
        <v>2023</v>
      </c>
      <c r="C2354" s="36" t="s">
        <v>0</v>
      </c>
      <c r="D2354" s="36" t="s">
        <v>91</v>
      </c>
      <c r="E2354" s="36" t="s">
        <v>92</v>
      </c>
      <c r="F2354" s="36" t="s">
        <v>93</v>
      </c>
      <c r="G2354" s="36" t="s">
        <v>94</v>
      </c>
      <c r="H2354" s="36" t="s">
        <v>95</v>
      </c>
      <c r="I2354" s="36" t="s">
        <v>98</v>
      </c>
      <c r="J2354" s="36">
        <v>132</v>
      </c>
      <c r="K2354" s="36">
        <v>188.76</v>
      </c>
    </row>
    <row r="2355" spans="1:11" x14ac:dyDescent="0.3">
      <c r="A2355" s="36" t="s">
        <v>97</v>
      </c>
      <c r="B2355" s="36">
        <v>2023</v>
      </c>
      <c r="C2355" s="36" t="s">
        <v>0</v>
      </c>
      <c r="D2355" s="36" t="s">
        <v>91</v>
      </c>
      <c r="E2355" s="36" t="s">
        <v>92</v>
      </c>
      <c r="F2355" s="36" t="s">
        <v>93</v>
      </c>
      <c r="G2355" s="36" t="s">
        <v>94</v>
      </c>
      <c r="H2355" s="36" t="s">
        <v>95</v>
      </c>
      <c r="I2355" s="36" t="s">
        <v>98</v>
      </c>
      <c r="J2355" s="36">
        <v>706</v>
      </c>
      <c r="K2355" s="36">
        <v>1009.5799999999999</v>
      </c>
    </row>
    <row r="2356" spans="1:11" x14ac:dyDescent="0.3">
      <c r="A2356" s="36" t="s">
        <v>90</v>
      </c>
      <c r="B2356" s="36">
        <v>2023</v>
      </c>
      <c r="C2356" s="36" t="s">
        <v>0</v>
      </c>
      <c r="D2356" s="36" t="s">
        <v>91</v>
      </c>
      <c r="E2356" s="36" t="s">
        <v>92</v>
      </c>
      <c r="F2356" s="36" t="s">
        <v>93</v>
      </c>
      <c r="G2356" s="36" t="s">
        <v>94</v>
      </c>
      <c r="H2356" s="36" t="s">
        <v>95</v>
      </c>
      <c r="I2356" s="36" t="s">
        <v>98</v>
      </c>
      <c r="J2356" s="36">
        <v>739</v>
      </c>
      <c r="K2356" s="36">
        <v>1056.77</v>
      </c>
    </row>
    <row r="2357" spans="1:11" x14ac:dyDescent="0.3">
      <c r="A2357" s="36" t="s">
        <v>90</v>
      </c>
      <c r="B2357" s="36">
        <v>2023</v>
      </c>
      <c r="C2357" s="36" t="s">
        <v>0</v>
      </c>
      <c r="D2357" s="36" t="s">
        <v>91</v>
      </c>
      <c r="E2357" s="36" t="s">
        <v>92</v>
      </c>
      <c r="F2357" s="36" t="s">
        <v>93</v>
      </c>
      <c r="G2357" s="36" t="s">
        <v>94</v>
      </c>
      <c r="H2357" s="36" t="s">
        <v>95</v>
      </c>
      <c r="I2357" s="36" t="s">
        <v>98</v>
      </c>
      <c r="J2357" s="36">
        <v>135</v>
      </c>
      <c r="K2357" s="36">
        <v>193.05</v>
      </c>
    </row>
    <row r="2358" spans="1:11" x14ac:dyDescent="0.3">
      <c r="A2358" s="36" t="s">
        <v>90</v>
      </c>
      <c r="B2358" s="36">
        <v>2023</v>
      </c>
      <c r="C2358" s="36" t="s">
        <v>0</v>
      </c>
      <c r="D2358" s="36" t="s">
        <v>91</v>
      </c>
      <c r="E2358" s="36" t="s">
        <v>92</v>
      </c>
      <c r="F2358" s="36" t="s">
        <v>93</v>
      </c>
      <c r="G2358" s="36" t="s">
        <v>94</v>
      </c>
      <c r="H2358" s="36" t="s">
        <v>95</v>
      </c>
      <c r="I2358" s="36" t="s">
        <v>98</v>
      </c>
      <c r="J2358" s="36">
        <v>779</v>
      </c>
      <c r="K2358" s="36">
        <v>526.24</v>
      </c>
    </row>
    <row r="2359" spans="1:11" x14ac:dyDescent="0.3">
      <c r="A2359" s="36" t="s">
        <v>90</v>
      </c>
      <c r="B2359" s="36">
        <v>2023</v>
      </c>
      <c r="C2359" s="36" t="s">
        <v>0</v>
      </c>
      <c r="D2359" s="36" t="s">
        <v>91</v>
      </c>
      <c r="E2359" s="36" t="s">
        <v>92</v>
      </c>
      <c r="F2359" s="36" t="s">
        <v>93</v>
      </c>
      <c r="G2359" s="36" t="s">
        <v>94</v>
      </c>
      <c r="H2359" s="36" t="s">
        <v>95</v>
      </c>
      <c r="I2359" s="36" t="s">
        <v>98</v>
      </c>
      <c r="J2359" s="36">
        <v>133</v>
      </c>
      <c r="K2359" s="36">
        <v>190.19</v>
      </c>
    </row>
    <row r="2360" spans="1:11" x14ac:dyDescent="0.3">
      <c r="A2360" s="36" t="s">
        <v>99</v>
      </c>
      <c r="B2360" s="36">
        <v>2023</v>
      </c>
      <c r="C2360" s="36" t="s">
        <v>0</v>
      </c>
      <c r="D2360" s="36" t="s">
        <v>91</v>
      </c>
      <c r="E2360" s="36" t="s">
        <v>92</v>
      </c>
      <c r="F2360" s="36" t="s">
        <v>93</v>
      </c>
      <c r="G2360" s="36" t="s">
        <v>94</v>
      </c>
      <c r="H2360" s="36" t="s">
        <v>95</v>
      </c>
      <c r="I2360" s="36" t="s">
        <v>98</v>
      </c>
      <c r="J2360" s="36">
        <v>307</v>
      </c>
      <c r="K2360" s="36">
        <v>439.01</v>
      </c>
    </row>
    <row r="2361" spans="1:11" x14ac:dyDescent="0.3">
      <c r="A2361" s="36" t="s">
        <v>90</v>
      </c>
      <c r="B2361" s="36">
        <v>2023</v>
      </c>
      <c r="C2361" s="36" t="s">
        <v>0</v>
      </c>
      <c r="D2361" s="36" t="s">
        <v>91</v>
      </c>
      <c r="E2361" s="36" t="s">
        <v>92</v>
      </c>
      <c r="F2361" s="36" t="s">
        <v>93</v>
      </c>
      <c r="G2361" s="36" t="s">
        <v>94</v>
      </c>
      <c r="H2361" s="36" t="s">
        <v>95</v>
      </c>
      <c r="I2361" s="36" t="s">
        <v>98</v>
      </c>
      <c r="J2361" s="36">
        <v>355</v>
      </c>
      <c r="K2361" s="36">
        <v>507.65</v>
      </c>
    </row>
    <row r="2362" spans="1:11" x14ac:dyDescent="0.3">
      <c r="A2362" s="36" t="s">
        <v>90</v>
      </c>
      <c r="B2362" s="36">
        <v>2023</v>
      </c>
      <c r="C2362" s="36" t="s">
        <v>0</v>
      </c>
      <c r="D2362" s="36" t="s">
        <v>91</v>
      </c>
      <c r="E2362" s="36" t="s">
        <v>92</v>
      </c>
      <c r="F2362" s="36" t="s">
        <v>93</v>
      </c>
      <c r="G2362" s="36" t="s">
        <v>94</v>
      </c>
      <c r="H2362" s="36" t="s">
        <v>95</v>
      </c>
      <c r="I2362" s="36" t="s">
        <v>98</v>
      </c>
      <c r="J2362" s="36">
        <v>131</v>
      </c>
      <c r="K2362" s="36">
        <v>187.32999999999998</v>
      </c>
    </row>
    <row r="2363" spans="1:11" x14ac:dyDescent="0.3">
      <c r="A2363" s="36" t="s">
        <v>97</v>
      </c>
      <c r="B2363" s="36">
        <v>2023</v>
      </c>
      <c r="C2363" s="36" t="s">
        <v>0</v>
      </c>
      <c r="D2363" s="36" t="s">
        <v>91</v>
      </c>
      <c r="E2363" s="36" t="s">
        <v>92</v>
      </c>
      <c r="F2363" s="36" t="s">
        <v>93</v>
      </c>
      <c r="G2363" s="36" t="s">
        <v>94</v>
      </c>
      <c r="H2363" s="36" t="s">
        <v>95</v>
      </c>
      <c r="I2363" s="36" t="s">
        <v>98</v>
      </c>
      <c r="J2363" s="36">
        <v>305</v>
      </c>
      <c r="K2363" s="36">
        <v>436.15</v>
      </c>
    </row>
    <row r="2364" spans="1:11" x14ac:dyDescent="0.3">
      <c r="A2364" s="36" t="s">
        <v>99</v>
      </c>
      <c r="B2364" s="36">
        <v>2023</v>
      </c>
      <c r="C2364" s="36" t="s">
        <v>0</v>
      </c>
      <c r="D2364" s="36" t="s">
        <v>91</v>
      </c>
      <c r="E2364" s="36" t="s">
        <v>92</v>
      </c>
      <c r="F2364" s="36" t="s">
        <v>93</v>
      </c>
      <c r="G2364" s="36" t="s">
        <v>94</v>
      </c>
      <c r="H2364" s="36" t="s">
        <v>95</v>
      </c>
      <c r="I2364" s="36" t="s">
        <v>98</v>
      </c>
      <c r="J2364" s="36">
        <v>748</v>
      </c>
      <c r="K2364" s="36">
        <v>1069.6399999999999</v>
      </c>
    </row>
    <row r="2365" spans="1:11" x14ac:dyDescent="0.3">
      <c r="A2365" s="36" t="s">
        <v>90</v>
      </c>
      <c r="B2365" s="36">
        <v>2023</v>
      </c>
      <c r="C2365" s="36" t="s">
        <v>6</v>
      </c>
      <c r="D2365" s="36" t="s">
        <v>91</v>
      </c>
      <c r="E2365" s="36" t="s">
        <v>92</v>
      </c>
      <c r="F2365" s="36" t="s">
        <v>93</v>
      </c>
      <c r="G2365" s="36" t="s">
        <v>94</v>
      </c>
      <c r="H2365" s="36" t="s">
        <v>95</v>
      </c>
      <c r="I2365" s="36" t="s">
        <v>98</v>
      </c>
      <c r="J2365" s="36">
        <v>350</v>
      </c>
      <c r="K2365" s="36">
        <v>535.5</v>
      </c>
    </row>
    <row r="2366" spans="1:11" x14ac:dyDescent="0.3">
      <c r="A2366" s="36" t="s">
        <v>90</v>
      </c>
      <c r="B2366" s="36">
        <v>2023</v>
      </c>
      <c r="C2366" s="36" t="s">
        <v>6</v>
      </c>
      <c r="D2366" s="36" t="s">
        <v>91</v>
      </c>
      <c r="E2366" s="36" t="s">
        <v>92</v>
      </c>
      <c r="F2366" s="36" t="s">
        <v>93</v>
      </c>
      <c r="G2366" s="36" t="s">
        <v>94</v>
      </c>
      <c r="H2366" s="36" t="s">
        <v>95</v>
      </c>
      <c r="I2366" s="36" t="s">
        <v>98</v>
      </c>
      <c r="J2366" s="36">
        <v>320</v>
      </c>
      <c r="K2366" s="36">
        <v>457.6</v>
      </c>
    </row>
    <row r="2367" spans="1:11" x14ac:dyDescent="0.3">
      <c r="A2367" s="36" t="s">
        <v>99</v>
      </c>
      <c r="B2367" s="36">
        <v>2023</v>
      </c>
      <c r="C2367" s="36" t="s">
        <v>6</v>
      </c>
      <c r="D2367" s="36" t="s">
        <v>91</v>
      </c>
      <c r="E2367" s="36" t="s">
        <v>92</v>
      </c>
      <c r="F2367" s="36" t="s">
        <v>93</v>
      </c>
      <c r="G2367" s="36" t="s">
        <v>94</v>
      </c>
      <c r="H2367" s="36" t="s">
        <v>95</v>
      </c>
      <c r="I2367" s="36" t="s">
        <v>98</v>
      </c>
      <c r="J2367" s="36">
        <v>346</v>
      </c>
      <c r="K2367" s="36">
        <v>494.78</v>
      </c>
    </row>
    <row r="2368" spans="1:11" x14ac:dyDescent="0.3">
      <c r="A2368" s="36" t="s">
        <v>100</v>
      </c>
      <c r="B2368" s="36">
        <v>2023</v>
      </c>
      <c r="C2368" s="36" t="s">
        <v>6</v>
      </c>
      <c r="D2368" s="36" t="s">
        <v>91</v>
      </c>
      <c r="E2368" s="36" t="s">
        <v>92</v>
      </c>
      <c r="F2368" s="36" t="s">
        <v>93</v>
      </c>
      <c r="G2368" s="36" t="s">
        <v>94</v>
      </c>
      <c r="H2368" s="36" t="s">
        <v>95</v>
      </c>
      <c r="I2368" s="36" t="s">
        <v>98</v>
      </c>
      <c r="J2368" s="36">
        <v>322</v>
      </c>
      <c r="K2368" s="36">
        <v>460.46000000000004</v>
      </c>
    </row>
    <row r="2369" spans="1:11" x14ac:dyDescent="0.3">
      <c r="A2369" s="36" t="s">
        <v>90</v>
      </c>
      <c r="B2369" s="36">
        <v>2023</v>
      </c>
      <c r="C2369" s="36" t="s">
        <v>6</v>
      </c>
      <c r="D2369" s="36" t="s">
        <v>91</v>
      </c>
      <c r="E2369" s="36" t="s">
        <v>92</v>
      </c>
      <c r="F2369" s="36" t="s">
        <v>93</v>
      </c>
      <c r="G2369" s="36" t="s">
        <v>94</v>
      </c>
      <c r="H2369" s="36" t="s">
        <v>95</v>
      </c>
      <c r="I2369" s="36" t="s">
        <v>98</v>
      </c>
      <c r="J2369" s="36">
        <v>658</v>
      </c>
      <c r="K2369" s="36">
        <v>940.94</v>
      </c>
    </row>
    <row r="2370" spans="1:11" x14ac:dyDescent="0.3">
      <c r="A2370" s="36" t="s">
        <v>99</v>
      </c>
      <c r="B2370" s="36">
        <v>2023</v>
      </c>
      <c r="C2370" s="36" t="s">
        <v>6</v>
      </c>
      <c r="D2370" s="36" t="s">
        <v>91</v>
      </c>
      <c r="E2370" s="36" t="s">
        <v>92</v>
      </c>
      <c r="F2370" s="36" t="s">
        <v>93</v>
      </c>
      <c r="G2370" s="36" t="s">
        <v>94</v>
      </c>
      <c r="H2370" s="36" t="s">
        <v>95</v>
      </c>
      <c r="I2370" s="36" t="s">
        <v>98</v>
      </c>
      <c r="J2370" s="36">
        <v>745</v>
      </c>
      <c r="K2370" s="36">
        <v>1065.3499999999999</v>
      </c>
    </row>
    <row r="2371" spans="1:11" x14ac:dyDescent="0.3">
      <c r="A2371" s="36" t="s">
        <v>99</v>
      </c>
      <c r="B2371" s="36">
        <v>2023</v>
      </c>
      <c r="C2371" s="36" t="s">
        <v>6</v>
      </c>
      <c r="D2371" s="36" t="s">
        <v>91</v>
      </c>
      <c r="E2371" s="36" t="s">
        <v>92</v>
      </c>
      <c r="F2371" s="36" t="s">
        <v>93</v>
      </c>
      <c r="G2371" s="36" t="s">
        <v>94</v>
      </c>
      <c r="H2371" s="36" t="s">
        <v>95</v>
      </c>
      <c r="I2371" s="36" t="s">
        <v>98</v>
      </c>
      <c r="J2371" s="36">
        <v>345</v>
      </c>
      <c r="K2371" s="36">
        <v>493.35</v>
      </c>
    </row>
    <row r="2372" spans="1:11" x14ac:dyDescent="0.3">
      <c r="A2372" s="36" t="s">
        <v>90</v>
      </c>
      <c r="B2372" s="36">
        <v>2023</v>
      </c>
      <c r="C2372" s="36" t="s">
        <v>6</v>
      </c>
      <c r="D2372" s="36" t="s">
        <v>91</v>
      </c>
      <c r="E2372" s="36" t="s">
        <v>92</v>
      </c>
      <c r="F2372" s="36" t="s">
        <v>93</v>
      </c>
      <c r="G2372" s="36" t="s">
        <v>94</v>
      </c>
      <c r="H2372" s="36" t="s">
        <v>95</v>
      </c>
      <c r="I2372" s="36" t="s">
        <v>98</v>
      </c>
      <c r="J2372" s="36">
        <v>784</v>
      </c>
      <c r="K2372" s="36">
        <v>526.24</v>
      </c>
    </row>
    <row r="2373" spans="1:11" x14ac:dyDescent="0.3">
      <c r="A2373" s="36" t="s">
        <v>100</v>
      </c>
      <c r="B2373" s="36">
        <v>2023</v>
      </c>
      <c r="C2373" s="36" t="s">
        <v>6</v>
      </c>
      <c r="D2373" s="36" t="s">
        <v>91</v>
      </c>
      <c r="E2373" s="36" t="s">
        <v>92</v>
      </c>
      <c r="F2373" s="36" t="s">
        <v>93</v>
      </c>
      <c r="G2373" s="36" t="s">
        <v>94</v>
      </c>
      <c r="H2373" s="36" t="s">
        <v>95</v>
      </c>
      <c r="I2373" s="36" t="s">
        <v>98</v>
      </c>
      <c r="J2373" s="36">
        <v>349</v>
      </c>
      <c r="K2373" s="36">
        <v>499.07</v>
      </c>
    </row>
    <row r="2374" spans="1:11" x14ac:dyDescent="0.3">
      <c r="A2374" s="36" t="s">
        <v>99</v>
      </c>
      <c r="B2374" s="36">
        <v>2023</v>
      </c>
      <c r="C2374" s="36" t="s">
        <v>6</v>
      </c>
      <c r="D2374" s="36" t="s">
        <v>91</v>
      </c>
      <c r="E2374" s="36" t="s">
        <v>92</v>
      </c>
      <c r="F2374" s="36" t="s">
        <v>93</v>
      </c>
      <c r="G2374" s="36" t="s">
        <v>94</v>
      </c>
      <c r="H2374" s="36" t="s">
        <v>95</v>
      </c>
      <c r="I2374" s="36" t="s">
        <v>98</v>
      </c>
      <c r="J2374" s="36">
        <v>319</v>
      </c>
      <c r="K2374" s="36">
        <v>456.16999999999996</v>
      </c>
    </row>
    <row r="2375" spans="1:11" x14ac:dyDescent="0.3">
      <c r="A2375" s="36" t="s">
        <v>90</v>
      </c>
      <c r="B2375" s="36">
        <v>2023</v>
      </c>
      <c r="C2375" s="36" t="s">
        <v>6</v>
      </c>
      <c r="D2375" s="36" t="s">
        <v>91</v>
      </c>
      <c r="E2375" s="36" t="s">
        <v>92</v>
      </c>
      <c r="F2375" s="36" t="s">
        <v>93</v>
      </c>
      <c r="G2375" s="36" t="s">
        <v>94</v>
      </c>
      <c r="H2375" s="36" t="s">
        <v>95</v>
      </c>
      <c r="I2375" s="36" t="s">
        <v>98</v>
      </c>
      <c r="J2375" s="36">
        <v>347</v>
      </c>
      <c r="K2375" s="36">
        <v>496.21000000000004</v>
      </c>
    </row>
    <row r="2376" spans="1:11" x14ac:dyDescent="0.3">
      <c r="A2376" s="36" t="s">
        <v>90</v>
      </c>
      <c r="B2376" s="36">
        <v>2023</v>
      </c>
      <c r="C2376" s="36" t="s">
        <v>6</v>
      </c>
      <c r="D2376" s="36" t="s">
        <v>91</v>
      </c>
      <c r="E2376" s="36" t="s">
        <v>92</v>
      </c>
      <c r="F2376" s="36" t="s">
        <v>93</v>
      </c>
      <c r="G2376" s="36" t="s">
        <v>94</v>
      </c>
      <c r="H2376" s="36" t="s">
        <v>95</v>
      </c>
      <c r="I2376" s="36" t="s">
        <v>98</v>
      </c>
      <c r="J2376" s="36">
        <v>753</v>
      </c>
      <c r="K2376" s="36">
        <v>1076.79</v>
      </c>
    </row>
    <row r="2377" spans="1:11" x14ac:dyDescent="0.3">
      <c r="A2377" s="36" t="s">
        <v>90</v>
      </c>
      <c r="B2377" s="36">
        <v>2023</v>
      </c>
      <c r="C2377" s="36" t="s">
        <v>5</v>
      </c>
      <c r="D2377" s="36" t="s">
        <v>91</v>
      </c>
      <c r="E2377" s="36" t="s">
        <v>92</v>
      </c>
      <c r="F2377" s="36" t="s">
        <v>93</v>
      </c>
      <c r="G2377" s="36" t="s">
        <v>94</v>
      </c>
      <c r="H2377" s="36" t="s">
        <v>95</v>
      </c>
      <c r="I2377" s="36" t="s">
        <v>98</v>
      </c>
      <c r="J2377" s="36">
        <v>326</v>
      </c>
      <c r="K2377" s="36">
        <v>466.18</v>
      </c>
    </row>
    <row r="2378" spans="1:11" x14ac:dyDescent="0.3">
      <c r="A2378" s="36" t="s">
        <v>97</v>
      </c>
      <c r="B2378" s="36">
        <v>2023</v>
      </c>
      <c r="C2378" s="36" t="s">
        <v>5</v>
      </c>
      <c r="D2378" s="36" t="s">
        <v>91</v>
      </c>
      <c r="E2378" s="36" t="s">
        <v>92</v>
      </c>
      <c r="F2378" s="36" t="s">
        <v>93</v>
      </c>
      <c r="G2378" s="36" t="s">
        <v>94</v>
      </c>
      <c r="H2378" s="36" t="s">
        <v>95</v>
      </c>
      <c r="I2378" s="36" t="s">
        <v>98</v>
      </c>
      <c r="J2378" s="36">
        <v>352</v>
      </c>
      <c r="K2378" s="36">
        <v>503.36</v>
      </c>
    </row>
    <row r="2379" spans="1:11" x14ac:dyDescent="0.3">
      <c r="A2379" s="36" t="s">
        <v>90</v>
      </c>
      <c r="B2379" s="36">
        <v>2023</v>
      </c>
      <c r="C2379" s="36" t="s">
        <v>5</v>
      </c>
      <c r="D2379" s="36" t="s">
        <v>91</v>
      </c>
      <c r="E2379" s="36" t="s">
        <v>92</v>
      </c>
      <c r="F2379" s="36" t="s">
        <v>93</v>
      </c>
      <c r="G2379" s="36" t="s">
        <v>94</v>
      </c>
      <c r="H2379" s="36" t="s">
        <v>95</v>
      </c>
      <c r="I2379" s="36" t="s">
        <v>98</v>
      </c>
      <c r="J2379" s="36">
        <v>328</v>
      </c>
      <c r="K2379" s="36">
        <v>469.03999999999996</v>
      </c>
    </row>
    <row r="2380" spans="1:11" x14ac:dyDescent="0.3">
      <c r="A2380" s="36" t="s">
        <v>97</v>
      </c>
      <c r="B2380" s="36">
        <v>2023</v>
      </c>
      <c r="C2380" s="36" t="s">
        <v>5</v>
      </c>
      <c r="D2380" s="36" t="s">
        <v>91</v>
      </c>
      <c r="E2380" s="36" t="s">
        <v>92</v>
      </c>
      <c r="F2380" s="36" t="s">
        <v>93</v>
      </c>
      <c r="G2380" s="36" t="s">
        <v>94</v>
      </c>
      <c r="H2380" s="36" t="s">
        <v>95</v>
      </c>
      <c r="I2380" s="36" t="s">
        <v>98</v>
      </c>
      <c r="J2380" s="36">
        <v>657</v>
      </c>
      <c r="K2380" s="36">
        <v>939.51</v>
      </c>
    </row>
    <row r="2381" spans="1:11" x14ac:dyDescent="0.3">
      <c r="A2381" s="36" t="s">
        <v>90</v>
      </c>
      <c r="B2381" s="36">
        <v>2023</v>
      </c>
      <c r="C2381" s="36" t="s">
        <v>5</v>
      </c>
      <c r="D2381" s="36" t="s">
        <v>91</v>
      </c>
      <c r="E2381" s="36" t="s">
        <v>92</v>
      </c>
      <c r="F2381" s="36" t="s">
        <v>93</v>
      </c>
      <c r="G2381" s="36" t="s">
        <v>94</v>
      </c>
      <c r="H2381" s="36" t="s">
        <v>95</v>
      </c>
      <c r="I2381" s="36" t="s">
        <v>98</v>
      </c>
      <c r="J2381" s="36">
        <v>744</v>
      </c>
      <c r="K2381" s="36">
        <v>1063.92</v>
      </c>
    </row>
    <row r="2382" spans="1:11" x14ac:dyDescent="0.3">
      <c r="A2382" s="36" t="s">
        <v>90</v>
      </c>
      <c r="B2382" s="36">
        <v>2023</v>
      </c>
      <c r="C2382" s="36" t="s">
        <v>5</v>
      </c>
      <c r="D2382" s="36" t="s">
        <v>91</v>
      </c>
      <c r="E2382" s="36" t="s">
        <v>92</v>
      </c>
      <c r="F2382" s="36" t="s">
        <v>93</v>
      </c>
      <c r="G2382" s="36" t="s">
        <v>94</v>
      </c>
      <c r="H2382" s="36" t="s">
        <v>95</v>
      </c>
      <c r="I2382" s="36" t="s">
        <v>98</v>
      </c>
      <c r="J2382" s="36">
        <v>351</v>
      </c>
      <c r="K2382" s="36">
        <v>501.93</v>
      </c>
    </row>
    <row r="2383" spans="1:11" x14ac:dyDescent="0.3">
      <c r="A2383" s="36" t="s">
        <v>97</v>
      </c>
      <c r="B2383" s="36">
        <v>2023</v>
      </c>
      <c r="C2383" s="36" t="s">
        <v>5</v>
      </c>
      <c r="D2383" s="36" t="s">
        <v>91</v>
      </c>
      <c r="E2383" s="36" t="s">
        <v>92</v>
      </c>
      <c r="F2383" s="36" t="s">
        <v>93</v>
      </c>
      <c r="G2383" s="36" t="s">
        <v>94</v>
      </c>
      <c r="H2383" s="36" t="s">
        <v>95</v>
      </c>
      <c r="I2383" s="36" t="s">
        <v>98</v>
      </c>
      <c r="J2383" s="36">
        <v>783</v>
      </c>
      <c r="K2383" s="36">
        <v>526.24</v>
      </c>
    </row>
    <row r="2384" spans="1:11" x14ac:dyDescent="0.3">
      <c r="A2384" s="36" t="s">
        <v>90</v>
      </c>
      <c r="B2384" s="36">
        <v>2023</v>
      </c>
      <c r="C2384" s="36" t="s">
        <v>5</v>
      </c>
      <c r="D2384" s="36" t="s">
        <v>91</v>
      </c>
      <c r="E2384" s="36" t="s">
        <v>92</v>
      </c>
      <c r="F2384" s="36" t="s">
        <v>93</v>
      </c>
      <c r="G2384" s="36" t="s">
        <v>94</v>
      </c>
      <c r="H2384" s="36" t="s">
        <v>95</v>
      </c>
      <c r="I2384" s="36" t="s">
        <v>98</v>
      </c>
      <c r="J2384" s="36">
        <v>355</v>
      </c>
      <c r="K2384" s="36">
        <v>507.65</v>
      </c>
    </row>
    <row r="2385" spans="1:11" x14ac:dyDescent="0.3">
      <c r="A2385" s="36" t="s">
        <v>97</v>
      </c>
      <c r="B2385" s="36">
        <v>2023</v>
      </c>
      <c r="C2385" s="36" t="s">
        <v>5</v>
      </c>
      <c r="D2385" s="36" t="s">
        <v>91</v>
      </c>
      <c r="E2385" s="36" t="s">
        <v>92</v>
      </c>
      <c r="F2385" s="36" t="s">
        <v>93</v>
      </c>
      <c r="G2385" s="36" t="s">
        <v>94</v>
      </c>
      <c r="H2385" s="36" t="s">
        <v>95</v>
      </c>
      <c r="I2385" s="36" t="s">
        <v>98</v>
      </c>
      <c r="J2385" s="36">
        <v>325</v>
      </c>
      <c r="K2385" s="36">
        <v>464.75</v>
      </c>
    </row>
    <row r="2386" spans="1:11" x14ac:dyDescent="0.3">
      <c r="A2386" s="36" t="s">
        <v>90</v>
      </c>
      <c r="B2386" s="36">
        <v>2023</v>
      </c>
      <c r="C2386" s="36" t="s">
        <v>5</v>
      </c>
      <c r="D2386" s="36" t="s">
        <v>91</v>
      </c>
      <c r="E2386" s="36" t="s">
        <v>92</v>
      </c>
      <c r="F2386" s="36" t="s">
        <v>93</v>
      </c>
      <c r="G2386" s="36" t="s">
        <v>94</v>
      </c>
      <c r="H2386" s="36" t="s">
        <v>95</v>
      </c>
      <c r="I2386" s="36" t="s">
        <v>98</v>
      </c>
      <c r="J2386" s="36">
        <v>353</v>
      </c>
      <c r="K2386" s="36">
        <v>504.78999999999996</v>
      </c>
    </row>
    <row r="2387" spans="1:11" x14ac:dyDescent="0.3">
      <c r="A2387" s="36" t="s">
        <v>97</v>
      </c>
      <c r="B2387" s="36">
        <v>2023</v>
      </c>
      <c r="C2387" s="36" t="s">
        <v>2</v>
      </c>
      <c r="D2387" s="36" t="s">
        <v>91</v>
      </c>
      <c r="E2387" s="36" t="s">
        <v>92</v>
      </c>
      <c r="F2387" s="36" t="s">
        <v>93</v>
      </c>
      <c r="G2387" s="36" t="s">
        <v>94</v>
      </c>
      <c r="H2387" s="36" t="s">
        <v>95</v>
      </c>
      <c r="I2387" s="36" t="s">
        <v>98</v>
      </c>
      <c r="J2387" s="36">
        <v>368</v>
      </c>
      <c r="K2387" s="36">
        <v>563.04</v>
      </c>
    </row>
    <row r="2388" spans="1:11" x14ac:dyDescent="0.3">
      <c r="A2388" s="36" t="s">
        <v>97</v>
      </c>
      <c r="B2388" s="36">
        <v>2023</v>
      </c>
      <c r="C2388" s="36" t="s">
        <v>2</v>
      </c>
      <c r="D2388" s="36" t="s">
        <v>91</v>
      </c>
      <c r="E2388" s="36" t="s">
        <v>92</v>
      </c>
      <c r="F2388" s="36" t="s">
        <v>93</v>
      </c>
      <c r="G2388" s="36" t="s">
        <v>94</v>
      </c>
      <c r="H2388" s="36" t="s">
        <v>95</v>
      </c>
      <c r="I2388" s="36" t="s">
        <v>98</v>
      </c>
      <c r="J2388" s="36">
        <v>344</v>
      </c>
      <c r="K2388" s="36">
        <v>491.91999999999996</v>
      </c>
    </row>
    <row r="2389" spans="1:11" x14ac:dyDescent="0.3">
      <c r="A2389" s="36" t="s">
        <v>97</v>
      </c>
      <c r="B2389" s="36">
        <v>2023</v>
      </c>
      <c r="C2389" s="36" t="s">
        <v>2</v>
      </c>
      <c r="D2389" s="36" t="s">
        <v>91</v>
      </c>
      <c r="E2389" s="36" t="s">
        <v>92</v>
      </c>
      <c r="F2389" s="36" t="s">
        <v>93</v>
      </c>
      <c r="G2389" s="36" t="s">
        <v>94</v>
      </c>
      <c r="H2389" s="36" t="s">
        <v>95</v>
      </c>
      <c r="I2389" s="36" t="s">
        <v>98</v>
      </c>
      <c r="J2389" s="36">
        <v>370</v>
      </c>
      <c r="K2389" s="36">
        <v>529.1</v>
      </c>
    </row>
    <row r="2390" spans="1:11" x14ac:dyDescent="0.3">
      <c r="A2390" s="36" t="s">
        <v>97</v>
      </c>
      <c r="B2390" s="36">
        <v>2023</v>
      </c>
      <c r="C2390" s="36" t="s">
        <v>2</v>
      </c>
      <c r="D2390" s="36" t="s">
        <v>91</v>
      </c>
      <c r="E2390" s="36" t="s">
        <v>92</v>
      </c>
      <c r="F2390" s="36" t="s">
        <v>93</v>
      </c>
      <c r="G2390" s="36" t="s">
        <v>94</v>
      </c>
      <c r="H2390" s="36" t="s">
        <v>95</v>
      </c>
      <c r="I2390" s="36" t="s">
        <v>98</v>
      </c>
      <c r="J2390" s="36">
        <v>340</v>
      </c>
      <c r="K2390" s="36">
        <v>486.2</v>
      </c>
    </row>
    <row r="2391" spans="1:11" x14ac:dyDescent="0.3">
      <c r="A2391" s="36" t="s">
        <v>90</v>
      </c>
      <c r="B2391" s="36">
        <v>2023</v>
      </c>
      <c r="C2391" s="36" t="s">
        <v>2</v>
      </c>
      <c r="D2391" s="36" t="s">
        <v>91</v>
      </c>
      <c r="E2391" s="36" t="s">
        <v>92</v>
      </c>
      <c r="F2391" s="36" t="s">
        <v>93</v>
      </c>
      <c r="G2391" s="36" t="s">
        <v>94</v>
      </c>
      <c r="H2391" s="36" t="s">
        <v>95</v>
      </c>
      <c r="I2391" s="36" t="s">
        <v>98</v>
      </c>
      <c r="J2391" s="36">
        <v>741</v>
      </c>
      <c r="K2391" s="36">
        <v>1059.6300000000001</v>
      </c>
    </row>
    <row r="2392" spans="1:11" x14ac:dyDescent="0.3">
      <c r="A2392" s="36" t="s">
        <v>90</v>
      </c>
      <c r="B2392" s="36">
        <v>2023</v>
      </c>
      <c r="C2392" s="36" t="s">
        <v>2</v>
      </c>
      <c r="D2392" s="36" t="s">
        <v>91</v>
      </c>
      <c r="E2392" s="36" t="s">
        <v>92</v>
      </c>
      <c r="F2392" s="36" t="s">
        <v>93</v>
      </c>
      <c r="G2392" s="36" t="s">
        <v>94</v>
      </c>
      <c r="H2392" s="36" t="s">
        <v>95</v>
      </c>
      <c r="I2392" s="36" t="s">
        <v>98</v>
      </c>
      <c r="J2392" s="36">
        <v>369</v>
      </c>
      <c r="K2392" s="36">
        <v>527.66999999999996</v>
      </c>
    </row>
    <row r="2393" spans="1:11" x14ac:dyDescent="0.3">
      <c r="A2393" s="36" t="s">
        <v>97</v>
      </c>
      <c r="B2393" s="36">
        <v>2023</v>
      </c>
      <c r="C2393" s="36" t="s">
        <v>2</v>
      </c>
      <c r="D2393" s="36" t="s">
        <v>91</v>
      </c>
      <c r="E2393" s="36" t="s">
        <v>92</v>
      </c>
      <c r="F2393" s="36" t="s">
        <v>93</v>
      </c>
      <c r="G2393" s="36" t="s">
        <v>94</v>
      </c>
      <c r="H2393" s="36" t="s">
        <v>95</v>
      </c>
      <c r="I2393" s="36" t="s">
        <v>98</v>
      </c>
      <c r="J2393" s="36">
        <v>367</v>
      </c>
      <c r="K2393" s="36">
        <v>524.80999999999995</v>
      </c>
    </row>
    <row r="2394" spans="1:11" x14ac:dyDescent="0.3">
      <c r="A2394" s="36" t="s">
        <v>97</v>
      </c>
      <c r="B2394" s="36">
        <v>2023</v>
      </c>
      <c r="C2394" s="36" t="s">
        <v>2</v>
      </c>
      <c r="D2394" s="36" t="s">
        <v>91</v>
      </c>
      <c r="E2394" s="36" t="s">
        <v>92</v>
      </c>
      <c r="F2394" s="36" t="s">
        <v>93</v>
      </c>
      <c r="G2394" s="36" t="s">
        <v>94</v>
      </c>
      <c r="H2394" s="36" t="s">
        <v>95</v>
      </c>
      <c r="I2394" s="36" t="s">
        <v>98</v>
      </c>
      <c r="J2394" s="36">
        <v>343</v>
      </c>
      <c r="K2394" s="36">
        <v>490.49</v>
      </c>
    </row>
    <row r="2395" spans="1:11" x14ac:dyDescent="0.3">
      <c r="A2395" s="36" t="s">
        <v>97</v>
      </c>
      <c r="B2395" s="36">
        <v>2023</v>
      </c>
      <c r="C2395" s="36" t="s">
        <v>2</v>
      </c>
      <c r="D2395" s="36" t="s">
        <v>91</v>
      </c>
      <c r="E2395" s="36" t="s">
        <v>92</v>
      </c>
      <c r="F2395" s="36" t="s">
        <v>93</v>
      </c>
      <c r="G2395" s="36" t="s">
        <v>94</v>
      </c>
      <c r="H2395" s="36" t="s">
        <v>95</v>
      </c>
      <c r="I2395" s="36" t="s">
        <v>98</v>
      </c>
      <c r="J2395" s="36">
        <v>371</v>
      </c>
      <c r="K2395" s="36">
        <v>530.53</v>
      </c>
    </row>
    <row r="2396" spans="1:11" x14ac:dyDescent="0.3">
      <c r="A2396" s="36" t="s">
        <v>97</v>
      </c>
      <c r="B2396" s="36">
        <v>2023</v>
      </c>
      <c r="C2396" s="36" t="s">
        <v>2</v>
      </c>
      <c r="D2396" s="36" t="s">
        <v>91</v>
      </c>
      <c r="E2396" s="36" t="s">
        <v>92</v>
      </c>
      <c r="F2396" s="36" t="s">
        <v>93</v>
      </c>
      <c r="G2396" s="36" t="s">
        <v>94</v>
      </c>
      <c r="H2396" s="36" t="s">
        <v>95</v>
      </c>
      <c r="I2396" s="36" t="s">
        <v>98</v>
      </c>
      <c r="J2396" s="36">
        <v>750</v>
      </c>
      <c r="K2396" s="36">
        <v>1072.5</v>
      </c>
    </row>
    <row r="2397" spans="1:11" x14ac:dyDescent="0.3">
      <c r="A2397" s="36" t="s">
        <v>97</v>
      </c>
      <c r="B2397" s="36">
        <v>2023</v>
      </c>
      <c r="C2397" s="36" t="s">
        <v>4</v>
      </c>
      <c r="D2397" s="36" t="s">
        <v>91</v>
      </c>
      <c r="E2397" s="36" t="s">
        <v>92</v>
      </c>
      <c r="F2397" s="36" t="s">
        <v>93</v>
      </c>
      <c r="G2397" s="36" t="s">
        <v>94</v>
      </c>
      <c r="H2397" s="36" t="s">
        <v>95</v>
      </c>
      <c r="I2397" s="36" t="s">
        <v>98</v>
      </c>
      <c r="J2397" s="36">
        <v>356</v>
      </c>
      <c r="K2397" s="36">
        <v>544.68000000000006</v>
      </c>
    </row>
    <row r="2398" spans="1:11" x14ac:dyDescent="0.3">
      <c r="A2398" s="36" t="s">
        <v>90</v>
      </c>
      <c r="B2398" s="36">
        <v>2023</v>
      </c>
      <c r="C2398" s="36" t="s">
        <v>4</v>
      </c>
      <c r="D2398" s="36" t="s">
        <v>91</v>
      </c>
      <c r="E2398" s="36" t="s">
        <v>92</v>
      </c>
      <c r="F2398" s="36" t="s">
        <v>93</v>
      </c>
      <c r="G2398" s="36" t="s">
        <v>94</v>
      </c>
      <c r="H2398" s="36" t="s">
        <v>95</v>
      </c>
      <c r="I2398" s="36" t="s">
        <v>98</v>
      </c>
      <c r="J2398" s="36">
        <v>332</v>
      </c>
      <c r="K2398" s="36">
        <v>474.76</v>
      </c>
    </row>
    <row r="2399" spans="1:11" x14ac:dyDescent="0.3">
      <c r="A2399" s="36" t="s">
        <v>97</v>
      </c>
      <c r="B2399" s="36">
        <v>2023</v>
      </c>
      <c r="C2399" s="36" t="s">
        <v>4</v>
      </c>
      <c r="D2399" s="36" t="s">
        <v>91</v>
      </c>
      <c r="E2399" s="36" t="s">
        <v>92</v>
      </c>
      <c r="F2399" s="36" t="s">
        <v>93</v>
      </c>
      <c r="G2399" s="36" t="s">
        <v>94</v>
      </c>
      <c r="H2399" s="36" t="s">
        <v>95</v>
      </c>
      <c r="I2399" s="36" t="s">
        <v>98</v>
      </c>
      <c r="J2399" s="36">
        <v>358</v>
      </c>
      <c r="K2399" s="36">
        <v>511.94</v>
      </c>
    </row>
    <row r="2400" spans="1:11" x14ac:dyDescent="0.3">
      <c r="A2400" s="36" t="s">
        <v>90</v>
      </c>
      <c r="B2400" s="36">
        <v>2023</v>
      </c>
      <c r="C2400" s="36" t="s">
        <v>4</v>
      </c>
      <c r="D2400" s="36" t="s">
        <v>91</v>
      </c>
      <c r="E2400" s="36" t="s">
        <v>92</v>
      </c>
      <c r="F2400" s="36" t="s">
        <v>93</v>
      </c>
      <c r="G2400" s="36" t="s">
        <v>94</v>
      </c>
      <c r="H2400" s="36" t="s">
        <v>95</v>
      </c>
      <c r="I2400" s="36" t="s">
        <v>98</v>
      </c>
      <c r="J2400" s="36">
        <v>656</v>
      </c>
      <c r="K2400" s="36">
        <v>938.07999999999993</v>
      </c>
    </row>
    <row r="2401" spans="1:11" x14ac:dyDescent="0.3">
      <c r="A2401" s="36" t="s">
        <v>99</v>
      </c>
      <c r="B2401" s="36">
        <v>2023</v>
      </c>
      <c r="C2401" s="36" t="s">
        <v>4</v>
      </c>
      <c r="D2401" s="36" t="s">
        <v>91</v>
      </c>
      <c r="E2401" s="36" t="s">
        <v>92</v>
      </c>
      <c r="F2401" s="36" t="s">
        <v>93</v>
      </c>
      <c r="G2401" s="36" t="s">
        <v>94</v>
      </c>
      <c r="H2401" s="36" t="s">
        <v>95</v>
      </c>
      <c r="I2401" s="36" t="s">
        <v>98</v>
      </c>
      <c r="J2401" s="36">
        <v>743</v>
      </c>
      <c r="K2401" s="36">
        <v>1062.49</v>
      </c>
    </row>
    <row r="2402" spans="1:11" x14ac:dyDescent="0.3">
      <c r="A2402" s="36" t="s">
        <v>99</v>
      </c>
      <c r="B2402" s="36">
        <v>2023</v>
      </c>
      <c r="C2402" s="36" t="s">
        <v>4</v>
      </c>
      <c r="D2402" s="36" t="s">
        <v>91</v>
      </c>
      <c r="E2402" s="36" t="s">
        <v>92</v>
      </c>
      <c r="F2402" s="36" t="s">
        <v>93</v>
      </c>
      <c r="G2402" s="36" t="s">
        <v>94</v>
      </c>
      <c r="H2402" s="36" t="s">
        <v>95</v>
      </c>
      <c r="I2402" s="36" t="s">
        <v>98</v>
      </c>
      <c r="J2402" s="36">
        <v>357</v>
      </c>
      <c r="K2402" s="36">
        <v>510.51</v>
      </c>
    </row>
    <row r="2403" spans="1:11" x14ac:dyDescent="0.3">
      <c r="A2403" s="36" t="s">
        <v>90</v>
      </c>
      <c r="B2403" s="36">
        <v>2023</v>
      </c>
      <c r="C2403" s="36" t="s">
        <v>4</v>
      </c>
      <c r="D2403" s="36" t="s">
        <v>91</v>
      </c>
      <c r="E2403" s="36" t="s">
        <v>92</v>
      </c>
      <c r="F2403" s="36" t="s">
        <v>93</v>
      </c>
      <c r="G2403" s="36" t="s">
        <v>94</v>
      </c>
      <c r="H2403" s="36" t="s">
        <v>95</v>
      </c>
      <c r="I2403" s="36" t="s">
        <v>98</v>
      </c>
      <c r="J2403" s="36">
        <v>782</v>
      </c>
      <c r="K2403" s="36">
        <v>526.24</v>
      </c>
    </row>
    <row r="2404" spans="1:11" x14ac:dyDescent="0.3">
      <c r="A2404" s="36" t="s">
        <v>97</v>
      </c>
      <c r="B2404" s="36">
        <v>2023</v>
      </c>
      <c r="C2404" s="36" t="s">
        <v>4</v>
      </c>
      <c r="D2404" s="36" t="s">
        <v>91</v>
      </c>
      <c r="E2404" s="36" t="s">
        <v>92</v>
      </c>
      <c r="F2404" s="36" t="s">
        <v>93</v>
      </c>
      <c r="G2404" s="36" t="s">
        <v>94</v>
      </c>
      <c r="H2404" s="36" t="s">
        <v>95</v>
      </c>
      <c r="I2404" s="36" t="s">
        <v>98</v>
      </c>
      <c r="J2404" s="36">
        <v>331</v>
      </c>
      <c r="K2404" s="36">
        <v>473.33</v>
      </c>
    </row>
    <row r="2405" spans="1:11" x14ac:dyDescent="0.3">
      <c r="A2405" s="36" t="s">
        <v>90</v>
      </c>
      <c r="B2405" s="36">
        <v>2023</v>
      </c>
      <c r="C2405" s="36" t="s">
        <v>4</v>
      </c>
      <c r="D2405" s="36" t="s">
        <v>91</v>
      </c>
      <c r="E2405" s="36" t="s">
        <v>92</v>
      </c>
      <c r="F2405" s="36" t="s">
        <v>93</v>
      </c>
      <c r="G2405" s="36" t="s">
        <v>94</v>
      </c>
      <c r="H2405" s="36" t="s">
        <v>95</v>
      </c>
      <c r="I2405" s="36" t="s">
        <v>98</v>
      </c>
      <c r="J2405" s="36">
        <v>359</v>
      </c>
      <c r="K2405" s="36">
        <v>513.37</v>
      </c>
    </row>
    <row r="2406" spans="1:11" x14ac:dyDescent="0.3">
      <c r="A2406" s="36" t="s">
        <v>97</v>
      </c>
      <c r="B2406" s="36">
        <v>2023</v>
      </c>
      <c r="C2406" s="36" t="s">
        <v>4</v>
      </c>
      <c r="D2406" s="36" t="s">
        <v>91</v>
      </c>
      <c r="E2406" s="36" t="s">
        <v>92</v>
      </c>
      <c r="F2406" s="36" t="s">
        <v>93</v>
      </c>
      <c r="G2406" s="36" t="s">
        <v>94</v>
      </c>
      <c r="H2406" s="36" t="s">
        <v>95</v>
      </c>
      <c r="I2406" s="36" t="s">
        <v>98</v>
      </c>
      <c r="J2406" s="36">
        <v>752</v>
      </c>
      <c r="K2406" s="36">
        <v>1075.3600000000001</v>
      </c>
    </row>
    <row r="2407" spans="1:11" x14ac:dyDescent="0.3">
      <c r="A2407" s="36" t="s">
        <v>90</v>
      </c>
      <c r="B2407" s="36">
        <v>2023</v>
      </c>
      <c r="C2407" s="36" t="s">
        <v>10</v>
      </c>
      <c r="D2407" s="36" t="s">
        <v>91</v>
      </c>
      <c r="E2407" s="36" t="s">
        <v>92</v>
      </c>
      <c r="F2407" s="36" t="s">
        <v>93</v>
      </c>
      <c r="G2407" s="36" t="s">
        <v>94</v>
      </c>
      <c r="H2407" s="36" t="s">
        <v>95</v>
      </c>
      <c r="I2407" s="36" t="s">
        <v>98</v>
      </c>
      <c r="J2407" s="36">
        <v>326</v>
      </c>
      <c r="K2407" s="36">
        <v>498.78</v>
      </c>
    </row>
    <row r="2408" spans="1:11" x14ac:dyDescent="0.3">
      <c r="A2408" s="36" t="s">
        <v>99</v>
      </c>
      <c r="B2408" s="36">
        <v>2023</v>
      </c>
      <c r="C2408" s="36" t="s">
        <v>10</v>
      </c>
      <c r="D2408" s="36" t="s">
        <v>91</v>
      </c>
      <c r="E2408" s="36" t="s">
        <v>92</v>
      </c>
      <c r="F2408" s="36" t="s">
        <v>93</v>
      </c>
      <c r="G2408" s="36" t="s">
        <v>94</v>
      </c>
      <c r="H2408" s="36" t="s">
        <v>95</v>
      </c>
      <c r="I2408" s="36" t="s">
        <v>98</v>
      </c>
      <c r="J2408" s="36">
        <v>328</v>
      </c>
      <c r="K2408" s="36">
        <v>469.03999999999996</v>
      </c>
    </row>
    <row r="2409" spans="1:11" x14ac:dyDescent="0.3">
      <c r="A2409" s="36" t="s">
        <v>97</v>
      </c>
      <c r="B2409" s="36">
        <v>2023</v>
      </c>
      <c r="C2409" s="36" t="s">
        <v>10</v>
      </c>
      <c r="D2409" s="36" t="s">
        <v>91</v>
      </c>
      <c r="E2409" s="36" t="s">
        <v>92</v>
      </c>
      <c r="F2409" s="36" t="s">
        <v>93</v>
      </c>
      <c r="G2409" s="36" t="s">
        <v>94</v>
      </c>
      <c r="H2409" s="36" t="s">
        <v>95</v>
      </c>
      <c r="I2409" s="36" t="s">
        <v>98</v>
      </c>
      <c r="J2409" s="36">
        <v>298</v>
      </c>
      <c r="K2409" s="36">
        <v>426.14</v>
      </c>
    </row>
    <row r="2410" spans="1:11" x14ac:dyDescent="0.3">
      <c r="A2410" s="36" t="s">
        <v>99</v>
      </c>
      <c r="B2410" s="36">
        <v>2023</v>
      </c>
      <c r="C2410" s="36" t="s">
        <v>10</v>
      </c>
      <c r="D2410" s="36" t="s">
        <v>91</v>
      </c>
      <c r="E2410" s="36" t="s">
        <v>92</v>
      </c>
      <c r="F2410" s="36" t="s">
        <v>93</v>
      </c>
      <c r="G2410" s="36" t="s">
        <v>94</v>
      </c>
      <c r="H2410" s="36" t="s">
        <v>95</v>
      </c>
      <c r="I2410" s="36" t="s">
        <v>98</v>
      </c>
      <c r="J2410" s="36">
        <v>662</v>
      </c>
      <c r="K2410" s="36">
        <v>946.66</v>
      </c>
    </row>
    <row r="2411" spans="1:11" x14ac:dyDescent="0.3">
      <c r="A2411" s="36" t="s">
        <v>99</v>
      </c>
      <c r="B2411" s="36">
        <v>2023</v>
      </c>
      <c r="C2411" s="36" t="s">
        <v>10</v>
      </c>
      <c r="D2411" s="36" t="s">
        <v>91</v>
      </c>
      <c r="E2411" s="36" t="s">
        <v>92</v>
      </c>
      <c r="F2411" s="36" t="s">
        <v>93</v>
      </c>
      <c r="G2411" s="36" t="s">
        <v>94</v>
      </c>
      <c r="H2411" s="36" t="s">
        <v>95</v>
      </c>
      <c r="I2411" s="36" t="s">
        <v>98</v>
      </c>
      <c r="J2411" s="36">
        <v>748</v>
      </c>
      <c r="K2411" s="36">
        <v>1069.6399999999999</v>
      </c>
    </row>
    <row r="2412" spans="1:11" x14ac:dyDescent="0.3">
      <c r="A2412" s="36" t="s">
        <v>99</v>
      </c>
      <c r="B2412" s="36">
        <v>2023</v>
      </c>
      <c r="C2412" s="36" t="s">
        <v>10</v>
      </c>
      <c r="D2412" s="36" t="s">
        <v>91</v>
      </c>
      <c r="E2412" s="36" t="s">
        <v>92</v>
      </c>
      <c r="F2412" s="36" t="s">
        <v>93</v>
      </c>
      <c r="G2412" s="36" t="s">
        <v>94</v>
      </c>
      <c r="H2412" s="36" t="s">
        <v>95</v>
      </c>
      <c r="I2412" s="36" t="s">
        <v>98</v>
      </c>
      <c r="J2412" s="36">
        <v>327</v>
      </c>
      <c r="K2412" s="36">
        <v>467.61</v>
      </c>
    </row>
    <row r="2413" spans="1:11" x14ac:dyDescent="0.3">
      <c r="A2413" s="36" t="s">
        <v>99</v>
      </c>
      <c r="B2413" s="36">
        <v>2023</v>
      </c>
      <c r="C2413" s="36" t="s">
        <v>10</v>
      </c>
      <c r="D2413" s="36" t="s">
        <v>91</v>
      </c>
      <c r="E2413" s="36" t="s">
        <v>92</v>
      </c>
      <c r="F2413" s="36" t="s">
        <v>93</v>
      </c>
      <c r="G2413" s="36" t="s">
        <v>94</v>
      </c>
      <c r="H2413" s="36" t="s">
        <v>95</v>
      </c>
      <c r="I2413" s="36" t="s">
        <v>98</v>
      </c>
      <c r="J2413" s="36">
        <v>788</v>
      </c>
      <c r="K2413" s="36">
        <v>526.24</v>
      </c>
    </row>
    <row r="2414" spans="1:11" x14ac:dyDescent="0.3">
      <c r="A2414" s="36" t="s">
        <v>97</v>
      </c>
      <c r="B2414" s="36">
        <v>2023</v>
      </c>
      <c r="C2414" s="36" t="s">
        <v>10</v>
      </c>
      <c r="D2414" s="36" t="s">
        <v>91</v>
      </c>
      <c r="E2414" s="36" t="s">
        <v>92</v>
      </c>
      <c r="F2414" s="36" t="s">
        <v>93</v>
      </c>
      <c r="G2414" s="36" t="s">
        <v>94</v>
      </c>
      <c r="H2414" s="36" t="s">
        <v>95</v>
      </c>
      <c r="I2414" s="36" t="s">
        <v>98</v>
      </c>
      <c r="J2414" s="36">
        <v>325</v>
      </c>
      <c r="K2414" s="36">
        <v>464.75</v>
      </c>
    </row>
    <row r="2415" spans="1:11" x14ac:dyDescent="0.3">
      <c r="A2415" s="36" t="s">
        <v>99</v>
      </c>
      <c r="B2415" s="36">
        <v>2023</v>
      </c>
      <c r="C2415" s="36" t="s">
        <v>10</v>
      </c>
      <c r="D2415" s="36" t="s">
        <v>91</v>
      </c>
      <c r="E2415" s="36" t="s">
        <v>92</v>
      </c>
      <c r="F2415" s="36" t="s">
        <v>93</v>
      </c>
      <c r="G2415" s="36" t="s">
        <v>94</v>
      </c>
      <c r="H2415" s="36" t="s">
        <v>95</v>
      </c>
      <c r="I2415" s="36" t="s">
        <v>98</v>
      </c>
      <c r="J2415" s="36">
        <v>301</v>
      </c>
      <c r="K2415" s="36">
        <v>430.43</v>
      </c>
    </row>
    <row r="2416" spans="1:11" x14ac:dyDescent="0.3">
      <c r="A2416" s="36" t="s">
        <v>90</v>
      </c>
      <c r="B2416" s="36">
        <v>2023</v>
      </c>
      <c r="C2416" s="36" t="s">
        <v>10</v>
      </c>
      <c r="D2416" s="36" t="s">
        <v>91</v>
      </c>
      <c r="E2416" s="36" t="s">
        <v>92</v>
      </c>
      <c r="F2416" s="36" t="s">
        <v>93</v>
      </c>
      <c r="G2416" s="36" t="s">
        <v>94</v>
      </c>
      <c r="H2416" s="36" t="s">
        <v>95</v>
      </c>
      <c r="I2416" s="36" t="s">
        <v>98</v>
      </c>
      <c r="J2416" s="36">
        <v>757</v>
      </c>
      <c r="K2416" s="36">
        <v>1082.51</v>
      </c>
    </row>
    <row r="2417" spans="1:11" x14ac:dyDescent="0.3">
      <c r="A2417" s="36" t="s">
        <v>99</v>
      </c>
      <c r="B2417" s="36">
        <v>2023</v>
      </c>
      <c r="C2417" s="36" t="s">
        <v>9</v>
      </c>
      <c r="D2417" s="36" t="s">
        <v>91</v>
      </c>
      <c r="E2417" s="36" t="s">
        <v>92</v>
      </c>
      <c r="F2417" s="36" t="s">
        <v>93</v>
      </c>
      <c r="G2417" s="36" t="s">
        <v>94</v>
      </c>
      <c r="H2417" s="36" t="s">
        <v>95</v>
      </c>
      <c r="I2417" s="36" t="s">
        <v>98</v>
      </c>
      <c r="J2417" s="36">
        <v>332</v>
      </c>
      <c r="K2417" s="36">
        <v>507.96000000000004</v>
      </c>
    </row>
    <row r="2418" spans="1:11" x14ac:dyDescent="0.3">
      <c r="A2418" s="36" t="s">
        <v>97</v>
      </c>
      <c r="B2418" s="36">
        <v>2023</v>
      </c>
      <c r="C2418" s="36" t="s">
        <v>9</v>
      </c>
      <c r="D2418" s="36" t="s">
        <v>91</v>
      </c>
      <c r="E2418" s="36" t="s">
        <v>92</v>
      </c>
      <c r="F2418" s="36" t="s">
        <v>93</v>
      </c>
      <c r="G2418" s="36" t="s">
        <v>94</v>
      </c>
      <c r="H2418" s="36" t="s">
        <v>95</v>
      </c>
      <c r="I2418" s="36" t="s">
        <v>98</v>
      </c>
      <c r="J2418" s="36">
        <v>302</v>
      </c>
      <c r="K2418" s="36">
        <v>431.86</v>
      </c>
    </row>
    <row r="2419" spans="1:11" x14ac:dyDescent="0.3">
      <c r="A2419" s="36" t="s">
        <v>90</v>
      </c>
      <c r="B2419" s="36">
        <v>2023</v>
      </c>
      <c r="C2419" s="36" t="s">
        <v>9</v>
      </c>
      <c r="D2419" s="36" t="s">
        <v>91</v>
      </c>
      <c r="E2419" s="36" t="s">
        <v>92</v>
      </c>
      <c r="F2419" s="36" t="s">
        <v>93</v>
      </c>
      <c r="G2419" s="36" t="s">
        <v>94</v>
      </c>
      <c r="H2419" s="36" t="s">
        <v>95</v>
      </c>
      <c r="I2419" s="36" t="s">
        <v>98</v>
      </c>
      <c r="J2419" s="36">
        <v>334</v>
      </c>
      <c r="K2419" s="36">
        <v>477.62</v>
      </c>
    </row>
    <row r="2420" spans="1:11" x14ac:dyDescent="0.3">
      <c r="A2420" s="36" t="s">
        <v>101</v>
      </c>
      <c r="B2420" s="36">
        <v>2023</v>
      </c>
      <c r="C2420" s="36" t="s">
        <v>9</v>
      </c>
      <c r="D2420" s="36" t="s">
        <v>91</v>
      </c>
      <c r="E2420" s="36" t="s">
        <v>92</v>
      </c>
      <c r="F2420" s="36" t="s">
        <v>93</v>
      </c>
      <c r="G2420" s="36" t="s">
        <v>94</v>
      </c>
      <c r="H2420" s="36" t="s">
        <v>95</v>
      </c>
      <c r="I2420" s="36" t="s">
        <v>98</v>
      </c>
      <c r="J2420" s="36">
        <v>304</v>
      </c>
      <c r="K2420" s="36">
        <v>434.72</v>
      </c>
    </row>
    <row r="2421" spans="1:11" x14ac:dyDescent="0.3">
      <c r="A2421" s="36" t="s">
        <v>97</v>
      </c>
      <c r="B2421" s="36">
        <v>2023</v>
      </c>
      <c r="C2421" s="36" t="s">
        <v>9</v>
      </c>
      <c r="D2421" s="36" t="s">
        <v>91</v>
      </c>
      <c r="E2421" s="36" t="s">
        <v>92</v>
      </c>
      <c r="F2421" s="36" t="s">
        <v>93</v>
      </c>
      <c r="G2421" s="36" t="s">
        <v>94</v>
      </c>
      <c r="H2421" s="36" t="s">
        <v>95</v>
      </c>
      <c r="I2421" s="36" t="s">
        <v>98</v>
      </c>
      <c r="J2421" s="36">
        <v>661</v>
      </c>
      <c r="K2421" s="36">
        <v>945.23</v>
      </c>
    </row>
    <row r="2422" spans="1:11" x14ac:dyDescent="0.3">
      <c r="A2422" s="36" t="s">
        <v>90</v>
      </c>
      <c r="B2422" s="36">
        <v>2023</v>
      </c>
      <c r="C2422" s="36" t="s">
        <v>9</v>
      </c>
      <c r="D2422" s="36" t="s">
        <v>91</v>
      </c>
      <c r="E2422" s="36" t="s">
        <v>92</v>
      </c>
      <c r="F2422" s="36" t="s">
        <v>93</v>
      </c>
      <c r="G2422" s="36" t="s">
        <v>94</v>
      </c>
      <c r="H2422" s="36" t="s">
        <v>95</v>
      </c>
      <c r="I2422" s="36" t="s">
        <v>98</v>
      </c>
      <c r="J2422" s="36">
        <v>747</v>
      </c>
      <c r="K2422" s="36">
        <v>1068.21</v>
      </c>
    </row>
    <row r="2423" spans="1:11" x14ac:dyDescent="0.3">
      <c r="A2423" s="36" t="s">
        <v>90</v>
      </c>
      <c r="B2423" s="36">
        <v>2023</v>
      </c>
      <c r="C2423" s="36" t="s">
        <v>9</v>
      </c>
      <c r="D2423" s="36" t="s">
        <v>91</v>
      </c>
      <c r="E2423" s="36" t="s">
        <v>92</v>
      </c>
      <c r="F2423" s="36" t="s">
        <v>93</v>
      </c>
      <c r="G2423" s="36" t="s">
        <v>94</v>
      </c>
      <c r="H2423" s="36" t="s">
        <v>95</v>
      </c>
      <c r="I2423" s="36" t="s">
        <v>98</v>
      </c>
      <c r="J2423" s="36">
        <v>333</v>
      </c>
      <c r="K2423" s="36">
        <v>476.19</v>
      </c>
    </row>
    <row r="2424" spans="1:11" x14ac:dyDescent="0.3">
      <c r="A2424" s="36" t="s">
        <v>97</v>
      </c>
      <c r="B2424" s="36">
        <v>2023</v>
      </c>
      <c r="C2424" s="36" t="s">
        <v>9</v>
      </c>
      <c r="D2424" s="36" t="s">
        <v>91</v>
      </c>
      <c r="E2424" s="36" t="s">
        <v>92</v>
      </c>
      <c r="F2424" s="36" t="s">
        <v>93</v>
      </c>
      <c r="G2424" s="36" t="s">
        <v>94</v>
      </c>
      <c r="H2424" s="36" t="s">
        <v>95</v>
      </c>
      <c r="I2424" s="36" t="s">
        <v>98</v>
      </c>
      <c r="J2424" s="36">
        <v>787</v>
      </c>
      <c r="K2424" s="36">
        <v>526.24</v>
      </c>
    </row>
    <row r="2425" spans="1:11" x14ac:dyDescent="0.3">
      <c r="A2425" s="36" t="s">
        <v>101</v>
      </c>
      <c r="B2425" s="36">
        <v>2023</v>
      </c>
      <c r="C2425" s="36" t="s">
        <v>9</v>
      </c>
      <c r="D2425" s="36" t="s">
        <v>91</v>
      </c>
      <c r="E2425" s="36" t="s">
        <v>92</v>
      </c>
      <c r="F2425" s="36" t="s">
        <v>93</v>
      </c>
      <c r="G2425" s="36" t="s">
        <v>94</v>
      </c>
      <c r="H2425" s="36" t="s">
        <v>95</v>
      </c>
      <c r="I2425" s="36" t="s">
        <v>98</v>
      </c>
      <c r="J2425" s="36">
        <v>331</v>
      </c>
      <c r="K2425" s="36">
        <v>473.33</v>
      </c>
    </row>
    <row r="2426" spans="1:11" x14ac:dyDescent="0.3">
      <c r="A2426" s="36" t="s">
        <v>90</v>
      </c>
      <c r="B2426" s="36">
        <v>2023</v>
      </c>
      <c r="C2426" s="36" t="s">
        <v>9</v>
      </c>
      <c r="D2426" s="36" t="s">
        <v>91</v>
      </c>
      <c r="E2426" s="36" t="s">
        <v>92</v>
      </c>
      <c r="F2426" s="36" t="s">
        <v>93</v>
      </c>
      <c r="G2426" s="36" t="s">
        <v>94</v>
      </c>
      <c r="H2426" s="36" t="s">
        <v>95</v>
      </c>
      <c r="I2426" s="36" t="s">
        <v>98</v>
      </c>
      <c r="J2426" s="36">
        <v>307</v>
      </c>
      <c r="K2426" s="36">
        <v>439.01</v>
      </c>
    </row>
    <row r="2427" spans="1:11" x14ac:dyDescent="0.3">
      <c r="A2427" s="36" t="s">
        <v>97</v>
      </c>
      <c r="B2427" s="36">
        <v>2023</v>
      </c>
      <c r="C2427" s="36" t="s">
        <v>9</v>
      </c>
      <c r="D2427" s="36" t="s">
        <v>91</v>
      </c>
      <c r="E2427" s="36" t="s">
        <v>92</v>
      </c>
      <c r="F2427" s="36" t="s">
        <v>93</v>
      </c>
      <c r="G2427" s="36" t="s">
        <v>94</v>
      </c>
      <c r="H2427" s="36" t="s">
        <v>95</v>
      </c>
      <c r="I2427" s="36" t="s">
        <v>98</v>
      </c>
      <c r="J2427" s="36">
        <v>329</v>
      </c>
      <c r="K2427" s="36">
        <v>470.47</v>
      </c>
    </row>
    <row r="2428" spans="1:11" x14ac:dyDescent="0.3">
      <c r="A2428" s="36" t="s">
        <v>99</v>
      </c>
      <c r="B2428" s="36">
        <v>2023</v>
      </c>
      <c r="C2428" s="36" t="s">
        <v>9</v>
      </c>
      <c r="D2428" s="36" t="s">
        <v>91</v>
      </c>
      <c r="E2428" s="36" t="s">
        <v>92</v>
      </c>
      <c r="F2428" s="36" t="s">
        <v>93</v>
      </c>
      <c r="G2428" s="36" t="s">
        <v>94</v>
      </c>
      <c r="H2428" s="36" t="s">
        <v>95</v>
      </c>
      <c r="I2428" s="36" t="s">
        <v>98</v>
      </c>
      <c r="J2428" s="36">
        <v>756</v>
      </c>
      <c r="K2428" s="36">
        <v>1081.08</v>
      </c>
    </row>
    <row r="2429" spans="1:11" x14ac:dyDescent="0.3">
      <c r="A2429" s="36" t="s">
        <v>97</v>
      </c>
      <c r="B2429" s="36">
        <v>2023</v>
      </c>
      <c r="C2429" s="36" t="s">
        <v>8</v>
      </c>
      <c r="D2429" s="36" t="s">
        <v>91</v>
      </c>
      <c r="E2429" s="36" t="s">
        <v>92</v>
      </c>
      <c r="F2429" s="36" t="s">
        <v>93</v>
      </c>
      <c r="G2429" s="36" t="s">
        <v>94</v>
      </c>
      <c r="H2429" s="36" t="s">
        <v>95</v>
      </c>
      <c r="I2429" s="36" t="s">
        <v>98</v>
      </c>
      <c r="J2429" s="36">
        <v>338</v>
      </c>
      <c r="K2429" s="36">
        <v>517.14</v>
      </c>
    </row>
    <row r="2430" spans="1:11" x14ac:dyDescent="0.3">
      <c r="A2430" s="36" t="s">
        <v>97</v>
      </c>
      <c r="B2430" s="36">
        <v>2023</v>
      </c>
      <c r="C2430" s="36" t="s">
        <v>8</v>
      </c>
      <c r="D2430" s="36" t="s">
        <v>91</v>
      </c>
      <c r="E2430" s="36" t="s">
        <v>92</v>
      </c>
      <c r="F2430" s="36" t="s">
        <v>93</v>
      </c>
      <c r="G2430" s="36" t="s">
        <v>94</v>
      </c>
      <c r="H2430" s="36" t="s">
        <v>95</v>
      </c>
      <c r="I2430" s="36" t="s">
        <v>98</v>
      </c>
      <c r="J2430" s="36">
        <v>308</v>
      </c>
      <c r="K2430" s="36">
        <v>440.44</v>
      </c>
    </row>
    <row r="2431" spans="1:11" x14ac:dyDescent="0.3">
      <c r="A2431" s="36" t="s">
        <v>101</v>
      </c>
      <c r="B2431" s="36">
        <v>2023</v>
      </c>
      <c r="C2431" s="36" t="s">
        <v>8</v>
      </c>
      <c r="D2431" s="36" t="s">
        <v>91</v>
      </c>
      <c r="E2431" s="36" t="s">
        <v>92</v>
      </c>
      <c r="F2431" s="36" t="s">
        <v>93</v>
      </c>
      <c r="G2431" s="36" t="s">
        <v>94</v>
      </c>
      <c r="H2431" s="36" t="s">
        <v>95</v>
      </c>
      <c r="I2431" s="36" t="s">
        <v>98</v>
      </c>
      <c r="J2431" s="36">
        <v>310</v>
      </c>
      <c r="K2431" s="36">
        <v>443.3</v>
      </c>
    </row>
    <row r="2432" spans="1:11" x14ac:dyDescent="0.3">
      <c r="A2432" s="36" t="s">
        <v>90</v>
      </c>
      <c r="B2432" s="36">
        <v>2023</v>
      </c>
      <c r="C2432" s="36" t="s">
        <v>8</v>
      </c>
      <c r="D2432" s="36" t="s">
        <v>91</v>
      </c>
      <c r="E2432" s="36" t="s">
        <v>92</v>
      </c>
      <c r="F2432" s="36" t="s">
        <v>93</v>
      </c>
      <c r="G2432" s="36" t="s">
        <v>94</v>
      </c>
      <c r="H2432" s="36" t="s">
        <v>95</v>
      </c>
      <c r="I2432" s="36" t="s">
        <v>98</v>
      </c>
      <c r="J2432" s="36">
        <v>660</v>
      </c>
      <c r="K2432" s="36">
        <v>943.8</v>
      </c>
    </row>
    <row r="2433" spans="1:11" x14ac:dyDescent="0.3">
      <c r="A2433" s="36" t="s">
        <v>99</v>
      </c>
      <c r="B2433" s="36">
        <v>2023</v>
      </c>
      <c r="C2433" s="36" t="s">
        <v>8</v>
      </c>
      <c r="D2433" s="36" t="s">
        <v>91</v>
      </c>
      <c r="E2433" s="36" t="s">
        <v>92</v>
      </c>
      <c r="F2433" s="36" t="s">
        <v>93</v>
      </c>
      <c r="G2433" s="36" t="s">
        <v>94</v>
      </c>
      <c r="H2433" s="36" t="s">
        <v>95</v>
      </c>
      <c r="I2433" s="36" t="s">
        <v>98</v>
      </c>
      <c r="J2433" s="36">
        <v>746</v>
      </c>
      <c r="K2433" s="36">
        <v>1066.78</v>
      </c>
    </row>
    <row r="2434" spans="1:11" x14ac:dyDescent="0.3">
      <c r="A2434" s="36" t="s">
        <v>99</v>
      </c>
      <c r="B2434" s="36">
        <v>2023</v>
      </c>
      <c r="C2434" s="36" t="s">
        <v>8</v>
      </c>
      <c r="D2434" s="36" t="s">
        <v>91</v>
      </c>
      <c r="E2434" s="36" t="s">
        <v>92</v>
      </c>
      <c r="F2434" s="36" t="s">
        <v>93</v>
      </c>
      <c r="G2434" s="36" t="s">
        <v>94</v>
      </c>
      <c r="H2434" s="36" t="s">
        <v>95</v>
      </c>
      <c r="I2434" s="36" t="s">
        <v>98</v>
      </c>
      <c r="J2434" s="36">
        <v>339</v>
      </c>
      <c r="K2434" s="36">
        <v>484.77</v>
      </c>
    </row>
    <row r="2435" spans="1:11" x14ac:dyDescent="0.3">
      <c r="A2435" s="36" t="s">
        <v>90</v>
      </c>
      <c r="B2435" s="36">
        <v>2023</v>
      </c>
      <c r="C2435" s="36" t="s">
        <v>8</v>
      </c>
      <c r="D2435" s="36" t="s">
        <v>91</v>
      </c>
      <c r="E2435" s="36" t="s">
        <v>92</v>
      </c>
      <c r="F2435" s="36" t="s">
        <v>93</v>
      </c>
      <c r="G2435" s="36" t="s">
        <v>94</v>
      </c>
      <c r="H2435" s="36" t="s">
        <v>95</v>
      </c>
      <c r="I2435" s="36" t="s">
        <v>98</v>
      </c>
      <c r="J2435" s="36">
        <v>786</v>
      </c>
      <c r="K2435" s="36">
        <v>526.24</v>
      </c>
    </row>
    <row r="2436" spans="1:11" x14ac:dyDescent="0.3">
      <c r="A2436" s="36" t="s">
        <v>101</v>
      </c>
      <c r="B2436" s="36">
        <v>2023</v>
      </c>
      <c r="C2436" s="36" t="s">
        <v>8</v>
      </c>
      <c r="D2436" s="36" t="s">
        <v>91</v>
      </c>
      <c r="E2436" s="36" t="s">
        <v>92</v>
      </c>
      <c r="F2436" s="36" t="s">
        <v>93</v>
      </c>
      <c r="G2436" s="36" t="s">
        <v>94</v>
      </c>
      <c r="H2436" s="36" t="s">
        <v>95</v>
      </c>
      <c r="I2436" s="36" t="s">
        <v>98</v>
      </c>
      <c r="J2436" s="36">
        <v>337</v>
      </c>
      <c r="K2436" s="36">
        <v>481.90999999999997</v>
      </c>
    </row>
    <row r="2437" spans="1:11" x14ac:dyDescent="0.3">
      <c r="A2437" s="36" t="s">
        <v>97</v>
      </c>
      <c r="B2437" s="36">
        <v>2023</v>
      </c>
      <c r="C2437" s="36" t="s">
        <v>8</v>
      </c>
      <c r="D2437" s="36" t="s">
        <v>91</v>
      </c>
      <c r="E2437" s="36" t="s">
        <v>92</v>
      </c>
      <c r="F2437" s="36" t="s">
        <v>93</v>
      </c>
      <c r="G2437" s="36" t="s">
        <v>94</v>
      </c>
      <c r="H2437" s="36" t="s">
        <v>95</v>
      </c>
      <c r="I2437" s="36" t="s">
        <v>98</v>
      </c>
      <c r="J2437" s="36">
        <v>335</v>
      </c>
      <c r="K2437" s="36">
        <v>479.05</v>
      </c>
    </row>
    <row r="2438" spans="1:11" x14ac:dyDescent="0.3">
      <c r="A2438" s="36" t="s">
        <v>97</v>
      </c>
      <c r="B2438" s="36">
        <v>2023</v>
      </c>
      <c r="C2438" s="36" t="s">
        <v>8</v>
      </c>
      <c r="D2438" s="36" t="s">
        <v>91</v>
      </c>
      <c r="E2438" s="36" t="s">
        <v>92</v>
      </c>
      <c r="F2438" s="36" t="s">
        <v>93</v>
      </c>
      <c r="G2438" s="36" t="s">
        <v>94</v>
      </c>
      <c r="H2438" s="36" t="s">
        <v>95</v>
      </c>
      <c r="I2438" s="36" t="s">
        <v>98</v>
      </c>
      <c r="J2438" s="36">
        <v>755</v>
      </c>
      <c r="K2438" s="36">
        <v>1079.6500000000001</v>
      </c>
    </row>
    <row r="2439" spans="1:11" x14ac:dyDescent="0.3">
      <c r="A2439" s="36" t="s">
        <v>97</v>
      </c>
      <c r="B2439" s="36">
        <v>2023</v>
      </c>
      <c r="C2439" s="36" t="s">
        <v>3</v>
      </c>
      <c r="D2439" s="36" t="s">
        <v>103</v>
      </c>
      <c r="E2439" s="36" t="s">
        <v>92</v>
      </c>
      <c r="F2439" s="36" t="s">
        <v>93</v>
      </c>
      <c r="G2439" s="36" t="s">
        <v>94</v>
      </c>
      <c r="H2439" s="36" t="s">
        <v>95</v>
      </c>
      <c r="I2439" s="36" t="s">
        <v>96</v>
      </c>
      <c r="J2439" s="36">
        <v>212</v>
      </c>
      <c r="K2439" s="36">
        <v>303.15999999999997</v>
      </c>
    </row>
    <row r="2440" spans="1:11" x14ac:dyDescent="0.3">
      <c r="A2440" s="36" t="s">
        <v>90</v>
      </c>
      <c r="B2440" s="36">
        <v>2023</v>
      </c>
      <c r="C2440" s="36" t="s">
        <v>3</v>
      </c>
      <c r="D2440" s="36" t="s">
        <v>103</v>
      </c>
      <c r="E2440" s="36" t="s">
        <v>92</v>
      </c>
      <c r="F2440" s="36" t="s">
        <v>93</v>
      </c>
      <c r="G2440" s="36" t="s">
        <v>94</v>
      </c>
      <c r="H2440" s="36" t="s">
        <v>95</v>
      </c>
      <c r="I2440" s="36" t="s">
        <v>96</v>
      </c>
      <c r="J2440" s="36">
        <v>182</v>
      </c>
      <c r="K2440" s="36">
        <v>260.26</v>
      </c>
    </row>
    <row r="2441" spans="1:11" x14ac:dyDescent="0.3">
      <c r="A2441" s="36" t="s">
        <v>97</v>
      </c>
      <c r="B2441" s="36">
        <v>2023</v>
      </c>
      <c r="C2441" s="36" t="s">
        <v>3</v>
      </c>
      <c r="D2441" s="36" t="s">
        <v>103</v>
      </c>
      <c r="E2441" s="36" t="s">
        <v>92</v>
      </c>
      <c r="F2441" s="36" t="s">
        <v>93</v>
      </c>
      <c r="G2441" s="36" t="s">
        <v>94</v>
      </c>
      <c r="H2441" s="36" t="s">
        <v>95</v>
      </c>
      <c r="I2441" s="36" t="s">
        <v>96</v>
      </c>
      <c r="J2441" s="36">
        <v>184</v>
      </c>
      <c r="K2441" s="36">
        <v>526.24</v>
      </c>
    </row>
    <row r="2442" spans="1:11" x14ac:dyDescent="0.3">
      <c r="A2442" s="36" t="s">
        <v>97</v>
      </c>
      <c r="B2442" s="36">
        <v>2023</v>
      </c>
      <c r="C2442" s="36" t="s">
        <v>3</v>
      </c>
      <c r="D2442" s="36" t="s">
        <v>103</v>
      </c>
      <c r="E2442" s="36" t="s">
        <v>92</v>
      </c>
      <c r="F2442" s="36" t="s">
        <v>93</v>
      </c>
      <c r="G2442" s="36" t="s">
        <v>94</v>
      </c>
      <c r="H2442" s="36" t="s">
        <v>95</v>
      </c>
      <c r="I2442" s="36" t="s">
        <v>96</v>
      </c>
      <c r="J2442" s="36">
        <v>968</v>
      </c>
      <c r="K2442" s="36">
        <v>1384.24</v>
      </c>
    </row>
    <row r="2443" spans="1:11" x14ac:dyDescent="0.3">
      <c r="A2443" s="36" t="s">
        <v>101</v>
      </c>
      <c r="B2443" s="36">
        <v>2023</v>
      </c>
      <c r="C2443" s="36" t="s">
        <v>3</v>
      </c>
      <c r="D2443" s="36" t="s">
        <v>103</v>
      </c>
      <c r="E2443" s="36" t="s">
        <v>92</v>
      </c>
      <c r="F2443" s="36" t="s">
        <v>93</v>
      </c>
      <c r="G2443" s="36" t="s">
        <v>94</v>
      </c>
      <c r="H2443" s="36" t="s">
        <v>95</v>
      </c>
      <c r="I2443" s="36" t="s">
        <v>96</v>
      </c>
      <c r="J2443" s="36">
        <v>186</v>
      </c>
      <c r="K2443" s="36">
        <v>265.98</v>
      </c>
    </row>
    <row r="2444" spans="1:11" x14ac:dyDescent="0.3">
      <c r="A2444" s="36" t="s">
        <v>101</v>
      </c>
      <c r="B2444" s="36">
        <v>2023</v>
      </c>
      <c r="C2444" s="36" t="s">
        <v>3</v>
      </c>
      <c r="D2444" s="36" t="s">
        <v>103</v>
      </c>
      <c r="E2444" s="36" t="s">
        <v>92</v>
      </c>
      <c r="F2444" s="36" t="s">
        <v>93</v>
      </c>
      <c r="G2444" s="36" t="s">
        <v>94</v>
      </c>
      <c r="H2444" s="36" t="s">
        <v>95</v>
      </c>
      <c r="I2444" s="36" t="s">
        <v>96</v>
      </c>
      <c r="J2444" s="36">
        <v>213</v>
      </c>
      <c r="K2444" s="36">
        <v>304.59000000000003</v>
      </c>
    </row>
    <row r="2445" spans="1:11" x14ac:dyDescent="0.3">
      <c r="A2445" s="36" t="s">
        <v>97</v>
      </c>
      <c r="B2445" s="36">
        <v>2023</v>
      </c>
      <c r="C2445" s="36" t="s">
        <v>3</v>
      </c>
      <c r="D2445" s="36" t="s">
        <v>103</v>
      </c>
      <c r="E2445" s="36" t="s">
        <v>92</v>
      </c>
      <c r="F2445" s="36" t="s">
        <v>93</v>
      </c>
      <c r="G2445" s="36" t="s">
        <v>94</v>
      </c>
      <c r="H2445" s="36" t="s">
        <v>95</v>
      </c>
      <c r="I2445" s="36" t="s">
        <v>96</v>
      </c>
      <c r="J2445" s="36">
        <v>183</v>
      </c>
      <c r="K2445" s="36">
        <v>261.69</v>
      </c>
    </row>
    <row r="2446" spans="1:11" x14ac:dyDescent="0.3">
      <c r="A2446" s="36" t="s">
        <v>97</v>
      </c>
      <c r="B2446" s="36">
        <v>2023</v>
      </c>
      <c r="C2446" s="36" t="s">
        <v>3</v>
      </c>
      <c r="D2446" s="36" t="s">
        <v>103</v>
      </c>
      <c r="E2446" s="36" t="s">
        <v>92</v>
      </c>
      <c r="F2446" s="36" t="s">
        <v>93</v>
      </c>
      <c r="G2446" s="36" t="s">
        <v>94</v>
      </c>
      <c r="H2446" s="36" t="s">
        <v>95</v>
      </c>
      <c r="I2446" s="36" t="s">
        <v>96</v>
      </c>
      <c r="J2446" s="36">
        <v>749</v>
      </c>
      <c r="K2446" s="36">
        <v>1071.07</v>
      </c>
    </row>
    <row r="2447" spans="1:11" x14ac:dyDescent="0.3">
      <c r="A2447" s="36" t="s">
        <v>90</v>
      </c>
      <c r="B2447" s="36">
        <v>2023</v>
      </c>
      <c r="C2447" s="36" t="s">
        <v>3</v>
      </c>
      <c r="D2447" s="36" t="s">
        <v>103</v>
      </c>
      <c r="E2447" s="36" t="s">
        <v>92</v>
      </c>
      <c r="F2447" s="36" t="s">
        <v>93</v>
      </c>
      <c r="G2447" s="36" t="s">
        <v>94</v>
      </c>
      <c r="H2447" s="36" t="s">
        <v>95</v>
      </c>
      <c r="I2447" s="36" t="s">
        <v>96</v>
      </c>
      <c r="J2447" s="36">
        <v>209</v>
      </c>
      <c r="K2447" s="36">
        <v>298.87</v>
      </c>
    </row>
    <row r="2448" spans="1:11" x14ac:dyDescent="0.3">
      <c r="A2448" s="36" t="s">
        <v>97</v>
      </c>
      <c r="B2448" s="36">
        <v>2023</v>
      </c>
      <c r="C2448" s="36" t="s">
        <v>3</v>
      </c>
      <c r="D2448" s="36" t="s">
        <v>103</v>
      </c>
      <c r="E2448" s="36" t="s">
        <v>92</v>
      </c>
      <c r="F2448" s="36" t="s">
        <v>93</v>
      </c>
      <c r="G2448" s="36" t="s">
        <v>94</v>
      </c>
      <c r="H2448" s="36" t="s">
        <v>95</v>
      </c>
      <c r="I2448" s="36" t="s">
        <v>96</v>
      </c>
      <c r="J2448" s="36">
        <v>185</v>
      </c>
      <c r="K2448" s="36">
        <v>264.55</v>
      </c>
    </row>
    <row r="2449" spans="1:11" x14ac:dyDescent="0.3">
      <c r="A2449" s="36" t="s">
        <v>97</v>
      </c>
      <c r="B2449" s="36">
        <v>2023</v>
      </c>
      <c r="C2449" s="36" t="s">
        <v>7</v>
      </c>
      <c r="D2449" s="36" t="s">
        <v>103</v>
      </c>
      <c r="E2449" s="36" t="s">
        <v>92</v>
      </c>
      <c r="F2449" s="36" t="s">
        <v>93</v>
      </c>
      <c r="G2449" s="36" t="s">
        <v>94</v>
      </c>
      <c r="H2449" s="36" t="s">
        <v>95</v>
      </c>
      <c r="I2449" s="36" t="s">
        <v>96</v>
      </c>
      <c r="J2449" s="36">
        <v>188</v>
      </c>
      <c r="K2449" s="36">
        <v>268.84000000000003</v>
      </c>
    </row>
    <row r="2450" spans="1:11" x14ac:dyDescent="0.3">
      <c r="A2450" s="36" t="s">
        <v>90</v>
      </c>
      <c r="B2450" s="36">
        <v>2023</v>
      </c>
      <c r="C2450" s="36" t="s">
        <v>7</v>
      </c>
      <c r="D2450" s="36" t="s">
        <v>103</v>
      </c>
      <c r="E2450" s="36" t="s">
        <v>92</v>
      </c>
      <c r="F2450" s="36" t="s">
        <v>93</v>
      </c>
      <c r="G2450" s="36" t="s">
        <v>94</v>
      </c>
      <c r="H2450" s="36" t="s">
        <v>95</v>
      </c>
      <c r="I2450" s="36" t="s">
        <v>96</v>
      </c>
      <c r="J2450" s="36">
        <v>164</v>
      </c>
      <c r="K2450" s="36">
        <v>234.51999999999998</v>
      </c>
    </row>
    <row r="2451" spans="1:11" x14ac:dyDescent="0.3">
      <c r="A2451" s="36" t="s">
        <v>99</v>
      </c>
      <c r="B2451" s="36">
        <v>2023</v>
      </c>
      <c r="C2451" s="36" t="s">
        <v>7</v>
      </c>
      <c r="D2451" s="36" t="s">
        <v>103</v>
      </c>
      <c r="E2451" s="36" t="s">
        <v>92</v>
      </c>
      <c r="F2451" s="36" t="s">
        <v>93</v>
      </c>
      <c r="G2451" s="36" t="s">
        <v>94</v>
      </c>
      <c r="H2451" s="36" t="s">
        <v>95</v>
      </c>
      <c r="I2451" s="36" t="s">
        <v>96</v>
      </c>
      <c r="J2451" s="36">
        <v>190</v>
      </c>
      <c r="K2451" s="36">
        <v>526.24</v>
      </c>
    </row>
    <row r="2452" spans="1:11" x14ac:dyDescent="0.3">
      <c r="A2452" s="36" t="s">
        <v>90</v>
      </c>
      <c r="B2452" s="36">
        <v>2023</v>
      </c>
      <c r="C2452" s="36" t="s">
        <v>7</v>
      </c>
      <c r="D2452" s="36" t="s">
        <v>103</v>
      </c>
      <c r="E2452" s="36" t="s">
        <v>92</v>
      </c>
      <c r="F2452" s="36" t="s">
        <v>93</v>
      </c>
      <c r="G2452" s="36" t="s">
        <v>94</v>
      </c>
      <c r="H2452" s="36" t="s">
        <v>95</v>
      </c>
      <c r="I2452" s="36" t="s">
        <v>96</v>
      </c>
      <c r="J2452" s="36">
        <v>160</v>
      </c>
      <c r="K2452" s="36">
        <v>526.24</v>
      </c>
    </row>
    <row r="2453" spans="1:11" x14ac:dyDescent="0.3">
      <c r="A2453" s="36" t="s">
        <v>97</v>
      </c>
      <c r="B2453" s="36">
        <v>2023</v>
      </c>
      <c r="C2453" s="36" t="s">
        <v>7</v>
      </c>
      <c r="D2453" s="36" t="s">
        <v>103</v>
      </c>
      <c r="E2453" s="36" t="s">
        <v>92</v>
      </c>
      <c r="F2453" s="36" t="s">
        <v>93</v>
      </c>
      <c r="G2453" s="36" t="s">
        <v>94</v>
      </c>
      <c r="H2453" s="36" t="s">
        <v>95</v>
      </c>
      <c r="I2453" s="36" t="s">
        <v>96</v>
      </c>
      <c r="J2453" s="36">
        <v>971</v>
      </c>
      <c r="K2453" s="36">
        <v>1388.53</v>
      </c>
    </row>
    <row r="2454" spans="1:11" x14ac:dyDescent="0.3">
      <c r="A2454" s="36" t="s">
        <v>90</v>
      </c>
      <c r="B2454" s="36">
        <v>2023</v>
      </c>
      <c r="C2454" s="36" t="s">
        <v>7</v>
      </c>
      <c r="D2454" s="36" t="s">
        <v>103</v>
      </c>
      <c r="E2454" s="36" t="s">
        <v>92</v>
      </c>
      <c r="F2454" s="36" t="s">
        <v>93</v>
      </c>
      <c r="G2454" s="36" t="s">
        <v>94</v>
      </c>
      <c r="H2454" s="36" t="s">
        <v>95</v>
      </c>
      <c r="I2454" s="36" t="s">
        <v>96</v>
      </c>
      <c r="J2454" s="36">
        <v>162</v>
      </c>
      <c r="K2454" s="36">
        <v>231.66</v>
      </c>
    </row>
    <row r="2455" spans="1:11" x14ac:dyDescent="0.3">
      <c r="A2455" s="36" t="s">
        <v>90</v>
      </c>
      <c r="B2455" s="36">
        <v>2023</v>
      </c>
      <c r="C2455" s="36" t="s">
        <v>7</v>
      </c>
      <c r="D2455" s="36" t="s">
        <v>103</v>
      </c>
      <c r="E2455" s="36" t="s">
        <v>92</v>
      </c>
      <c r="F2455" s="36" t="s">
        <v>93</v>
      </c>
      <c r="G2455" s="36" t="s">
        <v>94</v>
      </c>
      <c r="H2455" s="36" t="s">
        <v>95</v>
      </c>
      <c r="I2455" s="36" t="s">
        <v>96</v>
      </c>
      <c r="J2455" s="36">
        <v>189</v>
      </c>
      <c r="K2455" s="36">
        <v>270.27</v>
      </c>
    </row>
    <row r="2456" spans="1:11" x14ac:dyDescent="0.3">
      <c r="A2456" s="36" t="s">
        <v>97</v>
      </c>
      <c r="B2456" s="36">
        <v>2023</v>
      </c>
      <c r="C2456" s="36" t="s">
        <v>7</v>
      </c>
      <c r="D2456" s="36" t="s">
        <v>103</v>
      </c>
      <c r="E2456" s="36" t="s">
        <v>92</v>
      </c>
      <c r="F2456" s="36" t="s">
        <v>93</v>
      </c>
      <c r="G2456" s="36" t="s">
        <v>94</v>
      </c>
      <c r="H2456" s="36" t="s">
        <v>95</v>
      </c>
      <c r="I2456" s="36" t="s">
        <v>96</v>
      </c>
      <c r="J2456" s="36">
        <v>165</v>
      </c>
      <c r="K2456" s="36">
        <v>235.95</v>
      </c>
    </row>
    <row r="2457" spans="1:11" x14ac:dyDescent="0.3">
      <c r="A2457" s="36" t="s">
        <v>90</v>
      </c>
      <c r="B2457" s="36">
        <v>2023</v>
      </c>
      <c r="C2457" s="36" t="s">
        <v>7</v>
      </c>
      <c r="D2457" s="36" t="s">
        <v>103</v>
      </c>
      <c r="E2457" s="36" t="s">
        <v>92</v>
      </c>
      <c r="F2457" s="36" t="s">
        <v>93</v>
      </c>
      <c r="G2457" s="36" t="s">
        <v>94</v>
      </c>
      <c r="H2457" s="36" t="s">
        <v>95</v>
      </c>
      <c r="I2457" s="36" t="s">
        <v>96</v>
      </c>
      <c r="J2457" s="36">
        <v>753</v>
      </c>
      <c r="K2457" s="36">
        <v>1076.79</v>
      </c>
    </row>
    <row r="2458" spans="1:11" x14ac:dyDescent="0.3">
      <c r="A2458" s="36" t="s">
        <v>99</v>
      </c>
      <c r="B2458" s="36">
        <v>2023</v>
      </c>
      <c r="C2458" s="36" t="s">
        <v>7</v>
      </c>
      <c r="D2458" s="36" t="s">
        <v>103</v>
      </c>
      <c r="E2458" s="36" t="s">
        <v>92</v>
      </c>
      <c r="F2458" s="36" t="s">
        <v>93</v>
      </c>
      <c r="G2458" s="36" t="s">
        <v>94</v>
      </c>
      <c r="H2458" s="36" t="s">
        <v>95</v>
      </c>
      <c r="I2458" s="36" t="s">
        <v>96</v>
      </c>
      <c r="J2458" s="36">
        <v>839</v>
      </c>
      <c r="K2458" s="36">
        <v>1199.77</v>
      </c>
    </row>
    <row r="2459" spans="1:11" x14ac:dyDescent="0.3">
      <c r="A2459" s="36" t="s">
        <v>90</v>
      </c>
      <c r="B2459" s="36">
        <v>2023</v>
      </c>
      <c r="C2459" s="36" t="s">
        <v>7</v>
      </c>
      <c r="D2459" s="36" t="s">
        <v>103</v>
      </c>
      <c r="E2459" s="36" t="s">
        <v>92</v>
      </c>
      <c r="F2459" s="36" t="s">
        <v>93</v>
      </c>
      <c r="G2459" s="36" t="s">
        <v>94</v>
      </c>
      <c r="H2459" s="36" t="s">
        <v>95</v>
      </c>
      <c r="I2459" s="36" t="s">
        <v>96</v>
      </c>
      <c r="J2459" s="36">
        <v>191</v>
      </c>
      <c r="K2459" s="36">
        <v>273.13</v>
      </c>
    </row>
    <row r="2460" spans="1:11" x14ac:dyDescent="0.3">
      <c r="A2460" s="36" t="s">
        <v>97</v>
      </c>
      <c r="B2460" s="36">
        <v>2023</v>
      </c>
      <c r="C2460" s="36" t="s">
        <v>7</v>
      </c>
      <c r="D2460" s="36" t="s">
        <v>103</v>
      </c>
      <c r="E2460" s="36" t="s">
        <v>92</v>
      </c>
      <c r="F2460" s="36" t="s">
        <v>93</v>
      </c>
      <c r="G2460" s="36" t="s">
        <v>94</v>
      </c>
      <c r="H2460" s="36" t="s">
        <v>95</v>
      </c>
      <c r="I2460" s="36" t="s">
        <v>96</v>
      </c>
      <c r="J2460" s="36">
        <v>161</v>
      </c>
      <c r="K2460" s="36">
        <v>230.23000000000002</v>
      </c>
    </row>
    <row r="2461" spans="1:11" x14ac:dyDescent="0.3">
      <c r="A2461" s="36" t="s">
        <v>90</v>
      </c>
      <c r="B2461" s="36">
        <v>2023</v>
      </c>
      <c r="C2461" s="36" t="s">
        <v>11</v>
      </c>
      <c r="D2461" s="36" t="s">
        <v>103</v>
      </c>
      <c r="E2461" s="36" t="s">
        <v>92</v>
      </c>
      <c r="F2461" s="36" t="s">
        <v>93</v>
      </c>
      <c r="G2461" s="36" t="s">
        <v>94</v>
      </c>
      <c r="H2461" s="36" t="s">
        <v>95</v>
      </c>
      <c r="I2461" s="36" t="s">
        <v>96</v>
      </c>
      <c r="J2461" s="36">
        <v>170</v>
      </c>
      <c r="K2461" s="36">
        <v>243.1</v>
      </c>
    </row>
    <row r="2462" spans="1:11" x14ac:dyDescent="0.3">
      <c r="A2462" s="36" t="s">
        <v>90</v>
      </c>
      <c r="B2462" s="36">
        <v>2023</v>
      </c>
      <c r="C2462" s="36" t="s">
        <v>11</v>
      </c>
      <c r="D2462" s="36" t="s">
        <v>103</v>
      </c>
      <c r="E2462" s="36" t="s">
        <v>92</v>
      </c>
      <c r="F2462" s="36" t="s">
        <v>93</v>
      </c>
      <c r="G2462" s="36" t="s">
        <v>94</v>
      </c>
      <c r="H2462" s="36" t="s">
        <v>95</v>
      </c>
      <c r="I2462" s="36" t="s">
        <v>96</v>
      </c>
      <c r="J2462" s="36">
        <v>140</v>
      </c>
      <c r="K2462" s="36">
        <v>200.2</v>
      </c>
    </row>
    <row r="2463" spans="1:11" x14ac:dyDescent="0.3">
      <c r="A2463" s="36" t="s">
        <v>90</v>
      </c>
      <c r="B2463" s="36">
        <v>2023</v>
      </c>
      <c r="C2463" s="36" t="s">
        <v>11</v>
      </c>
      <c r="D2463" s="36" t="s">
        <v>103</v>
      </c>
      <c r="E2463" s="36" t="s">
        <v>92</v>
      </c>
      <c r="F2463" s="36" t="s">
        <v>93</v>
      </c>
      <c r="G2463" s="36" t="s">
        <v>94</v>
      </c>
      <c r="H2463" s="36" t="s">
        <v>95</v>
      </c>
      <c r="I2463" s="36" t="s">
        <v>96</v>
      </c>
      <c r="J2463" s="36">
        <v>166</v>
      </c>
      <c r="K2463" s="36">
        <v>526.24</v>
      </c>
    </row>
    <row r="2464" spans="1:11" x14ac:dyDescent="0.3">
      <c r="A2464" s="36" t="s">
        <v>90</v>
      </c>
      <c r="B2464" s="36">
        <v>2023</v>
      </c>
      <c r="C2464" s="36" t="s">
        <v>11</v>
      </c>
      <c r="D2464" s="36" t="s">
        <v>103</v>
      </c>
      <c r="E2464" s="36" t="s">
        <v>92</v>
      </c>
      <c r="F2464" s="36" t="s">
        <v>93</v>
      </c>
      <c r="G2464" s="36" t="s">
        <v>94</v>
      </c>
      <c r="H2464" s="36" t="s">
        <v>95</v>
      </c>
      <c r="I2464" s="36" t="s">
        <v>96</v>
      </c>
      <c r="J2464" s="36">
        <v>142</v>
      </c>
      <c r="K2464" s="36">
        <v>526.24</v>
      </c>
    </row>
    <row r="2465" spans="1:11" x14ac:dyDescent="0.3">
      <c r="A2465" s="36" t="s">
        <v>97</v>
      </c>
      <c r="B2465" s="36">
        <v>2023</v>
      </c>
      <c r="C2465" s="36" t="s">
        <v>11</v>
      </c>
      <c r="D2465" s="36" t="s">
        <v>103</v>
      </c>
      <c r="E2465" s="36" t="s">
        <v>92</v>
      </c>
      <c r="F2465" s="36" t="s">
        <v>93</v>
      </c>
      <c r="G2465" s="36" t="s">
        <v>94</v>
      </c>
      <c r="H2465" s="36" t="s">
        <v>95</v>
      </c>
      <c r="I2465" s="36" t="s">
        <v>96</v>
      </c>
      <c r="J2465" s="36">
        <v>975</v>
      </c>
      <c r="K2465" s="36">
        <v>1394.25</v>
      </c>
    </row>
    <row r="2466" spans="1:11" x14ac:dyDescent="0.3">
      <c r="A2466" s="36" t="s">
        <v>97</v>
      </c>
      <c r="B2466" s="36">
        <v>2023</v>
      </c>
      <c r="C2466" s="36" t="s">
        <v>11</v>
      </c>
      <c r="D2466" s="36" t="s">
        <v>103</v>
      </c>
      <c r="E2466" s="36" t="s">
        <v>92</v>
      </c>
      <c r="F2466" s="36" t="s">
        <v>93</v>
      </c>
      <c r="G2466" s="36" t="s">
        <v>94</v>
      </c>
      <c r="H2466" s="36" t="s">
        <v>95</v>
      </c>
      <c r="I2466" s="36" t="s">
        <v>96</v>
      </c>
      <c r="J2466" s="36">
        <v>141</v>
      </c>
      <c r="K2466" s="36">
        <v>201.63</v>
      </c>
    </row>
    <row r="2467" spans="1:11" x14ac:dyDescent="0.3">
      <c r="A2467" s="36" t="s">
        <v>90</v>
      </c>
      <c r="B2467" s="36">
        <v>2023</v>
      </c>
      <c r="C2467" s="36" t="s">
        <v>11</v>
      </c>
      <c r="D2467" s="36" t="s">
        <v>103</v>
      </c>
      <c r="E2467" s="36" t="s">
        <v>92</v>
      </c>
      <c r="F2467" s="36" t="s">
        <v>93</v>
      </c>
      <c r="G2467" s="36" t="s">
        <v>94</v>
      </c>
      <c r="H2467" s="36" t="s">
        <v>95</v>
      </c>
      <c r="I2467" s="36" t="s">
        <v>96</v>
      </c>
      <c r="J2467" s="36">
        <v>756</v>
      </c>
      <c r="K2467" s="36">
        <v>1081.08</v>
      </c>
    </row>
    <row r="2468" spans="1:11" x14ac:dyDescent="0.3">
      <c r="A2468" s="36" t="s">
        <v>90</v>
      </c>
      <c r="B2468" s="36">
        <v>2023</v>
      </c>
      <c r="C2468" s="36" t="s">
        <v>11</v>
      </c>
      <c r="D2468" s="36" t="s">
        <v>103</v>
      </c>
      <c r="E2468" s="36" t="s">
        <v>92</v>
      </c>
      <c r="F2468" s="36" t="s">
        <v>93</v>
      </c>
      <c r="G2468" s="36" t="s">
        <v>94</v>
      </c>
      <c r="H2468" s="36" t="s">
        <v>95</v>
      </c>
      <c r="I2468" s="36" t="s">
        <v>96</v>
      </c>
      <c r="J2468" s="36">
        <v>843</v>
      </c>
      <c r="K2468" s="36">
        <v>1205.49</v>
      </c>
    </row>
    <row r="2469" spans="1:11" x14ac:dyDescent="0.3">
      <c r="A2469" s="36" t="s">
        <v>90</v>
      </c>
      <c r="B2469" s="36">
        <v>2023</v>
      </c>
      <c r="C2469" s="36" t="s">
        <v>11</v>
      </c>
      <c r="D2469" s="36" t="s">
        <v>103</v>
      </c>
      <c r="E2469" s="36" t="s">
        <v>92</v>
      </c>
      <c r="F2469" s="36" t="s">
        <v>93</v>
      </c>
      <c r="G2469" s="36" t="s">
        <v>94</v>
      </c>
      <c r="H2469" s="36" t="s">
        <v>95</v>
      </c>
      <c r="I2469" s="36" t="s">
        <v>96</v>
      </c>
      <c r="J2469" s="36">
        <v>167</v>
      </c>
      <c r="K2469" s="36">
        <v>238.81</v>
      </c>
    </row>
    <row r="2470" spans="1:11" x14ac:dyDescent="0.3">
      <c r="A2470" s="36" t="s">
        <v>90</v>
      </c>
      <c r="B2470" s="36">
        <v>2023</v>
      </c>
      <c r="C2470" s="36" t="s">
        <v>11</v>
      </c>
      <c r="D2470" s="36" t="s">
        <v>103</v>
      </c>
      <c r="E2470" s="36" t="s">
        <v>92</v>
      </c>
      <c r="F2470" s="36" t="s">
        <v>93</v>
      </c>
      <c r="G2470" s="36" t="s">
        <v>94</v>
      </c>
      <c r="H2470" s="36" t="s">
        <v>95</v>
      </c>
      <c r="I2470" s="36" t="s">
        <v>96</v>
      </c>
      <c r="J2470" s="36">
        <v>143</v>
      </c>
      <c r="K2470" s="36">
        <v>204.49</v>
      </c>
    </row>
    <row r="2471" spans="1:11" x14ac:dyDescent="0.3">
      <c r="A2471" s="36" t="s">
        <v>97</v>
      </c>
      <c r="B2471" s="36">
        <v>2023</v>
      </c>
      <c r="C2471" s="36" t="s">
        <v>1</v>
      </c>
      <c r="D2471" s="36" t="s">
        <v>103</v>
      </c>
      <c r="E2471" s="36" t="s">
        <v>92</v>
      </c>
      <c r="F2471" s="36" t="s">
        <v>93</v>
      </c>
      <c r="G2471" s="36" t="s">
        <v>94</v>
      </c>
      <c r="H2471" s="36" t="s">
        <v>95</v>
      </c>
      <c r="I2471" s="36" t="s">
        <v>98</v>
      </c>
      <c r="J2471" s="36">
        <v>272</v>
      </c>
      <c r="K2471" s="36">
        <v>388.96</v>
      </c>
    </row>
    <row r="2472" spans="1:11" x14ac:dyDescent="0.3">
      <c r="A2472" s="36" t="s">
        <v>97</v>
      </c>
      <c r="B2472" s="36">
        <v>2023</v>
      </c>
      <c r="C2472" s="36" t="s">
        <v>1</v>
      </c>
      <c r="D2472" s="36" t="s">
        <v>103</v>
      </c>
      <c r="E2472" s="36" t="s">
        <v>92</v>
      </c>
      <c r="F2472" s="36" t="s">
        <v>93</v>
      </c>
      <c r="G2472" s="36" t="s">
        <v>94</v>
      </c>
      <c r="H2472" s="36" t="s">
        <v>95</v>
      </c>
      <c r="I2472" s="36" t="s">
        <v>98</v>
      </c>
      <c r="J2472" s="36">
        <v>266</v>
      </c>
      <c r="K2472" s="36">
        <v>380.38</v>
      </c>
    </row>
    <row r="2473" spans="1:11" x14ac:dyDescent="0.3">
      <c r="A2473" s="36" t="s">
        <v>90</v>
      </c>
      <c r="B2473" s="36">
        <v>2023</v>
      </c>
      <c r="C2473" s="36" t="s">
        <v>1</v>
      </c>
      <c r="D2473" s="36" t="s">
        <v>103</v>
      </c>
      <c r="E2473" s="36" t="s">
        <v>92</v>
      </c>
      <c r="F2473" s="36" t="s">
        <v>93</v>
      </c>
      <c r="G2473" s="36" t="s">
        <v>94</v>
      </c>
      <c r="H2473" s="36" t="s">
        <v>95</v>
      </c>
      <c r="I2473" s="36" t="s">
        <v>96</v>
      </c>
      <c r="J2473" s="36">
        <v>224</v>
      </c>
      <c r="K2473" s="36">
        <v>320.32</v>
      </c>
    </row>
    <row r="2474" spans="1:11" x14ac:dyDescent="0.3">
      <c r="A2474" s="36" t="s">
        <v>90</v>
      </c>
      <c r="B2474" s="36">
        <v>2023</v>
      </c>
      <c r="C2474" s="36" t="s">
        <v>1</v>
      </c>
      <c r="D2474" s="36" t="s">
        <v>103</v>
      </c>
      <c r="E2474" s="36" t="s">
        <v>92</v>
      </c>
      <c r="F2474" s="36" t="s">
        <v>93</v>
      </c>
      <c r="G2474" s="36" t="s">
        <v>94</v>
      </c>
      <c r="H2474" s="36" t="s">
        <v>95</v>
      </c>
      <c r="I2474" s="36" t="s">
        <v>96</v>
      </c>
      <c r="J2474" s="36">
        <v>194</v>
      </c>
      <c r="K2474" s="36">
        <v>277.42</v>
      </c>
    </row>
    <row r="2475" spans="1:11" x14ac:dyDescent="0.3">
      <c r="A2475" s="36" t="s">
        <v>99</v>
      </c>
      <c r="B2475" s="36">
        <v>2023</v>
      </c>
      <c r="C2475" s="36" t="s">
        <v>1</v>
      </c>
      <c r="D2475" s="36" t="s">
        <v>103</v>
      </c>
      <c r="E2475" s="36" t="s">
        <v>92</v>
      </c>
      <c r="F2475" s="36" t="s">
        <v>93</v>
      </c>
      <c r="G2475" s="36" t="s">
        <v>94</v>
      </c>
      <c r="H2475" s="36" t="s">
        <v>95</v>
      </c>
      <c r="I2475" s="36" t="s">
        <v>96</v>
      </c>
      <c r="J2475" s="36">
        <v>268</v>
      </c>
      <c r="K2475" s="36">
        <v>383.24</v>
      </c>
    </row>
    <row r="2476" spans="1:11" x14ac:dyDescent="0.3">
      <c r="A2476" s="36" t="s">
        <v>99</v>
      </c>
      <c r="B2476" s="36">
        <v>2023</v>
      </c>
      <c r="C2476" s="36" t="s">
        <v>1</v>
      </c>
      <c r="D2476" s="36" t="s">
        <v>103</v>
      </c>
      <c r="E2476" s="36" t="s">
        <v>92</v>
      </c>
      <c r="F2476" s="36" t="s">
        <v>93</v>
      </c>
      <c r="G2476" s="36" t="s">
        <v>94</v>
      </c>
      <c r="H2476" s="36" t="s">
        <v>95</v>
      </c>
      <c r="I2476" s="36" t="s">
        <v>96</v>
      </c>
      <c r="J2476" s="36">
        <v>220</v>
      </c>
      <c r="K2476" s="36">
        <v>526.24</v>
      </c>
    </row>
    <row r="2477" spans="1:11" x14ac:dyDescent="0.3">
      <c r="A2477" s="36" t="s">
        <v>99</v>
      </c>
      <c r="B2477" s="36">
        <v>2023</v>
      </c>
      <c r="C2477" s="36" t="s">
        <v>1</v>
      </c>
      <c r="D2477" s="36" t="s">
        <v>103</v>
      </c>
      <c r="E2477" s="36" t="s">
        <v>92</v>
      </c>
      <c r="F2477" s="36" t="s">
        <v>93</v>
      </c>
      <c r="G2477" s="36" t="s">
        <v>94</v>
      </c>
      <c r="H2477" s="36" t="s">
        <v>95</v>
      </c>
      <c r="I2477" s="36" t="s">
        <v>96</v>
      </c>
      <c r="J2477" s="36">
        <v>196</v>
      </c>
      <c r="K2477" s="36">
        <v>526.24</v>
      </c>
    </row>
    <row r="2478" spans="1:11" x14ac:dyDescent="0.3">
      <c r="A2478" s="36" t="s">
        <v>101</v>
      </c>
      <c r="B2478" s="36">
        <v>2023</v>
      </c>
      <c r="C2478" s="36" t="s">
        <v>1</v>
      </c>
      <c r="D2478" s="36" t="s">
        <v>103</v>
      </c>
      <c r="E2478" s="36" t="s">
        <v>92</v>
      </c>
      <c r="F2478" s="36" t="s">
        <v>93</v>
      </c>
      <c r="G2478" s="36" t="s">
        <v>94</v>
      </c>
      <c r="H2478" s="36" t="s">
        <v>95</v>
      </c>
      <c r="I2478" s="36" t="s">
        <v>96</v>
      </c>
      <c r="J2478" s="36">
        <v>966</v>
      </c>
      <c r="K2478" s="36">
        <v>1381.38</v>
      </c>
    </row>
    <row r="2479" spans="1:11" x14ac:dyDescent="0.3">
      <c r="A2479" s="36" t="s">
        <v>90</v>
      </c>
      <c r="B2479" s="36">
        <v>2023</v>
      </c>
      <c r="C2479" s="36" t="s">
        <v>1</v>
      </c>
      <c r="D2479" s="36" t="s">
        <v>103</v>
      </c>
      <c r="E2479" s="36" t="s">
        <v>92</v>
      </c>
      <c r="F2479" s="36" t="s">
        <v>93</v>
      </c>
      <c r="G2479" s="36" t="s">
        <v>94</v>
      </c>
      <c r="H2479" s="36" t="s">
        <v>95</v>
      </c>
      <c r="I2479" s="36" t="s">
        <v>96</v>
      </c>
      <c r="J2479" s="36">
        <v>1019</v>
      </c>
      <c r="K2479" s="36">
        <v>1457.17</v>
      </c>
    </row>
    <row r="2480" spans="1:11" x14ac:dyDescent="0.3">
      <c r="A2480" s="36" t="s">
        <v>90</v>
      </c>
      <c r="B2480" s="36">
        <v>2023</v>
      </c>
      <c r="C2480" s="36" t="s">
        <v>1</v>
      </c>
      <c r="D2480" s="36" t="s">
        <v>103</v>
      </c>
      <c r="E2480" s="36" t="s">
        <v>92</v>
      </c>
      <c r="F2480" s="36" t="s">
        <v>93</v>
      </c>
      <c r="G2480" s="36" t="s">
        <v>94</v>
      </c>
      <c r="H2480" s="36" t="s">
        <v>95</v>
      </c>
      <c r="I2480" s="36" t="s">
        <v>96</v>
      </c>
      <c r="J2480" s="36">
        <v>192</v>
      </c>
      <c r="K2480" s="36">
        <v>274.56</v>
      </c>
    </row>
    <row r="2481" spans="1:11" x14ac:dyDescent="0.3">
      <c r="A2481" s="36" t="s">
        <v>90</v>
      </c>
      <c r="B2481" s="36">
        <v>2023</v>
      </c>
      <c r="C2481" s="36" t="s">
        <v>1</v>
      </c>
      <c r="D2481" s="36" t="s">
        <v>103</v>
      </c>
      <c r="E2481" s="36" t="s">
        <v>92</v>
      </c>
      <c r="F2481" s="36" t="s">
        <v>93</v>
      </c>
      <c r="G2481" s="36" t="s">
        <v>94</v>
      </c>
      <c r="H2481" s="36" t="s">
        <v>95</v>
      </c>
      <c r="I2481" s="36" t="s">
        <v>96</v>
      </c>
      <c r="J2481" s="36">
        <v>219</v>
      </c>
      <c r="K2481" s="36">
        <v>313.17</v>
      </c>
    </row>
    <row r="2482" spans="1:11" x14ac:dyDescent="0.3">
      <c r="A2482" s="36" t="s">
        <v>101</v>
      </c>
      <c r="B2482" s="36">
        <v>2023</v>
      </c>
      <c r="C2482" s="36" t="s">
        <v>1</v>
      </c>
      <c r="D2482" s="36" t="s">
        <v>103</v>
      </c>
      <c r="E2482" s="36" t="s">
        <v>92</v>
      </c>
      <c r="F2482" s="36" t="s">
        <v>93</v>
      </c>
      <c r="G2482" s="36" t="s">
        <v>94</v>
      </c>
      <c r="H2482" s="36" t="s">
        <v>95</v>
      </c>
      <c r="I2482" s="36" t="s">
        <v>96</v>
      </c>
      <c r="J2482" s="36">
        <v>195</v>
      </c>
      <c r="K2482" s="36">
        <v>278.85000000000002</v>
      </c>
    </row>
    <row r="2483" spans="1:11" x14ac:dyDescent="0.3">
      <c r="A2483" s="36" t="s">
        <v>90</v>
      </c>
      <c r="B2483" s="36">
        <v>2023</v>
      </c>
      <c r="C2483" s="36" t="s">
        <v>1</v>
      </c>
      <c r="D2483" s="36" t="s">
        <v>103</v>
      </c>
      <c r="E2483" s="36" t="s">
        <v>92</v>
      </c>
      <c r="F2483" s="36" t="s">
        <v>93</v>
      </c>
      <c r="G2483" s="36" t="s">
        <v>94</v>
      </c>
      <c r="H2483" s="36" t="s">
        <v>95</v>
      </c>
      <c r="I2483" s="36" t="s">
        <v>96</v>
      </c>
      <c r="J2483" s="36">
        <v>271</v>
      </c>
      <c r="K2483" s="36">
        <v>387.53</v>
      </c>
    </row>
    <row r="2484" spans="1:11" x14ac:dyDescent="0.3">
      <c r="A2484" s="36" t="s">
        <v>99</v>
      </c>
      <c r="B2484" s="36">
        <v>2023</v>
      </c>
      <c r="C2484" s="36" t="s">
        <v>1</v>
      </c>
      <c r="D2484" s="36" t="s">
        <v>103</v>
      </c>
      <c r="E2484" s="36" t="s">
        <v>92</v>
      </c>
      <c r="F2484" s="36" t="s">
        <v>93</v>
      </c>
      <c r="G2484" s="36" t="s">
        <v>94</v>
      </c>
      <c r="H2484" s="36" t="s">
        <v>95</v>
      </c>
      <c r="I2484" s="36" t="s">
        <v>96</v>
      </c>
      <c r="J2484" s="36">
        <v>747</v>
      </c>
      <c r="K2484" s="36">
        <v>1068.21</v>
      </c>
    </row>
    <row r="2485" spans="1:11" x14ac:dyDescent="0.3">
      <c r="A2485" s="36" t="s">
        <v>99</v>
      </c>
      <c r="B2485" s="36">
        <v>2023</v>
      </c>
      <c r="C2485" s="36" t="s">
        <v>1</v>
      </c>
      <c r="D2485" s="36" t="s">
        <v>103</v>
      </c>
      <c r="E2485" s="36" t="s">
        <v>92</v>
      </c>
      <c r="F2485" s="36" t="s">
        <v>93</v>
      </c>
      <c r="G2485" s="36" t="s">
        <v>94</v>
      </c>
      <c r="H2485" s="36" t="s">
        <v>95</v>
      </c>
      <c r="I2485" s="36" t="s">
        <v>96</v>
      </c>
      <c r="J2485" s="36">
        <v>834</v>
      </c>
      <c r="K2485" s="36">
        <v>1192.6199999999999</v>
      </c>
    </row>
    <row r="2486" spans="1:11" x14ac:dyDescent="0.3">
      <c r="A2486" s="36" t="s">
        <v>90</v>
      </c>
      <c r="B2486" s="36">
        <v>2023</v>
      </c>
      <c r="C2486" s="36" t="s">
        <v>1</v>
      </c>
      <c r="D2486" s="36" t="s">
        <v>103</v>
      </c>
      <c r="E2486" s="36" t="s">
        <v>92</v>
      </c>
      <c r="F2486" s="36" t="s">
        <v>93</v>
      </c>
      <c r="G2486" s="36" t="s">
        <v>94</v>
      </c>
      <c r="H2486" s="36" t="s">
        <v>95</v>
      </c>
      <c r="I2486" s="36" t="s">
        <v>98</v>
      </c>
      <c r="J2486" s="36">
        <v>269</v>
      </c>
      <c r="K2486" s="36">
        <v>384.67</v>
      </c>
    </row>
    <row r="2487" spans="1:11" x14ac:dyDescent="0.3">
      <c r="A2487" s="36" t="s">
        <v>90</v>
      </c>
      <c r="B2487" s="36">
        <v>2023</v>
      </c>
      <c r="C2487" s="36" t="s">
        <v>1</v>
      </c>
      <c r="D2487" s="36" t="s">
        <v>103</v>
      </c>
      <c r="E2487" s="36" t="s">
        <v>92</v>
      </c>
      <c r="F2487" s="36" t="s">
        <v>93</v>
      </c>
      <c r="G2487" s="36" t="s">
        <v>94</v>
      </c>
      <c r="H2487" s="36" t="s">
        <v>95</v>
      </c>
      <c r="I2487" s="36" t="s">
        <v>96</v>
      </c>
      <c r="J2487" s="36">
        <v>221</v>
      </c>
      <c r="K2487" s="36">
        <v>316.02999999999997</v>
      </c>
    </row>
    <row r="2488" spans="1:11" x14ac:dyDescent="0.3">
      <c r="A2488" s="36" t="s">
        <v>99</v>
      </c>
      <c r="B2488" s="36">
        <v>2023</v>
      </c>
      <c r="C2488" s="36" t="s">
        <v>1</v>
      </c>
      <c r="D2488" s="36" t="s">
        <v>103</v>
      </c>
      <c r="E2488" s="36" t="s">
        <v>92</v>
      </c>
      <c r="F2488" s="36" t="s">
        <v>93</v>
      </c>
      <c r="G2488" s="36" t="s">
        <v>94</v>
      </c>
      <c r="H2488" s="36" t="s">
        <v>95</v>
      </c>
      <c r="I2488" s="36" t="s">
        <v>96</v>
      </c>
      <c r="J2488" s="36">
        <v>149</v>
      </c>
      <c r="K2488" s="36">
        <v>213.07</v>
      </c>
    </row>
    <row r="2489" spans="1:11" x14ac:dyDescent="0.3">
      <c r="A2489" s="36" t="s">
        <v>90</v>
      </c>
      <c r="B2489" s="36">
        <v>2023</v>
      </c>
      <c r="C2489" s="36" t="s">
        <v>1</v>
      </c>
      <c r="D2489" s="36" t="s">
        <v>103</v>
      </c>
      <c r="E2489" s="36" t="s">
        <v>92</v>
      </c>
      <c r="F2489" s="36" t="s">
        <v>93</v>
      </c>
      <c r="G2489" s="36" t="s">
        <v>94</v>
      </c>
      <c r="H2489" s="36" t="s">
        <v>95</v>
      </c>
      <c r="I2489" s="36" t="s">
        <v>96</v>
      </c>
      <c r="J2489" s="36">
        <v>197</v>
      </c>
      <c r="K2489" s="36">
        <v>281.70999999999998</v>
      </c>
    </row>
    <row r="2490" spans="1:11" x14ac:dyDescent="0.3">
      <c r="A2490" s="36" t="s">
        <v>99</v>
      </c>
      <c r="B2490" s="36">
        <v>2023</v>
      </c>
      <c r="C2490" s="36" t="s">
        <v>0</v>
      </c>
      <c r="D2490" s="36" t="s">
        <v>103</v>
      </c>
      <c r="E2490" s="36" t="s">
        <v>92</v>
      </c>
      <c r="F2490" s="36" t="s">
        <v>93</v>
      </c>
      <c r="G2490" s="36" t="s">
        <v>94</v>
      </c>
      <c r="H2490" s="36" t="s">
        <v>95</v>
      </c>
      <c r="I2490" s="36" t="s">
        <v>98</v>
      </c>
      <c r="J2490" s="36">
        <v>284</v>
      </c>
      <c r="K2490" s="36">
        <v>406.12</v>
      </c>
    </row>
    <row r="2491" spans="1:11" x14ac:dyDescent="0.3">
      <c r="A2491" s="36" t="s">
        <v>97</v>
      </c>
      <c r="B2491" s="36">
        <v>2023</v>
      </c>
      <c r="C2491" s="36" t="s">
        <v>0</v>
      </c>
      <c r="D2491" s="36" t="s">
        <v>103</v>
      </c>
      <c r="E2491" s="36" t="s">
        <v>92</v>
      </c>
      <c r="F2491" s="36" t="s">
        <v>93</v>
      </c>
      <c r="G2491" s="36" t="s">
        <v>94</v>
      </c>
      <c r="H2491" s="36" t="s">
        <v>95</v>
      </c>
      <c r="I2491" s="36" t="s">
        <v>98</v>
      </c>
      <c r="J2491" s="36">
        <v>278</v>
      </c>
      <c r="K2491" s="36">
        <v>397.53999999999996</v>
      </c>
    </row>
    <row r="2492" spans="1:11" x14ac:dyDescent="0.3">
      <c r="A2492" s="36" t="s">
        <v>99</v>
      </c>
      <c r="B2492" s="36">
        <v>2023</v>
      </c>
      <c r="C2492" s="36" t="s">
        <v>0</v>
      </c>
      <c r="D2492" s="36" t="s">
        <v>103</v>
      </c>
      <c r="E2492" s="36" t="s">
        <v>92</v>
      </c>
      <c r="F2492" s="36" t="s">
        <v>93</v>
      </c>
      <c r="G2492" s="36" t="s">
        <v>94</v>
      </c>
      <c r="H2492" s="36" t="s">
        <v>95</v>
      </c>
      <c r="I2492" s="36" t="s">
        <v>96</v>
      </c>
      <c r="J2492" s="36">
        <v>152</v>
      </c>
      <c r="K2492" s="36">
        <v>217.36</v>
      </c>
    </row>
    <row r="2493" spans="1:11" x14ac:dyDescent="0.3">
      <c r="A2493" s="36" t="s">
        <v>90</v>
      </c>
      <c r="B2493" s="36">
        <v>2023</v>
      </c>
      <c r="C2493" s="36" t="s">
        <v>0</v>
      </c>
      <c r="D2493" s="36" t="s">
        <v>103</v>
      </c>
      <c r="E2493" s="36" t="s">
        <v>92</v>
      </c>
      <c r="F2493" s="36" t="s">
        <v>93</v>
      </c>
      <c r="G2493" s="36" t="s">
        <v>94</v>
      </c>
      <c r="H2493" s="36" t="s">
        <v>95</v>
      </c>
      <c r="I2493" s="36" t="s">
        <v>96</v>
      </c>
      <c r="J2493" s="36">
        <v>200</v>
      </c>
      <c r="K2493" s="36">
        <v>286</v>
      </c>
    </row>
    <row r="2494" spans="1:11" x14ac:dyDescent="0.3">
      <c r="A2494" s="36" t="s">
        <v>97</v>
      </c>
      <c r="B2494" s="36">
        <v>2023</v>
      </c>
      <c r="C2494" s="36" t="s">
        <v>0</v>
      </c>
      <c r="D2494" s="36" t="s">
        <v>103</v>
      </c>
      <c r="E2494" s="36" t="s">
        <v>92</v>
      </c>
      <c r="F2494" s="36" t="s">
        <v>93</v>
      </c>
      <c r="G2494" s="36" t="s">
        <v>94</v>
      </c>
      <c r="H2494" s="36" t="s">
        <v>95</v>
      </c>
      <c r="I2494" s="36" t="s">
        <v>96</v>
      </c>
      <c r="J2494" s="36">
        <v>286</v>
      </c>
      <c r="K2494" s="36">
        <v>408.98</v>
      </c>
    </row>
    <row r="2495" spans="1:11" x14ac:dyDescent="0.3">
      <c r="A2495" s="36" t="s">
        <v>97</v>
      </c>
      <c r="B2495" s="36">
        <v>2023</v>
      </c>
      <c r="C2495" s="36" t="s">
        <v>0</v>
      </c>
      <c r="D2495" s="36" t="s">
        <v>103</v>
      </c>
      <c r="E2495" s="36" t="s">
        <v>92</v>
      </c>
      <c r="F2495" s="36" t="s">
        <v>93</v>
      </c>
      <c r="G2495" s="36" t="s">
        <v>94</v>
      </c>
      <c r="H2495" s="36" t="s">
        <v>95</v>
      </c>
      <c r="I2495" s="36" t="s">
        <v>96</v>
      </c>
      <c r="J2495" s="36">
        <v>280</v>
      </c>
      <c r="K2495" s="36">
        <v>400.4</v>
      </c>
    </row>
    <row r="2496" spans="1:11" x14ac:dyDescent="0.3">
      <c r="A2496" s="36" t="s">
        <v>90</v>
      </c>
      <c r="B2496" s="36">
        <v>2023</v>
      </c>
      <c r="C2496" s="36" t="s">
        <v>0</v>
      </c>
      <c r="D2496" s="36" t="s">
        <v>103</v>
      </c>
      <c r="E2496" s="36" t="s">
        <v>92</v>
      </c>
      <c r="F2496" s="36" t="s">
        <v>93</v>
      </c>
      <c r="G2496" s="36" t="s">
        <v>94</v>
      </c>
      <c r="H2496" s="36" t="s">
        <v>95</v>
      </c>
      <c r="I2496" s="36" t="s">
        <v>96</v>
      </c>
      <c r="J2496" s="36">
        <v>274</v>
      </c>
      <c r="K2496" s="36">
        <v>391.82</v>
      </c>
    </row>
    <row r="2497" spans="1:11" x14ac:dyDescent="0.3">
      <c r="A2497" s="36" t="s">
        <v>97</v>
      </c>
      <c r="B2497" s="36">
        <v>2023</v>
      </c>
      <c r="C2497" s="36" t="s">
        <v>0</v>
      </c>
      <c r="D2497" s="36" t="s">
        <v>103</v>
      </c>
      <c r="E2497" s="36" t="s">
        <v>92</v>
      </c>
      <c r="F2497" s="36" t="s">
        <v>93</v>
      </c>
      <c r="G2497" s="36" t="s">
        <v>94</v>
      </c>
      <c r="H2497" s="36" t="s">
        <v>95</v>
      </c>
      <c r="I2497" s="36" t="s">
        <v>96</v>
      </c>
      <c r="J2497" s="36">
        <v>226</v>
      </c>
      <c r="K2497" s="36">
        <v>526.24</v>
      </c>
    </row>
    <row r="2498" spans="1:11" x14ac:dyDescent="0.3">
      <c r="A2498" s="36" t="s">
        <v>100</v>
      </c>
      <c r="B2498" s="36">
        <v>2023</v>
      </c>
      <c r="C2498" s="36" t="s">
        <v>0</v>
      </c>
      <c r="D2498" s="36" t="s">
        <v>103</v>
      </c>
      <c r="E2498" s="36" t="s">
        <v>92</v>
      </c>
      <c r="F2498" s="36" t="s">
        <v>93</v>
      </c>
      <c r="G2498" s="36" t="s">
        <v>94</v>
      </c>
      <c r="H2498" s="36" t="s">
        <v>95</v>
      </c>
      <c r="I2498" s="36" t="s">
        <v>96</v>
      </c>
      <c r="J2498" s="36">
        <v>154</v>
      </c>
      <c r="K2498" s="36">
        <v>526.24</v>
      </c>
    </row>
    <row r="2499" spans="1:11" x14ac:dyDescent="0.3">
      <c r="A2499" s="36" t="s">
        <v>90</v>
      </c>
      <c r="B2499" s="36">
        <v>2023</v>
      </c>
      <c r="C2499" s="36" t="s">
        <v>0</v>
      </c>
      <c r="D2499" s="36" t="s">
        <v>103</v>
      </c>
      <c r="E2499" s="36" t="s">
        <v>92</v>
      </c>
      <c r="F2499" s="36" t="s">
        <v>93</v>
      </c>
      <c r="G2499" s="36" t="s">
        <v>94</v>
      </c>
      <c r="H2499" s="36" t="s">
        <v>95</v>
      </c>
      <c r="I2499" s="36" t="s">
        <v>96</v>
      </c>
      <c r="J2499" s="36">
        <v>202</v>
      </c>
      <c r="K2499" s="36">
        <v>526.24</v>
      </c>
    </row>
    <row r="2500" spans="1:11" x14ac:dyDescent="0.3">
      <c r="A2500" s="36" t="s">
        <v>99</v>
      </c>
      <c r="B2500" s="36">
        <v>2023</v>
      </c>
      <c r="C2500" s="36" t="s">
        <v>0</v>
      </c>
      <c r="D2500" s="36" t="s">
        <v>103</v>
      </c>
      <c r="E2500" s="36" t="s">
        <v>92</v>
      </c>
      <c r="F2500" s="36" t="s">
        <v>93</v>
      </c>
      <c r="G2500" s="36" t="s">
        <v>94</v>
      </c>
      <c r="H2500" s="36" t="s">
        <v>95</v>
      </c>
      <c r="I2500" s="36" t="s">
        <v>96</v>
      </c>
      <c r="J2500" s="36">
        <v>965</v>
      </c>
      <c r="K2500" s="36">
        <v>1379.95</v>
      </c>
    </row>
    <row r="2501" spans="1:11" x14ac:dyDescent="0.3">
      <c r="A2501" s="36" t="s">
        <v>97</v>
      </c>
      <c r="B2501" s="36">
        <v>2023</v>
      </c>
      <c r="C2501" s="36" t="s">
        <v>0</v>
      </c>
      <c r="D2501" s="36" t="s">
        <v>103</v>
      </c>
      <c r="E2501" s="36" t="s">
        <v>92</v>
      </c>
      <c r="F2501" s="36" t="s">
        <v>93</v>
      </c>
      <c r="G2501" s="36" t="s">
        <v>94</v>
      </c>
      <c r="H2501" s="36" t="s">
        <v>95</v>
      </c>
      <c r="I2501" s="36" t="s">
        <v>96</v>
      </c>
      <c r="J2501" s="36">
        <v>198</v>
      </c>
      <c r="K2501" s="36">
        <v>283.14</v>
      </c>
    </row>
    <row r="2502" spans="1:11" x14ac:dyDescent="0.3">
      <c r="A2502" s="36" t="s">
        <v>97</v>
      </c>
      <c r="B2502" s="36">
        <v>2023</v>
      </c>
      <c r="C2502" s="36" t="s">
        <v>0</v>
      </c>
      <c r="D2502" s="36" t="s">
        <v>103</v>
      </c>
      <c r="E2502" s="36" t="s">
        <v>92</v>
      </c>
      <c r="F2502" s="36" t="s">
        <v>93</v>
      </c>
      <c r="G2502" s="36" t="s">
        <v>94</v>
      </c>
      <c r="H2502" s="36" t="s">
        <v>95</v>
      </c>
      <c r="I2502" s="36" t="s">
        <v>96</v>
      </c>
      <c r="J2502" s="36">
        <v>225</v>
      </c>
      <c r="K2502" s="36">
        <v>321.75</v>
      </c>
    </row>
    <row r="2503" spans="1:11" x14ac:dyDescent="0.3">
      <c r="A2503" s="36" t="s">
        <v>97</v>
      </c>
      <c r="B2503" s="36">
        <v>2023</v>
      </c>
      <c r="C2503" s="36" t="s">
        <v>0</v>
      </c>
      <c r="D2503" s="36" t="s">
        <v>103</v>
      </c>
      <c r="E2503" s="36" t="s">
        <v>92</v>
      </c>
      <c r="F2503" s="36" t="s">
        <v>93</v>
      </c>
      <c r="G2503" s="36" t="s">
        <v>94</v>
      </c>
      <c r="H2503" s="36" t="s">
        <v>95</v>
      </c>
      <c r="I2503" s="36" t="s">
        <v>96</v>
      </c>
      <c r="J2503" s="36">
        <v>153</v>
      </c>
      <c r="K2503" s="36">
        <v>218.79</v>
      </c>
    </row>
    <row r="2504" spans="1:11" x14ac:dyDescent="0.3">
      <c r="A2504" s="36" t="s">
        <v>99</v>
      </c>
      <c r="B2504" s="36">
        <v>2023</v>
      </c>
      <c r="C2504" s="36" t="s">
        <v>0</v>
      </c>
      <c r="D2504" s="36" t="s">
        <v>103</v>
      </c>
      <c r="E2504" s="36" t="s">
        <v>92</v>
      </c>
      <c r="F2504" s="36" t="s">
        <v>93</v>
      </c>
      <c r="G2504" s="36" t="s">
        <v>94</v>
      </c>
      <c r="H2504" s="36" t="s">
        <v>95</v>
      </c>
      <c r="I2504" s="36" t="s">
        <v>96</v>
      </c>
      <c r="J2504" s="36">
        <v>201</v>
      </c>
      <c r="K2504" s="36">
        <v>287.43</v>
      </c>
    </row>
    <row r="2505" spans="1:11" x14ac:dyDescent="0.3">
      <c r="A2505" s="36" t="s">
        <v>100</v>
      </c>
      <c r="B2505" s="36">
        <v>2023</v>
      </c>
      <c r="C2505" s="36" t="s">
        <v>0</v>
      </c>
      <c r="D2505" s="36" t="s">
        <v>103</v>
      </c>
      <c r="E2505" s="36" t="s">
        <v>92</v>
      </c>
      <c r="F2505" s="36" t="s">
        <v>93</v>
      </c>
      <c r="G2505" s="36" t="s">
        <v>94</v>
      </c>
      <c r="H2505" s="36" t="s">
        <v>95</v>
      </c>
      <c r="I2505" s="36" t="s">
        <v>96</v>
      </c>
      <c r="J2505" s="36">
        <v>283</v>
      </c>
      <c r="K2505" s="36">
        <v>404.69</v>
      </c>
    </row>
    <row r="2506" spans="1:11" x14ac:dyDescent="0.3">
      <c r="A2506" s="36" t="s">
        <v>99</v>
      </c>
      <c r="B2506" s="36">
        <v>2023</v>
      </c>
      <c r="C2506" s="36" t="s">
        <v>0</v>
      </c>
      <c r="D2506" s="36" t="s">
        <v>103</v>
      </c>
      <c r="E2506" s="36" t="s">
        <v>92</v>
      </c>
      <c r="F2506" s="36" t="s">
        <v>93</v>
      </c>
      <c r="G2506" s="36" t="s">
        <v>94</v>
      </c>
      <c r="H2506" s="36" t="s">
        <v>95</v>
      </c>
      <c r="I2506" s="36" t="s">
        <v>96</v>
      </c>
      <c r="J2506" s="36">
        <v>277</v>
      </c>
      <c r="K2506" s="36">
        <v>396.11</v>
      </c>
    </row>
    <row r="2507" spans="1:11" x14ac:dyDescent="0.3">
      <c r="A2507" s="36" t="s">
        <v>90</v>
      </c>
      <c r="B2507" s="36">
        <v>2023</v>
      </c>
      <c r="C2507" s="36" t="s">
        <v>0</v>
      </c>
      <c r="D2507" s="36" t="s">
        <v>103</v>
      </c>
      <c r="E2507" s="36" t="s">
        <v>92</v>
      </c>
      <c r="F2507" s="36" t="s">
        <v>93</v>
      </c>
      <c r="G2507" s="36" t="s">
        <v>94</v>
      </c>
      <c r="H2507" s="36" t="s">
        <v>95</v>
      </c>
      <c r="I2507" s="36" t="s">
        <v>96</v>
      </c>
      <c r="J2507" s="36">
        <v>746</v>
      </c>
      <c r="K2507" s="36">
        <v>1066.78</v>
      </c>
    </row>
    <row r="2508" spans="1:11" x14ac:dyDescent="0.3">
      <c r="A2508" s="36" t="s">
        <v>90</v>
      </c>
      <c r="B2508" s="36">
        <v>2023</v>
      </c>
      <c r="C2508" s="36" t="s">
        <v>0</v>
      </c>
      <c r="D2508" s="36" t="s">
        <v>103</v>
      </c>
      <c r="E2508" s="36" t="s">
        <v>92</v>
      </c>
      <c r="F2508" s="36" t="s">
        <v>93</v>
      </c>
      <c r="G2508" s="36" t="s">
        <v>94</v>
      </c>
      <c r="H2508" s="36" t="s">
        <v>95</v>
      </c>
      <c r="I2508" s="36" t="s">
        <v>96</v>
      </c>
      <c r="J2508" s="36">
        <v>800</v>
      </c>
      <c r="K2508" s="36">
        <v>1144</v>
      </c>
    </row>
    <row r="2509" spans="1:11" x14ac:dyDescent="0.3">
      <c r="A2509" s="36" t="s">
        <v>97</v>
      </c>
      <c r="B2509" s="36">
        <v>2023</v>
      </c>
      <c r="C2509" s="36" t="s">
        <v>0</v>
      </c>
      <c r="D2509" s="36" t="s">
        <v>103</v>
      </c>
      <c r="E2509" s="36" t="s">
        <v>92</v>
      </c>
      <c r="F2509" s="36" t="s">
        <v>93</v>
      </c>
      <c r="G2509" s="36" t="s">
        <v>94</v>
      </c>
      <c r="H2509" s="36" t="s">
        <v>95</v>
      </c>
      <c r="I2509" s="36" t="s">
        <v>96</v>
      </c>
      <c r="J2509" s="36">
        <v>833</v>
      </c>
      <c r="K2509" s="36">
        <v>1191.19</v>
      </c>
    </row>
    <row r="2510" spans="1:11" x14ac:dyDescent="0.3">
      <c r="A2510" s="36" t="s">
        <v>97</v>
      </c>
      <c r="B2510" s="36">
        <v>2023</v>
      </c>
      <c r="C2510" s="36" t="s">
        <v>0</v>
      </c>
      <c r="D2510" s="36" t="s">
        <v>103</v>
      </c>
      <c r="E2510" s="36" t="s">
        <v>92</v>
      </c>
      <c r="F2510" s="36" t="s">
        <v>93</v>
      </c>
      <c r="G2510" s="36" t="s">
        <v>94</v>
      </c>
      <c r="H2510" s="36" t="s">
        <v>95</v>
      </c>
      <c r="I2510" s="36" t="s">
        <v>98</v>
      </c>
      <c r="J2510" s="36">
        <v>287</v>
      </c>
      <c r="K2510" s="36">
        <v>410.40999999999997</v>
      </c>
    </row>
    <row r="2511" spans="1:11" x14ac:dyDescent="0.3">
      <c r="A2511" s="36" t="s">
        <v>97</v>
      </c>
      <c r="B2511" s="36">
        <v>2023</v>
      </c>
      <c r="C2511" s="36" t="s">
        <v>0</v>
      </c>
      <c r="D2511" s="36" t="s">
        <v>103</v>
      </c>
      <c r="E2511" s="36" t="s">
        <v>92</v>
      </c>
      <c r="F2511" s="36" t="s">
        <v>93</v>
      </c>
      <c r="G2511" s="36" t="s">
        <v>94</v>
      </c>
      <c r="H2511" s="36" t="s">
        <v>95</v>
      </c>
      <c r="I2511" s="36" t="s">
        <v>98</v>
      </c>
      <c r="J2511" s="36">
        <v>281</v>
      </c>
      <c r="K2511" s="36">
        <v>401.83</v>
      </c>
    </row>
    <row r="2512" spans="1:11" x14ac:dyDescent="0.3">
      <c r="A2512" s="36" t="s">
        <v>101</v>
      </c>
      <c r="B2512" s="36">
        <v>2023</v>
      </c>
      <c r="C2512" s="36" t="s">
        <v>0</v>
      </c>
      <c r="D2512" s="36" t="s">
        <v>103</v>
      </c>
      <c r="E2512" s="36" t="s">
        <v>92</v>
      </c>
      <c r="F2512" s="36" t="s">
        <v>93</v>
      </c>
      <c r="G2512" s="36" t="s">
        <v>94</v>
      </c>
      <c r="H2512" s="36" t="s">
        <v>95</v>
      </c>
      <c r="I2512" s="36" t="s">
        <v>98</v>
      </c>
      <c r="J2512" s="36">
        <v>275</v>
      </c>
      <c r="K2512" s="36">
        <v>393.25</v>
      </c>
    </row>
    <row r="2513" spans="1:11" x14ac:dyDescent="0.3">
      <c r="A2513" s="36" t="s">
        <v>90</v>
      </c>
      <c r="B2513" s="36">
        <v>2023</v>
      </c>
      <c r="C2513" s="36" t="s">
        <v>0</v>
      </c>
      <c r="D2513" s="36" t="s">
        <v>103</v>
      </c>
      <c r="E2513" s="36" t="s">
        <v>92</v>
      </c>
      <c r="F2513" s="36" t="s">
        <v>93</v>
      </c>
      <c r="G2513" s="36" t="s">
        <v>94</v>
      </c>
      <c r="H2513" s="36" t="s">
        <v>95</v>
      </c>
      <c r="I2513" s="36" t="s">
        <v>96</v>
      </c>
      <c r="J2513" s="36">
        <v>227</v>
      </c>
      <c r="K2513" s="36">
        <v>324.61</v>
      </c>
    </row>
    <row r="2514" spans="1:11" x14ac:dyDescent="0.3">
      <c r="A2514" s="36" t="s">
        <v>97</v>
      </c>
      <c r="B2514" s="36">
        <v>2023</v>
      </c>
      <c r="C2514" s="36" t="s">
        <v>0</v>
      </c>
      <c r="D2514" s="36" t="s">
        <v>103</v>
      </c>
      <c r="E2514" s="36" t="s">
        <v>92</v>
      </c>
      <c r="F2514" s="36" t="s">
        <v>93</v>
      </c>
      <c r="G2514" s="36" t="s">
        <v>94</v>
      </c>
      <c r="H2514" s="36" t="s">
        <v>95</v>
      </c>
      <c r="I2514" s="36" t="s">
        <v>96</v>
      </c>
      <c r="J2514" s="36">
        <v>155</v>
      </c>
      <c r="K2514" s="36">
        <v>221.65</v>
      </c>
    </row>
    <row r="2515" spans="1:11" x14ac:dyDescent="0.3">
      <c r="A2515" s="36" t="s">
        <v>90</v>
      </c>
      <c r="B2515" s="36">
        <v>2023</v>
      </c>
      <c r="C2515" s="36" t="s">
        <v>6</v>
      </c>
      <c r="D2515" s="36" t="s">
        <v>103</v>
      </c>
      <c r="E2515" s="36" t="s">
        <v>92</v>
      </c>
      <c r="F2515" s="36" t="s">
        <v>93</v>
      </c>
      <c r="G2515" s="36" t="s">
        <v>94</v>
      </c>
      <c r="H2515" s="36" t="s">
        <v>95</v>
      </c>
      <c r="I2515" s="36" t="s">
        <v>96</v>
      </c>
      <c r="J2515" s="36">
        <v>194</v>
      </c>
      <c r="K2515" s="36">
        <v>277.42</v>
      </c>
    </row>
    <row r="2516" spans="1:11" x14ac:dyDescent="0.3">
      <c r="A2516" s="36" t="s">
        <v>99</v>
      </c>
      <c r="B2516" s="36">
        <v>2023</v>
      </c>
      <c r="C2516" s="36" t="s">
        <v>6</v>
      </c>
      <c r="D2516" s="36" t="s">
        <v>103</v>
      </c>
      <c r="E2516" s="36" t="s">
        <v>92</v>
      </c>
      <c r="F2516" s="36" t="s">
        <v>93</v>
      </c>
      <c r="G2516" s="36" t="s">
        <v>94</v>
      </c>
      <c r="H2516" s="36" t="s">
        <v>95</v>
      </c>
      <c r="I2516" s="36" t="s">
        <v>96</v>
      </c>
      <c r="J2516" s="36">
        <v>170</v>
      </c>
      <c r="K2516" s="36">
        <v>243.1</v>
      </c>
    </row>
    <row r="2517" spans="1:11" x14ac:dyDescent="0.3">
      <c r="A2517" s="36" t="s">
        <v>99</v>
      </c>
      <c r="B2517" s="36">
        <v>2023</v>
      </c>
      <c r="C2517" s="36" t="s">
        <v>6</v>
      </c>
      <c r="D2517" s="36" t="s">
        <v>103</v>
      </c>
      <c r="E2517" s="36" t="s">
        <v>92</v>
      </c>
      <c r="F2517" s="36" t="s">
        <v>93</v>
      </c>
      <c r="G2517" s="36" t="s">
        <v>94</v>
      </c>
      <c r="H2517" s="36" t="s">
        <v>95</v>
      </c>
      <c r="I2517" s="36" t="s">
        <v>96</v>
      </c>
      <c r="J2517" s="36">
        <v>196</v>
      </c>
      <c r="K2517" s="36">
        <v>526.24</v>
      </c>
    </row>
    <row r="2518" spans="1:11" x14ac:dyDescent="0.3">
      <c r="A2518" s="36" t="s">
        <v>99</v>
      </c>
      <c r="B2518" s="36">
        <v>2023</v>
      </c>
      <c r="C2518" s="36" t="s">
        <v>6</v>
      </c>
      <c r="D2518" s="36" t="s">
        <v>103</v>
      </c>
      <c r="E2518" s="36" t="s">
        <v>92</v>
      </c>
      <c r="F2518" s="36" t="s">
        <v>93</v>
      </c>
      <c r="G2518" s="36" t="s">
        <v>94</v>
      </c>
      <c r="H2518" s="36" t="s">
        <v>95</v>
      </c>
      <c r="I2518" s="36" t="s">
        <v>96</v>
      </c>
      <c r="J2518" s="36">
        <v>166</v>
      </c>
      <c r="K2518" s="36">
        <v>526.24</v>
      </c>
    </row>
    <row r="2519" spans="1:11" x14ac:dyDescent="0.3">
      <c r="A2519" s="36" t="s">
        <v>101</v>
      </c>
      <c r="B2519" s="36">
        <v>2023</v>
      </c>
      <c r="C2519" s="36" t="s">
        <v>6</v>
      </c>
      <c r="D2519" s="36" t="s">
        <v>103</v>
      </c>
      <c r="E2519" s="36" t="s">
        <v>92</v>
      </c>
      <c r="F2519" s="36" t="s">
        <v>93</v>
      </c>
      <c r="G2519" s="36" t="s">
        <v>94</v>
      </c>
      <c r="H2519" s="36" t="s">
        <v>95</v>
      </c>
      <c r="I2519" s="36" t="s">
        <v>96</v>
      </c>
      <c r="J2519" s="36">
        <v>168</v>
      </c>
      <c r="K2519" s="36">
        <v>240.24</v>
      </c>
    </row>
    <row r="2520" spans="1:11" x14ac:dyDescent="0.3">
      <c r="A2520" s="36" t="s">
        <v>101</v>
      </c>
      <c r="B2520" s="36">
        <v>2023</v>
      </c>
      <c r="C2520" s="36" t="s">
        <v>6</v>
      </c>
      <c r="D2520" s="36" t="s">
        <v>103</v>
      </c>
      <c r="E2520" s="36" t="s">
        <v>92</v>
      </c>
      <c r="F2520" s="36" t="s">
        <v>93</v>
      </c>
      <c r="G2520" s="36" t="s">
        <v>94</v>
      </c>
      <c r="H2520" s="36" t="s">
        <v>95</v>
      </c>
      <c r="I2520" s="36" t="s">
        <v>96</v>
      </c>
      <c r="J2520" s="36">
        <v>195</v>
      </c>
      <c r="K2520" s="36">
        <v>278.85000000000002</v>
      </c>
    </row>
    <row r="2521" spans="1:11" x14ac:dyDescent="0.3">
      <c r="A2521" s="36" t="s">
        <v>99</v>
      </c>
      <c r="B2521" s="36">
        <v>2023</v>
      </c>
      <c r="C2521" s="36" t="s">
        <v>6</v>
      </c>
      <c r="D2521" s="36" t="s">
        <v>103</v>
      </c>
      <c r="E2521" s="36" t="s">
        <v>92</v>
      </c>
      <c r="F2521" s="36" t="s">
        <v>93</v>
      </c>
      <c r="G2521" s="36" t="s">
        <v>94</v>
      </c>
      <c r="H2521" s="36" t="s">
        <v>95</v>
      </c>
      <c r="I2521" s="36" t="s">
        <v>96</v>
      </c>
      <c r="J2521" s="36">
        <v>752</v>
      </c>
      <c r="K2521" s="36">
        <v>1075.3600000000001</v>
      </c>
    </row>
    <row r="2522" spans="1:11" x14ac:dyDescent="0.3">
      <c r="A2522" s="36" t="s">
        <v>99</v>
      </c>
      <c r="B2522" s="36">
        <v>2023</v>
      </c>
      <c r="C2522" s="36" t="s">
        <v>6</v>
      </c>
      <c r="D2522" s="36" t="s">
        <v>103</v>
      </c>
      <c r="E2522" s="36" t="s">
        <v>92</v>
      </c>
      <c r="F2522" s="36" t="s">
        <v>93</v>
      </c>
      <c r="G2522" s="36" t="s">
        <v>94</v>
      </c>
      <c r="H2522" s="36" t="s">
        <v>95</v>
      </c>
      <c r="I2522" s="36" t="s">
        <v>96</v>
      </c>
      <c r="J2522" s="36">
        <v>838</v>
      </c>
      <c r="K2522" s="36">
        <v>1198.3399999999999</v>
      </c>
    </row>
    <row r="2523" spans="1:11" x14ac:dyDescent="0.3">
      <c r="A2523" s="36" t="s">
        <v>99</v>
      </c>
      <c r="B2523" s="36">
        <v>2023</v>
      </c>
      <c r="C2523" s="36" t="s">
        <v>6</v>
      </c>
      <c r="D2523" s="36" t="s">
        <v>103</v>
      </c>
      <c r="E2523" s="36" t="s">
        <v>92</v>
      </c>
      <c r="F2523" s="36" t="s">
        <v>93</v>
      </c>
      <c r="G2523" s="36" t="s">
        <v>94</v>
      </c>
      <c r="H2523" s="36" t="s">
        <v>95</v>
      </c>
      <c r="I2523" s="36" t="s">
        <v>96</v>
      </c>
      <c r="J2523" s="36">
        <v>197</v>
      </c>
      <c r="K2523" s="36">
        <v>281.70999999999998</v>
      </c>
    </row>
    <row r="2524" spans="1:11" x14ac:dyDescent="0.3">
      <c r="A2524" s="36" t="s">
        <v>90</v>
      </c>
      <c r="B2524" s="36">
        <v>2023</v>
      </c>
      <c r="C2524" s="36" t="s">
        <v>6</v>
      </c>
      <c r="D2524" s="36" t="s">
        <v>103</v>
      </c>
      <c r="E2524" s="36" t="s">
        <v>92</v>
      </c>
      <c r="F2524" s="36" t="s">
        <v>93</v>
      </c>
      <c r="G2524" s="36" t="s">
        <v>94</v>
      </c>
      <c r="H2524" s="36" t="s">
        <v>95</v>
      </c>
      <c r="I2524" s="36" t="s">
        <v>96</v>
      </c>
      <c r="J2524" s="36">
        <v>167</v>
      </c>
      <c r="K2524" s="36">
        <v>238.81</v>
      </c>
    </row>
    <row r="2525" spans="1:11" x14ac:dyDescent="0.3">
      <c r="A2525" s="36" t="s">
        <v>100</v>
      </c>
      <c r="B2525" s="36">
        <v>2023</v>
      </c>
      <c r="C2525" s="36" t="s">
        <v>5</v>
      </c>
      <c r="D2525" s="36" t="s">
        <v>103</v>
      </c>
      <c r="E2525" s="36" t="s">
        <v>92</v>
      </c>
      <c r="F2525" s="36" t="s">
        <v>93</v>
      </c>
      <c r="G2525" s="36" t="s">
        <v>94</v>
      </c>
      <c r="H2525" s="36" t="s">
        <v>95</v>
      </c>
      <c r="I2525" s="36" t="s">
        <v>96</v>
      </c>
      <c r="J2525" s="36">
        <v>200</v>
      </c>
      <c r="K2525" s="36">
        <v>286</v>
      </c>
    </row>
    <row r="2526" spans="1:11" x14ac:dyDescent="0.3">
      <c r="A2526" s="36" t="s">
        <v>90</v>
      </c>
      <c r="B2526" s="36">
        <v>2023</v>
      </c>
      <c r="C2526" s="36" t="s">
        <v>5</v>
      </c>
      <c r="D2526" s="36" t="s">
        <v>103</v>
      </c>
      <c r="E2526" s="36" t="s">
        <v>92</v>
      </c>
      <c r="F2526" s="36" t="s">
        <v>93</v>
      </c>
      <c r="G2526" s="36" t="s">
        <v>94</v>
      </c>
      <c r="H2526" s="36" t="s">
        <v>95</v>
      </c>
      <c r="I2526" s="36" t="s">
        <v>96</v>
      </c>
      <c r="J2526" s="36">
        <v>202</v>
      </c>
      <c r="K2526" s="36">
        <v>526.24</v>
      </c>
    </row>
    <row r="2527" spans="1:11" x14ac:dyDescent="0.3">
      <c r="A2527" s="36" t="s">
        <v>90</v>
      </c>
      <c r="B2527" s="36">
        <v>2023</v>
      </c>
      <c r="C2527" s="36" t="s">
        <v>5</v>
      </c>
      <c r="D2527" s="36" t="s">
        <v>103</v>
      </c>
      <c r="E2527" s="36" t="s">
        <v>92</v>
      </c>
      <c r="F2527" s="36" t="s">
        <v>93</v>
      </c>
      <c r="G2527" s="36" t="s">
        <v>94</v>
      </c>
      <c r="H2527" s="36" t="s">
        <v>95</v>
      </c>
      <c r="I2527" s="36" t="s">
        <v>96</v>
      </c>
      <c r="J2527" s="36">
        <v>172</v>
      </c>
      <c r="K2527" s="36">
        <v>526.24</v>
      </c>
    </row>
    <row r="2528" spans="1:11" x14ac:dyDescent="0.3">
      <c r="A2528" s="36" t="s">
        <v>90</v>
      </c>
      <c r="B2528" s="36">
        <v>2023</v>
      </c>
      <c r="C2528" s="36" t="s">
        <v>5</v>
      </c>
      <c r="D2528" s="36" t="s">
        <v>103</v>
      </c>
      <c r="E2528" s="36" t="s">
        <v>92</v>
      </c>
      <c r="F2528" s="36" t="s">
        <v>93</v>
      </c>
      <c r="G2528" s="36" t="s">
        <v>94</v>
      </c>
      <c r="H2528" s="36" t="s">
        <v>95</v>
      </c>
      <c r="I2528" s="36" t="s">
        <v>96</v>
      </c>
      <c r="J2528" s="36">
        <v>970</v>
      </c>
      <c r="K2528" s="36">
        <v>1387.1</v>
      </c>
    </row>
    <row r="2529" spans="1:11" x14ac:dyDescent="0.3">
      <c r="A2529" s="36" t="s">
        <v>90</v>
      </c>
      <c r="B2529" s="36">
        <v>2023</v>
      </c>
      <c r="C2529" s="36" t="s">
        <v>5</v>
      </c>
      <c r="D2529" s="36" t="s">
        <v>103</v>
      </c>
      <c r="E2529" s="36" t="s">
        <v>92</v>
      </c>
      <c r="F2529" s="36" t="s">
        <v>93</v>
      </c>
      <c r="G2529" s="36" t="s">
        <v>94</v>
      </c>
      <c r="H2529" s="36" t="s">
        <v>95</v>
      </c>
      <c r="I2529" s="36" t="s">
        <v>96</v>
      </c>
      <c r="J2529" s="36">
        <v>174</v>
      </c>
      <c r="K2529" s="36">
        <v>248.82</v>
      </c>
    </row>
    <row r="2530" spans="1:11" x14ac:dyDescent="0.3">
      <c r="A2530" s="36" t="s">
        <v>90</v>
      </c>
      <c r="B2530" s="36">
        <v>2023</v>
      </c>
      <c r="C2530" s="36" t="s">
        <v>5</v>
      </c>
      <c r="D2530" s="36" t="s">
        <v>103</v>
      </c>
      <c r="E2530" s="36" t="s">
        <v>92</v>
      </c>
      <c r="F2530" s="36" t="s">
        <v>93</v>
      </c>
      <c r="G2530" s="36" t="s">
        <v>94</v>
      </c>
      <c r="H2530" s="36" t="s">
        <v>95</v>
      </c>
      <c r="I2530" s="36" t="s">
        <v>96</v>
      </c>
      <c r="J2530" s="36">
        <v>201</v>
      </c>
      <c r="K2530" s="36">
        <v>287.43</v>
      </c>
    </row>
    <row r="2531" spans="1:11" x14ac:dyDescent="0.3">
      <c r="A2531" s="36" t="s">
        <v>90</v>
      </c>
      <c r="B2531" s="36">
        <v>2023</v>
      </c>
      <c r="C2531" s="36" t="s">
        <v>5</v>
      </c>
      <c r="D2531" s="36" t="s">
        <v>103</v>
      </c>
      <c r="E2531" s="36" t="s">
        <v>92</v>
      </c>
      <c r="F2531" s="36" t="s">
        <v>93</v>
      </c>
      <c r="G2531" s="36" t="s">
        <v>94</v>
      </c>
      <c r="H2531" s="36" t="s">
        <v>95</v>
      </c>
      <c r="I2531" s="36" t="s">
        <v>96</v>
      </c>
      <c r="J2531" s="36">
        <v>171</v>
      </c>
      <c r="K2531" s="36">
        <v>244.53</v>
      </c>
    </row>
    <row r="2532" spans="1:11" x14ac:dyDescent="0.3">
      <c r="A2532" s="36" t="s">
        <v>90</v>
      </c>
      <c r="B2532" s="36">
        <v>2023</v>
      </c>
      <c r="C2532" s="36" t="s">
        <v>5</v>
      </c>
      <c r="D2532" s="36" t="s">
        <v>103</v>
      </c>
      <c r="E2532" s="36" t="s">
        <v>92</v>
      </c>
      <c r="F2532" s="36" t="s">
        <v>93</v>
      </c>
      <c r="G2532" s="36" t="s">
        <v>94</v>
      </c>
      <c r="H2532" s="36" t="s">
        <v>95</v>
      </c>
      <c r="I2532" s="36" t="s">
        <v>96</v>
      </c>
      <c r="J2532" s="36">
        <v>751</v>
      </c>
      <c r="K2532" s="36">
        <v>1073.93</v>
      </c>
    </row>
    <row r="2533" spans="1:11" x14ac:dyDescent="0.3">
      <c r="A2533" s="36" t="s">
        <v>90</v>
      </c>
      <c r="B2533" s="36">
        <v>2023</v>
      </c>
      <c r="C2533" s="36" t="s">
        <v>5</v>
      </c>
      <c r="D2533" s="36" t="s">
        <v>103</v>
      </c>
      <c r="E2533" s="36" t="s">
        <v>92</v>
      </c>
      <c r="F2533" s="36" t="s">
        <v>93</v>
      </c>
      <c r="G2533" s="36" t="s">
        <v>94</v>
      </c>
      <c r="H2533" s="36" t="s">
        <v>95</v>
      </c>
      <c r="I2533" s="36" t="s">
        <v>96</v>
      </c>
      <c r="J2533" s="36">
        <v>837</v>
      </c>
      <c r="K2533" s="36">
        <v>1196.9099999999999</v>
      </c>
    </row>
    <row r="2534" spans="1:11" x14ac:dyDescent="0.3">
      <c r="A2534" s="36" t="s">
        <v>100</v>
      </c>
      <c r="B2534" s="36">
        <v>2023</v>
      </c>
      <c r="C2534" s="36" t="s">
        <v>5</v>
      </c>
      <c r="D2534" s="36" t="s">
        <v>103</v>
      </c>
      <c r="E2534" s="36" t="s">
        <v>92</v>
      </c>
      <c r="F2534" s="36" t="s">
        <v>93</v>
      </c>
      <c r="G2534" s="36" t="s">
        <v>94</v>
      </c>
      <c r="H2534" s="36" t="s">
        <v>95</v>
      </c>
      <c r="I2534" s="36" t="s">
        <v>96</v>
      </c>
      <c r="J2534" s="36">
        <v>173</v>
      </c>
      <c r="K2534" s="36">
        <v>247.39</v>
      </c>
    </row>
    <row r="2535" spans="1:11" x14ac:dyDescent="0.3">
      <c r="A2535" s="36" t="s">
        <v>97</v>
      </c>
      <c r="B2535" s="36">
        <v>2023</v>
      </c>
      <c r="C2535" s="36" t="s">
        <v>2</v>
      </c>
      <c r="D2535" s="36" t="s">
        <v>103</v>
      </c>
      <c r="E2535" s="36" t="s">
        <v>92</v>
      </c>
      <c r="F2535" s="36" t="s">
        <v>93</v>
      </c>
      <c r="G2535" s="36" t="s">
        <v>94</v>
      </c>
      <c r="H2535" s="36" t="s">
        <v>95</v>
      </c>
      <c r="I2535" s="36" t="s">
        <v>96</v>
      </c>
      <c r="J2535" s="36">
        <v>218</v>
      </c>
      <c r="K2535" s="36">
        <v>311.74</v>
      </c>
    </row>
    <row r="2536" spans="1:11" x14ac:dyDescent="0.3">
      <c r="A2536" s="36" t="s">
        <v>97</v>
      </c>
      <c r="B2536" s="36">
        <v>2023</v>
      </c>
      <c r="C2536" s="36" t="s">
        <v>2</v>
      </c>
      <c r="D2536" s="36" t="s">
        <v>103</v>
      </c>
      <c r="E2536" s="36" t="s">
        <v>92</v>
      </c>
      <c r="F2536" s="36" t="s">
        <v>93</v>
      </c>
      <c r="G2536" s="36" t="s">
        <v>94</v>
      </c>
      <c r="H2536" s="36" t="s">
        <v>95</v>
      </c>
      <c r="I2536" s="36" t="s">
        <v>96</v>
      </c>
      <c r="J2536" s="36">
        <v>188</v>
      </c>
      <c r="K2536" s="36">
        <v>268.84000000000003</v>
      </c>
    </row>
    <row r="2537" spans="1:11" x14ac:dyDescent="0.3">
      <c r="A2537" s="36" t="s">
        <v>97</v>
      </c>
      <c r="B2537" s="36">
        <v>2023</v>
      </c>
      <c r="C2537" s="36" t="s">
        <v>2</v>
      </c>
      <c r="D2537" s="36" t="s">
        <v>103</v>
      </c>
      <c r="E2537" s="36" t="s">
        <v>92</v>
      </c>
      <c r="F2537" s="36" t="s">
        <v>93</v>
      </c>
      <c r="G2537" s="36" t="s">
        <v>94</v>
      </c>
      <c r="H2537" s="36" t="s">
        <v>95</v>
      </c>
      <c r="I2537" s="36" t="s">
        <v>96</v>
      </c>
      <c r="J2537" s="36">
        <v>214</v>
      </c>
      <c r="K2537" s="36">
        <v>526.24</v>
      </c>
    </row>
    <row r="2538" spans="1:11" x14ac:dyDescent="0.3">
      <c r="A2538" s="36" t="s">
        <v>97</v>
      </c>
      <c r="B2538" s="36">
        <v>2023</v>
      </c>
      <c r="C2538" s="36" t="s">
        <v>2</v>
      </c>
      <c r="D2538" s="36" t="s">
        <v>103</v>
      </c>
      <c r="E2538" s="36" t="s">
        <v>92</v>
      </c>
      <c r="F2538" s="36" t="s">
        <v>93</v>
      </c>
      <c r="G2538" s="36" t="s">
        <v>94</v>
      </c>
      <c r="H2538" s="36" t="s">
        <v>95</v>
      </c>
      <c r="I2538" s="36" t="s">
        <v>96</v>
      </c>
      <c r="J2538" s="36">
        <v>190</v>
      </c>
      <c r="K2538" s="36">
        <v>526.24</v>
      </c>
    </row>
    <row r="2539" spans="1:11" x14ac:dyDescent="0.3">
      <c r="A2539" s="36" t="s">
        <v>97</v>
      </c>
      <c r="B2539" s="36">
        <v>2023</v>
      </c>
      <c r="C2539" s="36" t="s">
        <v>2</v>
      </c>
      <c r="D2539" s="36" t="s">
        <v>103</v>
      </c>
      <c r="E2539" s="36" t="s">
        <v>92</v>
      </c>
      <c r="F2539" s="36" t="s">
        <v>93</v>
      </c>
      <c r="G2539" s="36" t="s">
        <v>94</v>
      </c>
      <c r="H2539" s="36" t="s">
        <v>95</v>
      </c>
      <c r="I2539" s="36" t="s">
        <v>96</v>
      </c>
      <c r="J2539" s="36">
        <v>967</v>
      </c>
      <c r="K2539" s="36">
        <v>1382.81</v>
      </c>
    </row>
    <row r="2540" spans="1:11" x14ac:dyDescent="0.3">
      <c r="A2540" s="36" t="s">
        <v>97</v>
      </c>
      <c r="B2540" s="36">
        <v>2023</v>
      </c>
      <c r="C2540" s="36" t="s">
        <v>2</v>
      </c>
      <c r="D2540" s="36" t="s">
        <v>103</v>
      </c>
      <c r="E2540" s="36" t="s">
        <v>92</v>
      </c>
      <c r="F2540" s="36" t="s">
        <v>93</v>
      </c>
      <c r="G2540" s="36" t="s">
        <v>94</v>
      </c>
      <c r="H2540" s="36" t="s">
        <v>95</v>
      </c>
      <c r="I2540" s="36" t="s">
        <v>96</v>
      </c>
      <c r="J2540" s="36">
        <v>189</v>
      </c>
      <c r="K2540" s="36">
        <v>270.27</v>
      </c>
    </row>
    <row r="2541" spans="1:11" x14ac:dyDescent="0.3">
      <c r="A2541" s="36" t="s">
        <v>97</v>
      </c>
      <c r="B2541" s="36">
        <v>2023</v>
      </c>
      <c r="C2541" s="36" t="s">
        <v>2</v>
      </c>
      <c r="D2541" s="36" t="s">
        <v>103</v>
      </c>
      <c r="E2541" s="36" t="s">
        <v>92</v>
      </c>
      <c r="F2541" s="36" t="s">
        <v>93</v>
      </c>
      <c r="G2541" s="36" t="s">
        <v>94</v>
      </c>
      <c r="H2541" s="36" t="s">
        <v>95</v>
      </c>
      <c r="I2541" s="36" t="s">
        <v>96</v>
      </c>
      <c r="J2541" s="36">
        <v>748</v>
      </c>
      <c r="K2541" s="36">
        <v>1069.6399999999999</v>
      </c>
    </row>
    <row r="2542" spans="1:11" x14ac:dyDescent="0.3">
      <c r="A2542" s="36" t="s">
        <v>97</v>
      </c>
      <c r="B2542" s="36">
        <v>2023</v>
      </c>
      <c r="C2542" s="36" t="s">
        <v>2</v>
      </c>
      <c r="D2542" s="36" t="s">
        <v>103</v>
      </c>
      <c r="E2542" s="36" t="s">
        <v>92</v>
      </c>
      <c r="F2542" s="36" t="s">
        <v>93</v>
      </c>
      <c r="G2542" s="36" t="s">
        <v>94</v>
      </c>
      <c r="H2542" s="36" t="s">
        <v>95</v>
      </c>
      <c r="I2542" s="36" t="s">
        <v>96</v>
      </c>
      <c r="J2542" s="36">
        <v>835</v>
      </c>
      <c r="K2542" s="36">
        <v>1194.05</v>
      </c>
    </row>
    <row r="2543" spans="1:11" x14ac:dyDescent="0.3">
      <c r="A2543" s="36" t="s">
        <v>97</v>
      </c>
      <c r="B2543" s="36">
        <v>2023</v>
      </c>
      <c r="C2543" s="36" t="s">
        <v>2</v>
      </c>
      <c r="D2543" s="36" t="s">
        <v>103</v>
      </c>
      <c r="E2543" s="36" t="s">
        <v>92</v>
      </c>
      <c r="F2543" s="36" t="s">
        <v>93</v>
      </c>
      <c r="G2543" s="36" t="s">
        <v>94</v>
      </c>
      <c r="H2543" s="36" t="s">
        <v>95</v>
      </c>
      <c r="I2543" s="36" t="s">
        <v>96</v>
      </c>
      <c r="J2543" s="36">
        <v>215</v>
      </c>
      <c r="K2543" s="36">
        <v>307.45</v>
      </c>
    </row>
    <row r="2544" spans="1:11" x14ac:dyDescent="0.3">
      <c r="A2544" s="36" t="s">
        <v>97</v>
      </c>
      <c r="B2544" s="36">
        <v>2023</v>
      </c>
      <c r="C2544" s="36" t="s">
        <v>2</v>
      </c>
      <c r="D2544" s="36" t="s">
        <v>103</v>
      </c>
      <c r="E2544" s="36" t="s">
        <v>92</v>
      </c>
      <c r="F2544" s="36" t="s">
        <v>93</v>
      </c>
      <c r="G2544" s="36" t="s">
        <v>94</v>
      </c>
      <c r="H2544" s="36" t="s">
        <v>95</v>
      </c>
      <c r="I2544" s="36" t="s">
        <v>96</v>
      </c>
      <c r="J2544" s="36">
        <v>191</v>
      </c>
      <c r="K2544" s="36">
        <v>273.13</v>
      </c>
    </row>
    <row r="2545" spans="1:11" x14ac:dyDescent="0.3">
      <c r="A2545" s="36" t="s">
        <v>101</v>
      </c>
      <c r="B2545" s="36">
        <v>2023</v>
      </c>
      <c r="C2545" s="36" t="s">
        <v>4</v>
      </c>
      <c r="D2545" s="36" t="s">
        <v>103</v>
      </c>
      <c r="E2545" s="36" t="s">
        <v>92</v>
      </c>
      <c r="F2545" s="36" t="s">
        <v>93</v>
      </c>
      <c r="G2545" s="36" t="s">
        <v>94</v>
      </c>
      <c r="H2545" s="36" t="s">
        <v>95</v>
      </c>
      <c r="I2545" s="36" t="s">
        <v>96</v>
      </c>
      <c r="J2545" s="36">
        <v>206</v>
      </c>
      <c r="K2545" s="36">
        <v>294.58</v>
      </c>
    </row>
    <row r="2546" spans="1:11" x14ac:dyDescent="0.3">
      <c r="A2546" s="36" t="s">
        <v>97</v>
      </c>
      <c r="B2546" s="36">
        <v>2023</v>
      </c>
      <c r="C2546" s="36" t="s">
        <v>4</v>
      </c>
      <c r="D2546" s="36" t="s">
        <v>103</v>
      </c>
      <c r="E2546" s="36" t="s">
        <v>92</v>
      </c>
      <c r="F2546" s="36" t="s">
        <v>93</v>
      </c>
      <c r="G2546" s="36" t="s">
        <v>94</v>
      </c>
      <c r="H2546" s="36" t="s">
        <v>95</v>
      </c>
      <c r="I2546" s="36" t="s">
        <v>96</v>
      </c>
      <c r="J2546" s="36">
        <v>176</v>
      </c>
      <c r="K2546" s="36">
        <v>251.68</v>
      </c>
    </row>
    <row r="2547" spans="1:11" x14ac:dyDescent="0.3">
      <c r="A2547" s="36" t="s">
        <v>97</v>
      </c>
      <c r="B2547" s="36">
        <v>2023</v>
      </c>
      <c r="C2547" s="36" t="s">
        <v>4</v>
      </c>
      <c r="D2547" s="36" t="s">
        <v>103</v>
      </c>
      <c r="E2547" s="36" t="s">
        <v>92</v>
      </c>
      <c r="F2547" s="36" t="s">
        <v>93</v>
      </c>
      <c r="G2547" s="36" t="s">
        <v>94</v>
      </c>
      <c r="H2547" s="36" t="s">
        <v>95</v>
      </c>
      <c r="I2547" s="36" t="s">
        <v>96</v>
      </c>
      <c r="J2547" s="36">
        <v>208</v>
      </c>
      <c r="K2547" s="36">
        <v>526.24</v>
      </c>
    </row>
    <row r="2548" spans="1:11" x14ac:dyDescent="0.3">
      <c r="A2548" s="36" t="s">
        <v>97</v>
      </c>
      <c r="B2548" s="36">
        <v>2023</v>
      </c>
      <c r="C2548" s="36" t="s">
        <v>4</v>
      </c>
      <c r="D2548" s="36" t="s">
        <v>103</v>
      </c>
      <c r="E2548" s="36" t="s">
        <v>92</v>
      </c>
      <c r="F2548" s="36" t="s">
        <v>93</v>
      </c>
      <c r="G2548" s="36" t="s">
        <v>94</v>
      </c>
      <c r="H2548" s="36" t="s">
        <v>95</v>
      </c>
      <c r="I2548" s="36" t="s">
        <v>96</v>
      </c>
      <c r="J2548" s="36">
        <v>178</v>
      </c>
      <c r="K2548" s="36">
        <v>526.24</v>
      </c>
    </row>
    <row r="2549" spans="1:11" x14ac:dyDescent="0.3">
      <c r="A2549" s="36" t="s">
        <v>97</v>
      </c>
      <c r="B2549" s="36">
        <v>2023</v>
      </c>
      <c r="C2549" s="36" t="s">
        <v>4</v>
      </c>
      <c r="D2549" s="36" t="s">
        <v>103</v>
      </c>
      <c r="E2549" s="36" t="s">
        <v>92</v>
      </c>
      <c r="F2549" s="36" t="s">
        <v>93</v>
      </c>
      <c r="G2549" s="36" t="s">
        <v>94</v>
      </c>
      <c r="H2549" s="36" t="s">
        <v>95</v>
      </c>
      <c r="I2549" s="36" t="s">
        <v>96</v>
      </c>
      <c r="J2549" s="36">
        <v>969</v>
      </c>
      <c r="K2549" s="36">
        <v>1385.67</v>
      </c>
    </row>
    <row r="2550" spans="1:11" x14ac:dyDescent="0.3">
      <c r="A2550" s="36" t="s">
        <v>97</v>
      </c>
      <c r="B2550" s="36">
        <v>2023</v>
      </c>
      <c r="C2550" s="36" t="s">
        <v>4</v>
      </c>
      <c r="D2550" s="36" t="s">
        <v>103</v>
      </c>
      <c r="E2550" s="36" t="s">
        <v>92</v>
      </c>
      <c r="F2550" s="36" t="s">
        <v>93</v>
      </c>
      <c r="G2550" s="36" t="s">
        <v>94</v>
      </c>
      <c r="H2550" s="36" t="s">
        <v>95</v>
      </c>
      <c r="I2550" s="36" t="s">
        <v>96</v>
      </c>
      <c r="J2550" s="36">
        <v>180</v>
      </c>
      <c r="K2550" s="36">
        <v>257.39999999999998</v>
      </c>
    </row>
    <row r="2551" spans="1:11" x14ac:dyDescent="0.3">
      <c r="A2551" s="36" t="s">
        <v>97</v>
      </c>
      <c r="B2551" s="36">
        <v>2023</v>
      </c>
      <c r="C2551" s="36" t="s">
        <v>4</v>
      </c>
      <c r="D2551" s="36" t="s">
        <v>103</v>
      </c>
      <c r="E2551" s="36" t="s">
        <v>92</v>
      </c>
      <c r="F2551" s="36" t="s">
        <v>93</v>
      </c>
      <c r="G2551" s="36" t="s">
        <v>94</v>
      </c>
      <c r="H2551" s="36" t="s">
        <v>95</v>
      </c>
      <c r="I2551" s="36" t="s">
        <v>96</v>
      </c>
      <c r="J2551" s="36">
        <v>207</v>
      </c>
      <c r="K2551" s="36">
        <v>296.01</v>
      </c>
    </row>
    <row r="2552" spans="1:11" x14ac:dyDescent="0.3">
      <c r="A2552" s="36" t="s">
        <v>97</v>
      </c>
      <c r="B2552" s="36">
        <v>2023</v>
      </c>
      <c r="C2552" s="36" t="s">
        <v>4</v>
      </c>
      <c r="D2552" s="36" t="s">
        <v>103</v>
      </c>
      <c r="E2552" s="36" t="s">
        <v>92</v>
      </c>
      <c r="F2552" s="36" t="s">
        <v>93</v>
      </c>
      <c r="G2552" s="36" t="s">
        <v>94</v>
      </c>
      <c r="H2552" s="36" t="s">
        <v>95</v>
      </c>
      <c r="I2552" s="36" t="s">
        <v>96</v>
      </c>
      <c r="J2552" s="36">
        <v>177</v>
      </c>
      <c r="K2552" s="36">
        <v>253.11</v>
      </c>
    </row>
    <row r="2553" spans="1:11" x14ac:dyDescent="0.3">
      <c r="A2553" s="36" t="s">
        <v>97</v>
      </c>
      <c r="B2553" s="36">
        <v>2023</v>
      </c>
      <c r="C2553" s="36" t="s">
        <v>4</v>
      </c>
      <c r="D2553" s="36" t="s">
        <v>103</v>
      </c>
      <c r="E2553" s="36" t="s">
        <v>92</v>
      </c>
      <c r="F2553" s="36" t="s">
        <v>93</v>
      </c>
      <c r="G2553" s="36" t="s">
        <v>94</v>
      </c>
      <c r="H2553" s="36" t="s">
        <v>95</v>
      </c>
      <c r="I2553" s="36" t="s">
        <v>96</v>
      </c>
      <c r="J2553" s="36">
        <v>750</v>
      </c>
      <c r="K2553" s="36">
        <v>1072.5</v>
      </c>
    </row>
    <row r="2554" spans="1:11" x14ac:dyDescent="0.3">
      <c r="A2554" s="36" t="s">
        <v>97</v>
      </c>
      <c r="B2554" s="36">
        <v>2023</v>
      </c>
      <c r="C2554" s="36" t="s">
        <v>4</v>
      </c>
      <c r="D2554" s="36" t="s">
        <v>103</v>
      </c>
      <c r="E2554" s="36" t="s">
        <v>92</v>
      </c>
      <c r="F2554" s="36" t="s">
        <v>93</v>
      </c>
      <c r="G2554" s="36" t="s">
        <v>94</v>
      </c>
      <c r="H2554" s="36" t="s">
        <v>95</v>
      </c>
      <c r="I2554" s="36" t="s">
        <v>96</v>
      </c>
      <c r="J2554" s="36">
        <v>836</v>
      </c>
      <c r="K2554" s="36">
        <v>1195.48</v>
      </c>
    </row>
    <row r="2555" spans="1:11" x14ac:dyDescent="0.3">
      <c r="A2555" s="36" t="s">
        <v>97</v>
      </c>
      <c r="B2555" s="36">
        <v>2023</v>
      </c>
      <c r="C2555" s="36" t="s">
        <v>4</v>
      </c>
      <c r="D2555" s="36" t="s">
        <v>103</v>
      </c>
      <c r="E2555" s="36" t="s">
        <v>92</v>
      </c>
      <c r="F2555" s="36" t="s">
        <v>93</v>
      </c>
      <c r="G2555" s="36" t="s">
        <v>94</v>
      </c>
      <c r="H2555" s="36" t="s">
        <v>95</v>
      </c>
      <c r="I2555" s="36" t="s">
        <v>96</v>
      </c>
      <c r="J2555" s="36">
        <v>203</v>
      </c>
      <c r="K2555" s="36">
        <v>290.28999999999996</v>
      </c>
    </row>
    <row r="2556" spans="1:11" x14ac:dyDescent="0.3">
      <c r="A2556" s="36" t="s">
        <v>101</v>
      </c>
      <c r="B2556" s="36">
        <v>2023</v>
      </c>
      <c r="C2556" s="36" t="s">
        <v>4</v>
      </c>
      <c r="D2556" s="36" t="s">
        <v>103</v>
      </c>
      <c r="E2556" s="36" t="s">
        <v>92</v>
      </c>
      <c r="F2556" s="36" t="s">
        <v>93</v>
      </c>
      <c r="G2556" s="36" t="s">
        <v>94</v>
      </c>
      <c r="H2556" s="36" t="s">
        <v>95</v>
      </c>
      <c r="I2556" s="36" t="s">
        <v>96</v>
      </c>
      <c r="J2556" s="36">
        <v>179</v>
      </c>
      <c r="K2556" s="36">
        <v>255.97</v>
      </c>
    </row>
    <row r="2557" spans="1:11" x14ac:dyDescent="0.3">
      <c r="A2557" s="36" t="s">
        <v>90</v>
      </c>
      <c r="B2557" s="36">
        <v>2023</v>
      </c>
      <c r="C2557" s="36" t="s">
        <v>10</v>
      </c>
      <c r="D2557" s="36" t="s">
        <v>103</v>
      </c>
      <c r="E2557" s="36" t="s">
        <v>92</v>
      </c>
      <c r="F2557" s="36" t="s">
        <v>93</v>
      </c>
      <c r="G2557" s="36" t="s">
        <v>94</v>
      </c>
      <c r="H2557" s="36" t="s">
        <v>95</v>
      </c>
      <c r="I2557" s="36" t="s">
        <v>96</v>
      </c>
      <c r="J2557" s="36">
        <v>176</v>
      </c>
      <c r="K2557" s="36">
        <v>251.68</v>
      </c>
    </row>
    <row r="2558" spans="1:11" x14ac:dyDescent="0.3">
      <c r="A2558" s="36" t="s">
        <v>90</v>
      </c>
      <c r="B2558" s="36">
        <v>2023</v>
      </c>
      <c r="C2558" s="36" t="s">
        <v>10</v>
      </c>
      <c r="D2558" s="36" t="s">
        <v>103</v>
      </c>
      <c r="E2558" s="36" t="s">
        <v>92</v>
      </c>
      <c r="F2558" s="36" t="s">
        <v>93</v>
      </c>
      <c r="G2558" s="36" t="s">
        <v>94</v>
      </c>
      <c r="H2558" s="36" t="s">
        <v>95</v>
      </c>
      <c r="I2558" s="36" t="s">
        <v>96</v>
      </c>
      <c r="J2558" s="36">
        <v>146</v>
      </c>
      <c r="K2558" s="36">
        <v>208.78</v>
      </c>
    </row>
    <row r="2559" spans="1:11" x14ac:dyDescent="0.3">
      <c r="A2559" s="36" t="s">
        <v>90</v>
      </c>
      <c r="B2559" s="36">
        <v>2023</v>
      </c>
      <c r="C2559" s="36" t="s">
        <v>10</v>
      </c>
      <c r="D2559" s="36" t="s">
        <v>103</v>
      </c>
      <c r="E2559" s="36" t="s">
        <v>92</v>
      </c>
      <c r="F2559" s="36" t="s">
        <v>93</v>
      </c>
      <c r="G2559" s="36" t="s">
        <v>94</v>
      </c>
      <c r="H2559" s="36" t="s">
        <v>95</v>
      </c>
      <c r="I2559" s="36" t="s">
        <v>96</v>
      </c>
      <c r="J2559" s="36">
        <v>172</v>
      </c>
      <c r="K2559" s="36">
        <v>526.24</v>
      </c>
    </row>
    <row r="2560" spans="1:11" x14ac:dyDescent="0.3">
      <c r="A2560" s="36" t="s">
        <v>99</v>
      </c>
      <c r="B2560" s="36">
        <v>2023</v>
      </c>
      <c r="C2560" s="36" t="s">
        <v>10</v>
      </c>
      <c r="D2560" s="36" t="s">
        <v>103</v>
      </c>
      <c r="E2560" s="36" t="s">
        <v>92</v>
      </c>
      <c r="F2560" s="36" t="s">
        <v>93</v>
      </c>
      <c r="G2560" s="36" t="s">
        <v>94</v>
      </c>
      <c r="H2560" s="36" t="s">
        <v>95</v>
      </c>
      <c r="I2560" s="36" t="s">
        <v>96</v>
      </c>
      <c r="J2560" s="36">
        <v>148</v>
      </c>
      <c r="K2560" s="36">
        <v>526.24</v>
      </c>
    </row>
    <row r="2561" spans="1:11" x14ac:dyDescent="0.3">
      <c r="A2561" s="36" t="s">
        <v>99</v>
      </c>
      <c r="B2561" s="36">
        <v>2023</v>
      </c>
      <c r="C2561" s="36" t="s">
        <v>10</v>
      </c>
      <c r="D2561" s="36" t="s">
        <v>103</v>
      </c>
      <c r="E2561" s="36" t="s">
        <v>92</v>
      </c>
      <c r="F2561" s="36" t="s">
        <v>93</v>
      </c>
      <c r="G2561" s="36" t="s">
        <v>94</v>
      </c>
      <c r="H2561" s="36" t="s">
        <v>95</v>
      </c>
      <c r="I2561" s="36" t="s">
        <v>96</v>
      </c>
      <c r="J2561" s="36">
        <v>974</v>
      </c>
      <c r="K2561" s="36">
        <v>1392.82</v>
      </c>
    </row>
    <row r="2562" spans="1:11" x14ac:dyDescent="0.3">
      <c r="A2562" s="36" t="s">
        <v>90</v>
      </c>
      <c r="B2562" s="36">
        <v>2023</v>
      </c>
      <c r="C2562" s="36" t="s">
        <v>10</v>
      </c>
      <c r="D2562" s="36" t="s">
        <v>103</v>
      </c>
      <c r="E2562" s="36" t="s">
        <v>92</v>
      </c>
      <c r="F2562" s="36" t="s">
        <v>93</v>
      </c>
      <c r="G2562" s="36" t="s">
        <v>94</v>
      </c>
      <c r="H2562" s="36" t="s">
        <v>95</v>
      </c>
      <c r="I2562" s="36" t="s">
        <v>96</v>
      </c>
      <c r="J2562" s="36">
        <v>144</v>
      </c>
      <c r="K2562" s="36">
        <v>205.92000000000002</v>
      </c>
    </row>
    <row r="2563" spans="1:11" x14ac:dyDescent="0.3">
      <c r="A2563" s="36" t="s">
        <v>90</v>
      </c>
      <c r="B2563" s="36">
        <v>2023</v>
      </c>
      <c r="C2563" s="36" t="s">
        <v>10</v>
      </c>
      <c r="D2563" s="36" t="s">
        <v>103</v>
      </c>
      <c r="E2563" s="36" t="s">
        <v>92</v>
      </c>
      <c r="F2563" s="36" t="s">
        <v>93</v>
      </c>
      <c r="G2563" s="36" t="s">
        <v>94</v>
      </c>
      <c r="H2563" s="36" t="s">
        <v>95</v>
      </c>
      <c r="I2563" s="36" t="s">
        <v>96</v>
      </c>
      <c r="J2563" s="36">
        <v>171</v>
      </c>
      <c r="K2563" s="36">
        <v>244.53</v>
      </c>
    </row>
    <row r="2564" spans="1:11" x14ac:dyDescent="0.3">
      <c r="A2564" s="36" t="s">
        <v>99</v>
      </c>
      <c r="B2564" s="36">
        <v>2023</v>
      </c>
      <c r="C2564" s="36" t="s">
        <v>10</v>
      </c>
      <c r="D2564" s="36" t="s">
        <v>103</v>
      </c>
      <c r="E2564" s="36" t="s">
        <v>92</v>
      </c>
      <c r="F2564" s="36" t="s">
        <v>93</v>
      </c>
      <c r="G2564" s="36" t="s">
        <v>94</v>
      </c>
      <c r="H2564" s="36" t="s">
        <v>95</v>
      </c>
      <c r="I2564" s="36" t="s">
        <v>96</v>
      </c>
      <c r="J2564" s="36">
        <v>147</v>
      </c>
      <c r="K2564" s="36">
        <v>210.21</v>
      </c>
    </row>
    <row r="2565" spans="1:11" x14ac:dyDescent="0.3">
      <c r="A2565" s="36" t="s">
        <v>99</v>
      </c>
      <c r="B2565" s="36">
        <v>2023</v>
      </c>
      <c r="C2565" s="36" t="s">
        <v>10</v>
      </c>
      <c r="D2565" s="36" t="s">
        <v>103</v>
      </c>
      <c r="E2565" s="36" t="s">
        <v>92</v>
      </c>
      <c r="F2565" s="36" t="s">
        <v>93</v>
      </c>
      <c r="G2565" s="36" t="s">
        <v>94</v>
      </c>
      <c r="H2565" s="36" t="s">
        <v>95</v>
      </c>
      <c r="I2565" s="36" t="s">
        <v>96</v>
      </c>
      <c r="J2565" s="36">
        <v>755</v>
      </c>
      <c r="K2565" s="36">
        <v>1079.6500000000001</v>
      </c>
    </row>
    <row r="2566" spans="1:11" x14ac:dyDescent="0.3">
      <c r="A2566" s="36" t="s">
        <v>90</v>
      </c>
      <c r="B2566" s="36">
        <v>2023</v>
      </c>
      <c r="C2566" s="36" t="s">
        <v>10</v>
      </c>
      <c r="D2566" s="36" t="s">
        <v>103</v>
      </c>
      <c r="E2566" s="36" t="s">
        <v>92</v>
      </c>
      <c r="F2566" s="36" t="s">
        <v>93</v>
      </c>
      <c r="G2566" s="36" t="s">
        <v>94</v>
      </c>
      <c r="H2566" s="36" t="s">
        <v>95</v>
      </c>
      <c r="I2566" s="36" t="s">
        <v>96</v>
      </c>
      <c r="J2566" s="36">
        <v>842</v>
      </c>
      <c r="K2566" s="36">
        <v>1204.06</v>
      </c>
    </row>
    <row r="2567" spans="1:11" x14ac:dyDescent="0.3">
      <c r="A2567" s="36" t="s">
        <v>90</v>
      </c>
      <c r="B2567" s="36">
        <v>2023</v>
      </c>
      <c r="C2567" s="36" t="s">
        <v>10</v>
      </c>
      <c r="D2567" s="36" t="s">
        <v>103</v>
      </c>
      <c r="E2567" s="36" t="s">
        <v>92</v>
      </c>
      <c r="F2567" s="36" t="s">
        <v>93</v>
      </c>
      <c r="G2567" s="36" t="s">
        <v>94</v>
      </c>
      <c r="H2567" s="36" t="s">
        <v>95</v>
      </c>
      <c r="I2567" s="36" t="s">
        <v>96</v>
      </c>
      <c r="J2567" s="36">
        <v>173</v>
      </c>
      <c r="K2567" s="36">
        <v>247.39</v>
      </c>
    </row>
    <row r="2568" spans="1:11" x14ac:dyDescent="0.3">
      <c r="A2568" s="36" t="s">
        <v>90</v>
      </c>
      <c r="B2568" s="36">
        <v>2023</v>
      </c>
      <c r="C2568" s="36" t="s">
        <v>10</v>
      </c>
      <c r="D2568" s="36" t="s">
        <v>103</v>
      </c>
      <c r="E2568" s="36" t="s">
        <v>92</v>
      </c>
      <c r="F2568" s="36" t="s">
        <v>93</v>
      </c>
      <c r="G2568" s="36" t="s">
        <v>94</v>
      </c>
      <c r="H2568" s="36" t="s">
        <v>95</v>
      </c>
      <c r="I2568" s="36" t="s">
        <v>96</v>
      </c>
      <c r="J2568" s="36">
        <v>149</v>
      </c>
      <c r="K2568" s="36">
        <v>213.07</v>
      </c>
    </row>
    <row r="2569" spans="1:11" x14ac:dyDescent="0.3">
      <c r="A2569" s="36" t="s">
        <v>101</v>
      </c>
      <c r="B2569" s="36">
        <v>2023</v>
      </c>
      <c r="C2569" s="36" t="s">
        <v>9</v>
      </c>
      <c r="D2569" s="36" t="s">
        <v>103</v>
      </c>
      <c r="E2569" s="36" t="s">
        <v>92</v>
      </c>
      <c r="F2569" s="36" t="s">
        <v>93</v>
      </c>
      <c r="G2569" s="36" t="s">
        <v>94</v>
      </c>
      <c r="H2569" s="36" t="s">
        <v>95</v>
      </c>
      <c r="I2569" s="36" t="s">
        <v>96</v>
      </c>
      <c r="J2569" s="36">
        <v>152</v>
      </c>
      <c r="K2569" s="36">
        <v>217.36</v>
      </c>
    </row>
    <row r="2570" spans="1:11" x14ac:dyDescent="0.3">
      <c r="A2570" s="36" t="s">
        <v>90</v>
      </c>
      <c r="B2570" s="36">
        <v>2023</v>
      </c>
      <c r="C2570" s="36" t="s">
        <v>9</v>
      </c>
      <c r="D2570" s="36" t="s">
        <v>103</v>
      </c>
      <c r="E2570" s="36" t="s">
        <v>92</v>
      </c>
      <c r="F2570" s="36" t="s">
        <v>93</v>
      </c>
      <c r="G2570" s="36" t="s">
        <v>94</v>
      </c>
      <c r="H2570" s="36" t="s">
        <v>95</v>
      </c>
      <c r="I2570" s="36" t="s">
        <v>96</v>
      </c>
      <c r="J2570" s="36">
        <v>178</v>
      </c>
      <c r="K2570" s="36">
        <v>526.24</v>
      </c>
    </row>
    <row r="2571" spans="1:11" x14ac:dyDescent="0.3">
      <c r="A2571" s="36" t="s">
        <v>90</v>
      </c>
      <c r="B2571" s="36">
        <v>2023</v>
      </c>
      <c r="C2571" s="36" t="s">
        <v>9</v>
      </c>
      <c r="D2571" s="36" t="s">
        <v>103</v>
      </c>
      <c r="E2571" s="36" t="s">
        <v>92</v>
      </c>
      <c r="F2571" s="36" t="s">
        <v>93</v>
      </c>
      <c r="G2571" s="36" t="s">
        <v>94</v>
      </c>
      <c r="H2571" s="36" t="s">
        <v>95</v>
      </c>
      <c r="I2571" s="36" t="s">
        <v>96</v>
      </c>
      <c r="J2571" s="36">
        <v>154</v>
      </c>
      <c r="K2571" s="36">
        <v>526.24</v>
      </c>
    </row>
    <row r="2572" spans="1:11" x14ac:dyDescent="0.3">
      <c r="A2572" s="36" t="s">
        <v>99</v>
      </c>
      <c r="B2572" s="36">
        <v>2023</v>
      </c>
      <c r="C2572" s="36" t="s">
        <v>9</v>
      </c>
      <c r="D2572" s="36" t="s">
        <v>103</v>
      </c>
      <c r="E2572" s="36" t="s">
        <v>92</v>
      </c>
      <c r="F2572" s="36" t="s">
        <v>93</v>
      </c>
      <c r="G2572" s="36" t="s">
        <v>94</v>
      </c>
      <c r="H2572" s="36" t="s">
        <v>95</v>
      </c>
      <c r="I2572" s="36" t="s">
        <v>96</v>
      </c>
      <c r="J2572" s="36">
        <v>973</v>
      </c>
      <c r="K2572" s="36">
        <v>1391.3899999999999</v>
      </c>
    </row>
    <row r="2573" spans="1:11" x14ac:dyDescent="0.3">
      <c r="A2573" s="36" t="s">
        <v>97</v>
      </c>
      <c r="B2573" s="36">
        <v>2023</v>
      </c>
      <c r="C2573" s="36" t="s">
        <v>9</v>
      </c>
      <c r="D2573" s="36" t="s">
        <v>103</v>
      </c>
      <c r="E2573" s="36" t="s">
        <v>92</v>
      </c>
      <c r="F2573" s="36" t="s">
        <v>93</v>
      </c>
      <c r="G2573" s="36" t="s">
        <v>94</v>
      </c>
      <c r="H2573" s="36" t="s">
        <v>95</v>
      </c>
      <c r="I2573" s="36" t="s">
        <v>96</v>
      </c>
      <c r="J2573" s="36">
        <v>150</v>
      </c>
      <c r="K2573" s="36">
        <v>214.5</v>
      </c>
    </row>
    <row r="2574" spans="1:11" x14ac:dyDescent="0.3">
      <c r="A2574" s="36" t="s">
        <v>97</v>
      </c>
      <c r="B2574" s="36">
        <v>2023</v>
      </c>
      <c r="C2574" s="36" t="s">
        <v>9</v>
      </c>
      <c r="D2574" s="36" t="s">
        <v>103</v>
      </c>
      <c r="E2574" s="36" t="s">
        <v>92</v>
      </c>
      <c r="F2574" s="36" t="s">
        <v>93</v>
      </c>
      <c r="G2574" s="36" t="s">
        <v>94</v>
      </c>
      <c r="H2574" s="36" t="s">
        <v>95</v>
      </c>
      <c r="I2574" s="36" t="s">
        <v>96</v>
      </c>
      <c r="J2574" s="36">
        <v>177</v>
      </c>
      <c r="K2574" s="36">
        <v>253.11</v>
      </c>
    </row>
    <row r="2575" spans="1:11" x14ac:dyDescent="0.3">
      <c r="A2575" s="36" t="s">
        <v>99</v>
      </c>
      <c r="B2575" s="36">
        <v>2023</v>
      </c>
      <c r="C2575" s="36" t="s">
        <v>9</v>
      </c>
      <c r="D2575" s="36" t="s">
        <v>103</v>
      </c>
      <c r="E2575" s="36" t="s">
        <v>92</v>
      </c>
      <c r="F2575" s="36" t="s">
        <v>93</v>
      </c>
      <c r="G2575" s="36" t="s">
        <v>94</v>
      </c>
      <c r="H2575" s="36" t="s">
        <v>95</v>
      </c>
      <c r="I2575" s="36" t="s">
        <v>96</v>
      </c>
      <c r="J2575" s="36">
        <v>153</v>
      </c>
      <c r="K2575" s="36">
        <v>218.79</v>
      </c>
    </row>
    <row r="2576" spans="1:11" x14ac:dyDescent="0.3">
      <c r="A2576" s="36" t="s">
        <v>90</v>
      </c>
      <c r="B2576" s="36">
        <v>2023</v>
      </c>
      <c r="C2576" s="36" t="s">
        <v>9</v>
      </c>
      <c r="D2576" s="36" t="s">
        <v>103</v>
      </c>
      <c r="E2576" s="36" t="s">
        <v>92</v>
      </c>
      <c r="F2576" s="36" t="s">
        <v>93</v>
      </c>
      <c r="G2576" s="36" t="s">
        <v>94</v>
      </c>
      <c r="H2576" s="36" t="s">
        <v>95</v>
      </c>
      <c r="I2576" s="36" t="s">
        <v>96</v>
      </c>
      <c r="J2576" s="36">
        <v>754</v>
      </c>
      <c r="K2576" s="36">
        <v>1078.22</v>
      </c>
    </row>
    <row r="2577" spans="1:11" x14ac:dyDescent="0.3">
      <c r="A2577" s="36" t="s">
        <v>90</v>
      </c>
      <c r="B2577" s="36">
        <v>2023</v>
      </c>
      <c r="C2577" s="36" t="s">
        <v>9</v>
      </c>
      <c r="D2577" s="36" t="s">
        <v>103</v>
      </c>
      <c r="E2577" s="36" t="s">
        <v>92</v>
      </c>
      <c r="F2577" s="36" t="s">
        <v>93</v>
      </c>
      <c r="G2577" s="36" t="s">
        <v>94</v>
      </c>
      <c r="H2577" s="36" t="s">
        <v>95</v>
      </c>
      <c r="I2577" s="36" t="s">
        <v>96</v>
      </c>
      <c r="J2577" s="36">
        <v>841</v>
      </c>
      <c r="K2577" s="36">
        <v>1202.6300000000001</v>
      </c>
    </row>
    <row r="2578" spans="1:11" x14ac:dyDescent="0.3">
      <c r="A2578" s="36" t="s">
        <v>101</v>
      </c>
      <c r="B2578" s="36">
        <v>2023</v>
      </c>
      <c r="C2578" s="36" t="s">
        <v>9</v>
      </c>
      <c r="D2578" s="36" t="s">
        <v>103</v>
      </c>
      <c r="E2578" s="36" t="s">
        <v>92</v>
      </c>
      <c r="F2578" s="36" t="s">
        <v>93</v>
      </c>
      <c r="G2578" s="36" t="s">
        <v>94</v>
      </c>
      <c r="H2578" s="36" t="s">
        <v>95</v>
      </c>
      <c r="I2578" s="36" t="s">
        <v>96</v>
      </c>
      <c r="J2578" s="36">
        <v>179</v>
      </c>
      <c r="K2578" s="36">
        <v>255.97</v>
      </c>
    </row>
    <row r="2579" spans="1:11" x14ac:dyDescent="0.3">
      <c r="A2579" s="36" t="s">
        <v>90</v>
      </c>
      <c r="B2579" s="36">
        <v>2023</v>
      </c>
      <c r="C2579" s="36" t="s">
        <v>8</v>
      </c>
      <c r="D2579" s="36" t="s">
        <v>103</v>
      </c>
      <c r="E2579" s="36" t="s">
        <v>92</v>
      </c>
      <c r="F2579" s="36" t="s">
        <v>93</v>
      </c>
      <c r="G2579" s="36" t="s">
        <v>94</v>
      </c>
      <c r="H2579" s="36" t="s">
        <v>95</v>
      </c>
      <c r="I2579" s="36" t="s">
        <v>96</v>
      </c>
      <c r="J2579" s="36">
        <v>182</v>
      </c>
      <c r="K2579" s="36">
        <v>260.26</v>
      </c>
    </row>
    <row r="2580" spans="1:11" x14ac:dyDescent="0.3">
      <c r="A2580" s="36" t="s">
        <v>97</v>
      </c>
      <c r="B2580" s="36">
        <v>2023</v>
      </c>
      <c r="C2580" s="36" t="s">
        <v>8</v>
      </c>
      <c r="D2580" s="36" t="s">
        <v>103</v>
      </c>
      <c r="E2580" s="36" t="s">
        <v>92</v>
      </c>
      <c r="F2580" s="36" t="s">
        <v>93</v>
      </c>
      <c r="G2580" s="36" t="s">
        <v>94</v>
      </c>
      <c r="H2580" s="36" t="s">
        <v>95</v>
      </c>
      <c r="I2580" s="36" t="s">
        <v>96</v>
      </c>
      <c r="J2580" s="36">
        <v>158</v>
      </c>
      <c r="K2580" s="36">
        <v>225.94</v>
      </c>
    </row>
    <row r="2581" spans="1:11" x14ac:dyDescent="0.3">
      <c r="A2581" s="36" t="s">
        <v>97</v>
      </c>
      <c r="B2581" s="36">
        <v>2023</v>
      </c>
      <c r="C2581" s="36" t="s">
        <v>8</v>
      </c>
      <c r="D2581" s="36" t="s">
        <v>103</v>
      </c>
      <c r="E2581" s="36" t="s">
        <v>92</v>
      </c>
      <c r="F2581" s="36" t="s">
        <v>93</v>
      </c>
      <c r="G2581" s="36" t="s">
        <v>94</v>
      </c>
      <c r="H2581" s="36" t="s">
        <v>95</v>
      </c>
      <c r="I2581" s="36" t="s">
        <v>96</v>
      </c>
      <c r="J2581" s="36">
        <v>184</v>
      </c>
      <c r="K2581" s="36">
        <v>526.24</v>
      </c>
    </row>
    <row r="2582" spans="1:11" x14ac:dyDescent="0.3">
      <c r="A2582" s="36" t="s">
        <v>99</v>
      </c>
      <c r="B2582" s="36">
        <v>2023</v>
      </c>
      <c r="C2582" s="36" t="s">
        <v>8</v>
      </c>
      <c r="D2582" s="36" t="s">
        <v>103</v>
      </c>
      <c r="E2582" s="36" t="s">
        <v>92</v>
      </c>
      <c r="F2582" s="36" t="s">
        <v>93</v>
      </c>
      <c r="G2582" s="36" t="s">
        <v>94</v>
      </c>
      <c r="H2582" s="36" t="s">
        <v>95</v>
      </c>
      <c r="I2582" s="36" t="s">
        <v>96</v>
      </c>
      <c r="J2582" s="36">
        <v>972</v>
      </c>
      <c r="K2582" s="36">
        <v>1389.96</v>
      </c>
    </row>
    <row r="2583" spans="1:11" x14ac:dyDescent="0.3">
      <c r="A2583" s="36" t="s">
        <v>90</v>
      </c>
      <c r="B2583" s="36">
        <v>2023</v>
      </c>
      <c r="C2583" s="36" t="s">
        <v>8</v>
      </c>
      <c r="D2583" s="36" t="s">
        <v>103</v>
      </c>
      <c r="E2583" s="36" t="s">
        <v>92</v>
      </c>
      <c r="F2583" s="36" t="s">
        <v>93</v>
      </c>
      <c r="G2583" s="36" t="s">
        <v>94</v>
      </c>
      <c r="H2583" s="36" t="s">
        <v>95</v>
      </c>
      <c r="I2583" s="36" t="s">
        <v>96</v>
      </c>
      <c r="J2583" s="36">
        <v>156</v>
      </c>
      <c r="K2583" s="36">
        <v>223.07999999999998</v>
      </c>
    </row>
    <row r="2584" spans="1:11" x14ac:dyDescent="0.3">
      <c r="A2584" s="36" t="s">
        <v>90</v>
      </c>
      <c r="B2584" s="36">
        <v>2023</v>
      </c>
      <c r="C2584" s="36" t="s">
        <v>8</v>
      </c>
      <c r="D2584" s="36" t="s">
        <v>103</v>
      </c>
      <c r="E2584" s="36" t="s">
        <v>92</v>
      </c>
      <c r="F2584" s="36" t="s">
        <v>93</v>
      </c>
      <c r="G2584" s="36" t="s">
        <v>94</v>
      </c>
      <c r="H2584" s="36" t="s">
        <v>95</v>
      </c>
      <c r="I2584" s="36" t="s">
        <v>96</v>
      </c>
      <c r="J2584" s="36">
        <v>183</v>
      </c>
      <c r="K2584" s="36">
        <v>261.69</v>
      </c>
    </row>
    <row r="2585" spans="1:11" x14ac:dyDescent="0.3">
      <c r="A2585" s="36" t="s">
        <v>99</v>
      </c>
      <c r="B2585" s="36">
        <v>2023</v>
      </c>
      <c r="C2585" s="36" t="s">
        <v>8</v>
      </c>
      <c r="D2585" s="36" t="s">
        <v>103</v>
      </c>
      <c r="E2585" s="36" t="s">
        <v>92</v>
      </c>
      <c r="F2585" s="36" t="s">
        <v>93</v>
      </c>
      <c r="G2585" s="36" t="s">
        <v>94</v>
      </c>
      <c r="H2585" s="36" t="s">
        <v>95</v>
      </c>
      <c r="I2585" s="36" t="s">
        <v>96</v>
      </c>
      <c r="J2585" s="36">
        <v>159</v>
      </c>
      <c r="K2585" s="36">
        <v>227.37</v>
      </c>
    </row>
    <row r="2586" spans="1:11" x14ac:dyDescent="0.3">
      <c r="A2586" s="36" t="s">
        <v>97</v>
      </c>
      <c r="B2586" s="36">
        <v>2023</v>
      </c>
      <c r="C2586" s="36" t="s">
        <v>8</v>
      </c>
      <c r="D2586" s="36" t="s">
        <v>103</v>
      </c>
      <c r="E2586" s="36" t="s">
        <v>92</v>
      </c>
      <c r="F2586" s="36" t="s">
        <v>93</v>
      </c>
      <c r="G2586" s="36" t="s">
        <v>94</v>
      </c>
      <c r="H2586" s="36" t="s">
        <v>95</v>
      </c>
      <c r="I2586" s="36" t="s">
        <v>96</v>
      </c>
      <c r="J2586" s="36">
        <v>840</v>
      </c>
      <c r="K2586" s="36">
        <v>1201.2</v>
      </c>
    </row>
    <row r="2587" spans="1:11" x14ac:dyDescent="0.3">
      <c r="A2587" s="36" t="s">
        <v>97</v>
      </c>
      <c r="B2587" s="36">
        <v>2023</v>
      </c>
      <c r="C2587" s="36" t="s">
        <v>8</v>
      </c>
      <c r="D2587" s="36" t="s">
        <v>103</v>
      </c>
      <c r="E2587" s="36" t="s">
        <v>92</v>
      </c>
      <c r="F2587" s="36" t="s">
        <v>93</v>
      </c>
      <c r="G2587" s="36" t="s">
        <v>94</v>
      </c>
      <c r="H2587" s="36" t="s">
        <v>95</v>
      </c>
      <c r="I2587" s="36" t="s">
        <v>96</v>
      </c>
      <c r="J2587" s="36">
        <v>185</v>
      </c>
      <c r="K2587" s="36">
        <v>264.55</v>
      </c>
    </row>
    <row r="2588" spans="1:11" x14ac:dyDescent="0.3">
      <c r="A2588" s="36" t="s">
        <v>90</v>
      </c>
      <c r="B2588" s="36">
        <v>2023</v>
      </c>
      <c r="C2588" s="36" t="s">
        <v>8</v>
      </c>
      <c r="D2588" s="36" t="s">
        <v>103</v>
      </c>
      <c r="E2588" s="36" t="s">
        <v>92</v>
      </c>
      <c r="F2588" s="36" t="s">
        <v>93</v>
      </c>
      <c r="G2588" s="36" t="s">
        <v>94</v>
      </c>
      <c r="H2588" s="36" t="s">
        <v>95</v>
      </c>
      <c r="I2588" s="36" t="s">
        <v>96</v>
      </c>
      <c r="J2588" s="36">
        <v>155</v>
      </c>
      <c r="K2588" s="36">
        <v>221.65</v>
      </c>
    </row>
    <row r="2589" spans="1:11" x14ac:dyDescent="0.3">
      <c r="A2589" s="36" t="s">
        <v>97</v>
      </c>
      <c r="B2589" s="36">
        <v>2023</v>
      </c>
      <c r="C2589" s="36" t="s">
        <v>3</v>
      </c>
      <c r="D2589" s="36" t="s">
        <v>103</v>
      </c>
      <c r="E2589" s="36" t="s">
        <v>105</v>
      </c>
      <c r="F2589" s="36" t="s">
        <v>106</v>
      </c>
      <c r="G2589" s="36" t="s">
        <v>102</v>
      </c>
      <c r="H2589" s="36" t="s">
        <v>104</v>
      </c>
      <c r="I2589" s="36" t="s">
        <v>107</v>
      </c>
      <c r="J2589" s="36">
        <v>290</v>
      </c>
      <c r="K2589" s="36">
        <v>414.7</v>
      </c>
    </row>
    <row r="2590" spans="1:11" x14ac:dyDescent="0.3">
      <c r="A2590" s="36" t="s">
        <v>99</v>
      </c>
      <c r="B2590" s="36">
        <v>2023</v>
      </c>
      <c r="C2590" s="36" t="s">
        <v>3</v>
      </c>
      <c r="D2590" s="36" t="s">
        <v>103</v>
      </c>
      <c r="E2590" s="36" t="s">
        <v>105</v>
      </c>
      <c r="F2590" s="36" t="s">
        <v>106</v>
      </c>
      <c r="G2590" s="36" t="s">
        <v>102</v>
      </c>
      <c r="H2590" s="36" t="s">
        <v>104</v>
      </c>
      <c r="I2590" s="36" t="s">
        <v>107</v>
      </c>
      <c r="J2590" s="36">
        <v>260</v>
      </c>
      <c r="K2590" s="36">
        <v>371.8</v>
      </c>
    </row>
    <row r="2591" spans="1:11" x14ac:dyDescent="0.3">
      <c r="A2591" s="36" t="s">
        <v>97</v>
      </c>
      <c r="B2591" s="36">
        <v>2023</v>
      </c>
      <c r="C2591" s="36" t="s">
        <v>3</v>
      </c>
      <c r="D2591" s="36" t="s">
        <v>103</v>
      </c>
      <c r="E2591" s="36" t="s">
        <v>105</v>
      </c>
      <c r="F2591" s="36" t="s">
        <v>106</v>
      </c>
      <c r="G2591" s="36" t="s">
        <v>102</v>
      </c>
      <c r="H2591" s="36" t="s">
        <v>104</v>
      </c>
      <c r="I2591" s="36" t="s">
        <v>107</v>
      </c>
      <c r="J2591" s="36">
        <v>286</v>
      </c>
      <c r="K2591" s="36">
        <v>408.98</v>
      </c>
    </row>
    <row r="2592" spans="1:11" x14ac:dyDescent="0.3">
      <c r="A2592" s="36" t="s">
        <v>97</v>
      </c>
      <c r="B2592" s="36">
        <v>2023</v>
      </c>
      <c r="C2592" s="36" t="s">
        <v>3</v>
      </c>
      <c r="D2592" s="36" t="s">
        <v>103</v>
      </c>
      <c r="E2592" s="36" t="s">
        <v>105</v>
      </c>
      <c r="F2592" s="36" t="s">
        <v>106</v>
      </c>
      <c r="G2592" s="36" t="s">
        <v>102</v>
      </c>
      <c r="H2592" s="36" t="s">
        <v>104</v>
      </c>
      <c r="I2592" s="36" t="s">
        <v>107</v>
      </c>
      <c r="J2592" s="36">
        <v>262</v>
      </c>
      <c r="K2592" s="36">
        <v>374.65999999999997</v>
      </c>
    </row>
    <row r="2593" spans="1:11" x14ac:dyDescent="0.3">
      <c r="A2593" s="36" t="s">
        <v>99</v>
      </c>
      <c r="B2593" s="36">
        <v>2023</v>
      </c>
      <c r="C2593" s="36" t="s">
        <v>3</v>
      </c>
      <c r="D2593" s="36" t="s">
        <v>103</v>
      </c>
      <c r="E2593" s="36" t="s">
        <v>105</v>
      </c>
      <c r="F2593" s="36" t="s">
        <v>106</v>
      </c>
      <c r="G2593" s="36" t="s">
        <v>102</v>
      </c>
      <c r="H2593" s="36" t="s">
        <v>104</v>
      </c>
      <c r="I2593" s="36" t="s">
        <v>107</v>
      </c>
      <c r="J2593" s="36">
        <v>791</v>
      </c>
      <c r="K2593" s="36">
        <v>1131.1300000000001</v>
      </c>
    </row>
    <row r="2594" spans="1:11" x14ac:dyDescent="0.3">
      <c r="A2594" s="36" t="s">
        <v>99</v>
      </c>
      <c r="B2594" s="36">
        <v>2023</v>
      </c>
      <c r="C2594" s="36" t="s">
        <v>3</v>
      </c>
      <c r="D2594" s="36" t="s">
        <v>103</v>
      </c>
      <c r="E2594" s="36" t="s">
        <v>105</v>
      </c>
      <c r="F2594" s="36" t="s">
        <v>106</v>
      </c>
      <c r="G2594" s="36" t="s">
        <v>102</v>
      </c>
      <c r="H2594" s="36" t="s">
        <v>104</v>
      </c>
      <c r="I2594" s="36" t="s">
        <v>107</v>
      </c>
      <c r="J2594" s="36">
        <v>261</v>
      </c>
      <c r="K2594" s="36">
        <v>373.23</v>
      </c>
    </row>
    <row r="2595" spans="1:11" x14ac:dyDescent="0.3">
      <c r="A2595" s="36" t="s">
        <v>97</v>
      </c>
      <c r="B2595" s="36">
        <v>2023</v>
      </c>
      <c r="C2595" s="36" t="s">
        <v>3</v>
      </c>
      <c r="D2595" s="36" t="s">
        <v>103</v>
      </c>
      <c r="E2595" s="36" t="s">
        <v>105</v>
      </c>
      <c r="F2595" s="36" t="s">
        <v>106</v>
      </c>
      <c r="G2595" s="36" t="s">
        <v>102</v>
      </c>
      <c r="H2595" s="36" t="s">
        <v>104</v>
      </c>
      <c r="I2595" s="36" t="s">
        <v>107</v>
      </c>
      <c r="J2595" s="36">
        <v>289</v>
      </c>
      <c r="K2595" s="36">
        <v>413.27</v>
      </c>
    </row>
    <row r="2596" spans="1:11" x14ac:dyDescent="0.3">
      <c r="A2596" s="36" t="s">
        <v>97</v>
      </c>
      <c r="B2596" s="36">
        <v>2023</v>
      </c>
      <c r="C2596" s="36" t="s">
        <v>3</v>
      </c>
      <c r="D2596" s="36" t="s">
        <v>103</v>
      </c>
      <c r="E2596" s="36" t="s">
        <v>105</v>
      </c>
      <c r="F2596" s="36" t="s">
        <v>106</v>
      </c>
      <c r="G2596" s="36" t="s">
        <v>102</v>
      </c>
      <c r="H2596" s="36" t="s">
        <v>104</v>
      </c>
      <c r="I2596" s="36" t="s">
        <v>107</v>
      </c>
      <c r="J2596" s="36">
        <v>259</v>
      </c>
      <c r="K2596" s="36">
        <v>370.37</v>
      </c>
    </row>
    <row r="2597" spans="1:11" x14ac:dyDescent="0.3">
      <c r="A2597" s="36" t="s">
        <v>99</v>
      </c>
      <c r="B2597" s="36">
        <v>2023</v>
      </c>
      <c r="C2597" s="36" t="s">
        <v>3</v>
      </c>
      <c r="D2597" s="36" t="s">
        <v>103</v>
      </c>
      <c r="E2597" s="36" t="s">
        <v>105</v>
      </c>
      <c r="F2597" s="36" t="s">
        <v>106</v>
      </c>
      <c r="G2597" s="36" t="s">
        <v>102</v>
      </c>
      <c r="H2597" s="36" t="s">
        <v>104</v>
      </c>
      <c r="I2597" s="36" t="s">
        <v>107</v>
      </c>
      <c r="J2597" s="36">
        <v>800</v>
      </c>
      <c r="K2597" s="36">
        <v>1144</v>
      </c>
    </row>
    <row r="2598" spans="1:11" x14ac:dyDescent="0.3">
      <c r="A2598" s="36" t="s">
        <v>97</v>
      </c>
      <c r="B2598" s="36">
        <v>2023</v>
      </c>
      <c r="C2598" s="36" t="s">
        <v>3</v>
      </c>
      <c r="D2598" s="36" t="s">
        <v>103</v>
      </c>
      <c r="E2598" s="36" t="s">
        <v>105</v>
      </c>
      <c r="F2598" s="36" t="s">
        <v>106</v>
      </c>
      <c r="G2598" s="36" t="s">
        <v>102</v>
      </c>
      <c r="H2598" s="36" t="s">
        <v>104</v>
      </c>
      <c r="I2598" s="36" t="s">
        <v>107</v>
      </c>
      <c r="J2598" s="36">
        <v>886</v>
      </c>
      <c r="K2598" s="36">
        <v>1266.98</v>
      </c>
    </row>
    <row r="2599" spans="1:11" x14ac:dyDescent="0.3">
      <c r="A2599" s="36" t="s">
        <v>97</v>
      </c>
      <c r="B2599" s="36">
        <v>2023</v>
      </c>
      <c r="C2599" s="36" t="s">
        <v>7</v>
      </c>
      <c r="D2599" s="36" t="s">
        <v>103</v>
      </c>
      <c r="E2599" s="36" t="s">
        <v>105</v>
      </c>
      <c r="F2599" s="36" t="s">
        <v>106</v>
      </c>
      <c r="G2599" s="36" t="s">
        <v>102</v>
      </c>
      <c r="H2599" s="36" t="s">
        <v>104</v>
      </c>
      <c r="I2599" s="36" t="s">
        <v>107</v>
      </c>
      <c r="J2599" s="36">
        <v>266</v>
      </c>
      <c r="K2599" s="36">
        <v>380.38</v>
      </c>
    </row>
    <row r="2600" spans="1:11" x14ac:dyDescent="0.3">
      <c r="A2600" s="36" t="s">
        <v>90</v>
      </c>
      <c r="B2600" s="36">
        <v>2023</v>
      </c>
      <c r="C2600" s="36" t="s">
        <v>7</v>
      </c>
      <c r="D2600" s="36" t="s">
        <v>103</v>
      </c>
      <c r="E2600" s="36" t="s">
        <v>105</v>
      </c>
      <c r="F2600" s="36" t="s">
        <v>106</v>
      </c>
      <c r="G2600" s="36" t="s">
        <v>102</v>
      </c>
      <c r="H2600" s="36" t="s">
        <v>104</v>
      </c>
      <c r="I2600" s="36" t="s">
        <v>107</v>
      </c>
      <c r="J2600" s="36">
        <v>242</v>
      </c>
      <c r="K2600" s="36">
        <v>346.06</v>
      </c>
    </row>
    <row r="2601" spans="1:11" x14ac:dyDescent="0.3">
      <c r="A2601" s="36" t="s">
        <v>90</v>
      </c>
      <c r="B2601" s="36">
        <v>2023</v>
      </c>
      <c r="C2601" s="36" t="s">
        <v>7</v>
      </c>
      <c r="D2601" s="36" t="s">
        <v>103</v>
      </c>
      <c r="E2601" s="36" t="s">
        <v>105</v>
      </c>
      <c r="F2601" s="36" t="s">
        <v>106</v>
      </c>
      <c r="G2601" s="36" t="s">
        <v>102</v>
      </c>
      <c r="H2601" s="36" t="s">
        <v>104</v>
      </c>
      <c r="I2601" s="36" t="s">
        <v>107</v>
      </c>
      <c r="J2601" s="36">
        <v>268</v>
      </c>
      <c r="K2601" s="36">
        <v>383.24</v>
      </c>
    </row>
    <row r="2602" spans="1:11" x14ac:dyDescent="0.3">
      <c r="A2602" s="36" t="s">
        <v>90</v>
      </c>
      <c r="B2602" s="36">
        <v>2023</v>
      </c>
      <c r="C2602" s="36" t="s">
        <v>7</v>
      </c>
      <c r="D2602" s="36" t="s">
        <v>103</v>
      </c>
      <c r="E2602" s="36" t="s">
        <v>105</v>
      </c>
      <c r="F2602" s="36" t="s">
        <v>106</v>
      </c>
      <c r="G2602" s="36" t="s">
        <v>102</v>
      </c>
      <c r="H2602" s="36" t="s">
        <v>104</v>
      </c>
      <c r="I2602" s="36" t="s">
        <v>107</v>
      </c>
      <c r="J2602" s="36">
        <v>238</v>
      </c>
      <c r="K2602" s="36">
        <v>340.34000000000003</v>
      </c>
    </row>
    <row r="2603" spans="1:11" x14ac:dyDescent="0.3">
      <c r="A2603" s="36" t="s">
        <v>90</v>
      </c>
      <c r="B2603" s="36">
        <v>2023</v>
      </c>
      <c r="C2603" s="36" t="s">
        <v>7</v>
      </c>
      <c r="D2603" s="36" t="s">
        <v>103</v>
      </c>
      <c r="E2603" s="36" t="s">
        <v>105</v>
      </c>
      <c r="F2603" s="36" t="s">
        <v>106</v>
      </c>
      <c r="G2603" s="36" t="s">
        <v>102</v>
      </c>
      <c r="H2603" s="36" t="s">
        <v>104</v>
      </c>
      <c r="I2603" s="36" t="s">
        <v>107</v>
      </c>
      <c r="J2603" s="36">
        <v>881</v>
      </c>
      <c r="K2603" s="36">
        <v>1259.83</v>
      </c>
    </row>
    <row r="2604" spans="1:11" x14ac:dyDescent="0.3">
      <c r="A2604" s="36" t="s">
        <v>90</v>
      </c>
      <c r="B2604" s="36">
        <v>2023</v>
      </c>
      <c r="C2604" s="36" t="s">
        <v>7</v>
      </c>
      <c r="D2604" s="36" t="s">
        <v>103</v>
      </c>
      <c r="E2604" s="36" t="s">
        <v>105</v>
      </c>
      <c r="F2604" s="36" t="s">
        <v>106</v>
      </c>
      <c r="G2604" s="36" t="s">
        <v>102</v>
      </c>
      <c r="H2604" s="36" t="s">
        <v>104</v>
      </c>
      <c r="I2604" s="36" t="s">
        <v>107</v>
      </c>
      <c r="J2604" s="36">
        <v>834</v>
      </c>
      <c r="K2604" s="36">
        <v>526.24</v>
      </c>
    </row>
    <row r="2605" spans="1:11" x14ac:dyDescent="0.3">
      <c r="A2605" s="36" t="s">
        <v>90</v>
      </c>
      <c r="B2605" s="36">
        <v>2023</v>
      </c>
      <c r="C2605" s="36" t="s">
        <v>7</v>
      </c>
      <c r="D2605" s="36" t="s">
        <v>103</v>
      </c>
      <c r="E2605" s="36" t="s">
        <v>105</v>
      </c>
      <c r="F2605" s="36" t="s">
        <v>106</v>
      </c>
      <c r="G2605" s="36" t="s">
        <v>102</v>
      </c>
      <c r="H2605" s="36" t="s">
        <v>104</v>
      </c>
      <c r="I2605" s="36" t="s">
        <v>107</v>
      </c>
      <c r="J2605" s="36">
        <v>265</v>
      </c>
      <c r="K2605" s="36">
        <v>378.95</v>
      </c>
    </row>
    <row r="2606" spans="1:11" x14ac:dyDescent="0.3">
      <c r="A2606" s="36" t="s">
        <v>90</v>
      </c>
      <c r="B2606" s="36">
        <v>2023</v>
      </c>
      <c r="C2606" s="36" t="s">
        <v>7</v>
      </c>
      <c r="D2606" s="36" t="s">
        <v>103</v>
      </c>
      <c r="E2606" s="36" t="s">
        <v>105</v>
      </c>
      <c r="F2606" s="36" t="s">
        <v>106</v>
      </c>
      <c r="G2606" s="36" t="s">
        <v>102</v>
      </c>
      <c r="H2606" s="36" t="s">
        <v>104</v>
      </c>
      <c r="I2606" s="36" t="s">
        <v>107</v>
      </c>
      <c r="J2606" s="36">
        <v>241</v>
      </c>
      <c r="K2606" s="36">
        <v>344.63</v>
      </c>
    </row>
    <row r="2607" spans="1:11" x14ac:dyDescent="0.3">
      <c r="A2607" s="36" t="s">
        <v>90</v>
      </c>
      <c r="B2607" s="36">
        <v>2023</v>
      </c>
      <c r="C2607" s="36" t="s">
        <v>7</v>
      </c>
      <c r="D2607" s="36" t="s">
        <v>103</v>
      </c>
      <c r="E2607" s="36" t="s">
        <v>105</v>
      </c>
      <c r="F2607" s="36" t="s">
        <v>106</v>
      </c>
      <c r="G2607" s="36" t="s">
        <v>102</v>
      </c>
      <c r="H2607" s="36" t="s">
        <v>104</v>
      </c>
      <c r="I2607" s="36" t="s">
        <v>107</v>
      </c>
      <c r="J2607" s="36">
        <v>803</v>
      </c>
      <c r="K2607" s="36">
        <v>1148.29</v>
      </c>
    </row>
    <row r="2608" spans="1:11" x14ac:dyDescent="0.3">
      <c r="A2608" s="36" t="s">
        <v>97</v>
      </c>
      <c r="B2608" s="36">
        <v>2023</v>
      </c>
      <c r="C2608" s="36" t="s">
        <v>7</v>
      </c>
      <c r="D2608" s="36" t="s">
        <v>103</v>
      </c>
      <c r="E2608" s="36" t="s">
        <v>105</v>
      </c>
      <c r="F2608" s="36" t="s">
        <v>106</v>
      </c>
      <c r="G2608" s="36" t="s">
        <v>102</v>
      </c>
      <c r="H2608" s="36" t="s">
        <v>104</v>
      </c>
      <c r="I2608" s="36" t="s">
        <v>107</v>
      </c>
      <c r="J2608" s="36">
        <v>239</v>
      </c>
      <c r="K2608" s="36">
        <v>341.77</v>
      </c>
    </row>
    <row r="2609" spans="1:11" x14ac:dyDescent="0.3">
      <c r="A2609" s="36" t="s">
        <v>97</v>
      </c>
      <c r="B2609" s="36">
        <v>2023</v>
      </c>
      <c r="C2609" s="36" t="s">
        <v>11</v>
      </c>
      <c r="D2609" s="36" t="s">
        <v>103</v>
      </c>
      <c r="E2609" s="36" t="s">
        <v>105</v>
      </c>
      <c r="F2609" s="36" t="s">
        <v>106</v>
      </c>
      <c r="G2609" s="36" t="s">
        <v>102</v>
      </c>
      <c r="H2609" s="36" t="s">
        <v>104</v>
      </c>
      <c r="I2609" s="36" t="s">
        <v>107</v>
      </c>
      <c r="J2609" s="36">
        <v>248</v>
      </c>
      <c r="K2609" s="36">
        <v>354.64</v>
      </c>
    </row>
    <row r="2610" spans="1:11" x14ac:dyDescent="0.3">
      <c r="A2610" s="36" t="s">
        <v>100</v>
      </c>
      <c r="B2610" s="36">
        <v>2023</v>
      </c>
      <c r="C2610" s="36" t="s">
        <v>11</v>
      </c>
      <c r="D2610" s="36" t="s">
        <v>103</v>
      </c>
      <c r="E2610" s="36" t="s">
        <v>105</v>
      </c>
      <c r="F2610" s="36" t="s">
        <v>106</v>
      </c>
      <c r="G2610" s="36" t="s">
        <v>102</v>
      </c>
      <c r="H2610" s="36" t="s">
        <v>104</v>
      </c>
      <c r="I2610" s="36" t="s">
        <v>107</v>
      </c>
      <c r="J2610" s="36">
        <v>218</v>
      </c>
      <c r="K2610" s="36">
        <v>311.74</v>
      </c>
    </row>
    <row r="2611" spans="1:11" x14ac:dyDescent="0.3">
      <c r="A2611" s="36" t="s">
        <v>97</v>
      </c>
      <c r="B2611" s="36">
        <v>2023</v>
      </c>
      <c r="C2611" s="36" t="s">
        <v>11</v>
      </c>
      <c r="D2611" s="36" t="s">
        <v>103</v>
      </c>
      <c r="E2611" s="36" t="s">
        <v>105</v>
      </c>
      <c r="F2611" s="36" t="s">
        <v>106</v>
      </c>
      <c r="G2611" s="36" t="s">
        <v>102</v>
      </c>
      <c r="H2611" s="36" t="s">
        <v>104</v>
      </c>
      <c r="I2611" s="36" t="s">
        <v>107</v>
      </c>
      <c r="J2611" s="36">
        <v>244</v>
      </c>
      <c r="K2611" s="36">
        <v>348.92</v>
      </c>
    </row>
    <row r="2612" spans="1:11" x14ac:dyDescent="0.3">
      <c r="A2612" s="36" t="s">
        <v>97</v>
      </c>
      <c r="B2612" s="36">
        <v>2023</v>
      </c>
      <c r="C2612" s="36" t="s">
        <v>11</v>
      </c>
      <c r="D2612" s="36" t="s">
        <v>103</v>
      </c>
      <c r="E2612" s="36" t="s">
        <v>105</v>
      </c>
      <c r="F2612" s="36" t="s">
        <v>106</v>
      </c>
      <c r="G2612" s="36" t="s">
        <v>102</v>
      </c>
      <c r="H2612" s="36" t="s">
        <v>104</v>
      </c>
      <c r="I2612" s="36" t="s">
        <v>107</v>
      </c>
      <c r="J2612" s="36">
        <v>220</v>
      </c>
      <c r="K2612" s="36">
        <v>314.60000000000002</v>
      </c>
    </row>
    <row r="2613" spans="1:11" x14ac:dyDescent="0.3">
      <c r="A2613" s="36" t="s">
        <v>99</v>
      </c>
      <c r="B2613" s="36">
        <v>2023</v>
      </c>
      <c r="C2613" s="36" t="s">
        <v>11</v>
      </c>
      <c r="D2613" s="36" t="s">
        <v>103</v>
      </c>
      <c r="E2613" s="36" t="s">
        <v>105</v>
      </c>
      <c r="F2613" s="36" t="s">
        <v>106</v>
      </c>
      <c r="G2613" s="36" t="s">
        <v>102</v>
      </c>
      <c r="H2613" s="36" t="s">
        <v>104</v>
      </c>
      <c r="I2613" s="36" t="s">
        <v>107</v>
      </c>
      <c r="J2613" s="36">
        <v>798</v>
      </c>
      <c r="K2613" s="36">
        <v>1141.1399999999999</v>
      </c>
    </row>
    <row r="2614" spans="1:11" x14ac:dyDescent="0.3">
      <c r="A2614" s="36" t="s">
        <v>97</v>
      </c>
      <c r="B2614" s="36">
        <v>2023</v>
      </c>
      <c r="C2614" s="36" t="s">
        <v>11</v>
      </c>
      <c r="D2614" s="36" t="s">
        <v>103</v>
      </c>
      <c r="E2614" s="36" t="s">
        <v>105</v>
      </c>
      <c r="F2614" s="36" t="s">
        <v>106</v>
      </c>
      <c r="G2614" s="36" t="s">
        <v>102</v>
      </c>
      <c r="H2614" s="36" t="s">
        <v>104</v>
      </c>
      <c r="I2614" s="36" t="s">
        <v>107</v>
      </c>
      <c r="J2614" s="36">
        <v>885</v>
      </c>
      <c r="K2614" s="36">
        <v>1265.55</v>
      </c>
    </row>
    <row r="2615" spans="1:11" x14ac:dyDescent="0.3">
      <c r="A2615" s="36" t="s">
        <v>97</v>
      </c>
      <c r="B2615" s="36">
        <v>2023</v>
      </c>
      <c r="C2615" s="36" t="s">
        <v>11</v>
      </c>
      <c r="D2615" s="36" t="s">
        <v>103</v>
      </c>
      <c r="E2615" s="36" t="s">
        <v>105</v>
      </c>
      <c r="F2615" s="36" t="s">
        <v>106</v>
      </c>
      <c r="G2615" s="36" t="s">
        <v>102</v>
      </c>
      <c r="H2615" s="36" t="s">
        <v>104</v>
      </c>
      <c r="I2615" s="36" t="s">
        <v>107</v>
      </c>
      <c r="J2615" s="36">
        <v>838</v>
      </c>
      <c r="K2615" s="36">
        <v>526.24</v>
      </c>
    </row>
    <row r="2616" spans="1:11" x14ac:dyDescent="0.3">
      <c r="A2616" s="36" t="s">
        <v>99</v>
      </c>
      <c r="B2616" s="36">
        <v>2023</v>
      </c>
      <c r="C2616" s="36" t="s">
        <v>11</v>
      </c>
      <c r="D2616" s="36" t="s">
        <v>103</v>
      </c>
      <c r="E2616" s="36" t="s">
        <v>105</v>
      </c>
      <c r="F2616" s="36" t="s">
        <v>106</v>
      </c>
      <c r="G2616" s="36" t="s">
        <v>102</v>
      </c>
      <c r="H2616" s="36" t="s">
        <v>104</v>
      </c>
      <c r="I2616" s="36" t="s">
        <v>107</v>
      </c>
      <c r="J2616" s="36">
        <v>219</v>
      </c>
      <c r="K2616" s="36">
        <v>313.17</v>
      </c>
    </row>
    <row r="2617" spans="1:11" x14ac:dyDescent="0.3">
      <c r="A2617" s="36" t="s">
        <v>97</v>
      </c>
      <c r="B2617" s="36">
        <v>2023</v>
      </c>
      <c r="C2617" s="36" t="s">
        <v>11</v>
      </c>
      <c r="D2617" s="36" t="s">
        <v>103</v>
      </c>
      <c r="E2617" s="36" t="s">
        <v>105</v>
      </c>
      <c r="F2617" s="36" t="s">
        <v>106</v>
      </c>
      <c r="G2617" s="36" t="s">
        <v>102</v>
      </c>
      <c r="H2617" s="36" t="s">
        <v>104</v>
      </c>
      <c r="I2617" s="36" t="s">
        <v>107</v>
      </c>
      <c r="J2617" s="36">
        <v>247</v>
      </c>
      <c r="K2617" s="36">
        <v>353.21</v>
      </c>
    </row>
    <row r="2618" spans="1:11" x14ac:dyDescent="0.3">
      <c r="A2618" s="36" t="s">
        <v>97</v>
      </c>
      <c r="B2618" s="36">
        <v>2023</v>
      </c>
      <c r="C2618" s="36" t="s">
        <v>11</v>
      </c>
      <c r="D2618" s="36" t="s">
        <v>103</v>
      </c>
      <c r="E2618" s="36" t="s">
        <v>105</v>
      </c>
      <c r="F2618" s="36" t="s">
        <v>106</v>
      </c>
      <c r="G2618" s="36" t="s">
        <v>102</v>
      </c>
      <c r="H2618" s="36" t="s">
        <v>104</v>
      </c>
      <c r="I2618" s="36" t="s">
        <v>107</v>
      </c>
      <c r="J2618" s="36">
        <v>217</v>
      </c>
      <c r="K2618" s="36">
        <v>310.31</v>
      </c>
    </row>
    <row r="2619" spans="1:11" x14ac:dyDescent="0.3">
      <c r="A2619" s="36" t="s">
        <v>100</v>
      </c>
      <c r="B2619" s="36">
        <v>2023</v>
      </c>
      <c r="C2619" s="36" t="s">
        <v>11</v>
      </c>
      <c r="D2619" s="36" t="s">
        <v>103</v>
      </c>
      <c r="E2619" s="36" t="s">
        <v>105</v>
      </c>
      <c r="F2619" s="36" t="s">
        <v>106</v>
      </c>
      <c r="G2619" s="36" t="s">
        <v>102</v>
      </c>
      <c r="H2619" s="36" t="s">
        <v>104</v>
      </c>
      <c r="I2619" s="36" t="s">
        <v>107</v>
      </c>
      <c r="J2619" s="36">
        <v>807</v>
      </c>
      <c r="K2619" s="36">
        <v>1154.01</v>
      </c>
    </row>
    <row r="2620" spans="1:11" x14ac:dyDescent="0.3">
      <c r="A2620" s="36" t="s">
        <v>97</v>
      </c>
      <c r="B2620" s="36">
        <v>2023</v>
      </c>
      <c r="C2620" s="36" t="s">
        <v>11</v>
      </c>
      <c r="D2620" s="36" t="s">
        <v>103</v>
      </c>
      <c r="E2620" s="36" t="s">
        <v>105</v>
      </c>
      <c r="F2620" s="36" t="s">
        <v>106</v>
      </c>
      <c r="G2620" s="36" t="s">
        <v>102</v>
      </c>
      <c r="H2620" s="36" t="s">
        <v>104</v>
      </c>
      <c r="I2620" s="36" t="s">
        <v>107</v>
      </c>
      <c r="J2620" s="36">
        <v>221</v>
      </c>
      <c r="K2620" s="36">
        <v>316.02999999999997</v>
      </c>
    </row>
    <row r="2621" spans="1:11" x14ac:dyDescent="0.3">
      <c r="A2621" s="36" t="s">
        <v>97</v>
      </c>
      <c r="B2621" s="36">
        <v>2023</v>
      </c>
      <c r="C2621" s="36" t="s">
        <v>1</v>
      </c>
      <c r="D2621" s="36" t="s">
        <v>103</v>
      </c>
      <c r="E2621" s="36" t="s">
        <v>105</v>
      </c>
      <c r="F2621" s="36" t="s">
        <v>106</v>
      </c>
      <c r="G2621" s="36" t="s">
        <v>102</v>
      </c>
      <c r="H2621" s="36" t="s">
        <v>104</v>
      </c>
      <c r="I2621" s="36" t="s">
        <v>107</v>
      </c>
      <c r="J2621" s="36">
        <v>272</v>
      </c>
      <c r="K2621" s="36">
        <v>388.96</v>
      </c>
    </row>
    <row r="2622" spans="1:11" x14ac:dyDescent="0.3">
      <c r="A2622" s="36" t="s">
        <v>97</v>
      </c>
      <c r="B2622" s="36">
        <v>2023</v>
      </c>
      <c r="C2622" s="36" t="s">
        <v>1</v>
      </c>
      <c r="D2622" s="36" t="s">
        <v>103</v>
      </c>
      <c r="E2622" s="36" t="s">
        <v>105</v>
      </c>
      <c r="F2622" s="36" t="s">
        <v>106</v>
      </c>
      <c r="G2622" s="36" t="s">
        <v>102</v>
      </c>
      <c r="H2622" s="36" t="s">
        <v>104</v>
      </c>
      <c r="I2622" s="36" t="s">
        <v>107</v>
      </c>
      <c r="J2622" s="36">
        <v>298</v>
      </c>
      <c r="K2622" s="36">
        <v>426.14</v>
      </c>
    </row>
    <row r="2623" spans="1:11" x14ac:dyDescent="0.3">
      <c r="A2623" s="36" t="s">
        <v>90</v>
      </c>
      <c r="B2623" s="36">
        <v>2023</v>
      </c>
      <c r="C2623" s="36" t="s">
        <v>1</v>
      </c>
      <c r="D2623" s="36" t="s">
        <v>103</v>
      </c>
      <c r="E2623" s="36" t="s">
        <v>105</v>
      </c>
      <c r="F2623" s="36" t="s">
        <v>106</v>
      </c>
      <c r="G2623" s="36" t="s">
        <v>102</v>
      </c>
      <c r="H2623" s="36" t="s">
        <v>104</v>
      </c>
      <c r="I2623" s="36" t="s">
        <v>107</v>
      </c>
      <c r="J2623" s="36">
        <v>226</v>
      </c>
      <c r="K2623" s="36">
        <v>323.18</v>
      </c>
    </row>
    <row r="2624" spans="1:11" x14ac:dyDescent="0.3">
      <c r="A2624" s="36" t="s">
        <v>97</v>
      </c>
      <c r="B2624" s="36">
        <v>2023</v>
      </c>
      <c r="C2624" s="36" t="s">
        <v>1</v>
      </c>
      <c r="D2624" s="36" t="s">
        <v>103</v>
      </c>
      <c r="E2624" s="36" t="s">
        <v>105</v>
      </c>
      <c r="F2624" s="36" t="s">
        <v>106</v>
      </c>
      <c r="G2624" s="36" t="s">
        <v>102</v>
      </c>
      <c r="H2624" s="36" t="s">
        <v>104</v>
      </c>
      <c r="I2624" s="36" t="s">
        <v>107</v>
      </c>
      <c r="J2624" s="36">
        <v>274</v>
      </c>
      <c r="K2624" s="36">
        <v>391.82</v>
      </c>
    </row>
    <row r="2625" spans="1:11" x14ac:dyDescent="0.3">
      <c r="A2625" s="36" t="s">
        <v>97</v>
      </c>
      <c r="B2625" s="36">
        <v>2023</v>
      </c>
      <c r="C2625" s="36" t="s">
        <v>1</v>
      </c>
      <c r="D2625" s="36" t="s">
        <v>103</v>
      </c>
      <c r="E2625" s="36" t="s">
        <v>105</v>
      </c>
      <c r="F2625" s="36" t="s">
        <v>106</v>
      </c>
      <c r="G2625" s="36" t="s">
        <v>102</v>
      </c>
      <c r="H2625" s="36" t="s">
        <v>104</v>
      </c>
      <c r="I2625" s="36" t="s">
        <v>107</v>
      </c>
      <c r="J2625" s="36">
        <v>789</v>
      </c>
      <c r="K2625" s="36">
        <v>1128.27</v>
      </c>
    </row>
    <row r="2626" spans="1:11" x14ac:dyDescent="0.3">
      <c r="A2626" s="36" t="s">
        <v>99</v>
      </c>
      <c r="B2626" s="36">
        <v>2023</v>
      </c>
      <c r="C2626" s="36" t="s">
        <v>1</v>
      </c>
      <c r="D2626" s="36" t="s">
        <v>103</v>
      </c>
      <c r="E2626" s="36" t="s">
        <v>105</v>
      </c>
      <c r="F2626" s="36" t="s">
        <v>106</v>
      </c>
      <c r="G2626" s="36" t="s">
        <v>102</v>
      </c>
      <c r="H2626" s="36" t="s">
        <v>104</v>
      </c>
      <c r="I2626" s="36" t="s">
        <v>107</v>
      </c>
      <c r="J2626" s="36">
        <v>876</v>
      </c>
      <c r="K2626" s="36">
        <v>1252.68</v>
      </c>
    </row>
    <row r="2627" spans="1:11" x14ac:dyDescent="0.3">
      <c r="A2627" s="36" t="s">
        <v>90</v>
      </c>
      <c r="B2627" s="36">
        <v>2023</v>
      </c>
      <c r="C2627" s="36" t="s">
        <v>1</v>
      </c>
      <c r="D2627" s="36" t="s">
        <v>103</v>
      </c>
      <c r="E2627" s="36" t="s">
        <v>105</v>
      </c>
      <c r="F2627" s="36" t="s">
        <v>106</v>
      </c>
      <c r="G2627" s="36" t="s">
        <v>102</v>
      </c>
      <c r="H2627" s="36" t="s">
        <v>104</v>
      </c>
      <c r="I2627" s="36" t="s">
        <v>107</v>
      </c>
      <c r="J2627" s="36">
        <v>958</v>
      </c>
      <c r="K2627" s="36">
        <v>1369.94</v>
      </c>
    </row>
    <row r="2628" spans="1:11" x14ac:dyDescent="0.3">
      <c r="A2628" s="36" t="s">
        <v>99</v>
      </c>
      <c r="B2628" s="36">
        <v>2023</v>
      </c>
      <c r="C2628" s="36" t="s">
        <v>1</v>
      </c>
      <c r="D2628" s="36" t="s">
        <v>103</v>
      </c>
      <c r="E2628" s="36" t="s">
        <v>105</v>
      </c>
      <c r="F2628" s="36" t="s">
        <v>106</v>
      </c>
      <c r="G2628" s="36" t="s">
        <v>102</v>
      </c>
      <c r="H2628" s="36" t="s">
        <v>104</v>
      </c>
      <c r="I2628" s="36" t="s">
        <v>107</v>
      </c>
      <c r="J2628" s="36">
        <v>829</v>
      </c>
      <c r="K2628" s="36">
        <v>526.24</v>
      </c>
    </row>
    <row r="2629" spans="1:11" x14ac:dyDescent="0.3">
      <c r="A2629" s="36" t="s">
        <v>97</v>
      </c>
      <c r="B2629" s="36">
        <v>2023</v>
      </c>
      <c r="C2629" s="36" t="s">
        <v>1</v>
      </c>
      <c r="D2629" s="36" t="s">
        <v>103</v>
      </c>
      <c r="E2629" s="36" t="s">
        <v>105</v>
      </c>
      <c r="F2629" s="36" t="s">
        <v>106</v>
      </c>
      <c r="G2629" s="36" t="s">
        <v>102</v>
      </c>
      <c r="H2629" s="36" t="s">
        <v>104</v>
      </c>
      <c r="I2629" s="36" t="s">
        <v>107</v>
      </c>
      <c r="J2629" s="36">
        <v>273</v>
      </c>
      <c r="K2629" s="36">
        <v>390.39</v>
      </c>
    </row>
    <row r="2630" spans="1:11" x14ac:dyDescent="0.3">
      <c r="A2630" s="36" t="s">
        <v>90</v>
      </c>
      <c r="B2630" s="36">
        <v>2023</v>
      </c>
      <c r="C2630" s="36" t="s">
        <v>1</v>
      </c>
      <c r="D2630" s="36" t="s">
        <v>103</v>
      </c>
      <c r="E2630" s="36" t="s">
        <v>105</v>
      </c>
      <c r="F2630" s="36" t="s">
        <v>106</v>
      </c>
      <c r="G2630" s="36" t="s">
        <v>102</v>
      </c>
      <c r="H2630" s="36" t="s">
        <v>104</v>
      </c>
      <c r="I2630" s="36" t="s">
        <v>107</v>
      </c>
      <c r="J2630" s="36">
        <v>267</v>
      </c>
      <c r="K2630" s="36">
        <v>381.81</v>
      </c>
    </row>
    <row r="2631" spans="1:11" x14ac:dyDescent="0.3">
      <c r="A2631" s="36" t="s">
        <v>97</v>
      </c>
      <c r="B2631" s="36">
        <v>2023</v>
      </c>
      <c r="C2631" s="36" t="s">
        <v>1</v>
      </c>
      <c r="D2631" s="36" t="s">
        <v>103</v>
      </c>
      <c r="E2631" s="36" t="s">
        <v>105</v>
      </c>
      <c r="F2631" s="36" t="s">
        <v>106</v>
      </c>
      <c r="G2631" s="36" t="s">
        <v>102</v>
      </c>
      <c r="H2631" s="36" t="s">
        <v>104</v>
      </c>
      <c r="I2631" s="36" t="s">
        <v>107</v>
      </c>
      <c r="J2631" s="36">
        <v>301</v>
      </c>
      <c r="K2631" s="36">
        <v>430.43</v>
      </c>
    </row>
    <row r="2632" spans="1:11" x14ac:dyDescent="0.3">
      <c r="A2632" s="36" t="s">
        <v>97</v>
      </c>
      <c r="B2632" s="36">
        <v>2023</v>
      </c>
      <c r="C2632" s="36" t="s">
        <v>1</v>
      </c>
      <c r="D2632" s="36" t="s">
        <v>103</v>
      </c>
      <c r="E2632" s="36" t="s">
        <v>105</v>
      </c>
      <c r="F2632" s="36" t="s">
        <v>106</v>
      </c>
      <c r="G2632" s="36" t="s">
        <v>102</v>
      </c>
      <c r="H2632" s="36" t="s">
        <v>104</v>
      </c>
      <c r="I2632" s="36" t="s">
        <v>107</v>
      </c>
      <c r="J2632" s="36">
        <v>271</v>
      </c>
      <c r="K2632" s="36">
        <v>387.53</v>
      </c>
    </row>
    <row r="2633" spans="1:11" x14ac:dyDescent="0.3">
      <c r="A2633" s="36" t="s">
        <v>97</v>
      </c>
      <c r="B2633" s="36">
        <v>2023</v>
      </c>
      <c r="C2633" s="36" t="s">
        <v>1</v>
      </c>
      <c r="D2633" s="36" t="s">
        <v>103</v>
      </c>
      <c r="E2633" s="36" t="s">
        <v>105</v>
      </c>
      <c r="F2633" s="36" t="s">
        <v>106</v>
      </c>
      <c r="G2633" s="36" t="s">
        <v>102</v>
      </c>
      <c r="H2633" s="36" t="s">
        <v>104</v>
      </c>
      <c r="I2633" s="36" t="s">
        <v>107</v>
      </c>
      <c r="J2633" s="36">
        <v>798</v>
      </c>
      <c r="K2633" s="36">
        <v>1141.1399999999999</v>
      </c>
    </row>
    <row r="2634" spans="1:11" x14ac:dyDescent="0.3">
      <c r="A2634" s="36" t="s">
        <v>90</v>
      </c>
      <c r="B2634" s="36">
        <v>2023</v>
      </c>
      <c r="C2634" s="36" t="s">
        <v>1</v>
      </c>
      <c r="D2634" s="36" t="s">
        <v>103</v>
      </c>
      <c r="E2634" s="36" t="s">
        <v>105</v>
      </c>
      <c r="F2634" s="36" t="s">
        <v>106</v>
      </c>
      <c r="G2634" s="36" t="s">
        <v>102</v>
      </c>
      <c r="H2634" s="36" t="s">
        <v>104</v>
      </c>
      <c r="I2634" s="36" t="s">
        <v>107</v>
      </c>
      <c r="J2634" s="36">
        <v>851</v>
      </c>
      <c r="K2634" s="36">
        <v>1216.93</v>
      </c>
    </row>
    <row r="2635" spans="1:11" x14ac:dyDescent="0.3">
      <c r="A2635" s="36" t="s">
        <v>90</v>
      </c>
      <c r="B2635" s="36">
        <v>2023</v>
      </c>
      <c r="C2635" s="36" t="s">
        <v>0</v>
      </c>
      <c r="D2635" s="36" t="s">
        <v>103</v>
      </c>
      <c r="E2635" s="36" t="s">
        <v>105</v>
      </c>
      <c r="F2635" s="36" t="s">
        <v>106</v>
      </c>
      <c r="G2635" s="36" t="s">
        <v>102</v>
      </c>
      <c r="H2635" s="36" t="s">
        <v>104</v>
      </c>
      <c r="I2635" s="36" t="s">
        <v>107</v>
      </c>
      <c r="J2635" s="36">
        <v>302</v>
      </c>
      <c r="K2635" s="36">
        <v>431.86</v>
      </c>
    </row>
    <row r="2636" spans="1:11" x14ac:dyDescent="0.3">
      <c r="A2636" s="36" t="s">
        <v>97</v>
      </c>
      <c r="B2636" s="36">
        <v>2023</v>
      </c>
      <c r="C2636" s="36" t="s">
        <v>0</v>
      </c>
      <c r="D2636" s="36" t="s">
        <v>103</v>
      </c>
      <c r="E2636" s="36" t="s">
        <v>105</v>
      </c>
      <c r="F2636" s="36" t="s">
        <v>106</v>
      </c>
      <c r="G2636" s="36" t="s">
        <v>102</v>
      </c>
      <c r="H2636" s="36" t="s">
        <v>104</v>
      </c>
      <c r="I2636" s="36" t="s">
        <v>107</v>
      </c>
      <c r="J2636" s="36">
        <v>230</v>
      </c>
      <c r="K2636" s="36">
        <v>328.9</v>
      </c>
    </row>
    <row r="2637" spans="1:11" x14ac:dyDescent="0.3">
      <c r="A2637" s="36" t="s">
        <v>99</v>
      </c>
      <c r="B2637" s="36">
        <v>2023</v>
      </c>
      <c r="C2637" s="36" t="s">
        <v>0</v>
      </c>
      <c r="D2637" s="36" t="s">
        <v>103</v>
      </c>
      <c r="E2637" s="36" t="s">
        <v>105</v>
      </c>
      <c r="F2637" s="36" t="s">
        <v>106</v>
      </c>
      <c r="G2637" s="36" t="s">
        <v>102</v>
      </c>
      <c r="H2637" s="36" t="s">
        <v>104</v>
      </c>
      <c r="I2637" s="36" t="s">
        <v>107</v>
      </c>
      <c r="J2637" s="36">
        <v>278</v>
      </c>
      <c r="K2637" s="36">
        <v>397.53999999999996</v>
      </c>
    </row>
    <row r="2638" spans="1:11" x14ac:dyDescent="0.3">
      <c r="A2638" s="36" t="s">
        <v>90</v>
      </c>
      <c r="B2638" s="36">
        <v>2023</v>
      </c>
      <c r="C2638" s="36" t="s">
        <v>0</v>
      </c>
      <c r="D2638" s="36" t="s">
        <v>103</v>
      </c>
      <c r="E2638" s="36" t="s">
        <v>105</v>
      </c>
      <c r="F2638" s="36" t="s">
        <v>106</v>
      </c>
      <c r="G2638" s="36" t="s">
        <v>102</v>
      </c>
      <c r="H2638" s="36" t="s">
        <v>104</v>
      </c>
      <c r="I2638" s="36" t="s">
        <v>107</v>
      </c>
      <c r="J2638" s="36">
        <v>304</v>
      </c>
      <c r="K2638" s="36">
        <v>434.72</v>
      </c>
    </row>
    <row r="2639" spans="1:11" x14ac:dyDescent="0.3">
      <c r="A2639" s="36" t="s">
        <v>90</v>
      </c>
      <c r="B2639" s="36">
        <v>2023</v>
      </c>
      <c r="C2639" s="36" t="s">
        <v>0</v>
      </c>
      <c r="D2639" s="36" t="s">
        <v>103</v>
      </c>
      <c r="E2639" s="36" t="s">
        <v>105</v>
      </c>
      <c r="F2639" s="36" t="s">
        <v>106</v>
      </c>
      <c r="G2639" s="36" t="s">
        <v>102</v>
      </c>
      <c r="H2639" s="36" t="s">
        <v>104</v>
      </c>
      <c r="I2639" s="36" t="s">
        <v>107</v>
      </c>
      <c r="J2639" s="36">
        <v>232</v>
      </c>
      <c r="K2639" s="36">
        <v>331.76</v>
      </c>
    </row>
    <row r="2640" spans="1:11" x14ac:dyDescent="0.3">
      <c r="A2640" s="36" t="s">
        <v>97</v>
      </c>
      <c r="B2640" s="36">
        <v>2023</v>
      </c>
      <c r="C2640" s="36" t="s">
        <v>0</v>
      </c>
      <c r="D2640" s="36" t="s">
        <v>103</v>
      </c>
      <c r="E2640" s="36" t="s">
        <v>105</v>
      </c>
      <c r="F2640" s="36" t="s">
        <v>106</v>
      </c>
      <c r="G2640" s="36" t="s">
        <v>102</v>
      </c>
      <c r="H2640" s="36" t="s">
        <v>104</v>
      </c>
      <c r="I2640" s="36" t="s">
        <v>107</v>
      </c>
      <c r="J2640" s="36">
        <v>788</v>
      </c>
      <c r="K2640" s="36">
        <v>1126.8399999999999</v>
      </c>
    </row>
    <row r="2641" spans="1:11" x14ac:dyDescent="0.3">
      <c r="A2641" s="36" t="s">
        <v>97</v>
      </c>
      <c r="B2641" s="36">
        <v>2023</v>
      </c>
      <c r="C2641" s="36" t="s">
        <v>0</v>
      </c>
      <c r="D2641" s="36" t="s">
        <v>103</v>
      </c>
      <c r="E2641" s="36" t="s">
        <v>105</v>
      </c>
      <c r="F2641" s="36" t="s">
        <v>106</v>
      </c>
      <c r="G2641" s="36" t="s">
        <v>102</v>
      </c>
      <c r="H2641" s="36" t="s">
        <v>104</v>
      </c>
      <c r="I2641" s="36" t="s">
        <v>107</v>
      </c>
      <c r="J2641" s="36">
        <v>842</v>
      </c>
      <c r="K2641" s="36">
        <v>1204.06</v>
      </c>
    </row>
    <row r="2642" spans="1:11" x14ac:dyDescent="0.3">
      <c r="A2642" s="36" t="s">
        <v>90</v>
      </c>
      <c r="B2642" s="36">
        <v>2023</v>
      </c>
      <c r="C2642" s="36" t="s">
        <v>0</v>
      </c>
      <c r="D2642" s="36" t="s">
        <v>103</v>
      </c>
      <c r="E2642" s="36" t="s">
        <v>105</v>
      </c>
      <c r="F2642" s="36" t="s">
        <v>106</v>
      </c>
      <c r="G2642" s="36" t="s">
        <v>102</v>
      </c>
      <c r="H2642" s="36" t="s">
        <v>104</v>
      </c>
      <c r="I2642" s="36" t="s">
        <v>107</v>
      </c>
      <c r="J2642" s="36">
        <v>875</v>
      </c>
      <c r="K2642" s="36">
        <v>1251.25</v>
      </c>
    </row>
    <row r="2643" spans="1:11" x14ac:dyDescent="0.3">
      <c r="A2643" s="36" t="s">
        <v>100</v>
      </c>
      <c r="B2643" s="36">
        <v>2023</v>
      </c>
      <c r="C2643" s="36" t="s">
        <v>0</v>
      </c>
      <c r="D2643" s="36" t="s">
        <v>103</v>
      </c>
      <c r="E2643" s="36" t="s">
        <v>105</v>
      </c>
      <c r="F2643" s="36" t="s">
        <v>106</v>
      </c>
      <c r="G2643" s="36" t="s">
        <v>102</v>
      </c>
      <c r="H2643" s="36" t="s">
        <v>104</v>
      </c>
      <c r="I2643" s="36" t="s">
        <v>107</v>
      </c>
      <c r="J2643" s="36">
        <v>955</v>
      </c>
      <c r="K2643" s="36">
        <v>1365.65</v>
      </c>
    </row>
    <row r="2644" spans="1:11" x14ac:dyDescent="0.3">
      <c r="A2644" s="36" t="s">
        <v>97</v>
      </c>
      <c r="B2644" s="36">
        <v>2023</v>
      </c>
      <c r="C2644" s="36" t="s">
        <v>0</v>
      </c>
      <c r="D2644" s="36" t="s">
        <v>103</v>
      </c>
      <c r="E2644" s="36" t="s">
        <v>105</v>
      </c>
      <c r="F2644" s="36" t="s">
        <v>106</v>
      </c>
      <c r="G2644" s="36" t="s">
        <v>102</v>
      </c>
      <c r="H2644" s="36" t="s">
        <v>104</v>
      </c>
      <c r="I2644" s="36" t="s">
        <v>107</v>
      </c>
      <c r="J2644" s="36">
        <v>956</v>
      </c>
      <c r="K2644" s="36">
        <v>1367.08</v>
      </c>
    </row>
    <row r="2645" spans="1:11" x14ac:dyDescent="0.3">
      <c r="A2645" s="36" t="s">
        <v>97</v>
      </c>
      <c r="B2645" s="36">
        <v>2023</v>
      </c>
      <c r="C2645" s="36" t="s">
        <v>0</v>
      </c>
      <c r="D2645" s="36" t="s">
        <v>103</v>
      </c>
      <c r="E2645" s="36" t="s">
        <v>105</v>
      </c>
      <c r="F2645" s="36" t="s">
        <v>106</v>
      </c>
      <c r="G2645" s="36" t="s">
        <v>102</v>
      </c>
      <c r="H2645" s="36" t="s">
        <v>104</v>
      </c>
      <c r="I2645" s="36" t="s">
        <v>107</v>
      </c>
      <c r="J2645" s="36">
        <v>957</v>
      </c>
      <c r="K2645" s="36">
        <v>1368.51</v>
      </c>
    </row>
    <row r="2646" spans="1:11" x14ac:dyDescent="0.3">
      <c r="A2646" s="36" t="s">
        <v>90</v>
      </c>
      <c r="B2646" s="36">
        <v>2023</v>
      </c>
      <c r="C2646" s="36" t="s">
        <v>0</v>
      </c>
      <c r="D2646" s="36" t="s">
        <v>103</v>
      </c>
      <c r="E2646" s="36" t="s">
        <v>105</v>
      </c>
      <c r="F2646" s="36" t="s">
        <v>106</v>
      </c>
      <c r="G2646" s="36" t="s">
        <v>102</v>
      </c>
      <c r="H2646" s="36" t="s">
        <v>104</v>
      </c>
      <c r="I2646" s="36" t="s">
        <v>107</v>
      </c>
      <c r="J2646" s="36">
        <v>828</v>
      </c>
      <c r="K2646" s="36">
        <v>526.24</v>
      </c>
    </row>
    <row r="2647" spans="1:11" x14ac:dyDescent="0.3">
      <c r="A2647" s="36" t="s">
        <v>97</v>
      </c>
      <c r="B2647" s="36">
        <v>2023</v>
      </c>
      <c r="C2647" s="36" t="s">
        <v>0</v>
      </c>
      <c r="D2647" s="36" t="s">
        <v>103</v>
      </c>
      <c r="E2647" s="36" t="s">
        <v>105</v>
      </c>
      <c r="F2647" s="36" t="s">
        <v>106</v>
      </c>
      <c r="G2647" s="36" t="s">
        <v>102</v>
      </c>
      <c r="H2647" s="36" t="s">
        <v>104</v>
      </c>
      <c r="I2647" s="36" t="s">
        <v>107</v>
      </c>
      <c r="J2647" s="36">
        <v>881</v>
      </c>
      <c r="K2647" s="36">
        <v>526.24</v>
      </c>
    </row>
    <row r="2648" spans="1:11" x14ac:dyDescent="0.3">
      <c r="A2648" s="36" t="s">
        <v>97</v>
      </c>
      <c r="B2648" s="36">
        <v>2023</v>
      </c>
      <c r="C2648" s="36" t="s">
        <v>0</v>
      </c>
      <c r="D2648" s="36" t="s">
        <v>103</v>
      </c>
      <c r="E2648" s="36" t="s">
        <v>105</v>
      </c>
      <c r="F2648" s="36" t="s">
        <v>106</v>
      </c>
      <c r="G2648" s="36" t="s">
        <v>102</v>
      </c>
      <c r="H2648" s="36" t="s">
        <v>104</v>
      </c>
      <c r="I2648" s="36" t="s">
        <v>107</v>
      </c>
      <c r="J2648" s="36">
        <v>279</v>
      </c>
      <c r="K2648" s="36">
        <v>398.97</v>
      </c>
    </row>
    <row r="2649" spans="1:11" x14ac:dyDescent="0.3">
      <c r="A2649" s="36" t="s">
        <v>90</v>
      </c>
      <c r="B2649" s="36">
        <v>2023</v>
      </c>
      <c r="C2649" s="36" t="s">
        <v>0</v>
      </c>
      <c r="D2649" s="36" t="s">
        <v>103</v>
      </c>
      <c r="E2649" s="36" t="s">
        <v>105</v>
      </c>
      <c r="F2649" s="36" t="s">
        <v>106</v>
      </c>
      <c r="G2649" s="36" t="s">
        <v>102</v>
      </c>
      <c r="H2649" s="36" t="s">
        <v>104</v>
      </c>
      <c r="I2649" s="36" t="s">
        <v>107</v>
      </c>
      <c r="J2649" s="36">
        <v>285</v>
      </c>
      <c r="K2649" s="36">
        <v>407.55</v>
      </c>
    </row>
    <row r="2650" spans="1:11" x14ac:dyDescent="0.3">
      <c r="A2650" s="36" t="s">
        <v>97</v>
      </c>
      <c r="B2650" s="36">
        <v>2023</v>
      </c>
      <c r="C2650" s="36" t="s">
        <v>0</v>
      </c>
      <c r="D2650" s="36" t="s">
        <v>103</v>
      </c>
      <c r="E2650" s="36" t="s">
        <v>105</v>
      </c>
      <c r="F2650" s="36" t="s">
        <v>106</v>
      </c>
      <c r="G2650" s="36" t="s">
        <v>102</v>
      </c>
      <c r="H2650" s="36" t="s">
        <v>104</v>
      </c>
      <c r="I2650" s="36" t="s">
        <v>107</v>
      </c>
      <c r="J2650" s="36">
        <v>279</v>
      </c>
      <c r="K2650" s="36">
        <v>398.97</v>
      </c>
    </row>
    <row r="2651" spans="1:11" x14ac:dyDescent="0.3">
      <c r="A2651" s="36" t="s">
        <v>97</v>
      </c>
      <c r="B2651" s="36">
        <v>2023</v>
      </c>
      <c r="C2651" s="36" t="s">
        <v>0</v>
      </c>
      <c r="D2651" s="36" t="s">
        <v>103</v>
      </c>
      <c r="E2651" s="36" t="s">
        <v>105</v>
      </c>
      <c r="F2651" s="36" t="s">
        <v>106</v>
      </c>
      <c r="G2651" s="36" t="s">
        <v>102</v>
      </c>
      <c r="H2651" s="36" t="s">
        <v>104</v>
      </c>
      <c r="I2651" s="36" t="s">
        <v>107</v>
      </c>
      <c r="J2651" s="36">
        <v>273</v>
      </c>
      <c r="K2651" s="36">
        <v>390.39</v>
      </c>
    </row>
    <row r="2652" spans="1:11" x14ac:dyDescent="0.3">
      <c r="A2652" s="36" t="s">
        <v>97</v>
      </c>
      <c r="B2652" s="36">
        <v>2023</v>
      </c>
      <c r="C2652" s="36" t="s">
        <v>0</v>
      </c>
      <c r="D2652" s="36" t="s">
        <v>103</v>
      </c>
      <c r="E2652" s="36" t="s">
        <v>105</v>
      </c>
      <c r="F2652" s="36" t="s">
        <v>106</v>
      </c>
      <c r="G2652" s="36" t="s">
        <v>102</v>
      </c>
      <c r="H2652" s="36" t="s">
        <v>104</v>
      </c>
      <c r="I2652" s="36" t="s">
        <v>107</v>
      </c>
      <c r="J2652" s="36">
        <v>229</v>
      </c>
      <c r="K2652" s="36">
        <v>327.47000000000003</v>
      </c>
    </row>
    <row r="2653" spans="1:11" x14ac:dyDescent="0.3">
      <c r="A2653" s="36" t="s">
        <v>90</v>
      </c>
      <c r="B2653" s="36">
        <v>2023</v>
      </c>
      <c r="C2653" s="36" t="s">
        <v>0</v>
      </c>
      <c r="D2653" s="36" t="s">
        <v>103</v>
      </c>
      <c r="E2653" s="36" t="s">
        <v>105</v>
      </c>
      <c r="F2653" s="36" t="s">
        <v>106</v>
      </c>
      <c r="G2653" s="36" t="s">
        <v>102</v>
      </c>
      <c r="H2653" s="36" t="s">
        <v>104</v>
      </c>
      <c r="I2653" s="36" t="s">
        <v>107</v>
      </c>
      <c r="J2653" s="36">
        <v>277</v>
      </c>
      <c r="K2653" s="36">
        <v>396.11</v>
      </c>
    </row>
    <row r="2654" spans="1:11" x14ac:dyDescent="0.3">
      <c r="A2654" s="36" t="s">
        <v>99</v>
      </c>
      <c r="B2654" s="36">
        <v>2023</v>
      </c>
      <c r="C2654" s="36" t="s">
        <v>0</v>
      </c>
      <c r="D2654" s="36" t="s">
        <v>103</v>
      </c>
      <c r="E2654" s="36" t="s">
        <v>105</v>
      </c>
      <c r="F2654" s="36" t="s">
        <v>106</v>
      </c>
      <c r="G2654" s="36" t="s">
        <v>102</v>
      </c>
      <c r="H2654" s="36" t="s">
        <v>104</v>
      </c>
      <c r="I2654" s="36" t="s">
        <v>107</v>
      </c>
      <c r="J2654" s="36">
        <v>797</v>
      </c>
      <c r="K2654" s="36">
        <v>1139.71</v>
      </c>
    </row>
    <row r="2655" spans="1:11" x14ac:dyDescent="0.3">
      <c r="A2655" s="36" t="s">
        <v>100</v>
      </c>
      <c r="B2655" s="36">
        <v>2023</v>
      </c>
      <c r="C2655" s="36" t="s">
        <v>0</v>
      </c>
      <c r="D2655" s="36" t="s">
        <v>103</v>
      </c>
      <c r="E2655" s="36" t="s">
        <v>105</v>
      </c>
      <c r="F2655" s="36" t="s">
        <v>106</v>
      </c>
      <c r="G2655" s="36" t="s">
        <v>102</v>
      </c>
      <c r="H2655" s="36" t="s">
        <v>104</v>
      </c>
      <c r="I2655" s="36" t="s">
        <v>107</v>
      </c>
      <c r="J2655" s="36">
        <v>850</v>
      </c>
      <c r="K2655" s="36">
        <v>1215.5</v>
      </c>
    </row>
    <row r="2656" spans="1:11" x14ac:dyDescent="0.3">
      <c r="A2656" s="36" t="s">
        <v>90</v>
      </c>
      <c r="B2656" s="36">
        <v>2023</v>
      </c>
      <c r="C2656" s="36" t="s">
        <v>0</v>
      </c>
      <c r="D2656" s="36" t="s">
        <v>103</v>
      </c>
      <c r="E2656" s="36" t="s">
        <v>105</v>
      </c>
      <c r="F2656" s="36" t="s">
        <v>106</v>
      </c>
      <c r="G2656" s="36" t="s">
        <v>102</v>
      </c>
      <c r="H2656" s="36" t="s">
        <v>104</v>
      </c>
      <c r="I2656" s="36" t="s">
        <v>107</v>
      </c>
      <c r="J2656" s="36">
        <v>884</v>
      </c>
      <c r="K2656" s="36">
        <v>1264.1199999999999</v>
      </c>
    </row>
    <row r="2657" spans="1:11" x14ac:dyDescent="0.3">
      <c r="A2657" s="36" t="s">
        <v>99</v>
      </c>
      <c r="B2657" s="36">
        <v>2023</v>
      </c>
      <c r="C2657" s="36" t="s">
        <v>6</v>
      </c>
      <c r="D2657" s="36" t="s">
        <v>103</v>
      </c>
      <c r="E2657" s="36" t="s">
        <v>105</v>
      </c>
      <c r="F2657" s="36" t="s">
        <v>106</v>
      </c>
      <c r="G2657" s="36" t="s">
        <v>102</v>
      </c>
      <c r="H2657" s="36" t="s">
        <v>104</v>
      </c>
      <c r="I2657" s="36" t="s">
        <v>107</v>
      </c>
      <c r="J2657" s="36">
        <v>272</v>
      </c>
      <c r="K2657" s="36">
        <v>388.96</v>
      </c>
    </row>
    <row r="2658" spans="1:11" x14ac:dyDescent="0.3">
      <c r="A2658" s="36" t="s">
        <v>99</v>
      </c>
      <c r="B2658" s="36">
        <v>2023</v>
      </c>
      <c r="C2658" s="36" t="s">
        <v>6</v>
      </c>
      <c r="D2658" s="36" t="s">
        <v>103</v>
      </c>
      <c r="E2658" s="36" t="s">
        <v>105</v>
      </c>
      <c r="F2658" s="36" t="s">
        <v>106</v>
      </c>
      <c r="G2658" s="36" t="s">
        <v>102</v>
      </c>
      <c r="H2658" s="36" t="s">
        <v>104</v>
      </c>
      <c r="I2658" s="36" t="s">
        <v>107</v>
      </c>
      <c r="J2658" s="36">
        <v>274</v>
      </c>
      <c r="K2658" s="36">
        <v>391.82</v>
      </c>
    </row>
    <row r="2659" spans="1:11" x14ac:dyDescent="0.3">
      <c r="A2659" s="36" t="s">
        <v>99</v>
      </c>
      <c r="B2659" s="36">
        <v>2023</v>
      </c>
      <c r="C2659" s="36" t="s">
        <v>6</v>
      </c>
      <c r="D2659" s="36" t="s">
        <v>103</v>
      </c>
      <c r="E2659" s="36" t="s">
        <v>105</v>
      </c>
      <c r="F2659" s="36" t="s">
        <v>106</v>
      </c>
      <c r="G2659" s="36" t="s">
        <v>102</v>
      </c>
      <c r="H2659" s="36" t="s">
        <v>104</v>
      </c>
      <c r="I2659" s="36" t="s">
        <v>107</v>
      </c>
      <c r="J2659" s="36">
        <v>244</v>
      </c>
      <c r="K2659" s="36">
        <v>348.92</v>
      </c>
    </row>
    <row r="2660" spans="1:11" x14ac:dyDescent="0.3">
      <c r="A2660" s="36" t="s">
        <v>97</v>
      </c>
      <c r="B2660" s="36">
        <v>2023</v>
      </c>
      <c r="C2660" s="36" t="s">
        <v>6</v>
      </c>
      <c r="D2660" s="36" t="s">
        <v>103</v>
      </c>
      <c r="E2660" s="36" t="s">
        <v>105</v>
      </c>
      <c r="F2660" s="36" t="s">
        <v>106</v>
      </c>
      <c r="G2660" s="36" t="s">
        <v>102</v>
      </c>
      <c r="H2660" s="36" t="s">
        <v>104</v>
      </c>
      <c r="I2660" s="36" t="s">
        <v>107</v>
      </c>
      <c r="J2660" s="36">
        <v>794</v>
      </c>
      <c r="K2660" s="36">
        <v>1135.42</v>
      </c>
    </row>
    <row r="2661" spans="1:11" x14ac:dyDescent="0.3">
      <c r="A2661" s="36" t="s">
        <v>97</v>
      </c>
      <c r="B2661" s="36">
        <v>2023</v>
      </c>
      <c r="C2661" s="36" t="s">
        <v>6</v>
      </c>
      <c r="D2661" s="36" t="s">
        <v>103</v>
      </c>
      <c r="E2661" s="36" t="s">
        <v>105</v>
      </c>
      <c r="F2661" s="36" t="s">
        <v>106</v>
      </c>
      <c r="G2661" s="36" t="s">
        <v>102</v>
      </c>
      <c r="H2661" s="36" t="s">
        <v>104</v>
      </c>
      <c r="I2661" s="36" t="s">
        <v>107</v>
      </c>
      <c r="J2661" s="36">
        <v>880</v>
      </c>
      <c r="K2661" s="36">
        <v>1258.4000000000001</v>
      </c>
    </row>
    <row r="2662" spans="1:11" x14ac:dyDescent="0.3">
      <c r="A2662" s="36" t="s">
        <v>97</v>
      </c>
      <c r="B2662" s="36">
        <v>2023</v>
      </c>
      <c r="C2662" s="36" t="s">
        <v>6</v>
      </c>
      <c r="D2662" s="36" t="s">
        <v>103</v>
      </c>
      <c r="E2662" s="36" t="s">
        <v>105</v>
      </c>
      <c r="F2662" s="36" t="s">
        <v>106</v>
      </c>
      <c r="G2662" s="36" t="s">
        <v>102</v>
      </c>
      <c r="H2662" s="36" t="s">
        <v>104</v>
      </c>
      <c r="I2662" s="36" t="s">
        <v>107</v>
      </c>
      <c r="J2662" s="36">
        <v>833</v>
      </c>
      <c r="K2662" s="36">
        <v>526.24</v>
      </c>
    </row>
    <row r="2663" spans="1:11" x14ac:dyDescent="0.3">
      <c r="A2663" s="36" t="s">
        <v>97</v>
      </c>
      <c r="B2663" s="36">
        <v>2023</v>
      </c>
      <c r="C2663" s="36" t="s">
        <v>6</v>
      </c>
      <c r="D2663" s="36" t="s">
        <v>103</v>
      </c>
      <c r="E2663" s="36" t="s">
        <v>105</v>
      </c>
      <c r="F2663" s="36" t="s">
        <v>106</v>
      </c>
      <c r="G2663" s="36" t="s">
        <v>102</v>
      </c>
      <c r="H2663" s="36" t="s">
        <v>104</v>
      </c>
      <c r="I2663" s="36" t="s">
        <v>107</v>
      </c>
      <c r="J2663" s="36">
        <v>243</v>
      </c>
      <c r="K2663" s="36">
        <v>347.49</v>
      </c>
    </row>
    <row r="2664" spans="1:11" x14ac:dyDescent="0.3">
      <c r="A2664" s="36" t="s">
        <v>99</v>
      </c>
      <c r="B2664" s="36">
        <v>2023</v>
      </c>
      <c r="C2664" s="36" t="s">
        <v>6</v>
      </c>
      <c r="D2664" s="36" t="s">
        <v>103</v>
      </c>
      <c r="E2664" s="36" t="s">
        <v>105</v>
      </c>
      <c r="F2664" s="36" t="s">
        <v>106</v>
      </c>
      <c r="G2664" s="36" t="s">
        <v>102</v>
      </c>
      <c r="H2664" s="36" t="s">
        <v>104</v>
      </c>
      <c r="I2664" s="36" t="s">
        <v>107</v>
      </c>
      <c r="J2664" s="36">
        <v>271</v>
      </c>
      <c r="K2664" s="36">
        <v>387.53</v>
      </c>
    </row>
    <row r="2665" spans="1:11" x14ac:dyDescent="0.3">
      <c r="A2665" s="36" t="s">
        <v>99</v>
      </c>
      <c r="B2665" s="36">
        <v>2023</v>
      </c>
      <c r="C2665" s="36" t="s">
        <v>6</v>
      </c>
      <c r="D2665" s="36" t="s">
        <v>103</v>
      </c>
      <c r="E2665" s="36" t="s">
        <v>105</v>
      </c>
      <c r="F2665" s="36" t="s">
        <v>106</v>
      </c>
      <c r="G2665" s="36" t="s">
        <v>102</v>
      </c>
      <c r="H2665" s="36" t="s">
        <v>104</v>
      </c>
      <c r="I2665" s="36" t="s">
        <v>107</v>
      </c>
      <c r="J2665" s="36">
        <v>247</v>
      </c>
      <c r="K2665" s="36">
        <v>353.21</v>
      </c>
    </row>
    <row r="2666" spans="1:11" x14ac:dyDescent="0.3">
      <c r="A2666" s="36" t="s">
        <v>99</v>
      </c>
      <c r="B2666" s="36">
        <v>2023</v>
      </c>
      <c r="C2666" s="36" t="s">
        <v>6</v>
      </c>
      <c r="D2666" s="36" t="s">
        <v>103</v>
      </c>
      <c r="E2666" s="36" t="s">
        <v>105</v>
      </c>
      <c r="F2666" s="36" t="s">
        <v>106</v>
      </c>
      <c r="G2666" s="36" t="s">
        <v>102</v>
      </c>
      <c r="H2666" s="36" t="s">
        <v>104</v>
      </c>
      <c r="I2666" s="36" t="s">
        <v>107</v>
      </c>
      <c r="J2666" s="36">
        <v>245</v>
      </c>
      <c r="K2666" s="36">
        <v>350.35</v>
      </c>
    </row>
    <row r="2667" spans="1:11" x14ac:dyDescent="0.3">
      <c r="A2667" s="36" t="s">
        <v>101</v>
      </c>
      <c r="B2667" s="36">
        <v>2023</v>
      </c>
      <c r="C2667" s="36" t="s">
        <v>5</v>
      </c>
      <c r="D2667" s="36" t="s">
        <v>103</v>
      </c>
      <c r="E2667" s="36" t="s">
        <v>105</v>
      </c>
      <c r="F2667" s="36" t="s">
        <v>106</v>
      </c>
      <c r="G2667" s="36" t="s">
        <v>102</v>
      </c>
      <c r="H2667" s="36" t="s">
        <v>104</v>
      </c>
      <c r="I2667" s="36" t="s">
        <v>107</v>
      </c>
      <c r="J2667" s="36">
        <v>278</v>
      </c>
      <c r="K2667" s="36">
        <v>397.53999999999996</v>
      </c>
    </row>
    <row r="2668" spans="1:11" x14ac:dyDescent="0.3">
      <c r="A2668" s="36" t="s">
        <v>90</v>
      </c>
      <c r="B2668" s="36">
        <v>2023</v>
      </c>
      <c r="C2668" s="36" t="s">
        <v>5</v>
      </c>
      <c r="D2668" s="36" t="s">
        <v>103</v>
      </c>
      <c r="E2668" s="36" t="s">
        <v>105</v>
      </c>
      <c r="F2668" s="36" t="s">
        <v>106</v>
      </c>
      <c r="G2668" s="36" t="s">
        <v>102</v>
      </c>
      <c r="H2668" s="36" t="s">
        <v>104</v>
      </c>
      <c r="I2668" s="36" t="s">
        <v>107</v>
      </c>
      <c r="J2668" s="36">
        <v>248</v>
      </c>
      <c r="K2668" s="36">
        <v>354.64</v>
      </c>
    </row>
    <row r="2669" spans="1:11" x14ac:dyDescent="0.3">
      <c r="A2669" s="36" t="s">
        <v>99</v>
      </c>
      <c r="B2669" s="36">
        <v>2023</v>
      </c>
      <c r="C2669" s="36" t="s">
        <v>5</v>
      </c>
      <c r="D2669" s="36" t="s">
        <v>103</v>
      </c>
      <c r="E2669" s="36" t="s">
        <v>105</v>
      </c>
      <c r="F2669" s="36" t="s">
        <v>106</v>
      </c>
      <c r="G2669" s="36" t="s">
        <v>102</v>
      </c>
      <c r="H2669" s="36" t="s">
        <v>104</v>
      </c>
      <c r="I2669" s="36" t="s">
        <v>107</v>
      </c>
      <c r="J2669" s="36">
        <v>280</v>
      </c>
      <c r="K2669" s="36">
        <v>400.4</v>
      </c>
    </row>
    <row r="2670" spans="1:11" x14ac:dyDescent="0.3">
      <c r="A2670" s="36" t="s">
        <v>90</v>
      </c>
      <c r="B2670" s="36">
        <v>2023</v>
      </c>
      <c r="C2670" s="36" t="s">
        <v>5</v>
      </c>
      <c r="D2670" s="36" t="s">
        <v>103</v>
      </c>
      <c r="E2670" s="36" t="s">
        <v>105</v>
      </c>
      <c r="F2670" s="36" t="s">
        <v>106</v>
      </c>
      <c r="G2670" s="36" t="s">
        <v>102</v>
      </c>
      <c r="H2670" s="36" t="s">
        <v>104</v>
      </c>
      <c r="I2670" s="36" t="s">
        <v>107</v>
      </c>
      <c r="J2670" s="36">
        <v>250</v>
      </c>
      <c r="K2670" s="36">
        <v>357.5</v>
      </c>
    </row>
    <row r="2671" spans="1:11" x14ac:dyDescent="0.3">
      <c r="A2671" s="36" t="s">
        <v>97</v>
      </c>
      <c r="B2671" s="36">
        <v>2023</v>
      </c>
      <c r="C2671" s="36" t="s">
        <v>5</v>
      </c>
      <c r="D2671" s="36" t="s">
        <v>103</v>
      </c>
      <c r="E2671" s="36" t="s">
        <v>105</v>
      </c>
      <c r="F2671" s="36" t="s">
        <v>106</v>
      </c>
      <c r="G2671" s="36" t="s">
        <v>102</v>
      </c>
      <c r="H2671" s="36" t="s">
        <v>104</v>
      </c>
      <c r="I2671" s="36" t="s">
        <v>107</v>
      </c>
      <c r="J2671" s="36">
        <v>793</v>
      </c>
      <c r="K2671" s="36">
        <v>1133.99</v>
      </c>
    </row>
    <row r="2672" spans="1:11" x14ac:dyDescent="0.3">
      <c r="A2672" s="36" t="s">
        <v>90</v>
      </c>
      <c r="B2672" s="36">
        <v>2023</v>
      </c>
      <c r="C2672" s="36" t="s">
        <v>5</v>
      </c>
      <c r="D2672" s="36" t="s">
        <v>103</v>
      </c>
      <c r="E2672" s="36" t="s">
        <v>105</v>
      </c>
      <c r="F2672" s="36" t="s">
        <v>106</v>
      </c>
      <c r="G2672" s="36" t="s">
        <v>102</v>
      </c>
      <c r="H2672" s="36" t="s">
        <v>104</v>
      </c>
      <c r="I2672" s="36" t="s">
        <v>107</v>
      </c>
      <c r="J2672" s="36">
        <v>879</v>
      </c>
      <c r="K2672" s="36">
        <v>1256.97</v>
      </c>
    </row>
    <row r="2673" spans="1:11" x14ac:dyDescent="0.3">
      <c r="A2673" s="36" t="s">
        <v>90</v>
      </c>
      <c r="B2673" s="36">
        <v>2023</v>
      </c>
      <c r="C2673" s="36" t="s">
        <v>5</v>
      </c>
      <c r="D2673" s="36" t="s">
        <v>103</v>
      </c>
      <c r="E2673" s="36" t="s">
        <v>105</v>
      </c>
      <c r="F2673" s="36" t="s">
        <v>106</v>
      </c>
      <c r="G2673" s="36" t="s">
        <v>102</v>
      </c>
      <c r="H2673" s="36" t="s">
        <v>104</v>
      </c>
      <c r="I2673" s="36" t="s">
        <v>107</v>
      </c>
      <c r="J2673" s="36">
        <v>832</v>
      </c>
      <c r="K2673" s="36">
        <v>526.24</v>
      </c>
    </row>
    <row r="2674" spans="1:11" x14ac:dyDescent="0.3">
      <c r="A2674" s="36" t="s">
        <v>97</v>
      </c>
      <c r="B2674" s="36">
        <v>2023</v>
      </c>
      <c r="C2674" s="36" t="s">
        <v>5</v>
      </c>
      <c r="D2674" s="36" t="s">
        <v>103</v>
      </c>
      <c r="E2674" s="36" t="s">
        <v>105</v>
      </c>
      <c r="F2674" s="36" t="s">
        <v>106</v>
      </c>
      <c r="G2674" s="36" t="s">
        <v>102</v>
      </c>
      <c r="H2674" s="36" t="s">
        <v>104</v>
      </c>
      <c r="I2674" s="36" t="s">
        <v>107</v>
      </c>
      <c r="J2674" s="36">
        <v>249</v>
      </c>
      <c r="K2674" s="36">
        <v>356.07</v>
      </c>
    </row>
    <row r="2675" spans="1:11" x14ac:dyDescent="0.3">
      <c r="A2675" s="36" t="s">
        <v>90</v>
      </c>
      <c r="B2675" s="36">
        <v>2023</v>
      </c>
      <c r="C2675" s="36" t="s">
        <v>5</v>
      </c>
      <c r="D2675" s="36" t="s">
        <v>103</v>
      </c>
      <c r="E2675" s="36" t="s">
        <v>105</v>
      </c>
      <c r="F2675" s="36" t="s">
        <v>106</v>
      </c>
      <c r="G2675" s="36" t="s">
        <v>102</v>
      </c>
      <c r="H2675" s="36" t="s">
        <v>104</v>
      </c>
      <c r="I2675" s="36" t="s">
        <v>107</v>
      </c>
      <c r="J2675" s="36">
        <v>277</v>
      </c>
      <c r="K2675" s="36">
        <v>396.11</v>
      </c>
    </row>
    <row r="2676" spans="1:11" x14ac:dyDescent="0.3">
      <c r="A2676" s="36" t="s">
        <v>99</v>
      </c>
      <c r="B2676" s="36">
        <v>2023</v>
      </c>
      <c r="C2676" s="36" t="s">
        <v>5</v>
      </c>
      <c r="D2676" s="36" t="s">
        <v>103</v>
      </c>
      <c r="E2676" s="36" t="s">
        <v>105</v>
      </c>
      <c r="F2676" s="36" t="s">
        <v>106</v>
      </c>
      <c r="G2676" s="36" t="s">
        <v>102</v>
      </c>
      <c r="H2676" s="36" t="s">
        <v>104</v>
      </c>
      <c r="I2676" s="36" t="s">
        <v>107</v>
      </c>
      <c r="J2676" s="36">
        <v>253</v>
      </c>
      <c r="K2676" s="36">
        <v>361.78999999999996</v>
      </c>
    </row>
    <row r="2677" spans="1:11" x14ac:dyDescent="0.3">
      <c r="A2677" s="36" t="s">
        <v>90</v>
      </c>
      <c r="B2677" s="36">
        <v>2023</v>
      </c>
      <c r="C2677" s="36" t="s">
        <v>5</v>
      </c>
      <c r="D2677" s="36" t="s">
        <v>103</v>
      </c>
      <c r="E2677" s="36" t="s">
        <v>105</v>
      </c>
      <c r="F2677" s="36" t="s">
        <v>106</v>
      </c>
      <c r="G2677" s="36" t="s">
        <v>102</v>
      </c>
      <c r="H2677" s="36" t="s">
        <v>104</v>
      </c>
      <c r="I2677" s="36" t="s">
        <v>107</v>
      </c>
      <c r="J2677" s="36">
        <v>802</v>
      </c>
      <c r="K2677" s="36">
        <v>1146.8600000000001</v>
      </c>
    </row>
    <row r="2678" spans="1:11" x14ac:dyDescent="0.3">
      <c r="A2678" s="36" t="s">
        <v>101</v>
      </c>
      <c r="B2678" s="36">
        <v>2023</v>
      </c>
      <c r="C2678" s="36" t="s">
        <v>5</v>
      </c>
      <c r="D2678" s="36" t="s">
        <v>103</v>
      </c>
      <c r="E2678" s="36" t="s">
        <v>105</v>
      </c>
      <c r="F2678" s="36" t="s">
        <v>106</v>
      </c>
      <c r="G2678" s="36" t="s">
        <v>102</v>
      </c>
      <c r="H2678" s="36" t="s">
        <v>104</v>
      </c>
      <c r="I2678" s="36" t="s">
        <v>107</v>
      </c>
      <c r="J2678" s="36">
        <v>251</v>
      </c>
      <c r="K2678" s="36">
        <v>358.93</v>
      </c>
    </row>
    <row r="2679" spans="1:11" x14ac:dyDescent="0.3">
      <c r="A2679" s="36" t="s">
        <v>99</v>
      </c>
      <c r="B2679" s="36">
        <v>2023</v>
      </c>
      <c r="C2679" s="36" t="s">
        <v>2</v>
      </c>
      <c r="D2679" s="36" t="s">
        <v>103</v>
      </c>
      <c r="E2679" s="36" t="s">
        <v>105</v>
      </c>
      <c r="F2679" s="36" t="s">
        <v>106</v>
      </c>
      <c r="G2679" s="36" t="s">
        <v>102</v>
      </c>
      <c r="H2679" s="36" t="s">
        <v>104</v>
      </c>
      <c r="I2679" s="36" t="s">
        <v>107</v>
      </c>
      <c r="J2679" s="36">
        <v>296</v>
      </c>
      <c r="K2679" s="36">
        <v>423.28</v>
      </c>
    </row>
    <row r="2680" spans="1:11" x14ac:dyDescent="0.3">
      <c r="A2680" s="36" t="s">
        <v>99</v>
      </c>
      <c r="B2680" s="36">
        <v>2023</v>
      </c>
      <c r="C2680" s="36" t="s">
        <v>2</v>
      </c>
      <c r="D2680" s="36" t="s">
        <v>103</v>
      </c>
      <c r="E2680" s="36" t="s">
        <v>105</v>
      </c>
      <c r="F2680" s="36" t="s">
        <v>106</v>
      </c>
      <c r="G2680" s="36" t="s">
        <v>102</v>
      </c>
      <c r="H2680" s="36" t="s">
        <v>104</v>
      </c>
      <c r="I2680" s="36" t="s">
        <v>107</v>
      </c>
      <c r="J2680" s="36">
        <v>266</v>
      </c>
      <c r="K2680" s="36">
        <v>380.38</v>
      </c>
    </row>
    <row r="2681" spans="1:11" x14ac:dyDescent="0.3">
      <c r="A2681" s="36" t="s">
        <v>97</v>
      </c>
      <c r="B2681" s="36">
        <v>2023</v>
      </c>
      <c r="C2681" s="36" t="s">
        <v>2</v>
      </c>
      <c r="D2681" s="36" t="s">
        <v>103</v>
      </c>
      <c r="E2681" s="36" t="s">
        <v>105</v>
      </c>
      <c r="F2681" s="36" t="s">
        <v>106</v>
      </c>
      <c r="G2681" s="36" t="s">
        <v>102</v>
      </c>
      <c r="H2681" s="36" t="s">
        <v>104</v>
      </c>
      <c r="I2681" s="36" t="s">
        <v>107</v>
      </c>
      <c r="J2681" s="36">
        <v>292</v>
      </c>
      <c r="K2681" s="36">
        <v>417.56</v>
      </c>
    </row>
    <row r="2682" spans="1:11" x14ac:dyDescent="0.3">
      <c r="A2682" s="36" t="s">
        <v>99</v>
      </c>
      <c r="B2682" s="36">
        <v>2023</v>
      </c>
      <c r="C2682" s="36" t="s">
        <v>2</v>
      </c>
      <c r="D2682" s="36" t="s">
        <v>103</v>
      </c>
      <c r="E2682" s="36" t="s">
        <v>105</v>
      </c>
      <c r="F2682" s="36" t="s">
        <v>106</v>
      </c>
      <c r="G2682" s="36" t="s">
        <v>102</v>
      </c>
      <c r="H2682" s="36" t="s">
        <v>104</v>
      </c>
      <c r="I2682" s="36" t="s">
        <v>107</v>
      </c>
      <c r="J2682" s="36">
        <v>268</v>
      </c>
      <c r="K2682" s="36">
        <v>383.24</v>
      </c>
    </row>
    <row r="2683" spans="1:11" x14ac:dyDescent="0.3">
      <c r="A2683" s="36" t="s">
        <v>99</v>
      </c>
      <c r="B2683" s="36">
        <v>2023</v>
      </c>
      <c r="C2683" s="36" t="s">
        <v>2</v>
      </c>
      <c r="D2683" s="36" t="s">
        <v>103</v>
      </c>
      <c r="E2683" s="36" t="s">
        <v>105</v>
      </c>
      <c r="F2683" s="36" t="s">
        <v>106</v>
      </c>
      <c r="G2683" s="36" t="s">
        <v>102</v>
      </c>
      <c r="H2683" s="36" t="s">
        <v>104</v>
      </c>
      <c r="I2683" s="36" t="s">
        <v>107</v>
      </c>
      <c r="J2683" s="36">
        <v>790</v>
      </c>
      <c r="K2683" s="36">
        <v>1129.7</v>
      </c>
    </row>
    <row r="2684" spans="1:11" x14ac:dyDescent="0.3">
      <c r="A2684" s="36" t="s">
        <v>97</v>
      </c>
      <c r="B2684" s="36">
        <v>2023</v>
      </c>
      <c r="C2684" s="36" t="s">
        <v>2</v>
      </c>
      <c r="D2684" s="36" t="s">
        <v>103</v>
      </c>
      <c r="E2684" s="36" t="s">
        <v>105</v>
      </c>
      <c r="F2684" s="36" t="s">
        <v>106</v>
      </c>
      <c r="G2684" s="36" t="s">
        <v>102</v>
      </c>
      <c r="H2684" s="36" t="s">
        <v>104</v>
      </c>
      <c r="I2684" s="36" t="s">
        <v>107</v>
      </c>
      <c r="J2684" s="36">
        <v>877</v>
      </c>
      <c r="K2684" s="36">
        <v>1254.1100000000001</v>
      </c>
    </row>
    <row r="2685" spans="1:11" x14ac:dyDescent="0.3">
      <c r="A2685" s="36" t="s">
        <v>97</v>
      </c>
      <c r="B2685" s="36">
        <v>2023</v>
      </c>
      <c r="C2685" s="36" t="s">
        <v>2</v>
      </c>
      <c r="D2685" s="36" t="s">
        <v>103</v>
      </c>
      <c r="E2685" s="36" t="s">
        <v>105</v>
      </c>
      <c r="F2685" s="36" t="s">
        <v>106</v>
      </c>
      <c r="G2685" s="36" t="s">
        <v>102</v>
      </c>
      <c r="H2685" s="36" t="s">
        <v>104</v>
      </c>
      <c r="I2685" s="36" t="s">
        <v>107</v>
      </c>
      <c r="J2685" s="36">
        <v>830</v>
      </c>
      <c r="K2685" s="36">
        <v>526.24</v>
      </c>
    </row>
    <row r="2686" spans="1:11" x14ac:dyDescent="0.3">
      <c r="A2686" s="36" t="s">
        <v>99</v>
      </c>
      <c r="B2686" s="36">
        <v>2023</v>
      </c>
      <c r="C2686" s="36" t="s">
        <v>2</v>
      </c>
      <c r="D2686" s="36" t="s">
        <v>103</v>
      </c>
      <c r="E2686" s="36" t="s">
        <v>105</v>
      </c>
      <c r="F2686" s="36" t="s">
        <v>106</v>
      </c>
      <c r="G2686" s="36" t="s">
        <v>102</v>
      </c>
      <c r="H2686" s="36" t="s">
        <v>104</v>
      </c>
      <c r="I2686" s="36" t="s">
        <v>107</v>
      </c>
      <c r="J2686" s="36">
        <v>267</v>
      </c>
      <c r="K2686" s="36">
        <v>381.81</v>
      </c>
    </row>
    <row r="2687" spans="1:11" x14ac:dyDescent="0.3">
      <c r="A2687" s="36" t="s">
        <v>99</v>
      </c>
      <c r="B2687" s="36">
        <v>2023</v>
      </c>
      <c r="C2687" s="36" t="s">
        <v>2</v>
      </c>
      <c r="D2687" s="36" t="s">
        <v>103</v>
      </c>
      <c r="E2687" s="36" t="s">
        <v>105</v>
      </c>
      <c r="F2687" s="36" t="s">
        <v>106</v>
      </c>
      <c r="G2687" s="36" t="s">
        <v>102</v>
      </c>
      <c r="H2687" s="36" t="s">
        <v>104</v>
      </c>
      <c r="I2687" s="36" t="s">
        <v>107</v>
      </c>
      <c r="J2687" s="36">
        <v>295</v>
      </c>
      <c r="K2687" s="36">
        <v>421.85</v>
      </c>
    </row>
    <row r="2688" spans="1:11" x14ac:dyDescent="0.3">
      <c r="A2688" s="36" t="s">
        <v>97</v>
      </c>
      <c r="B2688" s="36">
        <v>2023</v>
      </c>
      <c r="C2688" s="36" t="s">
        <v>2</v>
      </c>
      <c r="D2688" s="36" t="s">
        <v>103</v>
      </c>
      <c r="E2688" s="36" t="s">
        <v>105</v>
      </c>
      <c r="F2688" s="36" t="s">
        <v>106</v>
      </c>
      <c r="G2688" s="36" t="s">
        <v>102</v>
      </c>
      <c r="H2688" s="36" t="s">
        <v>104</v>
      </c>
      <c r="I2688" s="36" t="s">
        <v>107</v>
      </c>
      <c r="J2688" s="36">
        <v>265</v>
      </c>
      <c r="K2688" s="36">
        <v>378.95</v>
      </c>
    </row>
    <row r="2689" spans="1:11" x14ac:dyDescent="0.3">
      <c r="A2689" s="36" t="s">
        <v>99</v>
      </c>
      <c r="B2689" s="36">
        <v>2023</v>
      </c>
      <c r="C2689" s="36" t="s">
        <v>2</v>
      </c>
      <c r="D2689" s="36" t="s">
        <v>103</v>
      </c>
      <c r="E2689" s="36" t="s">
        <v>105</v>
      </c>
      <c r="F2689" s="36" t="s">
        <v>106</v>
      </c>
      <c r="G2689" s="36" t="s">
        <v>102</v>
      </c>
      <c r="H2689" s="36" t="s">
        <v>104</v>
      </c>
      <c r="I2689" s="36" t="s">
        <v>107</v>
      </c>
      <c r="J2689" s="36">
        <v>799</v>
      </c>
      <c r="K2689" s="36">
        <v>1142.57</v>
      </c>
    </row>
    <row r="2690" spans="1:11" x14ac:dyDescent="0.3">
      <c r="A2690" s="36" t="s">
        <v>99</v>
      </c>
      <c r="B2690" s="36">
        <v>2023</v>
      </c>
      <c r="C2690" s="36" t="s">
        <v>2</v>
      </c>
      <c r="D2690" s="36" t="s">
        <v>103</v>
      </c>
      <c r="E2690" s="36" t="s">
        <v>105</v>
      </c>
      <c r="F2690" s="36" t="s">
        <v>106</v>
      </c>
      <c r="G2690" s="36" t="s">
        <v>102</v>
      </c>
      <c r="H2690" s="36" t="s">
        <v>104</v>
      </c>
      <c r="I2690" s="36" t="s">
        <v>107</v>
      </c>
      <c r="J2690" s="36">
        <v>885</v>
      </c>
      <c r="K2690" s="36">
        <v>1265.55</v>
      </c>
    </row>
    <row r="2691" spans="1:11" x14ac:dyDescent="0.3">
      <c r="A2691" s="36" t="s">
        <v>97</v>
      </c>
      <c r="B2691" s="36">
        <v>2023</v>
      </c>
      <c r="C2691" s="36" t="s">
        <v>4</v>
      </c>
      <c r="D2691" s="36" t="s">
        <v>103</v>
      </c>
      <c r="E2691" s="36" t="s">
        <v>105</v>
      </c>
      <c r="F2691" s="36" t="s">
        <v>106</v>
      </c>
      <c r="G2691" s="36" t="s">
        <v>102</v>
      </c>
      <c r="H2691" s="36" t="s">
        <v>104</v>
      </c>
      <c r="I2691" s="36" t="s">
        <v>107</v>
      </c>
      <c r="J2691" s="36">
        <v>284</v>
      </c>
      <c r="K2691" s="36">
        <v>406.12</v>
      </c>
    </row>
    <row r="2692" spans="1:11" x14ac:dyDescent="0.3">
      <c r="A2692" s="36" t="s">
        <v>99</v>
      </c>
      <c r="B2692" s="36">
        <v>2023</v>
      </c>
      <c r="C2692" s="36" t="s">
        <v>4</v>
      </c>
      <c r="D2692" s="36" t="s">
        <v>103</v>
      </c>
      <c r="E2692" s="36" t="s">
        <v>105</v>
      </c>
      <c r="F2692" s="36" t="s">
        <v>106</v>
      </c>
      <c r="G2692" s="36" t="s">
        <v>102</v>
      </c>
      <c r="H2692" s="36" t="s">
        <v>104</v>
      </c>
      <c r="I2692" s="36" t="s">
        <v>107</v>
      </c>
      <c r="J2692" s="36">
        <v>254</v>
      </c>
      <c r="K2692" s="36">
        <v>363.22</v>
      </c>
    </row>
    <row r="2693" spans="1:11" x14ac:dyDescent="0.3">
      <c r="A2693" s="36" t="s">
        <v>97</v>
      </c>
      <c r="B2693" s="36">
        <v>2023</v>
      </c>
      <c r="C2693" s="36" t="s">
        <v>4</v>
      </c>
      <c r="D2693" s="36" t="s">
        <v>103</v>
      </c>
      <c r="E2693" s="36" t="s">
        <v>105</v>
      </c>
      <c r="F2693" s="36" t="s">
        <v>106</v>
      </c>
      <c r="G2693" s="36" t="s">
        <v>102</v>
      </c>
      <c r="H2693" s="36" t="s">
        <v>104</v>
      </c>
      <c r="I2693" s="36" t="s">
        <v>107</v>
      </c>
      <c r="J2693" s="36">
        <v>256</v>
      </c>
      <c r="K2693" s="36">
        <v>366.08</v>
      </c>
    </row>
    <row r="2694" spans="1:11" x14ac:dyDescent="0.3">
      <c r="A2694" s="36" t="s">
        <v>97</v>
      </c>
      <c r="B2694" s="36">
        <v>2023</v>
      </c>
      <c r="C2694" s="36" t="s">
        <v>4</v>
      </c>
      <c r="D2694" s="36" t="s">
        <v>103</v>
      </c>
      <c r="E2694" s="36" t="s">
        <v>105</v>
      </c>
      <c r="F2694" s="36" t="s">
        <v>106</v>
      </c>
      <c r="G2694" s="36" t="s">
        <v>102</v>
      </c>
      <c r="H2694" s="36" t="s">
        <v>104</v>
      </c>
      <c r="I2694" s="36" t="s">
        <v>107</v>
      </c>
      <c r="J2694" s="36">
        <v>792</v>
      </c>
      <c r="K2694" s="36">
        <v>1132.56</v>
      </c>
    </row>
    <row r="2695" spans="1:11" x14ac:dyDescent="0.3">
      <c r="A2695" s="36" t="s">
        <v>97</v>
      </c>
      <c r="B2695" s="36">
        <v>2023</v>
      </c>
      <c r="C2695" s="36" t="s">
        <v>4</v>
      </c>
      <c r="D2695" s="36" t="s">
        <v>103</v>
      </c>
      <c r="E2695" s="36" t="s">
        <v>105</v>
      </c>
      <c r="F2695" s="36" t="s">
        <v>106</v>
      </c>
      <c r="G2695" s="36" t="s">
        <v>102</v>
      </c>
      <c r="H2695" s="36" t="s">
        <v>104</v>
      </c>
      <c r="I2695" s="36" t="s">
        <v>107</v>
      </c>
      <c r="J2695" s="36">
        <v>878</v>
      </c>
      <c r="K2695" s="36">
        <v>1255.54</v>
      </c>
    </row>
    <row r="2696" spans="1:11" x14ac:dyDescent="0.3">
      <c r="A2696" s="36" t="s">
        <v>97</v>
      </c>
      <c r="B2696" s="36">
        <v>2023</v>
      </c>
      <c r="C2696" s="36" t="s">
        <v>4</v>
      </c>
      <c r="D2696" s="36" t="s">
        <v>103</v>
      </c>
      <c r="E2696" s="36" t="s">
        <v>105</v>
      </c>
      <c r="F2696" s="36" t="s">
        <v>106</v>
      </c>
      <c r="G2696" s="36" t="s">
        <v>102</v>
      </c>
      <c r="H2696" s="36" t="s">
        <v>104</v>
      </c>
      <c r="I2696" s="36" t="s">
        <v>107</v>
      </c>
      <c r="J2696" s="36">
        <v>831</v>
      </c>
      <c r="K2696" s="36">
        <v>526.24</v>
      </c>
    </row>
    <row r="2697" spans="1:11" x14ac:dyDescent="0.3">
      <c r="A2697" s="36" t="s">
        <v>97</v>
      </c>
      <c r="B2697" s="36">
        <v>2023</v>
      </c>
      <c r="C2697" s="36" t="s">
        <v>4</v>
      </c>
      <c r="D2697" s="36" t="s">
        <v>103</v>
      </c>
      <c r="E2697" s="36" t="s">
        <v>105</v>
      </c>
      <c r="F2697" s="36" t="s">
        <v>106</v>
      </c>
      <c r="G2697" s="36" t="s">
        <v>102</v>
      </c>
      <c r="H2697" s="36" t="s">
        <v>104</v>
      </c>
      <c r="I2697" s="36" t="s">
        <v>107</v>
      </c>
      <c r="J2697" s="36">
        <v>255</v>
      </c>
      <c r="K2697" s="36">
        <v>364.65</v>
      </c>
    </row>
    <row r="2698" spans="1:11" x14ac:dyDescent="0.3">
      <c r="A2698" s="36" t="s">
        <v>97</v>
      </c>
      <c r="B2698" s="36">
        <v>2023</v>
      </c>
      <c r="C2698" s="36" t="s">
        <v>4</v>
      </c>
      <c r="D2698" s="36" t="s">
        <v>103</v>
      </c>
      <c r="E2698" s="36" t="s">
        <v>105</v>
      </c>
      <c r="F2698" s="36" t="s">
        <v>106</v>
      </c>
      <c r="G2698" s="36" t="s">
        <v>102</v>
      </c>
      <c r="H2698" s="36" t="s">
        <v>104</v>
      </c>
      <c r="I2698" s="36" t="s">
        <v>107</v>
      </c>
      <c r="J2698" s="36">
        <v>283</v>
      </c>
      <c r="K2698" s="36">
        <v>404.69</v>
      </c>
    </row>
    <row r="2699" spans="1:11" x14ac:dyDescent="0.3">
      <c r="A2699" s="36" t="s">
        <v>99</v>
      </c>
      <c r="B2699" s="36">
        <v>2023</v>
      </c>
      <c r="C2699" s="36" t="s">
        <v>4</v>
      </c>
      <c r="D2699" s="36" t="s">
        <v>103</v>
      </c>
      <c r="E2699" s="36" t="s">
        <v>105</v>
      </c>
      <c r="F2699" s="36" t="s">
        <v>106</v>
      </c>
      <c r="G2699" s="36" t="s">
        <v>102</v>
      </c>
      <c r="H2699" s="36" t="s">
        <v>104</v>
      </c>
      <c r="I2699" s="36" t="s">
        <v>107</v>
      </c>
      <c r="J2699" s="36">
        <v>801</v>
      </c>
      <c r="K2699" s="36">
        <v>1145.43</v>
      </c>
    </row>
    <row r="2700" spans="1:11" x14ac:dyDescent="0.3">
      <c r="A2700" s="36" t="s">
        <v>97</v>
      </c>
      <c r="B2700" s="36">
        <v>2023</v>
      </c>
      <c r="C2700" s="36" t="s">
        <v>4</v>
      </c>
      <c r="D2700" s="36" t="s">
        <v>103</v>
      </c>
      <c r="E2700" s="36" t="s">
        <v>105</v>
      </c>
      <c r="F2700" s="36" t="s">
        <v>106</v>
      </c>
      <c r="G2700" s="36" t="s">
        <v>102</v>
      </c>
      <c r="H2700" s="36" t="s">
        <v>104</v>
      </c>
      <c r="I2700" s="36" t="s">
        <v>107</v>
      </c>
      <c r="J2700" s="36">
        <v>257</v>
      </c>
      <c r="K2700" s="36">
        <v>367.51</v>
      </c>
    </row>
    <row r="2701" spans="1:11" x14ac:dyDescent="0.3">
      <c r="A2701" s="36" t="s">
        <v>90</v>
      </c>
      <c r="B2701" s="36">
        <v>2023</v>
      </c>
      <c r="C2701" s="36" t="s">
        <v>10</v>
      </c>
      <c r="D2701" s="36" t="s">
        <v>103</v>
      </c>
      <c r="E2701" s="36" t="s">
        <v>105</v>
      </c>
      <c r="F2701" s="36" t="s">
        <v>106</v>
      </c>
      <c r="G2701" s="36" t="s">
        <v>102</v>
      </c>
      <c r="H2701" s="36" t="s">
        <v>104</v>
      </c>
      <c r="I2701" s="36" t="s">
        <v>107</v>
      </c>
      <c r="J2701" s="36">
        <v>224</v>
      </c>
      <c r="K2701" s="36">
        <v>320.32</v>
      </c>
    </row>
    <row r="2702" spans="1:11" x14ac:dyDescent="0.3">
      <c r="A2702" s="36" t="s">
        <v>90</v>
      </c>
      <c r="B2702" s="36">
        <v>2023</v>
      </c>
      <c r="C2702" s="36" t="s">
        <v>10</v>
      </c>
      <c r="D2702" s="36" t="s">
        <v>103</v>
      </c>
      <c r="E2702" s="36" t="s">
        <v>105</v>
      </c>
      <c r="F2702" s="36" t="s">
        <v>106</v>
      </c>
      <c r="G2702" s="36" t="s">
        <v>102</v>
      </c>
      <c r="H2702" s="36" t="s">
        <v>104</v>
      </c>
      <c r="I2702" s="36" t="s">
        <v>107</v>
      </c>
      <c r="J2702" s="36">
        <v>250</v>
      </c>
      <c r="K2702" s="36">
        <v>357.5</v>
      </c>
    </row>
    <row r="2703" spans="1:11" x14ac:dyDescent="0.3">
      <c r="A2703" s="36" t="s">
        <v>90</v>
      </c>
      <c r="B2703" s="36">
        <v>2023</v>
      </c>
      <c r="C2703" s="36" t="s">
        <v>10</v>
      </c>
      <c r="D2703" s="36" t="s">
        <v>103</v>
      </c>
      <c r="E2703" s="36" t="s">
        <v>105</v>
      </c>
      <c r="F2703" s="36" t="s">
        <v>106</v>
      </c>
      <c r="G2703" s="36" t="s">
        <v>102</v>
      </c>
      <c r="H2703" s="36" t="s">
        <v>104</v>
      </c>
      <c r="I2703" s="36" t="s">
        <v>107</v>
      </c>
      <c r="J2703" s="36">
        <v>226</v>
      </c>
      <c r="K2703" s="36">
        <v>323.18</v>
      </c>
    </row>
    <row r="2704" spans="1:11" x14ac:dyDescent="0.3">
      <c r="A2704" s="36" t="s">
        <v>90</v>
      </c>
      <c r="B2704" s="36">
        <v>2023</v>
      </c>
      <c r="C2704" s="36" t="s">
        <v>10</v>
      </c>
      <c r="D2704" s="36" t="s">
        <v>103</v>
      </c>
      <c r="E2704" s="36" t="s">
        <v>105</v>
      </c>
      <c r="F2704" s="36" t="s">
        <v>106</v>
      </c>
      <c r="G2704" s="36" t="s">
        <v>102</v>
      </c>
      <c r="H2704" s="36" t="s">
        <v>104</v>
      </c>
      <c r="I2704" s="36" t="s">
        <v>107</v>
      </c>
      <c r="J2704" s="36">
        <v>797</v>
      </c>
      <c r="K2704" s="36">
        <v>1139.71</v>
      </c>
    </row>
    <row r="2705" spans="1:11" x14ac:dyDescent="0.3">
      <c r="A2705" s="36" t="s">
        <v>90</v>
      </c>
      <c r="B2705" s="36">
        <v>2023</v>
      </c>
      <c r="C2705" s="36" t="s">
        <v>10</v>
      </c>
      <c r="D2705" s="36" t="s">
        <v>103</v>
      </c>
      <c r="E2705" s="36" t="s">
        <v>105</v>
      </c>
      <c r="F2705" s="36" t="s">
        <v>106</v>
      </c>
      <c r="G2705" s="36" t="s">
        <v>102</v>
      </c>
      <c r="H2705" s="36" t="s">
        <v>104</v>
      </c>
      <c r="I2705" s="36" t="s">
        <v>107</v>
      </c>
      <c r="J2705" s="36">
        <v>884</v>
      </c>
      <c r="K2705" s="36">
        <v>1264.1199999999999</v>
      </c>
    </row>
    <row r="2706" spans="1:11" x14ac:dyDescent="0.3">
      <c r="A2706" s="36" t="s">
        <v>90</v>
      </c>
      <c r="B2706" s="36">
        <v>2023</v>
      </c>
      <c r="C2706" s="36" t="s">
        <v>10</v>
      </c>
      <c r="D2706" s="36" t="s">
        <v>103</v>
      </c>
      <c r="E2706" s="36" t="s">
        <v>105</v>
      </c>
      <c r="F2706" s="36" t="s">
        <v>106</v>
      </c>
      <c r="G2706" s="36" t="s">
        <v>102</v>
      </c>
      <c r="H2706" s="36" t="s">
        <v>104</v>
      </c>
      <c r="I2706" s="36" t="s">
        <v>107</v>
      </c>
      <c r="J2706" s="36">
        <v>837</v>
      </c>
      <c r="K2706" s="36">
        <v>526.24</v>
      </c>
    </row>
    <row r="2707" spans="1:11" x14ac:dyDescent="0.3">
      <c r="A2707" s="36" t="s">
        <v>90</v>
      </c>
      <c r="B2707" s="36">
        <v>2023</v>
      </c>
      <c r="C2707" s="36" t="s">
        <v>10</v>
      </c>
      <c r="D2707" s="36" t="s">
        <v>103</v>
      </c>
      <c r="E2707" s="36" t="s">
        <v>105</v>
      </c>
      <c r="F2707" s="36" t="s">
        <v>106</v>
      </c>
      <c r="G2707" s="36" t="s">
        <v>102</v>
      </c>
      <c r="H2707" s="36" t="s">
        <v>104</v>
      </c>
      <c r="I2707" s="36" t="s">
        <v>107</v>
      </c>
      <c r="J2707" s="36">
        <v>225</v>
      </c>
      <c r="K2707" s="36">
        <v>321.75</v>
      </c>
    </row>
    <row r="2708" spans="1:11" x14ac:dyDescent="0.3">
      <c r="A2708" s="36" t="s">
        <v>90</v>
      </c>
      <c r="B2708" s="36">
        <v>2023</v>
      </c>
      <c r="C2708" s="36" t="s">
        <v>10</v>
      </c>
      <c r="D2708" s="36" t="s">
        <v>103</v>
      </c>
      <c r="E2708" s="36" t="s">
        <v>105</v>
      </c>
      <c r="F2708" s="36" t="s">
        <v>106</v>
      </c>
      <c r="G2708" s="36" t="s">
        <v>102</v>
      </c>
      <c r="H2708" s="36" t="s">
        <v>104</v>
      </c>
      <c r="I2708" s="36" t="s">
        <v>107</v>
      </c>
      <c r="J2708" s="36">
        <v>253</v>
      </c>
      <c r="K2708" s="36">
        <v>361.78999999999996</v>
      </c>
    </row>
    <row r="2709" spans="1:11" x14ac:dyDescent="0.3">
      <c r="A2709" s="36" t="s">
        <v>90</v>
      </c>
      <c r="B2709" s="36">
        <v>2023</v>
      </c>
      <c r="C2709" s="36" t="s">
        <v>10</v>
      </c>
      <c r="D2709" s="36" t="s">
        <v>103</v>
      </c>
      <c r="E2709" s="36" t="s">
        <v>105</v>
      </c>
      <c r="F2709" s="36" t="s">
        <v>106</v>
      </c>
      <c r="G2709" s="36" t="s">
        <v>102</v>
      </c>
      <c r="H2709" s="36" t="s">
        <v>104</v>
      </c>
      <c r="I2709" s="36" t="s">
        <v>107</v>
      </c>
      <c r="J2709" s="36">
        <v>223</v>
      </c>
      <c r="K2709" s="36">
        <v>318.89</v>
      </c>
    </row>
    <row r="2710" spans="1:11" x14ac:dyDescent="0.3">
      <c r="A2710" s="36" t="s">
        <v>90</v>
      </c>
      <c r="B2710" s="36">
        <v>2023</v>
      </c>
      <c r="C2710" s="36" t="s">
        <v>10</v>
      </c>
      <c r="D2710" s="36" t="s">
        <v>103</v>
      </c>
      <c r="E2710" s="36" t="s">
        <v>105</v>
      </c>
      <c r="F2710" s="36" t="s">
        <v>106</v>
      </c>
      <c r="G2710" s="36" t="s">
        <v>102</v>
      </c>
      <c r="H2710" s="36" t="s">
        <v>104</v>
      </c>
      <c r="I2710" s="36" t="s">
        <v>107</v>
      </c>
      <c r="J2710" s="36">
        <v>806</v>
      </c>
      <c r="K2710" s="36">
        <v>1152.58</v>
      </c>
    </row>
    <row r="2711" spans="1:11" x14ac:dyDescent="0.3">
      <c r="A2711" s="36" t="s">
        <v>97</v>
      </c>
      <c r="B2711" s="36">
        <v>2023</v>
      </c>
      <c r="C2711" s="36" t="s">
        <v>9</v>
      </c>
      <c r="D2711" s="36" t="s">
        <v>103</v>
      </c>
      <c r="E2711" s="36" t="s">
        <v>105</v>
      </c>
      <c r="F2711" s="36" t="s">
        <v>106</v>
      </c>
      <c r="G2711" s="36" t="s">
        <v>102</v>
      </c>
      <c r="H2711" s="36" t="s">
        <v>104</v>
      </c>
      <c r="I2711" s="36" t="s">
        <v>107</v>
      </c>
      <c r="J2711" s="36">
        <v>254</v>
      </c>
      <c r="K2711" s="36">
        <v>363.22</v>
      </c>
    </row>
    <row r="2712" spans="1:11" x14ac:dyDescent="0.3">
      <c r="A2712" s="36" t="s">
        <v>97</v>
      </c>
      <c r="B2712" s="36">
        <v>2023</v>
      </c>
      <c r="C2712" s="36" t="s">
        <v>9</v>
      </c>
      <c r="D2712" s="36" t="s">
        <v>103</v>
      </c>
      <c r="E2712" s="36" t="s">
        <v>105</v>
      </c>
      <c r="F2712" s="36" t="s">
        <v>106</v>
      </c>
      <c r="G2712" s="36" t="s">
        <v>102</v>
      </c>
      <c r="H2712" s="36" t="s">
        <v>104</v>
      </c>
      <c r="I2712" s="36" t="s">
        <v>107</v>
      </c>
      <c r="J2712" s="36">
        <v>230</v>
      </c>
      <c r="K2712" s="36">
        <v>328.9</v>
      </c>
    </row>
    <row r="2713" spans="1:11" x14ac:dyDescent="0.3">
      <c r="A2713" s="36" t="s">
        <v>97</v>
      </c>
      <c r="B2713" s="36">
        <v>2023</v>
      </c>
      <c r="C2713" s="36" t="s">
        <v>9</v>
      </c>
      <c r="D2713" s="36" t="s">
        <v>103</v>
      </c>
      <c r="E2713" s="36" t="s">
        <v>105</v>
      </c>
      <c r="F2713" s="36" t="s">
        <v>106</v>
      </c>
      <c r="G2713" s="36" t="s">
        <v>102</v>
      </c>
      <c r="H2713" s="36" t="s">
        <v>104</v>
      </c>
      <c r="I2713" s="36" t="s">
        <v>107</v>
      </c>
      <c r="J2713" s="36">
        <v>256</v>
      </c>
      <c r="K2713" s="36">
        <v>366.08</v>
      </c>
    </row>
    <row r="2714" spans="1:11" x14ac:dyDescent="0.3">
      <c r="A2714" s="36" t="s">
        <v>97</v>
      </c>
      <c r="B2714" s="36">
        <v>2023</v>
      </c>
      <c r="C2714" s="36" t="s">
        <v>9</v>
      </c>
      <c r="D2714" s="36" t="s">
        <v>103</v>
      </c>
      <c r="E2714" s="36" t="s">
        <v>105</v>
      </c>
      <c r="F2714" s="36" t="s">
        <v>106</v>
      </c>
      <c r="G2714" s="36" t="s">
        <v>102</v>
      </c>
      <c r="H2714" s="36" t="s">
        <v>104</v>
      </c>
      <c r="I2714" s="36" t="s">
        <v>107</v>
      </c>
      <c r="J2714" s="36">
        <v>796</v>
      </c>
      <c r="K2714" s="36">
        <v>1138.28</v>
      </c>
    </row>
    <row r="2715" spans="1:11" x14ac:dyDescent="0.3">
      <c r="A2715" s="36" t="s">
        <v>90</v>
      </c>
      <c r="B2715" s="36">
        <v>2023</v>
      </c>
      <c r="C2715" s="36" t="s">
        <v>9</v>
      </c>
      <c r="D2715" s="36" t="s">
        <v>103</v>
      </c>
      <c r="E2715" s="36" t="s">
        <v>105</v>
      </c>
      <c r="F2715" s="36" t="s">
        <v>106</v>
      </c>
      <c r="G2715" s="36" t="s">
        <v>102</v>
      </c>
      <c r="H2715" s="36" t="s">
        <v>104</v>
      </c>
      <c r="I2715" s="36" t="s">
        <v>107</v>
      </c>
      <c r="J2715" s="36">
        <v>883</v>
      </c>
      <c r="K2715" s="36">
        <v>1262.69</v>
      </c>
    </row>
    <row r="2716" spans="1:11" x14ac:dyDescent="0.3">
      <c r="A2716" s="36" t="s">
        <v>90</v>
      </c>
      <c r="B2716" s="36">
        <v>2023</v>
      </c>
      <c r="C2716" s="36" t="s">
        <v>9</v>
      </c>
      <c r="D2716" s="36" t="s">
        <v>103</v>
      </c>
      <c r="E2716" s="36" t="s">
        <v>105</v>
      </c>
      <c r="F2716" s="36" t="s">
        <v>106</v>
      </c>
      <c r="G2716" s="36" t="s">
        <v>102</v>
      </c>
      <c r="H2716" s="36" t="s">
        <v>104</v>
      </c>
      <c r="I2716" s="36" t="s">
        <v>107</v>
      </c>
      <c r="J2716" s="36">
        <v>836</v>
      </c>
      <c r="K2716" s="36">
        <v>526.24</v>
      </c>
    </row>
    <row r="2717" spans="1:11" x14ac:dyDescent="0.3">
      <c r="A2717" s="36" t="s">
        <v>97</v>
      </c>
      <c r="B2717" s="36">
        <v>2023</v>
      </c>
      <c r="C2717" s="36" t="s">
        <v>9</v>
      </c>
      <c r="D2717" s="36" t="s">
        <v>103</v>
      </c>
      <c r="E2717" s="36" t="s">
        <v>105</v>
      </c>
      <c r="F2717" s="36" t="s">
        <v>106</v>
      </c>
      <c r="G2717" s="36" t="s">
        <v>102</v>
      </c>
      <c r="H2717" s="36" t="s">
        <v>104</v>
      </c>
      <c r="I2717" s="36" t="s">
        <v>107</v>
      </c>
      <c r="J2717" s="36">
        <v>231</v>
      </c>
      <c r="K2717" s="36">
        <v>330.33</v>
      </c>
    </row>
    <row r="2718" spans="1:11" x14ac:dyDescent="0.3">
      <c r="A2718" s="36" t="s">
        <v>97</v>
      </c>
      <c r="B2718" s="36">
        <v>2023</v>
      </c>
      <c r="C2718" s="36" t="s">
        <v>9</v>
      </c>
      <c r="D2718" s="36" t="s">
        <v>103</v>
      </c>
      <c r="E2718" s="36" t="s">
        <v>105</v>
      </c>
      <c r="F2718" s="36" t="s">
        <v>106</v>
      </c>
      <c r="G2718" s="36" t="s">
        <v>102</v>
      </c>
      <c r="H2718" s="36" t="s">
        <v>104</v>
      </c>
      <c r="I2718" s="36" t="s">
        <v>107</v>
      </c>
      <c r="J2718" s="36">
        <v>229</v>
      </c>
      <c r="K2718" s="36">
        <v>327.47000000000003</v>
      </c>
    </row>
    <row r="2719" spans="1:11" x14ac:dyDescent="0.3">
      <c r="A2719" s="36" t="s">
        <v>97</v>
      </c>
      <c r="B2719" s="36">
        <v>2023</v>
      </c>
      <c r="C2719" s="36" t="s">
        <v>9</v>
      </c>
      <c r="D2719" s="36" t="s">
        <v>103</v>
      </c>
      <c r="E2719" s="36" t="s">
        <v>105</v>
      </c>
      <c r="F2719" s="36" t="s">
        <v>106</v>
      </c>
      <c r="G2719" s="36" t="s">
        <v>102</v>
      </c>
      <c r="H2719" s="36" t="s">
        <v>104</v>
      </c>
      <c r="I2719" s="36" t="s">
        <v>107</v>
      </c>
      <c r="J2719" s="36">
        <v>805</v>
      </c>
      <c r="K2719" s="36">
        <v>1151.1500000000001</v>
      </c>
    </row>
    <row r="2720" spans="1:11" x14ac:dyDescent="0.3">
      <c r="A2720" s="36" t="s">
        <v>97</v>
      </c>
      <c r="B2720" s="36">
        <v>2023</v>
      </c>
      <c r="C2720" s="36" t="s">
        <v>9</v>
      </c>
      <c r="D2720" s="36" t="s">
        <v>103</v>
      </c>
      <c r="E2720" s="36" t="s">
        <v>105</v>
      </c>
      <c r="F2720" s="36" t="s">
        <v>106</v>
      </c>
      <c r="G2720" s="36" t="s">
        <v>102</v>
      </c>
      <c r="H2720" s="36" t="s">
        <v>104</v>
      </c>
      <c r="I2720" s="36" t="s">
        <v>107</v>
      </c>
      <c r="J2720" s="36">
        <v>227</v>
      </c>
      <c r="K2720" s="36">
        <v>324.61</v>
      </c>
    </row>
    <row r="2721" spans="1:11" x14ac:dyDescent="0.3">
      <c r="A2721" s="36" t="s">
        <v>99</v>
      </c>
      <c r="B2721" s="36">
        <v>2023</v>
      </c>
      <c r="C2721" s="36" t="s">
        <v>8</v>
      </c>
      <c r="D2721" s="36" t="s">
        <v>103</v>
      </c>
      <c r="E2721" s="36" t="s">
        <v>105</v>
      </c>
      <c r="F2721" s="36" t="s">
        <v>106</v>
      </c>
      <c r="G2721" s="36" t="s">
        <v>102</v>
      </c>
      <c r="H2721" s="36" t="s">
        <v>104</v>
      </c>
      <c r="I2721" s="36" t="s">
        <v>107</v>
      </c>
      <c r="J2721" s="36">
        <v>260</v>
      </c>
      <c r="K2721" s="36">
        <v>371.8</v>
      </c>
    </row>
    <row r="2722" spans="1:11" x14ac:dyDescent="0.3">
      <c r="A2722" s="36" t="s">
        <v>90</v>
      </c>
      <c r="B2722" s="36">
        <v>2023</v>
      </c>
      <c r="C2722" s="36" t="s">
        <v>8</v>
      </c>
      <c r="D2722" s="36" t="s">
        <v>103</v>
      </c>
      <c r="E2722" s="36" t="s">
        <v>105</v>
      </c>
      <c r="F2722" s="36" t="s">
        <v>106</v>
      </c>
      <c r="G2722" s="36" t="s">
        <v>102</v>
      </c>
      <c r="H2722" s="36" t="s">
        <v>104</v>
      </c>
      <c r="I2722" s="36" t="s">
        <v>107</v>
      </c>
      <c r="J2722" s="36">
        <v>236</v>
      </c>
      <c r="K2722" s="36">
        <v>337.48</v>
      </c>
    </row>
    <row r="2723" spans="1:11" x14ac:dyDescent="0.3">
      <c r="A2723" s="36" t="s">
        <v>97</v>
      </c>
      <c r="B2723" s="36">
        <v>2023</v>
      </c>
      <c r="C2723" s="36" t="s">
        <v>8</v>
      </c>
      <c r="D2723" s="36" t="s">
        <v>103</v>
      </c>
      <c r="E2723" s="36" t="s">
        <v>105</v>
      </c>
      <c r="F2723" s="36" t="s">
        <v>106</v>
      </c>
      <c r="G2723" s="36" t="s">
        <v>102</v>
      </c>
      <c r="H2723" s="36" t="s">
        <v>104</v>
      </c>
      <c r="I2723" s="36" t="s">
        <v>107</v>
      </c>
      <c r="J2723" s="36">
        <v>262</v>
      </c>
      <c r="K2723" s="36">
        <v>374.65999999999997</v>
      </c>
    </row>
    <row r="2724" spans="1:11" x14ac:dyDescent="0.3">
      <c r="A2724" s="36" t="s">
        <v>101</v>
      </c>
      <c r="B2724" s="36">
        <v>2023</v>
      </c>
      <c r="C2724" s="36" t="s">
        <v>8</v>
      </c>
      <c r="D2724" s="36" t="s">
        <v>103</v>
      </c>
      <c r="E2724" s="36" t="s">
        <v>105</v>
      </c>
      <c r="F2724" s="36" t="s">
        <v>106</v>
      </c>
      <c r="G2724" s="36" t="s">
        <v>102</v>
      </c>
      <c r="H2724" s="36" t="s">
        <v>104</v>
      </c>
      <c r="I2724" s="36" t="s">
        <v>107</v>
      </c>
      <c r="J2724" s="36">
        <v>232</v>
      </c>
      <c r="K2724" s="36">
        <v>331.76</v>
      </c>
    </row>
    <row r="2725" spans="1:11" x14ac:dyDescent="0.3">
      <c r="A2725" s="36" t="s">
        <v>90</v>
      </c>
      <c r="B2725" s="36">
        <v>2023</v>
      </c>
      <c r="C2725" s="36" t="s">
        <v>8</v>
      </c>
      <c r="D2725" s="36" t="s">
        <v>103</v>
      </c>
      <c r="E2725" s="36" t="s">
        <v>105</v>
      </c>
      <c r="F2725" s="36" t="s">
        <v>106</v>
      </c>
      <c r="G2725" s="36" t="s">
        <v>102</v>
      </c>
      <c r="H2725" s="36" t="s">
        <v>104</v>
      </c>
      <c r="I2725" s="36" t="s">
        <v>107</v>
      </c>
      <c r="J2725" s="36">
        <v>795</v>
      </c>
      <c r="K2725" s="36">
        <v>1136.8499999999999</v>
      </c>
    </row>
    <row r="2726" spans="1:11" x14ac:dyDescent="0.3">
      <c r="A2726" s="36" t="s">
        <v>97</v>
      </c>
      <c r="B2726" s="36">
        <v>2023</v>
      </c>
      <c r="C2726" s="36" t="s">
        <v>8</v>
      </c>
      <c r="D2726" s="36" t="s">
        <v>103</v>
      </c>
      <c r="E2726" s="36" t="s">
        <v>105</v>
      </c>
      <c r="F2726" s="36" t="s">
        <v>106</v>
      </c>
      <c r="G2726" s="36" t="s">
        <v>102</v>
      </c>
      <c r="H2726" s="36" t="s">
        <v>104</v>
      </c>
      <c r="I2726" s="36" t="s">
        <v>107</v>
      </c>
      <c r="J2726" s="36">
        <v>882</v>
      </c>
      <c r="K2726" s="36">
        <v>1261.26</v>
      </c>
    </row>
    <row r="2727" spans="1:11" x14ac:dyDescent="0.3">
      <c r="A2727" s="36" t="s">
        <v>97</v>
      </c>
      <c r="B2727" s="36">
        <v>2023</v>
      </c>
      <c r="C2727" s="36" t="s">
        <v>8</v>
      </c>
      <c r="D2727" s="36" t="s">
        <v>103</v>
      </c>
      <c r="E2727" s="36" t="s">
        <v>105</v>
      </c>
      <c r="F2727" s="36" t="s">
        <v>106</v>
      </c>
      <c r="G2727" s="36" t="s">
        <v>102</v>
      </c>
      <c r="H2727" s="36" t="s">
        <v>104</v>
      </c>
      <c r="I2727" s="36" t="s">
        <v>107</v>
      </c>
      <c r="J2727" s="36">
        <v>835</v>
      </c>
      <c r="K2727" s="36">
        <v>526.24</v>
      </c>
    </row>
    <row r="2728" spans="1:11" x14ac:dyDescent="0.3">
      <c r="A2728" s="36" t="s">
        <v>90</v>
      </c>
      <c r="B2728" s="36">
        <v>2023</v>
      </c>
      <c r="C2728" s="36" t="s">
        <v>8</v>
      </c>
      <c r="D2728" s="36" t="s">
        <v>103</v>
      </c>
      <c r="E2728" s="36" t="s">
        <v>105</v>
      </c>
      <c r="F2728" s="36" t="s">
        <v>106</v>
      </c>
      <c r="G2728" s="36" t="s">
        <v>102</v>
      </c>
      <c r="H2728" s="36" t="s">
        <v>104</v>
      </c>
      <c r="I2728" s="36" t="s">
        <v>107</v>
      </c>
      <c r="J2728" s="36">
        <v>237</v>
      </c>
      <c r="K2728" s="36">
        <v>338.90999999999997</v>
      </c>
    </row>
    <row r="2729" spans="1:11" x14ac:dyDescent="0.3">
      <c r="A2729" s="36" t="s">
        <v>101</v>
      </c>
      <c r="B2729" s="36">
        <v>2023</v>
      </c>
      <c r="C2729" s="36" t="s">
        <v>8</v>
      </c>
      <c r="D2729" s="36" t="s">
        <v>103</v>
      </c>
      <c r="E2729" s="36" t="s">
        <v>105</v>
      </c>
      <c r="F2729" s="36" t="s">
        <v>106</v>
      </c>
      <c r="G2729" s="36" t="s">
        <v>102</v>
      </c>
      <c r="H2729" s="36" t="s">
        <v>104</v>
      </c>
      <c r="I2729" s="36" t="s">
        <v>107</v>
      </c>
      <c r="J2729" s="36">
        <v>259</v>
      </c>
      <c r="K2729" s="36">
        <v>370.37</v>
      </c>
    </row>
    <row r="2730" spans="1:11" x14ac:dyDescent="0.3">
      <c r="A2730" s="36" t="s">
        <v>97</v>
      </c>
      <c r="B2730" s="36">
        <v>2023</v>
      </c>
      <c r="C2730" s="36" t="s">
        <v>8</v>
      </c>
      <c r="D2730" s="36" t="s">
        <v>103</v>
      </c>
      <c r="E2730" s="36" t="s">
        <v>105</v>
      </c>
      <c r="F2730" s="36" t="s">
        <v>106</v>
      </c>
      <c r="G2730" s="36" t="s">
        <v>102</v>
      </c>
      <c r="H2730" s="36" t="s">
        <v>104</v>
      </c>
      <c r="I2730" s="36" t="s">
        <v>107</v>
      </c>
      <c r="J2730" s="36">
        <v>235</v>
      </c>
      <c r="K2730" s="36">
        <v>336.05</v>
      </c>
    </row>
    <row r="2731" spans="1:11" x14ac:dyDescent="0.3">
      <c r="A2731" s="36" t="s">
        <v>90</v>
      </c>
      <c r="B2731" s="36">
        <v>2023</v>
      </c>
      <c r="C2731" s="36" t="s">
        <v>8</v>
      </c>
      <c r="D2731" s="36" t="s">
        <v>103</v>
      </c>
      <c r="E2731" s="36" t="s">
        <v>105</v>
      </c>
      <c r="F2731" s="36" t="s">
        <v>106</v>
      </c>
      <c r="G2731" s="36" t="s">
        <v>102</v>
      </c>
      <c r="H2731" s="36" t="s">
        <v>104</v>
      </c>
      <c r="I2731" s="36" t="s">
        <v>107</v>
      </c>
      <c r="J2731" s="36">
        <v>804</v>
      </c>
      <c r="K2731" s="36">
        <v>1149.72</v>
      </c>
    </row>
    <row r="2732" spans="1:11" x14ac:dyDescent="0.3">
      <c r="A2732" s="36" t="s">
        <v>99</v>
      </c>
      <c r="B2732" s="36">
        <v>2023</v>
      </c>
      <c r="C2732" s="36" t="s">
        <v>8</v>
      </c>
      <c r="D2732" s="36" t="s">
        <v>103</v>
      </c>
      <c r="E2732" s="36" t="s">
        <v>105</v>
      </c>
      <c r="F2732" s="36" t="s">
        <v>106</v>
      </c>
      <c r="G2732" s="36" t="s">
        <v>102</v>
      </c>
      <c r="H2732" s="36" t="s">
        <v>104</v>
      </c>
      <c r="I2732" s="36" t="s">
        <v>107</v>
      </c>
      <c r="J2732" s="36">
        <v>233</v>
      </c>
      <c r="K2732" s="36">
        <v>333.19</v>
      </c>
    </row>
    <row r="2733" spans="1:11" x14ac:dyDescent="0.3">
      <c r="A2733" s="36" t="s">
        <v>97</v>
      </c>
      <c r="B2733" s="36">
        <v>2024</v>
      </c>
      <c r="C2733" s="36" t="s">
        <v>3</v>
      </c>
      <c r="D2733" s="36" t="s">
        <v>91</v>
      </c>
      <c r="E2733" s="36" t="s">
        <v>92</v>
      </c>
      <c r="F2733" s="36" t="s">
        <v>93</v>
      </c>
      <c r="G2733" s="36" t="s">
        <v>94</v>
      </c>
      <c r="H2733" s="36" t="s">
        <v>95</v>
      </c>
      <c r="I2733" s="36" t="s">
        <v>98</v>
      </c>
      <c r="J2733" s="36">
        <v>302</v>
      </c>
      <c r="K2733" s="36">
        <v>462.06</v>
      </c>
    </row>
    <row r="2734" spans="1:11" x14ac:dyDescent="0.3">
      <c r="A2734" s="36" t="s">
        <v>90</v>
      </c>
      <c r="B2734" s="36">
        <v>2024</v>
      </c>
      <c r="C2734" s="36" t="s">
        <v>3</v>
      </c>
      <c r="D2734" s="36" t="s">
        <v>91</v>
      </c>
      <c r="E2734" s="36" t="s">
        <v>92</v>
      </c>
      <c r="F2734" s="36" t="s">
        <v>93</v>
      </c>
      <c r="G2734" s="36" t="s">
        <v>94</v>
      </c>
      <c r="H2734" s="36" t="s">
        <v>95</v>
      </c>
      <c r="I2734" s="36" t="s">
        <v>98</v>
      </c>
      <c r="J2734" s="36">
        <v>272</v>
      </c>
      <c r="K2734" s="36">
        <v>388.96</v>
      </c>
    </row>
    <row r="2735" spans="1:11" x14ac:dyDescent="0.3">
      <c r="A2735" s="36" t="s">
        <v>97</v>
      </c>
      <c r="B2735" s="36">
        <v>2024</v>
      </c>
      <c r="C2735" s="36" t="s">
        <v>3</v>
      </c>
      <c r="D2735" s="36" t="s">
        <v>91</v>
      </c>
      <c r="E2735" s="36" t="s">
        <v>92</v>
      </c>
      <c r="F2735" s="36" t="s">
        <v>93</v>
      </c>
      <c r="G2735" s="36" t="s">
        <v>94</v>
      </c>
      <c r="H2735" s="36" t="s">
        <v>95</v>
      </c>
      <c r="I2735" s="36" t="s">
        <v>98</v>
      </c>
      <c r="J2735" s="36">
        <v>298</v>
      </c>
      <c r="K2735" s="36">
        <v>426.14</v>
      </c>
    </row>
    <row r="2736" spans="1:11" x14ac:dyDescent="0.3">
      <c r="A2736" s="36" t="s">
        <v>97</v>
      </c>
      <c r="B2736" s="36">
        <v>2024</v>
      </c>
      <c r="C2736" s="36" t="s">
        <v>3</v>
      </c>
      <c r="D2736" s="36" t="s">
        <v>91</v>
      </c>
      <c r="E2736" s="36" t="s">
        <v>92</v>
      </c>
      <c r="F2736" s="36" t="s">
        <v>93</v>
      </c>
      <c r="G2736" s="36" t="s">
        <v>94</v>
      </c>
      <c r="H2736" s="36" t="s">
        <v>95</v>
      </c>
      <c r="I2736" s="36" t="s">
        <v>98</v>
      </c>
      <c r="J2736" s="36">
        <v>274</v>
      </c>
      <c r="K2736" s="36">
        <v>391.82</v>
      </c>
    </row>
    <row r="2737" spans="1:11" x14ac:dyDescent="0.3">
      <c r="A2737" s="36" t="s">
        <v>90</v>
      </c>
      <c r="B2737" s="36">
        <v>2024</v>
      </c>
      <c r="C2737" s="36" t="s">
        <v>3</v>
      </c>
      <c r="D2737" s="36" t="s">
        <v>91</v>
      </c>
      <c r="E2737" s="36" t="s">
        <v>92</v>
      </c>
      <c r="F2737" s="36" t="s">
        <v>93</v>
      </c>
      <c r="G2737" s="36" t="s">
        <v>94</v>
      </c>
      <c r="H2737" s="36" t="s">
        <v>95</v>
      </c>
      <c r="I2737" s="36" t="s">
        <v>98</v>
      </c>
      <c r="J2737" s="36">
        <v>666</v>
      </c>
      <c r="K2737" s="36">
        <v>952.38</v>
      </c>
    </row>
    <row r="2738" spans="1:11" x14ac:dyDescent="0.3">
      <c r="A2738" s="36" t="s">
        <v>99</v>
      </c>
      <c r="B2738" s="36">
        <v>2024</v>
      </c>
      <c r="C2738" s="36" t="s">
        <v>3</v>
      </c>
      <c r="D2738" s="36" t="s">
        <v>91</v>
      </c>
      <c r="E2738" s="36" t="s">
        <v>92</v>
      </c>
      <c r="F2738" s="36" t="s">
        <v>93</v>
      </c>
      <c r="G2738" s="36" t="s">
        <v>94</v>
      </c>
      <c r="H2738" s="36" t="s">
        <v>95</v>
      </c>
      <c r="I2738" s="36" t="s">
        <v>98</v>
      </c>
      <c r="J2738" s="36">
        <v>753</v>
      </c>
      <c r="K2738" s="36">
        <v>1076.79</v>
      </c>
    </row>
    <row r="2739" spans="1:11" x14ac:dyDescent="0.3">
      <c r="A2739" s="36" t="s">
        <v>99</v>
      </c>
      <c r="B2739" s="36">
        <v>2024</v>
      </c>
      <c r="C2739" s="36" t="s">
        <v>3</v>
      </c>
      <c r="D2739" s="36" t="s">
        <v>91</v>
      </c>
      <c r="E2739" s="36" t="s">
        <v>92</v>
      </c>
      <c r="F2739" s="36" t="s">
        <v>93</v>
      </c>
      <c r="G2739" s="36" t="s">
        <v>94</v>
      </c>
      <c r="H2739" s="36" t="s">
        <v>95</v>
      </c>
      <c r="I2739" s="36" t="s">
        <v>98</v>
      </c>
      <c r="J2739" s="36">
        <v>297</v>
      </c>
      <c r="K2739" s="36">
        <v>424.71</v>
      </c>
    </row>
    <row r="2740" spans="1:11" x14ac:dyDescent="0.3">
      <c r="A2740" s="36" t="s">
        <v>90</v>
      </c>
      <c r="B2740" s="36">
        <v>2024</v>
      </c>
      <c r="C2740" s="36" t="s">
        <v>3</v>
      </c>
      <c r="D2740" s="36" t="s">
        <v>91</v>
      </c>
      <c r="E2740" s="36" t="s">
        <v>92</v>
      </c>
      <c r="F2740" s="36" t="s">
        <v>93</v>
      </c>
      <c r="G2740" s="36" t="s">
        <v>94</v>
      </c>
      <c r="H2740" s="36" t="s">
        <v>95</v>
      </c>
      <c r="I2740" s="36" t="s">
        <v>98</v>
      </c>
      <c r="J2740" s="36">
        <v>792</v>
      </c>
      <c r="K2740" s="36">
        <v>526.24</v>
      </c>
    </row>
    <row r="2741" spans="1:11" x14ac:dyDescent="0.3">
      <c r="A2741" s="36" t="s">
        <v>97</v>
      </c>
      <c r="B2741" s="36">
        <v>2024</v>
      </c>
      <c r="C2741" s="36" t="s">
        <v>3</v>
      </c>
      <c r="D2741" s="36" t="s">
        <v>91</v>
      </c>
      <c r="E2741" s="36" t="s">
        <v>92</v>
      </c>
      <c r="F2741" s="36" t="s">
        <v>93</v>
      </c>
      <c r="G2741" s="36" t="s">
        <v>94</v>
      </c>
      <c r="H2741" s="36" t="s">
        <v>95</v>
      </c>
      <c r="I2741" s="36" t="s">
        <v>98</v>
      </c>
      <c r="J2741" s="36">
        <v>301</v>
      </c>
      <c r="K2741" s="36">
        <v>430.43</v>
      </c>
    </row>
    <row r="2742" spans="1:11" x14ac:dyDescent="0.3">
      <c r="A2742" s="36" t="s">
        <v>97</v>
      </c>
      <c r="B2742" s="36">
        <v>2024</v>
      </c>
      <c r="C2742" s="36" t="s">
        <v>3</v>
      </c>
      <c r="D2742" s="36" t="s">
        <v>91</v>
      </c>
      <c r="E2742" s="36" t="s">
        <v>92</v>
      </c>
      <c r="F2742" s="36" t="s">
        <v>93</v>
      </c>
      <c r="G2742" s="36" t="s">
        <v>94</v>
      </c>
      <c r="H2742" s="36" t="s">
        <v>95</v>
      </c>
      <c r="I2742" s="36" t="s">
        <v>98</v>
      </c>
      <c r="J2742" s="36">
        <v>271</v>
      </c>
      <c r="K2742" s="36">
        <v>387.53</v>
      </c>
    </row>
    <row r="2743" spans="1:11" x14ac:dyDescent="0.3">
      <c r="A2743" s="36" t="s">
        <v>90</v>
      </c>
      <c r="B2743" s="36">
        <v>2024</v>
      </c>
      <c r="C2743" s="36" t="s">
        <v>3</v>
      </c>
      <c r="D2743" s="36" t="s">
        <v>91</v>
      </c>
      <c r="E2743" s="36" t="s">
        <v>92</v>
      </c>
      <c r="F2743" s="36" t="s">
        <v>93</v>
      </c>
      <c r="G2743" s="36" t="s">
        <v>94</v>
      </c>
      <c r="H2743" s="36" t="s">
        <v>95</v>
      </c>
      <c r="I2743" s="36" t="s">
        <v>98</v>
      </c>
      <c r="J2743" s="36">
        <v>299</v>
      </c>
      <c r="K2743" s="36">
        <v>427.57</v>
      </c>
    </row>
    <row r="2744" spans="1:11" x14ac:dyDescent="0.3">
      <c r="A2744" s="36" t="s">
        <v>97</v>
      </c>
      <c r="B2744" s="36">
        <v>2024</v>
      </c>
      <c r="C2744" s="36" t="s">
        <v>3</v>
      </c>
      <c r="D2744" s="36" t="s">
        <v>91</v>
      </c>
      <c r="E2744" s="36" t="s">
        <v>92</v>
      </c>
      <c r="F2744" s="36" t="s">
        <v>93</v>
      </c>
      <c r="G2744" s="36" t="s">
        <v>94</v>
      </c>
      <c r="H2744" s="36" t="s">
        <v>95</v>
      </c>
      <c r="I2744" s="36" t="s">
        <v>98</v>
      </c>
      <c r="J2744" s="36">
        <v>761</v>
      </c>
      <c r="K2744" s="36">
        <v>1088.23</v>
      </c>
    </row>
    <row r="2745" spans="1:11" x14ac:dyDescent="0.3">
      <c r="A2745" s="36" t="s">
        <v>90</v>
      </c>
      <c r="B2745" s="36">
        <v>2024</v>
      </c>
      <c r="C2745" s="36" t="s">
        <v>7</v>
      </c>
      <c r="D2745" s="36" t="s">
        <v>91</v>
      </c>
      <c r="E2745" s="36" t="s">
        <v>92</v>
      </c>
      <c r="F2745" s="36" t="s">
        <v>93</v>
      </c>
      <c r="G2745" s="36" t="s">
        <v>94</v>
      </c>
      <c r="H2745" s="36" t="s">
        <v>95</v>
      </c>
      <c r="I2745" s="36" t="s">
        <v>98</v>
      </c>
      <c r="J2745" s="36">
        <v>278</v>
      </c>
      <c r="K2745" s="36">
        <v>425.34000000000003</v>
      </c>
    </row>
    <row r="2746" spans="1:11" x14ac:dyDescent="0.3">
      <c r="A2746" s="36" t="s">
        <v>97</v>
      </c>
      <c r="B2746" s="36">
        <v>2024</v>
      </c>
      <c r="C2746" s="36" t="s">
        <v>7</v>
      </c>
      <c r="D2746" s="36" t="s">
        <v>91</v>
      </c>
      <c r="E2746" s="36" t="s">
        <v>92</v>
      </c>
      <c r="F2746" s="36" t="s">
        <v>93</v>
      </c>
      <c r="G2746" s="36" t="s">
        <v>94</v>
      </c>
      <c r="H2746" s="36" t="s">
        <v>95</v>
      </c>
      <c r="I2746" s="36" t="s">
        <v>98</v>
      </c>
      <c r="J2746" s="36">
        <v>280</v>
      </c>
      <c r="K2746" s="36">
        <v>400.4</v>
      </c>
    </row>
    <row r="2747" spans="1:11" x14ac:dyDescent="0.3">
      <c r="A2747" s="36" t="s">
        <v>90</v>
      </c>
      <c r="B2747" s="36">
        <v>2024</v>
      </c>
      <c r="C2747" s="36" t="s">
        <v>7</v>
      </c>
      <c r="D2747" s="36" t="s">
        <v>91</v>
      </c>
      <c r="E2747" s="36" t="s">
        <v>92</v>
      </c>
      <c r="F2747" s="36" t="s">
        <v>93</v>
      </c>
      <c r="G2747" s="36" t="s">
        <v>94</v>
      </c>
      <c r="H2747" s="36" t="s">
        <v>95</v>
      </c>
      <c r="I2747" s="36" t="s">
        <v>98</v>
      </c>
      <c r="J2747" s="36">
        <v>250</v>
      </c>
      <c r="K2747" s="36">
        <v>357.5</v>
      </c>
    </row>
    <row r="2748" spans="1:11" x14ac:dyDescent="0.3">
      <c r="A2748" s="36" t="s">
        <v>97</v>
      </c>
      <c r="B2748" s="36">
        <v>2024</v>
      </c>
      <c r="C2748" s="36" t="s">
        <v>7</v>
      </c>
      <c r="D2748" s="36" t="s">
        <v>91</v>
      </c>
      <c r="E2748" s="36" t="s">
        <v>92</v>
      </c>
      <c r="F2748" s="36" t="s">
        <v>93</v>
      </c>
      <c r="G2748" s="36" t="s">
        <v>94</v>
      </c>
      <c r="H2748" s="36" t="s">
        <v>95</v>
      </c>
      <c r="I2748" s="36" t="s">
        <v>98</v>
      </c>
      <c r="J2748" s="36">
        <v>670</v>
      </c>
      <c r="K2748" s="36">
        <v>958.1</v>
      </c>
    </row>
    <row r="2749" spans="1:11" x14ac:dyDescent="0.3">
      <c r="A2749" s="36" t="s">
        <v>90</v>
      </c>
      <c r="B2749" s="36">
        <v>2024</v>
      </c>
      <c r="C2749" s="36" t="s">
        <v>7</v>
      </c>
      <c r="D2749" s="36" t="s">
        <v>91</v>
      </c>
      <c r="E2749" s="36" t="s">
        <v>92</v>
      </c>
      <c r="F2749" s="36" t="s">
        <v>93</v>
      </c>
      <c r="G2749" s="36" t="s">
        <v>94</v>
      </c>
      <c r="H2749" s="36" t="s">
        <v>95</v>
      </c>
      <c r="I2749" s="36" t="s">
        <v>98</v>
      </c>
      <c r="J2749" s="36">
        <v>756</v>
      </c>
      <c r="K2749" s="36">
        <v>1081.08</v>
      </c>
    </row>
    <row r="2750" spans="1:11" x14ac:dyDescent="0.3">
      <c r="A2750" s="36" t="s">
        <v>90</v>
      </c>
      <c r="B2750" s="36">
        <v>2024</v>
      </c>
      <c r="C2750" s="36" t="s">
        <v>7</v>
      </c>
      <c r="D2750" s="36" t="s">
        <v>91</v>
      </c>
      <c r="E2750" s="36" t="s">
        <v>92</v>
      </c>
      <c r="F2750" s="36" t="s">
        <v>93</v>
      </c>
      <c r="G2750" s="36" t="s">
        <v>94</v>
      </c>
      <c r="H2750" s="36" t="s">
        <v>95</v>
      </c>
      <c r="I2750" s="36" t="s">
        <v>98</v>
      </c>
      <c r="J2750" s="36">
        <v>279</v>
      </c>
      <c r="K2750" s="36">
        <v>398.97</v>
      </c>
    </row>
    <row r="2751" spans="1:11" x14ac:dyDescent="0.3">
      <c r="A2751" s="36" t="s">
        <v>97</v>
      </c>
      <c r="B2751" s="36">
        <v>2024</v>
      </c>
      <c r="C2751" s="36" t="s">
        <v>7</v>
      </c>
      <c r="D2751" s="36" t="s">
        <v>91</v>
      </c>
      <c r="E2751" s="36" t="s">
        <v>92</v>
      </c>
      <c r="F2751" s="36" t="s">
        <v>93</v>
      </c>
      <c r="G2751" s="36" t="s">
        <v>94</v>
      </c>
      <c r="H2751" s="36" t="s">
        <v>95</v>
      </c>
      <c r="I2751" s="36" t="s">
        <v>98</v>
      </c>
      <c r="J2751" s="36">
        <v>796</v>
      </c>
      <c r="K2751" s="36">
        <v>526.24</v>
      </c>
    </row>
    <row r="2752" spans="1:11" x14ac:dyDescent="0.3">
      <c r="A2752" s="36" t="s">
        <v>90</v>
      </c>
      <c r="B2752" s="36">
        <v>2024</v>
      </c>
      <c r="C2752" s="36" t="s">
        <v>7</v>
      </c>
      <c r="D2752" s="36" t="s">
        <v>91</v>
      </c>
      <c r="E2752" s="36" t="s">
        <v>92</v>
      </c>
      <c r="F2752" s="36" t="s">
        <v>93</v>
      </c>
      <c r="G2752" s="36" t="s">
        <v>94</v>
      </c>
      <c r="H2752" s="36" t="s">
        <v>95</v>
      </c>
      <c r="I2752" s="36" t="s">
        <v>98</v>
      </c>
      <c r="J2752" s="36">
        <v>277</v>
      </c>
      <c r="K2752" s="36">
        <v>396.11</v>
      </c>
    </row>
    <row r="2753" spans="1:11" x14ac:dyDescent="0.3">
      <c r="A2753" s="36" t="s">
        <v>97</v>
      </c>
      <c r="B2753" s="36">
        <v>2024</v>
      </c>
      <c r="C2753" s="36" t="s">
        <v>7</v>
      </c>
      <c r="D2753" s="36" t="s">
        <v>91</v>
      </c>
      <c r="E2753" s="36" t="s">
        <v>92</v>
      </c>
      <c r="F2753" s="36" t="s">
        <v>93</v>
      </c>
      <c r="G2753" s="36" t="s">
        <v>94</v>
      </c>
      <c r="H2753" s="36" t="s">
        <v>95</v>
      </c>
      <c r="I2753" s="36" t="s">
        <v>98</v>
      </c>
      <c r="J2753" s="36">
        <v>253</v>
      </c>
      <c r="K2753" s="36">
        <v>361.78999999999996</v>
      </c>
    </row>
    <row r="2754" spans="1:11" x14ac:dyDescent="0.3">
      <c r="A2754" s="36" t="s">
        <v>90</v>
      </c>
      <c r="B2754" s="36">
        <v>2024</v>
      </c>
      <c r="C2754" s="36" t="s">
        <v>7</v>
      </c>
      <c r="D2754" s="36" t="s">
        <v>91</v>
      </c>
      <c r="E2754" s="36" t="s">
        <v>92</v>
      </c>
      <c r="F2754" s="36" t="s">
        <v>93</v>
      </c>
      <c r="G2754" s="36" t="s">
        <v>94</v>
      </c>
      <c r="H2754" s="36" t="s">
        <v>95</v>
      </c>
      <c r="I2754" s="36" t="s">
        <v>98</v>
      </c>
      <c r="J2754" s="36">
        <v>765</v>
      </c>
      <c r="K2754" s="36">
        <v>1093.95</v>
      </c>
    </row>
    <row r="2755" spans="1:11" x14ac:dyDescent="0.3">
      <c r="A2755" s="36" t="s">
        <v>90</v>
      </c>
      <c r="B2755" s="36">
        <v>2024</v>
      </c>
      <c r="C2755" s="36" t="s">
        <v>11</v>
      </c>
      <c r="D2755" s="36" t="s">
        <v>91</v>
      </c>
      <c r="E2755" s="36" t="s">
        <v>92</v>
      </c>
      <c r="F2755" s="36" t="s">
        <v>93</v>
      </c>
      <c r="G2755" s="36" t="s">
        <v>94</v>
      </c>
      <c r="H2755" s="36" t="s">
        <v>95</v>
      </c>
      <c r="I2755" s="36" t="s">
        <v>98</v>
      </c>
      <c r="J2755" s="36">
        <v>230</v>
      </c>
      <c r="K2755" s="36">
        <v>328.9</v>
      </c>
    </row>
    <row r="2756" spans="1:11" x14ac:dyDescent="0.3">
      <c r="A2756" s="36" t="s">
        <v>97</v>
      </c>
      <c r="B2756" s="36">
        <v>2024</v>
      </c>
      <c r="C2756" s="36" t="s">
        <v>11</v>
      </c>
      <c r="D2756" s="36" t="s">
        <v>91</v>
      </c>
      <c r="E2756" s="36" t="s">
        <v>92</v>
      </c>
      <c r="F2756" s="36" t="s">
        <v>93</v>
      </c>
      <c r="G2756" s="36" t="s">
        <v>94</v>
      </c>
      <c r="H2756" s="36" t="s">
        <v>95</v>
      </c>
      <c r="I2756" s="36" t="s">
        <v>98</v>
      </c>
      <c r="J2756" s="36">
        <v>256</v>
      </c>
      <c r="K2756" s="36">
        <v>366.08</v>
      </c>
    </row>
    <row r="2757" spans="1:11" x14ac:dyDescent="0.3">
      <c r="A2757" s="36" t="s">
        <v>100</v>
      </c>
      <c r="B2757" s="36">
        <v>2024</v>
      </c>
      <c r="C2757" s="36" t="s">
        <v>11</v>
      </c>
      <c r="D2757" s="36" t="s">
        <v>91</v>
      </c>
      <c r="E2757" s="36" t="s">
        <v>92</v>
      </c>
      <c r="F2757" s="36" t="s">
        <v>93</v>
      </c>
      <c r="G2757" s="36" t="s">
        <v>94</v>
      </c>
      <c r="H2757" s="36" t="s">
        <v>95</v>
      </c>
      <c r="I2757" s="36" t="s">
        <v>98</v>
      </c>
      <c r="J2757" s="36">
        <v>232</v>
      </c>
      <c r="K2757" s="36">
        <v>331.76</v>
      </c>
    </row>
    <row r="2758" spans="1:11" x14ac:dyDescent="0.3">
      <c r="A2758" s="36" t="s">
        <v>99</v>
      </c>
      <c r="B2758" s="36">
        <v>2024</v>
      </c>
      <c r="C2758" s="36" t="s">
        <v>11</v>
      </c>
      <c r="D2758" s="36" t="s">
        <v>91</v>
      </c>
      <c r="E2758" s="36" t="s">
        <v>92</v>
      </c>
      <c r="F2758" s="36" t="s">
        <v>93</v>
      </c>
      <c r="G2758" s="36" t="s">
        <v>94</v>
      </c>
      <c r="H2758" s="36" t="s">
        <v>95</v>
      </c>
      <c r="I2758" s="36" t="s">
        <v>98</v>
      </c>
      <c r="J2758" s="36">
        <v>673</v>
      </c>
      <c r="K2758" s="36">
        <v>962.39</v>
      </c>
    </row>
    <row r="2759" spans="1:11" x14ac:dyDescent="0.3">
      <c r="A2759" s="36" t="s">
        <v>97</v>
      </c>
      <c r="B2759" s="36">
        <v>2024</v>
      </c>
      <c r="C2759" s="36" t="s">
        <v>11</v>
      </c>
      <c r="D2759" s="36" t="s">
        <v>91</v>
      </c>
      <c r="E2759" s="36" t="s">
        <v>92</v>
      </c>
      <c r="F2759" s="36" t="s">
        <v>93</v>
      </c>
      <c r="G2759" s="36" t="s">
        <v>94</v>
      </c>
      <c r="H2759" s="36" t="s">
        <v>95</v>
      </c>
      <c r="I2759" s="36" t="s">
        <v>98</v>
      </c>
      <c r="J2759" s="36">
        <v>760</v>
      </c>
      <c r="K2759" s="36">
        <v>1086.8</v>
      </c>
    </row>
    <row r="2760" spans="1:11" x14ac:dyDescent="0.3">
      <c r="A2760" s="36" t="s">
        <v>97</v>
      </c>
      <c r="B2760" s="36">
        <v>2024</v>
      </c>
      <c r="C2760" s="36" t="s">
        <v>11</v>
      </c>
      <c r="D2760" s="36" t="s">
        <v>91</v>
      </c>
      <c r="E2760" s="36" t="s">
        <v>92</v>
      </c>
      <c r="F2760" s="36" t="s">
        <v>93</v>
      </c>
      <c r="G2760" s="36" t="s">
        <v>94</v>
      </c>
      <c r="H2760" s="36" t="s">
        <v>95</v>
      </c>
      <c r="I2760" s="36" t="s">
        <v>98</v>
      </c>
      <c r="J2760" s="36">
        <v>255</v>
      </c>
      <c r="K2760" s="36">
        <v>364.65</v>
      </c>
    </row>
    <row r="2761" spans="1:11" x14ac:dyDescent="0.3">
      <c r="A2761" s="36" t="s">
        <v>99</v>
      </c>
      <c r="B2761" s="36">
        <v>2024</v>
      </c>
      <c r="C2761" s="36" t="s">
        <v>11</v>
      </c>
      <c r="D2761" s="36" t="s">
        <v>91</v>
      </c>
      <c r="E2761" s="36" t="s">
        <v>92</v>
      </c>
      <c r="F2761" s="36" t="s">
        <v>93</v>
      </c>
      <c r="G2761" s="36" t="s">
        <v>94</v>
      </c>
      <c r="H2761" s="36" t="s">
        <v>95</v>
      </c>
      <c r="I2761" s="36" t="s">
        <v>98</v>
      </c>
      <c r="J2761" s="36">
        <v>799</v>
      </c>
      <c r="K2761" s="36">
        <v>526.24</v>
      </c>
    </row>
    <row r="2762" spans="1:11" x14ac:dyDescent="0.3">
      <c r="A2762" s="36" t="s">
        <v>100</v>
      </c>
      <c r="B2762" s="36">
        <v>2024</v>
      </c>
      <c r="C2762" s="36" t="s">
        <v>11</v>
      </c>
      <c r="D2762" s="36" t="s">
        <v>91</v>
      </c>
      <c r="E2762" s="36" t="s">
        <v>92</v>
      </c>
      <c r="F2762" s="36" t="s">
        <v>93</v>
      </c>
      <c r="G2762" s="36" t="s">
        <v>94</v>
      </c>
      <c r="H2762" s="36" t="s">
        <v>95</v>
      </c>
      <c r="I2762" s="36" t="s">
        <v>98</v>
      </c>
      <c r="J2762" s="36">
        <v>259</v>
      </c>
      <c r="K2762" s="36">
        <v>370.37</v>
      </c>
    </row>
    <row r="2763" spans="1:11" x14ac:dyDescent="0.3">
      <c r="A2763" s="36" t="s">
        <v>97</v>
      </c>
      <c r="B2763" s="36">
        <v>2024</v>
      </c>
      <c r="C2763" s="36" t="s">
        <v>11</v>
      </c>
      <c r="D2763" s="36" t="s">
        <v>91</v>
      </c>
      <c r="E2763" s="36" t="s">
        <v>92</v>
      </c>
      <c r="F2763" s="36" t="s">
        <v>93</v>
      </c>
      <c r="G2763" s="36" t="s">
        <v>94</v>
      </c>
      <c r="H2763" s="36" t="s">
        <v>95</v>
      </c>
      <c r="I2763" s="36" t="s">
        <v>98</v>
      </c>
      <c r="J2763" s="36">
        <v>229</v>
      </c>
      <c r="K2763" s="36">
        <v>327.47000000000003</v>
      </c>
    </row>
    <row r="2764" spans="1:11" x14ac:dyDescent="0.3">
      <c r="A2764" s="36" t="s">
        <v>90</v>
      </c>
      <c r="B2764" s="36">
        <v>2024</v>
      </c>
      <c r="C2764" s="36" t="s">
        <v>11</v>
      </c>
      <c r="D2764" s="36" t="s">
        <v>91</v>
      </c>
      <c r="E2764" s="36" t="s">
        <v>92</v>
      </c>
      <c r="F2764" s="36" t="s">
        <v>93</v>
      </c>
      <c r="G2764" s="36" t="s">
        <v>94</v>
      </c>
      <c r="H2764" s="36" t="s">
        <v>95</v>
      </c>
      <c r="I2764" s="36" t="s">
        <v>98</v>
      </c>
      <c r="J2764" s="36">
        <v>257</v>
      </c>
      <c r="K2764" s="36">
        <v>367.51</v>
      </c>
    </row>
    <row r="2765" spans="1:11" x14ac:dyDescent="0.3">
      <c r="A2765" s="36" t="s">
        <v>99</v>
      </c>
      <c r="B2765" s="36">
        <v>2024</v>
      </c>
      <c r="C2765" s="36" t="s">
        <v>1</v>
      </c>
      <c r="D2765" s="36" t="s">
        <v>91</v>
      </c>
      <c r="E2765" s="36" t="s">
        <v>92</v>
      </c>
      <c r="F2765" s="36" t="s">
        <v>93</v>
      </c>
      <c r="G2765" s="36" t="s">
        <v>94</v>
      </c>
      <c r="H2765" s="36" t="s">
        <v>95</v>
      </c>
      <c r="I2765" s="36" t="s">
        <v>98</v>
      </c>
      <c r="J2765" s="36">
        <v>308</v>
      </c>
      <c r="K2765" s="36">
        <v>471.24</v>
      </c>
    </row>
    <row r="2766" spans="1:11" x14ac:dyDescent="0.3">
      <c r="A2766" s="36" t="s">
        <v>90</v>
      </c>
      <c r="B2766" s="36">
        <v>2024</v>
      </c>
      <c r="C2766" s="36" t="s">
        <v>1</v>
      </c>
      <c r="D2766" s="36" t="s">
        <v>91</v>
      </c>
      <c r="E2766" s="36" t="s">
        <v>92</v>
      </c>
      <c r="F2766" s="36" t="s">
        <v>93</v>
      </c>
      <c r="G2766" s="36" t="s">
        <v>94</v>
      </c>
      <c r="H2766" s="36" t="s">
        <v>95</v>
      </c>
      <c r="I2766" s="36" t="s">
        <v>98</v>
      </c>
      <c r="J2766" s="36">
        <v>284</v>
      </c>
      <c r="K2766" s="36">
        <v>406.12</v>
      </c>
    </row>
    <row r="2767" spans="1:11" x14ac:dyDescent="0.3">
      <c r="A2767" s="36" t="s">
        <v>90</v>
      </c>
      <c r="B2767" s="36">
        <v>2024</v>
      </c>
      <c r="C2767" s="36" t="s">
        <v>1</v>
      </c>
      <c r="D2767" s="36" t="s">
        <v>91</v>
      </c>
      <c r="E2767" s="36" t="s">
        <v>92</v>
      </c>
      <c r="F2767" s="36" t="s">
        <v>93</v>
      </c>
      <c r="G2767" s="36" t="s">
        <v>94</v>
      </c>
      <c r="H2767" s="36" t="s">
        <v>95</v>
      </c>
      <c r="I2767" s="36" t="s">
        <v>98</v>
      </c>
      <c r="J2767" s="36">
        <v>310</v>
      </c>
      <c r="K2767" s="36">
        <v>443.3</v>
      </c>
    </row>
    <row r="2768" spans="1:11" x14ac:dyDescent="0.3">
      <c r="A2768" s="36" t="s">
        <v>97</v>
      </c>
      <c r="B2768" s="36">
        <v>2024</v>
      </c>
      <c r="C2768" s="36" t="s">
        <v>1</v>
      </c>
      <c r="D2768" s="36" t="s">
        <v>91</v>
      </c>
      <c r="E2768" s="36" t="s">
        <v>92</v>
      </c>
      <c r="F2768" s="36" t="s">
        <v>93</v>
      </c>
      <c r="G2768" s="36" t="s">
        <v>94</v>
      </c>
      <c r="H2768" s="36" t="s">
        <v>95</v>
      </c>
      <c r="I2768" s="36" t="s">
        <v>98</v>
      </c>
      <c r="J2768" s="36">
        <v>664</v>
      </c>
      <c r="K2768" s="36">
        <v>949.52</v>
      </c>
    </row>
    <row r="2769" spans="1:11" x14ac:dyDescent="0.3">
      <c r="A2769" s="36" t="s">
        <v>90</v>
      </c>
      <c r="B2769" s="36">
        <v>2024</v>
      </c>
      <c r="C2769" s="36" t="s">
        <v>1</v>
      </c>
      <c r="D2769" s="36" t="s">
        <v>91</v>
      </c>
      <c r="E2769" s="36" t="s">
        <v>92</v>
      </c>
      <c r="F2769" s="36" t="s">
        <v>93</v>
      </c>
      <c r="G2769" s="36" t="s">
        <v>94</v>
      </c>
      <c r="H2769" s="36" t="s">
        <v>95</v>
      </c>
      <c r="I2769" s="36" t="s">
        <v>98</v>
      </c>
      <c r="J2769" s="36">
        <v>751</v>
      </c>
      <c r="K2769" s="36">
        <v>1073.93</v>
      </c>
    </row>
    <row r="2770" spans="1:11" x14ac:dyDescent="0.3">
      <c r="A2770" s="36" t="s">
        <v>90</v>
      </c>
      <c r="B2770" s="36">
        <v>2024</v>
      </c>
      <c r="C2770" s="36" t="s">
        <v>1</v>
      </c>
      <c r="D2770" s="36" t="s">
        <v>91</v>
      </c>
      <c r="E2770" s="36" t="s">
        <v>92</v>
      </c>
      <c r="F2770" s="36" t="s">
        <v>93</v>
      </c>
      <c r="G2770" s="36" t="s">
        <v>94</v>
      </c>
      <c r="H2770" s="36" t="s">
        <v>95</v>
      </c>
      <c r="I2770" s="36" t="s">
        <v>98</v>
      </c>
      <c r="J2770" s="36">
        <v>309</v>
      </c>
      <c r="K2770" s="36">
        <v>441.87</v>
      </c>
    </row>
    <row r="2771" spans="1:11" x14ac:dyDescent="0.3">
      <c r="A2771" s="36" t="s">
        <v>97</v>
      </c>
      <c r="B2771" s="36">
        <v>2024</v>
      </c>
      <c r="C2771" s="36" t="s">
        <v>1</v>
      </c>
      <c r="D2771" s="36" t="s">
        <v>91</v>
      </c>
      <c r="E2771" s="36" t="s">
        <v>92</v>
      </c>
      <c r="F2771" s="36" t="s">
        <v>93</v>
      </c>
      <c r="G2771" s="36" t="s">
        <v>94</v>
      </c>
      <c r="H2771" s="36" t="s">
        <v>95</v>
      </c>
      <c r="I2771" s="36" t="s">
        <v>98</v>
      </c>
      <c r="J2771" s="36">
        <v>790</v>
      </c>
      <c r="K2771" s="36">
        <v>526.24</v>
      </c>
    </row>
    <row r="2772" spans="1:11" x14ac:dyDescent="0.3">
      <c r="A2772" s="36" t="s">
        <v>90</v>
      </c>
      <c r="B2772" s="36">
        <v>2024</v>
      </c>
      <c r="C2772" s="36" t="s">
        <v>1</v>
      </c>
      <c r="D2772" s="36" t="s">
        <v>91</v>
      </c>
      <c r="E2772" s="36" t="s">
        <v>92</v>
      </c>
      <c r="F2772" s="36" t="s">
        <v>93</v>
      </c>
      <c r="G2772" s="36" t="s">
        <v>94</v>
      </c>
      <c r="H2772" s="36" t="s">
        <v>95</v>
      </c>
      <c r="I2772" s="36" t="s">
        <v>98</v>
      </c>
      <c r="J2772" s="36">
        <v>283</v>
      </c>
      <c r="K2772" s="36">
        <v>404.69</v>
      </c>
    </row>
    <row r="2773" spans="1:11" x14ac:dyDescent="0.3">
      <c r="A2773" s="36" t="s">
        <v>90</v>
      </c>
      <c r="B2773" s="36">
        <v>2024</v>
      </c>
      <c r="C2773" s="36" t="s">
        <v>1</v>
      </c>
      <c r="D2773" s="36" t="s">
        <v>91</v>
      </c>
      <c r="E2773" s="36" t="s">
        <v>92</v>
      </c>
      <c r="F2773" s="36" t="s">
        <v>93</v>
      </c>
      <c r="G2773" s="36" t="s">
        <v>94</v>
      </c>
      <c r="H2773" s="36" t="s">
        <v>95</v>
      </c>
      <c r="I2773" s="36" t="s">
        <v>98</v>
      </c>
      <c r="J2773" s="36">
        <v>311</v>
      </c>
      <c r="K2773" s="36">
        <v>444.73</v>
      </c>
    </row>
    <row r="2774" spans="1:11" x14ac:dyDescent="0.3">
      <c r="A2774" s="36" t="s">
        <v>99</v>
      </c>
      <c r="B2774" s="36">
        <v>2024</v>
      </c>
      <c r="C2774" s="36" t="s">
        <v>1</v>
      </c>
      <c r="D2774" s="36" t="s">
        <v>91</v>
      </c>
      <c r="E2774" s="36" t="s">
        <v>92</v>
      </c>
      <c r="F2774" s="36" t="s">
        <v>93</v>
      </c>
      <c r="G2774" s="36" t="s">
        <v>94</v>
      </c>
      <c r="H2774" s="36" t="s">
        <v>95</v>
      </c>
      <c r="I2774" s="36" t="s">
        <v>98</v>
      </c>
      <c r="J2774" s="36">
        <v>760</v>
      </c>
      <c r="K2774" s="36">
        <v>1086.8</v>
      </c>
    </row>
    <row r="2775" spans="1:11" x14ac:dyDescent="0.3">
      <c r="A2775" s="36" t="s">
        <v>97</v>
      </c>
      <c r="B2775" s="36">
        <v>2024</v>
      </c>
      <c r="C2775" s="36" t="s">
        <v>0</v>
      </c>
      <c r="D2775" s="36" t="s">
        <v>91</v>
      </c>
      <c r="E2775" s="36" t="s">
        <v>92</v>
      </c>
      <c r="F2775" s="36" t="s">
        <v>93</v>
      </c>
      <c r="G2775" s="36" t="s">
        <v>94</v>
      </c>
      <c r="H2775" s="36" t="s">
        <v>95</v>
      </c>
      <c r="I2775" s="36" t="s">
        <v>98</v>
      </c>
      <c r="J2775" s="36">
        <v>314</v>
      </c>
      <c r="K2775" s="36">
        <v>480.42</v>
      </c>
    </row>
    <row r="2776" spans="1:11" x14ac:dyDescent="0.3">
      <c r="A2776" s="36" t="s">
        <v>97</v>
      </c>
      <c r="B2776" s="36">
        <v>2024</v>
      </c>
      <c r="C2776" s="36" t="s">
        <v>0</v>
      </c>
      <c r="D2776" s="36" t="s">
        <v>91</v>
      </c>
      <c r="E2776" s="36" t="s">
        <v>92</v>
      </c>
      <c r="F2776" s="36" t="s">
        <v>93</v>
      </c>
      <c r="G2776" s="36" t="s">
        <v>94</v>
      </c>
      <c r="H2776" s="36" t="s">
        <v>95</v>
      </c>
      <c r="I2776" s="36" t="s">
        <v>98</v>
      </c>
      <c r="J2776" s="36">
        <v>290</v>
      </c>
      <c r="K2776" s="36">
        <v>414.7</v>
      </c>
    </row>
    <row r="2777" spans="1:11" x14ac:dyDescent="0.3">
      <c r="A2777" s="36" t="s">
        <v>97</v>
      </c>
      <c r="B2777" s="36">
        <v>2024</v>
      </c>
      <c r="C2777" s="36" t="s">
        <v>0</v>
      </c>
      <c r="D2777" s="36" t="s">
        <v>91</v>
      </c>
      <c r="E2777" s="36" t="s">
        <v>92</v>
      </c>
      <c r="F2777" s="36" t="s">
        <v>93</v>
      </c>
      <c r="G2777" s="36" t="s">
        <v>94</v>
      </c>
      <c r="H2777" s="36" t="s">
        <v>95</v>
      </c>
      <c r="I2777" s="36" t="s">
        <v>98</v>
      </c>
      <c r="J2777" s="36">
        <v>316</v>
      </c>
      <c r="K2777" s="36">
        <v>451.88</v>
      </c>
    </row>
    <row r="2778" spans="1:11" x14ac:dyDescent="0.3">
      <c r="A2778" s="36" t="s">
        <v>100</v>
      </c>
      <c r="B2778" s="36">
        <v>2024</v>
      </c>
      <c r="C2778" s="36" t="s">
        <v>0</v>
      </c>
      <c r="D2778" s="36" t="s">
        <v>91</v>
      </c>
      <c r="E2778" s="36" t="s">
        <v>92</v>
      </c>
      <c r="F2778" s="36" t="s">
        <v>93</v>
      </c>
      <c r="G2778" s="36" t="s">
        <v>94</v>
      </c>
      <c r="H2778" s="36" t="s">
        <v>95</v>
      </c>
      <c r="I2778" s="36" t="s">
        <v>98</v>
      </c>
      <c r="J2778" s="36">
        <v>286</v>
      </c>
      <c r="K2778" s="36">
        <v>408.98</v>
      </c>
    </row>
    <row r="2779" spans="1:11" x14ac:dyDescent="0.3">
      <c r="A2779" s="36" t="s">
        <v>97</v>
      </c>
      <c r="B2779" s="36">
        <v>2024</v>
      </c>
      <c r="C2779" s="36" t="s">
        <v>0</v>
      </c>
      <c r="D2779" s="36" t="s">
        <v>91</v>
      </c>
      <c r="E2779" s="36" t="s">
        <v>92</v>
      </c>
      <c r="F2779" s="36" t="s">
        <v>93</v>
      </c>
      <c r="G2779" s="36" t="s">
        <v>94</v>
      </c>
      <c r="H2779" s="36" t="s">
        <v>95</v>
      </c>
      <c r="I2779" s="36" t="s">
        <v>98</v>
      </c>
      <c r="J2779" s="36">
        <v>663</v>
      </c>
      <c r="K2779" s="36">
        <v>948.08999999999992</v>
      </c>
    </row>
    <row r="2780" spans="1:11" x14ac:dyDescent="0.3">
      <c r="A2780" s="36" t="s">
        <v>97</v>
      </c>
      <c r="B2780" s="36">
        <v>2024</v>
      </c>
      <c r="C2780" s="36" t="s">
        <v>0</v>
      </c>
      <c r="D2780" s="36" t="s">
        <v>91</v>
      </c>
      <c r="E2780" s="36" t="s">
        <v>92</v>
      </c>
      <c r="F2780" s="36" t="s">
        <v>93</v>
      </c>
      <c r="G2780" s="36" t="s">
        <v>94</v>
      </c>
      <c r="H2780" s="36" t="s">
        <v>95</v>
      </c>
      <c r="I2780" s="36" t="s">
        <v>98</v>
      </c>
      <c r="J2780" s="36">
        <v>750</v>
      </c>
      <c r="K2780" s="36">
        <v>1072.5</v>
      </c>
    </row>
    <row r="2781" spans="1:11" x14ac:dyDescent="0.3">
      <c r="A2781" s="36" t="s">
        <v>97</v>
      </c>
      <c r="B2781" s="36">
        <v>2024</v>
      </c>
      <c r="C2781" s="36" t="s">
        <v>0</v>
      </c>
      <c r="D2781" s="36" t="s">
        <v>91</v>
      </c>
      <c r="E2781" s="36" t="s">
        <v>92</v>
      </c>
      <c r="F2781" s="36" t="s">
        <v>93</v>
      </c>
      <c r="G2781" s="36" t="s">
        <v>94</v>
      </c>
      <c r="H2781" s="36" t="s">
        <v>95</v>
      </c>
      <c r="I2781" s="36" t="s">
        <v>98</v>
      </c>
      <c r="J2781" s="36">
        <v>315</v>
      </c>
      <c r="K2781" s="36">
        <v>450.45</v>
      </c>
    </row>
    <row r="2782" spans="1:11" x14ac:dyDescent="0.3">
      <c r="A2782" s="36" t="s">
        <v>97</v>
      </c>
      <c r="B2782" s="36">
        <v>2024</v>
      </c>
      <c r="C2782" s="36" t="s">
        <v>0</v>
      </c>
      <c r="D2782" s="36" t="s">
        <v>91</v>
      </c>
      <c r="E2782" s="36" t="s">
        <v>92</v>
      </c>
      <c r="F2782" s="36" t="s">
        <v>93</v>
      </c>
      <c r="G2782" s="36" t="s">
        <v>94</v>
      </c>
      <c r="H2782" s="36" t="s">
        <v>95</v>
      </c>
      <c r="I2782" s="36" t="s">
        <v>98</v>
      </c>
      <c r="J2782" s="36">
        <v>789</v>
      </c>
      <c r="K2782" s="36">
        <v>526.24</v>
      </c>
    </row>
    <row r="2783" spans="1:11" x14ac:dyDescent="0.3">
      <c r="A2783" s="36" t="s">
        <v>100</v>
      </c>
      <c r="B2783" s="36">
        <v>2024</v>
      </c>
      <c r="C2783" s="36" t="s">
        <v>0</v>
      </c>
      <c r="D2783" s="36" t="s">
        <v>91</v>
      </c>
      <c r="E2783" s="36" t="s">
        <v>92</v>
      </c>
      <c r="F2783" s="36" t="s">
        <v>93</v>
      </c>
      <c r="G2783" s="36" t="s">
        <v>94</v>
      </c>
      <c r="H2783" s="36" t="s">
        <v>95</v>
      </c>
      <c r="I2783" s="36" t="s">
        <v>98</v>
      </c>
      <c r="J2783" s="36">
        <v>313</v>
      </c>
      <c r="K2783" s="36">
        <v>447.59000000000003</v>
      </c>
    </row>
    <row r="2784" spans="1:11" x14ac:dyDescent="0.3">
      <c r="A2784" s="36" t="s">
        <v>97</v>
      </c>
      <c r="B2784" s="36">
        <v>2024</v>
      </c>
      <c r="C2784" s="36" t="s">
        <v>0</v>
      </c>
      <c r="D2784" s="36" t="s">
        <v>91</v>
      </c>
      <c r="E2784" s="36" t="s">
        <v>92</v>
      </c>
      <c r="F2784" s="36" t="s">
        <v>93</v>
      </c>
      <c r="G2784" s="36" t="s">
        <v>94</v>
      </c>
      <c r="H2784" s="36" t="s">
        <v>95</v>
      </c>
      <c r="I2784" s="36" t="s">
        <v>98</v>
      </c>
      <c r="J2784" s="36">
        <v>289</v>
      </c>
      <c r="K2784" s="36">
        <v>413.27</v>
      </c>
    </row>
    <row r="2785" spans="1:11" x14ac:dyDescent="0.3">
      <c r="A2785" s="36" t="s">
        <v>97</v>
      </c>
      <c r="B2785" s="36">
        <v>2024</v>
      </c>
      <c r="C2785" s="36" t="s">
        <v>0</v>
      </c>
      <c r="D2785" s="36" t="s">
        <v>91</v>
      </c>
      <c r="E2785" s="36" t="s">
        <v>92</v>
      </c>
      <c r="F2785" s="36" t="s">
        <v>93</v>
      </c>
      <c r="G2785" s="36" t="s">
        <v>94</v>
      </c>
      <c r="H2785" s="36" t="s">
        <v>95</v>
      </c>
      <c r="I2785" s="36" t="s">
        <v>98</v>
      </c>
      <c r="J2785" s="36">
        <v>317</v>
      </c>
      <c r="K2785" s="36">
        <v>453.31</v>
      </c>
    </row>
    <row r="2786" spans="1:11" x14ac:dyDescent="0.3">
      <c r="A2786" s="36" t="s">
        <v>97</v>
      </c>
      <c r="B2786" s="36">
        <v>2024</v>
      </c>
      <c r="C2786" s="36" t="s">
        <v>0</v>
      </c>
      <c r="D2786" s="36" t="s">
        <v>91</v>
      </c>
      <c r="E2786" s="36" t="s">
        <v>92</v>
      </c>
      <c r="F2786" s="36" t="s">
        <v>93</v>
      </c>
      <c r="G2786" s="36" t="s">
        <v>94</v>
      </c>
      <c r="H2786" s="36" t="s">
        <v>95</v>
      </c>
      <c r="I2786" s="36" t="s">
        <v>98</v>
      </c>
      <c r="J2786" s="36">
        <v>759</v>
      </c>
      <c r="K2786" s="36">
        <v>1085.3699999999999</v>
      </c>
    </row>
    <row r="2787" spans="1:11" x14ac:dyDescent="0.3">
      <c r="A2787" s="36" t="s">
        <v>97</v>
      </c>
      <c r="B2787" s="36">
        <v>2024</v>
      </c>
      <c r="C2787" s="36" t="s">
        <v>6</v>
      </c>
      <c r="D2787" s="36" t="s">
        <v>91</v>
      </c>
      <c r="E2787" s="36" t="s">
        <v>92</v>
      </c>
      <c r="F2787" s="36" t="s">
        <v>93</v>
      </c>
      <c r="G2787" s="36" t="s">
        <v>94</v>
      </c>
      <c r="H2787" s="36" t="s">
        <v>95</v>
      </c>
      <c r="I2787" s="36" t="s">
        <v>98</v>
      </c>
      <c r="J2787" s="36">
        <v>284</v>
      </c>
      <c r="K2787" s="36">
        <v>434.52</v>
      </c>
    </row>
    <row r="2788" spans="1:11" x14ac:dyDescent="0.3">
      <c r="A2788" s="36" t="s">
        <v>97</v>
      </c>
      <c r="B2788" s="36">
        <v>2024</v>
      </c>
      <c r="C2788" s="36" t="s">
        <v>6</v>
      </c>
      <c r="D2788" s="36" t="s">
        <v>91</v>
      </c>
      <c r="E2788" s="36" t="s">
        <v>92</v>
      </c>
      <c r="F2788" s="36" t="s">
        <v>93</v>
      </c>
      <c r="G2788" s="36" t="s">
        <v>94</v>
      </c>
      <c r="H2788" s="36" t="s">
        <v>95</v>
      </c>
      <c r="I2788" s="36" t="s">
        <v>98</v>
      </c>
      <c r="J2788" s="36">
        <v>254</v>
      </c>
      <c r="K2788" s="36">
        <v>363.22</v>
      </c>
    </row>
    <row r="2789" spans="1:11" x14ac:dyDescent="0.3">
      <c r="A2789" s="36" t="s">
        <v>97</v>
      </c>
      <c r="B2789" s="36">
        <v>2024</v>
      </c>
      <c r="C2789" s="36" t="s">
        <v>6</v>
      </c>
      <c r="D2789" s="36" t="s">
        <v>91</v>
      </c>
      <c r="E2789" s="36" t="s">
        <v>92</v>
      </c>
      <c r="F2789" s="36" t="s">
        <v>93</v>
      </c>
      <c r="G2789" s="36" t="s">
        <v>94</v>
      </c>
      <c r="H2789" s="36" t="s">
        <v>95</v>
      </c>
      <c r="I2789" s="36" t="s">
        <v>98</v>
      </c>
      <c r="J2789" s="36">
        <v>286</v>
      </c>
      <c r="K2789" s="36">
        <v>408.98</v>
      </c>
    </row>
    <row r="2790" spans="1:11" x14ac:dyDescent="0.3">
      <c r="A2790" s="36" t="s">
        <v>90</v>
      </c>
      <c r="B2790" s="36">
        <v>2024</v>
      </c>
      <c r="C2790" s="36" t="s">
        <v>6</v>
      </c>
      <c r="D2790" s="36" t="s">
        <v>91</v>
      </c>
      <c r="E2790" s="36" t="s">
        <v>92</v>
      </c>
      <c r="F2790" s="36" t="s">
        <v>93</v>
      </c>
      <c r="G2790" s="36" t="s">
        <v>94</v>
      </c>
      <c r="H2790" s="36" t="s">
        <v>95</v>
      </c>
      <c r="I2790" s="36" t="s">
        <v>98</v>
      </c>
      <c r="J2790" s="36">
        <v>256</v>
      </c>
      <c r="K2790" s="36">
        <v>366.08</v>
      </c>
    </row>
    <row r="2791" spans="1:11" x14ac:dyDescent="0.3">
      <c r="A2791" s="36" t="s">
        <v>97</v>
      </c>
      <c r="B2791" s="36">
        <v>2024</v>
      </c>
      <c r="C2791" s="36" t="s">
        <v>6</v>
      </c>
      <c r="D2791" s="36" t="s">
        <v>91</v>
      </c>
      <c r="E2791" s="36" t="s">
        <v>92</v>
      </c>
      <c r="F2791" s="36" t="s">
        <v>93</v>
      </c>
      <c r="G2791" s="36" t="s">
        <v>94</v>
      </c>
      <c r="H2791" s="36" t="s">
        <v>95</v>
      </c>
      <c r="I2791" s="36" t="s">
        <v>98</v>
      </c>
      <c r="J2791" s="36">
        <v>669</v>
      </c>
      <c r="K2791" s="36">
        <v>956.67000000000007</v>
      </c>
    </row>
    <row r="2792" spans="1:11" x14ac:dyDescent="0.3">
      <c r="A2792" s="36" t="s">
        <v>90</v>
      </c>
      <c r="B2792" s="36">
        <v>2024</v>
      </c>
      <c r="C2792" s="36" t="s">
        <v>6</v>
      </c>
      <c r="D2792" s="36" t="s">
        <v>91</v>
      </c>
      <c r="E2792" s="36" t="s">
        <v>92</v>
      </c>
      <c r="F2792" s="36" t="s">
        <v>93</v>
      </c>
      <c r="G2792" s="36" t="s">
        <v>94</v>
      </c>
      <c r="H2792" s="36" t="s">
        <v>95</v>
      </c>
      <c r="I2792" s="36" t="s">
        <v>98</v>
      </c>
      <c r="J2792" s="36">
        <v>755</v>
      </c>
      <c r="K2792" s="36">
        <v>1079.6500000000001</v>
      </c>
    </row>
    <row r="2793" spans="1:11" x14ac:dyDescent="0.3">
      <c r="A2793" s="36" t="s">
        <v>90</v>
      </c>
      <c r="B2793" s="36">
        <v>2024</v>
      </c>
      <c r="C2793" s="36" t="s">
        <v>6</v>
      </c>
      <c r="D2793" s="36" t="s">
        <v>91</v>
      </c>
      <c r="E2793" s="36" t="s">
        <v>92</v>
      </c>
      <c r="F2793" s="36" t="s">
        <v>93</v>
      </c>
      <c r="G2793" s="36" t="s">
        <v>94</v>
      </c>
      <c r="H2793" s="36" t="s">
        <v>95</v>
      </c>
      <c r="I2793" s="36" t="s">
        <v>98</v>
      </c>
      <c r="J2793" s="36">
        <v>285</v>
      </c>
      <c r="K2793" s="36">
        <v>407.55</v>
      </c>
    </row>
    <row r="2794" spans="1:11" x14ac:dyDescent="0.3">
      <c r="A2794" s="36" t="s">
        <v>97</v>
      </c>
      <c r="B2794" s="36">
        <v>2024</v>
      </c>
      <c r="C2794" s="36" t="s">
        <v>6</v>
      </c>
      <c r="D2794" s="36" t="s">
        <v>91</v>
      </c>
      <c r="E2794" s="36" t="s">
        <v>92</v>
      </c>
      <c r="F2794" s="36" t="s">
        <v>93</v>
      </c>
      <c r="G2794" s="36" t="s">
        <v>94</v>
      </c>
      <c r="H2794" s="36" t="s">
        <v>95</v>
      </c>
      <c r="I2794" s="36" t="s">
        <v>98</v>
      </c>
      <c r="J2794" s="36">
        <v>795</v>
      </c>
      <c r="K2794" s="36">
        <v>526.24</v>
      </c>
    </row>
    <row r="2795" spans="1:11" x14ac:dyDescent="0.3">
      <c r="A2795" s="36" t="s">
        <v>90</v>
      </c>
      <c r="B2795" s="36">
        <v>2024</v>
      </c>
      <c r="C2795" s="36" t="s">
        <v>6</v>
      </c>
      <c r="D2795" s="36" t="s">
        <v>91</v>
      </c>
      <c r="E2795" s="36" t="s">
        <v>92</v>
      </c>
      <c r="F2795" s="36" t="s">
        <v>93</v>
      </c>
      <c r="G2795" s="36" t="s">
        <v>94</v>
      </c>
      <c r="H2795" s="36" t="s">
        <v>95</v>
      </c>
      <c r="I2795" s="36" t="s">
        <v>98</v>
      </c>
      <c r="J2795" s="36">
        <v>283</v>
      </c>
      <c r="K2795" s="36">
        <v>404.69</v>
      </c>
    </row>
    <row r="2796" spans="1:11" x14ac:dyDescent="0.3">
      <c r="A2796" s="36" t="s">
        <v>97</v>
      </c>
      <c r="B2796" s="36">
        <v>2024</v>
      </c>
      <c r="C2796" s="36" t="s">
        <v>6</v>
      </c>
      <c r="D2796" s="36" t="s">
        <v>91</v>
      </c>
      <c r="E2796" s="36" t="s">
        <v>92</v>
      </c>
      <c r="F2796" s="36" t="s">
        <v>93</v>
      </c>
      <c r="G2796" s="36" t="s">
        <v>94</v>
      </c>
      <c r="H2796" s="36" t="s">
        <v>95</v>
      </c>
      <c r="I2796" s="36" t="s">
        <v>98</v>
      </c>
      <c r="J2796" s="36">
        <v>259</v>
      </c>
      <c r="K2796" s="36">
        <v>370.37</v>
      </c>
    </row>
    <row r="2797" spans="1:11" x14ac:dyDescent="0.3">
      <c r="A2797" s="36" t="s">
        <v>97</v>
      </c>
      <c r="B2797" s="36">
        <v>2024</v>
      </c>
      <c r="C2797" s="36" t="s">
        <v>6</v>
      </c>
      <c r="D2797" s="36" t="s">
        <v>91</v>
      </c>
      <c r="E2797" s="36" t="s">
        <v>92</v>
      </c>
      <c r="F2797" s="36" t="s">
        <v>93</v>
      </c>
      <c r="G2797" s="36" t="s">
        <v>94</v>
      </c>
      <c r="H2797" s="36" t="s">
        <v>95</v>
      </c>
      <c r="I2797" s="36" t="s">
        <v>98</v>
      </c>
      <c r="J2797" s="36">
        <v>281</v>
      </c>
      <c r="K2797" s="36">
        <v>401.83</v>
      </c>
    </row>
    <row r="2798" spans="1:11" x14ac:dyDescent="0.3">
      <c r="A2798" s="36" t="s">
        <v>97</v>
      </c>
      <c r="B2798" s="36">
        <v>2024</v>
      </c>
      <c r="C2798" s="36" t="s">
        <v>6</v>
      </c>
      <c r="D2798" s="36" t="s">
        <v>91</v>
      </c>
      <c r="E2798" s="36" t="s">
        <v>92</v>
      </c>
      <c r="F2798" s="36" t="s">
        <v>93</v>
      </c>
      <c r="G2798" s="36" t="s">
        <v>94</v>
      </c>
      <c r="H2798" s="36" t="s">
        <v>95</v>
      </c>
      <c r="I2798" s="36" t="s">
        <v>98</v>
      </c>
      <c r="J2798" s="36">
        <v>764</v>
      </c>
      <c r="K2798" s="36">
        <v>1092.52</v>
      </c>
    </row>
    <row r="2799" spans="1:11" x14ac:dyDescent="0.3">
      <c r="A2799" s="36" t="s">
        <v>99</v>
      </c>
      <c r="B2799" s="36">
        <v>2024</v>
      </c>
      <c r="C2799" s="36" t="s">
        <v>5</v>
      </c>
      <c r="D2799" s="36" t="s">
        <v>91</v>
      </c>
      <c r="E2799" s="36" t="s">
        <v>92</v>
      </c>
      <c r="F2799" s="36" t="s">
        <v>93</v>
      </c>
      <c r="G2799" s="36" t="s">
        <v>94</v>
      </c>
      <c r="H2799" s="36" t="s">
        <v>95</v>
      </c>
      <c r="I2799" s="36" t="s">
        <v>98</v>
      </c>
      <c r="J2799" s="36">
        <v>290</v>
      </c>
      <c r="K2799" s="36">
        <v>443.70000000000005</v>
      </c>
    </row>
    <row r="2800" spans="1:11" x14ac:dyDescent="0.3">
      <c r="A2800" s="36" t="s">
        <v>99</v>
      </c>
      <c r="B2800" s="36">
        <v>2024</v>
      </c>
      <c r="C2800" s="36" t="s">
        <v>5</v>
      </c>
      <c r="D2800" s="36" t="s">
        <v>91</v>
      </c>
      <c r="E2800" s="36" t="s">
        <v>92</v>
      </c>
      <c r="F2800" s="36" t="s">
        <v>93</v>
      </c>
      <c r="G2800" s="36" t="s">
        <v>94</v>
      </c>
      <c r="H2800" s="36" t="s">
        <v>95</v>
      </c>
      <c r="I2800" s="36" t="s">
        <v>98</v>
      </c>
      <c r="J2800" s="36">
        <v>260</v>
      </c>
      <c r="K2800" s="36">
        <v>371.8</v>
      </c>
    </row>
    <row r="2801" spans="1:11" x14ac:dyDescent="0.3">
      <c r="A2801" s="36" t="s">
        <v>97</v>
      </c>
      <c r="B2801" s="36">
        <v>2024</v>
      </c>
      <c r="C2801" s="36" t="s">
        <v>5</v>
      </c>
      <c r="D2801" s="36" t="s">
        <v>91</v>
      </c>
      <c r="E2801" s="36" t="s">
        <v>92</v>
      </c>
      <c r="F2801" s="36" t="s">
        <v>93</v>
      </c>
      <c r="G2801" s="36" t="s">
        <v>94</v>
      </c>
      <c r="H2801" s="36" t="s">
        <v>95</v>
      </c>
      <c r="I2801" s="36" t="s">
        <v>98</v>
      </c>
      <c r="J2801" s="36">
        <v>262</v>
      </c>
      <c r="K2801" s="36">
        <v>374.65999999999997</v>
      </c>
    </row>
    <row r="2802" spans="1:11" x14ac:dyDescent="0.3">
      <c r="A2802" s="36" t="s">
        <v>99</v>
      </c>
      <c r="B2802" s="36">
        <v>2024</v>
      </c>
      <c r="C2802" s="36" t="s">
        <v>5</v>
      </c>
      <c r="D2802" s="36" t="s">
        <v>91</v>
      </c>
      <c r="E2802" s="36" t="s">
        <v>92</v>
      </c>
      <c r="F2802" s="36" t="s">
        <v>93</v>
      </c>
      <c r="G2802" s="36" t="s">
        <v>94</v>
      </c>
      <c r="H2802" s="36" t="s">
        <v>95</v>
      </c>
      <c r="I2802" s="36" t="s">
        <v>98</v>
      </c>
      <c r="J2802" s="36">
        <v>668</v>
      </c>
      <c r="K2802" s="36">
        <v>955.24</v>
      </c>
    </row>
    <row r="2803" spans="1:11" x14ac:dyDescent="0.3">
      <c r="A2803" s="36" t="s">
        <v>99</v>
      </c>
      <c r="B2803" s="36">
        <v>2024</v>
      </c>
      <c r="C2803" s="36" t="s">
        <v>5</v>
      </c>
      <c r="D2803" s="36" t="s">
        <v>91</v>
      </c>
      <c r="E2803" s="36" t="s">
        <v>92</v>
      </c>
      <c r="F2803" s="36" t="s">
        <v>93</v>
      </c>
      <c r="G2803" s="36" t="s">
        <v>94</v>
      </c>
      <c r="H2803" s="36" t="s">
        <v>95</v>
      </c>
      <c r="I2803" s="36" t="s">
        <v>98</v>
      </c>
      <c r="J2803" s="36">
        <v>754</v>
      </c>
      <c r="K2803" s="36">
        <v>1078.22</v>
      </c>
    </row>
    <row r="2804" spans="1:11" x14ac:dyDescent="0.3">
      <c r="A2804" s="36" t="s">
        <v>99</v>
      </c>
      <c r="B2804" s="36">
        <v>2024</v>
      </c>
      <c r="C2804" s="36" t="s">
        <v>5</v>
      </c>
      <c r="D2804" s="36" t="s">
        <v>91</v>
      </c>
      <c r="E2804" s="36" t="s">
        <v>92</v>
      </c>
      <c r="F2804" s="36" t="s">
        <v>93</v>
      </c>
      <c r="G2804" s="36" t="s">
        <v>94</v>
      </c>
      <c r="H2804" s="36" t="s">
        <v>95</v>
      </c>
      <c r="I2804" s="36" t="s">
        <v>98</v>
      </c>
      <c r="J2804" s="36">
        <v>291</v>
      </c>
      <c r="K2804" s="36">
        <v>416.13</v>
      </c>
    </row>
    <row r="2805" spans="1:11" x14ac:dyDescent="0.3">
      <c r="A2805" s="36" t="s">
        <v>99</v>
      </c>
      <c r="B2805" s="36">
        <v>2024</v>
      </c>
      <c r="C2805" s="36" t="s">
        <v>5</v>
      </c>
      <c r="D2805" s="36" t="s">
        <v>91</v>
      </c>
      <c r="E2805" s="36" t="s">
        <v>92</v>
      </c>
      <c r="F2805" s="36" t="s">
        <v>93</v>
      </c>
      <c r="G2805" s="36" t="s">
        <v>94</v>
      </c>
      <c r="H2805" s="36" t="s">
        <v>95</v>
      </c>
      <c r="I2805" s="36" t="s">
        <v>98</v>
      </c>
      <c r="J2805" s="36">
        <v>794</v>
      </c>
      <c r="K2805" s="36">
        <v>526.24</v>
      </c>
    </row>
    <row r="2806" spans="1:11" x14ac:dyDescent="0.3">
      <c r="A2806" s="36" t="s">
        <v>97</v>
      </c>
      <c r="B2806" s="36">
        <v>2024</v>
      </c>
      <c r="C2806" s="36" t="s">
        <v>5</v>
      </c>
      <c r="D2806" s="36" t="s">
        <v>91</v>
      </c>
      <c r="E2806" s="36" t="s">
        <v>92</v>
      </c>
      <c r="F2806" s="36" t="s">
        <v>93</v>
      </c>
      <c r="G2806" s="36" t="s">
        <v>94</v>
      </c>
      <c r="H2806" s="36" t="s">
        <v>95</v>
      </c>
      <c r="I2806" s="36" t="s">
        <v>98</v>
      </c>
      <c r="J2806" s="36">
        <v>289</v>
      </c>
      <c r="K2806" s="36">
        <v>413.27</v>
      </c>
    </row>
    <row r="2807" spans="1:11" x14ac:dyDescent="0.3">
      <c r="A2807" s="36" t="s">
        <v>99</v>
      </c>
      <c r="B2807" s="36">
        <v>2024</v>
      </c>
      <c r="C2807" s="36" t="s">
        <v>5</v>
      </c>
      <c r="D2807" s="36" t="s">
        <v>91</v>
      </c>
      <c r="E2807" s="36" t="s">
        <v>92</v>
      </c>
      <c r="F2807" s="36" t="s">
        <v>93</v>
      </c>
      <c r="G2807" s="36" t="s">
        <v>94</v>
      </c>
      <c r="H2807" s="36" t="s">
        <v>95</v>
      </c>
      <c r="I2807" s="36" t="s">
        <v>98</v>
      </c>
      <c r="J2807" s="36">
        <v>287</v>
      </c>
      <c r="K2807" s="36">
        <v>410.40999999999997</v>
      </c>
    </row>
    <row r="2808" spans="1:11" x14ac:dyDescent="0.3">
      <c r="A2808" s="36" t="s">
        <v>99</v>
      </c>
      <c r="B2808" s="36">
        <v>2024</v>
      </c>
      <c r="C2808" s="36" t="s">
        <v>5</v>
      </c>
      <c r="D2808" s="36" t="s">
        <v>91</v>
      </c>
      <c r="E2808" s="36" t="s">
        <v>92</v>
      </c>
      <c r="F2808" s="36" t="s">
        <v>93</v>
      </c>
      <c r="G2808" s="36" t="s">
        <v>94</v>
      </c>
      <c r="H2808" s="36" t="s">
        <v>95</v>
      </c>
      <c r="I2808" s="36" t="s">
        <v>98</v>
      </c>
      <c r="J2808" s="36">
        <v>763</v>
      </c>
      <c r="K2808" s="36">
        <v>1091.0899999999999</v>
      </c>
    </row>
    <row r="2809" spans="1:11" x14ac:dyDescent="0.3">
      <c r="A2809" s="36" t="s">
        <v>90</v>
      </c>
      <c r="B2809" s="36">
        <v>2024</v>
      </c>
      <c r="C2809" s="36" t="s">
        <v>2</v>
      </c>
      <c r="D2809" s="36" t="s">
        <v>91</v>
      </c>
      <c r="E2809" s="36" t="s">
        <v>92</v>
      </c>
      <c r="F2809" s="36" t="s">
        <v>93</v>
      </c>
      <c r="G2809" s="36" t="s">
        <v>94</v>
      </c>
      <c r="H2809" s="36" t="s">
        <v>95</v>
      </c>
      <c r="I2809" s="36" t="s">
        <v>98</v>
      </c>
      <c r="J2809" s="36">
        <v>278</v>
      </c>
      <c r="K2809" s="36">
        <v>397.53999999999996</v>
      </c>
    </row>
    <row r="2810" spans="1:11" x14ac:dyDescent="0.3">
      <c r="A2810" s="36" t="s">
        <v>97</v>
      </c>
      <c r="B2810" s="36">
        <v>2024</v>
      </c>
      <c r="C2810" s="36" t="s">
        <v>2</v>
      </c>
      <c r="D2810" s="36" t="s">
        <v>91</v>
      </c>
      <c r="E2810" s="36" t="s">
        <v>92</v>
      </c>
      <c r="F2810" s="36" t="s">
        <v>93</v>
      </c>
      <c r="G2810" s="36" t="s">
        <v>94</v>
      </c>
      <c r="H2810" s="36" t="s">
        <v>95</v>
      </c>
      <c r="I2810" s="36" t="s">
        <v>98</v>
      </c>
      <c r="J2810" s="36">
        <v>304</v>
      </c>
      <c r="K2810" s="36">
        <v>434.72</v>
      </c>
    </row>
    <row r="2811" spans="1:11" x14ac:dyDescent="0.3">
      <c r="A2811" s="36" t="s">
        <v>97</v>
      </c>
      <c r="B2811" s="36">
        <v>2024</v>
      </c>
      <c r="C2811" s="36" t="s">
        <v>2</v>
      </c>
      <c r="D2811" s="36" t="s">
        <v>91</v>
      </c>
      <c r="E2811" s="36" t="s">
        <v>92</v>
      </c>
      <c r="F2811" s="36" t="s">
        <v>93</v>
      </c>
      <c r="G2811" s="36" t="s">
        <v>94</v>
      </c>
      <c r="H2811" s="36" t="s">
        <v>95</v>
      </c>
      <c r="I2811" s="36" t="s">
        <v>98</v>
      </c>
      <c r="J2811" s="36">
        <v>280</v>
      </c>
      <c r="K2811" s="36">
        <v>400.4</v>
      </c>
    </row>
    <row r="2812" spans="1:11" x14ac:dyDescent="0.3">
      <c r="A2812" s="36" t="s">
        <v>97</v>
      </c>
      <c r="B2812" s="36">
        <v>2024</v>
      </c>
      <c r="C2812" s="36" t="s">
        <v>2</v>
      </c>
      <c r="D2812" s="36" t="s">
        <v>91</v>
      </c>
      <c r="E2812" s="36" t="s">
        <v>92</v>
      </c>
      <c r="F2812" s="36" t="s">
        <v>93</v>
      </c>
      <c r="G2812" s="36" t="s">
        <v>94</v>
      </c>
      <c r="H2812" s="36" t="s">
        <v>95</v>
      </c>
      <c r="I2812" s="36" t="s">
        <v>98</v>
      </c>
      <c r="J2812" s="36">
        <v>665</v>
      </c>
      <c r="K2812" s="36">
        <v>950.95</v>
      </c>
    </row>
    <row r="2813" spans="1:11" x14ac:dyDescent="0.3">
      <c r="A2813" s="36" t="s">
        <v>99</v>
      </c>
      <c r="B2813" s="36">
        <v>2024</v>
      </c>
      <c r="C2813" s="36" t="s">
        <v>2</v>
      </c>
      <c r="D2813" s="36" t="s">
        <v>91</v>
      </c>
      <c r="E2813" s="36" t="s">
        <v>92</v>
      </c>
      <c r="F2813" s="36" t="s">
        <v>93</v>
      </c>
      <c r="G2813" s="36" t="s">
        <v>94</v>
      </c>
      <c r="H2813" s="36" t="s">
        <v>95</v>
      </c>
      <c r="I2813" s="36" t="s">
        <v>98</v>
      </c>
      <c r="J2813" s="36">
        <v>752</v>
      </c>
      <c r="K2813" s="36">
        <v>1075.3600000000001</v>
      </c>
    </row>
    <row r="2814" spans="1:11" x14ac:dyDescent="0.3">
      <c r="A2814" s="36" t="s">
        <v>99</v>
      </c>
      <c r="B2814" s="36">
        <v>2024</v>
      </c>
      <c r="C2814" s="36" t="s">
        <v>2</v>
      </c>
      <c r="D2814" s="36" t="s">
        <v>91</v>
      </c>
      <c r="E2814" s="36" t="s">
        <v>92</v>
      </c>
      <c r="F2814" s="36" t="s">
        <v>93</v>
      </c>
      <c r="G2814" s="36" t="s">
        <v>94</v>
      </c>
      <c r="H2814" s="36" t="s">
        <v>95</v>
      </c>
      <c r="I2814" s="36" t="s">
        <v>98</v>
      </c>
      <c r="J2814" s="36">
        <v>303</v>
      </c>
      <c r="K2814" s="36">
        <v>433.28999999999996</v>
      </c>
    </row>
    <row r="2815" spans="1:11" x14ac:dyDescent="0.3">
      <c r="A2815" s="36" t="s">
        <v>97</v>
      </c>
      <c r="B2815" s="36">
        <v>2024</v>
      </c>
      <c r="C2815" s="36" t="s">
        <v>2</v>
      </c>
      <c r="D2815" s="36" t="s">
        <v>91</v>
      </c>
      <c r="E2815" s="36" t="s">
        <v>92</v>
      </c>
      <c r="F2815" s="36" t="s">
        <v>93</v>
      </c>
      <c r="G2815" s="36" t="s">
        <v>94</v>
      </c>
      <c r="H2815" s="36" t="s">
        <v>95</v>
      </c>
      <c r="I2815" s="36" t="s">
        <v>98</v>
      </c>
      <c r="J2815" s="36">
        <v>791</v>
      </c>
      <c r="K2815" s="36">
        <v>526.24</v>
      </c>
    </row>
    <row r="2816" spans="1:11" x14ac:dyDescent="0.3">
      <c r="A2816" s="36" t="s">
        <v>97</v>
      </c>
      <c r="B2816" s="36">
        <v>2024</v>
      </c>
      <c r="C2816" s="36" t="s">
        <v>2</v>
      </c>
      <c r="D2816" s="36" t="s">
        <v>91</v>
      </c>
      <c r="E2816" s="36" t="s">
        <v>92</v>
      </c>
      <c r="F2816" s="36" t="s">
        <v>93</v>
      </c>
      <c r="G2816" s="36" t="s">
        <v>94</v>
      </c>
      <c r="H2816" s="36" t="s">
        <v>95</v>
      </c>
      <c r="I2816" s="36" t="s">
        <v>98</v>
      </c>
      <c r="J2816" s="36">
        <v>307</v>
      </c>
      <c r="K2816" s="36">
        <v>439.01</v>
      </c>
    </row>
    <row r="2817" spans="1:11" x14ac:dyDescent="0.3">
      <c r="A2817" s="36" t="s">
        <v>97</v>
      </c>
      <c r="B2817" s="36">
        <v>2024</v>
      </c>
      <c r="C2817" s="36" t="s">
        <v>2</v>
      </c>
      <c r="D2817" s="36" t="s">
        <v>91</v>
      </c>
      <c r="E2817" s="36" t="s">
        <v>92</v>
      </c>
      <c r="F2817" s="36" t="s">
        <v>93</v>
      </c>
      <c r="G2817" s="36" t="s">
        <v>94</v>
      </c>
      <c r="H2817" s="36" t="s">
        <v>95</v>
      </c>
      <c r="I2817" s="36" t="s">
        <v>98</v>
      </c>
      <c r="J2817" s="36">
        <v>277</v>
      </c>
      <c r="K2817" s="36">
        <v>396.11</v>
      </c>
    </row>
    <row r="2818" spans="1:11" x14ac:dyDescent="0.3">
      <c r="A2818" s="36" t="s">
        <v>90</v>
      </c>
      <c r="B2818" s="36">
        <v>2024</v>
      </c>
      <c r="C2818" s="36" t="s">
        <v>2</v>
      </c>
      <c r="D2818" s="36" t="s">
        <v>91</v>
      </c>
      <c r="E2818" s="36" t="s">
        <v>92</v>
      </c>
      <c r="F2818" s="36" t="s">
        <v>93</v>
      </c>
      <c r="G2818" s="36" t="s">
        <v>94</v>
      </c>
      <c r="H2818" s="36" t="s">
        <v>95</v>
      </c>
      <c r="I2818" s="36" t="s">
        <v>98</v>
      </c>
      <c r="J2818" s="36">
        <v>305</v>
      </c>
      <c r="K2818" s="36">
        <v>436.15</v>
      </c>
    </row>
    <row r="2819" spans="1:11" x14ac:dyDescent="0.3">
      <c r="A2819" s="36" t="s">
        <v>97</v>
      </c>
      <c r="B2819" s="36">
        <v>2024</v>
      </c>
      <c r="C2819" s="36" t="s">
        <v>4</v>
      </c>
      <c r="D2819" s="36" t="s">
        <v>91</v>
      </c>
      <c r="E2819" s="36" t="s">
        <v>92</v>
      </c>
      <c r="F2819" s="36" t="s">
        <v>93</v>
      </c>
      <c r="G2819" s="36" t="s">
        <v>94</v>
      </c>
      <c r="H2819" s="36" t="s">
        <v>95</v>
      </c>
      <c r="I2819" s="36" t="s">
        <v>98</v>
      </c>
      <c r="J2819" s="36">
        <v>296</v>
      </c>
      <c r="K2819" s="36">
        <v>452.88</v>
      </c>
    </row>
    <row r="2820" spans="1:11" x14ac:dyDescent="0.3">
      <c r="A2820" s="36" t="s">
        <v>97</v>
      </c>
      <c r="B2820" s="36">
        <v>2024</v>
      </c>
      <c r="C2820" s="36" t="s">
        <v>4</v>
      </c>
      <c r="D2820" s="36" t="s">
        <v>91</v>
      </c>
      <c r="E2820" s="36" t="s">
        <v>92</v>
      </c>
      <c r="F2820" s="36" t="s">
        <v>93</v>
      </c>
      <c r="G2820" s="36" t="s">
        <v>94</v>
      </c>
      <c r="H2820" s="36" t="s">
        <v>95</v>
      </c>
      <c r="I2820" s="36" t="s">
        <v>98</v>
      </c>
      <c r="J2820" s="36">
        <v>266</v>
      </c>
      <c r="K2820" s="36">
        <v>380.38</v>
      </c>
    </row>
    <row r="2821" spans="1:11" x14ac:dyDescent="0.3">
      <c r="A2821" s="36" t="s">
        <v>97</v>
      </c>
      <c r="B2821" s="36">
        <v>2024</v>
      </c>
      <c r="C2821" s="36" t="s">
        <v>4</v>
      </c>
      <c r="D2821" s="36" t="s">
        <v>91</v>
      </c>
      <c r="E2821" s="36" t="s">
        <v>92</v>
      </c>
      <c r="F2821" s="36" t="s">
        <v>93</v>
      </c>
      <c r="G2821" s="36" t="s">
        <v>94</v>
      </c>
      <c r="H2821" s="36" t="s">
        <v>95</v>
      </c>
      <c r="I2821" s="36" t="s">
        <v>98</v>
      </c>
      <c r="J2821" s="36">
        <v>292</v>
      </c>
      <c r="K2821" s="36">
        <v>417.56</v>
      </c>
    </row>
    <row r="2822" spans="1:11" x14ac:dyDescent="0.3">
      <c r="A2822" s="36" t="s">
        <v>97</v>
      </c>
      <c r="B2822" s="36">
        <v>2024</v>
      </c>
      <c r="C2822" s="36" t="s">
        <v>4</v>
      </c>
      <c r="D2822" s="36" t="s">
        <v>91</v>
      </c>
      <c r="E2822" s="36" t="s">
        <v>92</v>
      </c>
      <c r="F2822" s="36" t="s">
        <v>93</v>
      </c>
      <c r="G2822" s="36" t="s">
        <v>94</v>
      </c>
      <c r="H2822" s="36" t="s">
        <v>95</v>
      </c>
      <c r="I2822" s="36" t="s">
        <v>98</v>
      </c>
      <c r="J2822" s="36">
        <v>268</v>
      </c>
      <c r="K2822" s="36">
        <v>383.24</v>
      </c>
    </row>
    <row r="2823" spans="1:11" x14ac:dyDescent="0.3">
      <c r="A2823" s="36" t="s">
        <v>90</v>
      </c>
      <c r="B2823" s="36">
        <v>2024</v>
      </c>
      <c r="C2823" s="36" t="s">
        <v>4</v>
      </c>
      <c r="D2823" s="36" t="s">
        <v>91</v>
      </c>
      <c r="E2823" s="36" t="s">
        <v>92</v>
      </c>
      <c r="F2823" s="36" t="s">
        <v>93</v>
      </c>
      <c r="G2823" s="36" t="s">
        <v>94</v>
      </c>
      <c r="H2823" s="36" t="s">
        <v>95</v>
      </c>
      <c r="I2823" s="36" t="s">
        <v>98</v>
      </c>
      <c r="J2823" s="36">
        <v>667</v>
      </c>
      <c r="K2823" s="36">
        <v>953.81</v>
      </c>
    </row>
    <row r="2824" spans="1:11" x14ac:dyDescent="0.3">
      <c r="A2824" s="36" t="s">
        <v>90</v>
      </c>
      <c r="B2824" s="36">
        <v>2024</v>
      </c>
      <c r="C2824" s="36" t="s">
        <v>4</v>
      </c>
      <c r="D2824" s="36" t="s">
        <v>91</v>
      </c>
      <c r="E2824" s="36" t="s">
        <v>92</v>
      </c>
      <c r="F2824" s="36" t="s">
        <v>93</v>
      </c>
      <c r="G2824" s="36" t="s">
        <v>94</v>
      </c>
      <c r="H2824" s="36" t="s">
        <v>95</v>
      </c>
      <c r="I2824" s="36" t="s">
        <v>98</v>
      </c>
      <c r="J2824" s="36">
        <v>793</v>
      </c>
      <c r="K2824" s="36">
        <v>526.24</v>
      </c>
    </row>
    <row r="2825" spans="1:11" x14ac:dyDescent="0.3">
      <c r="A2825" s="36" t="s">
        <v>97</v>
      </c>
      <c r="B2825" s="36">
        <v>2024</v>
      </c>
      <c r="C2825" s="36" t="s">
        <v>4</v>
      </c>
      <c r="D2825" s="36" t="s">
        <v>91</v>
      </c>
      <c r="E2825" s="36" t="s">
        <v>92</v>
      </c>
      <c r="F2825" s="36" t="s">
        <v>93</v>
      </c>
      <c r="G2825" s="36" t="s">
        <v>94</v>
      </c>
      <c r="H2825" s="36" t="s">
        <v>95</v>
      </c>
      <c r="I2825" s="36" t="s">
        <v>98</v>
      </c>
      <c r="J2825" s="36">
        <v>295</v>
      </c>
      <c r="K2825" s="36">
        <v>421.85</v>
      </c>
    </row>
    <row r="2826" spans="1:11" x14ac:dyDescent="0.3">
      <c r="A2826" s="36" t="s">
        <v>97</v>
      </c>
      <c r="B2826" s="36">
        <v>2024</v>
      </c>
      <c r="C2826" s="36" t="s">
        <v>4</v>
      </c>
      <c r="D2826" s="36" t="s">
        <v>91</v>
      </c>
      <c r="E2826" s="36" t="s">
        <v>92</v>
      </c>
      <c r="F2826" s="36" t="s">
        <v>93</v>
      </c>
      <c r="G2826" s="36" t="s">
        <v>94</v>
      </c>
      <c r="H2826" s="36" t="s">
        <v>95</v>
      </c>
      <c r="I2826" s="36" t="s">
        <v>98</v>
      </c>
      <c r="J2826" s="36">
        <v>265</v>
      </c>
      <c r="K2826" s="36">
        <v>378.95</v>
      </c>
    </row>
    <row r="2827" spans="1:11" x14ac:dyDescent="0.3">
      <c r="A2827" s="36" t="s">
        <v>97</v>
      </c>
      <c r="B2827" s="36">
        <v>2024</v>
      </c>
      <c r="C2827" s="36" t="s">
        <v>4</v>
      </c>
      <c r="D2827" s="36" t="s">
        <v>91</v>
      </c>
      <c r="E2827" s="36" t="s">
        <v>92</v>
      </c>
      <c r="F2827" s="36" t="s">
        <v>93</v>
      </c>
      <c r="G2827" s="36" t="s">
        <v>94</v>
      </c>
      <c r="H2827" s="36" t="s">
        <v>95</v>
      </c>
      <c r="I2827" s="36" t="s">
        <v>98</v>
      </c>
      <c r="J2827" s="36">
        <v>293</v>
      </c>
      <c r="K2827" s="36">
        <v>418.99</v>
      </c>
    </row>
    <row r="2828" spans="1:11" x14ac:dyDescent="0.3">
      <c r="A2828" s="36" t="s">
        <v>97</v>
      </c>
      <c r="B2828" s="36">
        <v>2024</v>
      </c>
      <c r="C2828" s="36" t="s">
        <v>4</v>
      </c>
      <c r="D2828" s="36" t="s">
        <v>91</v>
      </c>
      <c r="E2828" s="36" t="s">
        <v>92</v>
      </c>
      <c r="F2828" s="36" t="s">
        <v>93</v>
      </c>
      <c r="G2828" s="36" t="s">
        <v>94</v>
      </c>
      <c r="H2828" s="36" t="s">
        <v>95</v>
      </c>
      <c r="I2828" s="36" t="s">
        <v>98</v>
      </c>
      <c r="J2828" s="36">
        <v>762</v>
      </c>
      <c r="K2828" s="36">
        <v>1089.6599999999999</v>
      </c>
    </row>
    <row r="2829" spans="1:11" x14ac:dyDescent="0.3">
      <c r="A2829" s="36" t="s">
        <v>90</v>
      </c>
      <c r="B2829" s="36">
        <v>2024</v>
      </c>
      <c r="C2829" s="36" t="s">
        <v>10</v>
      </c>
      <c r="D2829" s="36" t="s">
        <v>91</v>
      </c>
      <c r="E2829" s="36" t="s">
        <v>92</v>
      </c>
      <c r="F2829" s="36" t="s">
        <v>93</v>
      </c>
      <c r="G2829" s="36" t="s">
        <v>94</v>
      </c>
      <c r="H2829" s="36" t="s">
        <v>95</v>
      </c>
      <c r="I2829" s="36" t="s">
        <v>98</v>
      </c>
      <c r="J2829" s="36">
        <v>260</v>
      </c>
      <c r="K2829" s="36">
        <v>397.8</v>
      </c>
    </row>
    <row r="2830" spans="1:11" x14ac:dyDescent="0.3">
      <c r="A2830" s="36" t="s">
        <v>97</v>
      </c>
      <c r="B2830" s="36">
        <v>2024</v>
      </c>
      <c r="C2830" s="36" t="s">
        <v>10</v>
      </c>
      <c r="D2830" s="36" t="s">
        <v>91</v>
      </c>
      <c r="E2830" s="36" t="s">
        <v>92</v>
      </c>
      <c r="F2830" s="36" t="s">
        <v>93</v>
      </c>
      <c r="G2830" s="36" t="s">
        <v>94</v>
      </c>
      <c r="H2830" s="36" t="s">
        <v>95</v>
      </c>
      <c r="I2830" s="36" t="s">
        <v>98</v>
      </c>
      <c r="J2830" s="36">
        <v>236</v>
      </c>
      <c r="K2830" s="36">
        <v>337.48</v>
      </c>
    </row>
    <row r="2831" spans="1:11" x14ac:dyDescent="0.3">
      <c r="A2831" s="36" t="s">
        <v>90</v>
      </c>
      <c r="B2831" s="36">
        <v>2024</v>
      </c>
      <c r="C2831" s="36" t="s">
        <v>10</v>
      </c>
      <c r="D2831" s="36" t="s">
        <v>91</v>
      </c>
      <c r="E2831" s="36" t="s">
        <v>92</v>
      </c>
      <c r="F2831" s="36" t="s">
        <v>93</v>
      </c>
      <c r="G2831" s="36" t="s">
        <v>94</v>
      </c>
      <c r="H2831" s="36" t="s">
        <v>95</v>
      </c>
      <c r="I2831" s="36" t="s">
        <v>98</v>
      </c>
      <c r="J2831" s="36">
        <v>262</v>
      </c>
      <c r="K2831" s="36">
        <v>374.65999999999997</v>
      </c>
    </row>
    <row r="2832" spans="1:11" x14ac:dyDescent="0.3">
      <c r="A2832" s="36" t="s">
        <v>101</v>
      </c>
      <c r="B2832" s="36">
        <v>2024</v>
      </c>
      <c r="C2832" s="36" t="s">
        <v>10</v>
      </c>
      <c r="D2832" s="36" t="s">
        <v>91</v>
      </c>
      <c r="E2832" s="36" t="s">
        <v>92</v>
      </c>
      <c r="F2832" s="36" t="s">
        <v>93</v>
      </c>
      <c r="G2832" s="36" t="s">
        <v>94</v>
      </c>
      <c r="H2832" s="36" t="s">
        <v>95</v>
      </c>
      <c r="I2832" s="36" t="s">
        <v>98</v>
      </c>
      <c r="J2832" s="36">
        <v>672</v>
      </c>
      <c r="K2832" s="36">
        <v>960.96</v>
      </c>
    </row>
    <row r="2833" spans="1:11" x14ac:dyDescent="0.3">
      <c r="A2833" s="36" t="s">
        <v>97</v>
      </c>
      <c r="B2833" s="36">
        <v>2024</v>
      </c>
      <c r="C2833" s="36" t="s">
        <v>10</v>
      </c>
      <c r="D2833" s="36" t="s">
        <v>91</v>
      </c>
      <c r="E2833" s="36" t="s">
        <v>92</v>
      </c>
      <c r="F2833" s="36" t="s">
        <v>93</v>
      </c>
      <c r="G2833" s="36" t="s">
        <v>94</v>
      </c>
      <c r="H2833" s="36" t="s">
        <v>95</v>
      </c>
      <c r="I2833" s="36" t="s">
        <v>98</v>
      </c>
      <c r="J2833" s="36">
        <v>759</v>
      </c>
      <c r="K2833" s="36">
        <v>1085.3699999999999</v>
      </c>
    </row>
    <row r="2834" spans="1:11" x14ac:dyDescent="0.3">
      <c r="A2834" s="36" t="s">
        <v>97</v>
      </c>
      <c r="B2834" s="36">
        <v>2024</v>
      </c>
      <c r="C2834" s="36" t="s">
        <v>10</v>
      </c>
      <c r="D2834" s="36" t="s">
        <v>91</v>
      </c>
      <c r="E2834" s="36" t="s">
        <v>92</v>
      </c>
      <c r="F2834" s="36" t="s">
        <v>93</v>
      </c>
      <c r="G2834" s="36" t="s">
        <v>94</v>
      </c>
      <c r="H2834" s="36" t="s">
        <v>95</v>
      </c>
      <c r="I2834" s="36" t="s">
        <v>98</v>
      </c>
      <c r="J2834" s="36">
        <v>261</v>
      </c>
      <c r="K2834" s="36">
        <v>373.23</v>
      </c>
    </row>
    <row r="2835" spans="1:11" x14ac:dyDescent="0.3">
      <c r="A2835" s="36" t="s">
        <v>101</v>
      </c>
      <c r="B2835" s="36">
        <v>2024</v>
      </c>
      <c r="C2835" s="36" t="s">
        <v>10</v>
      </c>
      <c r="D2835" s="36" t="s">
        <v>91</v>
      </c>
      <c r="E2835" s="36" t="s">
        <v>92</v>
      </c>
      <c r="F2835" s="36" t="s">
        <v>93</v>
      </c>
      <c r="G2835" s="36" t="s">
        <v>94</v>
      </c>
      <c r="H2835" s="36" t="s">
        <v>95</v>
      </c>
      <c r="I2835" s="36" t="s">
        <v>98</v>
      </c>
      <c r="J2835" s="36">
        <v>798</v>
      </c>
      <c r="K2835" s="36">
        <v>526.24</v>
      </c>
    </row>
    <row r="2836" spans="1:11" x14ac:dyDescent="0.3">
      <c r="A2836" s="36" t="s">
        <v>90</v>
      </c>
      <c r="B2836" s="36">
        <v>2024</v>
      </c>
      <c r="C2836" s="36" t="s">
        <v>10</v>
      </c>
      <c r="D2836" s="36" t="s">
        <v>91</v>
      </c>
      <c r="E2836" s="36" t="s">
        <v>92</v>
      </c>
      <c r="F2836" s="36" t="s">
        <v>93</v>
      </c>
      <c r="G2836" s="36" t="s">
        <v>94</v>
      </c>
      <c r="H2836" s="36" t="s">
        <v>95</v>
      </c>
      <c r="I2836" s="36" t="s">
        <v>98</v>
      </c>
      <c r="J2836" s="36">
        <v>235</v>
      </c>
      <c r="K2836" s="36">
        <v>336.05</v>
      </c>
    </row>
    <row r="2837" spans="1:11" x14ac:dyDescent="0.3">
      <c r="A2837" s="36" t="s">
        <v>97</v>
      </c>
      <c r="B2837" s="36">
        <v>2024</v>
      </c>
      <c r="C2837" s="36" t="s">
        <v>10</v>
      </c>
      <c r="D2837" s="36" t="s">
        <v>91</v>
      </c>
      <c r="E2837" s="36" t="s">
        <v>92</v>
      </c>
      <c r="F2837" s="36" t="s">
        <v>93</v>
      </c>
      <c r="G2837" s="36" t="s">
        <v>94</v>
      </c>
      <c r="H2837" s="36" t="s">
        <v>95</v>
      </c>
      <c r="I2837" s="36" t="s">
        <v>98</v>
      </c>
      <c r="J2837" s="36">
        <v>263</v>
      </c>
      <c r="K2837" s="36">
        <v>376.09000000000003</v>
      </c>
    </row>
    <row r="2838" spans="1:11" x14ac:dyDescent="0.3">
      <c r="A2838" s="36" t="s">
        <v>90</v>
      </c>
      <c r="B2838" s="36">
        <v>2024</v>
      </c>
      <c r="C2838" s="36" t="s">
        <v>10</v>
      </c>
      <c r="D2838" s="36" t="s">
        <v>91</v>
      </c>
      <c r="E2838" s="36" t="s">
        <v>92</v>
      </c>
      <c r="F2838" s="36" t="s">
        <v>93</v>
      </c>
      <c r="G2838" s="36" t="s">
        <v>94</v>
      </c>
      <c r="H2838" s="36" t="s">
        <v>95</v>
      </c>
      <c r="I2838" s="36" t="s">
        <v>98</v>
      </c>
      <c r="J2838" s="36">
        <v>768</v>
      </c>
      <c r="K2838" s="36">
        <v>1098.24</v>
      </c>
    </row>
    <row r="2839" spans="1:11" x14ac:dyDescent="0.3">
      <c r="A2839" s="36" t="s">
        <v>97</v>
      </c>
      <c r="B2839" s="36">
        <v>2024</v>
      </c>
      <c r="C2839" s="36" t="s">
        <v>9</v>
      </c>
      <c r="D2839" s="36" t="s">
        <v>91</v>
      </c>
      <c r="E2839" s="36" t="s">
        <v>92</v>
      </c>
      <c r="F2839" s="36" t="s">
        <v>93</v>
      </c>
      <c r="G2839" s="36" t="s">
        <v>94</v>
      </c>
      <c r="H2839" s="36" t="s">
        <v>95</v>
      </c>
      <c r="I2839" s="36" t="s">
        <v>98</v>
      </c>
      <c r="J2839" s="36">
        <v>266</v>
      </c>
      <c r="K2839" s="36">
        <v>406.98</v>
      </c>
    </row>
    <row r="2840" spans="1:11" x14ac:dyDescent="0.3">
      <c r="A2840" s="36" t="s">
        <v>99</v>
      </c>
      <c r="B2840" s="36">
        <v>2024</v>
      </c>
      <c r="C2840" s="36" t="s">
        <v>9</v>
      </c>
      <c r="D2840" s="36" t="s">
        <v>91</v>
      </c>
      <c r="E2840" s="36" t="s">
        <v>92</v>
      </c>
      <c r="F2840" s="36" t="s">
        <v>93</v>
      </c>
      <c r="G2840" s="36" t="s">
        <v>94</v>
      </c>
      <c r="H2840" s="36" t="s">
        <v>95</v>
      </c>
      <c r="I2840" s="36" t="s">
        <v>98</v>
      </c>
      <c r="J2840" s="36">
        <v>242</v>
      </c>
      <c r="K2840" s="36">
        <v>346.06</v>
      </c>
    </row>
    <row r="2841" spans="1:11" x14ac:dyDescent="0.3">
      <c r="A2841" s="36" t="s">
        <v>97</v>
      </c>
      <c r="B2841" s="36">
        <v>2024</v>
      </c>
      <c r="C2841" s="36" t="s">
        <v>9</v>
      </c>
      <c r="D2841" s="36" t="s">
        <v>91</v>
      </c>
      <c r="E2841" s="36" t="s">
        <v>92</v>
      </c>
      <c r="F2841" s="36" t="s">
        <v>93</v>
      </c>
      <c r="G2841" s="36" t="s">
        <v>94</v>
      </c>
      <c r="H2841" s="36" t="s">
        <v>95</v>
      </c>
      <c r="I2841" s="36" t="s">
        <v>98</v>
      </c>
      <c r="J2841" s="36">
        <v>268</v>
      </c>
      <c r="K2841" s="36">
        <v>383.24</v>
      </c>
    </row>
    <row r="2842" spans="1:11" x14ac:dyDescent="0.3">
      <c r="A2842" s="36" t="s">
        <v>97</v>
      </c>
      <c r="B2842" s="36">
        <v>2024</v>
      </c>
      <c r="C2842" s="36" t="s">
        <v>9</v>
      </c>
      <c r="D2842" s="36" t="s">
        <v>91</v>
      </c>
      <c r="E2842" s="36" t="s">
        <v>92</v>
      </c>
      <c r="F2842" s="36" t="s">
        <v>93</v>
      </c>
      <c r="G2842" s="36" t="s">
        <v>94</v>
      </c>
      <c r="H2842" s="36" t="s">
        <v>95</v>
      </c>
      <c r="I2842" s="36" t="s">
        <v>98</v>
      </c>
      <c r="J2842" s="36">
        <v>238</v>
      </c>
      <c r="K2842" s="36">
        <v>340.34000000000003</v>
      </c>
    </row>
    <row r="2843" spans="1:11" x14ac:dyDescent="0.3">
      <c r="A2843" s="36" t="s">
        <v>97</v>
      </c>
      <c r="B2843" s="36">
        <v>2024</v>
      </c>
      <c r="C2843" s="36" t="s">
        <v>9</v>
      </c>
      <c r="D2843" s="36" t="s">
        <v>91</v>
      </c>
      <c r="E2843" s="36" t="s">
        <v>92</v>
      </c>
      <c r="F2843" s="36" t="s">
        <v>93</v>
      </c>
      <c r="G2843" s="36" t="s">
        <v>94</v>
      </c>
      <c r="H2843" s="36" t="s">
        <v>95</v>
      </c>
      <c r="I2843" s="36" t="s">
        <v>98</v>
      </c>
      <c r="J2843" s="36">
        <v>671</v>
      </c>
      <c r="K2843" s="36">
        <v>959.53</v>
      </c>
    </row>
    <row r="2844" spans="1:11" x14ac:dyDescent="0.3">
      <c r="A2844" s="36" t="s">
        <v>99</v>
      </c>
      <c r="B2844" s="36">
        <v>2024</v>
      </c>
      <c r="C2844" s="36" t="s">
        <v>9</v>
      </c>
      <c r="D2844" s="36" t="s">
        <v>91</v>
      </c>
      <c r="E2844" s="36" t="s">
        <v>92</v>
      </c>
      <c r="F2844" s="36" t="s">
        <v>93</v>
      </c>
      <c r="G2844" s="36" t="s">
        <v>94</v>
      </c>
      <c r="H2844" s="36" t="s">
        <v>95</v>
      </c>
      <c r="I2844" s="36" t="s">
        <v>98</v>
      </c>
      <c r="J2844" s="36">
        <v>758</v>
      </c>
      <c r="K2844" s="36">
        <v>1083.94</v>
      </c>
    </row>
    <row r="2845" spans="1:11" x14ac:dyDescent="0.3">
      <c r="A2845" s="36" t="s">
        <v>99</v>
      </c>
      <c r="B2845" s="36">
        <v>2024</v>
      </c>
      <c r="C2845" s="36" t="s">
        <v>9</v>
      </c>
      <c r="D2845" s="36" t="s">
        <v>91</v>
      </c>
      <c r="E2845" s="36" t="s">
        <v>92</v>
      </c>
      <c r="F2845" s="36" t="s">
        <v>93</v>
      </c>
      <c r="G2845" s="36" t="s">
        <v>94</v>
      </c>
      <c r="H2845" s="36" t="s">
        <v>95</v>
      </c>
      <c r="I2845" s="36" t="s">
        <v>98</v>
      </c>
      <c r="J2845" s="36">
        <v>267</v>
      </c>
      <c r="K2845" s="36">
        <v>381.81</v>
      </c>
    </row>
    <row r="2846" spans="1:11" x14ac:dyDescent="0.3">
      <c r="A2846" s="36" t="s">
        <v>97</v>
      </c>
      <c r="B2846" s="36">
        <v>2024</v>
      </c>
      <c r="C2846" s="36" t="s">
        <v>9</v>
      </c>
      <c r="D2846" s="36" t="s">
        <v>91</v>
      </c>
      <c r="E2846" s="36" t="s">
        <v>92</v>
      </c>
      <c r="F2846" s="36" t="s">
        <v>93</v>
      </c>
      <c r="G2846" s="36" t="s">
        <v>94</v>
      </c>
      <c r="H2846" s="36" t="s">
        <v>95</v>
      </c>
      <c r="I2846" s="36" t="s">
        <v>98</v>
      </c>
      <c r="J2846" s="36">
        <v>797</v>
      </c>
      <c r="K2846" s="36">
        <v>526.24</v>
      </c>
    </row>
    <row r="2847" spans="1:11" x14ac:dyDescent="0.3">
      <c r="A2847" s="36" t="s">
        <v>97</v>
      </c>
      <c r="B2847" s="36">
        <v>2024</v>
      </c>
      <c r="C2847" s="36" t="s">
        <v>9</v>
      </c>
      <c r="D2847" s="36" t="s">
        <v>91</v>
      </c>
      <c r="E2847" s="36" t="s">
        <v>92</v>
      </c>
      <c r="F2847" s="36" t="s">
        <v>93</v>
      </c>
      <c r="G2847" s="36" t="s">
        <v>94</v>
      </c>
      <c r="H2847" s="36" t="s">
        <v>95</v>
      </c>
      <c r="I2847" s="36" t="s">
        <v>98</v>
      </c>
      <c r="J2847" s="36">
        <v>265</v>
      </c>
      <c r="K2847" s="36">
        <v>378.95</v>
      </c>
    </row>
    <row r="2848" spans="1:11" x14ac:dyDescent="0.3">
      <c r="A2848" s="36" t="s">
        <v>97</v>
      </c>
      <c r="B2848" s="36">
        <v>2024</v>
      </c>
      <c r="C2848" s="36" t="s">
        <v>9</v>
      </c>
      <c r="D2848" s="36" t="s">
        <v>91</v>
      </c>
      <c r="E2848" s="36" t="s">
        <v>92</v>
      </c>
      <c r="F2848" s="36" t="s">
        <v>93</v>
      </c>
      <c r="G2848" s="36" t="s">
        <v>94</v>
      </c>
      <c r="H2848" s="36" t="s">
        <v>95</v>
      </c>
      <c r="I2848" s="36" t="s">
        <v>98</v>
      </c>
      <c r="J2848" s="36">
        <v>241</v>
      </c>
      <c r="K2848" s="36">
        <v>344.63</v>
      </c>
    </row>
    <row r="2849" spans="1:11" x14ac:dyDescent="0.3">
      <c r="A2849" s="36" t="s">
        <v>99</v>
      </c>
      <c r="B2849" s="36">
        <v>2024</v>
      </c>
      <c r="C2849" s="36" t="s">
        <v>9</v>
      </c>
      <c r="D2849" s="36" t="s">
        <v>91</v>
      </c>
      <c r="E2849" s="36" t="s">
        <v>92</v>
      </c>
      <c r="F2849" s="36" t="s">
        <v>93</v>
      </c>
      <c r="G2849" s="36" t="s">
        <v>94</v>
      </c>
      <c r="H2849" s="36" t="s">
        <v>95</v>
      </c>
      <c r="I2849" s="36" t="s">
        <v>98</v>
      </c>
      <c r="J2849" s="36">
        <v>269</v>
      </c>
      <c r="K2849" s="36">
        <v>384.67</v>
      </c>
    </row>
    <row r="2850" spans="1:11" x14ac:dyDescent="0.3">
      <c r="A2850" s="36" t="s">
        <v>97</v>
      </c>
      <c r="B2850" s="36">
        <v>2024</v>
      </c>
      <c r="C2850" s="36" t="s">
        <v>9</v>
      </c>
      <c r="D2850" s="36" t="s">
        <v>91</v>
      </c>
      <c r="E2850" s="36" t="s">
        <v>92</v>
      </c>
      <c r="F2850" s="36" t="s">
        <v>93</v>
      </c>
      <c r="G2850" s="36" t="s">
        <v>94</v>
      </c>
      <c r="H2850" s="36" t="s">
        <v>95</v>
      </c>
      <c r="I2850" s="36" t="s">
        <v>98</v>
      </c>
      <c r="J2850" s="36">
        <v>767</v>
      </c>
      <c r="K2850" s="36">
        <v>1096.81</v>
      </c>
    </row>
    <row r="2851" spans="1:11" x14ac:dyDescent="0.3">
      <c r="A2851" s="36" t="s">
        <v>99</v>
      </c>
      <c r="B2851" s="36">
        <v>2024</v>
      </c>
      <c r="C2851" s="36" t="s">
        <v>8</v>
      </c>
      <c r="D2851" s="36" t="s">
        <v>91</v>
      </c>
      <c r="E2851" s="36" t="s">
        <v>92</v>
      </c>
      <c r="F2851" s="36" t="s">
        <v>93</v>
      </c>
      <c r="G2851" s="36" t="s">
        <v>94</v>
      </c>
      <c r="H2851" s="36" t="s">
        <v>95</v>
      </c>
      <c r="I2851" s="36" t="s">
        <v>98</v>
      </c>
      <c r="J2851" s="36">
        <v>272</v>
      </c>
      <c r="K2851" s="36">
        <v>416.15999999999997</v>
      </c>
    </row>
    <row r="2852" spans="1:11" x14ac:dyDescent="0.3">
      <c r="A2852" s="36" t="s">
        <v>99</v>
      </c>
      <c r="B2852" s="36">
        <v>2024</v>
      </c>
      <c r="C2852" s="36" t="s">
        <v>8</v>
      </c>
      <c r="D2852" s="36" t="s">
        <v>91</v>
      </c>
      <c r="E2852" s="36" t="s">
        <v>92</v>
      </c>
      <c r="F2852" s="36" t="s">
        <v>93</v>
      </c>
      <c r="G2852" s="36" t="s">
        <v>94</v>
      </c>
      <c r="H2852" s="36" t="s">
        <v>95</v>
      </c>
      <c r="I2852" s="36" t="s">
        <v>98</v>
      </c>
      <c r="J2852" s="36">
        <v>248</v>
      </c>
      <c r="K2852" s="36">
        <v>354.64</v>
      </c>
    </row>
    <row r="2853" spans="1:11" x14ac:dyDescent="0.3">
      <c r="A2853" s="36" t="s">
        <v>101</v>
      </c>
      <c r="B2853" s="36">
        <v>2024</v>
      </c>
      <c r="C2853" s="36" t="s">
        <v>8</v>
      </c>
      <c r="D2853" s="36" t="s">
        <v>91</v>
      </c>
      <c r="E2853" s="36" t="s">
        <v>92</v>
      </c>
      <c r="F2853" s="36" t="s">
        <v>93</v>
      </c>
      <c r="G2853" s="36" t="s">
        <v>94</v>
      </c>
      <c r="H2853" s="36" t="s">
        <v>95</v>
      </c>
      <c r="I2853" s="36" t="s">
        <v>98</v>
      </c>
      <c r="J2853" s="36">
        <v>274</v>
      </c>
      <c r="K2853" s="36">
        <v>391.82</v>
      </c>
    </row>
    <row r="2854" spans="1:11" x14ac:dyDescent="0.3">
      <c r="A2854" s="36" t="s">
        <v>90</v>
      </c>
      <c r="B2854" s="36">
        <v>2024</v>
      </c>
      <c r="C2854" s="36" t="s">
        <v>8</v>
      </c>
      <c r="D2854" s="36" t="s">
        <v>91</v>
      </c>
      <c r="E2854" s="36" t="s">
        <v>92</v>
      </c>
      <c r="F2854" s="36" t="s">
        <v>93</v>
      </c>
      <c r="G2854" s="36" t="s">
        <v>94</v>
      </c>
      <c r="H2854" s="36" t="s">
        <v>95</v>
      </c>
      <c r="I2854" s="36" t="s">
        <v>98</v>
      </c>
      <c r="J2854" s="36">
        <v>244</v>
      </c>
      <c r="K2854" s="36">
        <v>348.92</v>
      </c>
    </row>
    <row r="2855" spans="1:11" x14ac:dyDescent="0.3">
      <c r="A2855" s="36" t="s">
        <v>97</v>
      </c>
      <c r="B2855" s="36">
        <v>2024</v>
      </c>
      <c r="C2855" s="36" t="s">
        <v>8</v>
      </c>
      <c r="D2855" s="36" t="s">
        <v>91</v>
      </c>
      <c r="E2855" s="36" t="s">
        <v>92</v>
      </c>
      <c r="F2855" s="36" t="s">
        <v>93</v>
      </c>
      <c r="G2855" s="36" t="s">
        <v>94</v>
      </c>
      <c r="H2855" s="36" t="s">
        <v>95</v>
      </c>
      <c r="I2855" s="36" t="s">
        <v>98</v>
      </c>
      <c r="J2855" s="36">
        <v>757</v>
      </c>
      <c r="K2855" s="36">
        <v>1082.51</v>
      </c>
    </row>
    <row r="2856" spans="1:11" x14ac:dyDescent="0.3">
      <c r="A2856" s="36" t="s">
        <v>97</v>
      </c>
      <c r="B2856" s="36">
        <v>2024</v>
      </c>
      <c r="C2856" s="36" t="s">
        <v>8</v>
      </c>
      <c r="D2856" s="36" t="s">
        <v>91</v>
      </c>
      <c r="E2856" s="36" t="s">
        <v>92</v>
      </c>
      <c r="F2856" s="36" t="s">
        <v>93</v>
      </c>
      <c r="G2856" s="36" t="s">
        <v>94</v>
      </c>
      <c r="H2856" s="36" t="s">
        <v>95</v>
      </c>
      <c r="I2856" s="36" t="s">
        <v>98</v>
      </c>
      <c r="J2856" s="36">
        <v>273</v>
      </c>
      <c r="K2856" s="36">
        <v>390.39</v>
      </c>
    </row>
    <row r="2857" spans="1:11" x14ac:dyDescent="0.3">
      <c r="A2857" s="36" t="s">
        <v>90</v>
      </c>
      <c r="B2857" s="36">
        <v>2024</v>
      </c>
      <c r="C2857" s="36" t="s">
        <v>8</v>
      </c>
      <c r="D2857" s="36" t="s">
        <v>91</v>
      </c>
      <c r="E2857" s="36" t="s">
        <v>92</v>
      </c>
      <c r="F2857" s="36" t="s">
        <v>93</v>
      </c>
      <c r="G2857" s="36" t="s">
        <v>94</v>
      </c>
      <c r="H2857" s="36" t="s">
        <v>95</v>
      </c>
      <c r="I2857" s="36" t="s">
        <v>98</v>
      </c>
      <c r="J2857" s="36">
        <v>271</v>
      </c>
      <c r="K2857" s="36">
        <v>387.53</v>
      </c>
    </row>
    <row r="2858" spans="1:11" x14ac:dyDescent="0.3">
      <c r="A2858" s="36" t="s">
        <v>101</v>
      </c>
      <c r="B2858" s="36">
        <v>2024</v>
      </c>
      <c r="C2858" s="36" t="s">
        <v>8</v>
      </c>
      <c r="D2858" s="36" t="s">
        <v>91</v>
      </c>
      <c r="E2858" s="36" t="s">
        <v>92</v>
      </c>
      <c r="F2858" s="36" t="s">
        <v>93</v>
      </c>
      <c r="G2858" s="36" t="s">
        <v>94</v>
      </c>
      <c r="H2858" s="36" t="s">
        <v>95</v>
      </c>
      <c r="I2858" s="36" t="s">
        <v>98</v>
      </c>
      <c r="J2858" s="36">
        <v>247</v>
      </c>
      <c r="K2858" s="36">
        <v>353.21</v>
      </c>
    </row>
    <row r="2859" spans="1:11" x14ac:dyDescent="0.3">
      <c r="A2859" s="36" t="s">
        <v>99</v>
      </c>
      <c r="B2859" s="36">
        <v>2024</v>
      </c>
      <c r="C2859" s="36" t="s">
        <v>8</v>
      </c>
      <c r="D2859" s="36" t="s">
        <v>91</v>
      </c>
      <c r="E2859" s="36" t="s">
        <v>92</v>
      </c>
      <c r="F2859" s="36" t="s">
        <v>93</v>
      </c>
      <c r="G2859" s="36" t="s">
        <v>94</v>
      </c>
      <c r="H2859" s="36" t="s">
        <v>95</v>
      </c>
      <c r="I2859" s="36" t="s">
        <v>98</v>
      </c>
      <c r="J2859" s="36">
        <v>275</v>
      </c>
      <c r="K2859" s="36">
        <v>393.25</v>
      </c>
    </row>
    <row r="2860" spans="1:11" x14ac:dyDescent="0.3">
      <c r="A2860" s="36" t="s">
        <v>99</v>
      </c>
      <c r="B2860" s="36">
        <v>2024</v>
      </c>
      <c r="C2860" s="36" t="s">
        <v>8</v>
      </c>
      <c r="D2860" s="36" t="s">
        <v>91</v>
      </c>
      <c r="E2860" s="36" t="s">
        <v>92</v>
      </c>
      <c r="F2860" s="36" t="s">
        <v>93</v>
      </c>
      <c r="G2860" s="36" t="s">
        <v>94</v>
      </c>
      <c r="H2860" s="36" t="s">
        <v>95</v>
      </c>
      <c r="I2860" s="36" t="s">
        <v>98</v>
      </c>
      <c r="J2860" s="36">
        <v>766</v>
      </c>
      <c r="K2860" s="36">
        <v>1095.3800000000001</v>
      </c>
    </row>
    <row r="2861" spans="1:11" x14ac:dyDescent="0.3">
      <c r="A2861" s="36" t="s">
        <v>97</v>
      </c>
      <c r="B2861" s="36">
        <v>2024</v>
      </c>
      <c r="C2861" s="36" t="s">
        <v>3</v>
      </c>
      <c r="D2861" s="36" t="s">
        <v>103</v>
      </c>
      <c r="E2861" s="36" t="s">
        <v>92</v>
      </c>
      <c r="F2861" s="36" t="s">
        <v>93</v>
      </c>
      <c r="G2861" s="36" t="s">
        <v>94</v>
      </c>
      <c r="H2861" s="36" t="s">
        <v>95</v>
      </c>
      <c r="I2861" s="36" t="s">
        <v>96</v>
      </c>
      <c r="J2861" s="36">
        <v>146</v>
      </c>
      <c r="K2861" s="36">
        <v>208.78</v>
      </c>
    </row>
    <row r="2862" spans="1:11" x14ac:dyDescent="0.3">
      <c r="A2862" s="36" t="s">
        <v>99</v>
      </c>
      <c r="B2862" s="36">
        <v>2024</v>
      </c>
      <c r="C2862" s="36" t="s">
        <v>3</v>
      </c>
      <c r="D2862" s="36" t="s">
        <v>103</v>
      </c>
      <c r="E2862" s="36" t="s">
        <v>92</v>
      </c>
      <c r="F2862" s="36" t="s">
        <v>93</v>
      </c>
      <c r="G2862" s="36" t="s">
        <v>94</v>
      </c>
      <c r="H2862" s="36" t="s">
        <v>95</v>
      </c>
      <c r="I2862" s="36" t="s">
        <v>96</v>
      </c>
      <c r="J2862" s="36">
        <v>368</v>
      </c>
      <c r="K2862" s="36">
        <v>526.24</v>
      </c>
    </row>
    <row r="2863" spans="1:11" x14ac:dyDescent="0.3">
      <c r="A2863" s="36" t="s">
        <v>90</v>
      </c>
      <c r="B2863" s="36">
        <v>2024</v>
      </c>
      <c r="C2863" s="36" t="s">
        <v>3</v>
      </c>
      <c r="D2863" s="36" t="s">
        <v>103</v>
      </c>
      <c r="E2863" s="36" t="s">
        <v>92</v>
      </c>
      <c r="F2863" s="36" t="s">
        <v>93</v>
      </c>
      <c r="G2863" s="36" t="s">
        <v>94</v>
      </c>
      <c r="H2863" s="36" t="s">
        <v>95</v>
      </c>
      <c r="I2863" s="36" t="s">
        <v>96</v>
      </c>
      <c r="J2863" s="36">
        <v>148</v>
      </c>
      <c r="K2863" s="36">
        <v>526.24</v>
      </c>
    </row>
    <row r="2864" spans="1:11" x14ac:dyDescent="0.3">
      <c r="A2864" s="36" t="s">
        <v>100</v>
      </c>
      <c r="B2864" s="36">
        <v>2024</v>
      </c>
      <c r="C2864" s="36" t="s">
        <v>3</v>
      </c>
      <c r="D2864" s="36" t="s">
        <v>103</v>
      </c>
      <c r="E2864" s="36" t="s">
        <v>92</v>
      </c>
      <c r="F2864" s="36" t="s">
        <v>93</v>
      </c>
      <c r="G2864" s="36" t="s">
        <v>94</v>
      </c>
      <c r="H2864" s="36" t="s">
        <v>95</v>
      </c>
      <c r="I2864" s="36" t="s">
        <v>96</v>
      </c>
      <c r="J2864" s="36">
        <v>364</v>
      </c>
      <c r="K2864" s="36">
        <v>526.24</v>
      </c>
    </row>
    <row r="2865" spans="1:11" x14ac:dyDescent="0.3">
      <c r="A2865" s="36" t="s">
        <v>100</v>
      </c>
      <c r="B2865" s="36">
        <v>2024</v>
      </c>
      <c r="C2865" s="36" t="s">
        <v>3</v>
      </c>
      <c r="D2865" s="36" t="s">
        <v>103</v>
      </c>
      <c r="E2865" s="36" t="s">
        <v>92</v>
      </c>
      <c r="F2865" s="36" t="s">
        <v>93</v>
      </c>
      <c r="G2865" s="36" t="s">
        <v>94</v>
      </c>
      <c r="H2865" s="36" t="s">
        <v>95</v>
      </c>
      <c r="I2865" s="36" t="s">
        <v>96</v>
      </c>
      <c r="J2865" s="36">
        <v>366</v>
      </c>
      <c r="K2865" s="36">
        <v>523.38</v>
      </c>
    </row>
    <row r="2866" spans="1:11" x14ac:dyDescent="0.3">
      <c r="A2866" s="36" t="s">
        <v>100</v>
      </c>
      <c r="B2866" s="36">
        <v>2024</v>
      </c>
      <c r="C2866" s="36" t="s">
        <v>3</v>
      </c>
      <c r="D2866" s="36" t="s">
        <v>103</v>
      </c>
      <c r="E2866" s="36" t="s">
        <v>92</v>
      </c>
      <c r="F2866" s="36" t="s">
        <v>93</v>
      </c>
      <c r="G2866" s="36" t="s">
        <v>94</v>
      </c>
      <c r="H2866" s="36" t="s">
        <v>95</v>
      </c>
      <c r="I2866" s="36" t="s">
        <v>96</v>
      </c>
      <c r="J2866" s="36">
        <v>147</v>
      </c>
      <c r="K2866" s="36">
        <v>210.21</v>
      </c>
    </row>
    <row r="2867" spans="1:11" x14ac:dyDescent="0.3">
      <c r="A2867" s="36" t="s">
        <v>100</v>
      </c>
      <c r="B2867" s="36">
        <v>2024</v>
      </c>
      <c r="C2867" s="36" t="s">
        <v>3</v>
      </c>
      <c r="D2867" s="36" t="s">
        <v>103</v>
      </c>
      <c r="E2867" s="36" t="s">
        <v>92</v>
      </c>
      <c r="F2867" s="36" t="s">
        <v>93</v>
      </c>
      <c r="G2867" s="36" t="s">
        <v>94</v>
      </c>
      <c r="H2867" s="36" t="s">
        <v>95</v>
      </c>
      <c r="I2867" s="36" t="s">
        <v>96</v>
      </c>
      <c r="J2867" s="36">
        <v>760</v>
      </c>
      <c r="K2867" s="36">
        <v>1086.8</v>
      </c>
    </row>
    <row r="2868" spans="1:11" x14ac:dyDescent="0.3">
      <c r="A2868" s="36" t="s">
        <v>90</v>
      </c>
      <c r="B2868" s="36">
        <v>2024</v>
      </c>
      <c r="C2868" s="36" t="s">
        <v>3</v>
      </c>
      <c r="D2868" s="36" t="s">
        <v>103</v>
      </c>
      <c r="E2868" s="36" t="s">
        <v>92</v>
      </c>
      <c r="F2868" s="36" t="s">
        <v>93</v>
      </c>
      <c r="G2868" s="36" t="s">
        <v>94</v>
      </c>
      <c r="H2868" s="36" t="s">
        <v>95</v>
      </c>
      <c r="I2868" s="36" t="s">
        <v>96</v>
      </c>
      <c r="J2868" s="36">
        <v>846</v>
      </c>
      <c r="K2868" s="36">
        <v>1209.78</v>
      </c>
    </row>
    <row r="2869" spans="1:11" x14ac:dyDescent="0.3">
      <c r="A2869" s="36" t="s">
        <v>99</v>
      </c>
      <c r="B2869" s="36">
        <v>2024</v>
      </c>
      <c r="C2869" s="36" t="s">
        <v>3</v>
      </c>
      <c r="D2869" s="36" t="s">
        <v>103</v>
      </c>
      <c r="E2869" s="36" t="s">
        <v>92</v>
      </c>
      <c r="F2869" s="36" t="s">
        <v>93</v>
      </c>
      <c r="G2869" s="36" t="s">
        <v>94</v>
      </c>
      <c r="H2869" s="36" t="s">
        <v>95</v>
      </c>
      <c r="I2869" s="36" t="s">
        <v>96</v>
      </c>
      <c r="J2869" s="36">
        <v>149</v>
      </c>
      <c r="K2869" s="36">
        <v>213.07</v>
      </c>
    </row>
    <row r="2870" spans="1:11" x14ac:dyDescent="0.3">
      <c r="A2870" s="36" t="s">
        <v>97</v>
      </c>
      <c r="B2870" s="36">
        <v>2024</v>
      </c>
      <c r="C2870" s="36" t="s">
        <v>3</v>
      </c>
      <c r="D2870" s="36" t="s">
        <v>103</v>
      </c>
      <c r="E2870" s="36" t="s">
        <v>92</v>
      </c>
      <c r="F2870" s="36" t="s">
        <v>93</v>
      </c>
      <c r="G2870" s="36" t="s">
        <v>94</v>
      </c>
      <c r="H2870" s="36" t="s">
        <v>95</v>
      </c>
      <c r="I2870" s="36" t="s">
        <v>96</v>
      </c>
      <c r="J2870" s="36">
        <v>365</v>
      </c>
      <c r="K2870" s="36">
        <v>521.95000000000005</v>
      </c>
    </row>
    <row r="2871" spans="1:11" x14ac:dyDescent="0.3">
      <c r="A2871" s="36" t="s">
        <v>90</v>
      </c>
      <c r="B2871" s="36">
        <v>2024</v>
      </c>
      <c r="C2871" s="36" t="s">
        <v>7</v>
      </c>
      <c r="D2871" s="36" t="s">
        <v>103</v>
      </c>
      <c r="E2871" s="36" t="s">
        <v>92</v>
      </c>
      <c r="F2871" s="36" t="s">
        <v>93</v>
      </c>
      <c r="G2871" s="36" t="s">
        <v>94</v>
      </c>
      <c r="H2871" s="36" t="s">
        <v>95</v>
      </c>
      <c r="I2871" s="36" t="s">
        <v>96</v>
      </c>
      <c r="J2871" s="36">
        <v>128</v>
      </c>
      <c r="K2871" s="36">
        <v>183.04</v>
      </c>
    </row>
    <row r="2872" spans="1:11" x14ac:dyDescent="0.3">
      <c r="A2872" s="36" t="s">
        <v>90</v>
      </c>
      <c r="B2872" s="36">
        <v>2024</v>
      </c>
      <c r="C2872" s="36" t="s">
        <v>7</v>
      </c>
      <c r="D2872" s="36" t="s">
        <v>103</v>
      </c>
      <c r="E2872" s="36" t="s">
        <v>92</v>
      </c>
      <c r="F2872" s="36" t="s">
        <v>93</v>
      </c>
      <c r="G2872" s="36" t="s">
        <v>94</v>
      </c>
      <c r="H2872" s="36" t="s">
        <v>95</v>
      </c>
      <c r="I2872" s="36" t="s">
        <v>96</v>
      </c>
      <c r="J2872" s="36">
        <v>344</v>
      </c>
      <c r="K2872" s="36">
        <v>491.91999999999996</v>
      </c>
    </row>
    <row r="2873" spans="1:11" x14ac:dyDescent="0.3">
      <c r="A2873" s="36" t="s">
        <v>90</v>
      </c>
      <c r="B2873" s="36">
        <v>2024</v>
      </c>
      <c r="C2873" s="36" t="s">
        <v>7</v>
      </c>
      <c r="D2873" s="36" t="s">
        <v>103</v>
      </c>
      <c r="E2873" s="36" t="s">
        <v>92</v>
      </c>
      <c r="F2873" s="36" t="s">
        <v>93</v>
      </c>
      <c r="G2873" s="36" t="s">
        <v>94</v>
      </c>
      <c r="H2873" s="36" t="s">
        <v>95</v>
      </c>
      <c r="I2873" s="36" t="s">
        <v>96</v>
      </c>
      <c r="J2873" s="36">
        <v>370</v>
      </c>
      <c r="K2873" s="36">
        <v>526.24</v>
      </c>
    </row>
    <row r="2874" spans="1:11" x14ac:dyDescent="0.3">
      <c r="A2874" s="36" t="s">
        <v>90</v>
      </c>
      <c r="B2874" s="36">
        <v>2024</v>
      </c>
      <c r="C2874" s="36" t="s">
        <v>7</v>
      </c>
      <c r="D2874" s="36" t="s">
        <v>103</v>
      </c>
      <c r="E2874" s="36" t="s">
        <v>92</v>
      </c>
      <c r="F2874" s="36" t="s">
        <v>93</v>
      </c>
      <c r="G2874" s="36" t="s">
        <v>94</v>
      </c>
      <c r="H2874" s="36" t="s">
        <v>95</v>
      </c>
      <c r="I2874" s="36" t="s">
        <v>96</v>
      </c>
      <c r="J2874" s="36">
        <v>346</v>
      </c>
      <c r="K2874" s="36">
        <v>526.24</v>
      </c>
    </row>
    <row r="2875" spans="1:11" x14ac:dyDescent="0.3">
      <c r="A2875" s="36" t="s">
        <v>97</v>
      </c>
      <c r="B2875" s="36">
        <v>2024</v>
      </c>
      <c r="C2875" s="36" t="s">
        <v>7</v>
      </c>
      <c r="D2875" s="36" t="s">
        <v>103</v>
      </c>
      <c r="E2875" s="36" t="s">
        <v>92</v>
      </c>
      <c r="F2875" s="36" t="s">
        <v>93</v>
      </c>
      <c r="G2875" s="36" t="s">
        <v>94</v>
      </c>
      <c r="H2875" s="36" t="s">
        <v>95</v>
      </c>
      <c r="I2875" s="36" t="s">
        <v>96</v>
      </c>
      <c r="J2875" s="36">
        <v>982</v>
      </c>
      <c r="K2875" s="36">
        <v>1404.26</v>
      </c>
    </row>
    <row r="2876" spans="1:11" x14ac:dyDescent="0.3">
      <c r="A2876" s="36" t="s">
        <v>90</v>
      </c>
      <c r="B2876" s="36">
        <v>2024</v>
      </c>
      <c r="C2876" s="36" t="s">
        <v>7</v>
      </c>
      <c r="D2876" s="36" t="s">
        <v>103</v>
      </c>
      <c r="E2876" s="36" t="s">
        <v>92</v>
      </c>
      <c r="F2876" s="36" t="s">
        <v>93</v>
      </c>
      <c r="G2876" s="36" t="s">
        <v>94</v>
      </c>
      <c r="H2876" s="36" t="s">
        <v>95</v>
      </c>
      <c r="I2876" s="36" t="s">
        <v>96</v>
      </c>
      <c r="J2876" s="36">
        <v>342</v>
      </c>
      <c r="K2876" s="36">
        <v>489.06</v>
      </c>
    </row>
    <row r="2877" spans="1:11" x14ac:dyDescent="0.3">
      <c r="A2877" s="36" t="s">
        <v>90</v>
      </c>
      <c r="B2877" s="36">
        <v>2024</v>
      </c>
      <c r="C2877" s="36" t="s">
        <v>7</v>
      </c>
      <c r="D2877" s="36" t="s">
        <v>103</v>
      </c>
      <c r="E2877" s="36" t="s">
        <v>92</v>
      </c>
      <c r="F2877" s="36" t="s">
        <v>93</v>
      </c>
      <c r="G2877" s="36" t="s">
        <v>94</v>
      </c>
      <c r="H2877" s="36" t="s">
        <v>95</v>
      </c>
      <c r="I2877" s="36" t="s">
        <v>96</v>
      </c>
      <c r="J2877" s="36">
        <v>369</v>
      </c>
      <c r="K2877" s="36">
        <v>527.66999999999996</v>
      </c>
    </row>
    <row r="2878" spans="1:11" x14ac:dyDescent="0.3">
      <c r="A2878" s="36" t="s">
        <v>97</v>
      </c>
      <c r="B2878" s="36">
        <v>2024</v>
      </c>
      <c r="C2878" s="36" t="s">
        <v>7</v>
      </c>
      <c r="D2878" s="36" t="s">
        <v>103</v>
      </c>
      <c r="E2878" s="36" t="s">
        <v>92</v>
      </c>
      <c r="F2878" s="36" t="s">
        <v>93</v>
      </c>
      <c r="G2878" s="36" t="s">
        <v>94</v>
      </c>
      <c r="H2878" s="36" t="s">
        <v>95</v>
      </c>
      <c r="I2878" s="36" t="s">
        <v>96</v>
      </c>
      <c r="J2878" s="36">
        <v>345</v>
      </c>
      <c r="K2878" s="36">
        <v>493.35</v>
      </c>
    </row>
    <row r="2879" spans="1:11" x14ac:dyDescent="0.3">
      <c r="A2879" s="36" t="s">
        <v>90</v>
      </c>
      <c r="B2879" s="36">
        <v>2024</v>
      </c>
      <c r="C2879" s="36" t="s">
        <v>7</v>
      </c>
      <c r="D2879" s="36" t="s">
        <v>103</v>
      </c>
      <c r="E2879" s="36" t="s">
        <v>92</v>
      </c>
      <c r="F2879" s="36" t="s">
        <v>93</v>
      </c>
      <c r="G2879" s="36" t="s">
        <v>94</v>
      </c>
      <c r="H2879" s="36" t="s">
        <v>95</v>
      </c>
      <c r="I2879" s="36" t="s">
        <v>96</v>
      </c>
      <c r="J2879" s="36">
        <v>763</v>
      </c>
      <c r="K2879" s="36">
        <v>1091.0899999999999</v>
      </c>
    </row>
    <row r="2880" spans="1:11" x14ac:dyDescent="0.3">
      <c r="A2880" s="36" t="s">
        <v>90</v>
      </c>
      <c r="B2880" s="36">
        <v>2024</v>
      </c>
      <c r="C2880" s="36" t="s">
        <v>7</v>
      </c>
      <c r="D2880" s="36" t="s">
        <v>103</v>
      </c>
      <c r="E2880" s="36" t="s">
        <v>92</v>
      </c>
      <c r="F2880" s="36" t="s">
        <v>93</v>
      </c>
      <c r="G2880" s="36" t="s">
        <v>94</v>
      </c>
      <c r="H2880" s="36" t="s">
        <v>95</v>
      </c>
      <c r="I2880" s="36" t="s">
        <v>96</v>
      </c>
      <c r="J2880" s="36">
        <v>850</v>
      </c>
      <c r="K2880" s="36">
        <v>1215.5</v>
      </c>
    </row>
    <row r="2881" spans="1:11" x14ac:dyDescent="0.3">
      <c r="A2881" s="36" t="s">
        <v>90</v>
      </c>
      <c r="B2881" s="36">
        <v>2024</v>
      </c>
      <c r="C2881" s="36" t="s">
        <v>7</v>
      </c>
      <c r="D2881" s="36" t="s">
        <v>103</v>
      </c>
      <c r="E2881" s="36" t="s">
        <v>92</v>
      </c>
      <c r="F2881" s="36" t="s">
        <v>93</v>
      </c>
      <c r="G2881" s="36" t="s">
        <v>94</v>
      </c>
      <c r="H2881" s="36" t="s">
        <v>95</v>
      </c>
      <c r="I2881" s="36" t="s">
        <v>96</v>
      </c>
      <c r="J2881" s="36">
        <v>371</v>
      </c>
      <c r="K2881" s="36">
        <v>530.53</v>
      </c>
    </row>
    <row r="2882" spans="1:11" x14ac:dyDescent="0.3">
      <c r="A2882" s="36" t="s">
        <v>90</v>
      </c>
      <c r="B2882" s="36">
        <v>2024</v>
      </c>
      <c r="C2882" s="36" t="s">
        <v>7</v>
      </c>
      <c r="D2882" s="36" t="s">
        <v>103</v>
      </c>
      <c r="E2882" s="36" t="s">
        <v>92</v>
      </c>
      <c r="F2882" s="36" t="s">
        <v>93</v>
      </c>
      <c r="G2882" s="36" t="s">
        <v>94</v>
      </c>
      <c r="H2882" s="36" t="s">
        <v>95</v>
      </c>
      <c r="I2882" s="36" t="s">
        <v>96</v>
      </c>
      <c r="J2882" s="36">
        <v>347</v>
      </c>
      <c r="K2882" s="36">
        <v>496.21000000000004</v>
      </c>
    </row>
    <row r="2883" spans="1:11" x14ac:dyDescent="0.3">
      <c r="A2883" s="36" t="s">
        <v>90</v>
      </c>
      <c r="B2883" s="36">
        <v>2024</v>
      </c>
      <c r="C2883" s="36" t="s">
        <v>11</v>
      </c>
      <c r="D2883" s="36" t="s">
        <v>103</v>
      </c>
      <c r="E2883" s="36" t="s">
        <v>92</v>
      </c>
      <c r="F2883" s="36" t="s">
        <v>93</v>
      </c>
      <c r="G2883" s="36" t="s">
        <v>94</v>
      </c>
      <c r="H2883" s="36" t="s">
        <v>95</v>
      </c>
      <c r="I2883" s="36" t="s">
        <v>96</v>
      </c>
      <c r="J2883" s="36">
        <v>350</v>
      </c>
      <c r="K2883" s="36">
        <v>500.5</v>
      </c>
    </row>
    <row r="2884" spans="1:11" x14ac:dyDescent="0.3">
      <c r="A2884" s="36" t="s">
        <v>99</v>
      </c>
      <c r="B2884" s="36">
        <v>2024</v>
      </c>
      <c r="C2884" s="36" t="s">
        <v>11</v>
      </c>
      <c r="D2884" s="36" t="s">
        <v>103</v>
      </c>
      <c r="E2884" s="36" t="s">
        <v>92</v>
      </c>
      <c r="F2884" s="36" t="s">
        <v>93</v>
      </c>
      <c r="G2884" s="36" t="s">
        <v>94</v>
      </c>
      <c r="H2884" s="36" t="s">
        <v>95</v>
      </c>
      <c r="I2884" s="36" t="s">
        <v>96</v>
      </c>
      <c r="J2884" s="36">
        <v>352</v>
      </c>
      <c r="K2884" s="36">
        <v>526.24</v>
      </c>
    </row>
    <row r="2885" spans="1:11" x14ac:dyDescent="0.3">
      <c r="A2885" s="36" t="s">
        <v>97</v>
      </c>
      <c r="B2885" s="36">
        <v>2024</v>
      </c>
      <c r="C2885" s="36" t="s">
        <v>11</v>
      </c>
      <c r="D2885" s="36" t="s">
        <v>103</v>
      </c>
      <c r="E2885" s="36" t="s">
        <v>92</v>
      </c>
      <c r="F2885" s="36" t="s">
        <v>93</v>
      </c>
      <c r="G2885" s="36" t="s">
        <v>94</v>
      </c>
      <c r="H2885" s="36" t="s">
        <v>95</v>
      </c>
      <c r="I2885" s="36" t="s">
        <v>96</v>
      </c>
      <c r="J2885" s="36">
        <v>322</v>
      </c>
      <c r="K2885" s="36">
        <v>526.24</v>
      </c>
    </row>
    <row r="2886" spans="1:11" x14ac:dyDescent="0.3">
      <c r="A2886" s="36" t="s">
        <v>97</v>
      </c>
      <c r="B2886" s="36">
        <v>2024</v>
      </c>
      <c r="C2886" s="36" t="s">
        <v>11</v>
      </c>
      <c r="D2886" s="36" t="s">
        <v>103</v>
      </c>
      <c r="E2886" s="36" t="s">
        <v>92</v>
      </c>
      <c r="F2886" s="36" t="s">
        <v>93</v>
      </c>
      <c r="G2886" s="36" t="s">
        <v>94</v>
      </c>
      <c r="H2886" s="36" t="s">
        <v>95</v>
      </c>
      <c r="I2886" s="36" t="s">
        <v>96</v>
      </c>
      <c r="J2886" s="36">
        <v>986</v>
      </c>
      <c r="K2886" s="36">
        <v>1409.98</v>
      </c>
    </row>
    <row r="2887" spans="1:11" x14ac:dyDescent="0.3">
      <c r="A2887" s="36" t="s">
        <v>90</v>
      </c>
      <c r="B2887" s="36">
        <v>2024</v>
      </c>
      <c r="C2887" s="36" t="s">
        <v>11</v>
      </c>
      <c r="D2887" s="36" t="s">
        <v>103</v>
      </c>
      <c r="E2887" s="36" t="s">
        <v>92</v>
      </c>
      <c r="F2887" s="36" t="s">
        <v>93</v>
      </c>
      <c r="G2887" s="36" t="s">
        <v>94</v>
      </c>
      <c r="H2887" s="36" t="s">
        <v>95</v>
      </c>
      <c r="I2887" s="36" t="s">
        <v>96</v>
      </c>
      <c r="J2887" s="36">
        <v>324</v>
      </c>
      <c r="K2887" s="36">
        <v>463.32</v>
      </c>
    </row>
    <row r="2888" spans="1:11" x14ac:dyDescent="0.3">
      <c r="A2888" s="36" t="s">
        <v>90</v>
      </c>
      <c r="B2888" s="36">
        <v>2024</v>
      </c>
      <c r="C2888" s="36" t="s">
        <v>11</v>
      </c>
      <c r="D2888" s="36" t="s">
        <v>103</v>
      </c>
      <c r="E2888" s="36" t="s">
        <v>92</v>
      </c>
      <c r="F2888" s="36" t="s">
        <v>93</v>
      </c>
      <c r="G2888" s="36" t="s">
        <v>94</v>
      </c>
      <c r="H2888" s="36" t="s">
        <v>95</v>
      </c>
      <c r="I2888" s="36" t="s">
        <v>96</v>
      </c>
      <c r="J2888" s="36">
        <v>351</v>
      </c>
      <c r="K2888" s="36">
        <v>501.93</v>
      </c>
    </row>
    <row r="2889" spans="1:11" x14ac:dyDescent="0.3">
      <c r="A2889" s="36" t="s">
        <v>97</v>
      </c>
      <c r="B2889" s="36">
        <v>2024</v>
      </c>
      <c r="C2889" s="36" t="s">
        <v>11</v>
      </c>
      <c r="D2889" s="36" t="s">
        <v>103</v>
      </c>
      <c r="E2889" s="36" t="s">
        <v>92</v>
      </c>
      <c r="F2889" s="36" t="s">
        <v>93</v>
      </c>
      <c r="G2889" s="36" t="s">
        <v>94</v>
      </c>
      <c r="H2889" s="36" t="s">
        <v>95</v>
      </c>
      <c r="I2889" s="36" t="s">
        <v>96</v>
      </c>
      <c r="J2889" s="36">
        <v>321</v>
      </c>
      <c r="K2889" s="36">
        <v>459.03</v>
      </c>
    </row>
    <row r="2890" spans="1:11" x14ac:dyDescent="0.3">
      <c r="A2890" s="36" t="s">
        <v>97</v>
      </c>
      <c r="B2890" s="36">
        <v>2024</v>
      </c>
      <c r="C2890" s="36" t="s">
        <v>11</v>
      </c>
      <c r="D2890" s="36" t="s">
        <v>103</v>
      </c>
      <c r="E2890" s="36" t="s">
        <v>92</v>
      </c>
      <c r="F2890" s="36" t="s">
        <v>93</v>
      </c>
      <c r="G2890" s="36" t="s">
        <v>94</v>
      </c>
      <c r="H2890" s="36" t="s">
        <v>95</v>
      </c>
      <c r="I2890" s="36" t="s">
        <v>96</v>
      </c>
      <c r="J2890" s="36">
        <v>767</v>
      </c>
      <c r="K2890" s="36">
        <v>1096.81</v>
      </c>
    </row>
    <row r="2891" spans="1:11" x14ac:dyDescent="0.3">
      <c r="A2891" s="36" t="s">
        <v>99</v>
      </c>
      <c r="B2891" s="36">
        <v>2024</v>
      </c>
      <c r="C2891" s="36" t="s">
        <v>11</v>
      </c>
      <c r="D2891" s="36" t="s">
        <v>103</v>
      </c>
      <c r="E2891" s="36" t="s">
        <v>92</v>
      </c>
      <c r="F2891" s="36" t="s">
        <v>93</v>
      </c>
      <c r="G2891" s="36" t="s">
        <v>94</v>
      </c>
      <c r="H2891" s="36" t="s">
        <v>95</v>
      </c>
      <c r="I2891" s="36" t="s">
        <v>96</v>
      </c>
      <c r="J2891" s="36">
        <v>853</v>
      </c>
      <c r="K2891" s="36">
        <v>1219.79</v>
      </c>
    </row>
    <row r="2892" spans="1:11" x14ac:dyDescent="0.3">
      <c r="A2892" s="36" t="s">
        <v>90</v>
      </c>
      <c r="B2892" s="36">
        <v>2024</v>
      </c>
      <c r="C2892" s="36" t="s">
        <v>11</v>
      </c>
      <c r="D2892" s="36" t="s">
        <v>103</v>
      </c>
      <c r="E2892" s="36" t="s">
        <v>92</v>
      </c>
      <c r="F2892" s="36" t="s">
        <v>93</v>
      </c>
      <c r="G2892" s="36" t="s">
        <v>94</v>
      </c>
      <c r="H2892" s="36" t="s">
        <v>95</v>
      </c>
      <c r="I2892" s="36" t="s">
        <v>96</v>
      </c>
      <c r="J2892" s="36">
        <v>323</v>
      </c>
      <c r="K2892" s="36">
        <v>461.89</v>
      </c>
    </row>
    <row r="2893" spans="1:11" x14ac:dyDescent="0.3">
      <c r="A2893" s="36" t="s">
        <v>99</v>
      </c>
      <c r="B2893" s="36">
        <v>2024</v>
      </c>
      <c r="C2893" s="36" t="s">
        <v>1</v>
      </c>
      <c r="D2893" s="36" t="s">
        <v>103</v>
      </c>
      <c r="E2893" s="36" t="s">
        <v>92</v>
      </c>
      <c r="F2893" s="36" t="s">
        <v>93</v>
      </c>
      <c r="G2893" s="36" t="s">
        <v>94</v>
      </c>
      <c r="H2893" s="36" t="s">
        <v>95</v>
      </c>
      <c r="I2893" s="36" t="s">
        <v>96</v>
      </c>
      <c r="J2893" s="36">
        <v>158</v>
      </c>
      <c r="K2893" s="36">
        <v>225.94</v>
      </c>
    </row>
    <row r="2894" spans="1:11" x14ac:dyDescent="0.3">
      <c r="A2894" s="36" t="s">
        <v>90</v>
      </c>
      <c r="B2894" s="36">
        <v>2024</v>
      </c>
      <c r="C2894" s="36" t="s">
        <v>1</v>
      </c>
      <c r="D2894" s="36" t="s">
        <v>103</v>
      </c>
      <c r="E2894" s="36" t="s">
        <v>92</v>
      </c>
      <c r="F2894" s="36" t="s">
        <v>93</v>
      </c>
      <c r="G2894" s="36" t="s">
        <v>94</v>
      </c>
      <c r="H2894" s="36" t="s">
        <v>95</v>
      </c>
      <c r="I2894" s="36" t="s">
        <v>96</v>
      </c>
      <c r="J2894" s="36">
        <v>128</v>
      </c>
      <c r="K2894" s="36">
        <v>183.04</v>
      </c>
    </row>
    <row r="2895" spans="1:11" x14ac:dyDescent="0.3">
      <c r="A2895" s="36" t="s">
        <v>99</v>
      </c>
      <c r="B2895" s="36">
        <v>2024</v>
      </c>
      <c r="C2895" s="36" t="s">
        <v>1</v>
      </c>
      <c r="D2895" s="36" t="s">
        <v>103</v>
      </c>
      <c r="E2895" s="36" t="s">
        <v>92</v>
      </c>
      <c r="F2895" s="36" t="s">
        <v>93</v>
      </c>
      <c r="G2895" s="36" t="s">
        <v>94</v>
      </c>
      <c r="H2895" s="36" t="s">
        <v>95</v>
      </c>
      <c r="I2895" s="36" t="s">
        <v>96</v>
      </c>
      <c r="J2895" s="36">
        <v>160</v>
      </c>
      <c r="K2895" s="36">
        <v>526.24</v>
      </c>
    </row>
    <row r="2896" spans="1:11" x14ac:dyDescent="0.3">
      <c r="A2896" s="36" t="s">
        <v>97</v>
      </c>
      <c r="B2896" s="36">
        <v>2024</v>
      </c>
      <c r="C2896" s="36" t="s">
        <v>1</v>
      </c>
      <c r="D2896" s="36" t="s">
        <v>103</v>
      </c>
      <c r="E2896" s="36" t="s">
        <v>92</v>
      </c>
      <c r="F2896" s="36" t="s">
        <v>93</v>
      </c>
      <c r="G2896" s="36" t="s">
        <v>94</v>
      </c>
      <c r="H2896" s="36" t="s">
        <v>95</v>
      </c>
      <c r="I2896" s="36" t="s">
        <v>96</v>
      </c>
      <c r="J2896" s="36">
        <v>130</v>
      </c>
      <c r="K2896" s="36">
        <v>526.24</v>
      </c>
    </row>
    <row r="2897" spans="1:11" x14ac:dyDescent="0.3">
      <c r="A2897" s="36" t="s">
        <v>97</v>
      </c>
      <c r="B2897" s="36">
        <v>2024</v>
      </c>
      <c r="C2897" s="36" t="s">
        <v>1</v>
      </c>
      <c r="D2897" s="36" t="s">
        <v>103</v>
      </c>
      <c r="E2897" s="36" t="s">
        <v>92</v>
      </c>
      <c r="F2897" s="36" t="s">
        <v>93</v>
      </c>
      <c r="G2897" s="36" t="s">
        <v>94</v>
      </c>
      <c r="H2897" s="36" t="s">
        <v>95</v>
      </c>
      <c r="I2897" s="36" t="s">
        <v>96</v>
      </c>
      <c r="J2897" s="36">
        <v>977</v>
      </c>
      <c r="K2897" s="36">
        <v>1397.1100000000001</v>
      </c>
    </row>
    <row r="2898" spans="1:11" x14ac:dyDescent="0.3">
      <c r="A2898" s="36" t="s">
        <v>90</v>
      </c>
      <c r="B2898" s="36">
        <v>2024</v>
      </c>
      <c r="C2898" s="36" t="s">
        <v>1</v>
      </c>
      <c r="D2898" s="36" t="s">
        <v>103</v>
      </c>
      <c r="E2898" s="36" t="s">
        <v>92</v>
      </c>
      <c r="F2898" s="36" t="s">
        <v>93</v>
      </c>
      <c r="G2898" s="36" t="s">
        <v>94</v>
      </c>
      <c r="H2898" s="36" t="s">
        <v>95</v>
      </c>
      <c r="I2898" s="36" t="s">
        <v>96</v>
      </c>
      <c r="J2898" s="36">
        <v>132</v>
      </c>
      <c r="K2898" s="36">
        <v>188.76</v>
      </c>
    </row>
    <row r="2899" spans="1:11" x14ac:dyDescent="0.3">
      <c r="A2899" s="36" t="s">
        <v>90</v>
      </c>
      <c r="B2899" s="36">
        <v>2024</v>
      </c>
      <c r="C2899" s="36" t="s">
        <v>1</v>
      </c>
      <c r="D2899" s="36" t="s">
        <v>103</v>
      </c>
      <c r="E2899" s="36" t="s">
        <v>92</v>
      </c>
      <c r="F2899" s="36" t="s">
        <v>93</v>
      </c>
      <c r="G2899" s="36" t="s">
        <v>94</v>
      </c>
      <c r="H2899" s="36" t="s">
        <v>95</v>
      </c>
      <c r="I2899" s="36" t="s">
        <v>96</v>
      </c>
      <c r="J2899" s="36">
        <v>159</v>
      </c>
      <c r="K2899" s="36">
        <v>227.37</v>
      </c>
    </row>
    <row r="2900" spans="1:11" x14ac:dyDescent="0.3">
      <c r="A2900" s="36" t="s">
        <v>97</v>
      </c>
      <c r="B2900" s="36">
        <v>2024</v>
      </c>
      <c r="C2900" s="36" t="s">
        <v>1</v>
      </c>
      <c r="D2900" s="36" t="s">
        <v>103</v>
      </c>
      <c r="E2900" s="36" t="s">
        <v>92</v>
      </c>
      <c r="F2900" s="36" t="s">
        <v>93</v>
      </c>
      <c r="G2900" s="36" t="s">
        <v>94</v>
      </c>
      <c r="H2900" s="36" t="s">
        <v>95</v>
      </c>
      <c r="I2900" s="36" t="s">
        <v>96</v>
      </c>
      <c r="J2900" s="36">
        <v>129</v>
      </c>
      <c r="K2900" s="36">
        <v>184.47</v>
      </c>
    </row>
    <row r="2901" spans="1:11" x14ac:dyDescent="0.3">
      <c r="A2901" s="36" t="s">
        <v>97</v>
      </c>
      <c r="B2901" s="36">
        <v>2024</v>
      </c>
      <c r="C2901" s="36" t="s">
        <v>1</v>
      </c>
      <c r="D2901" s="36" t="s">
        <v>103</v>
      </c>
      <c r="E2901" s="36" t="s">
        <v>92</v>
      </c>
      <c r="F2901" s="36" t="s">
        <v>93</v>
      </c>
      <c r="G2901" s="36" t="s">
        <v>94</v>
      </c>
      <c r="H2901" s="36" t="s">
        <v>95</v>
      </c>
      <c r="I2901" s="36" t="s">
        <v>96</v>
      </c>
      <c r="J2901" s="36">
        <v>758</v>
      </c>
      <c r="K2901" s="36">
        <v>1083.94</v>
      </c>
    </row>
    <row r="2902" spans="1:11" x14ac:dyDescent="0.3">
      <c r="A2902" s="36" t="s">
        <v>99</v>
      </c>
      <c r="B2902" s="36">
        <v>2024</v>
      </c>
      <c r="C2902" s="36" t="s">
        <v>1</v>
      </c>
      <c r="D2902" s="36" t="s">
        <v>103</v>
      </c>
      <c r="E2902" s="36" t="s">
        <v>92</v>
      </c>
      <c r="F2902" s="36" t="s">
        <v>93</v>
      </c>
      <c r="G2902" s="36" t="s">
        <v>94</v>
      </c>
      <c r="H2902" s="36" t="s">
        <v>95</v>
      </c>
      <c r="I2902" s="36" t="s">
        <v>96</v>
      </c>
      <c r="J2902" s="36">
        <v>844</v>
      </c>
      <c r="K2902" s="36">
        <v>1206.92</v>
      </c>
    </row>
    <row r="2903" spans="1:11" x14ac:dyDescent="0.3">
      <c r="A2903" s="36" t="s">
        <v>90</v>
      </c>
      <c r="B2903" s="36">
        <v>2024</v>
      </c>
      <c r="C2903" s="36" t="s">
        <v>1</v>
      </c>
      <c r="D2903" s="36" t="s">
        <v>103</v>
      </c>
      <c r="E2903" s="36" t="s">
        <v>92</v>
      </c>
      <c r="F2903" s="36" t="s">
        <v>93</v>
      </c>
      <c r="G2903" s="36" t="s">
        <v>94</v>
      </c>
      <c r="H2903" s="36" t="s">
        <v>95</v>
      </c>
      <c r="I2903" s="36" t="s">
        <v>96</v>
      </c>
      <c r="J2903" s="36">
        <v>155</v>
      </c>
      <c r="K2903" s="36">
        <v>221.65</v>
      </c>
    </row>
    <row r="2904" spans="1:11" x14ac:dyDescent="0.3">
      <c r="A2904" s="36" t="s">
        <v>99</v>
      </c>
      <c r="B2904" s="36">
        <v>2024</v>
      </c>
      <c r="C2904" s="36" t="s">
        <v>1</v>
      </c>
      <c r="D2904" s="36" t="s">
        <v>103</v>
      </c>
      <c r="E2904" s="36" t="s">
        <v>92</v>
      </c>
      <c r="F2904" s="36" t="s">
        <v>93</v>
      </c>
      <c r="G2904" s="36" t="s">
        <v>94</v>
      </c>
      <c r="H2904" s="36" t="s">
        <v>95</v>
      </c>
      <c r="I2904" s="36" t="s">
        <v>96</v>
      </c>
      <c r="J2904" s="36">
        <v>131</v>
      </c>
      <c r="K2904" s="36">
        <v>187.32999999999998</v>
      </c>
    </row>
    <row r="2905" spans="1:11" x14ac:dyDescent="0.3">
      <c r="A2905" s="36" t="s">
        <v>90</v>
      </c>
      <c r="B2905" s="36">
        <v>2024</v>
      </c>
      <c r="C2905" s="36" t="s">
        <v>0</v>
      </c>
      <c r="D2905" s="36" t="s">
        <v>103</v>
      </c>
      <c r="E2905" s="36" t="s">
        <v>92</v>
      </c>
      <c r="F2905" s="36" t="s">
        <v>93</v>
      </c>
      <c r="G2905" s="36" t="s">
        <v>94</v>
      </c>
      <c r="H2905" s="36" t="s">
        <v>95</v>
      </c>
      <c r="I2905" s="36" t="s">
        <v>96</v>
      </c>
      <c r="J2905" s="36">
        <v>164</v>
      </c>
      <c r="K2905" s="36">
        <v>234.51999999999998</v>
      </c>
    </row>
    <row r="2906" spans="1:11" x14ac:dyDescent="0.3">
      <c r="A2906" s="36" t="s">
        <v>100</v>
      </c>
      <c r="B2906" s="36">
        <v>2024</v>
      </c>
      <c r="C2906" s="36" t="s">
        <v>0</v>
      </c>
      <c r="D2906" s="36" t="s">
        <v>103</v>
      </c>
      <c r="E2906" s="36" t="s">
        <v>92</v>
      </c>
      <c r="F2906" s="36" t="s">
        <v>93</v>
      </c>
      <c r="G2906" s="36" t="s">
        <v>94</v>
      </c>
      <c r="H2906" s="36" t="s">
        <v>95</v>
      </c>
      <c r="I2906" s="36" t="s">
        <v>96</v>
      </c>
      <c r="J2906" s="36">
        <v>134</v>
      </c>
      <c r="K2906" s="36">
        <v>191.62</v>
      </c>
    </row>
    <row r="2907" spans="1:11" x14ac:dyDescent="0.3">
      <c r="A2907" s="36" t="s">
        <v>97</v>
      </c>
      <c r="B2907" s="36">
        <v>2024</v>
      </c>
      <c r="C2907" s="36" t="s">
        <v>0</v>
      </c>
      <c r="D2907" s="36" t="s">
        <v>103</v>
      </c>
      <c r="E2907" s="36" t="s">
        <v>92</v>
      </c>
      <c r="F2907" s="36" t="s">
        <v>93</v>
      </c>
      <c r="G2907" s="36" t="s">
        <v>94</v>
      </c>
      <c r="H2907" s="36" t="s">
        <v>95</v>
      </c>
      <c r="I2907" s="36" t="s">
        <v>96</v>
      </c>
      <c r="J2907" s="36">
        <v>136</v>
      </c>
      <c r="K2907" s="36">
        <v>526.24</v>
      </c>
    </row>
    <row r="2908" spans="1:11" x14ac:dyDescent="0.3">
      <c r="A2908" s="36" t="s">
        <v>97</v>
      </c>
      <c r="B2908" s="36">
        <v>2024</v>
      </c>
      <c r="C2908" s="36" t="s">
        <v>0</v>
      </c>
      <c r="D2908" s="36" t="s">
        <v>103</v>
      </c>
      <c r="E2908" s="36" t="s">
        <v>92</v>
      </c>
      <c r="F2908" s="36" t="s">
        <v>93</v>
      </c>
      <c r="G2908" s="36" t="s">
        <v>94</v>
      </c>
      <c r="H2908" s="36" t="s">
        <v>95</v>
      </c>
      <c r="I2908" s="36" t="s">
        <v>96</v>
      </c>
      <c r="J2908" s="36">
        <v>976</v>
      </c>
      <c r="K2908" s="36">
        <v>1395.68</v>
      </c>
    </row>
    <row r="2909" spans="1:11" x14ac:dyDescent="0.3">
      <c r="A2909" s="36" t="s">
        <v>97</v>
      </c>
      <c r="B2909" s="36">
        <v>2024</v>
      </c>
      <c r="C2909" s="36" t="s">
        <v>0</v>
      </c>
      <c r="D2909" s="36" t="s">
        <v>103</v>
      </c>
      <c r="E2909" s="36" t="s">
        <v>92</v>
      </c>
      <c r="F2909" s="36" t="s">
        <v>93</v>
      </c>
      <c r="G2909" s="36" t="s">
        <v>94</v>
      </c>
      <c r="H2909" s="36" t="s">
        <v>95</v>
      </c>
      <c r="I2909" s="36" t="s">
        <v>96</v>
      </c>
      <c r="J2909" s="36">
        <v>138</v>
      </c>
      <c r="K2909" s="36">
        <v>197.34</v>
      </c>
    </row>
    <row r="2910" spans="1:11" x14ac:dyDescent="0.3">
      <c r="A2910" s="36" t="s">
        <v>97</v>
      </c>
      <c r="B2910" s="36">
        <v>2024</v>
      </c>
      <c r="C2910" s="36" t="s">
        <v>0</v>
      </c>
      <c r="D2910" s="36" t="s">
        <v>103</v>
      </c>
      <c r="E2910" s="36" t="s">
        <v>92</v>
      </c>
      <c r="F2910" s="36" t="s">
        <v>93</v>
      </c>
      <c r="G2910" s="36" t="s">
        <v>94</v>
      </c>
      <c r="H2910" s="36" t="s">
        <v>95</v>
      </c>
      <c r="I2910" s="36" t="s">
        <v>96</v>
      </c>
      <c r="J2910" s="36">
        <v>165</v>
      </c>
      <c r="K2910" s="36">
        <v>235.95</v>
      </c>
    </row>
    <row r="2911" spans="1:11" x14ac:dyDescent="0.3">
      <c r="A2911" s="36" t="s">
        <v>97</v>
      </c>
      <c r="B2911" s="36">
        <v>2024</v>
      </c>
      <c r="C2911" s="36" t="s">
        <v>0</v>
      </c>
      <c r="D2911" s="36" t="s">
        <v>103</v>
      </c>
      <c r="E2911" s="36" t="s">
        <v>92</v>
      </c>
      <c r="F2911" s="36" t="s">
        <v>93</v>
      </c>
      <c r="G2911" s="36" t="s">
        <v>94</v>
      </c>
      <c r="H2911" s="36" t="s">
        <v>95</v>
      </c>
      <c r="I2911" s="36" t="s">
        <v>96</v>
      </c>
      <c r="J2911" s="36">
        <v>135</v>
      </c>
      <c r="K2911" s="36">
        <v>193.05</v>
      </c>
    </row>
    <row r="2912" spans="1:11" x14ac:dyDescent="0.3">
      <c r="A2912" s="36" t="s">
        <v>97</v>
      </c>
      <c r="B2912" s="36">
        <v>2024</v>
      </c>
      <c r="C2912" s="36" t="s">
        <v>0</v>
      </c>
      <c r="D2912" s="36" t="s">
        <v>103</v>
      </c>
      <c r="E2912" s="36" t="s">
        <v>92</v>
      </c>
      <c r="F2912" s="36" t="s">
        <v>93</v>
      </c>
      <c r="G2912" s="36" t="s">
        <v>94</v>
      </c>
      <c r="H2912" s="36" t="s">
        <v>95</v>
      </c>
      <c r="I2912" s="36" t="s">
        <v>96</v>
      </c>
      <c r="J2912" s="36">
        <v>757</v>
      </c>
      <c r="K2912" s="36">
        <v>1082.51</v>
      </c>
    </row>
    <row r="2913" spans="1:11" x14ac:dyDescent="0.3">
      <c r="A2913" s="36" t="s">
        <v>100</v>
      </c>
      <c r="B2913" s="36">
        <v>2024</v>
      </c>
      <c r="C2913" s="36" t="s">
        <v>0</v>
      </c>
      <c r="D2913" s="36" t="s">
        <v>103</v>
      </c>
      <c r="E2913" s="36" t="s">
        <v>92</v>
      </c>
      <c r="F2913" s="36" t="s">
        <v>93</v>
      </c>
      <c r="G2913" s="36" t="s">
        <v>94</v>
      </c>
      <c r="H2913" s="36" t="s">
        <v>95</v>
      </c>
      <c r="I2913" s="36" t="s">
        <v>96</v>
      </c>
      <c r="J2913" s="36">
        <v>161</v>
      </c>
      <c r="K2913" s="36">
        <v>230.23000000000002</v>
      </c>
    </row>
    <row r="2914" spans="1:11" x14ac:dyDescent="0.3">
      <c r="A2914" s="36" t="s">
        <v>90</v>
      </c>
      <c r="B2914" s="36">
        <v>2024</v>
      </c>
      <c r="C2914" s="36" t="s">
        <v>0</v>
      </c>
      <c r="D2914" s="36" t="s">
        <v>103</v>
      </c>
      <c r="E2914" s="36" t="s">
        <v>92</v>
      </c>
      <c r="F2914" s="36" t="s">
        <v>93</v>
      </c>
      <c r="G2914" s="36" t="s">
        <v>94</v>
      </c>
      <c r="H2914" s="36" t="s">
        <v>95</v>
      </c>
      <c r="I2914" s="36" t="s">
        <v>96</v>
      </c>
      <c r="J2914" s="36">
        <v>137</v>
      </c>
      <c r="K2914" s="36">
        <v>195.91</v>
      </c>
    </row>
    <row r="2915" spans="1:11" x14ac:dyDescent="0.3">
      <c r="A2915" s="36" t="s">
        <v>97</v>
      </c>
      <c r="B2915" s="36">
        <v>2024</v>
      </c>
      <c r="C2915" s="36" t="s">
        <v>6</v>
      </c>
      <c r="D2915" s="36" t="s">
        <v>103</v>
      </c>
      <c r="E2915" s="36" t="s">
        <v>92</v>
      </c>
      <c r="F2915" s="36" t="s">
        <v>93</v>
      </c>
      <c r="G2915" s="36" t="s">
        <v>94</v>
      </c>
      <c r="H2915" s="36" t="s">
        <v>95</v>
      </c>
      <c r="I2915" s="36" t="s">
        <v>96</v>
      </c>
      <c r="J2915" s="36">
        <v>350</v>
      </c>
      <c r="K2915" s="36">
        <v>500.5</v>
      </c>
    </row>
    <row r="2916" spans="1:11" x14ac:dyDescent="0.3">
      <c r="A2916" s="36" t="s">
        <v>90</v>
      </c>
      <c r="B2916" s="36">
        <v>2024</v>
      </c>
      <c r="C2916" s="36" t="s">
        <v>6</v>
      </c>
      <c r="D2916" s="36" t="s">
        <v>103</v>
      </c>
      <c r="E2916" s="36" t="s">
        <v>92</v>
      </c>
      <c r="F2916" s="36" t="s">
        <v>93</v>
      </c>
      <c r="G2916" s="36" t="s">
        <v>94</v>
      </c>
      <c r="H2916" s="36" t="s">
        <v>95</v>
      </c>
      <c r="I2916" s="36" t="s">
        <v>96</v>
      </c>
      <c r="J2916" s="36">
        <v>130</v>
      </c>
      <c r="K2916" s="36">
        <v>526.24</v>
      </c>
    </row>
    <row r="2917" spans="1:11" x14ac:dyDescent="0.3">
      <c r="A2917" s="36" t="s">
        <v>97</v>
      </c>
      <c r="B2917" s="36">
        <v>2024</v>
      </c>
      <c r="C2917" s="36" t="s">
        <v>6</v>
      </c>
      <c r="D2917" s="36" t="s">
        <v>103</v>
      </c>
      <c r="E2917" s="36" t="s">
        <v>92</v>
      </c>
      <c r="F2917" s="36" t="s">
        <v>93</v>
      </c>
      <c r="G2917" s="36" t="s">
        <v>94</v>
      </c>
      <c r="H2917" s="36" t="s">
        <v>95</v>
      </c>
      <c r="I2917" s="36" t="s">
        <v>96</v>
      </c>
      <c r="J2917" s="36">
        <v>352</v>
      </c>
      <c r="K2917" s="36">
        <v>526.24</v>
      </c>
    </row>
    <row r="2918" spans="1:11" x14ac:dyDescent="0.3">
      <c r="A2918" s="36" t="s">
        <v>99</v>
      </c>
      <c r="B2918" s="36">
        <v>2024</v>
      </c>
      <c r="C2918" s="36" t="s">
        <v>6</v>
      </c>
      <c r="D2918" s="36" t="s">
        <v>103</v>
      </c>
      <c r="E2918" s="36" t="s">
        <v>92</v>
      </c>
      <c r="F2918" s="36" t="s">
        <v>93</v>
      </c>
      <c r="G2918" s="36" t="s">
        <v>94</v>
      </c>
      <c r="H2918" s="36" t="s">
        <v>95</v>
      </c>
      <c r="I2918" s="36" t="s">
        <v>96</v>
      </c>
      <c r="J2918" s="36">
        <v>981</v>
      </c>
      <c r="K2918" s="36">
        <v>1402.83</v>
      </c>
    </row>
    <row r="2919" spans="1:11" x14ac:dyDescent="0.3">
      <c r="A2919" s="36" t="s">
        <v>97</v>
      </c>
      <c r="B2919" s="36">
        <v>2024</v>
      </c>
      <c r="C2919" s="36" t="s">
        <v>6</v>
      </c>
      <c r="D2919" s="36" t="s">
        <v>103</v>
      </c>
      <c r="E2919" s="36" t="s">
        <v>92</v>
      </c>
      <c r="F2919" s="36" t="s">
        <v>93</v>
      </c>
      <c r="G2919" s="36" t="s">
        <v>94</v>
      </c>
      <c r="H2919" s="36" t="s">
        <v>95</v>
      </c>
      <c r="I2919" s="36" t="s">
        <v>96</v>
      </c>
      <c r="J2919" s="36">
        <v>348</v>
      </c>
      <c r="K2919" s="36">
        <v>497.64</v>
      </c>
    </row>
    <row r="2920" spans="1:11" x14ac:dyDescent="0.3">
      <c r="A2920" s="36" t="s">
        <v>97</v>
      </c>
      <c r="B2920" s="36">
        <v>2024</v>
      </c>
      <c r="C2920" s="36" t="s">
        <v>6</v>
      </c>
      <c r="D2920" s="36" t="s">
        <v>103</v>
      </c>
      <c r="E2920" s="36" t="s">
        <v>92</v>
      </c>
      <c r="F2920" s="36" t="s">
        <v>93</v>
      </c>
      <c r="G2920" s="36" t="s">
        <v>94</v>
      </c>
      <c r="H2920" s="36" t="s">
        <v>95</v>
      </c>
      <c r="I2920" s="36" t="s">
        <v>96</v>
      </c>
      <c r="J2920" s="36">
        <v>129</v>
      </c>
      <c r="K2920" s="36">
        <v>184.47</v>
      </c>
    </row>
    <row r="2921" spans="1:11" x14ac:dyDescent="0.3">
      <c r="A2921" s="36" t="s">
        <v>99</v>
      </c>
      <c r="B2921" s="36">
        <v>2024</v>
      </c>
      <c r="C2921" s="36" t="s">
        <v>6</v>
      </c>
      <c r="D2921" s="36" t="s">
        <v>103</v>
      </c>
      <c r="E2921" s="36" t="s">
        <v>92</v>
      </c>
      <c r="F2921" s="36" t="s">
        <v>93</v>
      </c>
      <c r="G2921" s="36" t="s">
        <v>94</v>
      </c>
      <c r="H2921" s="36" t="s">
        <v>95</v>
      </c>
      <c r="I2921" s="36" t="s">
        <v>96</v>
      </c>
      <c r="J2921" s="36">
        <v>351</v>
      </c>
      <c r="K2921" s="36">
        <v>501.93</v>
      </c>
    </row>
    <row r="2922" spans="1:11" x14ac:dyDescent="0.3">
      <c r="A2922" s="36" t="s">
        <v>97</v>
      </c>
      <c r="B2922" s="36">
        <v>2024</v>
      </c>
      <c r="C2922" s="36" t="s">
        <v>6</v>
      </c>
      <c r="D2922" s="36" t="s">
        <v>103</v>
      </c>
      <c r="E2922" s="36" t="s">
        <v>92</v>
      </c>
      <c r="F2922" s="36" t="s">
        <v>93</v>
      </c>
      <c r="G2922" s="36" t="s">
        <v>94</v>
      </c>
      <c r="H2922" s="36" t="s">
        <v>95</v>
      </c>
      <c r="I2922" s="36" t="s">
        <v>96</v>
      </c>
      <c r="J2922" s="36">
        <v>762</v>
      </c>
      <c r="K2922" s="36">
        <v>1089.6599999999999</v>
      </c>
    </row>
    <row r="2923" spans="1:11" x14ac:dyDescent="0.3">
      <c r="A2923" s="36" t="s">
        <v>90</v>
      </c>
      <c r="B2923" s="36">
        <v>2024</v>
      </c>
      <c r="C2923" s="36" t="s">
        <v>6</v>
      </c>
      <c r="D2923" s="36" t="s">
        <v>103</v>
      </c>
      <c r="E2923" s="36" t="s">
        <v>92</v>
      </c>
      <c r="F2923" s="36" t="s">
        <v>93</v>
      </c>
      <c r="G2923" s="36" t="s">
        <v>94</v>
      </c>
      <c r="H2923" s="36" t="s">
        <v>95</v>
      </c>
      <c r="I2923" s="36" t="s">
        <v>96</v>
      </c>
      <c r="J2923" s="36">
        <v>849</v>
      </c>
      <c r="K2923" s="36">
        <v>1214.07</v>
      </c>
    </row>
    <row r="2924" spans="1:11" x14ac:dyDescent="0.3">
      <c r="A2924" s="36" t="s">
        <v>97</v>
      </c>
      <c r="B2924" s="36">
        <v>2024</v>
      </c>
      <c r="C2924" s="36" t="s">
        <v>6</v>
      </c>
      <c r="D2924" s="36" t="s">
        <v>103</v>
      </c>
      <c r="E2924" s="36" t="s">
        <v>92</v>
      </c>
      <c r="F2924" s="36" t="s">
        <v>93</v>
      </c>
      <c r="G2924" s="36" t="s">
        <v>94</v>
      </c>
      <c r="H2924" s="36" t="s">
        <v>95</v>
      </c>
      <c r="I2924" s="36" t="s">
        <v>96</v>
      </c>
      <c r="J2924" s="36">
        <v>131</v>
      </c>
      <c r="K2924" s="36">
        <v>187.32999999999998</v>
      </c>
    </row>
    <row r="2925" spans="1:11" x14ac:dyDescent="0.3">
      <c r="A2925" s="36" t="s">
        <v>99</v>
      </c>
      <c r="B2925" s="36">
        <v>2024</v>
      </c>
      <c r="C2925" s="36" t="s">
        <v>5</v>
      </c>
      <c r="D2925" s="36" t="s">
        <v>103</v>
      </c>
      <c r="E2925" s="36" t="s">
        <v>92</v>
      </c>
      <c r="F2925" s="36" t="s">
        <v>93</v>
      </c>
      <c r="G2925" s="36" t="s">
        <v>94</v>
      </c>
      <c r="H2925" s="36" t="s">
        <v>95</v>
      </c>
      <c r="I2925" s="36" t="s">
        <v>96</v>
      </c>
      <c r="J2925" s="36">
        <v>134</v>
      </c>
      <c r="K2925" s="36">
        <v>191.62</v>
      </c>
    </row>
    <row r="2926" spans="1:11" x14ac:dyDescent="0.3">
      <c r="A2926" s="36" t="s">
        <v>99</v>
      </c>
      <c r="B2926" s="36">
        <v>2024</v>
      </c>
      <c r="C2926" s="36" t="s">
        <v>5</v>
      </c>
      <c r="D2926" s="36" t="s">
        <v>103</v>
      </c>
      <c r="E2926" s="36" t="s">
        <v>92</v>
      </c>
      <c r="F2926" s="36" t="s">
        <v>93</v>
      </c>
      <c r="G2926" s="36" t="s">
        <v>94</v>
      </c>
      <c r="H2926" s="36" t="s">
        <v>95</v>
      </c>
      <c r="I2926" s="36" t="s">
        <v>96</v>
      </c>
      <c r="J2926" s="36">
        <v>356</v>
      </c>
      <c r="K2926" s="36">
        <v>509.08</v>
      </c>
    </row>
    <row r="2927" spans="1:11" x14ac:dyDescent="0.3">
      <c r="A2927" s="36" t="s">
        <v>99</v>
      </c>
      <c r="B2927" s="36">
        <v>2024</v>
      </c>
      <c r="C2927" s="36" t="s">
        <v>5</v>
      </c>
      <c r="D2927" s="36" t="s">
        <v>103</v>
      </c>
      <c r="E2927" s="36" t="s">
        <v>92</v>
      </c>
      <c r="F2927" s="36" t="s">
        <v>93</v>
      </c>
      <c r="G2927" s="36" t="s">
        <v>94</v>
      </c>
      <c r="H2927" s="36" t="s">
        <v>95</v>
      </c>
      <c r="I2927" s="36" t="s">
        <v>96</v>
      </c>
      <c r="J2927" s="36">
        <v>136</v>
      </c>
      <c r="K2927" s="36">
        <v>526.24</v>
      </c>
    </row>
    <row r="2928" spans="1:11" x14ac:dyDescent="0.3">
      <c r="A2928" s="36" t="s">
        <v>99</v>
      </c>
      <c r="B2928" s="36">
        <v>2024</v>
      </c>
      <c r="C2928" s="36" t="s">
        <v>5</v>
      </c>
      <c r="D2928" s="36" t="s">
        <v>103</v>
      </c>
      <c r="E2928" s="36" t="s">
        <v>92</v>
      </c>
      <c r="F2928" s="36" t="s">
        <v>93</v>
      </c>
      <c r="G2928" s="36" t="s">
        <v>94</v>
      </c>
      <c r="H2928" s="36" t="s">
        <v>95</v>
      </c>
      <c r="I2928" s="36" t="s">
        <v>96</v>
      </c>
      <c r="J2928" s="36">
        <v>980</v>
      </c>
      <c r="K2928" s="36">
        <v>1401.4</v>
      </c>
    </row>
    <row r="2929" spans="1:11" x14ac:dyDescent="0.3">
      <c r="A2929" s="36" t="s">
        <v>97</v>
      </c>
      <c r="B2929" s="36">
        <v>2024</v>
      </c>
      <c r="C2929" s="36" t="s">
        <v>5</v>
      </c>
      <c r="D2929" s="36" t="s">
        <v>103</v>
      </c>
      <c r="E2929" s="36" t="s">
        <v>92</v>
      </c>
      <c r="F2929" s="36" t="s">
        <v>93</v>
      </c>
      <c r="G2929" s="36" t="s">
        <v>94</v>
      </c>
      <c r="H2929" s="36" t="s">
        <v>95</v>
      </c>
      <c r="I2929" s="36" t="s">
        <v>96</v>
      </c>
      <c r="J2929" s="36">
        <v>354</v>
      </c>
      <c r="K2929" s="36">
        <v>506.22</v>
      </c>
    </row>
    <row r="2930" spans="1:11" x14ac:dyDescent="0.3">
      <c r="A2930" s="36" t="s">
        <v>97</v>
      </c>
      <c r="B2930" s="36">
        <v>2024</v>
      </c>
      <c r="C2930" s="36" t="s">
        <v>5</v>
      </c>
      <c r="D2930" s="36" t="s">
        <v>103</v>
      </c>
      <c r="E2930" s="36" t="s">
        <v>92</v>
      </c>
      <c r="F2930" s="36" t="s">
        <v>93</v>
      </c>
      <c r="G2930" s="36" t="s">
        <v>94</v>
      </c>
      <c r="H2930" s="36" t="s">
        <v>95</v>
      </c>
      <c r="I2930" s="36" t="s">
        <v>96</v>
      </c>
      <c r="J2930" s="36">
        <v>135</v>
      </c>
      <c r="K2930" s="36">
        <v>193.05</v>
      </c>
    </row>
    <row r="2931" spans="1:11" x14ac:dyDescent="0.3">
      <c r="A2931" s="36" t="s">
        <v>99</v>
      </c>
      <c r="B2931" s="36">
        <v>2024</v>
      </c>
      <c r="C2931" s="36" t="s">
        <v>5</v>
      </c>
      <c r="D2931" s="36" t="s">
        <v>103</v>
      </c>
      <c r="E2931" s="36" t="s">
        <v>92</v>
      </c>
      <c r="F2931" s="36" t="s">
        <v>93</v>
      </c>
      <c r="G2931" s="36" t="s">
        <v>94</v>
      </c>
      <c r="H2931" s="36" t="s">
        <v>95</v>
      </c>
      <c r="I2931" s="36" t="s">
        <v>96</v>
      </c>
      <c r="J2931" s="36">
        <v>357</v>
      </c>
      <c r="K2931" s="36">
        <v>510.51</v>
      </c>
    </row>
    <row r="2932" spans="1:11" x14ac:dyDescent="0.3">
      <c r="A2932" s="36" t="s">
        <v>99</v>
      </c>
      <c r="B2932" s="36">
        <v>2024</v>
      </c>
      <c r="C2932" s="36" t="s">
        <v>5</v>
      </c>
      <c r="D2932" s="36" t="s">
        <v>103</v>
      </c>
      <c r="E2932" s="36" t="s">
        <v>92</v>
      </c>
      <c r="F2932" s="36" t="s">
        <v>93</v>
      </c>
      <c r="G2932" s="36" t="s">
        <v>94</v>
      </c>
      <c r="H2932" s="36" t="s">
        <v>95</v>
      </c>
      <c r="I2932" s="36" t="s">
        <v>96</v>
      </c>
      <c r="J2932" s="36">
        <v>848</v>
      </c>
      <c r="K2932" s="36">
        <v>1212.6399999999999</v>
      </c>
    </row>
    <row r="2933" spans="1:11" x14ac:dyDescent="0.3">
      <c r="A2933" s="36" t="s">
        <v>99</v>
      </c>
      <c r="B2933" s="36">
        <v>2024</v>
      </c>
      <c r="C2933" s="36" t="s">
        <v>5</v>
      </c>
      <c r="D2933" s="36" t="s">
        <v>103</v>
      </c>
      <c r="E2933" s="36" t="s">
        <v>92</v>
      </c>
      <c r="F2933" s="36" t="s">
        <v>93</v>
      </c>
      <c r="G2933" s="36" t="s">
        <v>94</v>
      </c>
      <c r="H2933" s="36" t="s">
        <v>95</v>
      </c>
      <c r="I2933" s="36" t="s">
        <v>96</v>
      </c>
      <c r="J2933" s="36">
        <v>137</v>
      </c>
      <c r="K2933" s="36">
        <v>195.91</v>
      </c>
    </row>
    <row r="2934" spans="1:11" x14ac:dyDescent="0.3">
      <c r="A2934" s="36" t="s">
        <v>99</v>
      </c>
      <c r="B2934" s="36">
        <v>2024</v>
      </c>
      <c r="C2934" s="36" t="s">
        <v>5</v>
      </c>
      <c r="D2934" s="36" t="s">
        <v>103</v>
      </c>
      <c r="E2934" s="36" t="s">
        <v>92</v>
      </c>
      <c r="F2934" s="36" t="s">
        <v>93</v>
      </c>
      <c r="G2934" s="36" t="s">
        <v>94</v>
      </c>
      <c r="H2934" s="36" t="s">
        <v>95</v>
      </c>
      <c r="I2934" s="36" t="s">
        <v>96</v>
      </c>
      <c r="J2934" s="36">
        <v>353</v>
      </c>
      <c r="K2934" s="36">
        <v>504.78999999999996</v>
      </c>
    </row>
    <row r="2935" spans="1:11" x14ac:dyDescent="0.3">
      <c r="A2935" s="36" t="s">
        <v>97</v>
      </c>
      <c r="B2935" s="36">
        <v>2024</v>
      </c>
      <c r="C2935" s="36" t="s">
        <v>2</v>
      </c>
      <c r="D2935" s="36" t="s">
        <v>103</v>
      </c>
      <c r="E2935" s="36" t="s">
        <v>92</v>
      </c>
      <c r="F2935" s="36" t="s">
        <v>93</v>
      </c>
      <c r="G2935" s="36" t="s">
        <v>94</v>
      </c>
      <c r="H2935" s="36" t="s">
        <v>95</v>
      </c>
      <c r="I2935" s="36" t="s">
        <v>96</v>
      </c>
      <c r="J2935" s="36">
        <v>152</v>
      </c>
      <c r="K2935" s="36">
        <v>217.36</v>
      </c>
    </row>
    <row r="2936" spans="1:11" x14ac:dyDescent="0.3">
      <c r="A2936" s="36" t="s">
        <v>97</v>
      </c>
      <c r="B2936" s="36">
        <v>2024</v>
      </c>
      <c r="C2936" s="36" t="s">
        <v>2</v>
      </c>
      <c r="D2936" s="36" t="s">
        <v>103</v>
      </c>
      <c r="E2936" s="36" t="s">
        <v>92</v>
      </c>
      <c r="F2936" s="36" t="s">
        <v>93</v>
      </c>
      <c r="G2936" s="36" t="s">
        <v>94</v>
      </c>
      <c r="H2936" s="36" t="s">
        <v>95</v>
      </c>
      <c r="I2936" s="36" t="s">
        <v>96</v>
      </c>
      <c r="J2936" s="36">
        <v>154</v>
      </c>
      <c r="K2936" s="36">
        <v>526.24</v>
      </c>
    </row>
    <row r="2937" spans="1:11" x14ac:dyDescent="0.3">
      <c r="A2937" s="36" t="s">
        <v>97</v>
      </c>
      <c r="B2937" s="36">
        <v>2024</v>
      </c>
      <c r="C2937" s="36" t="s">
        <v>2</v>
      </c>
      <c r="D2937" s="36" t="s">
        <v>103</v>
      </c>
      <c r="E2937" s="36" t="s">
        <v>92</v>
      </c>
      <c r="F2937" s="36" t="s">
        <v>93</v>
      </c>
      <c r="G2937" s="36" t="s">
        <v>94</v>
      </c>
      <c r="H2937" s="36" t="s">
        <v>95</v>
      </c>
      <c r="I2937" s="36" t="s">
        <v>96</v>
      </c>
      <c r="J2937" s="36">
        <v>370</v>
      </c>
      <c r="K2937" s="36">
        <v>526.24</v>
      </c>
    </row>
    <row r="2938" spans="1:11" x14ac:dyDescent="0.3">
      <c r="A2938" s="36" t="s">
        <v>97</v>
      </c>
      <c r="B2938" s="36">
        <v>2024</v>
      </c>
      <c r="C2938" s="36" t="s">
        <v>2</v>
      </c>
      <c r="D2938" s="36" t="s">
        <v>103</v>
      </c>
      <c r="E2938" s="36" t="s">
        <v>92</v>
      </c>
      <c r="F2938" s="36" t="s">
        <v>93</v>
      </c>
      <c r="G2938" s="36" t="s">
        <v>94</v>
      </c>
      <c r="H2938" s="36" t="s">
        <v>95</v>
      </c>
      <c r="I2938" s="36" t="s">
        <v>96</v>
      </c>
      <c r="J2938" s="36">
        <v>978</v>
      </c>
      <c r="K2938" s="36">
        <v>1398.54</v>
      </c>
    </row>
    <row r="2939" spans="1:11" x14ac:dyDescent="0.3">
      <c r="A2939" s="36" t="s">
        <v>90</v>
      </c>
      <c r="B2939" s="36">
        <v>2024</v>
      </c>
      <c r="C2939" s="36" t="s">
        <v>2</v>
      </c>
      <c r="D2939" s="36" t="s">
        <v>103</v>
      </c>
      <c r="E2939" s="36" t="s">
        <v>92</v>
      </c>
      <c r="F2939" s="36" t="s">
        <v>93</v>
      </c>
      <c r="G2939" s="36" t="s">
        <v>94</v>
      </c>
      <c r="H2939" s="36" t="s">
        <v>95</v>
      </c>
      <c r="I2939" s="36" t="s">
        <v>96</v>
      </c>
      <c r="J2939" s="36">
        <v>372</v>
      </c>
      <c r="K2939" s="36">
        <v>531.96</v>
      </c>
    </row>
    <row r="2940" spans="1:11" x14ac:dyDescent="0.3">
      <c r="A2940" s="36" t="s">
        <v>90</v>
      </c>
      <c r="B2940" s="36">
        <v>2024</v>
      </c>
      <c r="C2940" s="36" t="s">
        <v>2</v>
      </c>
      <c r="D2940" s="36" t="s">
        <v>103</v>
      </c>
      <c r="E2940" s="36" t="s">
        <v>92</v>
      </c>
      <c r="F2940" s="36" t="s">
        <v>93</v>
      </c>
      <c r="G2940" s="36" t="s">
        <v>94</v>
      </c>
      <c r="H2940" s="36" t="s">
        <v>95</v>
      </c>
      <c r="I2940" s="36" t="s">
        <v>96</v>
      </c>
      <c r="J2940" s="36">
        <v>153</v>
      </c>
      <c r="K2940" s="36">
        <v>218.79</v>
      </c>
    </row>
    <row r="2941" spans="1:11" x14ac:dyDescent="0.3">
      <c r="A2941" s="36" t="s">
        <v>97</v>
      </c>
      <c r="B2941" s="36">
        <v>2024</v>
      </c>
      <c r="C2941" s="36" t="s">
        <v>2</v>
      </c>
      <c r="D2941" s="36" t="s">
        <v>103</v>
      </c>
      <c r="E2941" s="36" t="s">
        <v>92</v>
      </c>
      <c r="F2941" s="36" t="s">
        <v>93</v>
      </c>
      <c r="G2941" s="36" t="s">
        <v>94</v>
      </c>
      <c r="H2941" s="36" t="s">
        <v>95</v>
      </c>
      <c r="I2941" s="36" t="s">
        <v>96</v>
      </c>
      <c r="J2941" s="36">
        <v>369</v>
      </c>
      <c r="K2941" s="36">
        <v>527.66999999999996</v>
      </c>
    </row>
    <row r="2942" spans="1:11" x14ac:dyDescent="0.3">
      <c r="A2942" s="36" t="s">
        <v>97</v>
      </c>
      <c r="B2942" s="36">
        <v>2024</v>
      </c>
      <c r="C2942" s="36" t="s">
        <v>2</v>
      </c>
      <c r="D2942" s="36" t="s">
        <v>103</v>
      </c>
      <c r="E2942" s="36" t="s">
        <v>92</v>
      </c>
      <c r="F2942" s="36" t="s">
        <v>93</v>
      </c>
      <c r="G2942" s="36" t="s">
        <v>94</v>
      </c>
      <c r="H2942" s="36" t="s">
        <v>95</v>
      </c>
      <c r="I2942" s="36" t="s">
        <v>96</v>
      </c>
      <c r="J2942" s="36">
        <v>759</v>
      </c>
      <c r="K2942" s="36">
        <v>1085.3699999999999</v>
      </c>
    </row>
    <row r="2943" spans="1:11" x14ac:dyDescent="0.3">
      <c r="A2943" s="36" t="s">
        <v>97</v>
      </c>
      <c r="B2943" s="36">
        <v>2024</v>
      </c>
      <c r="C2943" s="36" t="s">
        <v>2</v>
      </c>
      <c r="D2943" s="36" t="s">
        <v>103</v>
      </c>
      <c r="E2943" s="36" t="s">
        <v>92</v>
      </c>
      <c r="F2943" s="36" t="s">
        <v>93</v>
      </c>
      <c r="G2943" s="36" t="s">
        <v>94</v>
      </c>
      <c r="H2943" s="36" t="s">
        <v>95</v>
      </c>
      <c r="I2943" s="36" t="s">
        <v>96</v>
      </c>
      <c r="J2943" s="36">
        <v>845</v>
      </c>
      <c r="K2943" s="36">
        <v>1208.3499999999999</v>
      </c>
    </row>
    <row r="2944" spans="1:11" x14ac:dyDescent="0.3">
      <c r="A2944" s="36" t="s">
        <v>97</v>
      </c>
      <c r="B2944" s="36">
        <v>2024</v>
      </c>
      <c r="C2944" s="36" t="s">
        <v>2</v>
      </c>
      <c r="D2944" s="36" t="s">
        <v>103</v>
      </c>
      <c r="E2944" s="36" t="s">
        <v>92</v>
      </c>
      <c r="F2944" s="36" t="s">
        <v>93</v>
      </c>
      <c r="G2944" s="36" t="s">
        <v>94</v>
      </c>
      <c r="H2944" s="36" t="s">
        <v>95</v>
      </c>
      <c r="I2944" s="36" t="s">
        <v>96</v>
      </c>
      <c r="J2944" s="36">
        <v>371</v>
      </c>
      <c r="K2944" s="36">
        <v>530.53</v>
      </c>
    </row>
    <row r="2945" spans="1:11" x14ac:dyDescent="0.3">
      <c r="A2945" s="36" t="s">
        <v>99</v>
      </c>
      <c r="B2945" s="36">
        <v>2024</v>
      </c>
      <c r="C2945" s="36" t="s">
        <v>4</v>
      </c>
      <c r="D2945" s="36" t="s">
        <v>103</v>
      </c>
      <c r="E2945" s="36" t="s">
        <v>92</v>
      </c>
      <c r="F2945" s="36" t="s">
        <v>93</v>
      </c>
      <c r="G2945" s="36" t="s">
        <v>94</v>
      </c>
      <c r="H2945" s="36" t="s">
        <v>95</v>
      </c>
      <c r="I2945" s="36" t="s">
        <v>96</v>
      </c>
      <c r="J2945" s="36">
        <v>140</v>
      </c>
      <c r="K2945" s="36">
        <v>200.2</v>
      </c>
    </row>
    <row r="2946" spans="1:11" x14ac:dyDescent="0.3">
      <c r="A2946" s="36" t="s">
        <v>90</v>
      </c>
      <c r="B2946" s="36">
        <v>2024</v>
      </c>
      <c r="C2946" s="36" t="s">
        <v>4</v>
      </c>
      <c r="D2946" s="36" t="s">
        <v>103</v>
      </c>
      <c r="E2946" s="36" t="s">
        <v>92</v>
      </c>
      <c r="F2946" s="36" t="s">
        <v>93</v>
      </c>
      <c r="G2946" s="36" t="s">
        <v>94</v>
      </c>
      <c r="H2946" s="36" t="s">
        <v>95</v>
      </c>
      <c r="I2946" s="36" t="s">
        <v>96</v>
      </c>
      <c r="J2946" s="36">
        <v>362</v>
      </c>
      <c r="K2946" s="36">
        <v>517.66</v>
      </c>
    </row>
    <row r="2947" spans="1:11" x14ac:dyDescent="0.3">
      <c r="A2947" s="36" t="s">
        <v>99</v>
      </c>
      <c r="B2947" s="36">
        <v>2024</v>
      </c>
      <c r="C2947" s="36" t="s">
        <v>4</v>
      </c>
      <c r="D2947" s="36" t="s">
        <v>103</v>
      </c>
      <c r="E2947" s="36" t="s">
        <v>92</v>
      </c>
      <c r="F2947" s="36" t="s">
        <v>93</v>
      </c>
      <c r="G2947" s="36" t="s">
        <v>94</v>
      </c>
      <c r="H2947" s="36" t="s">
        <v>95</v>
      </c>
      <c r="I2947" s="36" t="s">
        <v>96</v>
      </c>
      <c r="J2947" s="36">
        <v>142</v>
      </c>
      <c r="K2947" s="36">
        <v>526.24</v>
      </c>
    </row>
    <row r="2948" spans="1:11" x14ac:dyDescent="0.3">
      <c r="A2948" s="36" t="s">
        <v>90</v>
      </c>
      <c r="B2948" s="36">
        <v>2024</v>
      </c>
      <c r="C2948" s="36" t="s">
        <v>4</v>
      </c>
      <c r="D2948" s="36" t="s">
        <v>103</v>
      </c>
      <c r="E2948" s="36" t="s">
        <v>92</v>
      </c>
      <c r="F2948" s="36" t="s">
        <v>93</v>
      </c>
      <c r="G2948" s="36" t="s">
        <v>94</v>
      </c>
      <c r="H2948" s="36" t="s">
        <v>95</v>
      </c>
      <c r="I2948" s="36" t="s">
        <v>96</v>
      </c>
      <c r="J2948" s="36">
        <v>358</v>
      </c>
      <c r="K2948" s="36">
        <v>526.24</v>
      </c>
    </row>
    <row r="2949" spans="1:11" x14ac:dyDescent="0.3">
      <c r="A2949" s="36" t="s">
        <v>97</v>
      </c>
      <c r="B2949" s="36">
        <v>2024</v>
      </c>
      <c r="C2949" s="36" t="s">
        <v>4</v>
      </c>
      <c r="D2949" s="36" t="s">
        <v>103</v>
      </c>
      <c r="E2949" s="36" t="s">
        <v>92</v>
      </c>
      <c r="F2949" s="36" t="s">
        <v>93</v>
      </c>
      <c r="G2949" s="36" t="s">
        <v>94</v>
      </c>
      <c r="H2949" s="36" t="s">
        <v>95</v>
      </c>
      <c r="I2949" s="36" t="s">
        <v>96</v>
      </c>
      <c r="J2949" s="36">
        <v>979</v>
      </c>
      <c r="K2949" s="36">
        <v>1399.97</v>
      </c>
    </row>
    <row r="2950" spans="1:11" x14ac:dyDescent="0.3">
      <c r="A2950" s="36" t="s">
        <v>99</v>
      </c>
      <c r="B2950" s="36">
        <v>2024</v>
      </c>
      <c r="C2950" s="36" t="s">
        <v>4</v>
      </c>
      <c r="D2950" s="36" t="s">
        <v>103</v>
      </c>
      <c r="E2950" s="36" t="s">
        <v>92</v>
      </c>
      <c r="F2950" s="36" t="s">
        <v>93</v>
      </c>
      <c r="G2950" s="36" t="s">
        <v>94</v>
      </c>
      <c r="H2950" s="36" t="s">
        <v>95</v>
      </c>
      <c r="I2950" s="36" t="s">
        <v>96</v>
      </c>
      <c r="J2950" s="36">
        <v>360</v>
      </c>
      <c r="K2950" s="36">
        <v>514.79999999999995</v>
      </c>
    </row>
    <row r="2951" spans="1:11" x14ac:dyDescent="0.3">
      <c r="A2951" s="36" t="s">
        <v>99</v>
      </c>
      <c r="B2951" s="36">
        <v>2024</v>
      </c>
      <c r="C2951" s="36" t="s">
        <v>4</v>
      </c>
      <c r="D2951" s="36" t="s">
        <v>103</v>
      </c>
      <c r="E2951" s="36" t="s">
        <v>92</v>
      </c>
      <c r="F2951" s="36" t="s">
        <v>93</v>
      </c>
      <c r="G2951" s="36" t="s">
        <v>94</v>
      </c>
      <c r="H2951" s="36" t="s">
        <v>95</v>
      </c>
      <c r="I2951" s="36" t="s">
        <v>96</v>
      </c>
      <c r="J2951" s="36">
        <v>141</v>
      </c>
      <c r="K2951" s="36">
        <v>201.63</v>
      </c>
    </row>
    <row r="2952" spans="1:11" x14ac:dyDescent="0.3">
      <c r="A2952" s="36" t="s">
        <v>97</v>
      </c>
      <c r="B2952" s="36">
        <v>2024</v>
      </c>
      <c r="C2952" s="36" t="s">
        <v>4</v>
      </c>
      <c r="D2952" s="36" t="s">
        <v>103</v>
      </c>
      <c r="E2952" s="36" t="s">
        <v>92</v>
      </c>
      <c r="F2952" s="36" t="s">
        <v>93</v>
      </c>
      <c r="G2952" s="36" t="s">
        <v>94</v>
      </c>
      <c r="H2952" s="36" t="s">
        <v>95</v>
      </c>
      <c r="I2952" s="36" t="s">
        <v>96</v>
      </c>
      <c r="J2952" s="36">
        <v>363</v>
      </c>
      <c r="K2952" s="36">
        <v>519.09</v>
      </c>
    </row>
    <row r="2953" spans="1:11" x14ac:dyDescent="0.3">
      <c r="A2953" s="36" t="s">
        <v>90</v>
      </c>
      <c r="B2953" s="36">
        <v>2024</v>
      </c>
      <c r="C2953" s="36" t="s">
        <v>4</v>
      </c>
      <c r="D2953" s="36" t="s">
        <v>103</v>
      </c>
      <c r="E2953" s="36" t="s">
        <v>92</v>
      </c>
      <c r="F2953" s="36" t="s">
        <v>93</v>
      </c>
      <c r="G2953" s="36" t="s">
        <v>94</v>
      </c>
      <c r="H2953" s="36" t="s">
        <v>95</v>
      </c>
      <c r="I2953" s="36" t="s">
        <v>96</v>
      </c>
      <c r="J2953" s="36">
        <v>761</v>
      </c>
      <c r="K2953" s="36">
        <v>1088.23</v>
      </c>
    </row>
    <row r="2954" spans="1:11" x14ac:dyDescent="0.3">
      <c r="A2954" s="36" t="s">
        <v>99</v>
      </c>
      <c r="B2954" s="36">
        <v>2024</v>
      </c>
      <c r="C2954" s="36" t="s">
        <v>4</v>
      </c>
      <c r="D2954" s="36" t="s">
        <v>103</v>
      </c>
      <c r="E2954" s="36" t="s">
        <v>92</v>
      </c>
      <c r="F2954" s="36" t="s">
        <v>93</v>
      </c>
      <c r="G2954" s="36" t="s">
        <v>94</v>
      </c>
      <c r="H2954" s="36" t="s">
        <v>95</v>
      </c>
      <c r="I2954" s="36" t="s">
        <v>96</v>
      </c>
      <c r="J2954" s="36">
        <v>847</v>
      </c>
      <c r="K2954" s="36">
        <v>1211.21</v>
      </c>
    </row>
    <row r="2955" spans="1:11" x14ac:dyDescent="0.3">
      <c r="A2955" s="36" t="s">
        <v>90</v>
      </c>
      <c r="B2955" s="36">
        <v>2024</v>
      </c>
      <c r="C2955" s="36" t="s">
        <v>4</v>
      </c>
      <c r="D2955" s="36" t="s">
        <v>103</v>
      </c>
      <c r="E2955" s="36" t="s">
        <v>92</v>
      </c>
      <c r="F2955" s="36" t="s">
        <v>93</v>
      </c>
      <c r="G2955" s="36" t="s">
        <v>94</v>
      </c>
      <c r="H2955" s="36" t="s">
        <v>95</v>
      </c>
      <c r="I2955" s="36" t="s">
        <v>96</v>
      </c>
      <c r="J2955" s="36">
        <v>143</v>
      </c>
      <c r="K2955" s="36">
        <v>204.49</v>
      </c>
    </row>
    <row r="2956" spans="1:11" x14ac:dyDescent="0.3">
      <c r="A2956" s="36" t="s">
        <v>99</v>
      </c>
      <c r="B2956" s="36">
        <v>2024</v>
      </c>
      <c r="C2956" s="36" t="s">
        <v>4</v>
      </c>
      <c r="D2956" s="36" t="s">
        <v>103</v>
      </c>
      <c r="E2956" s="36" t="s">
        <v>92</v>
      </c>
      <c r="F2956" s="36" t="s">
        <v>93</v>
      </c>
      <c r="G2956" s="36" t="s">
        <v>94</v>
      </c>
      <c r="H2956" s="36" t="s">
        <v>95</v>
      </c>
      <c r="I2956" s="36" t="s">
        <v>96</v>
      </c>
      <c r="J2956" s="36">
        <v>359</v>
      </c>
      <c r="K2956" s="36">
        <v>513.37</v>
      </c>
    </row>
    <row r="2957" spans="1:11" x14ac:dyDescent="0.3">
      <c r="A2957" s="36" t="s">
        <v>90</v>
      </c>
      <c r="B2957" s="36">
        <v>2024</v>
      </c>
      <c r="C2957" s="36" t="s">
        <v>10</v>
      </c>
      <c r="D2957" s="36" t="s">
        <v>103</v>
      </c>
      <c r="E2957" s="36" t="s">
        <v>92</v>
      </c>
      <c r="F2957" s="36" t="s">
        <v>93</v>
      </c>
      <c r="G2957" s="36" t="s">
        <v>94</v>
      </c>
      <c r="H2957" s="36" t="s">
        <v>95</v>
      </c>
      <c r="I2957" s="36" t="s">
        <v>96</v>
      </c>
      <c r="J2957" s="36">
        <v>356</v>
      </c>
      <c r="K2957" s="36">
        <v>509.08</v>
      </c>
    </row>
    <row r="2958" spans="1:11" x14ac:dyDescent="0.3">
      <c r="A2958" s="36" t="s">
        <v>90</v>
      </c>
      <c r="B2958" s="36">
        <v>2024</v>
      </c>
      <c r="C2958" s="36" t="s">
        <v>10</v>
      </c>
      <c r="D2958" s="36" t="s">
        <v>103</v>
      </c>
      <c r="E2958" s="36" t="s">
        <v>92</v>
      </c>
      <c r="F2958" s="36" t="s">
        <v>93</v>
      </c>
      <c r="G2958" s="36" t="s">
        <v>94</v>
      </c>
      <c r="H2958" s="36" t="s">
        <v>95</v>
      </c>
      <c r="I2958" s="36" t="s">
        <v>96</v>
      </c>
      <c r="J2958" s="36">
        <v>326</v>
      </c>
      <c r="K2958" s="36">
        <v>466.18</v>
      </c>
    </row>
    <row r="2959" spans="1:11" x14ac:dyDescent="0.3">
      <c r="A2959" s="36" t="s">
        <v>99</v>
      </c>
      <c r="B2959" s="36">
        <v>2024</v>
      </c>
      <c r="C2959" s="36" t="s">
        <v>10</v>
      </c>
      <c r="D2959" s="36" t="s">
        <v>103</v>
      </c>
      <c r="E2959" s="36" t="s">
        <v>92</v>
      </c>
      <c r="F2959" s="36" t="s">
        <v>93</v>
      </c>
      <c r="G2959" s="36" t="s">
        <v>94</v>
      </c>
      <c r="H2959" s="36" t="s">
        <v>95</v>
      </c>
      <c r="I2959" s="36" t="s">
        <v>96</v>
      </c>
      <c r="J2959" s="36">
        <v>358</v>
      </c>
      <c r="K2959" s="36">
        <v>526.24</v>
      </c>
    </row>
    <row r="2960" spans="1:11" x14ac:dyDescent="0.3">
      <c r="A2960" s="36" t="s">
        <v>99</v>
      </c>
      <c r="B2960" s="36">
        <v>2024</v>
      </c>
      <c r="C2960" s="36" t="s">
        <v>10</v>
      </c>
      <c r="D2960" s="36" t="s">
        <v>103</v>
      </c>
      <c r="E2960" s="36" t="s">
        <v>92</v>
      </c>
      <c r="F2960" s="36" t="s">
        <v>93</v>
      </c>
      <c r="G2960" s="36" t="s">
        <v>94</v>
      </c>
      <c r="H2960" s="36" t="s">
        <v>95</v>
      </c>
      <c r="I2960" s="36" t="s">
        <v>96</v>
      </c>
      <c r="J2960" s="36">
        <v>328</v>
      </c>
      <c r="K2960" s="36">
        <v>526.24</v>
      </c>
    </row>
    <row r="2961" spans="1:11" x14ac:dyDescent="0.3">
      <c r="A2961" s="36" t="s">
        <v>97</v>
      </c>
      <c r="B2961" s="36">
        <v>2024</v>
      </c>
      <c r="C2961" s="36" t="s">
        <v>10</v>
      </c>
      <c r="D2961" s="36" t="s">
        <v>103</v>
      </c>
      <c r="E2961" s="36" t="s">
        <v>92</v>
      </c>
      <c r="F2961" s="36" t="s">
        <v>93</v>
      </c>
      <c r="G2961" s="36" t="s">
        <v>94</v>
      </c>
      <c r="H2961" s="36" t="s">
        <v>95</v>
      </c>
      <c r="I2961" s="36" t="s">
        <v>96</v>
      </c>
      <c r="J2961" s="36">
        <v>985</v>
      </c>
      <c r="K2961" s="36">
        <v>1408.55</v>
      </c>
    </row>
    <row r="2962" spans="1:11" x14ac:dyDescent="0.3">
      <c r="A2962" s="36" t="s">
        <v>90</v>
      </c>
      <c r="B2962" s="36">
        <v>2024</v>
      </c>
      <c r="C2962" s="36" t="s">
        <v>10</v>
      </c>
      <c r="D2962" s="36" t="s">
        <v>103</v>
      </c>
      <c r="E2962" s="36" t="s">
        <v>92</v>
      </c>
      <c r="F2962" s="36" t="s">
        <v>93</v>
      </c>
      <c r="G2962" s="36" t="s">
        <v>94</v>
      </c>
      <c r="H2962" s="36" t="s">
        <v>95</v>
      </c>
      <c r="I2962" s="36" t="s">
        <v>96</v>
      </c>
      <c r="J2962" s="36">
        <v>330</v>
      </c>
      <c r="K2962" s="36">
        <v>471.9</v>
      </c>
    </row>
    <row r="2963" spans="1:11" x14ac:dyDescent="0.3">
      <c r="A2963" s="36" t="s">
        <v>90</v>
      </c>
      <c r="B2963" s="36">
        <v>2024</v>
      </c>
      <c r="C2963" s="36" t="s">
        <v>10</v>
      </c>
      <c r="D2963" s="36" t="s">
        <v>103</v>
      </c>
      <c r="E2963" s="36" t="s">
        <v>92</v>
      </c>
      <c r="F2963" s="36" t="s">
        <v>93</v>
      </c>
      <c r="G2963" s="36" t="s">
        <v>94</v>
      </c>
      <c r="H2963" s="36" t="s">
        <v>95</v>
      </c>
      <c r="I2963" s="36" t="s">
        <v>96</v>
      </c>
      <c r="J2963" s="36">
        <v>357</v>
      </c>
      <c r="K2963" s="36">
        <v>510.51</v>
      </c>
    </row>
    <row r="2964" spans="1:11" x14ac:dyDescent="0.3">
      <c r="A2964" s="36" t="s">
        <v>97</v>
      </c>
      <c r="B2964" s="36">
        <v>2024</v>
      </c>
      <c r="C2964" s="36" t="s">
        <v>10</v>
      </c>
      <c r="D2964" s="36" t="s">
        <v>103</v>
      </c>
      <c r="E2964" s="36" t="s">
        <v>92</v>
      </c>
      <c r="F2964" s="36" t="s">
        <v>93</v>
      </c>
      <c r="G2964" s="36" t="s">
        <v>94</v>
      </c>
      <c r="H2964" s="36" t="s">
        <v>95</v>
      </c>
      <c r="I2964" s="36" t="s">
        <v>96</v>
      </c>
      <c r="J2964" s="36">
        <v>327</v>
      </c>
      <c r="K2964" s="36">
        <v>467.61</v>
      </c>
    </row>
    <row r="2965" spans="1:11" x14ac:dyDescent="0.3">
      <c r="A2965" s="36" t="s">
        <v>99</v>
      </c>
      <c r="B2965" s="36">
        <v>2024</v>
      </c>
      <c r="C2965" s="36" t="s">
        <v>10</v>
      </c>
      <c r="D2965" s="36" t="s">
        <v>103</v>
      </c>
      <c r="E2965" s="36" t="s">
        <v>92</v>
      </c>
      <c r="F2965" s="36" t="s">
        <v>93</v>
      </c>
      <c r="G2965" s="36" t="s">
        <v>94</v>
      </c>
      <c r="H2965" s="36" t="s">
        <v>95</v>
      </c>
      <c r="I2965" s="36" t="s">
        <v>96</v>
      </c>
      <c r="J2965" s="36">
        <v>766</v>
      </c>
      <c r="K2965" s="36">
        <v>1095.3800000000001</v>
      </c>
    </row>
    <row r="2966" spans="1:11" x14ac:dyDescent="0.3">
      <c r="A2966" s="36" t="s">
        <v>99</v>
      </c>
      <c r="B2966" s="36">
        <v>2024</v>
      </c>
      <c r="C2966" s="36" t="s">
        <v>10</v>
      </c>
      <c r="D2966" s="36" t="s">
        <v>103</v>
      </c>
      <c r="E2966" s="36" t="s">
        <v>92</v>
      </c>
      <c r="F2966" s="36" t="s">
        <v>93</v>
      </c>
      <c r="G2966" s="36" t="s">
        <v>94</v>
      </c>
      <c r="H2966" s="36" t="s">
        <v>95</v>
      </c>
      <c r="I2966" s="36" t="s">
        <v>96</v>
      </c>
      <c r="J2966" s="36">
        <v>852</v>
      </c>
      <c r="K2966" s="36">
        <v>1218.3600000000001</v>
      </c>
    </row>
    <row r="2967" spans="1:11" x14ac:dyDescent="0.3">
      <c r="A2967" s="36" t="s">
        <v>90</v>
      </c>
      <c r="B2967" s="36">
        <v>2024</v>
      </c>
      <c r="C2967" s="36" t="s">
        <v>10</v>
      </c>
      <c r="D2967" s="36" t="s">
        <v>103</v>
      </c>
      <c r="E2967" s="36" t="s">
        <v>92</v>
      </c>
      <c r="F2967" s="36" t="s">
        <v>93</v>
      </c>
      <c r="G2967" s="36" t="s">
        <v>94</v>
      </c>
      <c r="H2967" s="36" t="s">
        <v>95</v>
      </c>
      <c r="I2967" s="36" t="s">
        <v>96</v>
      </c>
      <c r="J2967" s="36">
        <v>353</v>
      </c>
      <c r="K2967" s="36">
        <v>504.78999999999996</v>
      </c>
    </row>
    <row r="2968" spans="1:11" x14ac:dyDescent="0.3">
      <c r="A2968" s="36" t="s">
        <v>90</v>
      </c>
      <c r="B2968" s="36">
        <v>2024</v>
      </c>
      <c r="C2968" s="36" t="s">
        <v>10</v>
      </c>
      <c r="D2968" s="36" t="s">
        <v>103</v>
      </c>
      <c r="E2968" s="36" t="s">
        <v>92</v>
      </c>
      <c r="F2968" s="36" t="s">
        <v>93</v>
      </c>
      <c r="G2968" s="36" t="s">
        <v>94</v>
      </c>
      <c r="H2968" s="36" t="s">
        <v>95</v>
      </c>
      <c r="I2968" s="36" t="s">
        <v>96</v>
      </c>
      <c r="J2968" s="36">
        <v>329</v>
      </c>
      <c r="K2968" s="36">
        <v>470.47</v>
      </c>
    </row>
    <row r="2969" spans="1:11" x14ac:dyDescent="0.3">
      <c r="A2969" s="36" t="s">
        <v>90</v>
      </c>
      <c r="B2969" s="36">
        <v>2024</v>
      </c>
      <c r="C2969" s="36" t="s">
        <v>9</v>
      </c>
      <c r="D2969" s="36" t="s">
        <v>103</v>
      </c>
      <c r="E2969" s="36" t="s">
        <v>92</v>
      </c>
      <c r="F2969" s="36" t="s">
        <v>93</v>
      </c>
      <c r="G2969" s="36" t="s">
        <v>94</v>
      </c>
      <c r="H2969" s="36" t="s">
        <v>95</v>
      </c>
      <c r="I2969" s="36" t="s">
        <v>96</v>
      </c>
      <c r="J2969" s="36">
        <v>362</v>
      </c>
      <c r="K2969" s="36">
        <v>517.66</v>
      </c>
    </row>
    <row r="2970" spans="1:11" x14ac:dyDescent="0.3">
      <c r="A2970" s="36" t="s">
        <v>97</v>
      </c>
      <c r="B2970" s="36">
        <v>2024</v>
      </c>
      <c r="C2970" s="36" t="s">
        <v>9</v>
      </c>
      <c r="D2970" s="36" t="s">
        <v>103</v>
      </c>
      <c r="E2970" s="36" t="s">
        <v>92</v>
      </c>
      <c r="F2970" s="36" t="s">
        <v>93</v>
      </c>
      <c r="G2970" s="36" t="s">
        <v>94</v>
      </c>
      <c r="H2970" s="36" t="s">
        <v>95</v>
      </c>
      <c r="I2970" s="36" t="s">
        <v>96</v>
      </c>
      <c r="J2970" s="36">
        <v>332</v>
      </c>
      <c r="K2970" s="36">
        <v>474.76</v>
      </c>
    </row>
    <row r="2971" spans="1:11" x14ac:dyDescent="0.3">
      <c r="A2971" s="36" t="s">
        <v>97</v>
      </c>
      <c r="B2971" s="36">
        <v>2024</v>
      </c>
      <c r="C2971" s="36" t="s">
        <v>9</v>
      </c>
      <c r="D2971" s="36" t="s">
        <v>103</v>
      </c>
      <c r="E2971" s="36" t="s">
        <v>92</v>
      </c>
      <c r="F2971" s="36" t="s">
        <v>93</v>
      </c>
      <c r="G2971" s="36" t="s">
        <v>94</v>
      </c>
      <c r="H2971" s="36" t="s">
        <v>95</v>
      </c>
      <c r="I2971" s="36" t="s">
        <v>96</v>
      </c>
      <c r="J2971" s="36">
        <v>334</v>
      </c>
      <c r="K2971" s="36">
        <v>526.24</v>
      </c>
    </row>
    <row r="2972" spans="1:11" x14ac:dyDescent="0.3">
      <c r="A2972" s="36" t="s">
        <v>100</v>
      </c>
      <c r="B2972" s="36">
        <v>2024</v>
      </c>
      <c r="C2972" s="36" t="s">
        <v>9</v>
      </c>
      <c r="D2972" s="36" t="s">
        <v>103</v>
      </c>
      <c r="E2972" s="36" t="s">
        <v>92</v>
      </c>
      <c r="F2972" s="36" t="s">
        <v>93</v>
      </c>
      <c r="G2972" s="36" t="s">
        <v>94</v>
      </c>
      <c r="H2972" s="36" t="s">
        <v>95</v>
      </c>
      <c r="I2972" s="36" t="s">
        <v>96</v>
      </c>
      <c r="J2972" s="36">
        <v>984</v>
      </c>
      <c r="K2972" s="36">
        <v>1407.12</v>
      </c>
    </row>
    <row r="2973" spans="1:11" x14ac:dyDescent="0.3">
      <c r="A2973" s="36" t="s">
        <v>99</v>
      </c>
      <c r="B2973" s="36">
        <v>2024</v>
      </c>
      <c r="C2973" s="36" t="s">
        <v>9</v>
      </c>
      <c r="D2973" s="36" t="s">
        <v>103</v>
      </c>
      <c r="E2973" s="36" t="s">
        <v>92</v>
      </c>
      <c r="F2973" s="36" t="s">
        <v>93</v>
      </c>
      <c r="G2973" s="36" t="s">
        <v>94</v>
      </c>
      <c r="H2973" s="36" t="s">
        <v>95</v>
      </c>
      <c r="I2973" s="36" t="s">
        <v>96</v>
      </c>
      <c r="J2973" s="36">
        <v>336</v>
      </c>
      <c r="K2973" s="36">
        <v>480.48</v>
      </c>
    </row>
    <row r="2974" spans="1:11" x14ac:dyDescent="0.3">
      <c r="A2974" s="36" t="s">
        <v>99</v>
      </c>
      <c r="B2974" s="36">
        <v>2024</v>
      </c>
      <c r="C2974" s="36" t="s">
        <v>9</v>
      </c>
      <c r="D2974" s="36" t="s">
        <v>103</v>
      </c>
      <c r="E2974" s="36" t="s">
        <v>92</v>
      </c>
      <c r="F2974" s="36" t="s">
        <v>93</v>
      </c>
      <c r="G2974" s="36" t="s">
        <v>94</v>
      </c>
      <c r="H2974" s="36" t="s">
        <v>95</v>
      </c>
      <c r="I2974" s="36" t="s">
        <v>96</v>
      </c>
      <c r="J2974" s="36">
        <v>363</v>
      </c>
      <c r="K2974" s="36">
        <v>519.09</v>
      </c>
    </row>
    <row r="2975" spans="1:11" x14ac:dyDescent="0.3">
      <c r="A2975" s="36" t="s">
        <v>100</v>
      </c>
      <c r="B2975" s="36">
        <v>2024</v>
      </c>
      <c r="C2975" s="36" t="s">
        <v>9</v>
      </c>
      <c r="D2975" s="36" t="s">
        <v>103</v>
      </c>
      <c r="E2975" s="36" t="s">
        <v>92</v>
      </c>
      <c r="F2975" s="36" t="s">
        <v>93</v>
      </c>
      <c r="G2975" s="36" t="s">
        <v>94</v>
      </c>
      <c r="H2975" s="36" t="s">
        <v>95</v>
      </c>
      <c r="I2975" s="36" t="s">
        <v>96</v>
      </c>
      <c r="J2975" s="36">
        <v>333</v>
      </c>
      <c r="K2975" s="36">
        <v>476.19</v>
      </c>
    </row>
    <row r="2976" spans="1:11" x14ac:dyDescent="0.3">
      <c r="A2976" s="36" t="s">
        <v>97</v>
      </c>
      <c r="B2976" s="36">
        <v>2024</v>
      </c>
      <c r="C2976" s="36" t="s">
        <v>9</v>
      </c>
      <c r="D2976" s="36" t="s">
        <v>103</v>
      </c>
      <c r="E2976" s="36" t="s">
        <v>92</v>
      </c>
      <c r="F2976" s="36" t="s">
        <v>93</v>
      </c>
      <c r="G2976" s="36" t="s">
        <v>94</v>
      </c>
      <c r="H2976" s="36" t="s">
        <v>95</v>
      </c>
      <c r="I2976" s="36" t="s">
        <v>96</v>
      </c>
      <c r="J2976" s="36">
        <v>765</v>
      </c>
      <c r="K2976" s="36">
        <v>1093.95</v>
      </c>
    </row>
    <row r="2977" spans="1:11" x14ac:dyDescent="0.3">
      <c r="A2977" s="36" t="s">
        <v>97</v>
      </c>
      <c r="B2977" s="36">
        <v>2024</v>
      </c>
      <c r="C2977" s="36" t="s">
        <v>9</v>
      </c>
      <c r="D2977" s="36" t="s">
        <v>103</v>
      </c>
      <c r="E2977" s="36" t="s">
        <v>92</v>
      </c>
      <c r="F2977" s="36" t="s">
        <v>93</v>
      </c>
      <c r="G2977" s="36" t="s">
        <v>94</v>
      </c>
      <c r="H2977" s="36" t="s">
        <v>95</v>
      </c>
      <c r="I2977" s="36" t="s">
        <v>96</v>
      </c>
      <c r="J2977" s="36">
        <v>359</v>
      </c>
      <c r="K2977" s="36">
        <v>513.37</v>
      </c>
    </row>
    <row r="2978" spans="1:11" x14ac:dyDescent="0.3">
      <c r="A2978" s="36" t="s">
        <v>90</v>
      </c>
      <c r="B2978" s="36">
        <v>2024</v>
      </c>
      <c r="C2978" s="36" t="s">
        <v>9</v>
      </c>
      <c r="D2978" s="36" t="s">
        <v>103</v>
      </c>
      <c r="E2978" s="36" t="s">
        <v>92</v>
      </c>
      <c r="F2978" s="36" t="s">
        <v>93</v>
      </c>
      <c r="G2978" s="36" t="s">
        <v>94</v>
      </c>
      <c r="H2978" s="36" t="s">
        <v>95</v>
      </c>
      <c r="I2978" s="36" t="s">
        <v>96</v>
      </c>
      <c r="J2978" s="36">
        <v>335</v>
      </c>
      <c r="K2978" s="36">
        <v>479.05</v>
      </c>
    </row>
    <row r="2979" spans="1:11" x14ac:dyDescent="0.3">
      <c r="A2979" s="36" t="s">
        <v>90</v>
      </c>
      <c r="B2979" s="36">
        <v>2024</v>
      </c>
      <c r="C2979" s="36" t="s">
        <v>8</v>
      </c>
      <c r="D2979" s="36" t="s">
        <v>103</v>
      </c>
      <c r="E2979" s="36" t="s">
        <v>92</v>
      </c>
      <c r="F2979" s="36" t="s">
        <v>93</v>
      </c>
      <c r="G2979" s="36" t="s">
        <v>94</v>
      </c>
      <c r="H2979" s="36" t="s">
        <v>95</v>
      </c>
      <c r="I2979" s="36" t="s">
        <v>96</v>
      </c>
      <c r="J2979" s="36">
        <v>368</v>
      </c>
      <c r="K2979" s="36">
        <v>526.24</v>
      </c>
    </row>
    <row r="2980" spans="1:11" x14ac:dyDescent="0.3">
      <c r="A2980" s="36" t="s">
        <v>97</v>
      </c>
      <c r="B2980" s="36">
        <v>2024</v>
      </c>
      <c r="C2980" s="36" t="s">
        <v>8</v>
      </c>
      <c r="D2980" s="36" t="s">
        <v>103</v>
      </c>
      <c r="E2980" s="36" t="s">
        <v>92</v>
      </c>
      <c r="F2980" s="36" t="s">
        <v>93</v>
      </c>
      <c r="G2980" s="36" t="s">
        <v>94</v>
      </c>
      <c r="H2980" s="36" t="s">
        <v>95</v>
      </c>
      <c r="I2980" s="36" t="s">
        <v>96</v>
      </c>
      <c r="J2980" s="36">
        <v>338</v>
      </c>
      <c r="K2980" s="36">
        <v>483.34000000000003</v>
      </c>
    </row>
    <row r="2981" spans="1:11" x14ac:dyDescent="0.3">
      <c r="A2981" s="36" t="s">
        <v>99</v>
      </c>
      <c r="B2981" s="36">
        <v>2024</v>
      </c>
      <c r="C2981" s="36" t="s">
        <v>8</v>
      </c>
      <c r="D2981" s="36" t="s">
        <v>103</v>
      </c>
      <c r="E2981" s="36" t="s">
        <v>92</v>
      </c>
      <c r="F2981" s="36" t="s">
        <v>93</v>
      </c>
      <c r="G2981" s="36" t="s">
        <v>94</v>
      </c>
      <c r="H2981" s="36" t="s">
        <v>95</v>
      </c>
      <c r="I2981" s="36" t="s">
        <v>96</v>
      </c>
      <c r="J2981" s="36">
        <v>364</v>
      </c>
      <c r="K2981" s="36">
        <v>526.24</v>
      </c>
    </row>
    <row r="2982" spans="1:11" x14ac:dyDescent="0.3">
      <c r="A2982" s="36" t="s">
        <v>90</v>
      </c>
      <c r="B2982" s="36">
        <v>2024</v>
      </c>
      <c r="C2982" s="36" t="s">
        <v>8</v>
      </c>
      <c r="D2982" s="36" t="s">
        <v>103</v>
      </c>
      <c r="E2982" s="36" t="s">
        <v>92</v>
      </c>
      <c r="F2982" s="36" t="s">
        <v>93</v>
      </c>
      <c r="G2982" s="36" t="s">
        <v>94</v>
      </c>
      <c r="H2982" s="36" t="s">
        <v>95</v>
      </c>
      <c r="I2982" s="36" t="s">
        <v>96</v>
      </c>
      <c r="J2982" s="36">
        <v>340</v>
      </c>
      <c r="K2982" s="36">
        <v>526.24</v>
      </c>
    </row>
    <row r="2983" spans="1:11" x14ac:dyDescent="0.3">
      <c r="A2983" s="36" t="s">
        <v>90</v>
      </c>
      <c r="B2983" s="36">
        <v>2024</v>
      </c>
      <c r="C2983" s="36" t="s">
        <v>8</v>
      </c>
      <c r="D2983" s="36" t="s">
        <v>103</v>
      </c>
      <c r="E2983" s="36" t="s">
        <v>92</v>
      </c>
      <c r="F2983" s="36" t="s">
        <v>93</v>
      </c>
      <c r="G2983" s="36" t="s">
        <v>94</v>
      </c>
      <c r="H2983" s="36" t="s">
        <v>95</v>
      </c>
      <c r="I2983" s="36" t="s">
        <v>96</v>
      </c>
      <c r="J2983" s="36">
        <v>983</v>
      </c>
      <c r="K2983" s="36">
        <v>1405.69</v>
      </c>
    </row>
    <row r="2984" spans="1:11" x14ac:dyDescent="0.3">
      <c r="A2984" s="36" t="s">
        <v>90</v>
      </c>
      <c r="B2984" s="36">
        <v>2024</v>
      </c>
      <c r="C2984" s="36" t="s">
        <v>8</v>
      </c>
      <c r="D2984" s="36" t="s">
        <v>103</v>
      </c>
      <c r="E2984" s="36" t="s">
        <v>92</v>
      </c>
      <c r="F2984" s="36" t="s">
        <v>93</v>
      </c>
      <c r="G2984" s="36" t="s">
        <v>94</v>
      </c>
      <c r="H2984" s="36" t="s">
        <v>95</v>
      </c>
      <c r="I2984" s="36" t="s">
        <v>96</v>
      </c>
      <c r="J2984" s="36">
        <v>339</v>
      </c>
      <c r="K2984" s="36">
        <v>484.77</v>
      </c>
    </row>
    <row r="2985" spans="1:11" x14ac:dyDescent="0.3">
      <c r="A2985" s="36" t="s">
        <v>90</v>
      </c>
      <c r="B2985" s="36">
        <v>2024</v>
      </c>
      <c r="C2985" s="36" t="s">
        <v>8</v>
      </c>
      <c r="D2985" s="36" t="s">
        <v>103</v>
      </c>
      <c r="E2985" s="36" t="s">
        <v>92</v>
      </c>
      <c r="F2985" s="36" t="s">
        <v>93</v>
      </c>
      <c r="G2985" s="36" t="s">
        <v>94</v>
      </c>
      <c r="H2985" s="36" t="s">
        <v>95</v>
      </c>
      <c r="I2985" s="36" t="s">
        <v>96</v>
      </c>
      <c r="J2985" s="36">
        <v>764</v>
      </c>
      <c r="K2985" s="36">
        <v>1092.52</v>
      </c>
    </row>
    <row r="2986" spans="1:11" x14ac:dyDescent="0.3">
      <c r="A2986" s="36" t="s">
        <v>99</v>
      </c>
      <c r="B2986" s="36">
        <v>2024</v>
      </c>
      <c r="C2986" s="36" t="s">
        <v>8</v>
      </c>
      <c r="D2986" s="36" t="s">
        <v>103</v>
      </c>
      <c r="E2986" s="36" t="s">
        <v>92</v>
      </c>
      <c r="F2986" s="36" t="s">
        <v>93</v>
      </c>
      <c r="G2986" s="36" t="s">
        <v>94</v>
      </c>
      <c r="H2986" s="36" t="s">
        <v>95</v>
      </c>
      <c r="I2986" s="36" t="s">
        <v>96</v>
      </c>
      <c r="J2986" s="36">
        <v>851</v>
      </c>
      <c r="K2986" s="36">
        <v>1216.93</v>
      </c>
    </row>
    <row r="2987" spans="1:11" x14ac:dyDescent="0.3">
      <c r="A2987" s="36" t="s">
        <v>97</v>
      </c>
      <c r="B2987" s="36">
        <v>2024</v>
      </c>
      <c r="C2987" s="36" t="s">
        <v>8</v>
      </c>
      <c r="D2987" s="36" t="s">
        <v>103</v>
      </c>
      <c r="E2987" s="36" t="s">
        <v>92</v>
      </c>
      <c r="F2987" s="36" t="s">
        <v>93</v>
      </c>
      <c r="G2987" s="36" t="s">
        <v>94</v>
      </c>
      <c r="H2987" s="36" t="s">
        <v>95</v>
      </c>
      <c r="I2987" s="36" t="s">
        <v>96</v>
      </c>
      <c r="J2987" s="36">
        <v>365</v>
      </c>
      <c r="K2987" s="36">
        <v>521.95000000000005</v>
      </c>
    </row>
    <row r="2988" spans="1:11" x14ac:dyDescent="0.3">
      <c r="A2988" s="36" t="s">
        <v>90</v>
      </c>
      <c r="B2988" s="36">
        <v>2024</v>
      </c>
      <c r="C2988" s="36" t="s">
        <v>8</v>
      </c>
      <c r="D2988" s="36" t="s">
        <v>103</v>
      </c>
      <c r="E2988" s="36" t="s">
        <v>92</v>
      </c>
      <c r="F2988" s="36" t="s">
        <v>93</v>
      </c>
      <c r="G2988" s="36" t="s">
        <v>94</v>
      </c>
      <c r="H2988" s="36" t="s">
        <v>95</v>
      </c>
      <c r="I2988" s="36" t="s">
        <v>96</v>
      </c>
      <c r="J2988" s="36">
        <v>341</v>
      </c>
      <c r="K2988" s="36">
        <v>487.63</v>
      </c>
    </row>
    <row r="2989" spans="1:11" x14ac:dyDescent="0.3">
      <c r="A2989" s="36" t="s">
        <v>90</v>
      </c>
      <c r="B2989" s="36">
        <v>2024</v>
      </c>
      <c r="C2989" s="36" t="s">
        <v>3</v>
      </c>
      <c r="D2989" s="36" t="s">
        <v>103</v>
      </c>
      <c r="E2989" s="36" t="s">
        <v>105</v>
      </c>
      <c r="F2989" s="36" t="s">
        <v>106</v>
      </c>
      <c r="G2989" s="36" t="s">
        <v>102</v>
      </c>
      <c r="H2989" s="36" t="s">
        <v>104</v>
      </c>
      <c r="I2989" s="36" t="s">
        <v>107</v>
      </c>
      <c r="J2989" s="36">
        <v>224</v>
      </c>
      <c r="K2989" s="36">
        <v>320.32</v>
      </c>
    </row>
    <row r="2990" spans="1:11" x14ac:dyDescent="0.3">
      <c r="A2990" s="36" t="s">
        <v>90</v>
      </c>
      <c r="B2990" s="36">
        <v>2024</v>
      </c>
      <c r="C2990" s="36" t="s">
        <v>3</v>
      </c>
      <c r="D2990" s="36" t="s">
        <v>103</v>
      </c>
      <c r="E2990" s="36" t="s">
        <v>105</v>
      </c>
      <c r="F2990" s="36" t="s">
        <v>106</v>
      </c>
      <c r="G2990" s="36" t="s">
        <v>102</v>
      </c>
      <c r="H2990" s="36" t="s">
        <v>104</v>
      </c>
      <c r="I2990" s="36" t="s">
        <v>107</v>
      </c>
      <c r="J2990" s="36">
        <v>226</v>
      </c>
      <c r="K2990" s="36">
        <v>323.18</v>
      </c>
    </row>
    <row r="2991" spans="1:11" x14ac:dyDescent="0.3">
      <c r="A2991" s="36" t="s">
        <v>97</v>
      </c>
      <c r="B2991" s="36">
        <v>2024</v>
      </c>
      <c r="C2991" s="36" t="s">
        <v>3</v>
      </c>
      <c r="D2991" s="36" t="s">
        <v>103</v>
      </c>
      <c r="E2991" s="36" t="s">
        <v>105</v>
      </c>
      <c r="F2991" s="36" t="s">
        <v>106</v>
      </c>
      <c r="G2991" s="36" t="s">
        <v>102</v>
      </c>
      <c r="H2991" s="36" t="s">
        <v>104</v>
      </c>
      <c r="I2991" s="36" t="s">
        <v>107</v>
      </c>
      <c r="J2991" s="36">
        <v>196</v>
      </c>
      <c r="K2991" s="36">
        <v>280.27999999999997</v>
      </c>
    </row>
    <row r="2992" spans="1:11" x14ac:dyDescent="0.3">
      <c r="A2992" s="36" t="s">
        <v>97</v>
      </c>
      <c r="B2992" s="36">
        <v>2024</v>
      </c>
      <c r="C2992" s="36" t="s">
        <v>3</v>
      </c>
      <c r="D2992" s="36" t="s">
        <v>103</v>
      </c>
      <c r="E2992" s="36" t="s">
        <v>105</v>
      </c>
      <c r="F2992" s="36" t="s">
        <v>106</v>
      </c>
      <c r="G2992" s="36" t="s">
        <v>102</v>
      </c>
      <c r="H2992" s="36" t="s">
        <v>104</v>
      </c>
      <c r="I2992" s="36" t="s">
        <v>107</v>
      </c>
      <c r="J2992" s="36">
        <v>802</v>
      </c>
      <c r="K2992" s="36">
        <v>1146.8600000000001</v>
      </c>
    </row>
    <row r="2993" spans="1:11" x14ac:dyDescent="0.3">
      <c r="A2993" s="36" t="s">
        <v>101</v>
      </c>
      <c r="B2993" s="36">
        <v>2024</v>
      </c>
      <c r="C2993" s="36" t="s">
        <v>3</v>
      </c>
      <c r="D2993" s="36" t="s">
        <v>103</v>
      </c>
      <c r="E2993" s="36" t="s">
        <v>105</v>
      </c>
      <c r="F2993" s="36" t="s">
        <v>106</v>
      </c>
      <c r="G2993" s="36" t="s">
        <v>102</v>
      </c>
      <c r="H2993" s="36" t="s">
        <v>104</v>
      </c>
      <c r="I2993" s="36" t="s">
        <v>107</v>
      </c>
      <c r="J2993" s="36">
        <v>888</v>
      </c>
      <c r="K2993" s="36">
        <v>1269.8399999999999</v>
      </c>
    </row>
    <row r="2994" spans="1:11" x14ac:dyDescent="0.3">
      <c r="A2994" s="36" t="s">
        <v>101</v>
      </c>
      <c r="B2994" s="36">
        <v>2024</v>
      </c>
      <c r="C2994" s="36" t="s">
        <v>3</v>
      </c>
      <c r="D2994" s="36" t="s">
        <v>103</v>
      </c>
      <c r="E2994" s="36" t="s">
        <v>105</v>
      </c>
      <c r="F2994" s="36" t="s">
        <v>106</v>
      </c>
      <c r="G2994" s="36" t="s">
        <v>102</v>
      </c>
      <c r="H2994" s="36" t="s">
        <v>104</v>
      </c>
      <c r="I2994" s="36" t="s">
        <v>107</v>
      </c>
      <c r="J2994" s="36">
        <v>841</v>
      </c>
      <c r="K2994" s="36">
        <v>526.24</v>
      </c>
    </row>
    <row r="2995" spans="1:11" x14ac:dyDescent="0.3">
      <c r="A2995" s="36" t="s">
        <v>97</v>
      </c>
      <c r="B2995" s="36">
        <v>2024</v>
      </c>
      <c r="C2995" s="36" t="s">
        <v>3</v>
      </c>
      <c r="D2995" s="36" t="s">
        <v>103</v>
      </c>
      <c r="E2995" s="36" t="s">
        <v>105</v>
      </c>
      <c r="F2995" s="36" t="s">
        <v>106</v>
      </c>
      <c r="G2995" s="36" t="s">
        <v>102</v>
      </c>
      <c r="H2995" s="36" t="s">
        <v>104</v>
      </c>
      <c r="I2995" s="36" t="s">
        <v>107</v>
      </c>
      <c r="J2995" s="36">
        <v>195</v>
      </c>
      <c r="K2995" s="36">
        <v>278.85000000000002</v>
      </c>
    </row>
    <row r="2996" spans="1:11" x14ac:dyDescent="0.3">
      <c r="A2996" s="36" t="s">
        <v>97</v>
      </c>
      <c r="B2996" s="36">
        <v>2024</v>
      </c>
      <c r="C2996" s="36" t="s">
        <v>3</v>
      </c>
      <c r="D2996" s="36" t="s">
        <v>103</v>
      </c>
      <c r="E2996" s="36" t="s">
        <v>105</v>
      </c>
      <c r="F2996" s="36" t="s">
        <v>106</v>
      </c>
      <c r="G2996" s="36" t="s">
        <v>102</v>
      </c>
      <c r="H2996" s="36" t="s">
        <v>104</v>
      </c>
      <c r="I2996" s="36" t="s">
        <v>107</v>
      </c>
      <c r="J2996" s="36">
        <v>223</v>
      </c>
      <c r="K2996" s="36">
        <v>318.89</v>
      </c>
    </row>
    <row r="2997" spans="1:11" x14ac:dyDescent="0.3">
      <c r="A2997" s="36" t="s">
        <v>90</v>
      </c>
      <c r="B2997" s="36">
        <v>2024</v>
      </c>
      <c r="C2997" s="36" t="s">
        <v>3</v>
      </c>
      <c r="D2997" s="36" t="s">
        <v>103</v>
      </c>
      <c r="E2997" s="36" t="s">
        <v>105</v>
      </c>
      <c r="F2997" s="36" t="s">
        <v>106</v>
      </c>
      <c r="G2997" s="36" t="s">
        <v>102</v>
      </c>
      <c r="H2997" s="36" t="s">
        <v>104</v>
      </c>
      <c r="I2997" s="36" t="s">
        <v>107</v>
      </c>
      <c r="J2997" s="36">
        <v>199</v>
      </c>
      <c r="K2997" s="36">
        <v>284.57</v>
      </c>
    </row>
    <row r="2998" spans="1:11" x14ac:dyDescent="0.3">
      <c r="A2998" s="36" t="s">
        <v>90</v>
      </c>
      <c r="B2998" s="36">
        <v>2024</v>
      </c>
      <c r="C2998" s="36" t="s">
        <v>3</v>
      </c>
      <c r="D2998" s="36" t="s">
        <v>103</v>
      </c>
      <c r="E2998" s="36" t="s">
        <v>105</v>
      </c>
      <c r="F2998" s="36" t="s">
        <v>106</v>
      </c>
      <c r="G2998" s="36" t="s">
        <v>102</v>
      </c>
      <c r="H2998" s="36" t="s">
        <v>104</v>
      </c>
      <c r="I2998" s="36" t="s">
        <v>107</v>
      </c>
      <c r="J2998" s="36">
        <v>197</v>
      </c>
      <c r="K2998" s="36">
        <v>281.70999999999998</v>
      </c>
    </row>
    <row r="2999" spans="1:11" x14ac:dyDescent="0.3">
      <c r="A2999" s="36" t="s">
        <v>97</v>
      </c>
      <c r="B2999" s="36">
        <v>2024</v>
      </c>
      <c r="C2999" s="36" t="s">
        <v>7</v>
      </c>
      <c r="D2999" s="36" t="s">
        <v>103</v>
      </c>
      <c r="E2999" s="36" t="s">
        <v>105</v>
      </c>
      <c r="F2999" s="36" t="s">
        <v>106</v>
      </c>
      <c r="G2999" s="36" t="s">
        <v>102</v>
      </c>
      <c r="H2999" s="36" t="s">
        <v>104</v>
      </c>
      <c r="I2999" s="36" t="s">
        <v>107</v>
      </c>
      <c r="J2999" s="36">
        <v>176</v>
      </c>
      <c r="K2999" s="36">
        <v>251.68</v>
      </c>
    </row>
    <row r="3000" spans="1:11" x14ac:dyDescent="0.3">
      <c r="A3000" s="36" t="s">
        <v>90</v>
      </c>
      <c r="B3000" s="36">
        <v>2024</v>
      </c>
      <c r="C3000" s="36" t="s">
        <v>7</v>
      </c>
      <c r="D3000" s="36" t="s">
        <v>103</v>
      </c>
      <c r="E3000" s="36" t="s">
        <v>105</v>
      </c>
      <c r="F3000" s="36" t="s">
        <v>106</v>
      </c>
      <c r="G3000" s="36" t="s">
        <v>102</v>
      </c>
      <c r="H3000" s="36" t="s">
        <v>104</v>
      </c>
      <c r="I3000" s="36" t="s">
        <v>107</v>
      </c>
      <c r="J3000" s="36">
        <v>202</v>
      </c>
      <c r="K3000" s="36">
        <v>288.86</v>
      </c>
    </row>
    <row r="3001" spans="1:11" x14ac:dyDescent="0.3">
      <c r="A3001" s="36" t="s">
        <v>97</v>
      </c>
      <c r="B3001" s="36">
        <v>2024</v>
      </c>
      <c r="C3001" s="36" t="s">
        <v>7</v>
      </c>
      <c r="D3001" s="36" t="s">
        <v>103</v>
      </c>
      <c r="E3001" s="36" t="s">
        <v>105</v>
      </c>
      <c r="F3001" s="36" t="s">
        <v>106</v>
      </c>
      <c r="G3001" s="36" t="s">
        <v>102</v>
      </c>
      <c r="H3001" s="36" t="s">
        <v>104</v>
      </c>
      <c r="I3001" s="36" t="s">
        <v>107</v>
      </c>
      <c r="J3001" s="36">
        <v>178</v>
      </c>
      <c r="K3001" s="36">
        <v>254.54</v>
      </c>
    </row>
    <row r="3002" spans="1:11" x14ac:dyDescent="0.3">
      <c r="A3002" s="36" t="s">
        <v>99</v>
      </c>
      <c r="B3002" s="36">
        <v>2024</v>
      </c>
      <c r="C3002" s="36" t="s">
        <v>7</v>
      </c>
      <c r="D3002" s="36" t="s">
        <v>103</v>
      </c>
      <c r="E3002" s="36" t="s">
        <v>105</v>
      </c>
      <c r="F3002" s="36" t="s">
        <v>106</v>
      </c>
      <c r="G3002" s="36" t="s">
        <v>102</v>
      </c>
      <c r="H3002" s="36" t="s">
        <v>104</v>
      </c>
      <c r="I3002" s="36" t="s">
        <v>107</v>
      </c>
      <c r="J3002" s="36">
        <v>805</v>
      </c>
      <c r="K3002" s="36">
        <v>1151.1500000000001</v>
      </c>
    </row>
    <row r="3003" spans="1:11" x14ac:dyDescent="0.3">
      <c r="A3003" s="36" t="s">
        <v>100</v>
      </c>
      <c r="B3003" s="36">
        <v>2024</v>
      </c>
      <c r="C3003" s="36" t="s">
        <v>7</v>
      </c>
      <c r="D3003" s="36" t="s">
        <v>103</v>
      </c>
      <c r="E3003" s="36" t="s">
        <v>105</v>
      </c>
      <c r="F3003" s="36" t="s">
        <v>106</v>
      </c>
      <c r="G3003" s="36" t="s">
        <v>102</v>
      </c>
      <c r="H3003" s="36" t="s">
        <v>104</v>
      </c>
      <c r="I3003" s="36" t="s">
        <v>107</v>
      </c>
      <c r="J3003" s="36">
        <v>892</v>
      </c>
      <c r="K3003" s="36">
        <v>1275.56</v>
      </c>
    </row>
    <row r="3004" spans="1:11" x14ac:dyDescent="0.3">
      <c r="A3004" s="36" t="s">
        <v>100</v>
      </c>
      <c r="B3004" s="36">
        <v>2024</v>
      </c>
      <c r="C3004" s="36" t="s">
        <v>7</v>
      </c>
      <c r="D3004" s="36" t="s">
        <v>103</v>
      </c>
      <c r="E3004" s="36" t="s">
        <v>105</v>
      </c>
      <c r="F3004" s="36" t="s">
        <v>106</v>
      </c>
      <c r="G3004" s="36" t="s">
        <v>102</v>
      </c>
      <c r="H3004" s="36" t="s">
        <v>104</v>
      </c>
      <c r="I3004" s="36" t="s">
        <v>107</v>
      </c>
      <c r="J3004" s="36">
        <v>845</v>
      </c>
      <c r="K3004" s="36">
        <v>526.24</v>
      </c>
    </row>
    <row r="3005" spans="1:11" x14ac:dyDescent="0.3">
      <c r="A3005" s="36" t="s">
        <v>99</v>
      </c>
      <c r="B3005" s="36">
        <v>2024</v>
      </c>
      <c r="C3005" s="36" t="s">
        <v>7</v>
      </c>
      <c r="D3005" s="36" t="s">
        <v>103</v>
      </c>
      <c r="E3005" s="36" t="s">
        <v>105</v>
      </c>
      <c r="F3005" s="36" t="s">
        <v>106</v>
      </c>
      <c r="G3005" s="36" t="s">
        <v>102</v>
      </c>
      <c r="H3005" s="36" t="s">
        <v>104</v>
      </c>
      <c r="I3005" s="36" t="s">
        <v>107</v>
      </c>
      <c r="J3005" s="36">
        <v>177</v>
      </c>
      <c r="K3005" s="36">
        <v>253.11</v>
      </c>
    </row>
    <row r="3006" spans="1:11" x14ac:dyDescent="0.3">
      <c r="A3006" s="36" t="s">
        <v>97</v>
      </c>
      <c r="B3006" s="36">
        <v>2024</v>
      </c>
      <c r="C3006" s="36" t="s">
        <v>7</v>
      </c>
      <c r="D3006" s="36" t="s">
        <v>103</v>
      </c>
      <c r="E3006" s="36" t="s">
        <v>105</v>
      </c>
      <c r="F3006" s="36" t="s">
        <v>106</v>
      </c>
      <c r="G3006" s="36" t="s">
        <v>102</v>
      </c>
      <c r="H3006" s="36" t="s">
        <v>104</v>
      </c>
      <c r="I3006" s="36" t="s">
        <v>107</v>
      </c>
      <c r="J3006" s="36">
        <v>205</v>
      </c>
      <c r="K3006" s="36">
        <v>293.14999999999998</v>
      </c>
    </row>
    <row r="3007" spans="1:11" x14ac:dyDescent="0.3">
      <c r="A3007" s="36" t="s">
        <v>90</v>
      </c>
      <c r="B3007" s="36">
        <v>2024</v>
      </c>
      <c r="C3007" s="36" t="s">
        <v>7</v>
      </c>
      <c r="D3007" s="36" t="s">
        <v>103</v>
      </c>
      <c r="E3007" s="36" t="s">
        <v>105</v>
      </c>
      <c r="F3007" s="36" t="s">
        <v>106</v>
      </c>
      <c r="G3007" s="36" t="s">
        <v>102</v>
      </c>
      <c r="H3007" s="36" t="s">
        <v>104</v>
      </c>
      <c r="I3007" s="36" t="s">
        <v>107</v>
      </c>
      <c r="J3007" s="36">
        <v>175</v>
      </c>
      <c r="K3007" s="36">
        <v>250.25</v>
      </c>
    </row>
    <row r="3008" spans="1:11" x14ac:dyDescent="0.3">
      <c r="A3008" s="36" t="s">
        <v>97</v>
      </c>
      <c r="B3008" s="36">
        <v>2024</v>
      </c>
      <c r="C3008" s="36" t="s">
        <v>7</v>
      </c>
      <c r="D3008" s="36" t="s">
        <v>103</v>
      </c>
      <c r="E3008" s="36" t="s">
        <v>105</v>
      </c>
      <c r="F3008" s="36" t="s">
        <v>106</v>
      </c>
      <c r="G3008" s="36" t="s">
        <v>102</v>
      </c>
      <c r="H3008" s="36" t="s">
        <v>104</v>
      </c>
      <c r="I3008" s="36" t="s">
        <v>107</v>
      </c>
      <c r="J3008" s="36">
        <v>814</v>
      </c>
      <c r="K3008" s="36">
        <v>1164.02</v>
      </c>
    </row>
    <row r="3009" spans="1:11" x14ac:dyDescent="0.3">
      <c r="A3009" s="36" t="s">
        <v>101</v>
      </c>
      <c r="B3009" s="36">
        <v>2024</v>
      </c>
      <c r="C3009" s="36" t="s">
        <v>11</v>
      </c>
      <c r="D3009" s="36" t="s">
        <v>103</v>
      </c>
      <c r="E3009" s="36" t="s">
        <v>105</v>
      </c>
      <c r="F3009" s="36" t="s">
        <v>106</v>
      </c>
      <c r="G3009" s="36" t="s">
        <v>102</v>
      </c>
      <c r="H3009" s="36" t="s">
        <v>104</v>
      </c>
      <c r="I3009" s="36" t="s">
        <v>107</v>
      </c>
      <c r="J3009" s="36">
        <v>182</v>
      </c>
      <c r="K3009" s="36">
        <v>260.26</v>
      </c>
    </row>
    <row r="3010" spans="1:11" x14ac:dyDescent="0.3">
      <c r="A3010" s="36" t="s">
        <v>99</v>
      </c>
      <c r="B3010" s="36">
        <v>2024</v>
      </c>
      <c r="C3010" s="36" t="s">
        <v>11</v>
      </c>
      <c r="D3010" s="36" t="s">
        <v>103</v>
      </c>
      <c r="E3010" s="36" t="s">
        <v>105</v>
      </c>
      <c r="F3010" s="36" t="s">
        <v>106</v>
      </c>
      <c r="G3010" s="36" t="s">
        <v>102</v>
      </c>
      <c r="H3010" s="36" t="s">
        <v>104</v>
      </c>
      <c r="I3010" s="36" t="s">
        <v>107</v>
      </c>
      <c r="J3010" s="36">
        <v>152</v>
      </c>
      <c r="K3010" s="36">
        <v>217.36</v>
      </c>
    </row>
    <row r="3011" spans="1:11" x14ac:dyDescent="0.3">
      <c r="A3011" s="36" t="s">
        <v>90</v>
      </c>
      <c r="B3011" s="36">
        <v>2024</v>
      </c>
      <c r="C3011" s="36" t="s">
        <v>11</v>
      </c>
      <c r="D3011" s="36" t="s">
        <v>103</v>
      </c>
      <c r="E3011" s="36" t="s">
        <v>105</v>
      </c>
      <c r="F3011" s="36" t="s">
        <v>106</v>
      </c>
      <c r="G3011" s="36" t="s">
        <v>102</v>
      </c>
      <c r="H3011" s="36" t="s">
        <v>104</v>
      </c>
      <c r="I3011" s="36" t="s">
        <v>107</v>
      </c>
      <c r="J3011" s="36">
        <v>184</v>
      </c>
      <c r="K3011" s="36">
        <v>263.12</v>
      </c>
    </row>
    <row r="3012" spans="1:11" x14ac:dyDescent="0.3">
      <c r="A3012" s="36" t="s">
        <v>100</v>
      </c>
      <c r="B3012" s="36">
        <v>2024</v>
      </c>
      <c r="C3012" s="36" t="s">
        <v>11</v>
      </c>
      <c r="D3012" s="36" t="s">
        <v>103</v>
      </c>
      <c r="E3012" s="36" t="s">
        <v>105</v>
      </c>
      <c r="F3012" s="36" t="s">
        <v>106</v>
      </c>
      <c r="G3012" s="36" t="s">
        <v>102</v>
      </c>
      <c r="H3012" s="36" t="s">
        <v>104</v>
      </c>
      <c r="I3012" s="36" t="s">
        <v>107</v>
      </c>
      <c r="J3012" s="36">
        <v>154</v>
      </c>
      <c r="K3012" s="36">
        <v>220.22</v>
      </c>
    </row>
    <row r="3013" spans="1:11" x14ac:dyDescent="0.3">
      <c r="A3013" s="36" t="s">
        <v>100</v>
      </c>
      <c r="B3013" s="36">
        <v>2024</v>
      </c>
      <c r="C3013" s="36" t="s">
        <v>11</v>
      </c>
      <c r="D3013" s="36" t="s">
        <v>103</v>
      </c>
      <c r="E3013" s="36" t="s">
        <v>105</v>
      </c>
      <c r="F3013" s="36" t="s">
        <v>106</v>
      </c>
      <c r="G3013" s="36" t="s">
        <v>102</v>
      </c>
      <c r="H3013" s="36" t="s">
        <v>104</v>
      </c>
      <c r="I3013" s="36" t="s">
        <v>107</v>
      </c>
      <c r="J3013" s="36">
        <v>809</v>
      </c>
      <c r="K3013" s="36">
        <v>1156.8699999999999</v>
      </c>
    </row>
    <row r="3014" spans="1:11" x14ac:dyDescent="0.3">
      <c r="A3014" s="36" t="s">
        <v>97</v>
      </c>
      <c r="B3014" s="36">
        <v>2024</v>
      </c>
      <c r="C3014" s="36" t="s">
        <v>11</v>
      </c>
      <c r="D3014" s="36" t="s">
        <v>103</v>
      </c>
      <c r="E3014" s="36" t="s">
        <v>105</v>
      </c>
      <c r="F3014" s="36" t="s">
        <v>106</v>
      </c>
      <c r="G3014" s="36" t="s">
        <v>102</v>
      </c>
      <c r="H3014" s="36" t="s">
        <v>104</v>
      </c>
      <c r="I3014" s="36" t="s">
        <v>107</v>
      </c>
      <c r="J3014" s="36">
        <v>895</v>
      </c>
      <c r="K3014" s="36">
        <v>1279.8499999999999</v>
      </c>
    </row>
    <row r="3015" spans="1:11" x14ac:dyDescent="0.3">
      <c r="A3015" s="36" t="s">
        <v>97</v>
      </c>
      <c r="B3015" s="36">
        <v>2024</v>
      </c>
      <c r="C3015" s="36" t="s">
        <v>11</v>
      </c>
      <c r="D3015" s="36" t="s">
        <v>103</v>
      </c>
      <c r="E3015" s="36" t="s">
        <v>105</v>
      </c>
      <c r="F3015" s="36" t="s">
        <v>106</v>
      </c>
      <c r="G3015" s="36" t="s">
        <v>102</v>
      </c>
      <c r="H3015" s="36" t="s">
        <v>104</v>
      </c>
      <c r="I3015" s="36" t="s">
        <v>107</v>
      </c>
      <c r="J3015" s="36">
        <v>848</v>
      </c>
      <c r="K3015" s="36">
        <v>526.24</v>
      </c>
    </row>
    <row r="3016" spans="1:11" x14ac:dyDescent="0.3">
      <c r="A3016" s="36" t="s">
        <v>100</v>
      </c>
      <c r="B3016" s="36">
        <v>2024</v>
      </c>
      <c r="C3016" s="36" t="s">
        <v>11</v>
      </c>
      <c r="D3016" s="36" t="s">
        <v>103</v>
      </c>
      <c r="E3016" s="36" t="s">
        <v>105</v>
      </c>
      <c r="F3016" s="36" t="s">
        <v>106</v>
      </c>
      <c r="G3016" s="36" t="s">
        <v>102</v>
      </c>
      <c r="H3016" s="36" t="s">
        <v>104</v>
      </c>
      <c r="I3016" s="36" t="s">
        <v>107</v>
      </c>
      <c r="J3016" s="36">
        <v>153</v>
      </c>
      <c r="K3016" s="36">
        <v>218.79</v>
      </c>
    </row>
    <row r="3017" spans="1:11" x14ac:dyDescent="0.3">
      <c r="A3017" s="36" t="s">
        <v>100</v>
      </c>
      <c r="B3017" s="36">
        <v>2024</v>
      </c>
      <c r="C3017" s="36" t="s">
        <v>11</v>
      </c>
      <c r="D3017" s="36" t="s">
        <v>103</v>
      </c>
      <c r="E3017" s="36" t="s">
        <v>105</v>
      </c>
      <c r="F3017" s="36" t="s">
        <v>106</v>
      </c>
      <c r="G3017" s="36" t="s">
        <v>102</v>
      </c>
      <c r="H3017" s="36" t="s">
        <v>104</v>
      </c>
      <c r="I3017" s="36" t="s">
        <v>107</v>
      </c>
      <c r="J3017" s="36">
        <v>181</v>
      </c>
      <c r="K3017" s="36">
        <v>258.83</v>
      </c>
    </row>
    <row r="3018" spans="1:11" x14ac:dyDescent="0.3">
      <c r="A3018" s="36" t="s">
        <v>90</v>
      </c>
      <c r="B3018" s="36">
        <v>2024</v>
      </c>
      <c r="C3018" s="36" t="s">
        <v>11</v>
      </c>
      <c r="D3018" s="36" t="s">
        <v>103</v>
      </c>
      <c r="E3018" s="36" t="s">
        <v>105</v>
      </c>
      <c r="F3018" s="36" t="s">
        <v>106</v>
      </c>
      <c r="G3018" s="36" t="s">
        <v>102</v>
      </c>
      <c r="H3018" s="36" t="s">
        <v>104</v>
      </c>
      <c r="I3018" s="36" t="s">
        <v>107</v>
      </c>
      <c r="J3018" s="36">
        <v>157</v>
      </c>
      <c r="K3018" s="36">
        <v>224.51</v>
      </c>
    </row>
    <row r="3019" spans="1:11" x14ac:dyDescent="0.3">
      <c r="A3019" s="36" t="s">
        <v>99</v>
      </c>
      <c r="B3019" s="36">
        <v>2024</v>
      </c>
      <c r="C3019" s="36" t="s">
        <v>11</v>
      </c>
      <c r="D3019" s="36" t="s">
        <v>103</v>
      </c>
      <c r="E3019" s="36" t="s">
        <v>105</v>
      </c>
      <c r="F3019" s="36" t="s">
        <v>106</v>
      </c>
      <c r="G3019" s="36" t="s">
        <v>102</v>
      </c>
      <c r="H3019" s="36" t="s">
        <v>104</v>
      </c>
      <c r="I3019" s="36" t="s">
        <v>107</v>
      </c>
      <c r="J3019" s="36">
        <v>818</v>
      </c>
      <c r="K3019" s="36">
        <v>1169.74</v>
      </c>
    </row>
    <row r="3020" spans="1:11" x14ac:dyDescent="0.3">
      <c r="A3020" s="36" t="s">
        <v>101</v>
      </c>
      <c r="B3020" s="36">
        <v>2024</v>
      </c>
      <c r="C3020" s="36" t="s">
        <v>11</v>
      </c>
      <c r="D3020" s="36" t="s">
        <v>103</v>
      </c>
      <c r="E3020" s="36" t="s">
        <v>105</v>
      </c>
      <c r="F3020" s="36" t="s">
        <v>106</v>
      </c>
      <c r="G3020" s="36" t="s">
        <v>102</v>
      </c>
      <c r="H3020" s="36" t="s">
        <v>104</v>
      </c>
      <c r="I3020" s="36" t="s">
        <v>107</v>
      </c>
      <c r="J3020" s="36">
        <v>155</v>
      </c>
      <c r="K3020" s="36">
        <v>221.65</v>
      </c>
    </row>
    <row r="3021" spans="1:11" x14ac:dyDescent="0.3">
      <c r="A3021" s="36" t="s">
        <v>90</v>
      </c>
      <c r="B3021" s="36">
        <v>2024</v>
      </c>
      <c r="C3021" s="36" t="s">
        <v>1</v>
      </c>
      <c r="D3021" s="36" t="s">
        <v>103</v>
      </c>
      <c r="E3021" s="36" t="s">
        <v>105</v>
      </c>
      <c r="F3021" s="36" t="s">
        <v>106</v>
      </c>
      <c r="G3021" s="36" t="s">
        <v>102</v>
      </c>
      <c r="H3021" s="36" t="s">
        <v>104</v>
      </c>
      <c r="I3021" s="36" t="s">
        <v>107</v>
      </c>
      <c r="J3021" s="36">
        <v>236</v>
      </c>
      <c r="K3021" s="36">
        <v>337.48</v>
      </c>
    </row>
    <row r="3022" spans="1:11" x14ac:dyDescent="0.3">
      <c r="A3022" s="36" t="s">
        <v>90</v>
      </c>
      <c r="B3022" s="36">
        <v>2024</v>
      </c>
      <c r="C3022" s="36" t="s">
        <v>1</v>
      </c>
      <c r="D3022" s="36" t="s">
        <v>103</v>
      </c>
      <c r="E3022" s="36" t="s">
        <v>105</v>
      </c>
      <c r="F3022" s="36" t="s">
        <v>106</v>
      </c>
      <c r="G3022" s="36" t="s">
        <v>102</v>
      </c>
      <c r="H3022" s="36" t="s">
        <v>104</v>
      </c>
      <c r="I3022" s="36" t="s">
        <v>107</v>
      </c>
      <c r="J3022" s="36">
        <v>206</v>
      </c>
      <c r="K3022" s="36">
        <v>294.58</v>
      </c>
    </row>
    <row r="3023" spans="1:11" x14ac:dyDescent="0.3">
      <c r="A3023" s="36" t="s">
        <v>100</v>
      </c>
      <c r="B3023" s="36">
        <v>2024</v>
      </c>
      <c r="C3023" s="36" t="s">
        <v>1</v>
      </c>
      <c r="D3023" s="36" t="s">
        <v>103</v>
      </c>
      <c r="E3023" s="36" t="s">
        <v>105</v>
      </c>
      <c r="F3023" s="36" t="s">
        <v>106</v>
      </c>
      <c r="G3023" s="36" t="s">
        <v>102</v>
      </c>
      <c r="H3023" s="36" t="s">
        <v>104</v>
      </c>
      <c r="I3023" s="36" t="s">
        <v>107</v>
      </c>
      <c r="J3023" s="36">
        <v>208</v>
      </c>
      <c r="K3023" s="36">
        <v>297.44</v>
      </c>
    </row>
    <row r="3024" spans="1:11" x14ac:dyDescent="0.3">
      <c r="A3024" s="36" t="s">
        <v>97</v>
      </c>
      <c r="B3024" s="36">
        <v>2024</v>
      </c>
      <c r="C3024" s="36" t="s">
        <v>1</v>
      </c>
      <c r="D3024" s="36" t="s">
        <v>103</v>
      </c>
      <c r="E3024" s="36" t="s">
        <v>105</v>
      </c>
      <c r="F3024" s="36" t="s">
        <v>106</v>
      </c>
      <c r="G3024" s="36" t="s">
        <v>102</v>
      </c>
      <c r="H3024" s="36" t="s">
        <v>104</v>
      </c>
      <c r="I3024" s="36" t="s">
        <v>107</v>
      </c>
      <c r="J3024" s="36">
        <v>800</v>
      </c>
      <c r="K3024" s="36">
        <v>1144</v>
      </c>
    </row>
    <row r="3025" spans="1:11" x14ac:dyDescent="0.3">
      <c r="A3025" s="36" t="s">
        <v>99</v>
      </c>
      <c r="B3025" s="36">
        <v>2024</v>
      </c>
      <c r="C3025" s="36" t="s">
        <v>1</v>
      </c>
      <c r="D3025" s="36" t="s">
        <v>103</v>
      </c>
      <c r="E3025" s="36" t="s">
        <v>105</v>
      </c>
      <c r="F3025" s="36" t="s">
        <v>106</v>
      </c>
      <c r="G3025" s="36" t="s">
        <v>102</v>
      </c>
      <c r="H3025" s="36" t="s">
        <v>104</v>
      </c>
      <c r="I3025" s="36" t="s">
        <v>107</v>
      </c>
      <c r="J3025" s="36">
        <v>886</v>
      </c>
      <c r="K3025" s="36">
        <v>1266.98</v>
      </c>
    </row>
    <row r="3026" spans="1:11" x14ac:dyDescent="0.3">
      <c r="A3026" s="36" t="s">
        <v>99</v>
      </c>
      <c r="B3026" s="36">
        <v>2024</v>
      </c>
      <c r="C3026" s="36" t="s">
        <v>1</v>
      </c>
      <c r="D3026" s="36" t="s">
        <v>103</v>
      </c>
      <c r="E3026" s="36" t="s">
        <v>105</v>
      </c>
      <c r="F3026" s="36" t="s">
        <v>106</v>
      </c>
      <c r="G3026" s="36" t="s">
        <v>102</v>
      </c>
      <c r="H3026" s="36" t="s">
        <v>104</v>
      </c>
      <c r="I3026" s="36" t="s">
        <v>107</v>
      </c>
      <c r="J3026" s="36">
        <v>839</v>
      </c>
      <c r="K3026" s="36">
        <v>526.24</v>
      </c>
    </row>
    <row r="3027" spans="1:11" x14ac:dyDescent="0.3">
      <c r="A3027" s="36" t="s">
        <v>97</v>
      </c>
      <c r="B3027" s="36">
        <v>2024</v>
      </c>
      <c r="C3027" s="36" t="s">
        <v>1</v>
      </c>
      <c r="D3027" s="36" t="s">
        <v>103</v>
      </c>
      <c r="E3027" s="36" t="s">
        <v>105</v>
      </c>
      <c r="F3027" s="36" t="s">
        <v>106</v>
      </c>
      <c r="G3027" s="36" t="s">
        <v>102</v>
      </c>
      <c r="H3027" s="36" t="s">
        <v>104</v>
      </c>
      <c r="I3027" s="36" t="s">
        <v>107</v>
      </c>
      <c r="J3027" s="36">
        <v>207</v>
      </c>
      <c r="K3027" s="36">
        <v>296.01</v>
      </c>
    </row>
    <row r="3028" spans="1:11" x14ac:dyDescent="0.3">
      <c r="A3028" s="36" t="s">
        <v>100</v>
      </c>
      <c r="B3028" s="36">
        <v>2024</v>
      </c>
      <c r="C3028" s="36" t="s">
        <v>1</v>
      </c>
      <c r="D3028" s="36" t="s">
        <v>103</v>
      </c>
      <c r="E3028" s="36" t="s">
        <v>105</v>
      </c>
      <c r="F3028" s="36" t="s">
        <v>106</v>
      </c>
      <c r="G3028" s="36" t="s">
        <v>102</v>
      </c>
      <c r="H3028" s="36" t="s">
        <v>104</v>
      </c>
      <c r="I3028" s="36" t="s">
        <v>107</v>
      </c>
      <c r="J3028" s="36">
        <v>235</v>
      </c>
      <c r="K3028" s="36">
        <v>336.05</v>
      </c>
    </row>
    <row r="3029" spans="1:11" x14ac:dyDescent="0.3">
      <c r="A3029" s="36" t="s">
        <v>90</v>
      </c>
      <c r="B3029" s="36">
        <v>2024</v>
      </c>
      <c r="C3029" s="36" t="s">
        <v>1</v>
      </c>
      <c r="D3029" s="36" t="s">
        <v>103</v>
      </c>
      <c r="E3029" s="36" t="s">
        <v>105</v>
      </c>
      <c r="F3029" s="36" t="s">
        <v>106</v>
      </c>
      <c r="G3029" s="36" t="s">
        <v>102</v>
      </c>
      <c r="H3029" s="36" t="s">
        <v>104</v>
      </c>
      <c r="I3029" s="36" t="s">
        <v>107</v>
      </c>
      <c r="J3029" s="36">
        <v>809</v>
      </c>
      <c r="K3029" s="36">
        <v>1156.8699999999999</v>
      </c>
    </row>
    <row r="3030" spans="1:11" x14ac:dyDescent="0.3">
      <c r="A3030" s="36" t="s">
        <v>90</v>
      </c>
      <c r="B3030" s="36">
        <v>2024</v>
      </c>
      <c r="C3030" s="36" t="s">
        <v>1</v>
      </c>
      <c r="D3030" s="36" t="s">
        <v>103</v>
      </c>
      <c r="E3030" s="36" t="s">
        <v>105</v>
      </c>
      <c r="F3030" s="36" t="s">
        <v>106</v>
      </c>
      <c r="G3030" s="36" t="s">
        <v>102</v>
      </c>
      <c r="H3030" s="36" t="s">
        <v>104</v>
      </c>
      <c r="I3030" s="36" t="s">
        <v>107</v>
      </c>
      <c r="J3030" s="36">
        <v>209</v>
      </c>
      <c r="K3030" s="36">
        <v>298.87</v>
      </c>
    </row>
    <row r="3031" spans="1:11" x14ac:dyDescent="0.3">
      <c r="A3031" s="36" t="s">
        <v>90</v>
      </c>
      <c r="B3031" s="36">
        <v>2024</v>
      </c>
      <c r="C3031" s="36" t="s">
        <v>0</v>
      </c>
      <c r="D3031" s="36" t="s">
        <v>103</v>
      </c>
      <c r="E3031" s="36" t="s">
        <v>105</v>
      </c>
      <c r="F3031" s="36" t="s">
        <v>106</v>
      </c>
      <c r="G3031" s="36" t="s">
        <v>102</v>
      </c>
      <c r="H3031" s="36" t="s">
        <v>104</v>
      </c>
      <c r="I3031" s="36" t="s">
        <v>107</v>
      </c>
      <c r="J3031" s="36">
        <v>242</v>
      </c>
      <c r="K3031" s="36">
        <v>346.06</v>
      </c>
    </row>
    <row r="3032" spans="1:11" x14ac:dyDescent="0.3">
      <c r="A3032" s="36" t="s">
        <v>99</v>
      </c>
      <c r="B3032" s="36">
        <v>2024</v>
      </c>
      <c r="C3032" s="36" t="s">
        <v>0</v>
      </c>
      <c r="D3032" s="36" t="s">
        <v>103</v>
      </c>
      <c r="E3032" s="36" t="s">
        <v>105</v>
      </c>
      <c r="F3032" s="36" t="s">
        <v>106</v>
      </c>
      <c r="G3032" s="36" t="s">
        <v>102</v>
      </c>
      <c r="H3032" s="36" t="s">
        <v>104</v>
      </c>
      <c r="I3032" s="36" t="s">
        <v>107</v>
      </c>
      <c r="J3032" s="36">
        <v>212</v>
      </c>
      <c r="K3032" s="36">
        <v>303.15999999999997</v>
      </c>
    </row>
    <row r="3033" spans="1:11" x14ac:dyDescent="0.3">
      <c r="A3033" s="36" t="s">
        <v>97</v>
      </c>
      <c r="B3033" s="36">
        <v>2024</v>
      </c>
      <c r="C3033" s="36" t="s">
        <v>0</v>
      </c>
      <c r="D3033" s="36" t="s">
        <v>103</v>
      </c>
      <c r="E3033" s="36" t="s">
        <v>105</v>
      </c>
      <c r="F3033" s="36" t="s">
        <v>106</v>
      </c>
      <c r="G3033" s="36" t="s">
        <v>102</v>
      </c>
      <c r="H3033" s="36" t="s">
        <v>104</v>
      </c>
      <c r="I3033" s="36" t="s">
        <v>107</v>
      </c>
      <c r="J3033" s="36">
        <v>238</v>
      </c>
      <c r="K3033" s="36">
        <v>340.34000000000003</v>
      </c>
    </row>
    <row r="3034" spans="1:11" x14ac:dyDescent="0.3">
      <c r="A3034" s="36" t="s">
        <v>99</v>
      </c>
      <c r="B3034" s="36">
        <v>2024</v>
      </c>
      <c r="C3034" s="36" t="s">
        <v>0</v>
      </c>
      <c r="D3034" s="36" t="s">
        <v>103</v>
      </c>
      <c r="E3034" s="36" t="s">
        <v>105</v>
      </c>
      <c r="F3034" s="36" t="s">
        <v>106</v>
      </c>
      <c r="G3034" s="36" t="s">
        <v>102</v>
      </c>
      <c r="H3034" s="36" t="s">
        <v>104</v>
      </c>
      <c r="I3034" s="36" t="s">
        <v>107</v>
      </c>
      <c r="J3034" s="36">
        <v>214</v>
      </c>
      <c r="K3034" s="36">
        <v>306.02</v>
      </c>
    </row>
    <row r="3035" spans="1:11" x14ac:dyDescent="0.3">
      <c r="A3035" s="36" t="s">
        <v>97</v>
      </c>
      <c r="B3035" s="36">
        <v>2024</v>
      </c>
      <c r="C3035" s="36" t="s">
        <v>0</v>
      </c>
      <c r="D3035" s="36" t="s">
        <v>103</v>
      </c>
      <c r="E3035" s="36" t="s">
        <v>105</v>
      </c>
      <c r="F3035" s="36" t="s">
        <v>106</v>
      </c>
      <c r="G3035" s="36" t="s">
        <v>102</v>
      </c>
      <c r="H3035" s="36" t="s">
        <v>104</v>
      </c>
      <c r="I3035" s="36" t="s">
        <v>107</v>
      </c>
      <c r="J3035" s="36">
        <v>799</v>
      </c>
      <c r="K3035" s="36">
        <v>1142.57</v>
      </c>
    </row>
    <row r="3036" spans="1:11" x14ac:dyDescent="0.3">
      <c r="A3036" s="36" t="s">
        <v>97</v>
      </c>
      <c r="B3036" s="36">
        <v>2024</v>
      </c>
      <c r="C3036" s="36" t="s">
        <v>0</v>
      </c>
      <c r="D3036" s="36" t="s">
        <v>103</v>
      </c>
      <c r="E3036" s="36" t="s">
        <v>105</v>
      </c>
      <c r="F3036" s="36" t="s">
        <v>106</v>
      </c>
      <c r="G3036" s="36" t="s">
        <v>102</v>
      </c>
      <c r="H3036" s="36" t="s">
        <v>104</v>
      </c>
      <c r="I3036" s="36" t="s">
        <v>107</v>
      </c>
      <c r="J3036" s="36">
        <v>213</v>
      </c>
      <c r="K3036" s="36">
        <v>304.59000000000003</v>
      </c>
    </row>
    <row r="3037" spans="1:11" x14ac:dyDescent="0.3">
      <c r="A3037" s="36" t="s">
        <v>99</v>
      </c>
      <c r="B3037" s="36">
        <v>2024</v>
      </c>
      <c r="C3037" s="36" t="s">
        <v>0</v>
      </c>
      <c r="D3037" s="36" t="s">
        <v>103</v>
      </c>
      <c r="E3037" s="36" t="s">
        <v>105</v>
      </c>
      <c r="F3037" s="36" t="s">
        <v>106</v>
      </c>
      <c r="G3037" s="36" t="s">
        <v>102</v>
      </c>
      <c r="H3037" s="36" t="s">
        <v>104</v>
      </c>
      <c r="I3037" s="36" t="s">
        <v>107</v>
      </c>
      <c r="J3037" s="36">
        <v>241</v>
      </c>
      <c r="K3037" s="36">
        <v>344.63</v>
      </c>
    </row>
    <row r="3038" spans="1:11" x14ac:dyDescent="0.3">
      <c r="A3038" s="36" t="s">
        <v>97</v>
      </c>
      <c r="B3038" s="36">
        <v>2024</v>
      </c>
      <c r="C3038" s="36" t="s">
        <v>0</v>
      </c>
      <c r="D3038" s="36" t="s">
        <v>103</v>
      </c>
      <c r="E3038" s="36" t="s">
        <v>105</v>
      </c>
      <c r="F3038" s="36" t="s">
        <v>106</v>
      </c>
      <c r="G3038" s="36" t="s">
        <v>102</v>
      </c>
      <c r="H3038" s="36" t="s">
        <v>104</v>
      </c>
      <c r="I3038" s="36" t="s">
        <v>107</v>
      </c>
      <c r="J3038" s="36">
        <v>211</v>
      </c>
      <c r="K3038" s="36">
        <v>301.73</v>
      </c>
    </row>
    <row r="3039" spans="1:11" x14ac:dyDescent="0.3">
      <c r="A3039" s="36" t="s">
        <v>99</v>
      </c>
      <c r="B3039" s="36">
        <v>2024</v>
      </c>
      <c r="C3039" s="36" t="s">
        <v>0</v>
      </c>
      <c r="D3039" s="36" t="s">
        <v>103</v>
      </c>
      <c r="E3039" s="36" t="s">
        <v>105</v>
      </c>
      <c r="F3039" s="36" t="s">
        <v>106</v>
      </c>
      <c r="G3039" s="36" t="s">
        <v>102</v>
      </c>
      <c r="H3039" s="36" t="s">
        <v>104</v>
      </c>
      <c r="I3039" s="36" t="s">
        <v>107</v>
      </c>
      <c r="J3039" s="36">
        <v>808</v>
      </c>
      <c r="K3039" s="36">
        <v>1155.44</v>
      </c>
    </row>
    <row r="3040" spans="1:11" x14ac:dyDescent="0.3">
      <c r="A3040" s="36" t="s">
        <v>90</v>
      </c>
      <c r="B3040" s="36">
        <v>2024</v>
      </c>
      <c r="C3040" s="36" t="s">
        <v>0</v>
      </c>
      <c r="D3040" s="36" t="s">
        <v>103</v>
      </c>
      <c r="E3040" s="36" t="s">
        <v>105</v>
      </c>
      <c r="F3040" s="36" t="s">
        <v>106</v>
      </c>
      <c r="G3040" s="36" t="s">
        <v>102</v>
      </c>
      <c r="H3040" s="36" t="s">
        <v>104</v>
      </c>
      <c r="I3040" s="36" t="s">
        <v>107</v>
      </c>
      <c r="J3040" s="36">
        <v>215</v>
      </c>
      <c r="K3040" s="36">
        <v>307.45</v>
      </c>
    </row>
    <row r="3041" spans="1:11" x14ac:dyDescent="0.3">
      <c r="A3041" s="36" t="s">
        <v>90</v>
      </c>
      <c r="B3041" s="36">
        <v>2024</v>
      </c>
      <c r="C3041" s="36" t="s">
        <v>6</v>
      </c>
      <c r="D3041" s="36" t="s">
        <v>103</v>
      </c>
      <c r="E3041" s="36" t="s">
        <v>105</v>
      </c>
      <c r="F3041" s="36" t="s">
        <v>106</v>
      </c>
      <c r="G3041" s="36" t="s">
        <v>102</v>
      </c>
      <c r="H3041" s="36" t="s">
        <v>104</v>
      </c>
      <c r="I3041" s="36" t="s">
        <v>107</v>
      </c>
      <c r="J3041" s="36">
        <v>206</v>
      </c>
      <c r="K3041" s="36">
        <v>294.58</v>
      </c>
    </row>
    <row r="3042" spans="1:11" x14ac:dyDescent="0.3">
      <c r="A3042" s="36" t="s">
        <v>97</v>
      </c>
      <c r="B3042" s="36">
        <v>2024</v>
      </c>
      <c r="C3042" s="36" t="s">
        <v>6</v>
      </c>
      <c r="D3042" s="36" t="s">
        <v>103</v>
      </c>
      <c r="E3042" s="36" t="s">
        <v>105</v>
      </c>
      <c r="F3042" s="36" t="s">
        <v>106</v>
      </c>
      <c r="G3042" s="36" t="s">
        <v>102</v>
      </c>
      <c r="H3042" s="36" t="s">
        <v>104</v>
      </c>
      <c r="I3042" s="36" t="s">
        <v>107</v>
      </c>
      <c r="J3042" s="36">
        <v>182</v>
      </c>
      <c r="K3042" s="36">
        <v>260.26</v>
      </c>
    </row>
    <row r="3043" spans="1:11" x14ac:dyDescent="0.3">
      <c r="A3043" s="36" t="s">
        <v>97</v>
      </c>
      <c r="B3043" s="36">
        <v>2024</v>
      </c>
      <c r="C3043" s="36" t="s">
        <v>6</v>
      </c>
      <c r="D3043" s="36" t="s">
        <v>103</v>
      </c>
      <c r="E3043" s="36" t="s">
        <v>105</v>
      </c>
      <c r="F3043" s="36" t="s">
        <v>106</v>
      </c>
      <c r="G3043" s="36" t="s">
        <v>102</v>
      </c>
      <c r="H3043" s="36" t="s">
        <v>104</v>
      </c>
      <c r="I3043" s="36" t="s">
        <v>107</v>
      </c>
      <c r="J3043" s="36">
        <v>208</v>
      </c>
      <c r="K3043" s="36">
        <v>297.44</v>
      </c>
    </row>
    <row r="3044" spans="1:11" x14ac:dyDescent="0.3">
      <c r="A3044" s="36" t="s">
        <v>97</v>
      </c>
      <c r="B3044" s="36">
        <v>2024</v>
      </c>
      <c r="C3044" s="36" t="s">
        <v>6</v>
      </c>
      <c r="D3044" s="36" t="s">
        <v>103</v>
      </c>
      <c r="E3044" s="36" t="s">
        <v>105</v>
      </c>
      <c r="F3044" s="36" t="s">
        <v>106</v>
      </c>
      <c r="G3044" s="36" t="s">
        <v>102</v>
      </c>
      <c r="H3044" s="36" t="s">
        <v>104</v>
      </c>
      <c r="I3044" s="36" t="s">
        <v>107</v>
      </c>
      <c r="J3044" s="36">
        <v>804</v>
      </c>
      <c r="K3044" s="36">
        <v>1149.72</v>
      </c>
    </row>
    <row r="3045" spans="1:11" x14ac:dyDescent="0.3">
      <c r="A3045" s="36" t="s">
        <v>90</v>
      </c>
      <c r="B3045" s="36">
        <v>2024</v>
      </c>
      <c r="C3045" s="36" t="s">
        <v>6</v>
      </c>
      <c r="D3045" s="36" t="s">
        <v>103</v>
      </c>
      <c r="E3045" s="36" t="s">
        <v>105</v>
      </c>
      <c r="F3045" s="36" t="s">
        <v>106</v>
      </c>
      <c r="G3045" s="36" t="s">
        <v>102</v>
      </c>
      <c r="H3045" s="36" t="s">
        <v>104</v>
      </c>
      <c r="I3045" s="36" t="s">
        <v>107</v>
      </c>
      <c r="J3045" s="36">
        <v>891</v>
      </c>
      <c r="K3045" s="36">
        <v>1274.1300000000001</v>
      </c>
    </row>
    <row r="3046" spans="1:11" x14ac:dyDescent="0.3">
      <c r="A3046" s="36" t="s">
        <v>90</v>
      </c>
      <c r="B3046" s="36">
        <v>2024</v>
      </c>
      <c r="C3046" s="36" t="s">
        <v>6</v>
      </c>
      <c r="D3046" s="36" t="s">
        <v>103</v>
      </c>
      <c r="E3046" s="36" t="s">
        <v>105</v>
      </c>
      <c r="F3046" s="36" t="s">
        <v>106</v>
      </c>
      <c r="G3046" s="36" t="s">
        <v>102</v>
      </c>
      <c r="H3046" s="36" t="s">
        <v>104</v>
      </c>
      <c r="I3046" s="36" t="s">
        <v>107</v>
      </c>
      <c r="J3046" s="36">
        <v>844</v>
      </c>
      <c r="K3046" s="36">
        <v>526.24</v>
      </c>
    </row>
    <row r="3047" spans="1:11" x14ac:dyDescent="0.3">
      <c r="A3047" s="36" t="s">
        <v>97</v>
      </c>
      <c r="B3047" s="36">
        <v>2024</v>
      </c>
      <c r="C3047" s="36" t="s">
        <v>6</v>
      </c>
      <c r="D3047" s="36" t="s">
        <v>103</v>
      </c>
      <c r="E3047" s="36" t="s">
        <v>105</v>
      </c>
      <c r="F3047" s="36" t="s">
        <v>106</v>
      </c>
      <c r="G3047" s="36" t="s">
        <v>102</v>
      </c>
      <c r="H3047" s="36" t="s">
        <v>104</v>
      </c>
      <c r="I3047" s="36" t="s">
        <v>107</v>
      </c>
      <c r="J3047" s="36">
        <v>183</v>
      </c>
      <c r="K3047" s="36">
        <v>261.69</v>
      </c>
    </row>
    <row r="3048" spans="1:11" x14ac:dyDescent="0.3">
      <c r="A3048" s="36" t="s">
        <v>97</v>
      </c>
      <c r="B3048" s="36">
        <v>2024</v>
      </c>
      <c r="C3048" s="36" t="s">
        <v>6</v>
      </c>
      <c r="D3048" s="36" t="s">
        <v>103</v>
      </c>
      <c r="E3048" s="36" t="s">
        <v>105</v>
      </c>
      <c r="F3048" s="36" t="s">
        <v>106</v>
      </c>
      <c r="G3048" s="36" t="s">
        <v>102</v>
      </c>
      <c r="H3048" s="36" t="s">
        <v>104</v>
      </c>
      <c r="I3048" s="36" t="s">
        <v>107</v>
      </c>
      <c r="J3048" s="36">
        <v>181</v>
      </c>
      <c r="K3048" s="36">
        <v>258.83</v>
      </c>
    </row>
    <row r="3049" spans="1:11" x14ac:dyDescent="0.3">
      <c r="A3049" s="36" t="s">
        <v>97</v>
      </c>
      <c r="B3049" s="36">
        <v>2024</v>
      </c>
      <c r="C3049" s="36" t="s">
        <v>6</v>
      </c>
      <c r="D3049" s="36" t="s">
        <v>103</v>
      </c>
      <c r="E3049" s="36" t="s">
        <v>105</v>
      </c>
      <c r="F3049" s="36" t="s">
        <v>106</v>
      </c>
      <c r="G3049" s="36" t="s">
        <v>102</v>
      </c>
      <c r="H3049" s="36" t="s">
        <v>104</v>
      </c>
      <c r="I3049" s="36" t="s">
        <v>107</v>
      </c>
      <c r="J3049" s="36">
        <v>813</v>
      </c>
      <c r="K3049" s="36">
        <v>1162.5899999999999</v>
      </c>
    </row>
    <row r="3050" spans="1:11" x14ac:dyDescent="0.3">
      <c r="A3050" s="36" t="s">
        <v>90</v>
      </c>
      <c r="B3050" s="36">
        <v>2024</v>
      </c>
      <c r="C3050" s="36" t="s">
        <v>6</v>
      </c>
      <c r="D3050" s="36" t="s">
        <v>103</v>
      </c>
      <c r="E3050" s="36" t="s">
        <v>105</v>
      </c>
      <c r="F3050" s="36" t="s">
        <v>106</v>
      </c>
      <c r="G3050" s="36" t="s">
        <v>102</v>
      </c>
      <c r="H3050" s="36" t="s">
        <v>104</v>
      </c>
      <c r="I3050" s="36" t="s">
        <v>107</v>
      </c>
      <c r="J3050" s="36">
        <v>179</v>
      </c>
      <c r="K3050" s="36">
        <v>255.97</v>
      </c>
    </row>
    <row r="3051" spans="1:11" x14ac:dyDescent="0.3">
      <c r="A3051" s="36" t="s">
        <v>97</v>
      </c>
      <c r="B3051" s="36">
        <v>2024</v>
      </c>
      <c r="C3051" s="36" t="s">
        <v>5</v>
      </c>
      <c r="D3051" s="36" t="s">
        <v>103</v>
      </c>
      <c r="E3051" s="36" t="s">
        <v>105</v>
      </c>
      <c r="F3051" s="36" t="s">
        <v>106</v>
      </c>
      <c r="G3051" s="36" t="s">
        <v>102</v>
      </c>
      <c r="H3051" s="36" t="s">
        <v>104</v>
      </c>
      <c r="I3051" s="36" t="s">
        <v>107</v>
      </c>
      <c r="J3051" s="36">
        <v>212</v>
      </c>
      <c r="K3051" s="36">
        <v>303.15999999999997</v>
      </c>
    </row>
    <row r="3052" spans="1:11" x14ac:dyDescent="0.3">
      <c r="A3052" s="36" t="s">
        <v>99</v>
      </c>
      <c r="B3052" s="36">
        <v>2024</v>
      </c>
      <c r="C3052" s="36" t="s">
        <v>5</v>
      </c>
      <c r="D3052" s="36" t="s">
        <v>103</v>
      </c>
      <c r="E3052" s="36" t="s">
        <v>105</v>
      </c>
      <c r="F3052" s="36" t="s">
        <v>106</v>
      </c>
      <c r="G3052" s="36" t="s">
        <v>102</v>
      </c>
      <c r="H3052" s="36" t="s">
        <v>104</v>
      </c>
      <c r="I3052" s="36" t="s">
        <v>107</v>
      </c>
      <c r="J3052" s="36">
        <v>188</v>
      </c>
      <c r="K3052" s="36">
        <v>268.84000000000003</v>
      </c>
    </row>
    <row r="3053" spans="1:11" x14ac:dyDescent="0.3">
      <c r="A3053" s="36" t="s">
        <v>100</v>
      </c>
      <c r="B3053" s="36">
        <v>2024</v>
      </c>
      <c r="C3053" s="36" t="s">
        <v>5</v>
      </c>
      <c r="D3053" s="36" t="s">
        <v>103</v>
      </c>
      <c r="E3053" s="36" t="s">
        <v>105</v>
      </c>
      <c r="F3053" s="36" t="s">
        <v>106</v>
      </c>
      <c r="G3053" s="36" t="s">
        <v>102</v>
      </c>
      <c r="H3053" s="36" t="s">
        <v>104</v>
      </c>
      <c r="I3053" s="36" t="s">
        <v>107</v>
      </c>
      <c r="J3053" s="36">
        <v>214</v>
      </c>
      <c r="K3053" s="36">
        <v>306.02</v>
      </c>
    </row>
    <row r="3054" spans="1:11" x14ac:dyDescent="0.3">
      <c r="A3054" s="36" t="s">
        <v>99</v>
      </c>
      <c r="B3054" s="36">
        <v>2024</v>
      </c>
      <c r="C3054" s="36" t="s">
        <v>5</v>
      </c>
      <c r="D3054" s="36" t="s">
        <v>103</v>
      </c>
      <c r="E3054" s="36" t="s">
        <v>105</v>
      </c>
      <c r="F3054" s="36" t="s">
        <v>106</v>
      </c>
      <c r="G3054" s="36" t="s">
        <v>102</v>
      </c>
      <c r="H3054" s="36" t="s">
        <v>104</v>
      </c>
      <c r="I3054" s="36" t="s">
        <v>107</v>
      </c>
      <c r="J3054" s="36">
        <v>184</v>
      </c>
      <c r="K3054" s="36">
        <v>263.12</v>
      </c>
    </row>
    <row r="3055" spans="1:11" x14ac:dyDescent="0.3">
      <c r="A3055" s="36" t="s">
        <v>100</v>
      </c>
      <c r="B3055" s="36">
        <v>2024</v>
      </c>
      <c r="C3055" s="36" t="s">
        <v>5</v>
      </c>
      <c r="D3055" s="36" t="s">
        <v>103</v>
      </c>
      <c r="E3055" s="36" t="s">
        <v>105</v>
      </c>
      <c r="F3055" s="36" t="s">
        <v>106</v>
      </c>
      <c r="G3055" s="36" t="s">
        <v>102</v>
      </c>
      <c r="H3055" s="36" t="s">
        <v>104</v>
      </c>
      <c r="I3055" s="36" t="s">
        <v>107</v>
      </c>
      <c r="J3055" s="36">
        <v>803</v>
      </c>
      <c r="K3055" s="36">
        <v>1148.29</v>
      </c>
    </row>
    <row r="3056" spans="1:11" x14ac:dyDescent="0.3">
      <c r="A3056" s="36" t="s">
        <v>99</v>
      </c>
      <c r="B3056" s="36">
        <v>2024</v>
      </c>
      <c r="C3056" s="36" t="s">
        <v>5</v>
      </c>
      <c r="D3056" s="36" t="s">
        <v>103</v>
      </c>
      <c r="E3056" s="36" t="s">
        <v>105</v>
      </c>
      <c r="F3056" s="36" t="s">
        <v>106</v>
      </c>
      <c r="G3056" s="36" t="s">
        <v>102</v>
      </c>
      <c r="H3056" s="36" t="s">
        <v>104</v>
      </c>
      <c r="I3056" s="36" t="s">
        <v>107</v>
      </c>
      <c r="J3056" s="36">
        <v>890</v>
      </c>
      <c r="K3056" s="36">
        <v>1272.7</v>
      </c>
    </row>
    <row r="3057" spans="1:11" x14ac:dyDescent="0.3">
      <c r="A3057" s="36" t="s">
        <v>99</v>
      </c>
      <c r="B3057" s="36">
        <v>2024</v>
      </c>
      <c r="C3057" s="36" t="s">
        <v>5</v>
      </c>
      <c r="D3057" s="36" t="s">
        <v>103</v>
      </c>
      <c r="E3057" s="36" t="s">
        <v>105</v>
      </c>
      <c r="F3057" s="36" t="s">
        <v>106</v>
      </c>
      <c r="G3057" s="36" t="s">
        <v>102</v>
      </c>
      <c r="H3057" s="36" t="s">
        <v>104</v>
      </c>
      <c r="I3057" s="36" t="s">
        <v>107</v>
      </c>
      <c r="J3057" s="36">
        <v>843</v>
      </c>
      <c r="K3057" s="36">
        <v>526.24</v>
      </c>
    </row>
    <row r="3058" spans="1:11" x14ac:dyDescent="0.3">
      <c r="A3058" s="36" t="s">
        <v>100</v>
      </c>
      <c r="B3058" s="36">
        <v>2024</v>
      </c>
      <c r="C3058" s="36" t="s">
        <v>5</v>
      </c>
      <c r="D3058" s="36" t="s">
        <v>103</v>
      </c>
      <c r="E3058" s="36" t="s">
        <v>105</v>
      </c>
      <c r="F3058" s="36" t="s">
        <v>106</v>
      </c>
      <c r="G3058" s="36" t="s">
        <v>102</v>
      </c>
      <c r="H3058" s="36" t="s">
        <v>104</v>
      </c>
      <c r="I3058" s="36" t="s">
        <v>107</v>
      </c>
      <c r="J3058" s="36">
        <v>189</v>
      </c>
      <c r="K3058" s="36">
        <v>270.27</v>
      </c>
    </row>
    <row r="3059" spans="1:11" x14ac:dyDescent="0.3">
      <c r="A3059" s="36" t="s">
        <v>99</v>
      </c>
      <c r="B3059" s="36">
        <v>2024</v>
      </c>
      <c r="C3059" s="36" t="s">
        <v>5</v>
      </c>
      <c r="D3059" s="36" t="s">
        <v>103</v>
      </c>
      <c r="E3059" s="36" t="s">
        <v>105</v>
      </c>
      <c r="F3059" s="36" t="s">
        <v>106</v>
      </c>
      <c r="G3059" s="36" t="s">
        <v>102</v>
      </c>
      <c r="H3059" s="36" t="s">
        <v>104</v>
      </c>
      <c r="I3059" s="36" t="s">
        <v>107</v>
      </c>
      <c r="J3059" s="36">
        <v>211</v>
      </c>
      <c r="K3059" s="36">
        <v>301.73</v>
      </c>
    </row>
    <row r="3060" spans="1:11" x14ac:dyDescent="0.3">
      <c r="A3060" s="36" t="s">
        <v>100</v>
      </c>
      <c r="B3060" s="36">
        <v>2024</v>
      </c>
      <c r="C3060" s="36" t="s">
        <v>5</v>
      </c>
      <c r="D3060" s="36" t="s">
        <v>103</v>
      </c>
      <c r="E3060" s="36" t="s">
        <v>105</v>
      </c>
      <c r="F3060" s="36" t="s">
        <v>106</v>
      </c>
      <c r="G3060" s="36" t="s">
        <v>102</v>
      </c>
      <c r="H3060" s="36" t="s">
        <v>104</v>
      </c>
      <c r="I3060" s="36" t="s">
        <v>107</v>
      </c>
      <c r="J3060" s="36">
        <v>187</v>
      </c>
      <c r="K3060" s="36">
        <v>267.40999999999997</v>
      </c>
    </row>
    <row r="3061" spans="1:11" x14ac:dyDescent="0.3">
      <c r="A3061" s="36" t="s">
        <v>99</v>
      </c>
      <c r="B3061" s="36">
        <v>2024</v>
      </c>
      <c r="C3061" s="36" t="s">
        <v>5</v>
      </c>
      <c r="D3061" s="36" t="s">
        <v>103</v>
      </c>
      <c r="E3061" s="36" t="s">
        <v>105</v>
      </c>
      <c r="F3061" s="36" t="s">
        <v>106</v>
      </c>
      <c r="G3061" s="36" t="s">
        <v>102</v>
      </c>
      <c r="H3061" s="36" t="s">
        <v>104</v>
      </c>
      <c r="I3061" s="36" t="s">
        <v>107</v>
      </c>
      <c r="J3061" s="36">
        <v>812</v>
      </c>
      <c r="K3061" s="36">
        <v>1161.1599999999999</v>
      </c>
    </row>
    <row r="3062" spans="1:11" x14ac:dyDescent="0.3">
      <c r="A3062" s="36" t="s">
        <v>97</v>
      </c>
      <c r="B3062" s="36">
        <v>2024</v>
      </c>
      <c r="C3062" s="36" t="s">
        <v>5</v>
      </c>
      <c r="D3062" s="36" t="s">
        <v>103</v>
      </c>
      <c r="E3062" s="36" t="s">
        <v>105</v>
      </c>
      <c r="F3062" s="36" t="s">
        <v>106</v>
      </c>
      <c r="G3062" s="36" t="s">
        <v>102</v>
      </c>
      <c r="H3062" s="36" t="s">
        <v>104</v>
      </c>
      <c r="I3062" s="36" t="s">
        <v>107</v>
      </c>
      <c r="J3062" s="36">
        <v>185</v>
      </c>
      <c r="K3062" s="36">
        <v>264.55</v>
      </c>
    </row>
    <row r="3063" spans="1:11" x14ac:dyDescent="0.3">
      <c r="A3063" s="36" t="s">
        <v>97</v>
      </c>
      <c r="B3063" s="36">
        <v>2024</v>
      </c>
      <c r="C3063" s="36" t="s">
        <v>2</v>
      </c>
      <c r="D3063" s="36" t="s">
        <v>103</v>
      </c>
      <c r="E3063" s="36" t="s">
        <v>105</v>
      </c>
      <c r="F3063" s="36" t="s">
        <v>106</v>
      </c>
      <c r="G3063" s="36" t="s">
        <v>102</v>
      </c>
      <c r="H3063" s="36" t="s">
        <v>104</v>
      </c>
      <c r="I3063" s="36" t="s">
        <v>107</v>
      </c>
      <c r="J3063" s="36">
        <v>230</v>
      </c>
      <c r="K3063" s="36">
        <v>328.9</v>
      </c>
    </row>
    <row r="3064" spans="1:11" x14ac:dyDescent="0.3">
      <c r="A3064" s="36" t="s">
        <v>90</v>
      </c>
      <c r="B3064" s="36">
        <v>2024</v>
      </c>
      <c r="C3064" s="36" t="s">
        <v>2</v>
      </c>
      <c r="D3064" s="36" t="s">
        <v>103</v>
      </c>
      <c r="E3064" s="36" t="s">
        <v>105</v>
      </c>
      <c r="F3064" s="36" t="s">
        <v>106</v>
      </c>
      <c r="G3064" s="36" t="s">
        <v>102</v>
      </c>
      <c r="H3064" s="36" t="s">
        <v>104</v>
      </c>
      <c r="I3064" s="36" t="s">
        <v>107</v>
      </c>
      <c r="J3064" s="36">
        <v>200</v>
      </c>
      <c r="K3064" s="36">
        <v>286</v>
      </c>
    </row>
    <row r="3065" spans="1:11" x14ac:dyDescent="0.3">
      <c r="A3065" s="36" t="s">
        <v>90</v>
      </c>
      <c r="B3065" s="36">
        <v>2024</v>
      </c>
      <c r="C3065" s="36" t="s">
        <v>2</v>
      </c>
      <c r="D3065" s="36" t="s">
        <v>103</v>
      </c>
      <c r="E3065" s="36" t="s">
        <v>105</v>
      </c>
      <c r="F3065" s="36" t="s">
        <v>106</v>
      </c>
      <c r="G3065" s="36" t="s">
        <v>102</v>
      </c>
      <c r="H3065" s="36" t="s">
        <v>104</v>
      </c>
      <c r="I3065" s="36" t="s">
        <v>107</v>
      </c>
      <c r="J3065" s="36">
        <v>232</v>
      </c>
      <c r="K3065" s="36">
        <v>331.76</v>
      </c>
    </row>
    <row r="3066" spans="1:11" x14ac:dyDescent="0.3">
      <c r="A3066" s="36" t="s">
        <v>99</v>
      </c>
      <c r="B3066" s="36">
        <v>2024</v>
      </c>
      <c r="C3066" s="36" t="s">
        <v>2</v>
      </c>
      <c r="D3066" s="36" t="s">
        <v>103</v>
      </c>
      <c r="E3066" s="36" t="s">
        <v>105</v>
      </c>
      <c r="F3066" s="36" t="s">
        <v>106</v>
      </c>
      <c r="G3066" s="36" t="s">
        <v>102</v>
      </c>
      <c r="H3066" s="36" t="s">
        <v>104</v>
      </c>
      <c r="I3066" s="36" t="s">
        <v>107</v>
      </c>
      <c r="J3066" s="36">
        <v>202</v>
      </c>
      <c r="K3066" s="36">
        <v>288.86</v>
      </c>
    </row>
    <row r="3067" spans="1:11" x14ac:dyDescent="0.3">
      <c r="A3067" s="36" t="s">
        <v>90</v>
      </c>
      <c r="B3067" s="36">
        <v>2024</v>
      </c>
      <c r="C3067" s="36" t="s">
        <v>2</v>
      </c>
      <c r="D3067" s="36" t="s">
        <v>103</v>
      </c>
      <c r="E3067" s="36" t="s">
        <v>105</v>
      </c>
      <c r="F3067" s="36" t="s">
        <v>106</v>
      </c>
      <c r="G3067" s="36" t="s">
        <v>102</v>
      </c>
      <c r="H3067" s="36" t="s">
        <v>104</v>
      </c>
      <c r="I3067" s="36" t="s">
        <v>107</v>
      </c>
      <c r="J3067" s="36">
        <v>801</v>
      </c>
      <c r="K3067" s="36">
        <v>1145.43</v>
      </c>
    </row>
    <row r="3068" spans="1:11" x14ac:dyDescent="0.3">
      <c r="A3068" s="36" t="s">
        <v>90</v>
      </c>
      <c r="B3068" s="36">
        <v>2024</v>
      </c>
      <c r="C3068" s="36" t="s">
        <v>2</v>
      </c>
      <c r="D3068" s="36" t="s">
        <v>103</v>
      </c>
      <c r="E3068" s="36" t="s">
        <v>105</v>
      </c>
      <c r="F3068" s="36" t="s">
        <v>106</v>
      </c>
      <c r="G3068" s="36" t="s">
        <v>102</v>
      </c>
      <c r="H3068" s="36" t="s">
        <v>104</v>
      </c>
      <c r="I3068" s="36" t="s">
        <v>107</v>
      </c>
      <c r="J3068" s="36">
        <v>887</v>
      </c>
      <c r="K3068" s="36">
        <v>1268.4099999999999</v>
      </c>
    </row>
    <row r="3069" spans="1:11" x14ac:dyDescent="0.3">
      <c r="A3069" s="36" t="s">
        <v>90</v>
      </c>
      <c r="B3069" s="36">
        <v>2024</v>
      </c>
      <c r="C3069" s="36" t="s">
        <v>2</v>
      </c>
      <c r="D3069" s="36" t="s">
        <v>103</v>
      </c>
      <c r="E3069" s="36" t="s">
        <v>105</v>
      </c>
      <c r="F3069" s="36" t="s">
        <v>106</v>
      </c>
      <c r="G3069" s="36" t="s">
        <v>102</v>
      </c>
      <c r="H3069" s="36" t="s">
        <v>104</v>
      </c>
      <c r="I3069" s="36" t="s">
        <v>107</v>
      </c>
      <c r="J3069" s="36">
        <v>840</v>
      </c>
      <c r="K3069" s="36">
        <v>526.24</v>
      </c>
    </row>
    <row r="3070" spans="1:11" x14ac:dyDescent="0.3">
      <c r="A3070" s="36" t="s">
        <v>90</v>
      </c>
      <c r="B3070" s="36">
        <v>2024</v>
      </c>
      <c r="C3070" s="36" t="s">
        <v>2</v>
      </c>
      <c r="D3070" s="36" t="s">
        <v>103</v>
      </c>
      <c r="E3070" s="36" t="s">
        <v>105</v>
      </c>
      <c r="F3070" s="36" t="s">
        <v>106</v>
      </c>
      <c r="G3070" s="36" t="s">
        <v>102</v>
      </c>
      <c r="H3070" s="36" t="s">
        <v>104</v>
      </c>
      <c r="I3070" s="36" t="s">
        <v>107</v>
      </c>
      <c r="J3070" s="36">
        <v>201</v>
      </c>
      <c r="K3070" s="36">
        <v>287.43</v>
      </c>
    </row>
    <row r="3071" spans="1:11" x14ac:dyDescent="0.3">
      <c r="A3071" s="36" t="s">
        <v>99</v>
      </c>
      <c r="B3071" s="36">
        <v>2024</v>
      </c>
      <c r="C3071" s="36" t="s">
        <v>2</v>
      </c>
      <c r="D3071" s="36" t="s">
        <v>103</v>
      </c>
      <c r="E3071" s="36" t="s">
        <v>105</v>
      </c>
      <c r="F3071" s="36" t="s">
        <v>106</v>
      </c>
      <c r="G3071" s="36" t="s">
        <v>102</v>
      </c>
      <c r="H3071" s="36" t="s">
        <v>104</v>
      </c>
      <c r="I3071" s="36" t="s">
        <v>107</v>
      </c>
      <c r="J3071" s="36">
        <v>229</v>
      </c>
      <c r="K3071" s="36">
        <v>327.47000000000003</v>
      </c>
    </row>
    <row r="3072" spans="1:11" x14ac:dyDescent="0.3">
      <c r="A3072" s="36" t="s">
        <v>90</v>
      </c>
      <c r="B3072" s="36">
        <v>2024</v>
      </c>
      <c r="C3072" s="36" t="s">
        <v>2</v>
      </c>
      <c r="D3072" s="36" t="s">
        <v>103</v>
      </c>
      <c r="E3072" s="36" t="s">
        <v>105</v>
      </c>
      <c r="F3072" s="36" t="s">
        <v>106</v>
      </c>
      <c r="G3072" s="36" t="s">
        <v>102</v>
      </c>
      <c r="H3072" s="36" t="s">
        <v>104</v>
      </c>
      <c r="I3072" s="36" t="s">
        <v>107</v>
      </c>
      <c r="J3072" s="36">
        <v>205</v>
      </c>
      <c r="K3072" s="36">
        <v>293.14999999999998</v>
      </c>
    </row>
    <row r="3073" spans="1:11" x14ac:dyDescent="0.3">
      <c r="A3073" s="36" t="s">
        <v>90</v>
      </c>
      <c r="B3073" s="36">
        <v>2024</v>
      </c>
      <c r="C3073" s="36" t="s">
        <v>2</v>
      </c>
      <c r="D3073" s="36" t="s">
        <v>103</v>
      </c>
      <c r="E3073" s="36" t="s">
        <v>105</v>
      </c>
      <c r="F3073" s="36" t="s">
        <v>106</v>
      </c>
      <c r="G3073" s="36" t="s">
        <v>102</v>
      </c>
      <c r="H3073" s="36" t="s">
        <v>104</v>
      </c>
      <c r="I3073" s="36" t="s">
        <v>107</v>
      </c>
      <c r="J3073" s="36">
        <v>810</v>
      </c>
      <c r="K3073" s="36">
        <v>1158.3</v>
      </c>
    </row>
    <row r="3074" spans="1:11" x14ac:dyDescent="0.3">
      <c r="A3074" s="36" t="s">
        <v>97</v>
      </c>
      <c r="B3074" s="36">
        <v>2024</v>
      </c>
      <c r="C3074" s="36" t="s">
        <v>2</v>
      </c>
      <c r="D3074" s="36" t="s">
        <v>103</v>
      </c>
      <c r="E3074" s="36" t="s">
        <v>105</v>
      </c>
      <c r="F3074" s="36" t="s">
        <v>106</v>
      </c>
      <c r="G3074" s="36" t="s">
        <v>102</v>
      </c>
      <c r="H3074" s="36" t="s">
        <v>104</v>
      </c>
      <c r="I3074" s="36" t="s">
        <v>107</v>
      </c>
      <c r="J3074" s="36">
        <v>203</v>
      </c>
      <c r="K3074" s="36">
        <v>290.28999999999996</v>
      </c>
    </row>
    <row r="3075" spans="1:11" x14ac:dyDescent="0.3">
      <c r="A3075" s="36" t="s">
        <v>99</v>
      </c>
      <c r="B3075" s="36">
        <v>2024</v>
      </c>
      <c r="C3075" s="36" t="s">
        <v>4</v>
      </c>
      <c r="D3075" s="36" t="s">
        <v>103</v>
      </c>
      <c r="E3075" s="36" t="s">
        <v>105</v>
      </c>
      <c r="F3075" s="36" t="s">
        <v>106</v>
      </c>
      <c r="G3075" s="36" t="s">
        <v>102</v>
      </c>
      <c r="H3075" s="36" t="s">
        <v>104</v>
      </c>
      <c r="I3075" s="36" t="s">
        <v>107</v>
      </c>
      <c r="J3075" s="36">
        <v>218</v>
      </c>
      <c r="K3075" s="36">
        <v>311.74</v>
      </c>
    </row>
    <row r="3076" spans="1:11" x14ac:dyDescent="0.3">
      <c r="A3076" s="36" t="s">
        <v>99</v>
      </c>
      <c r="B3076" s="36">
        <v>2024</v>
      </c>
      <c r="C3076" s="36" t="s">
        <v>4</v>
      </c>
      <c r="D3076" s="36" t="s">
        <v>103</v>
      </c>
      <c r="E3076" s="36" t="s">
        <v>105</v>
      </c>
      <c r="F3076" s="36" t="s">
        <v>106</v>
      </c>
      <c r="G3076" s="36" t="s">
        <v>102</v>
      </c>
      <c r="H3076" s="36" t="s">
        <v>104</v>
      </c>
      <c r="I3076" s="36" t="s">
        <v>107</v>
      </c>
      <c r="J3076" s="36">
        <v>194</v>
      </c>
      <c r="K3076" s="36">
        <v>277.42</v>
      </c>
    </row>
    <row r="3077" spans="1:11" x14ac:dyDescent="0.3">
      <c r="A3077" s="36" t="s">
        <v>97</v>
      </c>
      <c r="B3077" s="36">
        <v>2024</v>
      </c>
      <c r="C3077" s="36" t="s">
        <v>4</v>
      </c>
      <c r="D3077" s="36" t="s">
        <v>103</v>
      </c>
      <c r="E3077" s="36" t="s">
        <v>105</v>
      </c>
      <c r="F3077" s="36" t="s">
        <v>106</v>
      </c>
      <c r="G3077" s="36" t="s">
        <v>102</v>
      </c>
      <c r="H3077" s="36" t="s">
        <v>104</v>
      </c>
      <c r="I3077" s="36" t="s">
        <v>107</v>
      </c>
      <c r="J3077" s="36">
        <v>220</v>
      </c>
      <c r="K3077" s="36">
        <v>314.60000000000002</v>
      </c>
    </row>
    <row r="3078" spans="1:11" x14ac:dyDescent="0.3">
      <c r="A3078" s="36" t="s">
        <v>97</v>
      </c>
      <c r="B3078" s="36">
        <v>2024</v>
      </c>
      <c r="C3078" s="36" t="s">
        <v>4</v>
      </c>
      <c r="D3078" s="36" t="s">
        <v>103</v>
      </c>
      <c r="E3078" s="36" t="s">
        <v>105</v>
      </c>
      <c r="F3078" s="36" t="s">
        <v>106</v>
      </c>
      <c r="G3078" s="36" t="s">
        <v>102</v>
      </c>
      <c r="H3078" s="36" t="s">
        <v>104</v>
      </c>
      <c r="I3078" s="36" t="s">
        <v>107</v>
      </c>
      <c r="J3078" s="36">
        <v>190</v>
      </c>
      <c r="K3078" s="36">
        <v>271.7</v>
      </c>
    </row>
    <row r="3079" spans="1:11" x14ac:dyDescent="0.3">
      <c r="A3079" s="36" t="s">
        <v>97</v>
      </c>
      <c r="B3079" s="36">
        <v>2024</v>
      </c>
      <c r="C3079" s="36" t="s">
        <v>4</v>
      </c>
      <c r="D3079" s="36" t="s">
        <v>103</v>
      </c>
      <c r="E3079" s="36" t="s">
        <v>105</v>
      </c>
      <c r="F3079" s="36" t="s">
        <v>106</v>
      </c>
      <c r="G3079" s="36" t="s">
        <v>102</v>
      </c>
      <c r="H3079" s="36" t="s">
        <v>104</v>
      </c>
      <c r="I3079" s="36" t="s">
        <v>107</v>
      </c>
      <c r="J3079" s="36">
        <v>889</v>
      </c>
      <c r="K3079" s="36">
        <v>1271.27</v>
      </c>
    </row>
    <row r="3080" spans="1:11" x14ac:dyDescent="0.3">
      <c r="A3080" s="36" t="s">
        <v>97</v>
      </c>
      <c r="B3080" s="36">
        <v>2024</v>
      </c>
      <c r="C3080" s="36" t="s">
        <v>4</v>
      </c>
      <c r="D3080" s="36" t="s">
        <v>103</v>
      </c>
      <c r="E3080" s="36" t="s">
        <v>105</v>
      </c>
      <c r="F3080" s="36" t="s">
        <v>106</v>
      </c>
      <c r="G3080" s="36" t="s">
        <v>102</v>
      </c>
      <c r="H3080" s="36" t="s">
        <v>104</v>
      </c>
      <c r="I3080" s="36" t="s">
        <v>107</v>
      </c>
      <c r="J3080" s="36">
        <v>842</v>
      </c>
      <c r="K3080" s="36">
        <v>526.24</v>
      </c>
    </row>
    <row r="3081" spans="1:11" x14ac:dyDescent="0.3">
      <c r="A3081" s="36" t="s">
        <v>97</v>
      </c>
      <c r="B3081" s="36">
        <v>2024</v>
      </c>
      <c r="C3081" s="36" t="s">
        <v>4</v>
      </c>
      <c r="D3081" s="36" t="s">
        <v>103</v>
      </c>
      <c r="E3081" s="36" t="s">
        <v>105</v>
      </c>
      <c r="F3081" s="36" t="s">
        <v>106</v>
      </c>
      <c r="G3081" s="36" t="s">
        <v>102</v>
      </c>
      <c r="H3081" s="36" t="s">
        <v>104</v>
      </c>
      <c r="I3081" s="36" t="s">
        <v>107</v>
      </c>
      <c r="J3081" s="36">
        <v>217</v>
      </c>
      <c r="K3081" s="36">
        <v>310.31</v>
      </c>
    </row>
    <row r="3082" spans="1:11" x14ac:dyDescent="0.3">
      <c r="A3082" s="36" t="s">
        <v>97</v>
      </c>
      <c r="B3082" s="36">
        <v>2024</v>
      </c>
      <c r="C3082" s="36" t="s">
        <v>4</v>
      </c>
      <c r="D3082" s="36" t="s">
        <v>103</v>
      </c>
      <c r="E3082" s="36" t="s">
        <v>105</v>
      </c>
      <c r="F3082" s="36" t="s">
        <v>106</v>
      </c>
      <c r="G3082" s="36" t="s">
        <v>102</v>
      </c>
      <c r="H3082" s="36" t="s">
        <v>104</v>
      </c>
      <c r="I3082" s="36" t="s">
        <v>107</v>
      </c>
      <c r="J3082" s="36">
        <v>193</v>
      </c>
      <c r="K3082" s="36">
        <v>275.99</v>
      </c>
    </row>
    <row r="3083" spans="1:11" x14ac:dyDescent="0.3">
      <c r="A3083" s="36" t="s">
        <v>99</v>
      </c>
      <c r="B3083" s="36">
        <v>2024</v>
      </c>
      <c r="C3083" s="36" t="s">
        <v>4</v>
      </c>
      <c r="D3083" s="36" t="s">
        <v>103</v>
      </c>
      <c r="E3083" s="36" t="s">
        <v>105</v>
      </c>
      <c r="F3083" s="36" t="s">
        <v>106</v>
      </c>
      <c r="G3083" s="36" t="s">
        <v>102</v>
      </c>
      <c r="H3083" s="36" t="s">
        <v>104</v>
      </c>
      <c r="I3083" s="36" t="s">
        <v>107</v>
      </c>
      <c r="J3083" s="36">
        <v>811</v>
      </c>
      <c r="K3083" s="36">
        <v>1159.73</v>
      </c>
    </row>
    <row r="3084" spans="1:11" x14ac:dyDescent="0.3">
      <c r="A3084" s="36" t="s">
        <v>99</v>
      </c>
      <c r="B3084" s="36">
        <v>2024</v>
      </c>
      <c r="C3084" s="36" t="s">
        <v>4</v>
      </c>
      <c r="D3084" s="36" t="s">
        <v>103</v>
      </c>
      <c r="E3084" s="36" t="s">
        <v>105</v>
      </c>
      <c r="F3084" s="36" t="s">
        <v>106</v>
      </c>
      <c r="G3084" s="36" t="s">
        <v>102</v>
      </c>
      <c r="H3084" s="36" t="s">
        <v>104</v>
      </c>
      <c r="I3084" s="36" t="s">
        <v>107</v>
      </c>
      <c r="J3084" s="36">
        <v>191</v>
      </c>
      <c r="K3084" s="36">
        <v>273.13</v>
      </c>
    </row>
    <row r="3085" spans="1:11" x14ac:dyDescent="0.3">
      <c r="A3085" s="36" t="s">
        <v>97</v>
      </c>
      <c r="B3085" s="36">
        <v>2024</v>
      </c>
      <c r="C3085" s="36" t="s">
        <v>10</v>
      </c>
      <c r="D3085" s="36" t="s">
        <v>103</v>
      </c>
      <c r="E3085" s="36" t="s">
        <v>105</v>
      </c>
      <c r="F3085" s="36" t="s">
        <v>106</v>
      </c>
      <c r="G3085" s="36" t="s">
        <v>102</v>
      </c>
      <c r="H3085" s="36" t="s">
        <v>104</v>
      </c>
      <c r="I3085" s="36" t="s">
        <v>107</v>
      </c>
      <c r="J3085" s="36">
        <v>188</v>
      </c>
      <c r="K3085" s="36">
        <v>268.84000000000003</v>
      </c>
    </row>
    <row r="3086" spans="1:11" x14ac:dyDescent="0.3">
      <c r="A3086" s="36" t="s">
        <v>101</v>
      </c>
      <c r="B3086" s="36">
        <v>2024</v>
      </c>
      <c r="C3086" s="36" t="s">
        <v>10</v>
      </c>
      <c r="D3086" s="36" t="s">
        <v>103</v>
      </c>
      <c r="E3086" s="36" t="s">
        <v>105</v>
      </c>
      <c r="F3086" s="36" t="s">
        <v>106</v>
      </c>
      <c r="G3086" s="36" t="s">
        <v>102</v>
      </c>
      <c r="H3086" s="36" t="s">
        <v>104</v>
      </c>
      <c r="I3086" s="36" t="s">
        <v>107</v>
      </c>
      <c r="J3086" s="36">
        <v>158</v>
      </c>
      <c r="K3086" s="36">
        <v>225.94</v>
      </c>
    </row>
    <row r="3087" spans="1:11" x14ac:dyDescent="0.3">
      <c r="A3087" s="36" t="s">
        <v>90</v>
      </c>
      <c r="B3087" s="36">
        <v>2024</v>
      </c>
      <c r="C3087" s="36" t="s">
        <v>10</v>
      </c>
      <c r="D3087" s="36" t="s">
        <v>103</v>
      </c>
      <c r="E3087" s="36" t="s">
        <v>105</v>
      </c>
      <c r="F3087" s="36" t="s">
        <v>106</v>
      </c>
      <c r="G3087" s="36" t="s">
        <v>102</v>
      </c>
      <c r="H3087" s="36" t="s">
        <v>104</v>
      </c>
      <c r="I3087" s="36" t="s">
        <v>107</v>
      </c>
      <c r="J3087" s="36">
        <v>160</v>
      </c>
      <c r="K3087" s="36">
        <v>228.8</v>
      </c>
    </row>
    <row r="3088" spans="1:11" x14ac:dyDescent="0.3">
      <c r="A3088" s="36" t="s">
        <v>90</v>
      </c>
      <c r="B3088" s="36">
        <v>2024</v>
      </c>
      <c r="C3088" s="36" t="s">
        <v>10</v>
      </c>
      <c r="D3088" s="36" t="s">
        <v>103</v>
      </c>
      <c r="E3088" s="36" t="s">
        <v>105</v>
      </c>
      <c r="F3088" s="36" t="s">
        <v>106</v>
      </c>
      <c r="G3088" s="36" t="s">
        <v>102</v>
      </c>
      <c r="H3088" s="36" t="s">
        <v>104</v>
      </c>
      <c r="I3088" s="36" t="s">
        <v>107</v>
      </c>
      <c r="J3088" s="36">
        <v>808</v>
      </c>
      <c r="K3088" s="36">
        <v>1155.44</v>
      </c>
    </row>
    <row r="3089" spans="1:11" x14ac:dyDescent="0.3">
      <c r="A3089" s="36" t="s">
        <v>97</v>
      </c>
      <c r="B3089" s="36">
        <v>2024</v>
      </c>
      <c r="C3089" s="36" t="s">
        <v>10</v>
      </c>
      <c r="D3089" s="36" t="s">
        <v>103</v>
      </c>
      <c r="E3089" s="36" t="s">
        <v>105</v>
      </c>
      <c r="F3089" s="36" t="s">
        <v>106</v>
      </c>
      <c r="G3089" s="36" t="s">
        <v>102</v>
      </c>
      <c r="H3089" s="36" t="s">
        <v>104</v>
      </c>
      <c r="I3089" s="36" t="s">
        <v>107</v>
      </c>
      <c r="J3089" s="36">
        <v>894</v>
      </c>
      <c r="K3089" s="36">
        <v>1278.42</v>
      </c>
    </row>
    <row r="3090" spans="1:11" x14ac:dyDescent="0.3">
      <c r="A3090" s="36" t="s">
        <v>97</v>
      </c>
      <c r="B3090" s="36">
        <v>2024</v>
      </c>
      <c r="C3090" s="36" t="s">
        <v>10</v>
      </c>
      <c r="D3090" s="36" t="s">
        <v>103</v>
      </c>
      <c r="E3090" s="36" t="s">
        <v>105</v>
      </c>
      <c r="F3090" s="36" t="s">
        <v>106</v>
      </c>
      <c r="G3090" s="36" t="s">
        <v>102</v>
      </c>
      <c r="H3090" s="36" t="s">
        <v>104</v>
      </c>
      <c r="I3090" s="36" t="s">
        <v>107</v>
      </c>
      <c r="J3090" s="36">
        <v>847</v>
      </c>
      <c r="K3090" s="36">
        <v>526.24</v>
      </c>
    </row>
    <row r="3091" spans="1:11" x14ac:dyDescent="0.3">
      <c r="A3091" s="36" t="s">
        <v>90</v>
      </c>
      <c r="B3091" s="36">
        <v>2024</v>
      </c>
      <c r="C3091" s="36" t="s">
        <v>10</v>
      </c>
      <c r="D3091" s="36" t="s">
        <v>103</v>
      </c>
      <c r="E3091" s="36" t="s">
        <v>105</v>
      </c>
      <c r="F3091" s="36" t="s">
        <v>106</v>
      </c>
      <c r="G3091" s="36" t="s">
        <v>102</v>
      </c>
      <c r="H3091" s="36" t="s">
        <v>104</v>
      </c>
      <c r="I3091" s="36" t="s">
        <v>107</v>
      </c>
      <c r="J3091" s="36">
        <v>159</v>
      </c>
      <c r="K3091" s="36">
        <v>227.37</v>
      </c>
    </row>
    <row r="3092" spans="1:11" x14ac:dyDescent="0.3">
      <c r="A3092" s="36" t="s">
        <v>90</v>
      </c>
      <c r="B3092" s="36">
        <v>2024</v>
      </c>
      <c r="C3092" s="36" t="s">
        <v>10</v>
      </c>
      <c r="D3092" s="36" t="s">
        <v>103</v>
      </c>
      <c r="E3092" s="36" t="s">
        <v>105</v>
      </c>
      <c r="F3092" s="36" t="s">
        <v>106</v>
      </c>
      <c r="G3092" s="36" t="s">
        <v>102</v>
      </c>
      <c r="H3092" s="36" t="s">
        <v>104</v>
      </c>
      <c r="I3092" s="36" t="s">
        <v>107</v>
      </c>
      <c r="J3092" s="36">
        <v>187</v>
      </c>
      <c r="K3092" s="36">
        <v>267.40999999999997</v>
      </c>
    </row>
    <row r="3093" spans="1:11" x14ac:dyDescent="0.3">
      <c r="A3093" s="36" t="s">
        <v>101</v>
      </c>
      <c r="B3093" s="36">
        <v>2024</v>
      </c>
      <c r="C3093" s="36" t="s">
        <v>10</v>
      </c>
      <c r="D3093" s="36" t="s">
        <v>103</v>
      </c>
      <c r="E3093" s="36" t="s">
        <v>105</v>
      </c>
      <c r="F3093" s="36" t="s">
        <v>106</v>
      </c>
      <c r="G3093" s="36" t="s">
        <v>102</v>
      </c>
      <c r="H3093" s="36" t="s">
        <v>104</v>
      </c>
      <c r="I3093" s="36" t="s">
        <v>107</v>
      </c>
      <c r="J3093" s="36">
        <v>817</v>
      </c>
      <c r="K3093" s="36">
        <v>1168.31</v>
      </c>
    </row>
    <row r="3094" spans="1:11" x14ac:dyDescent="0.3">
      <c r="A3094" s="36" t="s">
        <v>97</v>
      </c>
      <c r="B3094" s="36">
        <v>2024</v>
      </c>
      <c r="C3094" s="36" t="s">
        <v>10</v>
      </c>
      <c r="D3094" s="36" t="s">
        <v>103</v>
      </c>
      <c r="E3094" s="36" t="s">
        <v>105</v>
      </c>
      <c r="F3094" s="36" t="s">
        <v>106</v>
      </c>
      <c r="G3094" s="36" t="s">
        <v>102</v>
      </c>
      <c r="H3094" s="36" t="s">
        <v>104</v>
      </c>
      <c r="I3094" s="36" t="s">
        <v>107</v>
      </c>
      <c r="J3094" s="36">
        <v>161</v>
      </c>
      <c r="K3094" s="36">
        <v>230.23000000000002</v>
      </c>
    </row>
    <row r="3095" spans="1:11" x14ac:dyDescent="0.3">
      <c r="A3095" s="36" t="s">
        <v>90</v>
      </c>
      <c r="B3095" s="36">
        <v>2024</v>
      </c>
      <c r="C3095" s="36" t="s">
        <v>9</v>
      </c>
      <c r="D3095" s="36" t="s">
        <v>103</v>
      </c>
      <c r="E3095" s="36" t="s">
        <v>105</v>
      </c>
      <c r="F3095" s="36" t="s">
        <v>106</v>
      </c>
      <c r="G3095" s="36" t="s">
        <v>102</v>
      </c>
      <c r="H3095" s="36" t="s">
        <v>104</v>
      </c>
      <c r="I3095" s="36" t="s">
        <v>107</v>
      </c>
      <c r="J3095" s="36">
        <v>194</v>
      </c>
      <c r="K3095" s="36">
        <v>277.42</v>
      </c>
    </row>
    <row r="3096" spans="1:11" x14ac:dyDescent="0.3">
      <c r="A3096" s="36" t="s">
        <v>97</v>
      </c>
      <c r="B3096" s="36">
        <v>2024</v>
      </c>
      <c r="C3096" s="36" t="s">
        <v>9</v>
      </c>
      <c r="D3096" s="36" t="s">
        <v>103</v>
      </c>
      <c r="E3096" s="36" t="s">
        <v>105</v>
      </c>
      <c r="F3096" s="36" t="s">
        <v>106</v>
      </c>
      <c r="G3096" s="36" t="s">
        <v>102</v>
      </c>
      <c r="H3096" s="36" t="s">
        <v>104</v>
      </c>
      <c r="I3096" s="36" t="s">
        <v>107</v>
      </c>
      <c r="J3096" s="36">
        <v>164</v>
      </c>
      <c r="K3096" s="36">
        <v>234.51999999999998</v>
      </c>
    </row>
    <row r="3097" spans="1:11" x14ac:dyDescent="0.3">
      <c r="A3097" s="36" t="s">
        <v>97</v>
      </c>
      <c r="B3097" s="36">
        <v>2024</v>
      </c>
      <c r="C3097" s="36" t="s">
        <v>9</v>
      </c>
      <c r="D3097" s="36" t="s">
        <v>103</v>
      </c>
      <c r="E3097" s="36" t="s">
        <v>105</v>
      </c>
      <c r="F3097" s="36" t="s">
        <v>106</v>
      </c>
      <c r="G3097" s="36" t="s">
        <v>102</v>
      </c>
      <c r="H3097" s="36" t="s">
        <v>104</v>
      </c>
      <c r="I3097" s="36" t="s">
        <v>107</v>
      </c>
      <c r="J3097" s="36">
        <v>190</v>
      </c>
      <c r="K3097" s="36">
        <v>271.7</v>
      </c>
    </row>
    <row r="3098" spans="1:11" x14ac:dyDescent="0.3">
      <c r="A3098" s="36" t="s">
        <v>100</v>
      </c>
      <c r="B3098" s="36">
        <v>2024</v>
      </c>
      <c r="C3098" s="36" t="s">
        <v>9</v>
      </c>
      <c r="D3098" s="36" t="s">
        <v>103</v>
      </c>
      <c r="E3098" s="36" t="s">
        <v>105</v>
      </c>
      <c r="F3098" s="36" t="s">
        <v>106</v>
      </c>
      <c r="G3098" s="36" t="s">
        <v>102</v>
      </c>
      <c r="H3098" s="36" t="s">
        <v>104</v>
      </c>
      <c r="I3098" s="36" t="s">
        <v>107</v>
      </c>
      <c r="J3098" s="36">
        <v>166</v>
      </c>
      <c r="K3098" s="36">
        <v>237.38</v>
      </c>
    </row>
    <row r="3099" spans="1:11" x14ac:dyDescent="0.3">
      <c r="A3099" s="36" t="s">
        <v>90</v>
      </c>
      <c r="B3099" s="36">
        <v>2024</v>
      </c>
      <c r="C3099" s="36" t="s">
        <v>9</v>
      </c>
      <c r="D3099" s="36" t="s">
        <v>103</v>
      </c>
      <c r="E3099" s="36" t="s">
        <v>105</v>
      </c>
      <c r="F3099" s="36" t="s">
        <v>106</v>
      </c>
      <c r="G3099" s="36" t="s">
        <v>102</v>
      </c>
      <c r="H3099" s="36" t="s">
        <v>104</v>
      </c>
      <c r="I3099" s="36" t="s">
        <v>107</v>
      </c>
      <c r="J3099" s="36">
        <v>807</v>
      </c>
      <c r="K3099" s="36">
        <v>1154.01</v>
      </c>
    </row>
    <row r="3100" spans="1:11" x14ac:dyDescent="0.3">
      <c r="A3100" s="36" t="s">
        <v>90</v>
      </c>
      <c r="B3100" s="36">
        <v>2024</v>
      </c>
      <c r="C3100" s="36" t="s">
        <v>9</v>
      </c>
      <c r="D3100" s="36" t="s">
        <v>103</v>
      </c>
      <c r="E3100" s="36" t="s">
        <v>105</v>
      </c>
      <c r="F3100" s="36" t="s">
        <v>106</v>
      </c>
      <c r="G3100" s="36" t="s">
        <v>102</v>
      </c>
      <c r="H3100" s="36" t="s">
        <v>104</v>
      </c>
      <c r="I3100" s="36" t="s">
        <v>107</v>
      </c>
      <c r="J3100" s="36">
        <v>165</v>
      </c>
      <c r="K3100" s="36">
        <v>235.95</v>
      </c>
    </row>
    <row r="3101" spans="1:11" x14ac:dyDescent="0.3">
      <c r="A3101" s="36" t="s">
        <v>100</v>
      </c>
      <c r="B3101" s="36">
        <v>2024</v>
      </c>
      <c r="C3101" s="36" t="s">
        <v>9</v>
      </c>
      <c r="D3101" s="36" t="s">
        <v>103</v>
      </c>
      <c r="E3101" s="36" t="s">
        <v>105</v>
      </c>
      <c r="F3101" s="36" t="s">
        <v>106</v>
      </c>
      <c r="G3101" s="36" t="s">
        <v>102</v>
      </c>
      <c r="H3101" s="36" t="s">
        <v>104</v>
      </c>
      <c r="I3101" s="36" t="s">
        <v>107</v>
      </c>
      <c r="J3101" s="36">
        <v>193</v>
      </c>
      <c r="K3101" s="36">
        <v>275.99</v>
      </c>
    </row>
    <row r="3102" spans="1:11" x14ac:dyDescent="0.3">
      <c r="A3102" s="36" t="s">
        <v>97</v>
      </c>
      <c r="B3102" s="36">
        <v>2024</v>
      </c>
      <c r="C3102" s="36" t="s">
        <v>9</v>
      </c>
      <c r="D3102" s="36" t="s">
        <v>103</v>
      </c>
      <c r="E3102" s="36" t="s">
        <v>105</v>
      </c>
      <c r="F3102" s="36" t="s">
        <v>106</v>
      </c>
      <c r="G3102" s="36" t="s">
        <v>102</v>
      </c>
      <c r="H3102" s="36" t="s">
        <v>104</v>
      </c>
      <c r="I3102" s="36" t="s">
        <v>107</v>
      </c>
      <c r="J3102" s="36">
        <v>163</v>
      </c>
      <c r="K3102" s="36">
        <v>233.09</v>
      </c>
    </row>
    <row r="3103" spans="1:11" x14ac:dyDescent="0.3">
      <c r="A3103" s="36" t="s">
        <v>97</v>
      </c>
      <c r="B3103" s="36">
        <v>2024</v>
      </c>
      <c r="C3103" s="36" t="s">
        <v>9</v>
      </c>
      <c r="D3103" s="36" t="s">
        <v>103</v>
      </c>
      <c r="E3103" s="36" t="s">
        <v>105</v>
      </c>
      <c r="F3103" s="36" t="s">
        <v>106</v>
      </c>
      <c r="G3103" s="36" t="s">
        <v>102</v>
      </c>
      <c r="H3103" s="36" t="s">
        <v>104</v>
      </c>
      <c r="I3103" s="36" t="s">
        <v>107</v>
      </c>
      <c r="J3103" s="36">
        <v>816</v>
      </c>
      <c r="K3103" s="36">
        <v>1166.8800000000001</v>
      </c>
    </row>
    <row r="3104" spans="1:11" x14ac:dyDescent="0.3">
      <c r="A3104" s="36" t="s">
        <v>90</v>
      </c>
      <c r="B3104" s="36">
        <v>2024</v>
      </c>
      <c r="C3104" s="36" t="s">
        <v>9</v>
      </c>
      <c r="D3104" s="36" t="s">
        <v>103</v>
      </c>
      <c r="E3104" s="36" t="s">
        <v>105</v>
      </c>
      <c r="F3104" s="36" t="s">
        <v>106</v>
      </c>
      <c r="G3104" s="36" t="s">
        <v>102</v>
      </c>
      <c r="H3104" s="36" t="s">
        <v>104</v>
      </c>
      <c r="I3104" s="36" t="s">
        <v>107</v>
      </c>
      <c r="J3104" s="36">
        <v>167</v>
      </c>
      <c r="K3104" s="36">
        <v>238.81</v>
      </c>
    </row>
    <row r="3105" spans="1:11" x14ac:dyDescent="0.3">
      <c r="A3105" s="36" t="s">
        <v>97</v>
      </c>
      <c r="B3105" s="36">
        <v>2024</v>
      </c>
      <c r="C3105" s="36" t="s">
        <v>8</v>
      </c>
      <c r="D3105" s="36" t="s">
        <v>103</v>
      </c>
      <c r="E3105" s="36" t="s">
        <v>105</v>
      </c>
      <c r="F3105" s="36" t="s">
        <v>106</v>
      </c>
      <c r="G3105" s="36" t="s">
        <v>102</v>
      </c>
      <c r="H3105" s="36" t="s">
        <v>104</v>
      </c>
      <c r="I3105" s="36" t="s">
        <v>107</v>
      </c>
      <c r="J3105" s="36">
        <v>200</v>
      </c>
      <c r="K3105" s="36">
        <v>286</v>
      </c>
    </row>
    <row r="3106" spans="1:11" x14ac:dyDescent="0.3">
      <c r="A3106" s="36" t="s">
        <v>90</v>
      </c>
      <c r="B3106" s="36">
        <v>2024</v>
      </c>
      <c r="C3106" s="36" t="s">
        <v>8</v>
      </c>
      <c r="D3106" s="36" t="s">
        <v>103</v>
      </c>
      <c r="E3106" s="36" t="s">
        <v>105</v>
      </c>
      <c r="F3106" s="36" t="s">
        <v>106</v>
      </c>
      <c r="G3106" s="36" t="s">
        <v>102</v>
      </c>
      <c r="H3106" s="36" t="s">
        <v>104</v>
      </c>
      <c r="I3106" s="36" t="s">
        <v>107</v>
      </c>
      <c r="J3106" s="36">
        <v>170</v>
      </c>
      <c r="K3106" s="36">
        <v>243.1</v>
      </c>
    </row>
    <row r="3107" spans="1:11" x14ac:dyDescent="0.3">
      <c r="A3107" s="36" t="s">
        <v>90</v>
      </c>
      <c r="B3107" s="36">
        <v>2024</v>
      </c>
      <c r="C3107" s="36" t="s">
        <v>8</v>
      </c>
      <c r="D3107" s="36" t="s">
        <v>103</v>
      </c>
      <c r="E3107" s="36" t="s">
        <v>105</v>
      </c>
      <c r="F3107" s="36" t="s">
        <v>106</v>
      </c>
      <c r="G3107" s="36" t="s">
        <v>102</v>
      </c>
      <c r="H3107" s="36" t="s">
        <v>104</v>
      </c>
      <c r="I3107" s="36" t="s">
        <v>107</v>
      </c>
      <c r="J3107" s="36">
        <v>196</v>
      </c>
      <c r="K3107" s="36">
        <v>280.27999999999997</v>
      </c>
    </row>
    <row r="3108" spans="1:11" x14ac:dyDescent="0.3">
      <c r="A3108" s="36" t="s">
        <v>97</v>
      </c>
      <c r="B3108" s="36">
        <v>2024</v>
      </c>
      <c r="C3108" s="36" t="s">
        <v>8</v>
      </c>
      <c r="D3108" s="36" t="s">
        <v>103</v>
      </c>
      <c r="E3108" s="36" t="s">
        <v>105</v>
      </c>
      <c r="F3108" s="36" t="s">
        <v>106</v>
      </c>
      <c r="G3108" s="36" t="s">
        <v>102</v>
      </c>
      <c r="H3108" s="36" t="s">
        <v>104</v>
      </c>
      <c r="I3108" s="36" t="s">
        <v>107</v>
      </c>
      <c r="J3108" s="36">
        <v>172</v>
      </c>
      <c r="K3108" s="36">
        <v>245.95999999999998</v>
      </c>
    </row>
    <row r="3109" spans="1:11" x14ac:dyDescent="0.3">
      <c r="A3109" s="36" t="s">
        <v>97</v>
      </c>
      <c r="B3109" s="36">
        <v>2024</v>
      </c>
      <c r="C3109" s="36" t="s">
        <v>8</v>
      </c>
      <c r="D3109" s="36" t="s">
        <v>103</v>
      </c>
      <c r="E3109" s="36" t="s">
        <v>105</v>
      </c>
      <c r="F3109" s="36" t="s">
        <v>106</v>
      </c>
      <c r="G3109" s="36" t="s">
        <v>102</v>
      </c>
      <c r="H3109" s="36" t="s">
        <v>104</v>
      </c>
      <c r="I3109" s="36" t="s">
        <v>107</v>
      </c>
      <c r="J3109" s="36">
        <v>806</v>
      </c>
      <c r="K3109" s="36">
        <v>1152.58</v>
      </c>
    </row>
    <row r="3110" spans="1:11" x14ac:dyDescent="0.3">
      <c r="A3110" s="36" t="s">
        <v>90</v>
      </c>
      <c r="B3110" s="36">
        <v>2024</v>
      </c>
      <c r="C3110" s="36" t="s">
        <v>8</v>
      </c>
      <c r="D3110" s="36" t="s">
        <v>103</v>
      </c>
      <c r="E3110" s="36" t="s">
        <v>105</v>
      </c>
      <c r="F3110" s="36" t="s">
        <v>106</v>
      </c>
      <c r="G3110" s="36" t="s">
        <v>102</v>
      </c>
      <c r="H3110" s="36" t="s">
        <v>104</v>
      </c>
      <c r="I3110" s="36" t="s">
        <v>107</v>
      </c>
      <c r="J3110" s="36">
        <v>893</v>
      </c>
      <c r="K3110" s="36">
        <v>1276.99</v>
      </c>
    </row>
    <row r="3111" spans="1:11" x14ac:dyDescent="0.3">
      <c r="A3111" s="36" t="s">
        <v>90</v>
      </c>
      <c r="B3111" s="36">
        <v>2024</v>
      </c>
      <c r="C3111" s="36" t="s">
        <v>8</v>
      </c>
      <c r="D3111" s="36" t="s">
        <v>103</v>
      </c>
      <c r="E3111" s="36" t="s">
        <v>105</v>
      </c>
      <c r="F3111" s="36" t="s">
        <v>106</v>
      </c>
      <c r="G3111" s="36" t="s">
        <v>102</v>
      </c>
      <c r="H3111" s="36" t="s">
        <v>104</v>
      </c>
      <c r="I3111" s="36" t="s">
        <v>107</v>
      </c>
      <c r="J3111" s="36">
        <v>846</v>
      </c>
      <c r="K3111" s="36">
        <v>526.24</v>
      </c>
    </row>
    <row r="3112" spans="1:11" x14ac:dyDescent="0.3">
      <c r="A3112" s="36" t="s">
        <v>97</v>
      </c>
      <c r="B3112" s="36">
        <v>2024</v>
      </c>
      <c r="C3112" s="36" t="s">
        <v>8</v>
      </c>
      <c r="D3112" s="36" t="s">
        <v>103</v>
      </c>
      <c r="E3112" s="36" t="s">
        <v>105</v>
      </c>
      <c r="F3112" s="36" t="s">
        <v>106</v>
      </c>
      <c r="G3112" s="36" t="s">
        <v>102</v>
      </c>
      <c r="H3112" s="36" t="s">
        <v>104</v>
      </c>
      <c r="I3112" s="36" t="s">
        <v>107</v>
      </c>
      <c r="J3112" s="36">
        <v>171</v>
      </c>
      <c r="K3112" s="36">
        <v>244.53</v>
      </c>
    </row>
    <row r="3113" spans="1:11" x14ac:dyDescent="0.3">
      <c r="A3113" s="36" t="s">
        <v>97</v>
      </c>
      <c r="B3113" s="36">
        <v>2024</v>
      </c>
      <c r="C3113" s="36" t="s">
        <v>8</v>
      </c>
      <c r="D3113" s="36" t="s">
        <v>103</v>
      </c>
      <c r="E3113" s="36" t="s">
        <v>105</v>
      </c>
      <c r="F3113" s="36" t="s">
        <v>106</v>
      </c>
      <c r="G3113" s="36" t="s">
        <v>102</v>
      </c>
      <c r="H3113" s="36" t="s">
        <v>104</v>
      </c>
      <c r="I3113" s="36" t="s">
        <v>107</v>
      </c>
      <c r="J3113" s="36">
        <v>199</v>
      </c>
      <c r="K3113" s="36">
        <v>284.57</v>
      </c>
    </row>
    <row r="3114" spans="1:11" x14ac:dyDescent="0.3">
      <c r="A3114" s="36" t="s">
        <v>90</v>
      </c>
      <c r="B3114" s="36">
        <v>2024</v>
      </c>
      <c r="C3114" s="36" t="s">
        <v>8</v>
      </c>
      <c r="D3114" s="36" t="s">
        <v>103</v>
      </c>
      <c r="E3114" s="36" t="s">
        <v>105</v>
      </c>
      <c r="F3114" s="36" t="s">
        <v>106</v>
      </c>
      <c r="G3114" s="36" t="s">
        <v>102</v>
      </c>
      <c r="H3114" s="36" t="s">
        <v>104</v>
      </c>
      <c r="I3114" s="36" t="s">
        <v>107</v>
      </c>
      <c r="J3114" s="36">
        <v>169</v>
      </c>
      <c r="K3114" s="36">
        <v>241.67000000000002</v>
      </c>
    </row>
    <row r="3115" spans="1:11" x14ac:dyDescent="0.3">
      <c r="A3115" s="36" t="s">
        <v>90</v>
      </c>
      <c r="B3115" s="36">
        <v>2024</v>
      </c>
      <c r="C3115" s="36" t="s">
        <v>8</v>
      </c>
      <c r="D3115" s="36" t="s">
        <v>103</v>
      </c>
      <c r="E3115" s="36" t="s">
        <v>105</v>
      </c>
      <c r="F3115" s="36" t="s">
        <v>106</v>
      </c>
      <c r="G3115" s="36" t="s">
        <v>102</v>
      </c>
      <c r="H3115" s="36" t="s">
        <v>104</v>
      </c>
      <c r="I3115" s="36" t="s">
        <v>107</v>
      </c>
      <c r="J3115" s="36">
        <v>815</v>
      </c>
      <c r="K3115" s="36">
        <v>1165.45</v>
      </c>
    </row>
    <row r="3116" spans="1:11" x14ac:dyDescent="0.3">
      <c r="A3116" s="36" t="s">
        <v>97</v>
      </c>
      <c r="B3116" s="36">
        <v>2024</v>
      </c>
      <c r="C3116" s="36" t="s">
        <v>8</v>
      </c>
      <c r="D3116" s="36" t="s">
        <v>103</v>
      </c>
      <c r="E3116" s="36" t="s">
        <v>105</v>
      </c>
      <c r="F3116" s="36" t="s">
        <v>106</v>
      </c>
      <c r="G3116" s="36" t="s">
        <v>102</v>
      </c>
      <c r="H3116" s="36" t="s">
        <v>104</v>
      </c>
      <c r="I3116" s="36" t="s">
        <v>107</v>
      </c>
      <c r="J3116" s="36">
        <v>173</v>
      </c>
      <c r="K3116" s="36">
        <v>247.39</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P901"/>
  <sheetViews>
    <sheetView showGridLines="0" topLeftCell="C1" zoomScaleNormal="85" workbookViewId="0">
      <selection activeCell="H6" sqref="H6"/>
    </sheetView>
  </sheetViews>
  <sheetFormatPr defaultColWidth="8.77734375" defaultRowHeight="18" customHeight="1" x14ac:dyDescent="0.3"/>
  <cols>
    <col min="1" max="1" width="10" style="1" bestFit="1" customWidth="1"/>
    <col min="2" max="2" width="11.77734375" style="1" bestFit="1" customWidth="1"/>
    <col min="3" max="3" width="20.109375" style="1" bestFit="1" customWidth="1"/>
    <col min="4" max="4" width="24.33203125" style="1" bestFit="1" customWidth="1"/>
    <col min="5" max="6" width="12.6640625" style="1" bestFit="1" customWidth="1"/>
    <col min="7" max="7" width="18.77734375" style="1" bestFit="1" customWidth="1"/>
    <col min="8" max="8" width="20" style="1" bestFit="1" customWidth="1"/>
    <col min="9" max="9" width="24.33203125" style="1" bestFit="1" customWidth="1"/>
    <col min="10" max="12" width="8.77734375" style="1"/>
    <col min="13" max="13" width="5.5546875" style="1" bestFit="1" customWidth="1"/>
    <col min="14" max="14" width="15.21875" style="1" bestFit="1" customWidth="1"/>
    <col min="15" max="15" width="8.6640625" style="1" bestFit="1" customWidth="1"/>
    <col min="16" max="16" width="7.6640625" style="1" bestFit="1" customWidth="1"/>
    <col min="17" max="16384" width="8.77734375" style="1"/>
  </cols>
  <sheetData>
    <row r="1" spans="1:16" ht="28.95" customHeight="1" x14ac:dyDescent="0.3">
      <c r="A1" s="2" t="s">
        <v>16</v>
      </c>
      <c r="B1" s="2" t="s">
        <v>17</v>
      </c>
      <c r="C1" s="2" t="s">
        <v>18</v>
      </c>
      <c r="D1" s="2" t="s">
        <v>19</v>
      </c>
      <c r="E1" s="2" t="s">
        <v>20</v>
      </c>
      <c r="F1" s="2" t="s">
        <v>21</v>
      </c>
      <c r="G1" s="2" t="s">
        <v>22</v>
      </c>
      <c r="H1" s="2" t="s">
        <v>39</v>
      </c>
      <c r="I1" s="2" t="s">
        <v>41</v>
      </c>
      <c r="M1" s="45" t="s">
        <v>16</v>
      </c>
      <c r="N1" s="46" t="s">
        <v>63</v>
      </c>
      <c r="O1" s="45" t="s">
        <v>49</v>
      </c>
      <c r="P1" s="45" t="s">
        <v>53</v>
      </c>
    </row>
    <row r="2" spans="1:16" ht="18" customHeight="1" x14ac:dyDescent="0.25">
      <c r="A2" s="38">
        <v>2020</v>
      </c>
      <c r="B2" s="38" t="s">
        <v>0</v>
      </c>
      <c r="C2" s="38" t="s">
        <v>14</v>
      </c>
      <c r="D2" s="39" t="s">
        <v>36</v>
      </c>
      <c r="E2" s="40">
        <v>3566</v>
      </c>
      <c r="F2" s="40">
        <v>5492.76</v>
      </c>
      <c r="G2" s="40">
        <v>5126.576</v>
      </c>
      <c r="H2" s="40">
        <v>1098.5520000000001</v>
      </c>
      <c r="I2" s="41" t="s">
        <v>40</v>
      </c>
      <c r="M2" s="47">
        <v>2020</v>
      </c>
      <c r="N2" s="47" t="s">
        <v>64</v>
      </c>
      <c r="O2" s="48">
        <v>364236</v>
      </c>
      <c r="P2" s="49">
        <v>501558.1999999999</v>
      </c>
    </row>
    <row r="3" spans="1:16" ht="18" customHeight="1" x14ac:dyDescent="0.25">
      <c r="A3" s="38">
        <v>2020</v>
      </c>
      <c r="B3" s="38" t="s">
        <v>0</v>
      </c>
      <c r="C3" s="38" t="s">
        <v>14</v>
      </c>
      <c r="D3" s="39" t="s">
        <v>37</v>
      </c>
      <c r="E3" s="40">
        <v>2498</v>
      </c>
      <c r="F3" s="40">
        <v>9600</v>
      </c>
      <c r="G3" s="40">
        <v>8960</v>
      </c>
      <c r="H3" s="40">
        <v>1920</v>
      </c>
      <c r="I3" s="41" t="s">
        <v>40</v>
      </c>
      <c r="M3" s="47">
        <v>2020</v>
      </c>
      <c r="N3" s="47" t="s">
        <v>65</v>
      </c>
      <c r="O3" s="48">
        <v>197480</v>
      </c>
      <c r="P3" s="49">
        <v>360897.68000000005</v>
      </c>
    </row>
    <row r="4" spans="1:16" ht="18" customHeight="1" x14ac:dyDescent="0.25">
      <c r="A4" s="38">
        <v>2020</v>
      </c>
      <c r="B4" s="38" t="s">
        <v>0</v>
      </c>
      <c r="C4" s="38" t="s">
        <v>13</v>
      </c>
      <c r="D4" s="39" t="s">
        <v>35</v>
      </c>
      <c r="E4" s="40">
        <v>1245</v>
      </c>
      <c r="F4" s="40">
        <v>5492.6399999999994</v>
      </c>
      <c r="G4" s="40">
        <v>5126.4639999999999</v>
      </c>
      <c r="H4" s="40">
        <v>1098.528</v>
      </c>
      <c r="I4" s="41" t="s">
        <v>40</v>
      </c>
      <c r="M4" s="47">
        <v>2020</v>
      </c>
      <c r="N4" s="47" t="s">
        <v>66</v>
      </c>
      <c r="O4" s="48">
        <v>187412</v>
      </c>
      <c r="P4" s="49">
        <v>227490.12000000002</v>
      </c>
    </row>
    <row r="5" spans="1:16" ht="18" customHeight="1" x14ac:dyDescent="0.25">
      <c r="A5" s="38">
        <v>2020</v>
      </c>
      <c r="B5" s="38" t="s">
        <v>0</v>
      </c>
      <c r="C5" s="38" t="s">
        <v>38</v>
      </c>
      <c r="D5" s="42" t="s">
        <v>30</v>
      </c>
      <c r="E5" s="43">
        <v>644</v>
      </c>
      <c r="F5" s="43">
        <v>6892.2</v>
      </c>
      <c r="G5" s="43">
        <v>6432.72</v>
      </c>
      <c r="H5" s="40">
        <v>1378.44</v>
      </c>
      <c r="I5" s="41" t="s">
        <v>40</v>
      </c>
      <c r="M5" s="47">
        <v>2020</v>
      </c>
      <c r="N5" s="47" t="s">
        <v>67</v>
      </c>
      <c r="O5" s="48">
        <v>167840</v>
      </c>
      <c r="P5" s="49">
        <v>281795.8000000001</v>
      </c>
    </row>
    <row r="6" spans="1:16" ht="18" customHeight="1" x14ac:dyDescent="0.25">
      <c r="A6" s="38">
        <v>2020</v>
      </c>
      <c r="B6" s="38" t="s">
        <v>0</v>
      </c>
      <c r="C6" s="38" t="s">
        <v>12</v>
      </c>
      <c r="D6" s="42" t="s">
        <v>29</v>
      </c>
      <c r="E6" s="43">
        <v>643</v>
      </c>
      <c r="F6" s="43">
        <v>7700</v>
      </c>
      <c r="G6" s="43">
        <v>7840</v>
      </c>
      <c r="H6" s="40">
        <v>1540</v>
      </c>
      <c r="I6" s="41" t="s">
        <v>40</v>
      </c>
      <c r="M6" s="47">
        <v>2020</v>
      </c>
      <c r="N6" s="47" t="s">
        <v>68</v>
      </c>
      <c r="O6" s="48">
        <v>126472</v>
      </c>
      <c r="P6" s="49">
        <v>206264.59999999995</v>
      </c>
    </row>
    <row r="7" spans="1:16" ht="18" customHeight="1" x14ac:dyDescent="0.25">
      <c r="A7" s="38">
        <v>2020</v>
      </c>
      <c r="B7" s="38" t="s">
        <v>0</v>
      </c>
      <c r="C7" s="38" t="s">
        <v>38</v>
      </c>
      <c r="D7" s="42" t="s">
        <v>31</v>
      </c>
      <c r="E7" s="43">
        <v>455</v>
      </c>
      <c r="F7" s="43">
        <v>5265.39</v>
      </c>
      <c r="G7" s="43">
        <v>5128.0320000000002</v>
      </c>
      <c r="H7" s="40">
        <v>1053.0780000000002</v>
      </c>
      <c r="I7" s="41" t="s">
        <v>40</v>
      </c>
      <c r="M7" s="47">
        <v>2020</v>
      </c>
      <c r="N7" s="47" t="s">
        <v>69</v>
      </c>
      <c r="O7" s="48">
        <v>125960</v>
      </c>
      <c r="P7" s="49">
        <v>202419.35999999975</v>
      </c>
    </row>
    <row r="8" spans="1:16" ht="18" customHeight="1" x14ac:dyDescent="0.25">
      <c r="A8" s="38">
        <v>2020</v>
      </c>
      <c r="B8" s="38" t="s">
        <v>0</v>
      </c>
      <c r="C8" s="38" t="s">
        <v>12</v>
      </c>
      <c r="D8" s="42" t="s">
        <v>28</v>
      </c>
      <c r="E8" s="44">
        <v>345</v>
      </c>
      <c r="F8" s="44">
        <v>9016</v>
      </c>
      <c r="G8" s="44">
        <v>7840</v>
      </c>
      <c r="H8" s="40">
        <v>1803.2</v>
      </c>
      <c r="I8" s="41" t="s">
        <v>40</v>
      </c>
      <c r="M8" s="47">
        <v>2021</v>
      </c>
      <c r="N8" s="47" t="s">
        <v>64</v>
      </c>
      <c r="O8" s="48">
        <v>342724</v>
      </c>
      <c r="P8" s="49">
        <v>509978.03999999992</v>
      </c>
    </row>
    <row r="9" spans="1:16" ht="18" customHeight="1" x14ac:dyDescent="0.25">
      <c r="A9" s="38">
        <v>2020</v>
      </c>
      <c r="B9" s="38" t="s">
        <v>0</v>
      </c>
      <c r="C9" s="38" t="s">
        <v>13</v>
      </c>
      <c r="D9" s="39" t="s">
        <v>33</v>
      </c>
      <c r="E9" s="40">
        <v>122</v>
      </c>
      <c r="F9" s="40">
        <v>2696.75</v>
      </c>
      <c r="G9" s="40">
        <v>112</v>
      </c>
      <c r="H9" s="40">
        <v>539.35</v>
      </c>
      <c r="I9" s="41" t="s">
        <v>40</v>
      </c>
      <c r="M9" s="47">
        <v>2021</v>
      </c>
      <c r="N9" s="47" t="s">
        <v>65</v>
      </c>
      <c r="O9" s="48">
        <v>238460</v>
      </c>
      <c r="P9" s="49">
        <v>280188.47999999992</v>
      </c>
    </row>
    <row r="10" spans="1:16" ht="18" customHeight="1" x14ac:dyDescent="0.25">
      <c r="A10" s="38">
        <v>2020</v>
      </c>
      <c r="B10" s="38" t="s">
        <v>0</v>
      </c>
      <c r="C10" s="38" t="s">
        <v>15</v>
      </c>
      <c r="D10" s="42" t="s">
        <v>26</v>
      </c>
      <c r="E10" s="43">
        <v>78</v>
      </c>
      <c r="F10" s="43">
        <v>5492.6399999999994</v>
      </c>
      <c r="G10" s="43">
        <v>5126.4639999999999</v>
      </c>
      <c r="H10" s="40">
        <v>1098.528</v>
      </c>
      <c r="I10" s="41" t="s">
        <v>40</v>
      </c>
      <c r="M10" s="47">
        <v>2021</v>
      </c>
      <c r="N10" s="47" t="s">
        <v>66</v>
      </c>
      <c r="O10" s="48">
        <v>231288</v>
      </c>
      <c r="P10" s="49">
        <v>209586.52000000019</v>
      </c>
    </row>
    <row r="11" spans="1:16" ht="18" customHeight="1" x14ac:dyDescent="0.25">
      <c r="A11" s="38">
        <v>2020</v>
      </c>
      <c r="B11" s="38" t="s">
        <v>0</v>
      </c>
      <c r="C11" s="38" t="s">
        <v>15</v>
      </c>
      <c r="D11" s="42" t="s">
        <v>24</v>
      </c>
      <c r="E11" s="43">
        <v>76</v>
      </c>
      <c r="F11" s="43">
        <v>5492.28</v>
      </c>
      <c r="G11" s="43">
        <v>5126.1279999999997</v>
      </c>
      <c r="H11" s="40">
        <v>1098.4559999999999</v>
      </c>
      <c r="I11" s="41" t="s">
        <v>40</v>
      </c>
      <c r="M11" s="47">
        <v>2021</v>
      </c>
      <c r="N11" s="47" t="s">
        <v>67</v>
      </c>
      <c r="O11" s="48">
        <v>210228</v>
      </c>
      <c r="P11" s="49">
        <v>273633.36</v>
      </c>
    </row>
    <row r="12" spans="1:16" ht="18" customHeight="1" x14ac:dyDescent="0.25">
      <c r="A12" s="38">
        <v>2020</v>
      </c>
      <c r="B12" s="38" t="s">
        <v>0</v>
      </c>
      <c r="C12" s="38" t="s">
        <v>15</v>
      </c>
      <c r="D12" s="42" t="s">
        <v>25</v>
      </c>
      <c r="E12" s="43">
        <v>46</v>
      </c>
      <c r="F12" s="43">
        <v>240</v>
      </c>
      <c r="G12" s="43">
        <v>224</v>
      </c>
      <c r="H12" s="40">
        <v>48</v>
      </c>
      <c r="I12" s="41" t="s">
        <v>40</v>
      </c>
      <c r="M12" s="47">
        <v>2021</v>
      </c>
      <c r="N12" s="47" t="s">
        <v>69</v>
      </c>
      <c r="O12" s="48">
        <v>135984</v>
      </c>
      <c r="P12" s="49">
        <v>204158.23999999973</v>
      </c>
    </row>
    <row r="13" spans="1:16" ht="18" customHeight="1" x14ac:dyDescent="0.25">
      <c r="A13" s="38">
        <v>2020</v>
      </c>
      <c r="B13" s="38" t="s">
        <v>0</v>
      </c>
      <c r="C13" s="38" t="s">
        <v>15</v>
      </c>
      <c r="D13" s="42" t="s">
        <v>23</v>
      </c>
      <c r="E13" s="43">
        <v>34</v>
      </c>
      <c r="F13" s="43">
        <v>5492.16</v>
      </c>
      <c r="G13" s="43">
        <v>5126.0160000000005</v>
      </c>
      <c r="H13" s="40">
        <v>1098.432</v>
      </c>
      <c r="I13" s="41" t="s">
        <v>40</v>
      </c>
      <c r="M13" s="47">
        <v>2021</v>
      </c>
      <c r="N13" s="47" t="s">
        <v>68</v>
      </c>
      <c r="O13" s="48">
        <v>128888</v>
      </c>
      <c r="P13" s="49">
        <v>275347.0400000001</v>
      </c>
    </row>
    <row r="14" spans="1:16" ht="18" customHeight="1" x14ac:dyDescent="0.25">
      <c r="A14" s="38">
        <v>2020</v>
      </c>
      <c r="B14" s="38" t="s">
        <v>0</v>
      </c>
      <c r="C14" s="38" t="s">
        <v>13</v>
      </c>
      <c r="D14" s="39" t="s">
        <v>34</v>
      </c>
      <c r="E14" s="40">
        <v>7</v>
      </c>
      <c r="F14" s="40">
        <v>3666.3</v>
      </c>
      <c r="G14" s="40">
        <v>224</v>
      </c>
      <c r="H14" s="40">
        <v>733.2600000000001</v>
      </c>
      <c r="I14" s="41" t="s">
        <v>40</v>
      </c>
      <c r="M14" s="47">
        <v>2022</v>
      </c>
      <c r="N14" s="47" t="s">
        <v>64</v>
      </c>
      <c r="O14" s="48">
        <v>365892</v>
      </c>
      <c r="P14" s="49">
        <v>524449.6399999999</v>
      </c>
    </row>
    <row r="15" spans="1:16" ht="18" customHeight="1" x14ac:dyDescent="0.25">
      <c r="A15" s="38">
        <v>2020</v>
      </c>
      <c r="B15" s="38" t="s">
        <v>0</v>
      </c>
      <c r="C15" s="38" t="s">
        <v>32</v>
      </c>
      <c r="D15" s="42" t="s">
        <v>32</v>
      </c>
      <c r="E15" s="43">
        <v>3</v>
      </c>
      <c r="F15" s="43">
        <v>7260</v>
      </c>
      <c r="G15" s="43">
        <v>7392</v>
      </c>
      <c r="H15" s="40">
        <v>1452</v>
      </c>
      <c r="I15" s="41" t="s">
        <v>40</v>
      </c>
      <c r="M15" s="47">
        <v>2022</v>
      </c>
      <c r="N15" s="47" t="s">
        <v>66</v>
      </c>
      <c r="O15" s="48">
        <v>188312</v>
      </c>
      <c r="P15" s="49">
        <v>201424.08000000007</v>
      </c>
    </row>
    <row r="16" spans="1:16" ht="18" customHeight="1" x14ac:dyDescent="0.25">
      <c r="A16" s="38">
        <v>2020</v>
      </c>
      <c r="B16" s="38" t="s">
        <v>0</v>
      </c>
      <c r="C16" s="38" t="s">
        <v>15</v>
      </c>
      <c r="D16" s="42" t="s">
        <v>27</v>
      </c>
      <c r="E16" s="43">
        <v>3</v>
      </c>
      <c r="F16" s="43">
        <v>5035.0300000000007</v>
      </c>
      <c r="G16" s="43">
        <v>5126.576</v>
      </c>
      <c r="H16" s="40">
        <v>1007.0060000000002</v>
      </c>
      <c r="I16" s="41" t="s">
        <v>40</v>
      </c>
      <c r="M16" s="47">
        <v>2022</v>
      </c>
      <c r="N16" s="47" t="s">
        <v>65</v>
      </c>
      <c r="O16" s="48">
        <v>387584</v>
      </c>
      <c r="P16" s="49">
        <v>700000</v>
      </c>
    </row>
    <row r="17" spans="1:16" ht="18" customHeight="1" x14ac:dyDescent="0.25">
      <c r="A17" s="38">
        <v>2020</v>
      </c>
      <c r="B17" s="38" t="s">
        <v>1</v>
      </c>
      <c r="C17" s="38" t="s">
        <v>14</v>
      </c>
      <c r="D17" s="39" t="s">
        <v>36</v>
      </c>
      <c r="E17" s="40">
        <v>3566</v>
      </c>
      <c r="F17" s="40">
        <v>5035.0300000000007</v>
      </c>
      <c r="G17" s="40">
        <v>5126.576</v>
      </c>
      <c r="H17" s="40">
        <v>1007.0060000000002</v>
      </c>
      <c r="I17" s="41" t="s">
        <v>40</v>
      </c>
      <c r="M17" s="47">
        <v>2022</v>
      </c>
      <c r="N17" s="47" t="s">
        <v>67</v>
      </c>
      <c r="O17" s="48">
        <v>178572</v>
      </c>
      <c r="P17" s="49">
        <v>255357.95999999996</v>
      </c>
    </row>
    <row r="18" spans="1:16" ht="18" customHeight="1" x14ac:dyDescent="0.25">
      <c r="A18" s="38">
        <v>2020</v>
      </c>
      <c r="B18" s="38" t="s">
        <v>1</v>
      </c>
      <c r="C18" s="38" t="s">
        <v>14</v>
      </c>
      <c r="D18" s="39" t="s">
        <v>37</v>
      </c>
      <c r="E18" s="40">
        <v>2498</v>
      </c>
      <c r="F18" s="40">
        <v>8800</v>
      </c>
      <c r="G18" s="40">
        <v>8960</v>
      </c>
      <c r="H18" s="40">
        <v>1760</v>
      </c>
      <c r="I18" s="41" t="s">
        <v>40</v>
      </c>
      <c r="M18" s="47">
        <v>2022</v>
      </c>
      <c r="N18" s="47" t="s">
        <v>68</v>
      </c>
      <c r="O18" s="48">
        <v>127296</v>
      </c>
      <c r="P18" s="49">
        <v>181256.00000000003</v>
      </c>
    </row>
    <row r="19" spans="1:16" ht="18" customHeight="1" x14ac:dyDescent="0.25">
      <c r="A19" s="38">
        <v>2020</v>
      </c>
      <c r="B19" s="38" t="s">
        <v>1</v>
      </c>
      <c r="C19" s="38" t="s">
        <v>13</v>
      </c>
      <c r="D19" s="39" t="s">
        <v>35</v>
      </c>
      <c r="E19" s="40">
        <v>1245</v>
      </c>
      <c r="F19" s="40">
        <v>5034.92</v>
      </c>
      <c r="G19" s="40">
        <v>5126.4639999999999</v>
      </c>
      <c r="H19" s="40">
        <v>1006.984</v>
      </c>
      <c r="I19" s="41" t="s">
        <v>40</v>
      </c>
      <c r="M19" s="47">
        <v>2022</v>
      </c>
      <c r="N19" s="47" t="s">
        <v>69</v>
      </c>
      <c r="O19" s="48">
        <v>125136</v>
      </c>
      <c r="P19" s="49">
        <v>199811.0399999998</v>
      </c>
    </row>
    <row r="20" spans="1:16" ht="18" customHeight="1" x14ac:dyDescent="0.25">
      <c r="A20" s="38">
        <v>2020</v>
      </c>
      <c r="B20" s="38" t="s">
        <v>1</v>
      </c>
      <c r="C20" s="38" t="s">
        <v>38</v>
      </c>
      <c r="D20" s="42" t="s">
        <v>30</v>
      </c>
      <c r="E20" s="43">
        <v>644</v>
      </c>
      <c r="F20" s="43">
        <v>6317.85</v>
      </c>
      <c r="G20" s="43">
        <v>6432.72</v>
      </c>
      <c r="H20" s="40">
        <v>1263.5700000000002</v>
      </c>
      <c r="I20" s="41" t="s">
        <v>40</v>
      </c>
      <c r="M20" s="47">
        <v>2023</v>
      </c>
      <c r="N20" s="47" t="s">
        <v>64</v>
      </c>
      <c r="O20" s="48">
        <v>204528</v>
      </c>
      <c r="P20" s="49">
        <v>292475.04000000004</v>
      </c>
    </row>
    <row r="21" spans="1:16" ht="18" customHeight="1" x14ac:dyDescent="0.25">
      <c r="A21" s="38">
        <v>2020</v>
      </c>
      <c r="B21" s="38" t="s">
        <v>1</v>
      </c>
      <c r="C21" s="38" t="s">
        <v>12</v>
      </c>
      <c r="D21" s="42" t="s">
        <v>29</v>
      </c>
      <c r="E21" s="43">
        <v>643</v>
      </c>
      <c r="F21" s="43">
        <v>7000</v>
      </c>
      <c r="G21" s="43">
        <v>7840</v>
      </c>
      <c r="H21" s="40">
        <v>1400</v>
      </c>
      <c r="I21" s="41" t="s">
        <v>40</v>
      </c>
      <c r="M21" s="47">
        <v>2023</v>
      </c>
      <c r="N21" s="47" t="s">
        <v>67</v>
      </c>
      <c r="O21" s="48">
        <v>129304</v>
      </c>
      <c r="P21" s="49">
        <v>184904.72</v>
      </c>
    </row>
    <row r="22" spans="1:16" ht="18" customHeight="1" x14ac:dyDescent="0.25">
      <c r="A22" s="38">
        <v>2020</v>
      </c>
      <c r="B22" s="38" t="s">
        <v>1</v>
      </c>
      <c r="C22" s="38" t="s">
        <v>38</v>
      </c>
      <c r="D22" s="42" t="s">
        <v>31</v>
      </c>
      <c r="E22" s="43">
        <v>455</v>
      </c>
      <c r="F22" s="43">
        <v>4578.6000000000004</v>
      </c>
      <c r="G22" s="43">
        <v>5128.0320000000002</v>
      </c>
      <c r="H22" s="40">
        <v>915.72000000000014</v>
      </c>
      <c r="I22" s="41" t="s">
        <v>40</v>
      </c>
      <c r="M22" s="47">
        <v>2023</v>
      </c>
      <c r="N22" s="47" t="s">
        <v>65</v>
      </c>
      <c r="O22" s="48">
        <v>127904</v>
      </c>
      <c r="P22" s="49">
        <v>182902.72000000003</v>
      </c>
    </row>
    <row r="23" spans="1:16" ht="18" customHeight="1" x14ac:dyDescent="0.25">
      <c r="A23" s="38">
        <v>2020</v>
      </c>
      <c r="B23" s="38" t="s">
        <v>1</v>
      </c>
      <c r="C23" s="38" t="s">
        <v>12</v>
      </c>
      <c r="D23" s="42" t="s">
        <v>28</v>
      </c>
      <c r="E23" s="44">
        <v>345</v>
      </c>
      <c r="F23" s="44">
        <v>7000</v>
      </c>
      <c r="G23" s="44">
        <v>7840</v>
      </c>
      <c r="H23" s="40">
        <v>1400</v>
      </c>
      <c r="I23" s="41" t="s">
        <v>40</v>
      </c>
      <c r="M23" s="47">
        <v>2023</v>
      </c>
      <c r="N23" s="47" t="s">
        <v>66</v>
      </c>
      <c r="O23" s="48">
        <v>219404</v>
      </c>
      <c r="P23" s="49">
        <v>212626.8</v>
      </c>
    </row>
    <row r="24" spans="1:16" ht="18" customHeight="1" x14ac:dyDescent="0.25">
      <c r="A24" s="38">
        <v>2020</v>
      </c>
      <c r="B24" s="38" t="s">
        <v>1</v>
      </c>
      <c r="C24" s="38" t="s">
        <v>13</v>
      </c>
      <c r="D24" s="39" t="s">
        <v>33</v>
      </c>
      <c r="E24" s="40">
        <v>122</v>
      </c>
      <c r="F24" s="40">
        <v>100</v>
      </c>
      <c r="G24" s="40">
        <v>112</v>
      </c>
      <c r="H24" s="40">
        <v>20</v>
      </c>
      <c r="I24" s="41" t="s">
        <v>40</v>
      </c>
      <c r="M24" s="47">
        <v>2023</v>
      </c>
      <c r="N24" s="47" t="s">
        <v>69</v>
      </c>
      <c r="O24" s="48">
        <v>73912</v>
      </c>
      <c r="P24" s="49">
        <v>130072.80000000012</v>
      </c>
    </row>
    <row r="25" spans="1:16" ht="18" customHeight="1" x14ac:dyDescent="0.25">
      <c r="A25" s="38">
        <v>2020</v>
      </c>
      <c r="B25" s="38" t="s">
        <v>1</v>
      </c>
      <c r="C25" s="38" t="s">
        <v>15</v>
      </c>
      <c r="D25" s="42" t="s">
        <v>26</v>
      </c>
      <c r="E25" s="43">
        <v>78</v>
      </c>
      <c r="F25" s="43">
        <v>4577.2</v>
      </c>
      <c r="G25" s="43">
        <v>5126.4639999999999</v>
      </c>
      <c r="H25" s="40">
        <v>915.44</v>
      </c>
      <c r="I25" s="41" t="s">
        <v>40</v>
      </c>
      <c r="M25" s="47">
        <v>2023</v>
      </c>
      <c r="N25" s="47" t="s">
        <v>68</v>
      </c>
      <c r="O25" s="48">
        <v>71992</v>
      </c>
      <c r="P25" s="49">
        <v>104238.15999999999</v>
      </c>
    </row>
    <row r="26" spans="1:16" ht="18" customHeight="1" x14ac:dyDescent="0.25">
      <c r="A26" s="38">
        <v>2020</v>
      </c>
      <c r="B26" s="38" t="s">
        <v>1</v>
      </c>
      <c r="C26" s="38" t="s">
        <v>15</v>
      </c>
      <c r="D26" s="42" t="s">
        <v>24</v>
      </c>
      <c r="E26" s="43">
        <v>76</v>
      </c>
      <c r="F26" s="43">
        <v>4576.8999999999996</v>
      </c>
      <c r="G26" s="43">
        <v>5126.1279999999997</v>
      </c>
      <c r="H26" s="40">
        <v>915.38</v>
      </c>
      <c r="I26" s="41" t="s">
        <v>40</v>
      </c>
      <c r="M26" s="47">
        <v>2024</v>
      </c>
      <c r="N26" s="47" t="s">
        <v>64</v>
      </c>
      <c r="O26" s="48">
        <v>190380</v>
      </c>
      <c r="P26" s="49">
        <v>272243.39999999997</v>
      </c>
    </row>
    <row r="27" spans="1:16" ht="18" customHeight="1" x14ac:dyDescent="0.25">
      <c r="A27" s="38">
        <v>2020</v>
      </c>
      <c r="B27" s="38" t="s">
        <v>1</v>
      </c>
      <c r="C27" s="38" t="s">
        <v>15</v>
      </c>
      <c r="D27" s="42" t="s">
        <v>25</v>
      </c>
      <c r="E27" s="43">
        <v>46</v>
      </c>
      <c r="F27" s="43">
        <v>200</v>
      </c>
      <c r="G27" s="43">
        <v>224</v>
      </c>
      <c r="H27" s="40">
        <v>40</v>
      </c>
      <c r="I27" s="41" t="s">
        <v>40</v>
      </c>
      <c r="M27" s="47">
        <v>2024</v>
      </c>
      <c r="N27" s="47" t="s">
        <v>66</v>
      </c>
      <c r="O27" s="48">
        <v>112620</v>
      </c>
      <c r="P27" s="49">
        <v>107044.07999999994</v>
      </c>
    </row>
    <row r="28" spans="1:16" ht="18" customHeight="1" x14ac:dyDescent="0.25">
      <c r="A28" s="38">
        <v>2020</v>
      </c>
      <c r="B28" s="38" t="s">
        <v>1</v>
      </c>
      <c r="C28" s="38" t="s">
        <v>15</v>
      </c>
      <c r="D28" s="42" t="s">
        <v>23</v>
      </c>
      <c r="E28" s="43">
        <v>34</v>
      </c>
      <c r="F28" s="43">
        <v>4576.8</v>
      </c>
      <c r="G28" s="43">
        <v>5126.0160000000005</v>
      </c>
      <c r="H28" s="40">
        <v>915.36000000000013</v>
      </c>
      <c r="I28" s="41" t="s">
        <v>40</v>
      </c>
      <c r="M28" s="47">
        <v>2024</v>
      </c>
      <c r="N28" s="47" t="s">
        <v>65</v>
      </c>
      <c r="O28" s="48">
        <v>109940</v>
      </c>
      <c r="P28" s="49">
        <v>157214.20000000007</v>
      </c>
    </row>
    <row r="29" spans="1:16" ht="18" customHeight="1" x14ac:dyDescent="0.25">
      <c r="A29" s="38">
        <v>2020</v>
      </c>
      <c r="B29" s="38" t="s">
        <v>1</v>
      </c>
      <c r="C29" s="38" t="s">
        <v>13</v>
      </c>
      <c r="D29" s="39" t="s">
        <v>34</v>
      </c>
      <c r="E29" s="40">
        <v>7</v>
      </c>
      <c r="F29" s="40">
        <v>200</v>
      </c>
      <c r="G29" s="40">
        <v>224</v>
      </c>
      <c r="H29" s="40">
        <v>40</v>
      </c>
      <c r="I29" s="41" t="s">
        <v>40</v>
      </c>
      <c r="M29" s="47">
        <v>2024</v>
      </c>
      <c r="N29" s="47" t="s">
        <v>67</v>
      </c>
      <c r="O29" s="48">
        <v>106948</v>
      </c>
      <c r="P29" s="49">
        <v>152935.63999999998</v>
      </c>
    </row>
    <row r="30" spans="1:16" ht="18" customHeight="1" x14ac:dyDescent="0.25">
      <c r="A30" s="38">
        <v>2020</v>
      </c>
      <c r="B30" s="38" t="s">
        <v>1</v>
      </c>
      <c r="C30" s="38" t="s">
        <v>15</v>
      </c>
      <c r="D30" s="42" t="s">
        <v>27</v>
      </c>
      <c r="E30" s="43">
        <v>3</v>
      </c>
      <c r="F30" s="43">
        <v>4577.3</v>
      </c>
      <c r="G30" s="43">
        <v>5126.576</v>
      </c>
      <c r="H30" s="40">
        <v>915.46</v>
      </c>
      <c r="I30" s="41" t="s">
        <v>40</v>
      </c>
      <c r="M30" s="47">
        <v>2024</v>
      </c>
      <c r="N30" s="47" t="s">
        <v>69</v>
      </c>
      <c r="O30" s="48">
        <v>62256</v>
      </c>
      <c r="P30" s="49">
        <v>100660.56000000013</v>
      </c>
    </row>
    <row r="31" spans="1:16" ht="18" customHeight="1" x14ac:dyDescent="0.25">
      <c r="A31" s="38">
        <v>2020</v>
      </c>
      <c r="B31" s="38" t="s">
        <v>1</v>
      </c>
      <c r="C31" s="38" t="s">
        <v>32</v>
      </c>
      <c r="D31" s="42" t="s">
        <v>32</v>
      </c>
      <c r="E31" s="43">
        <v>2</v>
      </c>
      <c r="F31" s="43">
        <v>6600</v>
      </c>
      <c r="G31" s="43">
        <v>7392</v>
      </c>
      <c r="H31" s="40">
        <v>1320</v>
      </c>
      <c r="I31" s="41" t="s">
        <v>40</v>
      </c>
      <c r="M31" s="47">
        <v>2024</v>
      </c>
      <c r="N31" s="47" t="s">
        <v>68</v>
      </c>
      <c r="O31" s="48">
        <v>62240</v>
      </c>
      <c r="P31" s="49">
        <v>90151.200000000041</v>
      </c>
    </row>
    <row r="32" spans="1:16" ht="18" customHeight="1" x14ac:dyDescent="0.25">
      <c r="A32" s="38">
        <v>2020</v>
      </c>
      <c r="B32" s="38" t="s">
        <v>2</v>
      </c>
      <c r="C32" s="38" t="s">
        <v>14</v>
      </c>
      <c r="D32" s="39" t="s">
        <v>36</v>
      </c>
      <c r="E32" s="40">
        <v>3566</v>
      </c>
      <c r="F32" s="40">
        <v>4577.3</v>
      </c>
      <c r="G32" s="40">
        <v>5126.576</v>
      </c>
      <c r="H32" s="40">
        <v>915.46</v>
      </c>
      <c r="I32" s="41" t="s">
        <v>40</v>
      </c>
    </row>
    <row r="33" spans="1:9" ht="18" customHeight="1" x14ac:dyDescent="0.25">
      <c r="A33" s="38">
        <v>2020</v>
      </c>
      <c r="B33" s="38" t="s">
        <v>2</v>
      </c>
      <c r="C33" s="38" t="s">
        <v>14</v>
      </c>
      <c r="D33" s="39" t="s">
        <v>37</v>
      </c>
      <c r="E33" s="40">
        <v>2498</v>
      </c>
      <c r="F33" s="40">
        <v>8000</v>
      </c>
      <c r="G33" s="40">
        <v>8960</v>
      </c>
      <c r="H33" s="40">
        <v>1600</v>
      </c>
      <c r="I33" s="41" t="s">
        <v>40</v>
      </c>
    </row>
    <row r="34" spans="1:9" ht="18" customHeight="1" x14ac:dyDescent="0.25">
      <c r="A34" s="38">
        <v>2020</v>
      </c>
      <c r="B34" s="38" t="s">
        <v>2</v>
      </c>
      <c r="C34" s="38" t="s">
        <v>13</v>
      </c>
      <c r="D34" s="39" t="s">
        <v>35</v>
      </c>
      <c r="E34" s="40">
        <v>1245</v>
      </c>
      <c r="F34" s="40">
        <v>4577.2</v>
      </c>
      <c r="G34" s="40">
        <v>5126.4639999999999</v>
      </c>
      <c r="H34" s="40">
        <v>915.44</v>
      </c>
      <c r="I34" s="41" t="s">
        <v>40</v>
      </c>
    </row>
    <row r="35" spans="1:9" ht="18" customHeight="1" x14ac:dyDescent="0.25">
      <c r="A35" s="38">
        <v>2020</v>
      </c>
      <c r="B35" s="38" t="s">
        <v>2</v>
      </c>
      <c r="C35" s="38" t="s">
        <v>38</v>
      </c>
      <c r="D35" s="42" t="s">
        <v>30</v>
      </c>
      <c r="E35" s="43">
        <v>644</v>
      </c>
      <c r="F35" s="43">
        <v>5743.5</v>
      </c>
      <c r="G35" s="43">
        <v>6432.72</v>
      </c>
      <c r="H35" s="40">
        <v>1148.7</v>
      </c>
      <c r="I35" s="41" t="s">
        <v>40</v>
      </c>
    </row>
    <row r="36" spans="1:9" ht="18" customHeight="1" x14ac:dyDescent="0.25">
      <c r="A36" s="38">
        <v>2020</v>
      </c>
      <c r="B36" s="38" t="s">
        <v>2</v>
      </c>
      <c r="C36" s="38" t="s">
        <v>12</v>
      </c>
      <c r="D36" s="42" t="s">
        <v>29</v>
      </c>
      <c r="E36" s="43">
        <v>643</v>
      </c>
      <c r="F36" s="43">
        <v>7000</v>
      </c>
      <c r="G36" s="43">
        <v>7840</v>
      </c>
      <c r="H36" s="40">
        <v>1400</v>
      </c>
      <c r="I36" s="41" t="s">
        <v>40</v>
      </c>
    </row>
    <row r="37" spans="1:9" ht="18" customHeight="1" x14ac:dyDescent="0.25">
      <c r="A37" s="38">
        <v>2020</v>
      </c>
      <c r="B37" s="38" t="s">
        <v>2</v>
      </c>
      <c r="C37" s="38" t="s">
        <v>38</v>
      </c>
      <c r="D37" s="42" t="s">
        <v>31</v>
      </c>
      <c r="E37" s="43">
        <v>455</v>
      </c>
      <c r="F37" s="43">
        <v>4578.6000000000004</v>
      </c>
      <c r="G37" s="43">
        <v>5128.0320000000002</v>
      </c>
      <c r="H37" s="40">
        <v>915.72000000000014</v>
      </c>
      <c r="I37" s="41" t="s">
        <v>40</v>
      </c>
    </row>
    <row r="38" spans="1:9" ht="18" customHeight="1" x14ac:dyDescent="0.25">
      <c r="A38" s="38">
        <v>2020</v>
      </c>
      <c r="B38" s="38" t="s">
        <v>2</v>
      </c>
      <c r="C38" s="38" t="s">
        <v>12</v>
      </c>
      <c r="D38" s="42" t="s">
        <v>28</v>
      </c>
      <c r="E38" s="44">
        <v>345</v>
      </c>
      <c r="F38" s="44">
        <v>7000</v>
      </c>
      <c r="G38" s="44">
        <v>7840</v>
      </c>
      <c r="H38" s="40">
        <v>1400</v>
      </c>
      <c r="I38" s="41" t="s">
        <v>40</v>
      </c>
    </row>
    <row r="39" spans="1:9" ht="18" customHeight="1" x14ac:dyDescent="0.25">
      <c r="A39" s="38">
        <v>2020</v>
      </c>
      <c r="B39" s="38" t="s">
        <v>2</v>
      </c>
      <c r="C39" s="38" t="s">
        <v>13</v>
      </c>
      <c r="D39" s="39" t="s">
        <v>33</v>
      </c>
      <c r="E39" s="40">
        <v>122</v>
      </c>
      <c r="F39" s="40">
        <v>100</v>
      </c>
      <c r="G39" s="40">
        <v>112</v>
      </c>
      <c r="H39" s="40">
        <v>20</v>
      </c>
      <c r="I39" s="41" t="s">
        <v>40</v>
      </c>
    </row>
    <row r="40" spans="1:9" ht="18" customHeight="1" x14ac:dyDescent="0.25">
      <c r="A40" s="38">
        <v>2020</v>
      </c>
      <c r="B40" s="38" t="s">
        <v>2</v>
      </c>
      <c r="C40" s="38" t="s">
        <v>15</v>
      </c>
      <c r="D40" s="42" t="s">
        <v>26</v>
      </c>
      <c r="E40" s="43">
        <v>78</v>
      </c>
      <c r="F40" s="43">
        <v>4577.2</v>
      </c>
      <c r="G40" s="43">
        <v>5126.4639999999999</v>
      </c>
      <c r="H40" s="40">
        <v>915.44</v>
      </c>
      <c r="I40" s="41" t="s">
        <v>40</v>
      </c>
    </row>
    <row r="41" spans="1:9" ht="18" customHeight="1" x14ac:dyDescent="0.25">
      <c r="A41" s="38">
        <v>2020</v>
      </c>
      <c r="B41" s="38" t="s">
        <v>2</v>
      </c>
      <c r="C41" s="38" t="s">
        <v>15</v>
      </c>
      <c r="D41" s="42" t="s">
        <v>24</v>
      </c>
      <c r="E41" s="43">
        <v>76</v>
      </c>
      <c r="F41" s="43">
        <v>4576.8999999999996</v>
      </c>
      <c r="G41" s="43">
        <v>5126.1279999999997</v>
      </c>
      <c r="H41" s="40">
        <v>915.38</v>
      </c>
      <c r="I41" s="41" t="s">
        <v>40</v>
      </c>
    </row>
    <row r="42" spans="1:9" ht="18" customHeight="1" x14ac:dyDescent="0.25">
      <c r="A42" s="38">
        <v>2020</v>
      </c>
      <c r="B42" s="38" t="s">
        <v>2</v>
      </c>
      <c r="C42" s="38" t="s">
        <v>15</v>
      </c>
      <c r="D42" s="42" t="s">
        <v>25</v>
      </c>
      <c r="E42" s="43">
        <v>46</v>
      </c>
      <c r="F42" s="43">
        <v>200</v>
      </c>
      <c r="G42" s="43">
        <v>224</v>
      </c>
      <c r="H42" s="40">
        <v>40</v>
      </c>
      <c r="I42" s="41" t="s">
        <v>40</v>
      </c>
    </row>
    <row r="43" spans="1:9" ht="18" customHeight="1" x14ac:dyDescent="0.25">
      <c r="A43" s="38">
        <v>2020</v>
      </c>
      <c r="B43" s="38" t="s">
        <v>2</v>
      </c>
      <c r="C43" s="38" t="s">
        <v>15</v>
      </c>
      <c r="D43" s="42" t="s">
        <v>23</v>
      </c>
      <c r="E43" s="43">
        <v>34</v>
      </c>
      <c r="F43" s="43">
        <v>4576.8</v>
      </c>
      <c r="G43" s="43">
        <v>5126.0160000000005</v>
      </c>
      <c r="H43" s="40">
        <v>915.36000000000013</v>
      </c>
      <c r="I43" s="41" t="s">
        <v>42</v>
      </c>
    </row>
    <row r="44" spans="1:9" ht="18" customHeight="1" x14ac:dyDescent="0.25">
      <c r="A44" s="38">
        <v>2020</v>
      </c>
      <c r="B44" s="38" t="s">
        <v>2</v>
      </c>
      <c r="C44" s="38" t="s">
        <v>13</v>
      </c>
      <c r="D44" s="39" t="s">
        <v>34</v>
      </c>
      <c r="E44" s="40">
        <v>7</v>
      </c>
      <c r="F44" s="40">
        <v>200</v>
      </c>
      <c r="G44" s="40">
        <v>224</v>
      </c>
      <c r="H44" s="40">
        <v>40</v>
      </c>
      <c r="I44" s="41" t="s">
        <v>42</v>
      </c>
    </row>
    <row r="45" spans="1:9" ht="18" customHeight="1" x14ac:dyDescent="0.25">
      <c r="A45" s="38">
        <v>2020</v>
      </c>
      <c r="B45" s="38" t="s">
        <v>2</v>
      </c>
      <c r="C45" s="38" t="s">
        <v>15</v>
      </c>
      <c r="D45" s="42" t="s">
        <v>27</v>
      </c>
      <c r="E45" s="43">
        <v>3</v>
      </c>
      <c r="F45" s="43">
        <v>3333</v>
      </c>
      <c r="G45" s="43">
        <v>5126.576</v>
      </c>
      <c r="H45" s="40">
        <v>666.6</v>
      </c>
      <c r="I45" s="41" t="s">
        <v>42</v>
      </c>
    </row>
    <row r="46" spans="1:9" ht="18" customHeight="1" x14ac:dyDescent="0.25">
      <c r="A46" s="38">
        <v>2020</v>
      </c>
      <c r="B46" s="38" t="s">
        <v>2</v>
      </c>
      <c r="C46" s="38" t="s">
        <v>32</v>
      </c>
      <c r="D46" s="42" t="s">
        <v>32</v>
      </c>
      <c r="E46" s="43">
        <v>2</v>
      </c>
      <c r="F46" s="43">
        <v>6600</v>
      </c>
      <c r="G46" s="43">
        <v>7392</v>
      </c>
      <c r="H46" s="40">
        <v>1320</v>
      </c>
      <c r="I46" s="41" t="s">
        <v>42</v>
      </c>
    </row>
    <row r="47" spans="1:9" ht="18" customHeight="1" x14ac:dyDescent="0.25">
      <c r="A47" s="38">
        <v>2020</v>
      </c>
      <c r="B47" s="38" t="s">
        <v>3</v>
      </c>
      <c r="C47" s="38" t="s">
        <v>14</v>
      </c>
      <c r="D47" s="39" t="s">
        <v>36</v>
      </c>
      <c r="E47" s="40">
        <v>3566</v>
      </c>
      <c r="F47" s="40">
        <v>4577.3</v>
      </c>
      <c r="G47" s="40">
        <v>5126.576</v>
      </c>
      <c r="H47" s="40">
        <v>915.46</v>
      </c>
      <c r="I47" s="41" t="s">
        <v>42</v>
      </c>
    </row>
    <row r="48" spans="1:9" ht="18" customHeight="1" x14ac:dyDescent="0.25">
      <c r="A48" s="38">
        <v>2020</v>
      </c>
      <c r="B48" s="38" t="s">
        <v>3</v>
      </c>
      <c r="C48" s="38" t="s">
        <v>14</v>
      </c>
      <c r="D48" s="39" t="s">
        <v>37</v>
      </c>
      <c r="E48" s="40">
        <v>2498</v>
      </c>
      <c r="F48" s="40">
        <v>8000</v>
      </c>
      <c r="G48" s="40">
        <v>8960</v>
      </c>
      <c r="H48" s="40">
        <v>1600</v>
      </c>
      <c r="I48" s="41" t="s">
        <v>42</v>
      </c>
    </row>
    <row r="49" spans="1:9" ht="18" customHeight="1" x14ac:dyDescent="0.25">
      <c r="A49" s="38">
        <v>2020</v>
      </c>
      <c r="B49" s="38" t="s">
        <v>3</v>
      </c>
      <c r="C49" s="38" t="s">
        <v>13</v>
      </c>
      <c r="D49" s="39" t="s">
        <v>35</v>
      </c>
      <c r="E49" s="40">
        <v>1245</v>
      </c>
      <c r="F49" s="40">
        <v>4577.2</v>
      </c>
      <c r="G49" s="40">
        <v>5126.4639999999999</v>
      </c>
      <c r="H49" s="40">
        <v>915.44</v>
      </c>
      <c r="I49" s="41" t="s">
        <v>42</v>
      </c>
    </row>
    <row r="50" spans="1:9" ht="18" customHeight="1" x14ac:dyDescent="0.25">
      <c r="A50" s="38">
        <v>2020</v>
      </c>
      <c r="B50" s="38" t="s">
        <v>3</v>
      </c>
      <c r="C50" s="38" t="s">
        <v>38</v>
      </c>
      <c r="D50" s="42" t="s">
        <v>30</v>
      </c>
      <c r="E50" s="43">
        <v>644</v>
      </c>
      <c r="F50" s="43">
        <v>5743.5</v>
      </c>
      <c r="G50" s="43">
        <v>6432.72</v>
      </c>
      <c r="H50" s="40">
        <v>1148.7</v>
      </c>
      <c r="I50" s="41" t="s">
        <v>42</v>
      </c>
    </row>
    <row r="51" spans="1:9" ht="18" customHeight="1" x14ac:dyDescent="0.25">
      <c r="A51" s="38">
        <v>2020</v>
      </c>
      <c r="B51" s="38" t="s">
        <v>3</v>
      </c>
      <c r="C51" s="38" t="s">
        <v>12</v>
      </c>
      <c r="D51" s="42" t="s">
        <v>29</v>
      </c>
      <c r="E51" s="43">
        <v>643</v>
      </c>
      <c r="F51" s="43">
        <v>7000</v>
      </c>
      <c r="G51" s="43">
        <v>7840</v>
      </c>
      <c r="H51" s="40">
        <v>1400</v>
      </c>
      <c r="I51" s="41" t="s">
        <v>42</v>
      </c>
    </row>
    <row r="52" spans="1:9" ht="18" customHeight="1" x14ac:dyDescent="0.25">
      <c r="A52" s="38">
        <v>2020</v>
      </c>
      <c r="B52" s="38" t="s">
        <v>3</v>
      </c>
      <c r="C52" s="38" t="s">
        <v>38</v>
      </c>
      <c r="D52" s="42" t="s">
        <v>31</v>
      </c>
      <c r="E52" s="43">
        <v>455</v>
      </c>
      <c r="F52" s="43">
        <v>4578.6000000000004</v>
      </c>
      <c r="G52" s="43">
        <v>5128.0320000000002</v>
      </c>
      <c r="H52" s="40">
        <v>915.72000000000014</v>
      </c>
      <c r="I52" s="41" t="s">
        <v>42</v>
      </c>
    </row>
    <row r="53" spans="1:9" ht="18" customHeight="1" x14ac:dyDescent="0.25">
      <c r="A53" s="38">
        <v>2020</v>
      </c>
      <c r="B53" s="38" t="s">
        <v>3</v>
      </c>
      <c r="C53" s="38" t="s">
        <v>12</v>
      </c>
      <c r="D53" s="42" t="s">
        <v>28</v>
      </c>
      <c r="E53" s="44">
        <v>345</v>
      </c>
      <c r="F53" s="44">
        <v>7000</v>
      </c>
      <c r="G53" s="44">
        <v>7840</v>
      </c>
      <c r="H53" s="40">
        <v>1400</v>
      </c>
      <c r="I53" s="41" t="s">
        <v>42</v>
      </c>
    </row>
    <row r="54" spans="1:9" ht="18" customHeight="1" x14ac:dyDescent="0.25">
      <c r="A54" s="38">
        <v>2020</v>
      </c>
      <c r="B54" s="38" t="s">
        <v>3</v>
      </c>
      <c r="C54" s="38" t="s">
        <v>13</v>
      </c>
      <c r="D54" s="39" t="s">
        <v>33</v>
      </c>
      <c r="E54" s="40">
        <v>122</v>
      </c>
      <c r="F54" s="40">
        <v>100</v>
      </c>
      <c r="G54" s="40">
        <v>112</v>
      </c>
      <c r="H54" s="40">
        <v>20</v>
      </c>
      <c r="I54" s="41" t="s">
        <v>42</v>
      </c>
    </row>
    <row r="55" spans="1:9" ht="18" customHeight="1" x14ac:dyDescent="0.25">
      <c r="A55" s="38">
        <v>2020</v>
      </c>
      <c r="B55" s="38" t="s">
        <v>3</v>
      </c>
      <c r="C55" s="38" t="s">
        <v>15</v>
      </c>
      <c r="D55" s="42" t="s">
        <v>26</v>
      </c>
      <c r="E55" s="43">
        <v>78</v>
      </c>
      <c r="F55" s="43">
        <v>4577.2</v>
      </c>
      <c r="G55" s="43">
        <v>5126.4639999999999</v>
      </c>
      <c r="H55" s="40">
        <v>915.44</v>
      </c>
      <c r="I55" s="41" t="s">
        <v>42</v>
      </c>
    </row>
    <row r="56" spans="1:9" ht="18" customHeight="1" x14ac:dyDescent="0.25">
      <c r="A56" s="38">
        <v>2020</v>
      </c>
      <c r="B56" s="38" t="s">
        <v>3</v>
      </c>
      <c r="C56" s="38" t="s">
        <v>15</v>
      </c>
      <c r="D56" s="42" t="s">
        <v>24</v>
      </c>
      <c r="E56" s="43">
        <v>76</v>
      </c>
      <c r="F56" s="43">
        <v>4576.8999999999996</v>
      </c>
      <c r="G56" s="43">
        <v>5126.1279999999997</v>
      </c>
      <c r="H56" s="40">
        <v>915.38</v>
      </c>
      <c r="I56" s="41" t="s">
        <v>42</v>
      </c>
    </row>
    <row r="57" spans="1:9" ht="18" customHeight="1" x14ac:dyDescent="0.25">
      <c r="A57" s="38">
        <v>2020</v>
      </c>
      <c r="B57" s="38" t="s">
        <v>3</v>
      </c>
      <c r="C57" s="38" t="s">
        <v>15</v>
      </c>
      <c r="D57" s="42" t="s">
        <v>25</v>
      </c>
      <c r="E57" s="43">
        <v>46</v>
      </c>
      <c r="F57" s="43">
        <v>200</v>
      </c>
      <c r="G57" s="43">
        <v>224</v>
      </c>
      <c r="H57" s="40">
        <v>40</v>
      </c>
      <c r="I57" s="41" t="s">
        <v>42</v>
      </c>
    </row>
    <row r="58" spans="1:9" ht="18" customHeight="1" x14ac:dyDescent="0.25">
      <c r="A58" s="38">
        <v>2020</v>
      </c>
      <c r="B58" s="38" t="s">
        <v>3</v>
      </c>
      <c r="C58" s="38" t="s">
        <v>15</v>
      </c>
      <c r="D58" s="42" t="s">
        <v>23</v>
      </c>
      <c r="E58" s="43">
        <v>34</v>
      </c>
      <c r="F58" s="43">
        <v>4576.8</v>
      </c>
      <c r="G58" s="43">
        <v>5126.0160000000005</v>
      </c>
      <c r="H58" s="40">
        <v>915.36000000000013</v>
      </c>
      <c r="I58" s="41" t="s">
        <v>42</v>
      </c>
    </row>
    <row r="59" spans="1:9" ht="18" customHeight="1" x14ac:dyDescent="0.25">
      <c r="A59" s="38">
        <v>2020</v>
      </c>
      <c r="B59" s="38" t="s">
        <v>3</v>
      </c>
      <c r="C59" s="38" t="s">
        <v>13</v>
      </c>
      <c r="D59" s="39" t="s">
        <v>34</v>
      </c>
      <c r="E59" s="40">
        <v>7</v>
      </c>
      <c r="F59" s="40">
        <v>200</v>
      </c>
      <c r="G59" s="40">
        <v>224</v>
      </c>
      <c r="H59" s="40">
        <v>40</v>
      </c>
      <c r="I59" s="41" t="s">
        <v>42</v>
      </c>
    </row>
    <row r="60" spans="1:9" ht="18" customHeight="1" x14ac:dyDescent="0.25">
      <c r="A60" s="38">
        <v>2020</v>
      </c>
      <c r="B60" s="38" t="s">
        <v>3</v>
      </c>
      <c r="C60" s="38" t="s">
        <v>15</v>
      </c>
      <c r="D60" s="42" t="s">
        <v>27</v>
      </c>
      <c r="E60" s="43">
        <v>3</v>
      </c>
      <c r="F60" s="43">
        <v>4577.3</v>
      </c>
      <c r="G60" s="43">
        <v>5126.576</v>
      </c>
      <c r="H60" s="40">
        <v>915.46</v>
      </c>
      <c r="I60" s="41" t="s">
        <v>42</v>
      </c>
    </row>
    <row r="61" spans="1:9" ht="18" customHeight="1" x14ac:dyDescent="0.25">
      <c r="A61" s="38">
        <v>2020</v>
      </c>
      <c r="B61" s="38" t="s">
        <v>3</v>
      </c>
      <c r="C61" s="38" t="s">
        <v>32</v>
      </c>
      <c r="D61" s="42" t="s">
        <v>32</v>
      </c>
      <c r="E61" s="43">
        <v>2</v>
      </c>
      <c r="F61" s="43">
        <v>6600</v>
      </c>
      <c r="G61" s="43">
        <v>7392</v>
      </c>
      <c r="H61" s="40">
        <v>1320</v>
      </c>
      <c r="I61" s="41" t="s">
        <v>42</v>
      </c>
    </row>
    <row r="62" spans="1:9" ht="18" customHeight="1" x14ac:dyDescent="0.25">
      <c r="A62" s="38">
        <v>2020</v>
      </c>
      <c r="B62" s="38" t="s">
        <v>4</v>
      </c>
      <c r="C62" s="38" t="s">
        <v>14</v>
      </c>
      <c r="D62" s="39" t="s">
        <v>36</v>
      </c>
      <c r="E62" s="40">
        <v>3566</v>
      </c>
      <c r="F62" s="40">
        <v>4577.3</v>
      </c>
      <c r="G62" s="40">
        <v>5126.576</v>
      </c>
      <c r="H62" s="40">
        <v>915.46</v>
      </c>
      <c r="I62" s="41" t="s">
        <v>42</v>
      </c>
    </row>
    <row r="63" spans="1:9" ht="18" customHeight="1" x14ac:dyDescent="0.25">
      <c r="A63" s="38">
        <v>2020</v>
      </c>
      <c r="B63" s="38" t="s">
        <v>4</v>
      </c>
      <c r="C63" s="38" t="s">
        <v>14</v>
      </c>
      <c r="D63" s="39" t="s">
        <v>37</v>
      </c>
      <c r="E63" s="40">
        <v>2498</v>
      </c>
      <c r="F63" s="40">
        <v>8000</v>
      </c>
      <c r="G63" s="40">
        <v>8960</v>
      </c>
      <c r="H63" s="40">
        <v>1600</v>
      </c>
      <c r="I63" s="41" t="s">
        <v>42</v>
      </c>
    </row>
    <row r="64" spans="1:9" ht="18" customHeight="1" x14ac:dyDescent="0.25">
      <c r="A64" s="38">
        <v>2020</v>
      </c>
      <c r="B64" s="38" t="s">
        <v>4</v>
      </c>
      <c r="C64" s="38" t="s">
        <v>13</v>
      </c>
      <c r="D64" s="39" t="s">
        <v>35</v>
      </c>
      <c r="E64" s="40">
        <v>1245</v>
      </c>
      <c r="F64" s="40">
        <v>4577.2</v>
      </c>
      <c r="G64" s="40">
        <v>5126.4639999999999</v>
      </c>
      <c r="H64" s="40">
        <v>915.44</v>
      </c>
      <c r="I64" s="41" t="s">
        <v>42</v>
      </c>
    </row>
    <row r="65" spans="1:9" ht="18" customHeight="1" x14ac:dyDescent="0.25">
      <c r="A65" s="38">
        <v>2020</v>
      </c>
      <c r="B65" s="38" t="s">
        <v>4</v>
      </c>
      <c r="C65" s="38" t="s">
        <v>38</v>
      </c>
      <c r="D65" s="42" t="s">
        <v>30</v>
      </c>
      <c r="E65" s="43">
        <v>644</v>
      </c>
      <c r="F65" s="43">
        <v>5743.5</v>
      </c>
      <c r="G65" s="43">
        <v>6432.72</v>
      </c>
      <c r="H65" s="40">
        <v>1148.7</v>
      </c>
      <c r="I65" s="41" t="s">
        <v>42</v>
      </c>
    </row>
    <row r="66" spans="1:9" ht="18" customHeight="1" x14ac:dyDescent="0.25">
      <c r="A66" s="38">
        <v>2020</v>
      </c>
      <c r="B66" s="38" t="s">
        <v>4</v>
      </c>
      <c r="C66" s="38" t="s">
        <v>12</v>
      </c>
      <c r="D66" s="42" t="s">
        <v>29</v>
      </c>
      <c r="E66" s="43">
        <v>643</v>
      </c>
      <c r="F66" s="43">
        <v>7000</v>
      </c>
      <c r="G66" s="43">
        <v>7840</v>
      </c>
      <c r="H66" s="40">
        <v>1400</v>
      </c>
      <c r="I66" s="41" t="s">
        <v>40</v>
      </c>
    </row>
    <row r="67" spans="1:9" ht="18" customHeight="1" x14ac:dyDescent="0.25">
      <c r="A67" s="38">
        <v>2020</v>
      </c>
      <c r="B67" s="38" t="s">
        <v>4</v>
      </c>
      <c r="C67" s="38" t="s">
        <v>38</v>
      </c>
      <c r="D67" s="42" t="s">
        <v>31</v>
      </c>
      <c r="E67" s="43">
        <v>455</v>
      </c>
      <c r="F67" s="43">
        <v>4578.6000000000004</v>
      </c>
      <c r="G67" s="43">
        <v>5128.0320000000002</v>
      </c>
      <c r="H67" s="40">
        <v>915.72000000000014</v>
      </c>
      <c r="I67" s="41" t="s">
        <v>40</v>
      </c>
    </row>
    <row r="68" spans="1:9" ht="18" customHeight="1" x14ac:dyDescent="0.25">
      <c r="A68" s="38">
        <v>2020</v>
      </c>
      <c r="B68" s="38" t="s">
        <v>4</v>
      </c>
      <c r="C68" s="38" t="s">
        <v>12</v>
      </c>
      <c r="D68" s="42" t="s">
        <v>28</v>
      </c>
      <c r="E68" s="44">
        <v>345</v>
      </c>
      <c r="F68" s="44">
        <v>7000</v>
      </c>
      <c r="G68" s="44">
        <v>7840</v>
      </c>
      <c r="H68" s="40">
        <v>1400</v>
      </c>
      <c r="I68" s="41" t="s">
        <v>40</v>
      </c>
    </row>
    <row r="69" spans="1:9" ht="18" customHeight="1" x14ac:dyDescent="0.25">
      <c r="A69" s="38">
        <v>2020</v>
      </c>
      <c r="B69" s="38" t="s">
        <v>4</v>
      </c>
      <c r="C69" s="38" t="s">
        <v>13</v>
      </c>
      <c r="D69" s="39" t="s">
        <v>33</v>
      </c>
      <c r="E69" s="40">
        <v>122</v>
      </c>
      <c r="F69" s="40">
        <v>100</v>
      </c>
      <c r="G69" s="40">
        <v>112</v>
      </c>
      <c r="H69" s="40">
        <v>20</v>
      </c>
      <c r="I69" s="41" t="s">
        <v>40</v>
      </c>
    </row>
    <row r="70" spans="1:9" ht="18" customHeight="1" x14ac:dyDescent="0.25">
      <c r="A70" s="38">
        <v>2020</v>
      </c>
      <c r="B70" s="38" t="s">
        <v>4</v>
      </c>
      <c r="C70" s="38" t="s">
        <v>15</v>
      </c>
      <c r="D70" s="42" t="s">
        <v>26</v>
      </c>
      <c r="E70" s="43">
        <v>78</v>
      </c>
      <c r="F70" s="43">
        <v>4577.2</v>
      </c>
      <c r="G70" s="43">
        <v>5126.4639999999999</v>
      </c>
      <c r="H70" s="40">
        <v>915.44</v>
      </c>
      <c r="I70" s="41" t="s">
        <v>40</v>
      </c>
    </row>
    <row r="71" spans="1:9" ht="18" customHeight="1" x14ac:dyDescent="0.25">
      <c r="A71" s="38">
        <v>2020</v>
      </c>
      <c r="B71" s="38" t="s">
        <v>4</v>
      </c>
      <c r="C71" s="38" t="s">
        <v>15</v>
      </c>
      <c r="D71" s="42" t="s">
        <v>24</v>
      </c>
      <c r="E71" s="43">
        <v>76</v>
      </c>
      <c r="F71" s="43">
        <v>4576.8999999999996</v>
      </c>
      <c r="G71" s="43">
        <v>5126.1279999999997</v>
      </c>
      <c r="H71" s="40">
        <v>915.38</v>
      </c>
      <c r="I71" s="41" t="s">
        <v>40</v>
      </c>
    </row>
    <row r="72" spans="1:9" ht="18" customHeight="1" x14ac:dyDescent="0.25">
      <c r="A72" s="38">
        <v>2020</v>
      </c>
      <c r="B72" s="38" t="s">
        <v>4</v>
      </c>
      <c r="C72" s="38" t="s">
        <v>15</v>
      </c>
      <c r="D72" s="42" t="s">
        <v>25</v>
      </c>
      <c r="E72" s="43">
        <v>46</v>
      </c>
      <c r="F72" s="43">
        <v>200</v>
      </c>
      <c r="G72" s="43">
        <v>224</v>
      </c>
      <c r="H72" s="40">
        <v>40</v>
      </c>
      <c r="I72" s="41" t="s">
        <v>40</v>
      </c>
    </row>
    <row r="73" spans="1:9" ht="18" customHeight="1" x14ac:dyDescent="0.25">
      <c r="A73" s="38">
        <v>2020</v>
      </c>
      <c r="B73" s="38" t="s">
        <v>4</v>
      </c>
      <c r="C73" s="38" t="s">
        <v>15</v>
      </c>
      <c r="D73" s="42" t="s">
        <v>23</v>
      </c>
      <c r="E73" s="43">
        <v>34</v>
      </c>
      <c r="F73" s="43">
        <v>4576.8</v>
      </c>
      <c r="G73" s="43">
        <v>5126.0160000000005</v>
      </c>
      <c r="H73" s="40">
        <v>915.36000000000013</v>
      </c>
      <c r="I73" s="41" t="s">
        <v>40</v>
      </c>
    </row>
    <row r="74" spans="1:9" ht="18" customHeight="1" x14ac:dyDescent="0.25">
      <c r="A74" s="38">
        <v>2020</v>
      </c>
      <c r="B74" s="38" t="s">
        <v>4</v>
      </c>
      <c r="C74" s="38" t="s">
        <v>13</v>
      </c>
      <c r="D74" s="39" t="s">
        <v>34</v>
      </c>
      <c r="E74" s="40">
        <v>7</v>
      </c>
      <c r="F74" s="40">
        <v>200</v>
      </c>
      <c r="G74" s="40">
        <v>224</v>
      </c>
      <c r="H74" s="40">
        <v>40</v>
      </c>
      <c r="I74" s="41" t="s">
        <v>40</v>
      </c>
    </row>
    <row r="75" spans="1:9" ht="18" customHeight="1" x14ac:dyDescent="0.25">
      <c r="A75" s="38">
        <v>2020</v>
      </c>
      <c r="B75" s="38" t="s">
        <v>4</v>
      </c>
      <c r="C75" s="38" t="s">
        <v>15</v>
      </c>
      <c r="D75" s="42" t="s">
        <v>27</v>
      </c>
      <c r="E75" s="43">
        <v>3</v>
      </c>
      <c r="F75" s="43">
        <v>4577.3</v>
      </c>
      <c r="G75" s="43">
        <v>5126.576</v>
      </c>
      <c r="H75" s="40">
        <v>915.46</v>
      </c>
      <c r="I75" s="41" t="s">
        <v>40</v>
      </c>
    </row>
    <row r="76" spans="1:9" ht="18" customHeight="1" x14ac:dyDescent="0.25">
      <c r="A76" s="38">
        <v>2020</v>
      </c>
      <c r="B76" s="38" t="s">
        <v>4</v>
      </c>
      <c r="C76" s="38" t="s">
        <v>32</v>
      </c>
      <c r="D76" s="42" t="s">
        <v>32</v>
      </c>
      <c r="E76" s="43">
        <v>2</v>
      </c>
      <c r="F76" s="43">
        <v>6600</v>
      </c>
      <c r="G76" s="43">
        <v>7392</v>
      </c>
      <c r="H76" s="40">
        <v>1320</v>
      </c>
      <c r="I76" s="41" t="s">
        <v>40</v>
      </c>
    </row>
    <row r="77" spans="1:9" ht="18" customHeight="1" x14ac:dyDescent="0.25">
      <c r="A77" s="38">
        <v>2020</v>
      </c>
      <c r="B77" s="38" t="s">
        <v>5</v>
      </c>
      <c r="C77" s="38" t="s">
        <v>14</v>
      </c>
      <c r="D77" s="39" t="s">
        <v>36</v>
      </c>
      <c r="E77" s="40">
        <v>3566</v>
      </c>
      <c r="F77" s="40">
        <v>4577.3</v>
      </c>
      <c r="G77" s="40">
        <v>5126.576</v>
      </c>
      <c r="H77" s="40">
        <v>915.46</v>
      </c>
      <c r="I77" s="41" t="s">
        <v>40</v>
      </c>
    </row>
    <row r="78" spans="1:9" ht="18" customHeight="1" x14ac:dyDescent="0.25">
      <c r="A78" s="38">
        <v>2020</v>
      </c>
      <c r="B78" s="38" t="s">
        <v>5</v>
      </c>
      <c r="C78" s="38" t="s">
        <v>14</v>
      </c>
      <c r="D78" s="39" t="s">
        <v>37</v>
      </c>
      <c r="E78" s="40">
        <v>2498</v>
      </c>
      <c r="F78" s="40">
        <v>8000</v>
      </c>
      <c r="G78" s="40">
        <v>8960</v>
      </c>
      <c r="H78" s="40">
        <v>1600</v>
      </c>
      <c r="I78" s="41" t="s">
        <v>40</v>
      </c>
    </row>
    <row r="79" spans="1:9" ht="18" customHeight="1" x14ac:dyDescent="0.25">
      <c r="A79" s="38">
        <v>2020</v>
      </c>
      <c r="B79" s="38" t="s">
        <v>5</v>
      </c>
      <c r="C79" s="38" t="s">
        <v>13</v>
      </c>
      <c r="D79" s="39" t="s">
        <v>35</v>
      </c>
      <c r="E79" s="40">
        <v>1245</v>
      </c>
      <c r="F79" s="40">
        <v>4577.2</v>
      </c>
      <c r="G79" s="40">
        <v>5126.4639999999999</v>
      </c>
      <c r="H79" s="40">
        <v>915.44</v>
      </c>
      <c r="I79" s="41" t="s">
        <v>40</v>
      </c>
    </row>
    <row r="80" spans="1:9" ht="18" customHeight="1" x14ac:dyDescent="0.25">
      <c r="A80" s="38">
        <v>2020</v>
      </c>
      <c r="B80" s="38" t="s">
        <v>5</v>
      </c>
      <c r="C80" s="38" t="s">
        <v>38</v>
      </c>
      <c r="D80" s="42" t="s">
        <v>30</v>
      </c>
      <c r="E80" s="43">
        <v>644</v>
      </c>
      <c r="F80" s="43">
        <v>5743.5</v>
      </c>
      <c r="G80" s="43">
        <v>6432.72</v>
      </c>
      <c r="H80" s="40">
        <v>1148.7</v>
      </c>
      <c r="I80" s="41" t="s">
        <v>40</v>
      </c>
    </row>
    <row r="81" spans="1:9" ht="18" customHeight="1" x14ac:dyDescent="0.25">
      <c r="A81" s="38">
        <v>2020</v>
      </c>
      <c r="B81" s="38" t="s">
        <v>5</v>
      </c>
      <c r="C81" s="38" t="s">
        <v>12</v>
      </c>
      <c r="D81" s="42" t="s">
        <v>29</v>
      </c>
      <c r="E81" s="43">
        <v>643</v>
      </c>
      <c r="F81" s="43">
        <v>7000</v>
      </c>
      <c r="G81" s="43">
        <v>7840</v>
      </c>
      <c r="H81" s="40">
        <v>1400</v>
      </c>
      <c r="I81" s="41" t="s">
        <v>40</v>
      </c>
    </row>
    <row r="82" spans="1:9" ht="18" customHeight="1" x14ac:dyDescent="0.25">
      <c r="A82" s="38">
        <v>2020</v>
      </c>
      <c r="B82" s="38" t="s">
        <v>5</v>
      </c>
      <c r="C82" s="38" t="s">
        <v>38</v>
      </c>
      <c r="D82" s="42" t="s">
        <v>31</v>
      </c>
      <c r="E82" s="43">
        <v>455</v>
      </c>
      <c r="F82" s="43">
        <v>4578.6000000000004</v>
      </c>
      <c r="G82" s="43">
        <v>5128.0320000000002</v>
      </c>
      <c r="H82" s="40">
        <v>915.72000000000014</v>
      </c>
      <c r="I82" s="41" t="s">
        <v>40</v>
      </c>
    </row>
    <row r="83" spans="1:9" ht="18" customHeight="1" x14ac:dyDescent="0.25">
      <c r="A83" s="38">
        <v>2020</v>
      </c>
      <c r="B83" s="38" t="s">
        <v>5</v>
      </c>
      <c r="C83" s="38" t="s">
        <v>12</v>
      </c>
      <c r="D83" s="42" t="s">
        <v>28</v>
      </c>
      <c r="E83" s="44">
        <v>345</v>
      </c>
      <c r="F83" s="44">
        <v>7000</v>
      </c>
      <c r="G83" s="44">
        <v>7840</v>
      </c>
      <c r="H83" s="40">
        <v>1400</v>
      </c>
      <c r="I83" s="41" t="s">
        <v>40</v>
      </c>
    </row>
    <row r="84" spans="1:9" ht="18" customHeight="1" x14ac:dyDescent="0.25">
      <c r="A84" s="38">
        <v>2020</v>
      </c>
      <c r="B84" s="38" t="s">
        <v>5</v>
      </c>
      <c r="C84" s="38" t="s">
        <v>13</v>
      </c>
      <c r="D84" s="39" t="s">
        <v>33</v>
      </c>
      <c r="E84" s="40">
        <v>122</v>
      </c>
      <c r="F84" s="40">
        <v>100</v>
      </c>
      <c r="G84" s="40">
        <v>112</v>
      </c>
      <c r="H84" s="40">
        <v>20</v>
      </c>
      <c r="I84" s="41" t="s">
        <v>40</v>
      </c>
    </row>
    <row r="85" spans="1:9" ht="18" customHeight="1" x14ac:dyDescent="0.25">
      <c r="A85" s="38">
        <v>2020</v>
      </c>
      <c r="B85" s="38" t="s">
        <v>5</v>
      </c>
      <c r="C85" s="38" t="s">
        <v>15</v>
      </c>
      <c r="D85" s="42" t="s">
        <v>26</v>
      </c>
      <c r="E85" s="43">
        <v>78</v>
      </c>
      <c r="F85" s="43">
        <v>4577.2</v>
      </c>
      <c r="G85" s="43">
        <v>5126.4639999999999</v>
      </c>
      <c r="H85" s="40">
        <v>915.44</v>
      </c>
      <c r="I85" s="41" t="s">
        <v>40</v>
      </c>
    </row>
    <row r="86" spans="1:9" ht="18" customHeight="1" x14ac:dyDescent="0.25">
      <c r="A86" s="38">
        <v>2020</v>
      </c>
      <c r="B86" s="38" t="s">
        <v>5</v>
      </c>
      <c r="C86" s="38" t="s">
        <v>15</v>
      </c>
      <c r="D86" s="42" t="s">
        <v>24</v>
      </c>
      <c r="E86" s="43">
        <v>76</v>
      </c>
      <c r="F86" s="43">
        <v>4576.8999999999996</v>
      </c>
      <c r="G86" s="43">
        <v>5126.1279999999997</v>
      </c>
      <c r="H86" s="40">
        <v>915.38</v>
      </c>
      <c r="I86" s="41" t="s">
        <v>40</v>
      </c>
    </row>
    <row r="87" spans="1:9" ht="18" customHeight="1" x14ac:dyDescent="0.25">
      <c r="A87" s="38">
        <v>2020</v>
      </c>
      <c r="B87" s="38" t="s">
        <v>5</v>
      </c>
      <c r="C87" s="38" t="s">
        <v>15</v>
      </c>
      <c r="D87" s="42" t="s">
        <v>25</v>
      </c>
      <c r="E87" s="43">
        <v>46</v>
      </c>
      <c r="F87" s="43">
        <v>200</v>
      </c>
      <c r="G87" s="43">
        <v>224</v>
      </c>
      <c r="H87" s="40">
        <v>40</v>
      </c>
      <c r="I87" s="41" t="s">
        <v>40</v>
      </c>
    </row>
    <row r="88" spans="1:9" ht="18" customHeight="1" x14ac:dyDescent="0.25">
      <c r="A88" s="38">
        <v>2020</v>
      </c>
      <c r="B88" s="38" t="s">
        <v>5</v>
      </c>
      <c r="C88" s="38" t="s">
        <v>15</v>
      </c>
      <c r="D88" s="42" t="s">
        <v>23</v>
      </c>
      <c r="E88" s="43">
        <v>34</v>
      </c>
      <c r="F88" s="43">
        <v>4576.8</v>
      </c>
      <c r="G88" s="43">
        <v>5126.0160000000005</v>
      </c>
      <c r="H88" s="40">
        <v>915.36000000000013</v>
      </c>
      <c r="I88" s="41" t="s">
        <v>40</v>
      </c>
    </row>
    <row r="89" spans="1:9" ht="18" customHeight="1" x14ac:dyDescent="0.25">
      <c r="A89" s="38">
        <v>2020</v>
      </c>
      <c r="B89" s="38" t="s">
        <v>5</v>
      </c>
      <c r="C89" s="38" t="s">
        <v>13</v>
      </c>
      <c r="D89" s="39" t="s">
        <v>34</v>
      </c>
      <c r="E89" s="40">
        <v>7</v>
      </c>
      <c r="F89" s="40">
        <v>200</v>
      </c>
      <c r="G89" s="40">
        <v>224</v>
      </c>
      <c r="H89" s="40">
        <v>40</v>
      </c>
      <c r="I89" s="41" t="s">
        <v>40</v>
      </c>
    </row>
    <row r="90" spans="1:9" ht="18" customHeight="1" x14ac:dyDescent="0.25">
      <c r="A90" s="38">
        <v>2020</v>
      </c>
      <c r="B90" s="38" t="s">
        <v>5</v>
      </c>
      <c r="C90" s="38" t="s">
        <v>32</v>
      </c>
      <c r="D90" s="42" t="s">
        <v>32</v>
      </c>
      <c r="E90" s="43">
        <v>3</v>
      </c>
      <c r="F90" s="43">
        <v>6600</v>
      </c>
      <c r="G90" s="43">
        <v>7392</v>
      </c>
      <c r="H90" s="40">
        <v>1320</v>
      </c>
      <c r="I90" s="41" t="s">
        <v>40</v>
      </c>
    </row>
    <row r="91" spans="1:9" ht="18" customHeight="1" x14ac:dyDescent="0.25">
      <c r="A91" s="38">
        <v>2020</v>
      </c>
      <c r="B91" s="38" t="s">
        <v>5</v>
      </c>
      <c r="C91" s="38" t="s">
        <v>15</v>
      </c>
      <c r="D91" s="42" t="s">
        <v>27</v>
      </c>
      <c r="E91" s="43">
        <v>3</v>
      </c>
      <c r="F91" s="43">
        <v>4577.3</v>
      </c>
      <c r="G91" s="43">
        <v>5126.576</v>
      </c>
      <c r="H91" s="40">
        <v>915.46</v>
      </c>
      <c r="I91" s="41" t="s">
        <v>40</v>
      </c>
    </row>
    <row r="92" spans="1:9" ht="18" customHeight="1" x14ac:dyDescent="0.25">
      <c r="A92" s="38">
        <v>2020</v>
      </c>
      <c r="B92" s="38" t="s">
        <v>6</v>
      </c>
      <c r="C92" s="38" t="s">
        <v>14</v>
      </c>
      <c r="D92" s="39" t="s">
        <v>36</v>
      </c>
      <c r="E92" s="40">
        <v>3566</v>
      </c>
      <c r="F92" s="40">
        <v>4577.3</v>
      </c>
      <c r="G92" s="40">
        <v>5126.576</v>
      </c>
      <c r="H92" s="40">
        <v>915.46</v>
      </c>
      <c r="I92" s="41" t="s">
        <v>40</v>
      </c>
    </row>
    <row r="93" spans="1:9" ht="18" customHeight="1" x14ac:dyDescent="0.25">
      <c r="A93" s="38">
        <v>2020</v>
      </c>
      <c r="B93" s="38" t="s">
        <v>6</v>
      </c>
      <c r="C93" s="38" t="s">
        <v>14</v>
      </c>
      <c r="D93" s="39" t="s">
        <v>37</v>
      </c>
      <c r="E93" s="40">
        <v>2498</v>
      </c>
      <c r="F93" s="40">
        <v>8000</v>
      </c>
      <c r="G93" s="40">
        <v>8960</v>
      </c>
      <c r="H93" s="40">
        <v>1600</v>
      </c>
      <c r="I93" s="41" t="s">
        <v>40</v>
      </c>
    </row>
    <row r="94" spans="1:9" ht="18" customHeight="1" x14ac:dyDescent="0.25">
      <c r="A94" s="38">
        <v>2020</v>
      </c>
      <c r="B94" s="38" t="s">
        <v>6</v>
      </c>
      <c r="C94" s="38" t="s">
        <v>13</v>
      </c>
      <c r="D94" s="39" t="s">
        <v>35</v>
      </c>
      <c r="E94" s="40">
        <v>1245</v>
      </c>
      <c r="F94" s="40">
        <v>4577.2</v>
      </c>
      <c r="G94" s="40">
        <v>5126.4639999999999</v>
      </c>
      <c r="H94" s="40">
        <v>915.44</v>
      </c>
      <c r="I94" s="41" t="s">
        <v>40</v>
      </c>
    </row>
    <row r="95" spans="1:9" ht="18" customHeight="1" x14ac:dyDescent="0.25">
      <c r="A95" s="38">
        <v>2020</v>
      </c>
      <c r="B95" s="38" t="s">
        <v>6</v>
      </c>
      <c r="C95" s="38" t="s">
        <v>38</v>
      </c>
      <c r="D95" s="42" t="s">
        <v>30</v>
      </c>
      <c r="E95" s="43">
        <v>644</v>
      </c>
      <c r="F95" s="43">
        <v>5743.5</v>
      </c>
      <c r="G95" s="43">
        <v>6432.72</v>
      </c>
      <c r="H95" s="40">
        <v>1148.7</v>
      </c>
      <c r="I95" s="41" t="s">
        <v>40</v>
      </c>
    </row>
    <row r="96" spans="1:9" ht="18" customHeight="1" x14ac:dyDescent="0.25">
      <c r="A96" s="38">
        <v>2020</v>
      </c>
      <c r="B96" s="38" t="s">
        <v>6</v>
      </c>
      <c r="C96" s="38" t="s">
        <v>12</v>
      </c>
      <c r="D96" s="42" t="s">
        <v>29</v>
      </c>
      <c r="E96" s="43">
        <v>643</v>
      </c>
      <c r="F96" s="43">
        <v>7000</v>
      </c>
      <c r="G96" s="43">
        <v>7840</v>
      </c>
      <c r="H96" s="40">
        <v>1400</v>
      </c>
      <c r="I96" s="41" t="s">
        <v>40</v>
      </c>
    </row>
    <row r="97" spans="1:9" ht="18" customHeight="1" x14ac:dyDescent="0.25">
      <c r="A97" s="38">
        <v>2020</v>
      </c>
      <c r="B97" s="38" t="s">
        <v>6</v>
      </c>
      <c r="C97" s="38" t="s">
        <v>38</v>
      </c>
      <c r="D97" s="42" t="s">
        <v>31</v>
      </c>
      <c r="E97" s="43">
        <v>455</v>
      </c>
      <c r="F97" s="43">
        <v>4578.6000000000004</v>
      </c>
      <c r="G97" s="43">
        <v>5128.0320000000002</v>
      </c>
      <c r="H97" s="40">
        <v>915.72000000000014</v>
      </c>
      <c r="I97" s="41" t="s">
        <v>40</v>
      </c>
    </row>
    <row r="98" spans="1:9" ht="18" customHeight="1" x14ac:dyDescent="0.25">
      <c r="A98" s="38">
        <v>2020</v>
      </c>
      <c r="B98" s="38" t="s">
        <v>6</v>
      </c>
      <c r="C98" s="38" t="s">
        <v>12</v>
      </c>
      <c r="D98" s="42" t="s">
        <v>28</v>
      </c>
      <c r="E98" s="44">
        <v>345</v>
      </c>
      <c r="F98" s="44">
        <v>7000</v>
      </c>
      <c r="G98" s="44">
        <v>7840</v>
      </c>
      <c r="H98" s="40">
        <v>1400</v>
      </c>
      <c r="I98" s="41" t="s">
        <v>40</v>
      </c>
    </row>
    <row r="99" spans="1:9" ht="18" customHeight="1" x14ac:dyDescent="0.25">
      <c r="A99" s="38">
        <v>2020</v>
      </c>
      <c r="B99" s="38" t="s">
        <v>6</v>
      </c>
      <c r="C99" s="38" t="s">
        <v>13</v>
      </c>
      <c r="D99" s="39" t="s">
        <v>33</v>
      </c>
      <c r="E99" s="40">
        <v>122</v>
      </c>
      <c r="F99" s="40">
        <v>100</v>
      </c>
      <c r="G99" s="40">
        <v>112</v>
      </c>
      <c r="H99" s="40">
        <v>20</v>
      </c>
      <c r="I99" s="41" t="s">
        <v>40</v>
      </c>
    </row>
    <row r="100" spans="1:9" ht="18" customHeight="1" x14ac:dyDescent="0.25">
      <c r="A100" s="38">
        <v>2020</v>
      </c>
      <c r="B100" s="38" t="s">
        <v>6</v>
      </c>
      <c r="C100" s="38" t="s">
        <v>15</v>
      </c>
      <c r="D100" s="42" t="s">
        <v>26</v>
      </c>
      <c r="E100" s="43">
        <v>78</v>
      </c>
      <c r="F100" s="43">
        <v>4577.2</v>
      </c>
      <c r="G100" s="43">
        <v>5126.4639999999999</v>
      </c>
      <c r="H100" s="40">
        <v>915.44</v>
      </c>
      <c r="I100" s="41" t="s">
        <v>40</v>
      </c>
    </row>
    <row r="101" spans="1:9" ht="18" customHeight="1" x14ac:dyDescent="0.25">
      <c r="A101" s="38">
        <v>2020</v>
      </c>
      <c r="B101" s="38" t="s">
        <v>6</v>
      </c>
      <c r="C101" s="38" t="s">
        <v>15</v>
      </c>
      <c r="D101" s="42" t="s">
        <v>24</v>
      </c>
      <c r="E101" s="43">
        <v>76</v>
      </c>
      <c r="F101" s="43">
        <v>4576.8999999999996</v>
      </c>
      <c r="G101" s="43">
        <v>5126.1279999999997</v>
      </c>
      <c r="H101" s="40">
        <v>915.38</v>
      </c>
      <c r="I101" s="41" t="s">
        <v>40</v>
      </c>
    </row>
    <row r="102" spans="1:9" ht="18" customHeight="1" x14ac:dyDescent="0.25">
      <c r="A102" s="38">
        <v>2020</v>
      </c>
      <c r="B102" s="38" t="s">
        <v>6</v>
      </c>
      <c r="C102" s="38" t="s">
        <v>15</v>
      </c>
      <c r="D102" s="42" t="s">
        <v>25</v>
      </c>
      <c r="E102" s="43">
        <v>46</v>
      </c>
      <c r="F102" s="43">
        <v>200</v>
      </c>
      <c r="G102" s="43">
        <v>224</v>
      </c>
      <c r="H102" s="40">
        <v>40</v>
      </c>
      <c r="I102" s="41" t="s">
        <v>40</v>
      </c>
    </row>
    <row r="103" spans="1:9" ht="18" customHeight="1" x14ac:dyDescent="0.25">
      <c r="A103" s="38">
        <v>2020</v>
      </c>
      <c r="B103" s="38" t="s">
        <v>6</v>
      </c>
      <c r="C103" s="38" t="s">
        <v>15</v>
      </c>
      <c r="D103" s="42" t="s">
        <v>23</v>
      </c>
      <c r="E103" s="43">
        <v>34</v>
      </c>
      <c r="F103" s="43">
        <v>4576.8</v>
      </c>
      <c r="G103" s="43">
        <v>5126.0160000000005</v>
      </c>
      <c r="H103" s="40">
        <v>915.36000000000013</v>
      </c>
      <c r="I103" s="41" t="s">
        <v>40</v>
      </c>
    </row>
    <row r="104" spans="1:9" ht="18" customHeight="1" x14ac:dyDescent="0.25">
      <c r="A104" s="38">
        <v>2020</v>
      </c>
      <c r="B104" s="38" t="s">
        <v>6</v>
      </c>
      <c r="C104" s="38" t="s">
        <v>13</v>
      </c>
      <c r="D104" s="39" t="s">
        <v>34</v>
      </c>
      <c r="E104" s="40">
        <v>7</v>
      </c>
      <c r="F104" s="40">
        <v>200</v>
      </c>
      <c r="G104" s="40">
        <v>224</v>
      </c>
      <c r="H104" s="40">
        <v>40</v>
      </c>
      <c r="I104" s="41" t="s">
        <v>40</v>
      </c>
    </row>
    <row r="105" spans="1:9" ht="18" customHeight="1" x14ac:dyDescent="0.25">
      <c r="A105" s="38">
        <v>2020</v>
      </c>
      <c r="B105" s="38" t="s">
        <v>6</v>
      </c>
      <c r="C105" s="38" t="s">
        <v>15</v>
      </c>
      <c r="D105" s="42" t="s">
        <v>27</v>
      </c>
      <c r="E105" s="43">
        <v>3</v>
      </c>
      <c r="F105" s="43">
        <v>4577.3</v>
      </c>
      <c r="G105" s="43">
        <v>5126.576</v>
      </c>
      <c r="H105" s="40">
        <v>915.46</v>
      </c>
      <c r="I105" s="41" t="s">
        <v>40</v>
      </c>
    </row>
    <row r="106" spans="1:9" ht="18" customHeight="1" x14ac:dyDescent="0.25">
      <c r="A106" s="38">
        <v>2020</v>
      </c>
      <c r="B106" s="38" t="s">
        <v>6</v>
      </c>
      <c r="C106" s="38" t="s">
        <v>32</v>
      </c>
      <c r="D106" s="42" t="s">
        <v>32</v>
      </c>
      <c r="E106" s="43">
        <v>2</v>
      </c>
      <c r="F106" s="43">
        <v>6600</v>
      </c>
      <c r="G106" s="43">
        <v>7392</v>
      </c>
      <c r="H106" s="40">
        <v>1320</v>
      </c>
      <c r="I106" s="41" t="s">
        <v>40</v>
      </c>
    </row>
    <row r="107" spans="1:9" ht="18" customHeight="1" x14ac:dyDescent="0.25">
      <c r="A107" s="38">
        <v>2020</v>
      </c>
      <c r="B107" s="38" t="s">
        <v>7</v>
      </c>
      <c r="C107" s="38" t="s">
        <v>14</v>
      </c>
      <c r="D107" s="39" t="s">
        <v>36</v>
      </c>
      <c r="E107" s="40">
        <v>3566</v>
      </c>
      <c r="F107" s="40">
        <v>4577.3</v>
      </c>
      <c r="G107" s="40">
        <v>5126.576</v>
      </c>
      <c r="H107" s="40">
        <v>915.46</v>
      </c>
      <c r="I107" s="41" t="s">
        <v>40</v>
      </c>
    </row>
    <row r="108" spans="1:9" ht="18" customHeight="1" x14ac:dyDescent="0.25">
      <c r="A108" s="38">
        <v>2020</v>
      </c>
      <c r="B108" s="38" t="s">
        <v>7</v>
      </c>
      <c r="C108" s="38" t="s">
        <v>14</v>
      </c>
      <c r="D108" s="39" t="s">
        <v>37</v>
      </c>
      <c r="E108" s="40">
        <v>2498</v>
      </c>
      <c r="F108" s="40">
        <v>8000</v>
      </c>
      <c r="G108" s="40">
        <v>8960</v>
      </c>
      <c r="H108" s="40">
        <v>1600</v>
      </c>
      <c r="I108" s="41" t="s">
        <v>42</v>
      </c>
    </row>
    <row r="109" spans="1:9" ht="18" customHeight="1" x14ac:dyDescent="0.25">
      <c r="A109" s="38">
        <v>2020</v>
      </c>
      <c r="B109" s="38" t="s">
        <v>7</v>
      </c>
      <c r="C109" s="38" t="s">
        <v>13</v>
      </c>
      <c r="D109" s="39" t="s">
        <v>35</v>
      </c>
      <c r="E109" s="40">
        <v>1245</v>
      </c>
      <c r="F109" s="40">
        <v>4577.2</v>
      </c>
      <c r="G109" s="40">
        <v>5126.4639999999999</v>
      </c>
      <c r="H109" s="40">
        <v>915.44</v>
      </c>
      <c r="I109" s="41" t="s">
        <v>42</v>
      </c>
    </row>
    <row r="110" spans="1:9" ht="18" customHeight="1" x14ac:dyDescent="0.25">
      <c r="A110" s="38">
        <v>2020</v>
      </c>
      <c r="B110" s="38" t="s">
        <v>7</v>
      </c>
      <c r="C110" s="38" t="s">
        <v>38</v>
      </c>
      <c r="D110" s="42" t="s">
        <v>30</v>
      </c>
      <c r="E110" s="43">
        <v>644</v>
      </c>
      <c r="F110" s="43">
        <v>5743.5</v>
      </c>
      <c r="G110" s="43">
        <v>6432.72</v>
      </c>
      <c r="H110" s="40">
        <v>1148.7</v>
      </c>
      <c r="I110" s="41" t="s">
        <v>42</v>
      </c>
    </row>
    <row r="111" spans="1:9" ht="18" customHeight="1" x14ac:dyDescent="0.25">
      <c r="A111" s="38">
        <v>2020</v>
      </c>
      <c r="B111" s="38" t="s">
        <v>7</v>
      </c>
      <c r="C111" s="38" t="s">
        <v>12</v>
      </c>
      <c r="D111" s="42" t="s">
        <v>29</v>
      </c>
      <c r="E111" s="43">
        <v>643</v>
      </c>
      <c r="F111" s="43">
        <v>7000</v>
      </c>
      <c r="G111" s="43">
        <v>7840</v>
      </c>
      <c r="H111" s="40">
        <v>1400</v>
      </c>
      <c r="I111" s="41" t="s">
        <v>42</v>
      </c>
    </row>
    <row r="112" spans="1:9" ht="18" customHeight="1" x14ac:dyDescent="0.25">
      <c r="A112" s="38">
        <v>2020</v>
      </c>
      <c r="B112" s="38" t="s">
        <v>7</v>
      </c>
      <c r="C112" s="38" t="s">
        <v>38</v>
      </c>
      <c r="D112" s="42" t="s">
        <v>31</v>
      </c>
      <c r="E112" s="43">
        <v>455</v>
      </c>
      <c r="F112" s="43">
        <v>4578.6000000000004</v>
      </c>
      <c r="G112" s="43">
        <v>5128.0320000000002</v>
      </c>
      <c r="H112" s="40">
        <v>915.72000000000014</v>
      </c>
      <c r="I112" s="41" t="s">
        <v>42</v>
      </c>
    </row>
    <row r="113" spans="1:9" ht="18" customHeight="1" x14ac:dyDescent="0.25">
      <c r="A113" s="38">
        <v>2020</v>
      </c>
      <c r="B113" s="38" t="s">
        <v>7</v>
      </c>
      <c r="C113" s="38" t="s">
        <v>12</v>
      </c>
      <c r="D113" s="42" t="s">
        <v>28</v>
      </c>
      <c r="E113" s="44">
        <v>345</v>
      </c>
      <c r="F113" s="44">
        <v>7000</v>
      </c>
      <c r="G113" s="44">
        <v>7840</v>
      </c>
      <c r="H113" s="40">
        <v>1400</v>
      </c>
      <c r="I113" s="41" t="s">
        <v>42</v>
      </c>
    </row>
    <row r="114" spans="1:9" ht="18" customHeight="1" x14ac:dyDescent="0.25">
      <c r="A114" s="38">
        <v>2020</v>
      </c>
      <c r="B114" s="38" t="s">
        <v>7</v>
      </c>
      <c r="C114" s="38" t="s">
        <v>13</v>
      </c>
      <c r="D114" s="39" t="s">
        <v>33</v>
      </c>
      <c r="E114" s="40">
        <v>122</v>
      </c>
      <c r="F114" s="40">
        <v>100</v>
      </c>
      <c r="G114" s="40">
        <v>112</v>
      </c>
      <c r="H114" s="40">
        <v>20</v>
      </c>
      <c r="I114" s="41" t="s">
        <v>42</v>
      </c>
    </row>
    <row r="115" spans="1:9" ht="18" customHeight="1" x14ac:dyDescent="0.25">
      <c r="A115" s="38">
        <v>2020</v>
      </c>
      <c r="B115" s="38" t="s">
        <v>7</v>
      </c>
      <c r="C115" s="38" t="s">
        <v>15</v>
      </c>
      <c r="D115" s="42" t="s">
        <v>26</v>
      </c>
      <c r="E115" s="43">
        <v>78</v>
      </c>
      <c r="F115" s="43">
        <v>4577.2</v>
      </c>
      <c r="G115" s="43">
        <v>5126.4639999999999</v>
      </c>
      <c r="H115" s="40">
        <v>915.44</v>
      </c>
      <c r="I115" s="41" t="s">
        <v>42</v>
      </c>
    </row>
    <row r="116" spans="1:9" ht="18" customHeight="1" x14ac:dyDescent="0.25">
      <c r="A116" s="38">
        <v>2020</v>
      </c>
      <c r="B116" s="38" t="s">
        <v>7</v>
      </c>
      <c r="C116" s="38" t="s">
        <v>15</v>
      </c>
      <c r="D116" s="42" t="s">
        <v>24</v>
      </c>
      <c r="E116" s="43">
        <v>76</v>
      </c>
      <c r="F116" s="43">
        <v>4576.8999999999996</v>
      </c>
      <c r="G116" s="43">
        <v>5126.1279999999997</v>
      </c>
      <c r="H116" s="40">
        <v>915.38</v>
      </c>
      <c r="I116" s="41" t="s">
        <v>42</v>
      </c>
    </row>
    <row r="117" spans="1:9" ht="18" customHeight="1" x14ac:dyDescent="0.25">
      <c r="A117" s="38">
        <v>2020</v>
      </c>
      <c r="B117" s="38" t="s">
        <v>7</v>
      </c>
      <c r="C117" s="38" t="s">
        <v>15</v>
      </c>
      <c r="D117" s="42" t="s">
        <v>25</v>
      </c>
      <c r="E117" s="43">
        <v>46</v>
      </c>
      <c r="F117" s="43">
        <v>200</v>
      </c>
      <c r="G117" s="43">
        <v>224</v>
      </c>
      <c r="H117" s="40">
        <v>40</v>
      </c>
      <c r="I117" s="41" t="s">
        <v>42</v>
      </c>
    </row>
    <row r="118" spans="1:9" ht="18" customHeight="1" x14ac:dyDescent="0.25">
      <c r="A118" s="38">
        <v>2020</v>
      </c>
      <c r="B118" s="38" t="s">
        <v>7</v>
      </c>
      <c r="C118" s="38" t="s">
        <v>15</v>
      </c>
      <c r="D118" s="42" t="s">
        <v>23</v>
      </c>
      <c r="E118" s="43">
        <v>34</v>
      </c>
      <c r="F118" s="43">
        <v>4576.8</v>
      </c>
      <c r="G118" s="43">
        <v>5126.0160000000005</v>
      </c>
      <c r="H118" s="40">
        <v>915.36000000000013</v>
      </c>
      <c r="I118" s="41" t="s">
        <v>42</v>
      </c>
    </row>
    <row r="119" spans="1:9" ht="18" customHeight="1" x14ac:dyDescent="0.25">
      <c r="A119" s="38">
        <v>2020</v>
      </c>
      <c r="B119" s="38" t="s">
        <v>7</v>
      </c>
      <c r="C119" s="38" t="s">
        <v>13</v>
      </c>
      <c r="D119" s="39" t="s">
        <v>34</v>
      </c>
      <c r="E119" s="40">
        <v>7</v>
      </c>
      <c r="F119" s="40">
        <v>200</v>
      </c>
      <c r="G119" s="40">
        <v>224</v>
      </c>
      <c r="H119" s="40">
        <v>40</v>
      </c>
      <c r="I119" s="41" t="s">
        <v>42</v>
      </c>
    </row>
    <row r="120" spans="1:9" ht="18" customHeight="1" x14ac:dyDescent="0.25">
      <c r="A120" s="38">
        <v>2020</v>
      </c>
      <c r="B120" s="38" t="s">
        <v>7</v>
      </c>
      <c r="C120" s="38" t="s">
        <v>15</v>
      </c>
      <c r="D120" s="42" t="s">
        <v>27</v>
      </c>
      <c r="E120" s="43">
        <v>3</v>
      </c>
      <c r="F120" s="43">
        <v>4577.3</v>
      </c>
      <c r="G120" s="43">
        <v>5126.576</v>
      </c>
      <c r="H120" s="40">
        <v>915.46</v>
      </c>
      <c r="I120" s="41" t="s">
        <v>42</v>
      </c>
    </row>
    <row r="121" spans="1:9" ht="18" customHeight="1" x14ac:dyDescent="0.25">
      <c r="A121" s="38">
        <v>2020</v>
      </c>
      <c r="B121" s="38" t="s">
        <v>7</v>
      </c>
      <c r="C121" s="38" t="s">
        <v>32</v>
      </c>
      <c r="D121" s="42" t="s">
        <v>32</v>
      </c>
      <c r="E121" s="43">
        <v>2</v>
      </c>
      <c r="F121" s="43">
        <v>6600</v>
      </c>
      <c r="G121" s="43">
        <v>7392</v>
      </c>
      <c r="H121" s="40">
        <v>1320</v>
      </c>
      <c r="I121" s="41" t="s">
        <v>42</v>
      </c>
    </row>
    <row r="122" spans="1:9" ht="18" customHeight="1" x14ac:dyDescent="0.25">
      <c r="A122" s="38">
        <v>2020</v>
      </c>
      <c r="B122" s="38" t="s">
        <v>8</v>
      </c>
      <c r="C122" s="38" t="s">
        <v>14</v>
      </c>
      <c r="D122" s="39" t="s">
        <v>36</v>
      </c>
      <c r="E122" s="40">
        <v>3566</v>
      </c>
      <c r="F122" s="40">
        <v>4577.3</v>
      </c>
      <c r="G122" s="40">
        <v>5126.576</v>
      </c>
      <c r="H122" s="40">
        <v>915.46</v>
      </c>
      <c r="I122" s="41" t="s">
        <v>42</v>
      </c>
    </row>
    <row r="123" spans="1:9" ht="18" customHeight="1" x14ac:dyDescent="0.25">
      <c r="A123" s="38">
        <v>2020</v>
      </c>
      <c r="B123" s="38" t="s">
        <v>8</v>
      </c>
      <c r="C123" s="38" t="s">
        <v>14</v>
      </c>
      <c r="D123" s="39" t="s">
        <v>37</v>
      </c>
      <c r="E123" s="40">
        <v>2498</v>
      </c>
      <c r="F123" s="40">
        <v>8000</v>
      </c>
      <c r="G123" s="40">
        <v>8960</v>
      </c>
      <c r="H123" s="40">
        <v>1600</v>
      </c>
      <c r="I123" s="41" t="s">
        <v>42</v>
      </c>
    </row>
    <row r="124" spans="1:9" ht="18" customHeight="1" x14ac:dyDescent="0.25">
      <c r="A124" s="38">
        <v>2020</v>
      </c>
      <c r="B124" s="38" t="s">
        <v>8</v>
      </c>
      <c r="C124" s="38" t="s">
        <v>13</v>
      </c>
      <c r="D124" s="39" t="s">
        <v>35</v>
      </c>
      <c r="E124" s="40">
        <v>1245</v>
      </c>
      <c r="F124" s="40">
        <v>4577.2</v>
      </c>
      <c r="G124" s="40">
        <v>5126.4639999999999</v>
      </c>
      <c r="H124" s="40">
        <v>915.44</v>
      </c>
      <c r="I124" s="41" t="s">
        <v>42</v>
      </c>
    </row>
    <row r="125" spans="1:9" ht="18" customHeight="1" x14ac:dyDescent="0.25">
      <c r="A125" s="38">
        <v>2020</v>
      </c>
      <c r="B125" s="38" t="s">
        <v>8</v>
      </c>
      <c r="C125" s="38" t="s">
        <v>38</v>
      </c>
      <c r="D125" s="42" t="s">
        <v>30</v>
      </c>
      <c r="E125" s="43">
        <v>644</v>
      </c>
      <c r="F125" s="43">
        <v>5743.5</v>
      </c>
      <c r="G125" s="43">
        <v>6432.72</v>
      </c>
      <c r="H125" s="40">
        <v>1148.7</v>
      </c>
      <c r="I125" s="41" t="s">
        <v>42</v>
      </c>
    </row>
    <row r="126" spans="1:9" ht="18" customHeight="1" x14ac:dyDescent="0.25">
      <c r="A126" s="38">
        <v>2020</v>
      </c>
      <c r="B126" s="38" t="s">
        <v>8</v>
      </c>
      <c r="C126" s="38" t="s">
        <v>12</v>
      </c>
      <c r="D126" s="42" t="s">
        <v>29</v>
      </c>
      <c r="E126" s="43">
        <v>643</v>
      </c>
      <c r="F126" s="43">
        <v>7000</v>
      </c>
      <c r="G126" s="43">
        <v>7840</v>
      </c>
      <c r="H126" s="40">
        <v>1400</v>
      </c>
      <c r="I126" s="41" t="s">
        <v>42</v>
      </c>
    </row>
    <row r="127" spans="1:9" ht="18" customHeight="1" x14ac:dyDescent="0.25">
      <c r="A127" s="38">
        <v>2020</v>
      </c>
      <c r="B127" s="38" t="s">
        <v>8</v>
      </c>
      <c r="C127" s="38" t="s">
        <v>38</v>
      </c>
      <c r="D127" s="42" t="s">
        <v>31</v>
      </c>
      <c r="E127" s="43">
        <v>455</v>
      </c>
      <c r="F127" s="43">
        <v>4578.6000000000004</v>
      </c>
      <c r="G127" s="43">
        <v>5128.0320000000002</v>
      </c>
      <c r="H127" s="40">
        <v>915.72000000000014</v>
      </c>
      <c r="I127" s="41" t="s">
        <v>42</v>
      </c>
    </row>
    <row r="128" spans="1:9" ht="18" customHeight="1" x14ac:dyDescent="0.25">
      <c r="A128" s="38">
        <v>2020</v>
      </c>
      <c r="B128" s="38" t="s">
        <v>8</v>
      </c>
      <c r="C128" s="38" t="s">
        <v>12</v>
      </c>
      <c r="D128" s="42" t="s">
        <v>28</v>
      </c>
      <c r="E128" s="44">
        <v>345</v>
      </c>
      <c r="F128" s="44">
        <v>7000</v>
      </c>
      <c r="G128" s="44">
        <v>7840</v>
      </c>
      <c r="H128" s="40">
        <v>1400</v>
      </c>
      <c r="I128" s="41" t="s">
        <v>42</v>
      </c>
    </row>
    <row r="129" spans="1:9" ht="18" customHeight="1" x14ac:dyDescent="0.25">
      <c r="A129" s="38">
        <v>2020</v>
      </c>
      <c r="B129" s="38" t="s">
        <v>8</v>
      </c>
      <c r="C129" s="38" t="s">
        <v>13</v>
      </c>
      <c r="D129" s="39" t="s">
        <v>33</v>
      </c>
      <c r="E129" s="40">
        <v>122</v>
      </c>
      <c r="F129" s="40">
        <v>100</v>
      </c>
      <c r="G129" s="40">
        <v>112</v>
      </c>
      <c r="H129" s="40">
        <v>20</v>
      </c>
      <c r="I129" s="41" t="s">
        <v>42</v>
      </c>
    </row>
    <row r="130" spans="1:9" ht="18" customHeight="1" x14ac:dyDescent="0.25">
      <c r="A130" s="38">
        <v>2020</v>
      </c>
      <c r="B130" s="38" t="s">
        <v>8</v>
      </c>
      <c r="C130" s="38" t="s">
        <v>15</v>
      </c>
      <c r="D130" s="42" t="s">
        <v>26</v>
      </c>
      <c r="E130" s="43">
        <v>78</v>
      </c>
      <c r="F130" s="43">
        <v>4577.2</v>
      </c>
      <c r="G130" s="43">
        <v>5126.4639999999999</v>
      </c>
      <c r="H130" s="40">
        <v>915.44</v>
      </c>
      <c r="I130" s="41" t="s">
        <v>42</v>
      </c>
    </row>
    <row r="131" spans="1:9" ht="18" customHeight="1" x14ac:dyDescent="0.25">
      <c r="A131" s="38">
        <v>2020</v>
      </c>
      <c r="B131" s="38" t="s">
        <v>8</v>
      </c>
      <c r="C131" s="38" t="s">
        <v>15</v>
      </c>
      <c r="D131" s="42" t="s">
        <v>24</v>
      </c>
      <c r="E131" s="43">
        <v>76</v>
      </c>
      <c r="F131" s="43">
        <v>4576.8999999999996</v>
      </c>
      <c r="G131" s="43">
        <v>5126.1279999999997</v>
      </c>
      <c r="H131" s="40">
        <v>915.38</v>
      </c>
      <c r="I131" s="41" t="s">
        <v>42</v>
      </c>
    </row>
    <row r="132" spans="1:9" ht="18" customHeight="1" x14ac:dyDescent="0.25">
      <c r="A132" s="38">
        <v>2020</v>
      </c>
      <c r="B132" s="38" t="s">
        <v>8</v>
      </c>
      <c r="C132" s="38" t="s">
        <v>15</v>
      </c>
      <c r="D132" s="42" t="s">
        <v>25</v>
      </c>
      <c r="E132" s="43">
        <v>46</v>
      </c>
      <c r="F132" s="43">
        <v>200</v>
      </c>
      <c r="G132" s="43">
        <v>224</v>
      </c>
      <c r="H132" s="40">
        <v>40</v>
      </c>
      <c r="I132" s="41" t="s">
        <v>42</v>
      </c>
    </row>
    <row r="133" spans="1:9" ht="18" customHeight="1" x14ac:dyDescent="0.25">
      <c r="A133" s="38">
        <v>2020</v>
      </c>
      <c r="B133" s="38" t="s">
        <v>8</v>
      </c>
      <c r="C133" s="38" t="s">
        <v>15</v>
      </c>
      <c r="D133" s="42" t="s">
        <v>23</v>
      </c>
      <c r="E133" s="43">
        <v>34</v>
      </c>
      <c r="F133" s="43">
        <v>4576.8</v>
      </c>
      <c r="G133" s="43">
        <v>5126.0160000000005</v>
      </c>
      <c r="H133" s="40">
        <v>915.36000000000013</v>
      </c>
      <c r="I133" s="41" t="s">
        <v>40</v>
      </c>
    </row>
    <row r="134" spans="1:9" ht="18" customHeight="1" x14ac:dyDescent="0.25">
      <c r="A134" s="38">
        <v>2020</v>
      </c>
      <c r="B134" s="38" t="s">
        <v>8</v>
      </c>
      <c r="C134" s="38" t="s">
        <v>13</v>
      </c>
      <c r="D134" s="39" t="s">
        <v>34</v>
      </c>
      <c r="E134" s="40">
        <v>7</v>
      </c>
      <c r="F134" s="40">
        <v>200</v>
      </c>
      <c r="G134" s="40">
        <v>224</v>
      </c>
      <c r="H134" s="40">
        <v>40</v>
      </c>
      <c r="I134" s="41" t="s">
        <v>40</v>
      </c>
    </row>
    <row r="135" spans="1:9" ht="18" customHeight="1" x14ac:dyDescent="0.25">
      <c r="A135" s="38">
        <v>2020</v>
      </c>
      <c r="B135" s="38" t="s">
        <v>8</v>
      </c>
      <c r="C135" s="38" t="s">
        <v>15</v>
      </c>
      <c r="D135" s="42" t="s">
        <v>27</v>
      </c>
      <c r="E135" s="43">
        <v>3</v>
      </c>
      <c r="F135" s="43">
        <v>4577.3</v>
      </c>
      <c r="G135" s="43">
        <v>5126.576</v>
      </c>
      <c r="H135" s="40">
        <v>915.46</v>
      </c>
      <c r="I135" s="41" t="s">
        <v>40</v>
      </c>
    </row>
    <row r="136" spans="1:9" ht="18" customHeight="1" x14ac:dyDescent="0.25">
      <c r="A136" s="38">
        <v>2020</v>
      </c>
      <c r="B136" s="38" t="s">
        <v>8</v>
      </c>
      <c r="C136" s="38" t="s">
        <v>32</v>
      </c>
      <c r="D136" s="42" t="s">
        <v>32</v>
      </c>
      <c r="E136" s="43">
        <v>2</v>
      </c>
      <c r="F136" s="43">
        <v>6600</v>
      </c>
      <c r="G136" s="43">
        <v>7392</v>
      </c>
      <c r="H136" s="40">
        <v>1320</v>
      </c>
      <c r="I136" s="41" t="s">
        <v>40</v>
      </c>
    </row>
    <row r="137" spans="1:9" ht="18" customHeight="1" x14ac:dyDescent="0.25">
      <c r="A137" s="38">
        <v>2020</v>
      </c>
      <c r="B137" s="38" t="s">
        <v>9</v>
      </c>
      <c r="C137" s="38" t="s">
        <v>14</v>
      </c>
      <c r="D137" s="39" t="s">
        <v>36</v>
      </c>
      <c r="E137" s="40">
        <v>3566</v>
      </c>
      <c r="F137" s="40">
        <v>4577.3</v>
      </c>
      <c r="G137" s="40">
        <v>5126.576</v>
      </c>
      <c r="H137" s="40">
        <v>915.46</v>
      </c>
      <c r="I137" s="41" t="s">
        <v>40</v>
      </c>
    </row>
    <row r="138" spans="1:9" ht="18" customHeight="1" x14ac:dyDescent="0.25">
      <c r="A138" s="38">
        <v>2020</v>
      </c>
      <c r="B138" s="38" t="s">
        <v>9</v>
      </c>
      <c r="C138" s="38" t="s">
        <v>14</v>
      </c>
      <c r="D138" s="39" t="s">
        <v>37</v>
      </c>
      <c r="E138" s="40">
        <v>2498</v>
      </c>
      <c r="F138" s="40">
        <v>8000</v>
      </c>
      <c r="G138" s="40">
        <v>8960</v>
      </c>
      <c r="H138" s="40">
        <v>1600</v>
      </c>
      <c r="I138" s="41" t="s">
        <v>40</v>
      </c>
    </row>
    <row r="139" spans="1:9" ht="18" customHeight="1" x14ac:dyDescent="0.25">
      <c r="A139" s="38">
        <v>2020</v>
      </c>
      <c r="B139" s="38" t="s">
        <v>9</v>
      </c>
      <c r="C139" s="38" t="s">
        <v>13</v>
      </c>
      <c r="D139" s="39" t="s">
        <v>35</v>
      </c>
      <c r="E139" s="40">
        <v>1245</v>
      </c>
      <c r="F139" s="40">
        <v>4577.2</v>
      </c>
      <c r="G139" s="40">
        <v>5126.4639999999999</v>
      </c>
      <c r="H139" s="40">
        <v>915.44</v>
      </c>
      <c r="I139" s="41" t="s">
        <v>40</v>
      </c>
    </row>
    <row r="140" spans="1:9" ht="18" customHeight="1" x14ac:dyDescent="0.25">
      <c r="A140" s="38">
        <v>2020</v>
      </c>
      <c r="B140" s="38" t="s">
        <v>9</v>
      </c>
      <c r="C140" s="38" t="s">
        <v>38</v>
      </c>
      <c r="D140" s="42" t="s">
        <v>30</v>
      </c>
      <c r="E140" s="43">
        <v>644</v>
      </c>
      <c r="F140" s="43">
        <v>5743.5</v>
      </c>
      <c r="G140" s="43">
        <v>6432.72</v>
      </c>
      <c r="H140" s="40">
        <v>1148.7</v>
      </c>
      <c r="I140" s="41" t="s">
        <v>40</v>
      </c>
    </row>
    <row r="141" spans="1:9" ht="18" customHeight="1" x14ac:dyDescent="0.25">
      <c r="A141" s="38">
        <v>2020</v>
      </c>
      <c r="B141" s="38" t="s">
        <v>9</v>
      </c>
      <c r="C141" s="38" t="s">
        <v>12</v>
      </c>
      <c r="D141" s="42" t="s">
        <v>29</v>
      </c>
      <c r="E141" s="43">
        <v>643</v>
      </c>
      <c r="F141" s="43">
        <v>7000</v>
      </c>
      <c r="G141" s="43">
        <v>7840</v>
      </c>
      <c r="H141" s="40">
        <v>1400</v>
      </c>
      <c r="I141" s="41" t="s">
        <v>40</v>
      </c>
    </row>
    <row r="142" spans="1:9" ht="18" customHeight="1" x14ac:dyDescent="0.25">
      <c r="A142" s="38">
        <v>2020</v>
      </c>
      <c r="B142" s="38" t="s">
        <v>9</v>
      </c>
      <c r="C142" s="38" t="s">
        <v>38</v>
      </c>
      <c r="D142" s="42" t="s">
        <v>31</v>
      </c>
      <c r="E142" s="43">
        <v>455</v>
      </c>
      <c r="F142" s="43">
        <v>4578.6000000000004</v>
      </c>
      <c r="G142" s="43">
        <v>5128.0320000000002</v>
      </c>
      <c r="H142" s="40">
        <v>915.72000000000014</v>
      </c>
      <c r="I142" s="41" t="s">
        <v>40</v>
      </c>
    </row>
    <row r="143" spans="1:9" ht="18" customHeight="1" x14ac:dyDescent="0.25">
      <c r="A143" s="38">
        <v>2020</v>
      </c>
      <c r="B143" s="38" t="s">
        <v>9</v>
      </c>
      <c r="C143" s="38" t="s">
        <v>12</v>
      </c>
      <c r="D143" s="42" t="s">
        <v>28</v>
      </c>
      <c r="E143" s="44">
        <v>345</v>
      </c>
      <c r="F143" s="44">
        <v>7000</v>
      </c>
      <c r="G143" s="44">
        <v>7840</v>
      </c>
      <c r="H143" s="40">
        <v>1400</v>
      </c>
      <c r="I143" s="41" t="s">
        <v>40</v>
      </c>
    </row>
    <row r="144" spans="1:9" ht="18" customHeight="1" x14ac:dyDescent="0.25">
      <c r="A144" s="38">
        <v>2020</v>
      </c>
      <c r="B144" s="38" t="s">
        <v>9</v>
      </c>
      <c r="C144" s="38" t="s">
        <v>13</v>
      </c>
      <c r="D144" s="39" t="s">
        <v>33</v>
      </c>
      <c r="E144" s="40">
        <v>122</v>
      </c>
      <c r="F144" s="40">
        <v>100</v>
      </c>
      <c r="G144" s="40">
        <v>112</v>
      </c>
      <c r="H144" s="40">
        <v>20</v>
      </c>
      <c r="I144" s="41" t="s">
        <v>40</v>
      </c>
    </row>
    <row r="145" spans="1:9" ht="18" customHeight="1" x14ac:dyDescent="0.25">
      <c r="A145" s="38">
        <v>2020</v>
      </c>
      <c r="B145" s="38" t="s">
        <v>9</v>
      </c>
      <c r="C145" s="38" t="s">
        <v>15</v>
      </c>
      <c r="D145" s="42" t="s">
        <v>26</v>
      </c>
      <c r="E145" s="43">
        <v>78</v>
      </c>
      <c r="F145" s="43">
        <v>4577.2</v>
      </c>
      <c r="G145" s="43">
        <v>5126.4639999999999</v>
      </c>
      <c r="H145" s="40">
        <v>915.44</v>
      </c>
      <c r="I145" s="41" t="s">
        <v>40</v>
      </c>
    </row>
    <row r="146" spans="1:9" ht="18" customHeight="1" x14ac:dyDescent="0.25">
      <c r="A146" s="38">
        <v>2020</v>
      </c>
      <c r="B146" s="38" t="s">
        <v>9</v>
      </c>
      <c r="C146" s="38" t="s">
        <v>15</v>
      </c>
      <c r="D146" s="42" t="s">
        <v>24</v>
      </c>
      <c r="E146" s="43">
        <v>76</v>
      </c>
      <c r="F146" s="43">
        <v>4576.8999999999996</v>
      </c>
      <c r="G146" s="43">
        <v>5126.1279999999997</v>
      </c>
      <c r="H146" s="40">
        <v>915.38</v>
      </c>
      <c r="I146" s="41" t="s">
        <v>40</v>
      </c>
    </row>
    <row r="147" spans="1:9" ht="18" customHeight="1" x14ac:dyDescent="0.25">
      <c r="A147" s="38">
        <v>2020</v>
      </c>
      <c r="B147" s="38" t="s">
        <v>9</v>
      </c>
      <c r="C147" s="38" t="s">
        <v>15</v>
      </c>
      <c r="D147" s="42" t="s">
        <v>25</v>
      </c>
      <c r="E147" s="43">
        <v>46</v>
      </c>
      <c r="F147" s="43">
        <v>200</v>
      </c>
      <c r="G147" s="43">
        <v>224</v>
      </c>
      <c r="H147" s="40">
        <v>40</v>
      </c>
      <c r="I147" s="41" t="s">
        <v>40</v>
      </c>
    </row>
    <row r="148" spans="1:9" ht="18" customHeight="1" x14ac:dyDescent="0.25">
      <c r="A148" s="38">
        <v>2020</v>
      </c>
      <c r="B148" s="38" t="s">
        <v>9</v>
      </c>
      <c r="C148" s="38" t="s">
        <v>15</v>
      </c>
      <c r="D148" s="42" t="s">
        <v>23</v>
      </c>
      <c r="E148" s="43">
        <v>34</v>
      </c>
      <c r="F148" s="43">
        <v>4576.8</v>
      </c>
      <c r="G148" s="43">
        <v>5126.0160000000005</v>
      </c>
      <c r="H148" s="40">
        <v>915.36000000000013</v>
      </c>
      <c r="I148" s="41" t="s">
        <v>40</v>
      </c>
    </row>
    <row r="149" spans="1:9" ht="18" customHeight="1" x14ac:dyDescent="0.25">
      <c r="A149" s="38">
        <v>2020</v>
      </c>
      <c r="B149" s="38" t="s">
        <v>9</v>
      </c>
      <c r="C149" s="38" t="s">
        <v>13</v>
      </c>
      <c r="D149" s="39" t="s">
        <v>34</v>
      </c>
      <c r="E149" s="40">
        <v>7</v>
      </c>
      <c r="F149" s="40">
        <v>200</v>
      </c>
      <c r="G149" s="40">
        <v>224</v>
      </c>
      <c r="H149" s="40">
        <v>40</v>
      </c>
      <c r="I149" s="41" t="s">
        <v>40</v>
      </c>
    </row>
    <row r="150" spans="1:9" ht="18" customHeight="1" x14ac:dyDescent="0.25">
      <c r="A150" s="38">
        <v>2020</v>
      </c>
      <c r="B150" s="38" t="s">
        <v>9</v>
      </c>
      <c r="C150" s="38" t="s">
        <v>15</v>
      </c>
      <c r="D150" s="42" t="s">
        <v>27</v>
      </c>
      <c r="E150" s="43">
        <v>3</v>
      </c>
      <c r="F150" s="43">
        <v>4577.3</v>
      </c>
      <c r="G150" s="43">
        <v>5126.576</v>
      </c>
      <c r="H150" s="40">
        <v>915.46</v>
      </c>
      <c r="I150" s="41" t="s">
        <v>42</v>
      </c>
    </row>
    <row r="151" spans="1:9" ht="18" customHeight="1" x14ac:dyDescent="0.25">
      <c r="A151" s="38">
        <v>2020</v>
      </c>
      <c r="B151" s="38" t="s">
        <v>9</v>
      </c>
      <c r="C151" s="38" t="s">
        <v>32</v>
      </c>
      <c r="D151" s="42" t="s">
        <v>32</v>
      </c>
      <c r="E151" s="43">
        <v>2</v>
      </c>
      <c r="F151" s="43">
        <v>6600</v>
      </c>
      <c r="G151" s="43">
        <v>7392</v>
      </c>
      <c r="H151" s="40">
        <v>1320</v>
      </c>
      <c r="I151" s="41" t="s">
        <v>42</v>
      </c>
    </row>
    <row r="152" spans="1:9" ht="18" customHeight="1" x14ac:dyDescent="0.25">
      <c r="A152" s="38">
        <v>2020</v>
      </c>
      <c r="B152" s="38" t="s">
        <v>10</v>
      </c>
      <c r="C152" s="38" t="s">
        <v>14</v>
      </c>
      <c r="D152" s="39" t="s">
        <v>36</v>
      </c>
      <c r="E152" s="40">
        <v>3566</v>
      </c>
      <c r="F152" s="40">
        <v>4577.3</v>
      </c>
      <c r="G152" s="40">
        <v>5126.576</v>
      </c>
      <c r="H152" s="40">
        <v>915.46</v>
      </c>
      <c r="I152" s="41" t="s">
        <v>42</v>
      </c>
    </row>
    <row r="153" spans="1:9" ht="18" customHeight="1" x14ac:dyDescent="0.25">
      <c r="A153" s="38">
        <v>2020</v>
      </c>
      <c r="B153" s="38" t="s">
        <v>10</v>
      </c>
      <c r="C153" s="38" t="s">
        <v>14</v>
      </c>
      <c r="D153" s="39" t="s">
        <v>37</v>
      </c>
      <c r="E153" s="40">
        <v>2498</v>
      </c>
      <c r="F153" s="40">
        <v>8000</v>
      </c>
      <c r="G153" s="40">
        <v>8960</v>
      </c>
      <c r="H153" s="40">
        <v>1600</v>
      </c>
      <c r="I153" s="41" t="s">
        <v>42</v>
      </c>
    </row>
    <row r="154" spans="1:9" ht="18" customHeight="1" x14ac:dyDescent="0.25">
      <c r="A154" s="38">
        <v>2020</v>
      </c>
      <c r="B154" s="38" t="s">
        <v>10</v>
      </c>
      <c r="C154" s="38" t="s">
        <v>13</v>
      </c>
      <c r="D154" s="39" t="s">
        <v>35</v>
      </c>
      <c r="E154" s="40">
        <v>1245</v>
      </c>
      <c r="F154" s="40">
        <v>4577.2</v>
      </c>
      <c r="G154" s="40">
        <v>5126.4639999999999</v>
      </c>
      <c r="H154" s="40">
        <v>915.44</v>
      </c>
      <c r="I154" s="41" t="s">
        <v>42</v>
      </c>
    </row>
    <row r="155" spans="1:9" ht="18" customHeight="1" x14ac:dyDescent="0.25">
      <c r="A155" s="38">
        <v>2020</v>
      </c>
      <c r="B155" s="38" t="s">
        <v>10</v>
      </c>
      <c r="C155" s="38" t="s">
        <v>38</v>
      </c>
      <c r="D155" s="42" t="s">
        <v>30</v>
      </c>
      <c r="E155" s="43">
        <v>644</v>
      </c>
      <c r="F155" s="43">
        <v>5743.5</v>
      </c>
      <c r="G155" s="43">
        <v>6432.72</v>
      </c>
      <c r="H155" s="40">
        <v>1148.7</v>
      </c>
      <c r="I155" s="41" t="s">
        <v>42</v>
      </c>
    </row>
    <row r="156" spans="1:9" ht="18" customHeight="1" x14ac:dyDescent="0.25">
      <c r="A156" s="38">
        <v>2020</v>
      </c>
      <c r="B156" s="38" t="s">
        <v>10</v>
      </c>
      <c r="C156" s="38" t="s">
        <v>12</v>
      </c>
      <c r="D156" s="42" t="s">
        <v>29</v>
      </c>
      <c r="E156" s="43">
        <v>643</v>
      </c>
      <c r="F156" s="43">
        <v>7000</v>
      </c>
      <c r="G156" s="43">
        <v>7840</v>
      </c>
      <c r="H156" s="40">
        <v>1400</v>
      </c>
      <c r="I156" s="41" t="s">
        <v>42</v>
      </c>
    </row>
    <row r="157" spans="1:9" ht="18" customHeight="1" x14ac:dyDescent="0.25">
      <c r="A157" s="38">
        <v>2020</v>
      </c>
      <c r="B157" s="38" t="s">
        <v>10</v>
      </c>
      <c r="C157" s="38" t="s">
        <v>38</v>
      </c>
      <c r="D157" s="42" t="s">
        <v>31</v>
      </c>
      <c r="E157" s="43">
        <v>455</v>
      </c>
      <c r="F157" s="43">
        <v>4578.6000000000004</v>
      </c>
      <c r="G157" s="43">
        <v>5128.0320000000002</v>
      </c>
      <c r="H157" s="40">
        <v>915.72000000000014</v>
      </c>
      <c r="I157" s="41" t="s">
        <v>42</v>
      </c>
    </row>
    <row r="158" spans="1:9" ht="18" customHeight="1" x14ac:dyDescent="0.25">
      <c r="A158" s="38">
        <v>2020</v>
      </c>
      <c r="B158" s="38" t="s">
        <v>10</v>
      </c>
      <c r="C158" s="38" t="s">
        <v>12</v>
      </c>
      <c r="D158" s="42" t="s">
        <v>28</v>
      </c>
      <c r="E158" s="44">
        <v>345</v>
      </c>
      <c r="F158" s="44">
        <v>7000</v>
      </c>
      <c r="G158" s="44">
        <v>7840</v>
      </c>
      <c r="H158" s="40">
        <v>1400</v>
      </c>
      <c r="I158" s="41" t="s">
        <v>42</v>
      </c>
    </row>
    <row r="159" spans="1:9" ht="18" customHeight="1" x14ac:dyDescent="0.25">
      <c r="A159" s="38">
        <v>2020</v>
      </c>
      <c r="B159" s="38" t="s">
        <v>10</v>
      </c>
      <c r="C159" s="38" t="s">
        <v>13</v>
      </c>
      <c r="D159" s="39" t="s">
        <v>33</v>
      </c>
      <c r="E159" s="40">
        <v>122</v>
      </c>
      <c r="F159" s="40">
        <v>100</v>
      </c>
      <c r="G159" s="40">
        <v>112</v>
      </c>
      <c r="H159" s="40">
        <v>20</v>
      </c>
      <c r="I159" s="41" t="s">
        <v>42</v>
      </c>
    </row>
    <row r="160" spans="1:9" ht="18" customHeight="1" x14ac:dyDescent="0.25">
      <c r="A160" s="38">
        <v>2020</v>
      </c>
      <c r="B160" s="38" t="s">
        <v>10</v>
      </c>
      <c r="C160" s="38" t="s">
        <v>15</v>
      </c>
      <c r="D160" s="42" t="s">
        <v>26</v>
      </c>
      <c r="E160" s="43">
        <v>78</v>
      </c>
      <c r="F160" s="43">
        <v>4577.2</v>
      </c>
      <c r="G160" s="43">
        <v>5126.4639999999999</v>
      </c>
      <c r="H160" s="40">
        <v>915.44</v>
      </c>
      <c r="I160" s="41" t="s">
        <v>42</v>
      </c>
    </row>
    <row r="161" spans="1:9" ht="18" customHeight="1" x14ac:dyDescent="0.25">
      <c r="A161" s="38">
        <v>2020</v>
      </c>
      <c r="B161" s="38" t="s">
        <v>10</v>
      </c>
      <c r="C161" s="38" t="s">
        <v>15</v>
      </c>
      <c r="D161" s="42" t="s">
        <v>24</v>
      </c>
      <c r="E161" s="43">
        <v>76</v>
      </c>
      <c r="F161" s="43">
        <v>4576.8999999999996</v>
      </c>
      <c r="G161" s="43">
        <v>5126.1279999999997</v>
      </c>
      <c r="H161" s="40">
        <v>915.38</v>
      </c>
      <c r="I161" s="41" t="s">
        <v>42</v>
      </c>
    </row>
    <row r="162" spans="1:9" ht="18" customHeight="1" x14ac:dyDescent="0.25">
      <c r="A162" s="38">
        <v>2020</v>
      </c>
      <c r="B162" s="38" t="s">
        <v>10</v>
      </c>
      <c r="C162" s="38" t="s">
        <v>15</v>
      </c>
      <c r="D162" s="42" t="s">
        <v>25</v>
      </c>
      <c r="E162" s="43">
        <v>46</v>
      </c>
      <c r="F162" s="43">
        <v>200</v>
      </c>
      <c r="G162" s="43">
        <v>224</v>
      </c>
      <c r="H162" s="40">
        <v>40</v>
      </c>
      <c r="I162" s="41" t="s">
        <v>42</v>
      </c>
    </row>
    <row r="163" spans="1:9" ht="18" customHeight="1" x14ac:dyDescent="0.25">
      <c r="A163" s="38">
        <v>2020</v>
      </c>
      <c r="B163" s="38" t="s">
        <v>10</v>
      </c>
      <c r="C163" s="38" t="s">
        <v>15</v>
      </c>
      <c r="D163" s="42" t="s">
        <v>23</v>
      </c>
      <c r="E163" s="43">
        <v>34</v>
      </c>
      <c r="F163" s="43">
        <v>4576.8</v>
      </c>
      <c r="G163" s="43">
        <v>5126.0160000000005</v>
      </c>
      <c r="H163" s="40">
        <v>915.36000000000013</v>
      </c>
      <c r="I163" s="41" t="s">
        <v>42</v>
      </c>
    </row>
    <row r="164" spans="1:9" ht="18" customHeight="1" x14ac:dyDescent="0.25">
      <c r="A164" s="38">
        <v>2020</v>
      </c>
      <c r="B164" s="38" t="s">
        <v>10</v>
      </c>
      <c r="C164" s="38" t="s">
        <v>13</v>
      </c>
      <c r="D164" s="39" t="s">
        <v>34</v>
      </c>
      <c r="E164" s="40">
        <v>7</v>
      </c>
      <c r="F164" s="40">
        <v>200</v>
      </c>
      <c r="G164" s="40">
        <v>224</v>
      </c>
      <c r="H164" s="40">
        <v>40</v>
      </c>
      <c r="I164" s="41" t="s">
        <v>42</v>
      </c>
    </row>
    <row r="165" spans="1:9" ht="18" customHeight="1" x14ac:dyDescent="0.25">
      <c r="A165" s="38">
        <v>2020</v>
      </c>
      <c r="B165" s="38" t="s">
        <v>10</v>
      </c>
      <c r="C165" s="38" t="s">
        <v>15</v>
      </c>
      <c r="D165" s="42" t="s">
        <v>27</v>
      </c>
      <c r="E165" s="43">
        <v>3</v>
      </c>
      <c r="F165" s="43">
        <v>4577.3</v>
      </c>
      <c r="G165" s="43">
        <v>5126.576</v>
      </c>
      <c r="H165" s="40">
        <v>915.46</v>
      </c>
      <c r="I165" s="41" t="s">
        <v>42</v>
      </c>
    </row>
    <row r="166" spans="1:9" ht="18" customHeight="1" x14ac:dyDescent="0.25">
      <c r="A166" s="38">
        <v>2020</v>
      </c>
      <c r="B166" s="38" t="s">
        <v>10</v>
      </c>
      <c r="C166" s="38" t="s">
        <v>32</v>
      </c>
      <c r="D166" s="42" t="s">
        <v>32</v>
      </c>
      <c r="E166" s="43">
        <v>2</v>
      </c>
      <c r="F166" s="43">
        <v>6600</v>
      </c>
      <c r="G166" s="43">
        <v>7392</v>
      </c>
      <c r="H166" s="40">
        <v>1320</v>
      </c>
      <c r="I166" s="41" t="s">
        <v>40</v>
      </c>
    </row>
    <row r="167" spans="1:9" ht="18" customHeight="1" x14ac:dyDescent="0.25">
      <c r="A167" s="38">
        <v>2020</v>
      </c>
      <c r="B167" s="38" t="s">
        <v>11</v>
      </c>
      <c r="C167" s="38" t="s">
        <v>14</v>
      </c>
      <c r="D167" s="39" t="s">
        <v>36</v>
      </c>
      <c r="E167" s="40">
        <v>3566</v>
      </c>
      <c r="F167" s="40">
        <v>4577.3</v>
      </c>
      <c r="G167" s="40">
        <v>5126.576</v>
      </c>
      <c r="H167" s="40">
        <v>915.46</v>
      </c>
      <c r="I167" s="41" t="s">
        <v>40</v>
      </c>
    </row>
    <row r="168" spans="1:9" ht="18" customHeight="1" x14ac:dyDescent="0.25">
      <c r="A168" s="38">
        <v>2020</v>
      </c>
      <c r="B168" s="38" t="s">
        <v>11</v>
      </c>
      <c r="C168" s="38" t="s">
        <v>14</v>
      </c>
      <c r="D168" s="39" t="s">
        <v>37</v>
      </c>
      <c r="E168" s="40">
        <v>2498</v>
      </c>
      <c r="F168" s="40">
        <v>8000</v>
      </c>
      <c r="G168" s="40">
        <v>8960</v>
      </c>
      <c r="H168" s="40">
        <v>1600</v>
      </c>
      <c r="I168" s="41" t="s">
        <v>40</v>
      </c>
    </row>
    <row r="169" spans="1:9" ht="18" customHeight="1" x14ac:dyDescent="0.25">
      <c r="A169" s="38">
        <v>2020</v>
      </c>
      <c r="B169" s="38" t="s">
        <v>11</v>
      </c>
      <c r="C169" s="38" t="s">
        <v>13</v>
      </c>
      <c r="D169" s="39" t="s">
        <v>35</v>
      </c>
      <c r="E169" s="40">
        <v>1245</v>
      </c>
      <c r="F169" s="40">
        <v>4577.2</v>
      </c>
      <c r="G169" s="40">
        <v>5126.4639999999999</v>
      </c>
      <c r="H169" s="40">
        <v>915.44</v>
      </c>
      <c r="I169" s="41" t="s">
        <v>40</v>
      </c>
    </row>
    <row r="170" spans="1:9" ht="18" customHeight="1" x14ac:dyDescent="0.25">
      <c r="A170" s="38">
        <v>2020</v>
      </c>
      <c r="B170" s="38" t="s">
        <v>11</v>
      </c>
      <c r="C170" s="38" t="s">
        <v>38</v>
      </c>
      <c r="D170" s="42" t="s">
        <v>30</v>
      </c>
      <c r="E170" s="43">
        <v>644</v>
      </c>
      <c r="F170" s="43">
        <v>5743.5</v>
      </c>
      <c r="G170" s="43">
        <v>6432.72</v>
      </c>
      <c r="H170" s="40">
        <v>1148.7</v>
      </c>
      <c r="I170" s="41" t="s">
        <v>40</v>
      </c>
    </row>
    <row r="171" spans="1:9" ht="18" customHeight="1" x14ac:dyDescent="0.25">
      <c r="A171" s="38">
        <v>2020</v>
      </c>
      <c r="B171" s="38" t="s">
        <v>11</v>
      </c>
      <c r="C171" s="38" t="s">
        <v>12</v>
      </c>
      <c r="D171" s="42" t="s">
        <v>29</v>
      </c>
      <c r="E171" s="43">
        <v>643</v>
      </c>
      <c r="F171" s="43">
        <v>7000</v>
      </c>
      <c r="G171" s="43">
        <v>7840</v>
      </c>
      <c r="H171" s="40">
        <v>1400</v>
      </c>
      <c r="I171" s="41" t="s">
        <v>42</v>
      </c>
    </row>
    <row r="172" spans="1:9" ht="18" customHeight="1" x14ac:dyDescent="0.25">
      <c r="A172" s="38">
        <v>2020</v>
      </c>
      <c r="B172" s="38" t="s">
        <v>11</v>
      </c>
      <c r="C172" s="38" t="s">
        <v>38</v>
      </c>
      <c r="D172" s="42" t="s">
        <v>31</v>
      </c>
      <c r="E172" s="43">
        <v>455</v>
      </c>
      <c r="F172" s="43">
        <v>4578.6000000000004</v>
      </c>
      <c r="G172" s="43">
        <v>5128.0320000000002</v>
      </c>
      <c r="H172" s="40">
        <v>915.72000000000014</v>
      </c>
      <c r="I172" s="41" t="s">
        <v>42</v>
      </c>
    </row>
    <row r="173" spans="1:9" ht="18" customHeight="1" x14ac:dyDescent="0.25">
      <c r="A173" s="38">
        <v>2020</v>
      </c>
      <c r="B173" s="38" t="s">
        <v>11</v>
      </c>
      <c r="C173" s="38" t="s">
        <v>12</v>
      </c>
      <c r="D173" s="42" t="s">
        <v>28</v>
      </c>
      <c r="E173" s="44">
        <v>345</v>
      </c>
      <c r="F173" s="44">
        <v>7000</v>
      </c>
      <c r="G173" s="44">
        <v>7840</v>
      </c>
      <c r="H173" s="40">
        <v>1400</v>
      </c>
      <c r="I173" s="41" t="s">
        <v>42</v>
      </c>
    </row>
    <row r="174" spans="1:9" ht="18" customHeight="1" x14ac:dyDescent="0.25">
      <c r="A174" s="38">
        <v>2020</v>
      </c>
      <c r="B174" s="38" t="s">
        <v>11</v>
      </c>
      <c r="C174" s="38" t="s">
        <v>13</v>
      </c>
      <c r="D174" s="39" t="s">
        <v>33</v>
      </c>
      <c r="E174" s="40">
        <v>122</v>
      </c>
      <c r="F174" s="40">
        <v>100</v>
      </c>
      <c r="G174" s="40">
        <v>112</v>
      </c>
      <c r="H174" s="40">
        <v>20</v>
      </c>
      <c r="I174" s="41" t="s">
        <v>42</v>
      </c>
    </row>
    <row r="175" spans="1:9" ht="18" customHeight="1" x14ac:dyDescent="0.25">
      <c r="A175" s="38">
        <v>2020</v>
      </c>
      <c r="B175" s="38" t="s">
        <v>11</v>
      </c>
      <c r="C175" s="38" t="s">
        <v>15</v>
      </c>
      <c r="D175" s="42" t="s">
        <v>26</v>
      </c>
      <c r="E175" s="43">
        <v>78</v>
      </c>
      <c r="F175" s="43">
        <v>4577.2</v>
      </c>
      <c r="G175" s="43">
        <v>5126.4639999999999</v>
      </c>
      <c r="H175" s="40">
        <v>915.44</v>
      </c>
      <c r="I175" s="41" t="s">
        <v>42</v>
      </c>
    </row>
    <row r="176" spans="1:9" ht="18" customHeight="1" x14ac:dyDescent="0.25">
      <c r="A176" s="38">
        <v>2020</v>
      </c>
      <c r="B176" s="38" t="s">
        <v>11</v>
      </c>
      <c r="C176" s="38" t="s">
        <v>15</v>
      </c>
      <c r="D176" s="42" t="s">
        <v>24</v>
      </c>
      <c r="E176" s="43">
        <v>76</v>
      </c>
      <c r="F176" s="43">
        <v>4576.8999999999996</v>
      </c>
      <c r="G176" s="43">
        <v>5126.1279999999997</v>
      </c>
      <c r="H176" s="40">
        <v>915.38</v>
      </c>
      <c r="I176" s="41" t="s">
        <v>42</v>
      </c>
    </row>
    <row r="177" spans="1:9" ht="18" customHeight="1" x14ac:dyDescent="0.25">
      <c r="A177" s="38">
        <v>2020</v>
      </c>
      <c r="B177" s="38" t="s">
        <v>11</v>
      </c>
      <c r="C177" s="38" t="s">
        <v>15</v>
      </c>
      <c r="D177" s="42" t="s">
        <v>25</v>
      </c>
      <c r="E177" s="43">
        <v>46</v>
      </c>
      <c r="F177" s="43">
        <v>200</v>
      </c>
      <c r="G177" s="43">
        <v>224</v>
      </c>
      <c r="H177" s="40">
        <v>40</v>
      </c>
      <c r="I177" s="41" t="s">
        <v>42</v>
      </c>
    </row>
    <row r="178" spans="1:9" ht="18" customHeight="1" x14ac:dyDescent="0.25">
      <c r="A178" s="38">
        <v>2020</v>
      </c>
      <c r="B178" s="38" t="s">
        <v>11</v>
      </c>
      <c r="C178" s="38" t="s">
        <v>15</v>
      </c>
      <c r="D178" s="42" t="s">
        <v>23</v>
      </c>
      <c r="E178" s="43">
        <v>34</v>
      </c>
      <c r="F178" s="43">
        <v>4576.8</v>
      </c>
      <c r="G178" s="43">
        <v>5126.0160000000005</v>
      </c>
      <c r="H178" s="40">
        <v>915.36000000000013</v>
      </c>
      <c r="I178" s="41" t="s">
        <v>42</v>
      </c>
    </row>
    <row r="179" spans="1:9" ht="18" customHeight="1" x14ac:dyDescent="0.25">
      <c r="A179" s="38">
        <v>2020</v>
      </c>
      <c r="B179" s="38" t="s">
        <v>11</v>
      </c>
      <c r="C179" s="38" t="s">
        <v>13</v>
      </c>
      <c r="D179" s="39" t="s">
        <v>34</v>
      </c>
      <c r="E179" s="40">
        <v>7</v>
      </c>
      <c r="F179" s="40">
        <v>200</v>
      </c>
      <c r="G179" s="40">
        <v>224</v>
      </c>
      <c r="H179" s="40">
        <v>40</v>
      </c>
      <c r="I179" s="41" t="s">
        <v>42</v>
      </c>
    </row>
    <row r="180" spans="1:9" ht="18" customHeight="1" x14ac:dyDescent="0.25">
      <c r="A180" s="38">
        <v>2020</v>
      </c>
      <c r="B180" s="38" t="s">
        <v>11</v>
      </c>
      <c r="C180" s="38" t="s">
        <v>15</v>
      </c>
      <c r="D180" s="42" t="s">
        <v>27</v>
      </c>
      <c r="E180" s="43">
        <v>3</v>
      </c>
      <c r="F180" s="43">
        <v>4577.3</v>
      </c>
      <c r="G180" s="43">
        <v>5126.576</v>
      </c>
      <c r="H180" s="40">
        <v>915.46</v>
      </c>
      <c r="I180" s="41" t="s">
        <v>40</v>
      </c>
    </row>
    <row r="181" spans="1:9" ht="18" customHeight="1" x14ac:dyDescent="0.25">
      <c r="A181" s="38">
        <v>2020</v>
      </c>
      <c r="B181" s="38" t="s">
        <v>11</v>
      </c>
      <c r="C181" s="38" t="s">
        <v>32</v>
      </c>
      <c r="D181" s="42" t="s">
        <v>32</v>
      </c>
      <c r="E181" s="43">
        <v>2</v>
      </c>
      <c r="F181" s="43">
        <v>6600</v>
      </c>
      <c r="G181" s="43">
        <v>7392</v>
      </c>
      <c r="H181" s="40">
        <v>1320</v>
      </c>
      <c r="I181" s="41" t="s">
        <v>42</v>
      </c>
    </row>
    <row r="182" spans="1:9" ht="18" customHeight="1" x14ac:dyDescent="0.25">
      <c r="A182" s="38">
        <v>2021</v>
      </c>
      <c r="B182" s="38" t="s">
        <v>0</v>
      </c>
      <c r="C182" s="38" t="s">
        <v>14</v>
      </c>
      <c r="D182" s="39" t="s">
        <v>36</v>
      </c>
      <c r="E182" s="40">
        <v>6591.1679999999997</v>
      </c>
      <c r="F182" s="40">
        <v>4577.3</v>
      </c>
      <c r="G182" s="40">
        <v>5126.576</v>
      </c>
      <c r="H182" s="40">
        <v>915.46</v>
      </c>
      <c r="I182" s="41" t="s">
        <v>40</v>
      </c>
    </row>
    <row r="183" spans="1:9" ht="18" customHeight="1" x14ac:dyDescent="0.25">
      <c r="A183" s="38">
        <v>2021</v>
      </c>
      <c r="B183" s="38" t="s">
        <v>0</v>
      </c>
      <c r="C183" s="38" t="s">
        <v>14</v>
      </c>
      <c r="D183" s="39" t="s">
        <v>37</v>
      </c>
      <c r="E183" s="40">
        <v>8270.64</v>
      </c>
      <c r="F183" s="40">
        <v>8800</v>
      </c>
      <c r="G183" s="40">
        <v>8960</v>
      </c>
      <c r="H183" s="40">
        <v>1760</v>
      </c>
      <c r="I183" s="41" t="s">
        <v>40</v>
      </c>
    </row>
    <row r="184" spans="1:9" ht="18" customHeight="1" x14ac:dyDescent="0.25">
      <c r="A184" s="38">
        <v>2021</v>
      </c>
      <c r="B184" s="38" t="s">
        <v>0</v>
      </c>
      <c r="C184" s="38" t="s">
        <v>13</v>
      </c>
      <c r="D184" s="39" t="s">
        <v>35</v>
      </c>
      <c r="E184" s="40">
        <v>8470</v>
      </c>
      <c r="F184" s="40">
        <v>5034.92</v>
      </c>
      <c r="G184" s="40">
        <v>5126.4639999999999</v>
      </c>
      <c r="H184" s="40">
        <v>1006.984</v>
      </c>
      <c r="I184" s="41" t="s">
        <v>40</v>
      </c>
    </row>
    <row r="185" spans="1:9" ht="18" customHeight="1" x14ac:dyDescent="0.25">
      <c r="A185" s="38">
        <v>2021</v>
      </c>
      <c r="B185" s="38" t="s">
        <v>0</v>
      </c>
      <c r="C185" s="38" t="s">
        <v>38</v>
      </c>
      <c r="D185" s="42" t="s">
        <v>30</v>
      </c>
      <c r="E185" s="43">
        <v>6055.1985000000004</v>
      </c>
      <c r="F185" s="43">
        <v>6317.85</v>
      </c>
      <c r="G185" s="43">
        <v>6432.72</v>
      </c>
      <c r="H185" s="40">
        <v>1263.5700000000002</v>
      </c>
      <c r="I185" s="41" t="s">
        <v>40</v>
      </c>
    </row>
    <row r="186" spans="1:9" ht="18" customHeight="1" x14ac:dyDescent="0.25">
      <c r="A186" s="38">
        <v>2021</v>
      </c>
      <c r="B186" s="38" t="s">
        <v>0</v>
      </c>
      <c r="C186" s="38" t="s">
        <v>12</v>
      </c>
      <c r="D186" s="42" t="s">
        <v>29</v>
      </c>
      <c r="E186" s="43">
        <v>10368.4</v>
      </c>
      <c r="F186" s="43">
        <v>7700</v>
      </c>
      <c r="G186" s="43">
        <v>7840</v>
      </c>
      <c r="H186" s="40">
        <v>1540</v>
      </c>
      <c r="I186" s="41" t="s">
        <v>40</v>
      </c>
    </row>
    <row r="187" spans="1:9" ht="18" customHeight="1" x14ac:dyDescent="0.25">
      <c r="A187" s="38">
        <v>2021</v>
      </c>
      <c r="B187" s="38" t="s">
        <v>0</v>
      </c>
      <c r="C187" s="38" t="s">
        <v>38</v>
      </c>
      <c r="D187" s="42" t="s">
        <v>31</v>
      </c>
      <c r="E187" s="43">
        <v>3101.2624999999998</v>
      </c>
      <c r="F187" s="43">
        <v>5036.46</v>
      </c>
      <c r="G187" s="43">
        <v>5128.0320000000002</v>
      </c>
      <c r="H187" s="40">
        <v>1007.292</v>
      </c>
      <c r="I187" s="41" t="s">
        <v>40</v>
      </c>
    </row>
    <row r="188" spans="1:9" ht="18" customHeight="1" x14ac:dyDescent="0.25">
      <c r="A188" s="38">
        <v>2021</v>
      </c>
      <c r="B188" s="38" t="s">
        <v>0</v>
      </c>
      <c r="C188" s="38" t="s">
        <v>12</v>
      </c>
      <c r="D188" s="42" t="s">
        <v>28</v>
      </c>
      <c r="E188" s="44">
        <v>6591.1679999999997</v>
      </c>
      <c r="F188" s="44">
        <v>7700</v>
      </c>
      <c r="G188" s="44">
        <v>7840</v>
      </c>
      <c r="H188" s="40">
        <v>1540</v>
      </c>
      <c r="I188" s="41" t="s">
        <v>40</v>
      </c>
    </row>
    <row r="189" spans="1:9" ht="18" customHeight="1" x14ac:dyDescent="0.25">
      <c r="A189" s="38">
        <v>2021</v>
      </c>
      <c r="B189" s="38" t="s">
        <v>0</v>
      </c>
      <c r="C189" s="38" t="s">
        <v>13</v>
      </c>
      <c r="D189" s="39" t="s">
        <v>33</v>
      </c>
      <c r="E189" s="40">
        <v>6590.7359999999999</v>
      </c>
      <c r="F189" s="40">
        <v>110</v>
      </c>
      <c r="G189" s="40">
        <v>112</v>
      </c>
      <c r="H189" s="40">
        <v>22</v>
      </c>
      <c r="I189" s="41" t="s">
        <v>40</v>
      </c>
    </row>
    <row r="190" spans="1:9" ht="18" customHeight="1" x14ac:dyDescent="0.25">
      <c r="A190" s="38">
        <v>2021</v>
      </c>
      <c r="B190" s="38" t="s">
        <v>0</v>
      </c>
      <c r="C190" s="38" t="s">
        <v>15</v>
      </c>
      <c r="D190" s="42" t="s">
        <v>26</v>
      </c>
      <c r="E190" s="43">
        <v>288</v>
      </c>
      <c r="F190" s="43">
        <v>5034.92</v>
      </c>
      <c r="G190" s="43">
        <v>5126.4639999999999</v>
      </c>
      <c r="H190" s="40">
        <v>1006.984</v>
      </c>
      <c r="I190" s="41" t="s">
        <v>40</v>
      </c>
    </row>
    <row r="191" spans="1:9" ht="18" customHeight="1" x14ac:dyDescent="0.25">
      <c r="A191" s="38">
        <v>2021</v>
      </c>
      <c r="B191" s="38" t="s">
        <v>0</v>
      </c>
      <c r="C191" s="38" t="s">
        <v>15</v>
      </c>
      <c r="D191" s="42" t="s">
        <v>24</v>
      </c>
      <c r="E191" s="43">
        <v>6590.5919999999996</v>
      </c>
      <c r="F191" s="43">
        <v>4576.8999999999996</v>
      </c>
      <c r="G191" s="43">
        <v>5126.1279999999997</v>
      </c>
      <c r="H191" s="40">
        <v>915.38</v>
      </c>
      <c r="I191" s="41" t="s">
        <v>40</v>
      </c>
    </row>
    <row r="192" spans="1:9" ht="18" customHeight="1" x14ac:dyDescent="0.25">
      <c r="A192" s="38">
        <v>2021</v>
      </c>
      <c r="B192" s="38" t="s">
        <v>0</v>
      </c>
      <c r="C192" s="38" t="s">
        <v>15</v>
      </c>
      <c r="D192" s="42" t="s">
        <v>25</v>
      </c>
      <c r="E192" s="43">
        <v>4032.9300000000003</v>
      </c>
      <c r="F192" s="43">
        <v>200</v>
      </c>
      <c r="G192" s="43">
        <v>224</v>
      </c>
      <c r="H192" s="40">
        <v>40</v>
      </c>
      <c r="I192" s="41" t="s">
        <v>40</v>
      </c>
    </row>
    <row r="193" spans="1:9" ht="18" customHeight="1" x14ac:dyDescent="0.25">
      <c r="A193" s="38">
        <v>2021</v>
      </c>
      <c r="B193" s="38" t="s">
        <v>0</v>
      </c>
      <c r="C193" s="38" t="s">
        <v>15</v>
      </c>
      <c r="D193" s="42" t="s">
        <v>23</v>
      </c>
      <c r="E193" s="43">
        <v>7986</v>
      </c>
      <c r="F193" s="43">
        <v>4576.8</v>
      </c>
      <c r="G193" s="43">
        <v>5126.0160000000005</v>
      </c>
      <c r="H193" s="40">
        <v>915.36000000000013</v>
      </c>
      <c r="I193" s="41" t="s">
        <v>40</v>
      </c>
    </row>
    <row r="194" spans="1:9" ht="18" customHeight="1" x14ac:dyDescent="0.25">
      <c r="A194" s="38">
        <v>2021</v>
      </c>
      <c r="B194" s="38" t="s">
        <v>0</v>
      </c>
      <c r="C194" s="38" t="s">
        <v>13</v>
      </c>
      <c r="D194" s="39" t="s">
        <v>34</v>
      </c>
      <c r="E194" s="40">
        <v>5538.5330000000004</v>
      </c>
      <c r="F194" s="40">
        <v>200</v>
      </c>
      <c r="G194" s="40">
        <v>224</v>
      </c>
      <c r="H194" s="40">
        <v>40</v>
      </c>
      <c r="I194" s="41" t="s">
        <v>40</v>
      </c>
    </row>
    <row r="195" spans="1:9" ht="18" customHeight="1" x14ac:dyDescent="0.25">
      <c r="A195" s="38">
        <v>2021</v>
      </c>
      <c r="B195" s="38" t="s">
        <v>0</v>
      </c>
      <c r="C195" s="38" t="s">
        <v>32</v>
      </c>
      <c r="D195" s="42" t="s">
        <v>32</v>
      </c>
      <c r="E195" s="43">
        <v>3</v>
      </c>
      <c r="F195" s="43">
        <v>6600</v>
      </c>
      <c r="G195" s="43">
        <v>7392</v>
      </c>
      <c r="H195" s="40">
        <v>1320</v>
      </c>
      <c r="I195" s="41" t="s">
        <v>40</v>
      </c>
    </row>
    <row r="196" spans="1:9" ht="18" customHeight="1" x14ac:dyDescent="0.25">
      <c r="A196" s="38">
        <v>2021</v>
      </c>
      <c r="B196" s="38" t="s">
        <v>0</v>
      </c>
      <c r="C196" s="38" t="s">
        <v>15</v>
      </c>
      <c r="D196" s="42" t="s">
        <v>27</v>
      </c>
      <c r="E196" s="43">
        <v>3</v>
      </c>
      <c r="F196" s="43">
        <v>4577.3</v>
      </c>
      <c r="G196" s="43">
        <v>5126.576</v>
      </c>
      <c r="H196" s="40">
        <v>915.46</v>
      </c>
      <c r="I196" s="41" t="s">
        <v>40</v>
      </c>
    </row>
    <row r="197" spans="1:9" ht="18" customHeight="1" x14ac:dyDescent="0.25">
      <c r="A197" s="38">
        <v>2021</v>
      </c>
      <c r="B197" s="38" t="s">
        <v>1</v>
      </c>
      <c r="C197" s="38" t="s">
        <v>14</v>
      </c>
      <c r="D197" s="39" t="s">
        <v>36</v>
      </c>
      <c r="E197" s="40">
        <v>3566</v>
      </c>
      <c r="F197" s="40">
        <v>4577.3</v>
      </c>
      <c r="G197" s="40">
        <v>5126.576</v>
      </c>
      <c r="H197" s="40">
        <v>915.46</v>
      </c>
      <c r="I197" s="41" t="s">
        <v>40</v>
      </c>
    </row>
    <row r="198" spans="1:9" ht="18" customHeight="1" x14ac:dyDescent="0.25">
      <c r="A198" s="38">
        <v>2021</v>
      </c>
      <c r="B198" s="38" t="s">
        <v>1</v>
      </c>
      <c r="C198" s="38" t="s">
        <v>14</v>
      </c>
      <c r="D198" s="39" t="s">
        <v>37</v>
      </c>
      <c r="E198" s="40">
        <v>2498</v>
      </c>
      <c r="F198" s="40">
        <v>8000</v>
      </c>
      <c r="G198" s="40">
        <v>8960</v>
      </c>
      <c r="H198" s="40">
        <v>1600</v>
      </c>
      <c r="I198" s="41" t="s">
        <v>40</v>
      </c>
    </row>
    <row r="199" spans="1:9" ht="18" customHeight="1" x14ac:dyDescent="0.25">
      <c r="A199" s="38">
        <v>2021</v>
      </c>
      <c r="B199" s="38" t="s">
        <v>1</v>
      </c>
      <c r="C199" s="38" t="s">
        <v>13</v>
      </c>
      <c r="D199" s="39" t="s">
        <v>35</v>
      </c>
      <c r="E199" s="40">
        <v>1245</v>
      </c>
      <c r="F199" s="40">
        <v>4577.2</v>
      </c>
      <c r="G199" s="40">
        <v>5126.4639999999999</v>
      </c>
      <c r="H199" s="40">
        <v>915.44</v>
      </c>
      <c r="I199" s="41" t="s">
        <v>40</v>
      </c>
    </row>
    <row r="200" spans="1:9" ht="18" customHeight="1" x14ac:dyDescent="0.25">
      <c r="A200" s="38">
        <v>2021</v>
      </c>
      <c r="B200" s="38" t="s">
        <v>1</v>
      </c>
      <c r="C200" s="38" t="s">
        <v>38</v>
      </c>
      <c r="D200" s="42" t="s">
        <v>30</v>
      </c>
      <c r="E200" s="43">
        <v>644</v>
      </c>
      <c r="F200" s="43">
        <v>5743.5</v>
      </c>
      <c r="G200" s="43">
        <v>6432.72</v>
      </c>
      <c r="H200" s="40">
        <v>1148.7</v>
      </c>
      <c r="I200" s="41" t="s">
        <v>40</v>
      </c>
    </row>
    <row r="201" spans="1:9" ht="18" customHeight="1" x14ac:dyDescent="0.25">
      <c r="A201" s="38">
        <v>2021</v>
      </c>
      <c r="B201" s="38" t="s">
        <v>1</v>
      </c>
      <c r="C201" s="38" t="s">
        <v>12</v>
      </c>
      <c r="D201" s="42" t="s">
        <v>29</v>
      </c>
      <c r="E201" s="43">
        <v>643</v>
      </c>
      <c r="F201" s="43">
        <v>7000</v>
      </c>
      <c r="G201" s="43">
        <v>7840</v>
      </c>
      <c r="H201" s="40">
        <v>1400</v>
      </c>
      <c r="I201" s="41" t="s">
        <v>40</v>
      </c>
    </row>
    <row r="202" spans="1:9" ht="18" customHeight="1" x14ac:dyDescent="0.25">
      <c r="A202" s="38">
        <v>2021</v>
      </c>
      <c r="B202" s="38" t="s">
        <v>1</v>
      </c>
      <c r="C202" s="38" t="s">
        <v>38</v>
      </c>
      <c r="D202" s="42" t="s">
        <v>31</v>
      </c>
      <c r="E202" s="43">
        <v>455</v>
      </c>
      <c r="F202" s="43">
        <v>4578.6000000000004</v>
      </c>
      <c r="G202" s="43">
        <v>5128.0320000000002</v>
      </c>
      <c r="H202" s="40">
        <v>915.72000000000014</v>
      </c>
      <c r="I202" s="41" t="s">
        <v>40</v>
      </c>
    </row>
    <row r="203" spans="1:9" ht="18" customHeight="1" x14ac:dyDescent="0.25">
      <c r="A203" s="38">
        <v>2021</v>
      </c>
      <c r="B203" s="38" t="s">
        <v>1</v>
      </c>
      <c r="C203" s="38" t="s">
        <v>12</v>
      </c>
      <c r="D203" s="42" t="s">
        <v>28</v>
      </c>
      <c r="E203" s="44">
        <v>345</v>
      </c>
      <c r="F203" s="44">
        <v>7000</v>
      </c>
      <c r="G203" s="44">
        <v>7840</v>
      </c>
      <c r="H203" s="40">
        <v>1400</v>
      </c>
      <c r="I203" s="41" t="s">
        <v>40</v>
      </c>
    </row>
    <row r="204" spans="1:9" ht="18" customHeight="1" x14ac:dyDescent="0.25">
      <c r="A204" s="38">
        <v>2021</v>
      </c>
      <c r="B204" s="38" t="s">
        <v>1</v>
      </c>
      <c r="C204" s="38" t="s">
        <v>13</v>
      </c>
      <c r="D204" s="39" t="s">
        <v>33</v>
      </c>
      <c r="E204" s="40">
        <v>122</v>
      </c>
      <c r="F204" s="40">
        <v>100</v>
      </c>
      <c r="G204" s="40">
        <v>112</v>
      </c>
      <c r="H204" s="40">
        <v>20</v>
      </c>
      <c r="I204" s="41" t="s">
        <v>40</v>
      </c>
    </row>
    <row r="205" spans="1:9" ht="18" customHeight="1" x14ac:dyDescent="0.25">
      <c r="A205" s="38">
        <v>2021</v>
      </c>
      <c r="B205" s="38" t="s">
        <v>1</v>
      </c>
      <c r="C205" s="38" t="s">
        <v>15</v>
      </c>
      <c r="D205" s="42" t="s">
        <v>26</v>
      </c>
      <c r="E205" s="43">
        <v>78</v>
      </c>
      <c r="F205" s="43">
        <v>4577.2</v>
      </c>
      <c r="G205" s="43">
        <v>5126.4639999999999</v>
      </c>
      <c r="H205" s="40">
        <v>915.44</v>
      </c>
      <c r="I205" s="41" t="s">
        <v>40</v>
      </c>
    </row>
    <row r="206" spans="1:9" ht="18" customHeight="1" x14ac:dyDescent="0.25">
      <c r="A206" s="38">
        <v>2021</v>
      </c>
      <c r="B206" s="38" t="s">
        <v>1</v>
      </c>
      <c r="C206" s="38" t="s">
        <v>15</v>
      </c>
      <c r="D206" s="42" t="s">
        <v>24</v>
      </c>
      <c r="E206" s="43">
        <v>240</v>
      </c>
      <c r="F206" s="43">
        <v>4576.8999999999996</v>
      </c>
      <c r="G206" s="43">
        <v>5126.1279999999997</v>
      </c>
      <c r="H206" s="40">
        <v>915.38</v>
      </c>
      <c r="I206" s="41" t="s">
        <v>40</v>
      </c>
    </row>
    <row r="207" spans="1:9" ht="18" customHeight="1" x14ac:dyDescent="0.25">
      <c r="A207" s="38">
        <v>2021</v>
      </c>
      <c r="B207" s="38" t="s">
        <v>1</v>
      </c>
      <c r="C207" s="38" t="s">
        <v>15</v>
      </c>
      <c r="D207" s="42" t="s">
        <v>25</v>
      </c>
      <c r="E207" s="43">
        <v>5492.16</v>
      </c>
      <c r="F207" s="43">
        <v>200</v>
      </c>
      <c r="G207" s="43">
        <v>224</v>
      </c>
      <c r="H207" s="40">
        <v>40</v>
      </c>
      <c r="I207" s="41" t="s">
        <v>40</v>
      </c>
    </row>
    <row r="208" spans="1:9" ht="18" customHeight="1" x14ac:dyDescent="0.25">
      <c r="A208" s="38">
        <v>2021</v>
      </c>
      <c r="B208" s="38" t="s">
        <v>1</v>
      </c>
      <c r="C208" s="38" t="s">
        <v>15</v>
      </c>
      <c r="D208" s="42" t="s">
        <v>23</v>
      </c>
      <c r="E208" s="43">
        <v>240</v>
      </c>
      <c r="F208" s="43">
        <v>4576.8</v>
      </c>
      <c r="G208" s="43">
        <v>5126.0160000000005</v>
      </c>
      <c r="H208" s="40">
        <v>915.36000000000013</v>
      </c>
      <c r="I208" s="41" t="s">
        <v>40</v>
      </c>
    </row>
    <row r="209" spans="1:9" ht="18" customHeight="1" x14ac:dyDescent="0.25">
      <c r="A209" s="38">
        <v>2021</v>
      </c>
      <c r="B209" s="38" t="s">
        <v>1</v>
      </c>
      <c r="C209" s="38" t="s">
        <v>13</v>
      </c>
      <c r="D209" s="39" t="s">
        <v>34</v>
      </c>
      <c r="E209" s="40">
        <v>5492.76</v>
      </c>
      <c r="F209" s="40">
        <v>200</v>
      </c>
      <c r="G209" s="40">
        <v>224</v>
      </c>
      <c r="H209" s="40">
        <v>40</v>
      </c>
      <c r="I209" s="41" t="s">
        <v>40</v>
      </c>
    </row>
    <row r="210" spans="1:9" ht="18" customHeight="1" x14ac:dyDescent="0.25">
      <c r="A210" s="38">
        <v>2021</v>
      </c>
      <c r="B210" s="38" t="s">
        <v>1</v>
      </c>
      <c r="C210" s="38" t="s">
        <v>15</v>
      </c>
      <c r="D210" s="42" t="s">
        <v>27</v>
      </c>
      <c r="E210" s="43">
        <v>7920</v>
      </c>
      <c r="F210" s="43">
        <v>4577.3</v>
      </c>
      <c r="G210" s="43">
        <v>5126.576</v>
      </c>
      <c r="H210" s="40">
        <v>915.46</v>
      </c>
      <c r="I210" s="41" t="s">
        <v>40</v>
      </c>
    </row>
    <row r="211" spans="1:9" ht="18" customHeight="1" x14ac:dyDescent="0.25">
      <c r="A211" s="38">
        <v>2021</v>
      </c>
      <c r="B211" s="38" t="s">
        <v>1</v>
      </c>
      <c r="C211" s="38" t="s">
        <v>32</v>
      </c>
      <c r="D211" s="42" t="s">
        <v>32</v>
      </c>
      <c r="E211" s="43">
        <v>5492.76</v>
      </c>
      <c r="F211" s="43">
        <v>6600</v>
      </c>
      <c r="G211" s="43">
        <v>7392</v>
      </c>
      <c r="H211" s="40">
        <v>1320</v>
      </c>
      <c r="I211" s="41" t="s">
        <v>40</v>
      </c>
    </row>
    <row r="212" spans="1:9" ht="18" customHeight="1" x14ac:dyDescent="0.25">
      <c r="A212" s="38">
        <v>2021</v>
      </c>
      <c r="B212" s="38" t="s">
        <v>2</v>
      </c>
      <c r="C212" s="38" t="s">
        <v>14</v>
      </c>
      <c r="D212" s="39" t="s">
        <v>36</v>
      </c>
      <c r="E212" s="40">
        <v>9600</v>
      </c>
      <c r="F212" s="40">
        <v>4577.3</v>
      </c>
      <c r="G212" s="40">
        <v>5126.576</v>
      </c>
      <c r="H212" s="40">
        <v>915.46</v>
      </c>
      <c r="I212" s="41" t="s">
        <v>40</v>
      </c>
    </row>
    <row r="213" spans="1:9" ht="18" customHeight="1" x14ac:dyDescent="0.25">
      <c r="A213" s="38">
        <v>2021</v>
      </c>
      <c r="B213" s="38" t="s">
        <v>2</v>
      </c>
      <c r="C213" s="38" t="s">
        <v>14</v>
      </c>
      <c r="D213" s="39" t="s">
        <v>37</v>
      </c>
      <c r="E213" s="40">
        <v>5492.6399999999994</v>
      </c>
      <c r="F213" s="40">
        <v>8000</v>
      </c>
      <c r="G213" s="40">
        <v>8960</v>
      </c>
      <c r="H213" s="40">
        <v>1600</v>
      </c>
      <c r="I213" s="41" t="s">
        <v>40</v>
      </c>
    </row>
    <row r="214" spans="1:9" ht="18" customHeight="1" x14ac:dyDescent="0.25">
      <c r="A214" s="38">
        <v>2021</v>
      </c>
      <c r="B214" s="38" t="s">
        <v>2</v>
      </c>
      <c r="C214" s="38" t="s">
        <v>13</v>
      </c>
      <c r="D214" s="39" t="s">
        <v>35</v>
      </c>
      <c r="E214" s="40">
        <v>6892.2</v>
      </c>
      <c r="F214" s="40">
        <v>4577.2</v>
      </c>
      <c r="G214" s="40">
        <v>5126.4639999999999</v>
      </c>
      <c r="H214" s="40">
        <v>915.44</v>
      </c>
      <c r="I214" s="41" t="s">
        <v>40</v>
      </c>
    </row>
    <row r="215" spans="1:9" ht="18" customHeight="1" x14ac:dyDescent="0.25">
      <c r="A215" s="38">
        <v>2021</v>
      </c>
      <c r="B215" s="38" t="s">
        <v>2</v>
      </c>
      <c r="C215" s="38" t="s">
        <v>38</v>
      </c>
      <c r="D215" s="42" t="s">
        <v>30</v>
      </c>
      <c r="E215" s="43">
        <v>644</v>
      </c>
      <c r="F215" s="43">
        <v>5743.5</v>
      </c>
      <c r="G215" s="43">
        <v>6432.72</v>
      </c>
      <c r="H215" s="40">
        <v>1148.7</v>
      </c>
      <c r="I215" s="41" t="s">
        <v>40</v>
      </c>
    </row>
    <row r="216" spans="1:9" ht="18" customHeight="1" x14ac:dyDescent="0.25">
      <c r="A216" s="38">
        <v>2021</v>
      </c>
      <c r="B216" s="38" t="s">
        <v>2</v>
      </c>
      <c r="C216" s="38" t="s">
        <v>12</v>
      </c>
      <c r="D216" s="42" t="s">
        <v>29</v>
      </c>
      <c r="E216" s="43">
        <v>643</v>
      </c>
      <c r="F216" s="43">
        <v>7000</v>
      </c>
      <c r="G216" s="43">
        <v>7840</v>
      </c>
      <c r="H216" s="40">
        <v>1400</v>
      </c>
      <c r="I216" s="41" t="s">
        <v>40</v>
      </c>
    </row>
    <row r="217" spans="1:9" ht="18" customHeight="1" x14ac:dyDescent="0.25">
      <c r="A217" s="38">
        <v>2021</v>
      </c>
      <c r="B217" s="38" t="s">
        <v>2</v>
      </c>
      <c r="C217" s="38" t="s">
        <v>38</v>
      </c>
      <c r="D217" s="42" t="s">
        <v>31</v>
      </c>
      <c r="E217" s="43">
        <v>455</v>
      </c>
      <c r="F217" s="43">
        <v>4578.6000000000004</v>
      </c>
      <c r="G217" s="43">
        <v>5128.0320000000002</v>
      </c>
      <c r="H217" s="40">
        <v>915.72000000000014</v>
      </c>
      <c r="I217" s="41" t="s">
        <v>40</v>
      </c>
    </row>
    <row r="218" spans="1:9" ht="18" customHeight="1" x14ac:dyDescent="0.25">
      <c r="A218" s="38">
        <v>2021</v>
      </c>
      <c r="B218" s="38" t="s">
        <v>2</v>
      </c>
      <c r="C218" s="38" t="s">
        <v>12</v>
      </c>
      <c r="D218" s="42" t="s">
        <v>28</v>
      </c>
      <c r="E218" s="44">
        <v>345</v>
      </c>
      <c r="F218" s="44">
        <v>7000</v>
      </c>
      <c r="G218" s="44">
        <v>7840</v>
      </c>
      <c r="H218" s="40">
        <v>1400</v>
      </c>
      <c r="I218" s="41" t="s">
        <v>40</v>
      </c>
    </row>
    <row r="219" spans="1:9" ht="18" customHeight="1" x14ac:dyDescent="0.25">
      <c r="A219" s="38">
        <v>2021</v>
      </c>
      <c r="B219" s="38" t="s">
        <v>2</v>
      </c>
      <c r="C219" s="38" t="s">
        <v>13</v>
      </c>
      <c r="D219" s="39" t="s">
        <v>33</v>
      </c>
      <c r="E219" s="40">
        <v>122</v>
      </c>
      <c r="F219" s="40">
        <v>100</v>
      </c>
      <c r="G219" s="40">
        <v>112</v>
      </c>
      <c r="H219" s="40">
        <v>20</v>
      </c>
      <c r="I219" s="41" t="s">
        <v>40</v>
      </c>
    </row>
    <row r="220" spans="1:9" ht="18" customHeight="1" x14ac:dyDescent="0.25">
      <c r="A220" s="38">
        <v>2021</v>
      </c>
      <c r="B220" s="38" t="s">
        <v>2</v>
      </c>
      <c r="C220" s="38" t="s">
        <v>15</v>
      </c>
      <c r="D220" s="42" t="s">
        <v>26</v>
      </c>
      <c r="E220" s="43">
        <v>78</v>
      </c>
      <c r="F220" s="43">
        <v>4577.2</v>
      </c>
      <c r="G220" s="43">
        <v>5126.4639999999999</v>
      </c>
      <c r="H220" s="40">
        <v>915.44</v>
      </c>
      <c r="I220" s="41" t="s">
        <v>40</v>
      </c>
    </row>
    <row r="221" spans="1:9" ht="18" customHeight="1" x14ac:dyDescent="0.25">
      <c r="A221" s="38">
        <v>2021</v>
      </c>
      <c r="B221" s="38" t="s">
        <v>2</v>
      </c>
      <c r="C221" s="38" t="s">
        <v>15</v>
      </c>
      <c r="D221" s="42" t="s">
        <v>24</v>
      </c>
      <c r="E221" s="43">
        <v>76</v>
      </c>
      <c r="F221" s="43">
        <v>4576.8999999999996</v>
      </c>
      <c r="G221" s="43">
        <v>5126.1279999999997</v>
      </c>
      <c r="H221" s="40">
        <v>915.38</v>
      </c>
      <c r="I221" s="41" t="s">
        <v>40</v>
      </c>
    </row>
    <row r="222" spans="1:9" ht="18" customHeight="1" x14ac:dyDescent="0.25">
      <c r="A222" s="38">
        <v>2021</v>
      </c>
      <c r="B222" s="38" t="s">
        <v>2</v>
      </c>
      <c r="C222" s="38" t="s">
        <v>15</v>
      </c>
      <c r="D222" s="42" t="s">
        <v>25</v>
      </c>
      <c r="E222" s="43">
        <v>46</v>
      </c>
      <c r="F222" s="43">
        <v>200</v>
      </c>
      <c r="G222" s="43">
        <v>224</v>
      </c>
      <c r="H222" s="40">
        <v>40</v>
      </c>
      <c r="I222" s="41" t="s">
        <v>40</v>
      </c>
    </row>
    <row r="223" spans="1:9" ht="18" customHeight="1" x14ac:dyDescent="0.25">
      <c r="A223" s="38">
        <v>2021</v>
      </c>
      <c r="B223" s="38" t="s">
        <v>2</v>
      </c>
      <c r="C223" s="38" t="s">
        <v>15</v>
      </c>
      <c r="D223" s="42" t="s">
        <v>23</v>
      </c>
      <c r="E223" s="43">
        <v>34</v>
      </c>
      <c r="F223" s="43">
        <v>4576.8</v>
      </c>
      <c r="G223" s="43">
        <v>5126.0160000000005</v>
      </c>
      <c r="H223" s="40">
        <v>915.36000000000013</v>
      </c>
      <c r="I223" s="41" t="s">
        <v>40</v>
      </c>
    </row>
    <row r="224" spans="1:9" ht="18" customHeight="1" x14ac:dyDescent="0.25">
      <c r="A224" s="38">
        <v>2021</v>
      </c>
      <c r="B224" s="38" t="s">
        <v>2</v>
      </c>
      <c r="C224" s="38" t="s">
        <v>13</v>
      </c>
      <c r="D224" s="39" t="s">
        <v>34</v>
      </c>
      <c r="E224" s="40">
        <v>7</v>
      </c>
      <c r="F224" s="40">
        <v>200</v>
      </c>
      <c r="G224" s="40">
        <v>224</v>
      </c>
      <c r="H224" s="40">
        <v>40</v>
      </c>
      <c r="I224" s="41" t="s">
        <v>40</v>
      </c>
    </row>
    <row r="225" spans="1:9" ht="18" customHeight="1" x14ac:dyDescent="0.25">
      <c r="A225" s="38">
        <v>2021</v>
      </c>
      <c r="B225" s="38" t="s">
        <v>2</v>
      </c>
      <c r="C225" s="38" t="s">
        <v>15</v>
      </c>
      <c r="D225" s="42" t="s">
        <v>27</v>
      </c>
      <c r="E225" s="43">
        <v>3</v>
      </c>
      <c r="F225" s="43">
        <v>4577.3</v>
      </c>
      <c r="G225" s="43">
        <v>5126.576</v>
      </c>
      <c r="H225" s="40">
        <v>915.46</v>
      </c>
      <c r="I225" s="41" t="s">
        <v>40</v>
      </c>
    </row>
    <row r="226" spans="1:9" ht="18" customHeight="1" x14ac:dyDescent="0.25">
      <c r="A226" s="38">
        <v>2021</v>
      </c>
      <c r="B226" s="38" t="s">
        <v>2</v>
      </c>
      <c r="C226" s="38" t="s">
        <v>32</v>
      </c>
      <c r="D226" s="42" t="s">
        <v>32</v>
      </c>
      <c r="E226" s="43">
        <v>2</v>
      </c>
      <c r="F226" s="43">
        <v>6600</v>
      </c>
      <c r="G226" s="43">
        <v>7392</v>
      </c>
      <c r="H226" s="40">
        <v>1320</v>
      </c>
      <c r="I226" s="41" t="s">
        <v>40</v>
      </c>
    </row>
    <row r="227" spans="1:9" ht="18" customHeight="1" x14ac:dyDescent="0.25">
      <c r="A227" s="38">
        <v>2021</v>
      </c>
      <c r="B227" s="38" t="s">
        <v>3</v>
      </c>
      <c r="C227" s="38" t="s">
        <v>14</v>
      </c>
      <c r="D227" s="39" t="s">
        <v>36</v>
      </c>
      <c r="E227" s="40">
        <v>3566</v>
      </c>
      <c r="F227" s="40">
        <v>4577.3</v>
      </c>
      <c r="G227" s="40">
        <v>5126.576</v>
      </c>
      <c r="H227" s="40">
        <v>915.46</v>
      </c>
      <c r="I227" s="41" t="s">
        <v>40</v>
      </c>
    </row>
    <row r="228" spans="1:9" ht="18" customHeight="1" x14ac:dyDescent="0.25">
      <c r="A228" s="38">
        <v>2021</v>
      </c>
      <c r="B228" s="38" t="s">
        <v>3</v>
      </c>
      <c r="C228" s="38" t="s">
        <v>14</v>
      </c>
      <c r="D228" s="39" t="s">
        <v>37</v>
      </c>
      <c r="E228" s="40">
        <v>2498</v>
      </c>
      <c r="F228" s="40">
        <v>8000</v>
      </c>
      <c r="G228" s="40">
        <v>8960</v>
      </c>
      <c r="H228" s="40">
        <v>1600</v>
      </c>
      <c r="I228" s="41" t="s">
        <v>40</v>
      </c>
    </row>
    <row r="229" spans="1:9" ht="18" customHeight="1" x14ac:dyDescent="0.25">
      <c r="A229" s="38">
        <v>2021</v>
      </c>
      <c r="B229" s="38" t="s">
        <v>3</v>
      </c>
      <c r="C229" s="38" t="s">
        <v>13</v>
      </c>
      <c r="D229" s="39" t="s">
        <v>35</v>
      </c>
      <c r="E229" s="40">
        <v>1245</v>
      </c>
      <c r="F229" s="40">
        <v>4577.2</v>
      </c>
      <c r="G229" s="40">
        <v>5126.4639999999999</v>
      </c>
      <c r="H229" s="40">
        <v>915.44</v>
      </c>
      <c r="I229" s="41" t="s">
        <v>40</v>
      </c>
    </row>
    <row r="230" spans="1:9" ht="18" customHeight="1" x14ac:dyDescent="0.25">
      <c r="A230" s="38">
        <v>2021</v>
      </c>
      <c r="B230" s="38" t="s">
        <v>3</v>
      </c>
      <c r="C230" s="38" t="s">
        <v>38</v>
      </c>
      <c r="D230" s="42" t="s">
        <v>30</v>
      </c>
      <c r="E230" s="43">
        <v>644</v>
      </c>
      <c r="F230" s="43">
        <v>5743.5</v>
      </c>
      <c r="G230" s="43">
        <v>6432.72</v>
      </c>
      <c r="H230" s="40">
        <v>1148.7</v>
      </c>
      <c r="I230" s="41" t="s">
        <v>40</v>
      </c>
    </row>
    <row r="231" spans="1:9" ht="18" customHeight="1" x14ac:dyDescent="0.25">
      <c r="A231" s="38">
        <v>2021</v>
      </c>
      <c r="B231" s="38" t="s">
        <v>3</v>
      </c>
      <c r="C231" s="38" t="s">
        <v>12</v>
      </c>
      <c r="D231" s="42" t="s">
        <v>29</v>
      </c>
      <c r="E231" s="43">
        <v>643</v>
      </c>
      <c r="F231" s="43">
        <v>7000</v>
      </c>
      <c r="G231" s="43">
        <v>7840</v>
      </c>
      <c r="H231" s="40">
        <v>1400</v>
      </c>
      <c r="I231" s="41" t="s">
        <v>40</v>
      </c>
    </row>
    <row r="232" spans="1:9" ht="18" customHeight="1" x14ac:dyDescent="0.25">
      <c r="A232" s="38">
        <v>2021</v>
      </c>
      <c r="B232" s="38" t="s">
        <v>3</v>
      </c>
      <c r="C232" s="38" t="s">
        <v>38</v>
      </c>
      <c r="D232" s="42" t="s">
        <v>31</v>
      </c>
      <c r="E232" s="43">
        <v>455</v>
      </c>
      <c r="F232" s="43">
        <v>4578.6000000000004</v>
      </c>
      <c r="G232" s="43">
        <v>5128.0320000000002</v>
      </c>
      <c r="H232" s="40">
        <v>915.72000000000014</v>
      </c>
      <c r="I232" s="41" t="s">
        <v>40</v>
      </c>
    </row>
    <row r="233" spans="1:9" ht="18" customHeight="1" x14ac:dyDescent="0.25">
      <c r="A233" s="38">
        <v>2021</v>
      </c>
      <c r="B233" s="38" t="s">
        <v>3</v>
      </c>
      <c r="C233" s="38" t="s">
        <v>12</v>
      </c>
      <c r="D233" s="42" t="s">
        <v>28</v>
      </c>
      <c r="E233" s="44">
        <v>345</v>
      </c>
      <c r="F233" s="44">
        <v>7000</v>
      </c>
      <c r="G233" s="44">
        <v>7840</v>
      </c>
      <c r="H233" s="40">
        <v>1400</v>
      </c>
      <c r="I233" s="41" t="s">
        <v>40</v>
      </c>
    </row>
    <row r="234" spans="1:9" ht="18" customHeight="1" x14ac:dyDescent="0.25">
      <c r="A234" s="38">
        <v>2021</v>
      </c>
      <c r="B234" s="38" t="s">
        <v>3</v>
      </c>
      <c r="C234" s="38" t="s">
        <v>13</v>
      </c>
      <c r="D234" s="39" t="s">
        <v>33</v>
      </c>
      <c r="E234" s="40">
        <v>122</v>
      </c>
      <c r="F234" s="40">
        <v>100</v>
      </c>
      <c r="G234" s="40">
        <v>112</v>
      </c>
      <c r="H234" s="40">
        <v>20</v>
      </c>
      <c r="I234" s="41" t="s">
        <v>40</v>
      </c>
    </row>
    <row r="235" spans="1:9" ht="18" customHeight="1" x14ac:dyDescent="0.25">
      <c r="A235" s="38">
        <v>2021</v>
      </c>
      <c r="B235" s="38" t="s">
        <v>3</v>
      </c>
      <c r="C235" s="38" t="s">
        <v>15</v>
      </c>
      <c r="D235" s="42" t="s">
        <v>26</v>
      </c>
      <c r="E235" s="43">
        <v>78</v>
      </c>
      <c r="F235" s="43">
        <v>4577.2</v>
      </c>
      <c r="G235" s="43">
        <v>5126.4639999999999</v>
      </c>
      <c r="H235" s="40">
        <v>915.44</v>
      </c>
      <c r="I235" s="41" t="s">
        <v>40</v>
      </c>
    </row>
    <row r="236" spans="1:9" ht="18" customHeight="1" x14ac:dyDescent="0.25">
      <c r="A236" s="38">
        <v>2021</v>
      </c>
      <c r="B236" s="38" t="s">
        <v>3</v>
      </c>
      <c r="C236" s="38" t="s">
        <v>15</v>
      </c>
      <c r="D236" s="42" t="s">
        <v>24</v>
      </c>
      <c r="E236" s="43">
        <v>76</v>
      </c>
      <c r="F236" s="43">
        <v>4576.8999999999996</v>
      </c>
      <c r="G236" s="43">
        <v>5126.1279999999997</v>
      </c>
      <c r="H236" s="40">
        <v>915.38</v>
      </c>
      <c r="I236" s="41" t="s">
        <v>40</v>
      </c>
    </row>
    <row r="237" spans="1:9" ht="18" customHeight="1" x14ac:dyDescent="0.25">
      <c r="A237" s="38">
        <v>2021</v>
      </c>
      <c r="B237" s="38" t="s">
        <v>3</v>
      </c>
      <c r="C237" s="38" t="s">
        <v>15</v>
      </c>
      <c r="D237" s="42" t="s">
        <v>25</v>
      </c>
      <c r="E237" s="43">
        <v>46</v>
      </c>
      <c r="F237" s="43">
        <v>200</v>
      </c>
      <c r="G237" s="43">
        <v>224</v>
      </c>
      <c r="H237" s="40">
        <v>40</v>
      </c>
      <c r="I237" s="41" t="s">
        <v>40</v>
      </c>
    </row>
    <row r="238" spans="1:9" ht="18" customHeight="1" x14ac:dyDescent="0.25">
      <c r="A238" s="38">
        <v>2021</v>
      </c>
      <c r="B238" s="38" t="s">
        <v>3</v>
      </c>
      <c r="C238" s="38" t="s">
        <v>15</v>
      </c>
      <c r="D238" s="42" t="s">
        <v>23</v>
      </c>
      <c r="E238" s="43">
        <v>34</v>
      </c>
      <c r="F238" s="43">
        <v>4576.8</v>
      </c>
      <c r="G238" s="43">
        <v>5126.0160000000005</v>
      </c>
      <c r="H238" s="40">
        <v>915.36000000000013</v>
      </c>
      <c r="I238" s="41" t="s">
        <v>40</v>
      </c>
    </row>
    <row r="239" spans="1:9" ht="18" customHeight="1" x14ac:dyDescent="0.25">
      <c r="A239" s="38">
        <v>2021</v>
      </c>
      <c r="B239" s="38" t="s">
        <v>3</v>
      </c>
      <c r="C239" s="38" t="s">
        <v>13</v>
      </c>
      <c r="D239" s="39" t="s">
        <v>34</v>
      </c>
      <c r="E239" s="40">
        <v>7</v>
      </c>
      <c r="F239" s="40">
        <v>200</v>
      </c>
      <c r="G239" s="40">
        <v>224</v>
      </c>
      <c r="H239" s="40">
        <v>40</v>
      </c>
      <c r="I239" s="41" t="s">
        <v>40</v>
      </c>
    </row>
    <row r="240" spans="1:9" ht="18" customHeight="1" x14ac:dyDescent="0.25">
      <c r="A240" s="38">
        <v>2021</v>
      </c>
      <c r="B240" s="38" t="s">
        <v>3</v>
      </c>
      <c r="C240" s="38" t="s">
        <v>15</v>
      </c>
      <c r="D240" s="42" t="s">
        <v>27</v>
      </c>
      <c r="E240" s="43">
        <v>3</v>
      </c>
      <c r="F240" s="43">
        <v>4577.3</v>
      </c>
      <c r="G240" s="43">
        <v>5126.576</v>
      </c>
      <c r="H240" s="40">
        <v>915.46</v>
      </c>
      <c r="I240" s="41" t="s">
        <v>40</v>
      </c>
    </row>
    <row r="241" spans="1:9" ht="18" customHeight="1" x14ac:dyDescent="0.25">
      <c r="A241" s="38">
        <v>2021</v>
      </c>
      <c r="B241" s="38" t="s">
        <v>3</v>
      </c>
      <c r="C241" s="38" t="s">
        <v>32</v>
      </c>
      <c r="D241" s="42" t="s">
        <v>32</v>
      </c>
      <c r="E241" s="43">
        <v>2</v>
      </c>
      <c r="F241" s="43">
        <v>7920</v>
      </c>
      <c r="G241" s="43">
        <v>10296</v>
      </c>
      <c r="H241" s="40">
        <v>1584</v>
      </c>
      <c r="I241" s="41" t="s">
        <v>40</v>
      </c>
    </row>
    <row r="242" spans="1:9" ht="18" customHeight="1" x14ac:dyDescent="0.25">
      <c r="A242" s="38">
        <v>2021</v>
      </c>
      <c r="B242" s="38" t="s">
        <v>4</v>
      </c>
      <c r="C242" s="38" t="s">
        <v>14</v>
      </c>
      <c r="D242" s="39" t="s">
        <v>36</v>
      </c>
      <c r="E242" s="40">
        <v>3566</v>
      </c>
      <c r="F242" s="40">
        <v>5492.76</v>
      </c>
      <c r="G242" s="40">
        <v>7140.5879999999997</v>
      </c>
      <c r="H242" s="40">
        <v>1098.5520000000001</v>
      </c>
      <c r="I242" s="41" t="s">
        <v>40</v>
      </c>
    </row>
    <row r="243" spans="1:9" ht="18" customHeight="1" x14ac:dyDescent="0.25">
      <c r="A243" s="38">
        <v>2021</v>
      </c>
      <c r="B243" s="38" t="s">
        <v>4</v>
      </c>
      <c r="C243" s="38" t="s">
        <v>14</v>
      </c>
      <c r="D243" s="39" t="s">
        <v>37</v>
      </c>
      <c r="E243" s="40">
        <v>2498</v>
      </c>
      <c r="F243" s="40">
        <v>9600</v>
      </c>
      <c r="G243" s="40">
        <v>12480</v>
      </c>
      <c r="H243" s="40">
        <v>1920</v>
      </c>
      <c r="I243" s="41" t="s">
        <v>40</v>
      </c>
    </row>
    <row r="244" spans="1:9" ht="18" customHeight="1" x14ac:dyDescent="0.25">
      <c r="A244" s="38">
        <v>2021</v>
      </c>
      <c r="B244" s="38" t="s">
        <v>4</v>
      </c>
      <c r="C244" s="38" t="s">
        <v>13</v>
      </c>
      <c r="D244" s="39" t="s">
        <v>35</v>
      </c>
      <c r="E244" s="40">
        <v>1245</v>
      </c>
      <c r="F244" s="40">
        <v>5492.6399999999994</v>
      </c>
      <c r="G244" s="40">
        <v>7140.4319999999989</v>
      </c>
      <c r="H244" s="40">
        <v>1098.528</v>
      </c>
      <c r="I244" s="41" t="s">
        <v>40</v>
      </c>
    </row>
    <row r="245" spans="1:9" ht="18" customHeight="1" x14ac:dyDescent="0.25">
      <c r="A245" s="38">
        <v>2021</v>
      </c>
      <c r="B245" s="38" t="s">
        <v>4</v>
      </c>
      <c r="C245" s="38" t="s">
        <v>38</v>
      </c>
      <c r="D245" s="42" t="s">
        <v>30</v>
      </c>
      <c r="E245" s="43">
        <v>644</v>
      </c>
      <c r="F245" s="43">
        <v>6892.2</v>
      </c>
      <c r="G245" s="43">
        <v>8959.86</v>
      </c>
      <c r="H245" s="40">
        <v>1378.44</v>
      </c>
      <c r="I245" s="41" t="s">
        <v>40</v>
      </c>
    </row>
    <row r="246" spans="1:9" ht="18" customHeight="1" x14ac:dyDescent="0.25">
      <c r="A246" s="38">
        <v>2021</v>
      </c>
      <c r="B246" s="38" t="s">
        <v>4</v>
      </c>
      <c r="C246" s="38" t="s">
        <v>12</v>
      </c>
      <c r="D246" s="42" t="s">
        <v>29</v>
      </c>
      <c r="E246" s="43">
        <v>643</v>
      </c>
      <c r="F246" s="43">
        <v>8400</v>
      </c>
      <c r="G246" s="43">
        <v>10920</v>
      </c>
      <c r="H246" s="40">
        <v>1680</v>
      </c>
      <c r="I246" s="41" t="s">
        <v>40</v>
      </c>
    </row>
    <row r="247" spans="1:9" ht="18" customHeight="1" x14ac:dyDescent="0.25">
      <c r="A247" s="38">
        <v>2021</v>
      </c>
      <c r="B247" s="38" t="s">
        <v>4</v>
      </c>
      <c r="C247" s="38" t="s">
        <v>38</v>
      </c>
      <c r="D247" s="42" t="s">
        <v>31</v>
      </c>
      <c r="E247" s="43">
        <v>455</v>
      </c>
      <c r="F247" s="43">
        <v>5494.3200000000006</v>
      </c>
      <c r="G247" s="43">
        <v>7142.6160000000009</v>
      </c>
      <c r="H247" s="40">
        <v>1098.8640000000003</v>
      </c>
      <c r="I247" s="41" t="s">
        <v>40</v>
      </c>
    </row>
    <row r="248" spans="1:9" ht="18" customHeight="1" x14ac:dyDescent="0.25">
      <c r="A248" s="38">
        <v>2021</v>
      </c>
      <c r="B248" s="38" t="s">
        <v>4</v>
      </c>
      <c r="C248" s="38" t="s">
        <v>12</v>
      </c>
      <c r="D248" s="42" t="s">
        <v>28</v>
      </c>
      <c r="E248" s="44">
        <v>345</v>
      </c>
      <c r="F248" s="44">
        <v>8400</v>
      </c>
      <c r="G248" s="44">
        <v>10920</v>
      </c>
      <c r="H248" s="40">
        <v>1680</v>
      </c>
      <c r="I248" s="41" t="s">
        <v>40</v>
      </c>
    </row>
    <row r="249" spans="1:9" ht="18" customHeight="1" x14ac:dyDescent="0.25">
      <c r="A249" s="38">
        <v>2021</v>
      </c>
      <c r="B249" s="38" t="s">
        <v>4</v>
      </c>
      <c r="C249" s="38" t="s">
        <v>13</v>
      </c>
      <c r="D249" s="39" t="s">
        <v>33</v>
      </c>
      <c r="E249" s="40">
        <v>122</v>
      </c>
      <c r="F249" s="40">
        <v>120</v>
      </c>
      <c r="G249" s="40">
        <v>156</v>
      </c>
      <c r="H249" s="40">
        <v>24</v>
      </c>
      <c r="I249" s="41" t="s">
        <v>40</v>
      </c>
    </row>
    <row r="250" spans="1:9" ht="18" customHeight="1" x14ac:dyDescent="0.25">
      <c r="A250" s="38">
        <v>2021</v>
      </c>
      <c r="B250" s="38" t="s">
        <v>4</v>
      </c>
      <c r="C250" s="38" t="s">
        <v>15</v>
      </c>
      <c r="D250" s="42" t="s">
        <v>26</v>
      </c>
      <c r="E250" s="43">
        <v>78</v>
      </c>
      <c r="F250" s="43">
        <v>4577.2</v>
      </c>
      <c r="G250" s="43">
        <v>5126.4639999999999</v>
      </c>
      <c r="H250" s="40">
        <v>915.44</v>
      </c>
      <c r="I250" s="41" t="s">
        <v>40</v>
      </c>
    </row>
    <row r="251" spans="1:9" ht="18" customHeight="1" x14ac:dyDescent="0.25">
      <c r="A251" s="38">
        <v>2021</v>
      </c>
      <c r="B251" s="38" t="s">
        <v>4</v>
      </c>
      <c r="C251" s="38" t="s">
        <v>15</v>
      </c>
      <c r="D251" s="42" t="s">
        <v>24</v>
      </c>
      <c r="E251" s="43">
        <v>76</v>
      </c>
      <c r="F251" s="43">
        <v>4576.8999999999996</v>
      </c>
      <c r="G251" s="43">
        <v>5126.1279999999997</v>
      </c>
      <c r="H251" s="40">
        <v>915.38</v>
      </c>
      <c r="I251" s="41" t="s">
        <v>40</v>
      </c>
    </row>
    <row r="252" spans="1:9" ht="18" customHeight="1" x14ac:dyDescent="0.25">
      <c r="A252" s="38">
        <v>2021</v>
      </c>
      <c r="B252" s="38" t="s">
        <v>4</v>
      </c>
      <c r="C252" s="38" t="s">
        <v>15</v>
      </c>
      <c r="D252" s="42" t="s">
        <v>25</v>
      </c>
      <c r="E252" s="43">
        <v>46</v>
      </c>
      <c r="F252" s="43">
        <v>200</v>
      </c>
      <c r="G252" s="43">
        <v>224</v>
      </c>
      <c r="H252" s="40">
        <v>40</v>
      </c>
      <c r="I252" s="41" t="s">
        <v>40</v>
      </c>
    </row>
    <row r="253" spans="1:9" ht="18" customHeight="1" x14ac:dyDescent="0.25">
      <c r="A253" s="38">
        <v>2021</v>
      </c>
      <c r="B253" s="38" t="s">
        <v>4</v>
      </c>
      <c r="C253" s="38" t="s">
        <v>15</v>
      </c>
      <c r="D253" s="42" t="s">
        <v>23</v>
      </c>
      <c r="E253" s="43">
        <v>34</v>
      </c>
      <c r="F253" s="43">
        <v>4576.8</v>
      </c>
      <c r="G253" s="43">
        <v>5126.0160000000005</v>
      </c>
      <c r="H253" s="40">
        <v>915.36000000000013</v>
      </c>
      <c r="I253" s="41" t="s">
        <v>40</v>
      </c>
    </row>
    <row r="254" spans="1:9" ht="18" customHeight="1" x14ac:dyDescent="0.25">
      <c r="A254" s="38">
        <v>2021</v>
      </c>
      <c r="B254" s="38" t="s">
        <v>4</v>
      </c>
      <c r="C254" s="38" t="s">
        <v>13</v>
      </c>
      <c r="D254" s="39" t="s">
        <v>34</v>
      </c>
      <c r="E254" s="40">
        <v>7</v>
      </c>
      <c r="F254" s="40">
        <v>200</v>
      </c>
      <c r="G254" s="40">
        <v>224</v>
      </c>
      <c r="H254" s="40">
        <v>40</v>
      </c>
      <c r="I254" s="41" t="s">
        <v>40</v>
      </c>
    </row>
    <row r="255" spans="1:9" ht="18" customHeight="1" x14ac:dyDescent="0.25">
      <c r="A255" s="38">
        <v>2021</v>
      </c>
      <c r="B255" s="38" t="s">
        <v>4</v>
      </c>
      <c r="C255" s="38" t="s">
        <v>15</v>
      </c>
      <c r="D255" s="42" t="s">
        <v>27</v>
      </c>
      <c r="E255" s="43">
        <v>3</v>
      </c>
      <c r="F255" s="43">
        <v>4577.3</v>
      </c>
      <c r="G255" s="43">
        <v>5126.576</v>
      </c>
      <c r="H255" s="40">
        <v>915.46</v>
      </c>
      <c r="I255" s="41" t="s">
        <v>40</v>
      </c>
    </row>
    <row r="256" spans="1:9" ht="18" customHeight="1" x14ac:dyDescent="0.25">
      <c r="A256" s="38">
        <v>2021</v>
      </c>
      <c r="B256" s="38" t="s">
        <v>4</v>
      </c>
      <c r="C256" s="38" t="s">
        <v>32</v>
      </c>
      <c r="D256" s="42" t="s">
        <v>32</v>
      </c>
      <c r="E256" s="43">
        <v>2</v>
      </c>
      <c r="F256" s="43">
        <v>6600</v>
      </c>
      <c r="G256" s="43">
        <v>7392</v>
      </c>
      <c r="H256" s="40">
        <v>1320</v>
      </c>
      <c r="I256" s="41" t="s">
        <v>40</v>
      </c>
    </row>
    <row r="257" spans="1:9" ht="18" customHeight="1" x14ac:dyDescent="0.25">
      <c r="A257" s="38">
        <v>2021</v>
      </c>
      <c r="B257" s="38" t="s">
        <v>5</v>
      </c>
      <c r="C257" s="38" t="s">
        <v>14</v>
      </c>
      <c r="D257" s="39" t="s">
        <v>36</v>
      </c>
      <c r="E257" s="40">
        <v>3566</v>
      </c>
      <c r="F257" s="40">
        <v>4577.3</v>
      </c>
      <c r="G257" s="40">
        <v>5126.576</v>
      </c>
      <c r="H257" s="40">
        <v>915.46</v>
      </c>
      <c r="I257" s="41" t="s">
        <v>40</v>
      </c>
    </row>
    <row r="258" spans="1:9" ht="18" customHeight="1" x14ac:dyDescent="0.25">
      <c r="A258" s="38">
        <v>2021</v>
      </c>
      <c r="B258" s="38" t="s">
        <v>5</v>
      </c>
      <c r="C258" s="38" t="s">
        <v>14</v>
      </c>
      <c r="D258" s="39" t="s">
        <v>37</v>
      </c>
      <c r="E258" s="40">
        <v>2498</v>
      </c>
      <c r="F258" s="40">
        <v>8000</v>
      </c>
      <c r="G258" s="40">
        <v>8960</v>
      </c>
      <c r="H258" s="40">
        <v>1600</v>
      </c>
      <c r="I258" s="41" t="s">
        <v>40</v>
      </c>
    </row>
    <row r="259" spans="1:9" ht="18" customHeight="1" x14ac:dyDescent="0.25">
      <c r="A259" s="38">
        <v>2021</v>
      </c>
      <c r="B259" s="38" t="s">
        <v>5</v>
      </c>
      <c r="C259" s="38" t="s">
        <v>13</v>
      </c>
      <c r="D259" s="39" t="s">
        <v>35</v>
      </c>
      <c r="E259" s="40">
        <v>1245</v>
      </c>
      <c r="F259" s="40">
        <v>4577.2</v>
      </c>
      <c r="G259" s="40">
        <v>5126.4639999999999</v>
      </c>
      <c r="H259" s="40">
        <v>915.44</v>
      </c>
      <c r="I259" s="41" t="s">
        <v>40</v>
      </c>
    </row>
    <row r="260" spans="1:9" ht="18" customHeight="1" x14ac:dyDescent="0.25">
      <c r="A260" s="38">
        <v>2021</v>
      </c>
      <c r="B260" s="38" t="s">
        <v>5</v>
      </c>
      <c r="C260" s="38" t="s">
        <v>38</v>
      </c>
      <c r="D260" s="42" t="s">
        <v>30</v>
      </c>
      <c r="E260" s="43">
        <v>644</v>
      </c>
      <c r="F260" s="43">
        <v>5743.5</v>
      </c>
      <c r="G260" s="43">
        <v>6432.72</v>
      </c>
      <c r="H260" s="40">
        <v>1148.7</v>
      </c>
      <c r="I260" s="41" t="s">
        <v>40</v>
      </c>
    </row>
    <row r="261" spans="1:9" ht="18" customHeight="1" x14ac:dyDescent="0.25">
      <c r="A261" s="38">
        <v>2021</v>
      </c>
      <c r="B261" s="38" t="s">
        <v>5</v>
      </c>
      <c r="C261" s="38" t="s">
        <v>12</v>
      </c>
      <c r="D261" s="42" t="s">
        <v>29</v>
      </c>
      <c r="E261" s="43">
        <v>643</v>
      </c>
      <c r="F261" s="43">
        <v>7000</v>
      </c>
      <c r="G261" s="43">
        <v>7840</v>
      </c>
      <c r="H261" s="40">
        <v>1400</v>
      </c>
      <c r="I261" s="41" t="s">
        <v>40</v>
      </c>
    </row>
    <row r="262" spans="1:9" ht="18" customHeight="1" x14ac:dyDescent="0.25">
      <c r="A262" s="38">
        <v>2021</v>
      </c>
      <c r="B262" s="38" t="s">
        <v>5</v>
      </c>
      <c r="C262" s="38" t="s">
        <v>38</v>
      </c>
      <c r="D262" s="42" t="s">
        <v>31</v>
      </c>
      <c r="E262" s="43">
        <v>455</v>
      </c>
      <c r="F262" s="43">
        <v>4578.6000000000004</v>
      </c>
      <c r="G262" s="43">
        <v>5128.0320000000002</v>
      </c>
      <c r="H262" s="40">
        <v>915.72000000000014</v>
      </c>
      <c r="I262" s="41" t="s">
        <v>40</v>
      </c>
    </row>
    <row r="263" spans="1:9" ht="18" customHeight="1" x14ac:dyDescent="0.25">
      <c r="A263" s="38">
        <v>2021</v>
      </c>
      <c r="B263" s="38" t="s">
        <v>5</v>
      </c>
      <c r="C263" s="38" t="s">
        <v>12</v>
      </c>
      <c r="D263" s="42" t="s">
        <v>28</v>
      </c>
      <c r="E263" s="44">
        <v>345</v>
      </c>
      <c r="F263" s="44">
        <v>7000</v>
      </c>
      <c r="G263" s="44">
        <v>7840</v>
      </c>
      <c r="H263" s="40">
        <v>1400</v>
      </c>
      <c r="I263" s="41" t="s">
        <v>40</v>
      </c>
    </row>
    <row r="264" spans="1:9" ht="18" customHeight="1" x14ac:dyDescent="0.25">
      <c r="A264" s="38">
        <v>2021</v>
      </c>
      <c r="B264" s="38" t="s">
        <v>5</v>
      </c>
      <c r="C264" s="38" t="s">
        <v>13</v>
      </c>
      <c r="D264" s="39" t="s">
        <v>33</v>
      </c>
      <c r="E264" s="40">
        <v>122</v>
      </c>
      <c r="F264" s="40">
        <v>100</v>
      </c>
      <c r="G264" s="40">
        <v>112</v>
      </c>
      <c r="H264" s="40">
        <v>20</v>
      </c>
      <c r="I264" s="41" t="s">
        <v>40</v>
      </c>
    </row>
    <row r="265" spans="1:9" ht="18" customHeight="1" x14ac:dyDescent="0.25">
      <c r="A265" s="38">
        <v>2021</v>
      </c>
      <c r="B265" s="38" t="s">
        <v>5</v>
      </c>
      <c r="C265" s="38" t="s">
        <v>15</v>
      </c>
      <c r="D265" s="42" t="s">
        <v>26</v>
      </c>
      <c r="E265" s="43">
        <v>78</v>
      </c>
      <c r="F265" s="43">
        <v>4577.2</v>
      </c>
      <c r="G265" s="43">
        <v>5126.4639999999999</v>
      </c>
      <c r="H265" s="40">
        <v>915.44</v>
      </c>
      <c r="I265" s="41" t="s">
        <v>40</v>
      </c>
    </row>
    <row r="266" spans="1:9" ht="18" customHeight="1" x14ac:dyDescent="0.25">
      <c r="A266" s="38">
        <v>2021</v>
      </c>
      <c r="B266" s="38" t="s">
        <v>5</v>
      </c>
      <c r="C266" s="38" t="s">
        <v>15</v>
      </c>
      <c r="D266" s="42" t="s">
        <v>24</v>
      </c>
      <c r="E266" s="43">
        <v>5034.5899999999992</v>
      </c>
      <c r="F266" s="43">
        <v>4576.8999999999996</v>
      </c>
      <c r="G266" s="43">
        <v>5126.1279999999997</v>
      </c>
      <c r="H266" s="40">
        <v>915.38</v>
      </c>
      <c r="I266" s="41" t="s">
        <v>40</v>
      </c>
    </row>
    <row r="267" spans="1:9" ht="18" customHeight="1" x14ac:dyDescent="0.25">
      <c r="A267" s="38">
        <v>2021</v>
      </c>
      <c r="B267" s="38" t="s">
        <v>5</v>
      </c>
      <c r="C267" s="38" t="s">
        <v>15</v>
      </c>
      <c r="D267" s="42" t="s">
        <v>25</v>
      </c>
      <c r="E267" s="43">
        <v>220</v>
      </c>
      <c r="F267" s="43">
        <v>200</v>
      </c>
      <c r="G267" s="43">
        <v>224</v>
      </c>
      <c r="H267" s="40">
        <v>40</v>
      </c>
      <c r="I267" s="41" t="s">
        <v>40</v>
      </c>
    </row>
    <row r="268" spans="1:9" ht="18" customHeight="1" x14ac:dyDescent="0.25">
      <c r="A268" s="38">
        <v>2021</v>
      </c>
      <c r="B268" s="38" t="s">
        <v>5</v>
      </c>
      <c r="C268" s="38" t="s">
        <v>15</v>
      </c>
      <c r="D268" s="42" t="s">
        <v>23</v>
      </c>
      <c r="E268" s="43">
        <v>5034.4800000000005</v>
      </c>
      <c r="F268" s="43">
        <v>4576.8</v>
      </c>
      <c r="G268" s="43">
        <v>5126.0160000000005</v>
      </c>
      <c r="H268" s="40">
        <v>915.36000000000013</v>
      </c>
      <c r="I268" s="41" t="s">
        <v>40</v>
      </c>
    </row>
    <row r="269" spans="1:9" ht="18" customHeight="1" x14ac:dyDescent="0.25">
      <c r="A269" s="38">
        <v>2021</v>
      </c>
      <c r="B269" s="38" t="s">
        <v>5</v>
      </c>
      <c r="C269" s="38" t="s">
        <v>13</v>
      </c>
      <c r="D269" s="39" t="s">
        <v>34</v>
      </c>
      <c r="E269" s="40">
        <v>220</v>
      </c>
      <c r="F269" s="40">
        <v>200</v>
      </c>
      <c r="G269" s="40">
        <v>224</v>
      </c>
      <c r="H269" s="40">
        <v>40</v>
      </c>
      <c r="I269" s="41" t="s">
        <v>40</v>
      </c>
    </row>
    <row r="270" spans="1:9" ht="18" customHeight="1" x14ac:dyDescent="0.25">
      <c r="A270" s="38">
        <v>2021</v>
      </c>
      <c r="B270" s="38" t="s">
        <v>5</v>
      </c>
      <c r="C270" s="38" t="s">
        <v>32</v>
      </c>
      <c r="D270" s="42" t="s">
        <v>32</v>
      </c>
      <c r="E270" s="43">
        <v>7260</v>
      </c>
      <c r="F270" s="43">
        <v>6600</v>
      </c>
      <c r="G270" s="43">
        <v>7392</v>
      </c>
      <c r="H270" s="40">
        <v>1320</v>
      </c>
      <c r="I270" s="41" t="s">
        <v>40</v>
      </c>
    </row>
    <row r="271" spans="1:9" ht="18" customHeight="1" x14ac:dyDescent="0.25">
      <c r="A271" s="38">
        <v>2021</v>
      </c>
      <c r="B271" s="38" t="s">
        <v>5</v>
      </c>
      <c r="C271" s="38" t="s">
        <v>15</v>
      </c>
      <c r="D271" s="42" t="s">
        <v>27</v>
      </c>
      <c r="E271" s="43">
        <v>5035.0300000000007</v>
      </c>
      <c r="F271" s="43">
        <v>4577.3</v>
      </c>
      <c r="G271" s="43">
        <v>5126.576</v>
      </c>
      <c r="H271" s="40">
        <v>915.46</v>
      </c>
      <c r="I271" s="41" t="s">
        <v>40</v>
      </c>
    </row>
    <row r="272" spans="1:9" ht="18" customHeight="1" x14ac:dyDescent="0.25">
      <c r="A272" s="38">
        <v>2021</v>
      </c>
      <c r="B272" s="38" t="s">
        <v>6</v>
      </c>
      <c r="C272" s="38" t="s">
        <v>14</v>
      </c>
      <c r="D272" s="39" t="s">
        <v>36</v>
      </c>
      <c r="E272" s="40">
        <v>5035.0300000000007</v>
      </c>
      <c r="F272" s="40">
        <v>4577.3</v>
      </c>
      <c r="G272" s="40">
        <v>5126.576</v>
      </c>
      <c r="H272" s="40">
        <v>915.46</v>
      </c>
      <c r="I272" s="41" t="s">
        <v>40</v>
      </c>
    </row>
    <row r="273" spans="1:9" ht="18" customHeight="1" x14ac:dyDescent="0.25">
      <c r="A273" s="38">
        <v>2021</v>
      </c>
      <c r="B273" s="38" t="s">
        <v>6</v>
      </c>
      <c r="C273" s="38" t="s">
        <v>14</v>
      </c>
      <c r="D273" s="39" t="s">
        <v>37</v>
      </c>
      <c r="E273" s="40">
        <v>8800</v>
      </c>
      <c r="F273" s="40">
        <v>8000</v>
      </c>
      <c r="G273" s="40">
        <v>8960</v>
      </c>
      <c r="H273" s="40">
        <v>1600</v>
      </c>
      <c r="I273" s="41" t="s">
        <v>40</v>
      </c>
    </row>
    <row r="274" spans="1:9" ht="18" customHeight="1" x14ac:dyDescent="0.25">
      <c r="A274" s="38">
        <v>2021</v>
      </c>
      <c r="B274" s="38" t="s">
        <v>6</v>
      </c>
      <c r="C274" s="38" t="s">
        <v>13</v>
      </c>
      <c r="D274" s="39" t="s">
        <v>35</v>
      </c>
      <c r="E274" s="40">
        <v>5034.92</v>
      </c>
      <c r="F274" s="40">
        <v>4577.2</v>
      </c>
      <c r="G274" s="40">
        <v>5126.4639999999999</v>
      </c>
      <c r="H274" s="40">
        <v>915.44</v>
      </c>
      <c r="I274" s="41" t="s">
        <v>40</v>
      </c>
    </row>
    <row r="275" spans="1:9" ht="18" customHeight="1" x14ac:dyDescent="0.25">
      <c r="A275" s="38">
        <v>2021</v>
      </c>
      <c r="B275" s="38" t="s">
        <v>6</v>
      </c>
      <c r="C275" s="38" t="s">
        <v>38</v>
      </c>
      <c r="D275" s="42" t="s">
        <v>30</v>
      </c>
      <c r="E275" s="43">
        <v>644</v>
      </c>
      <c r="F275" s="43">
        <v>5743.5</v>
      </c>
      <c r="G275" s="43">
        <v>6432.72</v>
      </c>
      <c r="H275" s="40">
        <v>1148.7</v>
      </c>
      <c r="I275" s="41" t="s">
        <v>40</v>
      </c>
    </row>
    <row r="276" spans="1:9" ht="18" customHeight="1" x14ac:dyDescent="0.25">
      <c r="A276" s="38">
        <v>2021</v>
      </c>
      <c r="B276" s="38" t="s">
        <v>6</v>
      </c>
      <c r="C276" s="38" t="s">
        <v>12</v>
      </c>
      <c r="D276" s="42" t="s">
        <v>29</v>
      </c>
      <c r="E276" s="43">
        <v>643</v>
      </c>
      <c r="F276" s="43">
        <v>7000</v>
      </c>
      <c r="G276" s="43">
        <v>7840</v>
      </c>
      <c r="H276" s="40">
        <v>1400</v>
      </c>
      <c r="I276" s="41" t="s">
        <v>40</v>
      </c>
    </row>
    <row r="277" spans="1:9" ht="18" customHeight="1" x14ac:dyDescent="0.25">
      <c r="A277" s="38">
        <v>2021</v>
      </c>
      <c r="B277" s="38" t="s">
        <v>6</v>
      </c>
      <c r="C277" s="38" t="s">
        <v>38</v>
      </c>
      <c r="D277" s="42" t="s">
        <v>31</v>
      </c>
      <c r="E277" s="43">
        <v>455</v>
      </c>
      <c r="F277" s="43">
        <v>4578.6000000000004</v>
      </c>
      <c r="G277" s="43">
        <v>5128.0320000000002</v>
      </c>
      <c r="H277" s="40">
        <v>915.72000000000014</v>
      </c>
      <c r="I277" s="41" t="s">
        <v>40</v>
      </c>
    </row>
    <row r="278" spans="1:9" ht="18" customHeight="1" x14ac:dyDescent="0.25">
      <c r="A278" s="38">
        <v>2021</v>
      </c>
      <c r="B278" s="38" t="s">
        <v>6</v>
      </c>
      <c r="C278" s="38" t="s">
        <v>12</v>
      </c>
      <c r="D278" s="42" t="s">
        <v>28</v>
      </c>
      <c r="E278" s="44">
        <v>345</v>
      </c>
      <c r="F278" s="44">
        <v>7000</v>
      </c>
      <c r="G278" s="44">
        <v>7840</v>
      </c>
      <c r="H278" s="40">
        <v>1400</v>
      </c>
      <c r="I278" s="41" t="s">
        <v>40</v>
      </c>
    </row>
    <row r="279" spans="1:9" ht="18" customHeight="1" x14ac:dyDescent="0.25">
      <c r="A279" s="38">
        <v>2021</v>
      </c>
      <c r="B279" s="38" t="s">
        <v>6</v>
      </c>
      <c r="C279" s="38" t="s">
        <v>13</v>
      </c>
      <c r="D279" s="39" t="s">
        <v>33</v>
      </c>
      <c r="E279" s="40">
        <v>122</v>
      </c>
      <c r="F279" s="40">
        <v>100</v>
      </c>
      <c r="G279" s="40">
        <v>112</v>
      </c>
      <c r="H279" s="40">
        <v>20</v>
      </c>
      <c r="I279" s="41" t="s">
        <v>40</v>
      </c>
    </row>
    <row r="280" spans="1:9" ht="18" customHeight="1" x14ac:dyDescent="0.25">
      <c r="A280" s="38">
        <v>2021</v>
      </c>
      <c r="B280" s="38" t="s">
        <v>6</v>
      </c>
      <c r="C280" s="38" t="s">
        <v>15</v>
      </c>
      <c r="D280" s="42" t="s">
        <v>26</v>
      </c>
      <c r="E280" s="43">
        <v>78</v>
      </c>
      <c r="F280" s="43">
        <v>4577.2</v>
      </c>
      <c r="G280" s="43">
        <v>5126.4639999999999</v>
      </c>
      <c r="H280" s="40">
        <v>915.44</v>
      </c>
      <c r="I280" s="41" t="s">
        <v>40</v>
      </c>
    </row>
    <row r="281" spans="1:9" ht="18" customHeight="1" x14ac:dyDescent="0.25">
      <c r="A281" s="38">
        <v>2021</v>
      </c>
      <c r="B281" s="38" t="s">
        <v>6</v>
      </c>
      <c r="C281" s="38" t="s">
        <v>15</v>
      </c>
      <c r="D281" s="42" t="s">
        <v>24</v>
      </c>
      <c r="E281" s="43">
        <v>76</v>
      </c>
      <c r="F281" s="43">
        <v>4576.8999999999996</v>
      </c>
      <c r="G281" s="43">
        <v>5126.1279999999997</v>
      </c>
      <c r="H281" s="40">
        <v>915.38</v>
      </c>
      <c r="I281" s="41" t="s">
        <v>40</v>
      </c>
    </row>
    <row r="282" spans="1:9" ht="18" customHeight="1" x14ac:dyDescent="0.25">
      <c r="A282" s="38">
        <v>2021</v>
      </c>
      <c r="B282" s="38" t="s">
        <v>6</v>
      </c>
      <c r="C282" s="38" t="s">
        <v>15</v>
      </c>
      <c r="D282" s="42" t="s">
        <v>25</v>
      </c>
      <c r="E282" s="43">
        <v>46</v>
      </c>
      <c r="F282" s="43">
        <v>200</v>
      </c>
      <c r="G282" s="43">
        <v>224</v>
      </c>
      <c r="H282" s="40">
        <v>40</v>
      </c>
      <c r="I282" s="41" t="s">
        <v>40</v>
      </c>
    </row>
    <row r="283" spans="1:9" ht="18" customHeight="1" x14ac:dyDescent="0.25">
      <c r="A283" s="38">
        <v>2021</v>
      </c>
      <c r="B283" s="38" t="s">
        <v>6</v>
      </c>
      <c r="C283" s="38" t="s">
        <v>15</v>
      </c>
      <c r="D283" s="42" t="s">
        <v>23</v>
      </c>
      <c r="E283" s="43">
        <v>34</v>
      </c>
      <c r="F283" s="43">
        <v>4576.8</v>
      </c>
      <c r="G283" s="43">
        <v>5126.0160000000005</v>
      </c>
      <c r="H283" s="40">
        <v>915.36000000000013</v>
      </c>
      <c r="I283" s="41" t="s">
        <v>40</v>
      </c>
    </row>
    <row r="284" spans="1:9" ht="18" customHeight="1" x14ac:dyDescent="0.25">
      <c r="A284" s="38">
        <v>2021</v>
      </c>
      <c r="B284" s="38" t="s">
        <v>6</v>
      </c>
      <c r="C284" s="38" t="s">
        <v>13</v>
      </c>
      <c r="D284" s="39" t="s">
        <v>34</v>
      </c>
      <c r="E284" s="40">
        <v>7</v>
      </c>
      <c r="F284" s="40">
        <v>200</v>
      </c>
      <c r="G284" s="40">
        <v>224</v>
      </c>
      <c r="H284" s="40">
        <v>40</v>
      </c>
      <c r="I284" s="41" t="s">
        <v>40</v>
      </c>
    </row>
    <row r="285" spans="1:9" ht="18" customHeight="1" x14ac:dyDescent="0.25">
      <c r="A285" s="38">
        <v>2021</v>
      </c>
      <c r="B285" s="38" t="s">
        <v>6</v>
      </c>
      <c r="C285" s="38" t="s">
        <v>15</v>
      </c>
      <c r="D285" s="42" t="s">
        <v>27</v>
      </c>
      <c r="E285" s="43">
        <v>3</v>
      </c>
      <c r="F285" s="43">
        <v>4577.3</v>
      </c>
      <c r="G285" s="43">
        <v>5126.576</v>
      </c>
      <c r="H285" s="40">
        <v>915.46</v>
      </c>
      <c r="I285" s="41" t="s">
        <v>40</v>
      </c>
    </row>
    <row r="286" spans="1:9" ht="18" customHeight="1" x14ac:dyDescent="0.25">
      <c r="A286" s="38">
        <v>2021</v>
      </c>
      <c r="B286" s="38" t="s">
        <v>6</v>
      </c>
      <c r="C286" s="38" t="s">
        <v>32</v>
      </c>
      <c r="D286" s="42" t="s">
        <v>32</v>
      </c>
      <c r="E286" s="43">
        <v>2</v>
      </c>
      <c r="F286" s="43">
        <v>6600</v>
      </c>
      <c r="G286" s="43">
        <v>7392</v>
      </c>
      <c r="H286" s="40">
        <v>1320</v>
      </c>
      <c r="I286" s="41" t="s">
        <v>40</v>
      </c>
    </row>
    <row r="287" spans="1:9" ht="18" customHeight="1" x14ac:dyDescent="0.25">
      <c r="A287" s="38">
        <v>2021</v>
      </c>
      <c r="B287" s="38" t="s">
        <v>7</v>
      </c>
      <c r="C287" s="38" t="s">
        <v>14</v>
      </c>
      <c r="D287" s="39" t="s">
        <v>36</v>
      </c>
      <c r="E287" s="40">
        <v>3566</v>
      </c>
      <c r="F287" s="40">
        <v>4577.3</v>
      </c>
      <c r="G287" s="40">
        <v>5126.576</v>
      </c>
      <c r="H287" s="40">
        <v>915.46</v>
      </c>
      <c r="I287" s="41" t="s">
        <v>40</v>
      </c>
    </row>
    <row r="288" spans="1:9" ht="18" customHeight="1" x14ac:dyDescent="0.25">
      <c r="A288" s="38">
        <v>2021</v>
      </c>
      <c r="B288" s="38" t="s">
        <v>7</v>
      </c>
      <c r="C288" s="38" t="s">
        <v>14</v>
      </c>
      <c r="D288" s="39" t="s">
        <v>37</v>
      </c>
      <c r="E288" s="40">
        <v>2498</v>
      </c>
      <c r="F288" s="40">
        <v>8000</v>
      </c>
      <c r="G288" s="40">
        <v>8960</v>
      </c>
      <c r="H288" s="40">
        <v>1600</v>
      </c>
      <c r="I288" s="41" t="s">
        <v>40</v>
      </c>
    </row>
    <row r="289" spans="1:9" ht="18" customHeight="1" x14ac:dyDescent="0.25">
      <c r="A289" s="38">
        <v>2021</v>
      </c>
      <c r="B289" s="38" t="s">
        <v>7</v>
      </c>
      <c r="C289" s="38" t="s">
        <v>13</v>
      </c>
      <c r="D289" s="39" t="s">
        <v>35</v>
      </c>
      <c r="E289" s="40">
        <v>1245</v>
      </c>
      <c r="F289" s="40">
        <v>4577.2</v>
      </c>
      <c r="G289" s="40">
        <v>5126.4639999999999</v>
      </c>
      <c r="H289" s="40">
        <v>915.44</v>
      </c>
      <c r="I289" s="41" t="s">
        <v>40</v>
      </c>
    </row>
    <row r="290" spans="1:9" ht="18" customHeight="1" x14ac:dyDescent="0.25">
      <c r="A290" s="38">
        <v>2021</v>
      </c>
      <c r="B290" s="38" t="s">
        <v>7</v>
      </c>
      <c r="C290" s="38" t="s">
        <v>38</v>
      </c>
      <c r="D290" s="42" t="s">
        <v>30</v>
      </c>
      <c r="E290" s="43">
        <v>644</v>
      </c>
      <c r="F290" s="43">
        <v>5743.5</v>
      </c>
      <c r="G290" s="43">
        <v>6432.72</v>
      </c>
      <c r="H290" s="40">
        <v>1148.7</v>
      </c>
      <c r="I290" s="41" t="s">
        <v>40</v>
      </c>
    </row>
    <row r="291" spans="1:9" ht="18" customHeight="1" x14ac:dyDescent="0.25">
      <c r="A291" s="38">
        <v>2021</v>
      </c>
      <c r="B291" s="38" t="s">
        <v>7</v>
      </c>
      <c r="C291" s="38" t="s">
        <v>12</v>
      </c>
      <c r="D291" s="42" t="s">
        <v>29</v>
      </c>
      <c r="E291" s="43">
        <v>643</v>
      </c>
      <c r="F291" s="43">
        <v>7000</v>
      </c>
      <c r="G291" s="43">
        <v>7840</v>
      </c>
      <c r="H291" s="40">
        <v>1400</v>
      </c>
      <c r="I291" s="41" t="s">
        <v>40</v>
      </c>
    </row>
    <row r="292" spans="1:9" ht="18" customHeight="1" x14ac:dyDescent="0.25">
      <c r="A292" s="38">
        <v>2021</v>
      </c>
      <c r="B292" s="38" t="s">
        <v>7</v>
      </c>
      <c r="C292" s="38" t="s">
        <v>38</v>
      </c>
      <c r="D292" s="42" t="s">
        <v>31</v>
      </c>
      <c r="E292" s="43">
        <v>455</v>
      </c>
      <c r="F292" s="43">
        <v>5036.46</v>
      </c>
      <c r="G292" s="43">
        <v>5128.0320000000002</v>
      </c>
      <c r="H292" s="40">
        <v>1007.292</v>
      </c>
      <c r="I292" s="41" t="s">
        <v>40</v>
      </c>
    </row>
    <row r="293" spans="1:9" ht="18" customHeight="1" x14ac:dyDescent="0.25">
      <c r="A293" s="38">
        <v>2021</v>
      </c>
      <c r="B293" s="38" t="s">
        <v>7</v>
      </c>
      <c r="C293" s="38" t="s">
        <v>12</v>
      </c>
      <c r="D293" s="42" t="s">
        <v>28</v>
      </c>
      <c r="E293" s="44">
        <v>345</v>
      </c>
      <c r="F293" s="44">
        <v>7700</v>
      </c>
      <c r="G293" s="44">
        <v>7840</v>
      </c>
      <c r="H293" s="40">
        <v>1540</v>
      </c>
      <c r="I293" s="41" t="s">
        <v>40</v>
      </c>
    </row>
    <row r="294" spans="1:9" ht="18" customHeight="1" x14ac:dyDescent="0.25">
      <c r="A294" s="38">
        <v>2021</v>
      </c>
      <c r="B294" s="38" t="s">
        <v>7</v>
      </c>
      <c r="C294" s="38" t="s">
        <v>13</v>
      </c>
      <c r="D294" s="39" t="s">
        <v>33</v>
      </c>
      <c r="E294" s="40">
        <v>122</v>
      </c>
      <c r="F294" s="40">
        <v>110</v>
      </c>
      <c r="G294" s="40">
        <v>112</v>
      </c>
      <c r="H294" s="40">
        <v>22</v>
      </c>
      <c r="I294" s="41" t="s">
        <v>40</v>
      </c>
    </row>
    <row r="295" spans="1:9" ht="18" customHeight="1" x14ac:dyDescent="0.25">
      <c r="A295" s="38">
        <v>2021</v>
      </c>
      <c r="B295" s="38" t="s">
        <v>7</v>
      </c>
      <c r="C295" s="38" t="s">
        <v>15</v>
      </c>
      <c r="D295" s="42" t="s">
        <v>26</v>
      </c>
      <c r="E295" s="43">
        <v>78</v>
      </c>
      <c r="F295" s="43">
        <v>5034.92</v>
      </c>
      <c r="G295" s="43">
        <v>5126.4639999999999</v>
      </c>
      <c r="H295" s="40">
        <v>1006.984</v>
      </c>
      <c r="I295" s="41" t="s">
        <v>40</v>
      </c>
    </row>
    <row r="296" spans="1:9" ht="18" customHeight="1" x14ac:dyDescent="0.25">
      <c r="A296" s="38">
        <v>2021</v>
      </c>
      <c r="B296" s="38" t="s">
        <v>7</v>
      </c>
      <c r="C296" s="38" t="s">
        <v>15</v>
      </c>
      <c r="D296" s="42" t="s">
        <v>24</v>
      </c>
      <c r="E296" s="43">
        <v>76</v>
      </c>
      <c r="F296" s="43">
        <v>5034.5899999999992</v>
      </c>
      <c r="G296" s="43">
        <v>5126.1279999999997</v>
      </c>
      <c r="H296" s="40">
        <v>1006.9179999999999</v>
      </c>
      <c r="I296" s="41" t="s">
        <v>40</v>
      </c>
    </row>
    <row r="297" spans="1:9" ht="18" customHeight="1" x14ac:dyDescent="0.25">
      <c r="A297" s="38">
        <v>2021</v>
      </c>
      <c r="B297" s="38" t="s">
        <v>7</v>
      </c>
      <c r="C297" s="38" t="s">
        <v>15</v>
      </c>
      <c r="D297" s="42" t="s">
        <v>25</v>
      </c>
      <c r="E297" s="43">
        <v>46</v>
      </c>
      <c r="F297" s="43">
        <v>230</v>
      </c>
      <c r="G297" s="43">
        <v>224</v>
      </c>
      <c r="H297" s="40">
        <v>46</v>
      </c>
      <c r="I297" s="41" t="s">
        <v>40</v>
      </c>
    </row>
    <row r="298" spans="1:9" ht="18" customHeight="1" x14ac:dyDescent="0.25">
      <c r="A298" s="38">
        <v>2021</v>
      </c>
      <c r="B298" s="38" t="s">
        <v>7</v>
      </c>
      <c r="C298" s="38" t="s">
        <v>15</v>
      </c>
      <c r="D298" s="42" t="s">
        <v>23</v>
      </c>
      <c r="E298" s="43">
        <v>34</v>
      </c>
      <c r="F298" s="43">
        <v>5263.32</v>
      </c>
      <c r="G298" s="43">
        <v>5126.0160000000005</v>
      </c>
      <c r="H298" s="40">
        <v>1052.664</v>
      </c>
      <c r="I298" s="41" t="s">
        <v>40</v>
      </c>
    </row>
    <row r="299" spans="1:9" ht="18" customHeight="1" x14ac:dyDescent="0.25">
      <c r="A299" s="38">
        <v>2021</v>
      </c>
      <c r="B299" s="38" t="s">
        <v>7</v>
      </c>
      <c r="C299" s="38" t="s">
        <v>13</v>
      </c>
      <c r="D299" s="39" t="s">
        <v>34</v>
      </c>
      <c r="E299" s="40">
        <v>7</v>
      </c>
      <c r="F299" s="40">
        <v>230</v>
      </c>
      <c r="G299" s="40">
        <v>224</v>
      </c>
      <c r="H299" s="40">
        <v>46</v>
      </c>
      <c r="I299" s="41" t="s">
        <v>42</v>
      </c>
    </row>
    <row r="300" spans="1:9" ht="18" customHeight="1" x14ac:dyDescent="0.25">
      <c r="A300" s="38">
        <v>2021</v>
      </c>
      <c r="B300" s="38" t="s">
        <v>7</v>
      </c>
      <c r="C300" s="38" t="s">
        <v>15</v>
      </c>
      <c r="D300" s="42" t="s">
        <v>27</v>
      </c>
      <c r="E300" s="43">
        <v>3</v>
      </c>
      <c r="F300" s="43">
        <v>5263.8950000000004</v>
      </c>
      <c r="G300" s="43">
        <v>5126.576</v>
      </c>
      <c r="H300" s="40">
        <v>1052.7790000000002</v>
      </c>
      <c r="I300" s="41" t="s">
        <v>42</v>
      </c>
    </row>
    <row r="301" spans="1:9" ht="18" customHeight="1" x14ac:dyDescent="0.25">
      <c r="A301" s="38">
        <v>2021</v>
      </c>
      <c r="B301" s="38" t="s">
        <v>7</v>
      </c>
      <c r="C301" s="38" t="s">
        <v>32</v>
      </c>
      <c r="D301" s="42" t="s">
        <v>32</v>
      </c>
      <c r="E301" s="43">
        <v>2</v>
      </c>
      <c r="F301" s="43">
        <v>7590</v>
      </c>
      <c r="G301" s="43">
        <v>7392</v>
      </c>
      <c r="H301" s="40">
        <v>1518</v>
      </c>
      <c r="I301" s="41" t="s">
        <v>42</v>
      </c>
    </row>
    <row r="302" spans="1:9" ht="18" customHeight="1" x14ac:dyDescent="0.25">
      <c r="A302" s="38">
        <v>2021</v>
      </c>
      <c r="B302" s="38" t="s">
        <v>8</v>
      </c>
      <c r="C302" s="38" t="s">
        <v>14</v>
      </c>
      <c r="D302" s="39" t="s">
        <v>36</v>
      </c>
      <c r="E302" s="40">
        <v>3566</v>
      </c>
      <c r="F302" s="40">
        <v>5263.8950000000004</v>
      </c>
      <c r="G302" s="40">
        <v>5126.576</v>
      </c>
      <c r="H302" s="40">
        <v>1052.7790000000002</v>
      </c>
      <c r="I302" s="41" t="s">
        <v>42</v>
      </c>
    </row>
    <row r="303" spans="1:9" ht="18" customHeight="1" x14ac:dyDescent="0.25">
      <c r="A303" s="38">
        <v>2021</v>
      </c>
      <c r="B303" s="38" t="s">
        <v>8</v>
      </c>
      <c r="C303" s="38" t="s">
        <v>14</v>
      </c>
      <c r="D303" s="39" t="s">
        <v>37</v>
      </c>
      <c r="E303" s="40">
        <v>2498</v>
      </c>
      <c r="F303" s="40">
        <v>8800</v>
      </c>
      <c r="G303" s="40">
        <v>8960</v>
      </c>
      <c r="H303" s="40">
        <v>1760</v>
      </c>
      <c r="I303" s="41" t="s">
        <v>42</v>
      </c>
    </row>
    <row r="304" spans="1:9" ht="18" customHeight="1" x14ac:dyDescent="0.25">
      <c r="A304" s="38">
        <v>2021</v>
      </c>
      <c r="B304" s="38" t="s">
        <v>8</v>
      </c>
      <c r="C304" s="38" t="s">
        <v>13</v>
      </c>
      <c r="D304" s="39" t="s">
        <v>35</v>
      </c>
      <c r="E304" s="40">
        <v>1245</v>
      </c>
      <c r="F304" s="40">
        <v>5034.92</v>
      </c>
      <c r="G304" s="40">
        <v>5126.4639999999999</v>
      </c>
      <c r="H304" s="40">
        <v>1006.984</v>
      </c>
      <c r="I304" s="41" t="s">
        <v>42</v>
      </c>
    </row>
    <row r="305" spans="1:9" ht="18" customHeight="1" x14ac:dyDescent="0.25">
      <c r="A305" s="38">
        <v>2021</v>
      </c>
      <c r="B305" s="38" t="s">
        <v>8</v>
      </c>
      <c r="C305" s="38" t="s">
        <v>38</v>
      </c>
      <c r="D305" s="42" t="s">
        <v>30</v>
      </c>
      <c r="E305" s="43">
        <v>644</v>
      </c>
      <c r="F305" s="43">
        <v>6317.85</v>
      </c>
      <c r="G305" s="43">
        <v>6432.72</v>
      </c>
      <c r="H305" s="40">
        <v>1263.5700000000002</v>
      </c>
      <c r="I305" s="41" t="s">
        <v>42</v>
      </c>
    </row>
    <row r="306" spans="1:9" ht="18" customHeight="1" x14ac:dyDescent="0.25">
      <c r="A306" s="38">
        <v>2021</v>
      </c>
      <c r="B306" s="38" t="s">
        <v>8</v>
      </c>
      <c r="C306" s="38" t="s">
        <v>12</v>
      </c>
      <c r="D306" s="42" t="s">
        <v>29</v>
      </c>
      <c r="E306" s="43">
        <v>643</v>
      </c>
      <c r="F306" s="43">
        <v>7700</v>
      </c>
      <c r="G306" s="43">
        <v>7840</v>
      </c>
      <c r="H306" s="40">
        <v>1540</v>
      </c>
      <c r="I306" s="41" t="s">
        <v>42</v>
      </c>
    </row>
    <row r="307" spans="1:9" ht="18" customHeight="1" x14ac:dyDescent="0.25">
      <c r="A307" s="38">
        <v>2021</v>
      </c>
      <c r="B307" s="38" t="s">
        <v>8</v>
      </c>
      <c r="C307" s="38" t="s">
        <v>38</v>
      </c>
      <c r="D307" s="42" t="s">
        <v>31</v>
      </c>
      <c r="E307" s="43">
        <v>455</v>
      </c>
      <c r="F307" s="43">
        <v>5036.46</v>
      </c>
      <c r="G307" s="43">
        <v>5128.0320000000002</v>
      </c>
      <c r="H307" s="40">
        <v>1007.292</v>
      </c>
      <c r="I307" s="41" t="s">
        <v>42</v>
      </c>
    </row>
    <row r="308" spans="1:9" ht="18" customHeight="1" x14ac:dyDescent="0.25">
      <c r="A308" s="38">
        <v>2021</v>
      </c>
      <c r="B308" s="38" t="s">
        <v>8</v>
      </c>
      <c r="C308" s="38" t="s">
        <v>12</v>
      </c>
      <c r="D308" s="42" t="s">
        <v>28</v>
      </c>
      <c r="E308" s="44">
        <v>345</v>
      </c>
      <c r="F308" s="44">
        <v>7700</v>
      </c>
      <c r="G308" s="44">
        <v>7840</v>
      </c>
      <c r="H308" s="40">
        <v>1540</v>
      </c>
      <c r="I308" s="41" t="s">
        <v>42</v>
      </c>
    </row>
    <row r="309" spans="1:9" ht="18" customHeight="1" x14ac:dyDescent="0.25">
      <c r="A309" s="38">
        <v>2021</v>
      </c>
      <c r="B309" s="38" t="s">
        <v>8</v>
      </c>
      <c r="C309" s="38" t="s">
        <v>13</v>
      </c>
      <c r="D309" s="39" t="s">
        <v>33</v>
      </c>
      <c r="E309" s="40">
        <v>122</v>
      </c>
      <c r="F309" s="40">
        <v>110</v>
      </c>
      <c r="G309" s="40">
        <v>112</v>
      </c>
      <c r="H309" s="40">
        <v>22</v>
      </c>
      <c r="I309" s="41" t="s">
        <v>42</v>
      </c>
    </row>
    <row r="310" spans="1:9" ht="18" customHeight="1" x14ac:dyDescent="0.25">
      <c r="A310" s="38">
        <v>2021</v>
      </c>
      <c r="B310" s="38" t="s">
        <v>8</v>
      </c>
      <c r="C310" s="38" t="s">
        <v>15</v>
      </c>
      <c r="D310" s="42" t="s">
        <v>26</v>
      </c>
      <c r="E310" s="43">
        <v>78</v>
      </c>
      <c r="F310" s="43">
        <v>5034.92</v>
      </c>
      <c r="G310" s="43">
        <v>5126.4639999999999</v>
      </c>
      <c r="H310" s="40">
        <v>1006.984</v>
      </c>
      <c r="I310" s="41" t="s">
        <v>42</v>
      </c>
    </row>
    <row r="311" spans="1:9" ht="18" customHeight="1" x14ac:dyDescent="0.25">
      <c r="A311" s="38">
        <v>2021</v>
      </c>
      <c r="B311" s="38" t="s">
        <v>8</v>
      </c>
      <c r="C311" s="38" t="s">
        <v>15</v>
      </c>
      <c r="D311" s="42" t="s">
        <v>24</v>
      </c>
      <c r="E311" s="43">
        <v>76</v>
      </c>
      <c r="F311" s="43">
        <v>4576.8999999999996</v>
      </c>
      <c r="G311" s="43">
        <v>5126.1279999999997</v>
      </c>
      <c r="H311" s="40">
        <v>915.38</v>
      </c>
      <c r="I311" s="41" t="s">
        <v>42</v>
      </c>
    </row>
    <row r="312" spans="1:9" ht="18" customHeight="1" x14ac:dyDescent="0.25">
      <c r="A312" s="38">
        <v>2021</v>
      </c>
      <c r="B312" s="38" t="s">
        <v>8</v>
      </c>
      <c r="C312" s="38" t="s">
        <v>15</v>
      </c>
      <c r="D312" s="42" t="s">
        <v>25</v>
      </c>
      <c r="E312" s="43">
        <v>46</v>
      </c>
      <c r="F312" s="43">
        <v>200</v>
      </c>
      <c r="G312" s="43">
        <v>224</v>
      </c>
      <c r="H312" s="40">
        <v>40</v>
      </c>
      <c r="I312" s="41" t="s">
        <v>42</v>
      </c>
    </row>
    <row r="313" spans="1:9" ht="18" customHeight="1" x14ac:dyDescent="0.25">
      <c r="A313" s="38">
        <v>2021</v>
      </c>
      <c r="B313" s="38" t="s">
        <v>8</v>
      </c>
      <c r="C313" s="38" t="s">
        <v>15</v>
      </c>
      <c r="D313" s="42" t="s">
        <v>23</v>
      </c>
      <c r="E313" s="43">
        <v>34</v>
      </c>
      <c r="F313" s="43">
        <v>4576.8</v>
      </c>
      <c r="G313" s="43">
        <v>5126.0160000000005</v>
      </c>
      <c r="H313" s="40">
        <v>915.36000000000013</v>
      </c>
      <c r="I313" s="41" t="s">
        <v>42</v>
      </c>
    </row>
    <row r="314" spans="1:9" ht="18" customHeight="1" x14ac:dyDescent="0.25">
      <c r="A314" s="38">
        <v>2021</v>
      </c>
      <c r="B314" s="38" t="s">
        <v>8</v>
      </c>
      <c r="C314" s="38" t="s">
        <v>13</v>
      </c>
      <c r="D314" s="39" t="s">
        <v>34</v>
      </c>
      <c r="E314" s="40">
        <v>7</v>
      </c>
      <c r="F314" s="40">
        <v>200</v>
      </c>
      <c r="G314" s="40">
        <v>224</v>
      </c>
      <c r="H314" s="40">
        <v>40</v>
      </c>
      <c r="I314" s="41" t="s">
        <v>42</v>
      </c>
    </row>
    <row r="315" spans="1:9" ht="18" customHeight="1" x14ac:dyDescent="0.25">
      <c r="A315" s="38">
        <v>2021</v>
      </c>
      <c r="B315" s="38" t="s">
        <v>8</v>
      </c>
      <c r="C315" s="38" t="s">
        <v>15</v>
      </c>
      <c r="D315" s="42" t="s">
        <v>27</v>
      </c>
      <c r="E315" s="43">
        <v>3</v>
      </c>
      <c r="F315" s="43">
        <v>4577.3</v>
      </c>
      <c r="G315" s="43">
        <v>5126.576</v>
      </c>
      <c r="H315" s="40">
        <v>915.46</v>
      </c>
      <c r="I315" s="41" t="s">
        <v>42</v>
      </c>
    </row>
    <row r="316" spans="1:9" ht="18" customHeight="1" x14ac:dyDescent="0.25">
      <c r="A316" s="38">
        <v>2021</v>
      </c>
      <c r="B316" s="38" t="s">
        <v>8</v>
      </c>
      <c r="C316" s="38" t="s">
        <v>32</v>
      </c>
      <c r="D316" s="42" t="s">
        <v>32</v>
      </c>
      <c r="E316" s="43">
        <v>2</v>
      </c>
      <c r="F316" s="43">
        <v>6600</v>
      </c>
      <c r="G316" s="43">
        <v>7392</v>
      </c>
      <c r="H316" s="40">
        <v>1320</v>
      </c>
      <c r="I316" s="41" t="s">
        <v>42</v>
      </c>
    </row>
    <row r="317" spans="1:9" ht="18" customHeight="1" x14ac:dyDescent="0.25">
      <c r="A317" s="38">
        <v>2021</v>
      </c>
      <c r="B317" s="38" t="s">
        <v>9</v>
      </c>
      <c r="C317" s="38" t="s">
        <v>14</v>
      </c>
      <c r="D317" s="39" t="s">
        <v>36</v>
      </c>
      <c r="E317" s="40">
        <v>3566</v>
      </c>
      <c r="F317" s="40">
        <v>4577.3</v>
      </c>
      <c r="G317" s="40">
        <v>5126.576</v>
      </c>
      <c r="H317" s="40">
        <v>915.46</v>
      </c>
      <c r="I317" s="41" t="s">
        <v>42</v>
      </c>
    </row>
    <row r="318" spans="1:9" ht="18" customHeight="1" x14ac:dyDescent="0.25">
      <c r="A318" s="38">
        <v>2021</v>
      </c>
      <c r="B318" s="38" t="s">
        <v>9</v>
      </c>
      <c r="C318" s="38" t="s">
        <v>14</v>
      </c>
      <c r="D318" s="39" t="s">
        <v>37</v>
      </c>
      <c r="E318" s="40">
        <v>2498</v>
      </c>
      <c r="F318" s="40">
        <v>8000</v>
      </c>
      <c r="G318" s="40">
        <v>8960</v>
      </c>
      <c r="H318" s="40">
        <v>1600</v>
      </c>
      <c r="I318" s="41" t="s">
        <v>42</v>
      </c>
    </row>
    <row r="319" spans="1:9" ht="18" customHeight="1" x14ac:dyDescent="0.25">
      <c r="A319" s="38">
        <v>2021</v>
      </c>
      <c r="B319" s="38" t="s">
        <v>9</v>
      </c>
      <c r="C319" s="38" t="s">
        <v>13</v>
      </c>
      <c r="D319" s="39" t="s">
        <v>35</v>
      </c>
      <c r="E319" s="40">
        <v>1245</v>
      </c>
      <c r="F319" s="40">
        <v>4577.2</v>
      </c>
      <c r="G319" s="40">
        <v>5126.4639999999999</v>
      </c>
      <c r="H319" s="40">
        <v>915.44</v>
      </c>
      <c r="I319" s="41" t="s">
        <v>42</v>
      </c>
    </row>
    <row r="320" spans="1:9" ht="18" customHeight="1" x14ac:dyDescent="0.25">
      <c r="A320" s="38">
        <v>2021</v>
      </c>
      <c r="B320" s="38" t="s">
        <v>9</v>
      </c>
      <c r="C320" s="38" t="s">
        <v>38</v>
      </c>
      <c r="D320" s="42" t="s">
        <v>30</v>
      </c>
      <c r="E320" s="43">
        <v>644</v>
      </c>
      <c r="F320" s="43">
        <v>5743.5</v>
      </c>
      <c r="G320" s="43">
        <v>6432.72</v>
      </c>
      <c r="H320" s="40">
        <v>1148.7</v>
      </c>
      <c r="I320" s="41" t="s">
        <v>42</v>
      </c>
    </row>
    <row r="321" spans="1:9" ht="18" customHeight="1" x14ac:dyDescent="0.25">
      <c r="A321" s="38">
        <v>2021</v>
      </c>
      <c r="B321" s="38" t="s">
        <v>9</v>
      </c>
      <c r="C321" s="38" t="s">
        <v>12</v>
      </c>
      <c r="D321" s="42" t="s">
        <v>29</v>
      </c>
      <c r="E321" s="43">
        <v>643</v>
      </c>
      <c r="F321" s="43">
        <v>7000</v>
      </c>
      <c r="G321" s="43">
        <v>7840</v>
      </c>
      <c r="H321" s="40">
        <v>1400</v>
      </c>
      <c r="I321" s="41" t="s">
        <v>42</v>
      </c>
    </row>
    <row r="322" spans="1:9" ht="18" customHeight="1" x14ac:dyDescent="0.25">
      <c r="A322" s="38">
        <v>2021</v>
      </c>
      <c r="B322" s="38" t="s">
        <v>9</v>
      </c>
      <c r="C322" s="38" t="s">
        <v>38</v>
      </c>
      <c r="D322" s="42" t="s">
        <v>31</v>
      </c>
      <c r="E322" s="43">
        <v>455</v>
      </c>
      <c r="F322" s="43">
        <v>4578.6000000000004</v>
      </c>
      <c r="G322" s="43">
        <v>5128.0320000000002</v>
      </c>
      <c r="H322" s="40">
        <v>915.72000000000014</v>
      </c>
      <c r="I322" s="41" t="s">
        <v>40</v>
      </c>
    </row>
    <row r="323" spans="1:9" ht="18" customHeight="1" x14ac:dyDescent="0.25">
      <c r="A323" s="38">
        <v>2021</v>
      </c>
      <c r="B323" s="38" t="s">
        <v>9</v>
      </c>
      <c r="C323" s="38" t="s">
        <v>12</v>
      </c>
      <c r="D323" s="42" t="s">
        <v>28</v>
      </c>
      <c r="E323" s="44">
        <v>345</v>
      </c>
      <c r="F323" s="44">
        <v>7000</v>
      </c>
      <c r="G323" s="44">
        <v>7840</v>
      </c>
      <c r="H323" s="40">
        <v>1400</v>
      </c>
      <c r="I323" s="41" t="s">
        <v>40</v>
      </c>
    </row>
    <row r="324" spans="1:9" ht="18" customHeight="1" x14ac:dyDescent="0.25">
      <c r="A324" s="38">
        <v>2021</v>
      </c>
      <c r="B324" s="38" t="s">
        <v>9</v>
      </c>
      <c r="C324" s="38" t="s">
        <v>13</v>
      </c>
      <c r="D324" s="39" t="s">
        <v>33</v>
      </c>
      <c r="E324" s="40">
        <v>122</v>
      </c>
      <c r="F324" s="40">
        <v>100</v>
      </c>
      <c r="G324" s="40">
        <v>112</v>
      </c>
      <c r="H324" s="40">
        <v>20</v>
      </c>
      <c r="I324" s="41" t="s">
        <v>40</v>
      </c>
    </row>
    <row r="325" spans="1:9" ht="18" customHeight="1" x14ac:dyDescent="0.25">
      <c r="A325" s="38">
        <v>2021</v>
      </c>
      <c r="B325" s="38" t="s">
        <v>9</v>
      </c>
      <c r="C325" s="38" t="s">
        <v>15</v>
      </c>
      <c r="D325" s="42" t="s">
        <v>26</v>
      </c>
      <c r="E325" s="43">
        <v>78</v>
      </c>
      <c r="F325" s="43">
        <v>4577.2</v>
      </c>
      <c r="G325" s="43">
        <v>5126.4639999999999</v>
      </c>
      <c r="H325" s="40">
        <v>915.44</v>
      </c>
      <c r="I325" s="41" t="s">
        <v>40</v>
      </c>
    </row>
    <row r="326" spans="1:9" ht="18" customHeight="1" x14ac:dyDescent="0.25">
      <c r="A326" s="38">
        <v>2021</v>
      </c>
      <c r="B326" s="38" t="s">
        <v>9</v>
      </c>
      <c r="C326" s="38" t="s">
        <v>15</v>
      </c>
      <c r="D326" s="42" t="s">
        <v>24</v>
      </c>
      <c r="E326" s="43">
        <v>76</v>
      </c>
      <c r="F326" s="43">
        <v>4576.8999999999996</v>
      </c>
      <c r="G326" s="43">
        <v>5126.1279999999997</v>
      </c>
      <c r="H326" s="40">
        <v>915.38</v>
      </c>
      <c r="I326" s="41" t="s">
        <v>40</v>
      </c>
    </row>
    <row r="327" spans="1:9" ht="18" customHeight="1" x14ac:dyDescent="0.25">
      <c r="A327" s="38">
        <v>2021</v>
      </c>
      <c r="B327" s="38" t="s">
        <v>9</v>
      </c>
      <c r="C327" s="38" t="s">
        <v>15</v>
      </c>
      <c r="D327" s="42" t="s">
        <v>25</v>
      </c>
      <c r="E327" s="43">
        <v>46</v>
      </c>
      <c r="F327" s="43">
        <v>200</v>
      </c>
      <c r="G327" s="43">
        <v>224</v>
      </c>
      <c r="H327" s="40">
        <v>40</v>
      </c>
      <c r="I327" s="41" t="s">
        <v>40</v>
      </c>
    </row>
    <row r="328" spans="1:9" ht="18" customHeight="1" x14ac:dyDescent="0.25">
      <c r="A328" s="38">
        <v>2021</v>
      </c>
      <c r="B328" s="38" t="s">
        <v>9</v>
      </c>
      <c r="C328" s="38" t="s">
        <v>15</v>
      </c>
      <c r="D328" s="42" t="s">
        <v>23</v>
      </c>
      <c r="E328" s="43">
        <v>34</v>
      </c>
      <c r="F328" s="43">
        <v>4576.8</v>
      </c>
      <c r="G328" s="43">
        <v>5126.0160000000005</v>
      </c>
      <c r="H328" s="40">
        <v>915.36000000000013</v>
      </c>
      <c r="I328" s="41" t="s">
        <v>40</v>
      </c>
    </row>
    <row r="329" spans="1:9" ht="18" customHeight="1" x14ac:dyDescent="0.25">
      <c r="A329" s="38">
        <v>2021</v>
      </c>
      <c r="B329" s="38" t="s">
        <v>9</v>
      </c>
      <c r="C329" s="38" t="s">
        <v>13</v>
      </c>
      <c r="D329" s="39" t="s">
        <v>34</v>
      </c>
      <c r="E329" s="40">
        <v>7</v>
      </c>
      <c r="F329" s="40">
        <v>200</v>
      </c>
      <c r="G329" s="40">
        <v>224</v>
      </c>
      <c r="H329" s="40">
        <v>40</v>
      </c>
      <c r="I329" s="41" t="s">
        <v>40</v>
      </c>
    </row>
    <row r="330" spans="1:9" ht="18" customHeight="1" x14ac:dyDescent="0.25">
      <c r="A330" s="38">
        <v>2021</v>
      </c>
      <c r="B330" s="38" t="s">
        <v>9</v>
      </c>
      <c r="C330" s="38" t="s">
        <v>15</v>
      </c>
      <c r="D330" s="42" t="s">
        <v>27</v>
      </c>
      <c r="E330" s="43">
        <v>3</v>
      </c>
      <c r="F330" s="43">
        <v>4577.3</v>
      </c>
      <c r="G330" s="43">
        <v>5126.576</v>
      </c>
      <c r="H330" s="40">
        <v>915.46</v>
      </c>
      <c r="I330" s="41" t="s">
        <v>40</v>
      </c>
    </row>
    <row r="331" spans="1:9" ht="18" customHeight="1" x14ac:dyDescent="0.25">
      <c r="A331" s="38">
        <v>2021</v>
      </c>
      <c r="B331" s="38" t="s">
        <v>9</v>
      </c>
      <c r="C331" s="38" t="s">
        <v>32</v>
      </c>
      <c r="D331" s="42" t="s">
        <v>32</v>
      </c>
      <c r="E331" s="43">
        <v>2</v>
      </c>
      <c r="F331" s="43">
        <v>6600</v>
      </c>
      <c r="G331" s="43">
        <v>7392</v>
      </c>
      <c r="H331" s="40">
        <v>1320</v>
      </c>
      <c r="I331" s="41" t="s">
        <v>40</v>
      </c>
    </row>
    <row r="332" spans="1:9" ht="18" customHeight="1" x14ac:dyDescent="0.25">
      <c r="A332" s="38">
        <v>2021</v>
      </c>
      <c r="B332" s="38" t="s">
        <v>10</v>
      </c>
      <c r="C332" s="38" t="s">
        <v>14</v>
      </c>
      <c r="D332" s="39" t="s">
        <v>36</v>
      </c>
      <c r="E332" s="40">
        <v>3566</v>
      </c>
      <c r="F332" s="40">
        <v>4577.3</v>
      </c>
      <c r="G332" s="40">
        <v>5126.576</v>
      </c>
      <c r="H332" s="40">
        <v>915.46</v>
      </c>
      <c r="I332" s="41" t="s">
        <v>40</v>
      </c>
    </row>
    <row r="333" spans="1:9" ht="18" customHeight="1" x14ac:dyDescent="0.25">
      <c r="A333" s="38">
        <v>2021</v>
      </c>
      <c r="B333" s="38" t="s">
        <v>10</v>
      </c>
      <c r="C333" s="38" t="s">
        <v>14</v>
      </c>
      <c r="D333" s="39" t="s">
        <v>37</v>
      </c>
      <c r="E333" s="40">
        <v>2498</v>
      </c>
      <c r="F333" s="40">
        <v>8000</v>
      </c>
      <c r="G333" s="40">
        <v>8960</v>
      </c>
      <c r="H333" s="40">
        <v>1600</v>
      </c>
      <c r="I333" s="41" t="s">
        <v>40</v>
      </c>
    </row>
    <row r="334" spans="1:9" ht="18" customHeight="1" x14ac:dyDescent="0.25">
      <c r="A334" s="38">
        <v>2021</v>
      </c>
      <c r="B334" s="38" t="s">
        <v>10</v>
      </c>
      <c r="C334" s="38" t="s">
        <v>13</v>
      </c>
      <c r="D334" s="39" t="s">
        <v>35</v>
      </c>
      <c r="E334" s="40">
        <v>1245</v>
      </c>
      <c r="F334" s="40">
        <v>4577.2</v>
      </c>
      <c r="G334" s="40">
        <v>5126.4639999999999</v>
      </c>
      <c r="H334" s="40">
        <v>915.44</v>
      </c>
      <c r="I334" s="41" t="s">
        <v>40</v>
      </c>
    </row>
    <row r="335" spans="1:9" ht="18" customHeight="1" x14ac:dyDescent="0.25">
      <c r="A335" s="38">
        <v>2021</v>
      </c>
      <c r="B335" s="38" t="s">
        <v>10</v>
      </c>
      <c r="C335" s="38" t="s">
        <v>38</v>
      </c>
      <c r="D335" s="42" t="s">
        <v>30</v>
      </c>
      <c r="E335" s="43">
        <v>644</v>
      </c>
      <c r="F335" s="43">
        <v>5743.5</v>
      </c>
      <c r="G335" s="43">
        <v>6432.72</v>
      </c>
      <c r="H335" s="40">
        <v>1148.7</v>
      </c>
      <c r="I335" s="41" t="s">
        <v>40</v>
      </c>
    </row>
    <row r="336" spans="1:9" ht="18" customHeight="1" x14ac:dyDescent="0.25">
      <c r="A336" s="38">
        <v>2021</v>
      </c>
      <c r="B336" s="38" t="s">
        <v>10</v>
      </c>
      <c r="C336" s="38" t="s">
        <v>12</v>
      </c>
      <c r="D336" s="42" t="s">
        <v>29</v>
      </c>
      <c r="E336" s="43">
        <v>643</v>
      </c>
      <c r="F336" s="43">
        <v>7000</v>
      </c>
      <c r="G336" s="43">
        <v>7840</v>
      </c>
      <c r="H336" s="40">
        <v>1400</v>
      </c>
      <c r="I336" s="41" t="s">
        <v>40</v>
      </c>
    </row>
    <row r="337" spans="1:9" ht="18" customHeight="1" x14ac:dyDescent="0.25">
      <c r="A337" s="38">
        <v>2021</v>
      </c>
      <c r="B337" s="38" t="s">
        <v>10</v>
      </c>
      <c r="C337" s="38" t="s">
        <v>38</v>
      </c>
      <c r="D337" s="42" t="s">
        <v>31</v>
      </c>
      <c r="E337" s="43">
        <v>455</v>
      </c>
      <c r="F337" s="43">
        <v>4578.6000000000004</v>
      </c>
      <c r="G337" s="43">
        <v>5128.0320000000002</v>
      </c>
      <c r="H337" s="40">
        <v>915.72000000000014</v>
      </c>
      <c r="I337" s="41" t="s">
        <v>40</v>
      </c>
    </row>
    <row r="338" spans="1:9" ht="18" customHeight="1" x14ac:dyDescent="0.25">
      <c r="A338" s="38">
        <v>2021</v>
      </c>
      <c r="B338" s="38" t="s">
        <v>10</v>
      </c>
      <c r="C338" s="38" t="s">
        <v>12</v>
      </c>
      <c r="D338" s="42" t="s">
        <v>28</v>
      </c>
      <c r="E338" s="44">
        <v>345</v>
      </c>
      <c r="F338" s="44">
        <v>7000</v>
      </c>
      <c r="G338" s="44">
        <v>7840</v>
      </c>
      <c r="H338" s="40">
        <v>1400</v>
      </c>
      <c r="I338" s="41" t="s">
        <v>40</v>
      </c>
    </row>
    <row r="339" spans="1:9" ht="18" customHeight="1" x14ac:dyDescent="0.25">
      <c r="A339" s="38">
        <v>2021</v>
      </c>
      <c r="B339" s="38" t="s">
        <v>10</v>
      </c>
      <c r="C339" s="38" t="s">
        <v>13</v>
      </c>
      <c r="D339" s="39" t="s">
        <v>33</v>
      </c>
      <c r="E339" s="40">
        <v>122</v>
      </c>
      <c r="F339" s="40">
        <v>100</v>
      </c>
      <c r="G339" s="40">
        <v>112</v>
      </c>
      <c r="H339" s="40">
        <v>20</v>
      </c>
      <c r="I339" s="41" t="s">
        <v>40</v>
      </c>
    </row>
    <row r="340" spans="1:9" ht="18" customHeight="1" x14ac:dyDescent="0.25">
      <c r="A340" s="38">
        <v>2021</v>
      </c>
      <c r="B340" s="38" t="s">
        <v>10</v>
      </c>
      <c r="C340" s="38" t="s">
        <v>15</v>
      </c>
      <c r="D340" s="42" t="s">
        <v>26</v>
      </c>
      <c r="E340" s="43">
        <v>78</v>
      </c>
      <c r="F340" s="43">
        <v>4577.2</v>
      </c>
      <c r="G340" s="43">
        <v>5126.4639999999999</v>
      </c>
      <c r="H340" s="40">
        <v>915.44</v>
      </c>
      <c r="I340" s="41" t="s">
        <v>40</v>
      </c>
    </row>
    <row r="341" spans="1:9" ht="18" customHeight="1" x14ac:dyDescent="0.25">
      <c r="A341" s="38">
        <v>2021</v>
      </c>
      <c r="B341" s="38" t="s">
        <v>10</v>
      </c>
      <c r="C341" s="38" t="s">
        <v>15</v>
      </c>
      <c r="D341" s="42" t="s">
        <v>24</v>
      </c>
      <c r="E341" s="43">
        <v>76</v>
      </c>
      <c r="F341" s="43">
        <v>4576.8999999999996</v>
      </c>
      <c r="G341" s="43">
        <v>5126.1279999999997</v>
      </c>
      <c r="H341" s="40">
        <v>915.38</v>
      </c>
      <c r="I341" s="41" t="s">
        <v>40</v>
      </c>
    </row>
    <row r="342" spans="1:9" ht="18" customHeight="1" x14ac:dyDescent="0.25">
      <c r="A342" s="38">
        <v>2021</v>
      </c>
      <c r="B342" s="38" t="s">
        <v>10</v>
      </c>
      <c r="C342" s="38" t="s">
        <v>15</v>
      </c>
      <c r="D342" s="42" t="s">
        <v>25</v>
      </c>
      <c r="E342" s="43">
        <v>46</v>
      </c>
      <c r="F342" s="43">
        <v>200</v>
      </c>
      <c r="G342" s="43">
        <v>224</v>
      </c>
      <c r="H342" s="40">
        <v>40</v>
      </c>
      <c r="I342" s="41" t="s">
        <v>40</v>
      </c>
    </row>
    <row r="343" spans="1:9" ht="18" customHeight="1" x14ac:dyDescent="0.25">
      <c r="A343" s="38">
        <v>2021</v>
      </c>
      <c r="B343" s="38" t="s">
        <v>10</v>
      </c>
      <c r="C343" s="38" t="s">
        <v>15</v>
      </c>
      <c r="D343" s="42" t="s">
        <v>23</v>
      </c>
      <c r="E343" s="43">
        <v>34</v>
      </c>
      <c r="F343" s="43">
        <v>5492.16</v>
      </c>
      <c r="G343" s="43">
        <v>5126.0160000000005</v>
      </c>
      <c r="H343" s="40">
        <v>1098.432</v>
      </c>
      <c r="I343" s="41" t="s">
        <v>40</v>
      </c>
    </row>
    <row r="344" spans="1:9" ht="18" customHeight="1" x14ac:dyDescent="0.25">
      <c r="A344" s="38">
        <v>2021</v>
      </c>
      <c r="B344" s="38" t="s">
        <v>10</v>
      </c>
      <c r="C344" s="38" t="s">
        <v>13</v>
      </c>
      <c r="D344" s="39" t="s">
        <v>34</v>
      </c>
      <c r="E344" s="40">
        <v>7</v>
      </c>
      <c r="F344" s="40">
        <v>240</v>
      </c>
      <c r="G344" s="40">
        <v>224</v>
      </c>
      <c r="H344" s="40">
        <v>48</v>
      </c>
      <c r="I344" s="41" t="s">
        <v>40</v>
      </c>
    </row>
    <row r="345" spans="1:9" ht="18" customHeight="1" x14ac:dyDescent="0.25">
      <c r="A345" s="38">
        <v>2021</v>
      </c>
      <c r="B345" s="38" t="s">
        <v>10</v>
      </c>
      <c r="C345" s="38" t="s">
        <v>15</v>
      </c>
      <c r="D345" s="42" t="s">
        <v>27</v>
      </c>
      <c r="E345" s="43">
        <v>3</v>
      </c>
      <c r="F345" s="43">
        <v>5492.76</v>
      </c>
      <c r="G345" s="43">
        <v>5126.576</v>
      </c>
      <c r="H345" s="40">
        <v>1098.5520000000001</v>
      </c>
      <c r="I345" s="41" t="s">
        <v>40</v>
      </c>
    </row>
    <row r="346" spans="1:9" ht="18" customHeight="1" x14ac:dyDescent="0.25">
      <c r="A346" s="38">
        <v>2021</v>
      </c>
      <c r="B346" s="38" t="s">
        <v>10</v>
      </c>
      <c r="C346" s="38" t="s">
        <v>32</v>
      </c>
      <c r="D346" s="42" t="s">
        <v>32</v>
      </c>
      <c r="E346" s="43">
        <v>2</v>
      </c>
      <c r="F346" s="43">
        <v>7920</v>
      </c>
      <c r="G346" s="43">
        <v>7392</v>
      </c>
      <c r="H346" s="40">
        <v>1584</v>
      </c>
      <c r="I346" s="41" t="s">
        <v>40</v>
      </c>
    </row>
    <row r="347" spans="1:9" ht="18" customHeight="1" x14ac:dyDescent="0.25">
      <c r="A347" s="38">
        <v>2021</v>
      </c>
      <c r="B347" s="38" t="s">
        <v>11</v>
      </c>
      <c r="C347" s="38" t="s">
        <v>14</v>
      </c>
      <c r="D347" s="39" t="s">
        <v>36</v>
      </c>
      <c r="E347" s="40">
        <v>3566</v>
      </c>
      <c r="F347" s="40">
        <v>4577.3</v>
      </c>
      <c r="G347" s="40">
        <v>5126.576</v>
      </c>
      <c r="H347" s="40">
        <v>915.46</v>
      </c>
      <c r="I347" s="41" t="s">
        <v>40</v>
      </c>
    </row>
    <row r="348" spans="1:9" ht="18" customHeight="1" x14ac:dyDescent="0.25">
      <c r="A348" s="38">
        <v>2021</v>
      </c>
      <c r="B348" s="38" t="s">
        <v>11</v>
      </c>
      <c r="C348" s="38" t="s">
        <v>14</v>
      </c>
      <c r="D348" s="39" t="s">
        <v>37</v>
      </c>
      <c r="E348" s="40">
        <v>2498</v>
      </c>
      <c r="F348" s="40">
        <v>8000</v>
      </c>
      <c r="G348" s="40">
        <v>8960</v>
      </c>
      <c r="H348" s="40">
        <v>1600</v>
      </c>
      <c r="I348" s="41" t="s">
        <v>40</v>
      </c>
    </row>
    <row r="349" spans="1:9" ht="18" customHeight="1" x14ac:dyDescent="0.25">
      <c r="A349" s="38">
        <v>2021</v>
      </c>
      <c r="B349" s="38" t="s">
        <v>11</v>
      </c>
      <c r="C349" s="38" t="s">
        <v>13</v>
      </c>
      <c r="D349" s="39" t="s">
        <v>35</v>
      </c>
      <c r="E349" s="40">
        <v>1245</v>
      </c>
      <c r="F349" s="40">
        <v>4577.2</v>
      </c>
      <c r="G349" s="40">
        <v>5126.4639999999999</v>
      </c>
      <c r="H349" s="40">
        <v>915.44</v>
      </c>
      <c r="I349" s="41" t="s">
        <v>40</v>
      </c>
    </row>
    <row r="350" spans="1:9" ht="18" customHeight="1" x14ac:dyDescent="0.25">
      <c r="A350" s="38">
        <v>2021</v>
      </c>
      <c r="B350" s="38" t="s">
        <v>11</v>
      </c>
      <c r="C350" s="38" t="s">
        <v>38</v>
      </c>
      <c r="D350" s="42" t="s">
        <v>30</v>
      </c>
      <c r="E350" s="43">
        <v>644</v>
      </c>
      <c r="F350" s="43">
        <v>5743.5</v>
      </c>
      <c r="G350" s="43">
        <v>6432.72</v>
      </c>
      <c r="H350" s="40">
        <v>1148.7</v>
      </c>
      <c r="I350" s="41" t="s">
        <v>40</v>
      </c>
    </row>
    <row r="351" spans="1:9" ht="18" customHeight="1" x14ac:dyDescent="0.25">
      <c r="A351" s="38">
        <v>2021</v>
      </c>
      <c r="B351" s="38" t="s">
        <v>11</v>
      </c>
      <c r="C351" s="38" t="s">
        <v>12</v>
      </c>
      <c r="D351" s="42" t="s">
        <v>29</v>
      </c>
      <c r="E351" s="43">
        <v>643</v>
      </c>
      <c r="F351" s="43">
        <v>7000</v>
      </c>
      <c r="G351" s="43">
        <v>7840</v>
      </c>
      <c r="H351" s="40">
        <v>1400</v>
      </c>
      <c r="I351" s="41" t="s">
        <v>40</v>
      </c>
    </row>
    <row r="352" spans="1:9" ht="18" customHeight="1" x14ac:dyDescent="0.25">
      <c r="A352" s="38">
        <v>2021</v>
      </c>
      <c r="B352" s="38" t="s">
        <v>11</v>
      </c>
      <c r="C352" s="38" t="s">
        <v>38</v>
      </c>
      <c r="D352" s="42" t="s">
        <v>31</v>
      </c>
      <c r="E352" s="43">
        <v>455</v>
      </c>
      <c r="F352" s="43">
        <v>4578.6000000000004</v>
      </c>
      <c r="G352" s="43">
        <v>5128.0320000000002</v>
      </c>
      <c r="H352" s="40">
        <v>915.72000000000014</v>
      </c>
      <c r="I352" s="41" t="s">
        <v>40</v>
      </c>
    </row>
    <row r="353" spans="1:9" ht="18" customHeight="1" x14ac:dyDescent="0.25">
      <c r="A353" s="38">
        <v>2021</v>
      </c>
      <c r="B353" s="38" t="s">
        <v>11</v>
      </c>
      <c r="C353" s="38" t="s">
        <v>12</v>
      </c>
      <c r="D353" s="42" t="s">
        <v>28</v>
      </c>
      <c r="E353" s="44">
        <v>345</v>
      </c>
      <c r="F353" s="44">
        <v>7000</v>
      </c>
      <c r="G353" s="44">
        <v>7840</v>
      </c>
      <c r="H353" s="40">
        <v>1400</v>
      </c>
      <c r="I353" s="41" t="s">
        <v>40</v>
      </c>
    </row>
    <row r="354" spans="1:9" ht="18" customHeight="1" x14ac:dyDescent="0.25">
      <c r="A354" s="38">
        <v>2021</v>
      </c>
      <c r="B354" s="38" t="s">
        <v>11</v>
      </c>
      <c r="C354" s="38" t="s">
        <v>13</v>
      </c>
      <c r="D354" s="39" t="s">
        <v>33</v>
      </c>
      <c r="E354" s="40">
        <v>122</v>
      </c>
      <c r="F354" s="40">
        <v>100</v>
      </c>
      <c r="G354" s="40">
        <v>112</v>
      </c>
      <c r="H354" s="40">
        <v>20</v>
      </c>
      <c r="I354" s="41" t="s">
        <v>40</v>
      </c>
    </row>
    <row r="355" spans="1:9" ht="18" customHeight="1" x14ac:dyDescent="0.25">
      <c r="A355" s="38">
        <v>2021</v>
      </c>
      <c r="B355" s="38" t="s">
        <v>11</v>
      </c>
      <c r="C355" s="38" t="s">
        <v>15</v>
      </c>
      <c r="D355" s="42" t="s">
        <v>26</v>
      </c>
      <c r="E355" s="43">
        <v>78</v>
      </c>
      <c r="F355" s="43">
        <v>4577.2</v>
      </c>
      <c r="G355" s="43">
        <v>5126.4639999999999</v>
      </c>
      <c r="H355" s="40">
        <v>915.44</v>
      </c>
      <c r="I355" s="41" t="s">
        <v>40</v>
      </c>
    </row>
    <row r="356" spans="1:9" ht="18" customHeight="1" x14ac:dyDescent="0.25">
      <c r="A356" s="38">
        <v>2021</v>
      </c>
      <c r="B356" s="38" t="s">
        <v>11</v>
      </c>
      <c r="C356" s="38" t="s">
        <v>15</v>
      </c>
      <c r="D356" s="42" t="s">
        <v>24</v>
      </c>
      <c r="E356" s="43">
        <v>76</v>
      </c>
      <c r="F356" s="43">
        <v>4576.8999999999996</v>
      </c>
      <c r="G356" s="43">
        <v>5126.1279999999997</v>
      </c>
      <c r="H356" s="40">
        <v>915.38</v>
      </c>
      <c r="I356" s="41" t="s">
        <v>40</v>
      </c>
    </row>
    <row r="357" spans="1:9" ht="18" customHeight="1" x14ac:dyDescent="0.25">
      <c r="A357" s="38">
        <v>2021</v>
      </c>
      <c r="B357" s="38" t="s">
        <v>11</v>
      </c>
      <c r="C357" s="38" t="s">
        <v>15</v>
      </c>
      <c r="D357" s="42" t="s">
        <v>25</v>
      </c>
      <c r="E357" s="43">
        <v>46</v>
      </c>
      <c r="F357" s="43">
        <v>200</v>
      </c>
      <c r="G357" s="43">
        <v>224</v>
      </c>
      <c r="H357" s="40">
        <v>40</v>
      </c>
      <c r="I357" s="41" t="s">
        <v>40</v>
      </c>
    </row>
    <row r="358" spans="1:9" ht="18" customHeight="1" x14ac:dyDescent="0.25">
      <c r="A358" s="38">
        <v>2021</v>
      </c>
      <c r="B358" s="38" t="s">
        <v>11</v>
      </c>
      <c r="C358" s="38" t="s">
        <v>15</v>
      </c>
      <c r="D358" s="42" t="s">
        <v>23</v>
      </c>
      <c r="E358" s="43">
        <v>34</v>
      </c>
      <c r="F358" s="43">
        <v>4576.8</v>
      </c>
      <c r="G358" s="43">
        <v>5126.0160000000005</v>
      </c>
      <c r="H358" s="40">
        <v>915.36000000000013</v>
      </c>
      <c r="I358" s="41" t="s">
        <v>40</v>
      </c>
    </row>
    <row r="359" spans="1:9" ht="18" customHeight="1" x14ac:dyDescent="0.25">
      <c r="A359" s="38">
        <v>2021</v>
      </c>
      <c r="B359" s="38" t="s">
        <v>11</v>
      </c>
      <c r="C359" s="38" t="s">
        <v>13</v>
      </c>
      <c r="D359" s="39" t="s">
        <v>34</v>
      </c>
      <c r="E359" s="40">
        <v>7</v>
      </c>
      <c r="F359" s="40">
        <v>200</v>
      </c>
      <c r="G359" s="40">
        <v>224</v>
      </c>
      <c r="H359" s="40">
        <v>40</v>
      </c>
      <c r="I359" s="41" t="s">
        <v>40</v>
      </c>
    </row>
    <row r="360" spans="1:9" ht="18" customHeight="1" x14ac:dyDescent="0.25">
      <c r="A360" s="38">
        <v>2021</v>
      </c>
      <c r="B360" s="38" t="s">
        <v>11</v>
      </c>
      <c r="C360" s="38" t="s">
        <v>15</v>
      </c>
      <c r="D360" s="42" t="s">
        <v>27</v>
      </c>
      <c r="E360" s="43">
        <v>3</v>
      </c>
      <c r="F360" s="43">
        <v>4577.3</v>
      </c>
      <c r="G360" s="43">
        <v>5126.576</v>
      </c>
      <c r="H360" s="40">
        <v>915.46</v>
      </c>
      <c r="I360" s="41" t="s">
        <v>40</v>
      </c>
    </row>
    <row r="361" spans="1:9" ht="18" customHeight="1" x14ac:dyDescent="0.25">
      <c r="A361" s="38">
        <v>2021</v>
      </c>
      <c r="B361" s="38" t="s">
        <v>11</v>
      </c>
      <c r="C361" s="38" t="s">
        <v>32</v>
      </c>
      <c r="D361" s="42" t="s">
        <v>32</v>
      </c>
      <c r="E361" s="43">
        <v>2</v>
      </c>
      <c r="F361" s="43">
        <v>6600</v>
      </c>
      <c r="G361" s="43">
        <v>7392</v>
      </c>
      <c r="H361" s="40">
        <v>1320</v>
      </c>
      <c r="I361" s="41" t="s">
        <v>40</v>
      </c>
    </row>
    <row r="362" spans="1:9" ht="18" customHeight="1" x14ac:dyDescent="0.25">
      <c r="A362" s="38">
        <v>2022</v>
      </c>
      <c r="B362" s="38" t="s">
        <v>0</v>
      </c>
      <c r="C362" s="38" t="s">
        <v>14</v>
      </c>
      <c r="D362" s="39" t="s">
        <v>36</v>
      </c>
      <c r="E362" s="40">
        <v>3566</v>
      </c>
      <c r="F362" s="40">
        <v>5492.76</v>
      </c>
      <c r="G362" s="40">
        <v>5126.576</v>
      </c>
      <c r="H362" s="40">
        <v>1098.5520000000001</v>
      </c>
      <c r="I362" s="41" t="s">
        <v>40</v>
      </c>
    </row>
    <row r="363" spans="1:9" ht="18" customHeight="1" x14ac:dyDescent="0.25">
      <c r="A363" s="38">
        <v>2022</v>
      </c>
      <c r="B363" s="38" t="s">
        <v>0</v>
      </c>
      <c r="C363" s="38" t="s">
        <v>14</v>
      </c>
      <c r="D363" s="39" t="s">
        <v>37</v>
      </c>
      <c r="E363" s="40">
        <v>2498</v>
      </c>
      <c r="F363" s="40">
        <v>9600</v>
      </c>
      <c r="G363" s="40">
        <v>8960</v>
      </c>
      <c r="H363" s="40">
        <v>1920</v>
      </c>
      <c r="I363" s="41" t="s">
        <v>40</v>
      </c>
    </row>
    <row r="364" spans="1:9" ht="18" customHeight="1" x14ac:dyDescent="0.25">
      <c r="A364" s="38">
        <v>2022</v>
      </c>
      <c r="B364" s="38" t="s">
        <v>0</v>
      </c>
      <c r="C364" s="38" t="s">
        <v>13</v>
      </c>
      <c r="D364" s="39" t="s">
        <v>35</v>
      </c>
      <c r="E364" s="40">
        <v>1245</v>
      </c>
      <c r="F364" s="40">
        <v>5492.6399999999994</v>
      </c>
      <c r="G364" s="40">
        <v>5126.4639999999999</v>
      </c>
      <c r="H364" s="40">
        <v>1098.528</v>
      </c>
      <c r="I364" s="41" t="s">
        <v>42</v>
      </c>
    </row>
    <row r="365" spans="1:9" ht="18" customHeight="1" x14ac:dyDescent="0.25">
      <c r="A365" s="38">
        <v>2022</v>
      </c>
      <c r="B365" s="38" t="s">
        <v>0</v>
      </c>
      <c r="C365" s="38" t="s">
        <v>38</v>
      </c>
      <c r="D365" s="42" t="s">
        <v>30</v>
      </c>
      <c r="E365" s="43">
        <v>644</v>
      </c>
      <c r="F365" s="43">
        <v>6892.2</v>
      </c>
      <c r="G365" s="43">
        <v>6432.72</v>
      </c>
      <c r="H365" s="40">
        <v>1378.44</v>
      </c>
      <c r="I365" s="41" t="s">
        <v>42</v>
      </c>
    </row>
    <row r="366" spans="1:9" ht="18" customHeight="1" x14ac:dyDescent="0.25">
      <c r="A366" s="38">
        <v>2022</v>
      </c>
      <c r="B366" s="38" t="s">
        <v>0</v>
      </c>
      <c r="C366" s="38" t="s">
        <v>12</v>
      </c>
      <c r="D366" s="42" t="s">
        <v>29</v>
      </c>
      <c r="E366" s="43">
        <v>643</v>
      </c>
      <c r="F366" s="43">
        <v>8400</v>
      </c>
      <c r="G366" s="43">
        <v>7840</v>
      </c>
      <c r="H366" s="40">
        <v>1680</v>
      </c>
      <c r="I366" s="41" t="s">
        <v>42</v>
      </c>
    </row>
    <row r="367" spans="1:9" ht="18" customHeight="1" x14ac:dyDescent="0.25">
      <c r="A367" s="38">
        <v>2022</v>
      </c>
      <c r="B367" s="38" t="s">
        <v>0</v>
      </c>
      <c r="C367" s="38" t="s">
        <v>38</v>
      </c>
      <c r="D367" s="42" t="s">
        <v>31</v>
      </c>
      <c r="E367" s="43">
        <v>455</v>
      </c>
      <c r="F367" s="43">
        <v>5494.3200000000006</v>
      </c>
      <c r="G367" s="43">
        <v>5128.0320000000002</v>
      </c>
      <c r="H367" s="40">
        <v>1098.8640000000003</v>
      </c>
      <c r="I367" s="41" t="s">
        <v>42</v>
      </c>
    </row>
    <row r="368" spans="1:9" ht="18" customHeight="1" x14ac:dyDescent="0.25">
      <c r="A368" s="38">
        <v>2022</v>
      </c>
      <c r="B368" s="38" t="s">
        <v>0</v>
      </c>
      <c r="C368" s="38" t="s">
        <v>12</v>
      </c>
      <c r="D368" s="42" t="s">
        <v>28</v>
      </c>
      <c r="E368" s="44">
        <v>345</v>
      </c>
      <c r="F368" s="44">
        <v>8400</v>
      </c>
      <c r="G368" s="44">
        <v>7840</v>
      </c>
      <c r="H368" s="40">
        <v>1680</v>
      </c>
      <c r="I368" s="41" t="s">
        <v>42</v>
      </c>
    </row>
    <row r="369" spans="1:9" ht="18" customHeight="1" x14ac:dyDescent="0.25">
      <c r="A369" s="38">
        <v>2022</v>
      </c>
      <c r="B369" s="38" t="s">
        <v>0</v>
      </c>
      <c r="C369" s="38" t="s">
        <v>13</v>
      </c>
      <c r="D369" s="39" t="s">
        <v>33</v>
      </c>
      <c r="E369" s="40">
        <v>122</v>
      </c>
      <c r="F369" s="40">
        <v>120</v>
      </c>
      <c r="G369" s="40">
        <v>112</v>
      </c>
      <c r="H369" s="40">
        <v>24</v>
      </c>
      <c r="I369" s="41" t="s">
        <v>42</v>
      </c>
    </row>
    <row r="370" spans="1:9" ht="18" customHeight="1" x14ac:dyDescent="0.25">
      <c r="A370" s="38">
        <v>2022</v>
      </c>
      <c r="B370" s="38" t="s">
        <v>0</v>
      </c>
      <c r="C370" s="38" t="s">
        <v>15</v>
      </c>
      <c r="D370" s="42" t="s">
        <v>26</v>
      </c>
      <c r="E370" s="43">
        <v>78</v>
      </c>
      <c r="F370" s="43">
        <v>2288.6</v>
      </c>
      <c r="G370" s="43">
        <v>5126.4639999999999</v>
      </c>
      <c r="H370" s="40">
        <v>457.72</v>
      </c>
      <c r="I370" s="41" t="s">
        <v>42</v>
      </c>
    </row>
    <row r="371" spans="1:9" ht="18" customHeight="1" x14ac:dyDescent="0.25">
      <c r="A371" s="38">
        <v>2022</v>
      </c>
      <c r="B371" s="38" t="s">
        <v>0</v>
      </c>
      <c r="C371" s="38" t="s">
        <v>15</v>
      </c>
      <c r="D371" s="42" t="s">
        <v>24</v>
      </c>
      <c r="E371" s="43">
        <v>76</v>
      </c>
      <c r="F371" s="43">
        <v>2288.4499999999998</v>
      </c>
      <c r="G371" s="43">
        <v>5126.1279999999997</v>
      </c>
      <c r="H371" s="40">
        <v>457.69</v>
      </c>
      <c r="I371" s="41" t="s">
        <v>42</v>
      </c>
    </row>
    <row r="372" spans="1:9" ht="18" customHeight="1" x14ac:dyDescent="0.25">
      <c r="A372" s="38">
        <v>2022</v>
      </c>
      <c r="B372" s="38" t="s">
        <v>0</v>
      </c>
      <c r="C372" s="38" t="s">
        <v>15</v>
      </c>
      <c r="D372" s="42" t="s">
        <v>25</v>
      </c>
      <c r="E372" s="43">
        <v>46</v>
      </c>
      <c r="F372" s="43">
        <v>100</v>
      </c>
      <c r="G372" s="43">
        <v>224</v>
      </c>
      <c r="H372" s="40">
        <v>20</v>
      </c>
      <c r="I372" s="41" t="s">
        <v>42</v>
      </c>
    </row>
    <row r="373" spans="1:9" ht="18" customHeight="1" x14ac:dyDescent="0.25">
      <c r="A373" s="38">
        <v>2022</v>
      </c>
      <c r="B373" s="38" t="s">
        <v>0</v>
      </c>
      <c r="C373" s="38" t="s">
        <v>15</v>
      </c>
      <c r="D373" s="42" t="s">
        <v>23</v>
      </c>
      <c r="E373" s="43">
        <v>34</v>
      </c>
      <c r="F373" s="43">
        <v>2288.4</v>
      </c>
      <c r="G373" s="43">
        <v>5126.0160000000005</v>
      </c>
      <c r="H373" s="40">
        <v>457.68000000000006</v>
      </c>
      <c r="I373" s="41" t="s">
        <v>42</v>
      </c>
    </row>
    <row r="374" spans="1:9" ht="18" customHeight="1" x14ac:dyDescent="0.25">
      <c r="A374" s="38">
        <v>2022</v>
      </c>
      <c r="B374" s="38" t="s">
        <v>0</v>
      </c>
      <c r="C374" s="38" t="s">
        <v>13</v>
      </c>
      <c r="D374" s="39" t="s">
        <v>34</v>
      </c>
      <c r="E374" s="40">
        <v>7</v>
      </c>
      <c r="F374" s="40">
        <v>200</v>
      </c>
      <c r="G374" s="40">
        <v>224</v>
      </c>
      <c r="H374" s="40">
        <v>40</v>
      </c>
      <c r="I374" s="41" t="s">
        <v>42</v>
      </c>
    </row>
    <row r="375" spans="1:9" ht="18" customHeight="1" x14ac:dyDescent="0.25">
      <c r="A375" s="38">
        <v>2022</v>
      </c>
      <c r="B375" s="38" t="s">
        <v>0</v>
      </c>
      <c r="C375" s="38" t="s">
        <v>32</v>
      </c>
      <c r="D375" s="42" t="s">
        <v>32</v>
      </c>
      <c r="E375" s="43">
        <v>3</v>
      </c>
      <c r="F375" s="43">
        <v>4577.3</v>
      </c>
      <c r="G375" s="43">
        <v>7392</v>
      </c>
      <c r="H375" s="40">
        <v>915.46</v>
      </c>
      <c r="I375" s="41" t="s">
        <v>42</v>
      </c>
    </row>
    <row r="376" spans="1:9" ht="18" customHeight="1" x14ac:dyDescent="0.25">
      <c r="A376" s="38">
        <v>2022</v>
      </c>
      <c r="B376" s="38" t="s">
        <v>0</v>
      </c>
      <c r="C376" s="38" t="s">
        <v>15</v>
      </c>
      <c r="D376" s="42" t="s">
        <v>27</v>
      </c>
      <c r="E376" s="43">
        <v>3</v>
      </c>
      <c r="F376" s="43">
        <v>3300</v>
      </c>
      <c r="G376" s="43">
        <v>5126.576</v>
      </c>
      <c r="H376" s="40">
        <v>660</v>
      </c>
      <c r="I376" s="41" t="s">
        <v>42</v>
      </c>
    </row>
    <row r="377" spans="1:9" ht="18" customHeight="1" x14ac:dyDescent="0.25">
      <c r="A377" s="38">
        <v>2022</v>
      </c>
      <c r="B377" s="38" t="s">
        <v>1</v>
      </c>
      <c r="C377" s="38" t="s">
        <v>14</v>
      </c>
      <c r="D377" s="39" t="s">
        <v>36</v>
      </c>
      <c r="E377" s="40">
        <v>3566</v>
      </c>
      <c r="F377" s="40">
        <v>4577.3</v>
      </c>
      <c r="G377" s="40">
        <v>5126.576</v>
      </c>
      <c r="H377" s="40">
        <v>915.46</v>
      </c>
      <c r="I377" s="41" t="s">
        <v>42</v>
      </c>
    </row>
    <row r="378" spans="1:9" ht="18" customHeight="1" x14ac:dyDescent="0.25">
      <c r="A378" s="38">
        <v>2022</v>
      </c>
      <c r="B378" s="38" t="s">
        <v>1</v>
      </c>
      <c r="C378" s="38" t="s">
        <v>14</v>
      </c>
      <c r="D378" s="39" t="s">
        <v>37</v>
      </c>
      <c r="E378" s="40">
        <v>2498</v>
      </c>
      <c r="F378" s="40">
        <v>8000</v>
      </c>
      <c r="G378" s="40">
        <v>8960</v>
      </c>
      <c r="H378" s="40">
        <v>1600</v>
      </c>
      <c r="I378" s="41" t="s">
        <v>42</v>
      </c>
    </row>
    <row r="379" spans="1:9" ht="18" customHeight="1" x14ac:dyDescent="0.25">
      <c r="A379" s="38">
        <v>2022</v>
      </c>
      <c r="B379" s="38" t="s">
        <v>1</v>
      </c>
      <c r="C379" s="38" t="s">
        <v>13</v>
      </c>
      <c r="D379" s="39" t="s">
        <v>35</v>
      </c>
      <c r="E379" s="40">
        <v>1245</v>
      </c>
      <c r="F379" s="40">
        <v>4577.2</v>
      </c>
      <c r="G379" s="40">
        <v>5126.4639999999999</v>
      </c>
      <c r="H379" s="40">
        <v>915.44</v>
      </c>
      <c r="I379" s="41" t="s">
        <v>42</v>
      </c>
    </row>
    <row r="380" spans="1:9" ht="18" customHeight="1" x14ac:dyDescent="0.25">
      <c r="A380" s="38">
        <v>2022</v>
      </c>
      <c r="B380" s="38" t="s">
        <v>1</v>
      </c>
      <c r="C380" s="38" t="s">
        <v>38</v>
      </c>
      <c r="D380" s="42" t="s">
        <v>30</v>
      </c>
      <c r="E380" s="43">
        <v>644</v>
      </c>
      <c r="F380" s="43">
        <v>5743.5</v>
      </c>
      <c r="G380" s="43">
        <v>6432.72</v>
      </c>
      <c r="H380" s="40">
        <v>1148.7</v>
      </c>
      <c r="I380" s="41" t="s">
        <v>42</v>
      </c>
    </row>
    <row r="381" spans="1:9" ht="18" customHeight="1" x14ac:dyDescent="0.25">
      <c r="A381" s="38">
        <v>2022</v>
      </c>
      <c r="B381" s="38" t="s">
        <v>1</v>
      </c>
      <c r="C381" s="38" t="s">
        <v>12</v>
      </c>
      <c r="D381" s="42" t="s">
        <v>29</v>
      </c>
      <c r="E381" s="43">
        <v>643</v>
      </c>
      <c r="F381" s="43">
        <v>7000</v>
      </c>
      <c r="G381" s="43">
        <v>7840</v>
      </c>
      <c r="H381" s="40">
        <v>1400</v>
      </c>
      <c r="I381" s="41" t="s">
        <v>42</v>
      </c>
    </row>
    <row r="382" spans="1:9" ht="18" customHeight="1" x14ac:dyDescent="0.25">
      <c r="A382" s="38">
        <v>2022</v>
      </c>
      <c r="B382" s="38" t="s">
        <v>1</v>
      </c>
      <c r="C382" s="38" t="s">
        <v>38</v>
      </c>
      <c r="D382" s="42" t="s">
        <v>31</v>
      </c>
      <c r="E382" s="43">
        <v>455</v>
      </c>
      <c r="F382" s="43">
        <v>4578.6000000000004</v>
      </c>
      <c r="G382" s="43">
        <v>5128.0320000000002</v>
      </c>
      <c r="H382" s="40">
        <v>915.72000000000014</v>
      </c>
      <c r="I382" s="41" t="s">
        <v>42</v>
      </c>
    </row>
    <row r="383" spans="1:9" ht="18" customHeight="1" x14ac:dyDescent="0.25">
      <c r="A383" s="38">
        <v>2022</v>
      </c>
      <c r="B383" s="38" t="s">
        <v>1</v>
      </c>
      <c r="C383" s="38" t="s">
        <v>12</v>
      </c>
      <c r="D383" s="42" t="s">
        <v>28</v>
      </c>
      <c r="E383" s="44">
        <v>345</v>
      </c>
      <c r="F383" s="44">
        <v>7000</v>
      </c>
      <c r="G383" s="44">
        <v>7840</v>
      </c>
      <c r="H383" s="40">
        <v>1400</v>
      </c>
      <c r="I383" s="41" t="s">
        <v>42</v>
      </c>
    </row>
    <row r="384" spans="1:9" ht="18" customHeight="1" x14ac:dyDescent="0.25">
      <c r="A384" s="38">
        <v>2022</v>
      </c>
      <c r="B384" s="38" t="s">
        <v>1</v>
      </c>
      <c r="C384" s="38" t="s">
        <v>13</v>
      </c>
      <c r="D384" s="39" t="s">
        <v>33</v>
      </c>
      <c r="E384" s="40">
        <v>122</v>
      </c>
      <c r="F384" s="40">
        <v>100</v>
      </c>
      <c r="G384" s="40">
        <v>112</v>
      </c>
      <c r="H384" s="40">
        <v>20</v>
      </c>
      <c r="I384" s="41" t="s">
        <v>42</v>
      </c>
    </row>
    <row r="385" spans="1:9" ht="18" customHeight="1" x14ac:dyDescent="0.25">
      <c r="A385" s="38">
        <v>2022</v>
      </c>
      <c r="B385" s="38" t="s">
        <v>1</v>
      </c>
      <c r="C385" s="38" t="s">
        <v>15</v>
      </c>
      <c r="D385" s="42" t="s">
        <v>26</v>
      </c>
      <c r="E385" s="43">
        <v>78</v>
      </c>
      <c r="F385" s="43">
        <v>2288.6</v>
      </c>
      <c r="G385" s="43">
        <v>5126.4639999999999</v>
      </c>
      <c r="H385" s="40">
        <v>457.72</v>
      </c>
      <c r="I385" s="41" t="s">
        <v>42</v>
      </c>
    </row>
    <row r="386" spans="1:9" ht="18" customHeight="1" x14ac:dyDescent="0.25">
      <c r="A386" s="38">
        <v>2022</v>
      </c>
      <c r="B386" s="38" t="s">
        <v>1</v>
      </c>
      <c r="C386" s="38" t="s">
        <v>15</v>
      </c>
      <c r="D386" s="42" t="s">
        <v>24</v>
      </c>
      <c r="E386" s="43">
        <v>76</v>
      </c>
      <c r="F386" s="43">
        <v>2288.4499999999998</v>
      </c>
      <c r="G386" s="43">
        <v>5126.1279999999997</v>
      </c>
      <c r="H386" s="40">
        <v>457.69</v>
      </c>
      <c r="I386" s="41" t="s">
        <v>42</v>
      </c>
    </row>
    <row r="387" spans="1:9" ht="18" customHeight="1" x14ac:dyDescent="0.25">
      <c r="A387" s="38">
        <v>2022</v>
      </c>
      <c r="B387" s="38" t="s">
        <v>1</v>
      </c>
      <c r="C387" s="38" t="s">
        <v>15</v>
      </c>
      <c r="D387" s="42" t="s">
        <v>25</v>
      </c>
      <c r="E387" s="43">
        <v>46</v>
      </c>
      <c r="F387" s="43">
        <v>100</v>
      </c>
      <c r="G387" s="43">
        <v>224</v>
      </c>
      <c r="H387" s="40">
        <v>20</v>
      </c>
      <c r="I387" s="41" t="s">
        <v>42</v>
      </c>
    </row>
    <row r="388" spans="1:9" ht="18" customHeight="1" x14ac:dyDescent="0.25">
      <c r="A388" s="38">
        <v>2022</v>
      </c>
      <c r="B388" s="38" t="s">
        <v>1</v>
      </c>
      <c r="C388" s="38" t="s">
        <v>15</v>
      </c>
      <c r="D388" s="42" t="s">
        <v>23</v>
      </c>
      <c r="E388" s="43">
        <v>34</v>
      </c>
      <c r="F388" s="43">
        <v>2288.4</v>
      </c>
      <c r="G388" s="43">
        <v>5126.0160000000005</v>
      </c>
      <c r="H388" s="40">
        <v>457.68000000000006</v>
      </c>
      <c r="I388" s="41" t="s">
        <v>42</v>
      </c>
    </row>
    <row r="389" spans="1:9" ht="18" customHeight="1" x14ac:dyDescent="0.25">
      <c r="A389" s="38">
        <v>2022</v>
      </c>
      <c r="B389" s="38" t="s">
        <v>1</v>
      </c>
      <c r="C389" s="38" t="s">
        <v>13</v>
      </c>
      <c r="D389" s="39" t="s">
        <v>34</v>
      </c>
      <c r="E389" s="40">
        <v>7</v>
      </c>
      <c r="F389" s="40">
        <v>200</v>
      </c>
      <c r="G389" s="40">
        <v>224</v>
      </c>
      <c r="H389" s="40">
        <v>40</v>
      </c>
      <c r="I389" s="41" t="s">
        <v>40</v>
      </c>
    </row>
    <row r="390" spans="1:9" ht="18" customHeight="1" x14ac:dyDescent="0.25">
      <c r="A390" s="38">
        <v>2022</v>
      </c>
      <c r="B390" s="38" t="s">
        <v>1</v>
      </c>
      <c r="C390" s="38" t="s">
        <v>15</v>
      </c>
      <c r="D390" s="42" t="s">
        <v>27</v>
      </c>
      <c r="E390" s="43">
        <v>3</v>
      </c>
      <c r="F390" s="43">
        <v>3300</v>
      </c>
      <c r="G390" s="43">
        <v>5126.576</v>
      </c>
      <c r="H390" s="40">
        <v>660</v>
      </c>
      <c r="I390" s="41" t="s">
        <v>40</v>
      </c>
    </row>
    <row r="391" spans="1:9" ht="18" customHeight="1" x14ac:dyDescent="0.25">
      <c r="A391" s="38">
        <v>2022</v>
      </c>
      <c r="B391" s="38" t="s">
        <v>1</v>
      </c>
      <c r="C391" s="38" t="s">
        <v>32</v>
      </c>
      <c r="D391" s="42" t="s">
        <v>32</v>
      </c>
      <c r="E391" s="43">
        <v>2</v>
      </c>
      <c r="F391" s="43">
        <v>6600</v>
      </c>
      <c r="G391" s="43">
        <v>7392</v>
      </c>
      <c r="H391" s="40">
        <v>1320</v>
      </c>
      <c r="I391" s="41" t="s">
        <v>40</v>
      </c>
    </row>
    <row r="392" spans="1:9" ht="18" customHeight="1" x14ac:dyDescent="0.25">
      <c r="A392" s="38">
        <v>2022</v>
      </c>
      <c r="B392" s="38" t="s">
        <v>2</v>
      </c>
      <c r="C392" s="38" t="s">
        <v>14</v>
      </c>
      <c r="D392" s="39" t="s">
        <v>36</v>
      </c>
      <c r="E392" s="40">
        <v>3566</v>
      </c>
      <c r="F392" s="40">
        <v>4577.3</v>
      </c>
      <c r="G392" s="40">
        <v>5126.576</v>
      </c>
      <c r="H392" s="40">
        <v>915.46</v>
      </c>
      <c r="I392" s="41" t="s">
        <v>40</v>
      </c>
    </row>
    <row r="393" spans="1:9" ht="18" customHeight="1" x14ac:dyDescent="0.25">
      <c r="A393" s="38">
        <v>2022</v>
      </c>
      <c r="B393" s="38" t="s">
        <v>2</v>
      </c>
      <c r="C393" s="38" t="s">
        <v>14</v>
      </c>
      <c r="D393" s="39" t="s">
        <v>37</v>
      </c>
      <c r="E393" s="40">
        <v>2498</v>
      </c>
      <c r="F393" s="40">
        <v>8000</v>
      </c>
      <c r="G393" s="40">
        <v>8960</v>
      </c>
      <c r="H393" s="40">
        <v>1600</v>
      </c>
      <c r="I393" s="41" t="s">
        <v>40</v>
      </c>
    </row>
    <row r="394" spans="1:9" ht="18" customHeight="1" x14ac:dyDescent="0.25">
      <c r="A394" s="38">
        <v>2022</v>
      </c>
      <c r="B394" s="38" t="s">
        <v>2</v>
      </c>
      <c r="C394" s="38" t="s">
        <v>13</v>
      </c>
      <c r="D394" s="39" t="s">
        <v>35</v>
      </c>
      <c r="E394" s="40">
        <v>1245</v>
      </c>
      <c r="F394" s="40">
        <v>4577.2</v>
      </c>
      <c r="G394" s="40">
        <v>5126.4639999999999</v>
      </c>
      <c r="H394" s="40">
        <v>915.44</v>
      </c>
      <c r="I394" s="41" t="s">
        <v>40</v>
      </c>
    </row>
    <row r="395" spans="1:9" ht="18" customHeight="1" x14ac:dyDescent="0.25">
      <c r="A395" s="38">
        <v>2022</v>
      </c>
      <c r="B395" s="38" t="s">
        <v>2</v>
      </c>
      <c r="C395" s="38" t="s">
        <v>38</v>
      </c>
      <c r="D395" s="42" t="s">
        <v>30</v>
      </c>
      <c r="E395" s="43">
        <v>644</v>
      </c>
      <c r="F395" s="43">
        <v>5743.5</v>
      </c>
      <c r="G395" s="43">
        <v>6432.72</v>
      </c>
      <c r="H395" s="40">
        <v>1148.7</v>
      </c>
      <c r="I395" s="41" t="s">
        <v>40</v>
      </c>
    </row>
    <row r="396" spans="1:9" ht="18" customHeight="1" x14ac:dyDescent="0.25">
      <c r="A396" s="38">
        <v>2022</v>
      </c>
      <c r="B396" s="38" t="s">
        <v>2</v>
      </c>
      <c r="C396" s="38" t="s">
        <v>12</v>
      </c>
      <c r="D396" s="42" t="s">
        <v>29</v>
      </c>
      <c r="E396" s="43">
        <v>643</v>
      </c>
      <c r="F396" s="43">
        <v>7000</v>
      </c>
      <c r="G396" s="43">
        <v>7840</v>
      </c>
      <c r="H396" s="40">
        <v>1400</v>
      </c>
      <c r="I396" s="41" t="s">
        <v>40</v>
      </c>
    </row>
    <row r="397" spans="1:9" ht="18" customHeight="1" x14ac:dyDescent="0.25">
      <c r="A397" s="38">
        <v>2022</v>
      </c>
      <c r="B397" s="38" t="s">
        <v>2</v>
      </c>
      <c r="C397" s="38" t="s">
        <v>38</v>
      </c>
      <c r="D397" s="42" t="s">
        <v>31</v>
      </c>
      <c r="E397" s="43">
        <v>455</v>
      </c>
      <c r="F397" s="43">
        <v>4578.6000000000004</v>
      </c>
      <c r="G397" s="43">
        <v>5128.0320000000002</v>
      </c>
      <c r="H397" s="40">
        <v>915.72000000000014</v>
      </c>
      <c r="I397" s="41" t="s">
        <v>40</v>
      </c>
    </row>
    <row r="398" spans="1:9" ht="18" customHeight="1" x14ac:dyDescent="0.25">
      <c r="A398" s="38">
        <v>2022</v>
      </c>
      <c r="B398" s="38" t="s">
        <v>2</v>
      </c>
      <c r="C398" s="38" t="s">
        <v>12</v>
      </c>
      <c r="D398" s="42" t="s">
        <v>28</v>
      </c>
      <c r="E398" s="44">
        <v>345</v>
      </c>
      <c r="F398" s="44">
        <v>7000</v>
      </c>
      <c r="G398" s="44">
        <v>7840</v>
      </c>
      <c r="H398" s="40">
        <v>1400</v>
      </c>
      <c r="I398" s="41" t="s">
        <v>40</v>
      </c>
    </row>
    <row r="399" spans="1:9" ht="18" customHeight="1" x14ac:dyDescent="0.25">
      <c r="A399" s="38">
        <v>2022</v>
      </c>
      <c r="B399" s="38" t="s">
        <v>2</v>
      </c>
      <c r="C399" s="38" t="s">
        <v>13</v>
      </c>
      <c r="D399" s="39" t="s">
        <v>33</v>
      </c>
      <c r="E399" s="40">
        <v>122</v>
      </c>
      <c r="F399" s="40">
        <v>100</v>
      </c>
      <c r="G399" s="40">
        <v>112</v>
      </c>
      <c r="H399" s="40">
        <v>20</v>
      </c>
      <c r="I399" s="41" t="s">
        <v>40</v>
      </c>
    </row>
    <row r="400" spans="1:9" ht="18" customHeight="1" x14ac:dyDescent="0.25">
      <c r="A400" s="38">
        <v>2022</v>
      </c>
      <c r="B400" s="38" t="s">
        <v>2</v>
      </c>
      <c r="C400" s="38" t="s">
        <v>15</v>
      </c>
      <c r="D400" s="42" t="s">
        <v>26</v>
      </c>
      <c r="E400" s="43">
        <v>78</v>
      </c>
      <c r="F400" s="43">
        <v>2288.6</v>
      </c>
      <c r="G400" s="43">
        <v>5126.4639999999999</v>
      </c>
      <c r="H400" s="40">
        <v>457.72</v>
      </c>
      <c r="I400" s="41" t="s">
        <v>40</v>
      </c>
    </row>
    <row r="401" spans="1:9" ht="18" customHeight="1" x14ac:dyDescent="0.25">
      <c r="A401" s="38">
        <v>2022</v>
      </c>
      <c r="B401" s="38" t="s">
        <v>2</v>
      </c>
      <c r="C401" s="38" t="s">
        <v>15</v>
      </c>
      <c r="D401" s="42" t="s">
        <v>24</v>
      </c>
      <c r="E401" s="43">
        <v>76</v>
      </c>
      <c r="F401" s="43">
        <v>2288.4499999999998</v>
      </c>
      <c r="G401" s="43">
        <v>5126.1279999999997</v>
      </c>
      <c r="H401" s="40">
        <v>457.69</v>
      </c>
      <c r="I401" s="41" t="s">
        <v>40</v>
      </c>
    </row>
    <row r="402" spans="1:9" ht="18" customHeight="1" x14ac:dyDescent="0.25">
      <c r="A402" s="38">
        <v>2022</v>
      </c>
      <c r="B402" s="38" t="s">
        <v>2</v>
      </c>
      <c r="C402" s="38" t="s">
        <v>15</v>
      </c>
      <c r="D402" s="42" t="s">
        <v>25</v>
      </c>
      <c r="E402" s="43">
        <v>46</v>
      </c>
      <c r="F402" s="43">
        <v>100</v>
      </c>
      <c r="G402" s="43">
        <v>224</v>
      </c>
      <c r="H402" s="40">
        <v>20</v>
      </c>
      <c r="I402" s="41" t="s">
        <v>40</v>
      </c>
    </row>
    <row r="403" spans="1:9" ht="18" customHeight="1" x14ac:dyDescent="0.25">
      <c r="A403" s="38">
        <v>2022</v>
      </c>
      <c r="B403" s="38" t="s">
        <v>2</v>
      </c>
      <c r="C403" s="38" t="s">
        <v>15</v>
      </c>
      <c r="D403" s="42" t="s">
        <v>23</v>
      </c>
      <c r="E403" s="43">
        <v>34</v>
      </c>
      <c r="F403" s="43">
        <v>2288.4</v>
      </c>
      <c r="G403" s="43">
        <v>5126.0160000000005</v>
      </c>
      <c r="H403" s="40">
        <v>457.68000000000006</v>
      </c>
      <c r="I403" s="41" t="s">
        <v>40</v>
      </c>
    </row>
    <row r="404" spans="1:9" ht="18" customHeight="1" x14ac:dyDescent="0.25">
      <c r="A404" s="38">
        <v>2022</v>
      </c>
      <c r="B404" s="38" t="s">
        <v>2</v>
      </c>
      <c r="C404" s="38" t="s">
        <v>13</v>
      </c>
      <c r="D404" s="39" t="s">
        <v>34</v>
      </c>
      <c r="E404" s="40">
        <v>7</v>
      </c>
      <c r="F404" s="40">
        <v>200</v>
      </c>
      <c r="G404" s="40">
        <v>224</v>
      </c>
      <c r="H404" s="40">
        <v>40</v>
      </c>
      <c r="I404" s="41" t="s">
        <v>40</v>
      </c>
    </row>
    <row r="405" spans="1:9" ht="18" customHeight="1" x14ac:dyDescent="0.25">
      <c r="A405" s="38">
        <v>2022</v>
      </c>
      <c r="B405" s="38" t="s">
        <v>2</v>
      </c>
      <c r="C405" s="38" t="s">
        <v>15</v>
      </c>
      <c r="D405" s="42" t="s">
        <v>27</v>
      </c>
      <c r="E405" s="43">
        <v>3</v>
      </c>
      <c r="F405" s="43">
        <v>2288.65</v>
      </c>
      <c r="G405" s="43">
        <v>5126.576</v>
      </c>
      <c r="H405" s="40">
        <v>457.73</v>
      </c>
      <c r="I405" s="41" t="s">
        <v>40</v>
      </c>
    </row>
    <row r="406" spans="1:9" ht="18" customHeight="1" x14ac:dyDescent="0.25">
      <c r="A406" s="38">
        <v>2022</v>
      </c>
      <c r="B406" s="38" t="s">
        <v>2</v>
      </c>
      <c r="C406" s="38" t="s">
        <v>32</v>
      </c>
      <c r="D406" s="42" t="s">
        <v>32</v>
      </c>
      <c r="E406" s="43">
        <v>2</v>
      </c>
      <c r="F406" s="43">
        <v>6600</v>
      </c>
      <c r="G406" s="43">
        <v>7392</v>
      </c>
      <c r="H406" s="40">
        <v>1320</v>
      </c>
      <c r="I406" s="41" t="s">
        <v>42</v>
      </c>
    </row>
    <row r="407" spans="1:9" ht="18" customHeight="1" x14ac:dyDescent="0.25">
      <c r="A407" s="38">
        <v>2022</v>
      </c>
      <c r="B407" s="38" t="s">
        <v>3</v>
      </c>
      <c r="C407" s="38" t="s">
        <v>14</v>
      </c>
      <c r="D407" s="39" t="s">
        <v>36</v>
      </c>
      <c r="E407" s="40">
        <v>3566</v>
      </c>
      <c r="F407" s="40">
        <v>4577.3</v>
      </c>
      <c r="G407" s="40">
        <v>5126.576</v>
      </c>
      <c r="H407" s="40">
        <v>915.46</v>
      </c>
      <c r="I407" s="41" t="s">
        <v>42</v>
      </c>
    </row>
    <row r="408" spans="1:9" ht="18" customHeight="1" x14ac:dyDescent="0.25">
      <c r="A408" s="38">
        <v>2022</v>
      </c>
      <c r="B408" s="38" t="s">
        <v>3</v>
      </c>
      <c r="C408" s="38" t="s">
        <v>14</v>
      </c>
      <c r="D408" s="39" t="s">
        <v>37</v>
      </c>
      <c r="E408" s="40">
        <v>2498</v>
      </c>
      <c r="F408" s="40">
        <v>8000</v>
      </c>
      <c r="G408" s="40">
        <v>8960</v>
      </c>
      <c r="H408" s="40">
        <v>1600</v>
      </c>
      <c r="I408" s="41" t="s">
        <v>42</v>
      </c>
    </row>
    <row r="409" spans="1:9" ht="18" customHeight="1" x14ac:dyDescent="0.25">
      <c r="A409" s="38">
        <v>2022</v>
      </c>
      <c r="B409" s="38" t="s">
        <v>3</v>
      </c>
      <c r="C409" s="38" t="s">
        <v>13</v>
      </c>
      <c r="D409" s="39" t="s">
        <v>35</v>
      </c>
      <c r="E409" s="40">
        <v>1245</v>
      </c>
      <c r="F409" s="40">
        <v>4577.2</v>
      </c>
      <c r="G409" s="40">
        <v>5126.4639999999999</v>
      </c>
      <c r="H409" s="40">
        <v>915.44</v>
      </c>
      <c r="I409" s="41" t="s">
        <v>42</v>
      </c>
    </row>
    <row r="410" spans="1:9" ht="18" customHeight="1" x14ac:dyDescent="0.25">
      <c r="A410" s="38">
        <v>2022</v>
      </c>
      <c r="B410" s="38" t="s">
        <v>3</v>
      </c>
      <c r="C410" s="38" t="s">
        <v>38</v>
      </c>
      <c r="D410" s="42" t="s">
        <v>30</v>
      </c>
      <c r="E410" s="43">
        <v>644</v>
      </c>
      <c r="F410" s="43">
        <v>5743.5</v>
      </c>
      <c r="G410" s="43">
        <v>6432.72</v>
      </c>
      <c r="H410" s="40">
        <v>1148.7</v>
      </c>
      <c r="I410" s="41" t="s">
        <v>42</v>
      </c>
    </row>
    <row r="411" spans="1:9" ht="18" customHeight="1" x14ac:dyDescent="0.25">
      <c r="A411" s="38">
        <v>2022</v>
      </c>
      <c r="B411" s="38" t="s">
        <v>3</v>
      </c>
      <c r="C411" s="38" t="s">
        <v>12</v>
      </c>
      <c r="D411" s="42" t="s">
        <v>29</v>
      </c>
      <c r="E411" s="43">
        <v>643</v>
      </c>
      <c r="F411" s="43">
        <v>7000</v>
      </c>
      <c r="G411" s="43">
        <v>7840</v>
      </c>
      <c r="H411" s="40">
        <v>1400</v>
      </c>
      <c r="I411" s="41" t="s">
        <v>42</v>
      </c>
    </row>
    <row r="412" spans="1:9" ht="18" customHeight="1" x14ac:dyDescent="0.25">
      <c r="A412" s="38">
        <v>2022</v>
      </c>
      <c r="B412" s="38" t="s">
        <v>3</v>
      </c>
      <c r="C412" s="38" t="s">
        <v>38</v>
      </c>
      <c r="D412" s="42" t="s">
        <v>31</v>
      </c>
      <c r="E412" s="43">
        <v>455</v>
      </c>
      <c r="F412" s="43">
        <v>4578.6000000000004</v>
      </c>
      <c r="G412" s="43">
        <v>5128.0320000000002</v>
      </c>
      <c r="H412" s="40">
        <v>915.72000000000014</v>
      </c>
      <c r="I412" s="41" t="s">
        <v>42</v>
      </c>
    </row>
    <row r="413" spans="1:9" ht="18" customHeight="1" x14ac:dyDescent="0.25">
      <c r="A413" s="38">
        <v>2022</v>
      </c>
      <c r="B413" s="38" t="s">
        <v>3</v>
      </c>
      <c r="C413" s="38" t="s">
        <v>12</v>
      </c>
      <c r="D413" s="42" t="s">
        <v>28</v>
      </c>
      <c r="E413" s="44">
        <v>345</v>
      </c>
      <c r="F413" s="44">
        <v>7000</v>
      </c>
      <c r="G413" s="44">
        <v>7840</v>
      </c>
      <c r="H413" s="40">
        <v>1400</v>
      </c>
      <c r="I413" s="41" t="s">
        <v>42</v>
      </c>
    </row>
    <row r="414" spans="1:9" ht="18" customHeight="1" x14ac:dyDescent="0.25">
      <c r="A414" s="38">
        <v>2022</v>
      </c>
      <c r="B414" s="38" t="s">
        <v>3</v>
      </c>
      <c r="C414" s="38" t="s">
        <v>13</v>
      </c>
      <c r="D414" s="39" t="s">
        <v>33</v>
      </c>
      <c r="E414" s="40">
        <v>122</v>
      </c>
      <c r="F414" s="40">
        <v>100</v>
      </c>
      <c r="G414" s="40">
        <v>112</v>
      </c>
      <c r="H414" s="40">
        <v>20</v>
      </c>
      <c r="I414" s="41" t="s">
        <v>42</v>
      </c>
    </row>
    <row r="415" spans="1:9" ht="18" customHeight="1" x14ac:dyDescent="0.25">
      <c r="A415" s="38">
        <v>2022</v>
      </c>
      <c r="B415" s="38" t="s">
        <v>3</v>
      </c>
      <c r="C415" s="38" t="s">
        <v>15</v>
      </c>
      <c r="D415" s="42" t="s">
        <v>26</v>
      </c>
      <c r="E415" s="43">
        <v>78</v>
      </c>
      <c r="F415" s="43">
        <v>2288.6</v>
      </c>
      <c r="G415" s="43">
        <v>5126.4639999999999</v>
      </c>
      <c r="H415" s="40">
        <v>457.72</v>
      </c>
      <c r="I415" s="41" t="s">
        <v>42</v>
      </c>
    </row>
    <row r="416" spans="1:9" ht="18" customHeight="1" x14ac:dyDescent="0.25">
      <c r="A416" s="38">
        <v>2022</v>
      </c>
      <c r="B416" s="38" t="s">
        <v>3</v>
      </c>
      <c r="C416" s="38" t="s">
        <v>15</v>
      </c>
      <c r="D416" s="42" t="s">
        <v>24</v>
      </c>
      <c r="E416" s="43">
        <v>76</v>
      </c>
      <c r="F416" s="43">
        <v>2288.4499999999998</v>
      </c>
      <c r="G416" s="43">
        <v>5126.1279999999997</v>
      </c>
      <c r="H416" s="40">
        <v>457.69</v>
      </c>
      <c r="I416" s="41" t="s">
        <v>42</v>
      </c>
    </row>
    <row r="417" spans="1:9" ht="18" customHeight="1" x14ac:dyDescent="0.25">
      <c r="A417" s="38">
        <v>2022</v>
      </c>
      <c r="B417" s="38" t="s">
        <v>3</v>
      </c>
      <c r="C417" s="38" t="s">
        <v>15</v>
      </c>
      <c r="D417" s="42" t="s">
        <v>25</v>
      </c>
      <c r="E417" s="43">
        <v>46</v>
      </c>
      <c r="F417" s="43">
        <v>100</v>
      </c>
      <c r="G417" s="43">
        <v>224</v>
      </c>
      <c r="H417" s="40">
        <v>20</v>
      </c>
      <c r="I417" s="41" t="s">
        <v>42</v>
      </c>
    </row>
    <row r="418" spans="1:9" ht="18" customHeight="1" x14ac:dyDescent="0.25">
      <c r="A418" s="38">
        <v>2022</v>
      </c>
      <c r="B418" s="38" t="s">
        <v>3</v>
      </c>
      <c r="C418" s="38" t="s">
        <v>15</v>
      </c>
      <c r="D418" s="42" t="s">
        <v>23</v>
      </c>
      <c r="E418" s="43">
        <v>34</v>
      </c>
      <c r="F418" s="43">
        <v>2288.4</v>
      </c>
      <c r="G418" s="43">
        <v>5126.0160000000005</v>
      </c>
      <c r="H418" s="40">
        <v>457.68000000000006</v>
      </c>
      <c r="I418" s="41" t="s">
        <v>42</v>
      </c>
    </row>
    <row r="419" spans="1:9" ht="18" customHeight="1" x14ac:dyDescent="0.25">
      <c r="A419" s="38">
        <v>2022</v>
      </c>
      <c r="B419" s="38" t="s">
        <v>3</v>
      </c>
      <c r="C419" s="38" t="s">
        <v>13</v>
      </c>
      <c r="D419" s="39" t="s">
        <v>34</v>
      </c>
      <c r="E419" s="40">
        <v>7</v>
      </c>
      <c r="F419" s="40">
        <v>200</v>
      </c>
      <c r="G419" s="40">
        <v>224</v>
      </c>
      <c r="H419" s="40">
        <v>40</v>
      </c>
      <c r="I419" s="41" t="s">
        <v>42</v>
      </c>
    </row>
    <row r="420" spans="1:9" ht="18" customHeight="1" x14ac:dyDescent="0.25">
      <c r="A420" s="38">
        <v>2022</v>
      </c>
      <c r="B420" s="38" t="s">
        <v>3</v>
      </c>
      <c r="C420" s="38" t="s">
        <v>15</v>
      </c>
      <c r="D420" s="42" t="s">
        <v>27</v>
      </c>
      <c r="E420" s="43">
        <v>3</v>
      </c>
      <c r="F420" s="43">
        <v>2288.65</v>
      </c>
      <c r="G420" s="43">
        <v>5126.576</v>
      </c>
      <c r="H420" s="40">
        <v>457.73</v>
      </c>
      <c r="I420" s="41" t="s">
        <v>42</v>
      </c>
    </row>
    <row r="421" spans="1:9" ht="18" customHeight="1" x14ac:dyDescent="0.25">
      <c r="A421" s="38">
        <v>2022</v>
      </c>
      <c r="B421" s="38" t="s">
        <v>3</v>
      </c>
      <c r="C421" s="38" t="s">
        <v>32</v>
      </c>
      <c r="D421" s="42" t="s">
        <v>32</v>
      </c>
      <c r="E421" s="43">
        <v>2</v>
      </c>
      <c r="F421" s="43">
        <v>7920</v>
      </c>
      <c r="G421" s="43">
        <v>7392</v>
      </c>
      <c r="H421" s="40">
        <v>1584</v>
      </c>
      <c r="I421" s="41" t="s">
        <v>42</v>
      </c>
    </row>
    <row r="422" spans="1:9" ht="18" customHeight="1" x14ac:dyDescent="0.25">
      <c r="A422" s="38">
        <v>2022</v>
      </c>
      <c r="B422" s="38" t="s">
        <v>4</v>
      </c>
      <c r="C422" s="38" t="s">
        <v>14</v>
      </c>
      <c r="D422" s="39" t="s">
        <v>36</v>
      </c>
      <c r="E422" s="40">
        <v>3566</v>
      </c>
      <c r="F422" s="40">
        <v>4577.3</v>
      </c>
      <c r="G422" s="40">
        <v>5126.576</v>
      </c>
      <c r="H422" s="40">
        <v>915.46</v>
      </c>
      <c r="I422" s="41" t="s">
        <v>40</v>
      </c>
    </row>
    <row r="423" spans="1:9" ht="18" customHeight="1" x14ac:dyDescent="0.25">
      <c r="A423" s="38">
        <v>2022</v>
      </c>
      <c r="B423" s="38" t="s">
        <v>4</v>
      </c>
      <c r="C423" s="38" t="s">
        <v>14</v>
      </c>
      <c r="D423" s="39" t="s">
        <v>37</v>
      </c>
      <c r="E423" s="40">
        <v>2498</v>
      </c>
      <c r="F423" s="40">
        <v>8800</v>
      </c>
      <c r="G423" s="40">
        <v>8960</v>
      </c>
      <c r="H423" s="40">
        <v>1760</v>
      </c>
      <c r="I423" s="41" t="s">
        <v>40</v>
      </c>
    </row>
    <row r="424" spans="1:9" ht="18" customHeight="1" x14ac:dyDescent="0.25">
      <c r="A424" s="38">
        <v>2022</v>
      </c>
      <c r="B424" s="38" t="s">
        <v>4</v>
      </c>
      <c r="C424" s="38" t="s">
        <v>13</v>
      </c>
      <c r="D424" s="39" t="s">
        <v>35</v>
      </c>
      <c r="E424" s="40">
        <v>1245</v>
      </c>
      <c r="F424" s="40">
        <v>5034.92</v>
      </c>
      <c r="G424" s="40">
        <v>5126.4639999999999</v>
      </c>
      <c r="H424" s="40">
        <v>1006.984</v>
      </c>
      <c r="I424" s="41" t="s">
        <v>40</v>
      </c>
    </row>
    <row r="425" spans="1:9" ht="18" customHeight="1" x14ac:dyDescent="0.25">
      <c r="A425" s="38">
        <v>2022</v>
      </c>
      <c r="B425" s="38" t="s">
        <v>4</v>
      </c>
      <c r="C425" s="38" t="s">
        <v>38</v>
      </c>
      <c r="D425" s="42" t="s">
        <v>30</v>
      </c>
      <c r="E425" s="43">
        <v>644</v>
      </c>
      <c r="F425" s="43">
        <v>6317.85</v>
      </c>
      <c r="G425" s="43">
        <v>6432.72</v>
      </c>
      <c r="H425" s="40">
        <v>1263.5700000000002</v>
      </c>
      <c r="I425" s="41" t="s">
        <v>40</v>
      </c>
    </row>
    <row r="426" spans="1:9" ht="18" customHeight="1" x14ac:dyDescent="0.25">
      <c r="A426" s="38">
        <v>2022</v>
      </c>
      <c r="B426" s="38" t="s">
        <v>4</v>
      </c>
      <c r="C426" s="38" t="s">
        <v>12</v>
      </c>
      <c r="D426" s="42" t="s">
        <v>29</v>
      </c>
      <c r="E426" s="43">
        <v>643</v>
      </c>
      <c r="F426" s="43">
        <v>7700</v>
      </c>
      <c r="G426" s="43">
        <v>7840</v>
      </c>
      <c r="H426" s="40">
        <v>1540</v>
      </c>
      <c r="I426" s="41" t="s">
        <v>40</v>
      </c>
    </row>
    <row r="427" spans="1:9" ht="18" customHeight="1" x14ac:dyDescent="0.25">
      <c r="A427" s="38">
        <v>2022</v>
      </c>
      <c r="B427" s="38" t="s">
        <v>4</v>
      </c>
      <c r="C427" s="38" t="s">
        <v>38</v>
      </c>
      <c r="D427" s="42" t="s">
        <v>31</v>
      </c>
      <c r="E427" s="43">
        <v>455</v>
      </c>
      <c r="F427" s="43">
        <v>5036.46</v>
      </c>
      <c r="G427" s="43">
        <v>5128.0320000000002</v>
      </c>
      <c r="H427" s="40">
        <v>1007.292</v>
      </c>
      <c r="I427" s="41" t="s">
        <v>42</v>
      </c>
    </row>
    <row r="428" spans="1:9" ht="18" customHeight="1" x14ac:dyDescent="0.25">
      <c r="A428" s="38">
        <v>2022</v>
      </c>
      <c r="B428" s="38" t="s">
        <v>4</v>
      </c>
      <c r="C428" s="38" t="s">
        <v>12</v>
      </c>
      <c r="D428" s="42" t="s">
        <v>28</v>
      </c>
      <c r="E428" s="44">
        <v>345</v>
      </c>
      <c r="F428" s="44">
        <v>7700</v>
      </c>
      <c r="G428" s="44">
        <v>7840</v>
      </c>
      <c r="H428" s="40">
        <v>1540</v>
      </c>
      <c r="I428" s="41" t="s">
        <v>42</v>
      </c>
    </row>
    <row r="429" spans="1:9" ht="18" customHeight="1" x14ac:dyDescent="0.25">
      <c r="A429" s="38">
        <v>2022</v>
      </c>
      <c r="B429" s="38" t="s">
        <v>4</v>
      </c>
      <c r="C429" s="38" t="s">
        <v>13</v>
      </c>
      <c r="D429" s="39" t="s">
        <v>33</v>
      </c>
      <c r="E429" s="40">
        <v>122</v>
      </c>
      <c r="F429" s="40">
        <v>110</v>
      </c>
      <c r="G429" s="40">
        <v>112</v>
      </c>
      <c r="H429" s="40">
        <v>22</v>
      </c>
      <c r="I429" s="41" t="s">
        <v>42</v>
      </c>
    </row>
    <row r="430" spans="1:9" ht="18" customHeight="1" x14ac:dyDescent="0.25">
      <c r="A430" s="38">
        <v>2022</v>
      </c>
      <c r="B430" s="38" t="s">
        <v>4</v>
      </c>
      <c r="C430" s="38" t="s">
        <v>15</v>
      </c>
      <c r="D430" s="42" t="s">
        <v>26</v>
      </c>
      <c r="E430" s="43">
        <v>78</v>
      </c>
      <c r="F430" s="43">
        <v>2517.46</v>
      </c>
      <c r="G430" s="43">
        <v>5126.4639999999999</v>
      </c>
      <c r="H430" s="40">
        <v>503.49200000000002</v>
      </c>
      <c r="I430" s="41" t="s">
        <v>42</v>
      </c>
    </row>
    <row r="431" spans="1:9" ht="18" customHeight="1" x14ac:dyDescent="0.25">
      <c r="A431" s="38">
        <v>2022</v>
      </c>
      <c r="B431" s="38" t="s">
        <v>4</v>
      </c>
      <c r="C431" s="38" t="s">
        <v>15</v>
      </c>
      <c r="D431" s="42" t="s">
        <v>24</v>
      </c>
      <c r="E431" s="43">
        <v>76</v>
      </c>
      <c r="F431" s="43">
        <v>2288.4499999999998</v>
      </c>
      <c r="G431" s="43">
        <v>5126.1279999999997</v>
      </c>
      <c r="H431" s="40">
        <v>457.69</v>
      </c>
      <c r="I431" s="41" t="s">
        <v>42</v>
      </c>
    </row>
    <row r="432" spans="1:9" ht="18" customHeight="1" x14ac:dyDescent="0.25">
      <c r="A432" s="38">
        <v>2022</v>
      </c>
      <c r="B432" s="38" t="s">
        <v>4</v>
      </c>
      <c r="C432" s="38" t="s">
        <v>15</v>
      </c>
      <c r="D432" s="42" t="s">
        <v>25</v>
      </c>
      <c r="E432" s="43">
        <v>46</v>
      </c>
      <c r="F432" s="43">
        <v>100</v>
      </c>
      <c r="G432" s="43">
        <v>224</v>
      </c>
      <c r="H432" s="40">
        <v>20</v>
      </c>
      <c r="I432" s="41" t="s">
        <v>42</v>
      </c>
    </row>
    <row r="433" spans="1:9" ht="18" customHeight="1" x14ac:dyDescent="0.25">
      <c r="A433" s="38">
        <v>2022</v>
      </c>
      <c r="B433" s="38" t="s">
        <v>4</v>
      </c>
      <c r="C433" s="38" t="s">
        <v>15</v>
      </c>
      <c r="D433" s="42" t="s">
        <v>23</v>
      </c>
      <c r="E433" s="43">
        <v>34</v>
      </c>
      <c r="F433" s="43">
        <v>2288.4</v>
      </c>
      <c r="G433" s="43">
        <v>5126.0160000000005</v>
      </c>
      <c r="H433" s="40">
        <v>457.68000000000006</v>
      </c>
      <c r="I433" s="41" t="s">
        <v>42</v>
      </c>
    </row>
    <row r="434" spans="1:9" ht="18" customHeight="1" x14ac:dyDescent="0.25">
      <c r="A434" s="38">
        <v>2022</v>
      </c>
      <c r="B434" s="38" t="s">
        <v>4</v>
      </c>
      <c r="C434" s="38" t="s">
        <v>13</v>
      </c>
      <c r="D434" s="39" t="s">
        <v>34</v>
      </c>
      <c r="E434" s="40">
        <v>7</v>
      </c>
      <c r="F434" s="40">
        <v>200</v>
      </c>
      <c r="G434" s="40">
        <v>224</v>
      </c>
      <c r="H434" s="40">
        <v>40</v>
      </c>
      <c r="I434" s="41" t="s">
        <v>42</v>
      </c>
    </row>
    <row r="435" spans="1:9" ht="18" customHeight="1" x14ac:dyDescent="0.25">
      <c r="A435" s="38">
        <v>2022</v>
      </c>
      <c r="B435" s="38" t="s">
        <v>4</v>
      </c>
      <c r="C435" s="38" t="s">
        <v>15</v>
      </c>
      <c r="D435" s="42" t="s">
        <v>27</v>
      </c>
      <c r="E435" s="43">
        <v>3</v>
      </c>
      <c r="F435" s="43">
        <v>3300</v>
      </c>
      <c r="G435" s="43">
        <v>5126.576</v>
      </c>
      <c r="H435" s="40">
        <v>660</v>
      </c>
      <c r="I435" s="41" t="s">
        <v>42</v>
      </c>
    </row>
    <row r="436" spans="1:9" ht="18" customHeight="1" x14ac:dyDescent="0.25">
      <c r="A436" s="38">
        <v>2022</v>
      </c>
      <c r="B436" s="38" t="s">
        <v>4</v>
      </c>
      <c r="C436" s="38" t="s">
        <v>32</v>
      </c>
      <c r="D436" s="42" t="s">
        <v>32</v>
      </c>
      <c r="E436" s="43">
        <v>2</v>
      </c>
      <c r="F436" s="43">
        <v>4577.3</v>
      </c>
      <c r="G436" s="43">
        <v>7392</v>
      </c>
      <c r="H436" s="40">
        <v>915.46</v>
      </c>
      <c r="I436" s="41" t="s">
        <v>40</v>
      </c>
    </row>
    <row r="437" spans="1:9" ht="18" customHeight="1" x14ac:dyDescent="0.25">
      <c r="A437" s="38">
        <v>2022</v>
      </c>
      <c r="B437" s="38" t="s">
        <v>5</v>
      </c>
      <c r="C437" s="38" t="s">
        <v>14</v>
      </c>
      <c r="D437" s="39" t="s">
        <v>36</v>
      </c>
      <c r="E437" s="40">
        <v>3566</v>
      </c>
      <c r="F437" s="40">
        <v>4577.3</v>
      </c>
      <c r="G437" s="40">
        <v>5126.576</v>
      </c>
      <c r="H437" s="40">
        <v>915.46</v>
      </c>
      <c r="I437" s="41" t="s">
        <v>42</v>
      </c>
    </row>
    <row r="438" spans="1:9" ht="18" customHeight="1" x14ac:dyDescent="0.25">
      <c r="A438" s="38">
        <v>2022</v>
      </c>
      <c r="B438" s="38" t="s">
        <v>5</v>
      </c>
      <c r="C438" s="38" t="s">
        <v>14</v>
      </c>
      <c r="D438" s="39" t="s">
        <v>37</v>
      </c>
      <c r="E438" s="40">
        <v>2498</v>
      </c>
      <c r="F438" s="40">
        <v>8000</v>
      </c>
      <c r="G438" s="40">
        <v>8960</v>
      </c>
      <c r="H438" s="40">
        <v>1600</v>
      </c>
      <c r="I438" s="41" t="s">
        <v>40</v>
      </c>
    </row>
    <row r="439" spans="1:9" ht="18" customHeight="1" x14ac:dyDescent="0.25">
      <c r="A439" s="38">
        <v>2022</v>
      </c>
      <c r="B439" s="38" t="s">
        <v>5</v>
      </c>
      <c r="C439" s="38" t="s">
        <v>13</v>
      </c>
      <c r="D439" s="39" t="s">
        <v>35</v>
      </c>
      <c r="E439" s="40">
        <v>1245</v>
      </c>
      <c r="F439" s="40">
        <v>4577.2</v>
      </c>
      <c r="G439" s="40">
        <v>5126.4639999999999</v>
      </c>
      <c r="H439" s="40">
        <v>915.44</v>
      </c>
      <c r="I439" s="41" t="s">
        <v>40</v>
      </c>
    </row>
    <row r="440" spans="1:9" ht="18" customHeight="1" x14ac:dyDescent="0.25">
      <c r="A440" s="38">
        <v>2022</v>
      </c>
      <c r="B440" s="38" t="s">
        <v>5</v>
      </c>
      <c r="C440" s="38" t="s">
        <v>38</v>
      </c>
      <c r="D440" s="42" t="s">
        <v>30</v>
      </c>
      <c r="E440" s="43">
        <v>644</v>
      </c>
      <c r="F440" s="43">
        <v>5743.5</v>
      </c>
      <c r="G440" s="43">
        <v>6432.72</v>
      </c>
      <c r="H440" s="40">
        <v>1148.7</v>
      </c>
      <c r="I440" s="41" t="s">
        <v>40</v>
      </c>
    </row>
    <row r="441" spans="1:9" ht="18" customHeight="1" x14ac:dyDescent="0.25">
      <c r="A441" s="38">
        <v>2022</v>
      </c>
      <c r="B441" s="38" t="s">
        <v>5</v>
      </c>
      <c r="C441" s="38" t="s">
        <v>12</v>
      </c>
      <c r="D441" s="42" t="s">
        <v>29</v>
      </c>
      <c r="E441" s="43">
        <v>643</v>
      </c>
      <c r="F441" s="43">
        <v>7000</v>
      </c>
      <c r="G441" s="43">
        <v>7840</v>
      </c>
      <c r="H441" s="40">
        <v>1400</v>
      </c>
      <c r="I441" s="41" t="s">
        <v>40</v>
      </c>
    </row>
    <row r="442" spans="1:9" ht="18" customHeight="1" x14ac:dyDescent="0.25">
      <c r="A442" s="38">
        <v>2022</v>
      </c>
      <c r="B442" s="38" t="s">
        <v>5</v>
      </c>
      <c r="C442" s="38" t="s">
        <v>38</v>
      </c>
      <c r="D442" s="42" t="s">
        <v>31</v>
      </c>
      <c r="E442" s="43">
        <v>455</v>
      </c>
      <c r="F442" s="43">
        <v>4578.6000000000004</v>
      </c>
      <c r="G442" s="43">
        <v>5128.0320000000002</v>
      </c>
      <c r="H442" s="40">
        <v>915.72000000000014</v>
      </c>
      <c r="I442" s="41" t="s">
        <v>40</v>
      </c>
    </row>
    <row r="443" spans="1:9" ht="18" customHeight="1" x14ac:dyDescent="0.25">
      <c r="A443" s="38">
        <v>2022</v>
      </c>
      <c r="B443" s="38" t="s">
        <v>5</v>
      </c>
      <c r="C443" s="38" t="s">
        <v>12</v>
      </c>
      <c r="D443" s="42" t="s">
        <v>28</v>
      </c>
      <c r="E443" s="44">
        <v>345</v>
      </c>
      <c r="F443" s="44">
        <v>7000</v>
      </c>
      <c r="G443" s="44">
        <v>7840</v>
      </c>
      <c r="H443" s="40">
        <v>1400</v>
      </c>
      <c r="I443" s="41" t="s">
        <v>40</v>
      </c>
    </row>
    <row r="444" spans="1:9" ht="18" customHeight="1" x14ac:dyDescent="0.25">
      <c r="A444" s="38">
        <v>2022</v>
      </c>
      <c r="B444" s="38" t="s">
        <v>5</v>
      </c>
      <c r="C444" s="38" t="s">
        <v>13</v>
      </c>
      <c r="D444" s="39" t="s">
        <v>33</v>
      </c>
      <c r="E444" s="40">
        <v>122</v>
      </c>
      <c r="F444" s="40">
        <v>100</v>
      </c>
      <c r="G444" s="40">
        <v>112</v>
      </c>
      <c r="H444" s="40">
        <v>20</v>
      </c>
      <c r="I444" s="41" t="s">
        <v>40</v>
      </c>
    </row>
    <row r="445" spans="1:9" ht="18" customHeight="1" x14ac:dyDescent="0.25">
      <c r="A445" s="38">
        <v>2022</v>
      </c>
      <c r="B445" s="38" t="s">
        <v>5</v>
      </c>
      <c r="C445" s="38" t="s">
        <v>15</v>
      </c>
      <c r="D445" s="42" t="s">
        <v>26</v>
      </c>
      <c r="E445" s="43">
        <v>78</v>
      </c>
      <c r="F445" s="43">
        <v>2288.6</v>
      </c>
      <c r="G445" s="43">
        <v>5126.4639999999999</v>
      </c>
      <c r="H445" s="40">
        <v>457.72</v>
      </c>
      <c r="I445" s="41" t="s">
        <v>40</v>
      </c>
    </row>
    <row r="446" spans="1:9" ht="18" customHeight="1" x14ac:dyDescent="0.25">
      <c r="A446" s="38">
        <v>2022</v>
      </c>
      <c r="B446" s="38" t="s">
        <v>5</v>
      </c>
      <c r="C446" s="38" t="s">
        <v>15</v>
      </c>
      <c r="D446" s="42" t="s">
        <v>24</v>
      </c>
      <c r="E446" s="43">
        <v>76</v>
      </c>
      <c r="F446" s="43">
        <v>2288.4499999999998</v>
      </c>
      <c r="G446" s="43">
        <v>5126.1279999999997</v>
      </c>
      <c r="H446" s="40">
        <v>457.69</v>
      </c>
      <c r="I446" s="41" t="s">
        <v>40</v>
      </c>
    </row>
    <row r="447" spans="1:9" ht="18" customHeight="1" x14ac:dyDescent="0.25">
      <c r="A447" s="38">
        <v>2022</v>
      </c>
      <c r="B447" s="38" t="s">
        <v>5</v>
      </c>
      <c r="C447" s="38" t="s">
        <v>15</v>
      </c>
      <c r="D447" s="42" t="s">
        <v>25</v>
      </c>
      <c r="E447" s="43">
        <v>46</v>
      </c>
      <c r="F447" s="43">
        <v>100</v>
      </c>
      <c r="G447" s="43">
        <v>224</v>
      </c>
      <c r="H447" s="40">
        <v>20</v>
      </c>
      <c r="I447" s="41" t="s">
        <v>40</v>
      </c>
    </row>
    <row r="448" spans="1:9" ht="18" customHeight="1" x14ac:dyDescent="0.25">
      <c r="A448" s="38">
        <v>2022</v>
      </c>
      <c r="B448" s="38" t="s">
        <v>5</v>
      </c>
      <c r="C448" s="38" t="s">
        <v>15</v>
      </c>
      <c r="D448" s="42" t="s">
        <v>23</v>
      </c>
      <c r="E448" s="43">
        <v>34</v>
      </c>
      <c r="F448" s="43">
        <v>2288.4</v>
      </c>
      <c r="G448" s="43">
        <v>5126.0160000000005</v>
      </c>
      <c r="H448" s="40">
        <v>457.68000000000006</v>
      </c>
      <c r="I448" s="41" t="s">
        <v>40</v>
      </c>
    </row>
    <row r="449" spans="1:9" ht="18" customHeight="1" x14ac:dyDescent="0.25">
      <c r="A449" s="38">
        <v>2022</v>
      </c>
      <c r="B449" s="38" t="s">
        <v>5</v>
      </c>
      <c r="C449" s="38" t="s">
        <v>13</v>
      </c>
      <c r="D449" s="39" t="s">
        <v>34</v>
      </c>
      <c r="E449" s="40">
        <v>7</v>
      </c>
      <c r="F449" s="40">
        <v>200</v>
      </c>
      <c r="G449" s="40">
        <v>224</v>
      </c>
      <c r="H449" s="40">
        <v>40</v>
      </c>
      <c r="I449" s="41" t="s">
        <v>40</v>
      </c>
    </row>
    <row r="450" spans="1:9" ht="18" customHeight="1" x14ac:dyDescent="0.25">
      <c r="A450" s="38">
        <v>2022</v>
      </c>
      <c r="B450" s="38" t="s">
        <v>5</v>
      </c>
      <c r="C450" s="38" t="s">
        <v>32</v>
      </c>
      <c r="D450" s="42" t="s">
        <v>32</v>
      </c>
      <c r="E450" s="43">
        <v>3</v>
      </c>
      <c r="F450" s="43">
        <v>4577.3</v>
      </c>
      <c r="G450" s="43">
        <v>7392</v>
      </c>
      <c r="H450" s="40">
        <v>915.46</v>
      </c>
      <c r="I450" s="41" t="s">
        <v>40</v>
      </c>
    </row>
    <row r="451" spans="1:9" ht="18" customHeight="1" x14ac:dyDescent="0.25">
      <c r="A451" s="38">
        <v>2022</v>
      </c>
      <c r="B451" s="38" t="s">
        <v>5</v>
      </c>
      <c r="C451" s="38" t="s">
        <v>15</v>
      </c>
      <c r="D451" s="42" t="s">
        <v>27</v>
      </c>
      <c r="E451" s="43">
        <v>3</v>
      </c>
      <c r="F451" s="43">
        <v>2288.65</v>
      </c>
      <c r="G451" s="43">
        <v>5126.576</v>
      </c>
      <c r="H451" s="40">
        <v>457.73</v>
      </c>
      <c r="I451" s="41" t="s">
        <v>40</v>
      </c>
    </row>
    <row r="452" spans="1:9" ht="18" customHeight="1" x14ac:dyDescent="0.25">
      <c r="A452" s="38">
        <v>2022</v>
      </c>
      <c r="B452" s="38" t="s">
        <v>6</v>
      </c>
      <c r="C452" s="38" t="s">
        <v>14</v>
      </c>
      <c r="D452" s="39" t="s">
        <v>36</v>
      </c>
      <c r="E452" s="40">
        <v>3566</v>
      </c>
      <c r="F452" s="40">
        <v>4577.3</v>
      </c>
      <c r="G452" s="40">
        <v>5126.576</v>
      </c>
      <c r="H452" s="40">
        <v>915.46</v>
      </c>
      <c r="I452" s="41" t="s">
        <v>40</v>
      </c>
    </row>
    <row r="453" spans="1:9" ht="18" customHeight="1" x14ac:dyDescent="0.25">
      <c r="A453" s="38">
        <v>2022</v>
      </c>
      <c r="B453" s="38" t="s">
        <v>6</v>
      </c>
      <c r="C453" s="38" t="s">
        <v>14</v>
      </c>
      <c r="D453" s="39" t="s">
        <v>37</v>
      </c>
      <c r="E453" s="40">
        <v>2498</v>
      </c>
      <c r="F453" s="40">
        <v>8000</v>
      </c>
      <c r="G453" s="40">
        <v>8960</v>
      </c>
      <c r="H453" s="40">
        <v>1600</v>
      </c>
      <c r="I453" s="41" t="s">
        <v>40</v>
      </c>
    </row>
    <row r="454" spans="1:9" ht="18" customHeight="1" x14ac:dyDescent="0.25">
      <c r="A454" s="38">
        <v>2022</v>
      </c>
      <c r="B454" s="38" t="s">
        <v>6</v>
      </c>
      <c r="C454" s="38" t="s">
        <v>13</v>
      </c>
      <c r="D454" s="39" t="s">
        <v>35</v>
      </c>
      <c r="E454" s="40">
        <v>1245</v>
      </c>
      <c r="F454" s="40">
        <v>4577.2</v>
      </c>
      <c r="G454" s="40">
        <v>5126.4639999999999</v>
      </c>
      <c r="H454" s="40">
        <v>915.44</v>
      </c>
      <c r="I454" s="41" t="s">
        <v>40</v>
      </c>
    </row>
    <row r="455" spans="1:9" ht="18" customHeight="1" x14ac:dyDescent="0.25">
      <c r="A455" s="38">
        <v>2022</v>
      </c>
      <c r="B455" s="38" t="s">
        <v>6</v>
      </c>
      <c r="C455" s="38" t="s">
        <v>38</v>
      </c>
      <c r="D455" s="42" t="s">
        <v>30</v>
      </c>
      <c r="E455" s="43">
        <v>644</v>
      </c>
      <c r="F455" s="43">
        <v>5743.5</v>
      </c>
      <c r="G455" s="43">
        <v>6432.72</v>
      </c>
      <c r="H455" s="40">
        <v>1148.7</v>
      </c>
      <c r="I455" s="41" t="s">
        <v>40</v>
      </c>
    </row>
    <row r="456" spans="1:9" ht="18" customHeight="1" x14ac:dyDescent="0.25">
      <c r="A456" s="38">
        <v>2022</v>
      </c>
      <c r="B456" s="38" t="s">
        <v>6</v>
      </c>
      <c r="C456" s="38" t="s">
        <v>12</v>
      </c>
      <c r="D456" s="42" t="s">
        <v>29</v>
      </c>
      <c r="E456" s="43">
        <v>643</v>
      </c>
      <c r="F456" s="43">
        <v>7000</v>
      </c>
      <c r="G456" s="43">
        <v>7840</v>
      </c>
      <c r="H456" s="40">
        <v>1400</v>
      </c>
      <c r="I456" s="41" t="s">
        <v>40</v>
      </c>
    </row>
    <row r="457" spans="1:9" ht="18" customHeight="1" x14ac:dyDescent="0.25">
      <c r="A457" s="38">
        <v>2022</v>
      </c>
      <c r="B457" s="38" t="s">
        <v>6</v>
      </c>
      <c r="C457" s="38" t="s">
        <v>38</v>
      </c>
      <c r="D457" s="42" t="s">
        <v>31</v>
      </c>
      <c r="E457" s="43">
        <v>455</v>
      </c>
      <c r="F457" s="43">
        <v>4578.6000000000004</v>
      </c>
      <c r="G457" s="43">
        <v>5128.0320000000002</v>
      </c>
      <c r="H457" s="40">
        <v>915.72000000000014</v>
      </c>
      <c r="I457" s="41" t="s">
        <v>40</v>
      </c>
    </row>
    <row r="458" spans="1:9" ht="18" customHeight="1" x14ac:dyDescent="0.25">
      <c r="A458" s="38">
        <v>2022</v>
      </c>
      <c r="B458" s="38" t="s">
        <v>6</v>
      </c>
      <c r="C458" s="38" t="s">
        <v>12</v>
      </c>
      <c r="D458" s="42" t="s">
        <v>28</v>
      </c>
      <c r="E458" s="44">
        <v>345</v>
      </c>
      <c r="F458" s="44">
        <v>7000</v>
      </c>
      <c r="G458" s="44">
        <v>7840</v>
      </c>
      <c r="H458" s="40">
        <v>1400</v>
      </c>
      <c r="I458" s="41" t="s">
        <v>40</v>
      </c>
    </row>
    <row r="459" spans="1:9" ht="18" customHeight="1" x14ac:dyDescent="0.25">
      <c r="A459" s="38">
        <v>2022</v>
      </c>
      <c r="B459" s="38" t="s">
        <v>6</v>
      </c>
      <c r="C459" s="38" t="s">
        <v>13</v>
      </c>
      <c r="D459" s="39" t="s">
        <v>33</v>
      </c>
      <c r="E459" s="40">
        <v>122</v>
      </c>
      <c r="F459" s="40">
        <v>100</v>
      </c>
      <c r="G459" s="40">
        <v>112</v>
      </c>
      <c r="H459" s="40">
        <v>20</v>
      </c>
      <c r="I459" s="41" t="s">
        <v>40</v>
      </c>
    </row>
    <row r="460" spans="1:9" ht="18" customHeight="1" x14ac:dyDescent="0.25">
      <c r="A460" s="38">
        <v>2022</v>
      </c>
      <c r="B460" s="38" t="s">
        <v>6</v>
      </c>
      <c r="C460" s="38" t="s">
        <v>15</v>
      </c>
      <c r="D460" s="42" t="s">
        <v>26</v>
      </c>
      <c r="E460" s="43">
        <v>78</v>
      </c>
      <c r="F460" s="43">
        <v>2288.6</v>
      </c>
      <c r="G460" s="43">
        <v>5126.4639999999999</v>
      </c>
      <c r="H460" s="40">
        <v>457.72</v>
      </c>
      <c r="I460" s="41" t="s">
        <v>40</v>
      </c>
    </row>
    <row r="461" spans="1:9" ht="18" customHeight="1" x14ac:dyDescent="0.25">
      <c r="A461" s="38">
        <v>2022</v>
      </c>
      <c r="B461" s="38" t="s">
        <v>6</v>
      </c>
      <c r="C461" s="38" t="s">
        <v>15</v>
      </c>
      <c r="D461" s="42" t="s">
        <v>24</v>
      </c>
      <c r="E461" s="43">
        <v>76</v>
      </c>
      <c r="F461" s="43">
        <v>2288.4499999999998</v>
      </c>
      <c r="G461" s="43">
        <v>5126.1279999999997</v>
      </c>
      <c r="H461" s="40">
        <v>457.69</v>
      </c>
      <c r="I461" s="41" t="s">
        <v>40</v>
      </c>
    </row>
    <row r="462" spans="1:9" ht="18" customHeight="1" x14ac:dyDescent="0.25">
      <c r="A462" s="38">
        <v>2022</v>
      </c>
      <c r="B462" s="38" t="s">
        <v>6</v>
      </c>
      <c r="C462" s="38" t="s">
        <v>15</v>
      </c>
      <c r="D462" s="42" t="s">
        <v>25</v>
      </c>
      <c r="E462" s="43">
        <v>46</v>
      </c>
      <c r="F462" s="43">
        <v>100</v>
      </c>
      <c r="G462" s="43">
        <v>224</v>
      </c>
      <c r="H462" s="40">
        <v>20</v>
      </c>
      <c r="I462" s="41" t="s">
        <v>40</v>
      </c>
    </row>
    <row r="463" spans="1:9" ht="18" customHeight="1" x14ac:dyDescent="0.25">
      <c r="A463" s="38">
        <v>2022</v>
      </c>
      <c r="B463" s="38" t="s">
        <v>6</v>
      </c>
      <c r="C463" s="38" t="s">
        <v>15</v>
      </c>
      <c r="D463" s="42" t="s">
        <v>23</v>
      </c>
      <c r="E463" s="43">
        <v>34</v>
      </c>
      <c r="F463" s="43">
        <v>2288.4</v>
      </c>
      <c r="G463" s="43">
        <v>5126.0160000000005</v>
      </c>
      <c r="H463" s="40">
        <v>457.68000000000006</v>
      </c>
      <c r="I463" s="41" t="s">
        <v>40</v>
      </c>
    </row>
    <row r="464" spans="1:9" ht="18" customHeight="1" x14ac:dyDescent="0.25">
      <c r="A464" s="38">
        <v>2022</v>
      </c>
      <c r="B464" s="38" t="s">
        <v>6</v>
      </c>
      <c r="C464" s="38" t="s">
        <v>13</v>
      </c>
      <c r="D464" s="39" t="s">
        <v>34</v>
      </c>
      <c r="E464" s="40">
        <v>7</v>
      </c>
      <c r="F464" s="40">
        <v>200</v>
      </c>
      <c r="G464" s="40">
        <v>224</v>
      </c>
      <c r="H464" s="40">
        <v>40</v>
      </c>
      <c r="I464" s="41" t="s">
        <v>40</v>
      </c>
    </row>
    <row r="465" spans="1:9" ht="18" customHeight="1" x14ac:dyDescent="0.25">
      <c r="A465" s="38">
        <v>2022</v>
      </c>
      <c r="B465" s="38" t="s">
        <v>6</v>
      </c>
      <c r="C465" s="38" t="s">
        <v>15</v>
      </c>
      <c r="D465" s="42" t="s">
        <v>27</v>
      </c>
      <c r="E465" s="43">
        <v>3</v>
      </c>
      <c r="F465" s="43">
        <v>2288.65</v>
      </c>
      <c r="G465" s="43">
        <v>5126.576</v>
      </c>
      <c r="H465" s="40">
        <v>457.73</v>
      </c>
      <c r="I465" s="41" t="s">
        <v>40</v>
      </c>
    </row>
    <row r="466" spans="1:9" ht="18" customHeight="1" x14ac:dyDescent="0.25">
      <c r="A466" s="38">
        <v>2022</v>
      </c>
      <c r="B466" s="38" t="s">
        <v>6</v>
      </c>
      <c r="C466" s="38" t="s">
        <v>32</v>
      </c>
      <c r="D466" s="42" t="s">
        <v>32</v>
      </c>
      <c r="E466" s="43">
        <v>2</v>
      </c>
      <c r="F466" s="43">
        <v>6600</v>
      </c>
      <c r="G466" s="43">
        <v>7392</v>
      </c>
      <c r="H466" s="40">
        <v>1320</v>
      </c>
      <c r="I466" s="41" t="s">
        <v>40</v>
      </c>
    </row>
    <row r="467" spans="1:9" ht="18" customHeight="1" x14ac:dyDescent="0.25">
      <c r="A467" s="38">
        <v>2022</v>
      </c>
      <c r="B467" s="38" t="s">
        <v>7</v>
      </c>
      <c r="C467" s="38" t="s">
        <v>14</v>
      </c>
      <c r="D467" s="39" t="s">
        <v>36</v>
      </c>
      <c r="E467" s="40">
        <v>3566</v>
      </c>
      <c r="F467" s="40">
        <v>4577.3</v>
      </c>
      <c r="G467" s="40">
        <v>5126.576</v>
      </c>
      <c r="H467" s="40">
        <v>915.46</v>
      </c>
      <c r="I467" s="41" t="s">
        <v>40</v>
      </c>
    </row>
    <row r="468" spans="1:9" ht="18" customHeight="1" x14ac:dyDescent="0.25">
      <c r="A468" s="38">
        <v>2022</v>
      </c>
      <c r="B468" s="38" t="s">
        <v>7</v>
      </c>
      <c r="C468" s="38" t="s">
        <v>14</v>
      </c>
      <c r="D468" s="39" t="s">
        <v>37</v>
      </c>
      <c r="E468" s="40">
        <v>2498</v>
      </c>
      <c r="F468" s="40">
        <v>8000</v>
      </c>
      <c r="G468" s="40">
        <v>8960</v>
      </c>
      <c r="H468" s="40">
        <v>1600</v>
      </c>
      <c r="I468" s="41" t="s">
        <v>40</v>
      </c>
    </row>
    <row r="469" spans="1:9" ht="18" customHeight="1" x14ac:dyDescent="0.25">
      <c r="A469" s="38">
        <v>2022</v>
      </c>
      <c r="B469" s="38" t="s">
        <v>7</v>
      </c>
      <c r="C469" s="38" t="s">
        <v>13</v>
      </c>
      <c r="D469" s="39" t="s">
        <v>35</v>
      </c>
      <c r="E469" s="40">
        <v>1245</v>
      </c>
      <c r="F469" s="40">
        <v>4577.2</v>
      </c>
      <c r="G469" s="40">
        <v>5126.4639999999999</v>
      </c>
      <c r="H469" s="40">
        <v>915.44</v>
      </c>
      <c r="I469" s="41" t="s">
        <v>40</v>
      </c>
    </row>
    <row r="470" spans="1:9" ht="18" customHeight="1" x14ac:dyDescent="0.25">
      <c r="A470" s="38">
        <v>2022</v>
      </c>
      <c r="B470" s="38" t="s">
        <v>7</v>
      </c>
      <c r="C470" s="38" t="s">
        <v>38</v>
      </c>
      <c r="D470" s="42" t="s">
        <v>30</v>
      </c>
      <c r="E470" s="43">
        <v>644</v>
      </c>
      <c r="F470" s="43">
        <v>5743.5</v>
      </c>
      <c r="G470" s="43">
        <v>6432.72</v>
      </c>
      <c r="H470" s="40">
        <v>1148.7</v>
      </c>
      <c r="I470" s="41" t="s">
        <v>40</v>
      </c>
    </row>
    <row r="471" spans="1:9" ht="18" customHeight="1" x14ac:dyDescent="0.25">
      <c r="A471" s="38">
        <v>2022</v>
      </c>
      <c r="B471" s="38" t="s">
        <v>7</v>
      </c>
      <c r="C471" s="38" t="s">
        <v>12</v>
      </c>
      <c r="D471" s="42" t="s">
        <v>29</v>
      </c>
      <c r="E471" s="43">
        <v>643</v>
      </c>
      <c r="F471" s="43">
        <v>7000</v>
      </c>
      <c r="G471" s="43">
        <v>7840</v>
      </c>
      <c r="H471" s="40">
        <v>1400</v>
      </c>
      <c r="I471" s="41" t="s">
        <v>40</v>
      </c>
    </row>
    <row r="472" spans="1:9" ht="18" customHeight="1" x14ac:dyDescent="0.25">
      <c r="A472" s="38">
        <v>2022</v>
      </c>
      <c r="B472" s="38" t="s">
        <v>7</v>
      </c>
      <c r="C472" s="38" t="s">
        <v>38</v>
      </c>
      <c r="D472" s="42" t="s">
        <v>31</v>
      </c>
      <c r="E472" s="43">
        <v>455</v>
      </c>
      <c r="F472" s="43">
        <v>5036.46</v>
      </c>
      <c r="G472" s="43">
        <v>5128.0320000000002</v>
      </c>
      <c r="H472" s="40">
        <v>1007.292</v>
      </c>
      <c r="I472" s="41" t="s">
        <v>40</v>
      </c>
    </row>
    <row r="473" spans="1:9" ht="18" customHeight="1" x14ac:dyDescent="0.25">
      <c r="A473" s="38">
        <v>2022</v>
      </c>
      <c r="B473" s="38" t="s">
        <v>7</v>
      </c>
      <c r="C473" s="38" t="s">
        <v>12</v>
      </c>
      <c r="D473" s="42" t="s">
        <v>28</v>
      </c>
      <c r="E473" s="44">
        <v>345</v>
      </c>
      <c r="F473" s="44">
        <v>7700</v>
      </c>
      <c r="G473" s="44">
        <v>7840</v>
      </c>
      <c r="H473" s="40">
        <v>1540</v>
      </c>
      <c r="I473" s="41" t="s">
        <v>40</v>
      </c>
    </row>
    <row r="474" spans="1:9" ht="18" customHeight="1" x14ac:dyDescent="0.25">
      <c r="A474" s="38">
        <v>2022</v>
      </c>
      <c r="B474" s="38" t="s">
        <v>7</v>
      </c>
      <c r="C474" s="38" t="s">
        <v>13</v>
      </c>
      <c r="D474" s="39" t="s">
        <v>33</v>
      </c>
      <c r="E474" s="40">
        <v>122</v>
      </c>
      <c r="F474" s="40">
        <v>110</v>
      </c>
      <c r="G474" s="40">
        <v>112</v>
      </c>
      <c r="H474" s="40">
        <v>22</v>
      </c>
      <c r="I474" s="41" t="s">
        <v>40</v>
      </c>
    </row>
    <row r="475" spans="1:9" ht="18" customHeight="1" x14ac:dyDescent="0.25">
      <c r="A475" s="38">
        <v>2022</v>
      </c>
      <c r="B475" s="38" t="s">
        <v>7</v>
      </c>
      <c r="C475" s="38" t="s">
        <v>15</v>
      </c>
      <c r="D475" s="42" t="s">
        <v>26</v>
      </c>
      <c r="E475" s="43">
        <v>78</v>
      </c>
      <c r="F475" s="43">
        <v>2517.46</v>
      </c>
      <c r="G475" s="43">
        <v>5126.4639999999999</v>
      </c>
      <c r="H475" s="40">
        <v>503.49200000000002</v>
      </c>
      <c r="I475" s="41" t="s">
        <v>40</v>
      </c>
    </row>
    <row r="476" spans="1:9" ht="18" customHeight="1" x14ac:dyDescent="0.25">
      <c r="A476" s="38">
        <v>2022</v>
      </c>
      <c r="B476" s="38" t="s">
        <v>7</v>
      </c>
      <c r="C476" s="38" t="s">
        <v>15</v>
      </c>
      <c r="D476" s="42" t="s">
        <v>24</v>
      </c>
      <c r="E476" s="43">
        <v>76</v>
      </c>
      <c r="F476" s="43">
        <v>2517.2949999999996</v>
      </c>
      <c r="G476" s="43">
        <v>5126.1279999999997</v>
      </c>
      <c r="H476" s="40">
        <v>503.45899999999995</v>
      </c>
      <c r="I476" s="41" t="s">
        <v>40</v>
      </c>
    </row>
    <row r="477" spans="1:9" ht="18" customHeight="1" x14ac:dyDescent="0.25">
      <c r="A477" s="38">
        <v>2022</v>
      </c>
      <c r="B477" s="38" t="s">
        <v>7</v>
      </c>
      <c r="C477" s="38" t="s">
        <v>15</v>
      </c>
      <c r="D477" s="42" t="s">
        <v>25</v>
      </c>
      <c r="E477" s="43">
        <v>46</v>
      </c>
      <c r="F477" s="43">
        <v>115</v>
      </c>
      <c r="G477" s="43">
        <v>224</v>
      </c>
      <c r="H477" s="40">
        <v>23</v>
      </c>
      <c r="I477" s="41" t="s">
        <v>40</v>
      </c>
    </row>
    <row r="478" spans="1:9" ht="18" customHeight="1" x14ac:dyDescent="0.25">
      <c r="A478" s="38">
        <v>2022</v>
      </c>
      <c r="B478" s="38" t="s">
        <v>7</v>
      </c>
      <c r="C478" s="38" t="s">
        <v>15</v>
      </c>
      <c r="D478" s="42" t="s">
        <v>23</v>
      </c>
      <c r="E478" s="43">
        <v>34</v>
      </c>
      <c r="F478" s="43">
        <v>2631.66</v>
      </c>
      <c r="G478" s="43">
        <v>5126.0160000000005</v>
      </c>
      <c r="H478" s="40">
        <v>526.33199999999999</v>
      </c>
      <c r="I478" s="41" t="s">
        <v>40</v>
      </c>
    </row>
    <row r="479" spans="1:9" ht="18" customHeight="1" x14ac:dyDescent="0.25">
      <c r="A479" s="38">
        <v>2022</v>
      </c>
      <c r="B479" s="38" t="s">
        <v>7</v>
      </c>
      <c r="C479" s="38" t="s">
        <v>13</v>
      </c>
      <c r="D479" s="39" t="s">
        <v>34</v>
      </c>
      <c r="E479" s="40">
        <v>7</v>
      </c>
      <c r="F479" s="40">
        <v>230</v>
      </c>
      <c r="G479" s="40">
        <v>224</v>
      </c>
      <c r="H479" s="40">
        <v>46</v>
      </c>
      <c r="I479" s="41" t="s">
        <v>40</v>
      </c>
    </row>
    <row r="480" spans="1:9" ht="18" customHeight="1" x14ac:dyDescent="0.25">
      <c r="A480" s="38">
        <v>2022</v>
      </c>
      <c r="B480" s="38" t="s">
        <v>7</v>
      </c>
      <c r="C480" s="38" t="s">
        <v>15</v>
      </c>
      <c r="D480" s="42" t="s">
        <v>27</v>
      </c>
      <c r="E480" s="43">
        <v>3</v>
      </c>
      <c r="F480" s="43">
        <v>2631.9475000000002</v>
      </c>
      <c r="G480" s="43">
        <v>5126.576</v>
      </c>
      <c r="H480" s="40">
        <v>526.38950000000011</v>
      </c>
      <c r="I480" s="41" t="s">
        <v>40</v>
      </c>
    </row>
    <row r="481" spans="1:9" ht="18" customHeight="1" x14ac:dyDescent="0.25">
      <c r="A481" s="38">
        <v>2022</v>
      </c>
      <c r="B481" s="38" t="s">
        <v>7</v>
      </c>
      <c r="C481" s="38" t="s">
        <v>32</v>
      </c>
      <c r="D481" s="42" t="s">
        <v>32</v>
      </c>
      <c r="E481" s="43">
        <v>2</v>
      </c>
      <c r="F481" s="43">
        <v>7590</v>
      </c>
      <c r="G481" s="43">
        <v>7392</v>
      </c>
      <c r="H481" s="40">
        <v>1518</v>
      </c>
      <c r="I481" s="41" t="s">
        <v>40</v>
      </c>
    </row>
    <row r="482" spans="1:9" ht="18" customHeight="1" x14ac:dyDescent="0.25">
      <c r="A482" s="38">
        <v>2022</v>
      </c>
      <c r="B482" s="38" t="s">
        <v>8</v>
      </c>
      <c r="C482" s="38" t="s">
        <v>14</v>
      </c>
      <c r="D482" s="39" t="s">
        <v>36</v>
      </c>
      <c r="E482" s="40">
        <v>3566</v>
      </c>
      <c r="F482" s="40">
        <v>4577.3</v>
      </c>
      <c r="G482" s="40">
        <v>5126.576</v>
      </c>
      <c r="H482" s="40">
        <v>915.46</v>
      </c>
      <c r="I482" s="41" t="s">
        <v>40</v>
      </c>
    </row>
    <row r="483" spans="1:9" ht="18" customHeight="1" x14ac:dyDescent="0.25">
      <c r="A483" s="38">
        <v>2022</v>
      </c>
      <c r="B483" s="38" t="s">
        <v>8</v>
      </c>
      <c r="C483" s="38" t="s">
        <v>14</v>
      </c>
      <c r="D483" s="39" t="s">
        <v>37</v>
      </c>
      <c r="E483" s="40">
        <v>2498</v>
      </c>
      <c r="F483" s="40">
        <v>8000</v>
      </c>
      <c r="G483" s="40">
        <v>8960</v>
      </c>
      <c r="H483" s="40">
        <v>1600</v>
      </c>
      <c r="I483" s="41" t="s">
        <v>40</v>
      </c>
    </row>
    <row r="484" spans="1:9" ht="18" customHeight="1" x14ac:dyDescent="0.25">
      <c r="A484" s="38">
        <v>2022</v>
      </c>
      <c r="B484" s="38" t="s">
        <v>8</v>
      </c>
      <c r="C484" s="38" t="s">
        <v>13</v>
      </c>
      <c r="D484" s="39" t="s">
        <v>35</v>
      </c>
      <c r="E484" s="40">
        <v>1245</v>
      </c>
      <c r="F484" s="40">
        <v>4577.2</v>
      </c>
      <c r="G484" s="40">
        <v>5126.4639999999999</v>
      </c>
      <c r="H484" s="40">
        <v>915.44</v>
      </c>
      <c r="I484" s="41" t="s">
        <v>40</v>
      </c>
    </row>
    <row r="485" spans="1:9" ht="18" customHeight="1" x14ac:dyDescent="0.25">
      <c r="A485" s="38">
        <v>2022</v>
      </c>
      <c r="B485" s="38" t="s">
        <v>8</v>
      </c>
      <c r="C485" s="38" t="s">
        <v>38</v>
      </c>
      <c r="D485" s="42" t="s">
        <v>30</v>
      </c>
      <c r="E485" s="43">
        <v>644</v>
      </c>
      <c r="F485" s="43">
        <v>5743.5</v>
      </c>
      <c r="G485" s="43">
        <v>6432.72</v>
      </c>
      <c r="H485" s="40">
        <v>1148.7</v>
      </c>
      <c r="I485" s="41" t="s">
        <v>40</v>
      </c>
    </row>
    <row r="486" spans="1:9" ht="18" customHeight="1" x14ac:dyDescent="0.25">
      <c r="A486" s="38">
        <v>2022</v>
      </c>
      <c r="B486" s="38" t="s">
        <v>8</v>
      </c>
      <c r="C486" s="38" t="s">
        <v>12</v>
      </c>
      <c r="D486" s="42" t="s">
        <v>29</v>
      </c>
      <c r="E486" s="43">
        <v>643</v>
      </c>
      <c r="F486" s="43">
        <v>7000</v>
      </c>
      <c r="G486" s="43">
        <v>7840</v>
      </c>
      <c r="H486" s="40">
        <v>1400</v>
      </c>
      <c r="I486" s="41" t="s">
        <v>40</v>
      </c>
    </row>
    <row r="487" spans="1:9" ht="18" customHeight="1" x14ac:dyDescent="0.25">
      <c r="A487" s="38">
        <v>2022</v>
      </c>
      <c r="B487" s="38" t="s">
        <v>8</v>
      </c>
      <c r="C487" s="38" t="s">
        <v>38</v>
      </c>
      <c r="D487" s="42" t="s">
        <v>31</v>
      </c>
      <c r="E487" s="43">
        <v>455</v>
      </c>
      <c r="F487" s="43">
        <v>4578.6000000000004</v>
      </c>
      <c r="G487" s="43">
        <v>5128.0320000000002</v>
      </c>
      <c r="H487" s="40">
        <v>915.72000000000014</v>
      </c>
      <c r="I487" s="41" t="s">
        <v>40</v>
      </c>
    </row>
    <row r="488" spans="1:9" ht="18" customHeight="1" x14ac:dyDescent="0.25">
      <c r="A488" s="38">
        <v>2022</v>
      </c>
      <c r="B488" s="38" t="s">
        <v>8</v>
      </c>
      <c r="C488" s="38" t="s">
        <v>12</v>
      </c>
      <c r="D488" s="42" t="s">
        <v>28</v>
      </c>
      <c r="E488" s="44">
        <v>345</v>
      </c>
      <c r="F488" s="44">
        <v>7000</v>
      </c>
      <c r="G488" s="44">
        <v>7840</v>
      </c>
      <c r="H488" s="40">
        <v>1400</v>
      </c>
      <c r="I488" s="41" t="s">
        <v>40</v>
      </c>
    </row>
    <row r="489" spans="1:9" ht="18" customHeight="1" x14ac:dyDescent="0.25">
      <c r="A489" s="38">
        <v>2022</v>
      </c>
      <c r="B489" s="38" t="s">
        <v>8</v>
      </c>
      <c r="C489" s="38" t="s">
        <v>13</v>
      </c>
      <c r="D489" s="39" t="s">
        <v>33</v>
      </c>
      <c r="E489" s="40">
        <v>122</v>
      </c>
      <c r="F489" s="40">
        <v>100</v>
      </c>
      <c r="G489" s="40">
        <v>112</v>
      </c>
      <c r="H489" s="40">
        <v>20</v>
      </c>
      <c r="I489" s="41" t="s">
        <v>40</v>
      </c>
    </row>
    <row r="490" spans="1:9" ht="18" customHeight="1" x14ac:dyDescent="0.25">
      <c r="A490" s="38">
        <v>2022</v>
      </c>
      <c r="B490" s="38" t="s">
        <v>8</v>
      </c>
      <c r="C490" s="38" t="s">
        <v>15</v>
      </c>
      <c r="D490" s="42" t="s">
        <v>26</v>
      </c>
      <c r="E490" s="43">
        <v>78</v>
      </c>
      <c r="F490" s="43">
        <v>2288.6</v>
      </c>
      <c r="G490" s="43">
        <v>5126.4639999999999</v>
      </c>
      <c r="H490" s="40">
        <v>457.72</v>
      </c>
      <c r="I490" s="41" t="s">
        <v>40</v>
      </c>
    </row>
    <row r="491" spans="1:9" ht="18" customHeight="1" x14ac:dyDescent="0.25">
      <c r="A491" s="38">
        <v>2022</v>
      </c>
      <c r="B491" s="38" t="s">
        <v>8</v>
      </c>
      <c r="C491" s="38" t="s">
        <v>15</v>
      </c>
      <c r="D491" s="42" t="s">
        <v>24</v>
      </c>
      <c r="E491" s="43">
        <v>76</v>
      </c>
      <c r="F491" s="43">
        <v>2288.4499999999998</v>
      </c>
      <c r="G491" s="43">
        <v>5126.1279999999997</v>
      </c>
      <c r="H491" s="40">
        <v>457.69</v>
      </c>
      <c r="I491" s="41" t="s">
        <v>40</v>
      </c>
    </row>
    <row r="492" spans="1:9" ht="18" customHeight="1" x14ac:dyDescent="0.25">
      <c r="A492" s="38">
        <v>2022</v>
      </c>
      <c r="B492" s="38" t="s">
        <v>8</v>
      </c>
      <c r="C492" s="38" t="s">
        <v>15</v>
      </c>
      <c r="D492" s="42" t="s">
        <v>25</v>
      </c>
      <c r="E492" s="43">
        <v>46</v>
      </c>
      <c r="F492" s="43">
        <v>100</v>
      </c>
      <c r="G492" s="43">
        <v>224</v>
      </c>
      <c r="H492" s="40">
        <v>20</v>
      </c>
      <c r="I492" s="41" t="s">
        <v>40</v>
      </c>
    </row>
    <row r="493" spans="1:9" ht="18" customHeight="1" x14ac:dyDescent="0.25">
      <c r="A493" s="38">
        <v>2022</v>
      </c>
      <c r="B493" s="38" t="s">
        <v>8</v>
      </c>
      <c r="C493" s="38" t="s">
        <v>15</v>
      </c>
      <c r="D493" s="42" t="s">
        <v>23</v>
      </c>
      <c r="E493" s="43">
        <v>34</v>
      </c>
      <c r="F493" s="43">
        <v>2746.08</v>
      </c>
      <c r="G493" s="43">
        <v>5126.0160000000005</v>
      </c>
      <c r="H493" s="40">
        <v>549.21600000000001</v>
      </c>
      <c r="I493" s="41" t="s">
        <v>40</v>
      </c>
    </row>
    <row r="494" spans="1:9" ht="18" customHeight="1" x14ac:dyDescent="0.25">
      <c r="A494" s="38">
        <v>2022</v>
      </c>
      <c r="B494" s="38" t="s">
        <v>8</v>
      </c>
      <c r="C494" s="38" t="s">
        <v>13</v>
      </c>
      <c r="D494" s="39" t="s">
        <v>34</v>
      </c>
      <c r="E494" s="40">
        <v>7</v>
      </c>
      <c r="F494" s="40">
        <v>240</v>
      </c>
      <c r="G494" s="40">
        <v>224</v>
      </c>
      <c r="H494" s="40">
        <v>48</v>
      </c>
      <c r="I494" s="41" t="s">
        <v>40</v>
      </c>
    </row>
    <row r="495" spans="1:9" ht="18" customHeight="1" x14ac:dyDescent="0.25">
      <c r="A495" s="38">
        <v>2022</v>
      </c>
      <c r="B495" s="38" t="s">
        <v>8</v>
      </c>
      <c r="C495" s="38" t="s">
        <v>15</v>
      </c>
      <c r="D495" s="42" t="s">
        <v>27</v>
      </c>
      <c r="E495" s="43">
        <v>3</v>
      </c>
      <c r="F495" s="43">
        <v>2746.38</v>
      </c>
      <c r="G495" s="43">
        <v>5126.576</v>
      </c>
      <c r="H495" s="40">
        <v>549.27600000000007</v>
      </c>
      <c r="I495" s="41" t="s">
        <v>40</v>
      </c>
    </row>
    <row r="496" spans="1:9" ht="18" customHeight="1" x14ac:dyDescent="0.25">
      <c r="A496" s="38">
        <v>2022</v>
      </c>
      <c r="B496" s="38" t="s">
        <v>8</v>
      </c>
      <c r="C496" s="38" t="s">
        <v>32</v>
      </c>
      <c r="D496" s="42" t="s">
        <v>32</v>
      </c>
      <c r="E496" s="43">
        <v>2</v>
      </c>
      <c r="F496" s="43">
        <v>7920</v>
      </c>
      <c r="G496" s="43">
        <v>7392</v>
      </c>
      <c r="H496" s="40">
        <v>1584</v>
      </c>
      <c r="I496" s="41" t="s">
        <v>40</v>
      </c>
    </row>
    <row r="497" spans="1:9" ht="18" customHeight="1" x14ac:dyDescent="0.25">
      <c r="A497" s="38">
        <v>2022</v>
      </c>
      <c r="B497" s="38" t="s">
        <v>9</v>
      </c>
      <c r="C497" s="38" t="s">
        <v>14</v>
      </c>
      <c r="D497" s="39" t="s">
        <v>36</v>
      </c>
      <c r="E497" s="40">
        <v>3566</v>
      </c>
      <c r="F497" s="40">
        <v>5035.0300000000007</v>
      </c>
      <c r="G497" s="40">
        <v>5126.576</v>
      </c>
      <c r="H497" s="40">
        <v>1007.0060000000002</v>
      </c>
      <c r="I497" s="41" t="s">
        <v>40</v>
      </c>
    </row>
    <row r="498" spans="1:9" ht="18" customHeight="1" x14ac:dyDescent="0.25">
      <c r="A498" s="38">
        <v>2022</v>
      </c>
      <c r="B498" s="38" t="s">
        <v>9</v>
      </c>
      <c r="C498" s="38" t="s">
        <v>14</v>
      </c>
      <c r="D498" s="39" t="s">
        <v>37</v>
      </c>
      <c r="E498" s="40">
        <v>2498</v>
      </c>
      <c r="F498" s="40">
        <v>9200</v>
      </c>
      <c r="G498" s="40">
        <v>8960</v>
      </c>
      <c r="H498" s="40">
        <v>1840</v>
      </c>
      <c r="I498" s="41" t="s">
        <v>40</v>
      </c>
    </row>
    <row r="499" spans="1:9" ht="18" customHeight="1" x14ac:dyDescent="0.25">
      <c r="A499" s="38">
        <v>2022</v>
      </c>
      <c r="B499" s="38" t="s">
        <v>9</v>
      </c>
      <c r="C499" s="38" t="s">
        <v>13</v>
      </c>
      <c r="D499" s="39" t="s">
        <v>35</v>
      </c>
      <c r="E499" s="40">
        <v>1245</v>
      </c>
      <c r="F499" s="40">
        <v>5263.78</v>
      </c>
      <c r="G499" s="40">
        <v>5126.4639999999999</v>
      </c>
      <c r="H499" s="40">
        <v>1052.7560000000001</v>
      </c>
      <c r="I499" s="41" t="s">
        <v>40</v>
      </c>
    </row>
    <row r="500" spans="1:9" ht="18" customHeight="1" x14ac:dyDescent="0.25">
      <c r="A500" s="38">
        <v>2022</v>
      </c>
      <c r="B500" s="38" t="s">
        <v>9</v>
      </c>
      <c r="C500" s="38" t="s">
        <v>38</v>
      </c>
      <c r="D500" s="42" t="s">
        <v>30</v>
      </c>
      <c r="E500" s="43">
        <v>644</v>
      </c>
      <c r="F500" s="43">
        <v>6605.0249999999996</v>
      </c>
      <c r="G500" s="43">
        <v>6432.72</v>
      </c>
      <c r="H500" s="40">
        <v>1321.0050000000001</v>
      </c>
      <c r="I500" s="41" t="s">
        <v>40</v>
      </c>
    </row>
    <row r="501" spans="1:9" ht="18" customHeight="1" x14ac:dyDescent="0.25">
      <c r="A501" s="38">
        <v>2022</v>
      </c>
      <c r="B501" s="38" t="s">
        <v>9</v>
      </c>
      <c r="C501" s="38" t="s">
        <v>12</v>
      </c>
      <c r="D501" s="42" t="s">
        <v>29</v>
      </c>
      <c r="E501" s="43">
        <v>643</v>
      </c>
      <c r="F501" s="43">
        <v>8400</v>
      </c>
      <c r="G501" s="43">
        <v>7840</v>
      </c>
      <c r="H501" s="40">
        <v>1680</v>
      </c>
      <c r="I501" s="41" t="s">
        <v>40</v>
      </c>
    </row>
    <row r="502" spans="1:9" ht="18" customHeight="1" x14ac:dyDescent="0.25">
      <c r="A502" s="38">
        <v>2022</v>
      </c>
      <c r="B502" s="38" t="s">
        <v>9</v>
      </c>
      <c r="C502" s="38" t="s">
        <v>38</v>
      </c>
      <c r="D502" s="42" t="s">
        <v>31</v>
      </c>
      <c r="E502" s="43">
        <v>455</v>
      </c>
      <c r="F502" s="43">
        <v>5494.3200000000006</v>
      </c>
      <c r="G502" s="43">
        <v>5128.0320000000002</v>
      </c>
      <c r="H502" s="40">
        <v>1098.8640000000003</v>
      </c>
      <c r="I502" s="41" t="s">
        <v>40</v>
      </c>
    </row>
    <row r="503" spans="1:9" ht="18" customHeight="1" x14ac:dyDescent="0.25">
      <c r="A503" s="38">
        <v>2022</v>
      </c>
      <c r="B503" s="38" t="s">
        <v>9</v>
      </c>
      <c r="C503" s="38" t="s">
        <v>12</v>
      </c>
      <c r="D503" s="42" t="s">
        <v>28</v>
      </c>
      <c r="E503" s="44">
        <v>345</v>
      </c>
      <c r="F503" s="44">
        <v>8400</v>
      </c>
      <c r="G503" s="44">
        <v>7840</v>
      </c>
      <c r="H503" s="40">
        <v>1680</v>
      </c>
      <c r="I503" s="41" t="s">
        <v>40</v>
      </c>
    </row>
    <row r="504" spans="1:9" ht="18" customHeight="1" x14ac:dyDescent="0.25">
      <c r="A504" s="38">
        <v>2022</v>
      </c>
      <c r="B504" s="38" t="s">
        <v>9</v>
      </c>
      <c r="C504" s="38" t="s">
        <v>13</v>
      </c>
      <c r="D504" s="39" t="s">
        <v>33</v>
      </c>
      <c r="E504" s="40">
        <v>122</v>
      </c>
      <c r="F504" s="40">
        <v>120</v>
      </c>
      <c r="G504" s="40">
        <v>112</v>
      </c>
      <c r="H504" s="40">
        <v>24</v>
      </c>
      <c r="I504" s="41" t="s">
        <v>40</v>
      </c>
    </row>
    <row r="505" spans="1:9" ht="18" customHeight="1" x14ac:dyDescent="0.25">
      <c r="A505" s="38">
        <v>2022</v>
      </c>
      <c r="B505" s="38" t="s">
        <v>9</v>
      </c>
      <c r="C505" s="38" t="s">
        <v>15</v>
      </c>
      <c r="D505" s="42" t="s">
        <v>26</v>
      </c>
      <c r="E505" s="43">
        <v>78</v>
      </c>
      <c r="F505" s="43">
        <v>2517.46</v>
      </c>
      <c r="G505" s="43">
        <v>5126.4639999999999</v>
      </c>
      <c r="H505" s="40">
        <v>503.49200000000002</v>
      </c>
      <c r="I505" s="41" t="s">
        <v>40</v>
      </c>
    </row>
    <row r="506" spans="1:9" ht="18" customHeight="1" x14ac:dyDescent="0.25">
      <c r="A506" s="38">
        <v>2022</v>
      </c>
      <c r="B506" s="38" t="s">
        <v>9</v>
      </c>
      <c r="C506" s="38" t="s">
        <v>15</v>
      </c>
      <c r="D506" s="42" t="s">
        <v>24</v>
      </c>
      <c r="E506" s="43">
        <v>76</v>
      </c>
      <c r="F506" s="43">
        <v>2517.2949999999996</v>
      </c>
      <c r="G506" s="43">
        <v>5126.1279999999997</v>
      </c>
      <c r="H506" s="40">
        <v>503.45899999999995</v>
      </c>
      <c r="I506" s="41" t="s">
        <v>40</v>
      </c>
    </row>
    <row r="507" spans="1:9" ht="18" customHeight="1" x14ac:dyDescent="0.25">
      <c r="A507" s="38">
        <v>2022</v>
      </c>
      <c r="B507" s="38" t="s">
        <v>9</v>
      </c>
      <c r="C507" s="38" t="s">
        <v>15</v>
      </c>
      <c r="D507" s="42" t="s">
        <v>25</v>
      </c>
      <c r="E507" s="43">
        <v>46</v>
      </c>
      <c r="F507" s="43">
        <v>110</v>
      </c>
      <c r="G507" s="43">
        <v>224</v>
      </c>
      <c r="H507" s="40">
        <v>22</v>
      </c>
      <c r="I507" s="41" t="s">
        <v>40</v>
      </c>
    </row>
    <row r="508" spans="1:9" ht="18" customHeight="1" x14ac:dyDescent="0.25">
      <c r="A508" s="38">
        <v>2022</v>
      </c>
      <c r="B508" s="38" t="s">
        <v>9</v>
      </c>
      <c r="C508" s="38" t="s">
        <v>15</v>
      </c>
      <c r="D508" s="42" t="s">
        <v>23</v>
      </c>
      <c r="E508" s="43">
        <v>34</v>
      </c>
      <c r="F508" s="43">
        <v>2517.2400000000002</v>
      </c>
      <c r="G508" s="43">
        <v>5126.0160000000005</v>
      </c>
      <c r="H508" s="40">
        <v>503.44800000000009</v>
      </c>
      <c r="I508" s="41" t="s">
        <v>40</v>
      </c>
    </row>
    <row r="509" spans="1:9" ht="18" customHeight="1" x14ac:dyDescent="0.25">
      <c r="A509" s="38">
        <v>2022</v>
      </c>
      <c r="B509" s="38" t="s">
        <v>9</v>
      </c>
      <c r="C509" s="38" t="s">
        <v>13</v>
      </c>
      <c r="D509" s="39" t="s">
        <v>34</v>
      </c>
      <c r="E509" s="40">
        <v>7</v>
      </c>
      <c r="F509" s="40">
        <v>220</v>
      </c>
      <c r="G509" s="40">
        <v>224</v>
      </c>
      <c r="H509" s="40">
        <v>44</v>
      </c>
      <c r="I509" s="41" t="s">
        <v>40</v>
      </c>
    </row>
    <row r="510" spans="1:9" ht="18" customHeight="1" x14ac:dyDescent="0.25">
      <c r="A510" s="38">
        <v>2022</v>
      </c>
      <c r="B510" s="38" t="s">
        <v>9</v>
      </c>
      <c r="C510" s="38" t="s">
        <v>15</v>
      </c>
      <c r="D510" s="42" t="s">
        <v>27</v>
      </c>
      <c r="E510" s="43">
        <v>3</v>
      </c>
      <c r="F510" s="43">
        <v>2517.5150000000003</v>
      </c>
      <c r="G510" s="43">
        <v>5126.576</v>
      </c>
      <c r="H510" s="40">
        <v>503.5030000000001</v>
      </c>
      <c r="I510" s="41" t="s">
        <v>40</v>
      </c>
    </row>
    <row r="511" spans="1:9" ht="18" customHeight="1" x14ac:dyDescent="0.25">
      <c r="A511" s="38">
        <v>2022</v>
      </c>
      <c r="B511" s="38" t="s">
        <v>9</v>
      </c>
      <c r="C511" s="38" t="s">
        <v>32</v>
      </c>
      <c r="D511" s="42" t="s">
        <v>32</v>
      </c>
      <c r="E511" s="43">
        <v>2</v>
      </c>
      <c r="F511" s="43">
        <v>7260</v>
      </c>
      <c r="G511" s="43">
        <v>7392</v>
      </c>
      <c r="H511" s="40">
        <v>1452</v>
      </c>
      <c r="I511" s="41" t="s">
        <v>40</v>
      </c>
    </row>
    <row r="512" spans="1:9" ht="18" customHeight="1" x14ac:dyDescent="0.25">
      <c r="A512" s="38">
        <v>2022</v>
      </c>
      <c r="B512" s="38" t="s">
        <v>10</v>
      </c>
      <c r="C512" s="38" t="s">
        <v>14</v>
      </c>
      <c r="D512" s="39" t="s">
        <v>36</v>
      </c>
      <c r="E512" s="40">
        <v>3566</v>
      </c>
      <c r="F512" s="40">
        <v>5263.8950000000004</v>
      </c>
      <c r="G512" s="40">
        <v>5126.576</v>
      </c>
      <c r="H512" s="40">
        <v>1052.7790000000002</v>
      </c>
      <c r="I512" s="41" t="s">
        <v>40</v>
      </c>
    </row>
    <row r="513" spans="1:9" ht="18" customHeight="1" x14ac:dyDescent="0.25">
      <c r="A513" s="38">
        <v>2022</v>
      </c>
      <c r="B513" s="38" t="s">
        <v>10</v>
      </c>
      <c r="C513" s="38" t="s">
        <v>14</v>
      </c>
      <c r="D513" s="39" t="s">
        <v>37</v>
      </c>
      <c r="E513" s="40">
        <v>2498</v>
      </c>
      <c r="F513" s="40">
        <v>8800</v>
      </c>
      <c r="G513" s="40">
        <v>8960</v>
      </c>
      <c r="H513" s="40">
        <v>1760</v>
      </c>
      <c r="I513" s="41" t="s">
        <v>40</v>
      </c>
    </row>
    <row r="514" spans="1:9" ht="18" customHeight="1" x14ac:dyDescent="0.25">
      <c r="A514" s="38">
        <v>2022</v>
      </c>
      <c r="B514" s="38" t="s">
        <v>10</v>
      </c>
      <c r="C514" s="38" t="s">
        <v>13</v>
      </c>
      <c r="D514" s="39" t="s">
        <v>35</v>
      </c>
      <c r="E514" s="40">
        <v>1245</v>
      </c>
      <c r="F514" s="40">
        <v>5034.92</v>
      </c>
      <c r="G514" s="40">
        <v>5126.4639999999999</v>
      </c>
      <c r="H514" s="40">
        <v>1006.984</v>
      </c>
      <c r="I514" s="41" t="s">
        <v>40</v>
      </c>
    </row>
    <row r="515" spans="1:9" ht="18" customHeight="1" x14ac:dyDescent="0.25">
      <c r="A515" s="38">
        <v>2022</v>
      </c>
      <c r="B515" s="38" t="s">
        <v>10</v>
      </c>
      <c r="C515" s="38" t="s">
        <v>38</v>
      </c>
      <c r="D515" s="42" t="s">
        <v>30</v>
      </c>
      <c r="E515" s="43">
        <v>644</v>
      </c>
      <c r="F515" s="43">
        <v>6317.85</v>
      </c>
      <c r="G515" s="43">
        <v>6432.72</v>
      </c>
      <c r="H515" s="40">
        <v>1263.5700000000002</v>
      </c>
      <c r="I515" s="41" t="s">
        <v>40</v>
      </c>
    </row>
    <row r="516" spans="1:9" ht="18" customHeight="1" x14ac:dyDescent="0.25">
      <c r="A516" s="38">
        <v>2022</v>
      </c>
      <c r="B516" s="38" t="s">
        <v>10</v>
      </c>
      <c r="C516" s="38" t="s">
        <v>12</v>
      </c>
      <c r="D516" s="42" t="s">
        <v>29</v>
      </c>
      <c r="E516" s="43">
        <v>643</v>
      </c>
      <c r="F516" s="43">
        <v>7700</v>
      </c>
      <c r="G516" s="43">
        <v>7840</v>
      </c>
      <c r="H516" s="40">
        <v>1540</v>
      </c>
      <c r="I516" s="41" t="s">
        <v>40</v>
      </c>
    </row>
    <row r="517" spans="1:9" ht="18" customHeight="1" x14ac:dyDescent="0.25">
      <c r="A517" s="38">
        <v>2022</v>
      </c>
      <c r="B517" s="38" t="s">
        <v>10</v>
      </c>
      <c r="C517" s="38" t="s">
        <v>38</v>
      </c>
      <c r="D517" s="42" t="s">
        <v>31</v>
      </c>
      <c r="E517" s="43">
        <v>455</v>
      </c>
      <c r="F517" s="43">
        <v>5036.46</v>
      </c>
      <c r="G517" s="43">
        <v>5128.0320000000002</v>
      </c>
      <c r="H517" s="40">
        <v>1007.292</v>
      </c>
      <c r="I517" s="41" t="s">
        <v>40</v>
      </c>
    </row>
    <row r="518" spans="1:9" ht="18" customHeight="1" x14ac:dyDescent="0.25">
      <c r="A518" s="38">
        <v>2022</v>
      </c>
      <c r="B518" s="38" t="s">
        <v>10</v>
      </c>
      <c r="C518" s="38" t="s">
        <v>12</v>
      </c>
      <c r="D518" s="42" t="s">
        <v>28</v>
      </c>
      <c r="E518" s="44">
        <v>345</v>
      </c>
      <c r="F518" s="44">
        <v>7700</v>
      </c>
      <c r="G518" s="44">
        <v>7840</v>
      </c>
      <c r="H518" s="40">
        <v>1540</v>
      </c>
      <c r="I518" s="41" t="s">
        <v>40</v>
      </c>
    </row>
    <row r="519" spans="1:9" ht="18" customHeight="1" x14ac:dyDescent="0.25">
      <c r="A519" s="38">
        <v>2022</v>
      </c>
      <c r="B519" s="38" t="s">
        <v>10</v>
      </c>
      <c r="C519" s="38" t="s">
        <v>13</v>
      </c>
      <c r="D519" s="39" t="s">
        <v>33</v>
      </c>
      <c r="E519" s="40">
        <v>122</v>
      </c>
      <c r="F519" s="40">
        <v>110</v>
      </c>
      <c r="G519" s="40">
        <v>112</v>
      </c>
      <c r="H519" s="40">
        <v>22</v>
      </c>
      <c r="I519" s="41" t="s">
        <v>40</v>
      </c>
    </row>
    <row r="520" spans="1:9" ht="18" customHeight="1" x14ac:dyDescent="0.25">
      <c r="A520" s="38">
        <v>2022</v>
      </c>
      <c r="B520" s="38" t="s">
        <v>10</v>
      </c>
      <c r="C520" s="38" t="s">
        <v>15</v>
      </c>
      <c r="D520" s="42" t="s">
        <v>26</v>
      </c>
      <c r="E520" s="43">
        <v>78</v>
      </c>
      <c r="F520" s="43">
        <v>2517.46</v>
      </c>
      <c r="G520" s="43">
        <v>5126.4639999999999</v>
      </c>
      <c r="H520" s="40">
        <v>503.49200000000002</v>
      </c>
      <c r="I520" s="41" t="s">
        <v>40</v>
      </c>
    </row>
    <row r="521" spans="1:9" ht="18" customHeight="1" x14ac:dyDescent="0.25">
      <c r="A521" s="38">
        <v>2022</v>
      </c>
      <c r="B521" s="38" t="s">
        <v>10</v>
      </c>
      <c r="C521" s="38" t="s">
        <v>15</v>
      </c>
      <c r="D521" s="42" t="s">
        <v>24</v>
      </c>
      <c r="E521" s="43">
        <v>76</v>
      </c>
      <c r="F521" s="43">
        <v>2288.4499999999998</v>
      </c>
      <c r="G521" s="43">
        <v>5126.1279999999997</v>
      </c>
      <c r="H521" s="40">
        <v>457.69</v>
      </c>
      <c r="I521" s="41" t="s">
        <v>40</v>
      </c>
    </row>
    <row r="522" spans="1:9" ht="18" customHeight="1" x14ac:dyDescent="0.25">
      <c r="A522" s="38">
        <v>2022</v>
      </c>
      <c r="B522" s="38" t="s">
        <v>10</v>
      </c>
      <c r="C522" s="38" t="s">
        <v>15</v>
      </c>
      <c r="D522" s="42" t="s">
        <v>25</v>
      </c>
      <c r="E522" s="43">
        <v>46</v>
      </c>
      <c r="F522" s="43">
        <v>100</v>
      </c>
      <c r="G522" s="43">
        <v>224</v>
      </c>
      <c r="H522" s="40">
        <v>20</v>
      </c>
      <c r="I522" s="41" t="s">
        <v>40</v>
      </c>
    </row>
    <row r="523" spans="1:9" ht="18" customHeight="1" x14ac:dyDescent="0.25">
      <c r="A523" s="38">
        <v>2022</v>
      </c>
      <c r="B523" s="38" t="s">
        <v>10</v>
      </c>
      <c r="C523" s="38" t="s">
        <v>15</v>
      </c>
      <c r="D523" s="42" t="s">
        <v>23</v>
      </c>
      <c r="E523" s="43">
        <v>34</v>
      </c>
      <c r="F523" s="43">
        <v>2288.4</v>
      </c>
      <c r="G523" s="43">
        <v>5126.0160000000005</v>
      </c>
      <c r="H523" s="40">
        <v>457.68000000000006</v>
      </c>
      <c r="I523" s="41" t="s">
        <v>42</v>
      </c>
    </row>
    <row r="524" spans="1:9" ht="18" customHeight="1" x14ac:dyDescent="0.25">
      <c r="A524" s="38">
        <v>2022</v>
      </c>
      <c r="B524" s="38" t="s">
        <v>10</v>
      </c>
      <c r="C524" s="38" t="s">
        <v>13</v>
      </c>
      <c r="D524" s="39" t="s">
        <v>34</v>
      </c>
      <c r="E524" s="40">
        <v>7</v>
      </c>
      <c r="F524" s="40">
        <v>200</v>
      </c>
      <c r="G524" s="40">
        <v>224</v>
      </c>
      <c r="H524" s="40">
        <v>40</v>
      </c>
      <c r="I524" s="41" t="s">
        <v>42</v>
      </c>
    </row>
    <row r="525" spans="1:9" ht="18" customHeight="1" x14ac:dyDescent="0.25">
      <c r="A525" s="38">
        <v>2022</v>
      </c>
      <c r="B525" s="38" t="s">
        <v>10</v>
      </c>
      <c r="C525" s="38" t="s">
        <v>15</v>
      </c>
      <c r="D525" s="42" t="s">
        <v>27</v>
      </c>
      <c r="E525" s="43">
        <v>3</v>
      </c>
      <c r="F525" s="43">
        <v>2288.65</v>
      </c>
      <c r="G525" s="43">
        <v>5126.576</v>
      </c>
      <c r="H525" s="40">
        <v>457.73</v>
      </c>
      <c r="I525" s="41" t="s">
        <v>42</v>
      </c>
    </row>
    <row r="526" spans="1:9" ht="18" customHeight="1" x14ac:dyDescent="0.25">
      <c r="A526" s="38">
        <v>2022</v>
      </c>
      <c r="B526" s="38" t="s">
        <v>10</v>
      </c>
      <c r="C526" s="38" t="s">
        <v>32</v>
      </c>
      <c r="D526" s="42" t="s">
        <v>32</v>
      </c>
      <c r="E526" s="43">
        <v>2</v>
      </c>
      <c r="F526" s="43">
        <v>6600</v>
      </c>
      <c r="G526" s="43">
        <v>7392</v>
      </c>
      <c r="H526" s="40">
        <v>1320</v>
      </c>
      <c r="I526" s="41" t="s">
        <v>42</v>
      </c>
    </row>
    <row r="527" spans="1:9" ht="18" customHeight="1" x14ac:dyDescent="0.25">
      <c r="A527" s="38">
        <v>2022</v>
      </c>
      <c r="B527" s="38" t="s">
        <v>11</v>
      </c>
      <c r="C527" s="38" t="s">
        <v>14</v>
      </c>
      <c r="D527" s="39" t="s">
        <v>36</v>
      </c>
      <c r="E527" s="40">
        <v>3566</v>
      </c>
      <c r="F527" s="40">
        <v>4577.3</v>
      </c>
      <c r="G527" s="40">
        <v>5126.576</v>
      </c>
      <c r="H527" s="40">
        <v>915.46</v>
      </c>
      <c r="I527" s="41" t="s">
        <v>42</v>
      </c>
    </row>
    <row r="528" spans="1:9" ht="18" customHeight="1" x14ac:dyDescent="0.25">
      <c r="A528" s="38">
        <v>2022</v>
      </c>
      <c r="B528" s="38" t="s">
        <v>11</v>
      </c>
      <c r="C528" s="38" t="s">
        <v>14</v>
      </c>
      <c r="D528" s="39" t="s">
        <v>37</v>
      </c>
      <c r="E528" s="40">
        <v>2498</v>
      </c>
      <c r="F528" s="40">
        <v>8000</v>
      </c>
      <c r="G528" s="40">
        <v>8960</v>
      </c>
      <c r="H528" s="40">
        <v>1600</v>
      </c>
      <c r="I528" s="41" t="s">
        <v>42</v>
      </c>
    </row>
    <row r="529" spans="1:9" ht="18" customHeight="1" x14ac:dyDescent="0.25">
      <c r="A529" s="38">
        <v>2022</v>
      </c>
      <c r="B529" s="38" t="s">
        <v>11</v>
      </c>
      <c r="C529" s="38" t="s">
        <v>13</v>
      </c>
      <c r="D529" s="39" t="s">
        <v>35</v>
      </c>
      <c r="E529" s="40">
        <v>1245</v>
      </c>
      <c r="F529" s="40">
        <v>4577.2</v>
      </c>
      <c r="G529" s="40">
        <v>5126.4639999999999</v>
      </c>
      <c r="H529" s="40">
        <v>915.44</v>
      </c>
      <c r="I529" s="41" t="s">
        <v>42</v>
      </c>
    </row>
    <row r="530" spans="1:9" ht="18" customHeight="1" x14ac:dyDescent="0.25">
      <c r="A530" s="38">
        <v>2022</v>
      </c>
      <c r="B530" s="38" t="s">
        <v>11</v>
      </c>
      <c r="C530" s="38" t="s">
        <v>38</v>
      </c>
      <c r="D530" s="42" t="s">
        <v>30</v>
      </c>
      <c r="E530" s="43">
        <v>644</v>
      </c>
      <c r="F530" s="43">
        <v>5743.5</v>
      </c>
      <c r="G530" s="43">
        <v>6432.72</v>
      </c>
      <c r="H530" s="40">
        <v>1148.7</v>
      </c>
      <c r="I530" s="41" t="s">
        <v>42</v>
      </c>
    </row>
    <row r="531" spans="1:9" ht="18" customHeight="1" x14ac:dyDescent="0.25">
      <c r="A531" s="38">
        <v>2022</v>
      </c>
      <c r="B531" s="38" t="s">
        <v>11</v>
      </c>
      <c r="C531" s="38" t="s">
        <v>12</v>
      </c>
      <c r="D531" s="42" t="s">
        <v>29</v>
      </c>
      <c r="E531" s="43">
        <v>643</v>
      </c>
      <c r="F531" s="43">
        <v>7000</v>
      </c>
      <c r="G531" s="43">
        <v>7840</v>
      </c>
      <c r="H531" s="40">
        <v>1400</v>
      </c>
      <c r="I531" s="41" t="s">
        <v>42</v>
      </c>
    </row>
    <row r="532" spans="1:9" ht="18" customHeight="1" x14ac:dyDescent="0.25">
      <c r="A532" s="38">
        <v>2022</v>
      </c>
      <c r="B532" s="38" t="s">
        <v>11</v>
      </c>
      <c r="C532" s="38" t="s">
        <v>38</v>
      </c>
      <c r="D532" s="42" t="s">
        <v>31</v>
      </c>
      <c r="E532" s="43">
        <v>455</v>
      </c>
      <c r="F532" s="43">
        <v>4578.6000000000004</v>
      </c>
      <c r="G532" s="43">
        <v>5128.0320000000002</v>
      </c>
      <c r="H532" s="40">
        <v>915.72000000000014</v>
      </c>
      <c r="I532" s="41" t="s">
        <v>42</v>
      </c>
    </row>
    <row r="533" spans="1:9" ht="18" customHeight="1" x14ac:dyDescent="0.25">
      <c r="A533" s="38">
        <v>2022</v>
      </c>
      <c r="B533" s="38" t="s">
        <v>11</v>
      </c>
      <c r="C533" s="38" t="s">
        <v>12</v>
      </c>
      <c r="D533" s="42" t="s">
        <v>28</v>
      </c>
      <c r="E533" s="44">
        <v>345</v>
      </c>
      <c r="F533" s="44">
        <v>7000</v>
      </c>
      <c r="G533" s="44">
        <v>7840</v>
      </c>
      <c r="H533" s="40">
        <v>1400</v>
      </c>
      <c r="I533" s="41" t="s">
        <v>42</v>
      </c>
    </row>
    <row r="534" spans="1:9" ht="18" customHeight="1" x14ac:dyDescent="0.25">
      <c r="A534" s="38">
        <v>2022</v>
      </c>
      <c r="B534" s="38" t="s">
        <v>11</v>
      </c>
      <c r="C534" s="38" t="s">
        <v>13</v>
      </c>
      <c r="D534" s="39" t="s">
        <v>33</v>
      </c>
      <c r="E534" s="40">
        <v>122</v>
      </c>
      <c r="F534" s="40">
        <v>100</v>
      </c>
      <c r="G534" s="40">
        <v>112</v>
      </c>
      <c r="H534" s="40">
        <v>20</v>
      </c>
      <c r="I534" s="41" t="s">
        <v>42</v>
      </c>
    </row>
    <row r="535" spans="1:9" ht="18" customHeight="1" x14ac:dyDescent="0.25">
      <c r="A535" s="38">
        <v>2022</v>
      </c>
      <c r="B535" s="38" t="s">
        <v>11</v>
      </c>
      <c r="C535" s="38" t="s">
        <v>15</v>
      </c>
      <c r="D535" s="42" t="s">
        <v>26</v>
      </c>
      <c r="E535" s="43">
        <v>78</v>
      </c>
      <c r="F535" s="43">
        <v>2288.6</v>
      </c>
      <c r="G535" s="43">
        <v>5126.4639999999999</v>
      </c>
      <c r="H535" s="40">
        <v>457.72</v>
      </c>
      <c r="I535" s="41" t="s">
        <v>42</v>
      </c>
    </row>
    <row r="536" spans="1:9" ht="18" customHeight="1" x14ac:dyDescent="0.25">
      <c r="A536" s="38">
        <v>2022</v>
      </c>
      <c r="B536" s="38" t="s">
        <v>11</v>
      </c>
      <c r="C536" s="38" t="s">
        <v>15</v>
      </c>
      <c r="D536" s="42" t="s">
        <v>24</v>
      </c>
      <c r="E536" s="43">
        <v>76</v>
      </c>
      <c r="F536" s="43">
        <v>2288.4499999999998</v>
      </c>
      <c r="G536" s="43">
        <v>5126.1279999999997</v>
      </c>
      <c r="H536" s="40">
        <v>457.69</v>
      </c>
      <c r="I536" s="41" t="s">
        <v>42</v>
      </c>
    </row>
    <row r="537" spans="1:9" ht="18" customHeight="1" x14ac:dyDescent="0.25">
      <c r="A537" s="38">
        <v>2022</v>
      </c>
      <c r="B537" s="38" t="s">
        <v>11</v>
      </c>
      <c r="C537" s="38" t="s">
        <v>15</v>
      </c>
      <c r="D537" s="42" t="s">
        <v>25</v>
      </c>
      <c r="E537" s="43">
        <v>46</v>
      </c>
      <c r="F537" s="43">
        <v>100</v>
      </c>
      <c r="G537" s="43">
        <v>224</v>
      </c>
      <c r="H537" s="40">
        <v>20</v>
      </c>
      <c r="I537" s="41" t="s">
        <v>42</v>
      </c>
    </row>
    <row r="538" spans="1:9" ht="18" customHeight="1" x14ac:dyDescent="0.25">
      <c r="A538" s="38">
        <v>2022</v>
      </c>
      <c r="B538" s="38" t="s">
        <v>11</v>
      </c>
      <c r="C538" s="38" t="s">
        <v>15</v>
      </c>
      <c r="D538" s="42" t="s">
        <v>23</v>
      </c>
      <c r="E538" s="43">
        <v>34</v>
      </c>
      <c r="F538" s="43">
        <v>2288.4</v>
      </c>
      <c r="G538" s="43">
        <v>5126.0160000000005</v>
      </c>
      <c r="H538" s="40">
        <v>457.68000000000006</v>
      </c>
      <c r="I538" s="41" t="s">
        <v>42</v>
      </c>
    </row>
    <row r="539" spans="1:9" ht="18" customHeight="1" x14ac:dyDescent="0.25">
      <c r="A539" s="38">
        <v>2022</v>
      </c>
      <c r="B539" s="38" t="s">
        <v>11</v>
      </c>
      <c r="C539" s="38" t="s">
        <v>13</v>
      </c>
      <c r="D539" s="39" t="s">
        <v>34</v>
      </c>
      <c r="E539" s="40">
        <v>7</v>
      </c>
      <c r="F539" s="40">
        <v>200</v>
      </c>
      <c r="G539" s="40">
        <v>224</v>
      </c>
      <c r="H539" s="40">
        <v>40</v>
      </c>
      <c r="I539" s="41" t="s">
        <v>42</v>
      </c>
    </row>
    <row r="540" spans="1:9" ht="18" customHeight="1" x14ac:dyDescent="0.25">
      <c r="A540" s="38">
        <v>2022</v>
      </c>
      <c r="B540" s="38" t="s">
        <v>11</v>
      </c>
      <c r="C540" s="38" t="s">
        <v>15</v>
      </c>
      <c r="D540" s="42" t="s">
        <v>27</v>
      </c>
      <c r="E540" s="43">
        <v>3</v>
      </c>
      <c r="F540" s="43">
        <v>2288.65</v>
      </c>
      <c r="G540" s="43">
        <v>5126.576</v>
      </c>
      <c r="H540" s="40">
        <v>457.73</v>
      </c>
      <c r="I540" s="41" t="s">
        <v>42</v>
      </c>
    </row>
    <row r="541" spans="1:9" ht="18" customHeight="1" x14ac:dyDescent="0.25">
      <c r="A541" s="38">
        <v>2022</v>
      </c>
      <c r="B541" s="38" t="s">
        <v>11</v>
      </c>
      <c r="C541" s="38" t="s">
        <v>32</v>
      </c>
      <c r="D541" s="42" t="s">
        <v>32</v>
      </c>
      <c r="E541" s="43">
        <v>2</v>
      </c>
      <c r="F541" s="43">
        <v>6600</v>
      </c>
      <c r="G541" s="43">
        <v>7392</v>
      </c>
      <c r="H541" s="40">
        <v>1320</v>
      </c>
      <c r="I541" s="41" t="s">
        <v>42</v>
      </c>
    </row>
    <row r="542" spans="1:9" ht="18" customHeight="1" x14ac:dyDescent="0.25">
      <c r="A542" s="38">
        <v>2023</v>
      </c>
      <c r="B542" s="38" t="s">
        <v>0</v>
      </c>
      <c r="C542" s="38" t="s">
        <v>14</v>
      </c>
      <c r="D542" s="39" t="s">
        <v>36</v>
      </c>
      <c r="E542" s="40">
        <v>3566</v>
      </c>
      <c r="F542" s="40">
        <v>5492.76</v>
      </c>
      <c r="G542" s="40">
        <v>5126.576</v>
      </c>
      <c r="H542" s="40">
        <v>1098.5520000000001</v>
      </c>
      <c r="I542" s="41" t="s">
        <v>42</v>
      </c>
    </row>
    <row r="543" spans="1:9" ht="18" customHeight="1" x14ac:dyDescent="0.25">
      <c r="A543" s="38">
        <v>2023</v>
      </c>
      <c r="B543" s="38" t="s">
        <v>0</v>
      </c>
      <c r="C543" s="38" t="s">
        <v>14</v>
      </c>
      <c r="D543" s="39" t="s">
        <v>37</v>
      </c>
      <c r="E543" s="40">
        <v>2498</v>
      </c>
      <c r="F543" s="40">
        <v>9600</v>
      </c>
      <c r="G543" s="40">
        <v>8960</v>
      </c>
      <c r="H543" s="40">
        <v>1920</v>
      </c>
      <c r="I543" s="41" t="s">
        <v>42</v>
      </c>
    </row>
    <row r="544" spans="1:9" ht="18" customHeight="1" x14ac:dyDescent="0.25">
      <c r="A544" s="38">
        <v>2023</v>
      </c>
      <c r="B544" s="38" t="s">
        <v>0</v>
      </c>
      <c r="C544" s="38" t="s">
        <v>13</v>
      </c>
      <c r="D544" s="39" t="s">
        <v>35</v>
      </c>
      <c r="E544" s="40">
        <v>1245</v>
      </c>
      <c r="F544" s="40">
        <v>5492.6399999999994</v>
      </c>
      <c r="G544" s="40">
        <v>5126.4639999999999</v>
      </c>
      <c r="H544" s="40">
        <v>1098.528</v>
      </c>
      <c r="I544" s="41" t="s">
        <v>42</v>
      </c>
    </row>
    <row r="545" spans="1:9" ht="18" customHeight="1" x14ac:dyDescent="0.25">
      <c r="A545" s="38">
        <v>2023</v>
      </c>
      <c r="B545" s="38" t="s">
        <v>0</v>
      </c>
      <c r="C545" s="38" t="s">
        <v>38</v>
      </c>
      <c r="D545" s="42" t="s">
        <v>30</v>
      </c>
      <c r="E545" s="43">
        <v>644</v>
      </c>
      <c r="F545" s="43">
        <v>6892.2</v>
      </c>
      <c r="G545" s="43">
        <v>6432.72</v>
      </c>
      <c r="H545" s="40">
        <v>1378.44</v>
      </c>
      <c r="I545" s="41" t="s">
        <v>42</v>
      </c>
    </row>
    <row r="546" spans="1:9" ht="18" customHeight="1" x14ac:dyDescent="0.25">
      <c r="A546" s="38">
        <v>2023</v>
      </c>
      <c r="B546" s="38" t="s">
        <v>0</v>
      </c>
      <c r="C546" s="38" t="s">
        <v>12</v>
      </c>
      <c r="D546" s="42" t="s">
        <v>29</v>
      </c>
      <c r="E546" s="43">
        <v>643</v>
      </c>
      <c r="F546" s="43">
        <v>8400</v>
      </c>
      <c r="G546" s="43">
        <v>7840</v>
      </c>
      <c r="H546" s="40">
        <v>1680</v>
      </c>
      <c r="I546" s="41" t="s">
        <v>40</v>
      </c>
    </row>
    <row r="547" spans="1:9" ht="18" customHeight="1" x14ac:dyDescent="0.25">
      <c r="A547" s="38">
        <v>2023</v>
      </c>
      <c r="B547" s="38" t="s">
        <v>0</v>
      </c>
      <c r="C547" s="38" t="s">
        <v>38</v>
      </c>
      <c r="D547" s="42" t="s">
        <v>31</v>
      </c>
      <c r="E547" s="43">
        <v>455</v>
      </c>
      <c r="F547" s="43">
        <v>5494.3200000000006</v>
      </c>
      <c r="G547" s="43">
        <v>5128.0320000000002</v>
      </c>
      <c r="H547" s="40">
        <v>1098.8640000000003</v>
      </c>
      <c r="I547" s="41" t="s">
        <v>40</v>
      </c>
    </row>
    <row r="548" spans="1:9" ht="18" customHeight="1" x14ac:dyDescent="0.25">
      <c r="A548" s="38">
        <v>2023</v>
      </c>
      <c r="B548" s="38" t="s">
        <v>0</v>
      </c>
      <c r="C548" s="38" t="s">
        <v>12</v>
      </c>
      <c r="D548" s="42" t="s">
        <v>28</v>
      </c>
      <c r="E548" s="44">
        <v>345</v>
      </c>
      <c r="F548" s="44">
        <v>8400</v>
      </c>
      <c r="G548" s="44">
        <v>7840</v>
      </c>
      <c r="H548" s="40">
        <v>1680</v>
      </c>
      <c r="I548" s="41" t="s">
        <v>40</v>
      </c>
    </row>
    <row r="549" spans="1:9" ht="18" customHeight="1" x14ac:dyDescent="0.25">
      <c r="A549" s="38">
        <v>2023</v>
      </c>
      <c r="B549" s="38" t="s">
        <v>0</v>
      </c>
      <c r="C549" s="38" t="s">
        <v>13</v>
      </c>
      <c r="D549" s="39" t="s">
        <v>33</v>
      </c>
      <c r="E549" s="40">
        <v>122</v>
      </c>
      <c r="F549" s="40">
        <v>120</v>
      </c>
      <c r="G549" s="40">
        <v>112</v>
      </c>
      <c r="H549" s="40">
        <v>24</v>
      </c>
      <c r="I549" s="41" t="s">
        <v>40</v>
      </c>
    </row>
    <row r="550" spans="1:9" ht="18" customHeight="1" x14ac:dyDescent="0.25">
      <c r="A550" s="38">
        <v>2023</v>
      </c>
      <c r="B550" s="38" t="s">
        <v>0</v>
      </c>
      <c r="C550" s="38" t="s">
        <v>15</v>
      </c>
      <c r="D550" s="42" t="s">
        <v>26</v>
      </c>
      <c r="E550" s="43">
        <v>78</v>
      </c>
      <c r="F550" s="43">
        <v>2288.6</v>
      </c>
      <c r="G550" s="43">
        <v>5126.4639999999999</v>
      </c>
      <c r="H550" s="40">
        <v>457.72</v>
      </c>
      <c r="I550" s="41" t="s">
        <v>40</v>
      </c>
    </row>
    <row r="551" spans="1:9" ht="18" customHeight="1" x14ac:dyDescent="0.25">
      <c r="A551" s="38">
        <v>2023</v>
      </c>
      <c r="B551" s="38" t="s">
        <v>0</v>
      </c>
      <c r="C551" s="38" t="s">
        <v>15</v>
      </c>
      <c r="D551" s="42" t="s">
        <v>24</v>
      </c>
      <c r="E551" s="43">
        <v>76</v>
      </c>
      <c r="F551" s="43">
        <v>2288.4499999999998</v>
      </c>
      <c r="G551" s="43">
        <v>5126.1279999999997</v>
      </c>
      <c r="H551" s="40">
        <v>457.69</v>
      </c>
      <c r="I551" s="41" t="s">
        <v>40</v>
      </c>
    </row>
    <row r="552" spans="1:9" ht="18" customHeight="1" x14ac:dyDescent="0.25">
      <c r="A552" s="38">
        <v>2023</v>
      </c>
      <c r="B552" s="38" t="s">
        <v>0</v>
      </c>
      <c r="C552" s="38" t="s">
        <v>15</v>
      </c>
      <c r="D552" s="42" t="s">
        <v>25</v>
      </c>
      <c r="E552" s="43">
        <v>46</v>
      </c>
      <c r="F552" s="43">
        <v>100</v>
      </c>
      <c r="G552" s="43">
        <v>224</v>
      </c>
      <c r="H552" s="40">
        <v>20</v>
      </c>
      <c r="I552" s="41" t="s">
        <v>40</v>
      </c>
    </row>
    <row r="553" spans="1:9" ht="18" customHeight="1" x14ac:dyDescent="0.25">
      <c r="A553" s="38">
        <v>2023</v>
      </c>
      <c r="B553" s="38" t="s">
        <v>0</v>
      </c>
      <c r="C553" s="38" t="s">
        <v>15</v>
      </c>
      <c r="D553" s="42" t="s">
        <v>23</v>
      </c>
      <c r="E553" s="43">
        <v>34</v>
      </c>
      <c r="F553" s="43">
        <v>2288.4</v>
      </c>
      <c r="G553" s="43">
        <v>5126.0160000000005</v>
      </c>
      <c r="H553" s="40">
        <v>457.68000000000006</v>
      </c>
      <c r="I553" s="41" t="s">
        <v>40</v>
      </c>
    </row>
    <row r="554" spans="1:9" ht="18" customHeight="1" x14ac:dyDescent="0.25">
      <c r="A554" s="38">
        <v>2023</v>
      </c>
      <c r="B554" s="38" t="s">
        <v>0</v>
      </c>
      <c r="C554" s="38" t="s">
        <v>13</v>
      </c>
      <c r="D554" s="39" t="s">
        <v>34</v>
      </c>
      <c r="E554" s="40">
        <v>7</v>
      </c>
      <c r="F554" s="40">
        <v>200</v>
      </c>
      <c r="G554" s="40">
        <v>224</v>
      </c>
      <c r="H554" s="40">
        <v>40</v>
      </c>
      <c r="I554" s="41" t="s">
        <v>40</v>
      </c>
    </row>
    <row r="555" spans="1:9" ht="18" customHeight="1" x14ac:dyDescent="0.25">
      <c r="A555" s="38">
        <v>2023</v>
      </c>
      <c r="B555" s="38" t="s">
        <v>0</v>
      </c>
      <c r="C555" s="38" t="s">
        <v>32</v>
      </c>
      <c r="D555" s="42" t="s">
        <v>32</v>
      </c>
      <c r="E555" s="43">
        <v>3</v>
      </c>
      <c r="F555" s="43">
        <v>4577.3</v>
      </c>
      <c r="G555" s="43">
        <v>7392</v>
      </c>
      <c r="H555" s="40">
        <v>915.46</v>
      </c>
      <c r="I555" s="41" t="s">
        <v>40</v>
      </c>
    </row>
    <row r="556" spans="1:9" ht="18" customHeight="1" x14ac:dyDescent="0.25">
      <c r="A556" s="38">
        <v>2023</v>
      </c>
      <c r="B556" s="38" t="s">
        <v>0</v>
      </c>
      <c r="C556" s="38" t="s">
        <v>15</v>
      </c>
      <c r="D556" s="42" t="s">
        <v>27</v>
      </c>
      <c r="E556" s="43">
        <v>3</v>
      </c>
      <c r="F556" s="43">
        <v>3300</v>
      </c>
      <c r="G556" s="43">
        <v>5126.576</v>
      </c>
      <c r="H556" s="40">
        <v>660</v>
      </c>
      <c r="I556" s="41" t="s">
        <v>40</v>
      </c>
    </row>
    <row r="557" spans="1:9" ht="18" customHeight="1" x14ac:dyDescent="0.25">
      <c r="A557" s="38">
        <v>2023</v>
      </c>
      <c r="B557" s="38" t="s">
        <v>1</v>
      </c>
      <c r="C557" s="38" t="s">
        <v>14</v>
      </c>
      <c r="D557" s="39" t="s">
        <v>36</v>
      </c>
      <c r="E557" s="40">
        <v>3566</v>
      </c>
      <c r="F557" s="40">
        <v>4577.3</v>
      </c>
      <c r="G557" s="40">
        <v>5126.576</v>
      </c>
      <c r="H557" s="40">
        <v>915.46</v>
      </c>
      <c r="I557" s="41" t="s">
        <v>40</v>
      </c>
    </row>
    <row r="558" spans="1:9" ht="18" customHeight="1" x14ac:dyDescent="0.25">
      <c r="A558" s="38">
        <v>2023</v>
      </c>
      <c r="B558" s="38" t="s">
        <v>1</v>
      </c>
      <c r="C558" s="38" t="s">
        <v>14</v>
      </c>
      <c r="D558" s="39" t="s">
        <v>37</v>
      </c>
      <c r="E558" s="40">
        <v>2498</v>
      </c>
      <c r="F558" s="40">
        <v>8000</v>
      </c>
      <c r="G558" s="40">
        <v>8960</v>
      </c>
      <c r="H558" s="40">
        <v>1600</v>
      </c>
      <c r="I558" s="41" t="s">
        <v>40</v>
      </c>
    </row>
    <row r="559" spans="1:9" ht="18" customHeight="1" x14ac:dyDescent="0.25">
      <c r="A559" s="38">
        <v>2023</v>
      </c>
      <c r="B559" s="38" t="s">
        <v>1</v>
      </c>
      <c r="C559" s="38" t="s">
        <v>13</v>
      </c>
      <c r="D559" s="39" t="s">
        <v>35</v>
      </c>
      <c r="E559" s="40">
        <v>1245</v>
      </c>
      <c r="F559" s="40">
        <v>4577.2</v>
      </c>
      <c r="G559" s="40">
        <v>5126.4639999999999</v>
      </c>
      <c r="H559" s="40">
        <v>915.44</v>
      </c>
      <c r="I559" s="41" t="s">
        <v>40</v>
      </c>
    </row>
    <row r="560" spans="1:9" ht="18" customHeight="1" x14ac:dyDescent="0.25">
      <c r="A560" s="38">
        <v>2023</v>
      </c>
      <c r="B560" s="38" t="s">
        <v>1</v>
      </c>
      <c r="C560" s="38" t="s">
        <v>38</v>
      </c>
      <c r="D560" s="42" t="s">
        <v>30</v>
      </c>
      <c r="E560" s="43">
        <v>644</v>
      </c>
      <c r="F560" s="43">
        <v>5743.5</v>
      </c>
      <c r="G560" s="43">
        <v>6432.72</v>
      </c>
      <c r="H560" s="40">
        <v>1148.7</v>
      </c>
      <c r="I560" s="41" t="s">
        <v>40</v>
      </c>
    </row>
    <row r="561" spans="1:9" ht="18" customHeight="1" x14ac:dyDescent="0.25">
      <c r="A561" s="38">
        <v>2023</v>
      </c>
      <c r="B561" s="38" t="s">
        <v>1</v>
      </c>
      <c r="C561" s="38" t="s">
        <v>12</v>
      </c>
      <c r="D561" s="42" t="s">
        <v>29</v>
      </c>
      <c r="E561" s="43">
        <v>643</v>
      </c>
      <c r="F561" s="43">
        <v>7000</v>
      </c>
      <c r="G561" s="43">
        <v>7840</v>
      </c>
      <c r="H561" s="40">
        <v>1400</v>
      </c>
      <c r="I561" s="41" t="s">
        <v>40</v>
      </c>
    </row>
    <row r="562" spans="1:9" ht="18" customHeight="1" x14ac:dyDescent="0.25">
      <c r="A562" s="38">
        <v>2023</v>
      </c>
      <c r="B562" s="38" t="s">
        <v>1</v>
      </c>
      <c r="C562" s="38" t="s">
        <v>38</v>
      </c>
      <c r="D562" s="42" t="s">
        <v>31</v>
      </c>
      <c r="E562" s="43">
        <v>455</v>
      </c>
      <c r="F562" s="43">
        <v>4578.6000000000004</v>
      </c>
      <c r="G562" s="43">
        <v>5128.0320000000002</v>
      </c>
      <c r="H562" s="40">
        <v>915.72000000000014</v>
      </c>
      <c r="I562" s="41" t="s">
        <v>40</v>
      </c>
    </row>
    <row r="563" spans="1:9" ht="18" customHeight="1" x14ac:dyDescent="0.25">
      <c r="A563" s="38">
        <v>2023</v>
      </c>
      <c r="B563" s="38" t="s">
        <v>1</v>
      </c>
      <c r="C563" s="38" t="s">
        <v>12</v>
      </c>
      <c r="D563" s="42" t="s">
        <v>28</v>
      </c>
      <c r="E563" s="44">
        <v>345</v>
      </c>
      <c r="F563" s="44">
        <v>7000</v>
      </c>
      <c r="G563" s="44">
        <v>7840</v>
      </c>
      <c r="H563" s="40">
        <v>1400</v>
      </c>
      <c r="I563" s="41" t="s">
        <v>40</v>
      </c>
    </row>
    <row r="564" spans="1:9" ht="18" customHeight="1" x14ac:dyDescent="0.25">
      <c r="A564" s="38">
        <v>2023</v>
      </c>
      <c r="B564" s="38" t="s">
        <v>1</v>
      </c>
      <c r="C564" s="38" t="s">
        <v>13</v>
      </c>
      <c r="D564" s="39" t="s">
        <v>33</v>
      </c>
      <c r="E564" s="40">
        <v>122</v>
      </c>
      <c r="F564" s="40">
        <v>100</v>
      </c>
      <c r="G564" s="40">
        <v>112</v>
      </c>
      <c r="H564" s="40">
        <v>20</v>
      </c>
      <c r="I564" s="41" t="s">
        <v>40</v>
      </c>
    </row>
    <row r="565" spans="1:9" ht="18" customHeight="1" x14ac:dyDescent="0.25">
      <c r="A565" s="38">
        <v>2023</v>
      </c>
      <c r="B565" s="38" t="s">
        <v>1</v>
      </c>
      <c r="C565" s="38" t="s">
        <v>15</v>
      </c>
      <c r="D565" s="42" t="s">
        <v>26</v>
      </c>
      <c r="E565" s="43">
        <v>78</v>
      </c>
      <c r="F565" s="43">
        <v>2288.6</v>
      </c>
      <c r="G565" s="43">
        <v>5126.4639999999999</v>
      </c>
      <c r="H565" s="40">
        <v>457.72</v>
      </c>
      <c r="I565" s="41" t="s">
        <v>40</v>
      </c>
    </row>
    <row r="566" spans="1:9" ht="18" customHeight="1" x14ac:dyDescent="0.25">
      <c r="A566" s="38">
        <v>2023</v>
      </c>
      <c r="B566" s="38" t="s">
        <v>1</v>
      </c>
      <c r="C566" s="38" t="s">
        <v>15</v>
      </c>
      <c r="D566" s="42" t="s">
        <v>24</v>
      </c>
      <c r="E566" s="43">
        <v>76</v>
      </c>
      <c r="F566" s="43">
        <v>2288.4499999999998</v>
      </c>
      <c r="G566" s="43">
        <v>5126.1279999999997</v>
      </c>
      <c r="H566" s="40">
        <v>457.69</v>
      </c>
      <c r="I566" s="41" t="s">
        <v>40</v>
      </c>
    </row>
    <row r="567" spans="1:9" ht="18" customHeight="1" x14ac:dyDescent="0.25">
      <c r="A567" s="38">
        <v>2023</v>
      </c>
      <c r="B567" s="38" t="s">
        <v>1</v>
      </c>
      <c r="C567" s="38" t="s">
        <v>15</v>
      </c>
      <c r="D567" s="42" t="s">
        <v>25</v>
      </c>
      <c r="E567" s="43">
        <v>46</v>
      </c>
      <c r="F567" s="43">
        <v>100</v>
      </c>
      <c r="G567" s="43">
        <v>224</v>
      </c>
      <c r="H567" s="40">
        <v>20</v>
      </c>
      <c r="I567" s="41" t="s">
        <v>40</v>
      </c>
    </row>
    <row r="568" spans="1:9" ht="18" customHeight="1" x14ac:dyDescent="0.25">
      <c r="A568" s="38">
        <v>2023</v>
      </c>
      <c r="B568" s="38" t="s">
        <v>1</v>
      </c>
      <c r="C568" s="38" t="s">
        <v>15</v>
      </c>
      <c r="D568" s="42" t="s">
        <v>23</v>
      </c>
      <c r="E568" s="43">
        <v>34</v>
      </c>
      <c r="F568" s="43">
        <v>2288.4</v>
      </c>
      <c r="G568" s="43">
        <v>5126.0160000000005</v>
      </c>
      <c r="H568" s="40">
        <v>457.68000000000006</v>
      </c>
      <c r="I568" s="41" t="s">
        <v>40</v>
      </c>
    </row>
    <row r="569" spans="1:9" ht="18" customHeight="1" x14ac:dyDescent="0.25">
      <c r="A569" s="38">
        <v>2023</v>
      </c>
      <c r="B569" s="38" t="s">
        <v>1</v>
      </c>
      <c r="C569" s="38" t="s">
        <v>13</v>
      </c>
      <c r="D569" s="39" t="s">
        <v>34</v>
      </c>
      <c r="E569" s="40">
        <v>7</v>
      </c>
      <c r="F569" s="40">
        <v>200</v>
      </c>
      <c r="G569" s="40">
        <v>224</v>
      </c>
      <c r="H569" s="40">
        <v>40</v>
      </c>
      <c r="I569" s="41" t="s">
        <v>40</v>
      </c>
    </row>
    <row r="570" spans="1:9" ht="18" customHeight="1" x14ac:dyDescent="0.25">
      <c r="A570" s="38">
        <v>2023</v>
      </c>
      <c r="B570" s="38" t="s">
        <v>1</v>
      </c>
      <c r="C570" s="38" t="s">
        <v>15</v>
      </c>
      <c r="D570" s="42" t="s">
        <v>27</v>
      </c>
      <c r="E570" s="43">
        <v>3</v>
      </c>
      <c r="F570" s="43">
        <v>3300</v>
      </c>
      <c r="G570" s="43">
        <v>5126.576</v>
      </c>
      <c r="H570" s="40">
        <v>660</v>
      </c>
      <c r="I570" s="41" t="s">
        <v>40</v>
      </c>
    </row>
    <row r="571" spans="1:9" ht="18" customHeight="1" x14ac:dyDescent="0.25">
      <c r="A571" s="38">
        <v>2023</v>
      </c>
      <c r="B571" s="38" t="s">
        <v>1</v>
      </c>
      <c r="C571" s="38" t="s">
        <v>32</v>
      </c>
      <c r="D571" s="42" t="s">
        <v>32</v>
      </c>
      <c r="E571" s="43">
        <v>2</v>
      </c>
      <c r="F571" s="43">
        <v>6600</v>
      </c>
      <c r="G571" s="43">
        <v>7392</v>
      </c>
      <c r="H571" s="40">
        <v>1320</v>
      </c>
      <c r="I571" s="41" t="s">
        <v>40</v>
      </c>
    </row>
    <row r="572" spans="1:9" ht="18" customHeight="1" x14ac:dyDescent="0.25">
      <c r="A572" s="38">
        <v>2023</v>
      </c>
      <c r="B572" s="38" t="s">
        <v>2</v>
      </c>
      <c r="C572" s="38" t="s">
        <v>14</v>
      </c>
      <c r="D572" s="39" t="s">
        <v>36</v>
      </c>
      <c r="E572" s="40">
        <v>3566</v>
      </c>
      <c r="F572" s="40">
        <v>4577.3</v>
      </c>
      <c r="G572" s="40">
        <v>5126.576</v>
      </c>
      <c r="H572" s="40">
        <v>915.46</v>
      </c>
      <c r="I572" s="41" t="s">
        <v>40</v>
      </c>
    </row>
    <row r="573" spans="1:9" ht="18" customHeight="1" x14ac:dyDescent="0.25">
      <c r="A573" s="38">
        <v>2023</v>
      </c>
      <c r="B573" s="38" t="s">
        <v>2</v>
      </c>
      <c r="C573" s="38" t="s">
        <v>14</v>
      </c>
      <c r="D573" s="39" t="s">
        <v>37</v>
      </c>
      <c r="E573" s="40">
        <v>2498</v>
      </c>
      <c r="F573" s="40">
        <v>8000</v>
      </c>
      <c r="G573" s="40">
        <v>8960</v>
      </c>
      <c r="H573" s="40">
        <v>1600</v>
      </c>
      <c r="I573" s="41" t="s">
        <v>40</v>
      </c>
    </row>
    <row r="574" spans="1:9" ht="18" customHeight="1" x14ac:dyDescent="0.25">
      <c r="A574" s="38">
        <v>2023</v>
      </c>
      <c r="B574" s="38" t="s">
        <v>2</v>
      </c>
      <c r="C574" s="38" t="s">
        <v>13</v>
      </c>
      <c r="D574" s="39" t="s">
        <v>35</v>
      </c>
      <c r="E574" s="40">
        <v>1245</v>
      </c>
      <c r="F574" s="40">
        <v>4577.2</v>
      </c>
      <c r="G574" s="40">
        <v>5126.4639999999999</v>
      </c>
      <c r="H574" s="40">
        <v>915.44</v>
      </c>
      <c r="I574" s="41" t="s">
        <v>40</v>
      </c>
    </row>
    <row r="575" spans="1:9" ht="18" customHeight="1" x14ac:dyDescent="0.25">
      <c r="A575" s="38">
        <v>2023</v>
      </c>
      <c r="B575" s="38" t="s">
        <v>2</v>
      </c>
      <c r="C575" s="38" t="s">
        <v>38</v>
      </c>
      <c r="D575" s="42" t="s">
        <v>30</v>
      </c>
      <c r="E575" s="43">
        <v>644</v>
      </c>
      <c r="F575" s="43">
        <v>10000</v>
      </c>
      <c r="G575" s="43">
        <v>6432.72</v>
      </c>
      <c r="H575" s="40">
        <v>2000</v>
      </c>
      <c r="I575" s="41" t="s">
        <v>40</v>
      </c>
    </row>
    <row r="576" spans="1:9" ht="18" customHeight="1" x14ac:dyDescent="0.25">
      <c r="A576" s="38">
        <v>2023</v>
      </c>
      <c r="B576" s="38" t="s">
        <v>2</v>
      </c>
      <c r="C576" s="38" t="s">
        <v>12</v>
      </c>
      <c r="D576" s="42" t="s">
        <v>29</v>
      </c>
      <c r="E576" s="43">
        <v>643</v>
      </c>
      <c r="F576" s="43">
        <v>7000</v>
      </c>
      <c r="G576" s="43">
        <v>7840</v>
      </c>
      <c r="H576" s="40">
        <v>1400</v>
      </c>
      <c r="I576" s="41" t="s">
        <v>40</v>
      </c>
    </row>
    <row r="577" spans="1:9" ht="18" customHeight="1" x14ac:dyDescent="0.25">
      <c r="A577" s="38">
        <v>2023</v>
      </c>
      <c r="B577" s="38" t="s">
        <v>2</v>
      </c>
      <c r="C577" s="38" t="s">
        <v>38</v>
      </c>
      <c r="D577" s="42" t="s">
        <v>31</v>
      </c>
      <c r="E577" s="43">
        <v>455</v>
      </c>
      <c r="F577" s="43">
        <v>4578.6000000000004</v>
      </c>
      <c r="G577" s="43">
        <v>5128.0320000000002</v>
      </c>
      <c r="H577" s="40">
        <v>915.72000000000014</v>
      </c>
      <c r="I577" s="41" t="s">
        <v>40</v>
      </c>
    </row>
    <row r="578" spans="1:9" ht="18" customHeight="1" x14ac:dyDescent="0.25">
      <c r="A578" s="38">
        <v>2023</v>
      </c>
      <c r="B578" s="38" t="s">
        <v>2</v>
      </c>
      <c r="C578" s="38" t="s">
        <v>12</v>
      </c>
      <c r="D578" s="42" t="s">
        <v>28</v>
      </c>
      <c r="E578" s="44">
        <v>345</v>
      </c>
      <c r="F578" s="44">
        <v>7000</v>
      </c>
      <c r="G578" s="44">
        <v>7840</v>
      </c>
      <c r="H578" s="40">
        <v>1400</v>
      </c>
      <c r="I578" s="41" t="s">
        <v>40</v>
      </c>
    </row>
    <row r="579" spans="1:9" ht="18" customHeight="1" x14ac:dyDescent="0.25">
      <c r="A579" s="38">
        <v>2023</v>
      </c>
      <c r="B579" s="38" t="s">
        <v>2</v>
      </c>
      <c r="C579" s="38" t="s">
        <v>13</v>
      </c>
      <c r="D579" s="39" t="s">
        <v>33</v>
      </c>
      <c r="E579" s="40">
        <v>122</v>
      </c>
      <c r="F579" s="40">
        <v>100</v>
      </c>
      <c r="G579" s="40">
        <v>112</v>
      </c>
      <c r="H579" s="40">
        <v>20</v>
      </c>
      <c r="I579" s="41" t="s">
        <v>40</v>
      </c>
    </row>
    <row r="580" spans="1:9" ht="18" customHeight="1" x14ac:dyDescent="0.25">
      <c r="A580" s="38">
        <v>2023</v>
      </c>
      <c r="B580" s="38" t="s">
        <v>2</v>
      </c>
      <c r="C580" s="38" t="s">
        <v>15</v>
      </c>
      <c r="D580" s="42" t="s">
        <v>26</v>
      </c>
      <c r="E580" s="43">
        <v>78</v>
      </c>
      <c r="F580" s="43">
        <v>2288.6</v>
      </c>
      <c r="G580" s="43">
        <v>5126.4639999999999</v>
      </c>
      <c r="H580" s="40">
        <v>457.72</v>
      </c>
      <c r="I580" s="41" t="s">
        <v>40</v>
      </c>
    </row>
    <row r="581" spans="1:9" ht="18" customHeight="1" x14ac:dyDescent="0.25">
      <c r="A581" s="38">
        <v>2023</v>
      </c>
      <c r="B581" s="38" t="s">
        <v>2</v>
      </c>
      <c r="C581" s="38" t="s">
        <v>15</v>
      </c>
      <c r="D581" s="42" t="s">
        <v>24</v>
      </c>
      <c r="E581" s="43">
        <v>76</v>
      </c>
      <c r="F581" s="43">
        <v>2288.4499999999998</v>
      </c>
      <c r="G581" s="43">
        <v>5126.1279999999997</v>
      </c>
      <c r="H581" s="40">
        <v>457.69</v>
      </c>
      <c r="I581" s="41" t="s">
        <v>40</v>
      </c>
    </row>
    <row r="582" spans="1:9" ht="18" customHeight="1" x14ac:dyDescent="0.25">
      <c r="A582" s="38">
        <v>2023</v>
      </c>
      <c r="B582" s="38" t="s">
        <v>2</v>
      </c>
      <c r="C582" s="38" t="s">
        <v>15</v>
      </c>
      <c r="D582" s="42" t="s">
        <v>25</v>
      </c>
      <c r="E582" s="43">
        <v>46</v>
      </c>
      <c r="F582" s="43">
        <v>100</v>
      </c>
      <c r="G582" s="43">
        <v>224</v>
      </c>
      <c r="H582" s="40">
        <v>20</v>
      </c>
      <c r="I582" s="41" t="s">
        <v>40</v>
      </c>
    </row>
    <row r="583" spans="1:9" ht="18" customHeight="1" x14ac:dyDescent="0.25">
      <c r="A583" s="38">
        <v>2023</v>
      </c>
      <c r="B583" s="38" t="s">
        <v>2</v>
      </c>
      <c r="C583" s="38" t="s">
        <v>15</v>
      </c>
      <c r="D583" s="42" t="s">
        <v>23</v>
      </c>
      <c r="E583" s="43">
        <v>34</v>
      </c>
      <c r="F583" s="43">
        <v>2288.4</v>
      </c>
      <c r="G583" s="43">
        <v>5126.0160000000005</v>
      </c>
      <c r="H583" s="40">
        <v>457.68000000000006</v>
      </c>
      <c r="I583" s="41" t="s">
        <v>40</v>
      </c>
    </row>
    <row r="584" spans="1:9" ht="18" customHeight="1" x14ac:dyDescent="0.25">
      <c r="A584" s="38">
        <v>2023</v>
      </c>
      <c r="B584" s="38" t="s">
        <v>2</v>
      </c>
      <c r="C584" s="38" t="s">
        <v>13</v>
      </c>
      <c r="D584" s="39" t="s">
        <v>34</v>
      </c>
      <c r="E584" s="40">
        <v>7</v>
      </c>
      <c r="F584" s="40">
        <v>200</v>
      </c>
      <c r="G584" s="40">
        <v>224</v>
      </c>
      <c r="H584" s="40">
        <v>40</v>
      </c>
      <c r="I584" s="41" t="s">
        <v>40</v>
      </c>
    </row>
    <row r="585" spans="1:9" ht="18" customHeight="1" x14ac:dyDescent="0.25">
      <c r="A585" s="38">
        <v>2023</v>
      </c>
      <c r="B585" s="38" t="s">
        <v>2</v>
      </c>
      <c r="C585" s="38" t="s">
        <v>15</v>
      </c>
      <c r="D585" s="42" t="s">
        <v>27</v>
      </c>
      <c r="E585" s="43">
        <v>3</v>
      </c>
      <c r="F585" s="43">
        <v>2288.65</v>
      </c>
      <c r="G585" s="43">
        <v>5126.576</v>
      </c>
      <c r="H585" s="40">
        <v>457.73</v>
      </c>
      <c r="I585" s="41" t="s">
        <v>40</v>
      </c>
    </row>
    <row r="586" spans="1:9" ht="18" customHeight="1" x14ac:dyDescent="0.25">
      <c r="A586" s="38">
        <v>2023</v>
      </c>
      <c r="B586" s="38" t="s">
        <v>2</v>
      </c>
      <c r="C586" s="38" t="s">
        <v>32</v>
      </c>
      <c r="D586" s="42" t="s">
        <v>32</v>
      </c>
      <c r="E586" s="43">
        <v>2</v>
      </c>
      <c r="F586" s="43">
        <v>6600</v>
      </c>
      <c r="G586" s="43">
        <v>7392</v>
      </c>
      <c r="H586" s="40">
        <v>1320</v>
      </c>
      <c r="I586" s="41" t="s">
        <v>40</v>
      </c>
    </row>
    <row r="587" spans="1:9" ht="18" customHeight="1" x14ac:dyDescent="0.25">
      <c r="A587" s="38">
        <v>2023</v>
      </c>
      <c r="B587" s="38" t="s">
        <v>3</v>
      </c>
      <c r="C587" s="38" t="s">
        <v>14</v>
      </c>
      <c r="D587" s="39" t="s">
        <v>36</v>
      </c>
      <c r="E587" s="40">
        <v>3566</v>
      </c>
      <c r="F587" s="40">
        <v>4577.3</v>
      </c>
      <c r="G587" s="40">
        <v>5126.576</v>
      </c>
      <c r="H587" s="40">
        <v>915.46</v>
      </c>
      <c r="I587" s="41" t="s">
        <v>40</v>
      </c>
    </row>
    <row r="588" spans="1:9" ht="18" customHeight="1" x14ac:dyDescent="0.25">
      <c r="A588" s="38">
        <v>2023</v>
      </c>
      <c r="B588" s="38" t="s">
        <v>3</v>
      </c>
      <c r="C588" s="38" t="s">
        <v>14</v>
      </c>
      <c r="D588" s="39" t="s">
        <v>37</v>
      </c>
      <c r="E588" s="40">
        <v>2498</v>
      </c>
      <c r="F588" s="40">
        <v>8000</v>
      </c>
      <c r="G588" s="40">
        <v>8960</v>
      </c>
      <c r="H588" s="40">
        <v>1600</v>
      </c>
      <c r="I588" s="41" t="s">
        <v>42</v>
      </c>
    </row>
    <row r="589" spans="1:9" ht="18" customHeight="1" x14ac:dyDescent="0.25">
      <c r="A589" s="38">
        <v>2023</v>
      </c>
      <c r="B589" s="38" t="s">
        <v>3</v>
      </c>
      <c r="C589" s="38" t="s">
        <v>13</v>
      </c>
      <c r="D589" s="39" t="s">
        <v>35</v>
      </c>
      <c r="E589" s="40">
        <v>1245</v>
      </c>
      <c r="F589" s="40">
        <v>4577.2</v>
      </c>
      <c r="G589" s="40">
        <v>5126.4639999999999</v>
      </c>
      <c r="H589" s="40">
        <v>915.44</v>
      </c>
      <c r="I589" s="41" t="s">
        <v>42</v>
      </c>
    </row>
    <row r="590" spans="1:9" ht="18" customHeight="1" x14ac:dyDescent="0.25">
      <c r="A590" s="38">
        <v>2023</v>
      </c>
      <c r="B590" s="38" t="s">
        <v>3</v>
      </c>
      <c r="C590" s="38" t="s">
        <v>38</v>
      </c>
      <c r="D590" s="42" t="s">
        <v>30</v>
      </c>
      <c r="E590" s="43">
        <v>644</v>
      </c>
      <c r="F590" s="43">
        <v>15000</v>
      </c>
      <c r="G590" s="43">
        <v>6432.72</v>
      </c>
      <c r="H590" s="40">
        <v>3000</v>
      </c>
      <c r="I590" s="41" t="s">
        <v>42</v>
      </c>
    </row>
    <row r="591" spans="1:9" ht="18" customHeight="1" x14ac:dyDescent="0.25">
      <c r="A591" s="38">
        <v>2023</v>
      </c>
      <c r="B591" s="38" t="s">
        <v>3</v>
      </c>
      <c r="C591" s="38" t="s">
        <v>12</v>
      </c>
      <c r="D591" s="42" t="s">
        <v>29</v>
      </c>
      <c r="E591" s="43">
        <v>643</v>
      </c>
      <c r="F591" s="43">
        <v>7000</v>
      </c>
      <c r="G591" s="43">
        <v>7840</v>
      </c>
      <c r="H591" s="40">
        <v>1400</v>
      </c>
      <c r="I591" s="41" t="s">
        <v>42</v>
      </c>
    </row>
    <row r="592" spans="1:9" ht="18" customHeight="1" x14ac:dyDescent="0.25">
      <c r="A592" s="38">
        <v>2023</v>
      </c>
      <c r="B592" s="38" t="s">
        <v>3</v>
      </c>
      <c r="C592" s="38" t="s">
        <v>38</v>
      </c>
      <c r="D592" s="42" t="s">
        <v>31</v>
      </c>
      <c r="E592" s="43">
        <v>455</v>
      </c>
      <c r="F592" s="43">
        <v>14000</v>
      </c>
      <c r="G592" s="43">
        <v>5128.0320000000002</v>
      </c>
      <c r="H592" s="40">
        <v>2800</v>
      </c>
      <c r="I592" s="41" t="s">
        <v>42</v>
      </c>
    </row>
    <row r="593" spans="1:9" ht="18" customHeight="1" x14ac:dyDescent="0.25">
      <c r="A593" s="38">
        <v>2023</v>
      </c>
      <c r="B593" s="38" t="s">
        <v>3</v>
      </c>
      <c r="C593" s="38" t="s">
        <v>12</v>
      </c>
      <c r="D593" s="42" t="s">
        <v>28</v>
      </c>
      <c r="E593" s="44">
        <v>345</v>
      </c>
      <c r="F593" s="44">
        <v>7000</v>
      </c>
      <c r="G593" s="44">
        <v>7840</v>
      </c>
      <c r="H593" s="40">
        <v>1400</v>
      </c>
      <c r="I593" s="41" t="s">
        <v>42</v>
      </c>
    </row>
    <row r="594" spans="1:9" ht="18" customHeight="1" x14ac:dyDescent="0.25">
      <c r="A594" s="38">
        <v>2023</v>
      </c>
      <c r="B594" s="38" t="s">
        <v>3</v>
      </c>
      <c r="C594" s="38" t="s">
        <v>13</v>
      </c>
      <c r="D594" s="39" t="s">
        <v>33</v>
      </c>
      <c r="E594" s="40">
        <v>122</v>
      </c>
      <c r="F594" s="40">
        <v>100</v>
      </c>
      <c r="G594" s="40">
        <v>112</v>
      </c>
      <c r="H594" s="40">
        <v>20</v>
      </c>
      <c r="I594" s="41" t="s">
        <v>42</v>
      </c>
    </row>
    <row r="595" spans="1:9" ht="18" customHeight="1" x14ac:dyDescent="0.25">
      <c r="A595" s="38">
        <v>2023</v>
      </c>
      <c r="B595" s="38" t="s">
        <v>3</v>
      </c>
      <c r="C595" s="38" t="s">
        <v>15</v>
      </c>
      <c r="D595" s="42" t="s">
        <v>26</v>
      </c>
      <c r="E595" s="43">
        <v>78</v>
      </c>
      <c r="F595" s="43">
        <v>2288.6</v>
      </c>
      <c r="G595" s="43">
        <v>5126.4639999999999</v>
      </c>
      <c r="H595" s="40">
        <v>457.72</v>
      </c>
      <c r="I595" s="41" t="s">
        <v>42</v>
      </c>
    </row>
    <row r="596" spans="1:9" ht="18" customHeight="1" x14ac:dyDescent="0.25">
      <c r="A596" s="38">
        <v>2023</v>
      </c>
      <c r="B596" s="38" t="s">
        <v>3</v>
      </c>
      <c r="C596" s="38" t="s">
        <v>15</v>
      </c>
      <c r="D596" s="42" t="s">
        <v>24</v>
      </c>
      <c r="E596" s="43">
        <v>76</v>
      </c>
      <c r="F596" s="43">
        <v>2288.4499999999998</v>
      </c>
      <c r="G596" s="43">
        <v>5126.1279999999997</v>
      </c>
      <c r="H596" s="40">
        <v>457.69</v>
      </c>
      <c r="I596" s="41" t="s">
        <v>42</v>
      </c>
    </row>
    <row r="597" spans="1:9" ht="18" customHeight="1" x14ac:dyDescent="0.25">
      <c r="A597" s="38">
        <v>2023</v>
      </c>
      <c r="B597" s="38" t="s">
        <v>3</v>
      </c>
      <c r="C597" s="38" t="s">
        <v>15</v>
      </c>
      <c r="D597" s="42" t="s">
        <v>25</v>
      </c>
      <c r="E597" s="43">
        <v>46</v>
      </c>
      <c r="F597" s="43">
        <v>100</v>
      </c>
      <c r="G597" s="43">
        <v>224</v>
      </c>
      <c r="H597" s="40">
        <v>20</v>
      </c>
      <c r="I597" s="41" t="s">
        <v>42</v>
      </c>
    </row>
    <row r="598" spans="1:9" ht="18" customHeight="1" x14ac:dyDescent="0.25">
      <c r="A598" s="38">
        <v>2023</v>
      </c>
      <c r="B598" s="38" t="s">
        <v>3</v>
      </c>
      <c r="C598" s="38" t="s">
        <v>15</v>
      </c>
      <c r="D598" s="42" t="s">
        <v>23</v>
      </c>
      <c r="E598" s="43">
        <v>34</v>
      </c>
      <c r="F598" s="43">
        <v>2288.4</v>
      </c>
      <c r="G598" s="43">
        <v>5126.0160000000005</v>
      </c>
      <c r="H598" s="40">
        <v>457.68000000000006</v>
      </c>
      <c r="I598" s="41" t="s">
        <v>42</v>
      </c>
    </row>
    <row r="599" spans="1:9" ht="18" customHeight="1" x14ac:dyDescent="0.25">
      <c r="A599" s="38">
        <v>2023</v>
      </c>
      <c r="B599" s="38" t="s">
        <v>3</v>
      </c>
      <c r="C599" s="38" t="s">
        <v>13</v>
      </c>
      <c r="D599" s="39" t="s">
        <v>34</v>
      </c>
      <c r="E599" s="40">
        <v>7</v>
      </c>
      <c r="F599" s="40">
        <v>200</v>
      </c>
      <c r="G599" s="40">
        <v>224</v>
      </c>
      <c r="H599" s="40">
        <v>40</v>
      </c>
      <c r="I599" s="41" t="s">
        <v>42</v>
      </c>
    </row>
    <row r="600" spans="1:9" ht="18" customHeight="1" x14ac:dyDescent="0.25">
      <c r="A600" s="38">
        <v>2023</v>
      </c>
      <c r="B600" s="38" t="s">
        <v>3</v>
      </c>
      <c r="C600" s="38" t="s">
        <v>15</v>
      </c>
      <c r="D600" s="42" t="s">
        <v>27</v>
      </c>
      <c r="E600" s="43">
        <v>3</v>
      </c>
      <c r="F600" s="43">
        <v>2288.65</v>
      </c>
      <c r="G600" s="43">
        <v>5126.576</v>
      </c>
      <c r="H600" s="40">
        <v>457.73</v>
      </c>
      <c r="I600" s="41" t="s">
        <v>42</v>
      </c>
    </row>
    <row r="601" spans="1:9" ht="18" customHeight="1" x14ac:dyDescent="0.25">
      <c r="A601" s="38">
        <v>2023</v>
      </c>
      <c r="B601" s="38" t="s">
        <v>3</v>
      </c>
      <c r="C601" s="38" t="s">
        <v>32</v>
      </c>
      <c r="D601" s="42" t="s">
        <v>32</v>
      </c>
      <c r="E601" s="43">
        <v>2</v>
      </c>
      <c r="F601" s="43">
        <v>7920</v>
      </c>
      <c r="G601" s="43">
        <v>7392</v>
      </c>
      <c r="H601" s="40">
        <v>1584</v>
      </c>
      <c r="I601" s="41" t="s">
        <v>42</v>
      </c>
    </row>
    <row r="602" spans="1:9" ht="18" customHeight="1" x14ac:dyDescent="0.25">
      <c r="A602" s="38">
        <v>2023</v>
      </c>
      <c r="B602" s="38" t="s">
        <v>4</v>
      </c>
      <c r="C602" s="38" t="s">
        <v>14</v>
      </c>
      <c r="D602" s="39" t="s">
        <v>36</v>
      </c>
      <c r="E602" s="40">
        <v>3566</v>
      </c>
      <c r="F602" s="40">
        <v>4577.3</v>
      </c>
      <c r="G602" s="40">
        <v>5126.576</v>
      </c>
      <c r="H602" s="40">
        <v>915.46</v>
      </c>
      <c r="I602" s="41" t="s">
        <v>42</v>
      </c>
    </row>
    <row r="603" spans="1:9" ht="18" customHeight="1" x14ac:dyDescent="0.25">
      <c r="A603" s="38">
        <v>2023</v>
      </c>
      <c r="B603" s="38" t="s">
        <v>4</v>
      </c>
      <c r="C603" s="38" t="s">
        <v>14</v>
      </c>
      <c r="D603" s="39" t="s">
        <v>37</v>
      </c>
      <c r="E603" s="40">
        <v>2498</v>
      </c>
      <c r="F603" s="40">
        <v>8800</v>
      </c>
      <c r="G603" s="40">
        <v>8960</v>
      </c>
      <c r="H603" s="40">
        <v>1760</v>
      </c>
      <c r="I603" s="41" t="s">
        <v>42</v>
      </c>
    </row>
    <row r="604" spans="1:9" ht="18" customHeight="1" x14ac:dyDescent="0.25">
      <c r="A604" s="38">
        <v>2023</v>
      </c>
      <c r="B604" s="38" t="s">
        <v>4</v>
      </c>
      <c r="C604" s="38" t="s">
        <v>13</v>
      </c>
      <c r="D604" s="39" t="s">
        <v>35</v>
      </c>
      <c r="E604" s="40">
        <v>1245</v>
      </c>
      <c r="F604" s="40">
        <v>5034.92</v>
      </c>
      <c r="G604" s="40">
        <v>5126.4639999999999</v>
      </c>
      <c r="H604" s="40">
        <v>1006.984</v>
      </c>
      <c r="I604" s="41" t="s">
        <v>42</v>
      </c>
    </row>
    <row r="605" spans="1:9" ht="18" customHeight="1" x14ac:dyDescent="0.25">
      <c r="A605" s="38">
        <v>2023</v>
      </c>
      <c r="B605" s="38" t="s">
        <v>4</v>
      </c>
      <c r="C605" s="38" t="s">
        <v>38</v>
      </c>
      <c r="D605" s="42" t="s">
        <v>30</v>
      </c>
      <c r="E605" s="43">
        <v>644</v>
      </c>
      <c r="F605" s="43">
        <v>6317.85</v>
      </c>
      <c r="G605" s="43">
        <v>6432.72</v>
      </c>
      <c r="H605" s="40">
        <v>1263.5700000000002</v>
      </c>
      <c r="I605" s="41" t="s">
        <v>42</v>
      </c>
    </row>
    <row r="606" spans="1:9" ht="18" customHeight="1" x14ac:dyDescent="0.25">
      <c r="A606" s="38">
        <v>2023</v>
      </c>
      <c r="B606" s="38" t="s">
        <v>4</v>
      </c>
      <c r="C606" s="38" t="s">
        <v>12</v>
      </c>
      <c r="D606" s="42" t="s">
        <v>29</v>
      </c>
      <c r="E606" s="43">
        <v>643</v>
      </c>
      <c r="F606" s="43">
        <v>7700</v>
      </c>
      <c r="G606" s="43">
        <v>7840</v>
      </c>
      <c r="H606" s="40">
        <v>1540</v>
      </c>
      <c r="I606" s="41" t="s">
        <v>42</v>
      </c>
    </row>
    <row r="607" spans="1:9" ht="18" customHeight="1" x14ac:dyDescent="0.25">
      <c r="A607" s="38">
        <v>2023</v>
      </c>
      <c r="B607" s="38" t="s">
        <v>4</v>
      </c>
      <c r="C607" s="38" t="s">
        <v>38</v>
      </c>
      <c r="D607" s="42" t="s">
        <v>31</v>
      </c>
      <c r="E607" s="43">
        <v>455</v>
      </c>
      <c r="F607" s="43">
        <v>5036.46</v>
      </c>
      <c r="G607" s="43">
        <v>5128.0320000000002</v>
      </c>
      <c r="H607" s="40">
        <v>1007.292</v>
      </c>
      <c r="I607" s="41" t="s">
        <v>42</v>
      </c>
    </row>
    <row r="608" spans="1:9" ht="18" customHeight="1" x14ac:dyDescent="0.25">
      <c r="A608" s="38">
        <v>2023</v>
      </c>
      <c r="B608" s="38" t="s">
        <v>4</v>
      </c>
      <c r="C608" s="38" t="s">
        <v>12</v>
      </c>
      <c r="D608" s="42" t="s">
        <v>28</v>
      </c>
      <c r="E608" s="44">
        <v>345</v>
      </c>
      <c r="F608" s="44">
        <v>7700</v>
      </c>
      <c r="G608" s="44">
        <v>7840</v>
      </c>
      <c r="H608" s="40">
        <v>1540</v>
      </c>
      <c r="I608" s="41" t="s">
        <v>42</v>
      </c>
    </row>
    <row r="609" spans="1:9" ht="18" customHeight="1" x14ac:dyDescent="0.25">
      <c r="A609" s="38">
        <v>2023</v>
      </c>
      <c r="B609" s="38" t="s">
        <v>4</v>
      </c>
      <c r="C609" s="38" t="s">
        <v>13</v>
      </c>
      <c r="D609" s="39" t="s">
        <v>33</v>
      </c>
      <c r="E609" s="40">
        <v>122</v>
      </c>
      <c r="F609" s="40">
        <v>110</v>
      </c>
      <c r="G609" s="40">
        <v>112</v>
      </c>
      <c r="H609" s="40">
        <v>22</v>
      </c>
      <c r="I609" s="41" t="s">
        <v>42</v>
      </c>
    </row>
    <row r="610" spans="1:9" ht="18" customHeight="1" x14ac:dyDescent="0.25">
      <c r="A610" s="38">
        <v>2023</v>
      </c>
      <c r="B610" s="38" t="s">
        <v>4</v>
      </c>
      <c r="C610" s="38" t="s">
        <v>15</v>
      </c>
      <c r="D610" s="42" t="s">
        <v>26</v>
      </c>
      <c r="E610" s="43">
        <v>78</v>
      </c>
      <c r="F610" s="43">
        <v>2517.46</v>
      </c>
      <c r="G610" s="43">
        <v>5126.4639999999999</v>
      </c>
      <c r="H610" s="40">
        <v>503.49200000000002</v>
      </c>
      <c r="I610" s="41" t="s">
        <v>42</v>
      </c>
    </row>
    <row r="611" spans="1:9" ht="18" customHeight="1" x14ac:dyDescent="0.25">
      <c r="A611" s="38">
        <v>2023</v>
      </c>
      <c r="B611" s="38" t="s">
        <v>4</v>
      </c>
      <c r="C611" s="38" t="s">
        <v>15</v>
      </c>
      <c r="D611" s="42" t="s">
        <v>24</v>
      </c>
      <c r="E611" s="43">
        <v>76</v>
      </c>
      <c r="F611" s="43">
        <v>2288.4499999999998</v>
      </c>
      <c r="G611" s="43">
        <v>5126.1279999999997</v>
      </c>
      <c r="H611" s="40">
        <v>457.69</v>
      </c>
      <c r="I611" s="41" t="s">
        <v>42</v>
      </c>
    </row>
    <row r="612" spans="1:9" ht="18" customHeight="1" x14ac:dyDescent="0.25">
      <c r="A612" s="38">
        <v>2023</v>
      </c>
      <c r="B612" s="38" t="s">
        <v>4</v>
      </c>
      <c r="C612" s="38" t="s">
        <v>15</v>
      </c>
      <c r="D612" s="42" t="s">
        <v>25</v>
      </c>
      <c r="E612" s="43">
        <v>46</v>
      </c>
      <c r="F612" s="43">
        <v>100</v>
      </c>
      <c r="G612" s="43">
        <v>224</v>
      </c>
      <c r="H612" s="40">
        <v>20</v>
      </c>
      <c r="I612" s="41" t="s">
        <v>42</v>
      </c>
    </row>
    <row r="613" spans="1:9" ht="18" customHeight="1" x14ac:dyDescent="0.25">
      <c r="A613" s="38">
        <v>2023</v>
      </c>
      <c r="B613" s="38" t="s">
        <v>4</v>
      </c>
      <c r="C613" s="38" t="s">
        <v>15</v>
      </c>
      <c r="D613" s="42" t="s">
        <v>23</v>
      </c>
      <c r="E613" s="43">
        <v>34</v>
      </c>
      <c r="F613" s="43">
        <v>2288.4</v>
      </c>
      <c r="G613" s="43">
        <v>5126.0160000000005</v>
      </c>
      <c r="H613" s="40">
        <v>457.68000000000006</v>
      </c>
      <c r="I613" s="41" t="s">
        <v>40</v>
      </c>
    </row>
    <row r="614" spans="1:9" ht="18" customHeight="1" x14ac:dyDescent="0.25">
      <c r="A614" s="38">
        <v>2023</v>
      </c>
      <c r="B614" s="38" t="s">
        <v>4</v>
      </c>
      <c r="C614" s="38" t="s">
        <v>13</v>
      </c>
      <c r="D614" s="39" t="s">
        <v>34</v>
      </c>
      <c r="E614" s="40">
        <v>7</v>
      </c>
      <c r="F614" s="40">
        <v>200</v>
      </c>
      <c r="G614" s="40">
        <v>224</v>
      </c>
      <c r="H614" s="40">
        <v>40</v>
      </c>
      <c r="I614" s="41" t="s">
        <v>40</v>
      </c>
    </row>
    <row r="615" spans="1:9" ht="18" customHeight="1" x14ac:dyDescent="0.25">
      <c r="A615" s="38">
        <v>2023</v>
      </c>
      <c r="B615" s="38" t="s">
        <v>4</v>
      </c>
      <c r="C615" s="38" t="s">
        <v>15</v>
      </c>
      <c r="D615" s="42" t="s">
        <v>27</v>
      </c>
      <c r="E615" s="43">
        <v>3</v>
      </c>
      <c r="F615" s="43">
        <v>3300</v>
      </c>
      <c r="G615" s="43">
        <v>5126.576</v>
      </c>
      <c r="H615" s="40">
        <v>660</v>
      </c>
      <c r="I615" s="41" t="s">
        <v>40</v>
      </c>
    </row>
    <row r="616" spans="1:9" ht="18" customHeight="1" x14ac:dyDescent="0.25">
      <c r="A616" s="38">
        <v>2023</v>
      </c>
      <c r="B616" s="38" t="s">
        <v>4</v>
      </c>
      <c r="C616" s="38" t="s">
        <v>32</v>
      </c>
      <c r="D616" s="42" t="s">
        <v>32</v>
      </c>
      <c r="E616" s="43">
        <v>2</v>
      </c>
      <c r="F616" s="43">
        <v>4577.3</v>
      </c>
      <c r="G616" s="43">
        <v>7392</v>
      </c>
      <c r="H616" s="40">
        <v>915.46</v>
      </c>
      <c r="I616" s="41" t="s">
        <v>40</v>
      </c>
    </row>
    <row r="617" spans="1:9" ht="18" customHeight="1" x14ac:dyDescent="0.25">
      <c r="A617" s="38">
        <v>2023</v>
      </c>
      <c r="B617" s="38" t="s">
        <v>5</v>
      </c>
      <c r="C617" s="38" t="s">
        <v>14</v>
      </c>
      <c r="D617" s="39" t="s">
        <v>36</v>
      </c>
      <c r="E617" s="40">
        <v>3566</v>
      </c>
      <c r="F617" s="40">
        <v>4577.3</v>
      </c>
      <c r="G617" s="40">
        <v>5126.576</v>
      </c>
      <c r="H617" s="40">
        <v>915.46</v>
      </c>
      <c r="I617" s="41" t="s">
        <v>40</v>
      </c>
    </row>
    <row r="618" spans="1:9" ht="18" customHeight="1" x14ac:dyDescent="0.25">
      <c r="A618" s="38">
        <v>2023</v>
      </c>
      <c r="B618" s="38" t="s">
        <v>5</v>
      </c>
      <c r="C618" s="38" t="s">
        <v>14</v>
      </c>
      <c r="D618" s="39" t="s">
        <v>37</v>
      </c>
      <c r="E618" s="40">
        <v>2498</v>
      </c>
      <c r="F618" s="40">
        <v>8000</v>
      </c>
      <c r="G618" s="40">
        <v>8960</v>
      </c>
      <c r="H618" s="40">
        <v>1600</v>
      </c>
      <c r="I618" s="41" t="s">
        <v>40</v>
      </c>
    </row>
    <row r="619" spans="1:9" ht="18" customHeight="1" x14ac:dyDescent="0.25">
      <c r="A619" s="38">
        <v>2023</v>
      </c>
      <c r="B619" s="38" t="s">
        <v>5</v>
      </c>
      <c r="C619" s="38" t="s">
        <v>13</v>
      </c>
      <c r="D619" s="39" t="s">
        <v>35</v>
      </c>
      <c r="E619" s="40">
        <v>1245</v>
      </c>
      <c r="F619" s="40">
        <v>4577.2</v>
      </c>
      <c r="G619" s="40">
        <v>5126.4639999999999</v>
      </c>
      <c r="H619" s="40">
        <v>915.44</v>
      </c>
      <c r="I619" s="41" t="s">
        <v>40</v>
      </c>
    </row>
    <row r="620" spans="1:9" ht="18" customHeight="1" x14ac:dyDescent="0.25">
      <c r="A620" s="38">
        <v>2023</v>
      </c>
      <c r="B620" s="38" t="s">
        <v>5</v>
      </c>
      <c r="C620" s="38" t="s">
        <v>38</v>
      </c>
      <c r="D620" s="42" t="s">
        <v>30</v>
      </c>
      <c r="E620" s="43">
        <v>644</v>
      </c>
      <c r="F620" s="43">
        <v>10000</v>
      </c>
      <c r="G620" s="43">
        <v>6432.72</v>
      </c>
      <c r="H620" s="40">
        <v>2000</v>
      </c>
      <c r="I620" s="41" t="s">
        <v>40</v>
      </c>
    </row>
    <row r="621" spans="1:9" ht="18" customHeight="1" x14ac:dyDescent="0.25">
      <c r="A621" s="38">
        <v>2023</v>
      </c>
      <c r="B621" s="38" t="s">
        <v>5</v>
      </c>
      <c r="C621" s="38" t="s">
        <v>12</v>
      </c>
      <c r="D621" s="42" t="s">
        <v>29</v>
      </c>
      <c r="E621" s="43">
        <v>643</v>
      </c>
      <c r="F621" s="43">
        <v>7000</v>
      </c>
      <c r="G621" s="43">
        <v>7840</v>
      </c>
      <c r="H621" s="40">
        <v>1400</v>
      </c>
      <c r="I621" s="41" t="s">
        <v>40</v>
      </c>
    </row>
    <row r="622" spans="1:9" ht="18" customHeight="1" x14ac:dyDescent="0.25">
      <c r="A622" s="38">
        <v>2023</v>
      </c>
      <c r="B622" s="38" t="s">
        <v>5</v>
      </c>
      <c r="C622" s="38" t="s">
        <v>38</v>
      </c>
      <c r="D622" s="42" t="s">
        <v>31</v>
      </c>
      <c r="E622" s="43">
        <v>455</v>
      </c>
      <c r="F622" s="43">
        <v>8000</v>
      </c>
      <c r="G622" s="43">
        <v>5128.0320000000002</v>
      </c>
      <c r="H622" s="40">
        <v>1600</v>
      </c>
      <c r="I622" s="41" t="s">
        <v>40</v>
      </c>
    </row>
    <row r="623" spans="1:9" ht="18" customHeight="1" x14ac:dyDescent="0.25">
      <c r="A623" s="38">
        <v>2023</v>
      </c>
      <c r="B623" s="38" t="s">
        <v>5</v>
      </c>
      <c r="C623" s="38" t="s">
        <v>12</v>
      </c>
      <c r="D623" s="42" t="s">
        <v>28</v>
      </c>
      <c r="E623" s="44">
        <v>345</v>
      </c>
      <c r="F623" s="44">
        <v>7000</v>
      </c>
      <c r="G623" s="44">
        <v>7840</v>
      </c>
      <c r="H623" s="40">
        <v>1400</v>
      </c>
      <c r="I623" s="41" t="s">
        <v>40</v>
      </c>
    </row>
    <row r="624" spans="1:9" ht="18" customHeight="1" x14ac:dyDescent="0.25">
      <c r="A624" s="38">
        <v>2023</v>
      </c>
      <c r="B624" s="38" t="s">
        <v>5</v>
      </c>
      <c r="C624" s="38" t="s">
        <v>13</v>
      </c>
      <c r="D624" s="39" t="s">
        <v>33</v>
      </c>
      <c r="E624" s="40">
        <v>122</v>
      </c>
      <c r="F624" s="40">
        <v>100</v>
      </c>
      <c r="G624" s="40">
        <v>112</v>
      </c>
      <c r="H624" s="40">
        <v>20</v>
      </c>
      <c r="I624" s="41" t="s">
        <v>40</v>
      </c>
    </row>
    <row r="625" spans="1:9" ht="18" customHeight="1" x14ac:dyDescent="0.25">
      <c r="A625" s="38">
        <v>2023</v>
      </c>
      <c r="B625" s="38" t="s">
        <v>5</v>
      </c>
      <c r="C625" s="38" t="s">
        <v>15</v>
      </c>
      <c r="D625" s="42" t="s">
        <v>26</v>
      </c>
      <c r="E625" s="43">
        <v>78</v>
      </c>
      <c r="F625" s="43">
        <v>2288.6</v>
      </c>
      <c r="G625" s="43">
        <v>5126.4639999999999</v>
      </c>
      <c r="H625" s="40">
        <v>457.72</v>
      </c>
      <c r="I625" s="41" t="s">
        <v>40</v>
      </c>
    </row>
    <row r="626" spans="1:9" ht="18" customHeight="1" x14ac:dyDescent="0.25">
      <c r="A626" s="38">
        <v>2023</v>
      </c>
      <c r="B626" s="38" t="s">
        <v>5</v>
      </c>
      <c r="C626" s="38" t="s">
        <v>15</v>
      </c>
      <c r="D626" s="42" t="s">
        <v>24</v>
      </c>
      <c r="E626" s="43">
        <v>76</v>
      </c>
      <c r="F626" s="43">
        <v>2288.4499999999998</v>
      </c>
      <c r="G626" s="43">
        <v>5126.1279999999997</v>
      </c>
      <c r="H626" s="40">
        <v>457.69</v>
      </c>
      <c r="I626" s="41" t="s">
        <v>40</v>
      </c>
    </row>
    <row r="627" spans="1:9" ht="18" customHeight="1" x14ac:dyDescent="0.25">
      <c r="A627" s="38">
        <v>2023</v>
      </c>
      <c r="B627" s="38" t="s">
        <v>5</v>
      </c>
      <c r="C627" s="38" t="s">
        <v>15</v>
      </c>
      <c r="D627" s="42" t="s">
        <v>25</v>
      </c>
      <c r="E627" s="43">
        <v>46</v>
      </c>
      <c r="F627" s="43">
        <v>100</v>
      </c>
      <c r="G627" s="43">
        <v>224</v>
      </c>
      <c r="H627" s="40">
        <v>20</v>
      </c>
      <c r="I627" s="41" t="s">
        <v>40</v>
      </c>
    </row>
    <row r="628" spans="1:9" ht="18" customHeight="1" x14ac:dyDescent="0.25">
      <c r="A628" s="38">
        <v>2023</v>
      </c>
      <c r="B628" s="38" t="s">
        <v>5</v>
      </c>
      <c r="C628" s="38" t="s">
        <v>15</v>
      </c>
      <c r="D628" s="42" t="s">
        <v>23</v>
      </c>
      <c r="E628" s="43">
        <v>34</v>
      </c>
      <c r="F628" s="43">
        <v>2288.4</v>
      </c>
      <c r="G628" s="43">
        <v>5126.0160000000005</v>
      </c>
      <c r="H628" s="40">
        <v>457.68000000000006</v>
      </c>
      <c r="I628" s="41" t="s">
        <v>40</v>
      </c>
    </row>
    <row r="629" spans="1:9" ht="18" customHeight="1" x14ac:dyDescent="0.25">
      <c r="A629" s="38">
        <v>2023</v>
      </c>
      <c r="B629" s="38" t="s">
        <v>5</v>
      </c>
      <c r="C629" s="38" t="s">
        <v>13</v>
      </c>
      <c r="D629" s="39" t="s">
        <v>34</v>
      </c>
      <c r="E629" s="40">
        <v>7</v>
      </c>
      <c r="F629" s="40">
        <v>200</v>
      </c>
      <c r="G629" s="40">
        <v>224</v>
      </c>
      <c r="H629" s="40">
        <v>40</v>
      </c>
      <c r="I629" s="41" t="s">
        <v>40</v>
      </c>
    </row>
    <row r="630" spans="1:9" ht="18" customHeight="1" x14ac:dyDescent="0.25">
      <c r="A630" s="38">
        <v>2023</v>
      </c>
      <c r="B630" s="38" t="s">
        <v>5</v>
      </c>
      <c r="C630" s="38" t="s">
        <v>32</v>
      </c>
      <c r="D630" s="42" t="s">
        <v>32</v>
      </c>
      <c r="E630" s="43">
        <v>3</v>
      </c>
      <c r="F630" s="43">
        <v>4577.3</v>
      </c>
      <c r="G630" s="43">
        <v>7392</v>
      </c>
      <c r="H630" s="40">
        <v>915.46</v>
      </c>
      <c r="I630" s="41" t="s">
        <v>42</v>
      </c>
    </row>
    <row r="631" spans="1:9" ht="18" customHeight="1" x14ac:dyDescent="0.25">
      <c r="A631" s="38">
        <v>2023</v>
      </c>
      <c r="B631" s="38" t="s">
        <v>5</v>
      </c>
      <c r="C631" s="38" t="s">
        <v>15</v>
      </c>
      <c r="D631" s="42" t="s">
        <v>27</v>
      </c>
      <c r="E631" s="43">
        <v>3</v>
      </c>
      <c r="F631" s="43">
        <v>2288.65</v>
      </c>
      <c r="G631" s="43">
        <v>5126.576</v>
      </c>
      <c r="H631" s="40">
        <v>457.73</v>
      </c>
      <c r="I631" s="41" t="s">
        <v>42</v>
      </c>
    </row>
    <row r="632" spans="1:9" ht="18" customHeight="1" x14ac:dyDescent="0.25">
      <c r="A632" s="38">
        <v>2023</v>
      </c>
      <c r="B632" s="38" t="s">
        <v>6</v>
      </c>
      <c r="C632" s="38" t="s">
        <v>14</v>
      </c>
      <c r="D632" s="39" t="s">
        <v>36</v>
      </c>
      <c r="E632" s="40">
        <v>3566</v>
      </c>
      <c r="F632" s="40">
        <v>4577.3</v>
      </c>
      <c r="G632" s="40">
        <v>5126.576</v>
      </c>
      <c r="H632" s="40">
        <v>915.46</v>
      </c>
      <c r="I632" s="41" t="s">
        <v>42</v>
      </c>
    </row>
    <row r="633" spans="1:9" ht="18" customHeight="1" x14ac:dyDescent="0.25">
      <c r="A633" s="38">
        <v>2023</v>
      </c>
      <c r="B633" s="38" t="s">
        <v>6</v>
      </c>
      <c r="C633" s="38" t="s">
        <v>14</v>
      </c>
      <c r="D633" s="39" t="s">
        <v>37</v>
      </c>
      <c r="E633" s="40">
        <v>2498</v>
      </c>
      <c r="F633" s="40">
        <v>8000</v>
      </c>
      <c r="G633" s="40">
        <v>8960</v>
      </c>
      <c r="H633" s="40">
        <v>1600</v>
      </c>
      <c r="I633" s="41" t="s">
        <v>42</v>
      </c>
    </row>
    <row r="634" spans="1:9" ht="18" customHeight="1" x14ac:dyDescent="0.25">
      <c r="A634" s="38">
        <v>2023</v>
      </c>
      <c r="B634" s="38" t="s">
        <v>6</v>
      </c>
      <c r="C634" s="38" t="s">
        <v>13</v>
      </c>
      <c r="D634" s="39" t="s">
        <v>35</v>
      </c>
      <c r="E634" s="40">
        <v>1245</v>
      </c>
      <c r="F634" s="40">
        <v>4577.2</v>
      </c>
      <c r="G634" s="40">
        <v>5126.4639999999999</v>
      </c>
      <c r="H634" s="40">
        <v>915.44</v>
      </c>
      <c r="I634" s="41" t="s">
        <v>42</v>
      </c>
    </row>
    <row r="635" spans="1:9" ht="18" customHeight="1" x14ac:dyDescent="0.25">
      <c r="A635" s="38">
        <v>2023</v>
      </c>
      <c r="B635" s="38" t="s">
        <v>6</v>
      </c>
      <c r="C635" s="38" t="s">
        <v>38</v>
      </c>
      <c r="D635" s="42" t="s">
        <v>30</v>
      </c>
      <c r="E635" s="43">
        <v>644</v>
      </c>
      <c r="F635" s="43">
        <v>5743.5</v>
      </c>
      <c r="G635" s="43">
        <v>6432.72</v>
      </c>
      <c r="H635" s="40">
        <v>1148.7</v>
      </c>
      <c r="I635" s="41" t="s">
        <v>42</v>
      </c>
    </row>
    <row r="636" spans="1:9" ht="18" customHeight="1" x14ac:dyDescent="0.25">
      <c r="A636" s="38">
        <v>2023</v>
      </c>
      <c r="B636" s="38" t="s">
        <v>6</v>
      </c>
      <c r="C636" s="38" t="s">
        <v>12</v>
      </c>
      <c r="D636" s="42" t="s">
        <v>29</v>
      </c>
      <c r="E636" s="43">
        <v>643</v>
      </c>
      <c r="F636" s="43">
        <v>7000</v>
      </c>
      <c r="G636" s="43">
        <v>7840</v>
      </c>
      <c r="H636" s="40">
        <v>1400</v>
      </c>
      <c r="I636" s="41" t="s">
        <v>42</v>
      </c>
    </row>
    <row r="637" spans="1:9" ht="18" customHeight="1" x14ac:dyDescent="0.25">
      <c r="A637" s="38">
        <v>2023</v>
      </c>
      <c r="B637" s="38" t="s">
        <v>6</v>
      </c>
      <c r="C637" s="38" t="s">
        <v>38</v>
      </c>
      <c r="D637" s="42" t="s">
        <v>31</v>
      </c>
      <c r="E637" s="43">
        <v>455</v>
      </c>
      <c r="F637" s="43">
        <v>4578.6000000000004</v>
      </c>
      <c r="G637" s="43">
        <v>5128.0320000000002</v>
      </c>
      <c r="H637" s="40">
        <v>915.72000000000014</v>
      </c>
      <c r="I637" s="41" t="s">
        <v>42</v>
      </c>
    </row>
    <row r="638" spans="1:9" ht="18" customHeight="1" x14ac:dyDescent="0.25">
      <c r="A638" s="38">
        <v>2023</v>
      </c>
      <c r="B638" s="38" t="s">
        <v>6</v>
      </c>
      <c r="C638" s="38" t="s">
        <v>12</v>
      </c>
      <c r="D638" s="42" t="s">
        <v>28</v>
      </c>
      <c r="E638" s="44">
        <v>345</v>
      </c>
      <c r="F638" s="44">
        <v>7000</v>
      </c>
      <c r="G638" s="44">
        <v>7840</v>
      </c>
      <c r="H638" s="40">
        <v>1400</v>
      </c>
      <c r="I638" s="41" t="s">
        <v>42</v>
      </c>
    </row>
    <row r="639" spans="1:9" ht="18" customHeight="1" x14ac:dyDescent="0.25">
      <c r="A639" s="38">
        <v>2023</v>
      </c>
      <c r="B639" s="38" t="s">
        <v>6</v>
      </c>
      <c r="C639" s="38" t="s">
        <v>13</v>
      </c>
      <c r="D639" s="39" t="s">
        <v>33</v>
      </c>
      <c r="E639" s="40">
        <v>122</v>
      </c>
      <c r="F639" s="40">
        <v>100</v>
      </c>
      <c r="G639" s="40">
        <v>112</v>
      </c>
      <c r="H639" s="40">
        <v>20</v>
      </c>
      <c r="I639" s="41" t="s">
        <v>42</v>
      </c>
    </row>
    <row r="640" spans="1:9" ht="18" customHeight="1" x14ac:dyDescent="0.25">
      <c r="A640" s="38">
        <v>2023</v>
      </c>
      <c r="B640" s="38" t="s">
        <v>6</v>
      </c>
      <c r="C640" s="38" t="s">
        <v>15</v>
      </c>
      <c r="D640" s="42" t="s">
        <v>26</v>
      </c>
      <c r="E640" s="43">
        <v>78</v>
      </c>
      <c r="F640" s="43">
        <v>2288.6</v>
      </c>
      <c r="G640" s="43">
        <v>5126.4639999999999</v>
      </c>
      <c r="H640" s="40">
        <v>457.72</v>
      </c>
      <c r="I640" s="41" t="s">
        <v>42</v>
      </c>
    </row>
    <row r="641" spans="1:9" ht="18" customHeight="1" x14ac:dyDescent="0.25">
      <c r="A641" s="38">
        <v>2023</v>
      </c>
      <c r="B641" s="38" t="s">
        <v>6</v>
      </c>
      <c r="C641" s="38" t="s">
        <v>15</v>
      </c>
      <c r="D641" s="42" t="s">
        <v>24</v>
      </c>
      <c r="E641" s="43">
        <v>76</v>
      </c>
      <c r="F641" s="43">
        <v>2288.4499999999998</v>
      </c>
      <c r="G641" s="43">
        <v>5126.1279999999997</v>
      </c>
      <c r="H641" s="40">
        <v>457.69</v>
      </c>
      <c r="I641" s="41" t="s">
        <v>42</v>
      </c>
    </row>
    <row r="642" spans="1:9" ht="18" customHeight="1" x14ac:dyDescent="0.25">
      <c r="A642" s="38">
        <v>2023</v>
      </c>
      <c r="B642" s="38" t="s">
        <v>6</v>
      </c>
      <c r="C642" s="38" t="s">
        <v>15</v>
      </c>
      <c r="D642" s="42" t="s">
        <v>25</v>
      </c>
      <c r="E642" s="43">
        <v>46</v>
      </c>
      <c r="F642" s="43">
        <v>100</v>
      </c>
      <c r="G642" s="43">
        <v>224</v>
      </c>
      <c r="H642" s="40">
        <v>20</v>
      </c>
      <c r="I642" s="41" t="s">
        <v>42</v>
      </c>
    </row>
    <row r="643" spans="1:9" ht="18" customHeight="1" x14ac:dyDescent="0.25">
      <c r="A643" s="38">
        <v>2023</v>
      </c>
      <c r="B643" s="38" t="s">
        <v>6</v>
      </c>
      <c r="C643" s="38" t="s">
        <v>15</v>
      </c>
      <c r="D643" s="42" t="s">
        <v>23</v>
      </c>
      <c r="E643" s="43">
        <v>34</v>
      </c>
      <c r="F643" s="43">
        <v>2288.4</v>
      </c>
      <c r="G643" s="43">
        <v>5126.0160000000005</v>
      </c>
      <c r="H643" s="40">
        <v>457.68000000000006</v>
      </c>
      <c r="I643" s="41" t="s">
        <v>42</v>
      </c>
    </row>
    <row r="644" spans="1:9" ht="18" customHeight="1" x14ac:dyDescent="0.25">
      <c r="A644" s="38">
        <v>2023</v>
      </c>
      <c r="B644" s="38" t="s">
        <v>6</v>
      </c>
      <c r="C644" s="38" t="s">
        <v>13</v>
      </c>
      <c r="D644" s="39" t="s">
        <v>34</v>
      </c>
      <c r="E644" s="40">
        <v>7</v>
      </c>
      <c r="F644" s="40">
        <v>200</v>
      </c>
      <c r="G644" s="40">
        <v>224</v>
      </c>
      <c r="H644" s="40">
        <v>40</v>
      </c>
      <c r="I644" s="41" t="s">
        <v>42</v>
      </c>
    </row>
    <row r="645" spans="1:9" ht="18" customHeight="1" x14ac:dyDescent="0.25">
      <c r="A645" s="38">
        <v>2023</v>
      </c>
      <c r="B645" s="38" t="s">
        <v>6</v>
      </c>
      <c r="C645" s="38" t="s">
        <v>15</v>
      </c>
      <c r="D645" s="42" t="s">
        <v>27</v>
      </c>
      <c r="E645" s="43">
        <v>3</v>
      </c>
      <c r="F645" s="43">
        <v>2288.65</v>
      </c>
      <c r="G645" s="43">
        <v>5126.576</v>
      </c>
      <c r="H645" s="40">
        <v>457.73</v>
      </c>
      <c r="I645" s="41" t="s">
        <v>42</v>
      </c>
    </row>
    <row r="646" spans="1:9" ht="18" customHeight="1" x14ac:dyDescent="0.25">
      <c r="A646" s="38">
        <v>2023</v>
      </c>
      <c r="B646" s="38" t="s">
        <v>6</v>
      </c>
      <c r="C646" s="38" t="s">
        <v>32</v>
      </c>
      <c r="D646" s="42" t="s">
        <v>32</v>
      </c>
      <c r="E646" s="43">
        <v>2</v>
      </c>
      <c r="F646" s="43">
        <v>6600</v>
      </c>
      <c r="G646" s="43">
        <v>7392</v>
      </c>
      <c r="H646" s="40">
        <v>1320</v>
      </c>
      <c r="I646" s="41" t="s">
        <v>40</v>
      </c>
    </row>
    <row r="647" spans="1:9" ht="18" customHeight="1" x14ac:dyDescent="0.25">
      <c r="A647" s="38">
        <v>2023</v>
      </c>
      <c r="B647" s="38" t="s">
        <v>7</v>
      </c>
      <c r="C647" s="38" t="s">
        <v>14</v>
      </c>
      <c r="D647" s="39" t="s">
        <v>36</v>
      </c>
      <c r="E647" s="40">
        <v>3566</v>
      </c>
      <c r="F647" s="40">
        <v>4577.3</v>
      </c>
      <c r="G647" s="40">
        <v>5126.576</v>
      </c>
      <c r="H647" s="40">
        <v>915.46</v>
      </c>
      <c r="I647" s="41" t="s">
        <v>40</v>
      </c>
    </row>
    <row r="648" spans="1:9" ht="18" customHeight="1" x14ac:dyDescent="0.25">
      <c r="A648" s="38">
        <v>2023</v>
      </c>
      <c r="B648" s="38" t="s">
        <v>7</v>
      </c>
      <c r="C648" s="38" t="s">
        <v>14</v>
      </c>
      <c r="D648" s="39" t="s">
        <v>37</v>
      </c>
      <c r="E648" s="40">
        <v>2498</v>
      </c>
      <c r="F648" s="40">
        <v>8000</v>
      </c>
      <c r="G648" s="40">
        <v>8960</v>
      </c>
      <c r="H648" s="40">
        <v>1600</v>
      </c>
      <c r="I648" s="41" t="s">
        <v>40</v>
      </c>
    </row>
    <row r="649" spans="1:9" ht="18" customHeight="1" x14ac:dyDescent="0.25">
      <c r="A649" s="38">
        <v>2023</v>
      </c>
      <c r="B649" s="38" t="s">
        <v>7</v>
      </c>
      <c r="C649" s="38" t="s">
        <v>13</v>
      </c>
      <c r="D649" s="39" t="s">
        <v>35</v>
      </c>
      <c r="E649" s="40">
        <v>1245</v>
      </c>
      <c r="F649" s="40">
        <v>4577.2</v>
      </c>
      <c r="G649" s="40">
        <v>5126.4639999999999</v>
      </c>
      <c r="H649" s="40">
        <v>915.44</v>
      </c>
      <c r="I649" s="41" t="s">
        <v>40</v>
      </c>
    </row>
    <row r="650" spans="1:9" ht="18" customHeight="1" x14ac:dyDescent="0.25">
      <c r="A650" s="38">
        <v>2023</v>
      </c>
      <c r="B650" s="38" t="s">
        <v>7</v>
      </c>
      <c r="C650" s="38" t="s">
        <v>38</v>
      </c>
      <c r="D650" s="42" t="s">
        <v>30</v>
      </c>
      <c r="E650" s="43">
        <v>644</v>
      </c>
      <c r="F650" s="43">
        <v>5743.5</v>
      </c>
      <c r="G650" s="43">
        <v>6432.72</v>
      </c>
      <c r="H650" s="40">
        <v>1148.7</v>
      </c>
      <c r="I650" s="41" t="s">
        <v>40</v>
      </c>
    </row>
    <row r="651" spans="1:9" ht="18" customHeight="1" x14ac:dyDescent="0.25">
      <c r="A651" s="38">
        <v>2023</v>
      </c>
      <c r="B651" s="38" t="s">
        <v>7</v>
      </c>
      <c r="C651" s="38" t="s">
        <v>12</v>
      </c>
      <c r="D651" s="42" t="s">
        <v>29</v>
      </c>
      <c r="E651" s="43">
        <v>643</v>
      </c>
      <c r="F651" s="43">
        <v>7000</v>
      </c>
      <c r="G651" s="43">
        <v>7840</v>
      </c>
      <c r="H651" s="40">
        <v>1400</v>
      </c>
      <c r="I651" s="41" t="s">
        <v>42</v>
      </c>
    </row>
    <row r="652" spans="1:9" ht="18" customHeight="1" x14ac:dyDescent="0.25">
      <c r="A652" s="38">
        <v>2023</v>
      </c>
      <c r="B652" s="38" t="s">
        <v>7</v>
      </c>
      <c r="C652" s="38" t="s">
        <v>38</v>
      </c>
      <c r="D652" s="42" t="s">
        <v>31</v>
      </c>
      <c r="E652" s="43">
        <v>455</v>
      </c>
      <c r="F652" s="43">
        <v>5036.46</v>
      </c>
      <c r="G652" s="43">
        <v>5128.0320000000002</v>
      </c>
      <c r="H652" s="40">
        <v>1007.292</v>
      </c>
      <c r="I652" s="41" t="s">
        <v>42</v>
      </c>
    </row>
    <row r="653" spans="1:9" ht="18" customHeight="1" x14ac:dyDescent="0.25">
      <c r="A653" s="38">
        <v>2023</v>
      </c>
      <c r="B653" s="38" t="s">
        <v>7</v>
      </c>
      <c r="C653" s="38" t="s">
        <v>12</v>
      </c>
      <c r="D653" s="42" t="s">
        <v>28</v>
      </c>
      <c r="E653" s="44">
        <v>345</v>
      </c>
      <c r="F653" s="44">
        <v>7700</v>
      </c>
      <c r="G653" s="44">
        <v>7840</v>
      </c>
      <c r="H653" s="40">
        <v>1540</v>
      </c>
      <c r="I653" s="41" t="s">
        <v>42</v>
      </c>
    </row>
    <row r="654" spans="1:9" ht="18" customHeight="1" x14ac:dyDescent="0.25">
      <c r="A654" s="38">
        <v>2023</v>
      </c>
      <c r="B654" s="38" t="s">
        <v>7</v>
      </c>
      <c r="C654" s="38" t="s">
        <v>13</v>
      </c>
      <c r="D654" s="39" t="s">
        <v>33</v>
      </c>
      <c r="E654" s="40">
        <v>122</v>
      </c>
      <c r="F654" s="40">
        <v>110</v>
      </c>
      <c r="G654" s="40">
        <v>112</v>
      </c>
      <c r="H654" s="40">
        <v>22</v>
      </c>
      <c r="I654" s="41" t="s">
        <v>42</v>
      </c>
    </row>
    <row r="655" spans="1:9" ht="18" customHeight="1" x14ac:dyDescent="0.25">
      <c r="A655" s="38">
        <v>2023</v>
      </c>
      <c r="B655" s="38" t="s">
        <v>7</v>
      </c>
      <c r="C655" s="38" t="s">
        <v>15</v>
      </c>
      <c r="D655" s="42" t="s">
        <v>26</v>
      </c>
      <c r="E655" s="43">
        <v>78</v>
      </c>
      <c r="F655" s="43">
        <v>2517.46</v>
      </c>
      <c r="G655" s="43">
        <v>5126.4639999999999</v>
      </c>
      <c r="H655" s="40">
        <v>503.49200000000002</v>
      </c>
      <c r="I655" s="41" t="s">
        <v>42</v>
      </c>
    </row>
    <row r="656" spans="1:9" ht="18" customHeight="1" x14ac:dyDescent="0.25">
      <c r="A656" s="38">
        <v>2023</v>
      </c>
      <c r="B656" s="38" t="s">
        <v>7</v>
      </c>
      <c r="C656" s="38" t="s">
        <v>15</v>
      </c>
      <c r="D656" s="42" t="s">
        <v>24</v>
      </c>
      <c r="E656" s="43">
        <v>76</v>
      </c>
      <c r="F656" s="43">
        <v>2517.2949999999996</v>
      </c>
      <c r="G656" s="43">
        <v>5126.1279999999997</v>
      </c>
      <c r="H656" s="40">
        <v>503.45899999999995</v>
      </c>
      <c r="I656" s="41" t="s">
        <v>42</v>
      </c>
    </row>
    <row r="657" spans="1:9" ht="18" customHeight="1" x14ac:dyDescent="0.25">
      <c r="A657" s="38">
        <v>2023</v>
      </c>
      <c r="B657" s="38" t="s">
        <v>7</v>
      </c>
      <c r="C657" s="38" t="s">
        <v>15</v>
      </c>
      <c r="D657" s="42" t="s">
        <v>25</v>
      </c>
      <c r="E657" s="43">
        <v>46</v>
      </c>
      <c r="F657" s="43">
        <v>115</v>
      </c>
      <c r="G657" s="43">
        <v>224</v>
      </c>
      <c r="H657" s="40">
        <v>23</v>
      </c>
      <c r="I657" s="41" t="s">
        <v>42</v>
      </c>
    </row>
    <row r="658" spans="1:9" ht="18" customHeight="1" x14ac:dyDescent="0.25">
      <c r="A658" s="38">
        <v>2023</v>
      </c>
      <c r="B658" s="38" t="s">
        <v>7</v>
      </c>
      <c r="C658" s="38" t="s">
        <v>15</v>
      </c>
      <c r="D658" s="42" t="s">
        <v>23</v>
      </c>
      <c r="E658" s="43">
        <v>34</v>
      </c>
      <c r="F658" s="43">
        <v>2631.66</v>
      </c>
      <c r="G658" s="43">
        <v>5126.0160000000005</v>
      </c>
      <c r="H658" s="40">
        <v>526.33199999999999</v>
      </c>
      <c r="I658" s="41" t="s">
        <v>42</v>
      </c>
    </row>
    <row r="659" spans="1:9" ht="18" customHeight="1" x14ac:dyDescent="0.25">
      <c r="A659" s="38">
        <v>2023</v>
      </c>
      <c r="B659" s="38" t="s">
        <v>7</v>
      </c>
      <c r="C659" s="38" t="s">
        <v>13</v>
      </c>
      <c r="D659" s="39" t="s">
        <v>34</v>
      </c>
      <c r="E659" s="40">
        <v>7</v>
      </c>
      <c r="F659" s="40">
        <v>230</v>
      </c>
      <c r="G659" s="40">
        <v>224</v>
      </c>
      <c r="H659" s="40">
        <v>46</v>
      </c>
      <c r="I659" s="41" t="s">
        <v>42</v>
      </c>
    </row>
    <row r="660" spans="1:9" ht="18" customHeight="1" x14ac:dyDescent="0.25">
      <c r="A660" s="38">
        <v>2023</v>
      </c>
      <c r="B660" s="38" t="s">
        <v>7</v>
      </c>
      <c r="C660" s="38" t="s">
        <v>15</v>
      </c>
      <c r="D660" s="42" t="s">
        <v>27</v>
      </c>
      <c r="E660" s="43">
        <v>3</v>
      </c>
      <c r="F660" s="43">
        <v>2631.9475000000002</v>
      </c>
      <c r="G660" s="43">
        <v>5126.576</v>
      </c>
      <c r="H660" s="40">
        <v>526.38950000000011</v>
      </c>
      <c r="I660" s="41" t="s">
        <v>40</v>
      </c>
    </row>
    <row r="661" spans="1:9" ht="18" customHeight="1" x14ac:dyDescent="0.25">
      <c r="A661" s="38">
        <v>2023</v>
      </c>
      <c r="B661" s="38" t="s">
        <v>7</v>
      </c>
      <c r="C661" s="38" t="s">
        <v>32</v>
      </c>
      <c r="D661" s="42" t="s">
        <v>32</v>
      </c>
      <c r="E661" s="43">
        <v>2</v>
      </c>
      <c r="F661" s="43">
        <v>7590</v>
      </c>
      <c r="G661" s="43">
        <v>7392</v>
      </c>
      <c r="H661" s="40">
        <v>1518</v>
      </c>
      <c r="I661" s="41" t="s">
        <v>42</v>
      </c>
    </row>
    <row r="662" spans="1:9" ht="18" customHeight="1" x14ac:dyDescent="0.25">
      <c r="A662" s="38">
        <v>2023</v>
      </c>
      <c r="B662" s="38" t="s">
        <v>8</v>
      </c>
      <c r="C662" s="38" t="s">
        <v>14</v>
      </c>
      <c r="D662" s="39" t="s">
        <v>36</v>
      </c>
      <c r="E662" s="40">
        <v>3566</v>
      </c>
      <c r="F662" s="40">
        <v>4577.3</v>
      </c>
      <c r="G662" s="40">
        <v>5126.576</v>
      </c>
      <c r="H662" s="40">
        <v>915.46</v>
      </c>
      <c r="I662" s="41" t="s">
        <v>42</v>
      </c>
    </row>
    <row r="663" spans="1:9" ht="18" customHeight="1" x14ac:dyDescent="0.25">
      <c r="A663" s="38">
        <v>2023</v>
      </c>
      <c r="B663" s="38" t="s">
        <v>8</v>
      </c>
      <c r="C663" s="38" t="s">
        <v>14</v>
      </c>
      <c r="D663" s="39" t="s">
        <v>37</v>
      </c>
      <c r="E663" s="40">
        <v>2498</v>
      </c>
      <c r="F663" s="40">
        <v>8000</v>
      </c>
      <c r="G663" s="40">
        <v>8960</v>
      </c>
      <c r="H663" s="40">
        <v>1600</v>
      </c>
      <c r="I663" s="41" t="s">
        <v>42</v>
      </c>
    </row>
    <row r="664" spans="1:9" ht="18" customHeight="1" x14ac:dyDescent="0.25">
      <c r="A664" s="38">
        <v>2023</v>
      </c>
      <c r="B664" s="38" t="s">
        <v>8</v>
      </c>
      <c r="C664" s="38" t="s">
        <v>13</v>
      </c>
      <c r="D664" s="39" t="s">
        <v>35</v>
      </c>
      <c r="E664" s="40">
        <v>1245</v>
      </c>
      <c r="F664" s="40">
        <v>4577.2</v>
      </c>
      <c r="G664" s="40">
        <v>5126.4639999999999</v>
      </c>
      <c r="H664" s="40">
        <v>915.44</v>
      </c>
      <c r="I664" s="41" t="s">
        <v>42</v>
      </c>
    </row>
    <row r="665" spans="1:9" ht="18" customHeight="1" x14ac:dyDescent="0.25">
      <c r="A665" s="38">
        <v>2023</v>
      </c>
      <c r="B665" s="38" t="s">
        <v>8</v>
      </c>
      <c r="C665" s="38" t="s">
        <v>38</v>
      </c>
      <c r="D665" s="42" t="s">
        <v>30</v>
      </c>
      <c r="E665" s="43">
        <v>644</v>
      </c>
      <c r="F665" s="43">
        <v>5743.5</v>
      </c>
      <c r="G665" s="43">
        <v>6432.72</v>
      </c>
      <c r="H665" s="40">
        <v>1148.7</v>
      </c>
      <c r="I665" s="41" t="s">
        <v>42</v>
      </c>
    </row>
    <row r="666" spans="1:9" ht="18" customHeight="1" x14ac:dyDescent="0.25">
      <c r="A666" s="38">
        <v>2023</v>
      </c>
      <c r="B666" s="38" t="s">
        <v>8</v>
      </c>
      <c r="C666" s="38" t="s">
        <v>12</v>
      </c>
      <c r="D666" s="42" t="s">
        <v>29</v>
      </c>
      <c r="E666" s="43">
        <v>643</v>
      </c>
      <c r="F666" s="43">
        <v>7000</v>
      </c>
      <c r="G666" s="43">
        <v>7840</v>
      </c>
      <c r="H666" s="40">
        <v>1400</v>
      </c>
      <c r="I666" s="41" t="s">
        <v>42</v>
      </c>
    </row>
    <row r="667" spans="1:9" ht="18" customHeight="1" x14ac:dyDescent="0.25">
      <c r="A667" s="38">
        <v>2023</v>
      </c>
      <c r="B667" s="38" t="s">
        <v>8</v>
      </c>
      <c r="C667" s="38" t="s">
        <v>38</v>
      </c>
      <c r="D667" s="42" t="s">
        <v>31</v>
      </c>
      <c r="E667" s="43">
        <v>455</v>
      </c>
      <c r="F667" s="43">
        <v>4578.6000000000004</v>
      </c>
      <c r="G667" s="43">
        <v>5128.0320000000002</v>
      </c>
      <c r="H667" s="40">
        <v>915.72000000000014</v>
      </c>
      <c r="I667" s="41" t="s">
        <v>42</v>
      </c>
    </row>
    <row r="668" spans="1:9" ht="18" customHeight="1" x14ac:dyDescent="0.25">
      <c r="A668" s="38">
        <v>2023</v>
      </c>
      <c r="B668" s="38" t="s">
        <v>8</v>
      </c>
      <c r="C668" s="38" t="s">
        <v>12</v>
      </c>
      <c r="D668" s="42" t="s">
        <v>28</v>
      </c>
      <c r="E668" s="44">
        <v>345</v>
      </c>
      <c r="F668" s="44">
        <v>7000</v>
      </c>
      <c r="G668" s="44">
        <v>7840</v>
      </c>
      <c r="H668" s="40">
        <v>1400</v>
      </c>
      <c r="I668" s="41" t="s">
        <v>42</v>
      </c>
    </row>
    <row r="669" spans="1:9" ht="18" customHeight="1" x14ac:dyDescent="0.25">
      <c r="A669" s="38">
        <v>2023</v>
      </c>
      <c r="B669" s="38" t="s">
        <v>8</v>
      </c>
      <c r="C669" s="38" t="s">
        <v>13</v>
      </c>
      <c r="D669" s="39" t="s">
        <v>33</v>
      </c>
      <c r="E669" s="40">
        <v>122</v>
      </c>
      <c r="F669" s="40">
        <v>100</v>
      </c>
      <c r="G669" s="40">
        <v>112</v>
      </c>
      <c r="H669" s="40">
        <v>20</v>
      </c>
      <c r="I669" s="41" t="s">
        <v>42</v>
      </c>
    </row>
    <row r="670" spans="1:9" ht="18" customHeight="1" x14ac:dyDescent="0.25">
      <c r="A670" s="38">
        <v>2023</v>
      </c>
      <c r="B670" s="38" t="s">
        <v>8</v>
      </c>
      <c r="C670" s="38" t="s">
        <v>15</v>
      </c>
      <c r="D670" s="42" t="s">
        <v>26</v>
      </c>
      <c r="E670" s="43">
        <v>78</v>
      </c>
      <c r="F670" s="43">
        <v>2288.6</v>
      </c>
      <c r="G670" s="43">
        <v>5126.4639999999999</v>
      </c>
      <c r="H670" s="40">
        <v>457.72</v>
      </c>
      <c r="I670" s="41" t="s">
        <v>42</v>
      </c>
    </row>
    <row r="671" spans="1:9" ht="18" customHeight="1" x14ac:dyDescent="0.25">
      <c r="A671" s="38">
        <v>2023</v>
      </c>
      <c r="B671" s="38" t="s">
        <v>8</v>
      </c>
      <c r="C671" s="38" t="s">
        <v>15</v>
      </c>
      <c r="D671" s="42" t="s">
        <v>24</v>
      </c>
      <c r="E671" s="43">
        <v>76</v>
      </c>
      <c r="F671" s="43">
        <v>2288.4499999999998</v>
      </c>
      <c r="G671" s="43">
        <v>5126.1279999999997</v>
      </c>
      <c r="H671" s="40">
        <v>457.69</v>
      </c>
      <c r="I671" s="41" t="s">
        <v>42</v>
      </c>
    </row>
    <row r="672" spans="1:9" ht="18" customHeight="1" x14ac:dyDescent="0.25">
      <c r="A672" s="38">
        <v>2023</v>
      </c>
      <c r="B672" s="38" t="s">
        <v>8</v>
      </c>
      <c r="C672" s="38" t="s">
        <v>15</v>
      </c>
      <c r="D672" s="42" t="s">
        <v>25</v>
      </c>
      <c r="E672" s="43">
        <v>46</v>
      </c>
      <c r="F672" s="43">
        <v>100</v>
      </c>
      <c r="G672" s="43">
        <v>224</v>
      </c>
      <c r="H672" s="40">
        <v>20</v>
      </c>
      <c r="I672" s="41" t="s">
        <v>42</v>
      </c>
    </row>
    <row r="673" spans="1:9" ht="18" customHeight="1" x14ac:dyDescent="0.25">
      <c r="A673" s="38">
        <v>2023</v>
      </c>
      <c r="B673" s="38" t="s">
        <v>8</v>
      </c>
      <c r="C673" s="38" t="s">
        <v>15</v>
      </c>
      <c r="D673" s="42" t="s">
        <v>23</v>
      </c>
      <c r="E673" s="43">
        <v>34</v>
      </c>
      <c r="F673" s="43">
        <v>2746.08</v>
      </c>
      <c r="G673" s="43">
        <v>5126.0160000000005</v>
      </c>
      <c r="H673" s="40">
        <v>549.21600000000001</v>
      </c>
      <c r="I673" s="41" t="s">
        <v>42</v>
      </c>
    </row>
    <row r="674" spans="1:9" ht="18" customHeight="1" x14ac:dyDescent="0.25">
      <c r="A674" s="38">
        <v>2023</v>
      </c>
      <c r="B674" s="38" t="s">
        <v>8</v>
      </c>
      <c r="C674" s="38" t="s">
        <v>13</v>
      </c>
      <c r="D674" s="39" t="s">
        <v>34</v>
      </c>
      <c r="E674" s="40">
        <v>7</v>
      </c>
      <c r="F674" s="40">
        <v>240</v>
      </c>
      <c r="G674" s="40">
        <v>224</v>
      </c>
      <c r="H674" s="40">
        <v>48</v>
      </c>
      <c r="I674" s="41" t="s">
        <v>42</v>
      </c>
    </row>
    <row r="675" spans="1:9" ht="18" customHeight="1" x14ac:dyDescent="0.25">
      <c r="A675" s="38">
        <v>2023</v>
      </c>
      <c r="B675" s="38" t="s">
        <v>8</v>
      </c>
      <c r="C675" s="38" t="s">
        <v>15</v>
      </c>
      <c r="D675" s="42" t="s">
        <v>27</v>
      </c>
      <c r="E675" s="43">
        <v>3</v>
      </c>
      <c r="F675" s="43">
        <v>2746.38</v>
      </c>
      <c r="G675" s="43">
        <v>5126.576</v>
      </c>
      <c r="H675" s="40">
        <v>549.27600000000007</v>
      </c>
      <c r="I675" s="41" t="s">
        <v>42</v>
      </c>
    </row>
    <row r="676" spans="1:9" ht="18" customHeight="1" x14ac:dyDescent="0.25">
      <c r="A676" s="38">
        <v>2023</v>
      </c>
      <c r="B676" s="38" t="s">
        <v>8</v>
      </c>
      <c r="C676" s="38" t="s">
        <v>32</v>
      </c>
      <c r="D676" s="42" t="s">
        <v>32</v>
      </c>
      <c r="E676" s="43">
        <v>2</v>
      </c>
      <c r="F676" s="43">
        <v>7920</v>
      </c>
      <c r="G676" s="43">
        <v>7392</v>
      </c>
      <c r="H676" s="40">
        <v>1584</v>
      </c>
      <c r="I676" s="41" t="s">
        <v>42</v>
      </c>
    </row>
    <row r="677" spans="1:9" ht="18" customHeight="1" x14ac:dyDescent="0.25">
      <c r="A677" s="38">
        <v>2023</v>
      </c>
      <c r="B677" s="38" t="s">
        <v>9</v>
      </c>
      <c r="C677" s="38" t="s">
        <v>14</v>
      </c>
      <c r="D677" s="39" t="s">
        <v>36</v>
      </c>
      <c r="E677" s="40">
        <v>3566</v>
      </c>
      <c r="F677" s="40">
        <v>5035.0300000000007</v>
      </c>
      <c r="G677" s="40">
        <v>5126.576</v>
      </c>
      <c r="H677" s="40">
        <v>1007.0060000000002</v>
      </c>
      <c r="I677" s="41" t="s">
        <v>42</v>
      </c>
    </row>
    <row r="678" spans="1:9" ht="18" customHeight="1" x14ac:dyDescent="0.25">
      <c r="A678" s="38">
        <v>2023</v>
      </c>
      <c r="B678" s="38" t="s">
        <v>9</v>
      </c>
      <c r="C678" s="38" t="s">
        <v>14</v>
      </c>
      <c r="D678" s="39" t="s">
        <v>37</v>
      </c>
      <c r="E678" s="40">
        <v>2498</v>
      </c>
      <c r="F678" s="40">
        <v>9200</v>
      </c>
      <c r="G678" s="40">
        <v>8960</v>
      </c>
      <c r="H678" s="40">
        <v>1840</v>
      </c>
      <c r="I678" s="41" t="s">
        <v>42</v>
      </c>
    </row>
    <row r="679" spans="1:9" ht="18" customHeight="1" x14ac:dyDescent="0.25">
      <c r="A679" s="38">
        <v>2023</v>
      </c>
      <c r="B679" s="38" t="s">
        <v>9</v>
      </c>
      <c r="C679" s="38" t="s">
        <v>13</v>
      </c>
      <c r="D679" s="39" t="s">
        <v>35</v>
      </c>
      <c r="E679" s="40">
        <v>1245</v>
      </c>
      <c r="F679" s="40">
        <v>5263.78</v>
      </c>
      <c r="G679" s="40">
        <v>5126.4639999999999</v>
      </c>
      <c r="H679" s="40">
        <v>1052.7560000000001</v>
      </c>
      <c r="I679" s="41" t="s">
        <v>42</v>
      </c>
    </row>
    <row r="680" spans="1:9" ht="18" customHeight="1" x14ac:dyDescent="0.25">
      <c r="A680" s="38">
        <v>2023</v>
      </c>
      <c r="B680" s="38" t="s">
        <v>9</v>
      </c>
      <c r="C680" s="38" t="s">
        <v>38</v>
      </c>
      <c r="D680" s="42" t="s">
        <v>30</v>
      </c>
      <c r="E680" s="43">
        <v>644</v>
      </c>
      <c r="F680" s="43">
        <v>6605.0249999999996</v>
      </c>
      <c r="G680" s="43">
        <v>6432.72</v>
      </c>
      <c r="H680" s="40">
        <v>1321.0050000000001</v>
      </c>
      <c r="I680" s="41" t="s">
        <v>42</v>
      </c>
    </row>
    <row r="681" spans="1:9" ht="18" customHeight="1" x14ac:dyDescent="0.25">
      <c r="A681" s="38">
        <v>2023</v>
      </c>
      <c r="B681" s="38" t="s">
        <v>9</v>
      </c>
      <c r="C681" s="38" t="s">
        <v>12</v>
      </c>
      <c r="D681" s="42" t="s">
        <v>29</v>
      </c>
      <c r="E681" s="43">
        <v>643</v>
      </c>
      <c r="F681" s="43">
        <v>8400</v>
      </c>
      <c r="G681" s="43">
        <v>7840</v>
      </c>
      <c r="H681" s="40">
        <v>1680</v>
      </c>
      <c r="I681" s="41" t="s">
        <v>42</v>
      </c>
    </row>
    <row r="682" spans="1:9" ht="18" customHeight="1" x14ac:dyDescent="0.25">
      <c r="A682" s="38">
        <v>2023</v>
      </c>
      <c r="B682" s="38" t="s">
        <v>9</v>
      </c>
      <c r="C682" s="38" t="s">
        <v>38</v>
      </c>
      <c r="D682" s="42" t="s">
        <v>31</v>
      </c>
      <c r="E682" s="43">
        <v>455</v>
      </c>
      <c r="F682" s="43">
        <v>5494.3200000000006</v>
      </c>
      <c r="G682" s="43">
        <v>5128.0320000000002</v>
      </c>
      <c r="H682" s="40">
        <v>1098.8640000000003</v>
      </c>
      <c r="I682" s="41" t="s">
        <v>42</v>
      </c>
    </row>
    <row r="683" spans="1:9" ht="18" customHeight="1" x14ac:dyDescent="0.25">
      <c r="A683" s="38">
        <v>2023</v>
      </c>
      <c r="B683" s="38" t="s">
        <v>9</v>
      </c>
      <c r="C683" s="38" t="s">
        <v>12</v>
      </c>
      <c r="D683" s="42" t="s">
        <v>28</v>
      </c>
      <c r="E683" s="44">
        <v>345</v>
      </c>
      <c r="F683" s="44">
        <v>8400</v>
      </c>
      <c r="G683" s="44">
        <v>7840</v>
      </c>
      <c r="H683" s="40">
        <v>1680</v>
      </c>
      <c r="I683" s="41" t="s">
        <v>42</v>
      </c>
    </row>
    <row r="684" spans="1:9" ht="18" customHeight="1" x14ac:dyDescent="0.25">
      <c r="A684" s="38">
        <v>2023</v>
      </c>
      <c r="B684" s="38" t="s">
        <v>9</v>
      </c>
      <c r="C684" s="38" t="s">
        <v>13</v>
      </c>
      <c r="D684" s="39" t="s">
        <v>33</v>
      </c>
      <c r="E684" s="40">
        <v>122</v>
      </c>
      <c r="F684" s="40">
        <v>120</v>
      </c>
      <c r="G684" s="40">
        <v>112</v>
      </c>
      <c r="H684" s="40">
        <v>24</v>
      </c>
      <c r="I684" s="41" t="s">
        <v>42</v>
      </c>
    </row>
    <row r="685" spans="1:9" ht="18" customHeight="1" x14ac:dyDescent="0.25">
      <c r="A685" s="38">
        <v>2023</v>
      </c>
      <c r="B685" s="38" t="s">
        <v>9</v>
      </c>
      <c r="C685" s="38" t="s">
        <v>15</v>
      </c>
      <c r="D685" s="42" t="s">
        <v>26</v>
      </c>
      <c r="E685" s="43">
        <v>78</v>
      </c>
      <c r="F685" s="43">
        <v>2517.46</v>
      </c>
      <c r="G685" s="43">
        <v>5126.4639999999999</v>
      </c>
      <c r="H685" s="40">
        <v>503.49200000000002</v>
      </c>
      <c r="I685" s="41" t="s">
        <v>42</v>
      </c>
    </row>
    <row r="686" spans="1:9" ht="18" customHeight="1" x14ac:dyDescent="0.25">
      <c r="A686" s="38">
        <v>2023</v>
      </c>
      <c r="B686" s="38" t="s">
        <v>9</v>
      </c>
      <c r="C686" s="38" t="s">
        <v>15</v>
      </c>
      <c r="D686" s="42" t="s">
        <v>24</v>
      </c>
      <c r="E686" s="43">
        <v>76</v>
      </c>
      <c r="F686" s="43">
        <v>2517.2949999999996</v>
      </c>
      <c r="G686" s="43">
        <v>5126.1279999999997</v>
      </c>
      <c r="H686" s="40">
        <v>503.45899999999995</v>
      </c>
      <c r="I686" s="41" t="s">
        <v>42</v>
      </c>
    </row>
    <row r="687" spans="1:9" ht="18" customHeight="1" x14ac:dyDescent="0.25">
      <c r="A687" s="38">
        <v>2023</v>
      </c>
      <c r="B687" s="38" t="s">
        <v>9</v>
      </c>
      <c r="C687" s="38" t="s">
        <v>15</v>
      </c>
      <c r="D687" s="42" t="s">
        <v>25</v>
      </c>
      <c r="E687" s="43">
        <v>46</v>
      </c>
      <c r="F687" s="43">
        <v>110</v>
      </c>
      <c r="G687" s="43">
        <v>224</v>
      </c>
      <c r="H687" s="40">
        <v>22</v>
      </c>
      <c r="I687" s="41" t="s">
        <v>42</v>
      </c>
    </row>
    <row r="688" spans="1:9" ht="18" customHeight="1" x14ac:dyDescent="0.25">
      <c r="A688" s="38">
        <v>2023</v>
      </c>
      <c r="B688" s="38" t="s">
        <v>9</v>
      </c>
      <c r="C688" s="38" t="s">
        <v>15</v>
      </c>
      <c r="D688" s="42" t="s">
        <v>23</v>
      </c>
      <c r="E688" s="43">
        <v>34</v>
      </c>
      <c r="F688" s="43">
        <v>2517.2400000000002</v>
      </c>
      <c r="G688" s="43">
        <v>5126.0160000000005</v>
      </c>
      <c r="H688" s="40">
        <v>503.44800000000009</v>
      </c>
      <c r="I688" s="41" t="s">
        <v>42</v>
      </c>
    </row>
    <row r="689" spans="1:9" ht="18" customHeight="1" x14ac:dyDescent="0.25">
      <c r="A689" s="38">
        <v>2023</v>
      </c>
      <c r="B689" s="38" t="s">
        <v>9</v>
      </c>
      <c r="C689" s="38" t="s">
        <v>13</v>
      </c>
      <c r="D689" s="39" t="s">
        <v>34</v>
      </c>
      <c r="E689" s="40">
        <v>7</v>
      </c>
      <c r="F689" s="40">
        <v>220</v>
      </c>
      <c r="G689" s="40">
        <v>224</v>
      </c>
      <c r="H689" s="40">
        <v>44</v>
      </c>
      <c r="I689" s="41" t="s">
        <v>42</v>
      </c>
    </row>
    <row r="690" spans="1:9" ht="18" customHeight="1" x14ac:dyDescent="0.25">
      <c r="A690" s="38">
        <v>2023</v>
      </c>
      <c r="B690" s="38" t="s">
        <v>9</v>
      </c>
      <c r="C690" s="38" t="s">
        <v>15</v>
      </c>
      <c r="D690" s="42" t="s">
        <v>27</v>
      </c>
      <c r="E690" s="43">
        <v>3</v>
      </c>
      <c r="F690" s="43">
        <v>2517.5150000000003</v>
      </c>
      <c r="G690" s="43">
        <v>5126.576</v>
      </c>
      <c r="H690" s="40">
        <v>503.5030000000001</v>
      </c>
      <c r="I690" s="41" t="s">
        <v>42</v>
      </c>
    </row>
    <row r="691" spans="1:9" ht="18" customHeight="1" x14ac:dyDescent="0.25">
      <c r="A691" s="38">
        <v>2023</v>
      </c>
      <c r="B691" s="38" t="s">
        <v>9</v>
      </c>
      <c r="C691" s="38" t="s">
        <v>32</v>
      </c>
      <c r="D691" s="42" t="s">
        <v>32</v>
      </c>
      <c r="E691" s="43">
        <v>2</v>
      </c>
      <c r="F691" s="43">
        <v>7260</v>
      </c>
      <c r="G691" s="43">
        <v>7392</v>
      </c>
      <c r="H691" s="40">
        <v>1452</v>
      </c>
      <c r="I691" s="41" t="s">
        <v>42</v>
      </c>
    </row>
    <row r="692" spans="1:9" ht="18" customHeight="1" x14ac:dyDescent="0.25">
      <c r="A692" s="38">
        <v>2023</v>
      </c>
      <c r="B692" s="38" t="s">
        <v>10</v>
      </c>
      <c r="C692" s="38" t="s">
        <v>14</v>
      </c>
      <c r="D692" s="39" t="s">
        <v>36</v>
      </c>
      <c r="E692" s="40">
        <v>3566</v>
      </c>
      <c r="F692" s="40">
        <v>5263.8950000000004</v>
      </c>
      <c r="G692" s="40">
        <v>5126.576</v>
      </c>
      <c r="H692" s="40">
        <v>1052.7790000000002</v>
      </c>
      <c r="I692" s="41" t="s">
        <v>42</v>
      </c>
    </row>
    <row r="693" spans="1:9" ht="18" customHeight="1" x14ac:dyDescent="0.25">
      <c r="A693" s="38">
        <v>2023</v>
      </c>
      <c r="B693" s="38" t="s">
        <v>10</v>
      </c>
      <c r="C693" s="38" t="s">
        <v>14</v>
      </c>
      <c r="D693" s="39" t="s">
        <v>37</v>
      </c>
      <c r="E693" s="40">
        <v>2498</v>
      </c>
      <c r="F693" s="40">
        <v>8800</v>
      </c>
      <c r="G693" s="40">
        <v>8960</v>
      </c>
      <c r="H693" s="40">
        <v>1760</v>
      </c>
      <c r="I693" s="41" t="s">
        <v>42</v>
      </c>
    </row>
    <row r="694" spans="1:9" ht="18" customHeight="1" x14ac:dyDescent="0.25">
      <c r="A694" s="38">
        <v>2023</v>
      </c>
      <c r="B694" s="38" t="s">
        <v>10</v>
      </c>
      <c r="C694" s="38" t="s">
        <v>13</v>
      </c>
      <c r="D694" s="39" t="s">
        <v>35</v>
      </c>
      <c r="E694" s="40">
        <v>1245</v>
      </c>
      <c r="F694" s="40">
        <v>5034.92</v>
      </c>
      <c r="G694" s="40">
        <v>5126.4639999999999</v>
      </c>
      <c r="H694" s="40">
        <v>1006.984</v>
      </c>
      <c r="I694" s="41" t="s">
        <v>42</v>
      </c>
    </row>
    <row r="695" spans="1:9" ht="18" customHeight="1" x14ac:dyDescent="0.25">
      <c r="A695" s="38">
        <v>2023</v>
      </c>
      <c r="B695" s="38" t="s">
        <v>10</v>
      </c>
      <c r="C695" s="38" t="s">
        <v>38</v>
      </c>
      <c r="D695" s="42" t="s">
        <v>30</v>
      </c>
      <c r="E695" s="43">
        <v>644</v>
      </c>
      <c r="F695" s="43">
        <v>22000</v>
      </c>
      <c r="G695" s="43">
        <v>6432.72</v>
      </c>
      <c r="H695" s="40">
        <v>4400</v>
      </c>
      <c r="I695" s="41" t="s">
        <v>42</v>
      </c>
    </row>
    <row r="696" spans="1:9" ht="18" customHeight="1" x14ac:dyDescent="0.25">
      <c r="A696" s="38">
        <v>2023</v>
      </c>
      <c r="B696" s="38" t="s">
        <v>10</v>
      </c>
      <c r="C696" s="38" t="s">
        <v>12</v>
      </c>
      <c r="D696" s="42" t="s">
        <v>29</v>
      </c>
      <c r="E696" s="43">
        <v>643</v>
      </c>
      <c r="F696" s="43">
        <v>7700</v>
      </c>
      <c r="G696" s="43">
        <v>7840</v>
      </c>
      <c r="H696" s="40">
        <v>1540</v>
      </c>
      <c r="I696" s="41" t="s">
        <v>42</v>
      </c>
    </row>
    <row r="697" spans="1:9" ht="18" customHeight="1" x14ac:dyDescent="0.25">
      <c r="A697" s="38">
        <v>2023</v>
      </c>
      <c r="B697" s="38" t="s">
        <v>10</v>
      </c>
      <c r="C697" s="38" t="s">
        <v>38</v>
      </c>
      <c r="D697" s="42" t="s">
        <v>31</v>
      </c>
      <c r="E697" s="43">
        <v>455</v>
      </c>
      <c r="F697" s="43">
        <v>11111</v>
      </c>
      <c r="G697" s="43">
        <v>5128.0320000000002</v>
      </c>
      <c r="H697" s="40">
        <v>2222.2000000000003</v>
      </c>
      <c r="I697" s="41" t="s">
        <v>42</v>
      </c>
    </row>
    <row r="698" spans="1:9" ht="18" customHeight="1" x14ac:dyDescent="0.25">
      <c r="A698" s="38">
        <v>2023</v>
      </c>
      <c r="B698" s="38" t="s">
        <v>10</v>
      </c>
      <c r="C698" s="38" t="s">
        <v>12</v>
      </c>
      <c r="D698" s="42" t="s">
        <v>28</v>
      </c>
      <c r="E698" s="44">
        <v>345</v>
      </c>
      <c r="F698" s="44">
        <v>7700</v>
      </c>
      <c r="G698" s="44">
        <v>7840</v>
      </c>
      <c r="H698" s="40">
        <v>1540</v>
      </c>
      <c r="I698" s="41" t="s">
        <v>42</v>
      </c>
    </row>
    <row r="699" spans="1:9" ht="18" customHeight="1" x14ac:dyDescent="0.25">
      <c r="A699" s="38">
        <v>2023</v>
      </c>
      <c r="B699" s="38" t="s">
        <v>10</v>
      </c>
      <c r="C699" s="38" t="s">
        <v>13</v>
      </c>
      <c r="D699" s="39" t="s">
        <v>33</v>
      </c>
      <c r="E699" s="40">
        <v>122</v>
      </c>
      <c r="F699" s="40">
        <v>110</v>
      </c>
      <c r="G699" s="40">
        <v>112</v>
      </c>
      <c r="H699" s="40">
        <v>22</v>
      </c>
      <c r="I699" s="41" t="s">
        <v>42</v>
      </c>
    </row>
    <row r="700" spans="1:9" ht="18" customHeight="1" x14ac:dyDescent="0.25">
      <c r="A700" s="38">
        <v>2023</v>
      </c>
      <c r="B700" s="38" t="s">
        <v>10</v>
      </c>
      <c r="C700" s="38" t="s">
        <v>15</v>
      </c>
      <c r="D700" s="42" t="s">
        <v>26</v>
      </c>
      <c r="E700" s="43">
        <v>78</v>
      </c>
      <c r="F700" s="43">
        <v>2517.46</v>
      </c>
      <c r="G700" s="43">
        <v>5126.4639999999999</v>
      </c>
      <c r="H700" s="40">
        <v>503.49200000000002</v>
      </c>
      <c r="I700" s="41" t="s">
        <v>42</v>
      </c>
    </row>
    <row r="701" spans="1:9" ht="18" customHeight="1" x14ac:dyDescent="0.25">
      <c r="A701" s="38">
        <v>2023</v>
      </c>
      <c r="B701" s="38" t="s">
        <v>10</v>
      </c>
      <c r="C701" s="38" t="s">
        <v>15</v>
      </c>
      <c r="D701" s="42" t="s">
        <v>24</v>
      </c>
      <c r="E701" s="43">
        <v>76</v>
      </c>
      <c r="F701" s="43">
        <v>2288.4499999999998</v>
      </c>
      <c r="G701" s="43">
        <v>5126.1279999999997</v>
      </c>
      <c r="H701" s="40">
        <v>457.69</v>
      </c>
      <c r="I701" s="41" t="s">
        <v>42</v>
      </c>
    </row>
    <row r="702" spans="1:9" ht="18" customHeight="1" x14ac:dyDescent="0.25">
      <c r="A702" s="38">
        <v>2023</v>
      </c>
      <c r="B702" s="38" t="s">
        <v>10</v>
      </c>
      <c r="C702" s="38" t="s">
        <v>15</v>
      </c>
      <c r="D702" s="42" t="s">
        <v>25</v>
      </c>
      <c r="E702" s="43">
        <v>46</v>
      </c>
      <c r="F702" s="43">
        <v>100</v>
      </c>
      <c r="G702" s="43">
        <v>224</v>
      </c>
      <c r="H702" s="40">
        <v>20</v>
      </c>
      <c r="I702" s="41" t="s">
        <v>42</v>
      </c>
    </row>
    <row r="703" spans="1:9" ht="18" customHeight="1" x14ac:dyDescent="0.25">
      <c r="A703" s="38">
        <v>2023</v>
      </c>
      <c r="B703" s="38" t="s">
        <v>10</v>
      </c>
      <c r="C703" s="38" t="s">
        <v>15</v>
      </c>
      <c r="D703" s="42" t="s">
        <v>23</v>
      </c>
      <c r="E703" s="43">
        <v>34</v>
      </c>
      <c r="F703" s="43">
        <v>2288.4</v>
      </c>
      <c r="G703" s="43">
        <v>5126.0160000000005</v>
      </c>
      <c r="H703" s="40">
        <v>457.68000000000006</v>
      </c>
      <c r="I703" s="41" t="s">
        <v>42</v>
      </c>
    </row>
    <row r="704" spans="1:9" ht="18" customHeight="1" x14ac:dyDescent="0.25">
      <c r="A704" s="38">
        <v>2023</v>
      </c>
      <c r="B704" s="38" t="s">
        <v>10</v>
      </c>
      <c r="C704" s="38" t="s">
        <v>13</v>
      </c>
      <c r="D704" s="39" t="s">
        <v>34</v>
      </c>
      <c r="E704" s="40">
        <v>7</v>
      </c>
      <c r="F704" s="40">
        <v>200</v>
      </c>
      <c r="G704" s="40">
        <v>224</v>
      </c>
      <c r="H704" s="40">
        <v>40</v>
      </c>
      <c r="I704" s="41" t="s">
        <v>42</v>
      </c>
    </row>
    <row r="705" spans="1:9" ht="18" customHeight="1" x14ac:dyDescent="0.25">
      <c r="A705" s="38">
        <v>2023</v>
      </c>
      <c r="B705" s="38" t="s">
        <v>10</v>
      </c>
      <c r="C705" s="38" t="s">
        <v>15</v>
      </c>
      <c r="D705" s="42" t="s">
        <v>27</v>
      </c>
      <c r="E705" s="43">
        <v>3</v>
      </c>
      <c r="F705" s="43">
        <v>2288.65</v>
      </c>
      <c r="G705" s="43">
        <v>5126.576</v>
      </c>
      <c r="H705" s="40">
        <v>457.73</v>
      </c>
      <c r="I705" s="41" t="s">
        <v>42</v>
      </c>
    </row>
    <row r="706" spans="1:9" ht="18" customHeight="1" x14ac:dyDescent="0.25">
      <c r="A706" s="38">
        <v>2023</v>
      </c>
      <c r="B706" s="38" t="s">
        <v>10</v>
      </c>
      <c r="C706" s="38" t="s">
        <v>32</v>
      </c>
      <c r="D706" s="42" t="s">
        <v>32</v>
      </c>
      <c r="E706" s="43">
        <v>2</v>
      </c>
      <c r="F706" s="43">
        <v>6600</v>
      </c>
      <c r="G706" s="43">
        <v>7392</v>
      </c>
      <c r="H706" s="40">
        <v>1320</v>
      </c>
      <c r="I706" s="41" t="s">
        <v>42</v>
      </c>
    </row>
    <row r="707" spans="1:9" ht="18" customHeight="1" x14ac:dyDescent="0.25">
      <c r="A707" s="38">
        <v>2023</v>
      </c>
      <c r="B707" s="38" t="s">
        <v>11</v>
      </c>
      <c r="C707" s="38" t="s">
        <v>14</v>
      </c>
      <c r="D707" s="39" t="s">
        <v>36</v>
      </c>
      <c r="E707" s="40">
        <v>3566</v>
      </c>
      <c r="F707" s="40">
        <v>4577.3</v>
      </c>
      <c r="G707" s="40">
        <v>5126.576</v>
      </c>
      <c r="H707" s="40">
        <v>915.46</v>
      </c>
      <c r="I707" s="41" t="s">
        <v>42</v>
      </c>
    </row>
    <row r="708" spans="1:9" ht="18" customHeight="1" x14ac:dyDescent="0.25">
      <c r="A708" s="38">
        <v>2023</v>
      </c>
      <c r="B708" s="38" t="s">
        <v>11</v>
      </c>
      <c r="C708" s="38" t="s">
        <v>14</v>
      </c>
      <c r="D708" s="39" t="s">
        <v>37</v>
      </c>
      <c r="E708" s="40">
        <v>2498</v>
      </c>
      <c r="F708" s="40">
        <v>8000</v>
      </c>
      <c r="G708" s="40">
        <v>8960</v>
      </c>
      <c r="H708" s="40">
        <v>1600</v>
      </c>
      <c r="I708" s="41" t="s">
        <v>42</v>
      </c>
    </row>
    <row r="709" spans="1:9" ht="18" customHeight="1" x14ac:dyDescent="0.25">
      <c r="A709" s="38">
        <v>2023</v>
      </c>
      <c r="B709" s="38" t="s">
        <v>11</v>
      </c>
      <c r="C709" s="38" t="s">
        <v>13</v>
      </c>
      <c r="D709" s="39" t="s">
        <v>35</v>
      </c>
      <c r="E709" s="40">
        <v>1245</v>
      </c>
      <c r="F709" s="40">
        <v>4577.2</v>
      </c>
      <c r="G709" s="40">
        <v>5126.4639999999999</v>
      </c>
      <c r="H709" s="40">
        <v>915.44</v>
      </c>
      <c r="I709" s="41" t="s">
        <v>42</v>
      </c>
    </row>
    <row r="710" spans="1:9" ht="18" customHeight="1" x14ac:dyDescent="0.25">
      <c r="A710" s="38">
        <v>2023</v>
      </c>
      <c r="B710" s="38" t="s">
        <v>11</v>
      </c>
      <c r="C710" s="38" t="s">
        <v>38</v>
      </c>
      <c r="D710" s="42" t="s">
        <v>30</v>
      </c>
      <c r="E710" s="43">
        <v>644</v>
      </c>
      <c r="F710" s="43">
        <v>5743.5</v>
      </c>
      <c r="G710" s="43">
        <v>6432.72</v>
      </c>
      <c r="H710" s="40">
        <v>1148.7</v>
      </c>
      <c r="I710" s="41" t="s">
        <v>42</v>
      </c>
    </row>
    <row r="711" spans="1:9" ht="18" customHeight="1" x14ac:dyDescent="0.25">
      <c r="A711" s="38">
        <v>2023</v>
      </c>
      <c r="B711" s="38" t="s">
        <v>11</v>
      </c>
      <c r="C711" s="38" t="s">
        <v>12</v>
      </c>
      <c r="D711" s="42" t="s">
        <v>29</v>
      </c>
      <c r="E711" s="43">
        <v>643</v>
      </c>
      <c r="F711" s="43">
        <v>7000</v>
      </c>
      <c r="G711" s="43">
        <v>7840</v>
      </c>
      <c r="H711" s="40">
        <v>1400</v>
      </c>
      <c r="I711" s="41" t="s">
        <v>42</v>
      </c>
    </row>
    <row r="712" spans="1:9" ht="18" customHeight="1" x14ac:dyDescent="0.25">
      <c r="A712" s="38">
        <v>2023</v>
      </c>
      <c r="B712" s="38" t="s">
        <v>11</v>
      </c>
      <c r="C712" s="38" t="s">
        <v>38</v>
      </c>
      <c r="D712" s="42" t="s">
        <v>31</v>
      </c>
      <c r="E712" s="43">
        <v>455</v>
      </c>
      <c r="F712" s="43">
        <v>4578.6000000000004</v>
      </c>
      <c r="G712" s="43">
        <v>5128.0320000000002</v>
      </c>
      <c r="H712" s="40">
        <v>915.72000000000014</v>
      </c>
      <c r="I712" s="41" t="s">
        <v>42</v>
      </c>
    </row>
    <row r="713" spans="1:9" ht="18" customHeight="1" x14ac:dyDescent="0.25">
      <c r="A713" s="38">
        <v>2023</v>
      </c>
      <c r="B713" s="38" t="s">
        <v>11</v>
      </c>
      <c r="C713" s="38" t="s">
        <v>12</v>
      </c>
      <c r="D713" s="42" t="s">
        <v>28</v>
      </c>
      <c r="E713" s="44">
        <v>345</v>
      </c>
      <c r="F713" s="44">
        <v>7000</v>
      </c>
      <c r="G713" s="44">
        <v>7840</v>
      </c>
      <c r="H713" s="40">
        <v>1400</v>
      </c>
      <c r="I713" s="41" t="s">
        <v>42</v>
      </c>
    </row>
    <row r="714" spans="1:9" ht="18" customHeight="1" x14ac:dyDescent="0.25">
      <c r="A714" s="38">
        <v>2023</v>
      </c>
      <c r="B714" s="38" t="s">
        <v>11</v>
      </c>
      <c r="C714" s="38" t="s">
        <v>13</v>
      </c>
      <c r="D714" s="39" t="s">
        <v>33</v>
      </c>
      <c r="E714" s="40">
        <v>122</v>
      </c>
      <c r="F714" s="40">
        <v>100</v>
      </c>
      <c r="G714" s="40">
        <v>112</v>
      </c>
      <c r="H714" s="40">
        <v>20</v>
      </c>
      <c r="I714" s="41" t="s">
        <v>42</v>
      </c>
    </row>
    <row r="715" spans="1:9" ht="18" customHeight="1" x14ac:dyDescent="0.25">
      <c r="A715" s="38">
        <v>2023</v>
      </c>
      <c r="B715" s="38" t="s">
        <v>11</v>
      </c>
      <c r="C715" s="38" t="s">
        <v>15</v>
      </c>
      <c r="D715" s="42" t="s">
        <v>26</v>
      </c>
      <c r="E715" s="43">
        <v>78</v>
      </c>
      <c r="F715" s="43">
        <v>2288.6</v>
      </c>
      <c r="G715" s="43">
        <v>5126.4639999999999</v>
      </c>
      <c r="H715" s="40">
        <v>457.72</v>
      </c>
      <c r="I715" s="41" t="s">
        <v>42</v>
      </c>
    </row>
    <row r="716" spans="1:9" ht="18" customHeight="1" x14ac:dyDescent="0.25">
      <c r="A716" s="38">
        <v>2023</v>
      </c>
      <c r="B716" s="38" t="s">
        <v>11</v>
      </c>
      <c r="C716" s="38" t="s">
        <v>15</v>
      </c>
      <c r="D716" s="42" t="s">
        <v>24</v>
      </c>
      <c r="E716" s="43">
        <v>76</v>
      </c>
      <c r="F716" s="43">
        <v>2288.4499999999998</v>
      </c>
      <c r="G716" s="43">
        <v>5126.1279999999997</v>
      </c>
      <c r="H716" s="40">
        <v>457.69</v>
      </c>
      <c r="I716" s="41" t="s">
        <v>42</v>
      </c>
    </row>
    <row r="717" spans="1:9" ht="18" customHeight="1" x14ac:dyDescent="0.25">
      <c r="A717" s="38">
        <v>2023</v>
      </c>
      <c r="B717" s="38" t="s">
        <v>11</v>
      </c>
      <c r="C717" s="38" t="s">
        <v>15</v>
      </c>
      <c r="D717" s="42" t="s">
        <v>25</v>
      </c>
      <c r="E717" s="43">
        <v>46</v>
      </c>
      <c r="F717" s="43">
        <v>100</v>
      </c>
      <c r="G717" s="43">
        <v>224</v>
      </c>
      <c r="H717" s="40">
        <v>20</v>
      </c>
      <c r="I717" s="41" t="s">
        <v>42</v>
      </c>
    </row>
    <row r="718" spans="1:9" ht="18" customHeight="1" x14ac:dyDescent="0.25">
      <c r="A718" s="38">
        <v>2023</v>
      </c>
      <c r="B718" s="38" t="s">
        <v>11</v>
      </c>
      <c r="C718" s="38" t="s">
        <v>15</v>
      </c>
      <c r="D718" s="42" t="s">
        <v>23</v>
      </c>
      <c r="E718" s="43">
        <v>34</v>
      </c>
      <c r="F718" s="43">
        <v>2288.4</v>
      </c>
      <c r="G718" s="43">
        <v>5126.0160000000005</v>
      </c>
      <c r="H718" s="40">
        <v>457.68000000000006</v>
      </c>
      <c r="I718" s="41" t="s">
        <v>42</v>
      </c>
    </row>
    <row r="719" spans="1:9" ht="18" customHeight="1" x14ac:dyDescent="0.25">
      <c r="A719" s="38">
        <v>2023</v>
      </c>
      <c r="B719" s="38" t="s">
        <v>11</v>
      </c>
      <c r="C719" s="38" t="s">
        <v>13</v>
      </c>
      <c r="D719" s="39" t="s">
        <v>34</v>
      </c>
      <c r="E719" s="40">
        <v>7</v>
      </c>
      <c r="F719" s="40">
        <v>200</v>
      </c>
      <c r="G719" s="40">
        <v>224</v>
      </c>
      <c r="H719" s="40">
        <v>40</v>
      </c>
      <c r="I719" s="41" t="s">
        <v>42</v>
      </c>
    </row>
    <row r="720" spans="1:9" ht="18" customHeight="1" x14ac:dyDescent="0.25">
      <c r="A720" s="38">
        <v>2023</v>
      </c>
      <c r="B720" s="38" t="s">
        <v>11</v>
      </c>
      <c r="C720" s="38" t="s">
        <v>15</v>
      </c>
      <c r="D720" s="42" t="s">
        <v>27</v>
      </c>
      <c r="E720" s="43">
        <v>3</v>
      </c>
      <c r="F720" s="43">
        <v>2288.65</v>
      </c>
      <c r="G720" s="43">
        <v>5126.576</v>
      </c>
      <c r="H720" s="40">
        <v>457.73</v>
      </c>
      <c r="I720" s="41" t="s">
        <v>42</v>
      </c>
    </row>
    <row r="721" spans="1:9" ht="18" customHeight="1" x14ac:dyDescent="0.25">
      <c r="A721" s="38">
        <v>2023</v>
      </c>
      <c r="B721" s="38" t="s">
        <v>11</v>
      </c>
      <c r="C721" s="38" t="s">
        <v>32</v>
      </c>
      <c r="D721" s="42" t="s">
        <v>32</v>
      </c>
      <c r="E721" s="43">
        <v>2</v>
      </c>
      <c r="F721" s="43">
        <v>6600</v>
      </c>
      <c r="G721" s="43">
        <v>7392</v>
      </c>
      <c r="H721" s="40">
        <v>1320</v>
      </c>
      <c r="I721" s="41" t="s">
        <v>42</v>
      </c>
    </row>
    <row r="722" spans="1:9" ht="18" customHeight="1" x14ac:dyDescent="0.25">
      <c r="A722" s="38">
        <v>2024</v>
      </c>
      <c r="B722" s="38" t="s">
        <v>0</v>
      </c>
      <c r="C722" s="38" t="s">
        <v>14</v>
      </c>
      <c r="D722" s="39" t="s">
        <v>36</v>
      </c>
      <c r="E722" s="40">
        <v>3566</v>
      </c>
      <c r="F722" s="40">
        <v>4577.3</v>
      </c>
      <c r="G722" s="40">
        <v>5126.576</v>
      </c>
      <c r="H722" s="40">
        <v>915.46</v>
      </c>
      <c r="I722" s="41" t="s">
        <v>42</v>
      </c>
    </row>
    <row r="723" spans="1:9" ht="18" customHeight="1" x14ac:dyDescent="0.25">
      <c r="A723" s="38">
        <v>2024</v>
      </c>
      <c r="B723" s="38" t="s">
        <v>0</v>
      </c>
      <c r="C723" s="38" t="s">
        <v>14</v>
      </c>
      <c r="D723" s="39" t="s">
        <v>37</v>
      </c>
      <c r="E723" s="40">
        <v>2498</v>
      </c>
      <c r="F723" s="40">
        <v>8000</v>
      </c>
      <c r="G723" s="40">
        <v>8960</v>
      </c>
      <c r="H723" s="40">
        <v>1600</v>
      </c>
      <c r="I723" s="41" t="s">
        <v>42</v>
      </c>
    </row>
    <row r="724" spans="1:9" ht="18" customHeight="1" x14ac:dyDescent="0.25">
      <c r="A724" s="38">
        <v>2024</v>
      </c>
      <c r="B724" s="38" t="s">
        <v>0</v>
      </c>
      <c r="C724" s="38" t="s">
        <v>13</v>
      </c>
      <c r="D724" s="39" t="s">
        <v>35</v>
      </c>
      <c r="E724" s="40">
        <v>1245</v>
      </c>
      <c r="F724" s="40">
        <v>4577.2</v>
      </c>
      <c r="G724" s="40">
        <v>5126.4639999999999</v>
      </c>
      <c r="H724" s="40">
        <v>915.44</v>
      </c>
      <c r="I724" s="41" t="s">
        <v>42</v>
      </c>
    </row>
    <row r="725" spans="1:9" ht="18" customHeight="1" x14ac:dyDescent="0.25">
      <c r="A725" s="38">
        <v>2024</v>
      </c>
      <c r="B725" s="38" t="s">
        <v>0</v>
      </c>
      <c r="C725" s="38" t="s">
        <v>38</v>
      </c>
      <c r="D725" s="42" t="s">
        <v>30</v>
      </c>
      <c r="E725" s="43">
        <v>644</v>
      </c>
      <c r="F725" s="43">
        <v>5743.5</v>
      </c>
      <c r="G725" s="43">
        <v>6432.72</v>
      </c>
      <c r="H725" s="40">
        <v>1148.7</v>
      </c>
      <c r="I725" s="41" t="s">
        <v>42</v>
      </c>
    </row>
    <row r="726" spans="1:9" ht="18" customHeight="1" x14ac:dyDescent="0.25">
      <c r="A726" s="38">
        <v>2024</v>
      </c>
      <c r="B726" s="38" t="s">
        <v>0</v>
      </c>
      <c r="C726" s="38" t="s">
        <v>12</v>
      </c>
      <c r="D726" s="42" t="s">
        <v>29</v>
      </c>
      <c r="E726" s="43">
        <v>643</v>
      </c>
      <c r="F726" s="43">
        <v>7000</v>
      </c>
      <c r="G726" s="43">
        <v>7840</v>
      </c>
      <c r="H726" s="40">
        <v>1400</v>
      </c>
      <c r="I726" s="41" t="s">
        <v>42</v>
      </c>
    </row>
    <row r="727" spans="1:9" ht="18" customHeight="1" x14ac:dyDescent="0.25">
      <c r="A727" s="38">
        <v>2024</v>
      </c>
      <c r="B727" s="38" t="s">
        <v>0</v>
      </c>
      <c r="C727" s="38" t="s">
        <v>38</v>
      </c>
      <c r="D727" s="42" t="s">
        <v>31</v>
      </c>
      <c r="E727" s="43">
        <v>455</v>
      </c>
      <c r="F727" s="43">
        <v>4578.6000000000004</v>
      </c>
      <c r="G727" s="43">
        <v>5128.0320000000002</v>
      </c>
      <c r="H727" s="40">
        <v>915.72000000000014</v>
      </c>
      <c r="I727" s="41" t="s">
        <v>42</v>
      </c>
    </row>
    <row r="728" spans="1:9" ht="18" customHeight="1" x14ac:dyDescent="0.25">
      <c r="A728" s="38">
        <v>2024</v>
      </c>
      <c r="B728" s="38" t="s">
        <v>0</v>
      </c>
      <c r="C728" s="38" t="s">
        <v>12</v>
      </c>
      <c r="D728" s="42" t="s">
        <v>28</v>
      </c>
      <c r="E728" s="44">
        <v>345</v>
      </c>
      <c r="F728" s="44">
        <v>7000</v>
      </c>
      <c r="G728" s="44">
        <v>7840</v>
      </c>
      <c r="H728" s="40">
        <v>1400</v>
      </c>
      <c r="I728" s="41" t="s">
        <v>42</v>
      </c>
    </row>
    <row r="729" spans="1:9" ht="18" customHeight="1" x14ac:dyDescent="0.25">
      <c r="A729" s="38">
        <v>2024</v>
      </c>
      <c r="B729" s="38" t="s">
        <v>0</v>
      </c>
      <c r="C729" s="38" t="s">
        <v>13</v>
      </c>
      <c r="D729" s="39" t="s">
        <v>33</v>
      </c>
      <c r="E729" s="40">
        <v>122</v>
      </c>
      <c r="F729" s="40">
        <v>100</v>
      </c>
      <c r="G729" s="40">
        <v>112</v>
      </c>
      <c r="H729" s="40">
        <v>20</v>
      </c>
      <c r="I729" s="41" t="s">
        <v>42</v>
      </c>
    </row>
    <row r="730" spans="1:9" ht="18" customHeight="1" x14ac:dyDescent="0.25">
      <c r="A730" s="38">
        <v>2024</v>
      </c>
      <c r="B730" s="38" t="s">
        <v>0</v>
      </c>
      <c r="C730" s="38" t="s">
        <v>15</v>
      </c>
      <c r="D730" s="42" t="s">
        <v>26</v>
      </c>
      <c r="E730" s="43">
        <v>78</v>
      </c>
      <c r="F730" s="43">
        <v>4577.2</v>
      </c>
      <c r="G730" s="43">
        <v>5126.4639999999999</v>
      </c>
      <c r="H730" s="40">
        <v>915.44</v>
      </c>
      <c r="I730" s="41" t="s">
        <v>42</v>
      </c>
    </row>
    <row r="731" spans="1:9" ht="18" customHeight="1" x14ac:dyDescent="0.25">
      <c r="A731" s="38">
        <v>2024</v>
      </c>
      <c r="B731" s="38" t="s">
        <v>0</v>
      </c>
      <c r="C731" s="38" t="s">
        <v>15</v>
      </c>
      <c r="D731" s="42" t="s">
        <v>24</v>
      </c>
      <c r="E731" s="43">
        <v>76</v>
      </c>
      <c r="F731" s="43">
        <v>4576.8999999999996</v>
      </c>
      <c r="G731" s="43">
        <v>5126.1279999999997</v>
      </c>
      <c r="H731" s="40">
        <v>915.38</v>
      </c>
      <c r="I731" s="41" t="s">
        <v>42</v>
      </c>
    </row>
    <row r="732" spans="1:9" ht="18" customHeight="1" x14ac:dyDescent="0.25">
      <c r="A732" s="38">
        <v>2024</v>
      </c>
      <c r="B732" s="38" t="s">
        <v>0</v>
      </c>
      <c r="C732" s="38" t="s">
        <v>15</v>
      </c>
      <c r="D732" s="42" t="s">
        <v>25</v>
      </c>
      <c r="E732" s="43">
        <v>46</v>
      </c>
      <c r="F732" s="43">
        <v>200</v>
      </c>
      <c r="G732" s="43">
        <v>224</v>
      </c>
      <c r="H732" s="40">
        <v>40</v>
      </c>
      <c r="I732" s="41" t="s">
        <v>42</v>
      </c>
    </row>
    <row r="733" spans="1:9" ht="18" customHeight="1" x14ac:dyDescent="0.25">
      <c r="A733" s="38">
        <v>2024</v>
      </c>
      <c r="B733" s="38" t="s">
        <v>0</v>
      </c>
      <c r="C733" s="38" t="s">
        <v>15</v>
      </c>
      <c r="D733" s="42" t="s">
        <v>23</v>
      </c>
      <c r="E733" s="43">
        <v>34</v>
      </c>
      <c r="F733" s="43">
        <v>4576.8</v>
      </c>
      <c r="G733" s="43">
        <v>5126.0160000000005</v>
      </c>
      <c r="H733" s="40">
        <v>915.36000000000013</v>
      </c>
      <c r="I733" s="41" t="s">
        <v>42</v>
      </c>
    </row>
    <row r="734" spans="1:9" ht="18" customHeight="1" x14ac:dyDescent="0.25">
      <c r="A734" s="38">
        <v>2024</v>
      </c>
      <c r="B734" s="38" t="s">
        <v>0</v>
      </c>
      <c r="C734" s="38" t="s">
        <v>13</v>
      </c>
      <c r="D734" s="39" t="s">
        <v>34</v>
      </c>
      <c r="E734" s="40">
        <v>7</v>
      </c>
      <c r="F734" s="40">
        <v>200</v>
      </c>
      <c r="G734" s="40">
        <v>224</v>
      </c>
      <c r="H734" s="40">
        <v>40</v>
      </c>
      <c r="I734" s="41" t="s">
        <v>42</v>
      </c>
    </row>
    <row r="735" spans="1:9" ht="18" customHeight="1" x14ac:dyDescent="0.25">
      <c r="A735" s="38">
        <v>2024</v>
      </c>
      <c r="B735" s="38" t="s">
        <v>0</v>
      </c>
      <c r="C735" s="38" t="s">
        <v>32</v>
      </c>
      <c r="D735" s="42" t="s">
        <v>32</v>
      </c>
      <c r="E735" s="43">
        <v>3</v>
      </c>
      <c r="F735" s="43">
        <v>6600</v>
      </c>
      <c r="G735" s="43">
        <v>7392</v>
      </c>
      <c r="H735" s="40">
        <v>1320</v>
      </c>
      <c r="I735" s="41" t="s">
        <v>42</v>
      </c>
    </row>
    <row r="736" spans="1:9" ht="18" customHeight="1" x14ac:dyDescent="0.25">
      <c r="A736" s="38">
        <v>2024</v>
      </c>
      <c r="B736" s="38" t="s">
        <v>0</v>
      </c>
      <c r="C736" s="38" t="s">
        <v>15</v>
      </c>
      <c r="D736" s="42" t="s">
        <v>27</v>
      </c>
      <c r="E736" s="43">
        <v>3</v>
      </c>
      <c r="F736" s="43">
        <v>4577.3</v>
      </c>
      <c r="G736" s="43">
        <v>5126.576</v>
      </c>
      <c r="H736" s="40">
        <v>915.46</v>
      </c>
      <c r="I736" s="41" t="s">
        <v>42</v>
      </c>
    </row>
    <row r="737" spans="1:9" ht="18" customHeight="1" x14ac:dyDescent="0.25">
      <c r="A737" s="38">
        <v>2024</v>
      </c>
      <c r="B737" s="38" t="s">
        <v>1</v>
      </c>
      <c r="C737" s="38" t="s">
        <v>14</v>
      </c>
      <c r="D737" s="39" t="s">
        <v>36</v>
      </c>
      <c r="E737" s="40">
        <v>3566</v>
      </c>
      <c r="F737" s="40">
        <v>4577.3</v>
      </c>
      <c r="G737" s="40">
        <v>5126.576</v>
      </c>
      <c r="H737" s="40">
        <v>915.46</v>
      </c>
      <c r="I737" s="41" t="s">
        <v>42</v>
      </c>
    </row>
    <row r="738" spans="1:9" ht="18" customHeight="1" x14ac:dyDescent="0.25">
      <c r="A738" s="38">
        <v>2024</v>
      </c>
      <c r="B738" s="38" t="s">
        <v>1</v>
      </c>
      <c r="C738" s="38" t="s">
        <v>14</v>
      </c>
      <c r="D738" s="39" t="s">
        <v>37</v>
      </c>
      <c r="E738" s="40">
        <v>2498</v>
      </c>
      <c r="F738" s="40">
        <v>8000</v>
      </c>
      <c r="G738" s="40">
        <v>8960</v>
      </c>
      <c r="H738" s="40">
        <v>1600</v>
      </c>
      <c r="I738" s="41" t="s">
        <v>42</v>
      </c>
    </row>
    <row r="739" spans="1:9" ht="18" customHeight="1" x14ac:dyDescent="0.25">
      <c r="A739" s="38">
        <v>2024</v>
      </c>
      <c r="B739" s="38" t="s">
        <v>1</v>
      </c>
      <c r="C739" s="38" t="s">
        <v>13</v>
      </c>
      <c r="D739" s="39" t="s">
        <v>35</v>
      </c>
      <c r="E739" s="40">
        <v>1245</v>
      </c>
      <c r="F739" s="40">
        <v>4577.2</v>
      </c>
      <c r="G739" s="40">
        <v>5126.4639999999999</v>
      </c>
      <c r="H739" s="40">
        <v>915.44</v>
      </c>
      <c r="I739" s="41" t="s">
        <v>42</v>
      </c>
    </row>
    <row r="740" spans="1:9" ht="18" customHeight="1" x14ac:dyDescent="0.25">
      <c r="A740" s="38">
        <v>2024</v>
      </c>
      <c r="B740" s="38" t="s">
        <v>1</v>
      </c>
      <c r="C740" s="38" t="s">
        <v>38</v>
      </c>
      <c r="D740" s="42" t="s">
        <v>30</v>
      </c>
      <c r="E740" s="43">
        <v>644</v>
      </c>
      <c r="F740" s="43">
        <v>5743.5</v>
      </c>
      <c r="G740" s="43">
        <v>6432.72</v>
      </c>
      <c r="H740" s="40">
        <v>1148.7</v>
      </c>
      <c r="I740" s="41" t="s">
        <v>42</v>
      </c>
    </row>
    <row r="741" spans="1:9" ht="18" customHeight="1" x14ac:dyDescent="0.25">
      <c r="A741" s="38">
        <v>2024</v>
      </c>
      <c r="B741" s="38" t="s">
        <v>1</v>
      </c>
      <c r="C741" s="38" t="s">
        <v>12</v>
      </c>
      <c r="D741" s="42" t="s">
        <v>29</v>
      </c>
      <c r="E741" s="43">
        <v>643</v>
      </c>
      <c r="F741" s="43">
        <v>7000</v>
      </c>
      <c r="G741" s="43">
        <v>7840</v>
      </c>
      <c r="H741" s="40">
        <v>1400</v>
      </c>
      <c r="I741" s="41" t="s">
        <v>42</v>
      </c>
    </row>
    <row r="742" spans="1:9" ht="18" customHeight="1" x14ac:dyDescent="0.25">
      <c r="A742" s="38">
        <v>2024</v>
      </c>
      <c r="B742" s="38" t="s">
        <v>1</v>
      </c>
      <c r="C742" s="38" t="s">
        <v>38</v>
      </c>
      <c r="D742" s="42" t="s">
        <v>31</v>
      </c>
      <c r="E742" s="43">
        <v>455</v>
      </c>
      <c r="F742" s="43">
        <v>4578.6000000000004</v>
      </c>
      <c r="G742" s="43">
        <v>5128.0320000000002</v>
      </c>
      <c r="H742" s="40">
        <v>915.72000000000014</v>
      </c>
      <c r="I742" s="41" t="s">
        <v>42</v>
      </c>
    </row>
    <row r="743" spans="1:9" ht="18" customHeight="1" x14ac:dyDescent="0.25">
      <c r="A743" s="38">
        <v>2024</v>
      </c>
      <c r="B743" s="38" t="s">
        <v>1</v>
      </c>
      <c r="C743" s="38" t="s">
        <v>12</v>
      </c>
      <c r="D743" s="42" t="s">
        <v>28</v>
      </c>
      <c r="E743" s="44">
        <v>345</v>
      </c>
      <c r="F743" s="44">
        <v>7000</v>
      </c>
      <c r="G743" s="44">
        <v>7840</v>
      </c>
      <c r="H743" s="40">
        <v>1400</v>
      </c>
      <c r="I743" s="41" t="s">
        <v>42</v>
      </c>
    </row>
    <row r="744" spans="1:9" ht="18" customHeight="1" x14ac:dyDescent="0.25">
      <c r="A744" s="38">
        <v>2024</v>
      </c>
      <c r="B744" s="38" t="s">
        <v>1</v>
      </c>
      <c r="C744" s="38" t="s">
        <v>13</v>
      </c>
      <c r="D744" s="39" t="s">
        <v>33</v>
      </c>
      <c r="E744" s="40">
        <v>122</v>
      </c>
      <c r="F744" s="40">
        <v>100</v>
      </c>
      <c r="G744" s="40">
        <v>112</v>
      </c>
      <c r="H744" s="40">
        <v>20</v>
      </c>
      <c r="I744" s="41" t="s">
        <v>42</v>
      </c>
    </row>
    <row r="745" spans="1:9" ht="18" customHeight="1" x14ac:dyDescent="0.25">
      <c r="A745" s="38">
        <v>2024</v>
      </c>
      <c r="B745" s="38" t="s">
        <v>1</v>
      </c>
      <c r="C745" s="38" t="s">
        <v>15</v>
      </c>
      <c r="D745" s="42" t="s">
        <v>26</v>
      </c>
      <c r="E745" s="43">
        <v>78</v>
      </c>
      <c r="F745" s="43">
        <v>4577.2</v>
      </c>
      <c r="G745" s="43">
        <v>5126.4639999999999</v>
      </c>
      <c r="H745" s="40">
        <v>915.44</v>
      </c>
      <c r="I745" s="41" t="s">
        <v>42</v>
      </c>
    </row>
    <row r="746" spans="1:9" ht="18" customHeight="1" x14ac:dyDescent="0.25">
      <c r="A746" s="38">
        <v>2024</v>
      </c>
      <c r="B746" s="38" t="s">
        <v>1</v>
      </c>
      <c r="C746" s="38" t="s">
        <v>15</v>
      </c>
      <c r="D746" s="42" t="s">
        <v>24</v>
      </c>
      <c r="E746" s="43">
        <v>76</v>
      </c>
      <c r="F746" s="43">
        <v>4576.8999999999996</v>
      </c>
      <c r="G746" s="43">
        <v>5126.1279999999997</v>
      </c>
      <c r="H746" s="40">
        <v>915.38</v>
      </c>
      <c r="I746" s="41" t="s">
        <v>42</v>
      </c>
    </row>
    <row r="747" spans="1:9" ht="18" customHeight="1" x14ac:dyDescent="0.25">
      <c r="A747" s="38">
        <v>2024</v>
      </c>
      <c r="B747" s="38" t="s">
        <v>1</v>
      </c>
      <c r="C747" s="38" t="s">
        <v>15</v>
      </c>
      <c r="D747" s="42" t="s">
        <v>25</v>
      </c>
      <c r="E747" s="43">
        <v>46</v>
      </c>
      <c r="F747" s="43">
        <v>200</v>
      </c>
      <c r="G747" s="43">
        <v>224</v>
      </c>
      <c r="H747" s="40">
        <v>40</v>
      </c>
      <c r="I747" s="41" t="s">
        <v>42</v>
      </c>
    </row>
    <row r="748" spans="1:9" ht="18" customHeight="1" x14ac:dyDescent="0.25">
      <c r="A748" s="38">
        <v>2024</v>
      </c>
      <c r="B748" s="38" t="s">
        <v>1</v>
      </c>
      <c r="C748" s="38" t="s">
        <v>15</v>
      </c>
      <c r="D748" s="42" t="s">
        <v>23</v>
      </c>
      <c r="E748" s="43">
        <v>34</v>
      </c>
      <c r="F748" s="43">
        <v>4576.8</v>
      </c>
      <c r="G748" s="43">
        <v>5126.0160000000005</v>
      </c>
      <c r="H748" s="40">
        <v>915.36000000000013</v>
      </c>
      <c r="I748" s="41" t="s">
        <v>42</v>
      </c>
    </row>
    <row r="749" spans="1:9" ht="18" customHeight="1" x14ac:dyDescent="0.25">
      <c r="A749" s="38">
        <v>2024</v>
      </c>
      <c r="B749" s="38" t="s">
        <v>1</v>
      </c>
      <c r="C749" s="38" t="s">
        <v>13</v>
      </c>
      <c r="D749" s="39" t="s">
        <v>34</v>
      </c>
      <c r="E749" s="40">
        <v>7</v>
      </c>
      <c r="F749" s="40">
        <v>200</v>
      </c>
      <c r="G749" s="40">
        <v>224</v>
      </c>
      <c r="H749" s="40">
        <v>40</v>
      </c>
      <c r="I749" s="41" t="s">
        <v>42</v>
      </c>
    </row>
    <row r="750" spans="1:9" ht="18" customHeight="1" x14ac:dyDescent="0.25">
      <c r="A750" s="38">
        <v>2024</v>
      </c>
      <c r="B750" s="38" t="s">
        <v>1</v>
      </c>
      <c r="C750" s="38" t="s">
        <v>15</v>
      </c>
      <c r="D750" s="42" t="s">
        <v>27</v>
      </c>
      <c r="E750" s="43">
        <v>3</v>
      </c>
      <c r="F750" s="43">
        <v>4577.3</v>
      </c>
      <c r="G750" s="43">
        <v>5126.576</v>
      </c>
      <c r="H750" s="40">
        <v>915.46</v>
      </c>
      <c r="I750" s="41" t="s">
        <v>42</v>
      </c>
    </row>
    <row r="751" spans="1:9" ht="18" customHeight="1" x14ac:dyDescent="0.25">
      <c r="A751" s="38">
        <v>2024</v>
      </c>
      <c r="B751" s="38" t="s">
        <v>1</v>
      </c>
      <c r="C751" s="38" t="s">
        <v>32</v>
      </c>
      <c r="D751" s="42" t="s">
        <v>32</v>
      </c>
      <c r="E751" s="43">
        <v>2</v>
      </c>
      <c r="F751" s="43">
        <v>6600</v>
      </c>
      <c r="G751" s="43">
        <v>7392</v>
      </c>
      <c r="H751" s="40">
        <v>1320</v>
      </c>
      <c r="I751" s="41" t="s">
        <v>42</v>
      </c>
    </row>
    <row r="752" spans="1:9" ht="18" customHeight="1" x14ac:dyDescent="0.25">
      <c r="A752" s="38">
        <v>2024</v>
      </c>
      <c r="B752" s="38" t="s">
        <v>2</v>
      </c>
      <c r="C752" s="38" t="s">
        <v>14</v>
      </c>
      <c r="D752" s="39" t="s">
        <v>36</v>
      </c>
      <c r="E752" s="40">
        <v>3566</v>
      </c>
      <c r="F752" s="40">
        <v>4577.3</v>
      </c>
      <c r="G752" s="40">
        <v>5126.576</v>
      </c>
      <c r="H752" s="40">
        <v>915.46</v>
      </c>
      <c r="I752" s="41" t="s">
        <v>42</v>
      </c>
    </row>
    <row r="753" spans="1:9" ht="18" customHeight="1" x14ac:dyDescent="0.25">
      <c r="A753" s="38">
        <v>2024</v>
      </c>
      <c r="B753" s="38" t="s">
        <v>2</v>
      </c>
      <c r="C753" s="38" t="s">
        <v>14</v>
      </c>
      <c r="D753" s="39" t="s">
        <v>37</v>
      </c>
      <c r="E753" s="40">
        <v>2498</v>
      </c>
      <c r="F753" s="40">
        <v>8000</v>
      </c>
      <c r="G753" s="40">
        <v>8960</v>
      </c>
      <c r="H753" s="40">
        <v>1600</v>
      </c>
      <c r="I753" s="41" t="s">
        <v>42</v>
      </c>
    </row>
    <row r="754" spans="1:9" ht="18" customHeight="1" x14ac:dyDescent="0.25">
      <c r="A754" s="38">
        <v>2024</v>
      </c>
      <c r="B754" s="38" t="s">
        <v>2</v>
      </c>
      <c r="C754" s="38" t="s">
        <v>13</v>
      </c>
      <c r="D754" s="39" t="s">
        <v>35</v>
      </c>
      <c r="E754" s="40">
        <v>1245</v>
      </c>
      <c r="F754" s="40">
        <v>4577.2</v>
      </c>
      <c r="G754" s="40">
        <v>5126.4639999999999</v>
      </c>
      <c r="H754" s="40">
        <v>915.44</v>
      </c>
      <c r="I754" s="41" t="s">
        <v>42</v>
      </c>
    </row>
    <row r="755" spans="1:9" ht="18" customHeight="1" x14ac:dyDescent="0.25">
      <c r="A755" s="38">
        <v>2024</v>
      </c>
      <c r="B755" s="38" t="s">
        <v>2</v>
      </c>
      <c r="C755" s="38" t="s">
        <v>38</v>
      </c>
      <c r="D755" s="42" t="s">
        <v>30</v>
      </c>
      <c r="E755" s="43">
        <v>644</v>
      </c>
      <c r="F755" s="43">
        <v>5743.5</v>
      </c>
      <c r="G755" s="43">
        <v>6432.72</v>
      </c>
      <c r="H755" s="40">
        <v>1148.7</v>
      </c>
      <c r="I755" s="41" t="s">
        <v>40</v>
      </c>
    </row>
    <row r="756" spans="1:9" ht="18" customHeight="1" x14ac:dyDescent="0.25">
      <c r="A756" s="38">
        <v>2024</v>
      </c>
      <c r="B756" s="38" t="s">
        <v>2</v>
      </c>
      <c r="C756" s="38" t="s">
        <v>12</v>
      </c>
      <c r="D756" s="42" t="s">
        <v>29</v>
      </c>
      <c r="E756" s="43">
        <v>643</v>
      </c>
      <c r="F756" s="43">
        <v>7000</v>
      </c>
      <c r="G756" s="43">
        <v>7840</v>
      </c>
      <c r="H756" s="40">
        <v>1400</v>
      </c>
      <c r="I756" s="41" t="s">
        <v>40</v>
      </c>
    </row>
    <row r="757" spans="1:9" ht="18" customHeight="1" x14ac:dyDescent="0.25">
      <c r="A757" s="38">
        <v>2024</v>
      </c>
      <c r="B757" s="38" t="s">
        <v>2</v>
      </c>
      <c r="C757" s="38" t="s">
        <v>38</v>
      </c>
      <c r="D757" s="42" t="s">
        <v>31</v>
      </c>
      <c r="E757" s="43">
        <v>455</v>
      </c>
      <c r="F757" s="43">
        <v>4578.6000000000004</v>
      </c>
      <c r="G757" s="43">
        <v>5128.0320000000002</v>
      </c>
      <c r="H757" s="40">
        <v>915.72000000000014</v>
      </c>
      <c r="I757" s="41" t="s">
        <v>40</v>
      </c>
    </row>
    <row r="758" spans="1:9" ht="18" customHeight="1" x14ac:dyDescent="0.25">
      <c r="A758" s="38">
        <v>2024</v>
      </c>
      <c r="B758" s="38" t="s">
        <v>2</v>
      </c>
      <c r="C758" s="38" t="s">
        <v>12</v>
      </c>
      <c r="D758" s="42" t="s">
        <v>28</v>
      </c>
      <c r="E758" s="44">
        <v>345</v>
      </c>
      <c r="F758" s="44">
        <v>7000</v>
      </c>
      <c r="G758" s="44">
        <v>7840</v>
      </c>
      <c r="H758" s="40">
        <v>1400</v>
      </c>
      <c r="I758" s="41" t="s">
        <v>40</v>
      </c>
    </row>
    <row r="759" spans="1:9" ht="18" customHeight="1" x14ac:dyDescent="0.25">
      <c r="A759" s="38">
        <v>2024</v>
      </c>
      <c r="B759" s="38" t="s">
        <v>2</v>
      </c>
      <c r="C759" s="38" t="s">
        <v>13</v>
      </c>
      <c r="D759" s="39" t="s">
        <v>33</v>
      </c>
      <c r="E759" s="40">
        <v>122</v>
      </c>
      <c r="F759" s="40">
        <v>100</v>
      </c>
      <c r="G759" s="40">
        <v>112</v>
      </c>
      <c r="H759" s="40">
        <v>20</v>
      </c>
      <c r="I759" s="41" t="s">
        <v>40</v>
      </c>
    </row>
    <row r="760" spans="1:9" ht="18" customHeight="1" x14ac:dyDescent="0.25">
      <c r="A760" s="38">
        <v>2024</v>
      </c>
      <c r="B760" s="38" t="s">
        <v>2</v>
      </c>
      <c r="C760" s="38" t="s">
        <v>15</v>
      </c>
      <c r="D760" s="42" t="s">
        <v>26</v>
      </c>
      <c r="E760" s="43">
        <v>78</v>
      </c>
      <c r="F760" s="43">
        <v>4577.2</v>
      </c>
      <c r="G760" s="43">
        <v>5126.4639999999999</v>
      </c>
      <c r="H760" s="40">
        <v>915.44</v>
      </c>
      <c r="I760" s="41" t="s">
        <v>40</v>
      </c>
    </row>
    <row r="761" spans="1:9" ht="18" customHeight="1" x14ac:dyDescent="0.25">
      <c r="A761" s="38">
        <v>2024</v>
      </c>
      <c r="B761" s="38" t="s">
        <v>2</v>
      </c>
      <c r="C761" s="38" t="s">
        <v>15</v>
      </c>
      <c r="D761" s="42" t="s">
        <v>24</v>
      </c>
      <c r="E761" s="43">
        <v>76</v>
      </c>
      <c r="F761" s="43">
        <v>4576.8999999999996</v>
      </c>
      <c r="G761" s="43">
        <v>5126.1279999999997</v>
      </c>
      <c r="H761" s="40">
        <v>915.38</v>
      </c>
      <c r="I761" s="41" t="s">
        <v>40</v>
      </c>
    </row>
    <row r="762" spans="1:9" ht="18" customHeight="1" x14ac:dyDescent="0.25">
      <c r="A762" s="38">
        <v>2024</v>
      </c>
      <c r="B762" s="38" t="s">
        <v>2</v>
      </c>
      <c r="C762" s="38" t="s">
        <v>15</v>
      </c>
      <c r="D762" s="42" t="s">
        <v>25</v>
      </c>
      <c r="E762" s="43">
        <v>46</v>
      </c>
      <c r="F762" s="43">
        <v>200</v>
      </c>
      <c r="G762" s="43">
        <v>224</v>
      </c>
      <c r="H762" s="40">
        <v>40</v>
      </c>
      <c r="I762" s="41" t="s">
        <v>40</v>
      </c>
    </row>
    <row r="763" spans="1:9" ht="18" customHeight="1" x14ac:dyDescent="0.25">
      <c r="A763" s="38">
        <v>2024</v>
      </c>
      <c r="B763" s="38" t="s">
        <v>2</v>
      </c>
      <c r="C763" s="38" t="s">
        <v>15</v>
      </c>
      <c r="D763" s="42" t="s">
        <v>23</v>
      </c>
      <c r="E763" s="43">
        <v>34</v>
      </c>
      <c r="F763" s="43">
        <v>4576.8</v>
      </c>
      <c r="G763" s="43">
        <v>5126.0160000000005</v>
      </c>
      <c r="H763" s="40">
        <v>915.36000000000013</v>
      </c>
      <c r="I763" s="41" t="s">
        <v>40</v>
      </c>
    </row>
    <row r="764" spans="1:9" ht="18" customHeight="1" x14ac:dyDescent="0.25">
      <c r="A764" s="38">
        <v>2024</v>
      </c>
      <c r="B764" s="38" t="s">
        <v>2</v>
      </c>
      <c r="C764" s="38" t="s">
        <v>13</v>
      </c>
      <c r="D764" s="39" t="s">
        <v>34</v>
      </c>
      <c r="E764" s="40">
        <v>7</v>
      </c>
      <c r="F764" s="40">
        <v>200</v>
      </c>
      <c r="G764" s="40">
        <v>224</v>
      </c>
      <c r="H764" s="40">
        <v>40</v>
      </c>
      <c r="I764" s="41" t="s">
        <v>40</v>
      </c>
    </row>
    <row r="765" spans="1:9" ht="18" customHeight="1" x14ac:dyDescent="0.25">
      <c r="A765" s="38">
        <v>2024</v>
      </c>
      <c r="B765" s="38" t="s">
        <v>2</v>
      </c>
      <c r="C765" s="38" t="s">
        <v>15</v>
      </c>
      <c r="D765" s="42" t="s">
        <v>27</v>
      </c>
      <c r="E765" s="43">
        <v>3</v>
      </c>
      <c r="F765" s="43">
        <v>4577.3</v>
      </c>
      <c r="G765" s="43">
        <v>5126.576</v>
      </c>
      <c r="H765" s="40">
        <v>915.46</v>
      </c>
      <c r="I765" s="41" t="s">
        <v>40</v>
      </c>
    </row>
    <row r="766" spans="1:9" ht="18" customHeight="1" x14ac:dyDescent="0.25">
      <c r="A766" s="38">
        <v>2024</v>
      </c>
      <c r="B766" s="38" t="s">
        <v>2</v>
      </c>
      <c r="C766" s="38" t="s">
        <v>32</v>
      </c>
      <c r="D766" s="42" t="s">
        <v>32</v>
      </c>
      <c r="E766" s="43">
        <v>2</v>
      </c>
      <c r="F766" s="43">
        <v>6600</v>
      </c>
      <c r="G766" s="43">
        <v>7392</v>
      </c>
      <c r="H766" s="40">
        <v>1320</v>
      </c>
      <c r="I766" s="41" t="s">
        <v>40</v>
      </c>
    </row>
    <row r="767" spans="1:9" ht="18" customHeight="1" x14ac:dyDescent="0.25">
      <c r="A767" s="38">
        <v>2024</v>
      </c>
      <c r="B767" s="38" t="s">
        <v>3</v>
      </c>
      <c r="C767" s="38" t="s">
        <v>14</v>
      </c>
      <c r="D767" s="39" t="s">
        <v>36</v>
      </c>
      <c r="E767" s="40">
        <v>3566</v>
      </c>
      <c r="F767" s="40">
        <v>4577.3</v>
      </c>
      <c r="G767" s="40">
        <v>5126.576</v>
      </c>
      <c r="H767" s="40">
        <v>915.46</v>
      </c>
      <c r="I767" s="41" t="s">
        <v>40</v>
      </c>
    </row>
    <row r="768" spans="1:9" ht="18" customHeight="1" x14ac:dyDescent="0.25">
      <c r="A768" s="38">
        <v>2024</v>
      </c>
      <c r="B768" s="38" t="s">
        <v>3</v>
      </c>
      <c r="C768" s="38" t="s">
        <v>14</v>
      </c>
      <c r="D768" s="39" t="s">
        <v>37</v>
      </c>
      <c r="E768" s="40">
        <v>2498</v>
      </c>
      <c r="F768" s="40">
        <v>8000</v>
      </c>
      <c r="G768" s="40">
        <v>8960</v>
      </c>
      <c r="H768" s="40">
        <v>1600</v>
      </c>
      <c r="I768" s="41" t="s">
        <v>40</v>
      </c>
    </row>
    <row r="769" spans="1:9" ht="18" customHeight="1" x14ac:dyDescent="0.25">
      <c r="A769" s="38">
        <v>2024</v>
      </c>
      <c r="B769" s="38" t="s">
        <v>3</v>
      </c>
      <c r="C769" s="38" t="s">
        <v>13</v>
      </c>
      <c r="D769" s="39" t="s">
        <v>35</v>
      </c>
      <c r="E769" s="40">
        <v>1245</v>
      </c>
      <c r="F769" s="40">
        <v>4577.2</v>
      </c>
      <c r="G769" s="40">
        <v>5126.4639999999999</v>
      </c>
      <c r="H769" s="40">
        <v>915.44</v>
      </c>
      <c r="I769" s="41" t="s">
        <v>40</v>
      </c>
    </row>
    <row r="770" spans="1:9" ht="18" customHeight="1" x14ac:dyDescent="0.25">
      <c r="A770" s="38">
        <v>2024</v>
      </c>
      <c r="B770" s="38" t="s">
        <v>3</v>
      </c>
      <c r="C770" s="38" t="s">
        <v>38</v>
      </c>
      <c r="D770" s="42" t="s">
        <v>30</v>
      </c>
      <c r="E770" s="43">
        <v>644</v>
      </c>
      <c r="F770" s="43">
        <v>5743.5</v>
      </c>
      <c r="G770" s="43">
        <v>6432.72</v>
      </c>
      <c r="H770" s="40">
        <v>1148.7</v>
      </c>
      <c r="I770" s="41" t="s">
        <v>40</v>
      </c>
    </row>
    <row r="771" spans="1:9" ht="18" customHeight="1" x14ac:dyDescent="0.25">
      <c r="A771" s="38">
        <v>2024</v>
      </c>
      <c r="B771" s="38" t="s">
        <v>3</v>
      </c>
      <c r="C771" s="38" t="s">
        <v>12</v>
      </c>
      <c r="D771" s="42" t="s">
        <v>29</v>
      </c>
      <c r="E771" s="43">
        <v>643</v>
      </c>
      <c r="F771" s="43">
        <v>7000</v>
      </c>
      <c r="G771" s="43">
        <v>7840</v>
      </c>
      <c r="H771" s="40">
        <v>1400</v>
      </c>
      <c r="I771" s="41" t="s">
        <v>40</v>
      </c>
    </row>
    <row r="772" spans="1:9" ht="18" customHeight="1" x14ac:dyDescent="0.25">
      <c r="A772" s="38">
        <v>2024</v>
      </c>
      <c r="B772" s="38" t="s">
        <v>3</v>
      </c>
      <c r="C772" s="38" t="s">
        <v>38</v>
      </c>
      <c r="D772" s="42" t="s">
        <v>31</v>
      </c>
      <c r="E772" s="43">
        <v>455</v>
      </c>
      <c r="F772" s="43">
        <v>4578.6000000000004</v>
      </c>
      <c r="G772" s="43">
        <v>5128.0320000000002</v>
      </c>
      <c r="H772" s="40">
        <v>915.72000000000014</v>
      </c>
      <c r="I772" s="41" t="s">
        <v>40</v>
      </c>
    </row>
    <row r="773" spans="1:9" ht="18" customHeight="1" x14ac:dyDescent="0.25">
      <c r="A773" s="38">
        <v>2024</v>
      </c>
      <c r="B773" s="38" t="s">
        <v>3</v>
      </c>
      <c r="C773" s="38" t="s">
        <v>12</v>
      </c>
      <c r="D773" s="42" t="s">
        <v>28</v>
      </c>
      <c r="E773" s="44">
        <v>345</v>
      </c>
      <c r="F773" s="44">
        <v>7000</v>
      </c>
      <c r="G773" s="44">
        <v>7840</v>
      </c>
      <c r="H773" s="40">
        <v>1400</v>
      </c>
      <c r="I773" s="41" t="s">
        <v>40</v>
      </c>
    </row>
    <row r="774" spans="1:9" ht="18" customHeight="1" x14ac:dyDescent="0.25">
      <c r="A774" s="38">
        <v>2024</v>
      </c>
      <c r="B774" s="38" t="s">
        <v>3</v>
      </c>
      <c r="C774" s="38" t="s">
        <v>13</v>
      </c>
      <c r="D774" s="39" t="s">
        <v>33</v>
      </c>
      <c r="E774" s="40">
        <v>122</v>
      </c>
      <c r="F774" s="40">
        <v>100</v>
      </c>
      <c r="G774" s="40">
        <v>112</v>
      </c>
      <c r="H774" s="40">
        <v>20</v>
      </c>
      <c r="I774" s="41" t="s">
        <v>40</v>
      </c>
    </row>
    <row r="775" spans="1:9" ht="18" customHeight="1" x14ac:dyDescent="0.25">
      <c r="A775" s="38">
        <v>2024</v>
      </c>
      <c r="B775" s="38" t="s">
        <v>3</v>
      </c>
      <c r="C775" s="38" t="s">
        <v>15</v>
      </c>
      <c r="D775" s="42" t="s">
        <v>26</v>
      </c>
      <c r="E775" s="43">
        <v>78</v>
      </c>
      <c r="F775" s="43">
        <v>4577.2</v>
      </c>
      <c r="G775" s="43">
        <v>5126.4639999999999</v>
      </c>
      <c r="H775" s="40">
        <v>915.44</v>
      </c>
      <c r="I775" s="41" t="s">
        <v>40</v>
      </c>
    </row>
    <row r="776" spans="1:9" ht="18" customHeight="1" x14ac:dyDescent="0.25">
      <c r="A776" s="38">
        <v>2024</v>
      </c>
      <c r="B776" s="38" t="s">
        <v>3</v>
      </c>
      <c r="C776" s="38" t="s">
        <v>15</v>
      </c>
      <c r="D776" s="42" t="s">
        <v>24</v>
      </c>
      <c r="E776" s="43">
        <v>76</v>
      </c>
      <c r="F776" s="43">
        <v>4576.8999999999996</v>
      </c>
      <c r="G776" s="43">
        <v>5126.1279999999997</v>
      </c>
      <c r="H776" s="40">
        <v>915.38</v>
      </c>
      <c r="I776" s="41" t="s">
        <v>40</v>
      </c>
    </row>
    <row r="777" spans="1:9" ht="18" customHeight="1" x14ac:dyDescent="0.25">
      <c r="A777" s="38">
        <v>2024</v>
      </c>
      <c r="B777" s="38" t="s">
        <v>3</v>
      </c>
      <c r="C777" s="38" t="s">
        <v>15</v>
      </c>
      <c r="D777" s="42" t="s">
        <v>25</v>
      </c>
      <c r="E777" s="43">
        <v>46</v>
      </c>
      <c r="F777" s="43">
        <v>200</v>
      </c>
      <c r="G777" s="43">
        <v>224</v>
      </c>
      <c r="H777" s="40">
        <v>40</v>
      </c>
      <c r="I777" s="41" t="s">
        <v>40</v>
      </c>
    </row>
    <row r="778" spans="1:9" ht="18" customHeight="1" x14ac:dyDescent="0.25">
      <c r="A778" s="38">
        <v>2024</v>
      </c>
      <c r="B778" s="38" t="s">
        <v>3</v>
      </c>
      <c r="C778" s="38" t="s">
        <v>15</v>
      </c>
      <c r="D778" s="42" t="s">
        <v>23</v>
      </c>
      <c r="E778" s="43">
        <v>34</v>
      </c>
      <c r="F778" s="43">
        <v>4576.8</v>
      </c>
      <c r="G778" s="43">
        <v>5126.0160000000005</v>
      </c>
      <c r="H778" s="40">
        <v>915.36000000000013</v>
      </c>
      <c r="I778" s="41" t="s">
        <v>40</v>
      </c>
    </row>
    <row r="779" spans="1:9" ht="18" customHeight="1" x14ac:dyDescent="0.25">
      <c r="A779" s="38">
        <v>2024</v>
      </c>
      <c r="B779" s="38" t="s">
        <v>3</v>
      </c>
      <c r="C779" s="38" t="s">
        <v>13</v>
      </c>
      <c r="D779" s="39" t="s">
        <v>34</v>
      </c>
      <c r="E779" s="40">
        <v>7</v>
      </c>
      <c r="F779" s="40">
        <v>200</v>
      </c>
      <c r="G779" s="40">
        <v>224</v>
      </c>
      <c r="H779" s="40">
        <v>40</v>
      </c>
      <c r="I779" s="41" t="s">
        <v>40</v>
      </c>
    </row>
    <row r="780" spans="1:9" ht="18" customHeight="1" x14ac:dyDescent="0.25">
      <c r="A780" s="38">
        <v>2024</v>
      </c>
      <c r="B780" s="38" t="s">
        <v>3</v>
      </c>
      <c r="C780" s="38" t="s">
        <v>15</v>
      </c>
      <c r="D780" s="42" t="s">
        <v>27</v>
      </c>
      <c r="E780" s="43">
        <v>3</v>
      </c>
      <c r="F780" s="43">
        <v>4577.3</v>
      </c>
      <c r="G780" s="43">
        <v>5126.576</v>
      </c>
      <c r="H780" s="40">
        <v>915.46</v>
      </c>
      <c r="I780" s="41" t="s">
        <v>40</v>
      </c>
    </row>
    <row r="781" spans="1:9" ht="18" customHeight="1" x14ac:dyDescent="0.25">
      <c r="A781" s="38">
        <v>2024</v>
      </c>
      <c r="B781" s="38" t="s">
        <v>3</v>
      </c>
      <c r="C781" s="38" t="s">
        <v>32</v>
      </c>
      <c r="D781" s="42" t="s">
        <v>32</v>
      </c>
      <c r="E781" s="43">
        <v>2</v>
      </c>
      <c r="F781" s="43">
        <v>6600</v>
      </c>
      <c r="G781" s="43">
        <v>7392</v>
      </c>
      <c r="H781" s="40">
        <v>1320</v>
      </c>
      <c r="I781" s="41" t="s">
        <v>40</v>
      </c>
    </row>
    <row r="782" spans="1:9" ht="18" customHeight="1" x14ac:dyDescent="0.25">
      <c r="A782" s="38">
        <v>2024</v>
      </c>
      <c r="B782" s="38" t="s">
        <v>4</v>
      </c>
      <c r="C782" s="38" t="s">
        <v>14</v>
      </c>
      <c r="D782" s="39" t="s">
        <v>36</v>
      </c>
      <c r="E782" s="40">
        <v>3566</v>
      </c>
      <c r="F782" s="40">
        <v>4577.3</v>
      </c>
      <c r="G782" s="40">
        <v>5126.576</v>
      </c>
      <c r="H782" s="40">
        <v>915.46</v>
      </c>
      <c r="I782" s="41" t="s">
        <v>40</v>
      </c>
    </row>
    <row r="783" spans="1:9" ht="18" customHeight="1" x14ac:dyDescent="0.25">
      <c r="A783" s="38">
        <v>2024</v>
      </c>
      <c r="B783" s="38" t="s">
        <v>4</v>
      </c>
      <c r="C783" s="38" t="s">
        <v>14</v>
      </c>
      <c r="D783" s="39" t="s">
        <v>37</v>
      </c>
      <c r="E783" s="40">
        <v>2498</v>
      </c>
      <c r="F783" s="40">
        <v>8000</v>
      </c>
      <c r="G783" s="40">
        <v>8960</v>
      </c>
      <c r="H783" s="40">
        <v>1600</v>
      </c>
      <c r="I783" s="41" t="s">
        <v>40</v>
      </c>
    </row>
    <row r="784" spans="1:9" ht="18" customHeight="1" x14ac:dyDescent="0.25">
      <c r="A784" s="38">
        <v>2024</v>
      </c>
      <c r="B784" s="38" t="s">
        <v>4</v>
      </c>
      <c r="C784" s="38" t="s">
        <v>13</v>
      </c>
      <c r="D784" s="39" t="s">
        <v>35</v>
      </c>
      <c r="E784" s="40">
        <v>1245</v>
      </c>
      <c r="F784" s="40">
        <v>4577.2</v>
      </c>
      <c r="G784" s="40">
        <v>5126.4639999999999</v>
      </c>
      <c r="H784" s="40">
        <v>915.44</v>
      </c>
      <c r="I784" s="41" t="s">
        <v>40</v>
      </c>
    </row>
    <row r="785" spans="1:9" ht="18" customHeight="1" x14ac:dyDescent="0.25">
      <c r="A785" s="38">
        <v>2024</v>
      </c>
      <c r="B785" s="38" t="s">
        <v>4</v>
      </c>
      <c r="C785" s="38" t="s">
        <v>38</v>
      </c>
      <c r="D785" s="42" t="s">
        <v>30</v>
      </c>
      <c r="E785" s="43">
        <v>644</v>
      </c>
      <c r="F785" s="43">
        <v>5743.5</v>
      </c>
      <c r="G785" s="43">
        <v>6432.72</v>
      </c>
      <c r="H785" s="40">
        <v>1148.7</v>
      </c>
      <c r="I785" s="41" t="s">
        <v>40</v>
      </c>
    </row>
    <row r="786" spans="1:9" ht="18" customHeight="1" x14ac:dyDescent="0.25">
      <c r="A786" s="38">
        <v>2024</v>
      </c>
      <c r="B786" s="38" t="s">
        <v>4</v>
      </c>
      <c r="C786" s="38" t="s">
        <v>12</v>
      </c>
      <c r="D786" s="42" t="s">
        <v>29</v>
      </c>
      <c r="E786" s="43">
        <v>643</v>
      </c>
      <c r="F786" s="43">
        <v>7000</v>
      </c>
      <c r="G786" s="43">
        <v>7840</v>
      </c>
      <c r="H786" s="40">
        <v>1400</v>
      </c>
      <c r="I786" s="41" t="s">
        <v>40</v>
      </c>
    </row>
    <row r="787" spans="1:9" ht="18" customHeight="1" x14ac:dyDescent="0.25">
      <c r="A787" s="38">
        <v>2024</v>
      </c>
      <c r="B787" s="38" t="s">
        <v>4</v>
      </c>
      <c r="C787" s="38" t="s">
        <v>38</v>
      </c>
      <c r="D787" s="42" t="s">
        <v>31</v>
      </c>
      <c r="E787" s="43">
        <v>455</v>
      </c>
      <c r="F787" s="43">
        <v>4578.6000000000004</v>
      </c>
      <c r="G787" s="43">
        <v>5128.0320000000002</v>
      </c>
      <c r="H787" s="40">
        <v>915.72000000000014</v>
      </c>
      <c r="I787" s="41" t="s">
        <v>40</v>
      </c>
    </row>
    <row r="788" spans="1:9" ht="18" customHeight="1" x14ac:dyDescent="0.25">
      <c r="A788" s="38">
        <v>2024</v>
      </c>
      <c r="B788" s="38" t="s">
        <v>4</v>
      </c>
      <c r="C788" s="38" t="s">
        <v>12</v>
      </c>
      <c r="D788" s="42" t="s">
        <v>28</v>
      </c>
      <c r="E788" s="44">
        <v>345</v>
      </c>
      <c r="F788" s="44">
        <v>7000</v>
      </c>
      <c r="G788" s="44">
        <v>7840</v>
      </c>
      <c r="H788" s="40">
        <v>1400</v>
      </c>
      <c r="I788" s="41" t="s">
        <v>40</v>
      </c>
    </row>
    <row r="789" spans="1:9" ht="18" customHeight="1" x14ac:dyDescent="0.25">
      <c r="A789" s="38">
        <v>2024</v>
      </c>
      <c r="B789" s="38" t="s">
        <v>4</v>
      </c>
      <c r="C789" s="38" t="s">
        <v>13</v>
      </c>
      <c r="D789" s="39" t="s">
        <v>33</v>
      </c>
      <c r="E789" s="40">
        <v>122</v>
      </c>
      <c r="F789" s="40">
        <v>100</v>
      </c>
      <c r="G789" s="40">
        <v>112</v>
      </c>
      <c r="H789" s="40">
        <v>20</v>
      </c>
      <c r="I789" s="41" t="s">
        <v>40</v>
      </c>
    </row>
    <row r="790" spans="1:9" ht="18" customHeight="1" x14ac:dyDescent="0.25">
      <c r="A790" s="38">
        <v>2024</v>
      </c>
      <c r="B790" s="38" t="s">
        <v>4</v>
      </c>
      <c r="C790" s="38" t="s">
        <v>15</v>
      </c>
      <c r="D790" s="42" t="s">
        <v>26</v>
      </c>
      <c r="E790" s="43">
        <v>78</v>
      </c>
      <c r="F790" s="43">
        <v>4577.2</v>
      </c>
      <c r="G790" s="43">
        <v>5126.4639999999999</v>
      </c>
      <c r="H790" s="40">
        <v>915.44</v>
      </c>
      <c r="I790" s="41" t="s">
        <v>40</v>
      </c>
    </row>
    <row r="791" spans="1:9" ht="18" customHeight="1" x14ac:dyDescent="0.25">
      <c r="A791" s="38">
        <v>2024</v>
      </c>
      <c r="B791" s="38" t="s">
        <v>4</v>
      </c>
      <c r="C791" s="38" t="s">
        <v>15</v>
      </c>
      <c r="D791" s="42" t="s">
        <v>24</v>
      </c>
      <c r="E791" s="43">
        <v>76</v>
      </c>
      <c r="F791" s="43">
        <v>4576.8999999999996</v>
      </c>
      <c r="G791" s="43">
        <v>5126.1279999999997</v>
      </c>
      <c r="H791" s="40">
        <v>915.38</v>
      </c>
      <c r="I791" s="41" t="s">
        <v>40</v>
      </c>
    </row>
    <row r="792" spans="1:9" ht="18" customHeight="1" x14ac:dyDescent="0.25">
      <c r="A792" s="38">
        <v>2024</v>
      </c>
      <c r="B792" s="38" t="s">
        <v>4</v>
      </c>
      <c r="C792" s="38" t="s">
        <v>15</v>
      </c>
      <c r="D792" s="42" t="s">
        <v>25</v>
      </c>
      <c r="E792" s="43">
        <v>46</v>
      </c>
      <c r="F792" s="43">
        <v>200</v>
      </c>
      <c r="G792" s="43">
        <v>224</v>
      </c>
      <c r="H792" s="40">
        <v>40</v>
      </c>
      <c r="I792" s="41" t="s">
        <v>40</v>
      </c>
    </row>
    <row r="793" spans="1:9" ht="18" customHeight="1" x14ac:dyDescent="0.25">
      <c r="A793" s="38">
        <v>2024</v>
      </c>
      <c r="B793" s="38" t="s">
        <v>4</v>
      </c>
      <c r="C793" s="38" t="s">
        <v>15</v>
      </c>
      <c r="D793" s="42" t="s">
        <v>23</v>
      </c>
      <c r="E793" s="43">
        <v>34</v>
      </c>
      <c r="F793" s="43">
        <v>4576.8</v>
      </c>
      <c r="G793" s="43">
        <v>5126.0160000000005</v>
      </c>
      <c r="H793" s="40">
        <v>915.36000000000013</v>
      </c>
      <c r="I793" s="41" t="s">
        <v>40</v>
      </c>
    </row>
    <row r="794" spans="1:9" ht="18" customHeight="1" x14ac:dyDescent="0.25">
      <c r="A794" s="38">
        <v>2024</v>
      </c>
      <c r="B794" s="38" t="s">
        <v>4</v>
      </c>
      <c r="C794" s="38" t="s">
        <v>13</v>
      </c>
      <c r="D794" s="39" t="s">
        <v>34</v>
      </c>
      <c r="E794" s="40">
        <v>7</v>
      </c>
      <c r="F794" s="40">
        <v>200</v>
      </c>
      <c r="G794" s="40">
        <v>224</v>
      </c>
      <c r="H794" s="40">
        <v>40</v>
      </c>
      <c r="I794" s="41" t="s">
        <v>40</v>
      </c>
    </row>
    <row r="795" spans="1:9" ht="18" customHeight="1" x14ac:dyDescent="0.25">
      <c r="A795" s="38">
        <v>2024</v>
      </c>
      <c r="B795" s="38" t="s">
        <v>4</v>
      </c>
      <c r="C795" s="38" t="s">
        <v>15</v>
      </c>
      <c r="D795" s="42" t="s">
        <v>27</v>
      </c>
      <c r="E795" s="43">
        <v>3</v>
      </c>
      <c r="F795" s="43">
        <v>4577.3</v>
      </c>
      <c r="G795" s="43">
        <v>5126.576</v>
      </c>
      <c r="H795" s="40">
        <v>915.46</v>
      </c>
      <c r="I795" s="41" t="s">
        <v>40</v>
      </c>
    </row>
    <row r="796" spans="1:9" ht="18" customHeight="1" x14ac:dyDescent="0.25">
      <c r="A796" s="38">
        <v>2024</v>
      </c>
      <c r="B796" s="38" t="s">
        <v>4</v>
      </c>
      <c r="C796" s="38" t="s">
        <v>32</v>
      </c>
      <c r="D796" s="42" t="s">
        <v>32</v>
      </c>
      <c r="E796" s="43">
        <v>2</v>
      </c>
      <c r="F796" s="43">
        <v>6600</v>
      </c>
      <c r="G796" s="43">
        <v>7392</v>
      </c>
      <c r="H796" s="40">
        <v>1320</v>
      </c>
      <c r="I796" s="41" t="s">
        <v>42</v>
      </c>
    </row>
    <row r="797" spans="1:9" ht="18" customHeight="1" x14ac:dyDescent="0.25">
      <c r="A797" s="38">
        <v>2024</v>
      </c>
      <c r="B797" s="38" t="s">
        <v>5</v>
      </c>
      <c r="C797" s="38" t="s">
        <v>14</v>
      </c>
      <c r="D797" s="39" t="s">
        <v>36</v>
      </c>
      <c r="E797" s="40">
        <v>3566</v>
      </c>
      <c r="F797" s="40">
        <v>4577.3</v>
      </c>
      <c r="G797" s="40">
        <v>5126.576</v>
      </c>
      <c r="H797" s="40">
        <v>915.46</v>
      </c>
      <c r="I797" s="41" t="s">
        <v>42</v>
      </c>
    </row>
    <row r="798" spans="1:9" ht="18" customHeight="1" x14ac:dyDescent="0.25">
      <c r="A798" s="38">
        <v>2024</v>
      </c>
      <c r="B798" s="38" t="s">
        <v>5</v>
      </c>
      <c r="C798" s="38" t="s">
        <v>14</v>
      </c>
      <c r="D798" s="39" t="s">
        <v>37</v>
      </c>
      <c r="E798" s="40">
        <v>2498</v>
      </c>
      <c r="F798" s="40">
        <v>8000</v>
      </c>
      <c r="G798" s="40">
        <v>8960</v>
      </c>
      <c r="H798" s="40">
        <v>1600</v>
      </c>
      <c r="I798" s="41" t="s">
        <v>42</v>
      </c>
    </row>
    <row r="799" spans="1:9" ht="18" customHeight="1" x14ac:dyDescent="0.25">
      <c r="A799" s="38">
        <v>2024</v>
      </c>
      <c r="B799" s="38" t="s">
        <v>5</v>
      </c>
      <c r="C799" s="38" t="s">
        <v>13</v>
      </c>
      <c r="D799" s="39" t="s">
        <v>35</v>
      </c>
      <c r="E799" s="40">
        <v>1245</v>
      </c>
      <c r="F799" s="40">
        <v>4577.2</v>
      </c>
      <c r="G799" s="40">
        <v>5126.4639999999999</v>
      </c>
      <c r="H799" s="40">
        <v>915.44</v>
      </c>
      <c r="I799" s="41" t="s">
        <v>42</v>
      </c>
    </row>
    <row r="800" spans="1:9" ht="18" customHeight="1" x14ac:dyDescent="0.25">
      <c r="A800" s="38">
        <v>2024</v>
      </c>
      <c r="B800" s="38" t="s">
        <v>5</v>
      </c>
      <c r="C800" s="38" t="s">
        <v>38</v>
      </c>
      <c r="D800" s="42" t="s">
        <v>30</v>
      </c>
      <c r="E800" s="43">
        <v>644</v>
      </c>
      <c r="F800" s="43">
        <v>5743.5</v>
      </c>
      <c r="G800" s="43">
        <v>6432.72</v>
      </c>
      <c r="H800" s="40">
        <v>1148.7</v>
      </c>
      <c r="I800" s="41" t="s">
        <v>42</v>
      </c>
    </row>
    <row r="801" spans="1:9" ht="18" customHeight="1" x14ac:dyDescent="0.25">
      <c r="A801" s="38">
        <v>2024</v>
      </c>
      <c r="B801" s="38" t="s">
        <v>5</v>
      </c>
      <c r="C801" s="38" t="s">
        <v>12</v>
      </c>
      <c r="D801" s="42" t="s">
        <v>29</v>
      </c>
      <c r="E801" s="43">
        <v>643</v>
      </c>
      <c r="F801" s="43">
        <v>7000</v>
      </c>
      <c r="G801" s="43">
        <v>7840</v>
      </c>
      <c r="H801" s="40">
        <v>1400</v>
      </c>
      <c r="I801" s="41" t="s">
        <v>42</v>
      </c>
    </row>
    <row r="802" spans="1:9" ht="18" customHeight="1" x14ac:dyDescent="0.25">
      <c r="A802" s="38">
        <v>2024</v>
      </c>
      <c r="B802" s="38" t="s">
        <v>5</v>
      </c>
      <c r="C802" s="38" t="s">
        <v>38</v>
      </c>
      <c r="D802" s="42" t="s">
        <v>31</v>
      </c>
      <c r="E802" s="43">
        <v>455</v>
      </c>
      <c r="F802" s="43">
        <v>4578.6000000000004</v>
      </c>
      <c r="G802" s="43">
        <v>5128.0320000000002</v>
      </c>
      <c r="H802" s="40">
        <v>915.72000000000014</v>
      </c>
      <c r="I802" s="41" t="s">
        <v>42</v>
      </c>
    </row>
    <row r="803" spans="1:9" ht="18" customHeight="1" x14ac:dyDescent="0.25">
      <c r="A803" s="38">
        <v>2024</v>
      </c>
      <c r="B803" s="38" t="s">
        <v>5</v>
      </c>
      <c r="C803" s="38" t="s">
        <v>12</v>
      </c>
      <c r="D803" s="42" t="s">
        <v>28</v>
      </c>
      <c r="E803" s="44">
        <v>345</v>
      </c>
      <c r="F803" s="44">
        <v>7000</v>
      </c>
      <c r="G803" s="44">
        <v>7840</v>
      </c>
      <c r="H803" s="40">
        <v>1400</v>
      </c>
      <c r="I803" s="41" t="s">
        <v>42</v>
      </c>
    </row>
    <row r="804" spans="1:9" ht="18" customHeight="1" x14ac:dyDescent="0.25">
      <c r="A804" s="38">
        <v>2024</v>
      </c>
      <c r="B804" s="38" t="s">
        <v>5</v>
      </c>
      <c r="C804" s="38" t="s">
        <v>13</v>
      </c>
      <c r="D804" s="39" t="s">
        <v>33</v>
      </c>
      <c r="E804" s="40">
        <v>122</v>
      </c>
      <c r="F804" s="40">
        <v>100</v>
      </c>
      <c r="G804" s="40">
        <v>112</v>
      </c>
      <c r="H804" s="40">
        <v>20</v>
      </c>
      <c r="I804" s="41" t="s">
        <v>42</v>
      </c>
    </row>
    <row r="805" spans="1:9" ht="18" customHeight="1" x14ac:dyDescent="0.25">
      <c r="A805" s="38">
        <v>2024</v>
      </c>
      <c r="B805" s="38" t="s">
        <v>5</v>
      </c>
      <c r="C805" s="38" t="s">
        <v>15</v>
      </c>
      <c r="D805" s="42" t="s">
        <v>26</v>
      </c>
      <c r="E805" s="43">
        <v>78</v>
      </c>
      <c r="F805" s="43">
        <v>4577.2</v>
      </c>
      <c r="G805" s="43">
        <v>5126.4639999999999</v>
      </c>
      <c r="H805" s="40">
        <v>915.44</v>
      </c>
      <c r="I805" s="41" t="s">
        <v>42</v>
      </c>
    </row>
    <row r="806" spans="1:9" ht="18" customHeight="1" x14ac:dyDescent="0.25">
      <c r="A806" s="38">
        <v>2024</v>
      </c>
      <c r="B806" s="38" t="s">
        <v>5</v>
      </c>
      <c r="C806" s="38" t="s">
        <v>15</v>
      </c>
      <c r="D806" s="42" t="s">
        <v>24</v>
      </c>
      <c r="E806" s="43">
        <v>76</v>
      </c>
      <c r="F806" s="43">
        <v>4576.8999999999996</v>
      </c>
      <c r="G806" s="43">
        <v>5126.1279999999997</v>
      </c>
      <c r="H806" s="40">
        <v>915.38</v>
      </c>
      <c r="I806" s="41" t="s">
        <v>42</v>
      </c>
    </row>
    <row r="807" spans="1:9" ht="18" customHeight="1" x14ac:dyDescent="0.25">
      <c r="A807" s="38">
        <v>2024</v>
      </c>
      <c r="B807" s="38" t="s">
        <v>5</v>
      </c>
      <c r="C807" s="38" t="s">
        <v>15</v>
      </c>
      <c r="D807" s="42" t="s">
        <v>25</v>
      </c>
      <c r="E807" s="43">
        <v>46</v>
      </c>
      <c r="F807" s="43">
        <v>200</v>
      </c>
      <c r="G807" s="43">
        <v>224</v>
      </c>
      <c r="H807" s="40">
        <v>40</v>
      </c>
      <c r="I807" s="41" t="s">
        <v>42</v>
      </c>
    </row>
    <row r="808" spans="1:9" ht="18" customHeight="1" x14ac:dyDescent="0.25">
      <c r="A808" s="38">
        <v>2024</v>
      </c>
      <c r="B808" s="38" t="s">
        <v>5</v>
      </c>
      <c r="C808" s="38" t="s">
        <v>15</v>
      </c>
      <c r="D808" s="42" t="s">
        <v>23</v>
      </c>
      <c r="E808" s="43">
        <v>34</v>
      </c>
      <c r="F808" s="43">
        <v>4576.8</v>
      </c>
      <c r="G808" s="43">
        <v>5126.0160000000005</v>
      </c>
      <c r="H808" s="40">
        <v>915.36000000000013</v>
      </c>
      <c r="I808" s="41" t="s">
        <v>42</v>
      </c>
    </row>
    <row r="809" spans="1:9" ht="18" customHeight="1" x14ac:dyDescent="0.25">
      <c r="A809" s="38">
        <v>2024</v>
      </c>
      <c r="B809" s="38" t="s">
        <v>5</v>
      </c>
      <c r="C809" s="38" t="s">
        <v>13</v>
      </c>
      <c r="D809" s="39" t="s">
        <v>34</v>
      </c>
      <c r="E809" s="40">
        <v>7</v>
      </c>
      <c r="F809" s="40">
        <v>200</v>
      </c>
      <c r="G809" s="40">
        <v>224</v>
      </c>
      <c r="H809" s="40">
        <v>40</v>
      </c>
      <c r="I809" s="41" t="s">
        <v>42</v>
      </c>
    </row>
    <row r="810" spans="1:9" ht="18" customHeight="1" x14ac:dyDescent="0.25">
      <c r="A810" s="38">
        <v>2024</v>
      </c>
      <c r="B810" s="38" t="s">
        <v>5</v>
      </c>
      <c r="C810" s="38" t="s">
        <v>32</v>
      </c>
      <c r="D810" s="42" t="s">
        <v>32</v>
      </c>
      <c r="E810" s="43">
        <v>3</v>
      </c>
      <c r="F810" s="43">
        <v>6600</v>
      </c>
      <c r="G810" s="43">
        <v>7392</v>
      </c>
      <c r="H810" s="40">
        <v>1320</v>
      </c>
      <c r="I810" s="41" t="s">
        <v>42</v>
      </c>
    </row>
    <row r="811" spans="1:9" ht="18" customHeight="1" x14ac:dyDescent="0.25">
      <c r="A811" s="38">
        <v>2024</v>
      </c>
      <c r="B811" s="38" t="s">
        <v>5</v>
      </c>
      <c r="C811" s="38" t="s">
        <v>15</v>
      </c>
      <c r="D811" s="42" t="s">
        <v>27</v>
      </c>
      <c r="E811" s="43">
        <v>3</v>
      </c>
      <c r="F811" s="43">
        <v>4577.3</v>
      </c>
      <c r="G811" s="43">
        <v>5126.576</v>
      </c>
      <c r="H811" s="40">
        <v>915.46</v>
      </c>
      <c r="I811" s="41" t="s">
        <v>42</v>
      </c>
    </row>
    <row r="812" spans="1:9" ht="18" customHeight="1" x14ac:dyDescent="0.25">
      <c r="A812" s="38">
        <v>2024</v>
      </c>
      <c r="B812" s="38" t="s">
        <v>6</v>
      </c>
      <c r="C812" s="38" t="s">
        <v>14</v>
      </c>
      <c r="D812" s="39" t="s">
        <v>36</v>
      </c>
      <c r="E812" s="40">
        <v>3566</v>
      </c>
      <c r="F812" s="40">
        <v>4577.3</v>
      </c>
      <c r="G812" s="40">
        <v>5126.576</v>
      </c>
      <c r="H812" s="40">
        <v>915.46</v>
      </c>
      <c r="I812" s="41" t="s">
        <v>42</v>
      </c>
    </row>
    <row r="813" spans="1:9" ht="18" customHeight="1" x14ac:dyDescent="0.25">
      <c r="A813" s="38">
        <v>2024</v>
      </c>
      <c r="B813" s="38" t="s">
        <v>6</v>
      </c>
      <c r="C813" s="38" t="s">
        <v>14</v>
      </c>
      <c r="D813" s="39" t="s">
        <v>37</v>
      </c>
      <c r="E813" s="40">
        <v>2498</v>
      </c>
      <c r="F813" s="40">
        <v>8000</v>
      </c>
      <c r="G813" s="40">
        <v>8960</v>
      </c>
      <c r="H813" s="40">
        <v>1600</v>
      </c>
      <c r="I813" s="41" t="s">
        <v>42</v>
      </c>
    </row>
    <row r="814" spans="1:9" ht="18" customHeight="1" x14ac:dyDescent="0.25">
      <c r="A814" s="38">
        <v>2024</v>
      </c>
      <c r="B814" s="38" t="s">
        <v>6</v>
      </c>
      <c r="C814" s="38" t="s">
        <v>13</v>
      </c>
      <c r="D814" s="39" t="s">
        <v>35</v>
      </c>
      <c r="E814" s="40">
        <v>1245</v>
      </c>
      <c r="F814" s="40">
        <v>4577.2</v>
      </c>
      <c r="G814" s="40">
        <v>5126.4639999999999</v>
      </c>
      <c r="H814" s="40">
        <v>915.44</v>
      </c>
      <c r="I814" s="41" t="s">
        <v>42</v>
      </c>
    </row>
    <row r="815" spans="1:9" ht="18" customHeight="1" x14ac:dyDescent="0.25">
      <c r="A815" s="38">
        <v>2024</v>
      </c>
      <c r="B815" s="38" t="s">
        <v>6</v>
      </c>
      <c r="C815" s="38" t="s">
        <v>38</v>
      </c>
      <c r="D815" s="42" t="s">
        <v>30</v>
      </c>
      <c r="E815" s="43">
        <v>644</v>
      </c>
      <c r="F815" s="43">
        <v>5743.5</v>
      </c>
      <c r="G815" s="43">
        <v>6432.72</v>
      </c>
      <c r="H815" s="40">
        <v>1148.7</v>
      </c>
      <c r="I815" s="41" t="s">
        <v>42</v>
      </c>
    </row>
    <row r="816" spans="1:9" ht="18" customHeight="1" x14ac:dyDescent="0.25">
      <c r="A816" s="38">
        <v>2024</v>
      </c>
      <c r="B816" s="38" t="s">
        <v>6</v>
      </c>
      <c r="C816" s="38" t="s">
        <v>12</v>
      </c>
      <c r="D816" s="42" t="s">
        <v>29</v>
      </c>
      <c r="E816" s="43">
        <v>643</v>
      </c>
      <c r="F816" s="43">
        <v>7000</v>
      </c>
      <c r="G816" s="43">
        <v>7840</v>
      </c>
      <c r="H816" s="40">
        <v>1400</v>
      </c>
      <c r="I816" s="41" t="s">
        <v>42</v>
      </c>
    </row>
    <row r="817" spans="1:9" ht="18" customHeight="1" x14ac:dyDescent="0.25">
      <c r="A817" s="38">
        <v>2024</v>
      </c>
      <c r="B817" s="38" t="s">
        <v>6</v>
      </c>
      <c r="C817" s="38" t="s">
        <v>38</v>
      </c>
      <c r="D817" s="42" t="s">
        <v>31</v>
      </c>
      <c r="E817" s="43">
        <v>455</v>
      </c>
      <c r="F817" s="43">
        <v>4578.6000000000004</v>
      </c>
      <c r="G817" s="43">
        <v>5128.0320000000002</v>
      </c>
      <c r="H817" s="40">
        <v>915.72000000000014</v>
      </c>
      <c r="I817" s="41" t="s">
        <v>42</v>
      </c>
    </row>
    <row r="818" spans="1:9" ht="18" customHeight="1" x14ac:dyDescent="0.25">
      <c r="A818" s="38">
        <v>2024</v>
      </c>
      <c r="B818" s="38" t="s">
        <v>6</v>
      </c>
      <c r="C818" s="38" t="s">
        <v>12</v>
      </c>
      <c r="D818" s="42" t="s">
        <v>28</v>
      </c>
      <c r="E818" s="44">
        <v>345</v>
      </c>
      <c r="F818" s="44">
        <v>7000</v>
      </c>
      <c r="G818" s="44">
        <v>7840</v>
      </c>
      <c r="H818" s="40">
        <v>1400</v>
      </c>
      <c r="I818" s="41" t="s">
        <v>42</v>
      </c>
    </row>
    <row r="819" spans="1:9" ht="18" customHeight="1" x14ac:dyDescent="0.25">
      <c r="A819" s="38">
        <v>2024</v>
      </c>
      <c r="B819" s="38" t="s">
        <v>6</v>
      </c>
      <c r="C819" s="38" t="s">
        <v>13</v>
      </c>
      <c r="D819" s="39" t="s">
        <v>33</v>
      </c>
      <c r="E819" s="40">
        <v>122</v>
      </c>
      <c r="F819" s="40">
        <v>100</v>
      </c>
      <c r="G819" s="40">
        <v>112</v>
      </c>
      <c r="H819" s="40">
        <v>20</v>
      </c>
      <c r="I819" s="41" t="s">
        <v>40</v>
      </c>
    </row>
    <row r="820" spans="1:9" ht="18" customHeight="1" x14ac:dyDescent="0.25">
      <c r="A820" s="38">
        <v>2024</v>
      </c>
      <c r="B820" s="38" t="s">
        <v>6</v>
      </c>
      <c r="C820" s="38" t="s">
        <v>15</v>
      </c>
      <c r="D820" s="42" t="s">
        <v>26</v>
      </c>
      <c r="E820" s="43">
        <v>78</v>
      </c>
      <c r="F820" s="43">
        <v>4577.2</v>
      </c>
      <c r="G820" s="43">
        <v>5126.4639999999999</v>
      </c>
      <c r="H820" s="40">
        <v>915.44</v>
      </c>
      <c r="I820" s="41" t="s">
        <v>40</v>
      </c>
    </row>
    <row r="821" spans="1:9" ht="18" customHeight="1" x14ac:dyDescent="0.25">
      <c r="A821" s="38">
        <v>2024</v>
      </c>
      <c r="B821" s="38" t="s">
        <v>6</v>
      </c>
      <c r="C821" s="38" t="s">
        <v>15</v>
      </c>
      <c r="D821" s="42" t="s">
        <v>24</v>
      </c>
      <c r="E821" s="43">
        <v>76</v>
      </c>
      <c r="F821" s="43">
        <v>4576.8999999999996</v>
      </c>
      <c r="G821" s="43">
        <v>5126.1279999999997</v>
      </c>
      <c r="H821" s="40">
        <v>915.38</v>
      </c>
      <c r="I821" s="41" t="s">
        <v>40</v>
      </c>
    </row>
    <row r="822" spans="1:9" ht="18" customHeight="1" x14ac:dyDescent="0.25">
      <c r="A822" s="38">
        <v>2024</v>
      </c>
      <c r="B822" s="38" t="s">
        <v>6</v>
      </c>
      <c r="C822" s="38" t="s">
        <v>15</v>
      </c>
      <c r="D822" s="42" t="s">
        <v>25</v>
      </c>
      <c r="E822" s="43">
        <v>46</v>
      </c>
      <c r="F822" s="43">
        <v>200</v>
      </c>
      <c r="G822" s="43">
        <v>224</v>
      </c>
      <c r="H822" s="40">
        <v>40</v>
      </c>
      <c r="I822" s="41" t="s">
        <v>40</v>
      </c>
    </row>
    <row r="823" spans="1:9" ht="18" customHeight="1" x14ac:dyDescent="0.25">
      <c r="A823" s="38">
        <v>2024</v>
      </c>
      <c r="B823" s="38" t="s">
        <v>6</v>
      </c>
      <c r="C823" s="38" t="s">
        <v>15</v>
      </c>
      <c r="D823" s="42" t="s">
        <v>23</v>
      </c>
      <c r="E823" s="43">
        <v>34</v>
      </c>
      <c r="F823" s="43">
        <v>4576.8</v>
      </c>
      <c r="G823" s="43">
        <v>5126.0160000000005</v>
      </c>
      <c r="H823" s="40">
        <v>915.36000000000013</v>
      </c>
      <c r="I823" s="41" t="s">
        <v>40</v>
      </c>
    </row>
    <row r="824" spans="1:9" ht="18" customHeight="1" x14ac:dyDescent="0.25">
      <c r="A824" s="38">
        <v>2024</v>
      </c>
      <c r="B824" s="38" t="s">
        <v>6</v>
      </c>
      <c r="C824" s="38" t="s">
        <v>13</v>
      </c>
      <c r="D824" s="39" t="s">
        <v>34</v>
      </c>
      <c r="E824" s="40">
        <v>7</v>
      </c>
      <c r="F824" s="40">
        <v>200</v>
      </c>
      <c r="G824" s="40">
        <v>224</v>
      </c>
      <c r="H824" s="40">
        <v>40</v>
      </c>
      <c r="I824" s="41" t="s">
        <v>40</v>
      </c>
    </row>
    <row r="825" spans="1:9" ht="18" customHeight="1" x14ac:dyDescent="0.25">
      <c r="A825" s="38">
        <v>2024</v>
      </c>
      <c r="B825" s="38" t="s">
        <v>6</v>
      </c>
      <c r="C825" s="38" t="s">
        <v>15</v>
      </c>
      <c r="D825" s="42" t="s">
        <v>27</v>
      </c>
      <c r="E825" s="43">
        <v>3</v>
      </c>
      <c r="F825" s="43">
        <v>4577.3</v>
      </c>
      <c r="G825" s="43">
        <v>5126.576</v>
      </c>
      <c r="H825" s="40">
        <v>915.46</v>
      </c>
      <c r="I825" s="41" t="s">
        <v>40</v>
      </c>
    </row>
    <row r="826" spans="1:9" ht="18" customHeight="1" x14ac:dyDescent="0.25">
      <c r="A826" s="38">
        <v>2024</v>
      </c>
      <c r="B826" s="38" t="s">
        <v>6</v>
      </c>
      <c r="C826" s="38" t="s">
        <v>32</v>
      </c>
      <c r="D826" s="42" t="s">
        <v>32</v>
      </c>
      <c r="E826" s="43">
        <v>2</v>
      </c>
      <c r="F826" s="43">
        <v>6600</v>
      </c>
      <c r="G826" s="43">
        <v>7392</v>
      </c>
      <c r="H826" s="40">
        <v>1320</v>
      </c>
      <c r="I826" s="41" t="s">
        <v>40</v>
      </c>
    </row>
    <row r="827" spans="1:9" ht="18" customHeight="1" x14ac:dyDescent="0.25">
      <c r="A827" s="38">
        <v>2024</v>
      </c>
      <c r="B827" s="38" t="s">
        <v>7</v>
      </c>
      <c r="C827" s="38" t="s">
        <v>14</v>
      </c>
      <c r="D827" s="39" t="s">
        <v>36</v>
      </c>
      <c r="E827" s="40">
        <v>3566</v>
      </c>
      <c r="F827" s="40">
        <v>4577.3</v>
      </c>
      <c r="G827" s="40">
        <v>5126.576</v>
      </c>
      <c r="H827" s="40">
        <v>915.46</v>
      </c>
      <c r="I827" s="41" t="s">
        <v>40</v>
      </c>
    </row>
    <row r="828" spans="1:9" ht="18" customHeight="1" x14ac:dyDescent="0.25">
      <c r="A828" s="38">
        <v>2024</v>
      </c>
      <c r="B828" s="38" t="s">
        <v>7</v>
      </c>
      <c r="C828" s="38" t="s">
        <v>14</v>
      </c>
      <c r="D828" s="39" t="s">
        <v>37</v>
      </c>
      <c r="E828" s="40">
        <v>2498</v>
      </c>
      <c r="F828" s="40">
        <v>8000</v>
      </c>
      <c r="G828" s="40">
        <v>8960</v>
      </c>
      <c r="H828" s="40">
        <v>1600</v>
      </c>
      <c r="I828" s="41" t="s">
        <v>40</v>
      </c>
    </row>
    <row r="829" spans="1:9" ht="18" customHeight="1" x14ac:dyDescent="0.25">
      <c r="A829" s="38">
        <v>2024</v>
      </c>
      <c r="B829" s="38" t="s">
        <v>7</v>
      </c>
      <c r="C829" s="38" t="s">
        <v>13</v>
      </c>
      <c r="D829" s="39" t="s">
        <v>35</v>
      </c>
      <c r="E829" s="40">
        <v>1245</v>
      </c>
      <c r="F829" s="40">
        <v>4577.2</v>
      </c>
      <c r="G829" s="40">
        <v>5126.4639999999999</v>
      </c>
      <c r="H829" s="40">
        <v>915.44</v>
      </c>
      <c r="I829" s="41" t="s">
        <v>40</v>
      </c>
    </row>
    <row r="830" spans="1:9" ht="18" customHeight="1" x14ac:dyDescent="0.25">
      <c r="A830" s="38">
        <v>2024</v>
      </c>
      <c r="B830" s="38" t="s">
        <v>7</v>
      </c>
      <c r="C830" s="38" t="s">
        <v>38</v>
      </c>
      <c r="D830" s="42" t="s">
        <v>30</v>
      </c>
      <c r="E830" s="43">
        <v>644</v>
      </c>
      <c r="F830" s="43">
        <v>5743.5</v>
      </c>
      <c r="G830" s="43">
        <v>6432.72</v>
      </c>
      <c r="H830" s="40">
        <v>1148.7</v>
      </c>
      <c r="I830" s="41" t="s">
        <v>40</v>
      </c>
    </row>
    <row r="831" spans="1:9" ht="18" customHeight="1" x14ac:dyDescent="0.25">
      <c r="A831" s="38">
        <v>2024</v>
      </c>
      <c r="B831" s="38" t="s">
        <v>7</v>
      </c>
      <c r="C831" s="38" t="s">
        <v>12</v>
      </c>
      <c r="D831" s="42" t="s">
        <v>29</v>
      </c>
      <c r="E831" s="43">
        <v>643</v>
      </c>
      <c r="F831" s="43">
        <v>7000</v>
      </c>
      <c r="G831" s="43">
        <v>7840</v>
      </c>
      <c r="H831" s="40">
        <v>1400</v>
      </c>
      <c r="I831" s="41" t="s">
        <v>40</v>
      </c>
    </row>
    <row r="832" spans="1:9" ht="18" customHeight="1" x14ac:dyDescent="0.25">
      <c r="A832" s="38">
        <v>2024</v>
      </c>
      <c r="B832" s="38" t="s">
        <v>7</v>
      </c>
      <c r="C832" s="38" t="s">
        <v>38</v>
      </c>
      <c r="D832" s="42" t="s">
        <v>31</v>
      </c>
      <c r="E832" s="43">
        <v>455</v>
      </c>
      <c r="F832" s="43">
        <v>4578.6000000000004</v>
      </c>
      <c r="G832" s="43">
        <v>5128.0320000000002</v>
      </c>
      <c r="H832" s="40">
        <v>915.72000000000014</v>
      </c>
      <c r="I832" s="41" t="s">
        <v>40</v>
      </c>
    </row>
    <row r="833" spans="1:9" ht="18" customHeight="1" x14ac:dyDescent="0.25">
      <c r="A833" s="38">
        <v>2024</v>
      </c>
      <c r="B833" s="38" t="s">
        <v>7</v>
      </c>
      <c r="C833" s="38" t="s">
        <v>12</v>
      </c>
      <c r="D833" s="42" t="s">
        <v>28</v>
      </c>
      <c r="E833" s="44">
        <v>345</v>
      </c>
      <c r="F833" s="44">
        <v>7000</v>
      </c>
      <c r="G833" s="44">
        <v>7840</v>
      </c>
      <c r="H833" s="40">
        <v>1400</v>
      </c>
      <c r="I833" s="41" t="s">
        <v>40</v>
      </c>
    </row>
    <row r="834" spans="1:9" ht="18" customHeight="1" x14ac:dyDescent="0.25">
      <c r="A834" s="38">
        <v>2024</v>
      </c>
      <c r="B834" s="38" t="s">
        <v>7</v>
      </c>
      <c r="C834" s="38" t="s">
        <v>13</v>
      </c>
      <c r="D834" s="39" t="s">
        <v>33</v>
      </c>
      <c r="E834" s="40">
        <v>122</v>
      </c>
      <c r="F834" s="40">
        <v>100</v>
      </c>
      <c r="G834" s="40">
        <v>112</v>
      </c>
      <c r="H834" s="40">
        <v>20</v>
      </c>
      <c r="I834" s="41" t="s">
        <v>40</v>
      </c>
    </row>
    <row r="835" spans="1:9" ht="18" customHeight="1" x14ac:dyDescent="0.25">
      <c r="A835" s="38">
        <v>2024</v>
      </c>
      <c r="B835" s="38" t="s">
        <v>7</v>
      </c>
      <c r="C835" s="38" t="s">
        <v>15</v>
      </c>
      <c r="D835" s="42" t="s">
        <v>26</v>
      </c>
      <c r="E835" s="43">
        <v>78</v>
      </c>
      <c r="F835" s="43">
        <v>4577.2</v>
      </c>
      <c r="G835" s="43">
        <v>5126.4639999999999</v>
      </c>
      <c r="H835" s="40">
        <v>915.44</v>
      </c>
      <c r="I835" s="41" t="s">
        <v>40</v>
      </c>
    </row>
    <row r="836" spans="1:9" ht="18" customHeight="1" x14ac:dyDescent="0.25">
      <c r="A836" s="38">
        <v>2024</v>
      </c>
      <c r="B836" s="38" t="s">
        <v>7</v>
      </c>
      <c r="C836" s="38" t="s">
        <v>15</v>
      </c>
      <c r="D836" s="42" t="s">
        <v>24</v>
      </c>
      <c r="E836" s="43">
        <v>76</v>
      </c>
      <c r="F836" s="43">
        <v>4576.8999999999996</v>
      </c>
      <c r="G836" s="43">
        <v>5126.1279999999997</v>
      </c>
      <c r="H836" s="40">
        <v>915.38</v>
      </c>
      <c r="I836" s="41" t="s">
        <v>40</v>
      </c>
    </row>
    <row r="837" spans="1:9" ht="18" customHeight="1" x14ac:dyDescent="0.25">
      <c r="A837" s="38">
        <v>2024</v>
      </c>
      <c r="B837" s="38" t="s">
        <v>7</v>
      </c>
      <c r="C837" s="38" t="s">
        <v>15</v>
      </c>
      <c r="D837" s="42" t="s">
        <v>25</v>
      </c>
      <c r="E837" s="43">
        <v>46</v>
      </c>
      <c r="F837" s="43">
        <v>200</v>
      </c>
      <c r="G837" s="43">
        <v>224</v>
      </c>
      <c r="H837" s="40">
        <v>40</v>
      </c>
      <c r="I837" s="41" t="s">
        <v>40</v>
      </c>
    </row>
    <row r="838" spans="1:9" ht="18" customHeight="1" x14ac:dyDescent="0.25">
      <c r="A838" s="38">
        <v>2024</v>
      </c>
      <c r="B838" s="38" t="s">
        <v>7</v>
      </c>
      <c r="C838" s="38" t="s">
        <v>15</v>
      </c>
      <c r="D838" s="42" t="s">
        <v>23</v>
      </c>
      <c r="E838" s="43">
        <v>34</v>
      </c>
      <c r="F838" s="43">
        <v>4576.8</v>
      </c>
      <c r="G838" s="43">
        <v>5126.0160000000005</v>
      </c>
      <c r="H838" s="40">
        <v>915.36000000000013</v>
      </c>
      <c r="I838" s="41" t="s">
        <v>40</v>
      </c>
    </row>
    <row r="839" spans="1:9" ht="18" customHeight="1" x14ac:dyDescent="0.25">
      <c r="A839" s="38">
        <v>2024</v>
      </c>
      <c r="B839" s="38" t="s">
        <v>7</v>
      </c>
      <c r="C839" s="38" t="s">
        <v>13</v>
      </c>
      <c r="D839" s="39" t="s">
        <v>34</v>
      </c>
      <c r="E839" s="40">
        <v>7</v>
      </c>
      <c r="F839" s="40">
        <v>200</v>
      </c>
      <c r="G839" s="40">
        <v>224</v>
      </c>
      <c r="H839" s="40">
        <v>40</v>
      </c>
      <c r="I839" s="41" t="s">
        <v>40</v>
      </c>
    </row>
    <row r="840" spans="1:9" ht="18" customHeight="1" x14ac:dyDescent="0.25">
      <c r="A840" s="38">
        <v>2024</v>
      </c>
      <c r="B840" s="38" t="s">
        <v>7</v>
      </c>
      <c r="C840" s="38" t="s">
        <v>15</v>
      </c>
      <c r="D840" s="42" t="s">
        <v>27</v>
      </c>
      <c r="E840" s="43">
        <v>3</v>
      </c>
      <c r="F840" s="43">
        <v>4577.3</v>
      </c>
      <c r="G840" s="43">
        <v>5126.576</v>
      </c>
      <c r="H840" s="40">
        <v>915.46</v>
      </c>
      <c r="I840" s="41" t="s">
        <v>40</v>
      </c>
    </row>
    <row r="841" spans="1:9" ht="18" customHeight="1" x14ac:dyDescent="0.25">
      <c r="A841" s="38">
        <v>2024</v>
      </c>
      <c r="B841" s="38" t="s">
        <v>7</v>
      </c>
      <c r="C841" s="38" t="s">
        <v>32</v>
      </c>
      <c r="D841" s="42" t="s">
        <v>32</v>
      </c>
      <c r="E841" s="43">
        <v>2</v>
      </c>
      <c r="F841" s="43">
        <v>6600</v>
      </c>
      <c r="G841" s="43">
        <v>7392</v>
      </c>
      <c r="H841" s="40">
        <v>1320</v>
      </c>
      <c r="I841" s="41" t="s">
        <v>40</v>
      </c>
    </row>
    <row r="842" spans="1:9" ht="18" customHeight="1" x14ac:dyDescent="0.25">
      <c r="A842" s="38">
        <v>2024</v>
      </c>
      <c r="B842" s="38" t="s">
        <v>8</v>
      </c>
      <c r="C842" s="38" t="s">
        <v>14</v>
      </c>
      <c r="D842" s="39" t="s">
        <v>36</v>
      </c>
      <c r="E842" s="40">
        <v>3566</v>
      </c>
      <c r="F842" s="40">
        <v>4577.3</v>
      </c>
      <c r="G842" s="40">
        <v>5126.576</v>
      </c>
      <c r="H842" s="40">
        <v>915.46</v>
      </c>
      <c r="I842" s="41" t="s">
        <v>40</v>
      </c>
    </row>
    <row r="843" spans="1:9" ht="18" customHeight="1" x14ac:dyDescent="0.25">
      <c r="A843" s="38">
        <v>2024</v>
      </c>
      <c r="B843" s="38" t="s">
        <v>8</v>
      </c>
      <c r="C843" s="38" t="s">
        <v>14</v>
      </c>
      <c r="D843" s="39" t="s">
        <v>37</v>
      </c>
      <c r="E843" s="40">
        <v>2498</v>
      </c>
      <c r="F843" s="40">
        <v>8000</v>
      </c>
      <c r="G843" s="40">
        <v>8960</v>
      </c>
      <c r="H843" s="40">
        <v>1600</v>
      </c>
      <c r="I843" s="41" t="s">
        <v>40</v>
      </c>
    </row>
    <row r="844" spans="1:9" ht="18" customHeight="1" x14ac:dyDescent="0.25">
      <c r="A844" s="38">
        <v>2024</v>
      </c>
      <c r="B844" s="38" t="s">
        <v>8</v>
      </c>
      <c r="C844" s="38" t="s">
        <v>13</v>
      </c>
      <c r="D844" s="39" t="s">
        <v>35</v>
      </c>
      <c r="E844" s="40">
        <v>1245</v>
      </c>
      <c r="F844" s="40">
        <v>4577.2</v>
      </c>
      <c r="G844" s="40">
        <v>5126.4639999999999</v>
      </c>
      <c r="H844" s="40">
        <v>915.44</v>
      </c>
      <c r="I844" s="41" t="s">
        <v>40</v>
      </c>
    </row>
    <row r="845" spans="1:9" ht="18" customHeight="1" x14ac:dyDescent="0.25">
      <c r="A845" s="38">
        <v>2024</v>
      </c>
      <c r="B845" s="38" t="s">
        <v>8</v>
      </c>
      <c r="C845" s="38" t="s">
        <v>38</v>
      </c>
      <c r="D845" s="42" t="s">
        <v>30</v>
      </c>
      <c r="E845" s="43">
        <v>644</v>
      </c>
      <c r="F845" s="43">
        <v>5743.5</v>
      </c>
      <c r="G845" s="43">
        <v>6432.72</v>
      </c>
      <c r="H845" s="40">
        <v>1148.7</v>
      </c>
      <c r="I845" s="41" t="s">
        <v>40</v>
      </c>
    </row>
    <row r="846" spans="1:9" ht="18" customHeight="1" x14ac:dyDescent="0.25">
      <c r="A846" s="38">
        <v>2024</v>
      </c>
      <c r="B846" s="38" t="s">
        <v>8</v>
      </c>
      <c r="C846" s="38" t="s">
        <v>12</v>
      </c>
      <c r="D846" s="42" t="s">
        <v>29</v>
      </c>
      <c r="E846" s="43">
        <v>643</v>
      </c>
      <c r="F846" s="43">
        <v>7000</v>
      </c>
      <c r="G846" s="43">
        <v>7840</v>
      </c>
      <c r="H846" s="40">
        <v>1400</v>
      </c>
      <c r="I846" s="41" t="s">
        <v>40</v>
      </c>
    </row>
    <row r="847" spans="1:9" ht="18" customHeight="1" x14ac:dyDescent="0.25">
      <c r="A847" s="38">
        <v>2024</v>
      </c>
      <c r="B847" s="38" t="s">
        <v>8</v>
      </c>
      <c r="C847" s="38" t="s">
        <v>38</v>
      </c>
      <c r="D847" s="42" t="s">
        <v>31</v>
      </c>
      <c r="E847" s="43">
        <v>455</v>
      </c>
      <c r="F847" s="43">
        <v>4578.6000000000004</v>
      </c>
      <c r="G847" s="43">
        <v>5128.0320000000002</v>
      </c>
      <c r="H847" s="40">
        <v>915.72000000000014</v>
      </c>
      <c r="I847" s="41" t="s">
        <v>40</v>
      </c>
    </row>
    <row r="848" spans="1:9" ht="18" customHeight="1" x14ac:dyDescent="0.25">
      <c r="A848" s="38">
        <v>2024</v>
      </c>
      <c r="B848" s="38" t="s">
        <v>8</v>
      </c>
      <c r="C848" s="38" t="s">
        <v>12</v>
      </c>
      <c r="D848" s="42" t="s">
        <v>28</v>
      </c>
      <c r="E848" s="44">
        <v>345</v>
      </c>
      <c r="F848" s="44">
        <v>7000</v>
      </c>
      <c r="G848" s="44">
        <v>7840</v>
      </c>
      <c r="H848" s="40">
        <v>1400</v>
      </c>
      <c r="I848" s="41" t="s">
        <v>40</v>
      </c>
    </row>
    <row r="849" spans="1:9" ht="18" customHeight="1" x14ac:dyDescent="0.25">
      <c r="A849" s="38">
        <v>2024</v>
      </c>
      <c r="B849" s="38" t="s">
        <v>8</v>
      </c>
      <c r="C849" s="38" t="s">
        <v>13</v>
      </c>
      <c r="D849" s="39" t="s">
        <v>33</v>
      </c>
      <c r="E849" s="40">
        <v>122</v>
      </c>
      <c r="F849" s="40">
        <v>100</v>
      </c>
      <c r="G849" s="40">
        <v>112</v>
      </c>
      <c r="H849" s="40">
        <v>20</v>
      </c>
      <c r="I849" s="41" t="s">
        <v>40</v>
      </c>
    </row>
    <row r="850" spans="1:9" ht="18" customHeight="1" x14ac:dyDescent="0.25">
      <c r="A850" s="38">
        <v>2024</v>
      </c>
      <c r="B850" s="38" t="s">
        <v>8</v>
      </c>
      <c r="C850" s="38" t="s">
        <v>15</v>
      </c>
      <c r="D850" s="42" t="s">
        <v>26</v>
      </c>
      <c r="E850" s="43">
        <v>78</v>
      </c>
      <c r="F850" s="43">
        <v>4577.2</v>
      </c>
      <c r="G850" s="43">
        <v>5126.4639999999999</v>
      </c>
      <c r="H850" s="40">
        <v>915.44</v>
      </c>
      <c r="I850" s="41" t="s">
        <v>40</v>
      </c>
    </row>
    <row r="851" spans="1:9" ht="18" customHeight="1" x14ac:dyDescent="0.25">
      <c r="A851" s="38">
        <v>2024</v>
      </c>
      <c r="B851" s="38" t="s">
        <v>8</v>
      </c>
      <c r="C851" s="38" t="s">
        <v>15</v>
      </c>
      <c r="D851" s="42" t="s">
        <v>24</v>
      </c>
      <c r="E851" s="43">
        <v>76</v>
      </c>
      <c r="F851" s="43">
        <v>4576.8999999999996</v>
      </c>
      <c r="G851" s="43">
        <v>5126.1279999999997</v>
      </c>
      <c r="H851" s="40">
        <v>915.38</v>
      </c>
      <c r="I851" s="41" t="s">
        <v>40</v>
      </c>
    </row>
    <row r="852" spans="1:9" ht="18" customHeight="1" x14ac:dyDescent="0.25">
      <c r="A852" s="38">
        <v>2024</v>
      </c>
      <c r="B852" s="38" t="s">
        <v>8</v>
      </c>
      <c r="C852" s="38" t="s">
        <v>15</v>
      </c>
      <c r="D852" s="42" t="s">
        <v>25</v>
      </c>
      <c r="E852" s="43">
        <v>46</v>
      </c>
      <c r="F852" s="43">
        <v>200</v>
      </c>
      <c r="G852" s="43">
        <v>224</v>
      </c>
      <c r="H852" s="40">
        <v>40</v>
      </c>
      <c r="I852" s="41" t="s">
        <v>40</v>
      </c>
    </row>
    <row r="853" spans="1:9" ht="18" customHeight="1" x14ac:dyDescent="0.25">
      <c r="A853" s="38">
        <v>2024</v>
      </c>
      <c r="B853" s="38" t="s">
        <v>8</v>
      </c>
      <c r="C853" s="38" t="s">
        <v>15</v>
      </c>
      <c r="D853" s="42" t="s">
        <v>23</v>
      </c>
      <c r="E853" s="43">
        <v>34</v>
      </c>
      <c r="F853" s="43">
        <v>4576.8</v>
      </c>
      <c r="G853" s="43">
        <v>5126.0160000000005</v>
      </c>
      <c r="H853" s="40">
        <v>915.36000000000013</v>
      </c>
      <c r="I853" s="41" t="s">
        <v>40</v>
      </c>
    </row>
    <row r="854" spans="1:9" ht="18" customHeight="1" x14ac:dyDescent="0.25">
      <c r="A854" s="38">
        <v>2024</v>
      </c>
      <c r="B854" s="38" t="s">
        <v>8</v>
      </c>
      <c r="C854" s="38" t="s">
        <v>13</v>
      </c>
      <c r="D854" s="39" t="s">
        <v>34</v>
      </c>
      <c r="E854" s="40">
        <v>7</v>
      </c>
      <c r="F854" s="40">
        <v>200</v>
      </c>
      <c r="G854" s="40">
        <v>224</v>
      </c>
      <c r="H854" s="40">
        <v>40</v>
      </c>
      <c r="I854" s="41" t="s">
        <v>40</v>
      </c>
    </row>
    <row r="855" spans="1:9" ht="18" customHeight="1" x14ac:dyDescent="0.25">
      <c r="A855" s="38">
        <v>2024</v>
      </c>
      <c r="B855" s="38" t="s">
        <v>8</v>
      </c>
      <c r="C855" s="38" t="s">
        <v>15</v>
      </c>
      <c r="D855" s="42" t="s">
        <v>27</v>
      </c>
      <c r="E855" s="43">
        <v>3</v>
      </c>
      <c r="F855" s="43">
        <v>4577.3</v>
      </c>
      <c r="G855" s="43">
        <v>5126.576</v>
      </c>
      <c r="H855" s="40">
        <v>915.46</v>
      </c>
      <c r="I855" s="41" t="s">
        <v>40</v>
      </c>
    </row>
    <row r="856" spans="1:9" ht="18" customHeight="1" x14ac:dyDescent="0.25">
      <c r="A856" s="38">
        <v>2024</v>
      </c>
      <c r="B856" s="38" t="s">
        <v>8</v>
      </c>
      <c r="C856" s="38" t="s">
        <v>32</v>
      </c>
      <c r="D856" s="42" t="s">
        <v>32</v>
      </c>
      <c r="E856" s="43">
        <v>2</v>
      </c>
      <c r="F856" s="43">
        <v>6600</v>
      </c>
      <c r="G856" s="43">
        <v>7392</v>
      </c>
      <c r="H856" s="40">
        <v>1320</v>
      </c>
      <c r="I856" s="41" t="s">
        <v>40</v>
      </c>
    </row>
    <row r="857" spans="1:9" ht="18" customHeight="1" x14ac:dyDescent="0.25">
      <c r="A857" s="38">
        <v>2024</v>
      </c>
      <c r="B857" s="38" t="s">
        <v>9</v>
      </c>
      <c r="C857" s="38" t="s">
        <v>14</v>
      </c>
      <c r="D857" s="39" t="s">
        <v>36</v>
      </c>
      <c r="E857" s="40">
        <v>3566</v>
      </c>
      <c r="F857" s="40">
        <v>4577.3</v>
      </c>
      <c r="G857" s="40">
        <v>5126.576</v>
      </c>
      <c r="H857" s="40">
        <v>915.46</v>
      </c>
      <c r="I857" s="41" t="s">
        <v>40</v>
      </c>
    </row>
    <row r="858" spans="1:9" ht="18" customHeight="1" x14ac:dyDescent="0.25">
      <c r="A858" s="38">
        <v>2024</v>
      </c>
      <c r="B858" s="38" t="s">
        <v>9</v>
      </c>
      <c r="C858" s="38" t="s">
        <v>14</v>
      </c>
      <c r="D858" s="39" t="s">
        <v>37</v>
      </c>
      <c r="E858" s="40">
        <v>2498</v>
      </c>
      <c r="F858" s="40">
        <v>8000</v>
      </c>
      <c r="G858" s="40">
        <v>8960</v>
      </c>
      <c r="H858" s="40">
        <v>1600</v>
      </c>
      <c r="I858" s="41" t="s">
        <v>40</v>
      </c>
    </row>
    <row r="859" spans="1:9" ht="18" customHeight="1" x14ac:dyDescent="0.25">
      <c r="A859" s="38">
        <v>2024</v>
      </c>
      <c r="B859" s="38" t="s">
        <v>9</v>
      </c>
      <c r="C859" s="38" t="s">
        <v>13</v>
      </c>
      <c r="D859" s="39" t="s">
        <v>35</v>
      </c>
      <c r="E859" s="40">
        <v>1245</v>
      </c>
      <c r="F859" s="40">
        <v>4577.2</v>
      </c>
      <c r="G859" s="40">
        <v>5126.4639999999999</v>
      </c>
      <c r="H859" s="40">
        <v>915.44</v>
      </c>
      <c r="I859" s="41" t="s">
        <v>40</v>
      </c>
    </row>
    <row r="860" spans="1:9" ht="18" customHeight="1" x14ac:dyDescent="0.25">
      <c r="A860" s="38">
        <v>2024</v>
      </c>
      <c r="B860" s="38" t="s">
        <v>9</v>
      </c>
      <c r="C860" s="38" t="s">
        <v>38</v>
      </c>
      <c r="D860" s="42" t="s">
        <v>30</v>
      </c>
      <c r="E860" s="43">
        <v>644</v>
      </c>
      <c r="F860" s="43">
        <v>5743.5</v>
      </c>
      <c r="G860" s="43">
        <v>6432.72</v>
      </c>
      <c r="H860" s="40">
        <v>1148.7</v>
      </c>
      <c r="I860" s="41" t="s">
        <v>40</v>
      </c>
    </row>
    <row r="861" spans="1:9" ht="18" customHeight="1" x14ac:dyDescent="0.25">
      <c r="A861" s="38">
        <v>2024</v>
      </c>
      <c r="B861" s="38" t="s">
        <v>9</v>
      </c>
      <c r="C861" s="38" t="s">
        <v>12</v>
      </c>
      <c r="D861" s="42" t="s">
        <v>29</v>
      </c>
      <c r="E861" s="43">
        <v>643</v>
      </c>
      <c r="F861" s="43">
        <v>7000</v>
      </c>
      <c r="G861" s="43">
        <v>7840</v>
      </c>
      <c r="H861" s="40">
        <v>1400</v>
      </c>
      <c r="I861" s="41" t="s">
        <v>42</v>
      </c>
    </row>
    <row r="862" spans="1:9" ht="18" customHeight="1" x14ac:dyDescent="0.25">
      <c r="A862" s="38">
        <v>2024</v>
      </c>
      <c r="B862" s="38" t="s">
        <v>9</v>
      </c>
      <c r="C862" s="38" t="s">
        <v>38</v>
      </c>
      <c r="D862" s="42" t="s">
        <v>31</v>
      </c>
      <c r="E862" s="43">
        <v>455</v>
      </c>
      <c r="F862" s="43">
        <v>4578.6000000000004</v>
      </c>
      <c r="G862" s="43">
        <v>5128.0320000000002</v>
      </c>
      <c r="H862" s="40">
        <v>915.72000000000014</v>
      </c>
      <c r="I862" s="41" t="s">
        <v>42</v>
      </c>
    </row>
    <row r="863" spans="1:9" ht="18" customHeight="1" x14ac:dyDescent="0.25">
      <c r="A863" s="38">
        <v>2024</v>
      </c>
      <c r="B863" s="38" t="s">
        <v>9</v>
      </c>
      <c r="C863" s="38" t="s">
        <v>12</v>
      </c>
      <c r="D863" s="42" t="s">
        <v>28</v>
      </c>
      <c r="E863" s="44">
        <v>345</v>
      </c>
      <c r="F863" s="44">
        <v>7000</v>
      </c>
      <c r="G863" s="44">
        <v>7840</v>
      </c>
      <c r="H863" s="40">
        <v>1400</v>
      </c>
      <c r="I863" s="41" t="s">
        <v>42</v>
      </c>
    </row>
    <row r="864" spans="1:9" ht="18" customHeight="1" x14ac:dyDescent="0.25">
      <c r="A864" s="38">
        <v>2024</v>
      </c>
      <c r="B864" s="38" t="s">
        <v>9</v>
      </c>
      <c r="C864" s="38" t="s">
        <v>13</v>
      </c>
      <c r="D864" s="39" t="s">
        <v>33</v>
      </c>
      <c r="E864" s="40">
        <v>122</v>
      </c>
      <c r="F864" s="40">
        <v>100</v>
      </c>
      <c r="G864" s="40">
        <v>112</v>
      </c>
      <c r="H864" s="40">
        <v>20</v>
      </c>
      <c r="I864" s="41" t="s">
        <v>42</v>
      </c>
    </row>
    <row r="865" spans="1:9" ht="18" customHeight="1" x14ac:dyDescent="0.25">
      <c r="A865" s="38">
        <v>2024</v>
      </c>
      <c r="B865" s="38" t="s">
        <v>9</v>
      </c>
      <c r="C865" s="38" t="s">
        <v>15</v>
      </c>
      <c r="D865" s="42" t="s">
        <v>26</v>
      </c>
      <c r="E865" s="43">
        <v>78</v>
      </c>
      <c r="F865" s="43">
        <v>4577.2</v>
      </c>
      <c r="G865" s="43">
        <v>5126.4639999999999</v>
      </c>
      <c r="H865" s="40">
        <v>915.44</v>
      </c>
      <c r="I865" s="41" t="s">
        <v>42</v>
      </c>
    </row>
    <row r="866" spans="1:9" ht="18" customHeight="1" x14ac:dyDescent="0.25">
      <c r="A866" s="38">
        <v>2024</v>
      </c>
      <c r="B866" s="38" t="s">
        <v>9</v>
      </c>
      <c r="C866" s="38" t="s">
        <v>15</v>
      </c>
      <c r="D866" s="42" t="s">
        <v>24</v>
      </c>
      <c r="E866" s="43">
        <v>76</v>
      </c>
      <c r="F866" s="43">
        <v>4576.8999999999996</v>
      </c>
      <c r="G866" s="43">
        <v>5126.1279999999997</v>
      </c>
      <c r="H866" s="40">
        <v>915.38</v>
      </c>
      <c r="I866" s="41" t="s">
        <v>42</v>
      </c>
    </row>
    <row r="867" spans="1:9" ht="18" customHeight="1" x14ac:dyDescent="0.25">
      <c r="A867" s="38">
        <v>2024</v>
      </c>
      <c r="B867" s="38" t="s">
        <v>9</v>
      </c>
      <c r="C867" s="38" t="s">
        <v>15</v>
      </c>
      <c r="D867" s="42" t="s">
        <v>25</v>
      </c>
      <c r="E867" s="43">
        <v>46</v>
      </c>
      <c r="F867" s="43">
        <v>200</v>
      </c>
      <c r="G867" s="43">
        <v>224</v>
      </c>
      <c r="H867" s="40">
        <v>40</v>
      </c>
      <c r="I867" s="41" t="s">
        <v>42</v>
      </c>
    </row>
    <row r="868" spans="1:9" ht="18" customHeight="1" x14ac:dyDescent="0.25">
      <c r="A868" s="38">
        <v>2024</v>
      </c>
      <c r="B868" s="38" t="s">
        <v>9</v>
      </c>
      <c r="C868" s="38" t="s">
        <v>15</v>
      </c>
      <c r="D868" s="42" t="s">
        <v>23</v>
      </c>
      <c r="E868" s="43">
        <v>34</v>
      </c>
      <c r="F868" s="43">
        <v>4576.8</v>
      </c>
      <c r="G868" s="43">
        <v>5126.0160000000005</v>
      </c>
      <c r="H868" s="40">
        <v>915.36000000000013</v>
      </c>
      <c r="I868" s="41" t="s">
        <v>42</v>
      </c>
    </row>
    <row r="869" spans="1:9" ht="18" customHeight="1" x14ac:dyDescent="0.25">
      <c r="A869" s="38">
        <v>2024</v>
      </c>
      <c r="B869" s="38" t="s">
        <v>9</v>
      </c>
      <c r="C869" s="38" t="s">
        <v>13</v>
      </c>
      <c r="D869" s="39" t="s">
        <v>34</v>
      </c>
      <c r="E869" s="40">
        <v>7</v>
      </c>
      <c r="F869" s="40">
        <v>200</v>
      </c>
      <c r="G869" s="40">
        <v>224</v>
      </c>
      <c r="H869" s="40">
        <v>40</v>
      </c>
      <c r="I869" s="41" t="s">
        <v>42</v>
      </c>
    </row>
    <row r="870" spans="1:9" ht="18" customHeight="1" x14ac:dyDescent="0.25">
      <c r="A870" s="38">
        <v>2024</v>
      </c>
      <c r="B870" s="38" t="s">
        <v>9</v>
      </c>
      <c r="C870" s="38" t="s">
        <v>15</v>
      </c>
      <c r="D870" s="42" t="s">
        <v>27</v>
      </c>
      <c r="E870" s="43">
        <v>3</v>
      </c>
      <c r="F870" s="43">
        <v>4577.3</v>
      </c>
      <c r="G870" s="43">
        <v>5126.576</v>
      </c>
      <c r="H870" s="40">
        <v>915.46</v>
      </c>
      <c r="I870" s="41" t="s">
        <v>42</v>
      </c>
    </row>
    <row r="871" spans="1:9" ht="18" customHeight="1" x14ac:dyDescent="0.25">
      <c r="A871" s="38">
        <v>2024</v>
      </c>
      <c r="B871" s="38" t="s">
        <v>9</v>
      </c>
      <c r="C871" s="38" t="s">
        <v>32</v>
      </c>
      <c r="D871" s="42" t="s">
        <v>32</v>
      </c>
      <c r="E871" s="43">
        <v>2</v>
      </c>
      <c r="F871" s="43">
        <v>6600</v>
      </c>
      <c r="G871" s="43">
        <v>7392</v>
      </c>
      <c r="H871" s="40">
        <v>1320</v>
      </c>
      <c r="I871" s="41" t="s">
        <v>42</v>
      </c>
    </row>
    <row r="872" spans="1:9" ht="18" customHeight="1" x14ac:dyDescent="0.25">
      <c r="A872" s="38">
        <v>2024</v>
      </c>
      <c r="B872" s="38" t="s">
        <v>10</v>
      </c>
      <c r="C872" s="38" t="s">
        <v>14</v>
      </c>
      <c r="D872" s="39" t="s">
        <v>36</v>
      </c>
      <c r="E872" s="40">
        <v>3566</v>
      </c>
      <c r="F872" s="40">
        <v>4577.3</v>
      </c>
      <c r="G872" s="40">
        <v>5126.576</v>
      </c>
      <c r="H872" s="40">
        <v>915.46</v>
      </c>
      <c r="I872" s="41" t="s">
        <v>42</v>
      </c>
    </row>
    <row r="873" spans="1:9" ht="18" customHeight="1" x14ac:dyDescent="0.25">
      <c r="A873" s="38">
        <v>2024</v>
      </c>
      <c r="B873" s="38" t="s">
        <v>10</v>
      </c>
      <c r="C873" s="38" t="s">
        <v>14</v>
      </c>
      <c r="D873" s="39" t="s">
        <v>37</v>
      </c>
      <c r="E873" s="40">
        <v>2498</v>
      </c>
      <c r="F873" s="40">
        <v>8000</v>
      </c>
      <c r="G873" s="40">
        <v>8960</v>
      </c>
      <c r="H873" s="40">
        <v>1600</v>
      </c>
      <c r="I873" s="41" t="s">
        <v>42</v>
      </c>
    </row>
    <row r="874" spans="1:9" ht="18" customHeight="1" x14ac:dyDescent="0.25">
      <c r="A874" s="38">
        <v>2024</v>
      </c>
      <c r="B874" s="38" t="s">
        <v>10</v>
      </c>
      <c r="C874" s="38" t="s">
        <v>13</v>
      </c>
      <c r="D874" s="39" t="s">
        <v>35</v>
      </c>
      <c r="E874" s="40">
        <v>1245</v>
      </c>
      <c r="F874" s="40">
        <v>4577.2</v>
      </c>
      <c r="G874" s="40">
        <v>5126.4639999999999</v>
      </c>
      <c r="H874" s="40">
        <v>915.44</v>
      </c>
      <c r="I874" s="41" t="s">
        <v>42</v>
      </c>
    </row>
    <row r="875" spans="1:9" ht="18" customHeight="1" x14ac:dyDescent="0.25">
      <c r="A875" s="38">
        <v>2024</v>
      </c>
      <c r="B875" s="38" t="s">
        <v>10</v>
      </c>
      <c r="C875" s="38" t="s">
        <v>38</v>
      </c>
      <c r="D875" s="42" t="s">
        <v>30</v>
      </c>
      <c r="E875" s="43">
        <v>644</v>
      </c>
      <c r="F875" s="43">
        <v>5743.5</v>
      </c>
      <c r="G875" s="43">
        <v>6432.72</v>
      </c>
      <c r="H875" s="40">
        <v>1148.7</v>
      </c>
      <c r="I875" s="41" t="s">
        <v>42</v>
      </c>
    </row>
    <row r="876" spans="1:9" ht="18" customHeight="1" x14ac:dyDescent="0.25">
      <c r="A876" s="38">
        <v>2024</v>
      </c>
      <c r="B876" s="38" t="s">
        <v>10</v>
      </c>
      <c r="C876" s="38" t="s">
        <v>12</v>
      </c>
      <c r="D876" s="42" t="s">
        <v>29</v>
      </c>
      <c r="E876" s="43">
        <v>643</v>
      </c>
      <c r="F876" s="43">
        <v>7000</v>
      </c>
      <c r="G876" s="43">
        <v>7840</v>
      </c>
      <c r="H876" s="40">
        <v>1400</v>
      </c>
      <c r="I876" s="41" t="s">
        <v>42</v>
      </c>
    </row>
    <row r="877" spans="1:9" ht="18" customHeight="1" x14ac:dyDescent="0.25">
      <c r="A877" s="38">
        <v>2024</v>
      </c>
      <c r="B877" s="38" t="s">
        <v>10</v>
      </c>
      <c r="C877" s="38" t="s">
        <v>38</v>
      </c>
      <c r="D877" s="42" t="s">
        <v>31</v>
      </c>
      <c r="E877" s="43">
        <v>455</v>
      </c>
      <c r="F877" s="43">
        <v>4578.6000000000004</v>
      </c>
      <c r="G877" s="43">
        <v>5128.0320000000002</v>
      </c>
      <c r="H877" s="40">
        <v>915.72000000000014</v>
      </c>
      <c r="I877" s="41" t="s">
        <v>42</v>
      </c>
    </row>
    <row r="878" spans="1:9" ht="18" customHeight="1" x14ac:dyDescent="0.25">
      <c r="A878" s="38">
        <v>2024</v>
      </c>
      <c r="B878" s="38" t="s">
        <v>10</v>
      </c>
      <c r="C878" s="38" t="s">
        <v>12</v>
      </c>
      <c r="D878" s="42" t="s">
        <v>28</v>
      </c>
      <c r="E878" s="44">
        <v>345</v>
      </c>
      <c r="F878" s="44">
        <v>7000</v>
      </c>
      <c r="G878" s="44">
        <v>7840</v>
      </c>
      <c r="H878" s="40">
        <v>1400</v>
      </c>
      <c r="I878" s="41" t="s">
        <v>42</v>
      </c>
    </row>
    <row r="879" spans="1:9" ht="18" customHeight="1" x14ac:dyDescent="0.25">
      <c r="A879" s="38">
        <v>2024</v>
      </c>
      <c r="B879" s="38" t="s">
        <v>10</v>
      </c>
      <c r="C879" s="38" t="s">
        <v>13</v>
      </c>
      <c r="D879" s="39" t="s">
        <v>33</v>
      </c>
      <c r="E879" s="40">
        <v>122</v>
      </c>
      <c r="F879" s="40">
        <v>100</v>
      </c>
      <c r="G879" s="40">
        <v>112</v>
      </c>
      <c r="H879" s="40">
        <v>20</v>
      </c>
      <c r="I879" s="41" t="s">
        <v>42</v>
      </c>
    </row>
    <row r="880" spans="1:9" ht="18" customHeight="1" x14ac:dyDescent="0.25">
      <c r="A880" s="38">
        <v>2024</v>
      </c>
      <c r="B880" s="38" t="s">
        <v>10</v>
      </c>
      <c r="C880" s="38" t="s">
        <v>15</v>
      </c>
      <c r="D880" s="42" t="s">
        <v>26</v>
      </c>
      <c r="E880" s="43">
        <v>78</v>
      </c>
      <c r="F880" s="43">
        <v>4577.2</v>
      </c>
      <c r="G880" s="43">
        <v>5126.4639999999999</v>
      </c>
      <c r="H880" s="40">
        <v>915.44</v>
      </c>
      <c r="I880" s="41" t="s">
        <v>42</v>
      </c>
    </row>
    <row r="881" spans="1:9" ht="18" customHeight="1" x14ac:dyDescent="0.25">
      <c r="A881" s="38">
        <v>2024</v>
      </c>
      <c r="B881" s="38" t="s">
        <v>10</v>
      </c>
      <c r="C881" s="38" t="s">
        <v>15</v>
      </c>
      <c r="D881" s="42" t="s">
        <v>24</v>
      </c>
      <c r="E881" s="43">
        <v>76</v>
      </c>
      <c r="F881" s="43">
        <v>4576.8999999999996</v>
      </c>
      <c r="G881" s="43">
        <v>5126.1279999999997</v>
      </c>
      <c r="H881" s="40">
        <v>915.38</v>
      </c>
      <c r="I881" s="41" t="s">
        <v>42</v>
      </c>
    </row>
    <row r="882" spans="1:9" ht="18" customHeight="1" x14ac:dyDescent="0.25">
      <c r="A882" s="38">
        <v>2024</v>
      </c>
      <c r="B882" s="38" t="s">
        <v>10</v>
      </c>
      <c r="C882" s="38" t="s">
        <v>15</v>
      </c>
      <c r="D882" s="42" t="s">
        <v>25</v>
      </c>
      <c r="E882" s="43">
        <v>46</v>
      </c>
      <c r="F882" s="43">
        <v>200</v>
      </c>
      <c r="G882" s="43">
        <v>224</v>
      </c>
      <c r="H882" s="40">
        <v>40</v>
      </c>
      <c r="I882" s="41" t="s">
        <v>42</v>
      </c>
    </row>
    <row r="883" spans="1:9" ht="18" customHeight="1" x14ac:dyDescent="0.25">
      <c r="A883" s="38">
        <v>2024</v>
      </c>
      <c r="B883" s="38" t="s">
        <v>10</v>
      </c>
      <c r="C883" s="38" t="s">
        <v>15</v>
      </c>
      <c r="D883" s="42" t="s">
        <v>23</v>
      </c>
      <c r="E883" s="43">
        <v>34</v>
      </c>
      <c r="F883" s="43">
        <v>4576.8</v>
      </c>
      <c r="G883" s="43">
        <v>5126.0160000000005</v>
      </c>
      <c r="H883" s="40">
        <v>915.36000000000013</v>
      </c>
      <c r="I883" s="41" t="s">
        <v>42</v>
      </c>
    </row>
    <row r="884" spans="1:9" ht="18" customHeight="1" x14ac:dyDescent="0.25">
      <c r="A884" s="38">
        <v>2024</v>
      </c>
      <c r="B884" s="38" t="s">
        <v>10</v>
      </c>
      <c r="C884" s="38" t="s">
        <v>13</v>
      </c>
      <c r="D884" s="39" t="s">
        <v>34</v>
      </c>
      <c r="E884" s="40">
        <v>7</v>
      </c>
      <c r="F884" s="40">
        <v>200</v>
      </c>
      <c r="G884" s="40">
        <v>224</v>
      </c>
      <c r="H884" s="40">
        <v>40</v>
      </c>
      <c r="I884" s="41" t="s">
        <v>42</v>
      </c>
    </row>
    <row r="885" spans="1:9" ht="18" customHeight="1" x14ac:dyDescent="0.25">
      <c r="A885" s="38">
        <v>2024</v>
      </c>
      <c r="B885" s="38" t="s">
        <v>10</v>
      </c>
      <c r="C885" s="38" t="s">
        <v>15</v>
      </c>
      <c r="D885" s="42" t="s">
        <v>27</v>
      </c>
      <c r="E885" s="43">
        <v>3</v>
      </c>
      <c r="F885" s="43">
        <v>4577.3</v>
      </c>
      <c r="G885" s="43">
        <v>5126.576</v>
      </c>
      <c r="H885" s="40">
        <v>915.46</v>
      </c>
      <c r="I885" s="41" t="s">
        <v>42</v>
      </c>
    </row>
    <row r="886" spans="1:9" ht="18" customHeight="1" x14ac:dyDescent="0.25">
      <c r="A886" s="38">
        <v>2024</v>
      </c>
      <c r="B886" s="38" t="s">
        <v>10</v>
      </c>
      <c r="C886" s="38" t="s">
        <v>32</v>
      </c>
      <c r="D886" s="42" t="s">
        <v>32</v>
      </c>
      <c r="E886" s="43">
        <v>2</v>
      </c>
      <c r="F886" s="43">
        <v>6600</v>
      </c>
      <c r="G886" s="43">
        <v>7392</v>
      </c>
      <c r="H886" s="40">
        <v>1320</v>
      </c>
      <c r="I886" s="41" t="s">
        <v>40</v>
      </c>
    </row>
    <row r="887" spans="1:9" ht="18" customHeight="1" x14ac:dyDescent="0.25">
      <c r="A887" s="38">
        <v>2024</v>
      </c>
      <c r="B887" s="38" t="s">
        <v>11</v>
      </c>
      <c r="C887" s="38" t="s">
        <v>14</v>
      </c>
      <c r="D887" s="39" t="s">
        <v>36</v>
      </c>
      <c r="E887" s="40">
        <v>3566</v>
      </c>
      <c r="F887" s="40">
        <v>4577.3</v>
      </c>
      <c r="G887" s="40">
        <v>5126.576</v>
      </c>
      <c r="H887" s="40">
        <v>915.46</v>
      </c>
      <c r="I887" s="41" t="s">
        <v>40</v>
      </c>
    </row>
    <row r="888" spans="1:9" ht="18" customHeight="1" x14ac:dyDescent="0.25">
      <c r="A888" s="38">
        <v>2024</v>
      </c>
      <c r="B888" s="38" t="s">
        <v>11</v>
      </c>
      <c r="C888" s="38" t="s">
        <v>14</v>
      </c>
      <c r="D888" s="39" t="s">
        <v>37</v>
      </c>
      <c r="E888" s="40">
        <v>2498</v>
      </c>
      <c r="F888" s="40">
        <v>8000</v>
      </c>
      <c r="G888" s="40">
        <v>8960</v>
      </c>
      <c r="H888" s="40">
        <v>1600</v>
      </c>
      <c r="I888" s="41" t="s">
        <v>40</v>
      </c>
    </row>
    <row r="889" spans="1:9" ht="18" customHeight="1" x14ac:dyDescent="0.25">
      <c r="A889" s="38">
        <v>2024</v>
      </c>
      <c r="B889" s="38" t="s">
        <v>11</v>
      </c>
      <c r="C889" s="38" t="s">
        <v>13</v>
      </c>
      <c r="D889" s="39" t="s">
        <v>35</v>
      </c>
      <c r="E889" s="40">
        <v>1245</v>
      </c>
      <c r="F889" s="40">
        <v>4577.2</v>
      </c>
      <c r="G889" s="40">
        <v>5126.4639999999999</v>
      </c>
      <c r="H889" s="40">
        <v>915.44</v>
      </c>
      <c r="I889" s="41" t="s">
        <v>40</v>
      </c>
    </row>
    <row r="890" spans="1:9" ht="18" customHeight="1" x14ac:dyDescent="0.25">
      <c r="A890" s="38">
        <v>2024</v>
      </c>
      <c r="B890" s="38" t="s">
        <v>11</v>
      </c>
      <c r="C890" s="38" t="s">
        <v>38</v>
      </c>
      <c r="D890" s="42" t="s">
        <v>30</v>
      </c>
      <c r="E890" s="43">
        <v>644</v>
      </c>
      <c r="F890" s="43">
        <v>5743.5</v>
      </c>
      <c r="G890" s="43">
        <v>6432.72</v>
      </c>
      <c r="H890" s="40">
        <v>1148.7</v>
      </c>
      <c r="I890" s="41" t="s">
        <v>40</v>
      </c>
    </row>
    <row r="891" spans="1:9" ht="18" customHeight="1" x14ac:dyDescent="0.25">
      <c r="A891" s="38">
        <v>2024</v>
      </c>
      <c r="B891" s="38" t="s">
        <v>11</v>
      </c>
      <c r="C891" s="38" t="s">
        <v>12</v>
      </c>
      <c r="D891" s="42" t="s">
        <v>29</v>
      </c>
      <c r="E891" s="43">
        <v>643</v>
      </c>
      <c r="F891" s="43">
        <v>7000</v>
      </c>
      <c r="G891" s="43">
        <v>7840</v>
      </c>
      <c r="H891" s="40">
        <v>1400</v>
      </c>
      <c r="I891" s="41" t="s">
        <v>40</v>
      </c>
    </row>
    <row r="892" spans="1:9" ht="18" customHeight="1" x14ac:dyDescent="0.25">
      <c r="A892" s="38">
        <v>2024</v>
      </c>
      <c r="B892" s="38" t="s">
        <v>11</v>
      </c>
      <c r="C892" s="38" t="s">
        <v>38</v>
      </c>
      <c r="D892" s="42" t="s">
        <v>31</v>
      </c>
      <c r="E892" s="43">
        <v>455</v>
      </c>
      <c r="F892" s="43">
        <v>4578.6000000000004</v>
      </c>
      <c r="G892" s="43">
        <v>5128.0320000000002</v>
      </c>
      <c r="H892" s="40">
        <v>915.72000000000014</v>
      </c>
      <c r="I892" s="41" t="s">
        <v>40</v>
      </c>
    </row>
    <row r="893" spans="1:9" ht="18" customHeight="1" x14ac:dyDescent="0.25">
      <c r="A893" s="38">
        <v>2024</v>
      </c>
      <c r="B893" s="38" t="s">
        <v>11</v>
      </c>
      <c r="C893" s="38" t="s">
        <v>12</v>
      </c>
      <c r="D893" s="42" t="s">
        <v>28</v>
      </c>
      <c r="E893" s="44">
        <v>345</v>
      </c>
      <c r="F893" s="44">
        <v>7000</v>
      </c>
      <c r="G893" s="44">
        <v>7840</v>
      </c>
      <c r="H893" s="40">
        <v>1400</v>
      </c>
      <c r="I893" s="41" t="s">
        <v>40</v>
      </c>
    </row>
    <row r="894" spans="1:9" ht="18" customHeight="1" x14ac:dyDescent="0.25">
      <c r="A894" s="38">
        <v>2024</v>
      </c>
      <c r="B894" s="38" t="s">
        <v>11</v>
      </c>
      <c r="C894" s="38" t="s">
        <v>13</v>
      </c>
      <c r="D894" s="39" t="s">
        <v>33</v>
      </c>
      <c r="E894" s="40">
        <v>122</v>
      </c>
      <c r="F894" s="40">
        <v>100</v>
      </c>
      <c r="G894" s="40">
        <v>112</v>
      </c>
      <c r="H894" s="40">
        <v>20</v>
      </c>
      <c r="I894" s="41" t="s">
        <v>40</v>
      </c>
    </row>
    <row r="895" spans="1:9" ht="18" customHeight="1" x14ac:dyDescent="0.25">
      <c r="A895" s="38">
        <v>2024</v>
      </c>
      <c r="B895" s="38" t="s">
        <v>11</v>
      </c>
      <c r="C895" s="38" t="s">
        <v>15</v>
      </c>
      <c r="D895" s="42" t="s">
        <v>26</v>
      </c>
      <c r="E895" s="43">
        <v>78</v>
      </c>
      <c r="F895" s="43">
        <v>4577.2</v>
      </c>
      <c r="G895" s="43">
        <v>5126.4639999999999</v>
      </c>
      <c r="H895" s="40">
        <v>915.44</v>
      </c>
      <c r="I895" s="41" t="s">
        <v>40</v>
      </c>
    </row>
    <row r="896" spans="1:9" ht="18" customHeight="1" x14ac:dyDescent="0.25">
      <c r="A896" s="38">
        <v>2024</v>
      </c>
      <c r="B896" s="38" t="s">
        <v>11</v>
      </c>
      <c r="C896" s="38" t="s">
        <v>15</v>
      </c>
      <c r="D896" s="42" t="s">
        <v>24</v>
      </c>
      <c r="E896" s="43">
        <v>76</v>
      </c>
      <c r="F896" s="43">
        <v>4576.8999999999996</v>
      </c>
      <c r="G896" s="43">
        <v>5126.1279999999997</v>
      </c>
      <c r="H896" s="40">
        <v>915.38</v>
      </c>
      <c r="I896" s="41" t="s">
        <v>40</v>
      </c>
    </row>
    <row r="897" spans="1:9" ht="18" customHeight="1" x14ac:dyDescent="0.25">
      <c r="A897" s="38">
        <v>2024</v>
      </c>
      <c r="B897" s="38" t="s">
        <v>11</v>
      </c>
      <c r="C897" s="38" t="s">
        <v>15</v>
      </c>
      <c r="D897" s="42" t="s">
        <v>25</v>
      </c>
      <c r="E897" s="43">
        <v>46</v>
      </c>
      <c r="F897" s="43">
        <v>200</v>
      </c>
      <c r="G897" s="43">
        <v>224</v>
      </c>
      <c r="H897" s="40">
        <v>40</v>
      </c>
      <c r="I897" s="41" t="s">
        <v>40</v>
      </c>
    </row>
    <row r="898" spans="1:9" ht="18" customHeight="1" x14ac:dyDescent="0.25">
      <c r="A898" s="38">
        <v>2024</v>
      </c>
      <c r="B898" s="38" t="s">
        <v>11</v>
      </c>
      <c r="C898" s="38" t="s">
        <v>15</v>
      </c>
      <c r="D898" s="42" t="s">
        <v>23</v>
      </c>
      <c r="E898" s="43">
        <v>34</v>
      </c>
      <c r="F898" s="43">
        <v>4576.8</v>
      </c>
      <c r="G898" s="43">
        <v>5126.0160000000005</v>
      </c>
      <c r="H898" s="40">
        <v>915.36000000000013</v>
      </c>
      <c r="I898" s="41" t="s">
        <v>40</v>
      </c>
    </row>
    <row r="899" spans="1:9" ht="18" customHeight="1" x14ac:dyDescent="0.25">
      <c r="A899" s="38">
        <v>2024</v>
      </c>
      <c r="B899" s="38" t="s">
        <v>11</v>
      </c>
      <c r="C899" s="38" t="s">
        <v>13</v>
      </c>
      <c r="D899" s="39" t="s">
        <v>34</v>
      </c>
      <c r="E899" s="40">
        <v>7</v>
      </c>
      <c r="F899" s="40">
        <v>200</v>
      </c>
      <c r="G899" s="40">
        <v>224</v>
      </c>
      <c r="H899" s="40">
        <v>40</v>
      </c>
      <c r="I899" s="41" t="s">
        <v>40</v>
      </c>
    </row>
    <row r="900" spans="1:9" ht="18" customHeight="1" x14ac:dyDescent="0.25">
      <c r="A900" s="38">
        <v>2024</v>
      </c>
      <c r="B900" s="38" t="s">
        <v>11</v>
      </c>
      <c r="C900" s="38" t="s">
        <v>15</v>
      </c>
      <c r="D900" s="42" t="s">
        <v>27</v>
      </c>
      <c r="E900" s="43">
        <v>3</v>
      </c>
      <c r="F900" s="43">
        <v>4577.3</v>
      </c>
      <c r="G900" s="43">
        <v>5126.576</v>
      </c>
      <c r="H900" s="40">
        <v>915.46</v>
      </c>
      <c r="I900" s="41" t="s">
        <v>40</v>
      </c>
    </row>
    <row r="901" spans="1:9" ht="18" customHeight="1" x14ac:dyDescent="0.25">
      <c r="A901" s="38">
        <v>2024</v>
      </c>
      <c r="B901" s="38" t="s">
        <v>11</v>
      </c>
      <c r="C901" s="38" t="s">
        <v>32</v>
      </c>
      <c r="D901" s="42" t="s">
        <v>32</v>
      </c>
      <c r="E901" s="43">
        <v>2</v>
      </c>
      <c r="F901" s="43">
        <v>6600</v>
      </c>
      <c r="G901" s="43">
        <v>7392</v>
      </c>
      <c r="H901" s="40">
        <v>1320</v>
      </c>
      <c r="I901" s="41" t="s">
        <v>40</v>
      </c>
    </row>
  </sheetData>
  <phoneticPr fontId="3" type="noConversion"/>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F2AB9-57F8-4668-A37F-259A4B5EA364}">
  <sheetPr codeName="Sheet3">
    <tabColor rgb="FFD228B3"/>
  </sheetPr>
  <dimension ref="A1:BI109"/>
  <sheetViews>
    <sheetView showGridLines="0" workbookViewId="0">
      <selection activeCell="E19" sqref="E19"/>
    </sheetView>
  </sheetViews>
  <sheetFormatPr defaultRowHeight="14.4" x14ac:dyDescent="0.3"/>
  <cols>
    <col min="3" max="3" width="14.6640625" bestFit="1" customWidth="1"/>
    <col min="4" max="4" width="15.6640625" bestFit="1" customWidth="1"/>
    <col min="5" max="5" width="16.88671875" bestFit="1" customWidth="1"/>
    <col min="6" max="6" width="15" bestFit="1" customWidth="1"/>
    <col min="7" max="7" width="16.21875" bestFit="1" customWidth="1"/>
    <col min="8" max="8" width="12.5546875" bestFit="1" customWidth="1"/>
    <col min="9" max="9" width="15.21875" bestFit="1" customWidth="1"/>
    <col min="10" max="10" width="9" bestFit="1" customWidth="1"/>
    <col min="11" max="11" width="14.44140625" bestFit="1" customWidth="1"/>
    <col min="12" max="12" width="15.6640625" bestFit="1" customWidth="1"/>
    <col min="13" max="13" width="14.5546875" bestFit="1" customWidth="1"/>
    <col min="14" max="14" width="12.33203125" bestFit="1" customWidth="1"/>
    <col min="15" max="15" width="20.109375" bestFit="1" customWidth="1"/>
    <col min="16" max="16" width="16.5546875" bestFit="1" customWidth="1"/>
    <col min="17" max="17" width="10.88671875" bestFit="1" customWidth="1"/>
    <col min="22" max="22" width="15.33203125" bestFit="1" customWidth="1"/>
    <col min="23" max="23" width="22.33203125" bestFit="1" customWidth="1"/>
    <col min="24" max="24" width="11.88671875" bestFit="1" customWidth="1"/>
    <col min="25" max="25" width="12.109375" bestFit="1" customWidth="1"/>
    <col min="30" max="30" width="14" bestFit="1" customWidth="1"/>
    <col min="31" max="31" width="15.33203125" bestFit="1" customWidth="1"/>
    <col min="32" max="32" width="16.5546875" bestFit="1" customWidth="1"/>
    <col min="34" max="34" width="22.21875" bestFit="1" customWidth="1"/>
    <col min="37" max="37" width="14" bestFit="1" customWidth="1"/>
    <col min="38" max="38" width="23.5546875" bestFit="1" customWidth="1"/>
    <col min="40" max="40" width="22" bestFit="1" customWidth="1"/>
    <col min="43" max="43" width="14" bestFit="1" customWidth="1"/>
    <col min="44" max="44" width="15.33203125" bestFit="1" customWidth="1"/>
    <col min="45" max="45" width="16.5546875" bestFit="1" customWidth="1"/>
    <col min="49" max="49" width="12.33203125" bestFit="1" customWidth="1"/>
    <col min="54" max="54" width="27.21875" bestFit="1" customWidth="1"/>
    <col min="55" max="55" width="15.33203125" bestFit="1" customWidth="1"/>
    <col min="56" max="56" width="16.5546875" bestFit="1" customWidth="1"/>
    <col min="58" max="58" width="23.44140625" bestFit="1" customWidth="1"/>
    <col min="59" max="59" width="12.33203125" bestFit="1" customWidth="1"/>
    <col min="60" max="60" width="9.6640625" bestFit="1" customWidth="1"/>
  </cols>
  <sheetData>
    <row r="1" spans="1:6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row>
    <row r="2" spans="1:6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row>
    <row r="3" spans="1:6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row>
    <row r="4" spans="1:6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row>
    <row r="5" spans="1:61" x14ac:dyDescent="0.3">
      <c r="A5" s="6"/>
      <c r="B5" s="6"/>
      <c r="C5" s="5" t="s">
        <v>43</v>
      </c>
      <c r="D5" s="6" t="s">
        <v>45</v>
      </c>
      <c r="E5" s="6" t="s">
        <v>46</v>
      </c>
      <c r="F5" s="6" t="s">
        <v>54</v>
      </c>
      <c r="G5" s="6" t="s">
        <v>55</v>
      </c>
      <c r="H5" s="6"/>
      <c r="I5" s="6"/>
      <c r="J5" s="6"/>
      <c r="K5" s="6"/>
      <c r="L5" s="7" t="s">
        <v>47</v>
      </c>
      <c r="M5" s="7" t="s">
        <v>48</v>
      </c>
      <c r="N5" s="7" t="s">
        <v>49</v>
      </c>
      <c r="O5" s="7" t="s">
        <v>50</v>
      </c>
      <c r="P5" s="7" t="s">
        <v>51</v>
      </c>
      <c r="Q5" s="7" t="s">
        <v>56</v>
      </c>
      <c r="R5" s="7" t="s">
        <v>57</v>
      </c>
      <c r="S5" s="6"/>
      <c r="T5" s="6"/>
      <c r="U5" s="6"/>
      <c r="V5" s="6" t="s">
        <v>45</v>
      </c>
      <c r="W5" s="6" t="s">
        <v>52</v>
      </c>
      <c r="X5" s="6"/>
      <c r="Y5" s="7" t="s">
        <v>21</v>
      </c>
      <c r="Z5" s="7" t="s">
        <v>53</v>
      </c>
      <c r="AA5" s="6"/>
      <c r="AB5" s="6"/>
      <c r="AC5" s="6"/>
      <c r="AD5" s="5" t="s">
        <v>43</v>
      </c>
      <c r="AE5" s="6" t="s">
        <v>45</v>
      </c>
      <c r="AF5" s="6" t="s">
        <v>46</v>
      </c>
      <c r="AG5" s="6"/>
      <c r="AH5" s="7" t="s">
        <v>58</v>
      </c>
      <c r="AI5" s="6"/>
      <c r="AJ5" s="6"/>
      <c r="AK5" s="5" t="s">
        <v>43</v>
      </c>
      <c r="AL5" s="6" t="s">
        <v>60</v>
      </c>
      <c r="AM5" s="6"/>
      <c r="AN5" s="7" t="s">
        <v>61</v>
      </c>
      <c r="AO5" s="6"/>
      <c r="AP5" s="6"/>
      <c r="AQ5" s="5" t="s">
        <v>43</v>
      </c>
      <c r="AR5" s="6" t="s">
        <v>45</v>
      </c>
      <c r="AS5" s="6" t="s">
        <v>46</v>
      </c>
      <c r="AT5" s="6"/>
      <c r="AU5" s="6"/>
      <c r="AV5" s="6"/>
      <c r="AW5" s="6"/>
      <c r="AX5" s="6"/>
      <c r="AY5" s="6"/>
      <c r="AZ5" s="6"/>
      <c r="BA5" s="6"/>
      <c r="BB5" s="5" t="s">
        <v>43</v>
      </c>
      <c r="BC5" s="6" t="s">
        <v>45</v>
      </c>
      <c r="BD5" s="6" t="s">
        <v>46</v>
      </c>
      <c r="BE5" s="6"/>
      <c r="BF5" s="6"/>
      <c r="BG5" s="6"/>
      <c r="BH5" s="6"/>
      <c r="BI5" s="6"/>
    </row>
    <row r="6" spans="1:61" s="4" customFormat="1" ht="13.2" x14ac:dyDescent="0.25">
      <c r="A6" s="6"/>
      <c r="B6" s="6"/>
      <c r="C6" s="8" t="s">
        <v>12</v>
      </c>
      <c r="D6" s="9">
        <v>867216</v>
      </c>
      <c r="E6" s="10">
        <v>0.21969754046237791</v>
      </c>
      <c r="F6" s="9">
        <v>75251.567999999999</v>
      </c>
      <c r="G6" s="10">
        <v>0.10306355787727066</v>
      </c>
      <c r="H6" s="6"/>
      <c r="I6" s="6"/>
      <c r="J6" s="6"/>
      <c r="K6" s="6" t="s">
        <v>12</v>
      </c>
      <c r="L6" s="11">
        <v>1</v>
      </c>
      <c r="M6" s="11">
        <v>3</v>
      </c>
      <c r="N6" s="12">
        <f t="shared" ref="N6:N11" si="0">VLOOKUP(K6,$C$5:$E$12,2,0)</f>
        <v>867216</v>
      </c>
      <c r="O6" s="12" t="str">
        <f t="shared" ref="O6:O11" si="1">IF(N6=MAX($N$6:$N$11),N6,"")</f>
        <v/>
      </c>
      <c r="P6" s="12">
        <f t="shared" ref="P6:P11" si="2">IF(N6=MAX($N$6:$N$11),"",N6)</f>
        <v>867216</v>
      </c>
      <c r="Q6" s="12">
        <f t="shared" ref="Q6:Q11" si="3">VLOOKUP(K6,$C$5:$G$12,4,0)</f>
        <v>75251.567999999999</v>
      </c>
      <c r="R6" s="14">
        <f t="shared" ref="R6:R11" si="4">VLOOKUP(K6,$C$5:$G$12,5,0)</f>
        <v>0.10306355787727066</v>
      </c>
      <c r="S6" s="6"/>
      <c r="T6" s="6"/>
      <c r="U6" s="6"/>
      <c r="V6" s="13">
        <v>3947317.7449999978</v>
      </c>
      <c r="W6" s="13">
        <v>4515856.2639999967</v>
      </c>
      <c r="X6" s="6"/>
      <c r="Y6" s="14">
        <f>GETPIVOTDATA("Sum of Income",$V$5)/GETPIVOTDATA("Sum of Target Income",$V$5)</f>
        <v>0.87410172384530105</v>
      </c>
      <c r="Z6" s="15">
        <f>1-Y6</f>
        <v>0.12589827615469895</v>
      </c>
      <c r="AD6" s="8" t="s">
        <v>0</v>
      </c>
      <c r="AE6" s="13">
        <v>352630.74000000005</v>
      </c>
      <c r="AF6" s="9">
        <v>352630.74000000005</v>
      </c>
      <c r="AH6" s="16">
        <f>IFERROR(AVERAGE(AE6:AE17),"")</f>
        <v>328943.1454166667</v>
      </c>
      <c r="AK6" s="8" t="s">
        <v>0</v>
      </c>
      <c r="AL6" s="9">
        <v>70526.14800000003</v>
      </c>
      <c r="AM6" s="6"/>
      <c r="AN6" s="19">
        <f>IFERROR(GETPIVOTDATA("operating profit",$AK$5),"")</f>
        <v>789463.54900000012</v>
      </c>
      <c r="AQ6" s="8" t="s">
        <v>40</v>
      </c>
      <c r="AR6" s="9">
        <v>2361013.7099999986</v>
      </c>
      <c r="AS6" s="10">
        <v>0.59813115196785349</v>
      </c>
      <c r="AV6" s="7" t="s">
        <v>40</v>
      </c>
      <c r="AW6" s="19">
        <f>IFERROR(AR6,"")</f>
        <v>2361013.7099999986</v>
      </c>
      <c r="AX6" s="20">
        <f>IFERROR(AS6,"")</f>
        <v>0.59813115196785349</v>
      </c>
      <c r="BB6" s="8" t="s">
        <v>12</v>
      </c>
      <c r="BC6" s="9">
        <v>867216</v>
      </c>
      <c r="BD6" s="10">
        <v>0.21969754046237797</v>
      </c>
      <c r="BF6" s="4" t="s">
        <v>12</v>
      </c>
      <c r="BG6" s="19">
        <f>VLOOKUP(BF6,$BB:$BD,2,0)</f>
        <v>867216</v>
      </c>
      <c r="BH6" s="20">
        <f>VLOOKUP(BF6,$BB:$BD,3,0)</f>
        <v>0.21969754046237797</v>
      </c>
    </row>
    <row r="7" spans="1:61" s="4" customFormat="1" ht="13.2" x14ac:dyDescent="0.25">
      <c r="A7" s="6"/>
      <c r="B7" s="6"/>
      <c r="C7" s="8" t="s">
        <v>38</v>
      </c>
      <c r="D7" s="9">
        <v>691419.41999999958</v>
      </c>
      <c r="E7" s="10">
        <v>0.17516183511596162</v>
      </c>
      <c r="F7" s="9">
        <v>73997.460999999996</v>
      </c>
      <c r="G7" s="10">
        <v>0.1013459494232011</v>
      </c>
      <c r="H7" s="6"/>
      <c r="I7" s="6"/>
      <c r="J7" s="6"/>
      <c r="K7" s="6" t="s">
        <v>38</v>
      </c>
      <c r="L7" s="11">
        <v>7</v>
      </c>
      <c r="M7" s="11">
        <v>2</v>
      </c>
      <c r="N7" s="12">
        <f t="shared" si="0"/>
        <v>691419.41999999958</v>
      </c>
      <c r="O7" s="12" t="str">
        <f t="shared" si="1"/>
        <v/>
      </c>
      <c r="P7" s="12">
        <f t="shared" si="2"/>
        <v>691419.41999999958</v>
      </c>
      <c r="Q7" s="12">
        <f t="shared" si="3"/>
        <v>73997.460999999996</v>
      </c>
      <c r="R7" s="14">
        <f t="shared" si="4"/>
        <v>0.1013459494232011</v>
      </c>
      <c r="S7" s="6"/>
      <c r="T7" s="6"/>
      <c r="U7" s="6"/>
      <c r="V7" s="6"/>
      <c r="W7" s="6"/>
      <c r="X7" s="6"/>
      <c r="Y7" s="6"/>
      <c r="Z7" s="6"/>
      <c r="AD7" s="8" t="s">
        <v>1</v>
      </c>
      <c r="AE7" s="13">
        <v>320228.30000000005</v>
      </c>
      <c r="AF7" s="9">
        <v>320228.30000000005</v>
      </c>
      <c r="AK7" s="8" t="s">
        <v>1</v>
      </c>
      <c r="AL7" s="9">
        <v>64045.66</v>
      </c>
      <c r="AM7" s="6"/>
      <c r="AQ7" s="8" t="s">
        <v>42</v>
      </c>
      <c r="AR7" s="9">
        <v>1586304.0349999995</v>
      </c>
      <c r="AS7" s="10">
        <v>0.40186884803214651</v>
      </c>
      <c r="AV7" s="7" t="s">
        <v>42</v>
      </c>
      <c r="AW7" s="19">
        <f>IFERROR(AR7,"")</f>
        <v>1586304.0349999995</v>
      </c>
      <c r="AX7" s="20">
        <f>IFERROR(AS7,"")</f>
        <v>0.40186884803214651</v>
      </c>
      <c r="BB7" s="50" t="s">
        <v>28</v>
      </c>
      <c r="BC7" s="9">
        <v>435316</v>
      </c>
      <c r="BD7" s="10">
        <v>0.11028146911948181</v>
      </c>
      <c r="BF7" s="4" t="s">
        <v>28</v>
      </c>
      <c r="BG7" s="19">
        <f t="shared" ref="BG7:BG26" si="5">VLOOKUP(BF7,$BB:$BD,2,0)</f>
        <v>435316</v>
      </c>
      <c r="BH7" s="20">
        <f t="shared" ref="BH7:BH26" si="6">VLOOKUP(BF7,$BB:$BD,3,0)</f>
        <v>0.11028146911948181</v>
      </c>
    </row>
    <row r="8" spans="1:61" s="4" customFormat="1" ht="13.2" x14ac:dyDescent="0.25">
      <c r="A8" s="6"/>
      <c r="B8" s="6"/>
      <c r="C8" s="8" t="s">
        <v>13</v>
      </c>
      <c r="D8" s="9">
        <v>307374.0100000003</v>
      </c>
      <c r="E8" s="10">
        <v>7.7869082211419555E-2</v>
      </c>
      <c r="F8" s="9">
        <v>116801.149</v>
      </c>
      <c r="G8" s="10">
        <v>0.15996931758409624</v>
      </c>
      <c r="H8" s="6"/>
      <c r="I8" s="6"/>
      <c r="J8" s="6"/>
      <c r="K8" s="6" t="s">
        <v>13</v>
      </c>
      <c r="L8" s="11">
        <v>4</v>
      </c>
      <c r="M8" s="11">
        <v>1</v>
      </c>
      <c r="N8" s="12">
        <f t="shared" si="0"/>
        <v>307374.0100000003</v>
      </c>
      <c r="O8" s="12" t="str">
        <f t="shared" si="1"/>
        <v/>
      </c>
      <c r="P8" s="12">
        <f t="shared" si="2"/>
        <v>307374.0100000003</v>
      </c>
      <c r="Q8" s="12">
        <f t="shared" si="3"/>
        <v>116801.149</v>
      </c>
      <c r="R8" s="14">
        <f t="shared" si="4"/>
        <v>0.15996931758409624</v>
      </c>
      <c r="S8" s="6"/>
      <c r="T8" s="6"/>
      <c r="U8" s="6"/>
      <c r="V8" s="6"/>
      <c r="W8" s="6"/>
      <c r="X8" s="6"/>
      <c r="Y8" s="6"/>
      <c r="Z8" s="6"/>
      <c r="AD8" s="8" t="s">
        <v>2</v>
      </c>
      <c r="AE8" s="13">
        <v>318928</v>
      </c>
      <c r="AF8" s="9">
        <v>318928</v>
      </c>
      <c r="AK8" s="8" t="s">
        <v>2</v>
      </c>
      <c r="AL8" s="9">
        <v>63785.600000000013</v>
      </c>
      <c r="AM8" s="6"/>
      <c r="AQ8" s="8" t="s">
        <v>44</v>
      </c>
      <c r="AR8" s="9">
        <v>3947317.7449999982</v>
      </c>
      <c r="AS8" s="10">
        <v>1</v>
      </c>
      <c r="BB8" s="50" t="s">
        <v>29</v>
      </c>
      <c r="BC8" s="9">
        <v>431900</v>
      </c>
      <c r="BD8" s="10">
        <v>0.10941607134289617</v>
      </c>
      <c r="BF8" s="4" t="s">
        <v>29</v>
      </c>
      <c r="BG8" s="19">
        <f t="shared" si="5"/>
        <v>431900</v>
      </c>
      <c r="BH8" s="20">
        <f t="shared" si="6"/>
        <v>0.10941607134289617</v>
      </c>
    </row>
    <row r="9" spans="1:61" s="4" customFormat="1" ht="13.2" x14ac:dyDescent="0.25">
      <c r="A9" s="6"/>
      <c r="B9" s="6"/>
      <c r="C9" s="8" t="s">
        <v>14</v>
      </c>
      <c r="D9" s="9">
        <v>776132.81500000064</v>
      </c>
      <c r="E9" s="10">
        <v>0.19662283736421135</v>
      </c>
      <c r="F9" s="9">
        <v>389437.478</v>
      </c>
      <c r="G9" s="10">
        <v>0.53336844826185315</v>
      </c>
      <c r="H9" s="6"/>
      <c r="I9" s="6"/>
      <c r="J9" s="6"/>
      <c r="K9" s="6" t="s">
        <v>14</v>
      </c>
      <c r="L9" s="11">
        <v>2</v>
      </c>
      <c r="M9" s="11">
        <v>8</v>
      </c>
      <c r="N9" s="12">
        <f t="shared" si="0"/>
        <v>776132.81500000064</v>
      </c>
      <c r="O9" s="12" t="str">
        <f t="shared" si="1"/>
        <v/>
      </c>
      <c r="P9" s="12">
        <f t="shared" si="2"/>
        <v>776132.81500000064</v>
      </c>
      <c r="Q9" s="12">
        <f t="shared" si="3"/>
        <v>389437.478</v>
      </c>
      <c r="R9" s="14">
        <f t="shared" si="4"/>
        <v>0.53336844826185315</v>
      </c>
      <c r="S9" s="6"/>
      <c r="T9" s="6"/>
      <c r="U9" s="6"/>
      <c r="V9" s="6"/>
      <c r="W9" s="6"/>
      <c r="X9" s="6"/>
      <c r="Y9" s="6"/>
      <c r="Z9" s="6"/>
      <c r="AD9" s="8" t="s">
        <v>3</v>
      </c>
      <c r="AE9" s="13">
        <v>338553.7</v>
      </c>
      <c r="AF9" s="9">
        <v>338553.7</v>
      </c>
      <c r="AK9" s="8" t="s">
        <v>3</v>
      </c>
      <c r="AL9" s="9">
        <v>67710.74000000002</v>
      </c>
      <c r="AM9" s="6"/>
      <c r="AQ9" s="6"/>
      <c r="AR9" s="6"/>
      <c r="AS9" s="6"/>
      <c r="BB9" s="8" t="s">
        <v>38</v>
      </c>
      <c r="BC9" s="9">
        <v>691419.41999999993</v>
      </c>
      <c r="BD9" s="10">
        <v>0.17516183511596176</v>
      </c>
      <c r="BF9" s="4" t="s">
        <v>38</v>
      </c>
      <c r="BG9" s="19">
        <f t="shared" si="5"/>
        <v>691419.41999999993</v>
      </c>
      <c r="BH9" s="20">
        <f t="shared" si="6"/>
        <v>0.17516183511596176</v>
      </c>
    </row>
    <row r="10" spans="1:61" s="4" customFormat="1" ht="13.2" x14ac:dyDescent="0.25">
      <c r="A10" s="6"/>
      <c r="B10" s="6"/>
      <c r="C10" s="8" t="s">
        <v>32</v>
      </c>
      <c r="D10" s="9">
        <v>396733.79999999993</v>
      </c>
      <c r="E10" s="10">
        <v>0.10050718630455727</v>
      </c>
      <c r="F10" s="9">
        <v>12877.76</v>
      </c>
      <c r="G10" s="10">
        <v>1.7637210736786257E-2</v>
      </c>
      <c r="H10" s="6"/>
      <c r="I10" s="6"/>
      <c r="J10" s="6"/>
      <c r="K10" s="6" t="s">
        <v>15</v>
      </c>
      <c r="L10" s="11">
        <v>6</v>
      </c>
      <c r="M10" s="11">
        <v>6</v>
      </c>
      <c r="N10" s="12">
        <f t="shared" si="0"/>
        <v>908441.70000000054</v>
      </c>
      <c r="O10" s="12">
        <f t="shared" si="1"/>
        <v>908441.70000000054</v>
      </c>
      <c r="P10" s="12" t="str">
        <f t="shared" si="2"/>
        <v/>
      </c>
      <c r="Q10" s="12">
        <f t="shared" si="3"/>
        <v>61781.781999999999</v>
      </c>
      <c r="R10" s="14">
        <f t="shared" si="4"/>
        <v>8.4615516116792661E-2</v>
      </c>
      <c r="S10" s="6"/>
      <c r="T10" s="6"/>
      <c r="U10" s="6"/>
      <c r="V10" s="6"/>
      <c r="W10" s="6"/>
      <c r="X10" s="6"/>
      <c r="Y10" s="6"/>
      <c r="Z10" s="6"/>
      <c r="AD10" s="8" t="s">
        <v>4</v>
      </c>
      <c r="AE10" s="13">
        <v>330065.99999999994</v>
      </c>
      <c r="AF10" s="9">
        <v>330065.99999999994</v>
      </c>
      <c r="AK10" s="8" t="s">
        <v>4</v>
      </c>
      <c r="AL10" s="9">
        <v>66013.2</v>
      </c>
      <c r="AM10" s="6"/>
      <c r="AQ10" s="6"/>
      <c r="AR10" s="6"/>
      <c r="AS10" s="6"/>
      <c r="BB10" s="50" t="s">
        <v>31</v>
      </c>
      <c r="BC10" s="9">
        <v>303019.46999999991</v>
      </c>
      <c r="BD10" s="10">
        <v>7.6765917915736462E-2</v>
      </c>
      <c r="BF10" s="4" t="s">
        <v>31</v>
      </c>
      <c r="BG10" s="19">
        <f t="shared" si="5"/>
        <v>303019.46999999991</v>
      </c>
      <c r="BH10" s="20">
        <f t="shared" si="6"/>
        <v>7.6765917915736462E-2</v>
      </c>
    </row>
    <row r="11" spans="1:61" s="4" customFormat="1" ht="13.2" x14ac:dyDescent="0.25">
      <c r="A11" s="6"/>
      <c r="B11" s="6"/>
      <c r="C11" s="8" t="s">
        <v>15</v>
      </c>
      <c r="D11" s="9">
        <v>908441.70000000054</v>
      </c>
      <c r="E11" s="10">
        <v>0.23014151854147236</v>
      </c>
      <c r="F11" s="9">
        <v>61781.781999999999</v>
      </c>
      <c r="G11" s="10">
        <v>8.4615516116792661E-2</v>
      </c>
      <c r="H11" s="6"/>
      <c r="I11" s="6"/>
      <c r="J11" s="6"/>
      <c r="K11" s="6" t="s">
        <v>32</v>
      </c>
      <c r="L11" s="11">
        <v>5</v>
      </c>
      <c r="M11" s="11">
        <v>9</v>
      </c>
      <c r="N11" s="12">
        <f t="shared" si="0"/>
        <v>396733.79999999993</v>
      </c>
      <c r="O11" s="12" t="str">
        <f t="shared" si="1"/>
        <v/>
      </c>
      <c r="P11" s="12">
        <f t="shared" si="2"/>
        <v>396733.79999999993</v>
      </c>
      <c r="Q11" s="12">
        <f t="shared" si="3"/>
        <v>12877.76</v>
      </c>
      <c r="R11" s="14">
        <f t="shared" si="4"/>
        <v>1.7637210736786257E-2</v>
      </c>
      <c r="S11" s="6"/>
      <c r="T11" s="6"/>
      <c r="U11" s="6"/>
      <c r="V11" s="6"/>
      <c r="W11" s="6"/>
      <c r="X11" s="6"/>
      <c r="Y11" s="6"/>
      <c r="Z11" s="6"/>
      <c r="AD11" s="8" t="s">
        <v>5</v>
      </c>
      <c r="AE11" s="13">
        <v>319548.3</v>
      </c>
      <c r="AF11" s="9">
        <v>319548.3</v>
      </c>
      <c r="AK11" s="8" t="s">
        <v>5</v>
      </c>
      <c r="AL11" s="9">
        <v>63909.660000000011</v>
      </c>
      <c r="AM11" s="6"/>
      <c r="AQ11" s="6"/>
      <c r="AR11" s="6"/>
      <c r="AS11" s="6"/>
      <c r="BB11" s="50" t="s">
        <v>30</v>
      </c>
      <c r="BC11" s="9">
        <v>388399.95000000007</v>
      </c>
      <c r="BD11" s="10">
        <v>9.8395917200225322E-2</v>
      </c>
      <c r="BF11" s="4" t="s">
        <v>30</v>
      </c>
      <c r="BG11" s="19">
        <f t="shared" si="5"/>
        <v>388399.95000000007</v>
      </c>
      <c r="BH11" s="20">
        <f t="shared" si="6"/>
        <v>9.8395917200225322E-2</v>
      </c>
    </row>
    <row r="12" spans="1:61" s="4" customFormat="1" ht="13.2" x14ac:dyDescent="0.25">
      <c r="A12" s="6"/>
      <c r="B12" s="6"/>
      <c r="C12" s="8" t="s">
        <v>44</v>
      </c>
      <c r="D12" s="9">
        <v>3947317.7450000006</v>
      </c>
      <c r="E12" s="10">
        <v>1</v>
      </c>
      <c r="F12" s="9">
        <v>730147.19799999997</v>
      </c>
      <c r="G12" s="10">
        <v>1</v>
      </c>
      <c r="H12" s="6"/>
      <c r="I12" s="6"/>
      <c r="J12" s="6"/>
      <c r="K12" s="6"/>
      <c r="L12" s="6"/>
      <c r="M12" s="6"/>
      <c r="N12" s="6"/>
      <c r="O12" s="6"/>
      <c r="P12" s="6"/>
      <c r="Q12" s="6"/>
      <c r="R12" s="6"/>
      <c r="S12" s="6"/>
      <c r="T12" s="6"/>
      <c r="U12" s="6"/>
      <c r="V12" s="6"/>
      <c r="W12" s="6"/>
      <c r="X12" s="6"/>
      <c r="Y12" s="6"/>
      <c r="Z12" s="6"/>
      <c r="AD12" s="8" t="s">
        <v>6</v>
      </c>
      <c r="AE12" s="13">
        <v>315915.8</v>
      </c>
      <c r="AF12" s="9">
        <v>315915.8</v>
      </c>
      <c r="AK12" s="8" t="s">
        <v>6</v>
      </c>
      <c r="AL12" s="9">
        <v>63183.160000000011</v>
      </c>
      <c r="AM12" s="6"/>
      <c r="AQ12" s="6"/>
      <c r="AR12" s="6"/>
      <c r="AS12" s="6"/>
      <c r="BB12" s="8" t="s">
        <v>13</v>
      </c>
      <c r="BC12" s="9">
        <v>307374.01000000024</v>
      </c>
      <c r="BD12" s="10">
        <v>7.7869082211419555E-2</v>
      </c>
      <c r="BF12" s="4" t="s">
        <v>13</v>
      </c>
      <c r="BG12" s="19">
        <f t="shared" si="5"/>
        <v>307374.01000000024</v>
      </c>
      <c r="BH12" s="20">
        <f t="shared" si="6"/>
        <v>7.7869082211419555E-2</v>
      </c>
    </row>
    <row r="13" spans="1:61" s="4" customFormat="1" ht="13.2" x14ac:dyDescent="0.25">
      <c r="A13" s="6"/>
      <c r="B13" s="6"/>
      <c r="C13" s="6"/>
      <c r="D13" s="6"/>
      <c r="E13" s="6"/>
      <c r="F13" s="6"/>
      <c r="G13" s="6"/>
      <c r="H13" s="6"/>
      <c r="I13" s="6"/>
      <c r="J13" s="6"/>
      <c r="K13" s="6"/>
      <c r="L13" s="6"/>
      <c r="M13" s="6"/>
      <c r="N13" s="6"/>
      <c r="O13" s="6"/>
      <c r="P13" s="6"/>
      <c r="Q13" s="6"/>
      <c r="R13" s="6"/>
      <c r="S13" s="6"/>
      <c r="T13" s="6"/>
      <c r="U13" s="6"/>
      <c r="V13" s="6"/>
      <c r="W13" s="6"/>
      <c r="X13" s="6"/>
      <c r="Y13" s="6"/>
      <c r="Z13" s="6"/>
      <c r="AD13" s="8" t="s">
        <v>7</v>
      </c>
      <c r="AE13" s="13">
        <v>327116.43</v>
      </c>
      <c r="AF13" s="9">
        <v>327116.43</v>
      </c>
      <c r="AK13" s="8" t="s">
        <v>7</v>
      </c>
      <c r="AL13" s="9">
        <v>65423.286</v>
      </c>
      <c r="AM13" s="6"/>
      <c r="AQ13" s="6"/>
      <c r="AR13" s="6"/>
      <c r="AS13" s="6"/>
      <c r="AY13" s="4" t="s">
        <v>62</v>
      </c>
      <c r="BB13" s="50" t="s">
        <v>35</v>
      </c>
      <c r="BC13" s="9">
        <v>282870.96000000025</v>
      </c>
      <c r="BD13" s="10">
        <v>7.1661563186370819E-2</v>
      </c>
      <c r="BF13" s="4" t="s">
        <v>35</v>
      </c>
      <c r="BG13" s="19">
        <f t="shared" si="5"/>
        <v>282870.96000000025</v>
      </c>
      <c r="BH13" s="20">
        <f t="shared" si="6"/>
        <v>7.1661563186370819E-2</v>
      </c>
    </row>
    <row r="14" spans="1:61" s="4" customFormat="1" ht="13.2" x14ac:dyDescent="0.25">
      <c r="A14" s="6"/>
      <c r="B14" s="6"/>
      <c r="C14" s="6"/>
      <c r="D14" s="6"/>
      <c r="E14" s="6"/>
      <c r="F14" s="6"/>
      <c r="G14" s="6"/>
      <c r="H14" s="6"/>
      <c r="I14" s="6"/>
      <c r="J14" s="6"/>
      <c r="K14" s="6"/>
      <c r="L14" s="6"/>
      <c r="M14" s="6"/>
      <c r="N14" s="6"/>
      <c r="O14" s="6"/>
      <c r="P14" s="6"/>
      <c r="Q14" s="6"/>
      <c r="R14" s="6"/>
      <c r="S14" s="6"/>
      <c r="T14" s="6"/>
      <c r="U14" s="6"/>
      <c r="V14" s="6"/>
      <c r="W14" s="6"/>
      <c r="X14" s="6"/>
      <c r="Y14" s="6"/>
      <c r="Z14" s="6"/>
      <c r="AD14" s="8" t="s">
        <v>8</v>
      </c>
      <c r="AE14" s="13">
        <v>325310.86500000005</v>
      </c>
      <c r="AF14" s="9">
        <v>325310.86500000005</v>
      </c>
      <c r="AK14" s="8" t="s">
        <v>8</v>
      </c>
      <c r="AL14" s="9">
        <v>65062.173000000003</v>
      </c>
      <c r="AM14" s="6"/>
      <c r="AQ14" s="6"/>
      <c r="AR14" s="6"/>
      <c r="AS14" s="6"/>
      <c r="BB14" s="50" t="s">
        <v>34</v>
      </c>
      <c r="BC14" s="9">
        <v>15716.3</v>
      </c>
      <c r="BD14" s="10">
        <v>3.9815137810751541E-3</v>
      </c>
      <c r="BF14" s="4" t="s">
        <v>34</v>
      </c>
      <c r="BG14" s="19">
        <f t="shared" si="5"/>
        <v>15716.3</v>
      </c>
      <c r="BH14" s="20">
        <f t="shared" si="6"/>
        <v>3.9815137810751541E-3</v>
      </c>
    </row>
    <row r="15" spans="1:61" s="4" customFormat="1" ht="13.2" x14ac:dyDescent="0.25">
      <c r="A15" s="6"/>
      <c r="B15" s="6"/>
      <c r="C15" s="6"/>
      <c r="D15" s="6"/>
      <c r="E15" s="6"/>
      <c r="F15" s="6"/>
      <c r="G15" s="6"/>
      <c r="H15" s="6"/>
      <c r="I15" s="6"/>
      <c r="J15" s="6"/>
      <c r="K15" s="6"/>
      <c r="L15" s="6"/>
      <c r="M15" s="6"/>
      <c r="N15" s="6"/>
      <c r="O15" s="6"/>
      <c r="P15" s="6"/>
      <c r="Q15" s="6"/>
      <c r="R15" s="6"/>
      <c r="S15" s="6"/>
      <c r="T15" s="6"/>
      <c r="U15" s="6"/>
      <c r="V15" s="6"/>
      <c r="W15" s="6"/>
      <c r="X15" s="6"/>
      <c r="Y15" s="6"/>
      <c r="Z15" s="6"/>
      <c r="AD15" s="8" t="s">
        <v>9</v>
      </c>
      <c r="AE15" s="13">
        <v>333009.73000000004</v>
      </c>
      <c r="AF15" s="9">
        <v>333009.73000000004</v>
      </c>
      <c r="AK15" s="8" t="s">
        <v>9</v>
      </c>
      <c r="AL15" s="9">
        <v>66601.945999999996</v>
      </c>
      <c r="AM15" s="6"/>
      <c r="AQ15" s="6"/>
      <c r="AR15" s="6"/>
      <c r="AS15" s="6"/>
      <c r="BB15" s="50" t="s">
        <v>33</v>
      </c>
      <c r="BC15" s="9">
        <v>8786.75</v>
      </c>
      <c r="BD15" s="10">
        <v>2.2260052439735888E-3</v>
      </c>
      <c r="BF15" s="4" t="s">
        <v>33</v>
      </c>
      <c r="BG15" s="19">
        <f t="shared" si="5"/>
        <v>8786.75</v>
      </c>
      <c r="BH15" s="20">
        <f t="shared" si="6"/>
        <v>2.2260052439735888E-3</v>
      </c>
    </row>
    <row r="16" spans="1:61" s="4" customFormat="1" ht="13.2" x14ac:dyDescent="0.25">
      <c r="A16" s="6"/>
      <c r="B16" s="6"/>
      <c r="C16" s="6"/>
      <c r="D16" s="6"/>
      <c r="E16" s="6"/>
      <c r="F16" s="6"/>
      <c r="G16" s="6"/>
      <c r="H16" s="6"/>
      <c r="I16" s="6"/>
      <c r="J16" s="6"/>
      <c r="K16" s="6"/>
      <c r="L16" s="6"/>
      <c r="M16" s="6"/>
      <c r="N16" s="6"/>
      <c r="O16" s="6"/>
      <c r="P16" s="6"/>
      <c r="Q16" s="6"/>
      <c r="R16" s="6"/>
      <c r="S16" s="6"/>
      <c r="T16" s="6"/>
      <c r="U16" s="6"/>
      <c r="V16" s="6"/>
      <c r="W16" s="6"/>
      <c r="X16" s="6"/>
      <c r="Y16" s="6"/>
      <c r="Z16" s="6"/>
      <c r="AD16" s="8" t="s">
        <v>10</v>
      </c>
      <c r="AE16" s="13">
        <v>350094.08000000002</v>
      </c>
      <c r="AF16" s="9">
        <v>350094.08000000002</v>
      </c>
      <c r="AK16" s="8" t="s">
        <v>10</v>
      </c>
      <c r="AL16" s="9">
        <v>70018.816000000021</v>
      </c>
      <c r="AM16" s="6"/>
      <c r="AQ16" s="6"/>
      <c r="AR16" s="6"/>
      <c r="AS16" s="6"/>
      <c r="BB16" s="8" t="s">
        <v>14</v>
      </c>
      <c r="BC16" s="9">
        <v>776132.81499999971</v>
      </c>
      <c r="BD16" s="10">
        <v>0.19662283736421118</v>
      </c>
      <c r="BF16" s="4" t="s">
        <v>14</v>
      </c>
      <c r="BG16" s="19">
        <f t="shared" si="5"/>
        <v>776132.81499999971</v>
      </c>
      <c r="BH16" s="20">
        <f t="shared" si="6"/>
        <v>0.19662283736421118</v>
      </c>
    </row>
    <row r="17" spans="1:60" s="4" customFormat="1" ht="13.2"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D17" s="8" t="s">
        <v>11</v>
      </c>
      <c r="AE17" s="13">
        <v>315915.8</v>
      </c>
      <c r="AF17" s="9">
        <v>315915.8</v>
      </c>
      <c r="AK17" s="8" t="s">
        <v>11</v>
      </c>
      <c r="AL17" s="9">
        <v>63183.160000000011</v>
      </c>
      <c r="AM17" s="6"/>
      <c r="AQ17" s="6"/>
      <c r="AR17" s="6"/>
      <c r="AS17" s="6"/>
      <c r="BB17" s="50" t="s">
        <v>37</v>
      </c>
      <c r="BC17" s="9">
        <v>494400</v>
      </c>
      <c r="BD17" s="10">
        <v>0.12524960794611684</v>
      </c>
      <c r="BF17" s="4" t="s">
        <v>37</v>
      </c>
      <c r="BG17" s="19">
        <f t="shared" si="5"/>
        <v>494400</v>
      </c>
      <c r="BH17" s="20">
        <f t="shared" si="6"/>
        <v>0.12524960794611684</v>
      </c>
    </row>
    <row r="18" spans="1:60" s="4" customFormat="1" ht="13.2"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D18" s="8" t="s">
        <v>44</v>
      </c>
      <c r="AE18" s="13">
        <v>3947317.7450000001</v>
      </c>
      <c r="AF18" s="9">
        <v>3947317.7450000001</v>
      </c>
      <c r="AK18" s="8" t="s">
        <v>44</v>
      </c>
      <c r="AL18" s="9">
        <v>789463.54900000012</v>
      </c>
      <c r="AM18" s="6"/>
      <c r="AQ18" s="6"/>
      <c r="AR18" s="6"/>
      <c r="AS18" s="6"/>
      <c r="BB18" s="50" t="s">
        <v>36</v>
      </c>
      <c r="BC18" s="9">
        <v>281732.81499999971</v>
      </c>
      <c r="BD18" s="10">
        <v>7.1373229418094319E-2</v>
      </c>
      <c r="BF18" s="4" t="s">
        <v>36</v>
      </c>
      <c r="BG18" s="19">
        <f t="shared" si="5"/>
        <v>281732.81499999971</v>
      </c>
      <c r="BH18" s="20">
        <f t="shared" si="6"/>
        <v>7.1373229418094319E-2</v>
      </c>
    </row>
    <row r="19" spans="1:60" s="4" customFormat="1" ht="13.2" x14ac:dyDescent="0.25">
      <c r="A19" s="6"/>
      <c r="B19" s="6"/>
      <c r="C19" s="6"/>
      <c r="D19" s="6"/>
      <c r="E19" s="6"/>
      <c r="F19" s="6"/>
      <c r="G19" s="6"/>
      <c r="H19" s="6"/>
      <c r="I19" s="6"/>
      <c r="J19" s="6"/>
      <c r="K19" s="6"/>
      <c r="L19" s="6"/>
      <c r="M19" s="6"/>
      <c r="N19" s="6"/>
      <c r="O19" s="6"/>
      <c r="P19" s="6"/>
      <c r="Q19" s="6"/>
      <c r="R19" s="6"/>
      <c r="S19" s="6"/>
      <c r="T19" s="6"/>
      <c r="U19" s="6"/>
      <c r="V19" s="6"/>
      <c r="W19" s="6"/>
      <c r="X19" s="6"/>
      <c r="Y19" s="6"/>
      <c r="Z19" s="6"/>
      <c r="AQ19" s="6"/>
      <c r="AR19" s="6"/>
      <c r="AS19" s="6"/>
      <c r="BB19" s="8" t="s">
        <v>32</v>
      </c>
      <c r="BC19" s="9">
        <v>396733.79999999993</v>
      </c>
      <c r="BD19" s="10">
        <v>0.10050718630455729</v>
      </c>
      <c r="BF19" s="4" t="s">
        <v>32</v>
      </c>
      <c r="BG19" s="19">
        <f t="shared" si="5"/>
        <v>396733.79999999993</v>
      </c>
      <c r="BH19" s="20">
        <f t="shared" si="6"/>
        <v>0.10050718630455729</v>
      </c>
    </row>
    <row r="20" spans="1:60" s="4" customFormat="1" ht="13.2" x14ac:dyDescent="0.25">
      <c r="A20" s="6"/>
      <c r="B20" s="6"/>
      <c r="C20" s="6"/>
      <c r="D20" s="6"/>
      <c r="E20" s="6"/>
      <c r="F20" s="6"/>
      <c r="G20" s="6"/>
      <c r="H20" s="6"/>
      <c r="I20" s="6"/>
      <c r="J20" s="6"/>
      <c r="K20" s="6"/>
      <c r="L20" s="6"/>
      <c r="M20" s="6"/>
      <c r="N20" s="6"/>
      <c r="O20" s="6"/>
      <c r="P20" s="6"/>
      <c r="Q20" s="6"/>
      <c r="R20" s="6"/>
      <c r="S20" s="6"/>
      <c r="T20" s="6"/>
      <c r="U20" s="6"/>
      <c r="V20" s="6"/>
      <c r="W20" s="6"/>
      <c r="X20" s="6"/>
      <c r="Y20" s="6"/>
      <c r="Z20" s="6"/>
      <c r="AQ20" s="6"/>
      <c r="AR20" s="6"/>
      <c r="AS20" s="6"/>
      <c r="BB20" s="50" t="s">
        <v>32</v>
      </c>
      <c r="BC20" s="9">
        <v>396733.79999999993</v>
      </c>
      <c r="BD20" s="10">
        <v>0.10050718630455729</v>
      </c>
      <c r="BF20" s="4" t="s">
        <v>32</v>
      </c>
      <c r="BG20" s="19">
        <f t="shared" si="5"/>
        <v>396733.79999999993</v>
      </c>
      <c r="BH20" s="20">
        <f t="shared" si="6"/>
        <v>0.10050718630455729</v>
      </c>
    </row>
    <row r="21" spans="1:60" s="4" customFormat="1" ht="13.2"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Q21" s="6"/>
      <c r="AR21" s="6"/>
      <c r="AS21" s="6"/>
      <c r="BB21" s="8" t="s">
        <v>15</v>
      </c>
      <c r="BC21" s="9">
        <v>908441.7</v>
      </c>
      <c r="BD21" s="10">
        <v>0.23014151854147227</v>
      </c>
      <c r="BF21" s="4" t="s">
        <v>15</v>
      </c>
      <c r="BG21" s="19">
        <f t="shared" si="5"/>
        <v>908441.7</v>
      </c>
      <c r="BH21" s="20">
        <f t="shared" si="6"/>
        <v>0.23014151854147227</v>
      </c>
    </row>
    <row r="22" spans="1:60" s="4" customFormat="1" ht="13.2"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Q22" s="6"/>
      <c r="AR22" s="6"/>
      <c r="AS22" s="6"/>
      <c r="BB22" s="50" t="s">
        <v>25</v>
      </c>
      <c r="BC22" s="9">
        <v>9720</v>
      </c>
      <c r="BD22" s="10">
        <v>2.4624316125328796E-3</v>
      </c>
      <c r="BF22" s="4" t="s">
        <v>25</v>
      </c>
      <c r="BG22" s="19">
        <f t="shared" si="5"/>
        <v>9720</v>
      </c>
      <c r="BH22" s="20">
        <f t="shared" si="6"/>
        <v>2.4624316125328796E-3</v>
      </c>
    </row>
    <row r="23" spans="1:60" s="4" customFormat="1" ht="13.2" x14ac:dyDescent="0.25">
      <c r="A23" s="70" t="s">
        <v>70</v>
      </c>
      <c r="B23" s="70"/>
      <c r="C23" s="6"/>
      <c r="D23" s="6"/>
      <c r="E23" s="6"/>
      <c r="F23" s="6"/>
      <c r="G23" s="6"/>
      <c r="H23" s="6"/>
      <c r="I23" s="6"/>
      <c r="J23" s="6"/>
      <c r="K23" s="6"/>
      <c r="L23" s="6"/>
      <c r="M23" s="6"/>
      <c r="N23" s="6"/>
      <c r="O23" s="6"/>
      <c r="P23" s="6"/>
      <c r="Q23" s="6"/>
      <c r="R23" s="6"/>
      <c r="S23" s="6"/>
      <c r="T23" s="6"/>
      <c r="U23" s="6"/>
      <c r="V23" s="6"/>
      <c r="W23" s="6"/>
      <c r="X23" s="6"/>
      <c r="Y23" s="6"/>
      <c r="Z23" s="6"/>
      <c r="BB23" s="50" t="s">
        <v>26</v>
      </c>
      <c r="BC23" s="9">
        <v>223825.08000000016</v>
      </c>
      <c r="BD23" s="10">
        <v>5.6703081550380785E-2</v>
      </c>
      <c r="BF23" s="4" t="s">
        <v>26</v>
      </c>
      <c r="BG23" s="19">
        <f t="shared" si="5"/>
        <v>223825.08000000016</v>
      </c>
      <c r="BH23" s="20">
        <f t="shared" si="6"/>
        <v>5.6703081550380785E-2</v>
      </c>
    </row>
    <row r="24" spans="1:60" s="4" customFormat="1" ht="13.2" x14ac:dyDescent="0.25">
      <c r="A24" s="6"/>
      <c r="B24" s="6"/>
      <c r="C24" s="6"/>
      <c r="D24" s="6"/>
      <c r="E24" s="6"/>
      <c r="F24" s="6"/>
      <c r="G24" s="6"/>
      <c r="H24" s="6"/>
      <c r="I24" s="6"/>
      <c r="J24" s="6"/>
      <c r="K24" s="6"/>
      <c r="L24" s="6"/>
      <c r="M24" s="6"/>
      <c r="N24" s="6"/>
      <c r="O24" s="6"/>
      <c r="P24" s="6"/>
      <c r="Q24" s="6"/>
      <c r="R24" s="6"/>
      <c r="S24" s="6"/>
      <c r="T24" s="6"/>
      <c r="U24" s="6"/>
      <c r="V24" s="6"/>
      <c r="W24" s="6"/>
      <c r="X24" s="6"/>
      <c r="Y24" s="6"/>
      <c r="Z24" s="6"/>
      <c r="BB24" s="50" t="s">
        <v>24</v>
      </c>
      <c r="BC24" s="9">
        <v>221979.65000000005</v>
      </c>
      <c r="BD24" s="10">
        <v>5.623556661512185E-2</v>
      </c>
      <c r="BF24" s="4" t="s">
        <v>24</v>
      </c>
      <c r="BG24" s="19">
        <f t="shared" si="5"/>
        <v>221979.65000000005</v>
      </c>
      <c r="BH24" s="20">
        <f t="shared" si="6"/>
        <v>5.623556661512185E-2</v>
      </c>
    </row>
    <row r="25" spans="1:60" s="4" customFormat="1" ht="13.2" x14ac:dyDescent="0.25">
      <c r="C25" s="5" t="s">
        <v>43</v>
      </c>
      <c r="D25" s="6" t="s">
        <v>71</v>
      </c>
      <c r="E25" s="6" t="s">
        <v>72</v>
      </c>
      <c r="L25" s="6" t="s">
        <v>71</v>
      </c>
      <c r="M25" s="6" t="s">
        <v>74</v>
      </c>
      <c r="N25" s="6"/>
      <c r="O25" s="25" t="s">
        <v>75</v>
      </c>
      <c r="P25" s="25" t="s">
        <v>76</v>
      </c>
      <c r="R25" s="25" t="s">
        <v>47</v>
      </c>
      <c r="S25" s="25" t="s">
        <v>48</v>
      </c>
      <c r="V25" s="25" t="s">
        <v>79</v>
      </c>
      <c r="W25" s="25" t="s">
        <v>80</v>
      </c>
      <c r="X25" s="25" t="s">
        <v>81</v>
      </c>
      <c r="Y25" s="25" t="s">
        <v>82</v>
      </c>
      <c r="Z25" s="34">
        <v>1</v>
      </c>
      <c r="BB25" s="50" t="s">
        <v>27</v>
      </c>
      <c r="BC25" s="9">
        <v>228653.76999999987</v>
      </c>
      <c r="BD25" s="10">
        <v>5.7926365388150401E-2</v>
      </c>
      <c r="BF25" s="4" t="s">
        <v>27</v>
      </c>
      <c r="BG25" s="19">
        <f t="shared" si="5"/>
        <v>228653.76999999987</v>
      </c>
      <c r="BH25" s="20">
        <f t="shared" si="6"/>
        <v>5.7926365388150401E-2</v>
      </c>
    </row>
    <row r="26" spans="1:60" s="4" customFormat="1" ht="13.2" x14ac:dyDescent="0.25">
      <c r="C26" s="53" t="s">
        <v>64</v>
      </c>
      <c r="D26" s="54">
        <v>1467760</v>
      </c>
      <c r="E26" s="55">
        <v>0.27687357862156287</v>
      </c>
      <c r="G26" s="22" t="s">
        <v>73</v>
      </c>
      <c r="I26" s="28" t="s">
        <v>64</v>
      </c>
      <c r="J26" s="20">
        <f>VLOOKUP(I26,$C$26:$E$31,3,0)</f>
        <v>0.27687357862156287</v>
      </c>
      <c r="K26" s="29">
        <f>VLOOKUP(I26,$C$26:$D$31,2,0)</f>
        <v>1467760</v>
      </c>
      <c r="L26" s="9">
        <v>5301192</v>
      </c>
      <c r="M26" s="9">
        <v>7583085.4799999995</v>
      </c>
      <c r="N26" s="6"/>
      <c r="O26" s="23">
        <f>1-P26</f>
        <v>0.30091886554864467</v>
      </c>
      <c r="P26" s="24">
        <f>GETPIVOTDATA("Sum of Amount",$L$25)/GETPIVOTDATA("Sum of Target",$L$25)</f>
        <v>0.69908113445135533</v>
      </c>
      <c r="R26" s="26">
        <v>0</v>
      </c>
      <c r="S26" s="26">
        <v>1</v>
      </c>
      <c r="V26" s="30">
        <v>9.1999999999999998E-2</v>
      </c>
      <c r="W26" s="31">
        <v>7.3999999999999996E-2</v>
      </c>
      <c r="X26" s="31">
        <v>6.2E-2</v>
      </c>
      <c r="Y26" s="32">
        <f>SUM(V26:X26)</f>
        <v>0.22799999999999998</v>
      </c>
      <c r="Z26" s="32">
        <f>1-Y26</f>
        <v>0.77200000000000002</v>
      </c>
      <c r="BB26" s="50" t="s">
        <v>23</v>
      </c>
      <c r="BC26" s="9">
        <v>224263.19999999978</v>
      </c>
      <c r="BD26" s="10">
        <v>5.6814073375286336E-2</v>
      </c>
      <c r="BF26" s="4" t="s">
        <v>23</v>
      </c>
      <c r="BG26" s="19">
        <f t="shared" si="5"/>
        <v>224263.19999999978</v>
      </c>
      <c r="BH26" s="20">
        <f t="shared" si="6"/>
        <v>5.6814073375286336E-2</v>
      </c>
    </row>
    <row r="27" spans="1:60" s="6" customFormat="1" ht="13.2" x14ac:dyDescent="0.25">
      <c r="C27" s="53" t="s">
        <v>65</v>
      </c>
      <c r="D27" s="54">
        <v>1061368</v>
      </c>
      <c r="E27" s="55">
        <v>0.20021308415163985</v>
      </c>
      <c r="G27" s="21">
        <f>GETPIVOTDATA("Sum of Amount",$C$25)</f>
        <v>5301192</v>
      </c>
      <c r="I27" s="28" t="s">
        <v>65</v>
      </c>
      <c r="J27" s="20">
        <f t="shared" ref="J27:J31" si="7">VLOOKUP(I27,$C$26:$E$31,3,0)</f>
        <v>0.20021308415163985</v>
      </c>
      <c r="K27" s="29">
        <f t="shared" ref="K27:K31" si="8">VLOOKUP(I27,$C$26:$D$31,2,0)</f>
        <v>1061368</v>
      </c>
      <c r="R27" s="11">
        <f>SIN(O26*2*PI())</f>
        <v>0.94925659636614379</v>
      </c>
      <c r="S27" s="11">
        <f>COS(P26*2*PI())</f>
        <v>-0.31450264586385251</v>
      </c>
      <c r="V27" s="33">
        <f>V26*$G$27</f>
        <v>487709.66399999999</v>
      </c>
      <c r="W27" s="33">
        <f t="shared" ref="W27:Y27" si="9">W26*$G$27</f>
        <v>392288.20799999998</v>
      </c>
      <c r="X27" s="33">
        <f t="shared" si="9"/>
        <v>328673.90399999998</v>
      </c>
      <c r="Y27" s="33">
        <f t="shared" si="9"/>
        <v>1208671.7759999998</v>
      </c>
      <c r="BB27" s="8" t="s">
        <v>44</v>
      </c>
      <c r="BC27" s="9">
        <v>3947317.7449999996</v>
      </c>
      <c r="BD27" s="10">
        <v>1</v>
      </c>
    </row>
    <row r="28" spans="1:60" s="6" customFormat="1" ht="13.2" x14ac:dyDescent="0.25">
      <c r="C28" s="53" t="s">
        <v>66</v>
      </c>
      <c r="D28" s="54">
        <v>939036</v>
      </c>
      <c r="E28" s="55">
        <v>0.17713676471254011</v>
      </c>
      <c r="I28" s="28" t="s">
        <v>66</v>
      </c>
      <c r="J28" s="20">
        <f t="shared" si="7"/>
        <v>0.17713676471254011</v>
      </c>
      <c r="K28" s="29">
        <f t="shared" si="8"/>
        <v>939036</v>
      </c>
    </row>
    <row r="29" spans="1:60" s="6" customFormat="1" ht="13.2" x14ac:dyDescent="0.25">
      <c r="C29" s="53" t="s">
        <v>67</v>
      </c>
      <c r="D29" s="54">
        <v>792892</v>
      </c>
      <c r="E29" s="55">
        <v>0.14956862532049395</v>
      </c>
      <c r="I29" s="28" t="s">
        <v>67</v>
      </c>
      <c r="J29" s="20">
        <f t="shared" si="7"/>
        <v>0.14956862532049395</v>
      </c>
      <c r="K29" s="29">
        <f t="shared" si="8"/>
        <v>792892</v>
      </c>
    </row>
    <row r="30" spans="1:60" s="6" customFormat="1" ht="13.2" x14ac:dyDescent="0.25">
      <c r="C30" s="53" t="s">
        <v>69</v>
      </c>
      <c r="D30" s="54">
        <v>523248</v>
      </c>
      <c r="E30" s="55">
        <v>9.8703838683828093E-2</v>
      </c>
      <c r="I30" s="28" t="s">
        <v>69</v>
      </c>
      <c r="J30" s="20">
        <f t="shared" si="7"/>
        <v>9.8703838683828093E-2</v>
      </c>
      <c r="K30" s="29">
        <f t="shared" si="8"/>
        <v>523248</v>
      </c>
    </row>
    <row r="31" spans="1:60" s="6" customFormat="1" ht="13.2" x14ac:dyDescent="0.25">
      <c r="C31" s="53" t="s">
        <v>68</v>
      </c>
      <c r="D31" s="54">
        <v>516888</v>
      </c>
      <c r="E31" s="55">
        <v>9.7504108509935128E-2</v>
      </c>
      <c r="I31" s="28" t="s">
        <v>68</v>
      </c>
      <c r="J31" s="20">
        <f t="shared" si="7"/>
        <v>9.7504108509935128E-2</v>
      </c>
      <c r="K31" s="29">
        <f t="shared" si="8"/>
        <v>516888</v>
      </c>
    </row>
    <row r="32" spans="1:60" s="6" customFormat="1" ht="13.2" x14ac:dyDescent="0.25">
      <c r="C32" s="8" t="s">
        <v>44</v>
      </c>
      <c r="D32" s="9">
        <v>5301192</v>
      </c>
      <c r="E32" s="10">
        <v>1</v>
      </c>
    </row>
    <row r="33" spans="1:61"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row>
    <row r="34" spans="1:61" x14ac:dyDescent="0.3">
      <c r="A34" s="6"/>
      <c r="B34" s="6"/>
      <c r="C34" s="56"/>
      <c r="D34" s="71" t="s">
        <v>77</v>
      </c>
      <c r="E34" s="71"/>
      <c r="F34" s="71" t="s">
        <v>78</v>
      </c>
      <c r="G34" s="72"/>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row>
    <row r="35" spans="1:61" x14ac:dyDescent="0.3">
      <c r="A35" s="6"/>
      <c r="B35" s="6"/>
      <c r="C35" s="51" t="s">
        <v>64</v>
      </c>
      <c r="D35" s="57" t="str">
        <f>IF(C35=$C$26,"•","")</f>
        <v>•</v>
      </c>
      <c r="E35" s="58" t="str">
        <f>IF(C35=$C$26,"•","")</f>
        <v>•</v>
      </c>
      <c r="F35" s="59" t="str">
        <f>IF(C35=$C$26,"","•")</f>
        <v/>
      </c>
      <c r="G35" s="60" t="str">
        <f>IF(C35=$C$26,"","•")</f>
        <v/>
      </c>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row>
    <row r="36" spans="1:61" x14ac:dyDescent="0.3">
      <c r="A36" s="6"/>
      <c r="B36" s="6"/>
      <c r="C36" s="51" t="s">
        <v>65</v>
      </c>
      <c r="D36" s="57" t="str">
        <f t="shared" ref="D36:D40" si="10">IF(C36=$C$26,"•","")</f>
        <v/>
      </c>
      <c r="E36" s="58" t="str">
        <f t="shared" ref="E36:E40" si="11">IF(C36=$C$26,"•","")</f>
        <v/>
      </c>
      <c r="F36" s="59" t="str">
        <f t="shared" ref="F36:F40" si="12">IF(C36=$C$26,"","•")</f>
        <v>•</v>
      </c>
      <c r="G36" s="60" t="str">
        <f t="shared" ref="G36:G40" si="13">IF(C36=$C$26,"","•")</f>
        <v>•</v>
      </c>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row>
    <row r="37" spans="1:61" x14ac:dyDescent="0.3">
      <c r="A37" s="6"/>
      <c r="B37" s="6"/>
      <c r="C37" s="51" t="s">
        <v>66</v>
      </c>
      <c r="D37" s="57" t="str">
        <f t="shared" si="10"/>
        <v/>
      </c>
      <c r="E37" s="58" t="str">
        <f t="shared" si="11"/>
        <v/>
      </c>
      <c r="F37" s="59" t="str">
        <f t="shared" si="12"/>
        <v>•</v>
      </c>
      <c r="G37" s="60" t="str">
        <f t="shared" si="13"/>
        <v>•</v>
      </c>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row>
    <row r="38" spans="1:61" x14ac:dyDescent="0.3">
      <c r="A38" s="6"/>
      <c r="B38" s="6"/>
      <c r="C38" s="51" t="s">
        <v>67</v>
      </c>
      <c r="D38" s="57" t="str">
        <f t="shared" si="10"/>
        <v/>
      </c>
      <c r="E38" s="58" t="str">
        <f t="shared" si="11"/>
        <v/>
      </c>
      <c r="F38" s="59" t="str">
        <f t="shared" si="12"/>
        <v>•</v>
      </c>
      <c r="G38" s="60" t="str">
        <f t="shared" si="13"/>
        <v>•</v>
      </c>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row>
    <row r="39" spans="1:61" x14ac:dyDescent="0.3">
      <c r="A39" s="6"/>
      <c r="B39" s="6"/>
      <c r="C39" s="51" t="s">
        <v>69</v>
      </c>
      <c r="D39" s="57" t="str">
        <f t="shared" si="10"/>
        <v/>
      </c>
      <c r="E39" s="58" t="str">
        <f t="shared" si="11"/>
        <v/>
      </c>
      <c r="F39" s="59" t="str">
        <f t="shared" si="12"/>
        <v>•</v>
      </c>
      <c r="G39" s="60" t="str">
        <f t="shared" si="13"/>
        <v>•</v>
      </c>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row>
    <row r="40" spans="1:61" x14ac:dyDescent="0.3">
      <c r="A40" s="6"/>
      <c r="B40" s="6"/>
      <c r="C40" s="52" t="s">
        <v>68</v>
      </c>
      <c r="D40" s="57" t="str">
        <f t="shared" si="10"/>
        <v/>
      </c>
      <c r="E40" s="58" t="str">
        <f t="shared" si="11"/>
        <v/>
      </c>
      <c r="F40" s="59" t="str">
        <f t="shared" si="12"/>
        <v>•</v>
      </c>
      <c r="G40" s="60" t="str">
        <f t="shared" si="13"/>
        <v>•</v>
      </c>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row>
    <row r="41" spans="1:6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row>
    <row r="42" spans="1:61"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row>
    <row r="43" spans="1:61"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row>
    <row r="44" spans="1:61"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row>
    <row r="45" spans="1:61" x14ac:dyDescent="0.3">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row>
    <row r="46" spans="1:61" x14ac:dyDescent="0.3">
      <c r="A46" s="70" t="s">
        <v>108</v>
      </c>
      <c r="B46" s="70"/>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row>
    <row r="47" spans="1:61" x14ac:dyDescent="0.3">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row>
    <row r="48" spans="1:61" x14ac:dyDescent="0.3">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row>
    <row r="49" spans="1:61" x14ac:dyDescent="0.3">
      <c r="A49" s="6"/>
      <c r="B49" s="6"/>
      <c r="C49" s="6" t="s">
        <v>71</v>
      </c>
      <c r="D49" s="6" t="s">
        <v>74</v>
      </c>
      <c r="E49" s="6"/>
      <c r="F49" s="61" t="s">
        <v>109</v>
      </c>
      <c r="G49" s="62" t="s">
        <v>53</v>
      </c>
      <c r="H49" s="6"/>
      <c r="I49" s="63" t="s">
        <v>110</v>
      </c>
      <c r="J49" s="6"/>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row>
    <row r="50" spans="1:61" x14ac:dyDescent="0.3">
      <c r="A50" s="6"/>
      <c r="B50" s="6"/>
      <c r="C50" s="13">
        <v>1252013</v>
      </c>
      <c r="D50" s="13">
        <v>1741072.229999997</v>
      </c>
      <c r="E50" s="6"/>
      <c r="F50" s="64">
        <f>GETPIVOTDATA("Sum of Amount",$C$49)/GETPIVOTDATA("Sum of Target",$C$49)</f>
        <v>0.71910457155473795</v>
      </c>
      <c r="G50" s="65">
        <f>1-F50</f>
        <v>0.28089542844526205</v>
      </c>
      <c r="H50" s="6"/>
      <c r="I50" s="66">
        <f>G50</f>
        <v>0.28089542844526205</v>
      </c>
      <c r="J50" s="6"/>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row>
    <row r="51" spans="1:61" x14ac:dyDescent="0.3">
      <c r="A51" s="6"/>
      <c r="B51" s="6"/>
      <c r="C51" s="6"/>
      <c r="D51" s="6"/>
      <c r="E51" s="6"/>
      <c r="F51" s="6"/>
      <c r="G51" s="6"/>
      <c r="H51" s="6"/>
      <c r="I51" s="67">
        <f>F50</f>
        <v>0.71910457155473795</v>
      </c>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row>
    <row r="52" spans="1:61" x14ac:dyDescent="0.3">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row>
    <row r="53" spans="1:61" x14ac:dyDescent="0.3">
      <c r="A53" s="6"/>
      <c r="B53" s="6"/>
      <c r="C53" s="6"/>
      <c r="D53" s="6"/>
      <c r="E53" s="6"/>
      <c r="F53" s="61" t="s">
        <v>47</v>
      </c>
      <c r="G53" s="62" t="s">
        <v>48</v>
      </c>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row>
    <row r="54" spans="1:61" x14ac:dyDescent="0.3">
      <c r="A54" s="6"/>
      <c r="B54" s="6"/>
      <c r="C54" s="6"/>
      <c r="D54" s="6"/>
      <c r="E54" s="6"/>
      <c r="F54" s="11">
        <v>0</v>
      </c>
      <c r="G54" s="11">
        <v>1</v>
      </c>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row>
    <row r="55" spans="1:61" x14ac:dyDescent="0.3">
      <c r="A55" s="6"/>
      <c r="B55" s="6"/>
      <c r="C55" s="6"/>
      <c r="D55" s="6"/>
      <c r="E55" s="6"/>
      <c r="F55" s="6">
        <f>SIN(F50*2*PI())</f>
        <v>-0.98121747588135366</v>
      </c>
      <c r="G55" s="6">
        <f>COS(G50*2*PI())</f>
        <v>-0.19290480819571401</v>
      </c>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row>
    <row r="56" spans="1:61" x14ac:dyDescent="0.3">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row>
    <row r="57" spans="1:61" x14ac:dyDescent="0.3">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row>
    <row r="58" spans="1:61" x14ac:dyDescent="0.3">
      <c r="A58" s="6"/>
      <c r="B58" s="6"/>
      <c r="C58" s="5" t="s">
        <v>43</v>
      </c>
      <c r="D58" s="6" t="s">
        <v>111</v>
      </c>
      <c r="E58" s="6"/>
      <c r="F58" s="6"/>
      <c r="G58" s="37" t="s">
        <v>114</v>
      </c>
      <c r="H58" s="37" t="s">
        <v>115</v>
      </c>
      <c r="I58" s="37" t="s">
        <v>116</v>
      </c>
      <c r="J58" s="37" t="s">
        <v>56</v>
      </c>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row>
    <row r="59" spans="1:61" x14ac:dyDescent="0.3">
      <c r="A59" s="6"/>
      <c r="B59" s="6"/>
      <c r="C59" s="8" t="s">
        <v>103</v>
      </c>
      <c r="D59" s="13">
        <v>1619</v>
      </c>
      <c r="E59" s="6"/>
      <c r="F59" s="6" t="s">
        <v>103</v>
      </c>
      <c r="G59" s="47" t="str">
        <f>IF(F59=$C$59,"|","")</f>
        <v>|</v>
      </c>
      <c r="H59" s="47" t="str">
        <f>IF(F59=$C$59,"○","")</f>
        <v>○</v>
      </c>
      <c r="I59" s="47" t="str">
        <f>IF(F59=$C$59,"","●")</f>
        <v/>
      </c>
      <c r="J59" s="6">
        <f>VLOOKUP(F59,$C$58:$D$60,2,0)</f>
        <v>1619</v>
      </c>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row>
    <row r="60" spans="1:61" x14ac:dyDescent="0.3">
      <c r="A60" s="6"/>
      <c r="B60" s="6"/>
      <c r="C60" s="8" t="s">
        <v>91</v>
      </c>
      <c r="D60" s="13">
        <v>1496</v>
      </c>
      <c r="E60" s="6"/>
      <c r="F60" s="6" t="s">
        <v>91</v>
      </c>
      <c r="G60" s="47" t="str">
        <f>IF(F60=$C$59,"|","")</f>
        <v/>
      </c>
      <c r="H60" s="47" t="str">
        <f>IF(F60=$C$59,"○","")</f>
        <v/>
      </c>
      <c r="I60" s="47" t="str">
        <f>IF(F60=$C$59,"","●")</f>
        <v>●</v>
      </c>
      <c r="J60" s="6">
        <f>VLOOKUP(F60,$C$58:$D$60,2,0)</f>
        <v>1496</v>
      </c>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row>
    <row r="61" spans="1:61" x14ac:dyDescent="0.3">
      <c r="A61" s="6"/>
      <c r="B61" s="6"/>
      <c r="C61" s="8" t="s">
        <v>44</v>
      </c>
      <c r="D61" s="13">
        <v>3115</v>
      </c>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row>
    <row r="62" spans="1:61" x14ac:dyDescent="0.3">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row>
    <row r="63" spans="1:61" x14ac:dyDescent="0.3">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row>
    <row r="64" spans="1:61" x14ac:dyDescent="0.3">
      <c r="A64" s="6"/>
      <c r="B64" s="6"/>
      <c r="C64" s="5" t="s">
        <v>43</v>
      </c>
      <c r="D64" s="6" t="s">
        <v>112</v>
      </c>
      <c r="E64" s="6"/>
      <c r="F64" s="6"/>
      <c r="G64" s="37" t="s">
        <v>114</v>
      </c>
      <c r="H64" s="37" t="s">
        <v>115</v>
      </c>
      <c r="I64" s="37" t="s">
        <v>116</v>
      </c>
      <c r="J64" s="37" t="s">
        <v>56</v>
      </c>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row>
    <row r="65" spans="1:61" x14ac:dyDescent="0.3">
      <c r="A65" s="6"/>
      <c r="B65" s="6"/>
      <c r="C65" s="8" t="s">
        <v>92</v>
      </c>
      <c r="D65" s="13">
        <v>1921</v>
      </c>
      <c r="E65" s="6"/>
      <c r="F65" s="6" t="s">
        <v>105</v>
      </c>
      <c r="G65" s="47" t="str">
        <f>IF(F65=$C$65,"|","")</f>
        <v/>
      </c>
      <c r="H65" s="47" t="str">
        <f>IF(F65=$C$65,"○","")</f>
        <v/>
      </c>
      <c r="I65" s="47" t="str">
        <f>IF(F65=$C$65,"","●")</f>
        <v>●</v>
      </c>
      <c r="J65" s="6">
        <f>VLOOKUP(F65,$C$64:$D$66,2,0)</f>
        <v>1194</v>
      </c>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row>
    <row r="66" spans="1:61" x14ac:dyDescent="0.3">
      <c r="A66" s="6"/>
      <c r="B66" s="6"/>
      <c r="C66" s="8" t="s">
        <v>105</v>
      </c>
      <c r="D66" s="13">
        <v>1194</v>
      </c>
      <c r="E66" s="6"/>
      <c r="F66" s="6" t="s">
        <v>92</v>
      </c>
      <c r="G66" s="47" t="str">
        <f>IF(F66=$C$65,"|","")</f>
        <v>|</v>
      </c>
      <c r="H66" s="47" t="str">
        <f>IF(F66=$C$65,"○","")</f>
        <v>○</v>
      </c>
      <c r="I66" s="47" t="str">
        <f>IF(F66=$C$65,"","●")</f>
        <v/>
      </c>
      <c r="J66" s="6">
        <f>VLOOKUP(F66,$C$64:$D$66,2,0)</f>
        <v>1921</v>
      </c>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row>
    <row r="67" spans="1:61" x14ac:dyDescent="0.3">
      <c r="A67" s="6"/>
      <c r="B67" s="6"/>
      <c r="C67" s="8" t="s">
        <v>44</v>
      </c>
      <c r="D67" s="13">
        <v>3115</v>
      </c>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row>
    <row r="68" spans="1:61" x14ac:dyDescent="0.3">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row>
    <row r="69" spans="1:61" x14ac:dyDescent="0.3">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row>
    <row r="70" spans="1:61" x14ac:dyDescent="0.3">
      <c r="A70" s="6"/>
      <c r="B70" s="6"/>
      <c r="C70" s="5" t="s">
        <v>43</v>
      </c>
      <c r="D70" s="6" t="s">
        <v>113</v>
      </c>
      <c r="E70" s="6"/>
      <c r="F70" s="6"/>
      <c r="G70" s="37" t="s">
        <v>114</v>
      </c>
      <c r="H70" s="37" t="s">
        <v>115</v>
      </c>
      <c r="I70" s="37" t="s">
        <v>116</v>
      </c>
      <c r="J70" s="37" t="s">
        <v>56</v>
      </c>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row>
    <row r="71" spans="1:61" x14ac:dyDescent="0.3">
      <c r="A71" s="6"/>
      <c r="B71" s="6"/>
      <c r="C71" s="8" t="s">
        <v>94</v>
      </c>
      <c r="D71" s="13">
        <v>1808</v>
      </c>
      <c r="E71" s="6"/>
      <c r="F71" s="6" t="s">
        <v>102</v>
      </c>
      <c r="G71" s="47" t="str">
        <f>IF(F71=$C$71,"|","")</f>
        <v/>
      </c>
      <c r="H71" s="47" t="str">
        <f>IF(F71=$C$71,"○","")</f>
        <v/>
      </c>
      <c r="I71" s="47" t="str">
        <f>IF(F71=$C$71,"","●")</f>
        <v>●</v>
      </c>
      <c r="J71" s="6">
        <f>VLOOKUP(F71,$C$70:$D$72,2,0)</f>
        <v>1307</v>
      </c>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row>
    <row r="72" spans="1:61" x14ac:dyDescent="0.3">
      <c r="A72" s="6"/>
      <c r="B72" s="6"/>
      <c r="C72" s="8" t="s">
        <v>102</v>
      </c>
      <c r="D72" s="13">
        <v>1307</v>
      </c>
      <c r="E72" s="6"/>
      <c r="F72" s="6" t="s">
        <v>94</v>
      </c>
      <c r="G72" s="47" t="str">
        <f>IF(F72=$C$71,"|","")</f>
        <v>|</v>
      </c>
      <c r="H72" s="47" t="str">
        <f>IF(F72=$C$71,"○","")</f>
        <v>○</v>
      </c>
      <c r="I72" s="47" t="str">
        <f>IF(F72=$C$71,"","●")</f>
        <v/>
      </c>
      <c r="J72" s="6">
        <f>VLOOKUP(F72,$C$70:$D$72,2,0)</f>
        <v>1808</v>
      </c>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row>
    <row r="73" spans="1:61" x14ac:dyDescent="0.3">
      <c r="A73" s="6"/>
      <c r="B73" s="6"/>
      <c r="C73" s="8" t="s">
        <v>44</v>
      </c>
      <c r="D73" s="13">
        <v>3115</v>
      </c>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row>
    <row r="74" spans="1:61" x14ac:dyDescent="0.3">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row>
    <row r="75" spans="1:61" x14ac:dyDescent="0.3">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row>
    <row r="76" spans="1:61" x14ac:dyDescent="0.3">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row>
    <row r="77" spans="1:61" x14ac:dyDescent="0.3">
      <c r="A77" s="6"/>
      <c r="B77" s="6"/>
      <c r="C77" s="6" t="s">
        <v>118</v>
      </c>
      <c r="D77" s="6"/>
      <c r="E77" s="6"/>
      <c r="F77" s="6"/>
      <c r="G77" s="37" t="s">
        <v>119</v>
      </c>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row>
    <row r="78" spans="1:61" x14ac:dyDescent="0.3">
      <c r="A78" s="6"/>
      <c r="B78" s="6"/>
      <c r="C78" s="13">
        <v>3115</v>
      </c>
      <c r="D78" s="6"/>
      <c r="E78" s="6"/>
      <c r="F78" s="6"/>
      <c r="G78" s="11">
        <f>GETPIVOTDATA("Order Number",$C$77)</f>
        <v>3115</v>
      </c>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row>
    <row r="79" spans="1:61" x14ac:dyDescent="0.3">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row>
    <row r="80" spans="1:61" x14ac:dyDescent="0.3">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row>
    <row r="81" spans="1:61" x14ac:dyDescent="0.3">
      <c r="A81" s="6"/>
      <c r="B81" s="6"/>
      <c r="C81" s="5" t="s">
        <v>43</v>
      </c>
      <c r="D81" s="6" t="s">
        <v>118</v>
      </c>
      <c r="E81" s="6"/>
      <c r="F81" s="6"/>
      <c r="G81" s="37" t="s">
        <v>121</v>
      </c>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row>
    <row r="82" spans="1:61" x14ac:dyDescent="0.3">
      <c r="A82" s="6"/>
      <c r="B82" s="6"/>
      <c r="C82" s="8" t="s">
        <v>95</v>
      </c>
      <c r="D82" s="13">
        <v>2453</v>
      </c>
      <c r="E82" s="6"/>
      <c r="F82" s="6"/>
      <c r="G82" s="11">
        <f>GETPIVOTDATA("Order Number",$C$81,"Sale Status","Paid")</f>
        <v>2453</v>
      </c>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row>
    <row r="83" spans="1:61" x14ac:dyDescent="0.3">
      <c r="A83" s="6"/>
      <c r="B83" s="6"/>
      <c r="C83" s="8" t="s">
        <v>104</v>
      </c>
      <c r="D83" s="13">
        <v>662</v>
      </c>
      <c r="E83" s="6"/>
      <c r="F83" s="6"/>
      <c r="G83" s="11"/>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row>
    <row r="84" spans="1:61" x14ac:dyDescent="0.3">
      <c r="A84" s="6"/>
      <c r="B84" s="6"/>
      <c r="C84" s="8" t="s">
        <v>44</v>
      </c>
      <c r="D84" s="13">
        <v>3115</v>
      </c>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row>
    <row r="85" spans="1:61" x14ac:dyDescent="0.3">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row>
    <row r="86" spans="1:61" x14ac:dyDescent="0.3">
      <c r="A86" s="6"/>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x14ac:dyDescent="0.3">
      <c r="A87" s="6"/>
      <c r="B87" s="6"/>
      <c r="C87" s="5" t="s">
        <v>43</v>
      </c>
      <c r="D87" s="6" t="s">
        <v>71</v>
      </c>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row>
    <row r="88" spans="1:61" x14ac:dyDescent="0.3">
      <c r="A88" s="6"/>
      <c r="B88" s="6"/>
      <c r="C88" s="8" t="s">
        <v>107</v>
      </c>
      <c r="D88" s="13">
        <v>443544</v>
      </c>
      <c r="E88" s="6"/>
      <c r="F88" s="6"/>
      <c r="G88" s="6" t="s">
        <v>107</v>
      </c>
      <c r="H88" s="12">
        <f>VLOOKUP(G88,$C$87:$D$90,2,0)</f>
        <v>443544</v>
      </c>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row>
    <row r="89" spans="1:61" x14ac:dyDescent="0.3">
      <c r="A89" s="6"/>
      <c r="B89" s="6"/>
      <c r="C89" s="8" t="s">
        <v>98</v>
      </c>
      <c r="D89" s="13">
        <v>365781</v>
      </c>
      <c r="E89" s="6"/>
      <c r="F89" s="6"/>
      <c r="G89" s="6" t="s">
        <v>98</v>
      </c>
      <c r="H89" s="12">
        <f t="shared" ref="H89:H90" si="14">VLOOKUP(G89,$C$87:$D$90,2,0)</f>
        <v>365781</v>
      </c>
      <c r="I89" s="6"/>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row>
    <row r="90" spans="1:61" x14ac:dyDescent="0.3">
      <c r="A90" s="6"/>
      <c r="B90" s="6"/>
      <c r="C90" s="8" t="s">
        <v>96</v>
      </c>
      <c r="D90" s="13">
        <v>442688</v>
      </c>
      <c r="E90" s="6"/>
      <c r="F90" s="6"/>
      <c r="G90" s="6" t="s">
        <v>96</v>
      </c>
      <c r="H90" s="12">
        <f t="shared" si="14"/>
        <v>442688</v>
      </c>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row>
    <row r="91" spans="1:61" x14ac:dyDescent="0.3">
      <c r="A91" s="6"/>
      <c r="B91" s="6"/>
      <c r="C91" s="8" t="s">
        <v>44</v>
      </c>
      <c r="D91" s="13">
        <v>1252013</v>
      </c>
      <c r="E91" s="6"/>
      <c r="F91" s="6"/>
      <c r="G91" s="6"/>
      <c r="H91" s="68">
        <f>SUM(H88:H90)</f>
        <v>1252013</v>
      </c>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x14ac:dyDescent="0.3">
      <c r="A92" s="6"/>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row>
    <row r="93" spans="1:61" x14ac:dyDescent="0.3">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row>
    <row r="94" spans="1:61" x14ac:dyDescent="0.3">
      <c r="A94" s="6"/>
      <c r="B94" s="6"/>
      <c r="C94" s="5" t="s">
        <v>43</v>
      </c>
      <c r="D94" s="6" t="s">
        <v>117</v>
      </c>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x14ac:dyDescent="0.3">
      <c r="A95" s="6"/>
      <c r="B95" s="6"/>
      <c r="C95" s="8" t="s">
        <v>107</v>
      </c>
      <c r="D95" s="13">
        <v>957</v>
      </c>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x14ac:dyDescent="0.3">
      <c r="A96" s="6"/>
      <c r="B96" s="6"/>
      <c r="C96" s="8" t="s">
        <v>98</v>
      </c>
      <c r="D96" s="13">
        <v>978</v>
      </c>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61" x14ac:dyDescent="0.3">
      <c r="A97" s="6"/>
      <c r="B97" s="6"/>
      <c r="C97" s="8" t="s">
        <v>96</v>
      </c>
      <c r="D97" s="13">
        <v>1180</v>
      </c>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row>
    <row r="98" spans="1:61" x14ac:dyDescent="0.3">
      <c r="A98" s="6"/>
      <c r="B98" s="6"/>
      <c r="C98" s="8" t="s">
        <v>44</v>
      </c>
      <c r="D98" s="13">
        <v>3115</v>
      </c>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61" x14ac:dyDescent="0.3">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row>
    <row r="100" spans="1:61" x14ac:dyDescent="0.3">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row>
    <row r="101" spans="1:61" x14ac:dyDescent="0.3">
      <c r="A101" s="6"/>
      <c r="B101" s="6"/>
      <c r="C101" s="5" t="s">
        <v>43</v>
      </c>
      <c r="D101" s="6" t="s">
        <v>120</v>
      </c>
      <c r="E101" s="6"/>
      <c r="F101" s="37" t="s">
        <v>104</v>
      </c>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row>
    <row r="102" spans="1:61" x14ac:dyDescent="0.3">
      <c r="A102" s="6"/>
      <c r="B102" s="6"/>
      <c r="C102" s="8" t="s">
        <v>95</v>
      </c>
      <c r="D102" s="15">
        <v>0.78747993579454256</v>
      </c>
      <c r="E102" s="6"/>
      <c r="F102" s="69">
        <f>GETPIVOTDATA("Sale Status",$C$101,"Sale Status","Refunded")</f>
        <v>0.21252006420545747</v>
      </c>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c r="BH102" s="6"/>
      <c r="BI102" s="6"/>
    </row>
    <row r="103" spans="1:61" x14ac:dyDescent="0.3">
      <c r="A103" s="6"/>
      <c r="B103" s="6"/>
      <c r="C103" s="8" t="s">
        <v>104</v>
      </c>
      <c r="D103" s="15">
        <v>0.21252006420545747</v>
      </c>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c r="BH103" s="6"/>
      <c r="BI103" s="6"/>
    </row>
    <row r="104" spans="1:61" x14ac:dyDescent="0.3">
      <c r="A104" s="6"/>
      <c r="B104" s="6"/>
      <c r="C104" s="8" t="s">
        <v>44</v>
      </c>
      <c r="D104" s="10">
        <v>1</v>
      </c>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6"/>
      <c r="BC104" s="6"/>
      <c r="BD104" s="6"/>
      <c r="BE104" s="6"/>
      <c r="BF104" s="6"/>
      <c r="BG104" s="6"/>
      <c r="BH104" s="6"/>
      <c r="BI104" s="6"/>
    </row>
    <row r="105" spans="1:61" x14ac:dyDescent="0.3">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row>
    <row r="106" spans="1:61" x14ac:dyDescent="0.3">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c r="BA106" s="6"/>
      <c r="BB106" s="6"/>
      <c r="BC106" s="6"/>
      <c r="BD106" s="6"/>
      <c r="BE106" s="6"/>
      <c r="BF106" s="6"/>
      <c r="BG106" s="6"/>
      <c r="BH106" s="6"/>
      <c r="BI106" s="6"/>
    </row>
    <row r="107" spans="1:61" x14ac:dyDescent="0.3">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c r="BH107" s="6"/>
      <c r="BI107" s="6"/>
    </row>
    <row r="108" spans="1:61" x14ac:dyDescent="0.3">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c r="BA108" s="6"/>
      <c r="BB108" s="6"/>
      <c r="BC108" s="6"/>
      <c r="BD108" s="6"/>
      <c r="BE108" s="6"/>
      <c r="BF108" s="6"/>
      <c r="BG108" s="6"/>
      <c r="BH108" s="6"/>
      <c r="BI108" s="6"/>
    </row>
    <row r="109" spans="1:61" x14ac:dyDescent="0.3">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6"/>
      <c r="BA109" s="6"/>
      <c r="BB109" s="6"/>
      <c r="BC109" s="6"/>
      <c r="BD109" s="6"/>
      <c r="BE109" s="6"/>
      <c r="BF109" s="6"/>
      <c r="BG109" s="6"/>
      <c r="BH109" s="6"/>
      <c r="BI109" s="6"/>
    </row>
  </sheetData>
  <mergeCells count="4">
    <mergeCell ref="A23:B23"/>
    <mergeCell ref="D34:E34"/>
    <mergeCell ref="F34:G34"/>
    <mergeCell ref="A46:B46"/>
  </mergeCells>
  <pageMargins left="0.7" right="0.7" top="0.75" bottom="0.75" header="0.3" footer="0.3"/>
  <pageSetup orientation="portrait" r:id="rId1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11479-149D-4E68-BC80-7B28EC9210C6}">
  <sheetPr codeName="Sheet4">
    <tabColor rgb="FFC240D8"/>
  </sheetPr>
  <dimension ref="V15:W15"/>
  <sheetViews>
    <sheetView showGridLines="0" showRowColHeaders="0" zoomScaleNormal="100" workbookViewId="0">
      <selection activeCell="D1" sqref="D1"/>
    </sheetView>
  </sheetViews>
  <sheetFormatPr defaultRowHeight="14.4" x14ac:dyDescent="0.3"/>
  <cols>
    <col min="1" max="16384" width="8.88671875" style="3"/>
  </cols>
  <sheetData>
    <row r="15" spans="22:23" ht="15" x14ac:dyDescent="0.3">
      <c r="V15" s="18"/>
      <c r="W15" s="17" t="s">
        <v>59</v>
      </c>
    </row>
  </sheetData>
  <sheetProtection algorithmName="SHA-512" hashValue="9s8qkKcHwgXdsqxSqdtr3TSW7JfYHZ5GBdxnidWQM8MxtG3BAXS2tIP62jNGRxYcWbWuU8hHyWd2kdZHgptmow==" saltValue="hSxKX2IRhLznuje4RaGorA==" spinCount="100000" sheet="1" objects="1" scenario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9EAA3-278C-4CD9-9D15-35CDA1FB116D}">
  <sheetPr codeName="Sheet5">
    <tabColor rgb="FF194AFE"/>
  </sheetPr>
  <dimension ref="H6:AC49"/>
  <sheetViews>
    <sheetView showGridLines="0" showRowColHeaders="0" zoomScale="80" zoomScaleNormal="80" workbookViewId="0">
      <selection activeCell="L24" sqref="L24"/>
    </sheetView>
  </sheetViews>
  <sheetFormatPr defaultRowHeight="14.4" x14ac:dyDescent="0.3"/>
  <cols>
    <col min="1" max="16384" width="8.88671875" style="3"/>
  </cols>
  <sheetData>
    <row r="6" spans="8:29" x14ac:dyDescent="0.3">
      <c r="H6" s="27"/>
      <c r="I6" s="27"/>
      <c r="J6" s="27"/>
      <c r="K6" s="27"/>
      <c r="L6" s="27"/>
      <c r="M6" s="27"/>
      <c r="N6" s="27"/>
      <c r="O6" s="27"/>
      <c r="P6" s="27"/>
      <c r="Q6" s="27"/>
      <c r="R6" s="27"/>
      <c r="S6" s="27"/>
      <c r="T6" s="27"/>
      <c r="U6" s="27"/>
      <c r="V6" s="27"/>
      <c r="W6" s="27"/>
      <c r="X6" s="27"/>
      <c r="Y6" s="27"/>
      <c r="Z6" s="27"/>
      <c r="AA6" s="27"/>
      <c r="AB6" s="27"/>
      <c r="AC6" s="27"/>
    </row>
    <row r="7" spans="8:29" x14ac:dyDescent="0.3">
      <c r="H7" s="27"/>
      <c r="I7" s="27"/>
      <c r="J7" s="27"/>
      <c r="K7" s="27"/>
      <c r="L7" s="27"/>
      <c r="M7" s="27"/>
      <c r="N7" s="27"/>
      <c r="O7" s="27"/>
      <c r="P7" s="27"/>
      <c r="Q7" s="27"/>
      <c r="R7" s="27"/>
      <c r="S7" s="27"/>
      <c r="T7" s="27"/>
      <c r="U7" s="27"/>
      <c r="V7" s="27"/>
      <c r="W7" s="27"/>
      <c r="X7" s="27"/>
      <c r="Y7" s="27"/>
      <c r="Z7" s="27"/>
      <c r="AA7" s="27"/>
      <c r="AB7" s="27"/>
      <c r="AC7" s="27"/>
    </row>
    <row r="8" spans="8:29" x14ac:dyDescent="0.3">
      <c r="H8" s="27"/>
      <c r="I8" s="27"/>
      <c r="J8" s="27"/>
      <c r="K8" s="27"/>
      <c r="L8" s="27"/>
      <c r="M8" s="27"/>
      <c r="N8" s="27"/>
      <c r="O8" s="27"/>
      <c r="P8" s="27"/>
      <c r="Q8" s="27"/>
      <c r="R8" s="27"/>
      <c r="S8" s="27"/>
      <c r="T8" s="27"/>
      <c r="U8" s="27"/>
      <c r="V8" s="27"/>
      <c r="W8" s="27"/>
      <c r="X8" s="27"/>
      <c r="Y8" s="27"/>
      <c r="Z8" s="27"/>
      <c r="AA8" s="27"/>
      <c r="AB8" s="27"/>
      <c r="AC8" s="27"/>
    </row>
    <row r="9" spans="8:29" x14ac:dyDescent="0.3">
      <c r="H9" s="27"/>
      <c r="I9" s="27"/>
      <c r="J9" s="27"/>
      <c r="K9" s="27"/>
      <c r="L9" s="27"/>
      <c r="M9" s="27"/>
      <c r="N9" s="27"/>
      <c r="O9" s="27"/>
      <c r="P9" s="27"/>
      <c r="Q9" s="27"/>
      <c r="R9" s="27"/>
      <c r="S9" s="27"/>
      <c r="T9" s="27"/>
      <c r="U9" s="27"/>
      <c r="V9" s="27"/>
      <c r="W9" s="27"/>
      <c r="X9" s="27"/>
      <c r="Y9" s="27"/>
      <c r="Z9" s="27"/>
      <c r="AA9" s="27"/>
      <c r="AB9" s="27"/>
      <c r="AC9" s="27"/>
    </row>
    <row r="10" spans="8:29" x14ac:dyDescent="0.3">
      <c r="H10" s="27"/>
      <c r="I10" s="27"/>
      <c r="J10" s="27"/>
      <c r="K10" s="27"/>
      <c r="L10" s="27"/>
      <c r="M10" s="27"/>
      <c r="N10" s="27"/>
      <c r="O10" s="27"/>
      <c r="P10" s="27"/>
      <c r="Q10" s="27"/>
      <c r="R10" s="27"/>
      <c r="S10" s="27"/>
      <c r="T10" s="27"/>
      <c r="U10" s="27"/>
      <c r="V10" s="27"/>
      <c r="W10" s="27"/>
      <c r="X10" s="27"/>
      <c r="Y10" s="27"/>
      <c r="Z10" s="27"/>
      <c r="AA10" s="27"/>
      <c r="AB10" s="27"/>
      <c r="AC10" s="27"/>
    </row>
    <row r="11" spans="8:29" x14ac:dyDescent="0.3">
      <c r="H11" s="27"/>
      <c r="I11" s="27"/>
      <c r="J11" s="27"/>
      <c r="K11" s="27"/>
      <c r="L11" s="27"/>
      <c r="M11" s="27"/>
      <c r="N11" s="27"/>
      <c r="O11" s="27"/>
      <c r="P11" s="27"/>
      <c r="Q11" s="27"/>
      <c r="R11" s="27"/>
      <c r="S11" s="27"/>
      <c r="T11" s="27"/>
      <c r="U11" s="27"/>
      <c r="V11" s="27"/>
      <c r="W11" s="27"/>
      <c r="X11" s="27"/>
      <c r="Y11" s="27"/>
      <c r="Z11" s="27"/>
      <c r="AA11" s="27"/>
      <c r="AB11" s="27"/>
      <c r="AC11" s="27"/>
    </row>
    <row r="12" spans="8:29" x14ac:dyDescent="0.3">
      <c r="H12" s="27"/>
      <c r="I12" s="27"/>
      <c r="J12" s="27"/>
      <c r="K12" s="27"/>
      <c r="L12" s="27"/>
      <c r="M12" s="27"/>
      <c r="N12" s="27"/>
      <c r="O12" s="27"/>
      <c r="P12" s="27"/>
      <c r="Q12" s="27"/>
      <c r="R12" s="27"/>
      <c r="S12" s="27"/>
      <c r="T12" s="27"/>
      <c r="U12" s="27"/>
      <c r="V12" s="27"/>
      <c r="W12" s="27"/>
      <c r="X12" s="27"/>
      <c r="Y12" s="27"/>
      <c r="Z12" s="27"/>
      <c r="AA12" s="27"/>
      <c r="AB12" s="27"/>
      <c r="AC12" s="27"/>
    </row>
    <row r="13" spans="8:29" x14ac:dyDescent="0.3">
      <c r="H13" s="27"/>
      <c r="I13" s="27"/>
      <c r="J13" s="27"/>
      <c r="K13" s="27"/>
      <c r="L13" s="27"/>
      <c r="M13" s="27"/>
      <c r="N13" s="27"/>
      <c r="O13" s="27"/>
      <c r="P13" s="27"/>
      <c r="Q13" s="27"/>
      <c r="R13" s="27"/>
      <c r="S13" s="27"/>
      <c r="T13" s="27"/>
      <c r="U13" s="27"/>
      <c r="V13" s="27"/>
      <c r="W13" s="27"/>
      <c r="X13" s="27"/>
      <c r="Y13" s="27"/>
      <c r="Z13" s="27"/>
      <c r="AA13" s="27"/>
      <c r="AB13" s="27"/>
      <c r="AC13" s="27"/>
    </row>
    <row r="14" spans="8:29" x14ac:dyDescent="0.3">
      <c r="H14" s="27"/>
      <c r="I14" s="27"/>
      <c r="J14" s="27"/>
      <c r="K14" s="27"/>
      <c r="L14" s="27"/>
      <c r="M14" s="27"/>
      <c r="N14" s="27"/>
      <c r="O14" s="27"/>
      <c r="P14" s="27"/>
      <c r="Q14" s="27"/>
      <c r="R14" s="27"/>
      <c r="S14" s="27"/>
      <c r="T14" s="27"/>
      <c r="U14" s="27"/>
      <c r="V14" s="27"/>
      <c r="W14" s="27"/>
      <c r="X14" s="27"/>
      <c r="Y14" s="27"/>
      <c r="Z14" s="27"/>
      <c r="AA14" s="27"/>
      <c r="AB14" s="27"/>
      <c r="AC14" s="27"/>
    </row>
    <row r="15" spans="8:29" x14ac:dyDescent="0.3">
      <c r="H15" s="27"/>
      <c r="I15" s="27"/>
      <c r="J15" s="27"/>
      <c r="K15" s="27"/>
      <c r="L15" s="27"/>
      <c r="M15" s="27"/>
      <c r="N15" s="27"/>
      <c r="O15" s="27"/>
      <c r="P15" s="27"/>
      <c r="Q15" s="27"/>
      <c r="R15" s="27"/>
      <c r="S15" s="27"/>
      <c r="T15" s="27"/>
      <c r="U15" s="27"/>
      <c r="V15" s="27"/>
      <c r="W15" s="27"/>
      <c r="X15" s="27"/>
      <c r="Y15" s="27"/>
      <c r="Z15" s="27"/>
      <c r="AA15" s="27"/>
      <c r="AB15" s="27"/>
      <c r="AC15" s="27"/>
    </row>
    <row r="16" spans="8:29" x14ac:dyDescent="0.3">
      <c r="H16" s="27"/>
      <c r="I16" s="27"/>
      <c r="J16" s="27"/>
      <c r="K16" s="27"/>
      <c r="L16" s="27"/>
      <c r="M16" s="27"/>
      <c r="N16" s="27"/>
      <c r="O16" s="27"/>
      <c r="P16" s="27"/>
      <c r="Q16" s="27"/>
      <c r="R16" s="27"/>
      <c r="S16" s="27"/>
      <c r="T16" s="27"/>
      <c r="U16" s="27"/>
      <c r="V16" s="27"/>
      <c r="W16" s="27"/>
      <c r="X16" s="27"/>
      <c r="Y16" s="27"/>
      <c r="Z16" s="27"/>
      <c r="AA16" s="27"/>
      <c r="AB16" s="27"/>
      <c r="AC16" s="27"/>
    </row>
    <row r="17" spans="8:29" x14ac:dyDescent="0.3">
      <c r="H17" s="27"/>
      <c r="I17" s="27"/>
      <c r="J17" s="27"/>
      <c r="K17" s="27"/>
      <c r="L17" s="27"/>
      <c r="M17" s="27"/>
      <c r="N17" s="27"/>
      <c r="O17" s="27"/>
      <c r="P17" s="27"/>
      <c r="Q17" s="27"/>
      <c r="R17" s="27"/>
      <c r="S17" s="27"/>
      <c r="T17" s="27"/>
      <c r="U17" s="27"/>
      <c r="V17" s="27"/>
      <c r="W17" s="27"/>
      <c r="X17" s="27"/>
      <c r="Y17" s="27"/>
      <c r="Z17" s="27"/>
      <c r="AA17" s="27"/>
      <c r="AB17" s="27"/>
      <c r="AC17" s="27"/>
    </row>
    <row r="18" spans="8:29" x14ac:dyDescent="0.3">
      <c r="H18" s="27"/>
      <c r="I18" s="27"/>
      <c r="J18" s="27"/>
      <c r="K18" s="27"/>
      <c r="L18" s="27"/>
      <c r="M18" s="27"/>
      <c r="N18" s="27"/>
      <c r="O18" s="27"/>
      <c r="P18" s="27"/>
      <c r="Q18" s="27"/>
      <c r="R18" s="27"/>
      <c r="S18" s="27"/>
      <c r="T18" s="27"/>
      <c r="U18" s="27"/>
      <c r="V18" s="27"/>
      <c r="W18" s="27"/>
      <c r="X18" s="27"/>
      <c r="Y18" s="27"/>
      <c r="Z18" s="27"/>
      <c r="AA18" s="27"/>
      <c r="AB18" s="27"/>
      <c r="AC18" s="27"/>
    </row>
    <row r="19" spans="8:29" x14ac:dyDescent="0.3">
      <c r="H19" s="27"/>
      <c r="I19" s="27"/>
      <c r="J19" s="27"/>
      <c r="K19" s="27"/>
      <c r="L19" s="27"/>
      <c r="M19" s="27"/>
      <c r="N19" s="27"/>
      <c r="O19" s="27"/>
      <c r="P19" s="27"/>
      <c r="Q19" s="27"/>
      <c r="R19" s="27"/>
      <c r="S19" s="27"/>
      <c r="T19" s="27"/>
      <c r="U19" s="27"/>
      <c r="V19" s="27"/>
      <c r="W19" s="27"/>
      <c r="X19" s="27"/>
      <c r="Y19" s="27"/>
      <c r="Z19" s="27"/>
      <c r="AA19" s="27"/>
      <c r="AB19" s="27"/>
      <c r="AC19" s="27"/>
    </row>
    <row r="20" spans="8:29" x14ac:dyDescent="0.3">
      <c r="H20" s="27"/>
      <c r="I20" s="27"/>
      <c r="J20" s="27"/>
      <c r="K20" s="27"/>
      <c r="L20" s="27"/>
      <c r="M20" s="27"/>
      <c r="N20" s="27"/>
      <c r="O20" s="27"/>
      <c r="P20" s="27"/>
      <c r="Q20" s="27"/>
      <c r="R20" s="27"/>
      <c r="S20" s="27"/>
      <c r="T20" s="27"/>
      <c r="U20" s="27"/>
      <c r="V20" s="27"/>
      <c r="W20" s="27"/>
      <c r="X20" s="27"/>
      <c r="Y20" s="27"/>
      <c r="Z20" s="27"/>
      <c r="AA20" s="27"/>
      <c r="AB20" s="27"/>
      <c r="AC20" s="27"/>
    </row>
    <row r="21" spans="8:29" x14ac:dyDescent="0.3">
      <c r="H21" s="27"/>
      <c r="I21" s="27"/>
      <c r="J21" s="27"/>
      <c r="K21" s="27"/>
      <c r="L21" s="27"/>
      <c r="M21" s="27"/>
      <c r="N21" s="27"/>
      <c r="O21" s="27"/>
      <c r="P21" s="27"/>
      <c r="Q21" s="27"/>
      <c r="R21" s="27"/>
      <c r="S21" s="27"/>
      <c r="T21" s="27"/>
      <c r="U21" s="27"/>
      <c r="V21" s="27"/>
      <c r="W21" s="27"/>
      <c r="X21" s="27"/>
      <c r="Y21" s="27"/>
      <c r="Z21" s="27"/>
      <c r="AA21" s="27"/>
      <c r="AB21" s="27"/>
      <c r="AC21" s="27"/>
    </row>
    <row r="22" spans="8:29" x14ac:dyDescent="0.3">
      <c r="H22" s="27"/>
      <c r="I22" s="27"/>
      <c r="J22" s="27"/>
      <c r="K22" s="27"/>
      <c r="L22" s="27"/>
      <c r="M22" s="27"/>
      <c r="N22" s="27"/>
      <c r="O22" s="27"/>
      <c r="P22" s="27"/>
      <c r="Q22" s="27"/>
      <c r="R22" s="27"/>
      <c r="S22" s="27"/>
      <c r="T22" s="27"/>
      <c r="U22" s="27"/>
      <c r="V22" s="27"/>
      <c r="W22" s="27"/>
      <c r="X22" s="27"/>
      <c r="Y22" s="27"/>
      <c r="Z22" s="27"/>
      <c r="AA22" s="27"/>
      <c r="AB22" s="27"/>
      <c r="AC22" s="27"/>
    </row>
    <row r="23" spans="8:29" x14ac:dyDescent="0.3">
      <c r="H23" s="27"/>
      <c r="I23" s="27"/>
      <c r="J23" s="27"/>
      <c r="K23" s="27"/>
      <c r="L23" s="27"/>
      <c r="M23" s="27"/>
      <c r="N23" s="27"/>
      <c r="O23" s="27"/>
      <c r="P23" s="27"/>
      <c r="Q23" s="27"/>
      <c r="R23" s="27"/>
      <c r="S23" s="27"/>
      <c r="T23" s="27"/>
      <c r="U23" s="27"/>
      <c r="V23" s="27"/>
      <c r="W23" s="27"/>
      <c r="X23" s="27"/>
      <c r="Y23" s="27"/>
      <c r="Z23" s="27"/>
      <c r="AA23" s="27"/>
      <c r="AB23" s="27"/>
      <c r="AC23" s="27"/>
    </row>
    <row r="24" spans="8:29" x14ac:dyDescent="0.3">
      <c r="H24" s="27"/>
      <c r="I24" s="27"/>
      <c r="J24" s="27"/>
      <c r="K24" s="27"/>
      <c r="L24" s="27"/>
      <c r="M24" s="27"/>
      <c r="N24" s="27"/>
      <c r="O24" s="27"/>
      <c r="P24" s="27"/>
      <c r="Q24" s="27"/>
      <c r="R24" s="27"/>
      <c r="S24" s="27"/>
      <c r="T24" s="27"/>
      <c r="U24" s="27"/>
      <c r="V24" s="27"/>
      <c r="W24" s="27"/>
      <c r="X24" s="27"/>
      <c r="Y24" s="27"/>
      <c r="Z24" s="27"/>
      <c r="AA24" s="27"/>
      <c r="AB24" s="27"/>
      <c r="AC24" s="27"/>
    </row>
    <row r="25" spans="8:29" x14ac:dyDescent="0.3">
      <c r="H25" s="27"/>
      <c r="I25" s="27"/>
      <c r="J25" s="27"/>
      <c r="K25" s="27"/>
      <c r="L25" s="27"/>
      <c r="M25" s="27"/>
      <c r="N25" s="27"/>
      <c r="O25" s="27"/>
      <c r="P25" s="27"/>
      <c r="Q25" s="27"/>
      <c r="R25" s="27"/>
      <c r="S25" s="27"/>
      <c r="T25" s="27"/>
      <c r="U25" s="27"/>
      <c r="V25" s="27"/>
      <c r="W25" s="27"/>
      <c r="X25" s="27"/>
      <c r="Y25" s="27"/>
      <c r="Z25" s="27"/>
      <c r="AA25" s="27"/>
      <c r="AB25" s="27"/>
      <c r="AC25" s="27"/>
    </row>
    <row r="26" spans="8:29" x14ac:dyDescent="0.3">
      <c r="H26" s="27"/>
      <c r="I26" s="27"/>
      <c r="J26" s="27"/>
      <c r="K26" s="27"/>
      <c r="L26" s="27"/>
      <c r="M26" s="27"/>
      <c r="N26" s="27"/>
      <c r="O26" s="27"/>
      <c r="P26" s="27"/>
      <c r="Q26" s="27"/>
      <c r="R26" s="27"/>
      <c r="S26" s="27"/>
      <c r="T26" s="27"/>
      <c r="U26" s="27"/>
      <c r="V26" s="27"/>
      <c r="W26" s="27"/>
      <c r="X26" s="27"/>
      <c r="Y26" s="27"/>
      <c r="Z26" s="27"/>
      <c r="AA26" s="27"/>
      <c r="AB26" s="27"/>
      <c r="AC26" s="27"/>
    </row>
    <row r="27" spans="8:29" x14ac:dyDescent="0.3">
      <c r="H27" s="27"/>
      <c r="I27" s="27"/>
      <c r="J27" s="27"/>
      <c r="K27" s="27"/>
      <c r="L27" s="27"/>
      <c r="M27" s="27"/>
      <c r="N27" s="27"/>
      <c r="O27" s="27"/>
      <c r="P27" s="27"/>
      <c r="Q27" s="27"/>
      <c r="R27" s="27"/>
      <c r="S27" s="27"/>
      <c r="T27" s="27"/>
      <c r="U27" s="27"/>
      <c r="V27" s="27"/>
      <c r="W27" s="27"/>
      <c r="X27" s="27"/>
      <c r="Y27" s="27"/>
      <c r="Z27" s="27"/>
      <c r="AA27" s="27"/>
      <c r="AB27" s="27"/>
      <c r="AC27" s="27"/>
    </row>
    <row r="28" spans="8:29" x14ac:dyDescent="0.3">
      <c r="H28" s="27"/>
      <c r="I28" s="27"/>
      <c r="J28" s="27"/>
      <c r="K28" s="27"/>
      <c r="L28" s="27"/>
      <c r="M28" s="27"/>
      <c r="N28" s="27"/>
      <c r="O28" s="27"/>
      <c r="P28" s="27"/>
      <c r="Q28" s="27"/>
      <c r="R28" s="27"/>
      <c r="S28" s="27"/>
      <c r="T28" s="27"/>
      <c r="U28" s="27"/>
      <c r="V28" s="27"/>
      <c r="W28" s="27"/>
      <c r="X28" s="27"/>
      <c r="Y28" s="27"/>
      <c r="Z28" s="27"/>
      <c r="AA28" s="27"/>
      <c r="AB28" s="27"/>
      <c r="AC28" s="27"/>
    </row>
    <row r="29" spans="8:29" x14ac:dyDescent="0.3">
      <c r="H29" s="27"/>
      <c r="I29" s="27"/>
      <c r="J29" s="27"/>
      <c r="K29" s="27"/>
      <c r="L29" s="27"/>
      <c r="M29" s="27"/>
      <c r="N29" s="27"/>
      <c r="O29" s="27"/>
      <c r="P29" s="27"/>
      <c r="Q29" s="27"/>
      <c r="R29" s="27"/>
      <c r="S29" s="27"/>
      <c r="T29" s="27"/>
      <c r="U29" s="27"/>
      <c r="V29" s="27"/>
      <c r="W29" s="27"/>
      <c r="X29" s="27"/>
      <c r="Y29" s="27"/>
      <c r="Z29" s="27"/>
      <c r="AA29" s="27"/>
      <c r="AB29" s="27"/>
      <c r="AC29" s="27"/>
    </row>
    <row r="30" spans="8:29" x14ac:dyDescent="0.3">
      <c r="H30" s="27"/>
      <c r="I30" s="27"/>
      <c r="J30" s="27"/>
      <c r="K30" s="27"/>
      <c r="L30" s="27"/>
      <c r="M30" s="27"/>
      <c r="N30" s="27"/>
      <c r="O30" s="27"/>
      <c r="P30" s="27"/>
      <c r="Q30" s="27"/>
      <c r="R30" s="27"/>
      <c r="S30" s="27"/>
      <c r="T30" s="27"/>
      <c r="U30" s="27"/>
      <c r="V30" s="27"/>
      <c r="W30" s="27"/>
      <c r="X30" s="27"/>
      <c r="Y30" s="27"/>
      <c r="Z30" s="27"/>
      <c r="AA30" s="27"/>
      <c r="AB30" s="27"/>
      <c r="AC30" s="27"/>
    </row>
    <row r="31" spans="8:29" x14ac:dyDescent="0.3">
      <c r="H31" s="27"/>
      <c r="I31" s="27"/>
      <c r="J31" s="27"/>
      <c r="K31" s="27"/>
      <c r="L31" s="27"/>
      <c r="M31" s="27"/>
      <c r="N31" s="27"/>
      <c r="O31" s="27"/>
      <c r="P31" s="27"/>
      <c r="Q31" s="27"/>
      <c r="R31" s="27"/>
      <c r="S31" s="27"/>
      <c r="T31" s="27"/>
      <c r="U31" s="27"/>
      <c r="V31" s="27"/>
      <c r="W31" s="27"/>
      <c r="X31" s="27"/>
      <c r="Y31" s="27"/>
      <c r="Z31" s="27"/>
      <c r="AA31" s="27"/>
      <c r="AB31" s="27"/>
      <c r="AC31" s="27"/>
    </row>
    <row r="32" spans="8:29" x14ac:dyDescent="0.3">
      <c r="H32" s="27"/>
      <c r="I32" s="27"/>
      <c r="J32" s="27"/>
      <c r="K32" s="27"/>
      <c r="L32" s="27"/>
      <c r="M32" s="27"/>
      <c r="N32" s="27"/>
      <c r="O32" s="27"/>
      <c r="P32" s="27"/>
      <c r="Q32" s="27"/>
      <c r="R32" s="27"/>
      <c r="S32" s="27"/>
      <c r="T32" s="27"/>
      <c r="U32" s="27"/>
      <c r="V32" s="27"/>
      <c r="W32" s="27"/>
      <c r="X32" s="27"/>
      <c r="Y32" s="27"/>
      <c r="Z32" s="27"/>
      <c r="AA32" s="27"/>
      <c r="AB32" s="27"/>
      <c r="AC32" s="27"/>
    </row>
    <row r="33" spans="8:29" x14ac:dyDescent="0.3">
      <c r="H33" s="27"/>
      <c r="I33" s="27"/>
      <c r="J33" s="27"/>
      <c r="K33" s="27"/>
      <c r="L33" s="27"/>
      <c r="M33" s="27"/>
      <c r="N33" s="27"/>
      <c r="O33" s="27"/>
      <c r="P33" s="27"/>
      <c r="Q33" s="27"/>
      <c r="R33" s="27"/>
      <c r="S33" s="27"/>
      <c r="T33" s="27"/>
      <c r="U33" s="27"/>
      <c r="V33" s="27"/>
      <c r="W33" s="27"/>
      <c r="X33" s="27"/>
      <c r="Y33" s="27"/>
      <c r="Z33" s="27"/>
      <c r="AA33" s="27"/>
      <c r="AB33" s="27"/>
      <c r="AC33" s="27"/>
    </row>
    <row r="34" spans="8:29" x14ac:dyDescent="0.3">
      <c r="H34" s="27"/>
      <c r="I34" s="27"/>
      <c r="J34" s="27"/>
      <c r="K34" s="27"/>
      <c r="L34" s="27"/>
      <c r="M34" s="27"/>
      <c r="N34" s="27"/>
      <c r="O34" s="27"/>
      <c r="P34" s="27"/>
      <c r="Q34" s="27"/>
      <c r="R34" s="27"/>
      <c r="S34" s="27"/>
      <c r="T34" s="27"/>
      <c r="U34" s="27"/>
      <c r="V34" s="27"/>
      <c r="W34" s="27"/>
      <c r="X34" s="27"/>
      <c r="Y34" s="27"/>
      <c r="Z34" s="27"/>
      <c r="AA34" s="27"/>
      <c r="AB34" s="27"/>
      <c r="AC34" s="27"/>
    </row>
    <row r="35" spans="8:29" x14ac:dyDescent="0.3">
      <c r="H35" s="27"/>
      <c r="I35" s="27"/>
      <c r="J35" s="27"/>
      <c r="K35" s="27"/>
      <c r="L35" s="27"/>
      <c r="M35" s="27"/>
      <c r="N35" s="27"/>
      <c r="O35" s="27"/>
      <c r="P35" s="27"/>
      <c r="Q35" s="27"/>
      <c r="R35" s="27"/>
      <c r="S35" s="27"/>
      <c r="T35" s="27"/>
      <c r="U35" s="27"/>
      <c r="V35" s="27"/>
      <c r="W35" s="27"/>
      <c r="X35" s="27"/>
      <c r="Y35" s="27"/>
      <c r="Z35" s="27"/>
      <c r="AA35" s="27"/>
      <c r="AB35" s="27"/>
      <c r="AC35" s="27"/>
    </row>
    <row r="36" spans="8:29" x14ac:dyDescent="0.3">
      <c r="H36" s="27"/>
      <c r="I36" s="27"/>
      <c r="J36" s="27"/>
      <c r="K36" s="27"/>
      <c r="L36" s="27"/>
      <c r="M36" s="27"/>
      <c r="N36" s="27"/>
      <c r="O36" s="27"/>
      <c r="P36" s="27"/>
      <c r="Q36" s="27"/>
      <c r="R36" s="27"/>
      <c r="S36" s="27"/>
      <c r="T36" s="27"/>
      <c r="U36" s="27"/>
      <c r="V36" s="27"/>
      <c r="W36" s="27"/>
      <c r="X36" s="27"/>
      <c r="Y36" s="27"/>
      <c r="Z36" s="27"/>
      <c r="AA36" s="27"/>
      <c r="AB36" s="27"/>
      <c r="AC36" s="27"/>
    </row>
    <row r="37" spans="8:29" x14ac:dyDescent="0.3">
      <c r="H37" s="27"/>
      <c r="I37" s="27"/>
      <c r="J37" s="27"/>
      <c r="K37" s="27"/>
      <c r="L37" s="27"/>
      <c r="M37" s="27"/>
      <c r="N37" s="27"/>
      <c r="O37" s="27"/>
      <c r="P37" s="27"/>
      <c r="Q37" s="27"/>
      <c r="R37" s="27"/>
      <c r="S37" s="27"/>
      <c r="T37" s="27"/>
      <c r="U37" s="27"/>
      <c r="V37" s="27"/>
      <c r="W37" s="27"/>
      <c r="X37" s="27"/>
      <c r="Y37" s="27"/>
      <c r="Z37" s="27"/>
      <c r="AA37" s="27"/>
      <c r="AB37" s="27"/>
      <c r="AC37" s="27"/>
    </row>
    <row r="38" spans="8:29" x14ac:dyDescent="0.3">
      <c r="H38" s="27"/>
      <c r="I38" s="27"/>
      <c r="J38" s="27"/>
      <c r="K38" s="27"/>
      <c r="L38" s="27"/>
      <c r="M38" s="27"/>
      <c r="N38" s="27"/>
      <c r="O38" s="27"/>
      <c r="P38" s="27"/>
      <c r="Q38" s="27"/>
      <c r="R38" s="27"/>
      <c r="S38" s="27"/>
      <c r="T38" s="27"/>
      <c r="U38" s="27"/>
      <c r="V38" s="27"/>
      <c r="W38" s="27"/>
      <c r="X38" s="27"/>
      <c r="Y38" s="27"/>
      <c r="Z38" s="27"/>
      <c r="AA38" s="27"/>
      <c r="AB38" s="27"/>
      <c r="AC38" s="27"/>
    </row>
    <row r="39" spans="8:29" x14ac:dyDescent="0.3">
      <c r="H39" s="27"/>
      <c r="I39" s="27"/>
      <c r="J39" s="27"/>
      <c r="K39" s="27"/>
      <c r="L39" s="27"/>
      <c r="M39" s="27"/>
      <c r="N39" s="27"/>
      <c r="O39" s="27"/>
      <c r="P39" s="27"/>
      <c r="Q39" s="27"/>
      <c r="R39" s="27"/>
      <c r="S39" s="27"/>
      <c r="T39" s="27"/>
      <c r="U39" s="27"/>
      <c r="V39" s="27"/>
      <c r="W39" s="27"/>
      <c r="X39" s="27"/>
      <c r="Y39" s="27"/>
      <c r="Z39" s="27"/>
      <c r="AA39" s="27"/>
      <c r="AB39" s="27"/>
      <c r="AC39" s="27"/>
    </row>
    <row r="40" spans="8:29" x14ac:dyDescent="0.3">
      <c r="H40" s="27"/>
      <c r="I40" s="27"/>
      <c r="J40" s="27"/>
      <c r="K40" s="27"/>
      <c r="L40" s="27"/>
      <c r="M40" s="27"/>
      <c r="N40" s="27"/>
      <c r="O40" s="27"/>
      <c r="P40" s="27"/>
      <c r="Q40" s="27"/>
      <c r="R40" s="27"/>
      <c r="S40" s="27"/>
      <c r="T40" s="27"/>
      <c r="U40" s="27"/>
      <c r="V40" s="27"/>
      <c r="W40" s="27"/>
      <c r="X40" s="27"/>
      <c r="Y40" s="27"/>
      <c r="Z40" s="27"/>
      <c r="AA40" s="27"/>
      <c r="AB40" s="27"/>
      <c r="AC40" s="27"/>
    </row>
    <row r="41" spans="8:29" x14ac:dyDescent="0.3">
      <c r="H41" s="27"/>
      <c r="I41" s="27"/>
      <c r="J41" s="27"/>
      <c r="K41" s="27"/>
      <c r="L41" s="27"/>
      <c r="M41" s="27"/>
      <c r="N41" s="27"/>
      <c r="O41" s="27"/>
      <c r="P41" s="27"/>
      <c r="Q41" s="27"/>
      <c r="R41" s="27"/>
      <c r="S41" s="27"/>
      <c r="T41" s="27"/>
      <c r="U41" s="27"/>
      <c r="V41" s="27"/>
      <c r="W41" s="27"/>
      <c r="X41" s="27"/>
      <c r="Y41" s="27"/>
      <c r="Z41" s="27"/>
      <c r="AA41" s="27"/>
      <c r="AB41" s="27"/>
      <c r="AC41" s="27"/>
    </row>
    <row r="42" spans="8:29" x14ac:dyDescent="0.3">
      <c r="H42" s="27"/>
      <c r="I42" s="27"/>
      <c r="J42" s="27"/>
      <c r="K42" s="27"/>
      <c r="L42" s="27"/>
      <c r="M42" s="27"/>
      <c r="N42" s="27"/>
      <c r="O42" s="27"/>
      <c r="P42" s="27"/>
      <c r="Q42" s="27"/>
      <c r="R42" s="27"/>
      <c r="S42" s="27"/>
      <c r="T42" s="27"/>
      <c r="U42" s="27"/>
      <c r="V42" s="27"/>
      <c r="W42" s="27"/>
      <c r="X42" s="27"/>
      <c r="Y42" s="27"/>
      <c r="Z42" s="27"/>
      <c r="AA42" s="27"/>
      <c r="AB42" s="27"/>
      <c r="AC42" s="27"/>
    </row>
    <row r="43" spans="8:29" x14ac:dyDescent="0.3">
      <c r="H43" s="27"/>
      <c r="I43" s="27"/>
      <c r="J43" s="27"/>
      <c r="K43" s="27"/>
      <c r="L43" s="27"/>
      <c r="M43" s="27"/>
      <c r="N43" s="27"/>
      <c r="O43" s="27"/>
      <c r="P43" s="27"/>
      <c r="Q43" s="27"/>
      <c r="R43" s="27"/>
      <c r="S43" s="27"/>
      <c r="T43" s="27"/>
      <c r="U43" s="27"/>
      <c r="V43" s="27"/>
      <c r="W43" s="27"/>
      <c r="X43" s="27"/>
      <c r="Y43" s="27"/>
      <c r="Z43" s="27"/>
      <c r="AA43" s="27"/>
      <c r="AB43" s="27"/>
      <c r="AC43" s="27"/>
    </row>
    <row r="44" spans="8:29" x14ac:dyDescent="0.3">
      <c r="H44" s="27"/>
      <c r="I44" s="27"/>
      <c r="J44" s="27"/>
      <c r="K44" s="27"/>
      <c r="L44" s="27"/>
      <c r="M44" s="27"/>
      <c r="N44" s="27"/>
      <c r="O44" s="27"/>
      <c r="P44" s="27"/>
      <c r="Q44" s="27"/>
      <c r="R44" s="27"/>
      <c r="S44" s="27"/>
      <c r="T44" s="27"/>
      <c r="U44" s="27"/>
      <c r="V44" s="27"/>
      <c r="W44" s="27"/>
      <c r="X44" s="27"/>
      <c r="Y44" s="27"/>
      <c r="Z44" s="27"/>
      <c r="AA44" s="27"/>
      <c r="AB44" s="27"/>
      <c r="AC44" s="27"/>
    </row>
    <row r="45" spans="8:29" x14ac:dyDescent="0.3">
      <c r="H45" s="27"/>
      <c r="I45" s="27"/>
      <c r="J45" s="27"/>
      <c r="K45" s="27"/>
      <c r="L45" s="27"/>
      <c r="M45" s="27"/>
      <c r="N45" s="27"/>
      <c r="O45" s="27"/>
      <c r="P45" s="27"/>
      <c r="Q45" s="27"/>
      <c r="R45" s="27"/>
      <c r="S45" s="27"/>
      <c r="T45" s="27"/>
      <c r="U45" s="27"/>
      <c r="V45" s="27"/>
      <c r="W45" s="27"/>
      <c r="X45" s="27"/>
      <c r="Y45" s="27"/>
      <c r="Z45" s="27"/>
      <c r="AA45" s="27"/>
      <c r="AB45" s="27"/>
      <c r="AC45" s="27"/>
    </row>
    <row r="46" spans="8:29" x14ac:dyDescent="0.3">
      <c r="H46" s="27"/>
      <c r="I46" s="27"/>
      <c r="J46" s="27"/>
      <c r="K46" s="27"/>
      <c r="L46" s="27"/>
      <c r="M46" s="27"/>
      <c r="N46" s="27"/>
      <c r="O46" s="27"/>
      <c r="P46" s="27"/>
      <c r="Q46" s="27"/>
      <c r="R46" s="27"/>
      <c r="S46" s="27"/>
      <c r="T46" s="27"/>
      <c r="U46" s="27"/>
      <c r="V46" s="27"/>
      <c r="W46" s="27"/>
      <c r="X46" s="27"/>
      <c r="Y46" s="27"/>
      <c r="Z46" s="27"/>
      <c r="AA46" s="27"/>
      <c r="AB46" s="27"/>
      <c r="AC46" s="27"/>
    </row>
    <row r="47" spans="8:29" x14ac:dyDescent="0.3">
      <c r="H47" s="27"/>
      <c r="I47" s="27"/>
      <c r="J47" s="27"/>
      <c r="K47" s="27"/>
      <c r="L47" s="27"/>
      <c r="M47" s="27"/>
      <c r="N47" s="27"/>
      <c r="O47" s="27"/>
      <c r="P47" s="27"/>
      <c r="Q47" s="27"/>
      <c r="R47" s="27"/>
      <c r="S47" s="27"/>
      <c r="T47" s="27"/>
      <c r="U47" s="27"/>
      <c r="V47" s="27"/>
      <c r="W47" s="27"/>
      <c r="X47" s="27"/>
      <c r="Y47" s="27"/>
      <c r="Z47" s="27"/>
      <c r="AA47" s="27"/>
      <c r="AB47" s="27"/>
      <c r="AC47" s="27"/>
    </row>
    <row r="48" spans="8:29" x14ac:dyDescent="0.3">
      <c r="H48" s="27"/>
      <c r="I48" s="27"/>
      <c r="J48" s="27"/>
      <c r="K48" s="27"/>
      <c r="L48" s="27"/>
      <c r="M48" s="27"/>
      <c r="N48" s="27"/>
      <c r="O48" s="27"/>
      <c r="P48" s="27"/>
      <c r="Q48" s="27"/>
      <c r="R48" s="27"/>
      <c r="S48" s="27"/>
      <c r="T48" s="27"/>
      <c r="U48" s="27"/>
      <c r="V48" s="27"/>
      <c r="W48" s="27"/>
      <c r="X48" s="27"/>
      <c r="Y48" s="27"/>
      <c r="Z48" s="27"/>
      <c r="AA48" s="27"/>
      <c r="AB48" s="27"/>
      <c r="AC48" s="27"/>
    </row>
    <row r="49" spans="8:29" x14ac:dyDescent="0.3">
      <c r="H49" s="27"/>
      <c r="I49" s="27"/>
      <c r="J49" s="27"/>
      <c r="K49" s="27"/>
      <c r="L49" s="27"/>
      <c r="M49" s="27"/>
      <c r="N49" s="27"/>
      <c r="O49" s="27"/>
      <c r="P49" s="27"/>
      <c r="Q49" s="27"/>
      <c r="R49" s="27"/>
      <c r="S49" s="27"/>
      <c r="T49" s="27"/>
      <c r="U49" s="27"/>
      <c r="V49" s="27"/>
      <c r="W49" s="27"/>
      <c r="X49" s="27"/>
      <c r="Y49" s="27"/>
      <c r="Z49" s="27"/>
      <c r="AA49" s="27"/>
      <c r="AB49" s="27"/>
      <c r="AC49" s="27"/>
    </row>
  </sheetData>
  <sheetProtection algorithmName="SHA-512" hashValue="XjDskrzmFfSlJwcQxVwP69xuQIYX3HkAvjmzIXf9I0cQg6HXjeHPPN6CAMSRPJU+8NebAOZF/PyvgYvWzSsjOg==" saltValue="QIoo2DSMgOl6qhoN0+iLEQ==" spinCount="100000" sheet="1" objects="1" scenario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DCD1D-2C02-40C7-B896-C85BF62C607C}">
  <sheetPr codeName="Sheet6">
    <tabColor rgb="FF00F1DF"/>
  </sheetPr>
  <dimension ref="A1"/>
  <sheetViews>
    <sheetView showGridLines="0" showRowColHeaders="0" zoomScale="80" zoomScaleNormal="80" workbookViewId="0">
      <selection activeCell="C16" sqref="C16"/>
    </sheetView>
  </sheetViews>
  <sheetFormatPr defaultRowHeight="14.4" x14ac:dyDescent="0.3"/>
  <cols>
    <col min="1" max="16384" width="8.88671875" style="3"/>
  </cols>
  <sheetData/>
  <sheetProtection algorithmName="SHA-512" hashValue="ez4nzPtog2c9j88+lL2YP8GVWEVMInPjuoPMl6sfVebsET9/gWYCnF/X06F8FGputcqYho4kTPSHMyxCe1UEOA==" saltValue="U16Z27Lt3BGwMF03eM+/1A==" spinCount="100000" sheet="1" objects="1" scenario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 Processing Data</vt:lpstr>
      <vt:lpstr>Income &amp; Geographic Dataset</vt:lpstr>
      <vt:lpstr>Pivottables</vt:lpstr>
      <vt:lpstr>Income Source</vt:lpstr>
      <vt:lpstr>Geographically</vt:lpstr>
      <vt:lpstr>Sales Process</vt:lpstr>
    </vt:vector>
  </TitlesOfParts>
  <Manager/>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keywords/>
  <cp:lastModifiedBy/>
  <dcterms:created xsi:type="dcterms:W3CDTF">2023-07-19T14:32:12Z</dcterms:created>
  <dcterms:modified xsi:type="dcterms:W3CDTF">2023-07-19T14:33:58Z</dcterms:modified>
  <cp:category/>
</cp:coreProperties>
</file>